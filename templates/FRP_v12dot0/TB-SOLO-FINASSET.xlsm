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8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9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10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11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1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1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14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1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1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drawings/drawing17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drawings/drawing18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esktop\frp_template_v14\"/>
    </mc:Choice>
  </mc:AlternateContent>
  <workbookProtection workbookPassword="E37A" lockStructure="1"/>
  <bookViews>
    <workbookView xWindow="0" yWindow="0" windowWidth="20490" windowHeight="7755" tabRatio="710" firstSheet="27" activeTab="27"/>
  </bookViews>
  <sheets>
    <sheet name="3" sheetId="33" state="hidden" r:id="rId1"/>
    <sheet name="3A" sheetId="34" state="hidden" r:id="rId2"/>
    <sheet name="4" sheetId="1" state="hidden" r:id="rId3"/>
    <sheet name="4A" sheetId="49" state="hidden" r:id="rId4"/>
    <sheet name="5" sheetId="4" state="hidden" r:id="rId5"/>
    <sheet name="6" sheetId="41" state="hidden" r:id="rId6"/>
    <sheet name="6A" sheetId="42" state="hidden" r:id="rId7"/>
    <sheet name="6B" sheetId="35" state="hidden" r:id="rId8"/>
    <sheet name="6B1" sheetId="36" state="hidden" r:id="rId9"/>
    <sheet name="6B2" sheetId="37" state="hidden" r:id="rId10"/>
    <sheet name="6B3" sheetId="38" state="hidden" r:id="rId11"/>
    <sheet name="6B4" sheetId="39" state="hidden" r:id="rId12"/>
    <sheet name="7" sheetId="40" state="hidden" r:id="rId13"/>
    <sheet name="7A" sheetId="13" state="hidden" r:id="rId14"/>
    <sheet name="7C" sheetId="16" state="hidden" r:id="rId15"/>
    <sheet name="7C1" sheetId="17" state="hidden" r:id="rId16"/>
    <sheet name="7C2" sheetId="18" state="hidden" r:id="rId17"/>
    <sheet name="7C3" sheetId="19" state="hidden" r:id="rId18"/>
    <sheet name="7C4" sheetId="30" state="hidden" r:id="rId19"/>
    <sheet name="8" sheetId="43" state="hidden" r:id="rId20"/>
    <sheet name="8B" sheetId="44" state="hidden" r:id="rId21"/>
    <sheet name="8B1" sheetId="45" state="hidden" r:id="rId22"/>
    <sheet name="8B2" sheetId="46" state="hidden" r:id="rId23"/>
    <sheet name="8B3" sheetId="47" state="hidden" r:id="rId24"/>
    <sheet name="8B4" sheetId="48" state="hidden" r:id="rId25"/>
    <sheet name="9" sheetId="31" state="hidden" r:id="rId26"/>
    <sheet name="41" sheetId="32" state="hidden" r:id="rId27"/>
    <sheet name="Bank" sheetId="29" r:id="rId28"/>
  </sheets>
  <definedNames>
    <definedName name="_xlnm.Print_Area" localSheetId="0">'3'!$A$1:$P$81</definedName>
    <definedName name="_xlnm.Print_Area" localSheetId="1">'3A'!$A$1:$P$70</definedName>
    <definedName name="_xlnm.Print_Area" localSheetId="2">'4'!$A$1:$AF$122</definedName>
    <definedName name="_xlnm.Print_Area" localSheetId="26">'41'!$A$1:$U$22</definedName>
    <definedName name="_xlnm.Print_Area" localSheetId="3">'4A'!$A$1:$AW$71</definedName>
    <definedName name="_xlnm.Print_Area" localSheetId="4">'5'!$A$1:$P$88</definedName>
    <definedName name="_xlnm.Print_Area" localSheetId="5">'6'!$A$1:$AN$91</definedName>
    <definedName name="_xlnm.Print_Area" localSheetId="6">'6A'!$A$1:$P$70</definedName>
    <definedName name="_xlnm.Print_Area" localSheetId="7">'6B'!$A$1:$S$54</definedName>
    <definedName name="_xlnm.Print_Area" localSheetId="8">'6B1'!$A$1:$AD$55</definedName>
    <definedName name="_xlnm.Print_Area" localSheetId="9">'6B2'!$A$1:$AD$55</definedName>
    <definedName name="_xlnm.Print_Area" localSheetId="10">'6B3'!$A$1:$AD$55</definedName>
    <definedName name="_xlnm.Print_Area" localSheetId="11">'6B4'!$A$1:$AD$55</definedName>
    <definedName name="_xlnm.Print_Area" localSheetId="12">'7'!$A$1:$AN$67</definedName>
    <definedName name="_xlnm.Print_Area" localSheetId="13">'7A'!$A$1:$P$70</definedName>
    <definedName name="_xlnm.Print_Area" localSheetId="14">'7C'!$A$1:$S$40</definedName>
    <definedName name="_xlnm.Print_Area" localSheetId="15">'7C1'!$A$1:$S$41</definedName>
    <definedName name="_xlnm.Print_Area" localSheetId="16">'7C2'!$A$1:$AD$41</definedName>
    <definedName name="_xlnm.Print_Area" localSheetId="17">'7C3'!$A$1:$AD$41</definedName>
    <definedName name="_xlnm.Print_Area" localSheetId="18">'7C4'!$A$1:$AD$41</definedName>
    <definedName name="_xlnm.Print_Area" localSheetId="19">'8'!$A$1:$AN$66</definedName>
    <definedName name="_xlnm.Print_Area" localSheetId="20">'8B'!$A$1:$S$39</definedName>
    <definedName name="_xlnm.Print_Area" localSheetId="21">'8B1'!$A$1:$S$41</definedName>
    <definedName name="_xlnm.Print_Area" localSheetId="22">'8B2'!$A$1:$AD$41</definedName>
    <definedName name="_xlnm.Print_Area" localSheetId="23">'8B3'!$A$1:$AD$41</definedName>
    <definedName name="_xlnm.Print_Area" localSheetId="24">'8B4'!$A$1:$AD$41</definedName>
    <definedName name="_xlnm.Print_Area" localSheetId="25">'9'!$A$1:$AF$23</definedName>
    <definedName name="_xlnm.Print_Titles" localSheetId="0">'3'!$A:$H,'3'!$1:$9</definedName>
    <definedName name="_xlnm.Print_Titles" localSheetId="1">'3A'!$A:$H,'3A'!$1:$9</definedName>
    <definedName name="_xlnm.Print_Titles" localSheetId="2">'4'!$A:$H,'4'!$1:$9</definedName>
    <definedName name="_xlnm.Print_Titles" localSheetId="26">'41'!$A:$H,'41'!$1:$9</definedName>
    <definedName name="_xlnm.Print_Titles" localSheetId="3">'4A'!$A:$H,'4A'!$1:$2</definedName>
    <definedName name="_xlnm.Print_Titles" localSheetId="4">'5'!$A:$H,'5'!$1:$9</definedName>
    <definedName name="_xlnm.Print_Titles" localSheetId="5">'6'!$A:$H,'6'!$1:$9</definedName>
    <definedName name="_xlnm.Print_Titles" localSheetId="6">'6A'!$A:$H,'6A'!$1:$9</definedName>
    <definedName name="_xlnm.Print_Titles" localSheetId="7">'6B'!$A:$H,'6B'!$1:$10</definedName>
    <definedName name="_xlnm.Print_Titles" localSheetId="8">'6B1'!$A:$H,'6B1'!$1:$9</definedName>
    <definedName name="_xlnm.Print_Titles" localSheetId="9">'6B2'!$A:$H,'6B2'!$1:$9</definedName>
    <definedName name="_xlnm.Print_Titles" localSheetId="10">'6B3'!$A:$H,'6B3'!$1:$9</definedName>
    <definedName name="_xlnm.Print_Titles" localSheetId="11">'6B4'!$A:$H,'6B4'!$1:$9</definedName>
    <definedName name="_xlnm.Print_Titles" localSheetId="12">'7'!$A:$H,'7'!$1:$9</definedName>
    <definedName name="_xlnm.Print_Titles" localSheetId="13">'7A'!$A:$H,'7A'!$1:$9</definedName>
    <definedName name="_xlnm.Print_Titles" localSheetId="14">'7C'!$A:$H,'7C'!$1:$10</definedName>
    <definedName name="_xlnm.Print_Titles" localSheetId="15">'7C1'!$A:$H,'7C1'!$1:$9</definedName>
    <definedName name="_xlnm.Print_Titles" localSheetId="16">'7C2'!$A:$H,'7C2'!$1:$9</definedName>
    <definedName name="_xlnm.Print_Titles" localSheetId="17">'7C3'!$A:$H,'7C3'!$1:$9</definedName>
    <definedName name="_xlnm.Print_Titles" localSheetId="18">'7C4'!$A:$H,'7C4'!$1:$9</definedName>
    <definedName name="_xlnm.Print_Titles" localSheetId="19">'8'!$A:$H,'8'!$1:$9</definedName>
    <definedName name="_xlnm.Print_Titles" localSheetId="20">'8B'!$A:$H,'8B'!$1:$9</definedName>
    <definedName name="_xlnm.Print_Titles" localSheetId="21">'8B1'!$A:$H,'8B1'!$1:$9</definedName>
    <definedName name="_xlnm.Print_Titles" localSheetId="22">'8B2'!$A:$H,'8B2'!$1:$9</definedName>
    <definedName name="_xlnm.Print_Titles" localSheetId="23">'8B3'!$A:$H,'8B3'!$1:$9</definedName>
    <definedName name="_xlnm.Print_Titles" localSheetId="24">'8B4'!$A:$H,'8B4'!$1:$9</definedName>
    <definedName name="_xlnm.Print_Titles" localSheetId="25">'9'!$A:$H,'9'!$1:$9</definedName>
  </definedNames>
  <calcPr calcId="152511" fullCalcOnLoad="1"/>
</workbook>
</file>

<file path=xl/calcChain.xml><?xml version="1.0" encoding="utf-8"?>
<calcChain xmlns="http://schemas.openxmlformats.org/spreadsheetml/2006/main">
  <c r="AE43" i="40" l="1"/>
  <c r="AD43" i="40"/>
  <c r="AA43" i="40"/>
  <c r="AI43" i="40"/>
  <c r="Z43" i="40"/>
  <c r="Y43" i="40"/>
  <c r="AF43" i="40"/>
  <c r="W43" i="40"/>
  <c r="AM43" i="40"/>
  <c r="V43" i="40"/>
  <c r="AL43" i="40"/>
  <c r="S43" i="40"/>
  <c r="R43" i="40"/>
  <c r="Q43" i="40"/>
  <c r="AG43" i="40" s="1"/>
  <c r="X43" i="40"/>
  <c r="O43" i="40"/>
  <c r="N43" i="40"/>
  <c r="K43" i="40"/>
  <c r="J43" i="40"/>
  <c r="AH43" i="40" s="1"/>
  <c r="I43" i="40"/>
  <c r="AM47" i="40"/>
  <c r="AL47" i="40"/>
  <c r="AI47" i="40"/>
  <c r="AH47" i="40"/>
  <c r="AG47" i="40"/>
  <c r="AF47" i="40"/>
  <c r="X47" i="40"/>
  <c r="P47" i="40"/>
  <c r="AE59" i="41"/>
  <c r="AD59" i="41"/>
  <c r="AL59" i="41" s="1"/>
  <c r="AA59" i="41"/>
  <c r="Z59" i="41"/>
  <c r="Y59" i="41"/>
  <c r="AF59" i="41"/>
  <c r="W59" i="41"/>
  <c r="V59" i="41"/>
  <c r="S59" i="41"/>
  <c r="X59" i="41" s="1"/>
  <c r="R59" i="41"/>
  <c r="AH59" i="41" s="1"/>
  <c r="Q59" i="41"/>
  <c r="O59" i="41"/>
  <c r="AM59" i="41"/>
  <c r="N59" i="41"/>
  <c r="K59" i="41"/>
  <c r="AI59" i="41"/>
  <c r="J59" i="41"/>
  <c r="I59" i="41"/>
  <c r="AG59" i="41"/>
  <c r="AM63" i="41"/>
  <c r="AL63" i="41"/>
  <c r="AI63" i="41"/>
  <c r="AH63" i="41"/>
  <c r="AG63" i="41"/>
  <c r="AF63" i="41"/>
  <c r="X63" i="41"/>
  <c r="P63" i="41"/>
  <c r="O59" i="4"/>
  <c r="N59" i="4"/>
  <c r="K59" i="4"/>
  <c r="J59" i="4"/>
  <c r="I59" i="4"/>
  <c r="P63" i="4"/>
  <c r="O59" i="33"/>
  <c r="N59" i="33"/>
  <c r="K59" i="33"/>
  <c r="J59" i="33"/>
  <c r="I59" i="33"/>
  <c r="P63" i="33"/>
  <c r="AV70" i="49"/>
  <c r="AV62" i="49"/>
  <c r="AN70" i="49"/>
  <c r="AN62" i="49"/>
  <c r="AF70" i="49"/>
  <c r="AF62" i="49"/>
  <c r="X70" i="49"/>
  <c r="AW70" i="49" s="1"/>
  <c r="X62" i="49"/>
  <c r="AW62" i="49" s="1"/>
  <c r="P70" i="49"/>
  <c r="P62" i="49"/>
  <c r="AV35" i="49"/>
  <c r="AV27" i="49"/>
  <c r="AN35" i="49"/>
  <c r="AN27" i="49"/>
  <c r="AF35" i="49"/>
  <c r="AF27" i="49"/>
  <c r="X35" i="49"/>
  <c r="AW35" i="49" s="1"/>
  <c r="X27" i="49"/>
  <c r="AW27" i="49" s="1"/>
  <c r="P35" i="49"/>
  <c r="P27" i="49"/>
  <c r="AG40" i="40"/>
  <c r="AO66" i="49"/>
  <c r="AO63" i="49"/>
  <c r="AG66" i="49"/>
  <c r="AG63" i="49" s="1"/>
  <c r="Y66" i="49"/>
  <c r="Q66" i="49"/>
  <c r="Q63" i="49"/>
  <c r="I66" i="49"/>
  <c r="I63" i="49"/>
  <c r="AO31" i="49"/>
  <c r="AO28" i="49"/>
  <c r="AG31" i="49"/>
  <c r="AG28" i="49"/>
  <c r="Y31" i="49"/>
  <c r="Y28" i="49"/>
  <c r="Q31" i="49"/>
  <c r="Q28" i="49"/>
  <c r="I31" i="49"/>
  <c r="I28" i="49"/>
  <c r="I43" i="35"/>
  <c r="I44" i="35"/>
  <c r="I46" i="35"/>
  <c r="I47" i="35"/>
  <c r="I49" i="35"/>
  <c r="I50" i="35"/>
  <c r="I52" i="35"/>
  <c r="I53" i="35"/>
  <c r="O43" i="35"/>
  <c r="P43" i="35"/>
  <c r="Q43" i="35"/>
  <c r="R43" i="35"/>
  <c r="O44" i="35"/>
  <c r="P44" i="35"/>
  <c r="Q44" i="35"/>
  <c r="R44" i="35"/>
  <c r="O46" i="35"/>
  <c r="P46" i="35"/>
  <c r="Q46" i="35"/>
  <c r="R46" i="35"/>
  <c r="O47" i="35"/>
  <c r="P47" i="35"/>
  <c r="Q47" i="35"/>
  <c r="R47" i="35"/>
  <c r="O49" i="35"/>
  <c r="P49" i="35"/>
  <c r="Q49" i="35"/>
  <c r="R49" i="35"/>
  <c r="O50" i="35"/>
  <c r="P50" i="35"/>
  <c r="Q50" i="35"/>
  <c r="R50" i="35"/>
  <c r="O52" i="35"/>
  <c r="P52" i="35"/>
  <c r="Q52" i="35"/>
  <c r="R52" i="35"/>
  <c r="O53" i="35"/>
  <c r="P53" i="35"/>
  <c r="Q53" i="35"/>
  <c r="R53" i="35"/>
  <c r="I29" i="35"/>
  <c r="J29" i="35"/>
  <c r="K29" i="35"/>
  <c r="L29" i="35"/>
  <c r="M29" i="35"/>
  <c r="N29" i="35"/>
  <c r="O29" i="35"/>
  <c r="P29" i="35"/>
  <c r="Q29" i="35"/>
  <c r="R29" i="35"/>
  <c r="I30" i="35"/>
  <c r="J30" i="35"/>
  <c r="K30" i="35"/>
  <c r="L30" i="35"/>
  <c r="M30" i="35"/>
  <c r="N30" i="35"/>
  <c r="O30" i="35"/>
  <c r="P30" i="35"/>
  <c r="Q30" i="35"/>
  <c r="R30" i="35"/>
  <c r="I31" i="35"/>
  <c r="J31" i="35"/>
  <c r="K31" i="35"/>
  <c r="L31" i="35"/>
  <c r="M31" i="35"/>
  <c r="N31" i="35"/>
  <c r="O31" i="35"/>
  <c r="P31" i="35"/>
  <c r="Q31" i="35"/>
  <c r="R31" i="35"/>
  <c r="I33" i="35"/>
  <c r="J33" i="35"/>
  <c r="K33" i="35"/>
  <c r="L33" i="35"/>
  <c r="M33" i="35"/>
  <c r="N33" i="35"/>
  <c r="O33" i="35"/>
  <c r="P33" i="35"/>
  <c r="Q33" i="35"/>
  <c r="R33" i="35"/>
  <c r="I34" i="35"/>
  <c r="J34" i="35"/>
  <c r="K34" i="35"/>
  <c r="L34" i="35"/>
  <c r="M34" i="35"/>
  <c r="N34" i="35"/>
  <c r="O34" i="35"/>
  <c r="P34" i="35"/>
  <c r="Q34" i="35"/>
  <c r="R34" i="35"/>
  <c r="I36" i="35"/>
  <c r="J36" i="35"/>
  <c r="K36" i="35"/>
  <c r="L36" i="35"/>
  <c r="M36" i="35"/>
  <c r="N36" i="35"/>
  <c r="O36" i="35"/>
  <c r="P36" i="35"/>
  <c r="Q36" i="35"/>
  <c r="R36" i="35"/>
  <c r="I37" i="35"/>
  <c r="J37" i="35"/>
  <c r="K37" i="35"/>
  <c r="L37" i="35"/>
  <c r="M37" i="35"/>
  <c r="N37" i="35"/>
  <c r="O37" i="35"/>
  <c r="P37" i="35"/>
  <c r="Q37" i="35"/>
  <c r="R37" i="35"/>
  <c r="I38" i="35"/>
  <c r="J38" i="35"/>
  <c r="K38" i="35"/>
  <c r="L38" i="35"/>
  <c r="M38" i="35"/>
  <c r="N38" i="35"/>
  <c r="O38" i="35"/>
  <c r="P38" i="35"/>
  <c r="Q38" i="35"/>
  <c r="R38" i="35"/>
  <c r="I39" i="35"/>
  <c r="J39" i="35"/>
  <c r="K39" i="35"/>
  <c r="L39" i="35"/>
  <c r="M39" i="35"/>
  <c r="N39" i="35"/>
  <c r="O39" i="35"/>
  <c r="P39" i="35"/>
  <c r="Q39" i="35"/>
  <c r="R39" i="35"/>
  <c r="I29" i="16"/>
  <c r="J29" i="16"/>
  <c r="K29" i="16"/>
  <c r="L29" i="16"/>
  <c r="M29" i="16"/>
  <c r="N29" i="16"/>
  <c r="O29" i="16"/>
  <c r="P29" i="16"/>
  <c r="Q29" i="16"/>
  <c r="R29" i="16"/>
  <c r="I30" i="16"/>
  <c r="J30" i="16"/>
  <c r="K30" i="16"/>
  <c r="L30" i="16"/>
  <c r="M30" i="16"/>
  <c r="N30" i="16"/>
  <c r="O30" i="16"/>
  <c r="P30" i="16"/>
  <c r="Q30" i="16"/>
  <c r="R30" i="16"/>
  <c r="I31" i="16"/>
  <c r="J31" i="16"/>
  <c r="K31" i="16"/>
  <c r="L31" i="16"/>
  <c r="M31" i="16"/>
  <c r="N31" i="16"/>
  <c r="O31" i="16"/>
  <c r="P31" i="16"/>
  <c r="Q31" i="16"/>
  <c r="R31" i="16"/>
  <c r="I33" i="16"/>
  <c r="J33" i="16"/>
  <c r="K33" i="16"/>
  <c r="L33" i="16"/>
  <c r="M33" i="16"/>
  <c r="N33" i="16"/>
  <c r="O33" i="16"/>
  <c r="P33" i="16"/>
  <c r="Q33" i="16"/>
  <c r="R33" i="16"/>
  <c r="I34" i="16"/>
  <c r="J34" i="16"/>
  <c r="K34" i="16"/>
  <c r="L34" i="16"/>
  <c r="M34" i="16"/>
  <c r="N34" i="16"/>
  <c r="O34" i="16"/>
  <c r="P34" i="16"/>
  <c r="Q34" i="16"/>
  <c r="R34" i="16"/>
  <c r="I36" i="16"/>
  <c r="J36" i="16"/>
  <c r="K36" i="16"/>
  <c r="L36" i="16"/>
  <c r="M36" i="16"/>
  <c r="N36" i="16"/>
  <c r="O36" i="16"/>
  <c r="P36" i="16"/>
  <c r="Q36" i="16"/>
  <c r="R36" i="16"/>
  <c r="I37" i="16"/>
  <c r="J37" i="16"/>
  <c r="K37" i="16"/>
  <c r="L37" i="16"/>
  <c r="M37" i="16"/>
  <c r="N37" i="16"/>
  <c r="O37" i="16"/>
  <c r="P37" i="16"/>
  <c r="Q37" i="16"/>
  <c r="R37" i="16"/>
  <c r="I38" i="16"/>
  <c r="J38" i="16"/>
  <c r="K38" i="16"/>
  <c r="L38" i="16"/>
  <c r="M38" i="16"/>
  <c r="N38" i="16"/>
  <c r="O38" i="16"/>
  <c r="P38" i="16"/>
  <c r="Q38" i="16"/>
  <c r="R38" i="16"/>
  <c r="I39" i="16"/>
  <c r="J39" i="16"/>
  <c r="K39" i="16"/>
  <c r="L39" i="16"/>
  <c r="M39" i="16"/>
  <c r="N39" i="16"/>
  <c r="O39" i="16"/>
  <c r="P39" i="16"/>
  <c r="Q39" i="16"/>
  <c r="R39" i="16"/>
  <c r="Q28" i="1"/>
  <c r="Z16" i="40"/>
  <c r="AA16" i="40"/>
  <c r="AB16" i="40"/>
  <c r="AC16" i="40"/>
  <c r="AD16" i="40"/>
  <c r="AE16" i="40"/>
  <c r="Y16" i="40"/>
  <c r="R16" i="40"/>
  <c r="S16" i="40"/>
  <c r="T16" i="40"/>
  <c r="T13" i="40" s="1"/>
  <c r="U16" i="40"/>
  <c r="V16" i="40"/>
  <c r="V13" i="40"/>
  <c r="W16" i="40"/>
  <c r="X16" i="40" s="1"/>
  <c r="Q16" i="40"/>
  <c r="J16" i="40"/>
  <c r="K16" i="40"/>
  <c r="L16" i="40"/>
  <c r="L13" i="40" s="1"/>
  <c r="M16" i="40"/>
  <c r="N16" i="40"/>
  <c r="O16" i="40"/>
  <c r="I16" i="40"/>
  <c r="Y103" i="1"/>
  <c r="Y100" i="1"/>
  <c r="Y99" i="1"/>
  <c r="Y95" i="1"/>
  <c r="Y92" i="1"/>
  <c r="Y89" i="1"/>
  <c r="Y88" i="1"/>
  <c r="Y87" i="1"/>
  <c r="U17" i="32"/>
  <c r="U14" i="32"/>
  <c r="U11" i="32"/>
  <c r="O16" i="32"/>
  <c r="P16" i="32"/>
  <c r="O13" i="32"/>
  <c r="P13" i="32"/>
  <c r="O10" i="32"/>
  <c r="O19" i="32" s="1"/>
  <c r="P10" i="32"/>
  <c r="P19" i="32"/>
  <c r="J16" i="19"/>
  <c r="J13" i="19" s="1"/>
  <c r="K16" i="19"/>
  <c r="L16" i="19"/>
  <c r="M16" i="19"/>
  <c r="N16" i="19"/>
  <c r="N13" i="19" s="1"/>
  <c r="O16" i="19"/>
  <c r="P16" i="19"/>
  <c r="Q16" i="19"/>
  <c r="R16" i="19"/>
  <c r="R13" i="19" s="1"/>
  <c r="S16" i="19"/>
  <c r="T16" i="19"/>
  <c r="U16" i="19"/>
  <c r="V16" i="19"/>
  <c r="V13" i="19" s="1"/>
  <c r="W16" i="19"/>
  <c r="X16" i="19"/>
  <c r="Y16" i="19"/>
  <c r="Z16" i="19"/>
  <c r="Z13" i="19" s="1"/>
  <c r="AA16" i="19"/>
  <c r="AB16" i="19"/>
  <c r="I16" i="19"/>
  <c r="J16" i="18"/>
  <c r="AD16" i="18" s="1"/>
  <c r="K16" i="18"/>
  <c r="L16" i="18"/>
  <c r="M16" i="18"/>
  <c r="M13" i="18"/>
  <c r="N16" i="18"/>
  <c r="O16" i="18"/>
  <c r="P16" i="18"/>
  <c r="Q16" i="18"/>
  <c r="Q13" i="18" s="1"/>
  <c r="R16" i="18"/>
  <c r="S16" i="18"/>
  <c r="T16" i="18"/>
  <c r="U16" i="18"/>
  <c r="U13" i="18"/>
  <c r="V16" i="18"/>
  <c r="W16" i="18"/>
  <c r="W13" i="18" s="1"/>
  <c r="X16" i="18"/>
  <c r="Y16" i="18"/>
  <c r="Y13" i="18"/>
  <c r="Z16" i="18"/>
  <c r="AA16" i="18"/>
  <c r="AB16" i="18"/>
  <c r="I16" i="18"/>
  <c r="Q16" i="32"/>
  <c r="R16" i="32"/>
  <c r="S16" i="32"/>
  <c r="T16" i="32"/>
  <c r="Q13" i="32"/>
  <c r="R13" i="32"/>
  <c r="S13" i="32"/>
  <c r="T13" i="32"/>
  <c r="Q10" i="32"/>
  <c r="Q19" i="32" s="1"/>
  <c r="R10" i="32"/>
  <c r="R19" i="32"/>
  <c r="S10" i="32"/>
  <c r="S19" i="32" s="1"/>
  <c r="T10" i="32"/>
  <c r="T19" i="32"/>
  <c r="J16" i="48"/>
  <c r="K16" i="48"/>
  <c r="L16" i="48"/>
  <c r="M16" i="48"/>
  <c r="M13" i="48" s="1"/>
  <c r="N16" i="48"/>
  <c r="N13" i="48" s="1"/>
  <c r="O16" i="48"/>
  <c r="P16" i="48"/>
  <c r="Q16" i="48"/>
  <c r="Q13" i="48" s="1"/>
  <c r="R16" i="48"/>
  <c r="R13" i="48" s="1"/>
  <c r="S16" i="48"/>
  <c r="T16" i="48"/>
  <c r="U16" i="48"/>
  <c r="U13" i="48" s="1"/>
  <c r="V16" i="48"/>
  <c r="V13" i="48" s="1"/>
  <c r="W16" i="48"/>
  <c r="X16" i="48"/>
  <c r="Y16" i="48"/>
  <c r="Y13" i="48" s="1"/>
  <c r="Z16" i="48"/>
  <c r="Z13" i="48" s="1"/>
  <c r="AA16" i="48"/>
  <c r="AB16" i="48"/>
  <c r="I16" i="48"/>
  <c r="AC16" i="48" s="1"/>
  <c r="J16" i="47"/>
  <c r="K16" i="47"/>
  <c r="L16" i="47"/>
  <c r="M16" i="47"/>
  <c r="M13" i="47"/>
  <c r="N16" i="47"/>
  <c r="O16" i="47"/>
  <c r="P16" i="47"/>
  <c r="P13" i="47" s="1"/>
  <c r="Q16" i="47"/>
  <c r="Q13" i="47" s="1"/>
  <c r="R16" i="47"/>
  <c r="S16" i="47"/>
  <c r="T16" i="47"/>
  <c r="U16" i="47"/>
  <c r="U13" i="47"/>
  <c r="V16" i="47"/>
  <c r="V13" i="47" s="1"/>
  <c r="W16" i="47"/>
  <c r="W13" i="47" s="1"/>
  <c r="X16" i="47"/>
  <c r="Y16" i="47"/>
  <c r="Y13" i="47"/>
  <c r="Z16" i="47"/>
  <c r="AA16" i="47"/>
  <c r="AB16" i="47"/>
  <c r="I16" i="47"/>
  <c r="J16" i="46"/>
  <c r="K16" i="46"/>
  <c r="L16" i="46"/>
  <c r="M16" i="46"/>
  <c r="M13" i="46"/>
  <c r="N16" i="46"/>
  <c r="O16" i="46"/>
  <c r="P16" i="46"/>
  <c r="P13" i="46" s="1"/>
  <c r="Q16" i="46"/>
  <c r="Q13" i="46" s="1"/>
  <c r="R16" i="46"/>
  <c r="S16" i="46"/>
  <c r="T16" i="46"/>
  <c r="T13" i="46" s="1"/>
  <c r="U16" i="46"/>
  <c r="U13" i="46"/>
  <c r="V16" i="46"/>
  <c r="O16" i="44" s="1"/>
  <c r="W16" i="46"/>
  <c r="W13" i="46" s="1"/>
  <c r="X16" i="46"/>
  <c r="Y16" i="46"/>
  <c r="Y13" i="46"/>
  <c r="Z16" i="46"/>
  <c r="Z13" i="46" s="1"/>
  <c r="AA16" i="46"/>
  <c r="AB16" i="46"/>
  <c r="I16" i="46"/>
  <c r="J16" i="45"/>
  <c r="J16" i="44" s="1"/>
  <c r="K16" i="45"/>
  <c r="L16" i="45"/>
  <c r="M16" i="45"/>
  <c r="N16" i="45"/>
  <c r="N16" i="44" s="1"/>
  <c r="O16" i="45"/>
  <c r="P16" i="45"/>
  <c r="Q16" i="45"/>
  <c r="R16" i="45"/>
  <c r="I16" i="45"/>
  <c r="Z16" i="43"/>
  <c r="AA16" i="43"/>
  <c r="AB16" i="43"/>
  <c r="AC16" i="43"/>
  <c r="AD16" i="43"/>
  <c r="AE16" i="43"/>
  <c r="Y16" i="43"/>
  <c r="R16" i="43"/>
  <c r="S16" i="43"/>
  <c r="T16" i="43"/>
  <c r="T13" i="43"/>
  <c r="U16" i="43"/>
  <c r="V16" i="43"/>
  <c r="W16" i="43"/>
  <c r="W13" i="43" s="1"/>
  <c r="Q16" i="43"/>
  <c r="J16" i="43"/>
  <c r="K16" i="43"/>
  <c r="L16" i="43"/>
  <c r="L13" i="43" s="1"/>
  <c r="M16" i="43"/>
  <c r="N16" i="43"/>
  <c r="O16" i="43"/>
  <c r="I16" i="43"/>
  <c r="J16" i="30"/>
  <c r="K16" i="30"/>
  <c r="L16" i="30"/>
  <c r="M16" i="30"/>
  <c r="M13" i="30" s="1"/>
  <c r="N16" i="30"/>
  <c r="O16" i="30"/>
  <c r="P16" i="30"/>
  <c r="Q16" i="30"/>
  <c r="R16" i="30"/>
  <c r="S16" i="30"/>
  <c r="T16" i="30"/>
  <c r="U16" i="30"/>
  <c r="V16" i="30"/>
  <c r="W16" i="30"/>
  <c r="X16" i="30"/>
  <c r="Y16" i="30"/>
  <c r="Y13" i="30" s="1"/>
  <c r="Z16" i="30"/>
  <c r="AA16" i="30"/>
  <c r="AB16" i="30"/>
  <c r="I16" i="30"/>
  <c r="I13" i="30" s="1"/>
  <c r="J16" i="17"/>
  <c r="J13" i="17" s="1"/>
  <c r="K16" i="17"/>
  <c r="L16" i="17"/>
  <c r="M16" i="17"/>
  <c r="N16" i="17"/>
  <c r="O16" i="17"/>
  <c r="P16" i="17"/>
  <c r="Q16" i="17"/>
  <c r="Q13" i="17" s="1"/>
  <c r="Q12" i="17" s="1"/>
  <c r="Q11" i="17" s="1"/>
  <c r="Q41" i="17" s="1"/>
  <c r="R16" i="17"/>
  <c r="R17" i="16"/>
  <c r="I16" i="17"/>
  <c r="S40" i="17"/>
  <c r="H18" i="36"/>
  <c r="J16" i="39"/>
  <c r="K16" i="39"/>
  <c r="L16" i="39"/>
  <c r="L13" i="39" s="1"/>
  <c r="M16" i="39"/>
  <c r="N16" i="39"/>
  <c r="O16" i="39"/>
  <c r="P16" i="39"/>
  <c r="L17" i="35" s="1"/>
  <c r="Q16" i="39"/>
  <c r="R16" i="39"/>
  <c r="S16" i="39"/>
  <c r="T16" i="39"/>
  <c r="N17" i="35" s="1"/>
  <c r="U16" i="39"/>
  <c r="V16" i="39"/>
  <c r="W16" i="39"/>
  <c r="X16" i="39"/>
  <c r="X13" i="39" s="1"/>
  <c r="Y16" i="39"/>
  <c r="Z16" i="39"/>
  <c r="AA16" i="39"/>
  <c r="AB16" i="39"/>
  <c r="AB13" i="39" s="1"/>
  <c r="I16" i="39"/>
  <c r="J16" i="38"/>
  <c r="K16" i="38"/>
  <c r="L16" i="38"/>
  <c r="L13" i="38" s="1"/>
  <c r="M16" i="38"/>
  <c r="N16" i="38"/>
  <c r="N13" i="38"/>
  <c r="O16" i="38"/>
  <c r="O13" i="38" s="1"/>
  <c r="P16" i="38"/>
  <c r="Q16" i="38"/>
  <c r="R16" i="38"/>
  <c r="R13" i="38"/>
  <c r="S16" i="38"/>
  <c r="T16" i="38"/>
  <c r="U16" i="38"/>
  <c r="V16" i="38"/>
  <c r="V13" i="38" s="1"/>
  <c r="W16" i="38"/>
  <c r="X16" i="38"/>
  <c r="Y16" i="38"/>
  <c r="Z16" i="38"/>
  <c r="Z13" i="38" s="1"/>
  <c r="AA16" i="38"/>
  <c r="AB16" i="38"/>
  <c r="I16" i="38"/>
  <c r="J16" i="37"/>
  <c r="K16" i="37"/>
  <c r="L16" i="37"/>
  <c r="M16" i="37"/>
  <c r="N16" i="37"/>
  <c r="O16" i="37"/>
  <c r="P16" i="37"/>
  <c r="P13" i="37" s="1"/>
  <c r="Q16" i="37"/>
  <c r="R16" i="37"/>
  <c r="S16" i="37"/>
  <c r="T16" i="37"/>
  <c r="U16" i="37"/>
  <c r="V16" i="37"/>
  <c r="W16" i="37"/>
  <c r="X16" i="37"/>
  <c r="Y16" i="37"/>
  <c r="Z16" i="37"/>
  <c r="Q17" i="35"/>
  <c r="AA16" i="37"/>
  <c r="AB16" i="37"/>
  <c r="I16" i="37"/>
  <c r="K16" i="36"/>
  <c r="L16" i="36"/>
  <c r="M16" i="36"/>
  <c r="N16" i="36"/>
  <c r="K17" i="35" s="1"/>
  <c r="O16" i="36"/>
  <c r="P16" i="36"/>
  <c r="Q16" i="36"/>
  <c r="R16" i="36"/>
  <c r="M17" i="35" s="1"/>
  <c r="S16" i="36"/>
  <c r="T16" i="36"/>
  <c r="U16" i="36"/>
  <c r="V16" i="36"/>
  <c r="W16" i="36"/>
  <c r="X16" i="36"/>
  <c r="Y16" i="36"/>
  <c r="Z16" i="36"/>
  <c r="AA16" i="36"/>
  <c r="AB16" i="36"/>
  <c r="AC16" i="36"/>
  <c r="J16" i="36"/>
  <c r="Z16" i="41"/>
  <c r="AA16" i="41"/>
  <c r="AB16" i="41"/>
  <c r="AC16" i="41"/>
  <c r="AD16" i="41"/>
  <c r="AE16" i="41"/>
  <c r="Y16" i="41"/>
  <c r="R16" i="41"/>
  <c r="S16" i="41"/>
  <c r="T16" i="41"/>
  <c r="U16" i="41"/>
  <c r="V16" i="41"/>
  <c r="W16" i="41"/>
  <c r="W13" i="41" s="1"/>
  <c r="Q16" i="41"/>
  <c r="J16" i="41"/>
  <c r="K16" i="41"/>
  <c r="L16" i="41"/>
  <c r="L13" i="41" s="1"/>
  <c r="M16" i="41"/>
  <c r="N16" i="41"/>
  <c r="O16" i="41"/>
  <c r="I16" i="41"/>
  <c r="J16" i="4"/>
  <c r="K16" i="4"/>
  <c r="L16" i="4"/>
  <c r="M16" i="4"/>
  <c r="N16" i="4"/>
  <c r="O16" i="4"/>
  <c r="I16" i="4"/>
  <c r="J16" i="33"/>
  <c r="K16" i="33"/>
  <c r="L16" i="33"/>
  <c r="M16" i="33"/>
  <c r="N16" i="33"/>
  <c r="O16" i="33"/>
  <c r="I16" i="33"/>
  <c r="AC17" i="48"/>
  <c r="AD17" i="48"/>
  <c r="H18" i="48"/>
  <c r="AC17" i="47"/>
  <c r="AD17" i="47"/>
  <c r="H18" i="47"/>
  <c r="AC17" i="46"/>
  <c r="AD17" i="46"/>
  <c r="H18" i="46"/>
  <c r="S17" i="45"/>
  <c r="H18" i="45"/>
  <c r="AG17" i="43"/>
  <c r="AH17" i="43"/>
  <c r="AI17" i="43"/>
  <c r="AJ17" i="43"/>
  <c r="AK17" i="43"/>
  <c r="AL17" i="43"/>
  <c r="AM17" i="43"/>
  <c r="P17" i="43"/>
  <c r="X17" i="43"/>
  <c r="AF17" i="43"/>
  <c r="H18" i="43"/>
  <c r="AC17" i="30"/>
  <c r="AD17" i="30"/>
  <c r="H18" i="30"/>
  <c r="AC17" i="19"/>
  <c r="AD17" i="19"/>
  <c r="H18" i="19"/>
  <c r="AC17" i="18"/>
  <c r="AD17" i="18"/>
  <c r="H18" i="18"/>
  <c r="S17" i="17"/>
  <c r="H18" i="17"/>
  <c r="AG17" i="40"/>
  <c r="AH17" i="40"/>
  <c r="AI17" i="40"/>
  <c r="AJ17" i="40"/>
  <c r="AK17" i="40"/>
  <c r="AL17" i="40"/>
  <c r="AM17" i="40"/>
  <c r="AF17" i="40"/>
  <c r="AN17" i="40" s="1"/>
  <c r="X17" i="40"/>
  <c r="P17" i="40"/>
  <c r="H18" i="40"/>
  <c r="AC17" i="39"/>
  <c r="AD17" i="39"/>
  <c r="H18" i="39"/>
  <c r="AC17" i="38"/>
  <c r="AD17" i="38"/>
  <c r="H18" i="38"/>
  <c r="AC17" i="37"/>
  <c r="AD17" i="37"/>
  <c r="H18" i="37"/>
  <c r="AD17" i="36"/>
  <c r="I18" i="36"/>
  <c r="AG17" i="41"/>
  <c r="AH17" i="41"/>
  <c r="AI17" i="41"/>
  <c r="AJ17" i="41"/>
  <c r="AK17" i="41"/>
  <c r="AL17" i="41"/>
  <c r="AM17" i="41"/>
  <c r="AF17" i="41"/>
  <c r="X17" i="41"/>
  <c r="AN17" i="41" s="1"/>
  <c r="P17" i="41"/>
  <c r="H18" i="41"/>
  <c r="P17" i="4"/>
  <c r="H18" i="4"/>
  <c r="P17" i="33"/>
  <c r="H18" i="33"/>
  <c r="O24" i="13"/>
  <c r="N24" i="13"/>
  <c r="M24" i="13"/>
  <c r="L24" i="13"/>
  <c r="K24" i="13"/>
  <c r="J24" i="13"/>
  <c r="I24" i="13"/>
  <c r="P24" i="13" s="1"/>
  <c r="O24" i="42"/>
  <c r="N24" i="42"/>
  <c r="M24" i="42"/>
  <c r="L24" i="42"/>
  <c r="K24" i="42"/>
  <c r="P24" i="42" s="1"/>
  <c r="J24" i="42"/>
  <c r="I24" i="42"/>
  <c r="O24" i="34"/>
  <c r="N24" i="34"/>
  <c r="M24" i="34"/>
  <c r="L24" i="34"/>
  <c r="K24" i="34"/>
  <c r="J24" i="34"/>
  <c r="I24" i="34"/>
  <c r="P24" i="34" s="1"/>
  <c r="W95" i="1"/>
  <c r="V95" i="1"/>
  <c r="U95" i="1"/>
  <c r="T95" i="1"/>
  <c r="Q95" i="1"/>
  <c r="AG40" i="41"/>
  <c r="AA19" i="31"/>
  <c r="AA18" i="31"/>
  <c r="AA16" i="31"/>
  <c r="AA15" i="31"/>
  <c r="AA13" i="31"/>
  <c r="AA12" i="31"/>
  <c r="Z19" i="31"/>
  <c r="Z18" i="31"/>
  <c r="Z16" i="31"/>
  <c r="Z15" i="31"/>
  <c r="Z13" i="31"/>
  <c r="Z12" i="31"/>
  <c r="S17" i="31"/>
  <c r="R17" i="31"/>
  <c r="S14" i="31"/>
  <c r="R14" i="31"/>
  <c r="Z14" i="31" s="1"/>
  <c r="S11" i="31"/>
  <c r="S10" i="31" s="1"/>
  <c r="R11" i="31"/>
  <c r="K17" i="31"/>
  <c r="AA17" i="31" s="1"/>
  <c r="J17" i="31"/>
  <c r="Z17" i="31"/>
  <c r="K14" i="31"/>
  <c r="AA14" i="31" s="1"/>
  <c r="J14" i="31"/>
  <c r="K11" i="31"/>
  <c r="AA11" i="31" s="1"/>
  <c r="J11" i="31"/>
  <c r="Z11" i="31"/>
  <c r="P69" i="13"/>
  <c r="P68" i="13"/>
  <c r="P67" i="13"/>
  <c r="P66" i="13"/>
  <c r="O65" i="13"/>
  <c r="N65" i="13"/>
  <c r="M65" i="13"/>
  <c r="L65" i="13"/>
  <c r="K65" i="13"/>
  <c r="J65" i="13"/>
  <c r="I65" i="13"/>
  <c r="C67" i="13"/>
  <c r="C68" i="13"/>
  <c r="C69" i="13" s="1"/>
  <c r="O18" i="13"/>
  <c r="I18" i="13"/>
  <c r="P28" i="13"/>
  <c r="P27" i="13"/>
  <c r="P26" i="13"/>
  <c r="P25" i="13"/>
  <c r="J60" i="42"/>
  <c r="I18" i="42"/>
  <c r="I29" i="42"/>
  <c r="P69" i="42"/>
  <c r="P68" i="42"/>
  <c r="P67" i="42"/>
  <c r="P66" i="42"/>
  <c r="O65" i="42"/>
  <c r="N65" i="42"/>
  <c r="M65" i="42"/>
  <c r="L65" i="42"/>
  <c r="K65" i="42"/>
  <c r="P65" i="42"/>
  <c r="I65" i="42"/>
  <c r="J65" i="42"/>
  <c r="P28" i="42"/>
  <c r="P27" i="42"/>
  <c r="P26" i="42"/>
  <c r="P25" i="42"/>
  <c r="O81" i="4"/>
  <c r="N81" i="4"/>
  <c r="M81" i="4"/>
  <c r="L81" i="4"/>
  <c r="K81" i="4"/>
  <c r="P81" i="4" s="1"/>
  <c r="J81" i="4"/>
  <c r="I81" i="4"/>
  <c r="P82" i="4"/>
  <c r="P83" i="4"/>
  <c r="P84" i="4"/>
  <c r="K50" i="4"/>
  <c r="J50" i="4"/>
  <c r="K47" i="4"/>
  <c r="J47" i="4"/>
  <c r="K44" i="4"/>
  <c r="K43" i="4"/>
  <c r="J44" i="4"/>
  <c r="O18" i="34"/>
  <c r="N18" i="34"/>
  <c r="I29" i="34"/>
  <c r="I18" i="34"/>
  <c r="I39" i="34"/>
  <c r="AC92" i="1"/>
  <c r="AF92" i="1" s="1"/>
  <c r="AE92" i="1"/>
  <c r="AD92" i="1"/>
  <c r="AB92" i="1"/>
  <c r="Q92" i="1"/>
  <c r="U92" i="1"/>
  <c r="W92" i="1"/>
  <c r="X92" i="1"/>
  <c r="V92" i="1"/>
  <c r="T92" i="1"/>
  <c r="K92" i="1"/>
  <c r="P92" i="1"/>
  <c r="M92" i="1"/>
  <c r="O92" i="1"/>
  <c r="N92" i="1"/>
  <c r="L92" i="1"/>
  <c r="J92" i="1"/>
  <c r="AE37" i="1"/>
  <c r="AD37" i="1"/>
  <c r="AC37" i="1"/>
  <c r="AB37" i="1"/>
  <c r="Y37" i="1"/>
  <c r="W37" i="1"/>
  <c r="V37" i="1"/>
  <c r="U37" i="1"/>
  <c r="T37" i="1"/>
  <c r="Q37" i="1"/>
  <c r="O37" i="1"/>
  <c r="N37" i="1"/>
  <c r="M37" i="1"/>
  <c r="L37" i="1"/>
  <c r="K37" i="1"/>
  <c r="J37" i="1"/>
  <c r="AE31" i="1"/>
  <c r="AD31" i="1"/>
  <c r="AC31" i="1"/>
  <c r="AF31" i="1" s="1"/>
  <c r="AB31" i="1"/>
  <c r="Y31" i="1"/>
  <c r="W31" i="1"/>
  <c r="V31" i="1"/>
  <c r="U31" i="1"/>
  <c r="T31" i="1"/>
  <c r="Q31" i="1"/>
  <c r="O31" i="1"/>
  <c r="N31" i="1"/>
  <c r="M31" i="1"/>
  <c r="L31" i="1"/>
  <c r="K31" i="1"/>
  <c r="P31" i="1" s="1"/>
  <c r="J31" i="1"/>
  <c r="AF33" i="1"/>
  <c r="AF32" i="1"/>
  <c r="X33" i="1"/>
  <c r="X32" i="1"/>
  <c r="X31" i="1"/>
  <c r="P33" i="1"/>
  <c r="P32" i="1"/>
  <c r="N65" i="34"/>
  <c r="J55" i="34"/>
  <c r="I65" i="34"/>
  <c r="P65" i="34" s="1"/>
  <c r="O65" i="34"/>
  <c r="M65" i="34"/>
  <c r="L65" i="34"/>
  <c r="K65" i="34"/>
  <c r="J65" i="34"/>
  <c r="P69" i="34"/>
  <c r="P68" i="34"/>
  <c r="P67" i="34"/>
  <c r="P66" i="34"/>
  <c r="P28" i="34"/>
  <c r="P27" i="34"/>
  <c r="P26" i="34"/>
  <c r="P25" i="34"/>
  <c r="C67" i="34"/>
  <c r="C68" i="34" s="1"/>
  <c r="C69" i="34" s="1"/>
  <c r="AD25" i="31"/>
  <c r="AE25" i="31"/>
  <c r="AA25" i="31"/>
  <c r="Z25" i="31"/>
  <c r="Y25" i="31"/>
  <c r="X25" i="31"/>
  <c r="P25" i="31"/>
  <c r="S30" i="45"/>
  <c r="AD30" i="46"/>
  <c r="AD30" i="47"/>
  <c r="AD30" i="48"/>
  <c r="S31" i="45"/>
  <c r="AD31" i="46"/>
  <c r="AD31" i="47"/>
  <c r="AD31" i="48"/>
  <c r="R28" i="44"/>
  <c r="R29" i="44"/>
  <c r="Q28" i="44"/>
  <c r="Q29" i="44"/>
  <c r="P28" i="44"/>
  <c r="P29" i="44"/>
  <c r="O28" i="44"/>
  <c r="O29" i="44"/>
  <c r="N28" i="44"/>
  <c r="N29" i="44"/>
  <c r="M28" i="44"/>
  <c r="M29" i="44"/>
  <c r="L28" i="44"/>
  <c r="L29" i="44"/>
  <c r="K28" i="44"/>
  <c r="K29" i="44"/>
  <c r="J28" i="44"/>
  <c r="J29" i="44"/>
  <c r="I28" i="44"/>
  <c r="I29" i="44"/>
  <c r="AD16" i="46"/>
  <c r="P16" i="44"/>
  <c r="L16" i="44"/>
  <c r="K16" i="44"/>
  <c r="AC30" i="48"/>
  <c r="AC31" i="48"/>
  <c r="J29" i="48"/>
  <c r="K29" i="48"/>
  <c r="L29" i="48"/>
  <c r="M29" i="48"/>
  <c r="N29" i="48"/>
  <c r="O29" i="48"/>
  <c r="P29" i="48"/>
  <c r="Q29" i="48"/>
  <c r="R29" i="48"/>
  <c r="S29" i="48"/>
  <c r="T29" i="48"/>
  <c r="U29" i="48"/>
  <c r="V29" i="48"/>
  <c r="W29" i="48"/>
  <c r="X29" i="48"/>
  <c r="Y29" i="48"/>
  <c r="Z29" i="48"/>
  <c r="AA29" i="48"/>
  <c r="AB29" i="48"/>
  <c r="I29" i="48"/>
  <c r="K13" i="48"/>
  <c r="L13" i="48"/>
  <c r="O13" i="48"/>
  <c r="P13" i="48"/>
  <c r="S13" i="48"/>
  <c r="T13" i="48"/>
  <c r="W13" i="48"/>
  <c r="X13" i="48"/>
  <c r="AA13" i="48"/>
  <c r="AB13" i="48"/>
  <c r="AC30" i="47"/>
  <c r="AC31" i="47"/>
  <c r="J29" i="47"/>
  <c r="K29" i="47"/>
  <c r="L29" i="47"/>
  <c r="M29" i="47"/>
  <c r="N29" i="47"/>
  <c r="O29" i="47"/>
  <c r="P29" i="47"/>
  <c r="Q29" i="47"/>
  <c r="R29" i="47"/>
  <c r="S29" i="47"/>
  <c r="T29" i="47"/>
  <c r="U29" i="47"/>
  <c r="V29" i="47"/>
  <c r="W29" i="47"/>
  <c r="X29" i="47"/>
  <c r="Y29" i="47"/>
  <c r="Z29" i="47"/>
  <c r="AA29" i="47"/>
  <c r="AB29" i="47"/>
  <c r="I29" i="47"/>
  <c r="J13" i="47"/>
  <c r="K13" i="47"/>
  <c r="L13" i="47"/>
  <c r="N13" i="47"/>
  <c r="O13" i="47"/>
  <c r="R13" i="47"/>
  <c r="S13" i="47"/>
  <c r="T13" i="47"/>
  <c r="X13" i="47"/>
  <c r="Z13" i="47"/>
  <c r="AA13" i="47"/>
  <c r="AB13" i="47"/>
  <c r="AC30" i="46"/>
  <c r="AC31" i="46"/>
  <c r="J29" i="46"/>
  <c r="K29" i="46"/>
  <c r="L29" i="46"/>
  <c r="M29" i="46"/>
  <c r="N29" i="46"/>
  <c r="O29" i="46"/>
  <c r="P29" i="46"/>
  <c r="Q29" i="46"/>
  <c r="R29" i="46"/>
  <c r="S29" i="46"/>
  <c r="T29" i="46"/>
  <c r="U29" i="46"/>
  <c r="V29" i="46"/>
  <c r="W29" i="46"/>
  <c r="X29" i="46"/>
  <c r="Y29" i="46"/>
  <c r="Z29" i="46"/>
  <c r="AA29" i="46"/>
  <c r="AB29" i="46"/>
  <c r="I29" i="46"/>
  <c r="K13" i="46"/>
  <c r="L13" i="46"/>
  <c r="N13" i="46"/>
  <c r="O13" i="46"/>
  <c r="R13" i="46"/>
  <c r="S13" i="46"/>
  <c r="X13" i="46"/>
  <c r="AA13" i="46"/>
  <c r="AB13" i="46"/>
  <c r="J13" i="45"/>
  <c r="J12" i="45" s="1"/>
  <c r="J11" i="45" s="1"/>
  <c r="J41" i="45" s="1"/>
  <c r="J20" i="45"/>
  <c r="J25" i="45"/>
  <c r="J29" i="45"/>
  <c r="J28" i="45"/>
  <c r="K13" i="45"/>
  <c r="K12" i="45" s="1"/>
  <c r="K11" i="45" s="1"/>
  <c r="K20" i="45"/>
  <c r="K41" i="45"/>
  <c r="K25" i="45"/>
  <c r="K29" i="45"/>
  <c r="K28" i="45"/>
  <c r="L13" i="45"/>
  <c r="L12" i="45" s="1"/>
  <c r="L11" i="45" s="1"/>
  <c r="L41" i="45" s="1"/>
  <c r="L20" i="45"/>
  <c r="L25" i="45"/>
  <c r="L29" i="45"/>
  <c r="L28" i="45"/>
  <c r="M20" i="45"/>
  <c r="M25" i="45"/>
  <c r="M29" i="45"/>
  <c r="M28" i="45"/>
  <c r="N13" i="45"/>
  <c r="N12" i="45" s="1"/>
  <c r="N20" i="45"/>
  <c r="N25" i="45"/>
  <c r="N29" i="45"/>
  <c r="N28" i="45" s="1"/>
  <c r="O13" i="45"/>
  <c r="O20" i="45"/>
  <c r="O12" i="45"/>
  <c r="O11" i="45" s="1"/>
  <c r="O41" i="45" s="1"/>
  <c r="O25" i="45"/>
  <c r="O29" i="45"/>
  <c r="O28" i="45" s="1"/>
  <c r="P13" i="45"/>
  <c r="P20" i="45"/>
  <c r="P12" i="45"/>
  <c r="P11" i="45" s="1"/>
  <c r="P41" i="45" s="1"/>
  <c r="P25" i="45"/>
  <c r="P29" i="45"/>
  <c r="P28" i="45" s="1"/>
  <c r="Q20" i="45"/>
  <c r="Q25" i="45"/>
  <c r="Q29" i="45"/>
  <c r="Q28" i="45" s="1"/>
  <c r="R20" i="45"/>
  <c r="R25" i="45"/>
  <c r="R29" i="45"/>
  <c r="R28" i="45" s="1"/>
  <c r="I13" i="45"/>
  <c r="I20" i="45"/>
  <c r="I12" i="45"/>
  <c r="I25" i="45"/>
  <c r="I29" i="45"/>
  <c r="I28" i="45"/>
  <c r="S40" i="45"/>
  <c r="AG40" i="43"/>
  <c r="P30" i="43"/>
  <c r="X30" i="43"/>
  <c r="AN30" i="43" s="1"/>
  <c r="AF30" i="43"/>
  <c r="P31" i="43"/>
  <c r="X31" i="43"/>
  <c r="AF31" i="43"/>
  <c r="AM30" i="43"/>
  <c r="AM31" i="43"/>
  <c r="AL30" i="43"/>
  <c r="AL31" i="43"/>
  <c r="AK30" i="43"/>
  <c r="AK31" i="43"/>
  <c r="AJ30" i="43"/>
  <c r="AJ31" i="43"/>
  <c r="AJ32" i="43"/>
  <c r="AI30" i="43"/>
  <c r="AI31" i="43"/>
  <c r="AH30" i="43"/>
  <c r="AH31" i="43"/>
  <c r="AG30" i="43"/>
  <c r="AG31" i="43"/>
  <c r="Z29" i="43"/>
  <c r="AA29" i="43"/>
  <c r="AB29" i="43"/>
  <c r="AC29" i="43"/>
  <c r="AD29" i="43"/>
  <c r="AE29" i="43"/>
  <c r="Y29" i="43"/>
  <c r="R29" i="43"/>
  <c r="S29" i="43"/>
  <c r="T29" i="43"/>
  <c r="U29" i="43"/>
  <c r="V29" i="43"/>
  <c r="W29" i="43"/>
  <c r="Q29" i="43"/>
  <c r="J29" i="43"/>
  <c r="K29" i="43"/>
  <c r="L29" i="43"/>
  <c r="M29" i="43"/>
  <c r="N29" i="43"/>
  <c r="O29" i="43"/>
  <c r="I29" i="43"/>
  <c r="AL16" i="43"/>
  <c r="AH16" i="43"/>
  <c r="Z13" i="43"/>
  <c r="AC13" i="43"/>
  <c r="AD13" i="43"/>
  <c r="R13" i="43"/>
  <c r="S13" i="43"/>
  <c r="U13" i="43"/>
  <c r="V13" i="43"/>
  <c r="J13" i="43"/>
  <c r="K13" i="43"/>
  <c r="N13" i="43"/>
  <c r="O13" i="43"/>
  <c r="I13" i="43"/>
  <c r="S14" i="17"/>
  <c r="AD14" i="18"/>
  <c r="AD14" i="19"/>
  <c r="S15" i="16" s="1"/>
  <c r="AD14" i="30"/>
  <c r="S15" i="17"/>
  <c r="AD15" i="18"/>
  <c r="S16" i="16"/>
  <c r="AD15" i="19"/>
  <c r="AD15" i="30"/>
  <c r="AD16" i="19"/>
  <c r="R15" i="16"/>
  <c r="R16" i="16"/>
  <c r="Q15" i="16"/>
  <c r="Q16" i="16"/>
  <c r="P15" i="16"/>
  <c r="P16" i="16"/>
  <c r="P17" i="16"/>
  <c r="O15" i="16"/>
  <c r="O16" i="16"/>
  <c r="N15" i="16"/>
  <c r="N16" i="16"/>
  <c r="M15" i="16"/>
  <c r="M16" i="16"/>
  <c r="L15" i="16"/>
  <c r="L16" i="16"/>
  <c r="L17" i="16"/>
  <c r="K15" i="16"/>
  <c r="K16" i="16"/>
  <c r="J15" i="16"/>
  <c r="J16" i="16"/>
  <c r="I15" i="16"/>
  <c r="I16" i="16"/>
  <c r="AD14" i="37"/>
  <c r="AD14" i="38"/>
  <c r="AD14" i="39"/>
  <c r="AD14" i="36"/>
  <c r="AD15" i="37"/>
  <c r="AD15" i="38"/>
  <c r="AD15" i="39"/>
  <c r="AD15" i="36"/>
  <c r="AD16" i="36"/>
  <c r="AD16" i="39"/>
  <c r="R15" i="35"/>
  <c r="R16" i="35"/>
  <c r="Q15" i="35"/>
  <c r="Q16" i="35"/>
  <c r="P15" i="35"/>
  <c r="P16" i="35"/>
  <c r="O15" i="35"/>
  <c r="O16" i="35"/>
  <c r="N15" i="35"/>
  <c r="N16" i="35"/>
  <c r="M15" i="35"/>
  <c r="M16" i="35"/>
  <c r="L15" i="35"/>
  <c r="L16" i="35"/>
  <c r="K15" i="35"/>
  <c r="K16" i="35"/>
  <c r="J15" i="35"/>
  <c r="J16" i="35"/>
  <c r="I15" i="35"/>
  <c r="I16" i="35"/>
  <c r="AD30" i="30"/>
  <c r="AD31" i="30"/>
  <c r="AC30" i="30"/>
  <c r="AC31" i="30"/>
  <c r="J29" i="30"/>
  <c r="K29" i="30"/>
  <c r="L29" i="30"/>
  <c r="M29" i="30"/>
  <c r="N29" i="30"/>
  <c r="O29" i="30"/>
  <c r="P29" i="30"/>
  <c r="Q29" i="30"/>
  <c r="R29" i="30"/>
  <c r="S29" i="30"/>
  <c r="T29" i="30"/>
  <c r="U29" i="30"/>
  <c r="V29" i="30"/>
  <c r="W29" i="30"/>
  <c r="X29" i="30"/>
  <c r="Y29" i="30"/>
  <c r="Z29" i="30"/>
  <c r="AA29" i="30"/>
  <c r="AB29" i="30"/>
  <c r="I29" i="30"/>
  <c r="AC14" i="30"/>
  <c r="AC15" i="30"/>
  <c r="K13" i="30"/>
  <c r="L13" i="30"/>
  <c r="O13" i="30"/>
  <c r="P13" i="30"/>
  <c r="Q13" i="30"/>
  <c r="S13" i="30"/>
  <c r="T13" i="30"/>
  <c r="U13" i="30"/>
  <c r="W13" i="30"/>
  <c r="X13" i="30"/>
  <c r="AA13" i="30"/>
  <c r="AB13" i="30"/>
  <c r="AD30" i="19"/>
  <c r="AD31" i="19"/>
  <c r="AC30" i="19"/>
  <c r="AC31" i="19"/>
  <c r="J29" i="19"/>
  <c r="K29" i="19"/>
  <c r="L29" i="19"/>
  <c r="M29" i="19"/>
  <c r="N29" i="19"/>
  <c r="O29" i="19"/>
  <c r="P29" i="19"/>
  <c r="Q29" i="19"/>
  <c r="R29" i="19"/>
  <c r="S29" i="19"/>
  <c r="T29" i="19"/>
  <c r="U29" i="19"/>
  <c r="V29" i="19"/>
  <c r="W29" i="19"/>
  <c r="X29" i="19"/>
  <c r="Y29" i="19"/>
  <c r="Z29" i="19"/>
  <c r="AA29" i="19"/>
  <c r="AB29" i="19"/>
  <c r="I29" i="19"/>
  <c r="AC14" i="19"/>
  <c r="AC15" i="19"/>
  <c r="AC16" i="19"/>
  <c r="K13" i="19"/>
  <c r="L13" i="19"/>
  <c r="M13" i="19"/>
  <c r="O13" i="19"/>
  <c r="P13" i="19"/>
  <c r="Q13" i="19"/>
  <c r="S13" i="19"/>
  <c r="T13" i="19"/>
  <c r="U13" i="19"/>
  <c r="W13" i="19"/>
  <c r="X13" i="19"/>
  <c r="Y13" i="19"/>
  <c r="AA13" i="19"/>
  <c r="AB13" i="19"/>
  <c r="I13" i="19"/>
  <c r="AD30" i="18"/>
  <c r="AD31" i="18"/>
  <c r="AC30" i="18"/>
  <c r="AC31" i="18"/>
  <c r="J29" i="18"/>
  <c r="K29" i="18"/>
  <c r="L29" i="18"/>
  <c r="M29" i="18"/>
  <c r="N29" i="18"/>
  <c r="O29" i="18"/>
  <c r="P29" i="18"/>
  <c r="Q29" i="18"/>
  <c r="R29" i="18"/>
  <c r="S29" i="18"/>
  <c r="T29" i="18"/>
  <c r="U29" i="18"/>
  <c r="V29" i="18"/>
  <c r="W29" i="18"/>
  <c r="X29" i="18"/>
  <c r="Y29" i="18"/>
  <c r="Z29" i="18"/>
  <c r="AA29" i="18"/>
  <c r="AB29" i="18"/>
  <c r="I29" i="18"/>
  <c r="AC14" i="18"/>
  <c r="AC15" i="18"/>
  <c r="J13" i="18"/>
  <c r="K13" i="18"/>
  <c r="L13" i="18"/>
  <c r="N13" i="18"/>
  <c r="O13" i="18"/>
  <c r="P13" i="18"/>
  <c r="R13" i="18"/>
  <c r="S13" i="18"/>
  <c r="T13" i="18"/>
  <c r="V13" i="18"/>
  <c r="X13" i="18"/>
  <c r="Z13" i="18"/>
  <c r="AA13" i="18"/>
  <c r="AB13" i="18"/>
  <c r="J12" i="17"/>
  <c r="J20" i="17"/>
  <c r="J25" i="17"/>
  <c r="J29" i="17"/>
  <c r="J28" i="17"/>
  <c r="K13" i="17"/>
  <c r="K12" i="17" s="1"/>
  <c r="K20" i="17"/>
  <c r="K25" i="17"/>
  <c r="K29" i="17"/>
  <c r="K28" i="17" s="1"/>
  <c r="L13" i="17"/>
  <c r="L20" i="17"/>
  <c r="L12" i="17" s="1"/>
  <c r="L25" i="17"/>
  <c r="L29" i="17"/>
  <c r="L28" i="17"/>
  <c r="M13" i="17"/>
  <c r="M12" i="17" s="1"/>
  <c r="M20" i="17"/>
  <c r="M25" i="17"/>
  <c r="M29" i="17"/>
  <c r="M28" i="17" s="1"/>
  <c r="N20" i="17"/>
  <c r="N25" i="17"/>
  <c r="N29" i="17"/>
  <c r="N28" i="17"/>
  <c r="O13" i="17"/>
  <c r="O12" i="17" s="1"/>
  <c r="O20" i="17"/>
  <c r="O25" i="17"/>
  <c r="O29" i="17"/>
  <c r="O28" i="17" s="1"/>
  <c r="P13" i="17"/>
  <c r="P12" i="17"/>
  <c r="P20" i="17"/>
  <c r="P25" i="17"/>
  <c r="P29" i="17"/>
  <c r="P28" i="17"/>
  <c r="Q20" i="17"/>
  <c r="Q25" i="17"/>
  <c r="Q29" i="17"/>
  <c r="Q28" i="17"/>
  <c r="R13" i="17"/>
  <c r="R12" i="17" s="1"/>
  <c r="R20" i="17"/>
  <c r="R25" i="17"/>
  <c r="R29" i="17"/>
  <c r="R28" i="17" s="1"/>
  <c r="I13" i="17"/>
  <c r="I12" i="17"/>
  <c r="I20" i="17"/>
  <c r="I25" i="17"/>
  <c r="I29" i="17"/>
  <c r="I28" i="17"/>
  <c r="S30" i="17"/>
  <c r="S31" i="17"/>
  <c r="S30" i="16"/>
  <c r="S32" i="17"/>
  <c r="AD32" i="18"/>
  <c r="AD32" i="19"/>
  <c r="AD32" i="30"/>
  <c r="J36" i="18"/>
  <c r="J33" i="18" s="1"/>
  <c r="L36" i="18"/>
  <c r="N36" i="18"/>
  <c r="N33" i="18"/>
  <c r="P36" i="18"/>
  <c r="P33" i="18"/>
  <c r="R36" i="18"/>
  <c r="R33" i="18"/>
  <c r="T36" i="18"/>
  <c r="T33" i="18"/>
  <c r="V36" i="18"/>
  <c r="V33" i="18"/>
  <c r="X36" i="18"/>
  <c r="X33" i="18"/>
  <c r="Z36" i="18"/>
  <c r="Z33" i="18"/>
  <c r="J36" i="19"/>
  <c r="J33" i="19"/>
  <c r="L36" i="19"/>
  <c r="L33" i="19"/>
  <c r="AD33" i="19" s="1"/>
  <c r="N36" i="19"/>
  <c r="N33" i="19"/>
  <c r="P36" i="19"/>
  <c r="P33" i="19"/>
  <c r="R36" i="19"/>
  <c r="R33" i="19"/>
  <c r="T36" i="19"/>
  <c r="T33" i="19"/>
  <c r="V36" i="19"/>
  <c r="V33" i="19"/>
  <c r="X36" i="19"/>
  <c r="X33" i="19"/>
  <c r="Z36" i="19"/>
  <c r="Z33" i="19"/>
  <c r="J36" i="30"/>
  <c r="J33" i="30" s="1"/>
  <c r="L36" i="30"/>
  <c r="L33" i="30"/>
  <c r="N36" i="30"/>
  <c r="N33" i="30" s="1"/>
  <c r="P36" i="30"/>
  <c r="P33" i="30"/>
  <c r="R36" i="30"/>
  <c r="R33" i="30" s="1"/>
  <c r="T36" i="30"/>
  <c r="T33" i="30"/>
  <c r="V36" i="30"/>
  <c r="V33" i="30" s="1"/>
  <c r="X36" i="30"/>
  <c r="X33" i="30"/>
  <c r="Z36" i="30"/>
  <c r="Z33" i="30" s="1"/>
  <c r="AB36" i="18"/>
  <c r="AB36" i="19"/>
  <c r="AB33" i="19"/>
  <c r="AB36" i="30"/>
  <c r="AB33" i="30"/>
  <c r="AM30" i="40"/>
  <c r="AM31" i="40"/>
  <c r="AL30" i="40"/>
  <c r="AL31" i="40"/>
  <c r="AK30" i="40"/>
  <c r="AK31" i="40"/>
  <c r="AJ30" i="40"/>
  <c r="AJ31" i="40"/>
  <c r="AI30" i="40"/>
  <c r="AI31" i="40"/>
  <c r="AH30" i="40"/>
  <c r="AH31" i="40"/>
  <c r="AG30" i="40"/>
  <c r="AG31" i="40"/>
  <c r="AF30" i="40"/>
  <c r="AF31" i="40"/>
  <c r="Z29" i="40"/>
  <c r="AA29" i="40"/>
  <c r="AB29" i="40"/>
  <c r="AC29" i="40"/>
  <c r="AD29" i="40"/>
  <c r="AE29" i="40"/>
  <c r="Y29" i="40"/>
  <c r="X30" i="40"/>
  <c r="X31" i="40"/>
  <c r="R29" i="40"/>
  <c r="S29" i="40"/>
  <c r="T29" i="40"/>
  <c r="U29" i="40"/>
  <c r="V29" i="40"/>
  <c r="W29" i="40"/>
  <c r="Q29" i="40"/>
  <c r="P30" i="40"/>
  <c r="P31" i="40"/>
  <c r="J29" i="40"/>
  <c r="K29" i="40"/>
  <c r="L29" i="40"/>
  <c r="M29" i="40"/>
  <c r="N29" i="40"/>
  <c r="O29" i="40"/>
  <c r="I29" i="40"/>
  <c r="AM14" i="40"/>
  <c r="AM15" i="40"/>
  <c r="AL14" i="40"/>
  <c r="AL15" i="40"/>
  <c r="AL16" i="40"/>
  <c r="AK14" i="40"/>
  <c r="AK15" i="40"/>
  <c r="AJ14" i="40"/>
  <c r="AJ15" i="40"/>
  <c r="AJ16" i="40"/>
  <c r="AI14" i="40"/>
  <c r="AI15" i="40"/>
  <c r="AI16" i="40"/>
  <c r="AH14" i="40"/>
  <c r="AH15" i="40"/>
  <c r="AG14" i="40"/>
  <c r="AG15" i="40"/>
  <c r="AG16" i="40"/>
  <c r="AF14" i="40"/>
  <c r="AF15" i="40"/>
  <c r="Z13" i="40"/>
  <c r="AA13" i="40"/>
  <c r="AB13" i="40"/>
  <c r="AC13" i="40"/>
  <c r="AD13" i="40"/>
  <c r="AE13" i="40"/>
  <c r="Y13" i="40"/>
  <c r="X14" i="40"/>
  <c r="X15" i="40"/>
  <c r="AN15" i="40" s="1"/>
  <c r="S13" i="40"/>
  <c r="U13" i="40"/>
  <c r="W13" i="40"/>
  <c r="Q13" i="40"/>
  <c r="P14" i="40"/>
  <c r="P15" i="40"/>
  <c r="J13" i="40"/>
  <c r="M13" i="40"/>
  <c r="N13" i="40"/>
  <c r="I13" i="40"/>
  <c r="AD30" i="39"/>
  <c r="AD31" i="39"/>
  <c r="AC30" i="39"/>
  <c r="AC31" i="39"/>
  <c r="J29" i="39"/>
  <c r="K29" i="39"/>
  <c r="L29" i="39"/>
  <c r="M29" i="39"/>
  <c r="N29" i="39"/>
  <c r="O29" i="39"/>
  <c r="P29" i="39"/>
  <c r="Q29" i="39"/>
  <c r="R29" i="39"/>
  <c r="S29" i="39"/>
  <c r="T29" i="39"/>
  <c r="U29" i="39"/>
  <c r="V29" i="39"/>
  <c r="W29" i="39"/>
  <c r="X29" i="39"/>
  <c r="Y29" i="39"/>
  <c r="Z29" i="39"/>
  <c r="AA29" i="39"/>
  <c r="AB29" i="39"/>
  <c r="I29" i="39"/>
  <c r="AC14" i="39"/>
  <c r="AC15" i="39"/>
  <c r="AC16" i="39"/>
  <c r="J13" i="39"/>
  <c r="K13" i="39"/>
  <c r="M13" i="39"/>
  <c r="N13" i="39"/>
  <c r="O13" i="39"/>
  <c r="Q13" i="39"/>
  <c r="R13" i="39"/>
  <c r="S13" i="39"/>
  <c r="U13" i="39"/>
  <c r="V13" i="39"/>
  <c r="W13" i="39"/>
  <c r="Y13" i="39"/>
  <c r="Z13" i="39"/>
  <c r="AA13" i="39"/>
  <c r="I13" i="39"/>
  <c r="AD30" i="38"/>
  <c r="AD31" i="38"/>
  <c r="S30" i="35" s="1"/>
  <c r="AC30" i="38"/>
  <c r="AC31" i="38"/>
  <c r="J29" i="38"/>
  <c r="K29" i="38"/>
  <c r="L29" i="38"/>
  <c r="M29" i="38"/>
  <c r="N29" i="38"/>
  <c r="O29" i="38"/>
  <c r="P29" i="38"/>
  <c r="Q29" i="38"/>
  <c r="R29" i="38"/>
  <c r="S29" i="38"/>
  <c r="T29" i="38"/>
  <c r="U29" i="38"/>
  <c r="V29" i="38"/>
  <c r="W29" i="38"/>
  <c r="X29" i="38"/>
  <c r="Y29" i="38"/>
  <c r="Z29" i="38"/>
  <c r="AA29" i="38"/>
  <c r="AB29" i="38"/>
  <c r="R28" i="35"/>
  <c r="I29" i="38"/>
  <c r="AC14" i="38"/>
  <c r="AC15" i="38"/>
  <c r="AC16" i="38"/>
  <c r="K13" i="38"/>
  <c r="M13" i="38"/>
  <c r="P13" i="38"/>
  <c r="Q13" i="38"/>
  <c r="S13" i="38"/>
  <c r="T13" i="38"/>
  <c r="U13" i="38"/>
  <c r="W13" i="38"/>
  <c r="X13" i="38"/>
  <c r="Y13" i="38"/>
  <c r="AA13" i="38"/>
  <c r="I13" i="38"/>
  <c r="AD30" i="37"/>
  <c r="AD31" i="37"/>
  <c r="AC30" i="37"/>
  <c r="AC31" i="37"/>
  <c r="J29" i="37"/>
  <c r="K29" i="37"/>
  <c r="L29" i="37"/>
  <c r="M29" i="37"/>
  <c r="N29" i="37"/>
  <c r="O29" i="37"/>
  <c r="P29" i="37"/>
  <c r="Q29" i="37"/>
  <c r="R29" i="37"/>
  <c r="M28" i="35" s="1"/>
  <c r="S29" i="37"/>
  <c r="T29" i="37"/>
  <c r="U29" i="37"/>
  <c r="V29" i="37"/>
  <c r="O28" i="35" s="1"/>
  <c r="W29" i="37"/>
  <c r="X29" i="37"/>
  <c r="Y29" i="37"/>
  <c r="Z29" i="37"/>
  <c r="AA29" i="37"/>
  <c r="AB29" i="37"/>
  <c r="I29" i="37"/>
  <c r="AC14" i="37"/>
  <c r="AC15" i="37"/>
  <c r="J13" i="37"/>
  <c r="K13" i="37"/>
  <c r="M13" i="37"/>
  <c r="N13" i="37"/>
  <c r="O13" i="37"/>
  <c r="Q13" i="37"/>
  <c r="R13" i="37"/>
  <c r="S13" i="37"/>
  <c r="T13" i="37"/>
  <c r="U13" i="37"/>
  <c r="V13" i="37"/>
  <c r="W13" i="37"/>
  <c r="X13" i="37"/>
  <c r="Y13" i="37"/>
  <c r="Z13" i="37"/>
  <c r="AA13" i="37"/>
  <c r="AB13" i="37"/>
  <c r="I13" i="37"/>
  <c r="AD40" i="36"/>
  <c r="AD30" i="36"/>
  <c r="S29" i="35" s="1"/>
  <c r="AD31" i="36"/>
  <c r="K29" i="36"/>
  <c r="L29" i="36"/>
  <c r="J28" i="35" s="1"/>
  <c r="M29" i="36"/>
  <c r="N29" i="36"/>
  <c r="K28" i="35" s="1"/>
  <c r="O29" i="36"/>
  <c r="P29" i="36"/>
  <c r="Q29" i="36"/>
  <c r="R29" i="36"/>
  <c r="S29" i="36"/>
  <c r="T29" i="36"/>
  <c r="U29" i="36"/>
  <c r="V29" i="36"/>
  <c r="W29" i="36"/>
  <c r="X29" i="36"/>
  <c r="Y29" i="36"/>
  <c r="Z29" i="36"/>
  <c r="Q28" i="35"/>
  <c r="AA29" i="36"/>
  <c r="AB29" i="36"/>
  <c r="J29" i="36"/>
  <c r="K13" i="36"/>
  <c r="L13" i="36"/>
  <c r="M13" i="36"/>
  <c r="N13" i="36"/>
  <c r="O13" i="36"/>
  <c r="P13" i="36"/>
  <c r="Q13" i="36"/>
  <c r="R13" i="36"/>
  <c r="S13" i="36"/>
  <c r="T13" i="36"/>
  <c r="U13" i="36"/>
  <c r="V13" i="36"/>
  <c r="W13" i="36"/>
  <c r="X13" i="36"/>
  <c r="Y13" i="36"/>
  <c r="Z13" i="36"/>
  <c r="AA13" i="36"/>
  <c r="AB13" i="36"/>
  <c r="J13" i="36"/>
  <c r="AD32" i="36"/>
  <c r="AD32" i="37"/>
  <c r="AD32" i="38"/>
  <c r="AD32" i="39"/>
  <c r="J36" i="37"/>
  <c r="J33" i="37"/>
  <c r="L36" i="37"/>
  <c r="N36" i="37"/>
  <c r="N33" i="37"/>
  <c r="P36" i="37"/>
  <c r="P33" i="37"/>
  <c r="R36" i="37"/>
  <c r="R33" i="37"/>
  <c r="T36" i="37"/>
  <c r="T33" i="37"/>
  <c r="V36" i="37"/>
  <c r="V33" i="37"/>
  <c r="X36" i="37"/>
  <c r="X33" i="37"/>
  <c r="Z36" i="37"/>
  <c r="Z33" i="37"/>
  <c r="J36" i="38"/>
  <c r="J33" i="38"/>
  <c r="L36" i="38"/>
  <c r="L33" i="38"/>
  <c r="N36" i="38"/>
  <c r="N33" i="38"/>
  <c r="P36" i="38"/>
  <c r="P33" i="38"/>
  <c r="R36" i="38"/>
  <c r="R33" i="38"/>
  <c r="T36" i="38"/>
  <c r="T33" i="38"/>
  <c r="V36" i="38"/>
  <c r="V33" i="38"/>
  <c r="X36" i="38"/>
  <c r="X33" i="38"/>
  <c r="Z36" i="38"/>
  <c r="Z33" i="38"/>
  <c r="J36" i="39"/>
  <c r="J33" i="39"/>
  <c r="L36" i="39"/>
  <c r="L33" i="39"/>
  <c r="N36" i="39"/>
  <c r="N33" i="39"/>
  <c r="P36" i="39"/>
  <c r="P33" i="39"/>
  <c r="R36" i="39"/>
  <c r="R33" i="39"/>
  <c r="T36" i="39"/>
  <c r="T33" i="39"/>
  <c r="V36" i="39"/>
  <c r="X36" i="39"/>
  <c r="X33" i="39"/>
  <c r="Z36" i="39"/>
  <c r="Z33" i="39" s="1"/>
  <c r="AB36" i="37"/>
  <c r="AB33" i="37"/>
  <c r="AB36" i="38"/>
  <c r="AB33" i="38" s="1"/>
  <c r="AB36" i="39"/>
  <c r="AB33" i="39"/>
  <c r="AD19" i="36"/>
  <c r="J20" i="36"/>
  <c r="L20" i="36"/>
  <c r="N20" i="36"/>
  <c r="P20" i="36"/>
  <c r="R20" i="36"/>
  <c r="T20" i="36"/>
  <c r="V20" i="36"/>
  <c r="AD20" i="36" s="1"/>
  <c r="X20" i="36"/>
  <c r="Z20" i="36"/>
  <c r="AD21" i="36"/>
  <c r="AB20" i="36"/>
  <c r="P87" i="41"/>
  <c r="X87" i="41"/>
  <c r="AF87" i="41"/>
  <c r="AN87" i="41"/>
  <c r="AM87" i="41"/>
  <c r="AL87" i="41"/>
  <c r="AI87" i="41"/>
  <c r="AH87" i="41"/>
  <c r="AG87" i="41"/>
  <c r="P30" i="41"/>
  <c r="X30" i="41"/>
  <c r="AN30" i="41"/>
  <c r="AF30" i="41"/>
  <c r="P31" i="41"/>
  <c r="X31" i="41"/>
  <c r="AN31" i="41" s="1"/>
  <c r="AF31" i="41"/>
  <c r="AM30" i="41"/>
  <c r="AM31" i="41"/>
  <c r="AL30" i="41"/>
  <c r="AL31" i="41"/>
  <c r="AK30" i="41"/>
  <c r="AK31" i="41"/>
  <c r="AJ30" i="41"/>
  <c r="AJ31" i="41"/>
  <c r="AI30" i="41"/>
  <c r="AI31" i="41"/>
  <c r="AH30" i="41"/>
  <c r="AH31" i="41"/>
  <c r="AG30" i="41"/>
  <c r="AG31" i="41"/>
  <c r="Z29" i="41"/>
  <c r="AA29" i="41"/>
  <c r="AB29" i="41"/>
  <c r="AC29" i="41"/>
  <c r="AD29" i="41"/>
  <c r="AE29" i="41"/>
  <c r="Y29" i="41"/>
  <c r="R29" i="41"/>
  <c r="S29" i="41"/>
  <c r="T29" i="41"/>
  <c r="U29" i="41"/>
  <c r="V29" i="41"/>
  <c r="W29" i="41"/>
  <c r="Q29" i="41"/>
  <c r="J29" i="41"/>
  <c r="K29" i="41"/>
  <c r="L29" i="41"/>
  <c r="M29" i="41"/>
  <c r="N29" i="41"/>
  <c r="O29" i="41"/>
  <c r="I29" i="41"/>
  <c r="P14" i="41"/>
  <c r="X14" i="41"/>
  <c r="AF14" i="41"/>
  <c r="AN14" i="41" s="1"/>
  <c r="P15" i="41"/>
  <c r="X15" i="41"/>
  <c r="AF15" i="41"/>
  <c r="AN15" i="41" s="1"/>
  <c r="AF16" i="41"/>
  <c r="AM14" i="41"/>
  <c r="AM15" i="41"/>
  <c r="AM16" i="41"/>
  <c r="AL14" i="41"/>
  <c r="AL15" i="41"/>
  <c r="AK14" i="41"/>
  <c r="AK15" i="41"/>
  <c r="AK16" i="41"/>
  <c r="AJ14" i="41"/>
  <c r="AJ15" i="41"/>
  <c r="AJ16" i="41"/>
  <c r="AI14" i="41"/>
  <c r="AI15" i="41"/>
  <c r="AI16" i="41"/>
  <c r="AH14" i="41"/>
  <c r="AH15" i="41"/>
  <c r="AG14" i="41"/>
  <c r="AG15" i="41"/>
  <c r="AA13" i="41"/>
  <c r="AB13" i="41"/>
  <c r="AC13" i="41"/>
  <c r="AE13" i="41"/>
  <c r="Y13" i="41"/>
  <c r="R13" i="41"/>
  <c r="T13" i="41"/>
  <c r="U13" i="41"/>
  <c r="V13" i="41"/>
  <c r="Q13" i="41"/>
  <c r="J13" i="41"/>
  <c r="K13" i="41"/>
  <c r="M13" i="41"/>
  <c r="N13" i="41"/>
  <c r="O13" i="41"/>
  <c r="P78" i="4"/>
  <c r="P79" i="4"/>
  <c r="P86" i="4"/>
  <c r="P30" i="4"/>
  <c r="P31" i="4"/>
  <c r="P14" i="4"/>
  <c r="P15" i="4"/>
  <c r="J29" i="4"/>
  <c r="K29" i="4"/>
  <c r="L29" i="4"/>
  <c r="M29" i="4"/>
  <c r="N29" i="4"/>
  <c r="O29" i="4"/>
  <c r="I29" i="4"/>
  <c r="J13" i="4"/>
  <c r="K13" i="4"/>
  <c r="L13" i="4"/>
  <c r="N13" i="4"/>
  <c r="O13" i="4"/>
  <c r="I13" i="4"/>
  <c r="P59" i="49"/>
  <c r="X59" i="49"/>
  <c r="AF59" i="49"/>
  <c r="AN59" i="49"/>
  <c r="AV59" i="49"/>
  <c r="P60" i="49"/>
  <c r="X60" i="49"/>
  <c r="AF60" i="49"/>
  <c r="AN60" i="49"/>
  <c r="AV60" i="49"/>
  <c r="AW60" i="49"/>
  <c r="AP58" i="49"/>
  <c r="AQ58" i="49"/>
  <c r="AR58" i="49"/>
  <c r="AS58" i="49"/>
  <c r="AT58" i="49"/>
  <c r="AU58" i="49"/>
  <c r="AO58" i="49"/>
  <c r="AH58" i="49"/>
  <c r="AI58" i="49"/>
  <c r="AJ58" i="49"/>
  <c r="AK58" i="49"/>
  <c r="AL58" i="49"/>
  <c r="AM58" i="49"/>
  <c r="AG58" i="49"/>
  <c r="Z58" i="49"/>
  <c r="AA58" i="49"/>
  <c r="AB58" i="49"/>
  <c r="AC58" i="49"/>
  <c r="AD58" i="49"/>
  <c r="AE58" i="49"/>
  <c r="AE57" i="49" s="1"/>
  <c r="Y58" i="49"/>
  <c r="R58" i="49"/>
  <c r="S58" i="49"/>
  <c r="T58" i="49"/>
  <c r="U58" i="49"/>
  <c r="V58" i="49"/>
  <c r="W58" i="49"/>
  <c r="Q58" i="49"/>
  <c r="J58" i="49"/>
  <c r="K58" i="49"/>
  <c r="L58" i="49"/>
  <c r="M58" i="49"/>
  <c r="N58" i="49"/>
  <c r="O58" i="49"/>
  <c r="I58" i="49"/>
  <c r="P24" i="49"/>
  <c r="X24" i="49"/>
  <c r="AF24" i="49"/>
  <c r="AN24" i="49"/>
  <c r="AV24" i="49"/>
  <c r="P25" i="49"/>
  <c r="X25" i="49"/>
  <c r="AW25" i="49"/>
  <c r="AF25" i="49"/>
  <c r="AN25" i="49"/>
  <c r="AV25" i="49"/>
  <c r="AP23" i="49"/>
  <c r="AQ23" i="49"/>
  <c r="AR23" i="49"/>
  <c r="AS23" i="49"/>
  <c r="AT23" i="49"/>
  <c r="AU23" i="49"/>
  <c r="AO23" i="49"/>
  <c r="AH23" i="49"/>
  <c r="AI23" i="49"/>
  <c r="AJ23" i="49"/>
  <c r="AK23" i="49"/>
  <c r="AL23" i="49"/>
  <c r="AM23" i="49"/>
  <c r="AG23" i="49"/>
  <c r="Z23" i="49"/>
  <c r="AA23" i="49"/>
  <c r="AB23" i="49"/>
  <c r="AC23" i="49"/>
  <c r="AD23" i="49"/>
  <c r="AE23" i="49"/>
  <c r="Y23" i="49"/>
  <c r="R23" i="49"/>
  <c r="S23" i="49"/>
  <c r="T23" i="49"/>
  <c r="U23" i="49"/>
  <c r="V23" i="49"/>
  <c r="W23" i="49"/>
  <c r="Q23" i="49"/>
  <c r="J23" i="49"/>
  <c r="K23" i="49"/>
  <c r="L23" i="49"/>
  <c r="M23" i="49"/>
  <c r="N23" i="49"/>
  <c r="O23" i="49"/>
  <c r="I23" i="49"/>
  <c r="J29" i="33"/>
  <c r="K29" i="33"/>
  <c r="L29" i="33"/>
  <c r="M29" i="33"/>
  <c r="N29" i="33"/>
  <c r="O29" i="33"/>
  <c r="O28" i="33" s="1"/>
  <c r="I29" i="33"/>
  <c r="J13" i="33"/>
  <c r="K13" i="33"/>
  <c r="L13" i="33"/>
  <c r="M13" i="33"/>
  <c r="N13" i="33"/>
  <c r="O13" i="33"/>
  <c r="I13" i="33"/>
  <c r="AB89" i="1"/>
  <c r="AB88" i="1"/>
  <c r="AC89" i="1"/>
  <c r="AC88" i="1" s="1"/>
  <c r="AD89" i="1"/>
  <c r="AD88" i="1"/>
  <c r="AE89" i="1"/>
  <c r="AE88" i="1" s="1"/>
  <c r="AF93" i="1"/>
  <c r="AF94" i="1"/>
  <c r="X93" i="1"/>
  <c r="X94" i="1"/>
  <c r="T89" i="1"/>
  <c r="T88" i="1" s="1"/>
  <c r="U89" i="1"/>
  <c r="U88" i="1" s="1"/>
  <c r="V89" i="1"/>
  <c r="V88" i="1" s="1"/>
  <c r="W89" i="1"/>
  <c r="W88" i="1" s="1"/>
  <c r="Q89" i="1"/>
  <c r="J89" i="1"/>
  <c r="J88" i="1" s="1"/>
  <c r="K89" i="1"/>
  <c r="K88" i="1" s="1"/>
  <c r="P88" i="1" s="1"/>
  <c r="L89" i="1"/>
  <c r="L88" i="1" s="1"/>
  <c r="M89" i="1"/>
  <c r="M88" i="1" s="1"/>
  <c r="N89" i="1"/>
  <c r="N88" i="1" s="1"/>
  <c r="O89" i="1"/>
  <c r="O88" i="1" s="1"/>
  <c r="P93" i="1"/>
  <c r="P94" i="1"/>
  <c r="Y52" i="1"/>
  <c r="Y49" i="1"/>
  <c r="Y48" i="1"/>
  <c r="Y45" i="1"/>
  <c r="Y42" i="1"/>
  <c r="Y41" i="1" s="1"/>
  <c r="Y34" i="1"/>
  <c r="AF34" i="1" s="1"/>
  <c r="Y28" i="1"/>
  <c r="AB28" i="1"/>
  <c r="AB27" i="1"/>
  <c r="AB34" i="1"/>
  <c r="AC28" i="1"/>
  <c r="AC27" i="1" s="1"/>
  <c r="AC34" i="1"/>
  <c r="AD28" i="1"/>
  <c r="AD34" i="1"/>
  <c r="AE28" i="1"/>
  <c r="AE34" i="1"/>
  <c r="AE27" i="1" s="1"/>
  <c r="Q100" i="1"/>
  <c r="Q103" i="1"/>
  <c r="Q52" i="1"/>
  <c r="Q49" i="1"/>
  <c r="Q45" i="1"/>
  <c r="Q42" i="1"/>
  <c r="Q41" i="1"/>
  <c r="Q34" i="1"/>
  <c r="T28" i="1"/>
  <c r="T34" i="1"/>
  <c r="T27" i="1"/>
  <c r="U28" i="1"/>
  <c r="U34" i="1"/>
  <c r="U27" i="1"/>
  <c r="V28" i="1"/>
  <c r="V27" i="1" s="1"/>
  <c r="V34" i="1"/>
  <c r="W28" i="1"/>
  <c r="W27" i="1" s="1"/>
  <c r="W34" i="1"/>
  <c r="J28" i="1"/>
  <c r="J34" i="1"/>
  <c r="J27" i="1" s="1"/>
  <c r="K28" i="1"/>
  <c r="K34" i="1"/>
  <c r="K27" i="1"/>
  <c r="L28" i="1"/>
  <c r="L34" i="1"/>
  <c r="M28" i="1"/>
  <c r="M27" i="1" s="1"/>
  <c r="M34" i="1"/>
  <c r="N28" i="1"/>
  <c r="N27" i="1" s="1"/>
  <c r="N34" i="1"/>
  <c r="O28" i="1"/>
  <c r="O34" i="1"/>
  <c r="P79" i="33"/>
  <c r="P30" i="33"/>
  <c r="P31" i="33"/>
  <c r="P14" i="33"/>
  <c r="P15" i="33"/>
  <c r="P16" i="33"/>
  <c r="I20" i="33"/>
  <c r="I25" i="33"/>
  <c r="I28" i="33"/>
  <c r="J20" i="33"/>
  <c r="J12" i="33" s="1"/>
  <c r="J11" i="33" s="1"/>
  <c r="J41" i="33" s="1"/>
  <c r="J25" i="33"/>
  <c r="J28" i="33"/>
  <c r="K20" i="33"/>
  <c r="K12" i="33" s="1"/>
  <c r="K25" i="33"/>
  <c r="L20" i="33"/>
  <c r="L25" i="33"/>
  <c r="L28" i="33"/>
  <c r="M20" i="33"/>
  <c r="M12" i="33" s="1"/>
  <c r="M11" i="33" s="1"/>
  <c r="M25" i="33"/>
  <c r="M28" i="33"/>
  <c r="N20" i="33"/>
  <c r="N25" i="33"/>
  <c r="N28" i="33"/>
  <c r="O20" i="33"/>
  <c r="O12" i="33" s="1"/>
  <c r="O11" i="33" s="1"/>
  <c r="O25" i="33"/>
  <c r="C19" i="33"/>
  <c r="C20" i="33" s="1"/>
  <c r="P19" i="33"/>
  <c r="P21" i="33"/>
  <c r="P22" i="33"/>
  <c r="P23" i="33"/>
  <c r="P24" i="33"/>
  <c r="P26" i="33"/>
  <c r="C27" i="33"/>
  <c r="P27" i="33"/>
  <c r="C32" i="33"/>
  <c r="P32" i="33"/>
  <c r="J36" i="33"/>
  <c r="J33" i="33" s="1"/>
  <c r="K36" i="33"/>
  <c r="K33" i="33" s="1"/>
  <c r="L36" i="33"/>
  <c r="L33" i="33" s="1"/>
  <c r="M36" i="33"/>
  <c r="M33" i="33" s="1"/>
  <c r="N36" i="33"/>
  <c r="N33" i="33" s="1"/>
  <c r="O36" i="33"/>
  <c r="O33" i="33" s="1"/>
  <c r="P34" i="33"/>
  <c r="P35" i="33"/>
  <c r="P37" i="33"/>
  <c r="C38" i="33"/>
  <c r="P38" i="33"/>
  <c r="P39" i="33"/>
  <c r="P40" i="33"/>
  <c r="I44" i="33"/>
  <c r="I47" i="33"/>
  <c r="I50" i="33"/>
  <c r="P50" i="33"/>
  <c r="J44" i="33"/>
  <c r="J47" i="33"/>
  <c r="J50" i="33"/>
  <c r="K44" i="33"/>
  <c r="K47" i="33"/>
  <c r="K50" i="33"/>
  <c r="N44" i="33"/>
  <c r="N43" i="33"/>
  <c r="N56" i="33" s="1"/>
  <c r="N47" i="33"/>
  <c r="N50" i="33"/>
  <c r="O44" i="33"/>
  <c r="O43" i="33" s="1"/>
  <c r="O47" i="33"/>
  <c r="O50" i="33"/>
  <c r="O56" i="33"/>
  <c r="P45" i="33"/>
  <c r="P46" i="33"/>
  <c r="P48" i="33"/>
  <c r="P49" i="33"/>
  <c r="P51" i="33"/>
  <c r="P52" i="33"/>
  <c r="J53" i="33"/>
  <c r="K53" i="33"/>
  <c r="P53" i="33" s="1"/>
  <c r="N53" i="33"/>
  <c r="O53" i="33"/>
  <c r="P54" i="33"/>
  <c r="P55" i="33"/>
  <c r="P59" i="33"/>
  <c r="P60" i="33"/>
  <c r="P62" i="33"/>
  <c r="P64" i="33"/>
  <c r="P65" i="33"/>
  <c r="P66" i="33"/>
  <c r="I70" i="33"/>
  <c r="J70" i="33"/>
  <c r="J67" i="33" s="1"/>
  <c r="K70" i="33"/>
  <c r="K67" i="33" s="1"/>
  <c r="L70" i="33"/>
  <c r="L67" i="33"/>
  <c r="M70" i="33"/>
  <c r="M67" i="33" s="1"/>
  <c r="N70" i="33"/>
  <c r="N67" i="33"/>
  <c r="O70" i="33"/>
  <c r="O67" i="33" s="1"/>
  <c r="P68" i="33"/>
  <c r="P69" i="33"/>
  <c r="P71" i="33"/>
  <c r="P72" i="33"/>
  <c r="I73" i="33"/>
  <c r="P73" i="33" s="1"/>
  <c r="J73" i="33"/>
  <c r="K73" i="33"/>
  <c r="L73" i="33"/>
  <c r="M73" i="33"/>
  <c r="N73" i="33"/>
  <c r="O73" i="33"/>
  <c r="P74" i="33"/>
  <c r="P75" i="33"/>
  <c r="P76" i="33"/>
  <c r="P77" i="33"/>
  <c r="P64" i="34"/>
  <c r="P59" i="34"/>
  <c r="P54" i="34"/>
  <c r="P43" i="34"/>
  <c r="P38" i="34"/>
  <c r="P33" i="34"/>
  <c r="P23" i="34"/>
  <c r="P17" i="34"/>
  <c r="I34" i="34"/>
  <c r="I12" i="34"/>
  <c r="P12" i="34" s="1"/>
  <c r="J12" i="34"/>
  <c r="J29" i="34"/>
  <c r="J34" i="34"/>
  <c r="J39" i="34"/>
  <c r="K12" i="34"/>
  <c r="K29" i="34"/>
  <c r="K34" i="34"/>
  <c r="K39" i="34"/>
  <c r="L12" i="34"/>
  <c r="L29" i="34"/>
  <c r="L34" i="34"/>
  <c r="L39" i="34"/>
  <c r="M12" i="34"/>
  <c r="M29" i="34"/>
  <c r="M34" i="34"/>
  <c r="M39" i="34"/>
  <c r="N12" i="34"/>
  <c r="N29" i="34"/>
  <c r="N34" i="34"/>
  <c r="N39" i="34"/>
  <c r="O12" i="34"/>
  <c r="O29" i="34"/>
  <c r="O34" i="34"/>
  <c r="O39" i="34"/>
  <c r="P13" i="34"/>
  <c r="C14" i="34"/>
  <c r="C15" i="34"/>
  <c r="C16" i="34"/>
  <c r="C17" i="34" s="1"/>
  <c r="P14" i="34"/>
  <c r="P15" i="34"/>
  <c r="P16" i="34"/>
  <c r="P18" i="34"/>
  <c r="P19" i="34"/>
  <c r="C20" i="34"/>
  <c r="P20" i="34"/>
  <c r="C21" i="34"/>
  <c r="C22" i="34" s="1"/>
  <c r="C23" i="34" s="1"/>
  <c r="P21" i="34"/>
  <c r="P22" i="34"/>
  <c r="P29" i="34"/>
  <c r="P30" i="34"/>
  <c r="C31" i="34"/>
  <c r="C32" i="34" s="1"/>
  <c r="C33" i="34" s="1"/>
  <c r="P31" i="34"/>
  <c r="P32" i="34"/>
  <c r="P35" i="34"/>
  <c r="C36" i="34"/>
  <c r="P36" i="34"/>
  <c r="C37" i="34"/>
  <c r="C38" i="34" s="1"/>
  <c r="P37" i="34"/>
  <c r="P40" i="34"/>
  <c r="C41" i="34"/>
  <c r="C42" i="34" s="1"/>
  <c r="C43" i="34" s="1"/>
  <c r="P41" i="34"/>
  <c r="P42" i="34"/>
  <c r="J45" i="34"/>
  <c r="J50" i="34"/>
  <c r="J60" i="34"/>
  <c r="K45" i="34"/>
  <c r="K50" i="34"/>
  <c r="K55" i="34"/>
  <c r="P55" i="34" s="1"/>
  <c r="K60" i="34"/>
  <c r="L45" i="34"/>
  <c r="L44" i="34" s="1"/>
  <c r="L50" i="34"/>
  <c r="L55" i="34"/>
  <c r="L60" i="34"/>
  <c r="M45" i="34"/>
  <c r="M50" i="34"/>
  <c r="P50" i="34" s="1"/>
  <c r="M55" i="34"/>
  <c r="M60" i="34"/>
  <c r="N45" i="34"/>
  <c r="N50" i="34"/>
  <c r="N55" i="34"/>
  <c r="N60" i="34"/>
  <c r="O45" i="34"/>
  <c r="O50" i="34"/>
  <c r="O55" i="34"/>
  <c r="O60" i="34"/>
  <c r="O44" i="34" s="1"/>
  <c r="P46" i="34"/>
  <c r="P47" i="34"/>
  <c r="C48" i="34"/>
  <c r="C49" i="34" s="1"/>
  <c r="P48" i="34"/>
  <c r="P49" i="34"/>
  <c r="P51" i="34"/>
  <c r="C52" i="34"/>
  <c r="C53" i="34" s="1"/>
  <c r="C54" i="34" s="1"/>
  <c r="P52" i="34"/>
  <c r="P53" i="34"/>
  <c r="P56" i="34"/>
  <c r="C57" i="34"/>
  <c r="C58" i="34" s="1"/>
  <c r="C59" i="34" s="1"/>
  <c r="P57" i="34"/>
  <c r="P58" i="34"/>
  <c r="P61" i="34"/>
  <c r="C62" i="34"/>
  <c r="P62" i="34"/>
  <c r="C63" i="34"/>
  <c r="C64" i="34" s="1"/>
  <c r="P63" i="34"/>
  <c r="AE76" i="1"/>
  <c r="AD76" i="1"/>
  <c r="AC76" i="1"/>
  <c r="AB76" i="1"/>
  <c r="AA76" i="1"/>
  <c r="AF76" i="1" s="1"/>
  <c r="Z76" i="1"/>
  <c r="Y76" i="1"/>
  <c r="W76" i="1"/>
  <c r="V76" i="1"/>
  <c r="U76" i="1"/>
  <c r="T76" i="1"/>
  <c r="S76" i="1"/>
  <c r="R76" i="1"/>
  <c r="Q76" i="1"/>
  <c r="O76" i="1"/>
  <c r="N76" i="1"/>
  <c r="M76" i="1"/>
  <c r="L76" i="1"/>
  <c r="K76" i="1"/>
  <c r="J76" i="1"/>
  <c r="I76" i="1"/>
  <c r="Y12" i="1"/>
  <c r="Y15" i="1"/>
  <c r="Y20" i="1"/>
  <c r="AF20" i="1" s="1"/>
  <c r="Y23" i="1"/>
  <c r="Y59" i="1"/>
  <c r="Y62" i="1"/>
  <c r="Y66" i="1"/>
  <c r="Y70" i="1"/>
  <c r="Y79" i="1"/>
  <c r="Y78" i="1"/>
  <c r="Y84" i="1"/>
  <c r="Y110" i="1"/>
  <c r="Y106" i="1"/>
  <c r="Y114" i="1"/>
  <c r="Y113" i="1" s="1"/>
  <c r="Y118" i="1"/>
  <c r="AA12" i="1"/>
  <c r="AA15" i="1"/>
  <c r="AA14" i="1" s="1"/>
  <c r="AA20" i="1"/>
  <c r="AA23" i="1"/>
  <c r="AA11" i="1" s="1"/>
  <c r="AA59" i="1"/>
  <c r="AA55" i="1" s="1"/>
  <c r="AA62" i="1"/>
  <c r="AA66" i="1"/>
  <c r="AA70" i="1"/>
  <c r="AA79" i="1"/>
  <c r="AA78" i="1"/>
  <c r="AA84" i="1"/>
  <c r="AA110" i="1"/>
  <c r="AA106" i="1"/>
  <c r="AA114" i="1"/>
  <c r="AA118" i="1"/>
  <c r="AC12" i="1"/>
  <c r="AC15" i="1"/>
  <c r="AC14" i="1"/>
  <c r="AC20" i="1"/>
  <c r="AC23" i="1"/>
  <c r="AC42" i="1"/>
  <c r="AC45" i="1"/>
  <c r="AC49" i="1"/>
  <c r="AC52" i="1"/>
  <c r="AC59" i="1"/>
  <c r="AC55" i="1" s="1"/>
  <c r="AC62" i="1"/>
  <c r="AC66" i="1"/>
  <c r="AC65" i="1" s="1"/>
  <c r="AC70" i="1"/>
  <c r="AC79" i="1"/>
  <c r="AC78" i="1"/>
  <c r="AC75" i="1" s="1"/>
  <c r="AC84" i="1"/>
  <c r="AC95" i="1"/>
  <c r="AC100" i="1"/>
  <c r="AC103" i="1"/>
  <c r="AC110" i="1"/>
  <c r="AC106" i="1"/>
  <c r="AC114" i="1"/>
  <c r="AC113" i="1" s="1"/>
  <c r="AC118" i="1"/>
  <c r="AE12" i="1"/>
  <c r="AF12" i="1" s="1"/>
  <c r="AE15" i="1"/>
  <c r="AE14" i="1" s="1"/>
  <c r="AE20" i="1"/>
  <c r="AE23" i="1"/>
  <c r="AE42" i="1"/>
  <c r="AE41" i="1" s="1"/>
  <c r="AE26" i="1" s="1"/>
  <c r="AE45" i="1"/>
  <c r="AE49" i="1"/>
  <c r="AE48" i="1" s="1"/>
  <c r="AE52" i="1"/>
  <c r="AE59" i="1"/>
  <c r="AE55" i="1" s="1"/>
  <c r="AE62" i="1"/>
  <c r="AE66" i="1"/>
  <c r="AE65" i="1"/>
  <c r="AE70" i="1"/>
  <c r="AE79" i="1"/>
  <c r="AE78" i="1" s="1"/>
  <c r="AE84" i="1"/>
  <c r="AE95" i="1"/>
  <c r="AE100" i="1"/>
  <c r="AE99" i="1" s="1"/>
  <c r="AE103" i="1"/>
  <c r="AF103" i="1" s="1"/>
  <c r="AE110" i="1"/>
  <c r="AE106" i="1" s="1"/>
  <c r="AE114" i="1"/>
  <c r="AE118" i="1"/>
  <c r="AF121" i="1"/>
  <c r="AF120" i="1"/>
  <c r="AF119" i="1"/>
  <c r="AF117" i="1"/>
  <c r="AF116" i="1"/>
  <c r="AF115" i="1"/>
  <c r="AF112" i="1"/>
  <c r="AF111" i="1"/>
  <c r="AF109" i="1"/>
  <c r="AF108" i="1"/>
  <c r="AF107" i="1"/>
  <c r="AF105" i="1"/>
  <c r="AF104" i="1"/>
  <c r="AF102" i="1"/>
  <c r="AF101" i="1"/>
  <c r="AF98" i="1"/>
  <c r="AF97" i="1"/>
  <c r="AF96" i="1"/>
  <c r="AF95" i="1"/>
  <c r="AF91" i="1"/>
  <c r="AF90" i="1"/>
  <c r="AF89" i="1"/>
  <c r="AF88" i="1"/>
  <c r="AF86" i="1"/>
  <c r="AF85" i="1"/>
  <c r="AF83" i="1"/>
  <c r="AF82" i="1"/>
  <c r="AF81" i="1"/>
  <c r="AF80" i="1"/>
  <c r="AF79" i="1"/>
  <c r="AF77" i="1"/>
  <c r="AF73" i="1"/>
  <c r="AF72" i="1"/>
  <c r="AF71" i="1"/>
  <c r="AF69" i="1"/>
  <c r="AF68" i="1"/>
  <c r="AF67" i="1"/>
  <c r="AF64" i="1"/>
  <c r="AF63" i="1"/>
  <c r="AF61" i="1"/>
  <c r="AF60" i="1"/>
  <c r="AF59" i="1"/>
  <c r="AF58" i="1"/>
  <c r="AF57" i="1"/>
  <c r="AF56" i="1"/>
  <c r="AF54" i="1"/>
  <c r="AF53" i="1"/>
  <c r="AF52" i="1"/>
  <c r="AF51" i="1"/>
  <c r="AF50" i="1"/>
  <c r="AF47" i="1"/>
  <c r="AF46" i="1"/>
  <c r="AF44" i="1"/>
  <c r="AF43" i="1"/>
  <c r="AF42" i="1"/>
  <c r="AF40" i="1"/>
  <c r="AF39" i="1"/>
  <c r="AF38" i="1"/>
  <c r="AF37" i="1"/>
  <c r="AF36" i="1"/>
  <c r="AF35" i="1"/>
  <c r="AF30" i="1"/>
  <c r="AF29" i="1"/>
  <c r="AF28" i="1"/>
  <c r="AF25" i="1"/>
  <c r="AF24" i="1"/>
  <c r="AF22" i="1"/>
  <c r="AF21" i="1"/>
  <c r="AF19" i="1"/>
  <c r="AF18" i="1"/>
  <c r="AF17" i="1"/>
  <c r="AF16" i="1"/>
  <c r="AF13" i="1"/>
  <c r="Q12" i="1"/>
  <c r="Q15" i="1"/>
  <c r="Q20" i="1"/>
  <c r="X20" i="1" s="1"/>
  <c r="Q23" i="1"/>
  <c r="Q59" i="1"/>
  <c r="X59" i="1" s="1"/>
  <c r="Q62" i="1"/>
  <c r="Q66" i="1"/>
  <c r="Q70" i="1"/>
  <c r="Q65" i="1"/>
  <c r="Q79" i="1"/>
  <c r="Q84" i="1"/>
  <c r="Q110" i="1"/>
  <c r="Q114" i="1"/>
  <c r="Q113" i="1" s="1"/>
  <c r="Q118" i="1"/>
  <c r="X118" i="1" s="1"/>
  <c r="S12" i="1"/>
  <c r="S15" i="1"/>
  <c r="S14" i="1" s="1"/>
  <c r="S11" i="1" s="1"/>
  <c r="S20" i="1"/>
  <c r="S23" i="1"/>
  <c r="X23" i="1" s="1"/>
  <c r="S59" i="1"/>
  <c r="S62" i="1"/>
  <c r="S55" i="1"/>
  <c r="S66" i="1"/>
  <c r="S70" i="1"/>
  <c r="S79" i="1"/>
  <c r="S78" i="1"/>
  <c r="S84" i="1"/>
  <c r="S110" i="1"/>
  <c r="S106" i="1"/>
  <c r="S114" i="1"/>
  <c r="S113" i="1" s="1"/>
  <c r="S118" i="1"/>
  <c r="U12" i="1"/>
  <c r="U15" i="1"/>
  <c r="U14" i="1" s="1"/>
  <c r="U11" i="1" s="1"/>
  <c r="U20" i="1"/>
  <c r="U23" i="1"/>
  <c r="U42" i="1"/>
  <c r="U41" i="1"/>
  <c r="U45" i="1"/>
  <c r="X45" i="1" s="1"/>
  <c r="U49" i="1"/>
  <c r="U52" i="1"/>
  <c r="U48" i="1" s="1"/>
  <c r="U59" i="1"/>
  <c r="U62" i="1"/>
  <c r="U55" i="1"/>
  <c r="U66" i="1"/>
  <c r="U70" i="1"/>
  <c r="U65" i="1"/>
  <c r="U79" i="1"/>
  <c r="U78" i="1" s="1"/>
  <c r="U84" i="1"/>
  <c r="U100" i="1"/>
  <c r="U99" i="1" s="1"/>
  <c r="U103" i="1"/>
  <c r="U110" i="1"/>
  <c r="U106" i="1"/>
  <c r="U114" i="1"/>
  <c r="U113" i="1" s="1"/>
  <c r="U118" i="1"/>
  <c r="W12" i="1"/>
  <c r="W15" i="1"/>
  <c r="W14" i="1" s="1"/>
  <c r="W20" i="1"/>
  <c r="W23" i="1"/>
  <c r="W42" i="1"/>
  <c r="W41" i="1" s="1"/>
  <c r="W45" i="1"/>
  <c r="W49" i="1"/>
  <c r="W48" i="1" s="1"/>
  <c r="W52" i="1"/>
  <c r="W59" i="1"/>
  <c r="W62" i="1"/>
  <c r="W55" i="1" s="1"/>
  <c r="W66" i="1"/>
  <c r="W65" i="1" s="1"/>
  <c r="W70" i="1"/>
  <c r="X70" i="1" s="1"/>
  <c r="W79" i="1"/>
  <c r="W78" i="1" s="1"/>
  <c r="W84" i="1"/>
  <c r="X84" i="1" s="1"/>
  <c r="W100" i="1"/>
  <c r="W99" i="1" s="1"/>
  <c r="W103" i="1"/>
  <c r="W110" i="1"/>
  <c r="W106" i="1" s="1"/>
  <c r="W114" i="1"/>
  <c r="W118" i="1"/>
  <c r="X121" i="1"/>
  <c r="X120" i="1"/>
  <c r="X119" i="1"/>
  <c r="X117" i="1"/>
  <c r="X116" i="1"/>
  <c r="X115" i="1"/>
  <c r="X112" i="1"/>
  <c r="X111" i="1"/>
  <c r="X109" i="1"/>
  <c r="X108" i="1"/>
  <c r="X107" i="1"/>
  <c r="X105" i="1"/>
  <c r="X104" i="1"/>
  <c r="X102" i="1"/>
  <c r="X101" i="1"/>
  <c r="X98" i="1"/>
  <c r="X97" i="1"/>
  <c r="X96" i="1"/>
  <c r="X95" i="1"/>
  <c r="X91" i="1"/>
  <c r="X90" i="1"/>
  <c r="X86" i="1"/>
  <c r="X85" i="1"/>
  <c r="X83" i="1"/>
  <c r="X82" i="1"/>
  <c r="X81" i="1"/>
  <c r="X80" i="1"/>
  <c r="X77" i="1"/>
  <c r="X73" i="1"/>
  <c r="X72" i="1"/>
  <c r="X71" i="1"/>
  <c r="X69" i="1"/>
  <c r="X68" i="1"/>
  <c r="X67" i="1"/>
  <c r="X64" i="1"/>
  <c r="X63" i="1"/>
  <c r="X61" i="1"/>
  <c r="X60" i="1"/>
  <c r="X58" i="1"/>
  <c r="X57" i="1"/>
  <c r="X56" i="1"/>
  <c r="X54" i="1"/>
  <c r="X53" i="1"/>
  <c r="X51" i="1"/>
  <c r="X50" i="1"/>
  <c r="X47" i="1"/>
  <c r="X46" i="1"/>
  <c r="X44" i="1"/>
  <c r="X43" i="1"/>
  <c r="X42" i="1"/>
  <c r="X40" i="1"/>
  <c r="X39" i="1"/>
  <c r="X38" i="1"/>
  <c r="X37" i="1"/>
  <c r="X36" i="1"/>
  <c r="X35" i="1"/>
  <c r="X34" i="1"/>
  <c r="X30" i="1"/>
  <c r="X29" i="1"/>
  <c r="X25" i="1"/>
  <c r="X24" i="1"/>
  <c r="X22" i="1"/>
  <c r="X21" i="1"/>
  <c r="X19" i="1"/>
  <c r="X18" i="1"/>
  <c r="X17" i="1"/>
  <c r="X16" i="1"/>
  <c r="X13" i="1"/>
  <c r="I12" i="1"/>
  <c r="I15" i="1"/>
  <c r="I14" i="1" s="1"/>
  <c r="I20" i="1"/>
  <c r="P20" i="1" s="1"/>
  <c r="I23" i="1"/>
  <c r="I59" i="1"/>
  <c r="I62" i="1"/>
  <c r="I55" i="1"/>
  <c r="I66" i="1"/>
  <c r="I65" i="1" s="1"/>
  <c r="I70" i="1"/>
  <c r="I79" i="1"/>
  <c r="I78" i="1" s="1"/>
  <c r="I84" i="1"/>
  <c r="I110" i="1"/>
  <c r="I106" i="1"/>
  <c r="I114" i="1"/>
  <c r="I113" i="1" s="1"/>
  <c r="I118" i="1"/>
  <c r="K12" i="1"/>
  <c r="K15" i="1"/>
  <c r="K14" i="1" s="1"/>
  <c r="K20" i="1"/>
  <c r="K23" i="1"/>
  <c r="K42" i="1"/>
  <c r="K41" i="1" s="1"/>
  <c r="K45" i="1"/>
  <c r="K49" i="1"/>
  <c r="K48" i="1" s="1"/>
  <c r="K52" i="1"/>
  <c r="K59" i="1"/>
  <c r="K55" i="1"/>
  <c r="K62" i="1"/>
  <c r="K66" i="1"/>
  <c r="K70" i="1"/>
  <c r="K79" i="1"/>
  <c r="K78" i="1" s="1"/>
  <c r="K84" i="1"/>
  <c r="K95" i="1"/>
  <c r="K100" i="1"/>
  <c r="K103" i="1"/>
  <c r="K110" i="1"/>
  <c r="K106" i="1"/>
  <c r="K114" i="1"/>
  <c r="K118" i="1"/>
  <c r="M12" i="1"/>
  <c r="M15" i="1"/>
  <c r="M14" i="1"/>
  <c r="M20" i="1"/>
  <c r="M23" i="1"/>
  <c r="M42" i="1"/>
  <c r="M45" i="1"/>
  <c r="M41" i="1" s="1"/>
  <c r="M49" i="1"/>
  <c r="M52" i="1"/>
  <c r="M48" i="1"/>
  <c r="M59" i="1"/>
  <c r="P59" i="1" s="1"/>
  <c r="M62" i="1"/>
  <c r="M66" i="1"/>
  <c r="M65" i="1" s="1"/>
  <c r="M70" i="1"/>
  <c r="M79" i="1"/>
  <c r="M78" i="1"/>
  <c r="M75" i="1" s="1"/>
  <c r="M84" i="1"/>
  <c r="M95" i="1"/>
  <c r="M100" i="1"/>
  <c r="M99" i="1" s="1"/>
  <c r="M103" i="1"/>
  <c r="M110" i="1"/>
  <c r="M106" i="1"/>
  <c r="M114" i="1"/>
  <c r="M113" i="1" s="1"/>
  <c r="M118" i="1"/>
  <c r="O12" i="1"/>
  <c r="O11" i="1" s="1"/>
  <c r="O15" i="1"/>
  <c r="O14" i="1" s="1"/>
  <c r="O20" i="1"/>
  <c r="O23" i="1"/>
  <c r="O42" i="1"/>
  <c r="O45" i="1"/>
  <c r="P45" i="1"/>
  <c r="O49" i="1"/>
  <c r="O52" i="1"/>
  <c r="O59" i="1"/>
  <c r="O62" i="1"/>
  <c r="O66" i="1"/>
  <c r="O70" i="1"/>
  <c r="O79" i="1"/>
  <c r="O78" i="1"/>
  <c r="O75" i="1"/>
  <c r="O84" i="1"/>
  <c r="O95" i="1"/>
  <c r="O100" i="1"/>
  <c r="O103" i="1"/>
  <c r="O99" i="1" s="1"/>
  <c r="O110" i="1"/>
  <c r="O106" i="1"/>
  <c r="O114" i="1"/>
  <c r="O113" i="1" s="1"/>
  <c r="O118" i="1"/>
  <c r="P121" i="1"/>
  <c r="P120" i="1"/>
  <c r="P119" i="1"/>
  <c r="P117" i="1"/>
  <c r="P116" i="1"/>
  <c r="P115" i="1"/>
  <c r="P112" i="1"/>
  <c r="P111" i="1"/>
  <c r="P109" i="1"/>
  <c r="P108" i="1"/>
  <c r="P107" i="1"/>
  <c r="P105" i="1"/>
  <c r="P104" i="1"/>
  <c r="P103" i="1"/>
  <c r="P102" i="1"/>
  <c r="P101" i="1"/>
  <c r="P98" i="1"/>
  <c r="P97" i="1"/>
  <c r="P96" i="1"/>
  <c r="P91" i="1"/>
  <c r="P90" i="1"/>
  <c r="P89" i="1"/>
  <c r="P86" i="1"/>
  <c r="P85" i="1"/>
  <c r="P83" i="1"/>
  <c r="P82" i="1"/>
  <c r="P81" i="1"/>
  <c r="P80" i="1"/>
  <c r="P77" i="1"/>
  <c r="P76" i="1"/>
  <c r="P73" i="1"/>
  <c r="P72" i="1"/>
  <c r="P71" i="1"/>
  <c r="P69" i="1"/>
  <c r="P68" i="1"/>
  <c r="P67" i="1"/>
  <c r="P64" i="1"/>
  <c r="P63" i="1"/>
  <c r="P61" i="1"/>
  <c r="P60" i="1"/>
  <c r="P58" i="1"/>
  <c r="P57" i="1"/>
  <c r="P56" i="1"/>
  <c r="P54" i="1"/>
  <c r="P53" i="1"/>
  <c r="P52" i="1"/>
  <c r="P51" i="1"/>
  <c r="P50" i="1"/>
  <c r="P47" i="1"/>
  <c r="P46" i="1"/>
  <c r="P44" i="1"/>
  <c r="P43" i="1"/>
  <c r="P42" i="1"/>
  <c r="P40" i="1"/>
  <c r="P39" i="1"/>
  <c r="P38" i="1"/>
  <c r="P37" i="1"/>
  <c r="P36" i="1"/>
  <c r="P35" i="1"/>
  <c r="P30" i="1"/>
  <c r="P29" i="1"/>
  <c r="P28" i="1"/>
  <c r="P25" i="1"/>
  <c r="P24" i="1"/>
  <c r="P22" i="1"/>
  <c r="P21" i="1"/>
  <c r="P19" i="1"/>
  <c r="P18" i="1"/>
  <c r="P17" i="1"/>
  <c r="P16" i="1"/>
  <c r="P15" i="1"/>
  <c r="P13" i="1"/>
  <c r="V12" i="1"/>
  <c r="V11" i="1" s="1"/>
  <c r="V15" i="1"/>
  <c r="V14" i="1"/>
  <c r="V20" i="1"/>
  <c r="V23" i="1"/>
  <c r="V42" i="1"/>
  <c r="V41" i="1"/>
  <c r="V26" i="1" s="1"/>
  <c r="V45" i="1"/>
  <c r="V49" i="1"/>
  <c r="V52" i="1"/>
  <c r="V48" i="1" s="1"/>
  <c r="V59" i="1"/>
  <c r="V62" i="1"/>
  <c r="V55" i="1"/>
  <c r="V66" i="1"/>
  <c r="V65" i="1" s="1"/>
  <c r="V70" i="1"/>
  <c r="V79" i="1"/>
  <c r="V78" i="1" s="1"/>
  <c r="V75" i="1" s="1"/>
  <c r="V84" i="1"/>
  <c r="V100" i="1"/>
  <c r="V99" i="1" s="1"/>
  <c r="V103" i="1"/>
  <c r="V110" i="1"/>
  <c r="V106" i="1"/>
  <c r="V114" i="1"/>
  <c r="V118" i="1"/>
  <c r="V113" i="1"/>
  <c r="N12" i="1"/>
  <c r="N11" i="1" s="1"/>
  <c r="N15" i="1"/>
  <c r="N14" i="1"/>
  <c r="N20" i="1"/>
  <c r="N23" i="1"/>
  <c r="N42" i="1"/>
  <c r="N41" i="1"/>
  <c r="N45" i="1"/>
  <c r="N49" i="1"/>
  <c r="N52" i="1"/>
  <c r="N48" i="1"/>
  <c r="N59" i="1"/>
  <c r="N55" i="1" s="1"/>
  <c r="N62" i="1"/>
  <c r="N66" i="1"/>
  <c r="N65" i="1" s="1"/>
  <c r="N70" i="1"/>
  <c r="N79" i="1"/>
  <c r="N78" i="1"/>
  <c r="N75" i="1" s="1"/>
  <c r="N84" i="1"/>
  <c r="N95" i="1"/>
  <c r="N100" i="1"/>
  <c r="N99" i="1" s="1"/>
  <c r="N87" i="1" s="1"/>
  <c r="N103" i="1"/>
  <c r="N110" i="1"/>
  <c r="N106" i="1"/>
  <c r="N114" i="1"/>
  <c r="N113" i="1" s="1"/>
  <c r="N118" i="1"/>
  <c r="AD12" i="1"/>
  <c r="AD11" i="1" s="1"/>
  <c r="AD15" i="1"/>
  <c r="AD14" i="1" s="1"/>
  <c r="AD20" i="1"/>
  <c r="AD23" i="1"/>
  <c r="AD42" i="1"/>
  <c r="AD45" i="1"/>
  <c r="AD49" i="1"/>
  <c r="AD48" i="1" s="1"/>
  <c r="AD52" i="1"/>
  <c r="AD59" i="1"/>
  <c r="AD55" i="1"/>
  <c r="AD62" i="1"/>
  <c r="AD66" i="1"/>
  <c r="AD70" i="1"/>
  <c r="AD65" i="1"/>
  <c r="AD79" i="1"/>
  <c r="AD78" i="1" s="1"/>
  <c r="AD84" i="1"/>
  <c r="AD75" i="1"/>
  <c r="AD95" i="1"/>
  <c r="AD100" i="1"/>
  <c r="AD103" i="1"/>
  <c r="AD99" i="1"/>
  <c r="AD87" i="1" s="1"/>
  <c r="AD110" i="1"/>
  <c r="AD106" i="1"/>
  <c r="AD114" i="1"/>
  <c r="AD113" i="1" s="1"/>
  <c r="AD118" i="1"/>
  <c r="J110" i="1"/>
  <c r="J106" i="1"/>
  <c r="L110" i="1"/>
  <c r="L106" i="1" s="1"/>
  <c r="R110" i="1"/>
  <c r="R106" i="1"/>
  <c r="T110" i="1"/>
  <c r="T106" i="1" s="1"/>
  <c r="Z110" i="1"/>
  <c r="Z106" i="1"/>
  <c r="AB110" i="1"/>
  <c r="AB106" i="1" s="1"/>
  <c r="J114" i="1"/>
  <c r="J118" i="1"/>
  <c r="J113" i="1" s="1"/>
  <c r="L114" i="1"/>
  <c r="L118" i="1"/>
  <c r="L113" i="1"/>
  <c r="R114" i="1"/>
  <c r="R113" i="1" s="1"/>
  <c r="R118" i="1"/>
  <c r="T114" i="1"/>
  <c r="T113" i="1" s="1"/>
  <c r="T118" i="1"/>
  <c r="Z114" i="1"/>
  <c r="Z113" i="1"/>
  <c r="Z118" i="1"/>
  <c r="AB114" i="1"/>
  <c r="AB118" i="1"/>
  <c r="AB113" i="1" s="1"/>
  <c r="J79" i="1"/>
  <c r="J78" i="1" s="1"/>
  <c r="J75" i="1" s="1"/>
  <c r="J84" i="1"/>
  <c r="J95" i="1"/>
  <c r="J100" i="1"/>
  <c r="J103" i="1"/>
  <c r="J99" i="1" s="1"/>
  <c r="J15" i="1"/>
  <c r="J14" i="1" s="1"/>
  <c r="J12" i="1"/>
  <c r="J20" i="1"/>
  <c r="J23" i="1"/>
  <c r="J42" i="1"/>
  <c r="J45" i="1"/>
  <c r="J41" i="1" s="1"/>
  <c r="J49" i="1"/>
  <c r="J52" i="1"/>
  <c r="J48" i="1" s="1"/>
  <c r="J59" i="1"/>
  <c r="J62" i="1"/>
  <c r="J66" i="1"/>
  <c r="J65" i="1" s="1"/>
  <c r="J70" i="1"/>
  <c r="L79" i="1"/>
  <c r="L78" i="1"/>
  <c r="L75" i="1" s="1"/>
  <c r="L84" i="1"/>
  <c r="L95" i="1"/>
  <c r="L100" i="1"/>
  <c r="L99" i="1" s="1"/>
  <c r="L103" i="1"/>
  <c r="L42" i="1"/>
  <c r="L45" i="1"/>
  <c r="L41" i="1" s="1"/>
  <c r="L49" i="1"/>
  <c r="L52" i="1"/>
  <c r="L48" i="1"/>
  <c r="L12" i="1"/>
  <c r="L11" i="1" s="1"/>
  <c r="L15" i="1"/>
  <c r="L14" i="1" s="1"/>
  <c r="L20" i="1"/>
  <c r="L23" i="1"/>
  <c r="L59" i="1"/>
  <c r="L62" i="1"/>
  <c r="L66" i="1"/>
  <c r="L70" i="1"/>
  <c r="R79" i="1"/>
  <c r="R78" i="1"/>
  <c r="R75" i="1" s="1"/>
  <c r="R84" i="1"/>
  <c r="R12" i="1"/>
  <c r="R15" i="1"/>
  <c r="R14" i="1" s="1"/>
  <c r="R20" i="1"/>
  <c r="R23" i="1"/>
  <c r="R59" i="1"/>
  <c r="R55" i="1" s="1"/>
  <c r="R62" i="1"/>
  <c r="R66" i="1"/>
  <c r="R70" i="1"/>
  <c r="R65" i="1" s="1"/>
  <c r="T79" i="1"/>
  <c r="T78" i="1" s="1"/>
  <c r="T75" i="1" s="1"/>
  <c r="T84" i="1"/>
  <c r="T100" i="1"/>
  <c r="T99" i="1" s="1"/>
  <c r="T87" i="1" s="1"/>
  <c r="T103" i="1"/>
  <c r="T42" i="1"/>
  <c r="T45" i="1"/>
  <c r="T41" i="1"/>
  <c r="T49" i="1"/>
  <c r="T48" i="1" s="1"/>
  <c r="T52" i="1"/>
  <c r="T12" i="1"/>
  <c r="T11" i="1" s="1"/>
  <c r="T15" i="1"/>
  <c r="T14" i="1" s="1"/>
  <c r="T20" i="1"/>
  <c r="T23" i="1"/>
  <c r="T59" i="1"/>
  <c r="T62" i="1"/>
  <c r="T66" i="1"/>
  <c r="T65" i="1" s="1"/>
  <c r="T70" i="1"/>
  <c r="Z79" i="1"/>
  <c r="Z78" i="1"/>
  <c r="Z75" i="1" s="1"/>
  <c r="Z84" i="1"/>
  <c r="Z12" i="1"/>
  <c r="Z15" i="1"/>
  <c r="Z14" i="1" s="1"/>
  <c r="Z11" i="1" s="1"/>
  <c r="Z20" i="1"/>
  <c r="Z23" i="1"/>
  <c r="Z59" i="1"/>
  <c r="Z55" i="1" s="1"/>
  <c r="Z62" i="1"/>
  <c r="Z66" i="1"/>
  <c r="Z65" i="1" s="1"/>
  <c r="Z70" i="1"/>
  <c r="AB79" i="1"/>
  <c r="AB78" i="1"/>
  <c r="AB75" i="1" s="1"/>
  <c r="AB84" i="1"/>
  <c r="AB95" i="1"/>
  <c r="AB100" i="1"/>
  <c r="AB99" i="1" s="1"/>
  <c r="AB87" i="1" s="1"/>
  <c r="AB103" i="1"/>
  <c r="AB42" i="1"/>
  <c r="AB45" i="1"/>
  <c r="AB49" i="1"/>
  <c r="AB48" i="1" s="1"/>
  <c r="AB52" i="1"/>
  <c r="AB12" i="1"/>
  <c r="AB15" i="1"/>
  <c r="AB14" i="1" s="1"/>
  <c r="AB11" i="1" s="1"/>
  <c r="AB20" i="1"/>
  <c r="AB23" i="1"/>
  <c r="AB59" i="1"/>
  <c r="AB62" i="1"/>
  <c r="AB55" i="1" s="1"/>
  <c r="AB66" i="1"/>
  <c r="AB70" i="1"/>
  <c r="AB65" i="1"/>
  <c r="I10" i="32"/>
  <c r="I13" i="32"/>
  <c r="I16" i="32"/>
  <c r="J10" i="32"/>
  <c r="J19" i="32" s="1"/>
  <c r="J13" i="32"/>
  <c r="J16" i="32"/>
  <c r="K10" i="32"/>
  <c r="K19" i="32" s="1"/>
  <c r="K13" i="32"/>
  <c r="K16" i="32"/>
  <c r="L10" i="32"/>
  <c r="L19" i="32" s="1"/>
  <c r="L13" i="32"/>
  <c r="L16" i="32"/>
  <c r="M10" i="32"/>
  <c r="M19" i="32" s="1"/>
  <c r="M13" i="32"/>
  <c r="M16" i="32"/>
  <c r="N10" i="32"/>
  <c r="N19" i="32" s="1"/>
  <c r="N13" i="32"/>
  <c r="N16" i="32"/>
  <c r="H12" i="32"/>
  <c r="H15" i="32"/>
  <c r="H18" i="32"/>
  <c r="I49" i="49"/>
  <c r="I46" i="49"/>
  <c r="K49" i="49"/>
  <c r="P49" i="49" s="1"/>
  <c r="M49" i="49"/>
  <c r="M46" i="49"/>
  <c r="O49" i="49"/>
  <c r="O46" i="49" s="1"/>
  <c r="Q49" i="49"/>
  <c r="Q46" i="49"/>
  <c r="S49" i="49"/>
  <c r="S46" i="49" s="1"/>
  <c r="S45" i="49" s="1"/>
  <c r="S71" i="49" s="1"/>
  <c r="U49" i="49"/>
  <c r="U46" i="49" s="1"/>
  <c r="W49" i="49"/>
  <c r="W46" i="49"/>
  <c r="W45" i="49" s="1"/>
  <c r="Y49" i="49"/>
  <c r="Y46" i="49"/>
  <c r="AA49" i="49"/>
  <c r="AA46" i="49" s="1"/>
  <c r="AC49" i="49"/>
  <c r="AC46" i="49"/>
  <c r="AE49" i="49"/>
  <c r="AE46" i="49" s="1"/>
  <c r="AG49" i="49"/>
  <c r="AG46" i="49"/>
  <c r="AI49" i="49"/>
  <c r="AI46" i="49" s="1"/>
  <c r="AK49" i="49"/>
  <c r="AK46" i="49"/>
  <c r="AK45" i="49" s="1"/>
  <c r="AM49" i="49"/>
  <c r="AM46" i="49" s="1"/>
  <c r="AM45" i="49" s="1"/>
  <c r="AO49" i="49"/>
  <c r="AV49" i="49" s="1"/>
  <c r="AQ49" i="49"/>
  <c r="AQ46" i="49"/>
  <c r="AS49" i="49"/>
  <c r="AS46" i="49" s="1"/>
  <c r="AU49" i="49"/>
  <c r="AU46" i="49"/>
  <c r="P47" i="49"/>
  <c r="X47" i="49"/>
  <c r="AF47" i="49"/>
  <c r="AN47" i="49"/>
  <c r="AV47" i="49"/>
  <c r="P48" i="49"/>
  <c r="X48" i="49"/>
  <c r="AF48" i="49"/>
  <c r="AN48" i="49"/>
  <c r="AV48" i="49"/>
  <c r="AF49" i="49"/>
  <c r="AN49" i="49"/>
  <c r="P50" i="49"/>
  <c r="AW50" i="49" s="1"/>
  <c r="X50" i="49"/>
  <c r="AF50" i="49"/>
  <c r="AN50" i="49"/>
  <c r="AV50" i="49"/>
  <c r="P51" i="49"/>
  <c r="X51" i="49"/>
  <c r="AF51" i="49"/>
  <c r="AN51" i="49"/>
  <c r="AV51" i="49"/>
  <c r="P52" i="49"/>
  <c r="X52" i="49"/>
  <c r="AF52" i="49"/>
  <c r="AW52" i="49"/>
  <c r="AN52" i="49"/>
  <c r="AV52" i="49"/>
  <c r="P53" i="49"/>
  <c r="X53" i="49"/>
  <c r="AF53" i="49"/>
  <c r="AN53" i="49"/>
  <c r="AV53" i="49"/>
  <c r="I54" i="49"/>
  <c r="P54" i="49" s="1"/>
  <c r="K54" i="49"/>
  <c r="M54" i="49"/>
  <c r="O54" i="49"/>
  <c r="Q54" i="49"/>
  <c r="S54" i="49"/>
  <c r="U54" i="49"/>
  <c r="W54" i="49"/>
  <c r="Y54" i="49"/>
  <c r="AF54" i="49" s="1"/>
  <c r="AA54" i="49"/>
  <c r="AC54" i="49"/>
  <c r="AE54" i="49"/>
  <c r="AG54" i="49"/>
  <c r="AI54" i="49"/>
  <c r="AN54" i="49"/>
  <c r="AK54" i="49"/>
  <c r="AM54" i="49"/>
  <c r="AO54" i="49"/>
  <c r="AQ54" i="49"/>
  <c r="AS54" i="49"/>
  <c r="AU54" i="49"/>
  <c r="P55" i="49"/>
  <c r="X55" i="49"/>
  <c r="AF55" i="49"/>
  <c r="AN55" i="49"/>
  <c r="AV55" i="49"/>
  <c r="P56" i="49"/>
  <c r="X56" i="49"/>
  <c r="AF56" i="49"/>
  <c r="AW56" i="49" s="1"/>
  <c r="AN56" i="49"/>
  <c r="AV56" i="49"/>
  <c r="I57" i="49"/>
  <c r="K57" i="49"/>
  <c r="M57" i="49"/>
  <c r="O57" i="49"/>
  <c r="Q57" i="49"/>
  <c r="X57" i="49" s="1"/>
  <c r="S57" i="49"/>
  <c r="U57" i="49"/>
  <c r="W57" i="49"/>
  <c r="Y57" i="49"/>
  <c r="AF57" i="49" s="1"/>
  <c r="AA57" i="49"/>
  <c r="AC57" i="49"/>
  <c r="AG57" i="49"/>
  <c r="AN57" i="49" s="1"/>
  <c r="AI57" i="49"/>
  <c r="AK57" i="49"/>
  <c r="AM57" i="49"/>
  <c r="AO57" i="49"/>
  <c r="AQ57" i="49"/>
  <c r="AS57" i="49"/>
  <c r="AU57" i="49"/>
  <c r="P58" i="49"/>
  <c r="AF58" i="49"/>
  <c r="AN58" i="49"/>
  <c r="AV58" i="49"/>
  <c r="P61" i="49"/>
  <c r="AW61" i="49" s="1"/>
  <c r="X61" i="49"/>
  <c r="AF61" i="49"/>
  <c r="AN61" i="49"/>
  <c r="AV61" i="49"/>
  <c r="K66" i="49"/>
  <c r="K63" i="49" s="1"/>
  <c r="M66" i="49"/>
  <c r="M63" i="49" s="1"/>
  <c r="O66" i="49"/>
  <c r="O63" i="49" s="1"/>
  <c r="S66" i="49"/>
  <c r="S63" i="49"/>
  <c r="U66" i="49"/>
  <c r="W66" i="49"/>
  <c r="W63" i="49" s="1"/>
  <c r="AA66" i="49"/>
  <c r="AA63" i="49" s="1"/>
  <c r="AC66" i="49"/>
  <c r="AC63" i="49" s="1"/>
  <c r="AE66" i="49"/>
  <c r="AE63" i="49" s="1"/>
  <c r="AI66" i="49"/>
  <c r="AI63" i="49" s="1"/>
  <c r="AK66" i="49"/>
  <c r="AM66" i="49"/>
  <c r="AM63" i="49" s="1"/>
  <c r="AQ66" i="49"/>
  <c r="AQ63" i="49"/>
  <c r="AS66" i="49"/>
  <c r="AS63" i="49" s="1"/>
  <c r="AU66" i="49"/>
  <c r="AU63" i="49"/>
  <c r="P64" i="49"/>
  <c r="X64" i="49"/>
  <c r="AF64" i="49"/>
  <c r="AN64" i="49"/>
  <c r="AV64" i="49"/>
  <c r="P65" i="49"/>
  <c r="X65" i="49"/>
  <c r="AF65" i="49"/>
  <c r="AN65" i="49"/>
  <c r="AV65" i="49"/>
  <c r="P67" i="49"/>
  <c r="X67" i="49"/>
  <c r="AF67" i="49"/>
  <c r="AN67" i="49"/>
  <c r="AV67" i="49"/>
  <c r="P68" i="49"/>
  <c r="X68" i="49"/>
  <c r="AF68" i="49"/>
  <c r="AN68" i="49"/>
  <c r="AV68" i="49"/>
  <c r="P69" i="49"/>
  <c r="X69" i="49"/>
  <c r="AF69" i="49"/>
  <c r="AN69" i="49"/>
  <c r="AV69" i="49"/>
  <c r="V49" i="49"/>
  <c r="V46" i="49"/>
  <c r="V54" i="49"/>
  <c r="V57" i="49"/>
  <c r="V66" i="49"/>
  <c r="V63" i="49"/>
  <c r="Q14" i="49"/>
  <c r="S14" i="49"/>
  <c r="S11" i="49" s="1"/>
  <c r="U14" i="49"/>
  <c r="U11" i="49" s="1"/>
  <c r="W14" i="49"/>
  <c r="W11" i="49" s="1"/>
  <c r="X12" i="49"/>
  <c r="X13" i="49"/>
  <c r="X15" i="49"/>
  <c r="X16" i="49"/>
  <c r="X17" i="49"/>
  <c r="X18" i="49"/>
  <c r="Q19" i="49"/>
  <c r="X19" i="49"/>
  <c r="S19" i="49"/>
  <c r="U19" i="49"/>
  <c r="W19" i="49"/>
  <c r="X20" i="49"/>
  <c r="X21" i="49"/>
  <c r="Q22" i="49"/>
  <c r="S22" i="49"/>
  <c r="U22" i="49"/>
  <c r="X22" i="49" s="1"/>
  <c r="W22" i="49"/>
  <c r="X23" i="49"/>
  <c r="X26" i="49"/>
  <c r="S31" i="49"/>
  <c r="S28" i="49" s="1"/>
  <c r="U31" i="49"/>
  <c r="U28" i="49"/>
  <c r="W31" i="49"/>
  <c r="W28" i="49" s="1"/>
  <c r="X29" i="49"/>
  <c r="X30" i="49"/>
  <c r="X32" i="49"/>
  <c r="X33" i="49"/>
  <c r="X34" i="49"/>
  <c r="V14" i="49"/>
  <c r="V11" i="49" s="1"/>
  <c r="V19" i="49"/>
  <c r="V22" i="49"/>
  <c r="V31" i="49"/>
  <c r="V28" i="49" s="1"/>
  <c r="J66" i="49"/>
  <c r="J63" i="49" s="1"/>
  <c r="L66" i="49"/>
  <c r="L63" i="49" s="1"/>
  <c r="N66" i="49"/>
  <c r="N63" i="49" s="1"/>
  <c r="R66" i="49"/>
  <c r="R63" i="49" s="1"/>
  <c r="T66" i="49"/>
  <c r="T63" i="49" s="1"/>
  <c r="Z66" i="49"/>
  <c r="Z63" i="49" s="1"/>
  <c r="AB66" i="49"/>
  <c r="AB63" i="49" s="1"/>
  <c r="AD66" i="49"/>
  <c r="AD63" i="49" s="1"/>
  <c r="AH66" i="49"/>
  <c r="AH63" i="49" s="1"/>
  <c r="AJ66" i="49"/>
  <c r="AJ63" i="49" s="1"/>
  <c r="AL66" i="49"/>
  <c r="AL63" i="49" s="1"/>
  <c r="AP66" i="49"/>
  <c r="AP63" i="49" s="1"/>
  <c r="AR66" i="49"/>
  <c r="AR63" i="49" s="1"/>
  <c r="AT66" i="49"/>
  <c r="AT63" i="49" s="1"/>
  <c r="J49" i="49"/>
  <c r="J46" i="49" s="1"/>
  <c r="J54" i="49"/>
  <c r="J57" i="49"/>
  <c r="L49" i="49"/>
  <c r="L46" i="49" s="1"/>
  <c r="L54" i="49"/>
  <c r="L57" i="49"/>
  <c r="N49" i="49"/>
  <c r="N46" i="49" s="1"/>
  <c r="N54" i="49"/>
  <c r="N57" i="49"/>
  <c r="R49" i="49"/>
  <c r="R46" i="49" s="1"/>
  <c r="R45" i="49" s="1"/>
  <c r="R71" i="49" s="1"/>
  <c r="R54" i="49"/>
  <c r="R57" i="49"/>
  <c r="T49" i="49"/>
  <c r="T46" i="49" s="1"/>
  <c r="T45" i="49" s="1"/>
  <c r="T54" i="49"/>
  <c r="T57" i="49"/>
  <c r="Z49" i="49"/>
  <c r="Z46" i="49" s="1"/>
  <c r="Z54" i="49"/>
  <c r="Z57" i="49"/>
  <c r="AB49" i="49"/>
  <c r="AB46" i="49" s="1"/>
  <c r="AB45" i="49" s="1"/>
  <c r="AB71" i="49" s="1"/>
  <c r="AB54" i="49"/>
  <c r="AB57" i="49"/>
  <c r="AD49" i="49"/>
  <c r="AD46" i="49"/>
  <c r="AD54" i="49"/>
  <c r="AD57" i="49"/>
  <c r="AH49" i="49"/>
  <c r="AH46" i="49" s="1"/>
  <c r="AH54" i="49"/>
  <c r="AH57" i="49"/>
  <c r="AJ49" i="49"/>
  <c r="AJ46" i="49" s="1"/>
  <c r="AJ54" i="49"/>
  <c r="AJ57" i="49"/>
  <c r="AL49" i="49"/>
  <c r="AL46" i="49" s="1"/>
  <c r="AL54" i="49"/>
  <c r="AL57" i="49"/>
  <c r="AP49" i="49"/>
  <c r="AP46" i="49" s="1"/>
  <c r="AP45" i="49" s="1"/>
  <c r="AP71" i="49"/>
  <c r="AP54" i="49"/>
  <c r="AP57" i="49"/>
  <c r="AR49" i="49"/>
  <c r="AR46" i="49"/>
  <c r="AR54" i="49"/>
  <c r="AR57" i="49"/>
  <c r="AT49" i="49"/>
  <c r="AT46" i="49"/>
  <c r="AT45" i="49" s="1"/>
  <c r="AT71" i="49" s="1"/>
  <c r="AT54" i="49"/>
  <c r="AT57" i="49"/>
  <c r="I14" i="49"/>
  <c r="I11" i="49" s="1"/>
  <c r="K14" i="49"/>
  <c r="K11" i="49"/>
  <c r="M14" i="49"/>
  <c r="M11" i="49" s="1"/>
  <c r="O14" i="49"/>
  <c r="O11" i="49" s="1"/>
  <c r="Y14" i="49"/>
  <c r="Y11" i="49" s="1"/>
  <c r="AA14" i="49"/>
  <c r="AA11" i="49"/>
  <c r="AC14" i="49"/>
  <c r="AC11" i="49" s="1"/>
  <c r="AE14" i="49"/>
  <c r="AE11" i="49"/>
  <c r="AG14" i="49"/>
  <c r="AG11" i="49" s="1"/>
  <c r="AI14" i="49"/>
  <c r="AI11" i="49"/>
  <c r="AK14" i="49"/>
  <c r="AK11" i="49" s="1"/>
  <c r="AM14" i="49"/>
  <c r="AM11" i="49" s="1"/>
  <c r="AO14" i="49"/>
  <c r="AO11" i="49"/>
  <c r="AQ14" i="49"/>
  <c r="AQ11" i="49" s="1"/>
  <c r="AS14" i="49"/>
  <c r="AU14" i="49"/>
  <c r="AU11" i="49" s="1"/>
  <c r="P12" i="49"/>
  <c r="AF12" i="49"/>
  <c r="AN12" i="49"/>
  <c r="AV12" i="49"/>
  <c r="P13" i="49"/>
  <c r="AF13" i="49"/>
  <c r="AN13" i="49"/>
  <c r="AV13" i="49"/>
  <c r="P15" i="49"/>
  <c r="AW15" i="49" s="1"/>
  <c r="AF15" i="49"/>
  <c r="AN15" i="49"/>
  <c r="AV15" i="49"/>
  <c r="P16" i="49"/>
  <c r="AW16" i="49" s="1"/>
  <c r="AF16" i="49"/>
  <c r="AN16" i="49"/>
  <c r="AV16" i="49"/>
  <c r="P17" i="49"/>
  <c r="AF17" i="49"/>
  <c r="AN17" i="49"/>
  <c r="AV17" i="49"/>
  <c r="P18" i="49"/>
  <c r="AW18" i="49" s="1"/>
  <c r="AF18" i="49"/>
  <c r="AN18" i="49"/>
  <c r="AV18" i="49"/>
  <c r="I19" i="49"/>
  <c r="K19" i="49"/>
  <c r="M19" i="49"/>
  <c r="O19" i="49"/>
  <c r="Y19" i="49"/>
  <c r="AA19" i="49"/>
  <c r="AF19" i="49"/>
  <c r="AC19" i="49"/>
  <c r="AE19" i="49"/>
  <c r="AG19" i="49"/>
  <c r="AI19" i="49"/>
  <c r="AK19" i="49"/>
  <c r="AM19" i="49"/>
  <c r="AO19" i="49"/>
  <c r="AQ19" i="49"/>
  <c r="AV19" i="49" s="1"/>
  <c r="AS19" i="49"/>
  <c r="AU19" i="49"/>
  <c r="P20" i="49"/>
  <c r="AF20" i="49"/>
  <c r="AN20" i="49"/>
  <c r="AV20" i="49"/>
  <c r="P21" i="49"/>
  <c r="AF21" i="49"/>
  <c r="AN21" i="49"/>
  <c r="AV21" i="49"/>
  <c r="AW21" i="49"/>
  <c r="I22" i="49"/>
  <c r="K22" i="49"/>
  <c r="M22" i="49"/>
  <c r="O22" i="49"/>
  <c r="Y22" i="49"/>
  <c r="AA22" i="49"/>
  <c r="AC22" i="49"/>
  <c r="AF22" i="49" s="1"/>
  <c r="AE22" i="49"/>
  <c r="AG22" i="49"/>
  <c r="AI22" i="49"/>
  <c r="AK22" i="49"/>
  <c r="AM22" i="49"/>
  <c r="AO22" i="49"/>
  <c r="AQ22" i="49"/>
  <c r="AS22" i="49"/>
  <c r="AU22" i="49"/>
  <c r="P23" i="49"/>
  <c r="AF23" i="49"/>
  <c r="AW23" i="49"/>
  <c r="AN23" i="49"/>
  <c r="AV23" i="49"/>
  <c r="P26" i="49"/>
  <c r="AF26" i="49"/>
  <c r="AN26" i="49"/>
  <c r="AV26" i="49"/>
  <c r="K31" i="49"/>
  <c r="K28" i="49"/>
  <c r="M31" i="49"/>
  <c r="M28" i="49" s="1"/>
  <c r="O31" i="49"/>
  <c r="O28" i="49" s="1"/>
  <c r="AA31" i="49"/>
  <c r="AC31" i="49"/>
  <c r="AC28" i="49"/>
  <c r="AE31" i="49"/>
  <c r="AE28" i="49" s="1"/>
  <c r="AI31" i="49"/>
  <c r="AI28" i="49"/>
  <c r="AK31" i="49"/>
  <c r="AK28" i="49" s="1"/>
  <c r="AM31" i="49"/>
  <c r="AM28" i="49"/>
  <c r="AQ31" i="49"/>
  <c r="AS31" i="49"/>
  <c r="AS28" i="49" s="1"/>
  <c r="AU31" i="49"/>
  <c r="AU28" i="49"/>
  <c r="P29" i="49"/>
  <c r="AF29" i="49"/>
  <c r="AN29" i="49"/>
  <c r="AV29" i="49"/>
  <c r="P30" i="49"/>
  <c r="AF30" i="49"/>
  <c r="AN30" i="49"/>
  <c r="AV30" i="49"/>
  <c r="P32" i="49"/>
  <c r="AF32" i="49"/>
  <c r="AW32" i="49" s="1"/>
  <c r="AN32" i="49"/>
  <c r="AV32" i="49"/>
  <c r="P33" i="49"/>
  <c r="AW33" i="49" s="1"/>
  <c r="AF33" i="49"/>
  <c r="AN33" i="49"/>
  <c r="AV33" i="49"/>
  <c r="P34" i="49"/>
  <c r="AF34" i="49"/>
  <c r="AN34" i="49"/>
  <c r="AV34" i="49"/>
  <c r="AT14" i="49"/>
  <c r="AT11" i="49" s="1"/>
  <c r="AT19" i="49"/>
  <c r="AT22" i="49"/>
  <c r="AT31" i="49"/>
  <c r="AT28" i="49" s="1"/>
  <c r="AL14" i="49"/>
  <c r="AL11" i="49"/>
  <c r="AL19" i="49"/>
  <c r="AL22" i="49"/>
  <c r="AL31" i="49"/>
  <c r="AL28" i="49"/>
  <c r="AD14" i="49"/>
  <c r="AD11" i="49" s="1"/>
  <c r="AD19" i="49"/>
  <c r="AD22" i="49"/>
  <c r="AD31" i="49"/>
  <c r="AD28" i="49" s="1"/>
  <c r="N22" i="49"/>
  <c r="N14" i="49"/>
  <c r="N11" i="49" s="1"/>
  <c r="N10" i="49" s="1"/>
  <c r="N36" i="49" s="1"/>
  <c r="N19" i="49"/>
  <c r="N31" i="49"/>
  <c r="N28" i="49" s="1"/>
  <c r="J14" i="49"/>
  <c r="J11" i="49"/>
  <c r="J19" i="49"/>
  <c r="J22" i="49"/>
  <c r="J31" i="49"/>
  <c r="J28" i="49"/>
  <c r="L14" i="49"/>
  <c r="L11" i="49" s="1"/>
  <c r="L19" i="49"/>
  <c r="L22" i="49"/>
  <c r="L31" i="49"/>
  <c r="L28" i="49" s="1"/>
  <c r="R14" i="49"/>
  <c r="R11" i="49"/>
  <c r="R19" i="49"/>
  <c r="R22" i="49"/>
  <c r="R31" i="49"/>
  <c r="R28" i="49"/>
  <c r="T14" i="49"/>
  <c r="T11" i="49" s="1"/>
  <c r="T19" i="49"/>
  <c r="T22" i="49"/>
  <c r="T31" i="49"/>
  <c r="T28" i="49" s="1"/>
  <c r="Z14" i="49"/>
  <c r="Z11" i="49"/>
  <c r="Z19" i="49"/>
  <c r="Z22" i="49"/>
  <c r="Z31" i="49"/>
  <c r="Z28" i="49"/>
  <c r="AB14" i="49"/>
  <c r="AB11" i="49" s="1"/>
  <c r="AB19" i="49"/>
  <c r="AB22" i="49"/>
  <c r="AB31" i="49"/>
  <c r="AB28" i="49" s="1"/>
  <c r="AH14" i="49"/>
  <c r="AH11" i="49"/>
  <c r="AH19" i="49"/>
  <c r="AH22" i="49"/>
  <c r="AH31" i="49"/>
  <c r="AH28" i="49"/>
  <c r="AJ14" i="49"/>
  <c r="AJ11" i="49" s="1"/>
  <c r="AJ19" i="49"/>
  <c r="AJ22" i="49"/>
  <c r="AJ31" i="49"/>
  <c r="AJ28" i="49" s="1"/>
  <c r="AP14" i="49"/>
  <c r="AP11" i="49"/>
  <c r="AP19" i="49"/>
  <c r="AP22" i="49"/>
  <c r="AP31" i="49"/>
  <c r="AP28" i="49"/>
  <c r="AR14" i="49"/>
  <c r="AR11" i="49" s="1"/>
  <c r="AR19" i="49"/>
  <c r="AR22" i="49"/>
  <c r="AR31" i="49"/>
  <c r="AR28" i="49" s="1"/>
  <c r="O53" i="4"/>
  <c r="N53" i="4"/>
  <c r="O50" i="4"/>
  <c r="O47" i="4"/>
  <c r="O44" i="4"/>
  <c r="O43" i="4" s="1"/>
  <c r="O56" i="4" s="1"/>
  <c r="N50" i="4"/>
  <c r="N47" i="4"/>
  <c r="N43" i="4" s="1"/>
  <c r="N56" i="4" s="1"/>
  <c r="N44" i="4"/>
  <c r="P77" i="4"/>
  <c r="P76" i="4"/>
  <c r="P75" i="4"/>
  <c r="P74" i="4"/>
  <c r="I73" i="4"/>
  <c r="K73" i="4"/>
  <c r="P73" i="4" s="1"/>
  <c r="M73" i="4"/>
  <c r="O73" i="4"/>
  <c r="P72" i="4"/>
  <c r="P71" i="4"/>
  <c r="I70" i="4"/>
  <c r="I67" i="4" s="1"/>
  <c r="K70" i="4"/>
  <c r="K67" i="4" s="1"/>
  <c r="M70" i="4"/>
  <c r="O70" i="4"/>
  <c r="O67" i="4" s="1"/>
  <c r="P69" i="4"/>
  <c r="P68" i="4"/>
  <c r="P66" i="4"/>
  <c r="P65" i="4"/>
  <c r="P64" i="4"/>
  <c r="P62" i="4"/>
  <c r="P61" i="4"/>
  <c r="P60" i="4"/>
  <c r="P59" i="4"/>
  <c r="I20" i="4"/>
  <c r="I12" i="4" s="1"/>
  <c r="I25" i="4"/>
  <c r="I28" i="4"/>
  <c r="I44" i="4"/>
  <c r="I43" i="4" s="1"/>
  <c r="I47" i="4"/>
  <c r="I50" i="4"/>
  <c r="P50" i="4"/>
  <c r="K20" i="4"/>
  <c r="K12" i="4"/>
  <c r="K11" i="4" s="1"/>
  <c r="K25" i="4"/>
  <c r="K28" i="4"/>
  <c r="K36" i="4"/>
  <c r="K53" i="4"/>
  <c r="K56" i="4"/>
  <c r="M20" i="4"/>
  <c r="M25" i="4"/>
  <c r="M28" i="4"/>
  <c r="M36" i="4"/>
  <c r="M33" i="4" s="1"/>
  <c r="O20" i="4"/>
  <c r="O12" i="4" s="1"/>
  <c r="O25" i="4"/>
  <c r="O28" i="4"/>
  <c r="O36" i="4"/>
  <c r="O33" i="4" s="1"/>
  <c r="P55" i="4"/>
  <c r="P54" i="4"/>
  <c r="P52" i="4"/>
  <c r="P51" i="4"/>
  <c r="P49" i="4"/>
  <c r="P48" i="4"/>
  <c r="P47" i="4"/>
  <c r="P46" i="4"/>
  <c r="P45" i="4"/>
  <c r="P40" i="4"/>
  <c r="P39" i="4"/>
  <c r="P38" i="4"/>
  <c r="P37" i="4"/>
  <c r="P35" i="4"/>
  <c r="P34" i="4"/>
  <c r="P32" i="4"/>
  <c r="P29" i="4"/>
  <c r="P28" i="4"/>
  <c r="P27" i="4"/>
  <c r="P26" i="4"/>
  <c r="P24" i="4"/>
  <c r="P23" i="4"/>
  <c r="P22" i="4"/>
  <c r="P21" i="4"/>
  <c r="P19" i="4"/>
  <c r="N73" i="4"/>
  <c r="N70" i="4"/>
  <c r="N67" i="4"/>
  <c r="N20" i="4"/>
  <c r="N12" i="4"/>
  <c r="N11" i="4" s="1"/>
  <c r="N41" i="4" s="1"/>
  <c r="N57" i="4" s="1"/>
  <c r="N25" i="4"/>
  <c r="N28" i="4"/>
  <c r="N36" i="4"/>
  <c r="N33" i="4" s="1"/>
  <c r="J73" i="4"/>
  <c r="L73" i="4"/>
  <c r="J70" i="4"/>
  <c r="L70" i="4"/>
  <c r="J67" i="4"/>
  <c r="L67" i="4"/>
  <c r="J20" i="4"/>
  <c r="J12" i="4" s="1"/>
  <c r="J11" i="4" s="1"/>
  <c r="J41" i="4" s="1"/>
  <c r="J25" i="4"/>
  <c r="J28" i="4"/>
  <c r="J36" i="4"/>
  <c r="J33" i="4"/>
  <c r="J53" i="4"/>
  <c r="L20" i="4"/>
  <c r="L12" i="4"/>
  <c r="L11" i="4" s="1"/>
  <c r="L25" i="4"/>
  <c r="L28" i="4"/>
  <c r="L36" i="4"/>
  <c r="L33" i="4" s="1"/>
  <c r="C19" i="4"/>
  <c r="C20" i="4" s="1"/>
  <c r="C27" i="4"/>
  <c r="C32" i="4"/>
  <c r="C38" i="4"/>
  <c r="AK65" i="41"/>
  <c r="K44" i="41"/>
  <c r="K47" i="41"/>
  <c r="K50" i="41"/>
  <c r="S44" i="41"/>
  <c r="S47" i="41"/>
  <c r="AI47" i="41" s="1"/>
  <c r="S50" i="41"/>
  <c r="AA44" i="41"/>
  <c r="AA43" i="41" s="1"/>
  <c r="AA56" i="41" s="1"/>
  <c r="AA47" i="41"/>
  <c r="AA50" i="41"/>
  <c r="AI45" i="41"/>
  <c r="AI46" i="41"/>
  <c r="AI48" i="41"/>
  <c r="AI49" i="41"/>
  <c r="AI51" i="41"/>
  <c r="AI52" i="41"/>
  <c r="J44" i="41"/>
  <c r="J43" i="41" s="1"/>
  <c r="J47" i="41"/>
  <c r="AH47" i="41" s="1"/>
  <c r="J50" i="41"/>
  <c r="R44" i="41"/>
  <c r="R43" i="41"/>
  <c r="R56" i="41" s="1"/>
  <c r="R47" i="41"/>
  <c r="R50" i="41"/>
  <c r="Z44" i="41"/>
  <c r="Z43" i="41" s="1"/>
  <c r="Z56" i="41" s="1"/>
  <c r="Z47" i="41"/>
  <c r="Z50" i="41"/>
  <c r="AH50" i="41" s="1"/>
  <c r="AH45" i="41"/>
  <c r="AH46" i="41"/>
  <c r="AH48" i="41"/>
  <c r="AH49" i="41"/>
  <c r="AH51" i="41"/>
  <c r="AH52" i="41"/>
  <c r="N73" i="41"/>
  <c r="O73" i="41"/>
  <c r="N70" i="41"/>
  <c r="N67" i="41" s="1"/>
  <c r="O70" i="41"/>
  <c r="AL89" i="41"/>
  <c r="AM89" i="41"/>
  <c r="AL88" i="41"/>
  <c r="AM88" i="41"/>
  <c r="AL80" i="41"/>
  <c r="AM80" i="41"/>
  <c r="AL78" i="41"/>
  <c r="AM78" i="41"/>
  <c r="AL79" i="41"/>
  <c r="AM79" i="41"/>
  <c r="N81" i="41"/>
  <c r="AL81" i="41" s="1"/>
  <c r="V81" i="41"/>
  <c r="AD81" i="41"/>
  <c r="O81" i="41"/>
  <c r="AM81" i="41" s="1"/>
  <c r="W81" i="41"/>
  <c r="AE81" i="41"/>
  <c r="AL82" i="41"/>
  <c r="AM82" i="41"/>
  <c r="AL83" i="41"/>
  <c r="AM83" i="41"/>
  <c r="AL84" i="41"/>
  <c r="AM84" i="41"/>
  <c r="AL85" i="41"/>
  <c r="AM85" i="41"/>
  <c r="AL77" i="41"/>
  <c r="AM77" i="41"/>
  <c r="V70" i="41"/>
  <c r="V67" i="41" s="1"/>
  <c r="AD70" i="41"/>
  <c r="AD67" i="41" s="1"/>
  <c r="W70" i="41"/>
  <c r="W67" i="41" s="1"/>
  <c r="AE70" i="41"/>
  <c r="AE67" i="41" s="1"/>
  <c r="AL68" i="41"/>
  <c r="AM68" i="41"/>
  <c r="AL69" i="41"/>
  <c r="AM69" i="41"/>
  <c r="AL71" i="41"/>
  <c r="AM71" i="41"/>
  <c r="AL72" i="41"/>
  <c r="AM72" i="41"/>
  <c r="V73" i="41"/>
  <c r="AL73" i="41" s="1"/>
  <c r="AD73" i="41"/>
  <c r="W73" i="41"/>
  <c r="AM73" i="41" s="1"/>
  <c r="AE73" i="41"/>
  <c r="AL74" i="41"/>
  <c r="AM74" i="41"/>
  <c r="AL75" i="41"/>
  <c r="AM75" i="41"/>
  <c r="AL76" i="41"/>
  <c r="AM76" i="41"/>
  <c r="AL66" i="41"/>
  <c r="AM66" i="41"/>
  <c r="AL65" i="41"/>
  <c r="AM65" i="41"/>
  <c r="AL60" i="41"/>
  <c r="AM60" i="41"/>
  <c r="AL61" i="41"/>
  <c r="AM61" i="41"/>
  <c r="AL62" i="41"/>
  <c r="AM62" i="41"/>
  <c r="AL64" i="41"/>
  <c r="AM64" i="41"/>
  <c r="AF89" i="41"/>
  <c r="AF80" i="41"/>
  <c r="AF78" i="41"/>
  <c r="AF79" i="41"/>
  <c r="Y81" i="41"/>
  <c r="AF81" i="41" s="1"/>
  <c r="AA81" i="41"/>
  <c r="AC81" i="41"/>
  <c r="AF82" i="41"/>
  <c r="AF83" i="41"/>
  <c r="AF84" i="41"/>
  <c r="AF88" i="41"/>
  <c r="AF60" i="41"/>
  <c r="AF61" i="41"/>
  <c r="AF62" i="41"/>
  <c r="AF64" i="41"/>
  <c r="AF65" i="41"/>
  <c r="AF66" i="41"/>
  <c r="Y70" i="41"/>
  <c r="Y67" i="41"/>
  <c r="AA70" i="41"/>
  <c r="AA67" i="41"/>
  <c r="AC70" i="41"/>
  <c r="AC67" i="41"/>
  <c r="AF68" i="41"/>
  <c r="AF69" i="41"/>
  <c r="AF71" i="41"/>
  <c r="AF72" i="41"/>
  <c r="Y73" i="41"/>
  <c r="AF73" i="41"/>
  <c r="AA73" i="41"/>
  <c r="AC73" i="41"/>
  <c r="AF74" i="41"/>
  <c r="AF75" i="41"/>
  <c r="AF76" i="41"/>
  <c r="AF77" i="41"/>
  <c r="AF85" i="41"/>
  <c r="Y44" i="41"/>
  <c r="AE44" i="41"/>
  <c r="AF45" i="41"/>
  <c r="AF46" i="41"/>
  <c r="Y47" i="41"/>
  <c r="AF47" i="41" s="1"/>
  <c r="AE47" i="41"/>
  <c r="AF48" i="41"/>
  <c r="AF49" i="41"/>
  <c r="Y50" i="41"/>
  <c r="AE50" i="41"/>
  <c r="AE43" i="41" s="1"/>
  <c r="AE56" i="41" s="1"/>
  <c r="AF51" i="41"/>
  <c r="AF52" i="41"/>
  <c r="AA53" i="41"/>
  <c r="AF53" i="41" s="1"/>
  <c r="AE53" i="41"/>
  <c r="AF54" i="41"/>
  <c r="AF55" i="41"/>
  <c r="AA20" i="41"/>
  <c r="AA12" i="41" s="1"/>
  <c r="AA25" i="41"/>
  <c r="AA28" i="41"/>
  <c r="AA36" i="41"/>
  <c r="AA33" i="41" s="1"/>
  <c r="Y20" i="41"/>
  <c r="Y12" i="41" s="1"/>
  <c r="Y25" i="41"/>
  <c r="Y28" i="41"/>
  <c r="AC20" i="41"/>
  <c r="AC12" i="41"/>
  <c r="AC11" i="41" s="1"/>
  <c r="AC41" i="41" s="1"/>
  <c r="AC57" i="41" s="1"/>
  <c r="AC25" i="41"/>
  <c r="AC28" i="41"/>
  <c r="AF28" i="41" s="1"/>
  <c r="AC36" i="41"/>
  <c r="AC33" i="41" s="1"/>
  <c r="AE20" i="41"/>
  <c r="AE12" i="41" s="1"/>
  <c r="AE11" i="41" s="1"/>
  <c r="AE41" i="41" s="1"/>
  <c r="AE25" i="41"/>
  <c r="AE28" i="41"/>
  <c r="AE36" i="41"/>
  <c r="AE33" i="41" s="1"/>
  <c r="AF13" i="41"/>
  <c r="AF19" i="41"/>
  <c r="AF21" i="41"/>
  <c r="AF22" i="41"/>
  <c r="AF23" i="41"/>
  <c r="AF24" i="41"/>
  <c r="AF25" i="41"/>
  <c r="AF26" i="41"/>
  <c r="AF27" i="41"/>
  <c r="AF29" i="41"/>
  <c r="AF32" i="41"/>
  <c r="AF34" i="41"/>
  <c r="AF35" i="41"/>
  <c r="AF37" i="41"/>
  <c r="AF38" i="41"/>
  <c r="AF39" i="41"/>
  <c r="AF40" i="41"/>
  <c r="N20" i="41"/>
  <c r="N12" i="41" s="1"/>
  <c r="N11" i="41" s="1"/>
  <c r="N25" i="41"/>
  <c r="AL25" i="41" s="1"/>
  <c r="N28" i="41"/>
  <c r="N36" i="41"/>
  <c r="N44" i="41"/>
  <c r="N47" i="41"/>
  <c r="N50" i="41"/>
  <c r="N53" i="41"/>
  <c r="V20" i="41"/>
  <c r="V25" i="41"/>
  <c r="V28" i="41"/>
  <c r="V36" i="41"/>
  <c r="V33" i="41"/>
  <c r="V44" i="41"/>
  <c r="V43" i="41"/>
  <c r="V47" i="41"/>
  <c r="V50" i="41"/>
  <c r="AL50" i="41" s="1"/>
  <c r="V53" i="41"/>
  <c r="AD20" i="41"/>
  <c r="AD25" i="41"/>
  <c r="AD28" i="41"/>
  <c r="AD36" i="41"/>
  <c r="AD33" i="41"/>
  <c r="AD44" i="41"/>
  <c r="AD47" i="41"/>
  <c r="AD50" i="41"/>
  <c r="AD53" i="41"/>
  <c r="O20" i="41"/>
  <c r="O12" i="41"/>
  <c r="O25" i="41"/>
  <c r="O28" i="41"/>
  <c r="AM28" i="41" s="1"/>
  <c r="O36" i="41"/>
  <c r="O33" i="41" s="1"/>
  <c r="AM33" i="41" s="1"/>
  <c r="O44" i="41"/>
  <c r="O47" i="41"/>
  <c r="O50" i="41"/>
  <c r="O53" i="41"/>
  <c r="W20" i="41"/>
  <c r="W12" i="41"/>
  <c r="W11" i="41" s="1"/>
  <c r="W41" i="41" s="1"/>
  <c r="W25" i="41"/>
  <c r="AM25" i="41" s="1"/>
  <c r="W28" i="41"/>
  <c r="W36" i="41"/>
  <c r="W33" i="41"/>
  <c r="W44" i="41"/>
  <c r="W47" i="41"/>
  <c r="W43" i="41" s="1"/>
  <c r="W56" i="41" s="1"/>
  <c r="W50" i="41"/>
  <c r="W53" i="41"/>
  <c r="AL53" i="41"/>
  <c r="AL54" i="41"/>
  <c r="AM54" i="41"/>
  <c r="AL55" i="41"/>
  <c r="AM55" i="41"/>
  <c r="AL45" i="41"/>
  <c r="AM45" i="41"/>
  <c r="AL46" i="41"/>
  <c r="AM46" i="41"/>
  <c r="AL47" i="41"/>
  <c r="AL48" i="41"/>
  <c r="AM48" i="41"/>
  <c r="AL49" i="41"/>
  <c r="AM49" i="41"/>
  <c r="AL51" i="41"/>
  <c r="AM51" i="41"/>
  <c r="AL52" i="41"/>
  <c r="AM52" i="41"/>
  <c r="AL21" i="41"/>
  <c r="AM21" i="41"/>
  <c r="AL22" i="41"/>
  <c r="AM22" i="41"/>
  <c r="AL23" i="41"/>
  <c r="AM23" i="41"/>
  <c r="AL24" i="41"/>
  <c r="AM24" i="41"/>
  <c r="AL26" i="41"/>
  <c r="AM26" i="41"/>
  <c r="AL27" i="41"/>
  <c r="AM27" i="41"/>
  <c r="AL28" i="41"/>
  <c r="AL29" i="41"/>
  <c r="AM29" i="41"/>
  <c r="AL32" i="41"/>
  <c r="AM32" i="41"/>
  <c r="AL34" i="41"/>
  <c r="AM34" i="41"/>
  <c r="AL35" i="41"/>
  <c r="AM35" i="41"/>
  <c r="AL37" i="41"/>
  <c r="AM37" i="41"/>
  <c r="AL38" i="41"/>
  <c r="AM38" i="41"/>
  <c r="AL39" i="41"/>
  <c r="AM39" i="41"/>
  <c r="AL40" i="41"/>
  <c r="AM40" i="41"/>
  <c r="AL19" i="41"/>
  <c r="AM19" i="41"/>
  <c r="AM13" i="41"/>
  <c r="X89" i="41"/>
  <c r="X80" i="41"/>
  <c r="X78" i="41"/>
  <c r="X79" i="41"/>
  <c r="Q81" i="41"/>
  <c r="X81" i="41"/>
  <c r="S81" i="41"/>
  <c r="U81" i="41"/>
  <c r="X82" i="41"/>
  <c r="X83" i="41"/>
  <c r="X84" i="41"/>
  <c r="X88" i="41"/>
  <c r="X85" i="41"/>
  <c r="X60" i="41"/>
  <c r="X61" i="41"/>
  <c r="X62" i="41"/>
  <c r="X64" i="41"/>
  <c r="X65" i="41"/>
  <c r="X66" i="41"/>
  <c r="Q70" i="41"/>
  <c r="Q67" i="41"/>
  <c r="X67" i="41" s="1"/>
  <c r="S70" i="41"/>
  <c r="S67" i="41"/>
  <c r="U70" i="41"/>
  <c r="U67" i="41"/>
  <c r="X68" i="41"/>
  <c r="X69" i="41"/>
  <c r="X71" i="41"/>
  <c r="X72" i="41"/>
  <c r="Q73" i="41"/>
  <c r="S73" i="41"/>
  <c r="U73" i="41"/>
  <c r="X74" i="41"/>
  <c r="X75" i="41"/>
  <c r="X76" i="41"/>
  <c r="X77" i="41"/>
  <c r="Q44" i="41"/>
  <c r="X44" i="41" s="1"/>
  <c r="X45" i="41"/>
  <c r="X46" i="41"/>
  <c r="Q47" i="41"/>
  <c r="X47" i="41" s="1"/>
  <c r="X48" i="41"/>
  <c r="X49" i="41"/>
  <c r="Q50" i="41"/>
  <c r="X50" i="41" s="1"/>
  <c r="X51" i="41"/>
  <c r="X52" i="41"/>
  <c r="S53" i="41"/>
  <c r="X54" i="41"/>
  <c r="X55" i="41"/>
  <c r="S20" i="41"/>
  <c r="S25" i="41"/>
  <c r="S28" i="41"/>
  <c r="S36" i="41"/>
  <c r="Q20" i="41"/>
  <c r="Q25" i="41"/>
  <c r="Q28" i="41"/>
  <c r="X28" i="41" s="1"/>
  <c r="U20" i="41"/>
  <c r="U25" i="41"/>
  <c r="U28" i="41"/>
  <c r="U36" i="41"/>
  <c r="U33" i="41"/>
  <c r="X19" i="41"/>
  <c r="X21" i="41"/>
  <c r="X22" i="41"/>
  <c r="X23" i="41"/>
  <c r="X24" i="41"/>
  <c r="X26" i="41"/>
  <c r="X27" i="41"/>
  <c r="X29" i="41"/>
  <c r="X32" i="41"/>
  <c r="X34" i="41"/>
  <c r="X35" i="41"/>
  <c r="X37" i="41"/>
  <c r="X38" i="41"/>
  <c r="X39" i="41"/>
  <c r="X40" i="41"/>
  <c r="P89" i="41"/>
  <c r="P88" i="41"/>
  <c r="P80" i="41"/>
  <c r="AN80" i="41" s="1"/>
  <c r="P78" i="41"/>
  <c r="AN78" i="41" s="1"/>
  <c r="P79" i="41"/>
  <c r="AN79" i="41" s="1"/>
  <c r="I81" i="41"/>
  <c r="K81" i="41"/>
  <c r="M81" i="41"/>
  <c r="P82" i="41"/>
  <c r="P83" i="41"/>
  <c r="P84" i="41"/>
  <c r="P60" i="41"/>
  <c r="AN60" i="41" s="1"/>
  <c r="P61" i="41"/>
  <c r="P62" i="41"/>
  <c r="AN62" i="41"/>
  <c r="P64" i="41"/>
  <c r="P65" i="41"/>
  <c r="AN65" i="41" s="1"/>
  <c r="P66" i="41"/>
  <c r="AN66" i="41" s="1"/>
  <c r="I70" i="41"/>
  <c r="K70" i="41"/>
  <c r="K67" i="41" s="1"/>
  <c r="AI67" i="41" s="1"/>
  <c r="M70" i="41"/>
  <c r="M67" i="41"/>
  <c r="P68" i="41"/>
  <c r="AN68" i="41"/>
  <c r="P69" i="41"/>
  <c r="AN69" i="41" s="1"/>
  <c r="P71" i="41"/>
  <c r="AN71" i="41" s="1"/>
  <c r="P72" i="41"/>
  <c r="I73" i="41"/>
  <c r="K73" i="41"/>
  <c r="M73" i="41"/>
  <c r="AK73" i="41" s="1"/>
  <c r="P74" i="41"/>
  <c r="P75" i="41"/>
  <c r="AN75" i="41"/>
  <c r="P76" i="41"/>
  <c r="AN76" i="41" s="1"/>
  <c r="P77" i="41"/>
  <c r="AN77" i="41" s="1"/>
  <c r="P85" i="41"/>
  <c r="I44" i="41"/>
  <c r="AG44" i="41"/>
  <c r="P45" i="41"/>
  <c r="P46" i="41"/>
  <c r="I47" i="41"/>
  <c r="P47" i="41"/>
  <c r="P48" i="41"/>
  <c r="AN48" i="41"/>
  <c r="P49" i="41"/>
  <c r="I50" i="41"/>
  <c r="P50" i="41" s="1"/>
  <c r="P51" i="41"/>
  <c r="AN51" i="41" s="1"/>
  <c r="P52" i="41"/>
  <c r="K53" i="41"/>
  <c r="AI53" i="41"/>
  <c r="P54" i="41"/>
  <c r="AN54" i="41"/>
  <c r="P55" i="41"/>
  <c r="I43" i="41"/>
  <c r="I56" i="41" s="1"/>
  <c r="K20" i="41"/>
  <c r="K12" i="41" s="1"/>
  <c r="K25" i="41"/>
  <c r="K28" i="41"/>
  <c r="AI28" i="41"/>
  <c r="K36" i="41"/>
  <c r="AI36" i="41" s="1"/>
  <c r="K33" i="41"/>
  <c r="I20" i="41"/>
  <c r="I25" i="41"/>
  <c r="AG25" i="41" s="1"/>
  <c r="I28" i="41"/>
  <c r="M20" i="41"/>
  <c r="M12" i="41"/>
  <c r="M25" i="41"/>
  <c r="P25" i="41"/>
  <c r="M28" i="41"/>
  <c r="AK28" i="41" s="1"/>
  <c r="M36" i="41"/>
  <c r="M33" i="41" s="1"/>
  <c r="AK33" i="41" s="1"/>
  <c r="P19" i="41"/>
  <c r="P20" i="41"/>
  <c r="P21" i="41"/>
  <c r="AN21" i="41" s="1"/>
  <c r="P22" i="41"/>
  <c r="AN22" i="41" s="1"/>
  <c r="P23" i="41"/>
  <c r="AN23" i="41" s="1"/>
  <c r="P24" i="41"/>
  <c r="AN24" i="41" s="1"/>
  <c r="P26" i="41"/>
  <c r="AN26" i="41" s="1"/>
  <c r="P27" i="41"/>
  <c r="P29" i="41"/>
  <c r="AN29" i="41" s="1"/>
  <c r="P32" i="41"/>
  <c r="P34" i="41"/>
  <c r="AN34" i="41" s="1"/>
  <c r="P35" i="41"/>
  <c r="P37" i="41"/>
  <c r="AN37" i="41"/>
  <c r="P38" i="41"/>
  <c r="P39" i="41"/>
  <c r="AN39" i="41" s="1"/>
  <c r="P40" i="41"/>
  <c r="J20" i="41"/>
  <c r="J12" i="41" s="1"/>
  <c r="J25" i="41"/>
  <c r="AH25" i="41" s="1"/>
  <c r="J28" i="41"/>
  <c r="AH28" i="41" s="1"/>
  <c r="L20" i="41"/>
  <c r="AJ20" i="41" s="1"/>
  <c r="L25" i="41"/>
  <c r="L28" i="41"/>
  <c r="R20" i="41"/>
  <c r="R12" i="41"/>
  <c r="R11" i="41" s="1"/>
  <c r="R25" i="41"/>
  <c r="R28" i="41"/>
  <c r="T20" i="41"/>
  <c r="T12" i="41" s="1"/>
  <c r="T11" i="41" s="1"/>
  <c r="T41" i="41" s="1"/>
  <c r="T57" i="41" s="1"/>
  <c r="T25" i="41"/>
  <c r="T28" i="41"/>
  <c r="Z20" i="41"/>
  <c r="Z25" i="41"/>
  <c r="Z28" i="41"/>
  <c r="AB20" i="41"/>
  <c r="AB12" i="41"/>
  <c r="AB11" i="41" s="1"/>
  <c r="AB25" i="41"/>
  <c r="AB28" i="41"/>
  <c r="AJ13" i="41"/>
  <c r="AK13" i="41"/>
  <c r="C19" i="41"/>
  <c r="C20" i="41"/>
  <c r="AG19" i="41"/>
  <c r="AN19" i="41"/>
  <c r="AI20" i="41"/>
  <c r="AG21" i="41"/>
  <c r="AH21" i="41"/>
  <c r="AI21" i="41"/>
  <c r="AJ21" i="41"/>
  <c r="AK21" i="41"/>
  <c r="AG22" i="41"/>
  <c r="AH22" i="41"/>
  <c r="AI22" i="41"/>
  <c r="AJ22" i="41"/>
  <c r="AK22" i="41"/>
  <c r="AG23" i="41"/>
  <c r="AH23" i="41"/>
  <c r="AI23" i="41"/>
  <c r="AJ23" i="41"/>
  <c r="AK23" i="41"/>
  <c r="AG24" i="41"/>
  <c r="AH24" i="41"/>
  <c r="AI24" i="41"/>
  <c r="AJ24" i="41"/>
  <c r="AK24" i="41"/>
  <c r="AI25" i="41"/>
  <c r="AK25" i="41"/>
  <c r="AG26" i="41"/>
  <c r="AH26" i="41"/>
  <c r="AI26" i="41"/>
  <c r="AJ26" i="41"/>
  <c r="AK26" i="41"/>
  <c r="C27" i="41"/>
  <c r="AG27" i="41"/>
  <c r="AH27" i="41"/>
  <c r="AI27" i="41"/>
  <c r="AJ27" i="41"/>
  <c r="AK27" i="41"/>
  <c r="AN27" i="41"/>
  <c r="AJ28" i="41"/>
  <c r="AG29" i="41"/>
  <c r="AH29" i="41"/>
  <c r="AI29" i="41"/>
  <c r="AJ29" i="41"/>
  <c r="AK29" i="41"/>
  <c r="C32" i="41"/>
  <c r="AG32" i="41"/>
  <c r="AH32" i="41"/>
  <c r="AI32" i="41"/>
  <c r="AJ32" i="41"/>
  <c r="AK32" i="41"/>
  <c r="J36" i="41"/>
  <c r="J33" i="41" s="1"/>
  <c r="L36" i="41"/>
  <c r="L33" i="41" s="1"/>
  <c r="R36" i="41"/>
  <c r="R33" i="41" s="1"/>
  <c r="T36" i="41"/>
  <c r="T33" i="41" s="1"/>
  <c r="Z36" i="41"/>
  <c r="Z33" i="41" s="1"/>
  <c r="AB36" i="41"/>
  <c r="AB33" i="41" s="1"/>
  <c r="AH34" i="41"/>
  <c r="AI34" i="41"/>
  <c r="AJ34" i="41"/>
  <c r="AK34" i="41"/>
  <c r="AH35" i="41"/>
  <c r="AI35" i="41"/>
  <c r="AJ35" i="41"/>
  <c r="AK35" i="41"/>
  <c r="AN35" i="41"/>
  <c r="AK36" i="41"/>
  <c r="AH37" i="41"/>
  <c r="AI37" i="41"/>
  <c r="AJ37" i="41"/>
  <c r="AK37" i="41"/>
  <c r="C38" i="41"/>
  <c r="AH38" i="41"/>
  <c r="AI38" i="41"/>
  <c r="AJ38" i="41"/>
  <c r="AK38" i="41"/>
  <c r="AH39" i="41"/>
  <c r="AI39" i="41"/>
  <c r="AJ39" i="41"/>
  <c r="AK39" i="41"/>
  <c r="AH40" i="41"/>
  <c r="AI40" i="41"/>
  <c r="AJ40" i="41"/>
  <c r="AK40" i="41"/>
  <c r="AN40" i="41"/>
  <c r="AG45" i="41"/>
  <c r="AG46" i="41"/>
  <c r="AN46" i="41"/>
  <c r="AG47" i="41"/>
  <c r="AG48" i="41"/>
  <c r="AG49" i="41"/>
  <c r="AN49" i="41"/>
  <c r="AG50" i="41"/>
  <c r="AG51" i="41"/>
  <c r="AG52" i="41"/>
  <c r="AN52" i="41"/>
  <c r="J53" i="41"/>
  <c r="R53" i="41"/>
  <c r="Z53" i="41"/>
  <c r="AH53" i="41"/>
  <c r="AH54" i="41"/>
  <c r="AI54" i="41"/>
  <c r="AH55" i="41"/>
  <c r="AI55" i="41"/>
  <c r="AN55" i="41"/>
  <c r="AG60" i="41"/>
  <c r="AG61" i="41"/>
  <c r="AN61" i="41"/>
  <c r="AG62" i="41"/>
  <c r="AG64" i="41"/>
  <c r="AN64" i="41"/>
  <c r="AG65" i="41"/>
  <c r="AH65" i="41"/>
  <c r="AI65" i="41"/>
  <c r="AJ65" i="41"/>
  <c r="AG66" i="41"/>
  <c r="J70" i="41"/>
  <c r="L70" i="41"/>
  <c r="AJ70" i="41" s="1"/>
  <c r="R70" i="41"/>
  <c r="R67" i="41" s="1"/>
  <c r="T70" i="41"/>
  <c r="T67" i="41" s="1"/>
  <c r="Z70" i="41"/>
  <c r="Z67" i="41" s="1"/>
  <c r="AB70" i="41"/>
  <c r="AB67" i="41" s="1"/>
  <c r="AG68" i="41"/>
  <c r="AH68" i="41"/>
  <c r="AI68" i="41"/>
  <c r="AJ68" i="41"/>
  <c r="AK68" i="41"/>
  <c r="AG69" i="41"/>
  <c r="AH69" i="41"/>
  <c r="AI69" i="41"/>
  <c r="AJ69" i="41"/>
  <c r="AK69" i="41"/>
  <c r="AI70" i="41"/>
  <c r="AK70" i="41"/>
  <c r="AG71" i="41"/>
  <c r="AH71" i="41"/>
  <c r="AI71" i="41"/>
  <c r="AJ71" i="41"/>
  <c r="AK71" i="41"/>
  <c r="AG72" i="41"/>
  <c r="AH72" i="41"/>
  <c r="AI72" i="41"/>
  <c r="AJ72" i="41"/>
  <c r="AK72" i="41"/>
  <c r="AN72" i="41"/>
  <c r="J73" i="41"/>
  <c r="L73" i="41"/>
  <c r="AJ73" i="41" s="1"/>
  <c r="R73" i="41"/>
  <c r="T73" i="41"/>
  <c r="Z73" i="41"/>
  <c r="AB73" i="41"/>
  <c r="AH73" i="41"/>
  <c r="AI73" i="41"/>
  <c r="AG74" i="41"/>
  <c r="AH74" i="41"/>
  <c r="AI74" i="41"/>
  <c r="AJ74" i="41"/>
  <c r="AK74" i="41"/>
  <c r="AN74" i="41"/>
  <c r="AG75" i="41"/>
  <c r="AH75" i="41"/>
  <c r="AI75" i="41"/>
  <c r="AJ75" i="41"/>
  <c r="AK75" i="41"/>
  <c r="AG76" i="41"/>
  <c r="AH76" i="41"/>
  <c r="AI76" i="41"/>
  <c r="AJ76" i="41"/>
  <c r="AK76" i="41"/>
  <c r="AG77" i="41"/>
  <c r="AH77" i="41"/>
  <c r="AI77" i="41"/>
  <c r="AG85" i="41"/>
  <c r="AH85" i="41"/>
  <c r="AI85" i="41"/>
  <c r="AN85" i="41"/>
  <c r="AG80" i="41"/>
  <c r="AH80" i="41"/>
  <c r="AI80" i="41"/>
  <c r="AJ80" i="41"/>
  <c r="AK80" i="41"/>
  <c r="AG78" i="41"/>
  <c r="AH78" i="41"/>
  <c r="AI78" i="41"/>
  <c r="AJ78" i="41"/>
  <c r="AK78" i="41"/>
  <c r="AG79" i="41"/>
  <c r="AH79" i="41"/>
  <c r="AI79" i="41"/>
  <c r="AJ79" i="41"/>
  <c r="AK79" i="41"/>
  <c r="J81" i="41"/>
  <c r="AH81" i="41" s="1"/>
  <c r="L81" i="41"/>
  <c r="AJ81" i="41" s="1"/>
  <c r="R81" i="41"/>
  <c r="T81" i="41"/>
  <c r="Z81" i="41"/>
  <c r="AB81" i="41"/>
  <c r="AG81" i="41"/>
  <c r="AK81" i="41"/>
  <c r="AG82" i="41"/>
  <c r="AH82" i="41"/>
  <c r="AI82" i="41"/>
  <c r="AJ82" i="41"/>
  <c r="AK82" i="41"/>
  <c r="AN82" i="41"/>
  <c r="AG83" i="41"/>
  <c r="AH83" i="41"/>
  <c r="AI83" i="41"/>
  <c r="AJ83" i="41"/>
  <c r="AK83" i="41"/>
  <c r="AN83" i="41"/>
  <c r="AG84" i="41"/>
  <c r="AH84" i="41"/>
  <c r="AI84" i="41"/>
  <c r="AJ84" i="41"/>
  <c r="AK84" i="41"/>
  <c r="AN84" i="41"/>
  <c r="AG88" i="41"/>
  <c r="AH88" i="41"/>
  <c r="AI88" i="41"/>
  <c r="AN88" i="41"/>
  <c r="AG89" i="41"/>
  <c r="AH89" i="41"/>
  <c r="AI89" i="41"/>
  <c r="AN89" i="41"/>
  <c r="I12" i="42"/>
  <c r="P12" i="42" s="1"/>
  <c r="K12" i="42"/>
  <c r="M12" i="42"/>
  <c r="O12" i="42"/>
  <c r="P13" i="42"/>
  <c r="P14" i="42"/>
  <c r="P15" i="42"/>
  <c r="P16" i="42"/>
  <c r="P17" i="42"/>
  <c r="O18" i="42"/>
  <c r="P18" i="42" s="1"/>
  <c r="P19" i="42"/>
  <c r="P20" i="42"/>
  <c r="P21" i="42"/>
  <c r="P22" i="42"/>
  <c r="P23" i="42"/>
  <c r="K29" i="42"/>
  <c r="P29" i="42"/>
  <c r="M29" i="42"/>
  <c r="O29" i="42"/>
  <c r="P30" i="42"/>
  <c r="P31" i="42"/>
  <c r="P32" i="42"/>
  <c r="P33" i="42"/>
  <c r="I34" i="42"/>
  <c r="K34" i="42"/>
  <c r="P34" i="42" s="1"/>
  <c r="M34" i="42"/>
  <c r="O34" i="42"/>
  <c r="P35" i="42"/>
  <c r="P36" i="42"/>
  <c r="P37" i="42"/>
  <c r="P38" i="42"/>
  <c r="I39" i="42"/>
  <c r="K39" i="42"/>
  <c r="M39" i="42"/>
  <c r="O39" i="42"/>
  <c r="P40" i="42"/>
  <c r="P41" i="42"/>
  <c r="P42" i="42"/>
  <c r="P43" i="42"/>
  <c r="K45" i="42"/>
  <c r="K50" i="42"/>
  <c r="K55" i="42"/>
  <c r="K60" i="42"/>
  <c r="M45" i="42"/>
  <c r="M44" i="42" s="1"/>
  <c r="M50" i="42"/>
  <c r="M55" i="42"/>
  <c r="M60" i="42"/>
  <c r="P60" i="42" s="1"/>
  <c r="O45" i="42"/>
  <c r="O50" i="42"/>
  <c r="O55" i="42"/>
  <c r="O60" i="42"/>
  <c r="P45" i="42"/>
  <c r="P46" i="42"/>
  <c r="P47" i="42"/>
  <c r="P48" i="42"/>
  <c r="P49" i="42"/>
  <c r="P51" i="42"/>
  <c r="P52" i="42"/>
  <c r="P53" i="42"/>
  <c r="P54" i="42"/>
  <c r="P56" i="42"/>
  <c r="P57" i="42"/>
  <c r="P58" i="42"/>
  <c r="P59" i="42"/>
  <c r="P61" i="42"/>
  <c r="P62" i="42"/>
  <c r="P63" i="42"/>
  <c r="P64" i="42"/>
  <c r="N18" i="42"/>
  <c r="N29" i="42"/>
  <c r="N34" i="42"/>
  <c r="N39" i="42"/>
  <c r="N45" i="42"/>
  <c r="N50" i="42"/>
  <c r="N44" i="42" s="1"/>
  <c r="N55" i="42"/>
  <c r="N60" i="42"/>
  <c r="N12" i="42"/>
  <c r="J12" i="42"/>
  <c r="J29" i="42"/>
  <c r="J34" i="42"/>
  <c r="J39" i="42"/>
  <c r="L12" i="42"/>
  <c r="L29" i="42"/>
  <c r="L34" i="42"/>
  <c r="L39" i="42"/>
  <c r="C14" i="42"/>
  <c r="C15" i="42"/>
  <c r="C16" i="42" s="1"/>
  <c r="C17" i="42" s="1"/>
  <c r="C20" i="42"/>
  <c r="C21" i="42"/>
  <c r="C22" i="42" s="1"/>
  <c r="C23" i="42" s="1"/>
  <c r="C31" i="42"/>
  <c r="C32" i="42"/>
  <c r="C33" i="42" s="1"/>
  <c r="C36" i="42"/>
  <c r="C37" i="42" s="1"/>
  <c r="C38" i="42" s="1"/>
  <c r="C41" i="42"/>
  <c r="C42" i="42"/>
  <c r="C43" i="42" s="1"/>
  <c r="J45" i="42"/>
  <c r="J50" i="42"/>
  <c r="J55" i="42"/>
  <c r="L45" i="42"/>
  <c r="L50" i="42"/>
  <c r="L44" i="42" s="1"/>
  <c r="L55" i="42"/>
  <c r="L60" i="42"/>
  <c r="C48" i="42"/>
  <c r="C49" i="42" s="1"/>
  <c r="C52" i="42"/>
  <c r="C53" i="42" s="1"/>
  <c r="C54" i="42" s="1"/>
  <c r="C57" i="42"/>
  <c r="C58" i="42"/>
  <c r="C59" i="42" s="1"/>
  <c r="C62" i="42"/>
  <c r="C63" i="42" s="1"/>
  <c r="C64" i="42" s="1"/>
  <c r="J12" i="36"/>
  <c r="J11" i="36"/>
  <c r="J25" i="36"/>
  <c r="J28" i="36"/>
  <c r="J20" i="37"/>
  <c r="J25" i="37"/>
  <c r="J28" i="37"/>
  <c r="J20" i="38"/>
  <c r="J25" i="38"/>
  <c r="J28" i="38"/>
  <c r="J20" i="39"/>
  <c r="J12" i="39" s="1"/>
  <c r="J11" i="39" s="1"/>
  <c r="J25" i="39"/>
  <c r="J28" i="39"/>
  <c r="L12" i="36"/>
  <c r="L25" i="36"/>
  <c r="L28" i="36"/>
  <c r="L20" i="37"/>
  <c r="L25" i="37"/>
  <c r="L28" i="37"/>
  <c r="AD28" i="37" s="1"/>
  <c r="L20" i="38"/>
  <c r="L12" i="38" s="1"/>
  <c r="L25" i="38"/>
  <c r="L28" i="38"/>
  <c r="L20" i="39"/>
  <c r="L12" i="39"/>
  <c r="L25" i="39"/>
  <c r="L28" i="39"/>
  <c r="N12" i="36"/>
  <c r="N11" i="36"/>
  <c r="N25" i="36"/>
  <c r="N28" i="36"/>
  <c r="N20" i="37"/>
  <c r="N12" i="37"/>
  <c r="N11" i="37" s="1"/>
  <c r="N10" i="37" s="1"/>
  <c r="N55" i="37" s="1"/>
  <c r="N25" i="37"/>
  <c r="N28" i="37"/>
  <c r="N20" i="38"/>
  <c r="N12" i="38" s="1"/>
  <c r="N25" i="38"/>
  <c r="N28" i="38"/>
  <c r="AD28" i="38" s="1"/>
  <c r="N20" i="39"/>
  <c r="N12" i="39"/>
  <c r="N11" i="39" s="1"/>
  <c r="N10" i="39" s="1"/>
  <c r="N55" i="39" s="1"/>
  <c r="N25" i="39"/>
  <c r="N28" i="39"/>
  <c r="P12" i="36"/>
  <c r="P25" i="36"/>
  <c r="P28" i="36"/>
  <c r="P11" i="36"/>
  <c r="P20" i="37"/>
  <c r="P12" i="37"/>
  <c r="P25" i="37"/>
  <c r="P28" i="37"/>
  <c r="P20" i="38"/>
  <c r="P12" i="38" s="1"/>
  <c r="P11" i="38" s="1"/>
  <c r="P10" i="38" s="1"/>
  <c r="P55" i="38" s="1"/>
  <c r="P25" i="38"/>
  <c r="P28" i="38"/>
  <c r="P20" i="39"/>
  <c r="P25" i="39"/>
  <c r="L24" i="35" s="1"/>
  <c r="P28" i="39"/>
  <c r="R12" i="36"/>
  <c r="R25" i="36"/>
  <c r="R28" i="36"/>
  <c r="R20" i="37"/>
  <c r="R25" i="37"/>
  <c r="R28" i="37"/>
  <c r="R20" i="38"/>
  <c r="R12" i="38"/>
  <c r="R25" i="38"/>
  <c r="R28" i="38"/>
  <c r="R20" i="39"/>
  <c r="R25" i="39"/>
  <c r="M24" i="35" s="1"/>
  <c r="R28" i="39"/>
  <c r="T12" i="36"/>
  <c r="T25" i="36"/>
  <c r="T11" i="36"/>
  <c r="T28" i="36"/>
  <c r="T20" i="37"/>
  <c r="T12" i="37" s="1"/>
  <c r="T25" i="37"/>
  <c r="T28" i="37"/>
  <c r="T20" i="38"/>
  <c r="T25" i="38"/>
  <c r="T28" i="38"/>
  <c r="T20" i="39"/>
  <c r="T25" i="39"/>
  <c r="T28" i="39"/>
  <c r="V12" i="36"/>
  <c r="V25" i="36"/>
  <c r="V28" i="36"/>
  <c r="V20" i="37"/>
  <c r="V12" i="37" s="1"/>
  <c r="V11" i="37" s="1"/>
  <c r="V10" i="37" s="1"/>
  <c r="V25" i="37"/>
  <c r="V28" i="37"/>
  <c r="V20" i="38"/>
  <c r="V12" i="38" s="1"/>
  <c r="V25" i="38"/>
  <c r="V28" i="38"/>
  <c r="V20" i="39"/>
  <c r="V12" i="39" s="1"/>
  <c r="V11" i="39" s="1"/>
  <c r="V25" i="39"/>
  <c r="V28" i="39"/>
  <c r="X12" i="36"/>
  <c r="X25" i="36"/>
  <c r="X28" i="36"/>
  <c r="X20" i="37"/>
  <c r="X25" i="37"/>
  <c r="X28" i="37"/>
  <c r="X20" i="38"/>
  <c r="X12" i="38"/>
  <c r="X11" i="38" s="1"/>
  <c r="X10" i="38" s="1"/>
  <c r="X55" i="38" s="1"/>
  <c r="X25" i="38"/>
  <c r="X28" i="38"/>
  <c r="X20" i="39"/>
  <c r="X12" i="39" s="1"/>
  <c r="X11" i="39" s="1"/>
  <c r="X10" i="39" s="1"/>
  <c r="X25" i="39"/>
  <c r="X28" i="39"/>
  <c r="P27" i="35"/>
  <c r="Z12" i="36"/>
  <c r="Z25" i="36"/>
  <c r="Z28" i="36"/>
  <c r="Z20" i="37"/>
  <c r="Z25" i="37"/>
  <c r="Z28" i="37"/>
  <c r="Z20" i="38"/>
  <c r="Z12" i="38"/>
  <c r="Z11" i="38" s="1"/>
  <c r="Z10" i="38" s="1"/>
  <c r="Z55" i="38" s="1"/>
  <c r="Z25" i="38"/>
  <c r="Z28" i="38"/>
  <c r="Z20" i="39"/>
  <c r="Z12" i="39" s="1"/>
  <c r="Z11" i="39" s="1"/>
  <c r="Z10" i="39" s="1"/>
  <c r="Z55" i="39" s="1"/>
  <c r="Z25" i="39"/>
  <c r="Z28" i="39"/>
  <c r="AB25" i="36"/>
  <c r="AB28" i="36"/>
  <c r="AB20" i="37"/>
  <c r="AB12" i="37" s="1"/>
  <c r="AB11" i="37" s="1"/>
  <c r="AB10" i="37" s="1"/>
  <c r="AB25" i="37"/>
  <c r="R24" i="35" s="1"/>
  <c r="AB28" i="37"/>
  <c r="AB20" i="38"/>
  <c r="AB25" i="38"/>
  <c r="AB28" i="38"/>
  <c r="AB20" i="39"/>
  <c r="AB12" i="39"/>
  <c r="AB11" i="39" s="1"/>
  <c r="AB10" i="39" s="1"/>
  <c r="AB25" i="39"/>
  <c r="AB28" i="39"/>
  <c r="K14" i="35"/>
  <c r="M14" i="35"/>
  <c r="O14" i="35"/>
  <c r="P14" i="35"/>
  <c r="Q14" i="35"/>
  <c r="AD13" i="36"/>
  <c r="I18" i="35"/>
  <c r="J18" i="35"/>
  <c r="K18" i="35"/>
  <c r="L18" i="35"/>
  <c r="M18" i="35"/>
  <c r="N18" i="35"/>
  <c r="O18" i="35"/>
  <c r="P18" i="35"/>
  <c r="Q18" i="35"/>
  <c r="R18" i="35"/>
  <c r="AD19" i="39"/>
  <c r="S18" i="35" s="1"/>
  <c r="J19" i="35"/>
  <c r="K19" i="35"/>
  <c r="L19" i="35"/>
  <c r="O19" i="35"/>
  <c r="I20" i="35"/>
  <c r="J20" i="35"/>
  <c r="K20" i="35"/>
  <c r="L20" i="35"/>
  <c r="M20" i="35"/>
  <c r="N20" i="35"/>
  <c r="O20" i="35"/>
  <c r="P20" i="35"/>
  <c r="Q20" i="35"/>
  <c r="R20" i="35"/>
  <c r="AD21" i="37"/>
  <c r="S20" i="35" s="1"/>
  <c r="AD21" i="38"/>
  <c r="AD21" i="39"/>
  <c r="I21" i="35"/>
  <c r="J21" i="35"/>
  <c r="K21" i="35"/>
  <c r="L21" i="35"/>
  <c r="M21" i="35"/>
  <c r="N21" i="35"/>
  <c r="O21" i="35"/>
  <c r="P21" i="35"/>
  <c r="Q21" i="35"/>
  <c r="R21" i="35"/>
  <c r="AD22" i="36"/>
  <c r="AD22" i="37"/>
  <c r="AD22" i="38"/>
  <c r="S21" i="35" s="1"/>
  <c r="AD22" i="39"/>
  <c r="I22" i="35"/>
  <c r="J22" i="35"/>
  <c r="K22" i="35"/>
  <c r="L22" i="35"/>
  <c r="M22" i="35"/>
  <c r="N22" i="35"/>
  <c r="O22" i="35"/>
  <c r="P22" i="35"/>
  <c r="Q22" i="35"/>
  <c r="R22" i="35"/>
  <c r="AD23" i="36"/>
  <c r="AD23" i="37"/>
  <c r="S22" i="35" s="1"/>
  <c r="AD23" i="38"/>
  <c r="AD23" i="39"/>
  <c r="I23" i="35"/>
  <c r="J23" i="35"/>
  <c r="K23" i="35"/>
  <c r="L23" i="35"/>
  <c r="M23" i="35"/>
  <c r="N23" i="35"/>
  <c r="O23" i="35"/>
  <c r="P23" i="35"/>
  <c r="Q23" i="35"/>
  <c r="R23" i="35"/>
  <c r="AD24" i="36"/>
  <c r="AD24" i="37"/>
  <c r="AD24" i="38"/>
  <c r="AD24" i="39"/>
  <c r="I24" i="35"/>
  <c r="K24" i="35"/>
  <c r="Q24" i="35"/>
  <c r="I25" i="35"/>
  <c r="J25" i="35"/>
  <c r="K25" i="35"/>
  <c r="L25" i="35"/>
  <c r="M25" i="35"/>
  <c r="N25" i="35"/>
  <c r="O25" i="35"/>
  <c r="P25" i="35"/>
  <c r="Q25" i="35"/>
  <c r="R25" i="35"/>
  <c r="AD26" i="36"/>
  <c r="AD26" i="37"/>
  <c r="S25" i="35" s="1"/>
  <c r="AD26" i="38"/>
  <c r="AD26" i="39"/>
  <c r="I26" i="35"/>
  <c r="J26" i="35"/>
  <c r="K26" i="35"/>
  <c r="L26" i="35"/>
  <c r="M26" i="35"/>
  <c r="N26" i="35"/>
  <c r="O26" i="35"/>
  <c r="P26" i="35"/>
  <c r="Q26" i="35"/>
  <c r="R26" i="35"/>
  <c r="AD27" i="36"/>
  <c r="S26" i="35" s="1"/>
  <c r="AD27" i="37"/>
  <c r="AD27" i="38"/>
  <c r="AD27" i="39"/>
  <c r="I27" i="35"/>
  <c r="L27" i="35"/>
  <c r="M27" i="35"/>
  <c r="N27" i="35"/>
  <c r="Q27" i="35"/>
  <c r="R27" i="35"/>
  <c r="AD28" i="39"/>
  <c r="AD29" i="36"/>
  <c r="AD29" i="37"/>
  <c r="AD29" i="38"/>
  <c r="AD29" i="39"/>
  <c r="AD34" i="37"/>
  <c r="AD34" i="38"/>
  <c r="AD34" i="39"/>
  <c r="AD35" i="37"/>
  <c r="AD35" i="38"/>
  <c r="AD35" i="39"/>
  <c r="AD36" i="38"/>
  <c r="AD37" i="37"/>
  <c r="S36" i="35"/>
  <c r="AD37" i="38"/>
  <c r="AD37" i="39"/>
  <c r="AD38" i="37"/>
  <c r="AD38" i="38"/>
  <c r="AD38" i="39"/>
  <c r="AD39" i="37"/>
  <c r="AD39" i="38"/>
  <c r="AD39" i="39"/>
  <c r="AD40" i="37"/>
  <c r="AD40" i="38"/>
  <c r="AD40" i="39"/>
  <c r="J43" i="36"/>
  <c r="I42" i="35" s="1"/>
  <c r="J46" i="36"/>
  <c r="J49" i="36"/>
  <c r="I48" i="35" s="1"/>
  <c r="J43" i="37"/>
  <c r="J46" i="37"/>
  <c r="J49" i="37"/>
  <c r="J42" i="37" s="1"/>
  <c r="J52" i="37"/>
  <c r="J43" i="39"/>
  <c r="J42" i="39" s="1"/>
  <c r="J46" i="39"/>
  <c r="J49" i="39"/>
  <c r="J52" i="39"/>
  <c r="V43" i="36"/>
  <c r="O42" i="35" s="1"/>
  <c r="V46" i="36"/>
  <c r="V49" i="36"/>
  <c r="O48" i="35"/>
  <c r="V43" i="37"/>
  <c r="V46" i="37"/>
  <c r="V49" i="37"/>
  <c r="V42" i="37"/>
  <c r="V41" i="37" s="1"/>
  <c r="V52" i="37"/>
  <c r="V43" i="39"/>
  <c r="V46" i="39"/>
  <c r="V49" i="39"/>
  <c r="V52" i="39"/>
  <c r="X43" i="36"/>
  <c r="P42" i="35" s="1"/>
  <c r="X46" i="36"/>
  <c r="X49" i="36"/>
  <c r="X43" i="37"/>
  <c r="X46" i="37"/>
  <c r="X49" i="37"/>
  <c r="P48" i="35" s="1"/>
  <c r="X52" i="37"/>
  <c r="AD52" i="37" s="1"/>
  <c r="S51" i="35" s="1"/>
  <c r="X43" i="39"/>
  <c r="X42" i="39" s="1"/>
  <c r="X41" i="39" s="1"/>
  <c r="X46" i="39"/>
  <c r="X49" i="39"/>
  <c r="X52" i="39"/>
  <c r="Z43" i="36"/>
  <c r="Q42" i="35"/>
  <c r="Z46" i="36"/>
  <c r="Z49" i="36"/>
  <c r="Z43" i="37"/>
  <c r="Z46" i="37"/>
  <c r="AD46" i="37" s="1"/>
  <c r="Z49" i="37"/>
  <c r="Z52" i="37"/>
  <c r="Z43" i="39"/>
  <c r="Z42" i="39"/>
  <c r="Z41" i="39"/>
  <c r="Z46" i="39"/>
  <c r="Z49" i="39"/>
  <c r="Z52" i="39"/>
  <c r="AB43" i="36"/>
  <c r="R42" i="35" s="1"/>
  <c r="AB46" i="36"/>
  <c r="AB49" i="36"/>
  <c r="AB43" i="37"/>
  <c r="AB42" i="37" s="1"/>
  <c r="AB46" i="37"/>
  <c r="AB49" i="37"/>
  <c r="R48" i="35" s="1"/>
  <c r="AB52" i="37"/>
  <c r="R51" i="35" s="1"/>
  <c r="AB43" i="39"/>
  <c r="AB46" i="39"/>
  <c r="AB49" i="39"/>
  <c r="AB52" i="39"/>
  <c r="AD43" i="39"/>
  <c r="AD44" i="36"/>
  <c r="AD44" i="37"/>
  <c r="AD44" i="39"/>
  <c r="AD45" i="36"/>
  <c r="AD45" i="37"/>
  <c r="AD45" i="39"/>
  <c r="AD47" i="36"/>
  <c r="AD47" i="37"/>
  <c r="AD47" i="39"/>
  <c r="AD48" i="36"/>
  <c r="AD48" i="37"/>
  <c r="AD48" i="39"/>
  <c r="AD49" i="39"/>
  <c r="AD50" i="36"/>
  <c r="AD50" i="37"/>
  <c r="AD50" i="39"/>
  <c r="AD51" i="36"/>
  <c r="AD51" i="37"/>
  <c r="AD51" i="39"/>
  <c r="AD52" i="39"/>
  <c r="AD53" i="37"/>
  <c r="AD53" i="39"/>
  <c r="AD54" i="37"/>
  <c r="S53" i="35" s="1"/>
  <c r="AD54" i="39"/>
  <c r="I20" i="37"/>
  <c r="I12" i="37"/>
  <c r="I25" i="37"/>
  <c r="AC25" i="37" s="1"/>
  <c r="I28" i="37"/>
  <c r="I36" i="37"/>
  <c r="I33" i="37" s="1"/>
  <c r="K20" i="37"/>
  <c r="K25" i="37"/>
  <c r="K28" i="37"/>
  <c r="K36" i="37"/>
  <c r="K33" i="37" s="1"/>
  <c r="M20" i="37"/>
  <c r="M12" i="37"/>
  <c r="M11" i="37" s="1"/>
  <c r="M10" i="37" s="1"/>
  <c r="M55" i="37" s="1"/>
  <c r="M25" i="37"/>
  <c r="M28" i="37"/>
  <c r="M36" i="37"/>
  <c r="M33" i="37" s="1"/>
  <c r="O20" i="37"/>
  <c r="O12" i="37" s="1"/>
  <c r="O25" i="37"/>
  <c r="O28" i="37"/>
  <c r="O36" i="37"/>
  <c r="O33" i="37" s="1"/>
  <c r="Q20" i="37"/>
  <c r="Q12" i="37" s="1"/>
  <c r="Q11" i="37" s="1"/>
  <c r="Q10" i="37" s="1"/>
  <c r="Q55" i="37" s="1"/>
  <c r="Q25" i="37"/>
  <c r="Q28" i="37"/>
  <c r="Q36" i="37"/>
  <c r="Q33" i="37" s="1"/>
  <c r="S20" i="37"/>
  <c r="S12" i="37"/>
  <c r="S11" i="37" s="1"/>
  <c r="S25" i="37"/>
  <c r="S28" i="37"/>
  <c r="S36" i="37"/>
  <c r="U20" i="37"/>
  <c r="U12" i="37" s="1"/>
  <c r="U11" i="37" s="1"/>
  <c r="U25" i="37"/>
  <c r="U28" i="37"/>
  <c r="U36" i="37"/>
  <c r="U33" i="37" s="1"/>
  <c r="W20" i="37"/>
  <c r="W12" i="37" s="1"/>
  <c r="W11" i="37" s="1"/>
  <c r="W10" i="37" s="1"/>
  <c r="W25" i="37"/>
  <c r="W28" i="37"/>
  <c r="W36" i="37"/>
  <c r="W33" i="37"/>
  <c r="Y20" i="37"/>
  <c r="Y12" i="37"/>
  <c r="Y11" i="37" s="1"/>
  <c r="Y10" i="37" s="1"/>
  <c r="Y25" i="37"/>
  <c r="Y28" i="37"/>
  <c r="Y36" i="37"/>
  <c r="Y33" i="37" s="1"/>
  <c r="AA20" i="37"/>
  <c r="AA12" i="37"/>
  <c r="AA11" i="37" s="1"/>
  <c r="AA10" i="37" s="1"/>
  <c r="AA25" i="37"/>
  <c r="AA28" i="37"/>
  <c r="AA36" i="37"/>
  <c r="AA33" i="37" s="1"/>
  <c r="AC13" i="37"/>
  <c r="AC21" i="37"/>
  <c r="AC22" i="37"/>
  <c r="AC23" i="37"/>
  <c r="AC24" i="37"/>
  <c r="AC26" i="37"/>
  <c r="AC27" i="37"/>
  <c r="AC29" i="37"/>
  <c r="AC32" i="37"/>
  <c r="AC34" i="37"/>
  <c r="AC35" i="37"/>
  <c r="AC37" i="37"/>
  <c r="AC38" i="37"/>
  <c r="AC39" i="37"/>
  <c r="AC40" i="37"/>
  <c r="I43" i="37"/>
  <c r="I42" i="37"/>
  <c r="I41" i="37" s="1"/>
  <c r="I46" i="37"/>
  <c r="I49" i="37"/>
  <c r="I52" i="37"/>
  <c r="AC52" i="37" s="1"/>
  <c r="U43" i="37"/>
  <c r="U42" i="37" s="1"/>
  <c r="U41" i="37" s="1"/>
  <c r="U46" i="37"/>
  <c r="AC46" i="37" s="1"/>
  <c r="U49" i="37"/>
  <c r="U52" i="37"/>
  <c r="W43" i="37"/>
  <c r="W42" i="37" s="1"/>
  <c r="W41" i="37" s="1"/>
  <c r="W46" i="37"/>
  <c r="W49" i="37"/>
  <c r="W52" i="37"/>
  <c r="Y43" i="37"/>
  <c r="Y46" i="37"/>
  <c r="Y49" i="37"/>
  <c r="Y52" i="37"/>
  <c r="AA43" i="37"/>
  <c r="AA42" i="37" s="1"/>
  <c r="AA41" i="37" s="1"/>
  <c r="AA46" i="37"/>
  <c r="AA49" i="37"/>
  <c r="AA52" i="37"/>
  <c r="AC44" i="37"/>
  <c r="AC45" i="37"/>
  <c r="AC47" i="37"/>
  <c r="AC48" i="37"/>
  <c r="AC50" i="37"/>
  <c r="AC51" i="37"/>
  <c r="AC53" i="37"/>
  <c r="AC54" i="37"/>
  <c r="I20" i="38"/>
  <c r="I25" i="38"/>
  <c r="I28" i="38"/>
  <c r="I36" i="38"/>
  <c r="I33" i="38" s="1"/>
  <c r="K20" i="38"/>
  <c r="K12" i="38" s="1"/>
  <c r="K11" i="38" s="1"/>
  <c r="K10" i="38" s="1"/>
  <c r="K55" i="38" s="1"/>
  <c r="K25" i="38"/>
  <c r="K28" i="38"/>
  <c r="K36" i="38"/>
  <c r="K33" i="38"/>
  <c r="M20" i="38"/>
  <c r="M12" i="38"/>
  <c r="M11" i="38" s="1"/>
  <c r="M25" i="38"/>
  <c r="M28" i="38"/>
  <c r="M36" i="38"/>
  <c r="M33" i="38" s="1"/>
  <c r="O20" i="38"/>
  <c r="O12" i="38" s="1"/>
  <c r="O11" i="38" s="1"/>
  <c r="O10" i="38" s="1"/>
  <c r="O55" i="38" s="1"/>
  <c r="O25" i="38"/>
  <c r="O28" i="38"/>
  <c r="O36" i="38"/>
  <c r="O33" i="38"/>
  <c r="Q20" i="38"/>
  <c r="Q12" i="38" s="1"/>
  <c r="Q11" i="38" s="1"/>
  <c r="Q25" i="38"/>
  <c r="Q28" i="38"/>
  <c r="Q36" i="38"/>
  <c r="Q33" i="38" s="1"/>
  <c r="S20" i="38"/>
  <c r="S12" i="38" s="1"/>
  <c r="S11" i="38" s="1"/>
  <c r="S25" i="38"/>
  <c r="S28" i="38"/>
  <c r="AC28" i="38" s="1"/>
  <c r="S36" i="38"/>
  <c r="S33" i="38" s="1"/>
  <c r="U20" i="38"/>
  <c r="U12" i="38"/>
  <c r="U11" i="38" s="1"/>
  <c r="U10" i="38" s="1"/>
  <c r="U55" i="38" s="1"/>
  <c r="U25" i="38"/>
  <c r="U28" i="38"/>
  <c r="U36" i="38"/>
  <c r="U33" i="38" s="1"/>
  <c r="W20" i="38"/>
  <c r="W12" i="38" s="1"/>
  <c r="W11" i="38" s="1"/>
  <c r="W10" i="38" s="1"/>
  <c r="W55" i="38" s="1"/>
  <c r="W25" i="38"/>
  <c r="W28" i="38"/>
  <c r="W36" i="38"/>
  <c r="W33" i="38"/>
  <c r="Y20" i="38"/>
  <c r="Y12" i="38" s="1"/>
  <c r="Y11" i="38" s="1"/>
  <c r="Y25" i="38"/>
  <c r="Y28" i="38"/>
  <c r="Y36" i="38"/>
  <c r="Y33" i="38" s="1"/>
  <c r="AA20" i="38"/>
  <c r="AA12" i="38" s="1"/>
  <c r="AA25" i="38"/>
  <c r="AA28" i="38"/>
  <c r="AA36" i="38"/>
  <c r="AA33" i="38" s="1"/>
  <c r="AC13" i="38"/>
  <c r="AC21" i="38"/>
  <c r="AC22" i="38"/>
  <c r="AC23" i="38"/>
  <c r="AC24" i="38"/>
  <c r="AC26" i="38"/>
  <c r="AC27" i="38"/>
  <c r="AC29" i="38"/>
  <c r="AC32" i="38"/>
  <c r="AC34" i="38"/>
  <c r="AC35" i="38"/>
  <c r="AC36" i="38"/>
  <c r="AC37" i="38"/>
  <c r="AC38" i="38"/>
  <c r="AC39" i="38"/>
  <c r="AC40" i="38"/>
  <c r="I20" i="39"/>
  <c r="I12" i="39" s="1"/>
  <c r="I25" i="39"/>
  <c r="I28" i="39"/>
  <c r="K20" i="39"/>
  <c r="K12" i="39" s="1"/>
  <c r="K25" i="39"/>
  <c r="K28" i="39"/>
  <c r="M20" i="39"/>
  <c r="M12" i="39" s="1"/>
  <c r="M11" i="39" s="1"/>
  <c r="M10" i="39" s="1"/>
  <c r="M55" i="39" s="1"/>
  <c r="M25" i="39"/>
  <c r="M28" i="39"/>
  <c r="O20" i="39"/>
  <c r="O12" i="39" s="1"/>
  <c r="O11" i="39" s="1"/>
  <c r="O25" i="39"/>
  <c r="O28" i="39"/>
  <c r="Q20" i="39"/>
  <c r="Q12" i="39"/>
  <c r="Q11" i="39" s="1"/>
  <c r="Q25" i="39"/>
  <c r="Q28" i="39"/>
  <c r="S20" i="39"/>
  <c r="S25" i="39"/>
  <c r="S28" i="39"/>
  <c r="U20" i="39"/>
  <c r="U12" i="39" s="1"/>
  <c r="U11" i="39" s="1"/>
  <c r="U10" i="39" s="1"/>
  <c r="U25" i="39"/>
  <c r="U28" i="39"/>
  <c r="W20" i="39"/>
  <c r="W12" i="39"/>
  <c r="W11" i="39" s="1"/>
  <c r="W10" i="39" s="1"/>
  <c r="W25" i="39"/>
  <c r="W28" i="39"/>
  <c r="Y20" i="39"/>
  <c r="Y12" i="39" s="1"/>
  <c r="Y25" i="39"/>
  <c r="Y28" i="39"/>
  <c r="AC13" i="39"/>
  <c r="AC19" i="39"/>
  <c r="AC21" i="39"/>
  <c r="AC22" i="39"/>
  <c r="AC23" i="39"/>
  <c r="AC24" i="39"/>
  <c r="AC26" i="39"/>
  <c r="AC27" i="39"/>
  <c r="AC29" i="39"/>
  <c r="AC32" i="39"/>
  <c r="I36" i="39"/>
  <c r="K36" i="39"/>
  <c r="K33" i="39" s="1"/>
  <c r="M36" i="39"/>
  <c r="M33" i="39" s="1"/>
  <c r="O36" i="39"/>
  <c r="O33" i="39" s="1"/>
  <c r="Q36" i="39"/>
  <c r="Q33" i="39" s="1"/>
  <c r="S36" i="39"/>
  <c r="S33" i="39" s="1"/>
  <c r="U36" i="39"/>
  <c r="U33" i="39" s="1"/>
  <c r="W36" i="39"/>
  <c r="W33" i="39" s="1"/>
  <c r="Y36" i="39"/>
  <c r="Y33" i="39" s="1"/>
  <c r="AC34" i="39"/>
  <c r="AC35" i="39"/>
  <c r="AC37" i="39"/>
  <c r="AC38" i="39"/>
  <c r="AC39" i="39"/>
  <c r="AC40" i="39"/>
  <c r="I43" i="39"/>
  <c r="I46" i="39"/>
  <c r="I49" i="39"/>
  <c r="I52" i="39"/>
  <c r="U43" i="39"/>
  <c r="U46" i="39"/>
  <c r="U49" i="39"/>
  <c r="U52" i="39"/>
  <c r="W43" i="39"/>
  <c r="W46" i="39"/>
  <c r="W49" i="39"/>
  <c r="W52" i="39"/>
  <c r="Y43" i="39"/>
  <c r="Y46" i="39"/>
  <c r="Y49" i="39"/>
  <c r="Y52" i="39"/>
  <c r="AC44" i="39"/>
  <c r="AC45" i="39"/>
  <c r="AC47" i="39"/>
  <c r="AC48" i="39"/>
  <c r="AC50" i="39"/>
  <c r="AC51" i="39"/>
  <c r="AC53" i="39"/>
  <c r="AC54" i="39"/>
  <c r="AA20" i="39"/>
  <c r="AA12" i="39" s="1"/>
  <c r="AA11" i="39" s="1"/>
  <c r="AA10" i="39" s="1"/>
  <c r="AA25" i="39"/>
  <c r="AA28" i="39"/>
  <c r="AA36" i="39"/>
  <c r="AA33" i="39"/>
  <c r="AA43" i="39"/>
  <c r="AA42" i="39" s="1"/>
  <c r="AA41" i="39" s="1"/>
  <c r="AA46" i="39"/>
  <c r="AA49" i="39"/>
  <c r="AA52" i="39"/>
  <c r="R36" i="40"/>
  <c r="R33" i="40"/>
  <c r="R20" i="40"/>
  <c r="R25" i="40"/>
  <c r="R28" i="40"/>
  <c r="S36" i="40"/>
  <c r="S33" i="40"/>
  <c r="S20" i="40"/>
  <c r="S12" i="40" s="1"/>
  <c r="S11" i="40" s="1"/>
  <c r="S41" i="40" s="1"/>
  <c r="S25" i="40"/>
  <c r="S28" i="40"/>
  <c r="T20" i="40"/>
  <c r="T12" i="40"/>
  <c r="T25" i="40"/>
  <c r="T28" i="40"/>
  <c r="T36" i="40"/>
  <c r="U20" i="40"/>
  <c r="U12" i="40" s="1"/>
  <c r="U25" i="40"/>
  <c r="U28" i="40"/>
  <c r="U36" i="40"/>
  <c r="U33" i="40" s="1"/>
  <c r="V36" i="40"/>
  <c r="V33" i="40"/>
  <c r="V20" i="40"/>
  <c r="V25" i="40"/>
  <c r="V28" i="40"/>
  <c r="W20" i="40"/>
  <c r="W12" i="40" s="1"/>
  <c r="W25" i="40"/>
  <c r="W28" i="40"/>
  <c r="W36" i="40"/>
  <c r="W33" i="40" s="1"/>
  <c r="Q20" i="40"/>
  <c r="Q25" i="40"/>
  <c r="Q28" i="40"/>
  <c r="AL44" i="40"/>
  <c r="AM44" i="40"/>
  <c r="AL45" i="40"/>
  <c r="AM45" i="40"/>
  <c r="AL46" i="40"/>
  <c r="AM46" i="40"/>
  <c r="AL48" i="40"/>
  <c r="AM48" i="40"/>
  <c r="AL49" i="40"/>
  <c r="AM49" i="40"/>
  <c r="AL50" i="40"/>
  <c r="AM50" i="40"/>
  <c r="N53" i="40"/>
  <c r="V53" i="40"/>
  <c r="V51" i="40"/>
  <c r="AD53" i="40"/>
  <c r="AD51" i="40" s="1"/>
  <c r="O53" i="40"/>
  <c r="O51" i="40"/>
  <c r="W53" i="40"/>
  <c r="W51" i="40" s="1"/>
  <c r="AM51" i="40" s="1"/>
  <c r="AE53" i="40"/>
  <c r="AE51" i="40"/>
  <c r="AL52" i="40"/>
  <c r="AM52" i="40"/>
  <c r="AM53" i="40"/>
  <c r="AL54" i="40"/>
  <c r="AM54" i="40"/>
  <c r="AL55" i="40"/>
  <c r="AM55" i="40"/>
  <c r="N56" i="40"/>
  <c r="AL56" i="40" s="1"/>
  <c r="V56" i="40"/>
  <c r="AD56" i="40"/>
  <c r="O56" i="40"/>
  <c r="W56" i="40"/>
  <c r="AE56" i="40"/>
  <c r="AL57" i="40"/>
  <c r="AM57" i="40"/>
  <c r="AL58" i="40"/>
  <c r="AM58" i="40"/>
  <c r="AL59" i="40"/>
  <c r="AM59" i="40"/>
  <c r="AL60" i="40"/>
  <c r="AM60" i="40"/>
  <c r="AL61" i="40"/>
  <c r="AM61" i="40"/>
  <c r="AL62" i="40"/>
  <c r="AM62" i="40"/>
  <c r="AL63" i="40"/>
  <c r="AM63" i="40"/>
  <c r="N64" i="40"/>
  <c r="AL64" i="40" s="1"/>
  <c r="V64" i="40"/>
  <c r="AD64" i="40"/>
  <c r="O64" i="40"/>
  <c r="AM64" i="40" s="1"/>
  <c r="W64" i="40"/>
  <c r="AE64" i="40"/>
  <c r="AL65" i="40"/>
  <c r="AM65" i="40"/>
  <c r="AL66" i="40"/>
  <c r="AM66" i="40"/>
  <c r="AL67" i="40"/>
  <c r="AM67" i="40"/>
  <c r="N20" i="40"/>
  <c r="N12" i="40"/>
  <c r="AD20" i="40"/>
  <c r="AD12" i="40" s="1"/>
  <c r="AD11" i="40" s="1"/>
  <c r="O20" i="40"/>
  <c r="AM20" i="40" s="1"/>
  <c r="AE20" i="40"/>
  <c r="AE12" i="40" s="1"/>
  <c r="AL13" i="40"/>
  <c r="AL19" i="40"/>
  <c r="AM19" i="40"/>
  <c r="AL21" i="40"/>
  <c r="AM21" i="40"/>
  <c r="AL22" i="40"/>
  <c r="AM22" i="40"/>
  <c r="AL23" i="40"/>
  <c r="AM23" i="40"/>
  <c r="AL24" i="40"/>
  <c r="AM24" i="40"/>
  <c r="N25" i="40"/>
  <c r="AD25" i="40"/>
  <c r="O25" i="40"/>
  <c r="AE25" i="40"/>
  <c r="AL26" i="40"/>
  <c r="AM26" i="40"/>
  <c r="AL27" i="40"/>
  <c r="AM27" i="40"/>
  <c r="N28" i="40"/>
  <c r="AL28" i="40" s="1"/>
  <c r="AD28" i="40"/>
  <c r="O28" i="40"/>
  <c r="AE28" i="40"/>
  <c r="AM28" i="40"/>
  <c r="AL29" i="40"/>
  <c r="AM29" i="40"/>
  <c r="AL32" i="40"/>
  <c r="AM32" i="40"/>
  <c r="N36" i="40"/>
  <c r="AD36" i="40"/>
  <c r="AD33" i="40" s="1"/>
  <c r="O36" i="40"/>
  <c r="O33" i="40" s="1"/>
  <c r="AE36" i="40"/>
  <c r="AL34" i="40"/>
  <c r="AM34" i="40"/>
  <c r="AL35" i="40"/>
  <c r="AM35" i="40"/>
  <c r="AL37" i="40"/>
  <c r="AM37" i="40"/>
  <c r="AL38" i="40"/>
  <c r="AM38" i="40"/>
  <c r="AL39" i="40"/>
  <c r="AM39" i="40"/>
  <c r="AL40" i="40"/>
  <c r="AM40" i="40"/>
  <c r="I20" i="40"/>
  <c r="I12" i="40"/>
  <c r="I25" i="40"/>
  <c r="I28" i="40"/>
  <c r="J20" i="40"/>
  <c r="J12" i="40" s="1"/>
  <c r="J11" i="40" s="1"/>
  <c r="J25" i="40"/>
  <c r="J28" i="40"/>
  <c r="AH28" i="40" s="1"/>
  <c r="K20" i="40"/>
  <c r="K25" i="40"/>
  <c r="AI25" i="40"/>
  <c r="K28" i="40"/>
  <c r="L20" i="40"/>
  <c r="L12" i="40" s="1"/>
  <c r="L25" i="40"/>
  <c r="L28" i="40"/>
  <c r="M20" i="40"/>
  <c r="M12" i="40"/>
  <c r="M11" i="40"/>
  <c r="M25" i="40"/>
  <c r="M28" i="40"/>
  <c r="Y20" i="40"/>
  <c r="Y12" i="40"/>
  <c r="Y11" i="40" s="1"/>
  <c r="Y25" i="40"/>
  <c r="Y28" i="40"/>
  <c r="AG28" i="40" s="1"/>
  <c r="Z20" i="40"/>
  <c r="Z12" i="40" s="1"/>
  <c r="Z11" i="40" s="1"/>
  <c r="Z25" i="40"/>
  <c r="Z28" i="40"/>
  <c r="AA20" i="40"/>
  <c r="AI20" i="40"/>
  <c r="AA12" i="40"/>
  <c r="AA11" i="40" s="1"/>
  <c r="AA25" i="40"/>
  <c r="AA28" i="40"/>
  <c r="AB20" i="40"/>
  <c r="AB12" i="40" s="1"/>
  <c r="AB11" i="40" s="1"/>
  <c r="AB25" i="40"/>
  <c r="AJ25" i="40" s="1"/>
  <c r="AB28" i="40"/>
  <c r="AC20" i="40"/>
  <c r="AC12" i="40"/>
  <c r="AC11" i="40"/>
  <c r="AC41" i="40" s="1"/>
  <c r="AC25" i="40"/>
  <c r="AC28" i="40"/>
  <c r="X13" i="40"/>
  <c r="AF13" i="40"/>
  <c r="AG13" i="40"/>
  <c r="AJ13" i="40"/>
  <c r="AK13" i="40"/>
  <c r="C19" i="40"/>
  <c r="C20" i="40" s="1"/>
  <c r="P19" i="40"/>
  <c r="AN19" i="40" s="1"/>
  <c r="X19" i="40"/>
  <c r="AF19" i="40"/>
  <c r="AG19" i="40"/>
  <c r="AF20" i="40"/>
  <c r="P21" i="40"/>
  <c r="X21" i="40"/>
  <c r="AF21" i="40"/>
  <c r="AG21" i="40"/>
  <c r="AH21" i="40"/>
  <c r="AI21" i="40"/>
  <c r="AJ21" i="40"/>
  <c r="AK21" i="40"/>
  <c r="P22" i="40"/>
  <c r="X22" i="40"/>
  <c r="AN22" i="40" s="1"/>
  <c r="AF22" i="40"/>
  <c r="AG22" i="40"/>
  <c r="AH22" i="40"/>
  <c r="AI22" i="40"/>
  <c r="AJ22" i="40"/>
  <c r="AK22" i="40"/>
  <c r="P23" i="40"/>
  <c r="AN23" i="40" s="1"/>
  <c r="X23" i="40"/>
  <c r="AF23" i="40"/>
  <c r="AG23" i="40"/>
  <c r="AH23" i="40"/>
  <c r="AI23" i="40"/>
  <c r="AJ23" i="40"/>
  <c r="AK23" i="40"/>
  <c r="P24" i="40"/>
  <c r="AN24" i="40" s="1"/>
  <c r="X24" i="40"/>
  <c r="AF24" i="40"/>
  <c r="AG24" i="40"/>
  <c r="AH24" i="40"/>
  <c r="AI24" i="40"/>
  <c r="AJ24" i="40"/>
  <c r="AK24" i="40"/>
  <c r="P25" i="40"/>
  <c r="AG25" i="40"/>
  <c r="AK25" i="40"/>
  <c r="P26" i="40"/>
  <c r="X26" i="40"/>
  <c r="AF26" i="40"/>
  <c r="AG26" i="40"/>
  <c r="AH26" i="40"/>
  <c r="AI26" i="40"/>
  <c r="AJ26" i="40"/>
  <c r="AK26" i="40"/>
  <c r="AN26" i="40"/>
  <c r="C27" i="40"/>
  <c r="P27" i="40"/>
  <c r="X27" i="40"/>
  <c r="AN27" i="40"/>
  <c r="AF27" i="40"/>
  <c r="AG27" i="40"/>
  <c r="AH27" i="40"/>
  <c r="AI27" i="40"/>
  <c r="AJ27" i="40"/>
  <c r="AK27" i="40"/>
  <c r="P28" i="40"/>
  <c r="X28" i="40"/>
  <c r="AF28" i="40"/>
  <c r="AJ28" i="40"/>
  <c r="AK28" i="40"/>
  <c r="P29" i="40"/>
  <c r="AN29" i="40" s="1"/>
  <c r="X29" i="40"/>
  <c r="AF29" i="40"/>
  <c r="AG29" i="40"/>
  <c r="AH29" i="40"/>
  <c r="AI29" i="40"/>
  <c r="AJ29" i="40"/>
  <c r="AK29" i="40"/>
  <c r="C32" i="40"/>
  <c r="P32" i="40"/>
  <c r="X32" i="40"/>
  <c r="AN32" i="40"/>
  <c r="AF32" i="40"/>
  <c r="AG32" i="40"/>
  <c r="AH32" i="40"/>
  <c r="AI32" i="40"/>
  <c r="AJ32" i="40"/>
  <c r="AK32" i="40"/>
  <c r="J36" i="40"/>
  <c r="K36" i="40"/>
  <c r="K33" i="40" s="1"/>
  <c r="P33" i="40" s="1"/>
  <c r="L36" i="40"/>
  <c r="L33" i="40"/>
  <c r="M36" i="40"/>
  <c r="M33" i="40" s="1"/>
  <c r="AK33" i="40" s="1"/>
  <c r="Z36" i="40"/>
  <c r="Z33" i="40" s="1"/>
  <c r="AA36" i="40"/>
  <c r="AA33" i="40"/>
  <c r="AB36" i="40"/>
  <c r="AB33" i="40" s="1"/>
  <c r="AC36" i="40"/>
  <c r="AC33" i="40"/>
  <c r="P34" i="40"/>
  <c r="AN34" i="40" s="1"/>
  <c r="X34" i="40"/>
  <c r="AF34" i="40"/>
  <c r="AH34" i="40"/>
  <c r="AI34" i="40"/>
  <c r="AJ34" i="40"/>
  <c r="AK34" i="40"/>
  <c r="P35" i="40"/>
  <c r="AN35" i="40" s="1"/>
  <c r="X35" i="40"/>
  <c r="AF35" i="40"/>
  <c r="AH35" i="40"/>
  <c r="AI35" i="40"/>
  <c r="AJ35" i="40"/>
  <c r="AK35" i="40"/>
  <c r="X36" i="40"/>
  <c r="P37" i="40"/>
  <c r="X37" i="40"/>
  <c r="AN37" i="40" s="1"/>
  <c r="AF37" i="40"/>
  <c r="AH37" i="40"/>
  <c r="AI37" i="40"/>
  <c r="AJ37" i="40"/>
  <c r="AK37" i="40"/>
  <c r="C38" i="40"/>
  <c r="P38" i="40"/>
  <c r="AN38" i="40"/>
  <c r="X38" i="40"/>
  <c r="AF38" i="40"/>
  <c r="AH38" i="40"/>
  <c r="AI38" i="40"/>
  <c r="AJ38" i="40"/>
  <c r="AK38" i="40"/>
  <c r="P39" i="40"/>
  <c r="X39" i="40"/>
  <c r="AF39" i="40"/>
  <c r="AH39" i="40"/>
  <c r="AI39" i="40"/>
  <c r="AJ39" i="40"/>
  <c r="AK39" i="40"/>
  <c r="P40" i="40"/>
  <c r="X40" i="40"/>
  <c r="AF40" i="40"/>
  <c r="AH40" i="40"/>
  <c r="AI40" i="40"/>
  <c r="AJ40" i="40"/>
  <c r="AK40" i="40"/>
  <c r="P44" i="40"/>
  <c r="X44" i="40"/>
  <c r="AF44" i="40"/>
  <c r="AN44" i="40" s="1"/>
  <c r="AG44" i="40"/>
  <c r="P45" i="40"/>
  <c r="X45" i="40"/>
  <c r="AN45" i="40"/>
  <c r="AF45" i="40"/>
  <c r="AG45" i="40"/>
  <c r="P46" i="40"/>
  <c r="AN46" i="40"/>
  <c r="X46" i="40"/>
  <c r="AF46" i="40"/>
  <c r="AG46" i="40"/>
  <c r="P48" i="40"/>
  <c r="X48" i="40"/>
  <c r="AF48" i="40"/>
  <c r="AG48" i="40"/>
  <c r="P49" i="40"/>
  <c r="AN49" i="40" s="1"/>
  <c r="X49" i="40"/>
  <c r="AF49" i="40"/>
  <c r="AG49" i="40"/>
  <c r="AH49" i="40"/>
  <c r="AI49" i="40"/>
  <c r="AJ49" i="40"/>
  <c r="AK49" i="40"/>
  <c r="P50" i="40"/>
  <c r="X50" i="40"/>
  <c r="AF50" i="40"/>
  <c r="AN50" i="40" s="1"/>
  <c r="AG50" i="40"/>
  <c r="I53" i="40"/>
  <c r="I51" i="40"/>
  <c r="J53" i="40"/>
  <c r="J51" i="40" s="1"/>
  <c r="K53" i="40"/>
  <c r="K51" i="40"/>
  <c r="L53" i="40"/>
  <c r="L51" i="40" s="1"/>
  <c r="M53" i="40"/>
  <c r="M51" i="40"/>
  <c r="AK51" i="40" s="1"/>
  <c r="Q53" i="40"/>
  <c r="Q51" i="40"/>
  <c r="R53" i="40"/>
  <c r="R51" i="40" s="1"/>
  <c r="S53" i="40"/>
  <c r="X53" i="40" s="1"/>
  <c r="S51" i="40"/>
  <c r="AI51" i="40" s="1"/>
  <c r="T53" i="40"/>
  <c r="T51" i="40" s="1"/>
  <c r="U53" i="40"/>
  <c r="U51" i="40" s="1"/>
  <c r="Y53" i="40"/>
  <c r="Y51" i="40"/>
  <c r="Z53" i="40"/>
  <c r="Z51" i="40" s="1"/>
  <c r="AA53" i="40"/>
  <c r="AF53" i="40" s="1"/>
  <c r="AA51" i="40"/>
  <c r="AB53" i="40"/>
  <c r="AB51" i="40" s="1"/>
  <c r="AC53" i="40"/>
  <c r="AC51" i="40"/>
  <c r="P52" i="40"/>
  <c r="X52" i="40"/>
  <c r="AF52" i="40"/>
  <c r="AN52" i="40" s="1"/>
  <c r="AG52" i="40"/>
  <c r="AH52" i="40"/>
  <c r="AI52" i="40"/>
  <c r="AJ52" i="40"/>
  <c r="AK52" i="40"/>
  <c r="AI53" i="40"/>
  <c r="AK53" i="40"/>
  <c r="P54" i="40"/>
  <c r="X54" i="40"/>
  <c r="AF54" i="40"/>
  <c r="AN54" i="40" s="1"/>
  <c r="AG54" i="40"/>
  <c r="AH54" i="40"/>
  <c r="AI54" i="40"/>
  <c r="AJ54" i="40"/>
  <c r="AK54" i="40"/>
  <c r="P55" i="40"/>
  <c r="X55" i="40"/>
  <c r="AN55" i="40"/>
  <c r="AF55" i="40"/>
  <c r="AG55" i="40"/>
  <c r="AH55" i="40"/>
  <c r="AI55" i="40"/>
  <c r="AJ55" i="40"/>
  <c r="AK55" i="40"/>
  <c r="I56" i="40"/>
  <c r="J56" i="40"/>
  <c r="K56" i="40"/>
  <c r="L56" i="40"/>
  <c r="AJ56" i="40" s="1"/>
  <c r="M56" i="40"/>
  <c r="AK56" i="40" s="1"/>
  <c r="Q56" i="40"/>
  <c r="R56" i="40"/>
  <c r="AH56" i="40"/>
  <c r="S56" i="40"/>
  <c r="T56" i="40"/>
  <c r="U56" i="40"/>
  <c r="Y56" i="40"/>
  <c r="AF56" i="40" s="1"/>
  <c r="Z56" i="40"/>
  <c r="AA56" i="40"/>
  <c r="AB56" i="40"/>
  <c r="AC56" i="40"/>
  <c r="P57" i="40"/>
  <c r="AN57" i="40" s="1"/>
  <c r="X57" i="40"/>
  <c r="AF57" i="40"/>
  <c r="AG57" i="40"/>
  <c r="AH57" i="40"/>
  <c r="AI57" i="40"/>
  <c r="AJ57" i="40"/>
  <c r="AK57" i="40"/>
  <c r="P58" i="40"/>
  <c r="X58" i="40"/>
  <c r="AF58" i="40"/>
  <c r="AG58" i="40"/>
  <c r="AH58" i="40"/>
  <c r="AI58" i="40"/>
  <c r="AJ58" i="40"/>
  <c r="AK58" i="40"/>
  <c r="P59" i="40"/>
  <c r="X59" i="40"/>
  <c r="AF59" i="40"/>
  <c r="AG59" i="40"/>
  <c r="AH59" i="40"/>
  <c r="AI59" i="40"/>
  <c r="AJ59" i="40"/>
  <c r="AK59" i="40"/>
  <c r="AN59" i="40"/>
  <c r="P60" i="40"/>
  <c r="X60" i="40"/>
  <c r="AF60" i="40"/>
  <c r="AN60" i="40"/>
  <c r="AG60" i="40"/>
  <c r="AH60" i="40"/>
  <c r="AI60" i="40"/>
  <c r="P61" i="40"/>
  <c r="X61" i="40"/>
  <c r="AF61" i="40"/>
  <c r="AG61" i="40"/>
  <c r="AH61" i="40"/>
  <c r="AI61" i="40"/>
  <c r="AJ61" i="40"/>
  <c r="AK61" i="40"/>
  <c r="AN61" i="40"/>
  <c r="P62" i="40"/>
  <c r="X62" i="40"/>
  <c r="AF62" i="40"/>
  <c r="AN62" i="40"/>
  <c r="AG62" i="40"/>
  <c r="AH62" i="40"/>
  <c r="AI62" i="40"/>
  <c r="AJ62" i="40"/>
  <c r="AK62" i="40"/>
  <c r="P63" i="40"/>
  <c r="X63" i="40"/>
  <c r="AN63" i="40"/>
  <c r="AF63" i="40"/>
  <c r="AG63" i="40"/>
  <c r="AH63" i="40"/>
  <c r="AI63" i="40"/>
  <c r="AJ63" i="40"/>
  <c r="AK63" i="40"/>
  <c r="I64" i="40"/>
  <c r="J64" i="40"/>
  <c r="AH64" i="40" s="1"/>
  <c r="K64" i="40"/>
  <c r="AI64" i="40" s="1"/>
  <c r="L64" i="40"/>
  <c r="AJ64" i="40" s="1"/>
  <c r="M64" i="40"/>
  <c r="AK64" i="40" s="1"/>
  <c r="P64" i="40"/>
  <c r="Q64" i="40"/>
  <c r="R64" i="40"/>
  <c r="S64" i="40"/>
  <c r="X64" i="40"/>
  <c r="AN64" i="40" s="1"/>
  <c r="T64" i="40"/>
  <c r="U64" i="40"/>
  <c r="Y64" i="40"/>
  <c r="AF64" i="40" s="1"/>
  <c r="Z64" i="40"/>
  <c r="AA64" i="40"/>
  <c r="AB64" i="40"/>
  <c r="AC64" i="40"/>
  <c r="P65" i="40"/>
  <c r="AN65" i="40"/>
  <c r="X65" i="40"/>
  <c r="AF65" i="40"/>
  <c r="AG65" i="40"/>
  <c r="AH65" i="40"/>
  <c r="AI65" i="40"/>
  <c r="AJ65" i="40"/>
  <c r="AK65" i="40"/>
  <c r="P66" i="40"/>
  <c r="X66" i="40"/>
  <c r="AF66" i="40"/>
  <c r="AG66" i="40"/>
  <c r="AH66" i="40"/>
  <c r="AI66" i="40"/>
  <c r="AJ66" i="40"/>
  <c r="AK66" i="40"/>
  <c r="AN66" i="40"/>
  <c r="P67" i="40"/>
  <c r="X67" i="40"/>
  <c r="AF67" i="40"/>
  <c r="AN67" i="40"/>
  <c r="AG67" i="40"/>
  <c r="AH67" i="40"/>
  <c r="AI67" i="40"/>
  <c r="AJ67" i="40"/>
  <c r="AK67" i="40"/>
  <c r="P64" i="13"/>
  <c r="P63" i="13"/>
  <c r="P62" i="13"/>
  <c r="P61" i="13"/>
  <c r="K60" i="13"/>
  <c r="M60" i="13"/>
  <c r="P60" i="13"/>
  <c r="O60" i="13"/>
  <c r="P59" i="13"/>
  <c r="P58" i="13"/>
  <c r="P57" i="13"/>
  <c r="P56" i="13"/>
  <c r="K55" i="13"/>
  <c r="M55" i="13"/>
  <c r="P55" i="13"/>
  <c r="O55" i="13"/>
  <c r="P54" i="13"/>
  <c r="P53" i="13"/>
  <c r="P52" i="13"/>
  <c r="P51" i="13"/>
  <c r="K50" i="13"/>
  <c r="M50" i="13"/>
  <c r="P50" i="13"/>
  <c r="O50" i="13"/>
  <c r="P49" i="13"/>
  <c r="P48" i="13"/>
  <c r="P47" i="13"/>
  <c r="P46" i="13"/>
  <c r="K45" i="13"/>
  <c r="M45" i="13"/>
  <c r="P45" i="13"/>
  <c r="O45" i="13"/>
  <c r="K44" i="13"/>
  <c r="M44" i="13"/>
  <c r="P44" i="13"/>
  <c r="O44" i="13"/>
  <c r="P43" i="13"/>
  <c r="P42" i="13"/>
  <c r="P41" i="13"/>
  <c r="P40" i="13"/>
  <c r="I39" i="13"/>
  <c r="K39" i="13"/>
  <c r="M39" i="13"/>
  <c r="O39" i="13"/>
  <c r="P38" i="13"/>
  <c r="P37" i="13"/>
  <c r="P36" i="13"/>
  <c r="P35" i="13"/>
  <c r="I34" i="13"/>
  <c r="P34" i="13"/>
  <c r="K34" i="13"/>
  <c r="M34" i="13"/>
  <c r="O34" i="13"/>
  <c r="P33" i="13"/>
  <c r="P32" i="13"/>
  <c r="P31" i="13"/>
  <c r="P30" i="13"/>
  <c r="I29" i="13"/>
  <c r="P29" i="13" s="1"/>
  <c r="K29" i="13"/>
  <c r="M29" i="13"/>
  <c r="M11" i="13" s="1"/>
  <c r="M70" i="13" s="1"/>
  <c r="O29" i="13"/>
  <c r="P23" i="13"/>
  <c r="P22" i="13"/>
  <c r="P21" i="13"/>
  <c r="P20" i="13"/>
  <c r="P19" i="13"/>
  <c r="P18" i="13"/>
  <c r="P17" i="13"/>
  <c r="N18" i="13"/>
  <c r="N12" i="13"/>
  <c r="I12" i="13"/>
  <c r="I11" i="13" s="1"/>
  <c r="I70" i="13" s="1"/>
  <c r="K12" i="13"/>
  <c r="M12" i="13"/>
  <c r="O12" i="13"/>
  <c r="P16" i="13"/>
  <c r="P15" i="13"/>
  <c r="P14" i="13"/>
  <c r="P13" i="13"/>
  <c r="N29" i="13"/>
  <c r="N34" i="13"/>
  <c r="N39" i="13"/>
  <c r="N45" i="13"/>
  <c r="N50" i="13"/>
  <c r="N55" i="13"/>
  <c r="N60" i="13"/>
  <c r="J12" i="13"/>
  <c r="J29" i="13"/>
  <c r="J34" i="13"/>
  <c r="J39" i="13"/>
  <c r="J45" i="13"/>
  <c r="J44" i="13" s="1"/>
  <c r="J50" i="13"/>
  <c r="J55" i="13"/>
  <c r="J60" i="13"/>
  <c r="L12" i="13"/>
  <c r="L29" i="13"/>
  <c r="L34" i="13"/>
  <c r="L39" i="13"/>
  <c r="L45" i="13"/>
  <c r="L44" i="13" s="1"/>
  <c r="L50" i="13"/>
  <c r="L55" i="13"/>
  <c r="L60" i="13"/>
  <c r="C62" i="13"/>
  <c r="C63" i="13"/>
  <c r="C64" i="13"/>
  <c r="C57" i="13"/>
  <c r="C58" i="13" s="1"/>
  <c r="C59" i="13" s="1"/>
  <c r="C52" i="13"/>
  <c r="C53" i="13" s="1"/>
  <c r="C54" i="13" s="1"/>
  <c r="C48" i="13"/>
  <c r="C49" i="13"/>
  <c r="C41" i="13"/>
  <c r="C42" i="13" s="1"/>
  <c r="C43" i="13" s="1"/>
  <c r="C36" i="13"/>
  <c r="C37" i="13" s="1"/>
  <c r="C38" i="13" s="1"/>
  <c r="C31" i="13"/>
  <c r="C32" i="13"/>
  <c r="C33" i="13" s="1"/>
  <c r="C20" i="13"/>
  <c r="C21" i="13"/>
  <c r="C22" i="13"/>
  <c r="C23" i="13" s="1"/>
  <c r="C14" i="13"/>
  <c r="C15" i="13"/>
  <c r="C16" i="13"/>
  <c r="C17" i="13" s="1"/>
  <c r="I20" i="18"/>
  <c r="K20" i="18"/>
  <c r="K12" i="18" s="1"/>
  <c r="K11" i="18" s="1"/>
  <c r="M20" i="18"/>
  <c r="M12" i="18"/>
  <c r="O20" i="18"/>
  <c r="O12" i="18" s="1"/>
  <c r="O11" i="18" s="1"/>
  <c r="O41" i="18" s="1"/>
  <c r="Q20" i="18"/>
  <c r="Q12" i="18" s="1"/>
  <c r="Q11" i="18" s="1"/>
  <c r="S20" i="18"/>
  <c r="S12" i="18"/>
  <c r="U20" i="18"/>
  <c r="U12" i="18"/>
  <c r="W20" i="18"/>
  <c r="W12" i="18" s="1"/>
  <c r="W11" i="18" s="1"/>
  <c r="W41" i="18" s="1"/>
  <c r="Y20" i="18"/>
  <c r="Y12" i="18"/>
  <c r="I20" i="19"/>
  <c r="I12" i="19" s="1"/>
  <c r="K20" i="19"/>
  <c r="K12" i="19"/>
  <c r="K11" i="19" s="1"/>
  <c r="M20" i="19"/>
  <c r="M12" i="19"/>
  <c r="O20" i="19"/>
  <c r="O12" i="19" s="1"/>
  <c r="Q20" i="19"/>
  <c r="Q12" i="19"/>
  <c r="Q11" i="19" s="1"/>
  <c r="Q41" i="19" s="1"/>
  <c r="S20" i="19"/>
  <c r="S12" i="19" s="1"/>
  <c r="S11" i="19" s="1"/>
  <c r="U20" i="19"/>
  <c r="U12" i="19" s="1"/>
  <c r="U11" i="19" s="1"/>
  <c r="W20" i="19"/>
  <c r="W12" i="19"/>
  <c r="W11" i="19" s="1"/>
  <c r="Y20" i="19"/>
  <c r="Y12" i="19"/>
  <c r="I20" i="30"/>
  <c r="I12" i="30"/>
  <c r="K20" i="30"/>
  <c r="M20" i="30"/>
  <c r="M12" i="30"/>
  <c r="O20" i="30"/>
  <c r="O12" i="30" s="1"/>
  <c r="O11" i="30" s="1"/>
  <c r="O41" i="30" s="1"/>
  <c r="Q20" i="30"/>
  <c r="Q12" i="30" s="1"/>
  <c r="Q11" i="30" s="1"/>
  <c r="Q41" i="30" s="1"/>
  <c r="S20" i="30"/>
  <c r="S12" i="30" s="1"/>
  <c r="S11" i="30" s="1"/>
  <c r="U20" i="30"/>
  <c r="U12" i="30" s="1"/>
  <c r="U11" i="30" s="1"/>
  <c r="U41" i="30" s="1"/>
  <c r="W20" i="30"/>
  <c r="W12" i="30"/>
  <c r="Y20" i="30"/>
  <c r="Y12" i="30"/>
  <c r="AC13" i="19"/>
  <c r="AC13" i="30"/>
  <c r="AC19" i="30"/>
  <c r="AC21" i="18"/>
  <c r="AC21" i="19"/>
  <c r="AC21" i="30"/>
  <c r="AC22" i="18"/>
  <c r="AC22" i="19"/>
  <c r="AC22" i="30"/>
  <c r="AC23" i="18"/>
  <c r="AC23" i="19"/>
  <c r="AC23" i="30"/>
  <c r="AC24" i="18"/>
  <c r="AC24" i="19"/>
  <c r="AC24" i="30"/>
  <c r="I25" i="18"/>
  <c r="K25" i="18"/>
  <c r="M25" i="18"/>
  <c r="O25" i="18"/>
  <c r="Q25" i="18"/>
  <c r="S25" i="18"/>
  <c r="S11" i="18" s="1"/>
  <c r="S41" i="18" s="1"/>
  <c r="U25" i="18"/>
  <c r="W25" i="18"/>
  <c r="Y25" i="18"/>
  <c r="I25" i="19"/>
  <c r="K25" i="19"/>
  <c r="M25" i="19"/>
  <c r="M11" i="19" s="1"/>
  <c r="O25" i="19"/>
  <c r="Q25" i="19"/>
  <c r="S25" i="19"/>
  <c r="U25" i="19"/>
  <c r="W25" i="19"/>
  <c r="Y25" i="19"/>
  <c r="Y11" i="19" s="1"/>
  <c r="Y41" i="19" s="1"/>
  <c r="I25" i="30"/>
  <c r="I11" i="30" s="1"/>
  <c r="K25" i="30"/>
  <c r="M25" i="30"/>
  <c r="O25" i="30"/>
  <c r="Q25" i="30"/>
  <c r="S25" i="30"/>
  <c r="U25" i="30"/>
  <c r="W25" i="30"/>
  <c r="W11" i="30" s="1"/>
  <c r="W41" i="30" s="1"/>
  <c r="Y25" i="30"/>
  <c r="AC26" i="18"/>
  <c r="AC26" i="19"/>
  <c r="AC26" i="30"/>
  <c r="AC27" i="18"/>
  <c r="AC27" i="19"/>
  <c r="AC27" i="30"/>
  <c r="I28" i="18"/>
  <c r="K28" i="18"/>
  <c r="M28" i="18"/>
  <c r="O28" i="18"/>
  <c r="Q28" i="18"/>
  <c r="S28" i="18"/>
  <c r="U28" i="18"/>
  <c r="W28" i="18"/>
  <c r="Y28" i="18"/>
  <c r="I28" i="19"/>
  <c r="K28" i="19"/>
  <c r="M28" i="19"/>
  <c r="O28" i="19"/>
  <c r="Q28" i="19"/>
  <c r="S28" i="19"/>
  <c r="U28" i="19"/>
  <c r="W28" i="19"/>
  <c r="Y28" i="19"/>
  <c r="I28" i="30"/>
  <c r="K28" i="30"/>
  <c r="M28" i="30"/>
  <c r="O28" i="30"/>
  <c r="Q28" i="30"/>
  <c r="S28" i="30"/>
  <c r="U28" i="30"/>
  <c r="W28" i="30"/>
  <c r="Y28" i="30"/>
  <c r="Y11" i="30" s="1"/>
  <c r="AC29" i="18"/>
  <c r="AC29" i="19"/>
  <c r="AC29" i="30"/>
  <c r="AC32" i="18"/>
  <c r="AC32" i="19"/>
  <c r="AC32" i="30"/>
  <c r="I36" i="18"/>
  <c r="I33" i="18"/>
  <c r="K36" i="18"/>
  <c r="K33" i="18" s="1"/>
  <c r="M36" i="18"/>
  <c r="M33" i="18"/>
  <c r="O36" i="18"/>
  <c r="O33" i="18" s="1"/>
  <c r="Q36" i="18"/>
  <c r="Q33" i="18" s="1"/>
  <c r="S36" i="18"/>
  <c r="S33" i="18"/>
  <c r="U36" i="18"/>
  <c r="U33" i="18" s="1"/>
  <c r="U41" i="18" s="1"/>
  <c r="W36" i="18"/>
  <c r="W33" i="18"/>
  <c r="Y36" i="18"/>
  <c r="Y33" i="18" s="1"/>
  <c r="I36" i="19"/>
  <c r="I33" i="19" s="1"/>
  <c r="K36" i="19"/>
  <c r="K33" i="19" s="1"/>
  <c r="M36" i="19"/>
  <c r="M33" i="19" s="1"/>
  <c r="O36" i="19"/>
  <c r="O33" i="19" s="1"/>
  <c r="Q36" i="19"/>
  <c r="Q33" i="19" s="1"/>
  <c r="S36" i="19"/>
  <c r="S33" i="19" s="1"/>
  <c r="U36" i="19"/>
  <c r="U33" i="19" s="1"/>
  <c r="W36" i="19"/>
  <c r="W33" i="19"/>
  <c r="Y36" i="19"/>
  <c r="Y33" i="19" s="1"/>
  <c r="I36" i="30"/>
  <c r="I33" i="30"/>
  <c r="K36" i="30"/>
  <c r="K33" i="30" s="1"/>
  <c r="M36" i="30"/>
  <c r="M33" i="30"/>
  <c r="O36" i="30"/>
  <c r="O33" i="30" s="1"/>
  <c r="Q36" i="30"/>
  <c r="Q33" i="30"/>
  <c r="S36" i="30"/>
  <c r="S33" i="30" s="1"/>
  <c r="U36" i="30"/>
  <c r="U33" i="30"/>
  <c r="W36" i="30"/>
  <c r="W33" i="30" s="1"/>
  <c r="Y36" i="30"/>
  <c r="Y33" i="30"/>
  <c r="AC34" i="18"/>
  <c r="AC34" i="19"/>
  <c r="AC34" i="30"/>
  <c r="AC35" i="18"/>
  <c r="AC35" i="19"/>
  <c r="AC35" i="30"/>
  <c r="AC37" i="18"/>
  <c r="AC37" i="19"/>
  <c r="AC37" i="30"/>
  <c r="AC38" i="18"/>
  <c r="AC38" i="19"/>
  <c r="AC38" i="30"/>
  <c r="AC39" i="18"/>
  <c r="AC39" i="19"/>
  <c r="AC39" i="30"/>
  <c r="AC40" i="18"/>
  <c r="AC40" i="19"/>
  <c r="AC40" i="30"/>
  <c r="M11" i="18"/>
  <c r="M41" i="18" s="1"/>
  <c r="U11" i="18"/>
  <c r="Y11" i="18"/>
  <c r="Y41" i="18" s="1"/>
  <c r="J20" i="18"/>
  <c r="J12" i="18" s="1"/>
  <c r="L20" i="18"/>
  <c r="N20" i="18"/>
  <c r="N12" i="18" s="1"/>
  <c r="P20" i="18"/>
  <c r="P12" i="18"/>
  <c r="R20" i="18"/>
  <c r="R12" i="18" s="1"/>
  <c r="T20" i="18"/>
  <c r="V20" i="18"/>
  <c r="V12" i="18" s="1"/>
  <c r="X20" i="18"/>
  <c r="X12" i="18" s="1"/>
  <c r="X11" i="18" s="1"/>
  <c r="X41" i="18" s="1"/>
  <c r="Z20" i="18"/>
  <c r="Z12" i="18" s="1"/>
  <c r="J20" i="19"/>
  <c r="J12" i="19" s="1"/>
  <c r="L20" i="19"/>
  <c r="L12" i="19" s="1"/>
  <c r="N20" i="19"/>
  <c r="N12" i="19" s="1"/>
  <c r="P20" i="19"/>
  <c r="P12" i="19" s="1"/>
  <c r="P11" i="19" s="1"/>
  <c r="R20" i="19"/>
  <c r="T20" i="19"/>
  <c r="T12" i="19"/>
  <c r="V20" i="19"/>
  <c r="V12" i="19" s="1"/>
  <c r="X20" i="19"/>
  <c r="X12" i="19"/>
  <c r="Z20" i="19"/>
  <c r="Z12" i="19" s="1"/>
  <c r="J20" i="30"/>
  <c r="L20" i="30"/>
  <c r="AD20" i="30" s="1"/>
  <c r="N20" i="30"/>
  <c r="P20" i="30"/>
  <c r="P12" i="30"/>
  <c r="R20" i="30"/>
  <c r="T20" i="30"/>
  <c r="T12" i="30" s="1"/>
  <c r="T11" i="30" s="1"/>
  <c r="T41" i="30" s="1"/>
  <c r="V20" i="30"/>
  <c r="X20" i="30"/>
  <c r="X12" i="30" s="1"/>
  <c r="X11" i="30" s="1"/>
  <c r="X41" i="30" s="1"/>
  <c r="Z20" i="30"/>
  <c r="AD13" i="18"/>
  <c r="AD13" i="19"/>
  <c r="S19" i="17"/>
  <c r="AD19" i="30"/>
  <c r="S18" i="16" s="1"/>
  <c r="S20" i="17"/>
  <c r="S21" i="17"/>
  <c r="AD21" i="18"/>
  <c r="AD21" i="19"/>
  <c r="AD21" i="30"/>
  <c r="S20" i="16"/>
  <c r="S22" i="17"/>
  <c r="S21" i="16" s="1"/>
  <c r="AD22" i="18"/>
  <c r="AD22" i="19"/>
  <c r="AD22" i="30"/>
  <c r="S23" i="17"/>
  <c r="AD23" i="18"/>
  <c r="AD23" i="19"/>
  <c r="AD23" i="30"/>
  <c r="S24" i="17"/>
  <c r="S23" i="16" s="1"/>
  <c r="AD24" i="18"/>
  <c r="AD24" i="19"/>
  <c r="AD24" i="30"/>
  <c r="S25" i="17"/>
  <c r="J25" i="18"/>
  <c r="L25" i="18"/>
  <c r="J24" i="16" s="1"/>
  <c r="N25" i="18"/>
  <c r="P25" i="18"/>
  <c r="L24" i="16" s="1"/>
  <c r="R25" i="18"/>
  <c r="T25" i="18"/>
  <c r="N24" i="16" s="1"/>
  <c r="V25" i="18"/>
  <c r="X25" i="18"/>
  <c r="Z25" i="18"/>
  <c r="J25" i="19"/>
  <c r="L25" i="19"/>
  <c r="N25" i="19"/>
  <c r="P25" i="19"/>
  <c r="R25" i="19"/>
  <c r="T25" i="19"/>
  <c r="V25" i="19"/>
  <c r="X25" i="19"/>
  <c r="Z25" i="19"/>
  <c r="J25" i="30"/>
  <c r="L25" i="30"/>
  <c r="N25" i="30"/>
  <c r="P25" i="30"/>
  <c r="R25" i="30"/>
  <c r="T25" i="30"/>
  <c r="V25" i="30"/>
  <c r="X25" i="30"/>
  <c r="P24" i="16" s="1"/>
  <c r="Z25" i="30"/>
  <c r="S26" i="17"/>
  <c r="AD26" i="18"/>
  <c r="S25" i="16" s="1"/>
  <c r="AD26" i="19"/>
  <c r="AD26" i="30"/>
  <c r="S27" i="17"/>
  <c r="S26" i="16" s="1"/>
  <c r="AD27" i="18"/>
  <c r="AD27" i="19"/>
  <c r="AD27" i="30"/>
  <c r="S28" i="17"/>
  <c r="J28" i="18"/>
  <c r="L28" i="18"/>
  <c r="N28" i="18"/>
  <c r="P28" i="18"/>
  <c r="R28" i="18"/>
  <c r="T28" i="18"/>
  <c r="V28" i="18"/>
  <c r="X28" i="18"/>
  <c r="Z28" i="18"/>
  <c r="Q27" i="16" s="1"/>
  <c r="J28" i="19"/>
  <c r="L28" i="19"/>
  <c r="N28" i="19"/>
  <c r="P28" i="19"/>
  <c r="R28" i="19"/>
  <c r="T28" i="19"/>
  <c r="V28" i="19"/>
  <c r="X28" i="19"/>
  <c r="Z28" i="19"/>
  <c r="J28" i="30"/>
  <c r="L28" i="30"/>
  <c r="N28" i="30"/>
  <c r="P28" i="30"/>
  <c r="P11" i="30"/>
  <c r="P41" i="30" s="1"/>
  <c r="R28" i="30"/>
  <c r="T28" i="30"/>
  <c r="V28" i="30"/>
  <c r="X28" i="30"/>
  <c r="Z28" i="30"/>
  <c r="S29" i="17"/>
  <c r="AD29" i="18"/>
  <c r="AD29" i="19"/>
  <c r="S28" i="16" s="1"/>
  <c r="AD29" i="30"/>
  <c r="AD34" i="18"/>
  <c r="AD34" i="19"/>
  <c r="S33" i="16" s="1"/>
  <c r="AD34" i="30"/>
  <c r="AD35" i="18"/>
  <c r="AD35" i="19"/>
  <c r="AD35" i="30"/>
  <c r="S34" i="16"/>
  <c r="AD36" i="18"/>
  <c r="AD36" i="19"/>
  <c r="AD36" i="30"/>
  <c r="AD37" i="18"/>
  <c r="S36" i="16" s="1"/>
  <c r="AD37" i="19"/>
  <c r="AD37" i="30"/>
  <c r="AD38" i="18"/>
  <c r="S37" i="16" s="1"/>
  <c r="AD38" i="19"/>
  <c r="AD38" i="30"/>
  <c r="AD39" i="18"/>
  <c r="S38" i="16" s="1"/>
  <c r="AD39" i="19"/>
  <c r="AD39" i="30"/>
  <c r="AD40" i="18"/>
  <c r="AD40" i="19"/>
  <c r="AD40" i="30"/>
  <c r="P11" i="18"/>
  <c r="P41" i="18"/>
  <c r="AA20" i="18"/>
  <c r="AA12" i="18"/>
  <c r="AA11" i="18" s="1"/>
  <c r="AA41" i="18" s="1"/>
  <c r="AA20" i="19"/>
  <c r="AA12" i="19"/>
  <c r="AA11" i="19" s="1"/>
  <c r="AA20" i="30"/>
  <c r="AA12" i="30" s="1"/>
  <c r="AA11" i="30" s="1"/>
  <c r="AA41" i="30" s="1"/>
  <c r="AA25" i="18"/>
  <c r="AA25" i="19"/>
  <c r="AA25" i="30"/>
  <c r="AA28" i="18"/>
  <c r="AA28" i="19"/>
  <c r="AA28" i="30"/>
  <c r="AA36" i="18"/>
  <c r="AA33" i="18"/>
  <c r="AA36" i="19"/>
  <c r="AA33" i="19"/>
  <c r="AA36" i="30"/>
  <c r="AA33" i="30"/>
  <c r="AB20" i="18"/>
  <c r="AB12" i="18" s="1"/>
  <c r="AB20" i="19"/>
  <c r="AB12" i="19" s="1"/>
  <c r="AB11" i="19" s="1"/>
  <c r="AB41" i="19" s="1"/>
  <c r="AB20" i="30"/>
  <c r="AB12" i="30" s="1"/>
  <c r="R14" i="16"/>
  <c r="R18" i="16"/>
  <c r="R20" i="16"/>
  <c r="R21" i="16"/>
  <c r="R22" i="16"/>
  <c r="R23" i="16"/>
  <c r="AB25" i="18"/>
  <c r="R24" i="16" s="1"/>
  <c r="AB25" i="19"/>
  <c r="AB25" i="30"/>
  <c r="R25" i="16"/>
  <c r="R26" i="16"/>
  <c r="AB28" i="18"/>
  <c r="R27" i="16" s="1"/>
  <c r="AB28" i="19"/>
  <c r="AB28" i="30"/>
  <c r="R28" i="16"/>
  <c r="Q18" i="16"/>
  <c r="Q20" i="16"/>
  <c r="Q21" i="16"/>
  <c r="Q22" i="16"/>
  <c r="Q23" i="16"/>
  <c r="Q25" i="16"/>
  <c r="Q26" i="16"/>
  <c r="Q28" i="16"/>
  <c r="P14" i="16"/>
  <c r="P18" i="16"/>
  <c r="P19" i="16"/>
  <c r="P20" i="16"/>
  <c r="P21" i="16"/>
  <c r="P22" i="16"/>
  <c r="P23" i="16"/>
  <c r="P25" i="16"/>
  <c r="P26" i="16"/>
  <c r="P27" i="16"/>
  <c r="P28" i="16"/>
  <c r="O18" i="16"/>
  <c r="O19" i="16"/>
  <c r="O20" i="16"/>
  <c r="O21" i="16"/>
  <c r="O22" i="16"/>
  <c r="O23" i="16"/>
  <c r="O25" i="16"/>
  <c r="O26" i="16"/>
  <c r="O27" i="16"/>
  <c r="O28" i="16"/>
  <c r="N18" i="16"/>
  <c r="N20" i="16"/>
  <c r="N21" i="16"/>
  <c r="N22" i="16"/>
  <c r="N23" i="16"/>
  <c r="N25" i="16"/>
  <c r="N26" i="16"/>
  <c r="N27" i="16"/>
  <c r="N28" i="16"/>
  <c r="M18" i="16"/>
  <c r="M20" i="16"/>
  <c r="M21" i="16"/>
  <c r="M22" i="16"/>
  <c r="M23" i="16"/>
  <c r="M25" i="16"/>
  <c r="M26" i="16"/>
  <c r="M27" i="16"/>
  <c r="M28" i="16"/>
  <c r="L14" i="16"/>
  <c r="L18" i="16"/>
  <c r="L19" i="16"/>
  <c r="L20" i="16"/>
  <c r="L21" i="16"/>
  <c r="L22" i="16"/>
  <c r="L23" i="16"/>
  <c r="L25" i="16"/>
  <c r="L26" i="16"/>
  <c r="L27" i="16"/>
  <c r="L28" i="16"/>
  <c r="K18" i="16"/>
  <c r="K19" i="16"/>
  <c r="K20" i="16"/>
  <c r="K21" i="16"/>
  <c r="K22" i="16"/>
  <c r="K23" i="16"/>
  <c r="K25" i="16"/>
  <c r="K26" i="16"/>
  <c r="K27" i="16"/>
  <c r="K28" i="16"/>
  <c r="J14" i="16"/>
  <c r="J18" i="16"/>
  <c r="J19" i="16"/>
  <c r="J20" i="16"/>
  <c r="J21" i="16"/>
  <c r="J22" i="16"/>
  <c r="J23" i="16"/>
  <c r="J25" i="16"/>
  <c r="J26" i="16"/>
  <c r="J27" i="16"/>
  <c r="J28" i="16"/>
  <c r="I18" i="16"/>
  <c r="I20" i="16"/>
  <c r="I21" i="16"/>
  <c r="I22" i="16"/>
  <c r="I23" i="16"/>
  <c r="I25" i="16"/>
  <c r="I26" i="16"/>
  <c r="I28" i="16"/>
  <c r="R36" i="43"/>
  <c r="R33" i="43"/>
  <c r="R20" i="43"/>
  <c r="R12" i="43"/>
  <c r="R25" i="43"/>
  <c r="R28" i="43"/>
  <c r="S20" i="43"/>
  <c r="S12" i="43"/>
  <c r="S25" i="43"/>
  <c r="S11" i="43" s="1"/>
  <c r="S41" i="43" s="1"/>
  <c r="S28" i="43"/>
  <c r="S36" i="43"/>
  <c r="S33" i="43"/>
  <c r="T20" i="43"/>
  <c r="T12" i="43" s="1"/>
  <c r="T25" i="43"/>
  <c r="T28" i="43"/>
  <c r="T36" i="43"/>
  <c r="T33" i="43" s="1"/>
  <c r="U20" i="43"/>
  <c r="U12" i="43"/>
  <c r="U11" i="43"/>
  <c r="U25" i="43"/>
  <c r="U28" i="43"/>
  <c r="U36" i="43"/>
  <c r="V20" i="43"/>
  <c r="V12" i="43" s="1"/>
  <c r="V25" i="43"/>
  <c r="V28" i="43"/>
  <c r="V36" i="43"/>
  <c r="V33" i="43"/>
  <c r="W20" i="43"/>
  <c r="W25" i="43"/>
  <c r="W28" i="43"/>
  <c r="W36" i="43"/>
  <c r="W33" i="43"/>
  <c r="Q28" i="43"/>
  <c r="Q20" i="43"/>
  <c r="Q25" i="43"/>
  <c r="AM59" i="43"/>
  <c r="AM60" i="43"/>
  <c r="AM61" i="43"/>
  <c r="O63" i="43"/>
  <c r="AM63" i="43" s="1"/>
  <c r="W63" i="43"/>
  <c r="AE63" i="43"/>
  <c r="AM64" i="43"/>
  <c r="AM65" i="43"/>
  <c r="AM66" i="43"/>
  <c r="AL57" i="43"/>
  <c r="AL59" i="43"/>
  <c r="AL60" i="43"/>
  <c r="AL61" i="43"/>
  <c r="N63" i="43"/>
  <c r="V63" i="43"/>
  <c r="AL63" i="43" s="1"/>
  <c r="AD63" i="43"/>
  <c r="AL64" i="43"/>
  <c r="AL65" i="43"/>
  <c r="AL66" i="43"/>
  <c r="N52" i="43"/>
  <c r="N50" i="43"/>
  <c r="V52" i="43"/>
  <c r="V50" i="43" s="1"/>
  <c r="AD52" i="43"/>
  <c r="AD50" i="43"/>
  <c r="O52" i="43"/>
  <c r="O50" i="43" s="1"/>
  <c r="W52" i="43"/>
  <c r="AE52" i="43"/>
  <c r="AE50" i="43"/>
  <c r="AL51" i="43"/>
  <c r="AM51" i="43"/>
  <c r="AL53" i="43"/>
  <c r="AM53" i="43"/>
  <c r="AL54" i="43"/>
  <c r="AM54" i="43"/>
  <c r="N55" i="43"/>
  <c r="AL55" i="43"/>
  <c r="V55" i="43"/>
  <c r="AD55" i="43"/>
  <c r="O55" i="43"/>
  <c r="AM55" i="43"/>
  <c r="W55" i="43"/>
  <c r="AE55" i="43"/>
  <c r="AL56" i="43"/>
  <c r="AM56" i="43"/>
  <c r="AM57" i="43"/>
  <c r="AL49" i="43"/>
  <c r="AM49" i="43"/>
  <c r="AL48" i="43"/>
  <c r="AM48" i="43"/>
  <c r="N43" i="43"/>
  <c r="V43" i="43"/>
  <c r="AD43" i="43"/>
  <c r="O43" i="43"/>
  <c r="W43" i="43"/>
  <c r="AM43" i="43" s="1"/>
  <c r="AE43" i="43"/>
  <c r="AL44" i="43"/>
  <c r="AM44" i="43"/>
  <c r="AL45" i="43"/>
  <c r="AM45" i="43"/>
  <c r="AL46" i="43"/>
  <c r="AM46" i="43"/>
  <c r="AL47" i="43"/>
  <c r="AM47" i="43"/>
  <c r="N20" i="43"/>
  <c r="N12" i="43"/>
  <c r="N11" i="43"/>
  <c r="N25" i="43"/>
  <c r="AL25" i="43" s="1"/>
  <c r="N28" i="43"/>
  <c r="N36" i="43"/>
  <c r="N33" i="43" s="1"/>
  <c r="AD20" i="43"/>
  <c r="AD12" i="43"/>
  <c r="AD11" i="43"/>
  <c r="AD25" i="43"/>
  <c r="AD28" i="43"/>
  <c r="AL28" i="43" s="1"/>
  <c r="AD36" i="43"/>
  <c r="AD33" i="43"/>
  <c r="O20" i="43"/>
  <c r="O12" i="43"/>
  <c r="O25" i="43"/>
  <c r="O28" i="43"/>
  <c r="AM28" i="43" s="1"/>
  <c r="O36" i="43"/>
  <c r="O33" i="43"/>
  <c r="AE20" i="43"/>
  <c r="AE25" i="43"/>
  <c r="AE28" i="43"/>
  <c r="AE36" i="43"/>
  <c r="AE33" i="43" s="1"/>
  <c r="AM33" i="43" s="1"/>
  <c r="AL20" i="43"/>
  <c r="AL21" i="43"/>
  <c r="AM21" i="43"/>
  <c r="AL22" i="43"/>
  <c r="AM22" i="43"/>
  <c r="AL23" i="43"/>
  <c r="AM23" i="43"/>
  <c r="AL24" i="43"/>
  <c r="AM24" i="43"/>
  <c r="AL26" i="43"/>
  <c r="AM26" i="43"/>
  <c r="AL27" i="43"/>
  <c r="AM27" i="43"/>
  <c r="AL29" i="43"/>
  <c r="AM29" i="43"/>
  <c r="AL32" i="43"/>
  <c r="AM32" i="43"/>
  <c r="AL34" i="43"/>
  <c r="AM34" i="43"/>
  <c r="AL35" i="43"/>
  <c r="AM35" i="43"/>
  <c r="AL37" i="43"/>
  <c r="AM37" i="43"/>
  <c r="AL38" i="43"/>
  <c r="AM38" i="43"/>
  <c r="AL39" i="43"/>
  <c r="AM39" i="43"/>
  <c r="AL40" i="43"/>
  <c r="AM40" i="43"/>
  <c r="AL19" i="43"/>
  <c r="AM19" i="43"/>
  <c r="AL13" i="43"/>
  <c r="AF60" i="43"/>
  <c r="AF61" i="43"/>
  <c r="Y63" i="43"/>
  <c r="AF63" i="43" s="1"/>
  <c r="AA63" i="43"/>
  <c r="AC63" i="43"/>
  <c r="AF64" i="43"/>
  <c r="AF65" i="43"/>
  <c r="AF66" i="43"/>
  <c r="AF62" i="43"/>
  <c r="AF44" i="43"/>
  <c r="AF45" i="43"/>
  <c r="AF46" i="43"/>
  <c r="AF47" i="43"/>
  <c r="AF48" i="43"/>
  <c r="AF49" i="43"/>
  <c r="Y52" i="43"/>
  <c r="Y50" i="43" s="1"/>
  <c r="AA52" i="43"/>
  <c r="AA50" i="43"/>
  <c r="AC52" i="43"/>
  <c r="AC50" i="43" s="1"/>
  <c r="AF51" i="43"/>
  <c r="AF53" i="43"/>
  <c r="AF54" i="43"/>
  <c r="Y55" i="43"/>
  <c r="AF55" i="43" s="1"/>
  <c r="AA55" i="43"/>
  <c r="AC55" i="43"/>
  <c r="AF56" i="43"/>
  <c r="AF57" i="43"/>
  <c r="AF59" i="43"/>
  <c r="Y43" i="43"/>
  <c r="AF43" i="43"/>
  <c r="Y20" i="43"/>
  <c r="AA20" i="43"/>
  <c r="AC20" i="43"/>
  <c r="AC12" i="43" s="1"/>
  <c r="AC11" i="43" s="1"/>
  <c r="AF19" i="43"/>
  <c r="AF20" i="43"/>
  <c r="AF21" i="43"/>
  <c r="AF22" i="43"/>
  <c r="AF23" i="43"/>
  <c r="AF24" i="43"/>
  <c r="Y25" i="43"/>
  <c r="AF25" i="43" s="1"/>
  <c r="AA25" i="43"/>
  <c r="AC25" i="43"/>
  <c r="AF26" i="43"/>
  <c r="AF27" i="43"/>
  <c r="Y28" i="43"/>
  <c r="AA28" i="43"/>
  <c r="AC28" i="43"/>
  <c r="AF29" i="43"/>
  <c r="AF32" i="43"/>
  <c r="AA36" i="43"/>
  <c r="AA33" i="43"/>
  <c r="AF33" i="43" s="1"/>
  <c r="AC36" i="43"/>
  <c r="AC33" i="43"/>
  <c r="AF34" i="43"/>
  <c r="AF35" i="43"/>
  <c r="AF37" i="43"/>
  <c r="AF38" i="43"/>
  <c r="AF39" i="43"/>
  <c r="AF40" i="43"/>
  <c r="X60" i="43"/>
  <c r="X61" i="43"/>
  <c r="Q63" i="43"/>
  <c r="X63" i="43"/>
  <c r="S63" i="43"/>
  <c r="U63" i="43"/>
  <c r="X64" i="43"/>
  <c r="X65" i="43"/>
  <c r="X66" i="43"/>
  <c r="X44" i="43"/>
  <c r="X45" i="43"/>
  <c r="X46" i="43"/>
  <c r="X47" i="43"/>
  <c r="X48" i="43"/>
  <c r="X49" i="43"/>
  <c r="Q52" i="43"/>
  <c r="S52" i="43"/>
  <c r="S50" i="43"/>
  <c r="U52" i="43"/>
  <c r="U50" i="43"/>
  <c r="X51" i="43"/>
  <c r="X53" i="43"/>
  <c r="X54" i="43"/>
  <c r="Q55" i="43"/>
  <c r="S55" i="43"/>
  <c r="U55" i="43"/>
  <c r="X56" i="43"/>
  <c r="X57" i="43"/>
  <c r="X59" i="43"/>
  <c r="Q43" i="43"/>
  <c r="X43" i="43" s="1"/>
  <c r="X19" i="43"/>
  <c r="X21" i="43"/>
  <c r="X22" i="43"/>
  <c r="X23" i="43"/>
  <c r="X24" i="43"/>
  <c r="X25" i="43"/>
  <c r="X26" i="43"/>
  <c r="X27" i="43"/>
  <c r="X29" i="43"/>
  <c r="X32" i="43"/>
  <c r="X34" i="43"/>
  <c r="X35" i="43"/>
  <c r="X37" i="43"/>
  <c r="X38" i="43"/>
  <c r="X39" i="43"/>
  <c r="X40" i="43"/>
  <c r="P60" i="43"/>
  <c r="P61" i="43"/>
  <c r="I63" i="43"/>
  <c r="P63" i="43" s="1"/>
  <c r="K63" i="43"/>
  <c r="M63" i="43"/>
  <c r="AK63" i="43"/>
  <c r="P64" i="43"/>
  <c r="P65" i="43"/>
  <c r="AN65" i="43" s="1"/>
  <c r="P66" i="43"/>
  <c r="P44" i="43"/>
  <c r="AN44" i="43" s="1"/>
  <c r="P45" i="43"/>
  <c r="AN45" i="43"/>
  <c r="P46" i="43"/>
  <c r="AN46" i="43" s="1"/>
  <c r="P47" i="43"/>
  <c r="AN47" i="43" s="1"/>
  <c r="P48" i="43"/>
  <c r="AN48" i="43" s="1"/>
  <c r="P49" i="43"/>
  <c r="AN49" i="43"/>
  <c r="I52" i="43"/>
  <c r="I50" i="43"/>
  <c r="K52" i="43"/>
  <c r="K50" i="43"/>
  <c r="AI50" i="43" s="1"/>
  <c r="M52" i="43"/>
  <c r="M50" i="43"/>
  <c r="P51" i="43"/>
  <c r="AN51" i="43" s="1"/>
  <c r="P52" i="43"/>
  <c r="P53" i="43"/>
  <c r="AN53" i="43" s="1"/>
  <c r="P54" i="43"/>
  <c r="I55" i="43"/>
  <c r="K55" i="43"/>
  <c r="AI55" i="43"/>
  <c r="M55" i="43"/>
  <c r="P56" i="43"/>
  <c r="P57" i="43"/>
  <c r="P59" i="43"/>
  <c r="P62" i="43"/>
  <c r="I43" i="43"/>
  <c r="P43" i="43"/>
  <c r="I20" i="43"/>
  <c r="AG20" i="43" s="1"/>
  <c r="I12" i="43"/>
  <c r="K20" i="43"/>
  <c r="K12" i="43"/>
  <c r="M20" i="43"/>
  <c r="P19" i="43"/>
  <c r="AN19" i="43" s="1"/>
  <c r="P21" i="43"/>
  <c r="P22" i="43"/>
  <c r="AN22" i="43"/>
  <c r="P23" i="43"/>
  <c r="AN23" i="43"/>
  <c r="P24" i="43"/>
  <c r="AN24" i="43" s="1"/>
  <c r="I25" i="43"/>
  <c r="P25" i="43" s="1"/>
  <c r="AN25" i="43" s="1"/>
  <c r="K25" i="43"/>
  <c r="AI25" i="43"/>
  <c r="M25" i="43"/>
  <c r="P26" i="43"/>
  <c r="P27" i="43"/>
  <c r="AN27" i="43"/>
  <c r="I28" i="43"/>
  <c r="K28" i="43"/>
  <c r="M28" i="43"/>
  <c r="P28" i="43" s="1"/>
  <c r="P29" i="43"/>
  <c r="AN29" i="43"/>
  <c r="P32" i="43"/>
  <c r="K36" i="43"/>
  <c r="AI36" i="43" s="1"/>
  <c r="M36" i="43"/>
  <c r="M33" i="43" s="1"/>
  <c r="P34" i="43"/>
  <c r="AN34" i="43" s="1"/>
  <c r="P35" i="43"/>
  <c r="AN35" i="43" s="1"/>
  <c r="P37" i="43"/>
  <c r="P38" i="43"/>
  <c r="AN38" i="43"/>
  <c r="P39" i="43"/>
  <c r="AN39" i="43"/>
  <c r="P40" i="43"/>
  <c r="Z20" i="43"/>
  <c r="Z12" i="43" s="1"/>
  <c r="AB20" i="43"/>
  <c r="J20" i="43"/>
  <c r="AH20" i="43" s="1"/>
  <c r="L20" i="43"/>
  <c r="L12" i="43"/>
  <c r="J25" i="43"/>
  <c r="J28" i="43"/>
  <c r="L25" i="43"/>
  <c r="L28" i="43"/>
  <c r="Z25" i="43"/>
  <c r="AH25" i="43" s="1"/>
  <c r="Z28" i="43"/>
  <c r="AB25" i="43"/>
  <c r="AB28" i="43"/>
  <c r="AJ28" i="43" s="1"/>
  <c r="AH13" i="43"/>
  <c r="C19" i="43"/>
  <c r="AG19" i="43"/>
  <c r="C20" i="43"/>
  <c r="AI20" i="43"/>
  <c r="AJ20" i="43"/>
  <c r="AG21" i="43"/>
  <c r="AH21" i="43"/>
  <c r="AI21" i="43"/>
  <c r="AJ21" i="43"/>
  <c r="AK21" i="43"/>
  <c r="AN21" i="43"/>
  <c r="AG22" i="43"/>
  <c r="AH22" i="43"/>
  <c r="AI22" i="43"/>
  <c r="AJ22" i="43"/>
  <c r="AK22" i="43"/>
  <c r="AG23" i="43"/>
  <c r="AH23" i="43"/>
  <c r="AI23" i="43"/>
  <c r="AJ23" i="43"/>
  <c r="AK23" i="43"/>
  <c r="AG24" i="43"/>
  <c r="AH24" i="43"/>
  <c r="AI24" i="43"/>
  <c r="AJ24" i="43"/>
  <c r="AK24" i="43"/>
  <c r="AG25" i="43"/>
  <c r="AK25" i="43"/>
  <c r="AG26" i="43"/>
  <c r="AH26" i="43"/>
  <c r="AI26" i="43"/>
  <c r="AJ26" i="43"/>
  <c r="AK26" i="43"/>
  <c r="C27" i="43"/>
  <c r="AG27" i="43"/>
  <c r="AH27" i="43"/>
  <c r="AI27" i="43"/>
  <c r="AJ27" i="43"/>
  <c r="AK27" i="43"/>
  <c r="AG28" i="43"/>
  <c r="AK28" i="43"/>
  <c r="AG29" i="43"/>
  <c r="AH29" i="43"/>
  <c r="AI29" i="43"/>
  <c r="AJ29" i="43"/>
  <c r="AK29" i="43"/>
  <c r="C32" i="43"/>
  <c r="AG32" i="43"/>
  <c r="AH32" i="43"/>
  <c r="AI32" i="43"/>
  <c r="AK32" i="43"/>
  <c r="J36" i="43"/>
  <c r="L36" i="43"/>
  <c r="L33" i="43" s="1"/>
  <c r="Z36" i="43"/>
  <c r="Z33" i="43" s="1"/>
  <c r="AB36" i="43"/>
  <c r="AB33" i="43"/>
  <c r="AH34" i="43"/>
  <c r="AI34" i="43"/>
  <c r="AJ34" i="43"/>
  <c r="AK34" i="43"/>
  <c r="AH35" i="43"/>
  <c r="AI35" i="43"/>
  <c r="AJ35" i="43"/>
  <c r="AK35" i="43"/>
  <c r="AH37" i="43"/>
  <c r="AI37" i="43"/>
  <c r="AJ37" i="43"/>
  <c r="AK37" i="43"/>
  <c r="AN37" i="43"/>
  <c r="C38" i="43"/>
  <c r="AH38" i="43"/>
  <c r="AI38" i="43"/>
  <c r="AJ38" i="43"/>
  <c r="AK38" i="43"/>
  <c r="AH39" i="43"/>
  <c r="AI39" i="43"/>
  <c r="AJ39" i="43"/>
  <c r="AK39" i="43"/>
  <c r="AH40" i="43"/>
  <c r="AI40" i="43"/>
  <c r="AJ40" i="43"/>
  <c r="AK40" i="43"/>
  <c r="AN40" i="43"/>
  <c r="AG43" i="43"/>
  <c r="AG44" i="43"/>
  <c r="AG45" i="43"/>
  <c r="AG46" i="43"/>
  <c r="AG47" i="43"/>
  <c r="AG48" i="43"/>
  <c r="AH48" i="43"/>
  <c r="AI48" i="43"/>
  <c r="AJ48" i="43"/>
  <c r="AK48" i="43"/>
  <c r="AG49" i="43"/>
  <c r="J52" i="43"/>
  <c r="J50" i="43" s="1"/>
  <c r="AH50" i="43" s="1"/>
  <c r="L52" i="43"/>
  <c r="R52" i="43"/>
  <c r="R50" i="43"/>
  <c r="T52" i="43"/>
  <c r="T50" i="43"/>
  <c r="Z52" i="43"/>
  <c r="Z50" i="43"/>
  <c r="AB52" i="43"/>
  <c r="AB50" i="43"/>
  <c r="AG51" i="43"/>
  <c r="AH51" i="43"/>
  <c r="AI51" i="43"/>
  <c r="AJ51" i="43"/>
  <c r="AK51" i="43"/>
  <c r="AI52" i="43"/>
  <c r="AK52" i="43"/>
  <c r="AG53" i="43"/>
  <c r="AH53" i="43"/>
  <c r="AI53" i="43"/>
  <c r="AJ53" i="43"/>
  <c r="AK53" i="43"/>
  <c r="AG54" i="43"/>
  <c r="AH54" i="43"/>
  <c r="AI54" i="43"/>
  <c r="AJ54" i="43"/>
  <c r="AK54" i="43"/>
  <c r="AN54" i="43"/>
  <c r="J55" i="43"/>
  <c r="L55" i="43"/>
  <c r="AJ55" i="43" s="1"/>
  <c r="R55" i="43"/>
  <c r="T55" i="43"/>
  <c r="Z55" i="43"/>
  <c r="AH55" i="43" s="1"/>
  <c r="AB55" i="43"/>
  <c r="AG55" i="43"/>
  <c r="AK55" i="43"/>
  <c r="AG56" i="43"/>
  <c r="AH56" i="43"/>
  <c r="AI56" i="43"/>
  <c r="AJ56" i="43"/>
  <c r="AK56" i="43"/>
  <c r="AN56" i="43"/>
  <c r="AG57" i="43"/>
  <c r="AH57" i="43"/>
  <c r="AI57" i="43"/>
  <c r="AJ57" i="43"/>
  <c r="AK57" i="43"/>
  <c r="AN57" i="43"/>
  <c r="AG59" i="43"/>
  <c r="AH59" i="43"/>
  <c r="AI59" i="43"/>
  <c r="AN59" i="43"/>
  <c r="AG60" i="43"/>
  <c r="AH60" i="43"/>
  <c r="AI60" i="43"/>
  <c r="AJ60" i="43"/>
  <c r="AK60" i="43"/>
  <c r="AN60" i="43"/>
  <c r="AG61" i="43"/>
  <c r="AH61" i="43"/>
  <c r="AI61" i="43"/>
  <c r="AJ61" i="43"/>
  <c r="AK61" i="43"/>
  <c r="AN61" i="43"/>
  <c r="J63" i="43"/>
  <c r="L63" i="43"/>
  <c r="R63" i="43"/>
  <c r="AH63" i="43" s="1"/>
  <c r="T63" i="43"/>
  <c r="Z63" i="43"/>
  <c r="AB63" i="43"/>
  <c r="AI63" i="43"/>
  <c r="AG64" i="43"/>
  <c r="AH64" i="43"/>
  <c r="AI64" i="43"/>
  <c r="AJ64" i="43"/>
  <c r="AK64" i="43"/>
  <c r="AN64" i="43"/>
  <c r="AG65" i="43"/>
  <c r="AH65" i="43"/>
  <c r="AI65" i="43"/>
  <c r="AJ65" i="43"/>
  <c r="AK65" i="43"/>
  <c r="AG66" i="43"/>
  <c r="AH66" i="43"/>
  <c r="AI66" i="43"/>
  <c r="AJ66" i="43"/>
  <c r="AK66" i="43"/>
  <c r="AN66" i="43"/>
  <c r="I20" i="46"/>
  <c r="I25" i="46"/>
  <c r="I28" i="46"/>
  <c r="I36" i="46"/>
  <c r="I33" i="46"/>
  <c r="K20" i="46"/>
  <c r="K25" i="46"/>
  <c r="AC25" i="46" s="1"/>
  <c r="K28" i="46"/>
  <c r="K36" i="46"/>
  <c r="K33" i="46" s="1"/>
  <c r="M20" i="46"/>
  <c r="M12" i="46" s="1"/>
  <c r="M11" i="46" s="1"/>
  <c r="M25" i="46"/>
  <c r="M28" i="46"/>
  <c r="M36" i="46"/>
  <c r="M33" i="46"/>
  <c r="O20" i="46"/>
  <c r="O12" i="46"/>
  <c r="O25" i="46"/>
  <c r="O28" i="46"/>
  <c r="O36" i="46"/>
  <c r="O33" i="46"/>
  <c r="Q20" i="46"/>
  <c r="Q12" i="46"/>
  <c r="Q11" i="46" s="1"/>
  <c r="Q25" i="46"/>
  <c r="Q28" i="46"/>
  <c r="Q36" i="46"/>
  <c r="S20" i="46"/>
  <c r="S12" i="46"/>
  <c r="S25" i="46"/>
  <c r="S28" i="46"/>
  <c r="S36" i="46"/>
  <c r="S33" i="46" s="1"/>
  <c r="U20" i="46"/>
  <c r="U12" i="46" s="1"/>
  <c r="U11" i="46" s="1"/>
  <c r="U25" i="46"/>
  <c r="U28" i="46"/>
  <c r="U36" i="46"/>
  <c r="U33" i="46" s="1"/>
  <c r="W20" i="46"/>
  <c r="W12" i="46" s="1"/>
  <c r="W11" i="46" s="1"/>
  <c r="W25" i="46"/>
  <c r="W28" i="46"/>
  <c r="W36" i="46"/>
  <c r="W33" i="46"/>
  <c r="Y20" i="46"/>
  <c r="Y12" i="46"/>
  <c r="Y11" i="46" s="1"/>
  <c r="Y25" i="46"/>
  <c r="Y28" i="46"/>
  <c r="Y36" i="46"/>
  <c r="Y33" i="46" s="1"/>
  <c r="I20" i="47"/>
  <c r="I25" i="47"/>
  <c r="I28" i="47"/>
  <c r="I36" i="47"/>
  <c r="K20" i="47"/>
  <c r="K12" i="47" s="1"/>
  <c r="K25" i="47"/>
  <c r="K28" i="47"/>
  <c r="K36" i="47"/>
  <c r="K33" i="47" s="1"/>
  <c r="M20" i="47"/>
  <c r="M12" i="47" s="1"/>
  <c r="M11" i="47" s="1"/>
  <c r="M25" i="47"/>
  <c r="M28" i="47"/>
  <c r="M36" i="47"/>
  <c r="M33" i="47" s="1"/>
  <c r="O20" i="47"/>
  <c r="O12" i="47" s="1"/>
  <c r="O11" i="47" s="1"/>
  <c r="O25" i="47"/>
  <c r="O28" i="47"/>
  <c r="O36" i="47"/>
  <c r="O33" i="47" s="1"/>
  <c r="Q20" i="47"/>
  <c r="Q12" i="47" s="1"/>
  <c r="Q11" i="47" s="1"/>
  <c r="Q25" i="47"/>
  <c r="Q28" i="47"/>
  <c r="Q36" i="47"/>
  <c r="Q33" i="47"/>
  <c r="S20" i="47"/>
  <c r="S12" i="47"/>
  <c r="S25" i="47"/>
  <c r="S28" i="47"/>
  <c r="S36" i="47"/>
  <c r="S33" i="47"/>
  <c r="U20" i="47"/>
  <c r="U12" i="47"/>
  <c r="U11" i="47" s="1"/>
  <c r="U41" i="47" s="1"/>
  <c r="U25" i="47"/>
  <c r="U28" i="47"/>
  <c r="U36" i="47"/>
  <c r="U33" i="47"/>
  <c r="W20" i="47"/>
  <c r="W12" i="47"/>
  <c r="W11" i="47" s="1"/>
  <c r="W41" i="47" s="1"/>
  <c r="W25" i="47"/>
  <c r="W28" i="47"/>
  <c r="W36" i="47"/>
  <c r="W33" i="47"/>
  <c r="Y20" i="47"/>
  <c r="Y12" i="47"/>
  <c r="Y11" i="47" s="1"/>
  <c r="Y25" i="47"/>
  <c r="Y28" i="47"/>
  <c r="Y36" i="47"/>
  <c r="Y33" i="47" s="1"/>
  <c r="I20" i="48"/>
  <c r="I25" i="48"/>
  <c r="I28" i="48"/>
  <c r="I36" i="48"/>
  <c r="I33" i="48"/>
  <c r="K20" i="48"/>
  <c r="K12" i="48"/>
  <c r="K11" i="48" s="1"/>
  <c r="K41" i="48" s="1"/>
  <c r="K25" i="48"/>
  <c r="K28" i="48"/>
  <c r="K36" i="48"/>
  <c r="K33" i="48"/>
  <c r="M20" i="48"/>
  <c r="M12" i="48"/>
  <c r="M11" i="48" s="1"/>
  <c r="M25" i="48"/>
  <c r="M28" i="48"/>
  <c r="M36" i="48"/>
  <c r="M33" i="48" s="1"/>
  <c r="O20" i="48"/>
  <c r="O12" i="48" s="1"/>
  <c r="O11" i="48" s="1"/>
  <c r="O41" i="48" s="1"/>
  <c r="O25" i="48"/>
  <c r="O28" i="48"/>
  <c r="O36" i="48"/>
  <c r="O33" i="48"/>
  <c r="Q20" i="48"/>
  <c r="Q12" i="48" s="1"/>
  <c r="Q11" i="48" s="1"/>
  <c r="Q25" i="48"/>
  <c r="Q28" i="48"/>
  <c r="Q36" i="48"/>
  <c r="Q33" i="48"/>
  <c r="S20" i="48"/>
  <c r="S12" i="48"/>
  <c r="S25" i="48"/>
  <c r="S28" i="48"/>
  <c r="S36" i="48"/>
  <c r="S33" i="48"/>
  <c r="U20" i="48"/>
  <c r="U12" i="48"/>
  <c r="U11" i="48" s="1"/>
  <c r="U25" i="48"/>
  <c r="U28" i="48"/>
  <c r="U36" i="48"/>
  <c r="U33" i="48" s="1"/>
  <c r="W20" i="48"/>
  <c r="W12" i="48" s="1"/>
  <c r="W25" i="48"/>
  <c r="W28" i="48"/>
  <c r="W36" i="48"/>
  <c r="W33" i="48" s="1"/>
  <c r="Y20" i="48"/>
  <c r="Y12" i="48" s="1"/>
  <c r="Y11" i="48" s="1"/>
  <c r="Y25" i="48"/>
  <c r="Y28" i="48"/>
  <c r="Y36" i="48"/>
  <c r="Y33" i="48"/>
  <c r="AC19" i="48"/>
  <c r="AC21" i="46"/>
  <c r="AC21" i="47"/>
  <c r="AC21" i="48"/>
  <c r="AC22" i="46"/>
  <c r="AC22" i="47"/>
  <c r="AC22" i="48"/>
  <c r="AC23" i="46"/>
  <c r="AC23" i="47"/>
  <c r="AC23" i="48"/>
  <c r="AC24" i="46"/>
  <c r="AC24" i="47"/>
  <c r="AC24" i="48"/>
  <c r="AC26" i="46"/>
  <c r="AC26" i="47"/>
  <c r="AC26" i="48"/>
  <c r="AC27" i="46"/>
  <c r="AC27" i="47"/>
  <c r="AC27" i="48"/>
  <c r="AC28" i="46"/>
  <c r="AC29" i="46"/>
  <c r="AC29" i="47"/>
  <c r="AC29" i="48"/>
  <c r="AC32" i="46"/>
  <c r="AC32" i="47"/>
  <c r="AC32" i="48"/>
  <c r="AC34" i="46"/>
  <c r="AC34" i="47"/>
  <c r="AC34" i="48"/>
  <c r="AC35" i="46"/>
  <c r="AC35" i="47"/>
  <c r="AC35" i="48"/>
  <c r="AC37" i="46"/>
  <c r="AC37" i="47"/>
  <c r="AC37" i="48"/>
  <c r="AC38" i="46"/>
  <c r="AC38" i="47"/>
  <c r="AC38" i="48"/>
  <c r="AC39" i="46"/>
  <c r="AC39" i="47"/>
  <c r="AC39" i="48"/>
  <c r="AC40" i="46"/>
  <c r="AC40" i="47"/>
  <c r="AC40" i="48"/>
  <c r="J20" i="46"/>
  <c r="L20" i="46"/>
  <c r="L12" i="46" s="1"/>
  <c r="N20" i="46"/>
  <c r="N12" i="46" s="1"/>
  <c r="P20" i="46"/>
  <c r="P12" i="46" s="1"/>
  <c r="L12" i="44" s="1"/>
  <c r="R20" i="46"/>
  <c r="R12" i="46"/>
  <c r="T20" i="46"/>
  <c r="T12" i="46"/>
  <c r="V20" i="46"/>
  <c r="X20" i="46"/>
  <c r="X12" i="46"/>
  <c r="Z20" i="46"/>
  <c r="Z12" i="46"/>
  <c r="J20" i="47"/>
  <c r="J12" i="47"/>
  <c r="L20" i="47"/>
  <c r="L12" i="47"/>
  <c r="N20" i="47"/>
  <c r="N12" i="47"/>
  <c r="P20" i="47"/>
  <c r="P12" i="47"/>
  <c r="R20" i="47"/>
  <c r="R12" i="47"/>
  <c r="R11" i="47" s="1"/>
  <c r="R41" i="47" s="1"/>
  <c r="T20" i="47"/>
  <c r="V20" i="47"/>
  <c r="V12" i="47" s="1"/>
  <c r="X20" i="47"/>
  <c r="X12" i="47" s="1"/>
  <c r="X11" i="47" s="1"/>
  <c r="Z20" i="47"/>
  <c r="J20" i="48"/>
  <c r="L20" i="48"/>
  <c r="L12" i="48"/>
  <c r="L11" i="48" s="1"/>
  <c r="L41" i="48" s="1"/>
  <c r="N20" i="48"/>
  <c r="N12" i="48"/>
  <c r="P20" i="48"/>
  <c r="P12" i="48"/>
  <c r="R20" i="48"/>
  <c r="T20" i="48"/>
  <c r="T12" i="48"/>
  <c r="V20" i="48"/>
  <c r="V12" i="48"/>
  <c r="X20" i="48"/>
  <c r="X12" i="48" s="1"/>
  <c r="X11" i="48" s="1"/>
  <c r="Z20" i="48"/>
  <c r="Z12" i="48" s="1"/>
  <c r="AD13" i="47"/>
  <c r="S19" i="45"/>
  <c r="AD19" i="48"/>
  <c r="S17" i="44" s="1"/>
  <c r="S20" i="45"/>
  <c r="S21" i="45"/>
  <c r="AD21" i="46"/>
  <c r="S19" i="44" s="1"/>
  <c r="AD21" i="47"/>
  <c r="AD21" i="48"/>
  <c r="S22" i="45"/>
  <c r="AD22" i="46"/>
  <c r="AD22" i="47"/>
  <c r="AD22" i="48"/>
  <c r="S23" i="45"/>
  <c r="AD23" i="46"/>
  <c r="S21" i="44" s="1"/>
  <c r="AD23" i="47"/>
  <c r="AD23" i="48"/>
  <c r="S24" i="45"/>
  <c r="AD24" i="46"/>
  <c r="S22" i="44" s="1"/>
  <c r="AD24" i="47"/>
  <c r="AD24" i="48"/>
  <c r="S25" i="45"/>
  <c r="J25" i="46"/>
  <c r="L25" i="46"/>
  <c r="N25" i="46"/>
  <c r="P25" i="46"/>
  <c r="L23" i="44" s="1"/>
  <c r="R25" i="46"/>
  <c r="T25" i="46"/>
  <c r="V25" i="46"/>
  <c r="X25" i="46"/>
  <c r="Z25" i="46"/>
  <c r="J25" i="47"/>
  <c r="I23" i="44"/>
  <c r="L25" i="47"/>
  <c r="N25" i="47"/>
  <c r="P25" i="47"/>
  <c r="R25" i="47"/>
  <c r="T25" i="47"/>
  <c r="V25" i="47"/>
  <c r="X25" i="47"/>
  <c r="P23" i="44"/>
  <c r="Z25" i="47"/>
  <c r="J25" i="48"/>
  <c r="L25" i="48"/>
  <c r="N25" i="48"/>
  <c r="N11" i="48" s="1"/>
  <c r="P25" i="48"/>
  <c r="P11" i="48" s="1"/>
  <c r="R25" i="48"/>
  <c r="T25" i="48"/>
  <c r="AD25" i="48" s="1"/>
  <c r="V25" i="48"/>
  <c r="X25" i="48"/>
  <c r="Z25" i="48"/>
  <c r="S26" i="45"/>
  <c r="AD26" i="46"/>
  <c r="AD26" i="47"/>
  <c r="AD26" i="48"/>
  <c r="S27" i="45"/>
  <c r="S25" i="44" s="1"/>
  <c r="AD27" i="46"/>
  <c r="AD27" i="47"/>
  <c r="AD27" i="48"/>
  <c r="S28" i="45"/>
  <c r="J28" i="46"/>
  <c r="L28" i="46"/>
  <c r="N28" i="46"/>
  <c r="P28" i="46"/>
  <c r="R28" i="46"/>
  <c r="T28" i="46"/>
  <c r="V28" i="46"/>
  <c r="X28" i="46"/>
  <c r="Z28" i="46"/>
  <c r="Q26" i="44" s="1"/>
  <c r="J28" i="47"/>
  <c r="L28" i="47"/>
  <c r="N28" i="47"/>
  <c r="K26" i="44"/>
  <c r="P28" i="47"/>
  <c r="R28" i="47"/>
  <c r="T28" i="47"/>
  <c r="V28" i="47"/>
  <c r="O26" i="44" s="1"/>
  <c r="X28" i="47"/>
  <c r="Z28" i="47"/>
  <c r="J28" i="48"/>
  <c r="AD28" i="48" s="1"/>
  <c r="L28" i="48"/>
  <c r="N28" i="48"/>
  <c r="P28" i="48"/>
  <c r="L26" i="44" s="1"/>
  <c r="R28" i="48"/>
  <c r="T28" i="48"/>
  <c r="V28" i="48"/>
  <c r="X28" i="48"/>
  <c r="P26" i="44" s="1"/>
  <c r="Z28" i="48"/>
  <c r="S29" i="45"/>
  <c r="AD29" i="46"/>
  <c r="AD29" i="47"/>
  <c r="AD29" i="48"/>
  <c r="S32" i="45"/>
  <c r="AD32" i="46"/>
  <c r="AD32" i="47"/>
  <c r="AD32" i="48"/>
  <c r="J36" i="46"/>
  <c r="L36" i="46"/>
  <c r="L33" i="46"/>
  <c r="N36" i="46"/>
  <c r="N33" i="46"/>
  <c r="P36" i="46"/>
  <c r="P33" i="46"/>
  <c r="R36" i="46"/>
  <c r="R33" i="46" s="1"/>
  <c r="M31" i="44" s="1"/>
  <c r="T36" i="46"/>
  <c r="T33" i="46"/>
  <c r="N31" i="44" s="1"/>
  <c r="V36" i="46"/>
  <c r="V33" i="46"/>
  <c r="X36" i="46"/>
  <c r="X33" i="46" s="1"/>
  <c r="Z36" i="46"/>
  <c r="Z33" i="46"/>
  <c r="J36" i="47"/>
  <c r="J33" i="47"/>
  <c r="L36" i="47"/>
  <c r="L33" i="47"/>
  <c r="N36" i="47"/>
  <c r="N33" i="47"/>
  <c r="P36" i="47"/>
  <c r="P33" i="47"/>
  <c r="R36" i="47"/>
  <c r="R33" i="47"/>
  <c r="T36" i="47"/>
  <c r="T33" i="47"/>
  <c r="V36" i="47"/>
  <c r="V33" i="47"/>
  <c r="O31" i="44" s="1"/>
  <c r="X36" i="47"/>
  <c r="X33" i="47" s="1"/>
  <c r="Z36" i="47"/>
  <c r="Z33" i="47"/>
  <c r="J36" i="48"/>
  <c r="I34" i="44" s="1"/>
  <c r="L36" i="48"/>
  <c r="L33" i="48"/>
  <c r="N36" i="48"/>
  <c r="N33" i="48" s="1"/>
  <c r="P36" i="48"/>
  <c r="R36" i="48"/>
  <c r="R33" i="48"/>
  <c r="T36" i="48"/>
  <c r="T33" i="48"/>
  <c r="V36" i="48"/>
  <c r="V33" i="48"/>
  <c r="X36" i="48"/>
  <c r="X33" i="48"/>
  <c r="Z36" i="48"/>
  <c r="Z33" i="48"/>
  <c r="AD34" i="46"/>
  <c r="AD34" i="47"/>
  <c r="AD34" i="48"/>
  <c r="AD35" i="46"/>
  <c r="S33" i="44" s="1"/>
  <c r="AD35" i="47"/>
  <c r="AD35" i="48"/>
  <c r="AD36" i="47"/>
  <c r="AD37" i="46"/>
  <c r="AD37" i="47"/>
  <c r="AD37" i="48"/>
  <c r="AD38" i="46"/>
  <c r="AD38" i="47"/>
  <c r="AD38" i="48"/>
  <c r="AD39" i="46"/>
  <c r="S37" i="44"/>
  <c r="AD39" i="47"/>
  <c r="AD39" i="48"/>
  <c r="AD40" i="46"/>
  <c r="AD40" i="47"/>
  <c r="AD40" i="48"/>
  <c r="L11" i="47"/>
  <c r="L41" i="47"/>
  <c r="AA20" i="46"/>
  <c r="AA12" i="46"/>
  <c r="AA20" i="47"/>
  <c r="AA12" i="47"/>
  <c r="AA11" i="47" s="1"/>
  <c r="AA41" i="47" s="1"/>
  <c r="AA20" i="48"/>
  <c r="AA12" i="48"/>
  <c r="AA11" i="48" s="1"/>
  <c r="AA41" i="48" s="1"/>
  <c r="AA25" i="46"/>
  <c r="AA25" i="47"/>
  <c r="AA25" i="48"/>
  <c r="AA28" i="46"/>
  <c r="AA28" i="47"/>
  <c r="AA28" i="48"/>
  <c r="AA36" i="46"/>
  <c r="AA33" i="46"/>
  <c r="AA36" i="47"/>
  <c r="AA33" i="47"/>
  <c r="AA36" i="48"/>
  <c r="AA33" i="48"/>
  <c r="AB20" i="46"/>
  <c r="AB12" i="46"/>
  <c r="AB20" i="47"/>
  <c r="AB12" i="47"/>
  <c r="AB11" i="47"/>
  <c r="AB41" i="47" s="1"/>
  <c r="AB20" i="48"/>
  <c r="AB12" i="48"/>
  <c r="R17" i="44"/>
  <c r="R19" i="44"/>
  <c r="R20" i="44"/>
  <c r="R21" i="44"/>
  <c r="R22" i="44"/>
  <c r="AB25" i="46"/>
  <c r="R23" i="44" s="1"/>
  <c r="AB25" i="47"/>
  <c r="AB25" i="48"/>
  <c r="R24" i="44"/>
  <c r="R25" i="44"/>
  <c r="AB28" i="46"/>
  <c r="AB28" i="47"/>
  <c r="AB28" i="48"/>
  <c r="AB11" i="48" s="1"/>
  <c r="AB41" i="48" s="1"/>
  <c r="R27" i="44"/>
  <c r="R30" i="44"/>
  <c r="AB36" i="46"/>
  <c r="AB36" i="47"/>
  <c r="AB33" i="47" s="1"/>
  <c r="AB36" i="48"/>
  <c r="AB33" i="48"/>
  <c r="R32" i="44"/>
  <c r="R33" i="44"/>
  <c r="R35" i="44"/>
  <c r="R36" i="44"/>
  <c r="R37" i="44"/>
  <c r="R38" i="44"/>
  <c r="Q17" i="44"/>
  <c r="Q19" i="44"/>
  <c r="Q20" i="44"/>
  <c r="Q21" i="44"/>
  <c r="Q22" i="44"/>
  <c r="Q24" i="44"/>
  <c r="Q25" i="44"/>
  <c r="Q27" i="44"/>
  <c r="Q30" i="44"/>
  <c r="Q32" i="44"/>
  <c r="Q33" i="44"/>
  <c r="Q35" i="44"/>
  <c r="Q36" i="44"/>
  <c r="Q37" i="44"/>
  <c r="Q38" i="44"/>
  <c r="P13" i="44"/>
  <c r="P17" i="44"/>
  <c r="P19" i="44"/>
  <c r="P20" i="44"/>
  <c r="P21" i="44"/>
  <c r="P22" i="44"/>
  <c r="P24" i="44"/>
  <c r="P25" i="44"/>
  <c r="P27" i="44"/>
  <c r="P30" i="44"/>
  <c r="P32" i="44"/>
  <c r="P33" i="44"/>
  <c r="P35" i="44"/>
  <c r="P36" i="44"/>
  <c r="P37" i="44"/>
  <c r="P38" i="44"/>
  <c r="O17" i="44"/>
  <c r="O18" i="44"/>
  <c r="O19" i="44"/>
  <c r="O20" i="44"/>
  <c r="O21" i="44"/>
  <c r="O22" i="44"/>
  <c r="O24" i="44"/>
  <c r="O25" i="44"/>
  <c r="O27" i="44"/>
  <c r="O30" i="44"/>
  <c r="O32" i="44"/>
  <c r="O33" i="44"/>
  <c r="O35" i="44"/>
  <c r="O36" i="44"/>
  <c r="O37" i="44"/>
  <c r="O38" i="44"/>
  <c r="N13" i="44"/>
  <c r="N17" i="44"/>
  <c r="N19" i="44"/>
  <c r="N20" i="44"/>
  <c r="N21" i="44"/>
  <c r="N22" i="44"/>
  <c r="N24" i="44"/>
  <c r="N25" i="44"/>
  <c r="N26" i="44"/>
  <c r="N27" i="44"/>
  <c r="N30" i="44"/>
  <c r="N32" i="44"/>
  <c r="N33" i="44"/>
  <c r="N35" i="44"/>
  <c r="N36" i="44"/>
  <c r="N37" i="44"/>
  <c r="N38" i="44"/>
  <c r="M17" i="44"/>
  <c r="M19" i="44"/>
  <c r="M20" i="44"/>
  <c r="M21" i="44"/>
  <c r="M22" i="44"/>
  <c r="M24" i="44"/>
  <c r="M25" i="44"/>
  <c r="M26" i="44"/>
  <c r="M27" i="44"/>
  <c r="M30" i="44"/>
  <c r="M32" i="44"/>
  <c r="M33" i="44"/>
  <c r="M35" i="44"/>
  <c r="M36" i="44"/>
  <c r="M37" i="44"/>
  <c r="M38" i="44"/>
  <c r="L13" i="44"/>
  <c r="L17" i="44"/>
  <c r="L19" i="44"/>
  <c r="L20" i="44"/>
  <c r="L21" i="44"/>
  <c r="L22" i="44"/>
  <c r="L24" i="44"/>
  <c r="L25" i="44"/>
  <c r="L27" i="44"/>
  <c r="L30" i="44"/>
  <c r="L32" i="44"/>
  <c r="L33" i="44"/>
  <c r="L35" i="44"/>
  <c r="L36" i="44"/>
  <c r="L37" i="44"/>
  <c r="L38" i="44"/>
  <c r="K13" i="44"/>
  <c r="K17" i="44"/>
  <c r="K18" i="44"/>
  <c r="K19" i="44"/>
  <c r="K20" i="44"/>
  <c r="K21" i="44"/>
  <c r="K22" i="44"/>
  <c r="K24" i="44"/>
  <c r="K25" i="44"/>
  <c r="K27" i="44"/>
  <c r="K30" i="44"/>
  <c r="K32" i="44"/>
  <c r="K33" i="44"/>
  <c r="K35" i="44"/>
  <c r="K36" i="44"/>
  <c r="K37" i="44"/>
  <c r="K38" i="44"/>
  <c r="J13" i="44"/>
  <c r="J17" i="44"/>
  <c r="J19" i="44"/>
  <c r="J20" i="44"/>
  <c r="J21" i="44"/>
  <c r="J22" i="44"/>
  <c r="J24" i="44"/>
  <c r="J25" i="44"/>
  <c r="J26" i="44"/>
  <c r="J27" i="44"/>
  <c r="J30" i="44"/>
  <c r="J32" i="44"/>
  <c r="J33" i="44"/>
  <c r="J35" i="44"/>
  <c r="J36" i="44"/>
  <c r="J37" i="44"/>
  <c r="J38" i="44"/>
  <c r="I17" i="44"/>
  <c r="I18" i="44"/>
  <c r="I19" i="44"/>
  <c r="I20" i="44"/>
  <c r="I21" i="44"/>
  <c r="I22" i="44"/>
  <c r="I24" i="44"/>
  <c r="I25" i="44"/>
  <c r="I26" i="44"/>
  <c r="I27" i="44"/>
  <c r="I30" i="44"/>
  <c r="I32" i="44"/>
  <c r="I33" i="44"/>
  <c r="I35" i="44"/>
  <c r="I36" i="44"/>
  <c r="I37" i="44"/>
  <c r="I38" i="44"/>
  <c r="I11" i="31"/>
  <c r="Y11" i="31" s="1"/>
  <c r="I10" i="31"/>
  <c r="I23" i="31" s="1"/>
  <c r="I14" i="31"/>
  <c r="P14" i="31" s="1"/>
  <c r="I17" i="31"/>
  <c r="N11" i="31"/>
  <c r="N14" i="31"/>
  <c r="N17" i="31"/>
  <c r="O11" i="31"/>
  <c r="O14" i="31"/>
  <c r="O17" i="31"/>
  <c r="Q11" i="31"/>
  <c r="Q14" i="31"/>
  <c r="Q17" i="31"/>
  <c r="V11" i="31"/>
  <c r="V10" i="31" s="1"/>
  <c r="V14" i="31"/>
  <c r="AD14" i="31" s="1"/>
  <c r="V17" i="31"/>
  <c r="W11" i="31"/>
  <c r="W14" i="31"/>
  <c r="AE14" i="31" s="1"/>
  <c r="W17" i="31"/>
  <c r="X11" i="31"/>
  <c r="P12" i="31"/>
  <c r="X12" i="31"/>
  <c r="AF12" i="31" s="1"/>
  <c r="Y12" i="31"/>
  <c r="AD12" i="31"/>
  <c r="AE12" i="31"/>
  <c r="P13" i="31"/>
  <c r="X13" i="31"/>
  <c r="Y13" i="31"/>
  <c r="AD13" i="31"/>
  <c r="AE13" i="31"/>
  <c r="P15" i="31"/>
  <c r="AF15" i="31" s="1"/>
  <c r="X15" i="31"/>
  <c r="Y15" i="31"/>
  <c r="AD15" i="31"/>
  <c r="AE15" i="31"/>
  <c r="C16" i="31"/>
  <c r="P16" i="31"/>
  <c r="AF16" i="31"/>
  <c r="X16" i="31"/>
  <c r="Y16" i="31"/>
  <c r="AD16" i="31"/>
  <c r="AE16" i="31"/>
  <c r="X17" i="31"/>
  <c r="AD17" i="31"/>
  <c r="P18" i="31"/>
  <c r="X18" i="31"/>
  <c r="Y18" i="31"/>
  <c r="AD18" i="31"/>
  <c r="AE18" i="31"/>
  <c r="C19" i="31"/>
  <c r="P19" i="31"/>
  <c r="X19" i="31"/>
  <c r="AF19" i="31" s="1"/>
  <c r="Y19" i="31"/>
  <c r="AD19" i="31"/>
  <c r="AE19" i="31"/>
  <c r="J20" i="31"/>
  <c r="Z20" i="31" s="1"/>
  <c r="K20" i="31"/>
  <c r="N20" i="31"/>
  <c r="O20" i="31"/>
  <c r="P20" i="31" s="1"/>
  <c r="R20" i="31"/>
  <c r="S20" i="31"/>
  <c r="V20" i="31"/>
  <c r="W20" i="31"/>
  <c r="P21" i="31"/>
  <c r="X21" i="31"/>
  <c r="Z21" i="31"/>
  <c r="AA21" i="31"/>
  <c r="AD21" i="31"/>
  <c r="AE21" i="31"/>
  <c r="P22" i="31"/>
  <c r="X22" i="31"/>
  <c r="AF22" i="31" s="1"/>
  <c r="Z22" i="31"/>
  <c r="AA22" i="31"/>
  <c r="AD22" i="31"/>
  <c r="AE22" i="31"/>
  <c r="V23" i="31"/>
  <c r="Q31" i="44"/>
  <c r="T11" i="43"/>
  <c r="T41" i="43" s="1"/>
  <c r="S62" i="43"/>
  <c r="AI62" i="43" s="1"/>
  <c r="R11" i="43"/>
  <c r="R41" i="43" s="1"/>
  <c r="R62" i="43" s="1"/>
  <c r="AH62" i="43" s="1"/>
  <c r="X11" i="19"/>
  <c r="X41" i="19"/>
  <c r="P13" i="16"/>
  <c r="T11" i="19"/>
  <c r="L13" i="16"/>
  <c r="L11" i="19"/>
  <c r="I11" i="19"/>
  <c r="U11" i="40"/>
  <c r="U41" i="40"/>
  <c r="AK12" i="40"/>
  <c r="K11" i="39"/>
  <c r="K10" i="39" s="1"/>
  <c r="K55" i="39" s="1"/>
  <c r="Q41" i="48"/>
  <c r="M41" i="48"/>
  <c r="M41" i="46"/>
  <c r="AD41" i="43"/>
  <c r="AL33" i="43"/>
  <c r="AA41" i="19"/>
  <c r="U41" i="19"/>
  <c r="M41" i="19"/>
  <c r="Z11" i="46"/>
  <c r="R11" i="46"/>
  <c r="N11" i="46"/>
  <c r="N41" i="46"/>
  <c r="AJ33" i="43"/>
  <c r="P50" i="43"/>
  <c r="AB11" i="18"/>
  <c r="Z11" i="19"/>
  <c r="Z41" i="19"/>
  <c r="V11" i="19"/>
  <c r="V41" i="19"/>
  <c r="N11" i="19"/>
  <c r="X51" i="40"/>
  <c r="AG51" i="40"/>
  <c r="AK11" i="40"/>
  <c r="AK41" i="40" s="1"/>
  <c r="M41" i="40"/>
  <c r="L11" i="40"/>
  <c r="W41" i="19"/>
  <c r="N10" i="36"/>
  <c r="J10" i="39"/>
  <c r="J10" i="36"/>
  <c r="J11" i="41"/>
  <c r="P33" i="41"/>
  <c r="I56" i="4"/>
  <c r="P56" i="4"/>
  <c r="P43" i="4"/>
  <c r="AG10" i="49"/>
  <c r="AG36" i="49" s="1"/>
  <c r="AN11" i="49"/>
  <c r="S23" i="31"/>
  <c r="AA20" i="31"/>
  <c r="Y17" i="31"/>
  <c r="AD11" i="31"/>
  <c r="AD20" i="46"/>
  <c r="AJ36" i="43"/>
  <c r="I11" i="43"/>
  <c r="AL36" i="43"/>
  <c r="R19" i="16"/>
  <c r="S35" i="16"/>
  <c r="AC36" i="19"/>
  <c r="AC20" i="19"/>
  <c r="J11" i="13"/>
  <c r="J70" i="13"/>
  <c r="P12" i="13"/>
  <c r="O11" i="13"/>
  <c r="O70" i="13" s="1"/>
  <c r="P70" i="13" s="1"/>
  <c r="K11" i="13"/>
  <c r="N11" i="13"/>
  <c r="AJ53" i="40"/>
  <c r="AH53" i="40"/>
  <c r="AI33" i="40"/>
  <c r="AF12" i="40"/>
  <c r="AC25" i="38"/>
  <c r="AJ33" i="41"/>
  <c r="AB41" i="41"/>
  <c r="AB57" i="41" s="1"/>
  <c r="AF33" i="41"/>
  <c r="L41" i="4"/>
  <c r="L57" i="4" s="1"/>
  <c r="I11" i="37"/>
  <c r="T10" i="36"/>
  <c r="T55" i="36"/>
  <c r="P10" i="36"/>
  <c r="V56" i="41"/>
  <c r="Y11" i="41"/>
  <c r="AF12" i="41"/>
  <c r="AH43" i="41"/>
  <c r="J56" i="41"/>
  <c r="AH56" i="41" s="1"/>
  <c r="I11" i="4"/>
  <c r="K10" i="49"/>
  <c r="K36" i="49"/>
  <c r="L11" i="13"/>
  <c r="L70" i="13"/>
  <c r="AH33" i="41"/>
  <c r="R41" i="41"/>
  <c r="AF67" i="41"/>
  <c r="AG45" i="49"/>
  <c r="AG71" i="49" s="1"/>
  <c r="AN46" i="49"/>
  <c r="Q45" i="49"/>
  <c r="Q71" i="49"/>
  <c r="X46" i="49"/>
  <c r="I75" i="1"/>
  <c r="P78" i="1"/>
  <c r="P14" i="1"/>
  <c r="I11" i="1"/>
  <c r="S50" i="35"/>
  <c r="AD49" i="36"/>
  <c r="S46" i="35"/>
  <c r="S44" i="35"/>
  <c r="AB42" i="36"/>
  <c r="R45" i="35"/>
  <c r="Q51" i="35"/>
  <c r="Z42" i="36"/>
  <c r="Z41" i="36" s="1"/>
  <c r="Q40" i="35" s="1"/>
  <c r="Q45" i="35"/>
  <c r="P51" i="35"/>
  <c r="X42" i="36"/>
  <c r="X41" i="36" s="1"/>
  <c r="P45" i="35"/>
  <c r="O51" i="35"/>
  <c r="V42" i="36"/>
  <c r="O45" i="35"/>
  <c r="I51" i="35"/>
  <c r="I45" i="35"/>
  <c r="S37" i="35"/>
  <c r="S33" i="35"/>
  <c r="S28" i="35"/>
  <c r="J44" i="42"/>
  <c r="N11" i="42"/>
  <c r="N70" i="42" s="1"/>
  <c r="P50" i="42"/>
  <c r="M11" i="42"/>
  <c r="M70" i="42"/>
  <c r="I11" i="42"/>
  <c r="AJ36" i="41"/>
  <c r="AH36" i="41"/>
  <c r="AH20" i="41"/>
  <c r="P70" i="41"/>
  <c r="X36" i="41"/>
  <c r="X20" i="41"/>
  <c r="AN20" i="41"/>
  <c r="AM12" i="41"/>
  <c r="AM36" i="41"/>
  <c r="AM20" i="41"/>
  <c r="AM44" i="41"/>
  <c r="AF36" i="41"/>
  <c r="AF20" i="41"/>
  <c r="AF70" i="41"/>
  <c r="AH44" i="41"/>
  <c r="AI44" i="41"/>
  <c r="P44" i="4"/>
  <c r="AN31" i="49"/>
  <c r="P31" i="49"/>
  <c r="AN14" i="49"/>
  <c r="I10" i="49"/>
  <c r="X31" i="49"/>
  <c r="AW68" i="49"/>
  <c r="AV66" i="49"/>
  <c r="P66" i="49"/>
  <c r="AW64" i="49"/>
  <c r="Z10" i="1"/>
  <c r="AD74" i="1"/>
  <c r="P106" i="1"/>
  <c r="AF106" i="1"/>
  <c r="AF78" i="1"/>
  <c r="Y75" i="1"/>
  <c r="M41" i="33"/>
  <c r="M57" i="33"/>
  <c r="X41" i="1"/>
  <c r="R32" i="35"/>
  <c r="AK63" i="49"/>
  <c r="AN66" i="49"/>
  <c r="U63" i="49"/>
  <c r="X66" i="49"/>
  <c r="K26" i="1"/>
  <c r="W87" i="1"/>
  <c r="W11" i="1"/>
  <c r="U75" i="1"/>
  <c r="U26" i="1"/>
  <c r="U10" i="1"/>
  <c r="S49" i="35"/>
  <c r="S47" i="35"/>
  <c r="S43" i="35"/>
  <c r="S38" i="35"/>
  <c r="S34" i="35"/>
  <c r="L11" i="42"/>
  <c r="L70" i="42" s="1"/>
  <c r="J11" i="42"/>
  <c r="J70" i="42" s="1"/>
  <c r="O11" i="42"/>
  <c r="P11" i="42" s="1"/>
  <c r="K11" i="42"/>
  <c r="AR10" i="49"/>
  <c r="AR36" i="49" s="1"/>
  <c r="AP10" i="49"/>
  <c r="AP36" i="49" s="1"/>
  <c r="AJ10" i="49"/>
  <c r="AJ36" i="49" s="1"/>
  <c r="AH10" i="49"/>
  <c r="AH36" i="49" s="1"/>
  <c r="AB10" i="49"/>
  <c r="AB36" i="49" s="1"/>
  <c r="Z10" i="49"/>
  <c r="Z36" i="49" s="1"/>
  <c r="T10" i="49"/>
  <c r="T36" i="49" s="1"/>
  <c r="R10" i="49"/>
  <c r="R36" i="49" s="1"/>
  <c r="L10" i="49"/>
  <c r="L36" i="49" s="1"/>
  <c r="J10" i="49"/>
  <c r="J36" i="49" s="1"/>
  <c r="AD10" i="49"/>
  <c r="AD36" i="49" s="1"/>
  <c r="AL10" i="49"/>
  <c r="AL36" i="49" s="1"/>
  <c r="AT10" i="49"/>
  <c r="AT36" i="49" s="1"/>
  <c r="AU10" i="49"/>
  <c r="AU36" i="49" s="1"/>
  <c r="AQ10" i="49"/>
  <c r="AO10" i="49"/>
  <c r="AE10" i="49"/>
  <c r="AE36" i="49" s="1"/>
  <c r="AC10" i="49"/>
  <c r="AC36" i="49" s="1"/>
  <c r="AA10" i="49"/>
  <c r="Y10" i="49"/>
  <c r="AR45" i="49"/>
  <c r="AR71" i="49" s="1"/>
  <c r="AL45" i="49"/>
  <c r="AL71" i="49" s="1"/>
  <c r="AH45" i="49"/>
  <c r="AH71" i="49" s="1"/>
  <c r="T71" i="49"/>
  <c r="N45" i="49"/>
  <c r="N71" i="49"/>
  <c r="J45" i="49"/>
  <c r="J71" i="49"/>
  <c r="V10" i="49"/>
  <c r="V36" i="49"/>
  <c r="W10" i="49"/>
  <c r="W36" i="49"/>
  <c r="U10" i="49"/>
  <c r="U36" i="49"/>
  <c r="S10" i="49"/>
  <c r="S36" i="49"/>
  <c r="V45" i="49"/>
  <c r="V71" i="49"/>
  <c r="AW69" i="49"/>
  <c r="AW67" i="49"/>
  <c r="AW65" i="49"/>
  <c r="T74" i="1"/>
  <c r="P33" i="33"/>
  <c r="O41" i="33"/>
  <c r="O57" i="33" s="1"/>
  <c r="AD33" i="38"/>
  <c r="R35" i="16"/>
  <c r="AB33" i="18"/>
  <c r="R32" i="16" s="1"/>
  <c r="AU45" i="49"/>
  <c r="AU71" i="49" s="1"/>
  <c r="AS45" i="49"/>
  <c r="AS71" i="49" s="1"/>
  <c r="AQ45" i="49"/>
  <c r="AQ71" i="49" s="1"/>
  <c r="AE45" i="49"/>
  <c r="AE71" i="49" s="1"/>
  <c r="AC45" i="49"/>
  <c r="AC71" i="49" s="1"/>
  <c r="AA45" i="49"/>
  <c r="AA71" i="49" s="1"/>
  <c r="Y45" i="49"/>
  <c r="O45" i="49"/>
  <c r="O71" i="49"/>
  <c r="M45" i="49"/>
  <c r="M71" i="49"/>
  <c r="I45" i="49"/>
  <c r="U16" i="32"/>
  <c r="U10" i="32"/>
  <c r="J44" i="34"/>
  <c r="O11" i="34"/>
  <c r="O70" i="34"/>
  <c r="N11" i="34"/>
  <c r="M11" i="34"/>
  <c r="L11" i="34"/>
  <c r="L70" i="34"/>
  <c r="K11" i="34"/>
  <c r="J11" i="34"/>
  <c r="J70" i="34" s="1"/>
  <c r="P36" i="33"/>
  <c r="P20" i="33"/>
  <c r="Q35" i="35"/>
  <c r="P35" i="35"/>
  <c r="O35" i="35"/>
  <c r="N35" i="35"/>
  <c r="M35" i="35"/>
  <c r="L35" i="35"/>
  <c r="K35" i="35"/>
  <c r="I35" i="35"/>
  <c r="S31" i="35"/>
  <c r="Q35" i="16"/>
  <c r="P35" i="16"/>
  <c r="O35" i="16"/>
  <c r="N35" i="16"/>
  <c r="M35" i="16"/>
  <c r="L35" i="16"/>
  <c r="S39" i="16"/>
  <c r="AF46" i="49"/>
  <c r="I19" i="32"/>
  <c r="U19" i="32" s="1"/>
  <c r="U13" i="32"/>
  <c r="P110" i="1"/>
  <c r="X103" i="1"/>
  <c r="AF110" i="1"/>
  <c r="R35" i="35"/>
  <c r="Q32" i="35"/>
  <c r="P32" i="35"/>
  <c r="N32" i="35"/>
  <c r="M32" i="35"/>
  <c r="L32" i="35"/>
  <c r="K32" i="35"/>
  <c r="I32" i="35"/>
  <c r="S39" i="35"/>
  <c r="AD33" i="30"/>
  <c r="Q32" i="16"/>
  <c r="P32" i="16"/>
  <c r="O32" i="16"/>
  <c r="N32" i="16"/>
  <c r="M32" i="16"/>
  <c r="L32" i="16"/>
  <c r="K32" i="16"/>
  <c r="I32" i="16"/>
  <c r="Q27" i="1"/>
  <c r="J10" i="31"/>
  <c r="K10" i="31"/>
  <c r="K23" i="31" s="1"/>
  <c r="AA23" i="31" s="1"/>
  <c r="X27" i="1"/>
  <c r="I71" i="49"/>
  <c r="Y36" i="49"/>
  <c r="AO36" i="49"/>
  <c r="V41" i="36"/>
  <c r="I10" i="1"/>
  <c r="I41" i="4"/>
  <c r="P55" i="36"/>
  <c r="I10" i="37"/>
  <c r="K70" i="13"/>
  <c r="P11" i="13"/>
  <c r="I41" i="43"/>
  <c r="J41" i="41"/>
  <c r="N41" i="19"/>
  <c r="I41" i="19"/>
  <c r="X63" i="49"/>
  <c r="AN63" i="49"/>
  <c r="AK71" i="49"/>
  <c r="I36" i="49"/>
  <c r="I70" i="42"/>
  <c r="AB41" i="36"/>
  <c r="I74" i="1"/>
  <c r="I122" i="1" s="1"/>
  <c r="Y41" i="41"/>
  <c r="N55" i="36"/>
  <c r="L41" i="40"/>
  <c r="AB41" i="18"/>
  <c r="R41" i="46"/>
  <c r="Z41" i="46"/>
  <c r="L41" i="19"/>
  <c r="P41" i="19"/>
  <c r="T41" i="19"/>
  <c r="J57" i="41"/>
  <c r="I57" i="4"/>
  <c r="P43" i="40"/>
  <c r="AN43" i="40" s="1"/>
  <c r="AN47" i="40"/>
  <c r="P59" i="41"/>
  <c r="AN59" i="41"/>
  <c r="AN63" i="41"/>
  <c r="S11" i="48"/>
  <c r="I11" i="40"/>
  <c r="I55" i="37"/>
  <c r="P11" i="46"/>
  <c r="P17" i="31"/>
  <c r="AF17" i="31" s="1"/>
  <c r="AE17" i="31"/>
  <c r="AA11" i="46"/>
  <c r="AA41" i="46"/>
  <c r="X41" i="48"/>
  <c r="J11" i="47"/>
  <c r="X11" i="46"/>
  <c r="P12" i="44"/>
  <c r="T11" i="46"/>
  <c r="T41" i="46" s="1"/>
  <c r="L11" i="46"/>
  <c r="J12" i="44"/>
  <c r="AC25" i="47"/>
  <c r="S11" i="46"/>
  <c r="S41" i="46" s="1"/>
  <c r="AD28" i="18"/>
  <c r="I27" i="16"/>
  <c r="AD25" i="19"/>
  <c r="J11" i="19"/>
  <c r="R12" i="19"/>
  <c r="M19" i="16"/>
  <c r="AD20" i="19"/>
  <c r="T12" i="18"/>
  <c r="N19" i="16"/>
  <c r="Y41" i="40"/>
  <c r="S10" i="38"/>
  <c r="S55" i="38"/>
  <c r="AC33" i="38"/>
  <c r="Z11" i="48"/>
  <c r="Z41" i="48"/>
  <c r="Q12" i="40"/>
  <c r="X20" i="40"/>
  <c r="T11" i="40"/>
  <c r="AJ12" i="40"/>
  <c r="AB11" i="46"/>
  <c r="P33" i="48"/>
  <c r="AD36" i="48"/>
  <c r="AD33" i="47"/>
  <c r="J31" i="44"/>
  <c r="N11" i="47"/>
  <c r="K12" i="44"/>
  <c r="U41" i="48"/>
  <c r="S11" i="47"/>
  <c r="S41" i="47" s="1"/>
  <c r="K11" i="47"/>
  <c r="K41" i="47" s="1"/>
  <c r="W41" i="46"/>
  <c r="AJ63" i="43"/>
  <c r="AH25" i="40"/>
  <c r="L31" i="44"/>
  <c r="P41" i="48"/>
  <c r="I33" i="47"/>
  <c r="AC33" i="47"/>
  <c r="AC36" i="47"/>
  <c r="Y41" i="46"/>
  <c r="N41" i="43"/>
  <c r="AL50" i="43"/>
  <c r="O11" i="19"/>
  <c r="AC12" i="19"/>
  <c r="AF45" i="49"/>
  <c r="AF10" i="49"/>
  <c r="Y74" i="1"/>
  <c r="J23" i="31"/>
  <c r="R57" i="41"/>
  <c r="AL12" i="43"/>
  <c r="AG12" i="40"/>
  <c r="AE20" i="31"/>
  <c r="X20" i="31"/>
  <c r="X41" i="47"/>
  <c r="S27" i="44"/>
  <c r="AD28" i="46"/>
  <c r="V11" i="48"/>
  <c r="V41" i="48"/>
  <c r="R12" i="48"/>
  <c r="R11" i="48"/>
  <c r="R41" i="48" s="1"/>
  <c r="M18" i="44"/>
  <c r="AD20" i="48"/>
  <c r="Z12" i="47"/>
  <c r="Z11" i="47" s="1"/>
  <c r="Z41" i="47" s="1"/>
  <c r="Q18" i="44"/>
  <c r="T12" i="47"/>
  <c r="T11" i="47" s="1"/>
  <c r="N18" i="44"/>
  <c r="Y41" i="48"/>
  <c r="AC33" i="48"/>
  <c r="AC20" i="48"/>
  <c r="Y41" i="47"/>
  <c r="Q41" i="47"/>
  <c r="Q33" i="46"/>
  <c r="Q41" i="46"/>
  <c r="AC36" i="46"/>
  <c r="K12" i="46"/>
  <c r="K11" i="46" s="1"/>
  <c r="K41" i="46" s="1"/>
  <c r="AC20" i="46"/>
  <c r="J33" i="43"/>
  <c r="AH33" i="43" s="1"/>
  <c r="AH36" i="43"/>
  <c r="Q50" i="43"/>
  <c r="X52" i="43"/>
  <c r="AG52" i="43"/>
  <c r="AB11" i="30"/>
  <c r="AB41" i="30"/>
  <c r="R13" i="16"/>
  <c r="AC33" i="30"/>
  <c r="AC33" i="19"/>
  <c r="K41" i="19"/>
  <c r="AC25" i="30"/>
  <c r="M11" i="30"/>
  <c r="M41" i="30" s="1"/>
  <c r="P51" i="40"/>
  <c r="AN51" i="40" s="1"/>
  <c r="I33" i="39"/>
  <c r="AC33" i="39" s="1"/>
  <c r="AC36" i="39"/>
  <c r="I12" i="38"/>
  <c r="AC20" i="38"/>
  <c r="V55" i="37"/>
  <c r="X12" i="1"/>
  <c r="AF49" i="1"/>
  <c r="AC48" i="1"/>
  <c r="AF70" i="1"/>
  <c r="AF23" i="1"/>
  <c r="AE75" i="1"/>
  <c r="V33" i="39"/>
  <c r="AD36" i="39"/>
  <c r="L33" i="37"/>
  <c r="AD36" i="37"/>
  <c r="S35" i="35"/>
  <c r="J35" i="35"/>
  <c r="AD43" i="36"/>
  <c r="P11" i="49"/>
  <c r="AF21" i="31"/>
  <c r="Q10" i="31"/>
  <c r="N10" i="31"/>
  <c r="J18" i="44"/>
  <c r="L18" i="44"/>
  <c r="AB33" i="46"/>
  <c r="R31" i="44" s="1"/>
  <c r="R34" i="44"/>
  <c r="R18" i="44"/>
  <c r="S38" i="44"/>
  <c r="AD36" i="46"/>
  <c r="S34" i="44"/>
  <c r="P34" i="44"/>
  <c r="N34" i="44"/>
  <c r="L34" i="44"/>
  <c r="J34" i="44"/>
  <c r="Q34" i="44"/>
  <c r="O34" i="44"/>
  <c r="M34" i="44"/>
  <c r="K34" i="44"/>
  <c r="J33" i="46"/>
  <c r="S30" i="44"/>
  <c r="AD25" i="47"/>
  <c r="O23" i="44"/>
  <c r="K23" i="44"/>
  <c r="AD20" i="47"/>
  <c r="S18" i="44" s="1"/>
  <c r="AC25" i="48"/>
  <c r="AC28" i="47"/>
  <c r="L11" i="43"/>
  <c r="AN26" i="43"/>
  <c r="AN43" i="43"/>
  <c r="P55" i="43"/>
  <c r="AN55" i="43"/>
  <c r="X55" i="43"/>
  <c r="AF28" i="43"/>
  <c r="AN28" i="43" s="1"/>
  <c r="AM20" i="43"/>
  <c r="W50" i="43"/>
  <c r="AM50" i="43" s="1"/>
  <c r="AM52" i="43"/>
  <c r="X28" i="43"/>
  <c r="I19" i="16"/>
  <c r="Q19" i="16"/>
  <c r="AD28" i="19"/>
  <c r="AD25" i="30"/>
  <c r="Q24" i="16"/>
  <c r="M24" i="16"/>
  <c r="I24" i="16"/>
  <c r="S22" i="16"/>
  <c r="R11" i="18"/>
  <c r="R41" i="18"/>
  <c r="AC36" i="30"/>
  <c r="AC28" i="18"/>
  <c r="K12" i="30"/>
  <c r="AC20" i="30"/>
  <c r="P39" i="13"/>
  <c r="AN58" i="40"/>
  <c r="AF51" i="40"/>
  <c r="N51" i="40"/>
  <c r="AL51" i="40" s="1"/>
  <c r="AL53" i="40"/>
  <c r="V12" i="40"/>
  <c r="AL20" i="40"/>
  <c r="T33" i="40"/>
  <c r="AJ33" i="40"/>
  <c r="AJ36" i="40"/>
  <c r="I42" i="39"/>
  <c r="AC43" i="39"/>
  <c r="Y11" i="39"/>
  <c r="Y10" i="39" s="1"/>
  <c r="AC25" i="39"/>
  <c r="I11" i="39"/>
  <c r="AA11" i="38"/>
  <c r="AA10" i="38" s="1"/>
  <c r="AA55" i="38" s="1"/>
  <c r="O11" i="37"/>
  <c r="O10" i="37"/>
  <c r="O55" i="37" s="1"/>
  <c r="AD46" i="39"/>
  <c r="V42" i="39"/>
  <c r="V41" i="39"/>
  <c r="O40" i="35" s="1"/>
  <c r="J41" i="39"/>
  <c r="AD25" i="38"/>
  <c r="AA11" i="41"/>
  <c r="J42" i="36"/>
  <c r="O10" i="31"/>
  <c r="P10" i="31" s="1"/>
  <c r="AE11" i="31"/>
  <c r="R26" i="44"/>
  <c r="S35" i="44"/>
  <c r="AD28" i="47"/>
  <c r="S24" i="44"/>
  <c r="N23" i="44"/>
  <c r="J23" i="44"/>
  <c r="S20" i="44"/>
  <c r="V11" i="47"/>
  <c r="V41" i="47" s="1"/>
  <c r="W11" i="48"/>
  <c r="W41" i="48"/>
  <c r="AC36" i="48"/>
  <c r="O11" i="46"/>
  <c r="O41" i="46" s="1"/>
  <c r="AJ25" i="43"/>
  <c r="AI28" i="43"/>
  <c r="AK50" i="43"/>
  <c r="AC41" i="43"/>
  <c r="W12" i="43"/>
  <c r="X20" i="43"/>
  <c r="U33" i="43"/>
  <c r="AK36" i="43"/>
  <c r="X36" i="43"/>
  <c r="AD28" i="30"/>
  <c r="L12" i="18"/>
  <c r="AD20" i="18"/>
  <c r="AC28" i="19"/>
  <c r="AC25" i="18"/>
  <c r="Y41" i="30"/>
  <c r="I41" i="30"/>
  <c r="N44" i="13"/>
  <c r="N70" i="13" s="1"/>
  <c r="P56" i="40"/>
  <c r="AN56" i="40"/>
  <c r="J33" i="40"/>
  <c r="AH33" i="40"/>
  <c r="AH36" i="40"/>
  <c r="AE33" i="40"/>
  <c r="AM33" i="40" s="1"/>
  <c r="AM36" i="40"/>
  <c r="N11" i="40"/>
  <c r="AL25" i="40"/>
  <c r="X25" i="40"/>
  <c r="AN25" i="40"/>
  <c r="AA55" i="39"/>
  <c r="AC49" i="39"/>
  <c r="S12" i="39"/>
  <c r="AC20" i="39"/>
  <c r="S33" i="37"/>
  <c r="S10" i="37" s="1"/>
  <c r="S55" i="37" s="1"/>
  <c r="AC36" i="37"/>
  <c r="AD25" i="37"/>
  <c r="J24" i="35"/>
  <c r="P14" i="49"/>
  <c r="AF20" i="31"/>
  <c r="AF13" i="31"/>
  <c r="P11" i="31"/>
  <c r="AF11" i="31"/>
  <c r="P11" i="47"/>
  <c r="P41" i="47"/>
  <c r="S36" i="44"/>
  <c r="S32" i="44"/>
  <c r="Q23" i="44"/>
  <c r="M23" i="44"/>
  <c r="AD25" i="46"/>
  <c r="S23" i="44"/>
  <c r="AC28" i="48"/>
  <c r="AC20" i="47"/>
  <c r="L50" i="43"/>
  <c r="AJ50" i="43"/>
  <c r="AJ52" i="43"/>
  <c r="AH28" i="43"/>
  <c r="Z11" i="43"/>
  <c r="Z41" i="43"/>
  <c r="AN32" i="43"/>
  <c r="P20" i="43"/>
  <c r="AN20" i="43"/>
  <c r="AK20" i="43"/>
  <c r="AF36" i="43"/>
  <c r="O11" i="43"/>
  <c r="AM25" i="43"/>
  <c r="AL43" i="43"/>
  <c r="V11" i="43"/>
  <c r="V41" i="43" s="1"/>
  <c r="O24" i="16"/>
  <c r="V11" i="18"/>
  <c r="V41" i="18"/>
  <c r="K24" i="16"/>
  <c r="AD25" i="18"/>
  <c r="S24" i="16" s="1"/>
  <c r="N11" i="18"/>
  <c r="N41" i="18"/>
  <c r="Z11" i="18"/>
  <c r="J11" i="18"/>
  <c r="AC28" i="30"/>
  <c r="AC25" i="19"/>
  <c r="X56" i="40"/>
  <c r="AI56" i="40"/>
  <c r="AA41" i="40"/>
  <c r="Y42" i="39"/>
  <c r="Y41" i="39" s="1"/>
  <c r="U42" i="39"/>
  <c r="U41" i="39" s="1"/>
  <c r="U55" i="39" s="1"/>
  <c r="K12" i="37"/>
  <c r="AC20" i="37"/>
  <c r="AB41" i="37"/>
  <c r="AB55" i="37" s="1"/>
  <c r="AD25" i="36"/>
  <c r="S24" i="35"/>
  <c r="R19" i="35"/>
  <c r="X55" i="39"/>
  <c r="O24" i="35"/>
  <c r="V11" i="38"/>
  <c r="V10" i="38" s="1"/>
  <c r="V55" i="38" s="1"/>
  <c r="N24" i="35"/>
  <c r="T11" i="37"/>
  <c r="AD25" i="39"/>
  <c r="K11" i="43"/>
  <c r="AN39" i="40"/>
  <c r="AF36" i="40"/>
  <c r="AG20" i="40"/>
  <c r="N33" i="40"/>
  <c r="AL33" i="40" s="1"/>
  <c r="AL36" i="40"/>
  <c r="AM25" i="40"/>
  <c r="AM56" i="40"/>
  <c r="AC52" i="39"/>
  <c r="AC28" i="39"/>
  <c r="Q10" i="38"/>
  <c r="Q55" i="38"/>
  <c r="AC28" i="37"/>
  <c r="AC33" i="37"/>
  <c r="S23" i="35"/>
  <c r="P24" i="35"/>
  <c r="R11" i="38"/>
  <c r="R10" i="38"/>
  <c r="R55" i="38" s="1"/>
  <c r="L11" i="39"/>
  <c r="AN19" i="49"/>
  <c r="AI10" i="49"/>
  <c r="AG53" i="40"/>
  <c r="P53" i="40"/>
  <c r="AN53" i="40"/>
  <c r="AN48" i="40"/>
  <c r="AN40" i="40"/>
  <c r="AK36" i="40"/>
  <c r="AN28" i="40"/>
  <c r="AF25" i="40"/>
  <c r="P20" i="40"/>
  <c r="AN20" i="40" s="1"/>
  <c r="W11" i="40"/>
  <c r="W41" i="40" s="1"/>
  <c r="X33" i="40"/>
  <c r="Y42" i="37"/>
  <c r="AC49" i="37"/>
  <c r="AB42" i="39"/>
  <c r="AB41" i="39"/>
  <c r="R40" i="35" s="1"/>
  <c r="Q48" i="35"/>
  <c r="AD46" i="36"/>
  <c r="S45" i="35"/>
  <c r="AD49" i="37"/>
  <c r="S48" i="35"/>
  <c r="Z11" i="36"/>
  <c r="X11" i="36"/>
  <c r="O13" i="35"/>
  <c r="V11" i="36"/>
  <c r="T12" i="38"/>
  <c r="N19" i="35"/>
  <c r="AD20" i="39"/>
  <c r="R12" i="39"/>
  <c r="R12" i="37"/>
  <c r="R11" i="37"/>
  <c r="R10" i="37" s="1"/>
  <c r="R55" i="37" s="1"/>
  <c r="M19" i="35"/>
  <c r="L11" i="38"/>
  <c r="L10" i="38" s="1"/>
  <c r="L55" i="38" s="1"/>
  <c r="AD20" i="37"/>
  <c r="AE57" i="41"/>
  <c r="AQ28" i="49"/>
  <c r="AV31" i="49"/>
  <c r="AG63" i="43"/>
  <c r="P36" i="40"/>
  <c r="AN21" i="40"/>
  <c r="AH20" i="40"/>
  <c r="AI28" i="40"/>
  <c r="AE11" i="40"/>
  <c r="AF11" i="40" s="1"/>
  <c r="AK20" i="40"/>
  <c r="AC43" i="37"/>
  <c r="J41" i="37"/>
  <c r="X12" i="37"/>
  <c r="X11" i="37" s="1"/>
  <c r="P19" i="35"/>
  <c r="AD28" i="36"/>
  <c r="S27" i="35"/>
  <c r="L11" i="36"/>
  <c r="J27" i="35"/>
  <c r="S52" i="35"/>
  <c r="Z42" i="37"/>
  <c r="AD43" i="37"/>
  <c r="AD12" i="36"/>
  <c r="O27" i="35"/>
  <c r="P11" i="37"/>
  <c r="K27" i="35"/>
  <c r="J67" i="41"/>
  <c r="AH67" i="41"/>
  <c r="AH70" i="41"/>
  <c r="AJ25" i="41"/>
  <c r="AN32" i="41"/>
  <c r="AG28" i="41"/>
  <c r="P28" i="41"/>
  <c r="AN28" i="41"/>
  <c r="K11" i="41"/>
  <c r="AN45" i="41"/>
  <c r="Q12" i="41"/>
  <c r="AG20" i="41"/>
  <c r="X53" i="41"/>
  <c r="X73" i="41"/>
  <c r="AM53" i="41"/>
  <c r="O11" i="41"/>
  <c r="AD43" i="41"/>
  <c r="AD56" i="41"/>
  <c r="AF50" i="41"/>
  <c r="AN50" i="41" s="1"/>
  <c r="O11" i="4"/>
  <c r="O41" i="4"/>
  <c r="O57" i="4" s="1"/>
  <c r="K33" i="4"/>
  <c r="P36" i="4"/>
  <c r="AW34" i="49"/>
  <c r="AW20" i="49"/>
  <c r="P19" i="49"/>
  <c r="AF11" i="49"/>
  <c r="R11" i="1"/>
  <c r="R10" i="1"/>
  <c r="J11" i="1"/>
  <c r="P79" i="1"/>
  <c r="K113" i="1"/>
  <c r="P113" i="1"/>
  <c r="P118" i="1"/>
  <c r="K65" i="1"/>
  <c r="P66" i="1"/>
  <c r="P23" i="1"/>
  <c r="O44" i="42"/>
  <c r="O70" i="42"/>
  <c r="K44" i="42"/>
  <c r="P55" i="42"/>
  <c r="P73" i="41"/>
  <c r="AN73" i="41"/>
  <c r="AG73" i="41"/>
  <c r="P81" i="41"/>
  <c r="AN81" i="41" s="1"/>
  <c r="AI81" i="41"/>
  <c r="U12" i="41"/>
  <c r="U11" i="41"/>
  <c r="U41" i="41" s="1"/>
  <c r="U57" i="41" s="1"/>
  <c r="AK20" i="41"/>
  <c r="AM50" i="41"/>
  <c r="V12" i="41"/>
  <c r="AL20" i="41"/>
  <c r="N43" i="41"/>
  <c r="AF44" i="41"/>
  <c r="Y43" i="41"/>
  <c r="M67" i="4"/>
  <c r="P67" i="4" s="1"/>
  <c r="P70" i="4"/>
  <c r="AS11" i="49"/>
  <c r="AV11" i="49" s="1"/>
  <c r="AS10" i="49"/>
  <c r="AV14" i="49"/>
  <c r="Q11" i="49"/>
  <c r="X14" i="49"/>
  <c r="AW49" i="49"/>
  <c r="V10" i="1"/>
  <c r="O48" i="1"/>
  <c r="P49" i="1"/>
  <c r="P95" i="1"/>
  <c r="M87" i="1"/>
  <c r="M74" i="1" s="1"/>
  <c r="Z12" i="37"/>
  <c r="Q19" i="35"/>
  <c r="R11" i="36"/>
  <c r="AD20" i="38"/>
  <c r="S19" i="35" s="1"/>
  <c r="I19" i="35"/>
  <c r="J12" i="37"/>
  <c r="P39" i="42"/>
  <c r="AN47" i="41"/>
  <c r="AK67" i="41"/>
  <c r="I67" i="41"/>
  <c r="AG70" i="41"/>
  <c r="AN38" i="41"/>
  <c r="O43" i="41"/>
  <c r="N33" i="41"/>
  <c r="AL36" i="41"/>
  <c r="O67" i="41"/>
  <c r="AM67" i="41" s="1"/>
  <c r="AM70" i="41"/>
  <c r="AI50" i="41"/>
  <c r="K43" i="41"/>
  <c r="P20" i="4"/>
  <c r="P25" i="4"/>
  <c r="AW29" i="49"/>
  <c r="AN28" i="49"/>
  <c r="AA28" i="49"/>
  <c r="AA36" i="49" s="1"/>
  <c r="AF36" i="49" s="1"/>
  <c r="AF31" i="49"/>
  <c r="AW31" i="49" s="1"/>
  <c r="P28" i="49"/>
  <c r="AN22" i="49"/>
  <c r="AM10" i="49"/>
  <c r="AM36" i="49" s="1"/>
  <c r="AW53" i="49"/>
  <c r="AB74" i="1"/>
  <c r="Z74" i="1"/>
  <c r="Z122" i="1" s="1"/>
  <c r="P48" i="1"/>
  <c r="L67" i="41"/>
  <c r="AJ67" i="41"/>
  <c r="P36" i="41"/>
  <c r="AN36" i="41"/>
  <c r="M11" i="41"/>
  <c r="P53" i="41"/>
  <c r="P44" i="41"/>
  <c r="AN44" i="41"/>
  <c r="X25" i="41"/>
  <c r="AN25" i="41"/>
  <c r="S33" i="41"/>
  <c r="X70" i="41"/>
  <c r="AN70" i="41" s="1"/>
  <c r="AL44" i="41"/>
  <c r="AM47" i="41"/>
  <c r="P53" i="4"/>
  <c r="Z45" i="49"/>
  <c r="Z71" i="49"/>
  <c r="L45" i="49"/>
  <c r="L71" i="49"/>
  <c r="AV57" i="49"/>
  <c r="AW55" i="49"/>
  <c r="AV54" i="49"/>
  <c r="AW54" i="49" s="1"/>
  <c r="X54" i="49"/>
  <c r="AW48" i="49"/>
  <c r="T55" i="1"/>
  <c r="L65" i="1"/>
  <c r="O87" i="1"/>
  <c r="O74" i="1" s="1"/>
  <c r="AW26" i="49"/>
  <c r="AV22" i="49"/>
  <c r="AF14" i="49"/>
  <c r="AJ45" i="49"/>
  <c r="AJ71" i="49"/>
  <c r="X28" i="49"/>
  <c r="P57" i="49"/>
  <c r="AW47" i="49"/>
  <c r="U45" i="49"/>
  <c r="R74" i="1"/>
  <c r="K99" i="1"/>
  <c r="P100" i="1"/>
  <c r="W113" i="1"/>
  <c r="X114" i="1"/>
  <c r="S65" i="1"/>
  <c r="X65" i="1"/>
  <c r="X66" i="1"/>
  <c r="Y14" i="1"/>
  <c r="AF15" i="1"/>
  <c r="K75" i="1"/>
  <c r="J87" i="1"/>
  <c r="J74" i="1"/>
  <c r="AL70" i="41"/>
  <c r="AW17" i="49"/>
  <c r="AW51" i="49"/>
  <c r="AI45" i="49"/>
  <c r="X49" i="49"/>
  <c r="J55" i="1"/>
  <c r="P114" i="1"/>
  <c r="M11" i="1"/>
  <c r="AB41" i="1"/>
  <c r="AB26" i="1"/>
  <c r="AB10" i="1" s="1"/>
  <c r="AB122" i="1" s="1"/>
  <c r="L55" i="1"/>
  <c r="AD41" i="1"/>
  <c r="O41" i="1"/>
  <c r="P41" i="1"/>
  <c r="K11" i="1"/>
  <c r="Q78" i="1"/>
  <c r="X79" i="1"/>
  <c r="AE11" i="1"/>
  <c r="AE10" i="1" s="1"/>
  <c r="AA113" i="1"/>
  <c r="AF114" i="1"/>
  <c r="AA65" i="1"/>
  <c r="AA10" i="1" s="1"/>
  <c r="AF84" i="1"/>
  <c r="Y65" i="1"/>
  <c r="J43" i="33"/>
  <c r="J56" i="33" s="1"/>
  <c r="J57" i="33" s="1"/>
  <c r="M26" i="1"/>
  <c r="X100" i="1"/>
  <c r="Q99" i="1"/>
  <c r="U87" i="1"/>
  <c r="U74" i="1"/>
  <c r="U122" i="1" s="1"/>
  <c r="AE87" i="1"/>
  <c r="P13" i="33"/>
  <c r="I12" i="33"/>
  <c r="L12" i="33"/>
  <c r="L11" i="33"/>
  <c r="L41" i="33" s="1"/>
  <c r="L57" i="33" s="1"/>
  <c r="K28" i="33"/>
  <c r="P28" i="33"/>
  <c r="P29" i="33"/>
  <c r="N28" i="35"/>
  <c r="M11" i="17"/>
  <c r="P44" i="33"/>
  <c r="K43" i="33"/>
  <c r="K56" i="33"/>
  <c r="N26" i="1"/>
  <c r="N10" i="1"/>
  <c r="W26" i="1"/>
  <c r="W10" i="1" s="1"/>
  <c r="Q48" i="1"/>
  <c r="X49" i="1"/>
  <c r="K35" i="16"/>
  <c r="O13" i="40"/>
  <c r="AM13" i="40" s="1"/>
  <c r="AM16" i="40"/>
  <c r="P16" i="40"/>
  <c r="K13" i="40"/>
  <c r="R13" i="40"/>
  <c r="AH16" i="40"/>
  <c r="AK16" i="40"/>
  <c r="AF16" i="40"/>
  <c r="Y63" i="49"/>
  <c r="AF63" i="49" s="1"/>
  <c r="AF66" i="49"/>
  <c r="AW66" i="49"/>
  <c r="P84" i="1"/>
  <c r="Q106" i="1"/>
  <c r="X106" i="1" s="1"/>
  <c r="X110" i="1"/>
  <c r="AC11" i="1"/>
  <c r="N44" i="34"/>
  <c r="N70" i="34"/>
  <c r="P34" i="34"/>
  <c r="L87" i="1"/>
  <c r="L74" i="1"/>
  <c r="N12" i="33"/>
  <c r="N11" i="33"/>
  <c r="N41" i="33" s="1"/>
  <c r="N57" i="33" s="1"/>
  <c r="AW24" i="49"/>
  <c r="AW59" i="49"/>
  <c r="AD27" i="1"/>
  <c r="AD26" i="1"/>
  <c r="AD10" i="1" s="1"/>
  <c r="AD122" i="1" s="1"/>
  <c r="L28" i="35"/>
  <c r="AN14" i="40"/>
  <c r="P11" i="17"/>
  <c r="L11" i="17"/>
  <c r="L41" i="17" s="1"/>
  <c r="L40" i="16" s="1"/>
  <c r="AD16" i="37"/>
  <c r="I17" i="35"/>
  <c r="AD16" i="38"/>
  <c r="S17" i="35"/>
  <c r="J13" i="38"/>
  <c r="S16" i="17"/>
  <c r="J17" i="16"/>
  <c r="Q17" i="16"/>
  <c r="Z13" i="30"/>
  <c r="O17" i="16"/>
  <c r="V13" i="30"/>
  <c r="M17" i="16"/>
  <c r="R13" i="30"/>
  <c r="K17" i="16"/>
  <c r="N13" i="30"/>
  <c r="I17" i="16"/>
  <c r="AD16" i="30"/>
  <c r="J13" i="30"/>
  <c r="AK16" i="43"/>
  <c r="P16" i="43"/>
  <c r="M13" i="43"/>
  <c r="AK13" i="43" s="1"/>
  <c r="X16" i="43"/>
  <c r="AG16" i="43"/>
  <c r="Q13" i="43"/>
  <c r="AM16" i="43"/>
  <c r="AE13" i="43"/>
  <c r="AI16" i="43"/>
  <c r="AA13" i="43"/>
  <c r="Q13" i="45"/>
  <c r="Q12" i="45" s="1"/>
  <c r="Q11" i="45" s="1"/>
  <c r="Q16" i="44"/>
  <c r="S16" i="45"/>
  <c r="M13" i="45"/>
  <c r="M16" i="44"/>
  <c r="AC16" i="46"/>
  <c r="I13" i="46"/>
  <c r="AC16" i="47"/>
  <c r="I13" i="47"/>
  <c r="AC16" i="18"/>
  <c r="I13" i="18"/>
  <c r="M44" i="34"/>
  <c r="M70" i="34" s="1"/>
  <c r="P28" i="35"/>
  <c r="J35" i="16"/>
  <c r="L33" i="18"/>
  <c r="I11" i="17"/>
  <c r="O11" i="17"/>
  <c r="K11" i="17"/>
  <c r="AN31" i="43"/>
  <c r="I28" i="35"/>
  <c r="S31" i="16"/>
  <c r="R11" i="17"/>
  <c r="J11" i="17"/>
  <c r="S16" i="35"/>
  <c r="S15" i="35"/>
  <c r="I11" i="45"/>
  <c r="N11" i="45"/>
  <c r="N41" i="45" s="1"/>
  <c r="S28" i="44"/>
  <c r="P65" i="13"/>
  <c r="R10" i="31"/>
  <c r="R23" i="31" s="1"/>
  <c r="Z23" i="31" s="1"/>
  <c r="I35" i="16"/>
  <c r="O41" i="17"/>
  <c r="I12" i="47"/>
  <c r="AC13" i="47"/>
  <c r="M14" i="16"/>
  <c r="R12" i="30"/>
  <c r="R11" i="30" s="1"/>
  <c r="R41" i="30" s="1"/>
  <c r="AI71" i="49"/>
  <c r="AN45" i="49"/>
  <c r="M41" i="41"/>
  <c r="AK11" i="41"/>
  <c r="T11" i="38"/>
  <c r="T10" i="38"/>
  <c r="T55" i="38" s="1"/>
  <c r="L11" i="18"/>
  <c r="L41" i="18" s="1"/>
  <c r="AD12" i="18"/>
  <c r="I11" i="38"/>
  <c r="AC12" i="38"/>
  <c r="J11" i="44"/>
  <c r="L41" i="46"/>
  <c r="J39" i="44"/>
  <c r="Q12" i="43"/>
  <c r="X13" i="43"/>
  <c r="P41" i="17"/>
  <c r="P40" i="16"/>
  <c r="P12" i="16"/>
  <c r="O12" i="40"/>
  <c r="M41" i="17"/>
  <c r="P99" i="1"/>
  <c r="K87" i="1"/>
  <c r="K74" i="1" s="1"/>
  <c r="P74" i="1" s="1"/>
  <c r="AW57" i="49"/>
  <c r="O56" i="41"/>
  <c r="AM56" i="41"/>
  <c r="AM43" i="41"/>
  <c r="J11" i="37"/>
  <c r="Y56" i="41"/>
  <c r="AF43" i="41"/>
  <c r="V11" i="41"/>
  <c r="AW19" i="49"/>
  <c r="K41" i="4"/>
  <c r="P33" i="4"/>
  <c r="O41" i="41"/>
  <c r="AM11" i="41"/>
  <c r="R11" i="39"/>
  <c r="R10" i="39" s="1"/>
  <c r="R55" i="39" s="1"/>
  <c r="Z41" i="18"/>
  <c r="AW14" i="49"/>
  <c r="S11" i="39"/>
  <c r="S10" i="39"/>
  <c r="S55" i="39" s="1"/>
  <c r="AC12" i="39"/>
  <c r="AK33" i="43"/>
  <c r="X33" i="43"/>
  <c r="U41" i="43"/>
  <c r="U62" i="43" s="1"/>
  <c r="AK62" i="43" s="1"/>
  <c r="O23" i="31"/>
  <c r="AA41" i="41"/>
  <c r="AF11" i="41"/>
  <c r="L41" i="43"/>
  <c r="AD33" i="46"/>
  <c r="AD10" i="31"/>
  <c r="N23" i="31"/>
  <c r="AD23" i="31" s="1"/>
  <c r="S42" i="35"/>
  <c r="N41" i="47"/>
  <c r="K11" i="44"/>
  <c r="AB41" i="46"/>
  <c r="N12" i="44"/>
  <c r="J41" i="47"/>
  <c r="P41" i="46"/>
  <c r="L39" i="44"/>
  <c r="L11" i="44"/>
  <c r="AC33" i="46"/>
  <c r="Q13" i="44"/>
  <c r="M12" i="43"/>
  <c r="P13" i="43"/>
  <c r="I14" i="35"/>
  <c r="J12" i="38"/>
  <c r="I13" i="35"/>
  <c r="AD13" i="38"/>
  <c r="AL33" i="41"/>
  <c r="N41" i="41"/>
  <c r="X11" i="49"/>
  <c r="AW11" i="49" s="1"/>
  <c r="Q10" i="49"/>
  <c r="K41" i="41"/>
  <c r="Z41" i="37"/>
  <c r="Q41" i="35"/>
  <c r="J41" i="18"/>
  <c r="AD41" i="39"/>
  <c r="J55" i="39"/>
  <c r="I41" i="39"/>
  <c r="V10" i="39"/>
  <c r="V55" i="39"/>
  <c r="O32" i="35"/>
  <c r="X41" i="46"/>
  <c r="P39" i="44" s="1"/>
  <c r="P11" i="44"/>
  <c r="I41" i="40"/>
  <c r="I41" i="17"/>
  <c r="R12" i="40"/>
  <c r="AH13" i="40"/>
  <c r="AD33" i="18"/>
  <c r="S32" i="16" s="1"/>
  <c r="J32" i="16"/>
  <c r="I12" i="46"/>
  <c r="AC13" i="46"/>
  <c r="K14" i="16"/>
  <c r="N12" i="30"/>
  <c r="AV10" i="49"/>
  <c r="AS36" i="49"/>
  <c r="S10" i="1"/>
  <c r="R122" i="1"/>
  <c r="Q11" i="41"/>
  <c r="O12" i="35"/>
  <c r="V10" i="36"/>
  <c r="Z10" i="36"/>
  <c r="L10" i="39"/>
  <c r="T10" i="37"/>
  <c r="O41" i="43"/>
  <c r="N41" i="40"/>
  <c r="Q23" i="31"/>
  <c r="Y10" i="31"/>
  <c r="AD33" i="37"/>
  <c r="J32" i="35"/>
  <c r="AG50" i="43"/>
  <c r="X50" i="43"/>
  <c r="S26" i="44"/>
  <c r="R41" i="35"/>
  <c r="Z10" i="31"/>
  <c r="AL11" i="43"/>
  <c r="T41" i="40"/>
  <c r="AJ11" i="40"/>
  <c r="AJ41" i="40" s="1"/>
  <c r="J41" i="40"/>
  <c r="AD12" i="19"/>
  <c r="R11" i="19"/>
  <c r="R41" i="19" s="1"/>
  <c r="S27" i="16"/>
  <c r="P75" i="1"/>
  <c r="J41" i="17"/>
  <c r="Q14" i="16"/>
  <c r="Z12" i="30"/>
  <c r="Q26" i="1"/>
  <c r="X26" i="1" s="1"/>
  <c r="X48" i="1"/>
  <c r="AI33" i="41"/>
  <c r="X33" i="41"/>
  <c r="AN33" i="41" s="1"/>
  <c r="P67" i="41"/>
  <c r="AN67" i="41" s="1"/>
  <c r="AG67" i="41"/>
  <c r="R10" i="36"/>
  <c r="M12" i="35"/>
  <c r="P10" i="37"/>
  <c r="L10" i="36"/>
  <c r="AD11" i="36"/>
  <c r="X10" i="36"/>
  <c r="AD10" i="36" s="1"/>
  <c r="Y41" i="37"/>
  <c r="Y55" i="37" s="1"/>
  <c r="AC42" i="37"/>
  <c r="V11" i="40"/>
  <c r="V41" i="40"/>
  <c r="AL12" i="40"/>
  <c r="Q11" i="40"/>
  <c r="AG11" i="40" s="1"/>
  <c r="AG41" i="40" s="1"/>
  <c r="X12" i="40"/>
  <c r="I41" i="45"/>
  <c r="M12" i="45"/>
  <c r="M12" i="44" s="1"/>
  <c r="S13" i="45"/>
  <c r="M13" i="44"/>
  <c r="AI13" i="43"/>
  <c r="AA12" i="43"/>
  <c r="AI12" i="43" s="1"/>
  <c r="AF48" i="1"/>
  <c r="R41" i="17"/>
  <c r="R40" i="16" s="1"/>
  <c r="R12" i="16"/>
  <c r="I12" i="18"/>
  <c r="AC13" i="18"/>
  <c r="O14" i="16"/>
  <c r="V12" i="30"/>
  <c r="O13" i="16" s="1"/>
  <c r="K12" i="40"/>
  <c r="P13" i="40"/>
  <c r="AN13" i="40" s="1"/>
  <c r="AI13" i="40"/>
  <c r="X99" i="1"/>
  <c r="Q75" i="1"/>
  <c r="X78" i="1"/>
  <c r="Z11" i="37"/>
  <c r="Q13" i="35"/>
  <c r="K41" i="17"/>
  <c r="AE12" i="43"/>
  <c r="AE11" i="43" s="1"/>
  <c r="AE41" i="43" s="1"/>
  <c r="AM13" i="43"/>
  <c r="AD13" i="30"/>
  <c r="I14" i="16"/>
  <c r="J12" i="30"/>
  <c r="S17" i="16"/>
  <c r="AN16" i="40"/>
  <c r="AD33" i="39"/>
  <c r="S32" i="35" s="1"/>
  <c r="P12" i="33"/>
  <c r="I11" i="33"/>
  <c r="P11" i="33" s="1"/>
  <c r="AF65" i="1"/>
  <c r="K10" i="1"/>
  <c r="P11" i="1"/>
  <c r="AF14" i="1"/>
  <c r="Y11" i="1"/>
  <c r="AF11" i="1" s="1"/>
  <c r="X45" i="49"/>
  <c r="U71" i="49"/>
  <c r="AN53" i="41"/>
  <c r="K56" i="41"/>
  <c r="P43" i="41"/>
  <c r="AK12" i="41"/>
  <c r="N56" i="41"/>
  <c r="AL56" i="41"/>
  <c r="AL43" i="41"/>
  <c r="P44" i="42"/>
  <c r="K70" i="42"/>
  <c r="P70" i="42"/>
  <c r="AE41" i="40"/>
  <c r="AN36" i="40"/>
  <c r="AV28" i="49"/>
  <c r="AQ36" i="49"/>
  <c r="AV36" i="49"/>
  <c r="AI36" i="49"/>
  <c r="M13" i="35"/>
  <c r="K11" i="37"/>
  <c r="AC12" i="37"/>
  <c r="AF33" i="40"/>
  <c r="S19" i="16"/>
  <c r="W11" i="43"/>
  <c r="AM12" i="43"/>
  <c r="J41" i="36"/>
  <c r="AD42" i="36"/>
  <c r="I41" i="35"/>
  <c r="AD42" i="39"/>
  <c r="I10" i="39"/>
  <c r="AC11" i="39"/>
  <c r="K11" i="30"/>
  <c r="AC12" i="30"/>
  <c r="O41" i="35"/>
  <c r="K11" i="33"/>
  <c r="K41" i="33"/>
  <c r="K57" i="33" s="1"/>
  <c r="Y71" i="49"/>
  <c r="AF71" i="49"/>
  <c r="O41" i="19"/>
  <c r="AC11" i="19"/>
  <c r="AC41" i="19" s="1"/>
  <c r="X113" i="1"/>
  <c r="T11" i="18"/>
  <c r="T41" i="18"/>
  <c r="J41" i="19"/>
  <c r="AD12" i="47"/>
  <c r="S41" i="48"/>
  <c r="P56" i="41"/>
  <c r="AC41" i="37"/>
  <c r="L55" i="39"/>
  <c r="K57" i="4"/>
  <c r="O11" i="40"/>
  <c r="AM12" i="40"/>
  <c r="I10" i="38"/>
  <c r="AC11" i="38"/>
  <c r="I40" i="35"/>
  <c r="J55" i="36"/>
  <c r="K122" i="1"/>
  <c r="I41" i="33"/>
  <c r="K11" i="40"/>
  <c r="AI12" i="40"/>
  <c r="P12" i="40"/>
  <c r="AN12" i="40" s="1"/>
  <c r="AC12" i="18"/>
  <c r="I11" i="18"/>
  <c r="AA11" i="43"/>
  <c r="L55" i="36"/>
  <c r="R55" i="36"/>
  <c r="M54" i="35" s="1"/>
  <c r="M11" i="35"/>
  <c r="Z11" i="30"/>
  <c r="Q13" i="16"/>
  <c r="AL11" i="40"/>
  <c r="AL41" i="40"/>
  <c r="K57" i="41"/>
  <c r="AA57" i="41"/>
  <c r="AF41" i="41"/>
  <c r="M12" i="16"/>
  <c r="X12" i="43"/>
  <c r="Q11" i="43"/>
  <c r="Q12" i="44"/>
  <c r="J11" i="30"/>
  <c r="I13" i="16"/>
  <c r="V11" i="30"/>
  <c r="M11" i="45"/>
  <c r="S12" i="45"/>
  <c r="M13" i="16"/>
  <c r="Y23" i="31"/>
  <c r="T55" i="37"/>
  <c r="Z55" i="36"/>
  <c r="AC12" i="46"/>
  <c r="I11" i="46"/>
  <c r="R11" i="40"/>
  <c r="AH12" i="40"/>
  <c r="AD11" i="18"/>
  <c r="AD41" i="18"/>
  <c r="N57" i="41"/>
  <c r="J11" i="38"/>
  <c r="AD12" i="38"/>
  <c r="M11" i="43"/>
  <c r="P12" i="43"/>
  <c r="AK12" i="43"/>
  <c r="P23" i="31"/>
  <c r="AN33" i="40"/>
  <c r="AM41" i="41"/>
  <c r="O57" i="41"/>
  <c r="I12" i="35"/>
  <c r="J10" i="37"/>
  <c r="M40" i="16"/>
  <c r="M57" i="41"/>
  <c r="AK57" i="41"/>
  <c r="AK41" i="41"/>
  <c r="K10" i="37"/>
  <c r="AC11" i="37"/>
  <c r="X10" i="49"/>
  <c r="Q36" i="49"/>
  <c r="X36" i="49" s="1"/>
  <c r="AD11" i="19"/>
  <c r="AD41" i="19"/>
  <c r="K41" i="30"/>
  <c r="AC11" i="30"/>
  <c r="AC41" i="30"/>
  <c r="Q41" i="40"/>
  <c r="X11" i="40"/>
  <c r="X41" i="40" s="1"/>
  <c r="P55" i="37"/>
  <c r="V55" i="36"/>
  <c r="O54" i="35" s="1"/>
  <c r="O11" i="35"/>
  <c r="Q41" i="41"/>
  <c r="N11" i="30"/>
  <c r="K13" i="16"/>
  <c r="V41" i="41"/>
  <c r="V57" i="41" s="1"/>
  <c r="AF56" i="41"/>
  <c r="Y57" i="41"/>
  <c r="AF57" i="41"/>
  <c r="I11" i="47"/>
  <c r="AC12" i="47"/>
  <c r="Q41" i="45"/>
  <c r="Q39" i="44"/>
  <c r="Q11" i="44"/>
  <c r="AA41" i="43"/>
  <c r="AI11" i="43"/>
  <c r="I55" i="38"/>
  <c r="N41" i="30"/>
  <c r="K40" i="16" s="1"/>
  <c r="K12" i="16"/>
  <c r="J10" i="38"/>
  <c r="I11" i="35" s="1"/>
  <c r="M41" i="45"/>
  <c r="M11" i="44"/>
  <c r="S11" i="45"/>
  <c r="Q41" i="43"/>
  <c r="X11" i="43"/>
  <c r="AC11" i="18"/>
  <c r="I41" i="18"/>
  <c r="K41" i="40"/>
  <c r="AI11" i="40"/>
  <c r="AI41" i="40"/>
  <c r="P11" i="40"/>
  <c r="I41" i="46"/>
  <c r="AC11" i="46"/>
  <c r="J55" i="37"/>
  <c r="Z41" i="30"/>
  <c r="Q40" i="16"/>
  <c r="Q12" i="16"/>
  <c r="O41" i="40"/>
  <c r="AM11" i="40"/>
  <c r="AM41" i="40" s="1"/>
  <c r="AC11" i="47"/>
  <c r="I41" i="47"/>
  <c r="K55" i="37"/>
  <c r="AK11" i="43"/>
  <c r="M41" i="43"/>
  <c r="P11" i="43"/>
  <c r="R41" i="40"/>
  <c r="AH11" i="40"/>
  <c r="AH41" i="40" s="1"/>
  <c r="V41" i="30"/>
  <c r="O40" i="16" s="1"/>
  <c r="O12" i="16"/>
  <c r="J41" i="30"/>
  <c r="I40" i="16"/>
  <c r="I12" i="16"/>
  <c r="P41" i="33"/>
  <c r="AK41" i="43"/>
  <c r="Q62" i="43"/>
  <c r="M39" i="44"/>
  <c r="S41" i="45"/>
  <c r="P41" i="40"/>
  <c r="AN11" i="40"/>
  <c r="AN41" i="40" s="1"/>
  <c r="J55" i="38"/>
  <c r="AG62" i="43"/>
  <c r="I54" i="35"/>
  <c r="AM11" i="43" l="1"/>
  <c r="W41" i="43"/>
  <c r="W122" i="1"/>
  <c r="AN71" i="49"/>
  <c r="I55" i="39"/>
  <c r="Q12" i="35"/>
  <c r="Z10" i="37"/>
  <c r="V62" i="43"/>
  <c r="AL62" i="43" s="1"/>
  <c r="AL41" i="43"/>
  <c r="Y55" i="39"/>
  <c r="AD41" i="36"/>
  <c r="X55" i="36"/>
  <c r="K39" i="44"/>
  <c r="X10" i="37"/>
  <c r="P12" i="35"/>
  <c r="AF41" i="40"/>
  <c r="T41" i="47"/>
  <c r="AD41" i="47" s="1"/>
  <c r="AD11" i="47"/>
  <c r="T62" i="43"/>
  <c r="AJ62" i="43" s="1"/>
  <c r="X14" i="31"/>
  <c r="AF14" i="31" s="1"/>
  <c r="Y14" i="31"/>
  <c r="P87" i="1"/>
  <c r="L12" i="16"/>
  <c r="AF28" i="49"/>
  <c r="AW28" i="49" s="1"/>
  <c r="AB55" i="39"/>
  <c r="AA10" i="31"/>
  <c r="P31" i="44"/>
  <c r="K31" i="44"/>
  <c r="N41" i="48"/>
  <c r="U41" i="46"/>
  <c r="AC41" i="46" s="1"/>
  <c r="AN63" i="43"/>
  <c r="AF50" i="43"/>
  <c r="AN50" i="43" s="1"/>
  <c r="AC33" i="18"/>
  <c r="AC41" i="18" s="1"/>
  <c r="AH51" i="40"/>
  <c r="AB41" i="40"/>
  <c r="Z41" i="40"/>
  <c r="P13" i="35"/>
  <c r="AD20" i="31"/>
  <c r="S41" i="30"/>
  <c r="AJ51" i="40"/>
  <c r="AF18" i="31"/>
  <c r="W10" i="31"/>
  <c r="O41" i="47"/>
  <c r="M41" i="47"/>
  <c r="AC41" i="47" s="1"/>
  <c r="S41" i="19"/>
  <c r="Q41" i="18"/>
  <c r="K41" i="18"/>
  <c r="AD41" i="40"/>
  <c r="T11" i="48"/>
  <c r="T41" i="48" s="1"/>
  <c r="L12" i="30"/>
  <c r="AG64" i="40"/>
  <c r="AG56" i="40"/>
  <c r="AA55" i="37"/>
  <c r="J12" i="43"/>
  <c r="K33" i="43"/>
  <c r="AM36" i="43"/>
  <c r="AL52" i="43"/>
  <c r="AC20" i="18"/>
  <c r="W42" i="39"/>
  <c r="J33" i="48"/>
  <c r="P18" i="44"/>
  <c r="AH52" i="43"/>
  <c r="P36" i="43"/>
  <c r="AN36" i="43" s="1"/>
  <c r="AF52" i="43"/>
  <c r="AN52" i="43" s="1"/>
  <c r="AC36" i="18"/>
  <c r="Q10" i="39"/>
  <c r="Q55" i="39" s="1"/>
  <c r="O10" i="39"/>
  <c r="O55" i="39" s="1"/>
  <c r="M10" i="38"/>
  <c r="W57" i="41"/>
  <c r="AM57" i="41" s="1"/>
  <c r="AL67" i="41"/>
  <c r="AI36" i="40"/>
  <c r="AJ20" i="40"/>
  <c r="AC46" i="39"/>
  <c r="Y10" i="38"/>
  <c r="Y55" i="38" s="1"/>
  <c r="W55" i="37"/>
  <c r="U10" i="37"/>
  <c r="N11" i="38"/>
  <c r="K13" i="35"/>
  <c r="J57" i="4"/>
  <c r="L12" i="41"/>
  <c r="Q43" i="41"/>
  <c r="AW30" i="49"/>
  <c r="AW12" i="49"/>
  <c r="AM71" i="49"/>
  <c r="W71" i="49"/>
  <c r="X71" i="49" s="1"/>
  <c r="J26" i="1"/>
  <c r="J10" i="1" s="1"/>
  <c r="J122" i="1" s="1"/>
  <c r="X42" i="37"/>
  <c r="S43" i="41"/>
  <c r="O10" i="49"/>
  <c r="O36" i="49" s="1"/>
  <c r="P63" i="49"/>
  <c r="AW63" i="49" s="1"/>
  <c r="P22" i="49"/>
  <c r="AW22" i="49" s="1"/>
  <c r="AK10" i="49"/>
  <c r="AD45" i="49"/>
  <c r="AD71" i="49" s="1"/>
  <c r="M10" i="49"/>
  <c r="AW13" i="49"/>
  <c r="AV63" i="49"/>
  <c r="N74" i="1"/>
  <c r="N122" i="1" s="1"/>
  <c r="K46" i="49"/>
  <c r="O55" i="1"/>
  <c r="P62" i="1"/>
  <c r="Q55" i="1"/>
  <c r="X55" i="1" s="1"/>
  <c r="X62" i="1"/>
  <c r="X15" i="1"/>
  <c r="AC99" i="1"/>
  <c r="AF100" i="1"/>
  <c r="Y55" i="1"/>
  <c r="AF55" i="1" s="1"/>
  <c r="AF62" i="1"/>
  <c r="P45" i="34"/>
  <c r="P39" i="34"/>
  <c r="P25" i="33"/>
  <c r="O27" i="1"/>
  <c r="P34" i="1"/>
  <c r="T26" i="1"/>
  <c r="T10" i="1" s="1"/>
  <c r="T122" i="1" s="1"/>
  <c r="X52" i="1"/>
  <c r="Y27" i="1"/>
  <c r="Q88" i="1"/>
  <c r="X89" i="1"/>
  <c r="AO46" i="49"/>
  <c r="AE113" i="1"/>
  <c r="AF118" i="1"/>
  <c r="P60" i="34"/>
  <c r="I43" i="33"/>
  <c r="P47" i="33"/>
  <c r="O65" i="1"/>
  <c r="P65" i="1" s="1"/>
  <c r="P70" i="1"/>
  <c r="I67" i="33"/>
  <c r="P67" i="33" s="1"/>
  <c r="P70" i="33"/>
  <c r="V87" i="1"/>
  <c r="V74" i="1" s="1"/>
  <c r="V122" i="1" s="1"/>
  <c r="P12" i="1"/>
  <c r="AC41" i="1"/>
  <c r="AF45" i="1"/>
  <c r="AA75" i="1"/>
  <c r="AF66" i="1"/>
  <c r="S75" i="1"/>
  <c r="X76" i="1"/>
  <c r="W75" i="1"/>
  <c r="W74" i="1" s="1"/>
  <c r="L27" i="1"/>
  <c r="L26" i="1" s="1"/>
  <c r="L10" i="1" s="1"/>
  <c r="L122" i="1" s="1"/>
  <c r="M55" i="1"/>
  <c r="M10" i="1" s="1"/>
  <c r="Q14" i="1"/>
  <c r="I11" i="34"/>
  <c r="AN31" i="40"/>
  <c r="P17" i="35"/>
  <c r="S29" i="44"/>
  <c r="AD16" i="47"/>
  <c r="S16" i="44" s="1"/>
  <c r="AD16" i="48"/>
  <c r="J13" i="48"/>
  <c r="K44" i="34"/>
  <c r="X28" i="1"/>
  <c r="AB12" i="36"/>
  <c r="T13" i="39"/>
  <c r="P13" i="39"/>
  <c r="AN30" i="40"/>
  <c r="S29" i="16"/>
  <c r="O17" i="35"/>
  <c r="AF25" i="31"/>
  <c r="AN17" i="43"/>
  <c r="J17" i="35"/>
  <c r="L13" i="37"/>
  <c r="AB13" i="38"/>
  <c r="R17" i="35"/>
  <c r="J13" i="46"/>
  <c r="I16" i="44"/>
  <c r="X58" i="49"/>
  <c r="AW58" i="49" s="1"/>
  <c r="J43" i="4"/>
  <c r="J56" i="4" s="1"/>
  <c r="M13" i="4"/>
  <c r="P16" i="4"/>
  <c r="P16" i="41"/>
  <c r="AG16" i="41"/>
  <c r="I13" i="41"/>
  <c r="X16" i="41"/>
  <c r="S13" i="41"/>
  <c r="AL16" i="41"/>
  <c r="AD13" i="41"/>
  <c r="AH16" i="41"/>
  <c r="Z13" i="41"/>
  <c r="AC16" i="37"/>
  <c r="N17" i="16"/>
  <c r="N13" i="17"/>
  <c r="AF16" i="43"/>
  <c r="AN16" i="43" s="1"/>
  <c r="Y13" i="43"/>
  <c r="AB13" i="43"/>
  <c r="AJ16" i="43"/>
  <c r="R13" i="45"/>
  <c r="R16" i="44"/>
  <c r="AC16" i="30"/>
  <c r="V13" i="46"/>
  <c r="I13" i="48"/>
  <c r="M122" i="1" l="1"/>
  <c r="N12" i="17"/>
  <c r="S13" i="17"/>
  <c r="S14" i="16" s="1"/>
  <c r="N14" i="16"/>
  <c r="T12" i="39"/>
  <c r="N14" i="35"/>
  <c r="AF41" i="1"/>
  <c r="AC26" i="1"/>
  <c r="AC10" i="1" s="1"/>
  <c r="P55" i="1"/>
  <c r="P27" i="1"/>
  <c r="O26" i="1"/>
  <c r="X41" i="37"/>
  <c r="AD42" i="37"/>
  <c r="S41" i="35" s="1"/>
  <c r="P41" i="35"/>
  <c r="W41" i="39"/>
  <c r="AC42" i="39"/>
  <c r="I13" i="44"/>
  <c r="AD13" i="46"/>
  <c r="J12" i="46"/>
  <c r="AB11" i="36"/>
  <c r="AO45" i="49"/>
  <c r="AV46" i="49"/>
  <c r="K45" i="49"/>
  <c r="P46" i="49"/>
  <c r="M36" i="49"/>
  <c r="P36" i="49" s="1"/>
  <c r="P10" i="49"/>
  <c r="AW10" i="49" s="1"/>
  <c r="AH12" i="43"/>
  <c r="J11" i="43"/>
  <c r="N11" i="44"/>
  <c r="V12" i="46"/>
  <c r="O13" i="44"/>
  <c r="J14" i="35"/>
  <c r="L12" i="37"/>
  <c r="AD13" i="37"/>
  <c r="S74" i="1"/>
  <c r="S122" i="1" s="1"/>
  <c r="X75" i="1"/>
  <c r="P43" i="33"/>
  <c r="I56" i="33"/>
  <c r="AD55" i="36"/>
  <c r="W62" i="43"/>
  <c r="AM41" i="43"/>
  <c r="X41" i="43"/>
  <c r="AJ13" i="43"/>
  <c r="AB12" i="43"/>
  <c r="AL13" i="41"/>
  <c r="AD12" i="41"/>
  <c r="P13" i="4"/>
  <c r="M12" i="4"/>
  <c r="I70" i="34"/>
  <c r="P11" i="34"/>
  <c r="AF75" i="1"/>
  <c r="AA74" i="1"/>
  <c r="Q56" i="41"/>
  <c r="X43" i="41"/>
  <c r="AN43" i="41" s="1"/>
  <c r="AG43" i="41"/>
  <c r="N10" i="38"/>
  <c r="K12" i="35"/>
  <c r="AD11" i="38"/>
  <c r="L11" i="30"/>
  <c r="J13" i="16"/>
  <c r="AD12" i="30"/>
  <c r="W23" i="31"/>
  <c r="AE10" i="31"/>
  <c r="X10" i="31"/>
  <c r="AF10" i="31" s="1"/>
  <c r="N39" i="44"/>
  <c r="J12" i="48"/>
  <c r="AD13" i="48"/>
  <c r="Y26" i="1"/>
  <c r="AF27" i="1"/>
  <c r="P33" i="43"/>
  <c r="AN33" i="43" s="1"/>
  <c r="K41" i="43"/>
  <c r="AI33" i="43"/>
  <c r="X55" i="37"/>
  <c r="P54" i="35" s="1"/>
  <c r="P11" i="35"/>
  <c r="Z55" i="37"/>
  <c r="Q54" i="35" s="1"/>
  <c r="Q11" i="35"/>
  <c r="P13" i="41"/>
  <c r="I12" i="41"/>
  <c r="AG13" i="41"/>
  <c r="Y12" i="43"/>
  <c r="AG13" i="43"/>
  <c r="AF13" i="43"/>
  <c r="AN13" i="43" s="1"/>
  <c r="AC13" i="48"/>
  <c r="I12" i="48"/>
  <c r="R12" i="45"/>
  <c r="R13" i="44"/>
  <c r="Z12" i="41"/>
  <c r="AH13" i="41"/>
  <c r="AI13" i="41"/>
  <c r="S12" i="41"/>
  <c r="X13" i="41"/>
  <c r="AN16" i="41"/>
  <c r="R14" i="35"/>
  <c r="AB12" i="38"/>
  <c r="AB11" i="38" s="1"/>
  <c r="AB10" i="38" s="1"/>
  <c r="AB55" i="38" s="1"/>
  <c r="P12" i="39"/>
  <c r="L14" i="35"/>
  <c r="AD13" i="39"/>
  <c r="P44" i="34"/>
  <c r="K70" i="34"/>
  <c r="X14" i="1"/>
  <c r="Q11" i="1"/>
  <c r="AE74" i="1"/>
  <c r="AE122" i="1" s="1"/>
  <c r="AF113" i="1"/>
  <c r="Q87" i="1"/>
  <c r="X88" i="1"/>
  <c r="AF99" i="1"/>
  <c r="AC87" i="1"/>
  <c r="AK36" i="49"/>
  <c r="AN36" i="49" s="1"/>
  <c r="AN10" i="49"/>
  <c r="S56" i="41"/>
  <c r="AI56" i="41" s="1"/>
  <c r="AI43" i="41"/>
  <c r="L11" i="41"/>
  <c r="AJ12" i="41"/>
  <c r="U55" i="37"/>
  <c r="AC55" i="37" s="1"/>
  <c r="AC10" i="37"/>
  <c r="M55" i="38"/>
  <c r="AC55" i="38" s="1"/>
  <c r="AC10" i="38"/>
  <c r="AD33" i="48"/>
  <c r="S31" i="44" s="1"/>
  <c r="I31" i="44"/>
  <c r="AC10" i="39"/>
  <c r="L41" i="30" l="1"/>
  <c r="J40" i="16" s="1"/>
  <c r="AD11" i="30"/>
  <c r="AD41" i="30" s="1"/>
  <c r="J12" i="16"/>
  <c r="J11" i="46"/>
  <c r="I12" i="44"/>
  <c r="AD12" i="46"/>
  <c r="W55" i="39"/>
  <c r="AC55" i="39" s="1"/>
  <c r="AC41" i="39"/>
  <c r="S11" i="41"/>
  <c r="X12" i="41"/>
  <c r="AI12" i="41"/>
  <c r="P12" i="41"/>
  <c r="AN12" i="41" s="1"/>
  <c r="I11" i="41"/>
  <c r="AG12" i="41"/>
  <c r="J11" i="48"/>
  <c r="AD12" i="48"/>
  <c r="X23" i="31"/>
  <c r="AF23" i="31" s="1"/>
  <c r="AE23" i="31"/>
  <c r="AD11" i="41"/>
  <c r="AL12" i="41"/>
  <c r="AW36" i="49"/>
  <c r="AO71" i="49"/>
  <c r="AV71" i="49" s="1"/>
  <c r="AV45" i="49"/>
  <c r="S13" i="44"/>
  <c r="S12" i="17"/>
  <c r="S13" i="16" s="1"/>
  <c r="N13" i="16"/>
  <c r="N11" i="17"/>
  <c r="Z11" i="41"/>
  <c r="AH12" i="41"/>
  <c r="P41" i="43"/>
  <c r="AI41" i="43"/>
  <c r="Q10" i="1"/>
  <c r="X11" i="1"/>
  <c r="R11" i="45"/>
  <c r="R12" i="44"/>
  <c r="AN13" i="41"/>
  <c r="X56" i="41"/>
  <c r="AN56" i="41" s="1"/>
  <c r="Q57" i="41"/>
  <c r="AG56" i="41"/>
  <c r="P70" i="34"/>
  <c r="AH11" i="43"/>
  <c r="J41" i="43"/>
  <c r="AH41" i="43" s="1"/>
  <c r="AW46" i="49"/>
  <c r="R13" i="35"/>
  <c r="T11" i="39"/>
  <c r="N13" i="35"/>
  <c r="AC74" i="1"/>
  <c r="AF87" i="1"/>
  <c r="P11" i="39"/>
  <c r="AD12" i="39"/>
  <c r="L13" i="35"/>
  <c r="AD12" i="37"/>
  <c r="L11" i="37"/>
  <c r="J13" i="35"/>
  <c r="O10" i="1"/>
  <c r="P26" i="1"/>
  <c r="L41" i="41"/>
  <c r="AJ11" i="41"/>
  <c r="Q74" i="1"/>
  <c r="X74" i="1" s="1"/>
  <c r="X87" i="1"/>
  <c r="I11" i="48"/>
  <c r="AC12" i="48"/>
  <c r="Y11" i="43"/>
  <c r="AF12" i="43"/>
  <c r="AN12" i="43" s="1"/>
  <c r="AG12" i="43"/>
  <c r="AF26" i="1"/>
  <c r="Y10" i="1"/>
  <c r="N55" i="38"/>
  <c r="K11" i="35"/>
  <c r="AD10" i="38"/>
  <c r="AF74" i="1"/>
  <c r="AA122" i="1"/>
  <c r="M11" i="4"/>
  <c r="P12" i="4"/>
  <c r="AB11" i="43"/>
  <c r="AJ12" i="43"/>
  <c r="AM62" i="43"/>
  <c r="X62" i="43"/>
  <c r="AN62" i="43" s="1"/>
  <c r="I57" i="33"/>
  <c r="P57" i="33" s="1"/>
  <c r="P56" i="33"/>
  <c r="S14" i="35"/>
  <c r="O12" i="44"/>
  <c r="V11" i="46"/>
  <c r="K71" i="49"/>
  <c r="P71" i="49" s="1"/>
  <c r="AW71" i="49" s="1"/>
  <c r="P45" i="49"/>
  <c r="AB10" i="36"/>
  <c r="R12" i="35"/>
  <c r="AD41" i="37"/>
  <c r="S40" i="35" s="1"/>
  <c r="P40" i="35"/>
  <c r="AC122" i="1"/>
  <c r="AW45" i="49" l="1"/>
  <c r="P11" i="4"/>
  <c r="M41" i="4"/>
  <c r="I41" i="48"/>
  <c r="AC41" i="48" s="1"/>
  <c r="AC11" i="48"/>
  <c r="L57" i="41"/>
  <c r="AJ57" i="41" s="1"/>
  <c r="AJ41" i="41"/>
  <c r="J12" i="35"/>
  <c r="L10" i="37"/>
  <c r="AD11" i="37"/>
  <c r="P10" i="39"/>
  <c r="L12" i="35"/>
  <c r="AD11" i="39"/>
  <c r="R41" i="45"/>
  <c r="R39" i="44" s="1"/>
  <c r="R11" i="44"/>
  <c r="AD41" i="41"/>
  <c r="AL11" i="41"/>
  <c r="J41" i="48"/>
  <c r="AD41" i="48" s="1"/>
  <c r="AD11" i="48"/>
  <c r="I11" i="44"/>
  <c r="AD11" i="46"/>
  <c r="S11" i="44" s="1"/>
  <c r="J41" i="46"/>
  <c r="K54" i="35"/>
  <c r="AD55" i="38"/>
  <c r="S13" i="35"/>
  <c r="N12" i="35"/>
  <c r="T10" i="39"/>
  <c r="S12" i="44"/>
  <c r="R11" i="35"/>
  <c r="AB55" i="36"/>
  <c r="R54" i="35" s="1"/>
  <c r="N41" i="17"/>
  <c r="S11" i="17"/>
  <c r="S12" i="16" s="1"/>
  <c r="N12" i="16"/>
  <c r="V41" i="46"/>
  <c r="O39" i="44" s="1"/>
  <c r="O11" i="44"/>
  <c r="AB41" i="43"/>
  <c r="AJ41" i="43" s="1"/>
  <c r="AJ11" i="43"/>
  <c r="Y122" i="1"/>
  <c r="AF122" i="1" s="1"/>
  <c r="AF10" i="1"/>
  <c r="Y41" i="43"/>
  <c r="AG11" i="43"/>
  <c r="AF11" i="43"/>
  <c r="AN11" i="43" s="1"/>
  <c r="O122" i="1"/>
  <c r="P122" i="1" s="1"/>
  <c r="P10" i="1"/>
  <c r="X10" i="1"/>
  <c r="Q122" i="1"/>
  <c r="X122" i="1" s="1"/>
  <c r="Z41" i="41"/>
  <c r="AH11" i="41"/>
  <c r="I41" i="41"/>
  <c r="P11" i="41"/>
  <c r="AG11" i="41"/>
  <c r="AI11" i="41"/>
  <c r="S41" i="41"/>
  <c r="X11" i="41"/>
  <c r="AD41" i="46" l="1"/>
  <c r="S39" i="44" s="1"/>
  <c r="I39" i="44"/>
  <c r="P55" i="39"/>
  <c r="AD10" i="39"/>
  <c r="L11" i="35"/>
  <c r="M57" i="4"/>
  <c r="P57" i="4" s="1"/>
  <c r="P41" i="4"/>
  <c r="I57" i="41"/>
  <c r="P41" i="41"/>
  <c r="AG41" i="41"/>
  <c r="AG41" i="43"/>
  <c r="AF41" i="43"/>
  <c r="AN41" i="43" s="1"/>
  <c r="AD57" i="41"/>
  <c r="AL57" i="41" s="1"/>
  <c r="AL41" i="41"/>
  <c r="S12" i="35"/>
  <c r="AN11" i="41"/>
  <c r="AI41" i="41"/>
  <c r="S57" i="41"/>
  <c r="X41" i="41"/>
  <c r="Z57" i="41"/>
  <c r="AH57" i="41" s="1"/>
  <c r="AH41" i="41"/>
  <c r="S41" i="17"/>
  <c r="S40" i="16" s="1"/>
  <c r="N40" i="16"/>
  <c r="T55" i="39"/>
  <c r="N54" i="35" s="1"/>
  <c r="N11" i="35"/>
  <c r="L55" i="37"/>
  <c r="J11" i="35"/>
  <c r="AD10" i="37"/>
  <c r="S11" i="35" s="1"/>
  <c r="AD55" i="39" l="1"/>
  <c r="L54" i="35"/>
  <c r="AD55" i="37"/>
  <c r="S54" i="35" s="1"/>
  <c r="J54" i="35"/>
  <c r="AI57" i="41"/>
  <c r="X57" i="41"/>
  <c r="P57" i="41"/>
  <c r="AN57" i="41" s="1"/>
  <c r="AG57" i="41"/>
  <c r="AN41" i="41"/>
</calcChain>
</file>

<file path=xl/sharedStrings.xml><?xml version="1.0" encoding="utf-8"?>
<sst xmlns="http://schemas.openxmlformats.org/spreadsheetml/2006/main" count="4665" uniqueCount="977">
  <si>
    <t>Particulars</t>
  </si>
  <si>
    <t>110100000000400000</t>
  </si>
  <si>
    <t>Account Code</t>
  </si>
  <si>
    <t>Peso Accounts</t>
  </si>
  <si>
    <t>Foreign Regular</t>
  </si>
  <si>
    <t>In US$</t>
  </si>
  <si>
    <t>Peso Equivalent</t>
  </si>
  <si>
    <t>FCDU/EFCDU</t>
  </si>
  <si>
    <t>Stand-alone</t>
  </si>
  <si>
    <t>1.</t>
  </si>
  <si>
    <t>Interest Rate Contracts</t>
  </si>
  <si>
    <t>a.</t>
  </si>
  <si>
    <t>Interest Rate Forwards</t>
  </si>
  <si>
    <t>a.1</t>
  </si>
  <si>
    <t>Forward Rate Agreement</t>
  </si>
  <si>
    <t>b.</t>
  </si>
  <si>
    <t>Interest Rate Swap</t>
  </si>
  <si>
    <t>b.1</t>
  </si>
  <si>
    <t>Plain Vanilla</t>
  </si>
  <si>
    <t>(1)</t>
  </si>
  <si>
    <t>Fixed Payer</t>
  </si>
  <si>
    <t>(2)</t>
  </si>
  <si>
    <t>Fixed Receiver</t>
  </si>
  <si>
    <t>b.2</t>
  </si>
  <si>
    <t>Basis Swap</t>
  </si>
  <si>
    <t>c.</t>
  </si>
  <si>
    <t>Interest Rate Futures</t>
  </si>
  <si>
    <t>d.1.</t>
  </si>
  <si>
    <t>Over the Counter Interest Rate Options Contracts</t>
  </si>
  <si>
    <t>Bought</t>
  </si>
  <si>
    <t>Sold</t>
  </si>
  <si>
    <t>d.2.</t>
  </si>
  <si>
    <t>Exchange Traded Interest Rate Options Contracts</t>
  </si>
  <si>
    <t>2.</t>
  </si>
  <si>
    <t>Foreign Exchange Contracts</t>
  </si>
  <si>
    <t>(1.a)</t>
  </si>
  <si>
    <t>(1.b)</t>
  </si>
  <si>
    <t>Forward Leg of Swaps</t>
  </si>
  <si>
    <t>(2.a)</t>
  </si>
  <si>
    <t>(2.b)</t>
  </si>
  <si>
    <t>NDF</t>
  </si>
  <si>
    <t>Currency Swap</t>
  </si>
  <si>
    <t>Forward Foreign Currency Buyer</t>
  </si>
  <si>
    <t>Forward Foreign Currency Seller</t>
  </si>
  <si>
    <t>Over the Counter Foreign Exchange Options Contracts</t>
  </si>
  <si>
    <t>Call Option</t>
  </si>
  <si>
    <t>Put Option</t>
  </si>
  <si>
    <t>Exchange Traded Foreign Exchange Options Contracts</t>
  </si>
  <si>
    <t>3.</t>
  </si>
  <si>
    <t>Equity Contracts</t>
  </si>
  <si>
    <t>Forwards</t>
  </si>
  <si>
    <t>Equity Swap</t>
  </si>
  <si>
    <t>Futures</t>
  </si>
  <si>
    <t>Over the Counter Equity Options Contracts</t>
  </si>
  <si>
    <t>Exchange Traded Equity Options Contracts</t>
  </si>
  <si>
    <t>4.</t>
  </si>
  <si>
    <t>Credit Derivatives</t>
  </si>
  <si>
    <t>Bank as Beneficiary</t>
  </si>
  <si>
    <t>CDS Bought</t>
  </si>
  <si>
    <t>TROR Payer</t>
  </si>
  <si>
    <t>(3)</t>
  </si>
  <si>
    <t>Credit Spread Call/Put Option Bought</t>
  </si>
  <si>
    <t>Bank as Guarantor</t>
  </si>
  <si>
    <t>CDS Sold</t>
  </si>
  <si>
    <t>TROR Receiver</t>
  </si>
  <si>
    <t>Credit Spread Call/Put Option Sold</t>
  </si>
  <si>
    <t>Embedded</t>
  </si>
  <si>
    <t>d.</t>
  </si>
  <si>
    <t>Total</t>
  </si>
  <si>
    <t>Notional Amount</t>
  </si>
  <si>
    <t>With Positive Fair Value</t>
  </si>
  <si>
    <t>With Negative Fair Value</t>
  </si>
  <si>
    <t>Fair Value</t>
  </si>
  <si>
    <t>110100000500400000</t>
  </si>
  <si>
    <t>110100000510400000</t>
  </si>
  <si>
    <t>110100000515400000</t>
  </si>
  <si>
    <t>110100000520400000</t>
  </si>
  <si>
    <t>110100000525400000</t>
  </si>
  <si>
    <t>110100000530400000</t>
  </si>
  <si>
    <t>110100000535400000</t>
  </si>
  <si>
    <t>110100000540400000</t>
  </si>
  <si>
    <t>110100000545400000</t>
  </si>
  <si>
    <t>110100000545405000</t>
  </si>
  <si>
    <t>110100000545406000</t>
  </si>
  <si>
    <t>110100000550400000</t>
  </si>
  <si>
    <t>110100000550405000</t>
  </si>
  <si>
    <t>110100000550406000</t>
  </si>
  <si>
    <t>110100001000400000</t>
  </si>
  <si>
    <t>110100001005400000</t>
  </si>
  <si>
    <t>110100001010400000</t>
  </si>
  <si>
    <t>110100001010405000</t>
  </si>
  <si>
    <t>110100001010406000</t>
  </si>
  <si>
    <t>110100001015400000</t>
  </si>
  <si>
    <t>110100001015405000</t>
  </si>
  <si>
    <t>110100001015406000</t>
  </si>
  <si>
    <t>110100001020400000</t>
  </si>
  <si>
    <t>110100001020405000</t>
  </si>
  <si>
    <t>110100001020406000</t>
  </si>
  <si>
    <t>110100001025400000</t>
  </si>
  <si>
    <t>110100001030400000</t>
  </si>
  <si>
    <t>110100001035400000</t>
  </si>
  <si>
    <t>110100001040400000</t>
  </si>
  <si>
    <t>110100001045400000</t>
  </si>
  <si>
    <t>110100001045405000</t>
  </si>
  <si>
    <t>110100001045405500</t>
  </si>
  <si>
    <t>110100001045405600</t>
  </si>
  <si>
    <t>110100001045406000</t>
  </si>
  <si>
    <t>110100001045406500</t>
  </si>
  <si>
    <t>110100001045406600</t>
  </si>
  <si>
    <t>110100001050400000</t>
  </si>
  <si>
    <t>110100001050405000</t>
  </si>
  <si>
    <t>110100001050405500</t>
  </si>
  <si>
    <t>110100001050405600</t>
  </si>
  <si>
    <t>110100001050406000</t>
  </si>
  <si>
    <t>110100001050406500</t>
  </si>
  <si>
    <t>110100001050406600</t>
  </si>
  <si>
    <t>110100001500400000</t>
  </si>
  <si>
    <t>110100001505400000</t>
  </si>
  <si>
    <t>110100001510400000</t>
  </si>
  <si>
    <t>110100001515400000</t>
  </si>
  <si>
    <t>110100001520400000</t>
  </si>
  <si>
    <t>110100001520405000</t>
  </si>
  <si>
    <t>110100001520406000</t>
  </si>
  <si>
    <t>110100001525400000</t>
  </si>
  <si>
    <t>110100001525405000</t>
  </si>
  <si>
    <t>110100001525406000</t>
  </si>
  <si>
    <t>110100002000400000</t>
  </si>
  <si>
    <t>110100002005400000</t>
  </si>
  <si>
    <t>110100002010400000</t>
  </si>
  <si>
    <t>110100002015400000</t>
  </si>
  <si>
    <t>110100002020400000</t>
  </si>
  <si>
    <t>110100002025400000</t>
  </si>
  <si>
    <t>110100002030400000</t>
  </si>
  <si>
    <t>110100002035400000</t>
  </si>
  <si>
    <t>110100002040400000</t>
  </si>
  <si>
    <t>110100000000500000</t>
  </si>
  <si>
    <t>110100000500500000</t>
  </si>
  <si>
    <t>110100000510500000</t>
  </si>
  <si>
    <t>110100000515500000</t>
  </si>
  <si>
    <t>110100000520500000</t>
  </si>
  <si>
    <t>110100000525500000</t>
  </si>
  <si>
    <t>110100000530500000</t>
  </si>
  <si>
    <t>110100000535500000</t>
  </si>
  <si>
    <t>110100000540500000</t>
  </si>
  <si>
    <t>110100000545500000</t>
  </si>
  <si>
    <t>110100000545505000</t>
  </si>
  <si>
    <t>110100000545506000</t>
  </si>
  <si>
    <t>110100001000500000</t>
  </si>
  <si>
    <t>110100001005500000</t>
  </si>
  <si>
    <t>110100001010500000</t>
  </si>
  <si>
    <t>110100001010505000</t>
  </si>
  <si>
    <t>110100001010506000</t>
  </si>
  <si>
    <t>110100001015500000</t>
  </si>
  <si>
    <t>110100001015505000</t>
  </si>
  <si>
    <t>110100001015506000</t>
  </si>
  <si>
    <t>110100001025500000</t>
  </si>
  <si>
    <t>110100001030500000</t>
  </si>
  <si>
    <t>110100001035500000</t>
  </si>
  <si>
    <t>110100001040500000</t>
  </si>
  <si>
    <t>110100001045500000</t>
  </si>
  <si>
    <t>110100001045505000</t>
  </si>
  <si>
    <t>110100001045505500</t>
  </si>
  <si>
    <t>110100001045505600</t>
  </si>
  <si>
    <t>110100001045506000</t>
  </si>
  <si>
    <t>110100001045506500</t>
  </si>
  <si>
    <t>110100001045506600</t>
  </si>
  <si>
    <t>110100001500500000</t>
  </si>
  <si>
    <t>110100001505500000</t>
  </si>
  <si>
    <t>110100001510500000</t>
  </si>
  <si>
    <t>110100001515500000</t>
  </si>
  <si>
    <t>110100001520500000</t>
  </si>
  <si>
    <t>110100001520505000</t>
  </si>
  <si>
    <t>110100001520506000</t>
  </si>
  <si>
    <t>110100002000500000</t>
  </si>
  <si>
    <t>110100002005500000</t>
  </si>
  <si>
    <t>110100002010500000</t>
  </si>
  <si>
    <t>110100002015500000</t>
  </si>
  <si>
    <t>110100002020500000</t>
  </si>
  <si>
    <t>110100002025500000</t>
  </si>
  <si>
    <t>110100002030500000</t>
  </si>
  <si>
    <t>110100002035500000</t>
  </si>
  <si>
    <t>110100002040500000</t>
  </si>
  <si>
    <t>110100000000000000</t>
  </si>
  <si>
    <t>Derivatives Held for Trading</t>
  </si>
  <si>
    <t>$$$</t>
  </si>
  <si>
    <t>Debt Securities</t>
  </si>
  <si>
    <t xml:space="preserve">1. </t>
  </si>
  <si>
    <t>Resident</t>
  </si>
  <si>
    <t>A.</t>
  </si>
  <si>
    <t>National Government</t>
  </si>
  <si>
    <t>LGUs</t>
  </si>
  <si>
    <t>GOCC</t>
  </si>
  <si>
    <t>Social Security Institutions</t>
  </si>
  <si>
    <t xml:space="preserve">Other Financial </t>
  </si>
  <si>
    <t>Non-Financial</t>
  </si>
  <si>
    <t>B.</t>
  </si>
  <si>
    <t>BSP</t>
  </si>
  <si>
    <t>C.</t>
  </si>
  <si>
    <t>Banks</t>
  </si>
  <si>
    <t>UBs/KBs</t>
  </si>
  <si>
    <t>Other Banks</t>
  </si>
  <si>
    <t>D.</t>
  </si>
  <si>
    <t>Private Corporations</t>
  </si>
  <si>
    <t xml:space="preserve">Financial </t>
  </si>
  <si>
    <t>Non-Resident</t>
  </si>
  <si>
    <t>Central Government/Central Banks</t>
  </si>
  <si>
    <t xml:space="preserve">Public Sector Entities </t>
  </si>
  <si>
    <t>OBUs</t>
  </si>
  <si>
    <t>Corporations</t>
  </si>
  <si>
    <t>Multilateral Agencies</t>
  </si>
  <si>
    <t>Subtotal</t>
  </si>
  <si>
    <t>Equity Securities</t>
  </si>
  <si>
    <t>GOCCs</t>
  </si>
  <si>
    <t>Financial Other than SSIs</t>
  </si>
  <si>
    <t xml:space="preserve">2. </t>
  </si>
  <si>
    <t>Additional Information on Debt Securities</t>
  </si>
  <si>
    <t>Data on Utilization of Debt Securities</t>
  </si>
  <si>
    <t xml:space="preserve">A. </t>
  </si>
  <si>
    <t>Reserve and Liquidity Floor Requirement</t>
  </si>
  <si>
    <t xml:space="preserve">B. </t>
  </si>
  <si>
    <t>Guarantee for Trust Duties</t>
  </si>
  <si>
    <t>Debt Securities issued by LGUs to the extent guaranteed by the LGUGC</t>
  </si>
  <si>
    <t>Debt Securities issued by GOCCs to the extent guaranteed by the National Government</t>
  </si>
  <si>
    <t>DLPNs</t>
  </si>
  <si>
    <t>5.</t>
  </si>
  <si>
    <t>Structured Notes</t>
  </si>
  <si>
    <r>
      <t>CLNs</t>
    </r>
    <r>
      <rPr>
        <sz val="8"/>
        <color indexed="10"/>
        <rFont val="Arial"/>
        <family val="2"/>
      </rPr>
      <t xml:space="preserve">* </t>
    </r>
    <r>
      <rPr>
        <sz val="8"/>
        <rFont val="Arial"/>
        <family val="2"/>
      </rPr>
      <t>(Circular No. 417)</t>
    </r>
  </si>
  <si>
    <t>Securitization Structures (Circular No. 468)</t>
  </si>
  <si>
    <t>Others</t>
  </si>
  <si>
    <t>Simple (Circular No. 466)</t>
  </si>
  <si>
    <t>6.</t>
  </si>
  <si>
    <t>Retained Interest in Securitized Assets</t>
  </si>
  <si>
    <t>I-O Strip Receivable</t>
  </si>
  <si>
    <t>Subordinated Retained Interest</t>
  </si>
  <si>
    <t>7.</t>
  </si>
  <si>
    <t>Quoted Loans and Receivables</t>
  </si>
  <si>
    <t>8.</t>
  </si>
  <si>
    <t>115001000000100000</t>
  </si>
  <si>
    <t>115001000000110000</t>
  </si>
  <si>
    <t>115001000000111000</t>
  </si>
  <si>
    <t>115001000000112000</t>
  </si>
  <si>
    <t>115001000000113000</t>
  </si>
  <si>
    <t>115001000000113100</t>
  </si>
  <si>
    <t>115001000000113200</t>
  </si>
  <si>
    <t>115001000000113300</t>
  </si>
  <si>
    <t>115001000000130000</t>
  </si>
  <si>
    <t>115001000000140000</t>
  </si>
  <si>
    <t>115001000000141000</t>
  </si>
  <si>
    <t>115001000000142000</t>
  </si>
  <si>
    <t>115001000000160000</t>
  </si>
  <si>
    <t>115001000000161000</t>
  </si>
  <si>
    <t>115001000000162000</t>
  </si>
  <si>
    <t>115001000000200000</t>
  </si>
  <si>
    <t>115001000000210000</t>
  </si>
  <si>
    <t>115001000000220000</t>
  </si>
  <si>
    <t>115001000000230000</t>
  </si>
  <si>
    <t>115001000000231000</t>
  </si>
  <si>
    <t>115001000000232000</t>
  </si>
  <si>
    <t>115001000000240000</t>
  </si>
  <si>
    <t>115001000000300000</t>
  </si>
  <si>
    <t>115001000000000000</t>
  </si>
  <si>
    <t/>
  </si>
  <si>
    <t>115002000000100000</t>
  </si>
  <si>
    <t>115002000000113000</t>
  </si>
  <si>
    <t>115002000000113500</t>
  </si>
  <si>
    <t>115002000000113300</t>
  </si>
  <si>
    <t>115002000000140000</t>
  </si>
  <si>
    <t>115002000000141000</t>
  </si>
  <si>
    <t>115002000000142000</t>
  </si>
  <si>
    <t>115002000000160000</t>
  </si>
  <si>
    <t>115002000000161000</t>
  </si>
  <si>
    <t>115002000000162000</t>
  </si>
  <si>
    <t>115002000000200000</t>
  </si>
  <si>
    <t>115002000000230000</t>
  </si>
  <si>
    <t>115002000000240000</t>
  </si>
  <si>
    <t>115002000000000000</t>
  </si>
  <si>
    <t>115000000000000000</t>
  </si>
  <si>
    <t>115001001000600000</t>
  </si>
  <si>
    <t>115001001005600000</t>
  </si>
  <si>
    <t>115001001010600000</t>
  </si>
  <si>
    <t>115001001015600000</t>
  </si>
  <si>
    <t>115001001500600000</t>
  </si>
  <si>
    <t>115001002000600000</t>
  </si>
  <si>
    <t>115001002500600000</t>
  </si>
  <si>
    <t>115001003000600000</t>
  </si>
  <si>
    <t>115001003005600000</t>
  </si>
  <si>
    <t>115001003010600000</t>
  </si>
  <si>
    <t>115001003015600000</t>
  </si>
  <si>
    <t>115001003020600000</t>
  </si>
  <si>
    <t>115001003025600000</t>
  </si>
  <si>
    <t>115001003500600000</t>
  </si>
  <si>
    <t>115001003505600000</t>
  </si>
  <si>
    <t>115001003510600000</t>
  </si>
  <si>
    <t>115001004000600000</t>
  </si>
  <si>
    <t>115001004500600000</t>
  </si>
  <si>
    <t>Financial Assets Designated at Fair Value Through Profit or Loss</t>
  </si>
  <si>
    <t>GS Purchased</t>
  </si>
  <si>
    <t>GS Sold under RA with the BSP</t>
  </si>
  <si>
    <t>GS Sold under RA</t>
  </si>
  <si>
    <t>GS Sold under CA/PR</t>
  </si>
  <si>
    <t>GS Lent under SLB</t>
  </si>
  <si>
    <t>DS Purchased</t>
  </si>
  <si>
    <t>DS Sold under RA</t>
  </si>
  <si>
    <t>DS Sold in CA/PR</t>
  </si>
  <si>
    <t>DS Lent under SLB</t>
  </si>
  <si>
    <t>E.</t>
  </si>
  <si>
    <t>Public Sector Entities</t>
  </si>
  <si>
    <t>k</t>
  </si>
  <si>
    <t>&gt;1 year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</si>
  <si>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</si>
  <si>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</si>
  <si>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</si>
  <si>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</si>
  <si>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</si>
  <si>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</si>
  <si>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</si>
  <si>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</si>
  <si>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</si>
  <si>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</si>
  <si>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 xml:space="preserve">Carrying amount of the impaired assets before allowance for credit losses               </t>
  </si>
  <si>
    <t>Specific allowances for individually assessed financial assets</t>
  </si>
  <si>
    <t>Specific allowances for collectively assessed financial assets</t>
  </si>
  <si>
    <t>Coll. &amp; other cred enhancements rcvd as sec. for the rel. impaired &amp; past due assets(annually)</t>
  </si>
  <si>
    <t>Total                                                           ((sum a to g)-h-i)</t>
  </si>
  <si>
    <t>Carrying amount of past due assets before allowance for credit losses</t>
  </si>
  <si>
    <t>Classified as to Status</t>
  </si>
  <si>
    <t>LGU</t>
  </si>
  <si>
    <t>Financial</t>
  </si>
  <si>
    <t>Total
((sum a to g)-h-i)</t>
  </si>
  <si>
    <t>Held to Maturity Financial Assets</t>
  </si>
  <si>
    <t>125001000000100000</t>
  </si>
  <si>
    <t>125001000000110000</t>
  </si>
  <si>
    <t>125001000000111000</t>
  </si>
  <si>
    <t>125001000000112000</t>
  </si>
  <si>
    <t>125001000000113000</t>
  </si>
  <si>
    <t>125001000000113100</t>
  </si>
  <si>
    <t>125001000000113200</t>
  </si>
  <si>
    <t>125001000000113300</t>
  </si>
  <si>
    <t>125001000000130000</t>
  </si>
  <si>
    <t>125001000000140000</t>
  </si>
  <si>
    <t>125001000000141000</t>
  </si>
  <si>
    <t>125001000000142000</t>
  </si>
  <si>
    <t>125001000000160000</t>
  </si>
  <si>
    <t>125001000000161000</t>
  </si>
  <si>
    <t>125001000000162000</t>
  </si>
  <si>
    <t>125001000000200000</t>
  </si>
  <si>
    <t>125001000000210000</t>
  </si>
  <si>
    <t>125001000000220000</t>
  </si>
  <si>
    <t>125001000000230000</t>
  </si>
  <si>
    <t>125001000000231000</t>
  </si>
  <si>
    <t>125001000000232000</t>
  </si>
  <si>
    <t>125001000000240000</t>
  </si>
  <si>
    <t>125001000000300000</t>
  </si>
  <si>
    <t>125001000000000000</t>
  </si>
  <si>
    <t>Amortized Cost</t>
  </si>
  <si>
    <t>Total HTM Securities</t>
  </si>
  <si>
    <t>Total Amount</t>
  </si>
  <si>
    <t>125001000500111000</t>
  </si>
  <si>
    <t>125001001000111000</t>
  </si>
  <si>
    <t>125001001500111000</t>
  </si>
  <si>
    <t>125001002000111000</t>
  </si>
  <si>
    <t>125001002500111000</t>
  </si>
  <si>
    <t>125001000500130000</t>
  </si>
  <si>
    <t>125001001500130000</t>
  </si>
  <si>
    <t>125001002000130000</t>
  </si>
  <si>
    <t>125001002500130000</t>
  </si>
  <si>
    <t>125001003000140000</t>
  </si>
  <si>
    <t>125001003500140000</t>
  </si>
  <si>
    <t>125001004000140000</t>
  </si>
  <si>
    <t>125001004500140000</t>
  </si>
  <si>
    <t>125001003000160000</t>
  </si>
  <si>
    <t>125001003500160000</t>
  </si>
  <si>
    <t>125001004000160000</t>
  </si>
  <si>
    <t>125001004500160000</t>
  </si>
  <si>
    <t>125001000500210000</t>
  </si>
  <si>
    <t>125001001500210000</t>
  </si>
  <si>
    <t>125001002000210000</t>
  </si>
  <si>
    <t>125001002500210000</t>
  </si>
  <si>
    <t>125001003000220000</t>
  </si>
  <si>
    <t>125001003500220000</t>
  </si>
  <si>
    <t>125001004000220000</t>
  </si>
  <si>
    <t>125001004500220000</t>
  </si>
  <si>
    <t>125001003000230000</t>
  </si>
  <si>
    <t>125001003500230000</t>
  </si>
  <si>
    <t>125001004000230000</t>
  </si>
  <si>
    <t>125001004500230000</t>
  </si>
  <si>
    <t>125001003000240000</t>
  </si>
  <si>
    <t>125001003500240000</t>
  </si>
  <si>
    <t>125001004000240000</t>
  </si>
  <si>
    <t>125001004500240000</t>
  </si>
  <si>
    <t>Collateral &amp; other credit enhancements received as security for the related impaired &amp; past due assets (annually)</t>
  </si>
  <si>
    <t>Foreign Offices</t>
  </si>
  <si>
    <t>TOTAL</t>
  </si>
  <si>
    <t xml:space="preserve">Investment in Non-Marketable Equity Securities </t>
  </si>
  <si>
    <t>Cost</t>
  </si>
  <si>
    <t>Allowance for Credit Losses</t>
  </si>
  <si>
    <t>Net Carrying Amount</t>
  </si>
  <si>
    <t>Foreign Office</t>
  </si>
  <si>
    <t>135000000000100000</t>
  </si>
  <si>
    <t>135000000000113000</t>
  </si>
  <si>
    <t xml:space="preserve">Financial Other than SSIs </t>
  </si>
  <si>
    <t>135000000000113500</t>
  </si>
  <si>
    <t>135000000000113300</t>
  </si>
  <si>
    <t>135000000000140000</t>
  </si>
  <si>
    <t>135000000000141000</t>
  </si>
  <si>
    <t>135000000000142000</t>
  </si>
  <si>
    <t>135000000000160000</t>
  </si>
  <si>
    <t>135000000000161000</t>
  </si>
  <si>
    <t>135000000000162000</t>
  </si>
  <si>
    <t>135000000000200000</t>
  </si>
  <si>
    <t>135000000000230000</t>
  </si>
  <si>
    <t>135000000000240000</t>
  </si>
  <si>
    <t>135000000000000000</t>
  </si>
  <si>
    <t>(Net Carrying Amount)</t>
  </si>
  <si>
    <t>Sequence No.</t>
  </si>
  <si>
    <t>Investment in Debt Securities Issued by LGUs1/</t>
  </si>
  <si>
    <t>Held for Trading</t>
  </si>
  <si>
    <t>Designated at Fair Value through Profit &amp; Loss</t>
  </si>
  <si>
    <t>Available for Sale</t>
  </si>
  <si>
    <t>Unquoted Debt Securities Classified as Loans</t>
  </si>
  <si>
    <t xml:space="preserve">Provincial </t>
  </si>
  <si>
    <t>100000000000002100</t>
  </si>
  <si>
    <t>-</t>
  </si>
  <si>
    <t>City</t>
  </si>
  <si>
    <t>100000000000002200</t>
  </si>
  <si>
    <t>Municipal</t>
  </si>
  <si>
    <t>100000000000002300</t>
  </si>
  <si>
    <t>100000000000002000</t>
  </si>
  <si>
    <t xml:space="preserve">Financial Assets Held for Trading </t>
  </si>
  <si>
    <t>110051000000100000</t>
  </si>
  <si>
    <t>110051000000110000</t>
  </si>
  <si>
    <t>110051000000111000</t>
  </si>
  <si>
    <t>110051000000112000</t>
  </si>
  <si>
    <t>110051000000113000</t>
  </si>
  <si>
    <t>110051000000113100</t>
  </si>
  <si>
    <t>110051000000113200</t>
  </si>
  <si>
    <t>110051000000113300</t>
  </si>
  <si>
    <t>110051000000130000</t>
  </si>
  <si>
    <t>110051000000140000</t>
  </si>
  <si>
    <t>110051000000141000</t>
  </si>
  <si>
    <t>110051000000142000</t>
  </si>
  <si>
    <t>110051000000160000</t>
  </si>
  <si>
    <t>110051000000161000</t>
  </si>
  <si>
    <t>110051000000162000</t>
  </si>
  <si>
    <t>110051000000200000</t>
  </si>
  <si>
    <t>110051000000210000</t>
  </si>
  <si>
    <t>110051000000220000</t>
  </si>
  <si>
    <t>110051000000230000</t>
  </si>
  <si>
    <t>110051000000231000</t>
  </si>
  <si>
    <t>110051000000232000</t>
  </si>
  <si>
    <t>110051000000240000</t>
  </si>
  <si>
    <t>110051000000300000</t>
  </si>
  <si>
    <t>110051000000000000</t>
  </si>
  <si>
    <t>110052000000100000</t>
  </si>
  <si>
    <t>110052000000113000</t>
  </si>
  <si>
    <t>110052000000113500</t>
  </si>
  <si>
    <t>110052000000113300</t>
  </si>
  <si>
    <t>110052000000140000</t>
  </si>
  <si>
    <t>110052000000141000</t>
  </si>
  <si>
    <t>110052000000142000</t>
  </si>
  <si>
    <t>110052000000160000</t>
  </si>
  <si>
    <t>110052000000161000</t>
  </si>
  <si>
    <t>110052000000162000</t>
  </si>
  <si>
    <t>110052000000200000</t>
  </si>
  <si>
    <t>110052000000230000</t>
  </si>
  <si>
    <t>110052000000240000</t>
  </si>
  <si>
    <t>110052000000000000</t>
  </si>
  <si>
    <t>110050000000000000</t>
  </si>
  <si>
    <t>110051001000600000</t>
  </si>
  <si>
    <t>110051001005600000</t>
  </si>
  <si>
    <t>110051001010600000</t>
  </si>
  <si>
    <t>110051001015600000</t>
  </si>
  <si>
    <t>110051001500600000</t>
  </si>
  <si>
    <t>110051002000600000</t>
  </si>
  <si>
    <t>110051002500600000</t>
  </si>
  <si>
    <t>110051003000600000</t>
  </si>
  <si>
    <t>110051003005600000</t>
  </si>
  <si>
    <t>110051003010600000</t>
  </si>
  <si>
    <t>110051003015600000</t>
  </si>
  <si>
    <t>110051003020600000</t>
  </si>
  <si>
    <t>110051003025600000</t>
  </si>
  <si>
    <t>110051003500600000</t>
  </si>
  <si>
    <t>110051003505600000</t>
  </si>
  <si>
    <t>110051003510600000</t>
  </si>
  <si>
    <t>110051004000600000</t>
  </si>
  <si>
    <t>110051004500600000</t>
  </si>
  <si>
    <t>110051000500111000</t>
  </si>
  <si>
    <t>110051001000111000</t>
  </si>
  <si>
    <t>110051001500111000</t>
  </si>
  <si>
    <t>110051002000111000</t>
  </si>
  <si>
    <t>110051002500111000</t>
  </si>
  <si>
    <t>110051000500130000</t>
  </si>
  <si>
    <t>110051001500130000</t>
  </si>
  <si>
    <t>110051002000130000</t>
  </si>
  <si>
    <t>110051002500130000</t>
  </si>
  <si>
    <t>110051003000140000</t>
  </si>
  <si>
    <t>110051003500140000</t>
  </si>
  <si>
    <t>110051004000140000</t>
  </si>
  <si>
    <t>110051004500140000</t>
  </si>
  <si>
    <t>110051003000160000</t>
  </si>
  <si>
    <t>110051003500160000</t>
  </si>
  <si>
    <t>110051004000160000</t>
  </si>
  <si>
    <t>110051004500160000</t>
  </si>
  <si>
    <t>110051000500210000</t>
  </si>
  <si>
    <t>110051001500210000</t>
  </si>
  <si>
    <t>110051002000210000</t>
  </si>
  <si>
    <t>110051002500210000</t>
  </si>
  <si>
    <t>110051003000220000</t>
  </si>
  <si>
    <t>110051003500220000</t>
  </si>
  <si>
    <t>110051004000220000</t>
  </si>
  <si>
    <t>110051004500220000</t>
  </si>
  <si>
    <t>110051003000230000</t>
  </si>
  <si>
    <t>110051003500230000</t>
  </si>
  <si>
    <t>110051004000230000</t>
  </si>
  <si>
    <t>110051004500230000</t>
  </si>
  <si>
    <t>110051003000240000</t>
  </si>
  <si>
    <t>110051003500240000</t>
  </si>
  <si>
    <t>110051004000240000</t>
  </si>
  <si>
    <t>110051004500240000</t>
  </si>
  <si>
    <t>Available-for-Sale Financial Assets</t>
  </si>
  <si>
    <t>120001000000000000</t>
  </si>
  <si>
    <t>120001000000100000</t>
  </si>
  <si>
    <t>120001000000110000</t>
  </si>
  <si>
    <t>120001000000111000</t>
  </si>
  <si>
    <t>120001000000112000</t>
  </si>
  <si>
    <t>120001000000113000</t>
  </si>
  <si>
    <t>120001000000113100</t>
  </si>
  <si>
    <t>Other Financial</t>
  </si>
  <si>
    <t>120001000000113200</t>
  </si>
  <si>
    <t>120001000000113300</t>
  </si>
  <si>
    <t>120001000000130000</t>
  </si>
  <si>
    <t>120001000000140000</t>
  </si>
  <si>
    <t>120001000000141000</t>
  </si>
  <si>
    <t>120001000000142000</t>
  </si>
  <si>
    <t>120001000000160000</t>
  </si>
  <si>
    <t>120001000000161000</t>
  </si>
  <si>
    <t>120001000000162000</t>
  </si>
  <si>
    <t>120001000000200000</t>
  </si>
  <si>
    <t>120001000000210000</t>
  </si>
  <si>
    <t>120001000000220000</t>
  </si>
  <si>
    <t>120001000000230000</t>
  </si>
  <si>
    <t>120001000000231000</t>
  </si>
  <si>
    <t>120001000000232000</t>
  </si>
  <si>
    <t>120001000000240000</t>
  </si>
  <si>
    <t>120001000000300000</t>
  </si>
  <si>
    <t>120002000000000000</t>
  </si>
  <si>
    <t>120002000000100000</t>
  </si>
  <si>
    <t>120002000000113000</t>
  </si>
  <si>
    <t>120002000000113500</t>
  </si>
  <si>
    <t>120002000000113300</t>
  </si>
  <si>
    <t>120002000000140000</t>
  </si>
  <si>
    <t>120002000000141000</t>
  </si>
  <si>
    <t>120002000000142000</t>
  </si>
  <si>
    <t>120002000000160000</t>
  </si>
  <si>
    <t>120002000000161000</t>
  </si>
  <si>
    <t>120002000000162000</t>
  </si>
  <si>
    <t>120002000000200000</t>
  </si>
  <si>
    <t>120002000000230000</t>
  </si>
  <si>
    <t>120002000000240000</t>
  </si>
  <si>
    <t>Total AFS Securities</t>
  </si>
  <si>
    <t>120000000000000000</t>
  </si>
  <si>
    <t>(a)</t>
  </si>
  <si>
    <t>(b)</t>
  </si>
  <si>
    <t>(c)</t>
  </si>
  <si>
    <t>Fair Value Adj. (for hedged items only)</t>
  </si>
  <si>
    <t>125001001000600000</t>
  </si>
  <si>
    <t>125001001005600000</t>
  </si>
  <si>
    <t>125001001010600000</t>
  </si>
  <si>
    <t>125001001015600000</t>
  </si>
  <si>
    <t>125001001500600000</t>
  </si>
  <si>
    <t>125001002000600000</t>
  </si>
  <si>
    <t>125001002500600000</t>
  </si>
  <si>
    <t>125001003000600000</t>
  </si>
  <si>
    <t>125001003010600000</t>
  </si>
  <si>
    <t>125001003015600000</t>
  </si>
  <si>
    <t>125001003020600000</t>
  </si>
  <si>
    <t>125001003025600000</t>
  </si>
  <si>
    <t>125001003500600000</t>
  </si>
  <si>
    <t>125001003505600000</t>
  </si>
  <si>
    <t>125001003510600000</t>
  </si>
  <si>
    <t>125001004000600000</t>
  </si>
  <si>
    <t>Redeemable Preferred Shares (booked as debt securities)</t>
  </si>
  <si>
    <t>125001004500600000</t>
  </si>
  <si>
    <t>9.</t>
  </si>
  <si>
    <t>Hedged Items</t>
  </si>
  <si>
    <t>125001005500600000</t>
  </si>
  <si>
    <t>10.</t>
  </si>
  <si>
    <t>Readily Marketable</t>
  </si>
  <si>
    <t>125001018000600000</t>
  </si>
  <si>
    <t>Not Readily Marketable</t>
  </si>
  <si>
    <t>125001018500600000</t>
  </si>
  <si>
    <t>11.</t>
  </si>
  <si>
    <t>Classified as to Original Term</t>
  </si>
  <si>
    <t>125001000000610000</t>
  </si>
  <si>
    <t>Short Term (one year or less)</t>
  </si>
  <si>
    <t>125001000000611000</t>
  </si>
  <si>
    <t>Medium Term (&gt;1 year to 5 years)</t>
  </si>
  <si>
    <t>125001000000612100</t>
  </si>
  <si>
    <t>Long Term (&gt;5  years)</t>
  </si>
  <si>
    <t>125001000000612200</t>
  </si>
  <si>
    <t>Forward Foreign Exchange Contracts</t>
  </si>
  <si>
    <t>Outright Forwards</t>
  </si>
  <si>
    <t>Foreign Exchange Futures</t>
  </si>
  <si>
    <t>Amortized Cost/ Cost</t>
  </si>
  <si>
    <t>Accumulated Gains/(Losses) from MTM</t>
  </si>
  <si>
    <t>120001001000600000</t>
  </si>
  <si>
    <t>120001001005600000</t>
  </si>
  <si>
    <t>120001001010600000</t>
  </si>
  <si>
    <t>120001001015600000</t>
  </si>
  <si>
    <t>120001001500600000</t>
  </si>
  <si>
    <t>120001002000600000</t>
  </si>
  <si>
    <t>120001002500600000</t>
  </si>
  <si>
    <t>120001003000600000</t>
  </si>
  <si>
    <t>CLNs* (Circular No. 417)</t>
  </si>
  <si>
    <t>120001003005600000</t>
  </si>
  <si>
    <t>120001003010600000</t>
  </si>
  <si>
    <t>120001003015600000</t>
  </si>
  <si>
    <t>120001003020600000</t>
  </si>
  <si>
    <t>120001003025600000</t>
  </si>
  <si>
    <t>120001003500600000</t>
  </si>
  <si>
    <t>120001003505600000</t>
  </si>
  <si>
    <t>120001003510600000</t>
  </si>
  <si>
    <t>120001004000600000</t>
  </si>
  <si>
    <t>120001004500600000</t>
  </si>
  <si>
    <t>Underwritten Debt Securities</t>
  </si>
  <si>
    <t>120001005000600000</t>
  </si>
  <si>
    <t>120001005500600000</t>
  </si>
  <si>
    <t>120001018000600000</t>
  </si>
  <si>
    <t>Not-Readily Marketable</t>
  </si>
  <si>
    <t>120001018500600000</t>
  </si>
  <si>
    <t>12.</t>
  </si>
  <si>
    <t>120001000000610000</t>
  </si>
  <si>
    <t>120001000000611000</t>
  </si>
  <si>
    <t>120001000000612100</t>
  </si>
  <si>
    <t>120001000000612200</t>
  </si>
  <si>
    <t>Additional Information on Equity Securities</t>
  </si>
  <si>
    <t>Underwritten Equity Securities</t>
  </si>
  <si>
    <t>120002006000600000</t>
  </si>
  <si>
    <t>120002005500600000</t>
  </si>
  <si>
    <t>120001000500111000</t>
  </si>
  <si>
    <t>120001001000111000</t>
  </si>
  <si>
    <t>120001001500111000</t>
  </si>
  <si>
    <t>120001002000111000</t>
  </si>
  <si>
    <t>120001002500111000</t>
  </si>
  <si>
    <t>120001000500130000</t>
  </si>
  <si>
    <t>120001001500130000</t>
  </si>
  <si>
    <t>120001002000130000</t>
  </si>
  <si>
    <t>120001002500130000</t>
  </si>
  <si>
    <t>120001003000140000</t>
  </si>
  <si>
    <t>120001003500140000</t>
  </si>
  <si>
    <t>120001004000140000</t>
  </si>
  <si>
    <t>120001004500140000</t>
  </si>
  <si>
    <t>120001003000160000</t>
  </si>
  <si>
    <t>120001003500160000</t>
  </si>
  <si>
    <t>120001004000160000</t>
  </si>
  <si>
    <t>120001004500160000</t>
  </si>
  <si>
    <t>120001000500210000</t>
  </si>
  <si>
    <t>120001001500210000</t>
  </si>
  <si>
    <t>120001002000210000</t>
  </si>
  <si>
    <t>120001002500210000</t>
  </si>
  <si>
    <t>120001003000220000</t>
  </si>
  <si>
    <t>120001003500220000</t>
  </si>
  <si>
    <t>120001004000220000</t>
  </si>
  <si>
    <t>120001004500220000</t>
  </si>
  <si>
    <t>120001003000230000</t>
  </si>
  <si>
    <t>120001003500230000</t>
  </si>
  <si>
    <t>120001004000230000</t>
  </si>
  <si>
    <t>120001004500230000</t>
  </si>
  <si>
    <t>120001003000240000</t>
  </si>
  <si>
    <t>120001003500240000</t>
  </si>
  <si>
    <t>120001004000240000</t>
  </si>
  <si>
    <t>120001004500240000</t>
  </si>
  <si>
    <t>130001000000100000</t>
  </si>
  <si>
    <t>130001000000110000</t>
  </si>
  <si>
    <t>130001000000111000</t>
  </si>
  <si>
    <t>130001000000112000</t>
  </si>
  <si>
    <t>130001000000113000</t>
  </si>
  <si>
    <t>130001000000113100</t>
  </si>
  <si>
    <t>130001000000113200</t>
  </si>
  <si>
    <t>130001000000113300</t>
  </si>
  <si>
    <t>130001000000130000</t>
  </si>
  <si>
    <t>130001000000140000</t>
  </si>
  <si>
    <t>130001000000141000</t>
  </si>
  <si>
    <t>130001000000142000</t>
  </si>
  <si>
    <t>130001000000160000</t>
  </si>
  <si>
    <t>130001000000161000</t>
  </si>
  <si>
    <t>130001000000162000</t>
  </si>
  <si>
    <t>130001000000200000</t>
  </si>
  <si>
    <t>130001000000210000</t>
  </si>
  <si>
    <t>130001000000220000</t>
  </si>
  <si>
    <t>130001000000230000</t>
  </si>
  <si>
    <t>130001000000231000</t>
  </si>
  <si>
    <t>130001000000232000</t>
  </si>
  <si>
    <t>130001000000240000</t>
  </si>
  <si>
    <t>130001000000300000</t>
  </si>
  <si>
    <t>130001000000000000</t>
  </si>
  <si>
    <t>130001001000600000</t>
  </si>
  <si>
    <t>130001001005600000</t>
  </si>
  <si>
    <t>130001001010600000</t>
  </si>
  <si>
    <t>130001001015600000</t>
  </si>
  <si>
    <t>130001001500600000</t>
  </si>
  <si>
    <t>130001002000600000</t>
  </si>
  <si>
    <t>130001002500600000</t>
  </si>
  <si>
    <t>130001003000600000</t>
  </si>
  <si>
    <t>130001003010600000</t>
  </si>
  <si>
    <t>130001003015600000</t>
  </si>
  <si>
    <t>130001003020600000</t>
  </si>
  <si>
    <t>130001003025600000</t>
  </si>
  <si>
    <t>130001003500600000</t>
  </si>
  <si>
    <t>130001003505600000</t>
  </si>
  <si>
    <t>130001003510600000</t>
  </si>
  <si>
    <t>130001004500600000</t>
  </si>
  <si>
    <t>130001005500600000</t>
  </si>
  <si>
    <t>130001018000600000</t>
  </si>
  <si>
    <t>130001018500600000</t>
  </si>
  <si>
    <t>130001000000610000</t>
  </si>
  <si>
    <t>130001000000611000</t>
  </si>
  <si>
    <t>130001000000612100</t>
  </si>
  <si>
    <t>130001000000612200</t>
  </si>
  <si>
    <t>Matrix of Counterparty and Type of Derivative Contracts</t>
  </si>
  <si>
    <t>Derivatives with Positive Fair Value</t>
  </si>
  <si>
    <t>Type of Derivative Contracts</t>
  </si>
  <si>
    <t>Counterparty</t>
  </si>
  <si>
    <t>Swaps</t>
  </si>
  <si>
    <t>Options</t>
  </si>
  <si>
    <t>Peso Accts</t>
  </si>
  <si>
    <t>In US $</t>
  </si>
  <si>
    <t>Peso Equiv.</t>
  </si>
  <si>
    <t>Derivatives with Negative Fair Value</t>
  </si>
  <si>
    <t>110100000000100000</t>
  </si>
  <si>
    <t>110100000000110000</t>
  </si>
  <si>
    <t>110100000000111000</t>
  </si>
  <si>
    <t>110100000000112000</t>
  </si>
  <si>
    <t>110100000000113000</t>
  </si>
  <si>
    <t>110100000000113100</t>
  </si>
  <si>
    <t>110100000000113200</t>
  </si>
  <si>
    <t>110100000000113300</t>
  </si>
  <si>
    <t>110100000000130000</t>
  </si>
  <si>
    <t>110100000000140000</t>
  </si>
  <si>
    <t>110100000000141000</t>
  </si>
  <si>
    <t>110100000000142000</t>
  </si>
  <si>
    <t>110100000000160000</t>
  </si>
  <si>
    <t>110100000000161000</t>
  </si>
  <si>
    <t>110100000000162000</t>
  </si>
  <si>
    <t>110100000000200000</t>
  </si>
  <si>
    <t>110100000000210000</t>
  </si>
  <si>
    <t>110100000000220000</t>
  </si>
  <si>
    <t>110100000000230000</t>
  </si>
  <si>
    <t>110100000000231000</t>
  </si>
  <si>
    <t>110100000000232000</t>
  </si>
  <si>
    <t>110100000000240000</t>
  </si>
  <si>
    <t>_a</t>
  </si>
  <si>
    <t>_b</t>
  </si>
  <si>
    <t>_c</t>
  </si>
  <si>
    <t>*For details of investment in CLNs, refer to Schedule A of the CAR Report.</t>
  </si>
  <si>
    <t>Carrying amount of unimpaired assets before allowance for credit losses</t>
  </si>
  <si>
    <t>205050000000100000</t>
  </si>
  <si>
    <t>205050000000110000</t>
  </si>
  <si>
    <t>205050000000111000</t>
  </si>
  <si>
    <t>205050000000112000</t>
  </si>
  <si>
    <t>205050000000113000</t>
  </si>
  <si>
    <t>205050000000113100</t>
  </si>
  <si>
    <t>205050000000113200</t>
  </si>
  <si>
    <t>205050000000113300</t>
  </si>
  <si>
    <t>205050000000130000</t>
  </si>
  <si>
    <t>205050000000140000</t>
  </si>
  <si>
    <t>205050000000141000</t>
  </si>
  <si>
    <t>205050000000142000</t>
  </si>
  <si>
    <t>205050000000160000</t>
  </si>
  <si>
    <t>205050000000161000</t>
  </si>
  <si>
    <t>205050000000162000</t>
  </si>
  <si>
    <t>205050000000200000</t>
  </si>
  <si>
    <t>205050000000210000</t>
  </si>
  <si>
    <t>205050000000220000</t>
  </si>
  <si>
    <t>205050000000230000</t>
  </si>
  <si>
    <t>205050000000231000</t>
  </si>
  <si>
    <t>205050000000232000</t>
  </si>
  <si>
    <t>205050000000240000</t>
  </si>
  <si>
    <t>205050000000000000</t>
  </si>
  <si>
    <t>≤ 30 Days</t>
  </si>
  <si>
    <t>&gt; 30 days ≤ 90 days</t>
  </si>
  <si>
    <t>&gt; 90 days ≤ 180 days</t>
  </si>
  <si>
    <t>&gt;180 days ≤ 1 year</t>
  </si>
  <si>
    <r>
      <t>1/</t>
    </r>
    <r>
      <rPr>
        <sz val="8"/>
        <rFont val="Arial"/>
        <family val="2"/>
      </rPr>
      <t>Should tally with investment in debt securities issued by LGUs under HFT, DFVPL, AFS, HTM and Unquoted Debt Securities classified as Loans categories</t>
    </r>
  </si>
  <si>
    <t>Solo Reports</t>
  </si>
  <si>
    <t>Held to Maturity</t>
  </si>
  <si>
    <t>110100000505400000</t>
  </si>
  <si>
    <t>110100000505500000</t>
  </si>
  <si>
    <t>Government</t>
  </si>
  <si>
    <t>Treasury Bills</t>
  </si>
  <si>
    <t>Treasury Bonds</t>
  </si>
  <si>
    <t>Others (Specify e.g. Retail Bonds)</t>
  </si>
  <si>
    <t>NBQBs</t>
  </si>
  <si>
    <t xml:space="preserve">Others </t>
  </si>
  <si>
    <t>Equity Securities Acquired in Settlement of Loans</t>
  </si>
  <si>
    <t>Breakdown of Available for Sale Financial Assets Purchased/Sold/Lent Under Repurchase Agreements, Certificates of Assignment/Participation with Recourse, Securities Lending and Borrowing Agreements</t>
  </si>
  <si>
    <t>Breakdown of Held to Maturity Financial Assets Purchased/Sold/Lent Under Repurchase Agreements, Certificates of Assignment/Participation with Recourse, Securities Lending and Borrowing Agreements</t>
  </si>
  <si>
    <t>Breakdown of Held for Trading Financial Assets Purchased/Sold/Lent Under Repurchase Agreements, Certificates of Assignment/Participation with Recourse, Securities Lending and Borrowing Agreements</t>
  </si>
  <si>
    <t>110051000000111100</t>
  </si>
  <si>
    <t>110051000000111200</t>
  </si>
  <si>
    <t>110051000000111300</t>
  </si>
  <si>
    <t>110051000000161100</t>
  </si>
  <si>
    <t>110051000000161200</t>
  </si>
  <si>
    <t>110052001000600000</t>
  </si>
  <si>
    <t>110100000000161100</t>
  </si>
  <si>
    <t>110100000000161200</t>
  </si>
  <si>
    <t>205050000000161100</t>
  </si>
  <si>
    <t>205050000000161200</t>
  </si>
  <si>
    <t>115001000000111100</t>
  </si>
  <si>
    <t>115001000000111200</t>
  </si>
  <si>
    <t>115001000000111300</t>
  </si>
  <si>
    <t>115001000000161100</t>
  </si>
  <si>
    <t>115001000000161200</t>
  </si>
  <si>
    <t>115001018000600000</t>
  </si>
  <si>
    <t>115001018500600000</t>
  </si>
  <si>
    <t xml:space="preserve">Equity Securities Acquired in Settlement of Loans </t>
  </si>
  <si>
    <t>115002001000600000</t>
  </si>
  <si>
    <t>120001000000111100</t>
  </si>
  <si>
    <t>120001000000111200</t>
  </si>
  <si>
    <t>120001000000111300</t>
  </si>
  <si>
    <t>120001000000161100</t>
  </si>
  <si>
    <t>120001000000161200</t>
  </si>
  <si>
    <t>120002006500600000</t>
  </si>
  <si>
    <t xml:space="preserve">Government </t>
  </si>
  <si>
    <t>125001000000111100</t>
  </si>
  <si>
    <t>125001000000111200</t>
  </si>
  <si>
    <t>125001000000111300</t>
  </si>
  <si>
    <t>125001000000161100</t>
  </si>
  <si>
    <t>125001000000161200</t>
  </si>
  <si>
    <t>130001000000111100</t>
  </si>
  <si>
    <t>130001000000111200</t>
  </si>
  <si>
    <t>130001000000111300</t>
  </si>
  <si>
    <t>130001000000161100</t>
  </si>
  <si>
    <t>130001000000161200</t>
  </si>
  <si>
    <t>Additional Information</t>
  </si>
  <si>
    <t>135052001000600000</t>
  </si>
  <si>
    <t>Loans and Receivables-Others Granted to LGUs</t>
  </si>
  <si>
    <t xml:space="preserve">GOCC </t>
  </si>
  <si>
    <t>110051000500113000</t>
  </si>
  <si>
    <t>110051001500113000</t>
  </si>
  <si>
    <t>110051002000113000</t>
  </si>
  <si>
    <t>110051002500113000</t>
  </si>
  <si>
    <t>110051000500112000</t>
  </si>
  <si>
    <t>110051001000112000</t>
  </si>
  <si>
    <t>110051001500112000</t>
  </si>
  <si>
    <t>110051002000112000</t>
  </si>
  <si>
    <t>110051002500112000</t>
  </si>
  <si>
    <t>110051003000300000</t>
  </si>
  <si>
    <t>110051003500300000</t>
  </si>
  <si>
    <t>110051004000300000</t>
  </si>
  <si>
    <t>110051004500300000</t>
  </si>
  <si>
    <t>(3.a)</t>
  </si>
  <si>
    <t>(3.b)</t>
  </si>
  <si>
    <t>115001005500600000</t>
  </si>
  <si>
    <t>115001000000610000</t>
  </si>
  <si>
    <t>115001000000611000</t>
  </si>
  <si>
    <t>115001000000612100</t>
  </si>
  <si>
    <t>115001000000612200</t>
  </si>
  <si>
    <t>120001000500112000</t>
  </si>
  <si>
    <t>120001001000112000</t>
  </si>
  <si>
    <t>120001001500112000</t>
  </si>
  <si>
    <t>120001002000112000</t>
  </si>
  <si>
    <t>120001002500112000</t>
  </si>
  <si>
    <t>120001000500113000</t>
  </si>
  <si>
    <t>120001001500113000</t>
  </si>
  <si>
    <t>120001002000113000</t>
  </si>
  <si>
    <t>120001002500113000</t>
  </si>
  <si>
    <t>F.</t>
  </si>
  <si>
    <t>120001003000300000</t>
  </si>
  <si>
    <t>120001003500300000</t>
  </si>
  <si>
    <t>120001004000300000</t>
  </si>
  <si>
    <t>120001004500300000</t>
  </si>
  <si>
    <t>125001000500112000</t>
  </si>
  <si>
    <t>125001001000112000</t>
  </si>
  <si>
    <t>125001001500112000</t>
  </si>
  <si>
    <t>125001002000112000</t>
  </si>
  <si>
    <t>125001002500112000</t>
  </si>
  <si>
    <t>125001000500113000</t>
  </si>
  <si>
    <t>125001001500113000</t>
  </si>
  <si>
    <t>125001002000113000</t>
  </si>
  <si>
    <t>125001002500113000</t>
  </si>
  <si>
    <t>125001003000300000</t>
  </si>
  <si>
    <t>125001003500300000</t>
  </si>
  <si>
    <t>125001004000300000</t>
  </si>
  <si>
    <t>125001004500300000</t>
  </si>
  <si>
    <t>130001019000600000</t>
  </si>
  <si>
    <t xml:space="preserve">1.  </t>
  </si>
  <si>
    <t>x</t>
  </si>
  <si>
    <t>Individuals</t>
  </si>
  <si>
    <t>110100000000170000</t>
  </si>
  <si>
    <t>110100000000250000</t>
  </si>
  <si>
    <t>205050000000170000</t>
  </si>
  <si>
    <t>205050000000250000</t>
  </si>
  <si>
    <t>ALLIED SAVINGS BANK</t>
  </si>
  <si>
    <t>ASIATRUST DEV BANK</t>
  </si>
  <si>
    <t>BANK ONE SAVINGS AND TRUST CORP.</t>
  </si>
  <si>
    <t>BATAAN DEVELOPMENT BANK</t>
  </si>
  <si>
    <t>CITIBANK SAVINGS INC</t>
  </si>
  <si>
    <t>CITYSTATE SAVINGS BANK INC</t>
  </si>
  <si>
    <t>CORDILLERA SAVINGS BANK INC</t>
  </si>
  <si>
    <t>FARMERS SAVINGS &amp; LOAN BANK INC</t>
  </si>
  <si>
    <t>FIRST CONSOLIDATED BANK INC (A PDB)</t>
  </si>
  <si>
    <t>HSBC SAVINGS BANK(PHILS) INC</t>
  </si>
  <si>
    <t>ILOILO CITY DEVELOPMENT BANK</t>
  </si>
  <si>
    <t>INTER-ASIA DEVELOPMENT BANK</t>
  </si>
  <si>
    <t>ISLA BANK(A THRIFT BANK) INC</t>
  </si>
  <si>
    <t>LEGAZPI SAVINGS BANK INC</t>
  </si>
  <si>
    <t>LEMERY SAVINGS &amp; LOAN BANK, INC.</t>
  </si>
  <si>
    <t>LIBERTY SAVINGS BANK INC</t>
  </si>
  <si>
    <t>LIFE SAVINGS BANK INC</t>
  </si>
  <si>
    <t>LUZON DEVELOPMENT BANK</t>
  </si>
  <si>
    <t>MALASIQUI PROGRESSIVE SLB, INC</t>
  </si>
  <si>
    <t>MERCHANTS SAVINGS &amp; LOAN ASSN INC</t>
  </si>
  <si>
    <t>METRO CEBU PUBLIC SAVINGS BANK</t>
  </si>
  <si>
    <t>NORTHPOINT DEV'T BANK INC</t>
  </si>
  <si>
    <t>PAMPANGA DEVELOPMENT BANK</t>
  </si>
  <si>
    <t>PHIL SAVINGS BANK</t>
  </si>
  <si>
    <t>PLANTERS DEVELOPMENT BANK</t>
  </si>
  <si>
    <t>RCBC SAVINGS BANK INC</t>
  </si>
  <si>
    <t>STERLING BANK OF ASIA INC (A SB)</t>
  </si>
  <si>
    <t>THE REAL BANK (A THRIFT BANK) INC</t>
  </si>
  <si>
    <t>TOWER DEVELOPMENT BANK</t>
  </si>
  <si>
    <t>UCPB SAVINGS BANK</t>
  </si>
  <si>
    <t>UNITED OVERSEAS BANK PHILIPPINES</t>
  </si>
  <si>
    <t>WORLD PARTNERS BANK (A THRIFT BANK)</t>
  </si>
  <si>
    <t>Total UDS Classified as Loans</t>
  </si>
  <si>
    <t>CHINA BANK SAVINGS INC</t>
  </si>
  <si>
    <t>SAMPAGUITA SAVINGS BANK INC</t>
  </si>
  <si>
    <t>BPI GLOBE BANKO INC A SAVINGS BANK</t>
  </si>
  <si>
    <t>EQUICOM SAVINGS BANK INC</t>
  </si>
  <si>
    <t>OPPORTUNITY KAUSWAGAN BANK(A MF TB)</t>
  </si>
  <si>
    <t>PHILIPPINE BUSINESS BANK INC A SB</t>
  </si>
  <si>
    <t>PRIDE STAR DEVELOPMENT BANK INC</t>
  </si>
  <si>
    <t>SILANGAN SAVINGS &amp; LOAN BANK INC</t>
  </si>
  <si>
    <t>VILLAGE BANK INC (A THRIFT BANK)</t>
  </si>
  <si>
    <t>PRODUCERS SAVINGS BANK CORPORATION</t>
  </si>
  <si>
    <t>BDO ELITE SAVINGS BANK INC</t>
  </si>
  <si>
    <t>CENTURY SAVINGS BANK CORPORATION</t>
  </si>
  <si>
    <t>PENBANK INC (A PDB)</t>
  </si>
  <si>
    <t>CARD SME BANK INC A THRIFT BANK</t>
  </si>
  <si>
    <t>PHIL RESOURCES SB CORP (PR SB)</t>
  </si>
  <si>
    <t>Alternative Compliance with Agri Agra</t>
  </si>
  <si>
    <t>SUN SAVINGS BANK INC</t>
  </si>
  <si>
    <t>QUEZON COCONUT BANK INC (A TB)</t>
  </si>
  <si>
    <t xml:space="preserve">COMSAVINGS BANK                    </t>
  </si>
  <si>
    <t xml:space="preserve">MARITIME SAVINGS BANK CORPORATION  </t>
  </si>
  <si>
    <t xml:space="preserve">PROGRESS SAVINGS AND LOAN BANK INC </t>
  </si>
  <si>
    <t>SECURITY BANK SAVINGS CORPORATION</t>
  </si>
  <si>
    <t>ENTERPRISE BANK INC (A THRIFT BANK)</t>
  </si>
  <si>
    <t>BATAAN SAVINGS AND LOAN BANK</t>
  </si>
  <si>
    <t>BPI DIRECT SAVINGS BANK INC</t>
  </si>
  <si>
    <t>BPI FAMILY SAVINGS BANK INC</t>
  </si>
  <si>
    <t>BUSINESS AND CONSUMERS BANK (A DB)</t>
  </si>
  <si>
    <t>CITY SAVINGS BANK INC</t>
  </si>
  <si>
    <t>DUMAGUETE CITY DEV BANK INC</t>
  </si>
  <si>
    <t>DUNGGANON BANK (A MF TB) INC</t>
  </si>
  <si>
    <t>HIYAS BANKING CORPORATION</t>
  </si>
  <si>
    <t>MALAYAN BANK SAVINGS AND MORT BANK</t>
  </si>
  <si>
    <t>MICROFINANCE MAXIMUM SB INC</t>
  </si>
  <si>
    <t>OPTIMUM DEVELOPMENT BANK INC</t>
  </si>
  <si>
    <t>PACIFIC ACE SAVINGS BANK INC</t>
  </si>
  <si>
    <t>PHIL POSTAL SAVINGS BANK INC</t>
  </si>
  <si>
    <t>QUEEN CITY DB INC OR QUEENBANK A TB</t>
  </si>
  <si>
    <t>THE PALAWAN BANK (PALAWAN DB) INC</t>
  </si>
  <si>
    <t>WEALTH DEVELOPMENT BANK CORPORATION</t>
  </si>
  <si>
    <t>UNIVERSITY SAVINGS BANK INC</t>
  </si>
  <si>
    <t>1ST VALLEY BANK INC A DEVT BANK</t>
  </si>
  <si>
    <t>TONGYANG SAVINGS BANK INC</t>
  </si>
  <si>
    <t>MBANK PHILIPPINES (A TB) INC</t>
  </si>
  <si>
    <t>Special Reserve Bank Account - Securities Held for the Exclusive Benefit of Customers (for securities brokers/dealers)</t>
  </si>
  <si>
    <t>110051001020600000</t>
  </si>
  <si>
    <t>115001001020600000</t>
  </si>
  <si>
    <t>120001001020600000</t>
  </si>
  <si>
    <t>125001001020600000</t>
  </si>
  <si>
    <t>Schedule of Investment in Debt Securities Issued by LGUs and Loans Granted to LGUs</t>
  </si>
  <si>
    <t>v14.0</t>
  </si>
  <si>
    <t>MAXIMUM SAVINGS BANK, INC.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</si>
</sst>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_);\(0\)"/>
    <numFmt numFmtId="166" formatCode="0\-00\-00\-00\-000\-00\-0\-0\-0\-0\-0\-0"/>
  </numFmts>
  <fonts count="13" x14ac:knownFonts="1"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9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55"/>
      <name val="Arial"/>
      <family val="2"/>
    </font>
    <font>
      <vertAlign val="superscript"/>
      <sz val="8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name val="Arial Narrow"/>
      <family val="2"/>
    </font>
    <font>
      <sz val="10"/>
      <color rgb="FF00B0F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645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quotePrefix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center" vertical="center"/>
    </xf>
    <xf numFmtId="49" fontId="2" fillId="0" borderId="0" xfId="0" quotePrefix="1" applyNumberFormat="1" applyFont="1" applyFill="1" applyBorder="1"/>
    <xf numFmtId="0" fontId="2" fillId="0" borderId="0" xfId="0" applyFont="1" applyFill="1" applyBorder="1"/>
    <xf numFmtId="0" fontId="2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4" fillId="0" borderId="0" xfId="0" applyFont="1"/>
    <xf numFmtId="0" fontId="2" fillId="0" borderId="0" xfId="0" applyFont="1" applyFill="1" applyBorder="1" applyAlignment="1">
      <alignment vertical="top"/>
    </xf>
    <xf numFmtId="0" fontId="3" fillId="0" borderId="0" xfId="0" applyFont="1" applyBorder="1" applyAlignment="1">
      <alignment horizontal="center" vertical="center"/>
    </xf>
    <xf numFmtId="0" fontId="1" fillId="0" borderId="4" xfId="0" applyFont="1" applyBorder="1"/>
    <xf numFmtId="3" fontId="1" fillId="0" borderId="0" xfId="0" applyNumberFormat="1" applyFont="1" applyBorder="1"/>
    <xf numFmtId="0" fontId="1" fillId="0" borderId="1" xfId="0" applyFont="1" applyBorder="1" applyAlignment="1">
      <alignment horizontal="center"/>
    </xf>
    <xf numFmtId="0" fontId="1" fillId="0" borderId="5" xfId="0" applyFont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/>
    <xf numFmtId="0" fontId="4" fillId="0" borderId="0" xfId="0" applyFont="1" applyBorder="1"/>
    <xf numFmtId="0" fontId="1" fillId="0" borderId="6" xfId="0" applyFont="1" applyBorder="1" applyAlignment="1">
      <alignment horizontal="center"/>
    </xf>
    <xf numFmtId="49" fontId="2" fillId="0" borderId="0" xfId="0" applyNumberFormat="1" applyFont="1" applyFill="1" applyBorder="1" applyAlignment="1">
      <alignment vertical="top"/>
    </xf>
    <xf numFmtId="4" fontId="1" fillId="0" borderId="0" xfId="0" applyNumberFormat="1" applyFont="1" applyFill="1" applyBorder="1"/>
    <xf numFmtId="4" fontId="1" fillId="0" borderId="0" xfId="0" applyNumberFormat="1" applyFont="1" applyBorder="1"/>
    <xf numFmtId="4" fontId="4" fillId="0" borderId="0" xfId="0" applyNumberFormat="1" applyFont="1" applyBorder="1"/>
    <xf numFmtId="4" fontId="6" fillId="0" borderId="3" xfId="0" applyNumberFormat="1" applyFont="1" applyBorder="1"/>
    <xf numFmtId="4" fontId="6" fillId="0" borderId="1" xfId="0" applyNumberFormat="1" applyFont="1" applyBorder="1"/>
    <xf numFmtId="4" fontId="6" fillId="0" borderId="7" xfId="0" applyNumberFormat="1" applyFont="1" applyFill="1" applyBorder="1"/>
    <xf numFmtId="4" fontId="6" fillId="0" borderId="3" xfId="0" applyNumberFormat="1" applyFont="1" applyFill="1" applyBorder="1"/>
    <xf numFmtId="4" fontId="6" fillId="0" borderId="0" xfId="0" applyNumberFormat="1" applyFont="1" applyFill="1" applyBorder="1"/>
    <xf numFmtId="4" fontId="6" fillId="0" borderId="7" xfId="0" applyNumberFormat="1" applyFont="1" applyBorder="1"/>
    <xf numFmtId="4" fontId="6" fillId="0" borderId="0" xfId="0" applyNumberFormat="1" applyFont="1" applyBorder="1"/>
    <xf numFmtId="4" fontId="6" fillId="0" borderId="1" xfId="0" applyNumberFormat="1" applyFont="1" applyFill="1" applyBorder="1"/>
    <xf numFmtId="4" fontId="6" fillId="0" borderId="8" xfId="0" applyNumberFormat="1" applyFont="1" applyFill="1" applyBorder="1"/>
    <xf numFmtId="0" fontId="2" fillId="0" borderId="1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/>
    </xf>
    <xf numFmtId="0" fontId="1" fillId="0" borderId="0" xfId="0" applyFont="1" applyFill="1" applyBorder="1" applyAlignment="1">
      <alignment vertical="top"/>
    </xf>
    <xf numFmtId="0" fontId="1" fillId="0" borderId="0" xfId="0" applyFont="1" applyFill="1" applyBorder="1" applyAlignment="1">
      <alignment horizontal="center"/>
    </xf>
    <xf numFmtId="0" fontId="2" fillId="0" borderId="9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1" fillId="0" borderId="8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3" fontId="6" fillId="0" borderId="0" xfId="0" applyNumberFormat="1" applyFont="1" applyFill="1" applyBorder="1"/>
    <xf numFmtId="0" fontId="4" fillId="0" borderId="8" xfId="0" applyFont="1" applyFill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2" fillId="0" borderId="9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/>
    </xf>
    <xf numFmtId="4" fontId="6" fillId="2" borderId="1" xfId="0" applyNumberFormat="1" applyFont="1" applyFill="1" applyBorder="1"/>
    <xf numFmtId="4" fontId="1" fillId="0" borderId="1" xfId="0" applyNumberFormat="1" applyFont="1" applyBorder="1" applyProtection="1">
      <protection locked="0"/>
    </xf>
    <xf numFmtId="4" fontId="1" fillId="0" borderId="1" xfId="0" applyNumberFormat="1" applyFont="1" applyFill="1" applyBorder="1" applyProtection="1">
      <protection locked="0"/>
    </xf>
    <xf numFmtId="0" fontId="1" fillId="0" borderId="1" xfId="0" applyFont="1" applyFill="1" applyBorder="1" applyAlignment="1">
      <alignment vertical="top"/>
    </xf>
    <xf numFmtId="4" fontId="6" fillId="0" borderId="6" xfId="0" applyNumberFormat="1" applyFont="1" applyBorder="1"/>
    <xf numFmtId="4" fontId="6" fillId="0" borderId="6" xfId="0" applyNumberFormat="1" applyFont="1" applyFill="1" applyBorder="1"/>
    <xf numFmtId="49" fontId="2" fillId="0" borderId="0" xfId="0" quotePrefix="1" applyNumberFormat="1" applyFont="1" applyFill="1" applyBorder="1" applyAlignment="1">
      <alignment vertical="top"/>
    </xf>
    <xf numFmtId="0" fontId="4" fillId="0" borderId="6" xfId="0" applyFont="1" applyBorder="1"/>
    <xf numFmtId="49" fontId="2" fillId="0" borderId="0" xfId="0" applyNumberFormat="1" applyFont="1" applyFill="1" applyBorder="1" applyAlignment="1">
      <alignment vertical="center"/>
    </xf>
    <xf numFmtId="49" fontId="2" fillId="0" borderId="6" xfId="0" applyNumberFormat="1" applyFont="1" applyFill="1" applyBorder="1" applyAlignment="1">
      <alignment vertical="center"/>
    </xf>
    <xf numFmtId="0" fontId="1" fillId="0" borderId="6" xfId="0" applyFont="1" applyBorder="1"/>
    <xf numFmtId="0" fontId="1" fillId="0" borderId="3" xfId="0" applyFont="1" applyBorder="1"/>
    <xf numFmtId="0" fontId="4" fillId="0" borderId="0" xfId="0" applyFont="1" applyBorder="1" applyAlignment="1">
      <alignment horizontal="center"/>
    </xf>
    <xf numFmtId="4" fontId="6" fillId="0" borderId="1" xfId="0" applyNumberFormat="1" applyFont="1" applyBorder="1" applyProtection="1"/>
    <xf numFmtId="4" fontId="6" fillId="0" borderId="1" xfId="0" applyNumberFormat="1" applyFont="1" applyFill="1" applyBorder="1" applyProtection="1">
      <protection locked="0"/>
    </xf>
    <xf numFmtId="0" fontId="1" fillId="0" borderId="1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4" fontId="6" fillId="0" borderId="1" xfId="0" applyNumberFormat="1" applyFont="1" applyFill="1" applyBorder="1" applyProtection="1">
      <protection hidden="1"/>
    </xf>
    <xf numFmtId="4" fontId="6" fillId="0" borderId="1" xfId="0" applyNumberFormat="1" applyFont="1" applyBorder="1" applyProtection="1">
      <protection hidden="1"/>
    </xf>
    <xf numFmtId="4" fontId="6" fillId="2" borderId="1" xfId="0" applyNumberFormat="1" applyFont="1" applyFill="1" applyBorder="1" applyProtection="1"/>
    <xf numFmtId="4" fontId="7" fillId="2" borderId="1" xfId="0" applyNumberFormat="1" applyFont="1" applyFill="1" applyBorder="1"/>
    <xf numFmtId="4" fontId="1" fillId="0" borderId="1" xfId="0" applyNumberFormat="1" applyFont="1" applyBorder="1" applyAlignment="1" applyProtection="1">
      <alignment horizontal="right"/>
      <protection locked="0"/>
    </xf>
    <xf numFmtId="4" fontId="1" fillId="0" borderId="1" xfId="0" applyNumberFormat="1" applyFont="1" applyFill="1" applyBorder="1" applyAlignment="1" applyProtection="1">
      <alignment horizontal="right"/>
      <protection locked="0"/>
    </xf>
    <xf numFmtId="0" fontId="8" fillId="0" borderId="0" xfId="0" applyFont="1" applyFill="1"/>
    <xf numFmtId="0" fontId="4" fillId="0" borderId="1" xfId="0" applyFont="1" applyBorder="1"/>
    <xf numFmtId="0" fontId="4" fillId="0" borderId="1" xfId="0" applyFont="1" applyBorder="1" applyAlignment="1">
      <alignment horizontal="center"/>
    </xf>
    <xf numFmtId="4" fontId="1" fillId="0" borderId="1" xfId="0" applyNumberFormat="1" applyFont="1" applyBorder="1"/>
    <xf numFmtId="4" fontId="1" fillId="0" borderId="1" xfId="0" applyNumberFormat="1" applyFont="1" applyFill="1" applyBorder="1" applyAlignment="1" applyProtection="1">
      <protection locked="0"/>
    </xf>
    <xf numFmtId="49" fontId="2" fillId="0" borderId="0" xfId="0" applyNumberFormat="1" applyFont="1" applyFill="1" applyAlignment="1">
      <alignment horizontal="center" vertical="center"/>
    </xf>
    <xf numFmtId="0" fontId="1" fillId="0" borderId="11" xfId="0" applyFont="1" applyFill="1" applyBorder="1" applyAlignment="1">
      <alignment horizontal="center" vertical="center" wrapText="1"/>
    </xf>
    <xf numFmtId="49" fontId="1" fillId="0" borderId="0" xfId="0" applyNumberFormat="1" applyFont="1" applyFill="1"/>
    <xf numFmtId="0" fontId="1" fillId="0" borderId="1" xfId="0" applyFont="1" applyBorder="1" applyAlignment="1">
      <alignment horizontal="right"/>
    </xf>
    <xf numFmtId="4" fontId="1" fillId="0" borderId="1" xfId="0" applyNumberFormat="1" applyFont="1" applyFill="1" applyBorder="1" applyAlignment="1" applyProtection="1">
      <alignment vertical="top"/>
      <protection locked="0"/>
    </xf>
    <xf numFmtId="4" fontId="6" fillId="0" borderId="1" xfId="0" applyNumberFormat="1" applyFont="1" applyBorder="1" applyAlignment="1">
      <alignment vertical="top"/>
    </xf>
    <xf numFmtId="4" fontId="1" fillId="0" borderId="1" xfId="0" applyNumberFormat="1" applyFont="1" applyFill="1" applyBorder="1" applyAlignment="1" applyProtection="1">
      <alignment horizontal="right" vertical="top"/>
      <protection locked="0"/>
    </xf>
    <xf numFmtId="4" fontId="6" fillId="0" borderId="1" xfId="0" applyNumberFormat="1" applyFont="1" applyFill="1" applyBorder="1" applyAlignment="1" applyProtection="1">
      <alignment vertical="top"/>
      <protection hidden="1"/>
    </xf>
    <xf numFmtId="4" fontId="6" fillId="0" borderId="7" xfId="0" applyNumberFormat="1" applyFont="1" applyBorder="1" applyProtection="1"/>
    <xf numFmtId="4" fontId="6" fillId="0" borderId="0" xfId="0" applyNumberFormat="1" applyFont="1" applyBorder="1" applyProtection="1"/>
    <xf numFmtId="4" fontId="1" fillId="0" borderId="7" xfId="0" applyNumberFormat="1" applyFont="1" applyBorder="1" applyProtection="1"/>
    <xf numFmtId="4" fontId="1" fillId="0" borderId="0" xfId="0" applyNumberFormat="1" applyFont="1" applyBorder="1" applyProtection="1"/>
    <xf numFmtId="4" fontId="1" fillId="0" borderId="7" xfId="0" applyNumberFormat="1" applyFont="1" applyFill="1" applyBorder="1" applyProtection="1"/>
    <xf numFmtId="4" fontId="1" fillId="0" borderId="0" xfId="0" applyNumberFormat="1" applyFont="1" applyFill="1" applyBorder="1" applyProtection="1"/>
    <xf numFmtId="4" fontId="6" fillId="0" borderId="7" xfId="0" applyNumberFormat="1" applyFont="1" applyFill="1" applyBorder="1" applyProtection="1"/>
    <xf numFmtId="4" fontId="6" fillId="0" borderId="0" xfId="0" applyNumberFormat="1" applyFont="1" applyFill="1" applyBorder="1" applyProtection="1"/>
    <xf numFmtId="0" fontId="2" fillId="0" borderId="6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1" xfId="0" applyFont="1" applyBorder="1" applyAlignment="1" applyProtection="1">
      <alignment horizontal="center"/>
    </xf>
    <xf numFmtId="4" fontId="1" fillId="0" borderId="1" xfId="0" applyNumberFormat="1" applyFont="1" applyBorder="1" applyProtection="1"/>
    <xf numFmtId="0" fontId="1" fillId="0" borderId="6" xfId="0" applyFont="1" applyFill="1" applyBorder="1" applyAlignment="1">
      <alignment horizontal="left"/>
    </xf>
    <xf numFmtId="0" fontId="1" fillId="0" borderId="15" xfId="0" applyFont="1" applyBorder="1" applyAlignment="1">
      <alignment horizontal="center"/>
    </xf>
    <xf numFmtId="49" fontId="2" fillId="0" borderId="7" xfId="0" quotePrefix="1" applyNumberFormat="1" applyFont="1" applyFill="1" applyBorder="1" applyAlignment="1">
      <alignment vertical="top"/>
    </xf>
    <xf numFmtId="49" fontId="2" fillId="0" borderId="7" xfId="0" applyNumberFormat="1" applyFont="1" applyFill="1" applyBorder="1" applyAlignment="1">
      <alignment vertical="top"/>
    </xf>
    <xf numFmtId="49" fontId="2" fillId="0" borderId="2" xfId="0" quotePrefix="1" applyNumberFormat="1" applyFont="1" applyFill="1" applyBorder="1" applyAlignment="1">
      <alignment vertical="top"/>
    </xf>
    <xf numFmtId="0" fontId="2" fillId="0" borderId="5" xfId="0" applyFont="1" applyFill="1" applyBorder="1" applyAlignment="1">
      <alignment vertical="top"/>
    </xf>
    <xf numFmtId="49" fontId="2" fillId="0" borderId="2" xfId="0" applyNumberFormat="1" applyFont="1" applyFill="1" applyBorder="1" applyAlignment="1">
      <alignment vertical="top"/>
    </xf>
    <xf numFmtId="0" fontId="2" fillId="0" borderId="2" xfId="0" applyFont="1" applyFill="1" applyBorder="1" applyAlignment="1">
      <alignment vertical="top"/>
    </xf>
    <xf numFmtId="0" fontId="2" fillId="0" borderId="0" xfId="0" applyFont="1" applyAlignment="1">
      <alignment horizontal="center"/>
    </xf>
    <xf numFmtId="0" fontId="2" fillId="0" borderId="12" xfId="0" applyFont="1" applyFill="1" applyBorder="1" applyAlignment="1">
      <alignment vertical="top"/>
    </xf>
    <xf numFmtId="0" fontId="1" fillId="0" borderId="8" xfId="0" applyFont="1" applyFill="1" applyBorder="1" applyAlignment="1">
      <alignment vertical="top"/>
    </xf>
    <xf numFmtId="0" fontId="1" fillId="0" borderId="14" xfId="0" applyFont="1" applyFill="1" applyBorder="1" applyAlignment="1">
      <alignment vertical="top"/>
    </xf>
    <xf numFmtId="4" fontId="6" fillId="0" borderId="0" xfId="0" applyNumberFormat="1" applyFont="1"/>
    <xf numFmtId="0" fontId="6" fillId="0" borderId="0" xfId="0" applyFont="1"/>
    <xf numFmtId="0" fontId="1" fillId="0" borderId="5" xfId="0" applyFont="1" applyFill="1" applyBorder="1" applyAlignment="1">
      <alignment vertical="top"/>
    </xf>
    <xf numFmtId="0" fontId="1" fillId="0" borderId="15" xfId="0" applyFont="1" applyFill="1" applyBorder="1" applyAlignment="1">
      <alignment vertical="top"/>
    </xf>
    <xf numFmtId="0" fontId="1" fillId="0" borderId="0" xfId="0" applyFont="1" applyFill="1" applyBorder="1" applyAlignment="1">
      <alignment horizontal="left"/>
    </xf>
    <xf numFmtId="49" fontId="1" fillId="0" borderId="7" xfId="0" applyNumberFormat="1" applyFont="1" applyFill="1" applyBorder="1" applyAlignment="1">
      <alignment vertical="top"/>
    </xf>
    <xf numFmtId="0" fontId="1" fillId="0" borderId="6" xfId="0" applyFont="1" applyFill="1" applyBorder="1" applyAlignment="1">
      <alignment vertical="top"/>
    </xf>
    <xf numFmtId="49" fontId="1" fillId="0" borderId="2" xfId="0" applyNumberFormat="1" applyFont="1" applyFill="1" applyBorder="1" applyAlignment="1">
      <alignment vertical="top"/>
    </xf>
    <xf numFmtId="164" fontId="1" fillId="0" borderId="5" xfId="0" applyNumberFormat="1" applyFont="1" applyFill="1" applyBorder="1" applyAlignment="1">
      <alignment vertical="top"/>
    </xf>
    <xf numFmtId="164" fontId="1" fillId="0" borderId="0" xfId="0" applyNumberFormat="1" applyFont="1" applyFill="1" applyBorder="1" applyAlignment="1">
      <alignment vertical="top"/>
    </xf>
    <xf numFmtId="0" fontId="6" fillId="0" borderId="0" xfId="0" applyFont="1" applyBorder="1"/>
    <xf numFmtId="4" fontId="6" fillId="0" borderId="5" xfId="0" applyNumberFormat="1" applyFont="1" applyBorder="1"/>
    <xf numFmtId="0" fontId="6" fillId="0" borderId="5" xfId="0" applyFont="1" applyBorder="1"/>
    <xf numFmtId="164" fontId="1" fillId="0" borderId="0" xfId="0" quotePrefix="1" applyNumberFormat="1" applyFont="1" applyFill="1" applyBorder="1" applyAlignment="1">
      <alignment horizontal="left" vertical="top" wrapText="1"/>
    </xf>
    <xf numFmtId="164" fontId="1" fillId="0" borderId="0" xfId="0" applyNumberFormat="1" applyFont="1" applyFill="1" applyBorder="1" applyAlignment="1">
      <alignment horizontal="left" vertical="top" wrapText="1"/>
    </xf>
    <xf numFmtId="164" fontId="1" fillId="0" borderId="6" xfId="0" applyNumberFormat="1" applyFont="1" applyFill="1" applyBorder="1" applyAlignment="1">
      <alignment horizontal="left" vertical="top" wrapText="1"/>
    </xf>
    <xf numFmtId="164" fontId="1" fillId="0" borderId="5" xfId="0" quotePrefix="1" applyNumberFormat="1" applyFont="1" applyFill="1" applyBorder="1" applyAlignment="1">
      <alignment horizontal="left" vertical="top" wrapText="1"/>
    </xf>
    <xf numFmtId="164" fontId="1" fillId="0" borderId="5" xfId="0" applyNumberFormat="1" applyFont="1" applyFill="1" applyBorder="1" applyAlignment="1">
      <alignment horizontal="left" vertical="top"/>
    </xf>
    <xf numFmtId="164" fontId="1" fillId="0" borderId="0" xfId="0" quotePrefix="1" applyNumberFormat="1" applyFont="1" applyFill="1" applyBorder="1" applyAlignment="1">
      <alignment vertical="top"/>
    </xf>
    <xf numFmtId="4" fontId="6" fillId="0" borderId="4" xfId="0" applyNumberFormat="1" applyFont="1" applyBorder="1"/>
    <xf numFmtId="0" fontId="6" fillId="0" borderId="4" xfId="0" applyFont="1" applyBorder="1"/>
    <xf numFmtId="49" fontId="1" fillId="0" borderId="7" xfId="0" quotePrefix="1" applyNumberFormat="1" applyFont="1" applyFill="1" applyBorder="1" applyAlignment="1">
      <alignment vertical="top"/>
    </xf>
    <xf numFmtId="0" fontId="1" fillId="0" borderId="0" xfId="0" applyFont="1" applyFill="1" applyBorder="1" applyAlignment="1">
      <alignment horizontal="left" vertical="top" wrapText="1"/>
    </xf>
    <xf numFmtId="0" fontId="1" fillId="0" borderId="6" xfId="0" applyFont="1" applyFill="1" applyBorder="1" applyAlignment="1">
      <alignment horizontal="left" vertical="top" wrapText="1"/>
    </xf>
    <xf numFmtId="49" fontId="1" fillId="0" borderId="2" xfId="0" quotePrefix="1" applyNumberFormat="1" applyFont="1" applyFill="1" applyBorder="1" applyAlignment="1">
      <alignment vertical="top"/>
    </xf>
    <xf numFmtId="0" fontId="1" fillId="0" borderId="5" xfId="0" applyFont="1" applyFill="1" applyBorder="1" applyAlignment="1">
      <alignment horizontal="left" vertical="top" wrapText="1"/>
    </xf>
    <xf numFmtId="0" fontId="1" fillId="0" borderId="15" xfId="0" applyFont="1" applyFill="1" applyBorder="1" applyAlignment="1">
      <alignment horizontal="left" vertical="top" wrapText="1"/>
    </xf>
    <xf numFmtId="0" fontId="1" fillId="0" borderId="5" xfId="0" quotePrefix="1" applyFont="1" applyFill="1" applyBorder="1" applyAlignment="1">
      <alignment vertical="top"/>
    </xf>
    <xf numFmtId="0" fontId="1" fillId="0" borderId="0" xfId="0" quotePrefix="1" applyFont="1" applyFill="1" applyBorder="1" applyAlignment="1">
      <alignment vertical="top"/>
    </xf>
    <xf numFmtId="49" fontId="1" fillId="0" borderId="0" xfId="0" quotePrefix="1" applyNumberFormat="1" applyFont="1" applyFill="1" applyBorder="1" applyAlignment="1">
      <alignment vertical="top"/>
    </xf>
    <xf numFmtId="0" fontId="1" fillId="0" borderId="0" xfId="0" applyFont="1" applyFill="1"/>
    <xf numFmtId="49" fontId="1" fillId="0" borderId="0" xfId="0" applyNumberFormat="1" applyFont="1" applyFill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 vertical="center"/>
    </xf>
    <xf numFmtId="0" fontId="1" fillId="0" borderId="6" xfId="0" applyFont="1" applyFill="1" applyBorder="1" applyAlignment="1">
      <alignment horizontal="center" vertical="center"/>
    </xf>
    <xf numFmtId="164" fontId="1" fillId="0" borderId="0" xfId="0" applyNumberFormat="1" applyFont="1" applyFill="1" applyBorder="1"/>
    <xf numFmtId="0" fontId="1" fillId="0" borderId="0" xfId="0" quotePrefix="1" applyFont="1" applyFill="1" applyBorder="1"/>
    <xf numFmtId="0" fontId="1" fillId="0" borderId="6" xfId="0" applyFont="1" applyFill="1" applyBorder="1"/>
    <xf numFmtId="0" fontId="1" fillId="0" borderId="0" xfId="0" applyFont="1" applyFill="1" applyBorder="1" applyAlignment="1">
      <alignment wrapText="1"/>
    </xf>
    <xf numFmtId="0" fontId="1" fillId="0" borderId="0" xfId="0" applyFont="1" applyFill="1" applyBorder="1" applyAlignment="1"/>
    <xf numFmtId="0" fontId="1" fillId="0" borderId="6" xfId="0" applyFont="1" applyFill="1" applyBorder="1" applyAlignment="1"/>
    <xf numFmtId="164" fontId="1" fillId="0" borderId="0" xfId="0" applyNumberFormat="1" applyFont="1" applyFill="1" applyBorder="1" applyAlignment="1">
      <alignment horizontal="left"/>
    </xf>
    <xf numFmtId="164" fontId="1" fillId="0" borderId="0" xfId="0" quotePrefix="1" applyNumberFormat="1" applyFont="1" applyFill="1" applyBorder="1"/>
    <xf numFmtId="0" fontId="9" fillId="0" borderId="0" xfId="0" applyFont="1"/>
    <xf numFmtId="49" fontId="1" fillId="0" borderId="0" xfId="0" applyNumberFormat="1" applyFont="1" applyFill="1" applyBorder="1" applyAlignment="1">
      <alignment vertical="top"/>
    </xf>
    <xf numFmtId="164" fontId="1" fillId="0" borderId="0" xfId="0" applyNumberFormat="1" applyFont="1" applyFill="1" applyBorder="1" applyAlignment="1">
      <alignment horizontal="right" vertical="top"/>
    </xf>
    <xf numFmtId="0" fontId="2" fillId="0" borderId="13" xfId="0" applyFont="1" applyFill="1" applyBorder="1" applyAlignment="1">
      <alignment vertical="center"/>
    </xf>
    <xf numFmtId="0" fontId="1" fillId="0" borderId="4" xfId="0" applyFont="1" applyFill="1" applyBorder="1" applyAlignment="1">
      <alignment vertical="center"/>
    </xf>
    <xf numFmtId="0" fontId="1" fillId="0" borderId="11" xfId="0" applyFont="1" applyBorder="1"/>
    <xf numFmtId="0" fontId="2" fillId="0" borderId="12" xfId="0" applyFont="1" applyFill="1" applyBorder="1"/>
    <xf numFmtId="0" fontId="1" fillId="0" borderId="8" xfId="0" applyFont="1" applyFill="1" applyBorder="1" applyAlignment="1">
      <alignment horizontal="center" vertical="center"/>
    </xf>
    <xf numFmtId="0" fontId="1" fillId="0" borderId="14" xfId="0" applyFont="1" applyFill="1" applyBorder="1" applyAlignment="1">
      <alignment horizontal="center" vertical="center"/>
    </xf>
    <xf numFmtId="0" fontId="2" fillId="0" borderId="7" xfId="0" applyFont="1" applyFill="1" applyBorder="1"/>
    <xf numFmtId="0" fontId="2" fillId="0" borderId="2" xfId="0" applyFont="1" applyFill="1" applyBorder="1"/>
    <xf numFmtId="0" fontId="2" fillId="0" borderId="5" xfId="0" quotePrefix="1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left" vertical="center"/>
    </xf>
    <xf numFmtId="0" fontId="1" fillId="0" borderId="15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1" fillId="0" borderId="5" xfId="0" applyFont="1" applyFill="1" applyBorder="1"/>
    <xf numFmtId="164" fontId="1" fillId="0" borderId="5" xfId="0" applyNumberFormat="1" applyFont="1" applyFill="1" applyBorder="1"/>
    <xf numFmtId="164" fontId="1" fillId="0" borderId="15" xfId="0" applyNumberFormat="1" applyFont="1" applyFill="1" applyBorder="1"/>
    <xf numFmtId="0" fontId="1" fillId="0" borderId="15" xfId="0" applyFont="1" applyFill="1" applyBorder="1"/>
    <xf numFmtId="0" fontId="1" fillId="0" borderId="5" xfId="0" quotePrefix="1" applyFont="1" applyFill="1" applyBorder="1"/>
    <xf numFmtId="164" fontId="1" fillId="0" borderId="5" xfId="0" quotePrefix="1" applyNumberFormat="1" applyFont="1" applyFill="1" applyBorder="1"/>
    <xf numFmtId="164" fontId="1" fillId="0" borderId="5" xfId="0" applyNumberFormat="1" applyFont="1" applyFill="1" applyBorder="1" applyAlignment="1">
      <alignment horizontal="left"/>
    </xf>
    <xf numFmtId="49" fontId="2" fillId="0" borderId="5" xfId="0" quotePrefix="1" applyNumberFormat="1" applyFont="1" applyFill="1" applyBorder="1"/>
    <xf numFmtId="0" fontId="2" fillId="0" borderId="5" xfId="0" applyFont="1" applyFill="1" applyBorder="1"/>
    <xf numFmtId="49" fontId="1" fillId="0" borderId="5" xfId="0" applyNumberFormat="1" applyFont="1" applyFill="1" applyBorder="1"/>
    <xf numFmtId="166" fontId="1" fillId="0" borderId="1" xfId="0" quotePrefix="1" applyNumberFormat="1" applyFont="1" applyFill="1" applyBorder="1" applyAlignment="1">
      <alignment horizontal="center" vertical="top"/>
    </xf>
    <xf numFmtId="0" fontId="1" fillId="0" borderId="1" xfId="0" quotePrefix="1" applyFont="1" applyFill="1" applyBorder="1" applyAlignment="1">
      <alignment horizontal="center" vertical="top"/>
    </xf>
    <xf numFmtId="0" fontId="1" fillId="0" borderId="0" xfId="0" applyFont="1" applyFill="1" applyAlignment="1">
      <alignment horizontal="center"/>
    </xf>
    <xf numFmtId="49" fontId="2" fillId="0" borderId="13" xfId="0" applyNumberFormat="1" applyFont="1" applyFill="1" applyBorder="1" applyAlignment="1">
      <alignment vertical="top"/>
    </xf>
    <xf numFmtId="0" fontId="2" fillId="0" borderId="4" xfId="0" applyFont="1" applyFill="1" applyBorder="1" applyAlignment="1">
      <alignment vertical="top"/>
    </xf>
    <xf numFmtId="164" fontId="1" fillId="0" borderId="4" xfId="0" applyNumberFormat="1" applyFont="1" applyFill="1" applyBorder="1" applyAlignment="1">
      <alignment vertical="top"/>
    </xf>
    <xf numFmtId="0" fontId="1" fillId="0" borderId="4" xfId="0" applyFont="1" applyFill="1" applyBorder="1" applyAlignment="1">
      <alignment vertical="top"/>
    </xf>
    <xf numFmtId="0" fontId="1" fillId="0" borderId="11" xfId="0" applyFont="1" applyFill="1" applyBorder="1" applyAlignment="1">
      <alignment vertical="top"/>
    </xf>
    <xf numFmtId="164" fontId="1" fillId="0" borderId="5" xfId="0" quotePrefix="1" applyNumberFormat="1" applyFont="1" applyFill="1" applyBorder="1" applyAlignment="1">
      <alignment vertical="top"/>
    </xf>
    <xf numFmtId="49" fontId="5" fillId="0" borderId="0" xfId="0" applyNumberFormat="1" applyFont="1" applyFill="1"/>
    <xf numFmtId="49" fontId="1" fillId="0" borderId="13" xfId="0" quotePrefix="1" applyNumberFormat="1" applyFont="1" applyFill="1" applyBorder="1" applyAlignment="1">
      <alignment vertical="top"/>
    </xf>
    <xf numFmtId="49" fontId="5" fillId="0" borderId="0" xfId="0" applyNumberFormat="1" applyFont="1" applyFill="1" applyAlignment="1">
      <alignment vertical="top"/>
    </xf>
    <xf numFmtId="0" fontId="1" fillId="0" borderId="0" xfId="0" applyFont="1" applyFill="1" applyAlignment="1">
      <alignment vertical="top"/>
    </xf>
    <xf numFmtId="0" fontId="1" fillId="0" borderId="9" xfId="0" applyFont="1" applyBorder="1" applyAlignment="1">
      <alignment horizontal="center"/>
    </xf>
    <xf numFmtId="4" fontId="1" fillId="0" borderId="9" xfId="0" applyNumberFormat="1" applyFont="1" applyBorder="1" applyProtection="1">
      <protection locked="0"/>
    </xf>
    <xf numFmtId="4" fontId="1" fillId="0" borderId="9" xfId="0" applyNumberFormat="1" applyFont="1" applyFill="1" applyBorder="1" applyAlignment="1" applyProtection="1">
      <alignment horizontal="right"/>
      <protection locked="0"/>
    </xf>
    <xf numFmtId="0" fontId="2" fillId="0" borderId="13" xfId="0" applyFont="1" applyFill="1" applyBorder="1" applyAlignment="1">
      <alignment vertical="top"/>
    </xf>
    <xf numFmtId="0" fontId="1" fillId="0" borderId="3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1" fillId="0" borderId="10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4" fontId="6" fillId="0" borderId="2" xfId="0" applyNumberFormat="1" applyFont="1" applyBorder="1"/>
    <xf numFmtId="0" fontId="1" fillId="0" borderId="0" xfId="0" applyFont="1" applyFill="1" applyBorder="1" applyAlignment="1">
      <alignment vertical="top" wrapText="1"/>
    </xf>
    <xf numFmtId="0" fontId="1" fillId="0" borderId="6" xfId="0" applyFont="1" applyFill="1" applyBorder="1" applyAlignment="1">
      <alignment vertical="top" wrapText="1"/>
    </xf>
    <xf numFmtId="164" fontId="1" fillId="0" borderId="0" xfId="0" applyNumberFormat="1" applyFont="1" applyFill="1" applyBorder="1" applyAlignment="1">
      <alignment vertical="top" wrapText="1"/>
    </xf>
    <xf numFmtId="164" fontId="1" fillId="0" borderId="0" xfId="0" applyNumberFormat="1" applyFont="1" applyFill="1" applyBorder="1" applyAlignment="1">
      <alignment horizontal="center" vertical="top" wrapText="1"/>
    </xf>
    <xf numFmtId="164" fontId="1" fillId="0" borderId="6" xfId="0" applyNumberFormat="1" applyFont="1" applyFill="1" applyBorder="1" applyAlignment="1">
      <alignment vertical="top" wrapText="1"/>
    </xf>
    <xf numFmtId="0" fontId="2" fillId="0" borderId="4" xfId="0" applyFont="1" applyBorder="1" applyAlignment="1"/>
    <xf numFmtId="49" fontId="5" fillId="0" borderId="0" xfId="0" applyNumberFormat="1" applyFont="1" applyFill="1" applyBorder="1"/>
    <xf numFmtId="164" fontId="1" fillId="0" borderId="15" xfId="0" applyNumberFormat="1" applyFont="1" applyFill="1" applyBorder="1" applyAlignment="1">
      <alignment vertical="top" wrapText="1"/>
    </xf>
    <xf numFmtId="49" fontId="2" fillId="0" borderId="2" xfId="0" applyNumberFormat="1" applyFont="1" applyBorder="1" applyAlignment="1">
      <alignment vertical="top"/>
    </xf>
    <xf numFmtId="0" fontId="1" fillId="0" borderId="0" xfId="0" applyFont="1" applyProtection="1"/>
    <xf numFmtId="0" fontId="2" fillId="0" borderId="0" xfId="0" applyFont="1" applyBorder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</xf>
    <xf numFmtId="4" fontId="6" fillId="0" borderId="0" xfId="0" applyNumberFormat="1" applyFont="1" applyProtection="1"/>
    <xf numFmtId="0" fontId="6" fillId="0" borderId="0" xfId="0" applyFont="1" applyBorder="1" applyProtection="1"/>
    <xf numFmtId="0" fontId="1" fillId="0" borderId="0" xfId="0" applyFont="1" applyBorder="1" applyProtection="1"/>
    <xf numFmtId="0" fontId="1" fillId="0" borderId="4" xfId="0" applyFont="1" applyBorder="1" applyProtection="1"/>
    <xf numFmtId="0" fontId="1" fillId="0" borderId="5" xfId="0" applyFont="1" applyBorder="1" applyProtection="1"/>
    <xf numFmtId="0" fontId="6" fillId="0" borderId="0" xfId="0" applyFont="1" applyFill="1" applyBorder="1" applyProtection="1"/>
    <xf numFmtId="0" fontId="1" fillId="0" borderId="0" xfId="0" applyFont="1" applyFill="1" applyBorder="1" applyProtection="1"/>
    <xf numFmtId="0" fontId="6" fillId="0" borderId="0" xfId="0" applyFont="1" applyProtection="1"/>
    <xf numFmtId="0" fontId="9" fillId="0" borderId="0" xfId="0" applyFont="1" applyProtection="1"/>
    <xf numFmtId="4" fontId="6" fillId="0" borderId="8" xfId="0" applyNumberFormat="1" applyFont="1" applyBorder="1"/>
    <xf numFmtId="0" fontId="6" fillId="0" borderId="8" xfId="0" applyFont="1" applyBorder="1"/>
    <xf numFmtId="0" fontId="1" fillId="0" borderId="8" xfId="0" applyFont="1" applyBorder="1"/>
    <xf numFmtId="0" fontId="6" fillId="0" borderId="0" xfId="0" applyFont="1" applyFill="1" applyBorder="1"/>
    <xf numFmtId="4" fontId="6" fillId="0" borderId="1" xfId="0" applyNumberFormat="1" applyFont="1" applyBorder="1" applyAlignment="1">
      <alignment horizontal="right" vertical="top"/>
    </xf>
    <xf numFmtId="164" fontId="1" fillId="0" borderId="8" xfId="0" applyNumberFormat="1" applyFont="1" applyFill="1" applyBorder="1" applyAlignment="1">
      <alignment horizontal="left" vertical="top" wrapText="1"/>
    </xf>
    <xf numFmtId="0" fontId="4" fillId="0" borderId="1" xfId="0" applyFont="1" applyBorder="1" applyAlignment="1" applyProtection="1">
      <alignment horizontal="center"/>
    </xf>
    <xf numFmtId="0" fontId="2" fillId="0" borderId="0" xfId="0" applyFont="1" applyBorder="1"/>
    <xf numFmtId="0" fontId="1" fillId="0" borderId="0" xfId="0" quotePrefix="1" applyFont="1" applyBorder="1"/>
    <xf numFmtId="49" fontId="2" fillId="0" borderId="12" xfId="0" applyNumberFormat="1" applyFont="1" applyBorder="1" applyAlignment="1">
      <alignment horizontal="left"/>
    </xf>
    <xf numFmtId="0" fontId="2" fillId="0" borderId="8" xfId="0" applyFont="1" applyBorder="1"/>
    <xf numFmtId="0" fontId="1" fillId="0" borderId="8" xfId="0" applyFont="1" applyFill="1" applyBorder="1"/>
    <xf numFmtId="0" fontId="1" fillId="0" borderId="14" xfId="0" applyFont="1" applyFill="1" applyBorder="1"/>
    <xf numFmtId="49" fontId="2" fillId="0" borderId="7" xfId="0" applyNumberFormat="1" applyFont="1" applyBorder="1" applyAlignment="1">
      <alignment horizontal="left"/>
    </xf>
    <xf numFmtId="49" fontId="2" fillId="0" borderId="13" xfId="0" applyNumberFormat="1" applyFont="1" applyBorder="1" applyAlignment="1">
      <alignment horizontal="left"/>
    </xf>
    <xf numFmtId="0" fontId="2" fillId="0" borderId="4" xfId="0" applyFont="1" applyBorder="1"/>
    <xf numFmtId="0" fontId="1" fillId="0" borderId="4" xfId="0" applyFont="1" applyFill="1" applyBorder="1"/>
    <xf numFmtId="0" fontId="1" fillId="0" borderId="11" xfId="0" applyFont="1" applyFill="1" applyBorder="1"/>
    <xf numFmtId="49" fontId="1" fillId="0" borderId="2" xfId="0" applyNumberFormat="1" applyFont="1" applyFill="1" applyBorder="1" applyAlignment="1" applyProtection="1">
      <alignment vertical="top"/>
    </xf>
    <xf numFmtId="0" fontId="1" fillId="0" borderId="5" xfId="0" applyFont="1" applyFill="1" applyBorder="1" applyAlignment="1" applyProtection="1">
      <alignment vertical="top"/>
    </xf>
    <xf numFmtId="4" fontId="6" fillId="0" borderId="1" xfId="0" applyNumberFormat="1" applyFont="1" applyFill="1" applyBorder="1" applyAlignment="1" applyProtection="1">
      <protection hidden="1"/>
    </xf>
    <xf numFmtId="49" fontId="3" fillId="0" borderId="0" xfId="0" applyNumberFormat="1" applyFont="1" applyFill="1" applyBorder="1" applyAlignment="1">
      <alignment horizontal="left" vertical="center"/>
    </xf>
    <xf numFmtId="49" fontId="3" fillId="0" borderId="0" xfId="0" applyNumberFormat="1" applyFont="1" applyFill="1" applyAlignment="1">
      <alignment horizontal="left" vertical="center"/>
    </xf>
    <xf numFmtId="0" fontId="4" fillId="0" borderId="0" xfId="0" applyFont="1" applyFill="1" applyAlignment="1">
      <alignment horizontal="center"/>
    </xf>
    <xf numFmtId="0" fontId="9" fillId="0" borderId="0" xfId="0" applyFont="1" applyAlignment="1">
      <alignment horizontal="left"/>
    </xf>
    <xf numFmtId="0" fontId="2" fillId="0" borderId="15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/>
    </xf>
    <xf numFmtId="39" fontId="6" fillId="0" borderId="1" xfId="0" applyNumberFormat="1" applyFont="1" applyBorder="1"/>
    <xf numFmtId="39" fontId="1" fillId="0" borderId="1" xfId="0" applyNumberFormat="1" applyFont="1" applyBorder="1" applyProtection="1">
      <protection locked="0"/>
    </xf>
    <xf numFmtId="39" fontId="6" fillId="2" borderId="1" xfId="0" applyNumberFormat="1" applyFont="1" applyFill="1" applyBorder="1" applyProtection="1"/>
    <xf numFmtId="39" fontId="1" fillId="0" borderId="1" xfId="0" applyNumberFormat="1" applyFont="1" applyFill="1" applyBorder="1" applyAlignment="1" applyProtection="1">
      <alignment horizontal="right"/>
      <protection locked="0"/>
    </xf>
    <xf numFmtId="39" fontId="6" fillId="2" borderId="1" xfId="0" applyNumberFormat="1" applyFont="1" applyFill="1" applyBorder="1"/>
    <xf numFmtId="39" fontId="6" fillId="0" borderId="1" xfId="0" applyNumberFormat="1" applyFont="1" applyFill="1" applyBorder="1"/>
    <xf numFmtId="39" fontId="1" fillId="0" borderId="1" xfId="0" applyNumberFormat="1" applyFont="1" applyFill="1" applyBorder="1" applyProtection="1">
      <protection locked="0"/>
    </xf>
    <xf numFmtId="39" fontId="6" fillId="0" borderId="1" xfId="0" applyNumberFormat="1" applyFont="1" applyFill="1" applyBorder="1" applyProtection="1">
      <protection hidden="1"/>
    </xf>
    <xf numFmtId="39" fontId="1" fillId="0" borderId="1" xfId="0" applyNumberFormat="1" applyFont="1" applyFill="1" applyBorder="1" applyAlignment="1" applyProtection="1">
      <alignment vertical="top"/>
      <protection locked="0"/>
    </xf>
    <xf numFmtId="39" fontId="6" fillId="0" borderId="1" xfId="0" applyNumberFormat="1" applyFont="1" applyBorder="1" applyAlignment="1">
      <alignment vertical="top"/>
    </xf>
    <xf numFmtId="39" fontId="1" fillId="0" borderId="9" xfId="0" applyNumberFormat="1" applyFont="1" applyBorder="1" applyProtection="1">
      <protection locked="0"/>
    </xf>
    <xf numFmtId="39" fontId="1" fillId="0" borderId="9" xfId="0" applyNumberFormat="1" applyFont="1" applyFill="1" applyBorder="1" applyAlignment="1" applyProtection="1">
      <alignment horizontal="right"/>
      <protection locked="0"/>
    </xf>
    <xf numFmtId="39" fontId="6" fillId="0" borderId="9" xfId="0" applyNumberFormat="1" applyFont="1" applyBorder="1"/>
    <xf numFmtId="39" fontId="6" fillId="0" borderId="1" xfId="0" applyNumberFormat="1" applyFont="1" applyBorder="1" applyProtection="1">
      <protection hidden="1"/>
    </xf>
    <xf numFmtId="39" fontId="1" fillId="0" borderId="1" xfId="0" applyNumberFormat="1" applyFont="1" applyFill="1" applyBorder="1" applyAlignment="1" applyProtection="1">
      <protection locked="0"/>
    </xf>
    <xf numFmtId="39" fontId="1" fillId="0" borderId="1" xfId="0" applyNumberFormat="1" applyFont="1" applyFill="1" applyBorder="1" applyAlignment="1" applyProtection="1">
      <alignment horizontal="right" vertical="top"/>
      <protection locked="0"/>
    </xf>
    <xf numFmtId="39" fontId="1" fillId="2" borderId="1" xfId="0" applyNumberFormat="1" applyFont="1" applyFill="1" applyBorder="1"/>
    <xf numFmtId="0" fontId="10" fillId="0" borderId="0" xfId="0" applyFont="1" applyFill="1" applyBorder="1" applyAlignment="1">
      <alignment vertical="top"/>
    </xf>
    <xf numFmtId="0" fontId="10" fillId="0" borderId="5" xfId="0" applyFont="1" applyFill="1" applyBorder="1" applyAlignment="1">
      <alignment vertical="top"/>
    </xf>
    <xf numFmtId="49" fontId="1" fillId="0" borderId="13" xfId="0" applyNumberFormat="1" applyFont="1" applyFill="1" applyBorder="1" applyAlignment="1">
      <alignment vertical="top"/>
    </xf>
    <xf numFmtId="0" fontId="10" fillId="0" borderId="4" xfId="0" applyFont="1" applyFill="1" applyBorder="1" applyAlignment="1">
      <alignment vertical="top"/>
    </xf>
    <xf numFmtId="49" fontId="1" fillId="0" borderId="2" xfId="0" quotePrefix="1" applyNumberFormat="1" applyFont="1" applyBorder="1" applyAlignment="1">
      <alignment vertical="top"/>
    </xf>
    <xf numFmtId="0" fontId="10" fillId="0" borderId="5" xfId="0" applyFont="1" applyBorder="1" applyAlignment="1">
      <alignment vertical="top"/>
    </xf>
    <xf numFmtId="0" fontId="10" fillId="0" borderId="4" xfId="0" applyFont="1" applyFill="1" applyBorder="1"/>
    <xf numFmtId="0" fontId="1" fillId="0" borderId="4" xfId="0" quotePrefix="1" applyFont="1" applyFill="1" applyBorder="1"/>
    <xf numFmtId="0" fontId="2" fillId="0" borderId="13" xfId="0" applyFont="1" applyFill="1" applyBorder="1"/>
    <xf numFmtId="0" fontId="1" fillId="0" borderId="4" xfId="0" applyFont="1" applyFill="1" applyBorder="1" applyAlignment="1">
      <alignment horizontal="center" vertical="center"/>
    </xf>
    <xf numFmtId="164" fontId="1" fillId="0" borderId="4" xfId="0" quotePrefix="1" applyNumberFormat="1" applyFont="1" applyFill="1" applyBorder="1"/>
    <xf numFmtId="4" fontId="6" fillId="0" borderId="1" xfId="0" applyNumberFormat="1" applyFont="1" applyFill="1" applyBorder="1" applyAlignment="1" applyProtection="1">
      <alignment horizontal="right" vertical="top"/>
      <protection hidden="1"/>
    </xf>
    <xf numFmtId="0" fontId="1" fillId="0" borderId="8" xfId="0" applyFont="1" applyBorder="1" applyAlignment="1">
      <alignment horizontal="center"/>
    </xf>
    <xf numFmtId="0" fontId="1" fillId="0" borderId="6" xfId="0" applyFont="1" applyFill="1" applyBorder="1" applyAlignment="1" applyProtection="1">
      <alignment vertical="top"/>
      <protection locked="0"/>
    </xf>
    <xf numFmtId="0" fontId="1" fillId="0" borderId="15" xfId="0" applyFont="1" applyFill="1" applyBorder="1" applyAlignment="1" applyProtection="1">
      <alignment vertical="top"/>
      <protection locked="0"/>
    </xf>
    <xf numFmtId="4" fontId="6" fillId="0" borderId="1" xfId="0" applyNumberFormat="1" applyFont="1" applyBorder="1" applyAlignment="1" applyProtection="1">
      <alignment horizontal="right"/>
      <protection hidden="1"/>
    </xf>
    <xf numFmtId="4" fontId="1" fillId="2" borderId="1" xfId="0" applyNumberFormat="1" applyFont="1" applyFill="1" applyBorder="1" applyProtection="1">
      <protection hidden="1"/>
    </xf>
    <xf numFmtId="39" fontId="1" fillId="2" borderId="1" xfId="0" applyNumberFormat="1" applyFont="1" applyFill="1" applyBorder="1" applyProtection="1">
      <protection hidden="1"/>
    </xf>
    <xf numFmtId="4" fontId="6" fillId="2" borderId="1" xfId="0" applyNumberFormat="1" applyFont="1" applyFill="1" applyBorder="1" applyProtection="1">
      <protection hidden="1"/>
    </xf>
    <xf numFmtId="4" fontId="1" fillId="2" borderId="1" xfId="0" applyNumberFormat="1" applyFont="1" applyFill="1" applyBorder="1" applyAlignment="1" applyProtection="1">
      <alignment horizontal="right"/>
      <protection hidden="1"/>
    </xf>
    <xf numFmtId="4" fontId="7" fillId="0" borderId="1" xfId="0" applyNumberFormat="1" applyFont="1" applyFill="1" applyBorder="1"/>
    <xf numFmtId="4" fontId="1" fillId="0" borderId="6" xfId="0" applyNumberFormat="1" applyFont="1" applyBorder="1"/>
    <xf numFmtId="4" fontId="1" fillId="0" borderId="3" xfId="0" applyNumberFormat="1" applyFont="1" applyBorder="1"/>
    <xf numFmtId="4" fontId="1" fillId="2" borderId="1" xfId="0" applyNumberFormat="1" applyFont="1" applyFill="1" applyBorder="1" applyAlignment="1" applyProtection="1">
      <alignment horizontal="right"/>
    </xf>
    <xf numFmtId="49" fontId="5" fillId="0" borderId="7" xfId="0" applyNumberFormat="1" applyFont="1" applyFill="1" applyBorder="1" applyAlignment="1">
      <alignment vertical="top"/>
    </xf>
    <xf numFmtId="49" fontId="5" fillId="0" borderId="2" xfId="0" applyNumberFormat="1" applyFont="1" applyFill="1" applyBorder="1" applyAlignment="1">
      <alignment vertical="top"/>
    </xf>
    <xf numFmtId="4" fontId="1" fillId="2" borderId="1" xfId="0" applyNumberFormat="1" applyFont="1" applyFill="1" applyBorder="1" applyProtection="1"/>
    <xf numFmtId="164" fontId="2" fillId="0" borderId="5" xfId="0" applyNumberFormat="1" applyFont="1" applyFill="1" applyBorder="1" applyAlignment="1">
      <alignment vertical="top"/>
    </xf>
    <xf numFmtId="4" fontId="6" fillId="0" borderId="1" xfId="0" applyNumberFormat="1" applyFont="1" applyFill="1" applyBorder="1" applyProtection="1"/>
    <xf numFmtId="164" fontId="1" fillId="0" borderId="5" xfId="0" quotePrefix="1" applyNumberFormat="1" applyFont="1" applyFill="1" applyBorder="1" applyAlignment="1">
      <alignment horizontal="left"/>
    </xf>
    <xf numFmtId="4" fontId="6" fillId="2" borderId="9" xfId="0" applyNumberFormat="1" applyFont="1" applyFill="1" applyBorder="1" applyProtection="1"/>
    <xf numFmtId="39" fontId="6" fillId="2" borderId="9" xfId="0" applyNumberFormat="1" applyFont="1" applyFill="1" applyBorder="1" applyProtection="1"/>
    <xf numFmtId="39" fontId="1" fillId="2" borderId="1" xfId="0" applyNumberFormat="1" applyFont="1" applyFill="1" applyBorder="1" applyProtection="1"/>
    <xf numFmtId="0" fontId="1" fillId="0" borderId="5" xfId="0" applyFont="1" applyFill="1" applyBorder="1" applyAlignment="1" applyProtection="1">
      <alignment vertical="top"/>
      <protection locked="0"/>
    </xf>
    <xf numFmtId="164" fontId="1" fillId="0" borderId="5" xfId="0" applyNumberFormat="1" applyFont="1" applyFill="1" applyBorder="1" applyAlignment="1" applyProtection="1">
      <alignment vertical="top"/>
    </xf>
    <xf numFmtId="0" fontId="10" fillId="0" borderId="5" xfId="0" applyFont="1" applyFill="1" applyBorder="1" applyAlignment="1" applyProtection="1">
      <alignment vertical="top"/>
    </xf>
    <xf numFmtId="0" fontId="1" fillId="0" borderId="15" xfId="0" applyFont="1" applyFill="1" applyBorder="1" applyAlignment="1" applyProtection="1">
      <alignment vertical="top"/>
    </xf>
    <xf numFmtId="0" fontId="10" fillId="0" borderId="5" xfId="0" applyFont="1" applyFill="1" applyBorder="1" applyAlignment="1" applyProtection="1">
      <alignment vertical="top"/>
      <protection locked="0"/>
    </xf>
    <xf numFmtId="39" fontId="1" fillId="0" borderId="1" xfId="0" applyNumberFormat="1" applyFont="1" applyBorder="1" applyProtection="1"/>
    <xf numFmtId="39" fontId="6" fillId="0" borderId="1" xfId="0" applyNumberFormat="1" applyFont="1" applyBorder="1" applyProtection="1"/>
    <xf numFmtId="4" fontId="1" fillId="0" borderId="1" xfId="0" applyNumberFormat="1" applyFont="1" applyBorder="1" applyAlignment="1" applyProtection="1">
      <alignment horizontal="right"/>
    </xf>
    <xf numFmtId="0" fontId="1" fillId="0" borderId="4" xfId="0" applyFont="1" applyFill="1" applyBorder="1" applyAlignment="1" applyProtection="1">
      <alignment vertical="top"/>
      <protection locked="0"/>
    </xf>
    <xf numFmtId="4" fontId="6" fillId="3" borderId="1" xfId="0" applyNumberFormat="1" applyFont="1" applyFill="1" applyBorder="1" applyProtection="1">
      <protection hidden="1"/>
    </xf>
    <xf numFmtId="0" fontId="1" fillId="0" borderId="1" xfId="0" applyFont="1" applyBorder="1" applyAlignment="1" applyProtection="1">
      <alignment horizontal="center"/>
      <protection hidden="1"/>
    </xf>
    <xf numFmtId="4" fontId="1" fillId="3" borderId="1" xfId="0" applyNumberFormat="1" applyFont="1" applyFill="1" applyBorder="1" applyProtection="1"/>
    <xf numFmtId="4" fontId="6" fillId="3" borderId="1" xfId="0" applyNumberFormat="1" applyFont="1" applyFill="1" applyBorder="1" applyProtection="1"/>
    <xf numFmtId="39" fontId="1" fillId="3" borderId="1" xfId="0" applyNumberFormat="1" applyFont="1" applyFill="1" applyBorder="1" applyProtection="1"/>
    <xf numFmtId="0" fontId="1" fillId="0" borderId="15" xfId="0" applyFont="1" applyFill="1" applyBorder="1" applyAlignment="1" applyProtection="1">
      <alignment horizontal="left" vertical="top" wrapText="1"/>
    </xf>
    <xf numFmtId="0" fontId="2" fillId="0" borderId="12" xfId="0" applyFont="1" applyFill="1" applyBorder="1" applyAlignment="1" applyProtection="1">
      <alignment vertical="top"/>
    </xf>
    <xf numFmtId="0" fontId="1" fillId="0" borderId="8" xfId="0" applyFont="1" applyFill="1" applyBorder="1" applyAlignment="1" applyProtection="1">
      <alignment vertical="top"/>
    </xf>
    <xf numFmtId="0" fontId="1" fillId="0" borderId="5" xfId="0" applyFont="1" applyFill="1" applyBorder="1" applyAlignment="1" applyProtection="1">
      <alignment horizontal="left" vertical="top" wrapText="1"/>
    </xf>
    <xf numFmtId="0" fontId="1" fillId="0" borderId="14" xfId="0" applyFont="1" applyFill="1" applyBorder="1" applyAlignment="1" applyProtection="1">
      <alignment vertical="top"/>
    </xf>
    <xf numFmtId="0" fontId="1" fillId="0" borderId="15" xfId="0" applyFont="1" applyBorder="1" applyAlignment="1" applyProtection="1">
      <alignment horizontal="center"/>
    </xf>
    <xf numFmtId="49" fontId="2" fillId="0" borderId="2" xfId="0" applyNumberFormat="1" applyFont="1" applyFill="1" applyBorder="1" applyAlignment="1" applyProtection="1">
      <alignment vertical="top"/>
    </xf>
    <xf numFmtId="0" fontId="2" fillId="0" borderId="5" xfId="0" applyFont="1" applyFill="1" applyBorder="1" applyAlignment="1" applyProtection="1">
      <alignment vertical="top"/>
    </xf>
    <xf numFmtId="49" fontId="1" fillId="0" borderId="7" xfId="0" applyNumberFormat="1" applyFont="1" applyFill="1" applyBorder="1" applyAlignment="1" applyProtection="1">
      <alignment vertical="top"/>
    </xf>
    <xf numFmtId="0" fontId="1" fillId="0" borderId="0" xfId="0" applyFont="1" applyFill="1" applyBorder="1" applyAlignment="1" applyProtection="1">
      <alignment vertical="top"/>
    </xf>
    <xf numFmtId="0" fontId="1" fillId="0" borderId="6" xfId="0" applyFont="1" applyFill="1" applyBorder="1" applyAlignment="1" applyProtection="1">
      <alignment vertical="top"/>
    </xf>
    <xf numFmtId="164" fontId="1" fillId="0" borderId="0" xfId="0" applyNumberFormat="1" applyFont="1" applyFill="1" applyBorder="1" applyAlignment="1" applyProtection="1">
      <alignment vertical="top"/>
    </xf>
    <xf numFmtId="0" fontId="1" fillId="0" borderId="4" xfId="0" applyFont="1" applyFill="1" applyBorder="1" applyAlignment="1" applyProtection="1">
      <alignment vertical="top"/>
    </xf>
    <xf numFmtId="0" fontId="1" fillId="0" borderId="11" xfId="0" applyFont="1" applyFill="1" applyBorder="1" applyAlignment="1" applyProtection="1">
      <alignment vertical="top"/>
    </xf>
    <xf numFmtId="49" fontId="2" fillId="0" borderId="7" xfId="0" applyNumberFormat="1" applyFont="1" applyFill="1" applyBorder="1" applyAlignment="1" applyProtection="1">
      <alignment vertical="top"/>
    </xf>
    <xf numFmtId="0" fontId="2" fillId="0" borderId="0" xfId="0" applyFont="1" applyFill="1" applyBorder="1" applyAlignment="1" applyProtection="1">
      <alignment vertical="top"/>
    </xf>
    <xf numFmtId="49" fontId="2" fillId="0" borderId="2" xfId="0" quotePrefix="1" applyNumberFormat="1" applyFont="1" applyFill="1" applyBorder="1" applyAlignment="1" applyProtection="1">
      <alignment vertical="top"/>
    </xf>
    <xf numFmtId="49" fontId="2" fillId="0" borderId="7" xfId="0" quotePrefix="1" applyNumberFormat="1" applyFont="1" applyFill="1" applyBorder="1" applyAlignment="1" applyProtection="1">
      <alignment vertical="top"/>
    </xf>
    <xf numFmtId="0" fontId="2" fillId="0" borderId="2" xfId="0" applyFont="1" applyFill="1" applyBorder="1" applyAlignment="1" applyProtection="1">
      <alignment vertical="top"/>
    </xf>
    <xf numFmtId="164" fontId="1" fillId="0" borderId="0" xfId="0" quotePrefix="1" applyNumberFormat="1" applyFont="1" applyFill="1" applyBorder="1" applyAlignment="1" applyProtection="1">
      <alignment horizontal="left" vertical="top" wrapText="1"/>
    </xf>
    <xf numFmtId="164" fontId="1" fillId="0" borderId="5" xfId="0" quotePrefix="1" applyNumberFormat="1" applyFont="1" applyFill="1" applyBorder="1" applyAlignment="1" applyProtection="1">
      <alignment horizontal="left" vertical="top" wrapText="1"/>
    </xf>
    <xf numFmtId="164" fontId="1" fillId="0" borderId="0" xfId="0" quotePrefix="1" applyNumberFormat="1" applyFont="1" applyFill="1" applyBorder="1" applyAlignment="1" applyProtection="1">
      <alignment vertical="top"/>
    </xf>
    <xf numFmtId="49" fontId="1" fillId="0" borderId="2" xfId="0" quotePrefix="1" applyNumberFormat="1" applyFont="1" applyFill="1" applyBorder="1" applyAlignment="1" applyProtection="1">
      <alignment vertical="top"/>
    </xf>
    <xf numFmtId="49" fontId="1" fillId="0" borderId="7" xfId="0" quotePrefix="1" applyNumberFormat="1" applyFont="1" applyFill="1" applyBorder="1" applyAlignment="1" applyProtection="1">
      <alignment vertical="top"/>
    </xf>
    <xf numFmtId="0" fontId="1" fillId="0" borderId="0" xfId="0" quotePrefix="1" applyFont="1" applyFill="1" applyBorder="1" applyAlignment="1" applyProtection="1">
      <alignment vertical="top"/>
    </xf>
    <xf numFmtId="0" fontId="1" fillId="0" borderId="5" xfId="0" quotePrefix="1" applyFont="1" applyFill="1" applyBorder="1" applyAlignment="1" applyProtection="1">
      <alignment vertical="top"/>
    </xf>
    <xf numFmtId="0" fontId="11" fillId="0" borderId="5" xfId="0" applyFont="1" applyBorder="1" applyAlignment="1" applyProtection="1">
      <alignment vertical="top"/>
    </xf>
    <xf numFmtId="164" fontId="11" fillId="0" borderId="5" xfId="0" applyNumberFormat="1" applyFont="1" applyBorder="1" applyAlignment="1" applyProtection="1">
      <alignment vertical="top"/>
    </xf>
    <xf numFmtId="0" fontId="11" fillId="0" borderId="15" xfId="0" applyFont="1" applyFill="1" applyBorder="1" applyAlignment="1" applyProtection="1">
      <alignment vertical="top"/>
    </xf>
    <xf numFmtId="49" fontId="2" fillId="0" borderId="2" xfId="0" applyNumberFormat="1" applyFont="1" applyBorder="1" applyAlignment="1" applyProtection="1">
      <alignment vertical="top"/>
      <protection hidden="1"/>
    </xf>
    <xf numFmtId="0" fontId="1" fillId="0" borderId="5" xfId="0" applyFont="1" applyBorder="1" applyAlignment="1" applyProtection="1">
      <alignment vertical="top"/>
      <protection hidden="1"/>
    </xf>
    <xf numFmtId="0" fontId="1" fillId="0" borderId="5" xfId="0" applyFont="1" applyFill="1" applyBorder="1" applyAlignment="1" applyProtection="1">
      <alignment vertical="top"/>
      <protection hidden="1"/>
    </xf>
    <xf numFmtId="0" fontId="1" fillId="0" borderId="8" xfId="0" applyFont="1" applyBorder="1" applyAlignment="1" applyProtection="1">
      <alignment horizontal="center"/>
      <protection hidden="1"/>
    </xf>
    <xf numFmtId="4" fontId="1" fillId="0" borderId="1" xfId="0" applyNumberFormat="1" applyFont="1" applyBorder="1" applyProtection="1">
      <protection hidden="1"/>
    </xf>
    <xf numFmtId="4" fontId="1" fillId="0" borderId="1" xfId="0" applyNumberFormat="1" applyFont="1" applyFill="1" applyBorder="1" applyAlignment="1" applyProtection="1">
      <alignment horizontal="right"/>
      <protection hidden="1"/>
    </xf>
    <xf numFmtId="4" fontId="6" fillId="0" borderId="9" xfId="0" applyNumberFormat="1" applyFont="1" applyBorder="1" applyProtection="1">
      <protection locked="0"/>
    </xf>
    <xf numFmtId="39" fontId="6" fillId="0" borderId="9" xfId="0" applyNumberFormat="1" applyFont="1" applyBorder="1" applyProtection="1">
      <protection locked="0"/>
    </xf>
    <xf numFmtId="39" fontId="6" fillId="0" borderId="9" xfId="0" applyNumberFormat="1" applyFont="1" applyFill="1" applyBorder="1" applyProtection="1">
      <protection locked="0"/>
    </xf>
    <xf numFmtId="4" fontId="1" fillId="0" borderId="1" xfId="0" applyNumberFormat="1" applyFont="1" applyFill="1" applyBorder="1" applyProtection="1"/>
    <xf numFmtId="0" fontId="1" fillId="0" borderId="6" xfId="0" applyFont="1" applyFill="1" applyBorder="1" applyAlignment="1" applyProtection="1">
      <alignment horizontal="left" vertical="top" wrapText="1"/>
    </xf>
    <xf numFmtId="0" fontId="1" fillId="0" borderId="5" xfId="0" applyFont="1" applyBorder="1" applyAlignment="1" applyProtection="1">
      <alignment vertical="top"/>
    </xf>
    <xf numFmtId="49" fontId="2" fillId="0" borderId="13" xfId="0" applyNumberFormat="1" applyFont="1" applyFill="1" applyBorder="1" applyAlignment="1" applyProtection="1">
      <alignment vertical="top"/>
    </xf>
    <xf numFmtId="0" fontId="2" fillId="0" borderId="4" xfId="0" applyFont="1" applyFill="1" applyBorder="1" applyAlignment="1" applyProtection="1">
      <alignment vertical="top"/>
    </xf>
    <xf numFmtId="49" fontId="1" fillId="0" borderId="13" xfId="0" quotePrefix="1" applyNumberFormat="1" applyFont="1" applyBorder="1" applyAlignment="1" applyProtection="1">
      <alignment vertical="top"/>
    </xf>
    <xf numFmtId="0" fontId="1" fillId="0" borderId="4" xfId="0" applyFont="1" applyBorder="1" applyAlignment="1" applyProtection="1">
      <alignment vertical="top"/>
    </xf>
    <xf numFmtId="49" fontId="1" fillId="0" borderId="2" xfId="0" quotePrefix="1" applyNumberFormat="1" applyFont="1" applyBorder="1" applyAlignment="1" applyProtection="1">
      <alignment vertical="top"/>
    </xf>
    <xf numFmtId="49" fontId="2" fillId="0" borderId="2" xfId="0" applyNumberFormat="1" applyFont="1" applyBorder="1" applyAlignment="1" applyProtection="1">
      <alignment vertical="top"/>
    </xf>
    <xf numFmtId="4" fontId="7" fillId="2" borderId="1" xfId="0" applyNumberFormat="1" applyFont="1" applyFill="1" applyBorder="1" applyProtection="1">
      <protection hidden="1"/>
    </xf>
    <xf numFmtId="4" fontId="6" fillId="0" borderId="1" xfId="0" applyNumberFormat="1" applyFont="1" applyBorder="1" applyAlignment="1" applyProtection="1">
      <alignment vertical="top"/>
      <protection hidden="1"/>
    </xf>
    <xf numFmtId="4" fontId="6" fillId="0" borderId="9" xfId="0" applyNumberFormat="1" applyFont="1" applyBorder="1" applyProtection="1">
      <protection hidden="1"/>
    </xf>
    <xf numFmtId="4" fontId="6" fillId="0" borderId="9" xfId="0" applyNumberFormat="1" applyFont="1" applyFill="1" applyBorder="1" applyProtection="1">
      <protection hidden="1"/>
    </xf>
    <xf numFmtId="4" fontId="6" fillId="2" borderId="9" xfId="0" applyNumberFormat="1" applyFont="1" applyFill="1" applyBorder="1" applyProtection="1">
      <protection hidden="1"/>
    </xf>
    <xf numFmtId="39" fontId="6" fillId="2" borderId="1" xfId="0" applyNumberFormat="1" applyFont="1" applyFill="1" applyBorder="1" applyProtection="1">
      <protection hidden="1"/>
    </xf>
    <xf numFmtId="0" fontId="2" fillId="0" borderId="12" xfId="0" applyFont="1" applyFill="1" applyBorder="1" applyAlignment="1" applyProtection="1">
      <alignment vertical="top"/>
      <protection hidden="1"/>
    </xf>
    <xf numFmtId="0" fontId="1" fillId="0" borderId="8" xfId="0" applyFont="1" applyFill="1" applyBorder="1" applyAlignment="1" applyProtection="1">
      <alignment vertical="top"/>
      <protection hidden="1"/>
    </xf>
    <xf numFmtId="0" fontId="1" fillId="0" borderId="14" xfId="0" applyFont="1" applyFill="1" applyBorder="1" applyAlignment="1" applyProtection="1">
      <alignment vertical="top"/>
      <protection hidden="1"/>
    </xf>
    <xf numFmtId="49" fontId="2" fillId="0" borderId="2" xfId="0" applyNumberFormat="1" applyFont="1" applyFill="1" applyBorder="1" applyAlignment="1" applyProtection="1">
      <alignment vertical="top"/>
      <protection hidden="1"/>
    </xf>
    <xf numFmtId="0" fontId="2" fillId="0" borderId="5" xfId="0" applyFont="1" applyFill="1" applyBorder="1" applyAlignment="1" applyProtection="1">
      <alignment vertical="top"/>
      <protection hidden="1"/>
    </xf>
    <xf numFmtId="0" fontId="1" fillId="0" borderId="15" xfId="0" applyFont="1" applyFill="1" applyBorder="1" applyAlignment="1" applyProtection="1">
      <alignment vertical="top"/>
      <protection hidden="1"/>
    </xf>
    <xf numFmtId="0" fontId="1" fillId="0" borderId="6" xfId="0" applyFont="1" applyFill="1" applyBorder="1" applyAlignment="1" applyProtection="1">
      <alignment vertical="top"/>
      <protection hidden="1"/>
    </xf>
    <xf numFmtId="49" fontId="1" fillId="0" borderId="7" xfId="0" applyNumberFormat="1" applyFont="1" applyFill="1" applyBorder="1" applyAlignment="1" applyProtection="1">
      <alignment vertical="top"/>
      <protection hidden="1"/>
    </xf>
    <xf numFmtId="0" fontId="1" fillId="0" borderId="0" xfId="0" applyFont="1" applyFill="1" applyBorder="1" applyAlignment="1" applyProtection="1">
      <alignment vertical="top"/>
      <protection hidden="1"/>
    </xf>
    <xf numFmtId="49" fontId="1" fillId="0" borderId="2" xfId="0" applyNumberFormat="1" applyFont="1" applyFill="1" applyBorder="1" applyAlignment="1" applyProtection="1">
      <alignment vertical="top"/>
      <protection hidden="1"/>
    </xf>
    <xf numFmtId="0" fontId="1" fillId="0" borderId="5" xfId="0" quotePrefix="1" applyFont="1" applyFill="1" applyBorder="1" applyAlignment="1" applyProtection="1">
      <alignment vertical="top"/>
      <protection hidden="1"/>
    </xf>
    <xf numFmtId="0" fontId="1" fillId="0" borderId="11" xfId="0" applyFont="1" applyFill="1" applyBorder="1" applyAlignment="1" applyProtection="1">
      <alignment vertical="top"/>
      <protection hidden="1"/>
    </xf>
    <xf numFmtId="0" fontId="4" fillId="0" borderId="1" xfId="0" applyFont="1" applyBorder="1" applyAlignment="1" applyProtection="1">
      <alignment horizontal="center"/>
      <protection hidden="1"/>
    </xf>
    <xf numFmtId="0" fontId="1" fillId="0" borderId="0" xfId="0" quotePrefix="1" applyFont="1" applyFill="1" applyBorder="1" applyAlignment="1" applyProtection="1">
      <alignment vertical="top"/>
      <protection hidden="1"/>
    </xf>
    <xf numFmtId="164" fontId="1" fillId="0" borderId="0" xfId="0" applyNumberFormat="1" applyFont="1" applyFill="1" applyBorder="1" applyAlignment="1" applyProtection="1">
      <alignment vertical="top"/>
      <protection hidden="1"/>
    </xf>
    <xf numFmtId="0" fontId="1" fillId="0" borderId="4" xfId="0" applyFont="1" applyFill="1" applyBorder="1" applyAlignment="1" applyProtection="1">
      <alignment vertical="top"/>
      <protection hidden="1"/>
    </xf>
    <xf numFmtId="49" fontId="2" fillId="0" borderId="7" xfId="0" applyNumberFormat="1" applyFont="1" applyFill="1" applyBorder="1" applyAlignment="1" applyProtection="1">
      <alignment vertical="top"/>
      <protection hidden="1"/>
    </xf>
    <xf numFmtId="0" fontId="2" fillId="0" borderId="0" xfId="0" applyFont="1" applyFill="1" applyBorder="1" applyAlignment="1" applyProtection="1">
      <alignment vertical="top"/>
      <protection hidden="1"/>
    </xf>
    <xf numFmtId="164" fontId="1" fillId="0" borderId="5" xfId="0" applyNumberFormat="1" applyFont="1" applyFill="1" applyBorder="1" applyAlignment="1" applyProtection="1">
      <alignment vertical="top"/>
      <protection hidden="1"/>
    </xf>
    <xf numFmtId="164" fontId="1" fillId="0" borderId="15" xfId="0" applyNumberFormat="1" applyFont="1" applyFill="1" applyBorder="1" applyAlignment="1" applyProtection="1">
      <alignment vertical="top"/>
      <protection hidden="1"/>
    </xf>
    <xf numFmtId="49" fontId="2" fillId="0" borderId="2" xfId="0" quotePrefix="1" applyNumberFormat="1" applyFont="1" applyFill="1" applyBorder="1" applyAlignment="1" applyProtection="1">
      <alignment vertical="top"/>
      <protection hidden="1"/>
    </xf>
    <xf numFmtId="0" fontId="2" fillId="0" borderId="7" xfId="0" applyFont="1" applyFill="1" applyBorder="1" applyAlignment="1" applyProtection="1">
      <alignment vertical="top"/>
      <protection hidden="1"/>
    </xf>
    <xf numFmtId="164" fontId="1" fillId="0" borderId="6" xfId="0" applyNumberFormat="1" applyFont="1" applyFill="1" applyBorder="1" applyAlignment="1" applyProtection="1">
      <alignment vertical="top" wrapText="1"/>
      <protection hidden="1"/>
    </xf>
    <xf numFmtId="164" fontId="1" fillId="0" borderId="6" xfId="0" applyNumberFormat="1" applyFont="1" applyFill="1" applyBorder="1" applyAlignment="1" applyProtection="1">
      <alignment horizontal="left" vertical="top" wrapText="1"/>
      <protection hidden="1"/>
    </xf>
    <xf numFmtId="164" fontId="1" fillId="0" borderId="0" xfId="0" applyNumberFormat="1" applyFont="1" applyFill="1" applyBorder="1" applyAlignment="1" applyProtection="1">
      <alignment vertical="top" wrapText="1"/>
      <protection hidden="1"/>
    </xf>
    <xf numFmtId="164" fontId="1" fillId="0" borderId="5" xfId="0" quotePrefix="1" applyNumberFormat="1" applyFont="1" applyFill="1" applyBorder="1" applyAlignment="1" applyProtection="1">
      <alignment horizontal="left" vertical="top" wrapText="1"/>
      <protection hidden="1"/>
    </xf>
    <xf numFmtId="164" fontId="1" fillId="0" borderId="15" xfId="0" applyNumberFormat="1" applyFont="1" applyFill="1" applyBorder="1" applyAlignment="1" applyProtection="1">
      <alignment horizontal="left" vertical="top" wrapText="1"/>
      <protection hidden="1"/>
    </xf>
    <xf numFmtId="164" fontId="1" fillId="0" borderId="0" xfId="0" quotePrefix="1" applyNumberFormat="1" applyFont="1" applyFill="1" applyBorder="1" applyAlignment="1" applyProtection="1">
      <alignment horizontal="left" vertical="top" wrapText="1"/>
      <protection hidden="1"/>
    </xf>
    <xf numFmtId="164" fontId="1" fillId="0" borderId="5" xfId="0" quotePrefix="1" applyNumberFormat="1" applyFont="1" applyFill="1" applyBorder="1" applyAlignment="1" applyProtection="1">
      <alignment vertical="top"/>
      <protection hidden="1"/>
    </xf>
    <xf numFmtId="0" fontId="1" fillId="0" borderId="1" xfId="0" applyFont="1" applyFill="1" applyBorder="1" applyAlignment="1" applyProtection="1">
      <alignment horizontal="center"/>
      <protection hidden="1"/>
    </xf>
    <xf numFmtId="49" fontId="2" fillId="0" borderId="13" xfId="0" applyNumberFormat="1" applyFont="1" applyFill="1" applyBorder="1" applyAlignment="1" applyProtection="1">
      <alignment vertical="top"/>
      <protection hidden="1"/>
    </xf>
    <xf numFmtId="49" fontId="1" fillId="0" borderId="13" xfId="0" applyNumberFormat="1" applyFont="1" applyFill="1" applyBorder="1" applyAlignment="1" applyProtection="1">
      <alignment vertical="top"/>
      <protection hidden="1"/>
    </xf>
    <xf numFmtId="0" fontId="1" fillId="0" borderId="4" xfId="0" quotePrefix="1" applyFont="1" applyFill="1" applyBorder="1" applyAlignment="1" applyProtection="1">
      <alignment vertical="top"/>
      <protection hidden="1"/>
    </xf>
    <xf numFmtId="0" fontId="1" fillId="0" borderId="1" xfId="0" applyFont="1" applyFill="1" applyBorder="1" applyAlignment="1" applyProtection="1">
      <alignment vertical="top"/>
    </xf>
    <xf numFmtId="49" fontId="5" fillId="0" borderId="7" xfId="0" applyNumberFormat="1" applyFont="1" applyFill="1" applyBorder="1" applyAlignment="1" applyProtection="1">
      <alignment vertical="top"/>
    </xf>
    <xf numFmtId="49" fontId="5" fillId="0" borderId="2" xfId="0" applyNumberFormat="1" applyFont="1" applyFill="1" applyBorder="1" applyAlignment="1" applyProtection="1">
      <alignment vertical="top"/>
    </xf>
    <xf numFmtId="164" fontId="1" fillId="0" borderId="0" xfId="0" applyNumberFormat="1" applyFont="1" applyFill="1" applyBorder="1" applyAlignment="1" applyProtection="1">
      <alignment horizontal="right" vertical="top"/>
    </xf>
    <xf numFmtId="164" fontId="2" fillId="0" borderId="5" xfId="0" applyNumberFormat="1" applyFont="1" applyFill="1" applyBorder="1" applyAlignment="1" applyProtection="1">
      <alignment vertical="top"/>
    </xf>
    <xf numFmtId="0" fontId="2" fillId="0" borderId="12" xfId="0" applyFont="1" applyBorder="1" applyAlignment="1" applyProtection="1">
      <alignment vertical="top"/>
      <protection hidden="1"/>
    </xf>
    <xf numFmtId="0" fontId="1" fillId="0" borderId="8" xfId="0" applyFont="1" applyBorder="1" applyAlignment="1" applyProtection="1">
      <alignment vertical="top"/>
      <protection hidden="1"/>
    </xf>
    <xf numFmtId="0" fontId="1" fillId="0" borderId="14" xfId="0" applyFont="1" applyBorder="1" applyAlignment="1" applyProtection="1">
      <alignment vertical="top"/>
      <protection hidden="1"/>
    </xf>
    <xf numFmtId="0" fontId="2" fillId="0" borderId="5" xfId="0" applyFont="1" applyBorder="1" applyAlignment="1" applyProtection="1">
      <alignment vertical="top"/>
      <protection hidden="1"/>
    </xf>
    <xf numFmtId="0" fontId="1" fillId="0" borderId="15" xfId="0" applyFont="1" applyBorder="1" applyAlignment="1" applyProtection="1">
      <alignment vertical="top"/>
      <protection hidden="1"/>
    </xf>
    <xf numFmtId="49" fontId="1" fillId="0" borderId="7" xfId="0" applyNumberFormat="1" applyFont="1" applyBorder="1" applyAlignment="1" applyProtection="1">
      <alignment vertical="top"/>
      <protection hidden="1"/>
    </xf>
    <xf numFmtId="0" fontId="1" fillId="0" borderId="0" xfId="0" applyFont="1" applyBorder="1" applyAlignment="1" applyProtection="1">
      <alignment vertical="top"/>
      <protection hidden="1"/>
    </xf>
    <xf numFmtId="0" fontId="1" fillId="0" borderId="6" xfId="0" applyFont="1" applyBorder="1" applyAlignment="1" applyProtection="1">
      <alignment vertical="top"/>
      <protection hidden="1"/>
    </xf>
    <xf numFmtId="49" fontId="1" fillId="0" borderId="2" xfId="0" applyNumberFormat="1" applyFont="1" applyBorder="1" applyAlignment="1" applyProtection="1">
      <alignment vertical="top"/>
      <protection hidden="1"/>
    </xf>
    <xf numFmtId="0" fontId="1" fillId="0" borderId="5" xfId="0" quotePrefix="1" applyFont="1" applyBorder="1" applyAlignment="1" applyProtection="1">
      <alignment vertical="top"/>
      <protection hidden="1"/>
    </xf>
    <xf numFmtId="0" fontId="1" fillId="0" borderId="0" xfId="0" quotePrefix="1" applyFont="1" applyBorder="1" applyAlignment="1" applyProtection="1">
      <alignment vertical="top"/>
      <protection hidden="1"/>
    </xf>
    <xf numFmtId="49" fontId="2" fillId="0" borderId="7" xfId="0" applyNumberFormat="1" applyFont="1" applyBorder="1" applyAlignment="1" applyProtection="1">
      <alignment vertical="top"/>
      <protection hidden="1"/>
    </xf>
    <xf numFmtId="0" fontId="2" fillId="0" borderId="0" xfId="0" applyFont="1" applyBorder="1" applyAlignment="1" applyProtection="1">
      <alignment vertical="top"/>
      <protection hidden="1"/>
    </xf>
    <xf numFmtId="49" fontId="2" fillId="0" borderId="2" xfId="0" quotePrefix="1" applyNumberFormat="1" applyFont="1" applyBorder="1" applyAlignment="1" applyProtection="1">
      <alignment vertical="top"/>
      <protection hidden="1"/>
    </xf>
    <xf numFmtId="164" fontId="1" fillId="0" borderId="5" xfId="0" applyNumberFormat="1" applyFont="1" applyBorder="1" applyAlignment="1" applyProtection="1">
      <alignment vertical="top"/>
      <protection hidden="1"/>
    </xf>
    <xf numFmtId="49" fontId="2" fillId="0" borderId="13" xfId="0" applyNumberFormat="1" applyFont="1" applyBorder="1" applyAlignment="1" applyProtection="1">
      <alignment vertical="center"/>
      <protection hidden="1"/>
    </xf>
    <xf numFmtId="0" fontId="1" fillId="0" borderId="4" xfId="0" applyFont="1" applyBorder="1" applyAlignment="1" applyProtection="1">
      <alignment vertical="top"/>
      <protection hidden="1"/>
    </xf>
    <xf numFmtId="0" fontId="1" fillId="0" borderId="11" xfId="0" applyFont="1" applyBorder="1" applyAlignment="1" applyProtection="1">
      <alignment vertical="top"/>
      <protection hidden="1"/>
    </xf>
    <xf numFmtId="164" fontId="1" fillId="0" borderId="15" xfId="0" applyNumberFormat="1" applyFont="1" applyFill="1" applyBorder="1" applyAlignment="1" applyProtection="1">
      <alignment vertical="top" wrapText="1"/>
      <protection hidden="1"/>
    </xf>
    <xf numFmtId="0" fontId="2" fillId="0" borderId="2" xfId="0" applyFont="1" applyFill="1" applyBorder="1" applyAlignment="1" applyProtection="1">
      <alignment vertical="top"/>
      <protection hidden="1"/>
    </xf>
    <xf numFmtId="164" fontId="1" fillId="0" borderId="4" xfId="0" applyNumberFormat="1" applyFont="1" applyFill="1" applyBorder="1" applyAlignment="1" applyProtection="1">
      <alignment vertical="top"/>
      <protection hidden="1"/>
    </xf>
    <xf numFmtId="49" fontId="2" fillId="0" borderId="7" xfId="0" quotePrefix="1" applyNumberFormat="1" applyFont="1" applyFill="1" applyBorder="1" applyAlignment="1" applyProtection="1">
      <alignment vertical="top"/>
      <protection hidden="1"/>
    </xf>
    <xf numFmtId="0" fontId="1" fillId="0" borderId="5" xfId="0" applyFont="1" applyBorder="1" applyProtection="1">
      <protection hidden="1"/>
    </xf>
    <xf numFmtId="49" fontId="1" fillId="0" borderId="2" xfId="0" quotePrefix="1" applyNumberFormat="1" applyFont="1" applyFill="1" applyBorder="1" applyAlignment="1" applyProtection="1">
      <alignment vertical="top"/>
      <protection hidden="1"/>
    </xf>
    <xf numFmtId="0" fontId="1" fillId="0" borderId="15" xfId="0" applyFont="1" applyFill="1" applyBorder="1" applyAlignment="1" applyProtection="1">
      <alignment horizontal="left" vertical="top" wrapText="1"/>
      <protection hidden="1"/>
    </xf>
    <xf numFmtId="49" fontId="1" fillId="0" borderId="7" xfId="0" quotePrefix="1" applyNumberFormat="1" applyFont="1" applyFill="1" applyBorder="1" applyAlignment="1" applyProtection="1">
      <alignment vertical="top"/>
      <protection hidden="1"/>
    </xf>
    <xf numFmtId="0" fontId="1" fillId="0" borderId="6" xfId="0" applyFont="1" applyFill="1" applyBorder="1" applyAlignment="1" applyProtection="1">
      <alignment horizontal="left" vertical="top" wrapText="1"/>
      <protection hidden="1"/>
    </xf>
    <xf numFmtId="49" fontId="1" fillId="0" borderId="13" xfId="0" quotePrefix="1" applyNumberFormat="1" applyFont="1" applyFill="1" applyBorder="1" applyAlignment="1" applyProtection="1">
      <alignment vertical="top"/>
      <protection hidden="1"/>
    </xf>
    <xf numFmtId="39" fontId="6" fillId="3" borderId="1" xfId="0" applyNumberFormat="1" applyFont="1" applyFill="1" applyBorder="1" applyProtection="1">
      <protection hidden="1"/>
    </xf>
    <xf numFmtId="39" fontId="6" fillId="0" borderId="1" xfId="0" applyNumberFormat="1" applyFont="1" applyBorder="1" applyAlignment="1" applyProtection="1">
      <alignment horizontal="right" vertical="top"/>
      <protection hidden="1"/>
    </xf>
    <xf numFmtId="4" fontId="6" fillId="0" borderId="1" xfId="0" applyNumberFormat="1" applyFont="1" applyBorder="1" applyAlignment="1" applyProtection="1">
      <alignment horizontal="right" vertical="top"/>
      <protection hidden="1"/>
    </xf>
    <xf numFmtId="49" fontId="2" fillId="0" borderId="13" xfId="0" applyNumberFormat="1" applyFont="1" applyFill="1" applyBorder="1" applyAlignment="1" applyProtection="1">
      <alignment vertical="center"/>
      <protection hidden="1"/>
    </xf>
    <xf numFmtId="0" fontId="1" fillId="0" borderId="4" xfId="0" applyFont="1" applyFill="1" applyBorder="1" applyAlignment="1" applyProtection="1">
      <alignment vertical="center"/>
      <protection hidden="1"/>
    </xf>
    <xf numFmtId="0" fontId="1" fillId="0" borderId="11" xfId="0" applyFont="1" applyFill="1" applyBorder="1" applyAlignment="1" applyProtection="1">
      <alignment vertical="center"/>
      <protection hidden="1"/>
    </xf>
    <xf numFmtId="49" fontId="2" fillId="0" borderId="12" xfId="0" applyNumberFormat="1" applyFont="1" applyFill="1" applyBorder="1" applyAlignment="1" applyProtection="1">
      <alignment vertical="top"/>
      <protection hidden="1"/>
    </xf>
    <xf numFmtId="0" fontId="2" fillId="0" borderId="8" xfId="0" applyFont="1" applyFill="1" applyBorder="1" applyAlignment="1" applyProtection="1">
      <alignment vertical="top"/>
      <protection hidden="1"/>
    </xf>
    <xf numFmtId="49" fontId="2" fillId="0" borderId="6" xfId="0" applyNumberFormat="1" applyFont="1" applyFill="1" applyBorder="1" applyAlignment="1" applyProtection="1">
      <alignment vertical="top"/>
      <protection hidden="1"/>
    </xf>
    <xf numFmtId="0" fontId="2" fillId="0" borderId="7" xfId="0" quotePrefix="1" applyFont="1" applyFill="1" applyBorder="1" applyAlignment="1" applyProtection="1">
      <alignment vertical="top"/>
      <protection hidden="1"/>
    </xf>
    <xf numFmtId="0" fontId="2" fillId="0" borderId="2" xfId="0" quotePrefix="1" applyFont="1" applyFill="1" applyBorder="1" applyAlignment="1" applyProtection="1">
      <alignment vertical="top"/>
      <protection hidden="1"/>
    </xf>
    <xf numFmtId="4" fontId="7" fillId="0" borderId="1" xfId="0" applyNumberFormat="1" applyFont="1" applyFill="1" applyBorder="1" applyProtection="1">
      <protection hidden="1"/>
    </xf>
    <xf numFmtId="49" fontId="1" fillId="0" borderId="15" xfId="0" quotePrefix="1" applyNumberFormat="1" applyFont="1" applyBorder="1" applyAlignment="1" applyProtection="1">
      <alignment horizontal="center"/>
      <protection hidden="1"/>
    </xf>
    <xf numFmtId="49" fontId="1" fillId="0" borderId="15" xfId="0" applyNumberFormat="1" applyFont="1" applyBorder="1" applyAlignment="1" applyProtection="1">
      <alignment horizontal="center"/>
      <protection hidden="1"/>
    </xf>
    <xf numFmtId="49" fontId="1" fillId="0" borderId="1" xfId="0" quotePrefix="1" applyNumberFormat="1" applyFont="1" applyBorder="1" applyAlignment="1" applyProtection="1">
      <alignment horizontal="center"/>
    </xf>
    <xf numFmtId="49" fontId="1" fillId="0" borderId="1" xfId="0" quotePrefix="1" applyNumberFormat="1" applyFont="1" applyBorder="1" applyAlignment="1" applyProtection="1">
      <alignment horizontal="center"/>
      <protection hidden="1"/>
    </xf>
    <xf numFmtId="49" fontId="1" fillId="0" borderId="15" xfId="0" quotePrefix="1" applyNumberFormat="1" applyFont="1" applyBorder="1" applyAlignment="1">
      <alignment horizontal="center"/>
    </xf>
    <xf numFmtId="49" fontId="1" fillId="0" borderId="1" xfId="0" quotePrefix="1" applyNumberFormat="1" applyFont="1" applyBorder="1" applyAlignment="1">
      <alignment horizontal="center"/>
    </xf>
    <xf numFmtId="49" fontId="1" fillId="0" borderId="1" xfId="0" applyNumberFormat="1" applyFont="1" applyBorder="1" applyAlignment="1" applyProtection="1">
      <alignment horizontal="center"/>
    </xf>
    <xf numFmtId="49" fontId="1" fillId="0" borderId="9" xfId="0" quotePrefix="1" applyNumberFormat="1" applyFont="1" applyBorder="1" applyAlignment="1" applyProtection="1">
      <alignment horizontal="center"/>
    </xf>
    <xf numFmtId="49" fontId="1" fillId="0" borderId="15" xfId="0" quotePrefix="1" applyNumberFormat="1" applyFont="1" applyBorder="1" applyAlignment="1" applyProtection="1">
      <alignment horizontal="center"/>
    </xf>
    <xf numFmtId="49" fontId="1" fillId="0" borderId="15" xfId="0" applyNumberFormat="1" applyFont="1" applyBorder="1" applyAlignment="1" applyProtection="1">
      <alignment horizontal="center"/>
    </xf>
    <xf numFmtId="49" fontId="1" fillId="0" borderId="15" xfId="0" quotePrefix="1" applyNumberFormat="1" applyFont="1" applyBorder="1" applyAlignment="1" applyProtection="1">
      <alignment horizontal="center" vertical="top"/>
    </xf>
    <xf numFmtId="49" fontId="1" fillId="0" borderId="14" xfId="0" quotePrefix="1" applyNumberFormat="1" applyFont="1" applyBorder="1" applyAlignment="1" applyProtection="1">
      <alignment horizontal="center"/>
    </xf>
    <xf numFmtId="49" fontId="1" fillId="0" borderId="1" xfId="0" quotePrefix="1" applyNumberFormat="1" applyFont="1" applyFill="1" applyBorder="1" applyAlignment="1" applyProtection="1">
      <alignment horizontal="center"/>
      <protection hidden="1"/>
    </xf>
    <xf numFmtId="49" fontId="1" fillId="0" borderId="1" xfId="0" applyNumberFormat="1" applyFont="1" applyFill="1" applyBorder="1" applyAlignment="1" applyProtection="1">
      <alignment vertical="top"/>
    </xf>
    <xf numFmtId="49" fontId="1" fillId="0" borderId="1" xfId="0" applyNumberFormat="1" applyFont="1" applyBorder="1" applyAlignment="1" applyProtection="1">
      <alignment horizontal="center"/>
      <protection hidden="1"/>
    </xf>
    <xf numFmtId="49" fontId="1" fillId="0" borderId="1" xfId="0" quotePrefix="1" applyNumberFormat="1" applyFont="1" applyBorder="1" applyAlignment="1" applyProtection="1">
      <alignment horizontal="center" vertical="top"/>
      <protection hidden="1"/>
    </xf>
    <xf numFmtId="49" fontId="1" fillId="0" borderId="1" xfId="0" applyNumberFormat="1" applyFont="1" applyBorder="1" applyAlignment="1">
      <alignment horizontal="center"/>
    </xf>
    <xf numFmtId="49" fontId="1" fillId="0" borderId="1" xfId="0" quotePrefix="1" applyNumberFormat="1" applyFont="1" applyFill="1" applyBorder="1" applyAlignment="1" applyProtection="1">
      <alignment horizontal="center" vertical="top"/>
      <protection hidden="1"/>
    </xf>
    <xf numFmtId="164" fontId="1" fillId="0" borderId="0" xfId="0" quotePrefix="1" applyNumberFormat="1" applyFont="1" applyFill="1" applyBorder="1" applyAlignment="1" applyProtection="1">
      <alignment vertical="top"/>
      <protection hidden="1"/>
    </xf>
    <xf numFmtId="0" fontId="2" fillId="0" borderId="4" xfId="0" applyFont="1" applyFill="1" applyBorder="1" applyAlignment="1" applyProtection="1">
      <alignment vertical="top"/>
      <protection hidden="1"/>
    </xf>
    <xf numFmtId="164" fontId="1" fillId="0" borderId="4" xfId="0" quotePrefix="1" applyNumberFormat="1" applyFont="1" applyFill="1" applyBorder="1" applyAlignment="1" applyProtection="1">
      <alignment vertical="top"/>
      <protection hidden="1"/>
    </xf>
    <xf numFmtId="4" fontId="6" fillId="4" borderId="1" xfId="0" applyNumberFormat="1" applyFont="1" applyFill="1" applyBorder="1"/>
    <xf numFmtId="49" fontId="1" fillId="0" borderId="15" xfId="0" quotePrefix="1" applyNumberFormat="1" applyFont="1" applyBorder="1" applyAlignment="1" applyProtection="1">
      <alignment horizontal="center" vertical="top"/>
      <protection hidden="1"/>
    </xf>
    <xf numFmtId="49" fontId="1" fillId="0" borderId="12" xfId="0" applyNumberFormat="1" applyFont="1" applyFill="1" applyBorder="1" applyAlignment="1">
      <alignment vertical="top"/>
    </xf>
    <xf numFmtId="49" fontId="1" fillId="0" borderId="5" xfId="0" quotePrefix="1" applyNumberFormat="1" applyFont="1" applyBorder="1" applyAlignment="1" applyProtection="1">
      <alignment horizontal="left" vertical="top"/>
      <protection hidden="1"/>
    </xf>
    <xf numFmtId="4" fontId="6" fillId="0" borderId="1" xfId="0" applyNumberFormat="1" applyFont="1" applyBorder="1" applyAlignment="1" applyProtection="1">
      <protection hidden="1"/>
    </xf>
    <xf numFmtId="4" fontId="6" fillId="4" borderId="1" xfId="0" applyNumberFormat="1" applyFont="1" applyFill="1" applyBorder="1" applyProtection="1">
      <protection hidden="1"/>
    </xf>
    <xf numFmtId="0" fontId="1" fillId="0" borderId="7" xfId="0" applyFont="1" applyBorder="1"/>
    <xf numFmtId="39" fontId="6" fillId="0" borderId="1" xfId="0" applyNumberFormat="1" applyFont="1" applyBorder="1" applyAlignment="1" applyProtection="1">
      <alignment vertical="top"/>
      <protection hidden="1"/>
    </xf>
    <xf numFmtId="49" fontId="1" fillId="0" borderId="1" xfId="0" quotePrefix="1" applyNumberFormat="1" applyFont="1" applyBorder="1" applyAlignment="1" applyProtection="1">
      <alignment horizontal="center" vertical="top"/>
    </xf>
    <xf numFmtId="0" fontId="3" fillId="0" borderId="0" xfId="0" applyFont="1" applyAlignment="1">
      <alignment horizontal="left"/>
    </xf>
    <xf numFmtId="0" fontId="12" fillId="5" borderId="0" xfId="0" applyFont="1" applyFill="1" applyProtection="1">
      <protection locked="0"/>
    </xf>
    <xf numFmtId="0" fontId="12" fillId="5" borderId="0" xfId="0" applyFont="1" applyFill="1"/>
    <xf numFmtId="1" fontId="12" fillId="5" borderId="0" xfId="0" applyNumberFormat="1" applyFont="1" applyFill="1"/>
    <xf numFmtId="164" fontId="1" fillId="0" borderId="0" xfId="0" applyNumberFormat="1" applyFont="1" applyFill="1" applyBorder="1" applyAlignment="1">
      <alignment horizontal="left" vertical="top" wrapText="1"/>
    </xf>
    <xf numFmtId="164" fontId="1" fillId="0" borderId="6" xfId="0" applyNumberFormat="1" applyFont="1" applyFill="1" applyBorder="1" applyAlignment="1">
      <alignment horizontal="left" vertical="top" wrapText="1"/>
    </xf>
    <xf numFmtId="0" fontId="2" fillId="0" borderId="13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164" fontId="1" fillId="0" borderId="5" xfId="0" applyNumberFormat="1" applyFont="1" applyFill="1" applyBorder="1" applyAlignment="1">
      <alignment horizontal="left" vertical="top" wrapText="1"/>
    </xf>
    <xf numFmtId="164" fontId="1" fillId="0" borderId="15" xfId="0" applyNumberFormat="1" applyFont="1" applyFill="1" applyBorder="1" applyAlignment="1">
      <alignment horizontal="left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0" xfId="0" applyFont="1" applyFill="1" applyBorder="1" applyAlignment="1">
      <alignment horizontal="left" vertical="top" wrapText="1"/>
    </xf>
    <xf numFmtId="0" fontId="1" fillId="0" borderId="6" xfId="0" applyFont="1" applyFill="1" applyBorder="1" applyAlignment="1">
      <alignment horizontal="left" vertical="top" wrapText="1"/>
    </xf>
    <xf numFmtId="0" fontId="2" fillId="0" borderId="1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1" fillId="0" borderId="15" xfId="0" applyFont="1" applyFill="1" applyBorder="1" applyAlignment="1">
      <alignment horizontal="left" vertical="top" wrapText="1"/>
    </xf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/>
    <xf numFmtId="49" fontId="1" fillId="0" borderId="5" xfId="0" quotePrefix="1" applyNumberFormat="1" applyFont="1" applyBorder="1" applyAlignment="1" applyProtection="1">
      <alignment horizontal="left" vertical="top" wrapText="1"/>
      <protection hidden="1"/>
    </xf>
    <xf numFmtId="49" fontId="1" fillId="0" borderId="15" xfId="0" quotePrefix="1" applyNumberFormat="1" applyFont="1" applyBorder="1" applyAlignment="1" applyProtection="1">
      <alignment horizontal="left" vertical="top" wrapText="1"/>
      <protection hidden="1"/>
    </xf>
    <xf numFmtId="0" fontId="3" fillId="0" borderId="0" xfId="0" applyFont="1" applyAlignment="1">
      <alignment horizontal="left" wrapText="1"/>
    </xf>
    <xf numFmtId="0" fontId="2" fillId="0" borderId="2" xfId="0" applyFont="1" applyBorder="1" applyAlignment="1">
      <alignment horizontal="center" vertical="center"/>
    </xf>
    <xf numFmtId="0" fontId="1" fillId="0" borderId="5" xfId="0" applyFont="1" applyBorder="1"/>
    <xf numFmtId="0" fontId="1" fillId="0" borderId="15" xfId="0" applyFont="1" applyBorder="1"/>
    <xf numFmtId="0" fontId="2" fillId="0" borderId="15" xfId="0" applyFont="1" applyBorder="1" applyAlignment="1">
      <alignment horizontal="center" vertical="center"/>
    </xf>
    <xf numFmtId="0" fontId="1" fillId="0" borderId="5" xfId="0" applyFont="1" applyFill="1" applyBorder="1" applyAlignment="1">
      <alignment horizontal="left" wrapText="1"/>
    </xf>
    <xf numFmtId="0" fontId="1" fillId="0" borderId="5" xfId="0" applyFont="1" applyFill="1" applyBorder="1" applyAlignment="1">
      <alignment horizontal="left"/>
    </xf>
    <xf numFmtId="0" fontId="1" fillId="0" borderId="15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left" wrapText="1"/>
    </xf>
    <xf numFmtId="0" fontId="1" fillId="0" borderId="0" xfId="0" applyFont="1" applyFill="1" applyBorder="1" applyAlignment="1">
      <alignment horizontal="left"/>
    </xf>
    <xf numFmtId="0" fontId="1" fillId="0" borderId="6" xfId="0" applyFont="1" applyFill="1" applyBorder="1" applyAlignment="1">
      <alignment horizontal="left"/>
    </xf>
    <xf numFmtId="0" fontId="2" fillId="0" borderId="13" xfId="0" applyFont="1" applyFill="1" applyBorder="1" applyAlignment="1"/>
    <xf numFmtId="0" fontId="1" fillId="0" borderId="4" xfId="0" applyFont="1" applyBorder="1" applyAlignment="1"/>
    <xf numFmtId="0" fontId="1" fillId="0" borderId="11" xfId="0" applyFont="1" applyBorder="1" applyAlignment="1"/>
    <xf numFmtId="0" fontId="1" fillId="0" borderId="5" xfId="0" applyFont="1" applyFill="1" applyBorder="1" applyAlignment="1">
      <alignment horizontal="left" vertical="top"/>
    </xf>
    <xf numFmtId="0" fontId="1" fillId="0" borderId="15" xfId="0" applyFont="1" applyFill="1" applyBorder="1" applyAlignment="1">
      <alignment horizontal="left" vertical="top"/>
    </xf>
    <xf numFmtId="0" fontId="2" fillId="0" borderId="5" xfId="0" applyFont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49" fontId="3" fillId="0" borderId="0" xfId="0" applyNumberFormat="1" applyFont="1" applyFill="1" applyBorder="1" applyAlignment="1">
      <alignment horizontal="left" vertical="center"/>
    </xf>
    <xf numFmtId="49" fontId="3" fillId="0" borderId="0" xfId="0" applyNumberFormat="1" applyFont="1" applyFill="1" applyAlignment="1">
      <alignment horizontal="left" vertical="center"/>
    </xf>
    <xf numFmtId="49" fontId="2" fillId="0" borderId="2" xfId="0" applyNumberFormat="1" applyFont="1" applyFill="1" applyBorder="1" applyAlignment="1">
      <alignment horizontal="center" vertical="center"/>
    </xf>
    <xf numFmtId="49" fontId="2" fillId="0" borderId="5" xfId="0" applyNumberFormat="1" applyFont="1" applyFill="1" applyBorder="1" applyAlignment="1">
      <alignment horizontal="center" vertical="center"/>
    </xf>
    <xf numFmtId="49" fontId="2" fillId="0" borderId="15" xfId="0" applyNumberFormat="1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2" fillId="0" borderId="15" xfId="0" applyFont="1" applyFill="1" applyBorder="1" applyAlignment="1">
      <alignment horizontal="center" vertical="center" wrapText="1"/>
    </xf>
    <xf numFmtId="0" fontId="2" fillId="0" borderId="12" xfId="0" applyFont="1" applyFill="1" applyBorder="1" applyAlignment="1">
      <alignment horizontal="center" vertical="center" wrapText="1"/>
    </xf>
    <xf numFmtId="0" fontId="2" fillId="0" borderId="13" xfId="0" applyFont="1" applyFill="1" applyBorder="1" applyAlignment="1">
      <alignment horizontal="center" vertical="center" wrapText="1"/>
    </xf>
    <xf numFmtId="0" fontId="2" fillId="0" borderId="12" xfId="0" applyFont="1" applyFill="1" applyBorder="1" applyAlignment="1" applyProtection="1">
      <alignment horizontal="center" vertical="center"/>
      <protection hidden="1"/>
    </xf>
    <xf numFmtId="0" fontId="2" fillId="0" borderId="8" xfId="0" applyFont="1" applyFill="1" applyBorder="1" applyAlignment="1" applyProtection="1">
      <alignment horizontal="center" vertical="center"/>
      <protection hidden="1"/>
    </xf>
    <xf numFmtId="0" fontId="2" fillId="0" borderId="14" xfId="0" applyFont="1" applyFill="1" applyBorder="1" applyAlignment="1" applyProtection="1">
      <alignment horizontal="center" vertical="center"/>
      <protection hidden="1"/>
    </xf>
    <xf numFmtId="0" fontId="2" fillId="0" borderId="7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center" vertical="center"/>
      <protection hidden="1"/>
    </xf>
    <xf numFmtId="0" fontId="2" fillId="0" borderId="6" xfId="0" applyFont="1" applyFill="1" applyBorder="1" applyAlignment="1" applyProtection="1">
      <alignment horizontal="center" vertical="center"/>
      <protection hidden="1"/>
    </xf>
    <xf numFmtId="0" fontId="2" fillId="0" borderId="13" xfId="0" applyFont="1" applyFill="1" applyBorder="1" applyAlignment="1" applyProtection="1">
      <alignment horizontal="center" vertical="center"/>
      <protection hidden="1"/>
    </xf>
    <xf numFmtId="0" fontId="2" fillId="0" borderId="4" xfId="0" applyFont="1" applyFill="1" applyBorder="1" applyAlignment="1" applyProtection="1">
      <alignment horizontal="center" vertical="center"/>
      <protection hidden="1"/>
    </xf>
    <xf numFmtId="0" fontId="2" fillId="0" borderId="11" xfId="0" applyFont="1" applyFill="1" applyBorder="1" applyAlignment="1" applyProtection="1">
      <alignment horizontal="center" vertical="center"/>
      <protection hidden="1"/>
    </xf>
    <xf numFmtId="0" fontId="2" fillId="0" borderId="9" xfId="0" applyFont="1" applyFill="1" applyBorder="1" applyAlignment="1" applyProtection="1">
      <alignment horizontal="center" vertical="center"/>
      <protection hidden="1"/>
    </xf>
    <xf numFmtId="0" fontId="2" fillId="0" borderId="3" xfId="0" applyFont="1" applyFill="1" applyBorder="1" applyAlignment="1" applyProtection="1">
      <alignment horizontal="center" vertical="center"/>
      <protection hidden="1"/>
    </xf>
    <xf numFmtId="0" fontId="2" fillId="0" borderId="10" xfId="0" applyFont="1" applyFill="1" applyBorder="1" applyAlignment="1" applyProtection="1">
      <alignment horizontal="center" vertical="center"/>
      <protection hidden="1"/>
    </xf>
    <xf numFmtId="0" fontId="1" fillId="0" borderId="5" xfId="0" applyFont="1" applyFill="1" applyBorder="1" applyAlignment="1" applyProtection="1">
      <alignment vertical="top" wrapText="1"/>
    </xf>
    <xf numFmtId="0" fontId="1" fillId="0" borderId="15" xfId="0" applyFont="1" applyFill="1" applyBorder="1" applyAlignment="1" applyProtection="1">
      <alignment vertical="top" wrapText="1"/>
    </xf>
    <xf numFmtId="49" fontId="2" fillId="0" borderId="0" xfId="0" applyNumberFormat="1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left" vertical="top"/>
    </xf>
    <xf numFmtId="164" fontId="1" fillId="0" borderId="5" xfId="0" applyNumberFormat="1" applyFont="1" applyFill="1" applyBorder="1" applyAlignment="1" applyProtection="1">
      <alignment horizontal="left" vertical="top" wrapText="1"/>
    </xf>
    <xf numFmtId="164" fontId="1" fillId="0" borderId="15" xfId="0" applyNumberFormat="1" applyFont="1" applyFill="1" applyBorder="1" applyAlignment="1" applyProtection="1">
      <alignment horizontal="left" vertical="top" wrapText="1"/>
    </xf>
    <xf numFmtId="164" fontId="1" fillId="0" borderId="0" xfId="0" applyNumberFormat="1" applyFont="1" applyFill="1" applyBorder="1" applyAlignment="1" applyProtection="1">
      <alignment horizontal="left" vertical="top" wrapText="1"/>
    </xf>
    <xf numFmtId="164" fontId="1" fillId="0" borderId="6" xfId="0" applyNumberFormat="1" applyFont="1" applyFill="1" applyBorder="1" applyAlignment="1" applyProtection="1">
      <alignment horizontal="left" vertical="top" wrapText="1"/>
    </xf>
    <xf numFmtId="0" fontId="1" fillId="0" borderId="5" xfId="0" applyFont="1" applyFill="1" applyBorder="1" applyAlignment="1" applyProtection="1">
      <alignment horizontal="left" vertical="top" wrapText="1"/>
    </xf>
    <xf numFmtId="0" fontId="1" fillId="0" borderId="15" xfId="0" applyFont="1" applyFill="1" applyBorder="1" applyAlignment="1" applyProtection="1">
      <alignment horizontal="left" vertical="top" wrapText="1"/>
    </xf>
    <xf numFmtId="0" fontId="1" fillId="0" borderId="0" xfId="0" applyFont="1" applyFill="1" applyBorder="1" applyAlignment="1" applyProtection="1">
      <alignment horizontal="left" vertical="top" wrapText="1"/>
    </xf>
    <xf numFmtId="0" fontId="1" fillId="0" borderId="6" xfId="0" applyFont="1" applyFill="1" applyBorder="1" applyAlignment="1" applyProtection="1">
      <alignment horizontal="left" vertical="top" wrapText="1"/>
    </xf>
    <xf numFmtId="0" fontId="1" fillId="0" borderId="5" xfId="0" applyFont="1" applyBorder="1" applyAlignment="1" applyProtection="1">
      <alignment horizontal="left" vertical="top" wrapText="1"/>
    </xf>
    <xf numFmtId="0" fontId="1" fillId="0" borderId="8" xfId="0" applyFont="1" applyBorder="1" applyAlignment="1"/>
    <xf numFmtId="0" fontId="1" fillId="0" borderId="14" xfId="0" applyFont="1" applyBorder="1" applyAlignment="1"/>
    <xf numFmtId="164" fontId="1" fillId="0" borderId="5" xfId="0" applyNumberFormat="1" applyFont="1" applyFill="1" applyBorder="1" applyAlignment="1" applyProtection="1">
      <alignment horizontal="left" vertical="top" wrapText="1"/>
      <protection hidden="1"/>
    </xf>
    <xf numFmtId="164" fontId="1" fillId="0" borderId="15" xfId="0" applyNumberFormat="1" applyFont="1" applyFill="1" applyBorder="1" applyAlignment="1" applyProtection="1">
      <alignment horizontal="left" vertical="top" wrapText="1"/>
      <protection hidden="1"/>
    </xf>
    <xf numFmtId="0" fontId="2" fillId="0" borderId="2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3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1" fillId="0" borderId="3" xfId="0" applyFont="1" applyBorder="1" applyAlignment="1">
      <alignment vertical="center"/>
    </xf>
    <xf numFmtId="0" fontId="1" fillId="0" borderId="10" xfId="0" applyFont="1" applyBorder="1" applyAlignment="1">
      <alignment vertical="center"/>
    </xf>
    <xf numFmtId="0" fontId="2" fillId="0" borderId="3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9" fillId="0" borderId="0" xfId="0" applyFont="1" applyAlignment="1">
      <alignment horizontal="left"/>
    </xf>
    <xf numFmtId="164" fontId="1" fillId="0" borderId="0" xfId="0" applyNumberFormat="1" applyFont="1" applyFill="1" applyBorder="1" applyAlignment="1" applyProtection="1">
      <alignment horizontal="left" vertical="top" wrapText="1"/>
      <protection hidden="1"/>
    </xf>
    <xf numFmtId="164" fontId="1" fillId="0" borderId="6" xfId="0" applyNumberFormat="1" applyFont="1" applyFill="1" applyBorder="1" applyAlignment="1" applyProtection="1">
      <alignment horizontal="left" vertical="top" wrapText="1"/>
      <protection hidden="1"/>
    </xf>
    <xf numFmtId="0" fontId="2" fillId="0" borderId="12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164" fontId="1" fillId="0" borderId="0" xfId="0" applyNumberFormat="1" applyFont="1" applyFill="1" applyBorder="1" applyAlignment="1" applyProtection="1">
      <alignment horizontal="center" vertical="top" wrapText="1"/>
      <protection hidden="1"/>
    </xf>
    <xf numFmtId="0" fontId="1" fillId="0" borderId="6" xfId="0" applyFont="1" applyFill="1" applyBorder="1" applyAlignment="1">
      <alignment horizontal="left" vertical="top"/>
    </xf>
    <xf numFmtId="0" fontId="1" fillId="0" borderId="10" xfId="0" applyFont="1" applyBorder="1"/>
    <xf numFmtId="0" fontId="1" fillId="0" borderId="3" xfId="0" applyFont="1" applyBorder="1"/>
    <xf numFmtId="164" fontId="1" fillId="0" borderId="0" xfId="0" applyNumberFormat="1" applyFont="1" applyFill="1" applyBorder="1" applyAlignment="1" applyProtection="1">
      <alignment horizontal="center" vertical="top"/>
      <protection hidden="1"/>
    </xf>
    <xf numFmtId="0" fontId="2" fillId="0" borderId="14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2" fillId="0" borderId="9" xfId="0" applyFont="1" applyBorder="1" applyAlignment="1" applyProtection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10" xfId="0" applyFont="1" applyBorder="1" applyAlignment="1" applyProtection="1">
      <alignment horizontal="center" vertical="center"/>
    </xf>
    <xf numFmtId="164" fontId="1" fillId="0" borderId="0" xfId="0" applyNumberFormat="1" applyFont="1" applyFill="1" applyBorder="1" applyAlignment="1">
      <alignment horizontal="center" vertical="top" wrapText="1"/>
    </xf>
    <xf numFmtId="164" fontId="1" fillId="0" borderId="0" xfId="0" applyNumberFormat="1" applyFont="1" applyFill="1" applyBorder="1" applyAlignment="1">
      <alignment horizontal="center" vertical="top"/>
    </xf>
    <xf numFmtId="0" fontId="0" fillId="0" borderId="6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1" fillId="0" borderId="5" xfId="0" applyFont="1" applyFill="1" applyBorder="1" applyAlignment="1" applyProtection="1">
      <alignment horizontal="left" vertical="top" wrapText="1"/>
      <protection hidden="1"/>
    </xf>
    <xf numFmtId="0" fontId="1" fillId="0" borderId="15" xfId="0" applyFont="1" applyFill="1" applyBorder="1" applyAlignment="1" applyProtection="1">
      <alignment horizontal="left" vertical="top" wrapText="1"/>
      <protection hidden="1"/>
    </xf>
    <xf numFmtId="0" fontId="1" fillId="0" borderId="0" xfId="0" applyFont="1" applyFill="1" applyBorder="1" applyAlignment="1" applyProtection="1">
      <alignment horizontal="left" vertical="top" wrapText="1"/>
      <protection hidden="1"/>
    </xf>
    <xf numFmtId="0" fontId="1" fillId="0" borderId="6" xfId="0" applyFont="1" applyFill="1" applyBorder="1" applyAlignment="1" applyProtection="1">
      <alignment horizontal="left" vertical="top" wrapText="1"/>
      <protection hidden="1"/>
    </xf>
    <xf numFmtId="0" fontId="2" fillId="0" borderId="0" xfId="0" applyFont="1" applyAlignment="1">
      <alignment horizontal="center"/>
    </xf>
    <xf numFmtId="0" fontId="2" fillId="0" borderId="1" xfId="0" applyFont="1" applyBorder="1" applyAlignment="1" applyProtection="1">
      <alignment horizontal="left"/>
      <protection hidden="1"/>
    </xf>
    <xf numFmtId="0" fontId="1" fillId="0" borderId="11" xfId="0" applyFont="1" applyBorder="1" applyAlignment="1" applyProtection="1">
      <alignment horizontal="left" vertical="top" wrapText="1"/>
      <protection hidden="1"/>
    </xf>
    <xf numFmtId="0" fontId="1" fillId="0" borderId="10" xfId="0" applyFont="1" applyBorder="1" applyAlignment="1" applyProtection="1">
      <alignment horizontal="left" vertical="top" wrapText="1"/>
      <protection hidden="1"/>
    </xf>
    <xf numFmtId="0" fontId="2" fillId="0" borderId="13" xfId="0" applyFont="1" applyFill="1" applyBorder="1" applyAlignment="1" applyProtection="1">
      <alignment horizontal="left" vertical="top"/>
      <protection hidden="1"/>
    </xf>
    <xf numFmtId="0" fontId="2" fillId="0" borderId="4" xfId="0" applyFont="1" applyFill="1" applyBorder="1" applyAlignment="1" applyProtection="1">
      <alignment horizontal="left" vertical="top"/>
      <protection hidden="1"/>
    </xf>
    <xf numFmtId="0" fontId="2" fillId="0" borderId="11" xfId="0" applyFont="1" applyFill="1" applyBorder="1" applyAlignment="1" applyProtection="1">
      <alignment horizontal="left" vertical="top"/>
      <protection hidden="1"/>
    </xf>
    <xf numFmtId="0" fontId="1" fillId="0" borderId="5" xfId="0" applyFont="1" applyFill="1" applyBorder="1" applyAlignment="1" applyProtection="1">
      <alignment vertical="top"/>
      <protection locked="0"/>
    </xf>
    <xf numFmtId="0" fontId="1" fillId="0" borderId="5" xfId="0" applyFont="1" applyBorder="1" applyAlignment="1" applyProtection="1">
      <alignment vertical="top"/>
      <protection locked="0"/>
    </xf>
    <xf numFmtId="0" fontId="1" fillId="0" borderId="15" xfId="0" applyFont="1" applyBorder="1" applyAlignment="1" applyProtection="1">
      <alignment vertical="top"/>
      <protection locked="0"/>
    </xf>
    <xf numFmtId="0" fontId="2" fillId="0" borderId="23" xfId="0" applyFont="1" applyBorder="1" applyAlignment="1">
      <alignment horizontal="center" vertical="center" wrapText="1"/>
    </xf>
    <xf numFmtId="0" fontId="1" fillId="0" borderId="5" xfId="0" applyFont="1" applyFill="1" applyBorder="1" applyAlignment="1" applyProtection="1">
      <alignment vertical="top"/>
    </xf>
    <xf numFmtId="0" fontId="1" fillId="0" borderId="5" xfId="0" applyFont="1" applyBorder="1" applyAlignment="1" applyProtection="1">
      <alignment vertical="top"/>
    </xf>
    <xf numFmtId="0" fontId="1" fillId="0" borderId="15" xfId="0" applyFont="1" applyBorder="1" applyAlignment="1" applyProtection="1">
      <alignment vertical="top"/>
    </xf>
    <xf numFmtId="0" fontId="2" fillId="0" borderId="16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 wrapText="1"/>
    </xf>
    <xf numFmtId="0" fontId="2" fillId="0" borderId="20" xfId="0" applyFont="1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2" fillId="0" borderId="24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17</xdr:row>
          <xdr:rowOff>9525</xdr:rowOff>
        </xdr:from>
        <xdr:to>
          <xdr:col>7</xdr:col>
          <xdr:colOff>638175</xdr:colOff>
          <xdr:row>17</xdr:row>
          <xdr:rowOff>133350</xdr:rowOff>
        </xdr:to>
        <xdr:sp macro="" textlink="">
          <xdr:nvSpPr>
            <xdr:cNvPr id="5121" name="Label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17</xdr:row>
          <xdr:rowOff>9525</xdr:rowOff>
        </xdr:from>
        <xdr:to>
          <xdr:col>7</xdr:col>
          <xdr:colOff>723900</xdr:colOff>
          <xdr:row>18</xdr:row>
          <xdr:rowOff>0</xdr:rowOff>
        </xdr:to>
        <xdr:sp macro="" textlink="">
          <xdr:nvSpPr>
            <xdr:cNvPr id="6145" name="Label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17</xdr:row>
          <xdr:rowOff>28575</xdr:rowOff>
        </xdr:from>
        <xdr:to>
          <xdr:col>7</xdr:col>
          <xdr:colOff>685800</xdr:colOff>
          <xdr:row>18</xdr:row>
          <xdr:rowOff>19050</xdr:rowOff>
        </xdr:to>
        <xdr:sp macro="" textlink="">
          <xdr:nvSpPr>
            <xdr:cNvPr id="7169" name="Label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266700</xdr:colOff>
          <xdr:row>17</xdr:row>
          <xdr:rowOff>28575</xdr:rowOff>
        </xdr:from>
        <xdr:to>
          <xdr:col>7</xdr:col>
          <xdr:colOff>666750</xdr:colOff>
          <xdr:row>18</xdr:row>
          <xdr:rowOff>28575</xdr:rowOff>
        </xdr:to>
        <xdr:sp macro="" textlink="">
          <xdr:nvSpPr>
            <xdr:cNvPr id="9218" name="Label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17</xdr:row>
          <xdr:rowOff>28575</xdr:rowOff>
        </xdr:from>
        <xdr:to>
          <xdr:col>7</xdr:col>
          <xdr:colOff>647700</xdr:colOff>
          <xdr:row>18</xdr:row>
          <xdr:rowOff>28575</xdr:rowOff>
        </xdr:to>
        <xdr:sp macro="" textlink="">
          <xdr:nvSpPr>
            <xdr:cNvPr id="10241" name="Label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17</xdr:row>
          <xdr:rowOff>28575</xdr:rowOff>
        </xdr:from>
        <xdr:to>
          <xdr:col>7</xdr:col>
          <xdr:colOff>647700</xdr:colOff>
          <xdr:row>18</xdr:row>
          <xdr:rowOff>28575</xdr:rowOff>
        </xdr:to>
        <xdr:sp macro="" textlink="">
          <xdr:nvSpPr>
            <xdr:cNvPr id="11265" name="Label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17</xdr:row>
          <xdr:rowOff>28575</xdr:rowOff>
        </xdr:from>
        <xdr:to>
          <xdr:col>7</xdr:col>
          <xdr:colOff>647700</xdr:colOff>
          <xdr:row>18</xdr:row>
          <xdr:rowOff>28575</xdr:rowOff>
        </xdr:to>
        <xdr:sp macro="" textlink="">
          <xdr:nvSpPr>
            <xdr:cNvPr id="12289" name="Label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17</xdr:row>
          <xdr:rowOff>28575</xdr:rowOff>
        </xdr:from>
        <xdr:to>
          <xdr:col>7</xdr:col>
          <xdr:colOff>647700</xdr:colOff>
          <xdr:row>18</xdr:row>
          <xdr:rowOff>28575</xdr:rowOff>
        </xdr:to>
        <xdr:sp macro="" textlink="">
          <xdr:nvSpPr>
            <xdr:cNvPr id="13313" name="Label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17</xdr:row>
          <xdr:rowOff>28575</xdr:rowOff>
        </xdr:from>
        <xdr:to>
          <xdr:col>7</xdr:col>
          <xdr:colOff>647700</xdr:colOff>
          <xdr:row>18</xdr:row>
          <xdr:rowOff>28575</xdr:rowOff>
        </xdr:to>
        <xdr:sp macro="" textlink="">
          <xdr:nvSpPr>
            <xdr:cNvPr id="15361" name="Label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17</xdr:row>
          <xdr:rowOff>28575</xdr:rowOff>
        </xdr:from>
        <xdr:to>
          <xdr:col>7</xdr:col>
          <xdr:colOff>647700</xdr:colOff>
          <xdr:row>18</xdr:row>
          <xdr:rowOff>28575</xdr:rowOff>
        </xdr:to>
        <xdr:sp macro="" textlink="">
          <xdr:nvSpPr>
            <xdr:cNvPr id="16385" name="Label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17</xdr:row>
          <xdr:rowOff>28575</xdr:rowOff>
        </xdr:from>
        <xdr:to>
          <xdr:col>7</xdr:col>
          <xdr:colOff>647700</xdr:colOff>
          <xdr:row>18</xdr:row>
          <xdr:rowOff>28575</xdr:rowOff>
        </xdr:to>
        <xdr:sp macro="" textlink="">
          <xdr:nvSpPr>
            <xdr:cNvPr id="17409" name="Label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17</xdr:row>
          <xdr:rowOff>28575</xdr:rowOff>
        </xdr:from>
        <xdr:to>
          <xdr:col>7</xdr:col>
          <xdr:colOff>647700</xdr:colOff>
          <xdr:row>18</xdr:row>
          <xdr:rowOff>28575</xdr:rowOff>
        </xdr:to>
        <xdr:sp macro="" textlink="">
          <xdr:nvSpPr>
            <xdr:cNvPr id="18433" name="Label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17</xdr:row>
          <xdr:rowOff>28575</xdr:rowOff>
        </xdr:from>
        <xdr:to>
          <xdr:col>7</xdr:col>
          <xdr:colOff>647700</xdr:colOff>
          <xdr:row>18</xdr:row>
          <xdr:rowOff>28575</xdr:rowOff>
        </xdr:to>
        <xdr:sp macro="" textlink="">
          <xdr:nvSpPr>
            <xdr:cNvPr id="2050" name="Label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219075</xdr:colOff>
          <xdr:row>17</xdr:row>
          <xdr:rowOff>28575</xdr:rowOff>
        </xdr:from>
        <xdr:to>
          <xdr:col>7</xdr:col>
          <xdr:colOff>628650</xdr:colOff>
          <xdr:row>18</xdr:row>
          <xdr:rowOff>28575</xdr:rowOff>
        </xdr:to>
        <xdr:sp macro="" textlink="">
          <xdr:nvSpPr>
            <xdr:cNvPr id="20481" name="Label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17</xdr:row>
          <xdr:rowOff>28575</xdr:rowOff>
        </xdr:from>
        <xdr:to>
          <xdr:col>7</xdr:col>
          <xdr:colOff>676275</xdr:colOff>
          <xdr:row>18</xdr:row>
          <xdr:rowOff>28575</xdr:rowOff>
        </xdr:to>
        <xdr:sp macro="" textlink="">
          <xdr:nvSpPr>
            <xdr:cNvPr id="21505" name="Label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17</xdr:row>
          <xdr:rowOff>28575</xdr:rowOff>
        </xdr:from>
        <xdr:to>
          <xdr:col>7</xdr:col>
          <xdr:colOff>676275</xdr:colOff>
          <xdr:row>18</xdr:row>
          <xdr:rowOff>28575</xdr:rowOff>
        </xdr:to>
        <xdr:sp macro="" textlink="">
          <xdr:nvSpPr>
            <xdr:cNvPr id="22529" name="Label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17</xdr:row>
          <xdr:rowOff>28575</xdr:rowOff>
        </xdr:from>
        <xdr:to>
          <xdr:col>8</xdr:col>
          <xdr:colOff>0</xdr:colOff>
          <xdr:row>18</xdr:row>
          <xdr:rowOff>28575</xdr:rowOff>
        </xdr:to>
        <xdr:sp macro="" textlink="">
          <xdr:nvSpPr>
            <xdr:cNvPr id="23553" name="Label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11</xdr:row>
          <xdr:rowOff>38100</xdr:rowOff>
        </xdr:from>
        <xdr:to>
          <xdr:col>7</xdr:col>
          <xdr:colOff>628650</xdr:colOff>
          <xdr:row>12</xdr:row>
          <xdr:rowOff>19050</xdr:rowOff>
        </xdr:to>
        <xdr:sp macro="" textlink="">
          <xdr:nvSpPr>
            <xdr:cNvPr id="1025" name="Label_a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14</xdr:row>
          <xdr:rowOff>38100</xdr:rowOff>
        </xdr:from>
        <xdr:to>
          <xdr:col>7</xdr:col>
          <xdr:colOff>628650</xdr:colOff>
          <xdr:row>15</xdr:row>
          <xdr:rowOff>19050</xdr:rowOff>
        </xdr:to>
        <xdr:sp macro="" textlink="">
          <xdr:nvSpPr>
            <xdr:cNvPr id="1026" name="Label_b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17</xdr:row>
          <xdr:rowOff>38100</xdr:rowOff>
        </xdr:from>
        <xdr:to>
          <xdr:col>7</xdr:col>
          <xdr:colOff>628650</xdr:colOff>
          <xdr:row>18</xdr:row>
          <xdr:rowOff>19050</xdr:rowOff>
        </xdr:to>
        <xdr:sp macro="" textlink="">
          <xdr:nvSpPr>
            <xdr:cNvPr id="1027" name="Label_c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9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0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2.bin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3.bin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4.bin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5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19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7.bin"/><Relationship Id="rId6" Type="http://schemas.openxmlformats.org/officeDocument/2006/relationships/control" Target="../activeX/activeX19.xml"/><Relationship Id="rId5" Type="http://schemas.openxmlformats.org/officeDocument/2006/relationships/image" Target="../media/image18.emf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257"/>
  <sheetViews>
    <sheetView zoomScale="75" zoomScaleNormal="90" zoomScaleSheetLayoutView="75" workbookViewId="0">
      <pane xSplit="8" ySplit="9" topLeftCell="I14" activePane="bottomRight" state="frozen"/>
      <selection pane="topRight" activeCell="I1" sqref="I1"/>
      <selection pane="bottomLeft" activeCell="A10" sqref="A10"/>
      <selection pane="bottomRight" activeCell="I14" sqref="I14"/>
    </sheetView>
  </sheetViews>
  <sheetFormatPr defaultRowHeight="11.25" x14ac:dyDescent="0.2"/>
  <cols>
    <col min="1" max="1" width="2.7109375" style="1" customWidth="1"/>
    <col min="2" max="2" width="3.5703125" style="1" customWidth="1"/>
    <col min="3" max="5" width="3" style="1" customWidth="1"/>
    <col min="6" max="6" width="48.42578125" style="1" customWidth="1"/>
    <col min="7" max="7" width="16.5703125" style="9" customWidth="1"/>
    <col min="8" max="8" width="10" style="9" customWidth="1"/>
    <col min="9" max="13" width="19.7109375" style="1" customWidth="1"/>
    <col min="14" max="15" width="19.7109375" style="1" hidden="1" customWidth="1"/>
    <col min="16" max="16" width="19.7109375" style="1" customWidth="1"/>
    <col min="17" max="156" width="25.7109375" style="21" customWidth="1"/>
    <col min="157" max="16384" width="9.140625" style="21"/>
  </cols>
  <sheetData>
    <row r="1" spans="1:19" s="165" customFormat="1" ht="12.75" x14ac:dyDescent="0.2">
      <c r="A1" s="512" t="s">
        <v>428</v>
      </c>
      <c r="B1" s="512"/>
      <c r="C1" s="512"/>
      <c r="D1" s="512"/>
      <c r="E1" s="512"/>
      <c r="F1" s="512"/>
      <c r="G1" s="512"/>
      <c r="H1" s="512"/>
      <c r="I1" s="512"/>
      <c r="J1" s="512"/>
      <c r="K1" s="512"/>
      <c r="L1" s="512"/>
      <c r="M1" s="512"/>
      <c r="N1" s="512"/>
      <c r="O1" s="512"/>
      <c r="P1" s="512"/>
    </row>
    <row r="2" spans="1:19" s="1" customFormat="1" hidden="1" x14ac:dyDescent="0.2">
      <c r="G2" s="9"/>
      <c r="H2" s="9"/>
    </row>
    <row r="3" spans="1:19" s="1" customFormat="1" hidden="1" x14ac:dyDescent="0.2">
      <c r="G3" s="9"/>
      <c r="H3" s="9"/>
    </row>
    <row r="4" spans="1:19" s="1" customFormat="1" hidden="1" x14ac:dyDescent="0.2">
      <c r="G4" s="9"/>
      <c r="H4" s="9"/>
    </row>
    <row r="5" spans="1:19" s="1" customFormat="1" x14ac:dyDescent="0.2">
      <c r="G5" s="9"/>
      <c r="H5" s="9"/>
    </row>
    <row r="6" spans="1:19" s="11" customFormat="1" ht="12.75" hidden="1" customHeight="1" x14ac:dyDescent="0.2"/>
    <row r="7" spans="1:19" s="11" customFormat="1" x14ac:dyDescent="0.2">
      <c r="A7" s="504" t="s">
        <v>0</v>
      </c>
      <c r="B7" s="505"/>
      <c r="C7" s="505"/>
      <c r="D7" s="505"/>
      <c r="E7" s="505"/>
      <c r="F7" s="506"/>
      <c r="G7" s="496" t="s">
        <v>2</v>
      </c>
      <c r="H7" s="493" t="s">
        <v>414</v>
      </c>
      <c r="I7" s="513" t="s">
        <v>72</v>
      </c>
      <c r="J7" s="514"/>
      <c r="K7" s="514"/>
      <c r="L7" s="514"/>
      <c r="M7" s="514"/>
      <c r="N7" s="514"/>
      <c r="O7" s="514"/>
      <c r="P7" s="514"/>
    </row>
    <row r="8" spans="1:19" s="11" customFormat="1" x14ac:dyDescent="0.2">
      <c r="A8" s="507"/>
      <c r="B8" s="508"/>
      <c r="C8" s="508"/>
      <c r="D8" s="508"/>
      <c r="E8" s="508"/>
      <c r="F8" s="509"/>
      <c r="G8" s="497"/>
      <c r="H8" s="494"/>
      <c r="I8" s="497" t="s">
        <v>3</v>
      </c>
      <c r="J8" s="491" t="s">
        <v>4</v>
      </c>
      <c r="K8" s="492"/>
      <c r="L8" s="491" t="s">
        <v>7</v>
      </c>
      <c r="M8" s="510"/>
      <c r="N8" s="491" t="s">
        <v>391</v>
      </c>
      <c r="O8" s="510"/>
      <c r="P8" s="513" t="s">
        <v>68</v>
      </c>
    </row>
    <row r="9" spans="1:19" s="11" customFormat="1" x14ac:dyDescent="0.2">
      <c r="A9" s="507"/>
      <c r="B9" s="508"/>
      <c r="C9" s="508"/>
      <c r="D9" s="508"/>
      <c r="E9" s="508"/>
      <c r="F9" s="509"/>
      <c r="G9" s="498"/>
      <c r="H9" s="495"/>
      <c r="I9" s="498"/>
      <c r="J9" s="8" t="s">
        <v>5</v>
      </c>
      <c r="K9" s="8" t="s">
        <v>6</v>
      </c>
      <c r="L9" s="8" t="s">
        <v>5</v>
      </c>
      <c r="M9" s="10" t="s">
        <v>6</v>
      </c>
      <c r="N9" s="8" t="s">
        <v>5</v>
      </c>
      <c r="O9" s="10" t="s">
        <v>6</v>
      </c>
      <c r="P9" s="513"/>
    </row>
    <row r="10" spans="1:19" x14ac:dyDescent="0.2">
      <c r="A10" s="119" t="s">
        <v>185</v>
      </c>
      <c r="B10" s="120"/>
      <c r="C10" s="120"/>
      <c r="D10" s="120"/>
      <c r="E10" s="120"/>
      <c r="F10" s="121"/>
      <c r="G10" s="111"/>
      <c r="H10" s="18"/>
      <c r="I10" s="29"/>
      <c r="J10" s="29"/>
      <c r="K10" s="29"/>
      <c r="L10" s="29"/>
      <c r="M10" s="29"/>
      <c r="N10" s="29"/>
      <c r="O10" s="29"/>
      <c r="P10" s="29"/>
      <c r="Q10" s="34"/>
      <c r="R10" s="132"/>
      <c r="S10" s="132"/>
    </row>
    <row r="11" spans="1:19" x14ac:dyDescent="0.2">
      <c r="A11" s="116" t="s">
        <v>186</v>
      </c>
      <c r="B11" s="115" t="s">
        <v>187</v>
      </c>
      <c r="C11" s="124"/>
      <c r="D11" s="124"/>
      <c r="E11" s="124"/>
      <c r="F11" s="125"/>
      <c r="G11" s="455" t="s">
        <v>429</v>
      </c>
      <c r="H11" s="18"/>
      <c r="I11" s="29">
        <f t="shared" ref="I11:O11" si="0">SUM(I12,I24,I25,I28)</f>
        <v>0</v>
      </c>
      <c r="J11" s="29">
        <f t="shared" si="0"/>
        <v>0</v>
      </c>
      <c r="K11" s="29">
        <f t="shared" si="0"/>
        <v>0</v>
      </c>
      <c r="L11" s="29">
        <f t="shared" si="0"/>
        <v>0</v>
      </c>
      <c r="M11" s="29">
        <f t="shared" si="0"/>
        <v>0</v>
      </c>
      <c r="N11" s="29">
        <f t="shared" si="0"/>
        <v>0</v>
      </c>
      <c r="O11" s="29">
        <f t="shared" si="0"/>
        <v>0</v>
      </c>
      <c r="P11" s="73">
        <f t="shared" ref="P11:P41" si="1">I11+K11+M11+O11</f>
        <v>0</v>
      </c>
      <c r="Q11" s="34"/>
      <c r="R11" s="132"/>
      <c r="S11" s="132"/>
    </row>
    <row r="12" spans="1:19" x14ac:dyDescent="0.2">
      <c r="A12" s="127"/>
      <c r="B12" s="39" t="s">
        <v>188</v>
      </c>
      <c r="C12" s="39" t="s">
        <v>788</v>
      </c>
      <c r="D12" s="39"/>
      <c r="E12" s="39"/>
      <c r="F12" s="128"/>
      <c r="G12" s="455" t="s">
        <v>430</v>
      </c>
      <c r="H12" s="18"/>
      <c r="I12" s="29">
        <f t="shared" ref="I12:O12" si="2">SUM(I13,I19,I20)</f>
        <v>0</v>
      </c>
      <c r="J12" s="29">
        <f t="shared" si="2"/>
        <v>0</v>
      </c>
      <c r="K12" s="29">
        <f t="shared" si="2"/>
        <v>0</v>
      </c>
      <c r="L12" s="29">
        <f t="shared" si="2"/>
        <v>0</v>
      </c>
      <c r="M12" s="29">
        <f t="shared" si="2"/>
        <v>0</v>
      </c>
      <c r="N12" s="29">
        <f t="shared" si="2"/>
        <v>0</v>
      </c>
      <c r="O12" s="29">
        <f t="shared" si="2"/>
        <v>0</v>
      </c>
      <c r="P12" s="73">
        <f t="shared" si="1"/>
        <v>0</v>
      </c>
      <c r="Q12" s="34"/>
      <c r="R12" s="132"/>
      <c r="S12" s="132"/>
    </row>
    <row r="13" spans="1:19" x14ac:dyDescent="0.2">
      <c r="A13" s="129"/>
      <c r="B13" s="124"/>
      <c r="C13" s="130">
        <v>-1</v>
      </c>
      <c r="D13" s="124" t="s">
        <v>189</v>
      </c>
      <c r="E13" s="124"/>
      <c r="F13" s="125"/>
      <c r="G13" s="455" t="s">
        <v>431</v>
      </c>
      <c r="H13" s="18"/>
      <c r="I13" s="78">
        <f>I14+I15+I16</f>
        <v>0</v>
      </c>
      <c r="J13" s="78">
        <f t="shared" ref="J13:O13" si="3">J14+J15+J16</f>
        <v>0</v>
      </c>
      <c r="K13" s="78">
        <f t="shared" si="3"/>
        <v>0</v>
      </c>
      <c r="L13" s="78">
        <f t="shared" si="3"/>
        <v>0</v>
      </c>
      <c r="M13" s="78">
        <f t="shared" si="3"/>
        <v>0</v>
      </c>
      <c r="N13" s="78">
        <f t="shared" si="3"/>
        <v>0</v>
      </c>
      <c r="O13" s="78">
        <f t="shared" si="3"/>
        <v>0</v>
      </c>
      <c r="P13" s="73">
        <f t="shared" si="1"/>
        <v>0</v>
      </c>
      <c r="Q13" s="34"/>
      <c r="R13" s="132"/>
      <c r="S13" s="132"/>
    </row>
    <row r="14" spans="1:19" x14ac:dyDescent="0.2">
      <c r="A14" s="129"/>
      <c r="B14" s="124"/>
      <c r="C14" s="130"/>
      <c r="D14" s="278" t="s">
        <v>11</v>
      </c>
      <c r="E14" s="278" t="s">
        <v>789</v>
      </c>
      <c r="F14" s="125"/>
      <c r="G14" s="455" t="s">
        <v>798</v>
      </c>
      <c r="H14" s="18"/>
      <c r="I14" s="61"/>
      <c r="J14" s="61"/>
      <c r="K14" s="61"/>
      <c r="L14" s="61"/>
      <c r="M14" s="61"/>
      <c r="N14" s="61"/>
      <c r="O14" s="61"/>
      <c r="P14" s="73">
        <f t="shared" si="1"/>
        <v>0</v>
      </c>
      <c r="Q14" s="34"/>
      <c r="R14" s="132"/>
      <c r="S14" s="132"/>
    </row>
    <row r="15" spans="1:19" x14ac:dyDescent="0.2">
      <c r="A15" s="129"/>
      <c r="B15" s="124"/>
      <c r="C15" s="130"/>
      <c r="D15" s="278" t="s">
        <v>15</v>
      </c>
      <c r="E15" s="278" t="s">
        <v>790</v>
      </c>
      <c r="F15" s="125"/>
      <c r="G15" s="455" t="s">
        <v>799</v>
      </c>
      <c r="H15" s="18"/>
      <c r="I15" s="61"/>
      <c r="J15" s="61"/>
      <c r="K15" s="61"/>
      <c r="L15" s="61"/>
      <c r="M15" s="61"/>
      <c r="N15" s="61"/>
      <c r="O15" s="61"/>
      <c r="P15" s="73">
        <f t="shared" si="1"/>
        <v>0</v>
      </c>
      <c r="Q15" s="34"/>
      <c r="R15" s="132"/>
      <c r="S15" s="132"/>
    </row>
    <row r="16" spans="1:19" x14ac:dyDescent="0.2">
      <c r="A16" s="279"/>
      <c r="B16" s="196"/>
      <c r="C16" s="195"/>
      <c r="D16" s="280" t="s">
        <v>25</v>
      </c>
      <c r="E16" s="280" t="s">
        <v>791</v>
      </c>
      <c r="F16" s="197"/>
      <c r="G16" s="455" t="s">
        <v>800</v>
      </c>
      <c r="H16" s="85" t="s">
        <v>751</v>
      </c>
      <c r="I16" s="78">
        <f t="shared" ref="I16:O16" si="4">SUM(I17:I18)</f>
        <v>0</v>
      </c>
      <c r="J16" s="78">
        <f t="shared" si="4"/>
        <v>0</v>
      </c>
      <c r="K16" s="78">
        <f t="shared" si="4"/>
        <v>0</v>
      </c>
      <c r="L16" s="78">
        <f t="shared" si="4"/>
        <v>0</v>
      </c>
      <c r="M16" s="78">
        <f t="shared" si="4"/>
        <v>0</v>
      </c>
      <c r="N16" s="78">
        <f t="shared" si="4"/>
        <v>0</v>
      </c>
      <c r="O16" s="78">
        <f t="shared" si="4"/>
        <v>0</v>
      </c>
      <c r="P16" s="73">
        <f t="shared" si="1"/>
        <v>0</v>
      </c>
      <c r="Q16" s="34"/>
      <c r="R16" s="132"/>
      <c r="S16" s="132"/>
    </row>
    <row r="17" spans="1:19" x14ac:dyDescent="0.2">
      <c r="A17" s="129"/>
      <c r="B17" s="124"/>
      <c r="C17" s="130"/>
      <c r="D17" s="278"/>
      <c r="E17" s="314"/>
      <c r="F17" s="291"/>
      <c r="G17" s="455"/>
      <c r="H17" s="91">
        <v>1</v>
      </c>
      <c r="I17" s="61"/>
      <c r="J17" s="61"/>
      <c r="K17" s="61"/>
      <c r="L17" s="61"/>
      <c r="M17" s="61"/>
      <c r="N17" s="61"/>
      <c r="O17" s="61"/>
      <c r="P17" s="73">
        <f t="shared" si="1"/>
        <v>0</v>
      </c>
      <c r="Q17" s="34"/>
      <c r="R17" s="132"/>
      <c r="S17" s="132"/>
    </row>
    <row r="18" spans="1:19" x14ac:dyDescent="0.2">
      <c r="A18" s="251"/>
      <c r="B18" s="252"/>
      <c r="C18" s="311"/>
      <c r="D18" s="312"/>
      <c r="E18" s="312"/>
      <c r="F18" s="313"/>
      <c r="G18" s="455"/>
      <c r="H18" s="239" t="str">
        <f>CHAR(132)</f>
        <v>„</v>
      </c>
      <c r="I18" s="109"/>
      <c r="J18" s="109"/>
      <c r="K18" s="109"/>
      <c r="L18" s="109"/>
      <c r="M18" s="109"/>
      <c r="N18" s="109"/>
      <c r="O18" s="109"/>
      <c r="P18" s="73"/>
      <c r="Q18" s="34"/>
      <c r="R18" s="132"/>
      <c r="S18" s="132"/>
    </row>
    <row r="19" spans="1:19" x14ac:dyDescent="0.2">
      <c r="A19" s="127"/>
      <c r="B19" s="39"/>
      <c r="C19" s="131">
        <f>C13-1</f>
        <v>-2</v>
      </c>
      <c r="D19" s="39" t="s">
        <v>190</v>
      </c>
      <c r="E19" s="39"/>
      <c r="F19" s="128"/>
      <c r="G19" s="455" t="s">
        <v>432</v>
      </c>
      <c r="H19" s="18"/>
      <c r="I19" s="61"/>
      <c r="J19" s="79"/>
      <c r="K19" s="79"/>
      <c r="L19" s="79"/>
      <c r="M19" s="79"/>
      <c r="N19" s="62"/>
      <c r="O19" s="62"/>
      <c r="P19" s="73">
        <f t="shared" si="1"/>
        <v>0</v>
      </c>
      <c r="Q19" s="34"/>
      <c r="R19" s="132"/>
      <c r="S19" s="132"/>
    </row>
    <row r="20" spans="1:19" x14ac:dyDescent="0.2">
      <c r="A20" s="129"/>
      <c r="B20" s="124"/>
      <c r="C20" s="130">
        <f>C19-1</f>
        <v>-3</v>
      </c>
      <c r="D20" s="124" t="s">
        <v>191</v>
      </c>
      <c r="E20" s="124"/>
      <c r="F20" s="125"/>
      <c r="G20" s="455" t="s">
        <v>433</v>
      </c>
      <c r="H20" s="18"/>
      <c r="I20" s="29">
        <f t="shared" ref="I20:O20" si="5">SUM(I21,I22,I23)</f>
        <v>0</v>
      </c>
      <c r="J20" s="29">
        <f t="shared" si="5"/>
        <v>0</v>
      </c>
      <c r="K20" s="29">
        <f t="shared" si="5"/>
        <v>0</v>
      </c>
      <c r="L20" s="29">
        <f t="shared" si="5"/>
        <v>0</v>
      </c>
      <c r="M20" s="29">
        <f t="shared" si="5"/>
        <v>0</v>
      </c>
      <c r="N20" s="29">
        <f t="shared" si="5"/>
        <v>0</v>
      </c>
      <c r="O20" s="29">
        <f t="shared" si="5"/>
        <v>0</v>
      </c>
      <c r="P20" s="73">
        <f t="shared" si="1"/>
        <v>0</v>
      </c>
      <c r="Q20" s="34"/>
      <c r="R20" s="132"/>
      <c r="S20" s="132"/>
    </row>
    <row r="21" spans="1:19" x14ac:dyDescent="0.2">
      <c r="A21" s="127"/>
      <c r="B21" s="39"/>
      <c r="C21" s="131"/>
      <c r="D21" s="39" t="s">
        <v>11</v>
      </c>
      <c r="E21" s="39" t="s">
        <v>192</v>
      </c>
      <c r="F21" s="128"/>
      <c r="G21" s="455" t="s">
        <v>434</v>
      </c>
      <c r="H21" s="18"/>
      <c r="I21" s="61"/>
      <c r="J21" s="61"/>
      <c r="K21" s="61"/>
      <c r="L21" s="61"/>
      <c r="M21" s="61"/>
      <c r="N21" s="61"/>
      <c r="O21" s="61"/>
      <c r="P21" s="73">
        <f t="shared" si="1"/>
        <v>0</v>
      </c>
      <c r="Q21" s="34"/>
      <c r="R21" s="132"/>
      <c r="S21" s="132"/>
    </row>
    <row r="22" spans="1:19" x14ac:dyDescent="0.2">
      <c r="A22" s="129"/>
      <c r="B22" s="124"/>
      <c r="C22" s="130"/>
      <c r="D22" s="124" t="s">
        <v>15</v>
      </c>
      <c r="E22" s="124" t="s">
        <v>193</v>
      </c>
      <c r="F22" s="125"/>
      <c r="G22" s="455" t="s">
        <v>435</v>
      </c>
      <c r="H22" s="18"/>
      <c r="I22" s="61"/>
      <c r="J22" s="61"/>
      <c r="K22" s="61"/>
      <c r="L22" s="61"/>
      <c r="M22" s="61"/>
      <c r="N22" s="61"/>
      <c r="O22" s="61"/>
      <c r="P22" s="73">
        <f t="shared" si="1"/>
        <v>0</v>
      </c>
      <c r="Q22" s="34"/>
      <c r="R22" s="132"/>
      <c r="S22" s="132"/>
    </row>
    <row r="23" spans="1:19" x14ac:dyDescent="0.2">
      <c r="A23" s="127"/>
      <c r="B23" s="39"/>
      <c r="C23" s="131"/>
      <c r="D23" s="39" t="s">
        <v>25</v>
      </c>
      <c r="E23" s="39" t="s">
        <v>194</v>
      </c>
      <c r="F23" s="128"/>
      <c r="G23" s="455" t="s">
        <v>436</v>
      </c>
      <c r="H23" s="18"/>
      <c r="I23" s="61"/>
      <c r="J23" s="61"/>
      <c r="K23" s="61"/>
      <c r="L23" s="61"/>
      <c r="M23" s="61"/>
      <c r="N23" s="61"/>
      <c r="O23" s="61"/>
      <c r="P23" s="73">
        <f t="shared" si="1"/>
        <v>0</v>
      </c>
      <c r="Q23" s="34"/>
      <c r="R23" s="132"/>
      <c r="S23" s="132"/>
    </row>
    <row r="24" spans="1:19" x14ac:dyDescent="0.2">
      <c r="A24" s="129"/>
      <c r="B24" s="124" t="s">
        <v>195</v>
      </c>
      <c r="C24" s="130" t="s">
        <v>196</v>
      </c>
      <c r="D24" s="124"/>
      <c r="E24" s="124"/>
      <c r="F24" s="125"/>
      <c r="G24" s="455" t="s">
        <v>437</v>
      </c>
      <c r="H24" s="18"/>
      <c r="I24" s="61"/>
      <c r="J24" s="61"/>
      <c r="K24" s="61"/>
      <c r="L24" s="61"/>
      <c r="M24" s="61"/>
      <c r="N24" s="61"/>
      <c r="O24" s="61"/>
      <c r="P24" s="73">
        <f t="shared" si="1"/>
        <v>0</v>
      </c>
      <c r="Q24" s="34"/>
      <c r="R24" s="132"/>
      <c r="S24" s="132"/>
    </row>
    <row r="25" spans="1:19" x14ac:dyDescent="0.2">
      <c r="A25" s="127"/>
      <c r="B25" s="39" t="s">
        <v>197</v>
      </c>
      <c r="C25" s="39" t="s">
        <v>198</v>
      </c>
      <c r="D25" s="39"/>
      <c r="E25" s="39"/>
      <c r="F25" s="128"/>
      <c r="G25" s="455" t="s">
        <v>438</v>
      </c>
      <c r="H25" s="18"/>
      <c r="I25" s="29">
        <f t="shared" ref="I25:O25" si="6">SUM(I26,I27)</f>
        <v>0</v>
      </c>
      <c r="J25" s="29">
        <f t="shared" si="6"/>
        <v>0</v>
      </c>
      <c r="K25" s="29">
        <f t="shared" si="6"/>
        <v>0</v>
      </c>
      <c r="L25" s="29">
        <f t="shared" si="6"/>
        <v>0</v>
      </c>
      <c r="M25" s="29">
        <f t="shared" si="6"/>
        <v>0</v>
      </c>
      <c r="N25" s="29">
        <f t="shared" si="6"/>
        <v>0</v>
      </c>
      <c r="O25" s="29">
        <f t="shared" si="6"/>
        <v>0</v>
      </c>
      <c r="P25" s="73">
        <f t="shared" si="1"/>
        <v>0</v>
      </c>
      <c r="Q25" s="34"/>
      <c r="R25" s="132"/>
      <c r="S25" s="132"/>
    </row>
    <row r="26" spans="1:19" x14ac:dyDescent="0.2">
      <c r="A26" s="129"/>
      <c r="B26" s="124"/>
      <c r="C26" s="130">
        <v>-1</v>
      </c>
      <c r="D26" s="124" t="s">
        <v>199</v>
      </c>
      <c r="E26" s="124"/>
      <c r="F26" s="125"/>
      <c r="G26" s="455" t="s">
        <v>439</v>
      </c>
      <c r="H26" s="18"/>
      <c r="I26" s="61"/>
      <c r="J26" s="61"/>
      <c r="K26" s="61"/>
      <c r="L26" s="61"/>
      <c r="M26" s="61"/>
      <c r="N26" s="61"/>
      <c r="O26" s="61"/>
      <c r="P26" s="73">
        <f t="shared" si="1"/>
        <v>0</v>
      </c>
      <c r="Q26" s="34"/>
      <c r="R26" s="132"/>
      <c r="S26" s="132"/>
    </row>
    <row r="27" spans="1:19" x14ac:dyDescent="0.2">
      <c r="A27" s="127"/>
      <c r="B27" s="39"/>
      <c r="C27" s="131">
        <f>C26-1</f>
        <v>-2</v>
      </c>
      <c r="D27" s="39" t="s">
        <v>200</v>
      </c>
      <c r="E27" s="39"/>
      <c r="F27" s="128"/>
      <c r="G27" s="455" t="s">
        <v>440</v>
      </c>
      <c r="H27" s="18"/>
      <c r="I27" s="61"/>
      <c r="J27" s="61"/>
      <c r="K27" s="61"/>
      <c r="L27" s="61"/>
      <c r="M27" s="61"/>
      <c r="N27" s="61"/>
      <c r="O27" s="61"/>
      <c r="P27" s="73">
        <f t="shared" si="1"/>
        <v>0</v>
      </c>
      <c r="Q27" s="34"/>
      <c r="R27" s="132"/>
      <c r="S27" s="132"/>
    </row>
    <row r="28" spans="1:19" x14ac:dyDescent="0.2">
      <c r="A28" s="129"/>
      <c r="B28" s="124" t="s">
        <v>201</v>
      </c>
      <c r="C28" s="124" t="s">
        <v>202</v>
      </c>
      <c r="D28" s="124"/>
      <c r="E28" s="124"/>
      <c r="F28" s="125"/>
      <c r="G28" s="455" t="s">
        <v>441</v>
      </c>
      <c r="H28" s="18"/>
      <c r="I28" s="29">
        <f t="shared" ref="I28:O28" si="7">SUM(I29,I32)</f>
        <v>0</v>
      </c>
      <c r="J28" s="29">
        <f t="shared" si="7"/>
        <v>0</v>
      </c>
      <c r="K28" s="29">
        <f t="shared" si="7"/>
        <v>0</v>
      </c>
      <c r="L28" s="29">
        <f t="shared" si="7"/>
        <v>0</v>
      </c>
      <c r="M28" s="29">
        <f t="shared" si="7"/>
        <v>0</v>
      </c>
      <c r="N28" s="29">
        <f t="shared" si="7"/>
        <v>0</v>
      </c>
      <c r="O28" s="29">
        <f t="shared" si="7"/>
        <v>0</v>
      </c>
      <c r="P28" s="73">
        <f t="shared" si="1"/>
        <v>0</v>
      </c>
      <c r="Q28" s="34"/>
      <c r="R28" s="132"/>
      <c r="S28" s="132"/>
    </row>
    <row r="29" spans="1:19" x14ac:dyDescent="0.2">
      <c r="A29" s="129"/>
      <c r="B29" s="124"/>
      <c r="C29" s="130">
        <v>-1</v>
      </c>
      <c r="D29" s="124" t="s">
        <v>203</v>
      </c>
      <c r="E29" s="124"/>
      <c r="F29" s="125"/>
      <c r="G29" s="455" t="s">
        <v>442</v>
      </c>
      <c r="H29" s="18"/>
      <c r="I29" s="78">
        <f>I30+I31</f>
        <v>0</v>
      </c>
      <c r="J29" s="78">
        <f t="shared" ref="J29:O29" si="8">J30+J31</f>
        <v>0</v>
      </c>
      <c r="K29" s="78">
        <f t="shared" si="8"/>
        <v>0</v>
      </c>
      <c r="L29" s="78">
        <f t="shared" si="8"/>
        <v>0</v>
      </c>
      <c r="M29" s="78">
        <f t="shared" si="8"/>
        <v>0</v>
      </c>
      <c r="N29" s="78">
        <f t="shared" si="8"/>
        <v>0</v>
      </c>
      <c r="O29" s="78">
        <f t="shared" si="8"/>
        <v>0</v>
      </c>
      <c r="P29" s="73">
        <f t="shared" si="1"/>
        <v>0</v>
      </c>
      <c r="Q29" s="34"/>
      <c r="R29" s="132"/>
      <c r="S29" s="132"/>
    </row>
    <row r="30" spans="1:19" x14ac:dyDescent="0.2">
      <c r="A30" s="129"/>
      <c r="B30" s="124"/>
      <c r="C30" s="130"/>
      <c r="D30" s="278" t="s">
        <v>11</v>
      </c>
      <c r="E30" s="278" t="s">
        <v>792</v>
      </c>
      <c r="F30" s="125"/>
      <c r="G30" s="455" t="s">
        <v>801</v>
      </c>
      <c r="H30" s="18"/>
      <c r="I30" s="61"/>
      <c r="J30" s="61"/>
      <c r="K30" s="61"/>
      <c r="L30" s="61"/>
      <c r="M30" s="61"/>
      <c r="N30" s="61"/>
      <c r="O30" s="61"/>
      <c r="P30" s="73">
        <f t="shared" si="1"/>
        <v>0</v>
      </c>
      <c r="Q30" s="34"/>
      <c r="R30" s="132"/>
      <c r="S30" s="132"/>
    </row>
    <row r="31" spans="1:19" x14ac:dyDescent="0.2">
      <c r="A31" s="127"/>
      <c r="B31" s="39"/>
      <c r="C31" s="131"/>
      <c r="D31" s="277" t="s">
        <v>15</v>
      </c>
      <c r="E31" s="277" t="s">
        <v>793</v>
      </c>
      <c r="F31" s="128"/>
      <c r="G31" s="455" t="s">
        <v>802</v>
      </c>
      <c r="H31" s="18"/>
      <c r="I31" s="61"/>
      <c r="J31" s="61"/>
      <c r="K31" s="61"/>
      <c r="L31" s="61"/>
      <c r="M31" s="61"/>
      <c r="N31" s="61"/>
      <c r="O31" s="61"/>
      <c r="P31" s="73">
        <f t="shared" si="1"/>
        <v>0</v>
      </c>
      <c r="Q31" s="34"/>
      <c r="R31" s="132"/>
      <c r="S31" s="132"/>
    </row>
    <row r="32" spans="1:19" x14ac:dyDescent="0.2">
      <c r="A32" s="129"/>
      <c r="B32" s="124"/>
      <c r="C32" s="130">
        <f>C29-1</f>
        <v>-2</v>
      </c>
      <c r="D32" s="124" t="s">
        <v>194</v>
      </c>
      <c r="E32" s="124"/>
      <c r="F32" s="125"/>
      <c r="G32" s="455" t="s">
        <v>443</v>
      </c>
      <c r="H32" s="18"/>
      <c r="I32" s="61"/>
      <c r="J32" s="61"/>
      <c r="K32" s="61"/>
      <c r="L32" s="61"/>
      <c r="M32" s="61"/>
      <c r="N32" s="61"/>
      <c r="O32" s="61"/>
      <c r="P32" s="73">
        <f t="shared" si="1"/>
        <v>0</v>
      </c>
      <c r="Q32" s="34"/>
      <c r="R32" s="132"/>
      <c r="S32" s="132"/>
    </row>
    <row r="33" spans="1:19" x14ac:dyDescent="0.2">
      <c r="A33" s="113" t="s">
        <v>33</v>
      </c>
      <c r="B33" s="14" t="s">
        <v>204</v>
      </c>
      <c r="C33" s="39"/>
      <c r="D33" s="39"/>
      <c r="E33" s="39"/>
      <c r="F33" s="128"/>
      <c r="G33" s="455" t="s">
        <v>444</v>
      </c>
      <c r="H33" s="18"/>
      <c r="I33" s="60"/>
      <c r="J33" s="35">
        <f t="shared" ref="J33:O33" si="9">SUM(J34,J35,J36,J39)</f>
        <v>0</v>
      </c>
      <c r="K33" s="35">
        <f t="shared" si="9"/>
        <v>0</v>
      </c>
      <c r="L33" s="35">
        <f t="shared" si="9"/>
        <v>0</v>
      </c>
      <c r="M33" s="35">
        <f t="shared" si="9"/>
        <v>0</v>
      </c>
      <c r="N33" s="35">
        <f t="shared" si="9"/>
        <v>0</v>
      </c>
      <c r="O33" s="35">
        <f t="shared" si="9"/>
        <v>0</v>
      </c>
      <c r="P33" s="73">
        <f t="shared" si="1"/>
        <v>0</v>
      </c>
      <c r="Q33" s="34"/>
      <c r="R33" s="132"/>
      <c r="S33" s="132"/>
    </row>
    <row r="34" spans="1:19" x14ac:dyDescent="0.2">
      <c r="A34" s="129"/>
      <c r="B34" s="124" t="s">
        <v>188</v>
      </c>
      <c r="C34" s="124" t="s">
        <v>205</v>
      </c>
      <c r="D34" s="124"/>
      <c r="E34" s="124"/>
      <c r="F34" s="125"/>
      <c r="G34" s="455" t="s">
        <v>445</v>
      </c>
      <c r="H34" s="18"/>
      <c r="I34" s="60"/>
      <c r="J34" s="62"/>
      <c r="K34" s="62"/>
      <c r="L34" s="62"/>
      <c r="M34" s="62"/>
      <c r="N34" s="62"/>
      <c r="O34" s="62"/>
      <c r="P34" s="73">
        <f t="shared" si="1"/>
        <v>0</v>
      </c>
      <c r="Q34" s="34"/>
      <c r="R34" s="132"/>
      <c r="S34" s="132"/>
    </row>
    <row r="35" spans="1:19" x14ac:dyDescent="0.2">
      <c r="A35" s="127"/>
      <c r="B35" s="39" t="s">
        <v>195</v>
      </c>
      <c r="C35" s="39" t="s">
        <v>206</v>
      </c>
      <c r="D35" s="39"/>
      <c r="E35" s="39"/>
      <c r="F35" s="128"/>
      <c r="G35" s="455" t="s">
        <v>446</v>
      </c>
      <c r="H35" s="18"/>
      <c r="I35" s="60"/>
      <c r="J35" s="62"/>
      <c r="K35" s="62"/>
      <c r="L35" s="62"/>
      <c r="M35" s="62"/>
      <c r="N35" s="62"/>
      <c r="O35" s="62"/>
      <c r="P35" s="73">
        <f t="shared" si="1"/>
        <v>0</v>
      </c>
      <c r="Q35" s="34"/>
      <c r="R35" s="132"/>
      <c r="S35" s="132"/>
    </row>
    <row r="36" spans="1:19" x14ac:dyDescent="0.2">
      <c r="A36" s="129"/>
      <c r="B36" s="124" t="s">
        <v>197</v>
      </c>
      <c r="C36" s="124" t="s">
        <v>198</v>
      </c>
      <c r="D36" s="124"/>
      <c r="E36" s="124"/>
      <c r="F36" s="125"/>
      <c r="G36" s="455" t="s">
        <v>447</v>
      </c>
      <c r="H36" s="18"/>
      <c r="I36" s="60"/>
      <c r="J36" s="35">
        <f t="shared" ref="J36:O36" si="10">SUM(J37,J38)</f>
        <v>0</v>
      </c>
      <c r="K36" s="35">
        <f t="shared" si="10"/>
        <v>0</v>
      </c>
      <c r="L36" s="35">
        <f t="shared" si="10"/>
        <v>0</v>
      </c>
      <c r="M36" s="35">
        <f t="shared" si="10"/>
        <v>0</v>
      </c>
      <c r="N36" s="35">
        <f t="shared" si="10"/>
        <v>0</v>
      </c>
      <c r="O36" s="35">
        <f t="shared" si="10"/>
        <v>0</v>
      </c>
      <c r="P36" s="73">
        <f t="shared" si="1"/>
        <v>0</v>
      </c>
      <c r="Q36" s="34"/>
      <c r="R36" s="132"/>
      <c r="S36" s="132"/>
    </row>
    <row r="37" spans="1:19" x14ac:dyDescent="0.2">
      <c r="A37" s="127"/>
      <c r="B37" s="39"/>
      <c r="C37" s="131">
        <v>-1</v>
      </c>
      <c r="D37" s="39" t="s">
        <v>207</v>
      </c>
      <c r="E37" s="39"/>
      <c r="F37" s="128"/>
      <c r="G37" s="455" t="s">
        <v>448</v>
      </c>
      <c r="H37" s="18"/>
      <c r="I37" s="60"/>
      <c r="J37" s="62"/>
      <c r="K37" s="62"/>
      <c r="L37" s="62"/>
      <c r="M37" s="62"/>
      <c r="N37" s="62"/>
      <c r="O37" s="62"/>
      <c r="P37" s="73">
        <f t="shared" si="1"/>
        <v>0</v>
      </c>
      <c r="Q37" s="34"/>
      <c r="R37" s="132"/>
      <c r="S37" s="132"/>
    </row>
    <row r="38" spans="1:19" x14ac:dyDescent="0.2">
      <c r="A38" s="129"/>
      <c r="B38" s="124"/>
      <c r="C38" s="130">
        <f>C37-1</f>
        <v>-2</v>
      </c>
      <c r="D38" s="124" t="s">
        <v>200</v>
      </c>
      <c r="E38" s="124"/>
      <c r="F38" s="125"/>
      <c r="G38" s="455" t="s">
        <v>449</v>
      </c>
      <c r="H38" s="18"/>
      <c r="I38" s="60"/>
      <c r="J38" s="62"/>
      <c r="K38" s="62"/>
      <c r="L38" s="62"/>
      <c r="M38" s="62"/>
      <c r="N38" s="62"/>
      <c r="O38" s="62"/>
      <c r="P38" s="73">
        <f t="shared" si="1"/>
        <v>0</v>
      </c>
      <c r="Q38" s="34"/>
      <c r="R38" s="132"/>
      <c r="S38" s="132"/>
    </row>
    <row r="39" spans="1:19" x14ac:dyDescent="0.2">
      <c r="A39" s="127"/>
      <c r="B39" s="39" t="s">
        <v>201</v>
      </c>
      <c r="C39" s="39" t="s">
        <v>208</v>
      </c>
      <c r="D39" s="39"/>
      <c r="E39" s="39"/>
      <c r="F39" s="128"/>
      <c r="G39" s="455" t="s">
        <v>450</v>
      </c>
      <c r="H39" s="18"/>
      <c r="I39" s="60"/>
      <c r="J39" s="62"/>
      <c r="K39" s="62"/>
      <c r="L39" s="62"/>
      <c r="M39" s="62"/>
      <c r="N39" s="62"/>
      <c r="O39" s="62"/>
      <c r="P39" s="73">
        <f t="shared" si="1"/>
        <v>0</v>
      </c>
      <c r="Q39" s="34"/>
      <c r="R39" s="132"/>
      <c r="S39" s="132"/>
    </row>
    <row r="40" spans="1:19" x14ac:dyDescent="0.2">
      <c r="A40" s="114" t="s">
        <v>48</v>
      </c>
      <c r="B40" s="115" t="s">
        <v>209</v>
      </c>
      <c r="C40" s="130"/>
      <c r="D40" s="124"/>
      <c r="E40" s="124"/>
      <c r="F40" s="125"/>
      <c r="G40" s="455" t="s">
        <v>451</v>
      </c>
      <c r="H40" s="18"/>
      <c r="I40" s="62"/>
      <c r="J40" s="62"/>
      <c r="K40" s="62"/>
      <c r="L40" s="62"/>
      <c r="M40" s="62"/>
      <c r="N40" s="62"/>
      <c r="O40" s="62"/>
      <c r="P40" s="73">
        <f t="shared" si="1"/>
        <v>0</v>
      </c>
      <c r="Q40" s="34"/>
      <c r="R40" s="132"/>
      <c r="S40" s="132"/>
    </row>
    <row r="41" spans="1:19" x14ac:dyDescent="0.2">
      <c r="A41" s="112"/>
      <c r="B41" s="14" t="s">
        <v>210</v>
      </c>
      <c r="C41" s="131"/>
      <c r="D41" s="39"/>
      <c r="E41" s="39"/>
      <c r="F41" s="128"/>
      <c r="G41" s="455" t="s">
        <v>452</v>
      </c>
      <c r="H41" s="18"/>
      <c r="I41" s="35">
        <f t="shared" ref="I41:O41" si="11">SUM(I11+I33+I40)</f>
        <v>0</v>
      </c>
      <c r="J41" s="35">
        <f t="shared" si="11"/>
        <v>0</v>
      </c>
      <c r="K41" s="35">
        <f t="shared" si="11"/>
        <v>0</v>
      </c>
      <c r="L41" s="35">
        <f t="shared" si="11"/>
        <v>0</v>
      </c>
      <c r="M41" s="35">
        <f t="shared" si="11"/>
        <v>0</v>
      </c>
      <c r="N41" s="35">
        <f t="shared" si="11"/>
        <v>0</v>
      </c>
      <c r="O41" s="35">
        <f t="shared" si="11"/>
        <v>0</v>
      </c>
      <c r="P41" s="73">
        <f t="shared" si="1"/>
        <v>0</v>
      </c>
      <c r="Q41" s="34"/>
      <c r="R41" s="132"/>
      <c r="S41" s="132"/>
    </row>
    <row r="42" spans="1:19" x14ac:dyDescent="0.2">
      <c r="A42" s="117" t="s">
        <v>211</v>
      </c>
      <c r="B42" s="124"/>
      <c r="C42" s="130"/>
      <c r="D42" s="124"/>
      <c r="E42" s="124"/>
      <c r="F42" s="125"/>
      <c r="G42" s="456" t="s">
        <v>261</v>
      </c>
      <c r="H42" s="18"/>
      <c r="I42" s="35"/>
      <c r="J42" s="35"/>
      <c r="K42" s="35"/>
      <c r="L42" s="35"/>
      <c r="M42" s="35"/>
      <c r="N42" s="35"/>
      <c r="O42" s="35"/>
      <c r="P42" s="73"/>
      <c r="Q42" s="34"/>
      <c r="R42" s="132"/>
      <c r="S42" s="132"/>
    </row>
    <row r="43" spans="1:19" x14ac:dyDescent="0.2">
      <c r="A43" s="113" t="s">
        <v>186</v>
      </c>
      <c r="B43" s="14" t="s">
        <v>187</v>
      </c>
      <c r="C43" s="131"/>
      <c r="D43" s="39"/>
      <c r="E43" s="39"/>
      <c r="F43" s="128"/>
      <c r="G43" s="455" t="s">
        <v>453</v>
      </c>
      <c r="H43" s="18"/>
      <c r="I43" s="35">
        <f>SUM(I44,I47,I50)</f>
        <v>0</v>
      </c>
      <c r="J43" s="35">
        <f>SUM(J44,J47,J50)</f>
        <v>0</v>
      </c>
      <c r="K43" s="35">
        <f>SUM(K44,K47,K50)</f>
        <v>0</v>
      </c>
      <c r="L43" s="60"/>
      <c r="M43" s="60"/>
      <c r="N43" s="35">
        <f>SUM(N44,N47,N50)</f>
        <v>0</v>
      </c>
      <c r="O43" s="35">
        <f>SUM(O44,O47,O50)</f>
        <v>0</v>
      </c>
      <c r="P43" s="73">
        <f t="shared" ref="P43:P56" si="12">I43+K43+M43+O43</f>
        <v>0</v>
      </c>
      <c r="Q43" s="34"/>
      <c r="R43" s="132"/>
      <c r="S43" s="132"/>
    </row>
    <row r="44" spans="1:19" ht="12.75" customHeight="1" x14ac:dyDescent="0.2">
      <c r="A44" s="129"/>
      <c r="B44" s="124" t="s">
        <v>188</v>
      </c>
      <c r="C44" s="499" t="s">
        <v>212</v>
      </c>
      <c r="D44" s="499"/>
      <c r="E44" s="499"/>
      <c r="F44" s="500"/>
      <c r="G44" s="455" t="s">
        <v>454</v>
      </c>
      <c r="H44" s="18"/>
      <c r="I44" s="35">
        <f>SUM(I45,I46)</f>
        <v>0</v>
      </c>
      <c r="J44" s="35">
        <f>SUM(J45,J46)</f>
        <v>0</v>
      </c>
      <c r="K44" s="35">
        <f>SUM(K45,K46)</f>
        <v>0</v>
      </c>
      <c r="L44" s="60"/>
      <c r="M44" s="60"/>
      <c r="N44" s="35">
        <f>SUM(N45,N46)</f>
        <v>0</v>
      </c>
      <c r="O44" s="35">
        <f>SUM(O45,O46)</f>
        <v>0</v>
      </c>
      <c r="P44" s="73">
        <f t="shared" si="12"/>
        <v>0</v>
      </c>
      <c r="Q44" s="34"/>
      <c r="R44" s="132"/>
      <c r="S44" s="132"/>
    </row>
    <row r="45" spans="1:19" ht="12.75" customHeight="1" x14ac:dyDescent="0.2">
      <c r="A45" s="127"/>
      <c r="B45" s="39"/>
      <c r="C45" s="135" t="s">
        <v>19</v>
      </c>
      <c r="D45" s="489" t="s">
        <v>213</v>
      </c>
      <c r="E45" s="489"/>
      <c r="F45" s="490"/>
      <c r="G45" s="455" t="s">
        <v>455</v>
      </c>
      <c r="H45" s="18"/>
      <c r="I45" s="62"/>
      <c r="J45" s="82"/>
      <c r="K45" s="82"/>
      <c r="L45" s="60"/>
      <c r="M45" s="60"/>
      <c r="N45" s="82"/>
      <c r="O45" s="82"/>
      <c r="P45" s="73">
        <f t="shared" si="12"/>
        <v>0</v>
      </c>
      <c r="Q45" s="34"/>
      <c r="R45" s="132"/>
      <c r="S45" s="132"/>
    </row>
    <row r="46" spans="1:19" ht="12.75" customHeight="1" x14ac:dyDescent="0.2">
      <c r="A46" s="129"/>
      <c r="B46" s="124"/>
      <c r="C46" s="138" t="s">
        <v>21</v>
      </c>
      <c r="D46" s="499" t="s">
        <v>194</v>
      </c>
      <c r="E46" s="499"/>
      <c r="F46" s="500"/>
      <c r="G46" s="455" t="s">
        <v>456</v>
      </c>
      <c r="H46" s="18"/>
      <c r="I46" s="62"/>
      <c r="J46" s="82"/>
      <c r="K46" s="82"/>
      <c r="L46" s="60"/>
      <c r="M46" s="60"/>
      <c r="N46" s="82"/>
      <c r="O46" s="82"/>
      <c r="P46" s="73">
        <f t="shared" si="12"/>
        <v>0</v>
      </c>
      <c r="Q46" s="34"/>
      <c r="R46" s="132"/>
      <c r="S46" s="132"/>
    </row>
    <row r="47" spans="1:19" x14ac:dyDescent="0.2">
      <c r="A47" s="127"/>
      <c r="B47" s="39" t="s">
        <v>195</v>
      </c>
      <c r="C47" s="131" t="s">
        <v>198</v>
      </c>
      <c r="D47" s="39"/>
      <c r="E47" s="39"/>
      <c r="F47" s="128"/>
      <c r="G47" s="455" t="s">
        <v>457</v>
      </c>
      <c r="H47" s="18"/>
      <c r="I47" s="35">
        <f>SUM(I48,I49)</f>
        <v>0</v>
      </c>
      <c r="J47" s="35">
        <f>SUM(J48,J49)</f>
        <v>0</v>
      </c>
      <c r="K47" s="35">
        <f>SUM(K48,K49)</f>
        <v>0</v>
      </c>
      <c r="L47" s="60"/>
      <c r="M47" s="60"/>
      <c r="N47" s="35">
        <f>SUM(N48,N49)</f>
        <v>0</v>
      </c>
      <c r="O47" s="35">
        <f>SUM(O48,O49)</f>
        <v>0</v>
      </c>
      <c r="P47" s="73">
        <f t="shared" si="12"/>
        <v>0</v>
      </c>
      <c r="Q47" s="34"/>
      <c r="R47" s="132"/>
      <c r="S47" s="132"/>
    </row>
    <row r="48" spans="1:19" x14ac:dyDescent="0.2">
      <c r="A48" s="129"/>
      <c r="B48" s="124"/>
      <c r="C48" s="139">
        <v>-1</v>
      </c>
      <c r="D48" s="124" t="s">
        <v>199</v>
      </c>
      <c r="E48" s="124"/>
      <c r="F48" s="125"/>
      <c r="G48" s="455" t="s">
        <v>458</v>
      </c>
      <c r="H48" s="18"/>
      <c r="I48" s="62"/>
      <c r="J48" s="82"/>
      <c r="K48" s="82"/>
      <c r="L48" s="60"/>
      <c r="M48" s="60"/>
      <c r="N48" s="82"/>
      <c r="O48" s="82"/>
      <c r="P48" s="73">
        <f t="shared" si="12"/>
        <v>0</v>
      </c>
      <c r="Q48" s="34"/>
      <c r="R48" s="132"/>
      <c r="S48" s="132"/>
    </row>
    <row r="49" spans="1:19" x14ac:dyDescent="0.2">
      <c r="A49" s="127"/>
      <c r="B49" s="39"/>
      <c r="C49" s="140" t="s">
        <v>21</v>
      </c>
      <c r="D49" s="39" t="s">
        <v>200</v>
      </c>
      <c r="E49" s="39"/>
      <c r="F49" s="128"/>
      <c r="G49" s="455" t="s">
        <v>459</v>
      </c>
      <c r="H49" s="18"/>
      <c r="I49" s="62"/>
      <c r="J49" s="82"/>
      <c r="K49" s="82"/>
      <c r="L49" s="60"/>
      <c r="M49" s="60"/>
      <c r="N49" s="82"/>
      <c r="O49" s="82"/>
      <c r="P49" s="73">
        <f t="shared" si="12"/>
        <v>0</v>
      </c>
      <c r="Q49" s="34"/>
      <c r="R49" s="132"/>
      <c r="S49" s="132"/>
    </row>
    <row r="50" spans="1:19" x14ac:dyDescent="0.2">
      <c r="A50" s="129"/>
      <c r="B50" s="124" t="s">
        <v>197</v>
      </c>
      <c r="C50" s="130" t="s">
        <v>202</v>
      </c>
      <c r="D50" s="124"/>
      <c r="E50" s="124"/>
      <c r="F50" s="125"/>
      <c r="G50" s="455" t="s">
        <v>460</v>
      </c>
      <c r="H50" s="18"/>
      <c r="I50" s="35">
        <f>SUM(I51,I52)</f>
        <v>0</v>
      </c>
      <c r="J50" s="35">
        <f>SUM(J51,J52)</f>
        <v>0</v>
      </c>
      <c r="K50" s="35">
        <f>SUM(K51,K52)</f>
        <v>0</v>
      </c>
      <c r="L50" s="60"/>
      <c r="M50" s="60"/>
      <c r="N50" s="35">
        <f>SUM(N51,N52)</f>
        <v>0</v>
      </c>
      <c r="O50" s="35">
        <f>SUM(O51,O52)</f>
        <v>0</v>
      </c>
      <c r="P50" s="73">
        <f t="shared" si="12"/>
        <v>0</v>
      </c>
      <c r="Q50" s="34"/>
      <c r="R50" s="132"/>
      <c r="S50" s="132"/>
    </row>
    <row r="51" spans="1:19" ht="12.75" customHeight="1" x14ac:dyDescent="0.2">
      <c r="A51" s="127"/>
      <c r="B51" s="39"/>
      <c r="C51" s="135" t="s">
        <v>19</v>
      </c>
      <c r="D51" s="489" t="s">
        <v>203</v>
      </c>
      <c r="E51" s="489"/>
      <c r="F51" s="490"/>
      <c r="G51" s="455" t="s">
        <v>461</v>
      </c>
      <c r="H51" s="18"/>
      <c r="I51" s="62"/>
      <c r="J51" s="82"/>
      <c r="K51" s="82"/>
      <c r="L51" s="60"/>
      <c r="M51" s="60"/>
      <c r="N51" s="82"/>
      <c r="O51" s="82"/>
      <c r="P51" s="73">
        <f t="shared" si="12"/>
        <v>0</v>
      </c>
      <c r="Q51" s="34"/>
      <c r="R51" s="132"/>
      <c r="S51" s="132"/>
    </row>
    <row r="52" spans="1:19" ht="12.75" customHeight="1" x14ac:dyDescent="0.2">
      <c r="A52" s="129"/>
      <c r="B52" s="124"/>
      <c r="C52" s="138" t="s">
        <v>21</v>
      </c>
      <c r="D52" s="499" t="s">
        <v>194</v>
      </c>
      <c r="E52" s="499"/>
      <c r="F52" s="500"/>
      <c r="G52" s="455" t="s">
        <v>462</v>
      </c>
      <c r="H52" s="18"/>
      <c r="I52" s="62"/>
      <c r="J52" s="82"/>
      <c r="K52" s="82"/>
      <c r="L52" s="60"/>
      <c r="M52" s="60"/>
      <c r="N52" s="82"/>
      <c r="O52" s="82"/>
      <c r="P52" s="73">
        <f t="shared" si="12"/>
        <v>0</v>
      </c>
      <c r="Q52" s="34"/>
      <c r="R52" s="132"/>
      <c r="S52" s="132"/>
    </row>
    <row r="53" spans="1:19" x14ac:dyDescent="0.2">
      <c r="A53" s="113" t="s">
        <v>214</v>
      </c>
      <c r="B53" s="14" t="s">
        <v>204</v>
      </c>
      <c r="C53" s="131"/>
      <c r="D53" s="39"/>
      <c r="E53" s="39"/>
      <c r="F53" s="128"/>
      <c r="G53" s="455" t="s">
        <v>463</v>
      </c>
      <c r="H53" s="18"/>
      <c r="I53" s="60"/>
      <c r="J53" s="35">
        <f>SUM(J54,J55)</f>
        <v>0</v>
      </c>
      <c r="K53" s="35">
        <f>SUM(K54,K55)</f>
        <v>0</v>
      </c>
      <c r="L53" s="60"/>
      <c r="M53" s="60"/>
      <c r="N53" s="35">
        <f>SUM(N54,N55)</f>
        <v>0</v>
      </c>
      <c r="O53" s="35">
        <f>SUM(O54,O55)</f>
        <v>0</v>
      </c>
      <c r="P53" s="73">
        <f t="shared" si="12"/>
        <v>0</v>
      </c>
      <c r="Q53" s="34"/>
      <c r="R53" s="132"/>
      <c r="S53" s="132"/>
    </row>
    <row r="54" spans="1:19" ht="12.75" customHeight="1" x14ac:dyDescent="0.2">
      <c r="A54" s="116"/>
      <c r="B54" s="124" t="s">
        <v>188</v>
      </c>
      <c r="C54" s="499" t="s">
        <v>198</v>
      </c>
      <c r="D54" s="499"/>
      <c r="E54" s="499"/>
      <c r="F54" s="500"/>
      <c r="G54" s="455" t="s">
        <v>464</v>
      </c>
      <c r="H54" s="18"/>
      <c r="I54" s="60"/>
      <c r="J54" s="82"/>
      <c r="K54" s="82"/>
      <c r="L54" s="60"/>
      <c r="M54" s="60"/>
      <c r="N54" s="62"/>
      <c r="O54" s="62"/>
      <c r="P54" s="73">
        <f t="shared" si="12"/>
        <v>0</v>
      </c>
      <c r="Q54" s="34"/>
      <c r="R54" s="132"/>
      <c r="S54" s="132"/>
    </row>
    <row r="55" spans="1:19" ht="12.75" customHeight="1" x14ac:dyDescent="0.2">
      <c r="A55" s="113"/>
      <c r="B55" s="39" t="s">
        <v>195</v>
      </c>
      <c r="C55" s="489" t="s">
        <v>208</v>
      </c>
      <c r="D55" s="489"/>
      <c r="E55" s="489"/>
      <c r="F55" s="490"/>
      <c r="G55" s="455" t="s">
        <v>465</v>
      </c>
      <c r="H55" s="18"/>
      <c r="I55" s="60"/>
      <c r="J55" s="82"/>
      <c r="K55" s="82"/>
      <c r="L55" s="60"/>
      <c r="M55" s="60"/>
      <c r="N55" s="62"/>
      <c r="O55" s="62"/>
      <c r="P55" s="73">
        <f t="shared" si="12"/>
        <v>0</v>
      </c>
      <c r="Q55" s="34"/>
      <c r="R55" s="132"/>
      <c r="S55" s="132"/>
    </row>
    <row r="56" spans="1:19" x14ac:dyDescent="0.2">
      <c r="A56" s="129"/>
      <c r="B56" s="115" t="s">
        <v>210</v>
      </c>
      <c r="C56" s="130"/>
      <c r="D56" s="124"/>
      <c r="E56" s="124"/>
      <c r="F56" s="125"/>
      <c r="G56" s="455" t="s">
        <v>466</v>
      </c>
      <c r="H56" s="18"/>
      <c r="I56" s="35">
        <f t="shared" ref="I56:O56" si="13">SUM(I43,I53)</f>
        <v>0</v>
      </c>
      <c r="J56" s="35">
        <f t="shared" si="13"/>
        <v>0</v>
      </c>
      <c r="K56" s="35">
        <f t="shared" si="13"/>
        <v>0</v>
      </c>
      <c r="L56" s="60"/>
      <c r="M56" s="60"/>
      <c r="N56" s="35">
        <f t="shared" si="13"/>
        <v>0</v>
      </c>
      <c r="O56" s="35">
        <f t="shared" si="13"/>
        <v>0</v>
      </c>
      <c r="P56" s="73">
        <f t="shared" si="12"/>
        <v>0</v>
      </c>
      <c r="Q56" s="34"/>
      <c r="R56" s="132"/>
      <c r="S56" s="132"/>
    </row>
    <row r="57" spans="1:19" x14ac:dyDescent="0.2">
      <c r="A57" s="117" t="s">
        <v>392</v>
      </c>
      <c r="B57" s="19"/>
      <c r="C57" s="124"/>
      <c r="D57" s="124"/>
      <c r="E57" s="124"/>
      <c r="F57" s="125"/>
      <c r="G57" s="455" t="s">
        <v>467</v>
      </c>
      <c r="H57" s="18"/>
      <c r="I57" s="35">
        <f t="shared" ref="I57:O57" si="14">SUM(I41,I56)</f>
        <v>0</v>
      </c>
      <c r="J57" s="35">
        <f t="shared" si="14"/>
        <v>0</v>
      </c>
      <c r="K57" s="35">
        <f t="shared" si="14"/>
        <v>0</v>
      </c>
      <c r="L57" s="35">
        <f t="shared" si="14"/>
        <v>0</v>
      </c>
      <c r="M57" s="35">
        <f t="shared" si="14"/>
        <v>0</v>
      </c>
      <c r="N57" s="35">
        <f t="shared" si="14"/>
        <v>0</v>
      </c>
      <c r="O57" s="35">
        <f t="shared" si="14"/>
        <v>0</v>
      </c>
      <c r="P57" s="73">
        <f>I57+K57+M57+O57</f>
        <v>0</v>
      </c>
      <c r="Q57" s="34"/>
      <c r="R57" s="132"/>
      <c r="S57" s="132"/>
    </row>
    <row r="58" spans="1:19" x14ac:dyDescent="0.2">
      <c r="A58" s="116" t="s">
        <v>215</v>
      </c>
      <c r="B58" s="124"/>
      <c r="C58" s="124"/>
      <c r="D58" s="124"/>
      <c r="E58" s="124"/>
      <c r="F58" s="125"/>
      <c r="G58" s="456"/>
      <c r="H58" s="18"/>
      <c r="I58" s="35"/>
      <c r="J58" s="35"/>
      <c r="K58" s="35"/>
      <c r="L58" s="35"/>
      <c r="M58" s="35"/>
      <c r="N58" s="35"/>
      <c r="O58" s="35"/>
      <c r="P58" s="73"/>
      <c r="Q58" s="34"/>
      <c r="R58" s="132"/>
      <c r="S58" s="132"/>
    </row>
    <row r="59" spans="1:19" x14ac:dyDescent="0.2">
      <c r="A59" s="127" t="s">
        <v>9</v>
      </c>
      <c r="B59" s="39" t="s">
        <v>216</v>
      </c>
      <c r="C59" s="39"/>
      <c r="D59" s="39"/>
      <c r="E59" s="39"/>
      <c r="F59" s="128"/>
      <c r="G59" s="455" t="s">
        <v>468</v>
      </c>
      <c r="H59" s="18"/>
      <c r="I59" s="35">
        <f>SUM(I60,I61,I62,I63)</f>
        <v>0</v>
      </c>
      <c r="J59" s="35">
        <f>SUM(J60,J61,J62,J63)</f>
        <v>0</v>
      </c>
      <c r="K59" s="35">
        <f>SUM(K60,K61,K62,K63)</f>
        <v>0</v>
      </c>
      <c r="L59" s="60"/>
      <c r="M59" s="60"/>
      <c r="N59" s="476">
        <f>SUM(N60,N61,N62,N63)</f>
        <v>0</v>
      </c>
      <c r="O59" s="476">
        <f>SUM(O60,O61,O62,O63)</f>
        <v>0</v>
      </c>
      <c r="P59" s="73">
        <f t="shared" ref="P59:P79" si="15">I59+K59+M59+O59</f>
        <v>0</v>
      </c>
      <c r="Q59" s="34"/>
      <c r="R59" s="132"/>
      <c r="S59" s="132"/>
    </row>
    <row r="60" spans="1:19" x14ac:dyDescent="0.2">
      <c r="A60" s="129"/>
      <c r="B60" s="124" t="s">
        <v>217</v>
      </c>
      <c r="C60" s="124" t="s">
        <v>218</v>
      </c>
      <c r="D60" s="124"/>
      <c r="E60" s="124"/>
      <c r="F60" s="125"/>
      <c r="G60" s="455" t="s">
        <v>469</v>
      </c>
      <c r="H60" s="18"/>
      <c r="I60" s="62"/>
      <c r="J60" s="60"/>
      <c r="K60" s="60"/>
      <c r="L60" s="60"/>
      <c r="M60" s="60"/>
      <c r="N60" s="82"/>
      <c r="O60" s="82"/>
      <c r="P60" s="73">
        <f t="shared" si="15"/>
        <v>0</v>
      </c>
      <c r="Q60" s="34"/>
      <c r="R60" s="132"/>
      <c r="S60" s="132"/>
    </row>
    <row r="61" spans="1:19" x14ac:dyDescent="0.2">
      <c r="A61" s="129"/>
      <c r="B61" s="124" t="s">
        <v>195</v>
      </c>
      <c r="C61" s="124" t="s">
        <v>220</v>
      </c>
      <c r="D61" s="124"/>
      <c r="E61" s="124"/>
      <c r="F61" s="125"/>
      <c r="G61" s="455" t="s">
        <v>470</v>
      </c>
      <c r="H61" s="18"/>
      <c r="I61" s="60"/>
      <c r="J61" s="60"/>
      <c r="K61" s="60"/>
      <c r="L61" s="60"/>
      <c r="M61" s="60"/>
      <c r="N61" s="300"/>
      <c r="O61" s="300"/>
      <c r="P61" s="79"/>
      <c r="Q61" s="34"/>
      <c r="R61" s="132"/>
      <c r="S61" s="132"/>
    </row>
    <row r="62" spans="1:19" x14ac:dyDescent="0.2">
      <c r="A62" s="478"/>
      <c r="B62" s="120" t="s">
        <v>197</v>
      </c>
      <c r="C62" s="120" t="s">
        <v>941</v>
      </c>
      <c r="D62" s="120"/>
      <c r="E62" s="120"/>
      <c r="F62" s="121"/>
      <c r="G62" s="455" t="s">
        <v>471</v>
      </c>
      <c r="H62" s="18"/>
      <c r="I62" s="62"/>
      <c r="J62" s="60"/>
      <c r="K62" s="60"/>
      <c r="L62" s="60"/>
      <c r="M62" s="60"/>
      <c r="N62" s="82"/>
      <c r="O62" s="82"/>
      <c r="P62" s="73">
        <f t="shared" si="15"/>
        <v>0</v>
      </c>
      <c r="Q62" s="34"/>
      <c r="R62" s="132"/>
      <c r="S62" s="132"/>
    </row>
    <row r="63" spans="1:19" ht="29.25" customHeight="1" x14ac:dyDescent="0.2">
      <c r="A63" s="129"/>
      <c r="B63" s="479" t="s">
        <v>201</v>
      </c>
      <c r="C63" s="515" t="s">
        <v>969</v>
      </c>
      <c r="D63" s="515"/>
      <c r="E63" s="515"/>
      <c r="F63" s="516"/>
      <c r="G63" s="477" t="s">
        <v>970</v>
      </c>
      <c r="H63" s="18"/>
      <c r="I63" s="62"/>
      <c r="J63" s="62"/>
      <c r="K63" s="62"/>
      <c r="L63" s="60"/>
      <c r="M63" s="60"/>
      <c r="N63" s="82"/>
      <c r="O63" s="82"/>
      <c r="P63" s="73">
        <f t="shared" si="15"/>
        <v>0</v>
      </c>
      <c r="Q63" s="34"/>
      <c r="R63" s="132"/>
      <c r="S63" s="132"/>
    </row>
    <row r="64" spans="1:19" ht="12.75" customHeight="1" x14ac:dyDescent="0.2">
      <c r="A64" s="143" t="s">
        <v>33</v>
      </c>
      <c r="B64" s="502" t="s">
        <v>221</v>
      </c>
      <c r="C64" s="502"/>
      <c r="D64" s="502"/>
      <c r="E64" s="502"/>
      <c r="F64" s="503"/>
      <c r="G64" s="455" t="s">
        <v>472</v>
      </c>
      <c r="H64" s="18"/>
      <c r="I64" s="62"/>
      <c r="J64" s="60"/>
      <c r="K64" s="60"/>
      <c r="L64" s="60"/>
      <c r="M64" s="60"/>
      <c r="N64" s="82"/>
      <c r="O64" s="82"/>
      <c r="P64" s="73">
        <f t="shared" si="15"/>
        <v>0</v>
      </c>
      <c r="Q64" s="34"/>
      <c r="R64" s="132"/>
      <c r="S64" s="132"/>
    </row>
    <row r="65" spans="1:19" ht="12.75" customHeight="1" x14ac:dyDescent="0.2">
      <c r="A65" s="146" t="s">
        <v>48</v>
      </c>
      <c r="B65" s="501" t="s">
        <v>222</v>
      </c>
      <c r="C65" s="501"/>
      <c r="D65" s="501"/>
      <c r="E65" s="501"/>
      <c r="F65" s="511"/>
      <c r="G65" s="455" t="s">
        <v>473</v>
      </c>
      <c r="H65" s="18"/>
      <c r="I65" s="62"/>
      <c r="J65" s="62"/>
      <c r="K65" s="62"/>
      <c r="L65" s="62"/>
      <c r="M65" s="62"/>
      <c r="N65" s="82"/>
      <c r="O65" s="82"/>
      <c r="P65" s="73">
        <f t="shared" si="15"/>
        <v>0</v>
      </c>
      <c r="Q65" s="34"/>
      <c r="R65" s="132"/>
      <c r="S65" s="132"/>
    </row>
    <row r="66" spans="1:19" ht="12.75" customHeight="1" x14ac:dyDescent="0.2">
      <c r="A66" s="146" t="s">
        <v>55</v>
      </c>
      <c r="B66" s="501" t="s">
        <v>223</v>
      </c>
      <c r="C66" s="501"/>
      <c r="D66" s="147"/>
      <c r="E66" s="147"/>
      <c r="F66" s="148"/>
      <c r="G66" s="455" t="s">
        <v>474</v>
      </c>
      <c r="H66" s="18"/>
      <c r="I66" s="62"/>
      <c r="J66" s="60"/>
      <c r="K66" s="60"/>
      <c r="L66" s="60"/>
      <c r="M66" s="60"/>
      <c r="N66" s="82"/>
      <c r="O66" s="82"/>
      <c r="P66" s="73">
        <f t="shared" si="15"/>
        <v>0</v>
      </c>
      <c r="Q66" s="34"/>
      <c r="R66" s="132"/>
      <c r="S66" s="132"/>
    </row>
    <row r="67" spans="1:19" x14ac:dyDescent="0.2">
      <c r="A67" s="146" t="s">
        <v>224</v>
      </c>
      <c r="B67" s="124" t="s">
        <v>225</v>
      </c>
      <c r="C67" s="124"/>
      <c r="D67" s="124"/>
      <c r="E67" s="124"/>
      <c r="F67" s="125"/>
      <c r="G67" s="455" t="s">
        <v>475</v>
      </c>
      <c r="H67" s="18"/>
      <c r="I67" s="35">
        <f t="shared" ref="I67:O67" si="16">SUM(I68,I69,I70)</f>
        <v>0</v>
      </c>
      <c r="J67" s="35">
        <f t="shared" si="16"/>
        <v>0</v>
      </c>
      <c r="K67" s="35">
        <f t="shared" si="16"/>
        <v>0</v>
      </c>
      <c r="L67" s="35">
        <f t="shared" si="16"/>
        <v>0</v>
      </c>
      <c r="M67" s="35">
        <f t="shared" si="16"/>
        <v>0</v>
      </c>
      <c r="N67" s="35">
        <f t="shared" si="16"/>
        <v>0</v>
      </c>
      <c r="O67" s="35">
        <f t="shared" si="16"/>
        <v>0</v>
      </c>
      <c r="P67" s="73">
        <f t="shared" si="15"/>
        <v>0</v>
      </c>
      <c r="Q67" s="34"/>
      <c r="R67" s="132"/>
      <c r="S67" s="132"/>
    </row>
    <row r="68" spans="1:19" x14ac:dyDescent="0.2">
      <c r="A68" s="127"/>
      <c r="B68" s="39" t="s">
        <v>188</v>
      </c>
      <c r="C68" s="39" t="s">
        <v>226</v>
      </c>
      <c r="D68" s="39"/>
      <c r="E68" s="39"/>
      <c r="F68" s="128"/>
      <c r="G68" s="455" t="s">
        <v>476</v>
      </c>
      <c r="H68" s="18"/>
      <c r="I68" s="62"/>
      <c r="J68" s="62"/>
      <c r="K68" s="62"/>
      <c r="L68" s="62"/>
      <c r="M68" s="62"/>
      <c r="N68" s="62"/>
      <c r="O68" s="62"/>
      <c r="P68" s="73">
        <f t="shared" si="15"/>
        <v>0</v>
      </c>
      <c r="Q68" s="34"/>
      <c r="R68" s="132"/>
      <c r="S68" s="132"/>
    </row>
    <row r="69" spans="1:19" x14ac:dyDescent="0.2">
      <c r="A69" s="129"/>
      <c r="B69" s="124" t="s">
        <v>195</v>
      </c>
      <c r="C69" s="124" t="s">
        <v>227</v>
      </c>
      <c r="D69" s="124"/>
      <c r="E69" s="124"/>
      <c r="F69" s="125"/>
      <c r="G69" s="455" t="s">
        <v>477</v>
      </c>
      <c r="H69" s="18"/>
      <c r="I69" s="62"/>
      <c r="J69" s="62"/>
      <c r="K69" s="62"/>
      <c r="L69" s="62"/>
      <c r="M69" s="62"/>
      <c r="N69" s="62"/>
      <c r="O69" s="62"/>
      <c r="P69" s="73">
        <f t="shared" si="15"/>
        <v>0</v>
      </c>
      <c r="Q69" s="34"/>
      <c r="R69" s="132"/>
      <c r="S69" s="132"/>
    </row>
    <row r="70" spans="1:19" x14ac:dyDescent="0.2">
      <c r="A70" s="127"/>
      <c r="B70" s="39" t="s">
        <v>197</v>
      </c>
      <c r="C70" s="39" t="s">
        <v>228</v>
      </c>
      <c r="D70" s="39"/>
      <c r="E70" s="39"/>
      <c r="F70" s="128"/>
      <c r="G70" s="455" t="s">
        <v>478</v>
      </c>
      <c r="H70" s="18"/>
      <c r="I70" s="35">
        <f t="shared" ref="I70:O70" si="17">SUM(I71,I72)</f>
        <v>0</v>
      </c>
      <c r="J70" s="35">
        <f t="shared" si="17"/>
        <v>0</v>
      </c>
      <c r="K70" s="35">
        <f t="shared" si="17"/>
        <v>0</v>
      </c>
      <c r="L70" s="35">
        <f t="shared" si="17"/>
        <v>0</v>
      </c>
      <c r="M70" s="35">
        <f t="shared" si="17"/>
        <v>0</v>
      </c>
      <c r="N70" s="35">
        <f t="shared" si="17"/>
        <v>0</v>
      </c>
      <c r="O70" s="35">
        <f t="shared" si="17"/>
        <v>0</v>
      </c>
      <c r="P70" s="73">
        <f t="shared" si="15"/>
        <v>0</v>
      </c>
      <c r="Q70" s="34"/>
      <c r="R70" s="132"/>
      <c r="S70" s="132"/>
    </row>
    <row r="71" spans="1:19" x14ac:dyDescent="0.2">
      <c r="A71" s="129"/>
      <c r="B71" s="124"/>
      <c r="C71" s="149" t="s">
        <v>19</v>
      </c>
      <c r="D71" s="124" t="s">
        <v>229</v>
      </c>
      <c r="E71" s="124"/>
      <c r="F71" s="125"/>
      <c r="G71" s="455" t="s">
        <v>479</v>
      </c>
      <c r="H71" s="18"/>
      <c r="I71" s="62"/>
      <c r="J71" s="62"/>
      <c r="K71" s="62"/>
      <c r="L71" s="62"/>
      <c r="M71" s="62"/>
      <c r="N71" s="62"/>
      <c r="O71" s="62"/>
      <c r="P71" s="73">
        <f t="shared" si="15"/>
        <v>0</v>
      </c>
      <c r="Q71" s="34"/>
      <c r="R71" s="132"/>
      <c r="S71" s="132"/>
    </row>
    <row r="72" spans="1:19" x14ac:dyDescent="0.2">
      <c r="A72" s="127"/>
      <c r="B72" s="39"/>
      <c r="C72" s="150" t="s">
        <v>21</v>
      </c>
      <c r="D72" s="39" t="s">
        <v>228</v>
      </c>
      <c r="E72" s="39"/>
      <c r="F72" s="128"/>
      <c r="G72" s="455" t="s">
        <v>480</v>
      </c>
      <c r="H72" s="18"/>
      <c r="I72" s="62"/>
      <c r="J72" s="62"/>
      <c r="K72" s="62"/>
      <c r="L72" s="62"/>
      <c r="M72" s="62"/>
      <c r="N72" s="62"/>
      <c r="O72" s="62"/>
      <c r="P72" s="73">
        <f t="shared" si="15"/>
        <v>0</v>
      </c>
      <c r="Q72" s="34"/>
      <c r="R72" s="132"/>
      <c r="S72" s="132"/>
    </row>
    <row r="73" spans="1:19" x14ac:dyDescent="0.2">
      <c r="A73" s="146" t="s">
        <v>230</v>
      </c>
      <c r="B73" s="124" t="s">
        <v>231</v>
      </c>
      <c r="C73" s="124"/>
      <c r="D73" s="124"/>
      <c r="E73" s="124"/>
      <c r="F73" s="125"/>
      <c r="G73" s="455" t="s">
        <v>481</v>
      </c>
      <c r="H73" s="18"/>
      <c r="I73" s="35">
        <f t="shared" ref="I73:O73" si="18">SUM(I74,I75)</f>
        <v>0</v>
      </c>
      <c r="J73" s="35">
        <f t="shared" si="18"/>
        <v>0</v>
      </c>
      <c r="K73" s="35">
        <f t="shared" si="18"/>
        <v>0</v>
      </c>
      <c r="L73" s="35">
        <f t="shared" si="18"/>
        <v>0</v>
      </c>
      <c r="M73" s="35">
        <f t="shared" si="18"/>
        <v>0</v>
      </c>
      <c r="N73" s="35">
        <f t="shared" si="18"/>
        <v>0</v>
      </c>
      <c r="O73" s="35">
        <f t="shared" si="18"/>
        <v>0</v>
      </c>
      <c r="P73" s="73">
        <f t="shared" si="15"/>
        <v>0</v>
      </c>
      <c r="Q73" s="34"/>
      <c r="R73" s="132"/>
      <c r="S73" s="132"/>
    </row>
    <row r="74" spans="1:19" x14ac:dyDescent="0.2">
      <c r="A74" s="127"/>
      <c r="B74" s="39" t="s">
        <v>188</v>
      </c>
      <c r="C74" s="39" t="s">
        <v>232</v>
      </c>
      <c r="D74" s="39"/>
      <c r="E74" s="39"/>
      <c r="F74" s="128"/>
      <c r="G74" s="455" t="s">
        <v>482</v>
      </c>
      <c r="H74" s="18"/>
      <c r="I74" s="62"/>
      <c r="J74" s="62"/>
      <c r="K74" s="62"/>
      <c r="L74" s="62"/>
      <c r="M74" s="62"/>
      <c r="N74" s="62"/>
      <c r="O74" s="62"/>
      <c r="P74" s="73">
        <f t="shared" si="15"/>
        <v>0</v>
      </c>
      <c r="Q74" s="34"/>
      <c r="R74" s="132"/>
      <c r="S74" s="132"/>
    </row>
    <row r="75" spans="1:19" x14ac:dyDescent="0.2">
      <c r="A75" s="129"/>
      <c r="B75" s="124" t="s">
        <v>195</v>
      </c>
      <c r="C75" s="124" t="s">
        <v>233</v>
      </c>
      <c r="D75" s="124"/>
      <c r="E75" s="124"/>
      <c r="F75" s="125"/>
      <c r="G75" s="455" t="s">
        <v>483</v>
      </c>
      <c r="H75" s="18"/>
      <c r="I75" s="62"/>
      <c r="J75" s="62"/>
      <c r="K75" s="62"/>
      <c r="L75" s="62"/>
      <c r="M75" s="62"/>
      <c r="N75" s="62"/>
      <c r="O75" s="62"/>
      <c r="P75" s="73">
        <f t="shared" si="15"/>
        <v>0</v>
      </c>
      <c r="Q75" s="34"/>
      <c r="R75" s="132"/>
      <c r="S75" s="132"/>
    </row>
    <row r="76" spans="1:19" x14ac:dyDescent="0.2">
      <c r="A76" s="143" t="s">
        <v>234</v>
      </c>
      <c r="B76" s="39" t="s">
        <v>235</v>
      </c>
      <c r="C76" s="39"/>
      <c r="D76" s="39"/>
      <c r="E76" s="39"/>
      <c r="F76" s="128"/>
      <c r="G76" s="455" t="s">
        <v>484</v>
      </c>
      <c r="H76" s="18"/>
      <c r="I76" s="62"/>
      <c r="J76" s="62"/>
      <c r="K76" s="62"/>
      <c r="L76" s="62"/>
      <c r="M76" s="62"/>
      <c r="N76" s="62"/>
      <c r="O76" s="62"/>
      <c r="P76" s="73">
        <f t="shared" si="15"/>
        <v>0</v>
      </c>
      <c r="Q76" s="34"/>
      <c r="R76" s="132"/>
      <c r="S76" s="132"/>
    </row>
    <row r="77" spans="1:19" x14ac:dyDescent="0.2">
      <c r="A77" s="146" t="s">
        <v>236</v>
      </c>
      <c r="B77" s="124" t="s">
        <v>581</v>
      </c>
      <c r="C77" s="124"/>
      <c r="D77" s="124"/>
      <c r="E77" s="124"/>
      <c r="F77" s="125"/>
      <c r="G77" s="455" t="s">
        <v>485</v>
      </c>
      <c r="H77" s="18"/>
      <c r="I77" s="62"/>
      <c r="J77" s="62"/>
      <c r="K77" s="62"/>
      <c r="L77" s="60"/>
      <c r="M77" s="60"/>
      <c r="N77" s="62"/>
      <c r="O77" s="62"/>
      <c r="P77" s="73">
        <f t="shared" si="15"/>
        <v>0</v>
      </c>
      <c r="Q77" s="34"/>
      <c r="R77" s="132"/>
      <c r="S77" s="132"/>
    </row>
    <row r="78" spans="1:19" x14ac:dyDescent="0.2">
      <c r="A78" s="220" t="s">
        <v>635</v>
      </c>
      <c r="B78" s="124"/>
      <c r="C78" s="124"/>
      <c r="D78" s="124"/>
      <c r="E78" s="124"/>
      <c r="F78" s="124"/>
      <c r="G78" s="457"/>
      <c r="H78" s="108"/>
      <c r="I78" s="362"/>
      <c r="J78" s="362"/>
      <c r="K78" s="362"/>
      <c r="L78" s="305"/>
      <c r="M78" s="305"/>
      <c r="N78" s="362"/>
      <c r="O78" s="362"/>
      <c r="P78" s="73"/>
      <c r="Q78" s="34"/>
      <c r="R78" s="132"/>
      <c r="S78" s="132"/>
    </row>
    <row r="79" spans="1:19" x14ac:dyDescent="0.2">
      <c r="A79" s="281" t="s">
        <v>886</v>
      </c>
      <c r="B79" s="282" t="s">
        <v>794</v>
      </c>
      <c r="C79" s="124"/>
      <c r="D79" s="124"/>
      <c r="E79" s="124"/>
      <c r="F79" s="124"/>
      <c r="G79" s="458" t="s">
        <v>803</v>
      </c>
      <c r="H79" s="18"/>
      <c r="I79" s="62"/>
      <c r="J79" s="62"/>
      <c r="K79" s="62"/>
      <c r="L79" s="60"/>
      <c r="M79" s="60"/>
      <c r="N79" s="62"/>
      <c r="O79" s="62"/>
      <c r="P79" s="78">
        <f t="shared" si="15"/>
        <v>0</v>
      </c>
      <c r="Q79" s="34"/>
      <c r="R79" s="132"/>
      <c r="S79" s="132"/>
    </row>
    <row r="80" spans="1:19" x14ac:dyDescent="0.2">
      <c r="A80" s="151"/>
      <c r="B80" s="39"/>
      <c r="C80" s="39"/>
      <c r="D80" s="39"/>
      <c r="E80" s="39"/>
      <c r="F80" s="39"/>
      <c r="G80" s="72" t="s">
        <v>184</v>
      </c>
      <c r="H80" s="20"/>
      <c r="I80" s="36"/>
      <c r="J80" s="36"/>
      <c r="K80" s="36"/>
      <c r="L80" s="36"/>
      <c r="M80" s="36"/>
      <c r="N80" s="36"/>
      <c r="O80" s="36"/>
      <c r="P80" s="36"/>
      <c r="Q80" s="34"/>
      <c r="R80" s="132"/>
      <c r="S80" s="132"/>
    </row>
    <row r="81" spans="1:19" x14ac:dyDescent="0.2">
      <c r="A81" s="90" t="s">
        <v>754</v>
      </c>
      <c r="B81" s="152"/>
      <c r="C81" s="152"/>
      <c r="D81" s="152"/>
      <c r="E81" s="152"/>
      <c r="F81" s="152"/>
      <c r="G81" s="20"/>
      <c r="H81" s="20"/>
      <c r="I81" s="32"/>
      <c r="J81" s="32"/>
      <c r="K81" s="32"/>
      <c r="L81" s="32"/>
      <c r="M81" s="32"/>
      <c r="N81" s="32"/>
      <c r="O81" s="32"/>
      <c r="P81" s="32"/>
      <c r="Q81" s="34"/>
      <c r="R81" s="132"/>
      <c r="S81" s="132"/>
    </row>
    <row r="82" spans="1:19" x14ac:dyDescent="0.2">
      <c r="A82" s="7"/>
      <c r="B82" s="153"/>
      <c r="C82" s="154"/>
      <c r="D82" s="150"/>
      <c r="E82" s="39"/>
      <c r="F82" s="39"/>
      <c r="G82" s="22" t="s">
        <v>184</v>
      </c>
      <c r="H82" s="22"/>
      <c r="I82" s="34"/>
      <c r="J82" s="34"/>
      <c r="K82" s="34"/>
      <c r="L82" s="34"/>
      <c r="M82" s="34"/>
      <c r="N82" s="34"/>
      <c r="O82" s="34"/>
      <c r="P82" s="34"/>
      <c r="Q82" s="34"/>
      <c r="R82" s="132"/>
      <c r="S82" s="132"/>
    </row>
    <row r="83" spans="1:19" x14ac:dyDescent="0.2">
      <c r="A83" s="7"/>
      <c r="B83" s="155"/>
      <c r="C83" s="155"/>
      <c r="D83" s="155"/>
      <c r="E83" s="155"/>
      <c r="F83" s="155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132"/>
      <c r="S83" s="132"/>
    </row>
    <row r="84" spans="1:19" x14ac:dyDescent="0.2">
      <c r="A84" s="7"/>
      <c r="B84" s="3"/>
      <c r="C84" s="4"/>
      <c r="D84" s="5"/>
      <c r="E84" s="155"/>
      <c r="F84" s="155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132"/>
      <c r="S84" s="132"/>
    </row>
    <row r="85" spans="1:19" x14ac:dyDescent="0.2">
      <c r="A85" s="7"/>
      <c r="B85" s="3"/>
      <c r="C85" s="154"/>
      <c r="D85" s="157"/>
      <c r="E85" s="155"/>
      <c r="F85" s="155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132"/>
      <c r="S85" s="132"/>
    </row>
    <row r="86" spans="1:19" x14ac:dyDescent="0.2">
      <c r="A86" s="7"/>
      <c r="B86" s="155"/>
      <c r="C86" s="154"/>
      <c r="D86" s="157"/>
      <c r="E86" s="157"/>
      <c r="F86" s="155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132"/>
      <c r="S86" s="132"/>
    </row>
    <row r="87" spans="1:19" x14ac:dyDescent="0.2">
      <c r="A87" s="7"/>
      <c r="B87" s="155"/>
      <c r="C87" s="39"/>
      <c r="D87" s="154"/>
      <c r="E87" s="154"/>
      <c r="F87" s="155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132"/>
      <c r="S87" s="132"/>
    </row>
    <row r="88" spans="1:19" x14ac:dyDescent="0.2">
      <c r="A88" s="7"/>
      <c r="B88" s="155"/>
      <c r="C88" s="154"/>
      <c r="D88" s="39"/>
      <c r="E88" s="154"/>
      <c r="F88" s="155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132"/>
      <c r="S88" s="132"/>
    </row>
    <row r="89" spans="1:19" x14ac:dyDescent="0.2">
      <c r="A89" s="7"/>
      <c r="B89" s="155"/>
      <c r="C89" s="39"/>
      <c r="D89" s="158"/>
      <c r="E89" s="154"/>
      <c r="F89" s="155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132"/>
      <c r="S89" s="132"/>
    </row>
    <row r="90" spans="1:19" x14ac:dyDescent="0.2">
      <c r="A90" s="7"/>
      <c r="B90" s="155"/>
      <c r="C90" s="39"/>
      <c r="D90" s="158"/>
      <c r="E90" s="154"/>
      <c r="F90" s="155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132"/>
      <c r="S90" s="132"/>
    </row>
    <row r="91" spans="1:19" x14ac:dyDescent="0.2">
      <c r="A91" s="7"/>
      <c r="B91" s="155"/>
      <c r="C91" s="154"/>
      <c r="D91" s="39"/>
      <c r="E91" s="154"/>
      <c r="F91" s="155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132"/>
      <c r="S91" s="132"/>
    </row>
    <row r="92" spans="1:19" x14ac:dyDescent="0.2">
      <c r="A92" s="7"/>
      <c r="B92" s="155"/>
      <c r="C92" s="154"/>
      <c r="D92" s="154"/>
      <c r="E92" s="154"/>
      <c r="F92" s="154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132"/>
      <c r="S92" s="132"/>
    </row>
    <row r="93" spans="1:19" x14ac:dyDescent="0.2">
      <c r="A93" s="7"/>
      <c r="B93" s="155"/>
      <c r="C93" s="39"/>
      <c r="D93" s="160"/>
      <c r="E93" s="161"/>
      <c r="F93" s="161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132"/>
      <c r="S93" s="132"/>
    </row>
    <row r="94" spans="1:19" x14ac:dyDescent="0.2">
      <c r="A94" s="7"/>
      <c r="B94" s="155"/>
      <c r="C94" s="154"/>
      <c r="D94" s="158"/>
      <c r="E94" s="154"/>
      <c r="F94" s="154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132"/>
      <c r="S94" s="132"/>
    </row>
    <row r="95" spans="1:19" x14ac:dyDescent="0.2">
      <c r="A95" s="7"/>
      <c r="B95" s="155"/>
      <c r="C95" s="154"/>
      <c r="D95" s="158"/>
      <c r="E95" s="154"/>
      <c r="F95" s="154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132"/>
      <c r="S95" s="132"/>
    </row>
    <row r="96" spans="1:19" x14ac:dyDescent="0.2">
      <c r="A96" s="7"/>
      <c r="B96" s="3"/>
      <c r="C96" s="4"/>
      <c r="D96" s="157"/>
      <c r="E96" s="154"/>
      <c r="F96" s="154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132"/>
      <c r="S96" s="132"/>
    </row>
    <row r="97" spans="1:19" x14ac:dyDescent="0.2">
      <c r="A97" s="7"/>
      <c r="B97" s="155"/>
      <c r="C97" s="154"/>
      <c r="D97" s="154"/>
      <c r="E97" s="154"/>
      <c r="F97" s="154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132"/>
      <c r="S97" s="132"/>
    </row>
    <row r="98" spans="1:19" x14ac:dyDescent="0.2">
      <c r="A98" s="7"/>
      <c r="B98" s="155"/>
      <c r="C98" s="154"/>
      <c r="D98" s="163"/>
      <c r="E98" s="154"/>
      <c r="F98" s="154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132"/>
      <c r="S98" s="132"/>
    </row>
    <row r="99" spans="1:19" x14ac:dyDescent="0.2">
      <c r="A99" s="7"/>
      <c r="B99" s="155"/>
      <c r="C99" s="154"/>
      <c r="D99" s="164"/>
      <c r="E99" s="154"/>
      <c r="F99" s="154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132"/>
      <c r="S99" s="132"/>
    </row>
    <row r="100" spans="1:19" x14ac:dyDescent="0.2">
      <c r="A100" s="7"/>
      <c r="B100" s="155"/>
      <c r="C100" s="154"/>
      <c r="D100" s="164"/>
      <c r="E100" s="154"/>
      <c r="F100" s="154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132"/>
      <c r="S100" s="132"/>
    </row>
    <row r="101" spans="1:19" x14ac:dyDescent="0.2">
      <c r="A101" s="7"/>
      <c r="B101" s="155"/>
      <c r="C101" s="154"/>
      <c r="D101" s="163"/>
      <c r="E101" s="154"/>
      <c r="F101" s="154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132"/>
      <c r="S101" s="132"/>
    </row>
    <row r="102" spans="1:19" x14ac:dyDescent="0.2">
      <c r="A102" s="7"/>
      <c r="B102" s="155"/>
      <c r="C102" s="154"/>
      <c r="D102" s="164"/>
      <c r="E102" s="154"/>
      <c r="F102" s="154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132"/>
      <c r="S102" s="132"/>
    </row>
    <row r="103" spans="1:19" x14ac:dyDescent="0.2">
      <c r="A103" s="7"/>
      <c r="B103" s="155"/>
      <c r="C103" s="154"/>
      <c r="D103" s="164"/>
      <c r="E103" s="154"/>
      <c r="F103" s="154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132"/>
      <c r="S103" s="132"/>
    </row>
    <row r="104" spans="1:19" x14ac:dyDescent="0.2">
      <c r="A104" s="7"/>
      <c r="B104" s="155"/>
      <c r="C104" s="154"/>
      <c r="D104" s="154"/>
      <c r="E104" s="154"/>
      <c r="F104" s="154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132"/>
      <c r="S104" s="132"/>
    </row>
    <row r="105" spans="1:19" x14ac:dyDescent="0.2">
      <c r="A105" s="7"/>
      <c r="B105" s="155"/>
      <c r="C105" s="39"/>
      <c r="D105" s="158"/>
      <c r="E105" s="154"/>
      <c r="F105" s="154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132"/>
      <c r="S105" s="132"/>
    </row>
    <row r="106" spans="1:19" x14ac:dyDescent="0.2">
      <c r="A106" s="7"/>
      <c r="B106" s="155"/>
      <c r="C106" s="39"/>
      <c r="D106" s="158"/>
      <c r="E106" s="154"/>
      <c r="F106" s="154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132"/>
      <c r="S106" s="132"/>
    </row>
    <row r="107" spans="1:19" x14ac:dyDescent="0.2">
      <c r="A107" s="7"/>
      <c r="B107" s="155"/>
      <c r="C107" s="154"/>
      <c r="D107" s="154"/>
      <c r="E107" s="154"/>
      <c r="F107" s="154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132"/>
      <c r="S107" s="132"/>
    </row>
    <row r="108" spans="1:19" x14ac:dyDescent="0.2">
      <c r="A108" s="7"/>
      <c r="B108" s="155"/>
      <c r="C108" s="39"/>
      <c r="D108" s="160"/>
      <c r="E108" s="161"/>
      <c r="F108" s="161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132"/>
      <c r="S108" s="132"/>
    </row>
    <row r="109" spans="1:19" x14ac:dyDescent="0.2">
      <c r="A109" s="7"/>
      <c r="B109" s="155"/>
      <c r="C109" s="154"/>
      <c r="D109" s="158"/>
      <c r="E109" s="154"/>
      <c r="F109" s="154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132"/>
      <c r="S109" s="132"/>
    </row>
    <row r="110" spans="1:19" x14ac:dyDescent="0.2">
      <c r="A110" s="7"/>
      <c r="B110" s="155"/>
      <c r="C110" s="154"/>
      <c r="D110" s="164"/>
      <c r="E110" s="154"/>
      <c r="F110" s="154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132"/>
      <c r="S110" s="132"/>
    </row>
    <row r="111" spans="1:19" x14ac:dyDescent="0.2">
      <c r="A111" s="7"/>
      <c r="B111" s="155"/>
      <c r="C111" s="154"/>
      <c r="D111" s="164"/>
      <c r="E111" s="154"/>
      <c r="F111" s="154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132"/>
      <c r="S111" s="132"/>
    </row>
    <row r="112" spans="1:19" x14ac:dyDescent="0.2">
      <c r="A112" s="7"/>
      <c r="B112" s="155"/>
      <c r="C112" s="154"/>
      <c r="D112" s="158"/>
      <c r="E112" s="154"/>
      <c r="F112" s="154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132"/>
      <c r="S112" s="132"/>
    </row>
    <row r="113" spans="1:19" x14ac:dyDescent="0.2">
      <c r="A113" s="7"/>
      <c r="B113" s="155"/>
      <c r="C113" s="154"/>
      <c r="D113" s="164"/>
      <c r="E113" s="154"/>
      <c r="F113" s="154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132"/>
      <c r="S113" s="132"/>
    </row>
    <row r="114" spans="1:19" x14ac:dyDescent="0.2">
      <c r="A114" s="7"/>
      <c r="B114" s="155"/>
      <c r="C114" s="154"/>
      <c r="D114" s="164"/>
      <c r="E114" s="154"/>
      <c r="F114" s="154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132"/>
      <c r="S114" s="132"/>
    </row>
    <row r="115" spans="1:19" x14ac:dyDescent="0.2">
      <c r="A115" s="7"/>
      <c r="B115" s="3"/>
      <c r="C115" s="4"/>
      <c r="D115" s="157"/>
      <c r="E115" s="154"/>
      <c r="F115" s="154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132"/>
      <c r="S115" s="132"/>
    </row>
    <row r="116" spans="1:19" x14ac:dyDescent="0.2">
      <c r="A116" s="7"/>
      <c r="B116" s="155"/>
      <c r="C116" s="154"/>
      <c r="D116" s="157"/>
      <c r="E116" s="154"/>
      <c r="F116" s="154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132"/>
      <c r="S116" s="132"/>
    </row>
    <row r="117" spans="1:19" x14ac:dyDescent="0.2">
      <c r="A117" s="7"/>
      <c r="B117" s="155"/>
      <c r="C117" s="154"/>
      <c r="D117" s="157"/>
      <c r="E117" s="154"/>
      <c r="F117" s="154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132"/>
      <c r="S117" s="132"/>
    </row>
    <row r="118" spans="1:19" x14ac:dyDescent="0.2">
      <c r="A118" s="7"/>
      <c r="B118" s="155"/>
      <c r="C118" s="154"/>
      <c r="D118" s="157"/>
      <c r="E118" s="154"/>
      <c r="F118" s="154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132"/>
      <c r="S118" s="132"/>
    </row>
    <row r="119" spans="1:19" x14ac:dyDescent="0.2">
      <c r="A119" s="7"/>
      <c r="B119" s="155"/>
      <c r="C119" s="39"/>
      <c r="D119" s="160"/>
      <c r="E119" s="161"/>
      <c r="F119" s="161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132"/>
      <c r="S119" s="132"/>
    </row>
    <row r="120" spans="1:19" x14ac:dyDescent="0.2">
      <c r="A120" s="7"/>
      <c r="B120" s="155"/>
      <c r="C120" s="154"/>
      <c r="D120" s="158"/>
      <c r="E120" s="154"/>
      <c r="F120" s="126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132"/>
      <c r="S120" s="132"/>
    </row>
    <row r="121" spans="1:19" x14ac:dyDescent="0.2">
      <c r="A121" s="7"/>
      <c r="B121" s="155"/>
      <c r="C121" s="154"/>
      <c r="D121" s="158"/>
      <c r="E121" s="154"/>
      <c r="F121" s="126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132"/>
      <c r="S121" s="132"/>
    </row>
    <row r="122" spans="1:19" x14ac:dyDescent="0.2">
      <c r="A122" s="7"/>
      <c r="B122" s="6"/>
      <c r="C122" s="7"/>
      <c r="D122" s="154"/>
      <c r="E122" s="154"/>
      <c r="F122" s="154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132"/>
      <c r="S122" s="132"/>
    </row>
    <row r="123" spans="1:19" x14ac:dyDescent="0.2">
      <c r="A123" s="7"/>
      <c r="B123" s="153"/>
      <c r="C123" s="154"/>
      <c r="D123" s="154"/>
      <c r="E123" s="154"/>
      <c r="F123" s="154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132"/>
      <c r="S123" s="132"/>
    </row>
    <row r="124" spans="1:19" x14ac:dyDescent="0.2">
      <c r="A124" s="7"/>
      <c r="B124" s="153"/>
      <c r="C124" s="154"/>
      <c r="D124" s="158"/>
      <c r="E124" s="154"/>
      <c r="F124" s="154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132"/>
      <c r="S124" s="132"/>
    </row>
    <row r="125" spans="1:19" x14ac:dyDescent="0.2">
      <c r="A125" s="7"/>
      <c r="B125" s="153"/>
      <c r="C125" s="154"/>
      <c r="D125" s="158"/>
      <c r="E125" s="154"/>
      <c r="F125" s="154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132"/>
      <c r="S125" s="132"/>
    </row>
    <row r="126" spans="1:19" x14ac:dyDescent="0.2">
      <c r="A126" s="7"/>
      <c r="B126" s="153"/>
      <c r="C126" s="154"/>
      <c r="D126" s="150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132"/>
      <c r="S126" s="132"/>
    </row>
    <row r="127" spans="1:19" x14ac:dyDescent="0.2">
      <c r="A127" s="7"/>
      <c r="B127" s="153"/>
      <c r="C127" s="154"/>
      <c r="D127" s="39"/>
      <c r="E127" s="39"/>
      <c r="F127" s="39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132"/>
      <c r="S127" s="132"/>
    </row>
    <row r="128" spans="1:19" x14ac:dyDescent="0.2">
      <c r="A128" s="7"/>
      <c r="B128" s="153"/>
      <c r="C128" s="154"/>
      <c r="D128" s="150"/>
      <c r="E128" s="39"/>
      <c r="F128" s="39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132"/>
      <c r="S128" s="132"/>
    </row>
    <row r="129" spans="1:19" x14ac:dyDescent="0.2">
      <c r="A129" s="7"/>
      <c r="B129" s="153"/>
      <c r="C129" s="154"/>
      <c r="D129" s="150"/>
      <c r="E129" s="39"/>
      <c r="F129" s="39"/>
      <c r="G129" s="20"/>
      <c r="H129" s="20"/>
      <c r="I129" s="34"/>
      <c r="J129" s="34"/>
      <c r="K129" s="34"/>
      <c r="L129" s="34"/>
      <c r="M129" s="34"/>
      <c r="N129" s="34"/>
      <c r="O129" s="34"/>
      <c r="P129" s="34"/>
      <c r="Q129" s="34"/>
      <c r="R129" s="132"/>
      <c r="S129" s="132"/>
    </row>
    <row r="130" spans="1:19" x14ac:dyDescent="0.2">
      <c r="A130" s="7"/>
      <c r="B130" s="153"/>
      <c r="C130" s="154"/>
      <c r="D130" s="150"/>
      <c r="E130" s="39"/>
      <c r="F130" s="39"/>
      <c r="G130" s="20"/>
      <c r="H130" s="20"/>
      <c r="I130" s="34"/>
      <c r="J130" s="34"/>
      <c r="K130" s="34"/>
      <c r="L130" s="34"/>
      <c r="M130" s="34"/>
      <c r="N130" s="34"/>
      <c r="O130" s="34"/>
      <c r="P130" s="34"/>
      <c r="Q130" s="34"/>
      <c r="R130" s="132"/>
      <c r="S130" s="132"/>
    </row>
    <row r="131" spans="1:19" x14ac:dyDescent="0.2">
      <c r="A131" s="154"/>
      <c r="B131" s="68"/>
      <c r="C131" s="68"/>
      <c r="D131" s="68"/>
      <c r="E131" s="68"/>
      <c r="F131" s="68"/>
      <c r="G131" s="20"/>
      <c r="H131" s="20"/>
      <c r="I131" s="34"/>
      <c r="J131" s="34"/>
      <c r="K131" s="34"/>
      <c r="L131" s="34"/>
      <c r="M131" s="34"/>
      <c r="N131" s="34"/>
      <c r="O131" s="34"/>
      <c r="P131" s="34"/>
      <c r="Q131" s="34"/>
      <c r="R131" s="132"/>
      <c r="S131" s="132"/>
    </row>
    <row r="132" spans="1:19" x14ac:dyDescent="0.2">
      <c r="A132" s="21"/>
      <c r="B132" s="21"/>
      <c r="C132" s="21"/>
      <c r="D132" s="21"/>
      <c r="E132" s="21"/>
      <c r="F132" s="21"/>
      <c r="G132" s="20"/>
      <c r="H132" s="20"/>
      <c r="I132" s="34"/>
      <c r="J132" s="34"/>
      <c r="K132" s="34"/>
      <c r="L132" s="34"/>
      <c r="M132" s="34"/>
      <c r="N132" s="34"/>
      <c r="O132" s="34"/>
      <c r="P132" s="34"/>
      <c r="Q132" s="34"/>
      <c r="R132" s="132"/>
      <c r="S132" s="132"/>
    </row>
    <row r="133" spans="1:19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</row>
    <row r="134" spans="1:19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</row>
    <row r="135" spans="1:19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</row>
    <row r="136" spans="1:19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</row>
    <row r="137" spans="1:19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</row>
    <row r="138" spans="1:19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</row>
    <row r="139" spans="1:19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</row>
    <row r="140" spans="1:19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</row>
    <row r="141" spans="1:19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</row>
    <row r="142" spans="1:19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</row>
    <row r="143" spans="1:19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</row>
    <row r="144" spans="1:19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</row>
    <row r="145" spans="1:16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</row>
    <row r="146" spans="1:16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</row>
    <row r="147" spans="1:16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</row>
    <row r="148" spans="1:16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</row>
    <row r="149" spans="1:16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</row>
    <row r="150" spans="1:16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</row>
    <row r="151" spans="1:16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</row>
    <row r="152" spans="1:16" x14ac:dyDescent="0.2">
      <c r="A152" s="21"/>
      <c r="B152" s="21"/>
      <c r="C152" s="21"/>
      <c r="D152" s="21"/>
      <c r="E152" s="21"/>
      <c r="F152" s="70"/>
      <c r="G152" s="12"/>
      <c r="H152" s="12"/>
      <c r="I152" s="71"/>
      <c r="J152" s="71"/>
      <c r="K152" s="71"/>
      <c r="L152" s="71"/>
      <c r="M152" s="71"/>
      <c r="N152" s="71"/>
      <c r="O152" s="71"/>
      <c r="P152" s="482"/>
    </row>
    <row r="153" spans="1:16" x14ac:dyDescent="0.2">
      <c r="A153" s="21"/>
      <c r="B153" s="21"/>
      <c r="C153" s="21"/>
      <c r="D153" s="21"/>
      <c r="E153" s="21"/>
      <c r="F153" s="70"/>
      <c r="G153" s="12"/>
      <c r="H153" s="12"/>
      <c r="I153" s="71"/>
      <c r="J153" s="71"/>
      <c r="K153" s="71"/>
      <c r="L153" s="71"/>
      <c r="M153" s="71"/>
      <c r="N153" s="71"/>
      <c r="O153" s="71"/>
      <c r="P153" s="482"/>
    </row>
    <row r="154" spans="1:16" x14ac:dyDescent="0.2">
      <c r="A154" s="21"/>
      <c r="B154" s="21"/>
      <c r="C154" s="21"/>
      <c r="D154" s="21"/>
      <c r="E154" s="21"/>
      <c r="F154" s="70"/>
      <c r="G154" s="12"/>
      <c r="H154" s="12"/>
      <c r="I154" s="71"/>
      <c r="J154" s="71"/>
      <c r="K154" s="71"/>
      <c r="L154" s="71"/>
      <c r="M154" s="71"/>
      <c r="N154" s="71"/>
      <c r="O154" s="71"/>
      <c r="P154" s="482"/>
    </row>
    <row r="155" spans="1:16" x14ac:dyDescent="0.2">
      <c r="A155" s="21"/>
      <c r="B155" s="21"/>
      <c r="C155" s="21"/>
      <c r="D155" s="21"/>
      <c r="E155" s="21"/>
      <c r="F155" s="70"/>
      <c r="G155" s="12"/>
      <c r="H155" s="12"/>
      <c r="I155" s="71"/>
      <c r="J155" s="71"/>
      <c r="K155" s="71"/>
      <c r="L155" s="71"/>
      <c r="M155" s="71"/>
      <c r="N155" s="71"/>
      <c r="O155" s="71"/>
      <c r="P155" s="482"/>
    </row>
    <row r="156" spans="1:16" x14ac:dyDescent="0.2">
      <c r="A156" s="21"/>
      <c r="B156" s="21"/>
      <c r="C156" s="21"/>
      <c r="D156" s="21"/>
      <c r="E156" s="21"/>
      <c r="F156" s="70"/>
      <c r="G156" s="12"/>
      <c r="H156" s="12"/>
      <c r="I156" s="71"/>
      <c r="J156" s="71"/>
      <c r="K156" s="71"/>
      <c r="L156" s="71"/>
      <c r="M156" s="71"/>
      <c r="N156" s="71"/>
      <c r="O156" s="71"/>
      <c r="P156" s="482"/>
    </row>
    <row r="157" spans="1:16" x14ac:dyDescent="0.2">
      <c r="A157" s="21"/>
      <c r="B157" s="21"/>
      <c r="C157" s="21"/>
      <c r="D157" s="21"/>
      <c r="E157" s="21"/>
      <c r="F157" s="70"/>
      <c r="G157" s="12"/>
      <c r="H157" s="12"/>
      <c r="I157" s="71"/>
      <c r="J157" s="71"/>
      <c r="K157" s="71"/>
      <c r="L157" s="71"/>
      <c r="M157" s="71"/>
      <c r="N157" s="71"/>
      <c r="O157" s="71"/>
      <c r="P157" s="482"/>
    </row>
    <row r="158" spans="1:16" x14ac:dyDescent="0.2">
      <c r="A158" s="21"/>
      <c r="B158" s="21"/>
      <c r="C158" s="21"/>
      <c r="D158" s="21"/>
      <c r="E158" s="21"/>
      <c r="F158" s="70"/>
      <c r="G158" s="12"/>
      <c r="H158" s="12"/>
      <c r="I158" s="71"/>
      <c r="J158" s="71"/>
      <c r="K158" s="71"/>
      <c r="L158" s="71"/>
      <c r="M158" s="71"/>
      <c r="N158" s="71"/>
      <c r="O158" s="71"/>
      <c r="P158" s="482"/>
    </row>
    <row r="159" spans="1:16" x14ac:dyDescent="0.2">
      <c r="A159" s="21"/>
      <c r="B159" s="21"/>
      <c r="C159" s="21"/>
      <c r="D159" s="21"/>
      <c r="E159" s="21"/>
      <c r="F159" s="70"/>
      <c r="G159" s="12"/>
      <c r="H159" s="12"/>
      <c r="I159" s="71"/>
      <c r="J159" s="71"/>
      <c r="K159" s="71"/>
      <c r="L159" s="71"/>
      <c r="M159" s="71"/>
      <c r="N159" s="71"/>
      <c r="O159" s="71"/>
      <c r="P159" s="482"/>
    </row>
    <row r="160" spans="1:16" x14ac:dyDescent="0.2">
      <c r="A160" s="21"/>
      <c r="B160" s="21"/>
      <c r="C160" s="21"/>
      <c r="D160" s="21"/>
      <c r="E160" s="21"/>
      <c r="F160" s="70"/>
      <c r="G160" s="12"/>
      <c r="H160" s="12"/>
      <c r="I160" s="71"/>
      <c r="J160" s="71"/>
      <c r="K160" s="71"/>
      <c r="L160" s="71"/>
      <c r="M160" s="71"/>
      <c r="N160" s="71"/>
      <c r="O160" s="71"/>
      <c r="P160" s="482"/>
    </row>
    <row r="161" spans="1:16" x14ac:dyDescent="0.2">
      <c r="A161" s="21"/>
      <c r="B161" s="21"/>
      <c r="C161" s="21"/>
      <c r="D161" s="21"/>
      <c r="E161" s="21"/>
      <c r="F161" s="70"/>
      <c r="G161" s="12"/>
      <c r="H161" s="12"/>
      <c r="I161" s="71"/>
      <c r="J161" s="71"/>
      <c r="K161" s="71"/>
      <c r="L161" s="71"/>
      <c r="M161" s="71"/>
      <c r="N161" s="71"/>
      <c r="O161" s="71"/>
      <c r="P161" s="482"/>
    </row>
    <row r="162" spans="1:16" x14ac:dyDescent="0.2">
      <c r="A162" s="21"/>
      <c r="B162" s="21"/>
      <c r="C162" s="21"/>
      <c r="D162" s="21"/>
      <c r="E162" s="21"/>
      <c r="F162" s="70"/>
      <c r="G162" s="12"/>
      <c r="H162" s="12"/>
      <c r="I162" s="71"/>
      <c r="J162" s="71"/>
      <c r="K162" s="71"/>
      <c r="L162" s="71"/>
      <c r="M162" s="71"/>
      <c r="N162" s="71"/>
      <c r="O162" s="71"/>
      <c r="P162" s="482"/>
    </row>
    <row r="163" spans="1:16" x14ac:dyDescent="0.2">
      <c r="A163" s="21"/>
      <c r="B163" s="21"/>
      <c r="C163" s="21"/>
      <c r="D163" s="21"/>
      <c r="E163" s="21"/>
      <c r="F163" s="70"/>
      <c r="G163" s="12"/>
      <c r="H163" s="12"/>
      <c r="I163" s="71"/>
      <c r="J163" s="71"/>
      <c r="K163" s="71"/>
      <c r="L163" s="71"/>
      <c r="M163" s="71"/>
      <c r="N163" s="71"/>
      <c r="O163" s="71"/>
      <c r="P163" s="482"/>
    </row>
    <row r="164" spans="1:16" x14ac:dyDescent="0.2">
      <c r="A164" s="21"/>
      <c r="B164" s="21"/>
      <c r="C164" s="21"/>
      <c r="D164" s="21"/>
      <c r="E164" s="21"/>
      <c r="F164" s="70"/>
      <c r="G164" s="12"/>
      <c r="H164" s="12"/>
      <c r="I164" s="71"/>
      <c r="J164" s="71"/>
      <c r="K164" s="71"/>
      <c r="L164" s="71"/>
      <c r="M164" s="71"/>
      <c r="N164" s="71"/>
      <c r="O164" s="71"/>
      <c r="P164" s="482"/>
    </row>
    <row r="165" spans="1:16" x14ac:dyDescent="0.2">
      <c r="A165" s="21"/>
      <c r="B165" s="21"/>
      <c r="C165" s="21"/>
      <c r="D165" s="21"/>
      <c r="E165" s="21"/>
      <c r="F165" s="70"/>
      <c r="G165" s="12"/>
      <c r="H165" s="12"/>
      <c r="I165" s="71"/>
      <c r="J165" s="71"/>
      <c r="K165" s="71"/>
      <c r="L165" s="71"/>
      <c r="M165" s="71"/>
      <c r="N165" s="71"/>
      <c r="O165" s="71"/>
      <c r="P165" s="482"/>
    </row>
    <row r="166" spans="1:16" x14ac:dyDescent="0.2">
      <c r="A166" s="21"/>
      <c r="B166" s="21"/>
      <c r="C166" s="21"/>
      <c r="D166" s="21"/>
      <c r="E166" s="21"/>
      <c r="F166" s="70"/>
      <c r="G166" s="12"/>
      <c r="H166" s="12"/>
      <c r="I166" s="71"/>
      <c r="J166" s="71"/>
      <c r="K166" s="71"/>
      <c r="L166" s="71"/>
      <c r="M166" s="71"/>
      <c r="N166" s="71"/>
      <c r="O166" s="71"/>
      <c r="P166" s="482"/>
    </row>
    <row r="167" spans="1:16" x14ac:dyDescent="0.2">
      <c r="A167" s="21"/>
      <c r="B167" s="21"/>
      <c r="C167" s="21"/>
      <c r="D167" s="21"/>
      <c r="E167" s="21"/>
      <c r="F167" s="70"/>
      <c r="G167" s="12"/>
      <c r="H167" s="12"/>
      <c r="I167" s="71"/>
      <c r="J167" s="71"/>
      <c r="K167" s="71"/>
      <c r="L167" s="71"/>
      <c r="M167" s="71"/>
      <c r="N167" s="71"/>
      <c r="O167" s="71"/>
      <c r="P167" s="482"/>
    </row>
    <row r="168" spans="1:16" x14ac:dyDescent="0.2">
      <c r="A168" s="21"/>
      <c r="B168" s="21"/>
      <c r="C168" s="21"/>
      <c r="D168" s="21"/>
      <c r="E168" s="21"/>
      <c r="F168" s="70"/>
      <c r="G168" s="12"/>
      <c r="H168" s="12"/>
      <c r="I168" s="71"/>
      <c r="J168" s="71"/>
      <c r="K168" s="71"/>
      <c r="L168" s="71"/>
      <c r="M168" s="71"/>
      <c r="N168" s="71"/>
      <c r="O168" s="71"/>
      <c r="P168" s="482"/>
    </row>
    <row r="169" spans="1:16" x14ac:dyDescent="0.2">
      <c r="A169" s="21"/>
      <c r="B169" s="21"/>
      <c r="C169" s="21"/>
      <c r="D169" s="21"/>
      <c r="E169" s="21"/>
      <c r="F169" s="70"/>
      <c r="G169" s="12"/>
      <c r="H169" s="12"/>
      <c r="I169" s="71"/>
      <c r="J169" s="71"/>
      <c r="K169" s="71"/>
      <c r="L169" s="71"/>
      <c r="M169" s="71"/>
      <c r="N169" s="71"/>
      <c r="O169" s="71"/>
      <c r="P169" s="482"/>
    </row>
    <row r="170" spans="1:16" x14ac:dyDescent="0.2">
      <c r="A170" s="21"/>
      <c r="B170" s="21"/>
      <c r="C170" s="21"/>
      <c r="D170" s="21"/>
      <c r="E170" s="21"/>
      <c r="F170" s="70"/>
      <c r="G170" s="12"/>
      <c r="H170" s="12"/>
      <c r="I170" s="71"/>
      <c r="J170" s="71"/>
      <c r="K170" s="71"/>
      <c r="L170" s="71"/>
      <c r="M170" s="71"/>
      <c r="N170" s="71"/>
      <c r="O170" s="71"/>
      <c r="P170" s="482"/>
    </row>
    <row r="171" spans="1:16" x14ac:dyDescent="0.2">
      <c r="A171" s="21"/>
      <c r="B171" s="21"/>
      <c r="C171" s="21"/>
      <c r="D171" s="21"/>
      <c r="E171" s="21"/>
      <c r="F171" s="70"/>
      <c r="G171" s="12"/>
      <c r="H171" s="12"/>
      <c r="I171" s="71"/>
      <c r="J171" s="71"/>
      <c r="K171" s="71"/>
      <c r="L171" s="71"/>
      <c r="M171" s="71"/>
      <c r="N171" s="71"/>
      <c r="O171" s="71"/>
      <c r="P171" s="482"/>
    </row>
    <row r="172" spans="1:16" x14ac:dyDescent="0.2">
      <c r="A172" s="21"/>
      <c r="B172" s="21"/>
      <c r="C172" s="21"/>
      <c r="D172" s="21"/>
      <c r="E172" s="21"/>
      <c r="F172" s="70"/>
      <c r="G172" s="12"/>
      <c r="H172" s="12"/>
      <c r="I172" s="71"/>
      <c r="J172" s="71"/>
      <c r="K172" s="71"/>
      <c r="L172" s="71"/>
      <c r="M172" s="71"/>
      <c r="N172" s="71"/>
      <c r="O172" s="71"/>
      <c r="P172" s="482"/>
    </row>
    <row r="173" spans="1:16" x14ac:dyDescent="0.2">
      <c r="A173" s="21"/>
      <c r="B173" s="21"/>
      <c r="C173" s="21"/>
      <c r="D173" s="21"/>
      <c r="E173" s="21"/>
      <c r="F173" s="70"/>
      <c r="G173" s="12"/>
      <c r="H173" s="12"/>
      <c r="I173" s="71"/>
      <c r="J173" s="71"/>
      <c r="K173" s="71"/>
      <c r="L173" s="71"/>
      <c r="M173" s="71"/>
      <c r="N173" s="71"/>
      <c r="O173" s="71"/>
      <c r="P173" s="482"/>
    </row>
    <row r="174" spans="1:16" x14ac:dyDescent="0.2">
      <c r="A174" s="21"/>
      <c r="B174" s="21"/>
      <c r="C174" s="21"/>
      <c r="D174" s="21"/>
      <c r="E174" s="21"/>
      <c r="F174" s="70"/>
      <c r="G174" s="12"/>
      <c r="H174" s="12"/>
      <c r="I174" s="71"/>
      <c r="J174" s="71"/>
      <c r="K174" s="71"/>
      <c r="L174" s="71"/>
      <c r="M174" s="71"/>
      <c r="N174" s="71"/>
      <c r="O174" s="71"/>
      <c r="P174" s="482"/>
    </row>
    <row r="175" spans="1:16" x14ac:dyDescent="0.2">
      <c r="A175" s="21"/>
      <c r="B175" s="21"/>
      <c r="C175" s="21"/>
      <c r="D175" s="21"/>
      <c r="E175" s="21"/>
      <c r="F175" s="70"/>
      <c r="G175" s="12"/>
      <c r="H175" s="12"/>
      <c r="I175" s="71"/>
      <c r="J175" s="71"/>
      <c r="K175" s="71"/>
      <c r="L175" s="71"/>
      <c r="M175" s="71"/>
      <c r="N175" s="71"/>
      <c r="O175" s="71"/>
      <c r="P175" s="482"/>
    </row>
    <row r="176" spans="1:16" x14ac:dyDescent="0.2">
      <c r="A176" s="21"/>
      <c r="B176" s="21"/>
      <c r="C176" s="21"/>
      <c r="D176" s="21"/>
      <c r="E176" s="21"/>
      <c r="F176" s="70"/>
      <c r="G176" s="12"/>
      <c r="H176" s="12"/>
      <c r="I176" s="71"/>
      <c r="J176" s="71"/>
      <c r="K176" s="71"/>
      <c r="L176" s="71"/>
      <c r="M176" s="71"/>
      <c r="N176" s="71"/>
      <c r="O176" s="71"/>
      <c r="P176" s="482"/>
    </row>
    <row r="177" spans="1:16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</row>
    <row r="178" spans="1:16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</row>
    <row r="179" spans="1:16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</row>
    <row r="180" spans="1:16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</row>
    <row r="181" spans="1:16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</row>
    <row r="182" spans="1:16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</row>
    <row r="183" spans="1:16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</row>
    <row r="184" spans="1:16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</row>
    <row r="185" spans="1:16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</row>
    <row r="186" spans="1:16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</row>
    <row r="187" spans="1:16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</row>
    <row r="188" spans="1:16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</row>
    <row r="189" spans="1:16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</row>
    <row r="190" spans="1:16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</row>
    <row r="191" spans="1:16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</row>
    <row r="192" spans="1:16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</row>
    <row r="193" spans="1:16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</row>
    <row r="194" spans="1:16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</row>
    <row r="195" spans="1:16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</row>
    <row r="196" spans="1:16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</row>
    <row r="197" spans="1:16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</row>
    <row r="198" spans="1:16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</row>
    <row r="199" spans="1:16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</row>
    <row r="200" spans="1:16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</row>
    <row r="201" spans="1:16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</row>
    <row r="202" spans="1:16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</row>
    <row r="203" spans="1:16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</row>
    <row r="204" spans="1:16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</row>
    <row r="205" spans="1:16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</row>
    <row r="206" spans="1:16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</row>
    <row r="207" spans="1:16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</row>
    <row r="208" spans="1:16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</row>
    <row r="209" spans="1:16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</row>
    <row r="210" spans="1:16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</row>
    <row r="211" spans="1:16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</row>
    <row r="212" spans="1:16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</row>
    <row r="213" spans="1:16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</row>
    <row r="214" spans="1:16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</row>
    <row r="215" spans="1:16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</row>
    <row r="216" spans="1:16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</row>
    <row r="217" spans="1:16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</row>
    <row r="218" spans="1:16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</row>
    <row r="219" spans="1:16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</row>
    <row r="220" spans="1:16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</row>
    <row r="221" spans="1:16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</row>
    <row r="222" spans="1:16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</row>
    <row r="223" spans="1:16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</row>
    <row r="224" spans="1:16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</row>
    <row r="225" spans="1:16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</row>
    <row r="226" spans="1:16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</row>
    <row r="227" spans="1:16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</row>
    <row r="228" spans="1:16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</row>
    <row r="229" spans="1:16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</row>
    <row r="230" spans="1:16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</row>
    <row r="231" spans="1:16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</row>
    <row r="232" spans="1:16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</row>
    <row r="233" spans="1:16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</row>
    <row r="234" spans="1:16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</row>
    <row r="235" spans="1:16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</row>
    <row r="236" spans="1:16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</row>
    <row r="237" spans="1:16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</row>
    <row r="238" spans="1:16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</row>
    <row r="239" spans="1:16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</row>
    <row r="240" spans="1:16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</row>
    <row r="241" spans="1:16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</row>
    <row r="242" spans="1:16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</row>
    <row r="243" spans="1:16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</row>
    <row r="244" spans="1:16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</row>
    <row r="245" spans="1:16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</row>
    <row r="246" spans="1:16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</row>
    <row r="247" spans="1:16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</row>
    <row r="248" spans="1:16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</row>
    <row r="249" spans="1:16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</row>
    <row r="250" spans="1:16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</row>
    <row r="251" spans="1:16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</row>
    <row r="252" spans="1:16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</row>
    <row r="253" spans="1:16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</row>
    <row r="254" spans="1:16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</row>
    <row r="255" spans="1:16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</row>
    <row r="256" spans="1:16" x14ac:dyDescent="0.2">
      <c r="A256" s="21"/>
      <c r="B256" s="21"/>
      <c r="C256" s="21"/>
      <c r="D256" s="21"/>
      <c r="E256" s="21"/>
      <c r="F256" s="21"/>
      <c r="G256" s="20"/>
      <c r="H256" s="20"/>
      <c r="I256" s="21"/>
      <c r="J256" s="21"/>
      <c r="K256" s="21"/>
      <c r="L256" s="21"/>
      <c r="M256" s="21"/>
      <c r="N256" s="21"/>
      <c r="O256" s="21"/>
      <c r="P256" s="21"/>
    </row>
    <row r="257" spans="1:16" x14ac:dyDescent="0.2">
      <c r="A257" s="21"/>
      <c r="B257" s="21"/>
      <c r="C257" s="21"/>
      <c r="D257" s="21"/>
      <c r="E257" s="21"/>
      <c r="F257" s="21"/>
      <c r="G257" s="20"/>
      <c r="H257" s="20"/>
      <c r="I257" s="21"/>
      <c r="J257" s="21"/>
      <c r="K257" s="21"/>
      <c r="L257" s="21"/>
      <c r="M257" s="21"/>
      <c r="N257" s="21"/>
      <c r="O257" s="21"/>
      <c r="P257" s="21"/>
    </row>
  </sheetData>
  <sheetProtection password="F2D6" sheet="1" objects="1" scenarios="1" selectLockedCells="1"/>
  <mergeCells count="21">
    <mergeCell ref="C63:F63"/>
    <mergeCell ref="A7:F9"/>
    <mergeCell ref="L8:M8"/>
    <mergeCell ref="B65:F65"/>
    <mergeCell ref="A1:P1"/>
    <mergeCell ref="I7:P7"/>
    <mergeCell ref="C44:F44"/>
    <mergeCell ref="D45:F45"/>
    <mergeCell ref="N8:O8"/>
    <mergeCell ref="P8:P9"/>
    <mergeCell ref="I8:I9"/>
    <mergeCell ref="D51:F51"/>
    <mergeCell ref="J8:K8"/>
    <mergeCell ref="H7:H9"/>
    <mergeCell ref="G7:G9"/>
    <mergeCell ref="D46:F46"/>
    <mergeCell ref="B66:C66"/>
    <mergeCell ref="D52:F52"/>
    <mergeCell ref="C54:F54"/>
    <mergeCell ref="C55:F55"/>
    <mergeCell ref="B64:F64"/>
  </mergeCells>
  <phoneticPr fontId="0" type="noConversion"/>
  <dataValidations count="2">
    <dataValidation type="decimal" operator="lessThan" allowBlank="1" showInputMessage="1" showErrorMessage="1" sqref="P80:P589 Q10:EZ589 I10:O589">
      <formula1>1000000000000000</formula1>
    </dataValidation>
    <dataValidation operator="lessThan" allowBlank="1" showInputMessage="1" showErrorMessage="1" sqref="P10:P79"/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3&amp;8&amp;U
&amp;P of &amp;N&amp;C&amp;"Arial,Bold"&amp;8 MAXIMUM SAVINGS BANK, INC.  [ 03-070011 ]
 As of: June 30, 2019</oddHeader>
  </headerFooter>
  <drawing r:id="rId2"/>
  <legacyDrawing r:id="rId3"/>
  <controls>
    <mc:AlternateContent xmlns:mc="http://schemas.openxmlformats.org/markup-compatibility/2006">
      <mc:Choice Requires="x14">
        <control shapeId="5121" r:id="rId4" name="Label1">
          <controlPr defaultSize="0" autoLine="0" r:id="rId5">
            <anchor moveWithCells="1">
              <from>
                <xdr:col>7</xdr:col>
                <xdr:colOff>257175</xdr:colOff>
                <xdr:row>17</xdr:row>
                <xdr:rowOff>9525</xdr:rowOff>
              </from>
              <to>
                <xdr:col>7</xdr:col>
                <xdr:colOff>638175</xdr:colOff>
                <xdr:row>17</xdr:row>
                <xdr:rowOff>133350</xdr:rowOff>
              </to>
            </anchor>
          </controlPr>
        </control>
      </mc:Choice>
      <mc:Fallback>
        <control shapeId="5121" r:id="rId4" name="Label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J71"/>
  <sheetViews>
    <sheetView zoomScale="75" zoomScaleNormal="50" zoomScaleSheetLayoutView="5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3" sqref="I13"/>
    </sheetView>
  </sheetViews>
  <sheetFormatPr defaultRowHeight="11.25" x14ac:dyDescent="0.2"/>
  <cols>
    <col min="1" max="1" width="2.7109375" style="1" customWidth="1"/>
    <col min="2" max="2" width="3.5703125" style="1" customWidth="1"/>
    <col min="3" max="5" width="3" style="1" customWidth="1"/>
    <col min="6" max="6" width="21.42578125" style="1" customWidth="1"/>
    <col min="7" max="7" width="16.5703125" style="9" customWidth="1"/>
    <col min="8" max="8" width="16.5703125" style="9" hidden="1" customWidth="1"/>
    <col min="9" max="13" width="20.7109375" style="1" customWidth="1"/>
    <col min="14" max="15" width="20.7109375" style="1" hidden="1" customWidth="1"/>
    <col min="16" max="16" width="20.7109375" style="1" customWidth="1"/>
    <col min="17" max="107" width="25.7109375" style="1" customWidth="1"/>
    <col min="108" max="16384" width="9.140625" style="1"/>
  </cols>
  <sheetData>
    <row r="1" spans="1:16" ht="11.25" customHeight="1" x14ac:dyDescent="0.2">
      <c r="A1" s="517" t="s">
        <v>797</v>
      </c>
      <c r="B1" s="517"/>
      <c r="C1" s="517"/>
      <c r="D1" s="517"/>
      <c r="E1" s="517"/>
      <c r="F1" s="517"/>
      <c r="G1" s="517"/>
      <c r="H1" s="517"/>
      <c r="I1" s="517"/>
      <c r="J1" s="517"/>
      <c r="K1" s="517"/>
      <c r="L1" s="517"/>
      <c r="M1" s="517"/>
      <c r="N1" s="517"/>
      <c r="O1" s="517"/>
      <c r="P1" s="517"/>
    </row>
    <row r="2" spans="1:16" hidden="1" x14ac:dyDescent="0.2"/>
    <row r="3" spans="1:16" hidden="1" x14ac:dyDescent="0.2"/>
    <row r="4" spans="1:16" hidden="1" x14ac:dyDescent="0.2"/>
    <row r="6" spans="1:16" s="11" customFormat="1" ht="12.75" hidden="1" customHeight="1" x14ac:dyDescent="0.2"/>
    <row r="7" spans="1:16" s="11" customFormat="1" x14ac:dyDescent="0.2">
      <c r="A7" s="504" t="s">
        <v>0</v>
      </c>
      <c r="B7" s="505"/>
      <c r="C7" s="505"/>
      <c r="D7" s="505"/>
      <c r="E7" s="505"/>
      <c r="F7" s="506"/>
      <c r="G7" s="496" t="s">
        <v>2</v>
      </c>
      <c r="H7" s="45"/>
      <c r="I7" s="518" t="s">
        <v>72</v>
      </c>
      <c r="J7" s="519"/>
      <c r="K7" s="519"/>
      <c r="L7" s="519"/>
      <c r="M7" s="519"/>
      <c r="N7" s="519"/>
      <c r="O7" s="519"/>
      <c r="P7" s="520"/>
    </row>
    <row r="8" spans="1:16" s="2" customFormat="1" x14ac:dyDescent="0.2">
      <c r="A8" s="507"/>
      <c r="B8" s="508"/>
      <c r="C8" s="508"/>
      <c r="D8" s="508"/>
      <c r="E8" s="508"/>
      <c r="F8" s="509"/>
      <c r="G8" s="497"/>
      <c r="H8" s="42"/>
      <c r="I8" s="497" t="s">
        <v>3</v>
      </c>
      <c r="J8" s="491" t="s">
        <v>4</v>
      </c>
      <c r="K8" s="492"/>
      <c r="L8" s="491" t="s">
        <v>7</v>
      </c>
      <c r="M8" s="510"/>
      <c r="N8" s="491" t="s">
        <v>391</v>
      </c>
      <c r="O8" s="510"/>
      <c r="P8" s="497" t="s">
        <v>68</v>
      </c>
    </row>
    <row r="9" spans="1:16" s="2" customFormat="1" x14ac:dyDescent="0.2">
      <c r="A9" s="507"/>
      <c r="B9" s="508"/>
      <c r="C9" s="508"/>
      <c r="D9" s="508"/>
      <c r="E9" s="508"/>
      <c r="F9" s="509"/>
      <c r="G9" s="498"/>
      <c r="H9" s="43"/>
      <c r="I9" s="498"/>
      <c r="J9" s="8" t="s">
        <v>5</v>
      </c>
      <c r="K9" s="8" t="s">
        <v>6</v>
      </c>
      <c r="L9" s="8" t="s">
        <v>5</v>
      </c>
      <c r="M9" s="10" t="s">
        <v>6</v>
      </c>
      <c r="N9" s="8" t="s">
        <v>5</v>
      </c>
      <c r="O9" s="10" t="s">
        <v>6</v>
      </c>
      <c r="P9" s="498"/>
    </row>
    <row r="10" spans="1:16" x14ac:dyDescent="0.2">
      <c r="A10" s="119" t="s">
        <v>185</v>
      </c>
      <c r="B10" s="120"/>
      <c r="C10" s="120"/>
      <c r="D10" s="120"/>
      <c r="E10" s="120"/>
      <c r="F10" s="121"/>
      <c r="G10" s="111"/>
      <c r="H10" s="18"/>
      <c r="I10" s="29"/>
      <c r="J10" s="29"/>
      <c r="K10" s="29"/>
      <c r="L10" s="29"/>
      <c r="M10" s="29"/>
      <c r="N10" s="29"/>
      <c r="O10" s="29"/>
      <c r="P10" s="29"/>
    </row>
    <row r="11" spans="1:16" x14ac:dyDescent="0.2">
      <c r="A11" s="116" t="s">
        <v>186</v>
      </c>
      <c r="B11" s="115" t="s">
        <v>187</v>
      </c>
      <c r="C11" s="124"/>
      <c r="D11" s="124"/>
      <c r="E11" s="124"/>
      <c r="F11" s="125"/>
      <c r="G11" s="459" t="s">
        <v>429</v>
      </c>
      <c r="H11" s="18"/>
      <c r="I11" s="29">
        <f>SUM(I12,I18,I24,I29,I34,I39)</f>
        <v>0</v>
      </c>
      <c r="J11" s="29">
        <f t="shared" ref="J11:O11" si="0">SUM(J12,J18,J24,J29,J34,J39)</f>
        <v>0</v>
      </c>
      <c r="K11" s="29">
        <f t="shared" si="0"/>
        <v>0</v>
      </c>
      <c r="L11" s="29">
        <f t="shared" si="0"/>
        <v>0</v>
      </c>
      <c r="M11" s="29">
        <f t="shared" si="0"/>
        <v>0</v>
      </c>
      <c r="N11" s="29">
        <f t="shared" si="0"/>
        <v>0</v>
      </c>
      <c r="O11" s="29">
        <f t="shared" si="0"/>
        <v>0</v>
      </c>
      <c r="P11" s="29">
        <f t="shared" ref="P11:P17" si="1">I11+K11+M11+O11</f>
        <v>0</v>
      </c>
    </row>
    <row r="12" spans="1:16" x14ac:dyDescent="0.2">
      <c r="A12" s="127"/>
      <c r="B12" s="39" t="s">
        <v>188</v>
      </c>
      <c r="C12" s="39" t="s">
        <v>189</v>
      </c>
      <c r="D12" s="39"/>
      <c r="E12" s="39"/>
      <c r="F12" s="128"/>
      <c r="G12" s="459" t="s">
        <v>431</v>
      </c>
      <c r="H12" s="18"/>
      <c r="I12" s="29">
        <f t="shared" ref="I12:O12" si="2">SUM(I13,I14,I15,I16,I17)</f>
        <v>0</v>
      </c>
      <c r="J12" s="29">
        <f t="shared" si="2"/>
        <v>0</v>
      </c>
      <c r="K12" s="29">
        <f t="shared" si="2"/>
        <v>0</v>
      </c>
      <c r="L12" s="29">
        <f t="shared" si="2"/>
        <v>0</v>
      </c>
      <c r="M12" s="29">
        <f t="shared" si="2"/>
        <v>0</v>
      </c>
      <c r="N12" s="29">
        <f t="shared" si="2"/>
        <v>0</v>
      </c>
      <c r="O12" s="29">
        <f t="shared" si="2"/>
        <v>0</v>
      </c>
      <c r="P12" s="29">
        <f t="shared" si="1"/>
        <v>0</v>
      </c>
    </row>
    <row r="13" spans="1:16" x14ac:dyDescent="0.2">
      <c r="A13" s="129"/>
      <c r="B13" s="124"/>
      <c r="C13" s="130">
        <v>-1</v>
      </c>
      <c r="D13" s="124" t="s">
        <v>296</v>
      </c>
      <c r="E13" s="124"/>
      <c r="F13" s="125"/>
      <c r="G13" s="459" t="s">
        <v>486</v>
      </c>
      <c r="H13" s="18"/>
      <c r="I13" s="61"/>
      <c r="J13" s="61"/>
      <c r="K13" s="61"/>
      <c r="L13" s="61"/>
      <c r="M13" s="61"/>
      <c r="N13" s="81"/>
      <c r="O13" s="81"/>
      <c r="P13" s="29">
        <f t="shared" si="1"/>
        <v>0</v>
      </c>
    </row>
    <row r="14" spans="1:16" x14ac:dyDescent="0.2">
      <c r="A14" s="127"/>
      <c r="B14" s="39"/>
      <c r="C14" s="131">
        <f>C13-1</f>
        <v>-2</v>
      </c>
      <c r="D14" s="39" t="s">
        <v>297</v>
      </c>
      <c r="E14" s="39"/>
      <c r="F14" s="128"/>
      <c r="G14" s="459" t="s">
        <v>487</v>
      </c>
      <c r="H14" s="18"/>
      <c r="I14" s="61"/>
      <c r="J14" s="60"/>
      <c r="K14" s="60"/>
      <c r="L14" s="60"/>
      <c r="M14" s="60"/>
      <c r="N14" s="82"/>
      <c r="O14" s="82"/>
      <c r="P14" s="29">
        <f t="shared" si="1"/>
        <v>0</v>
      </c>
    </row>
    <row r="15" spans="1:16" x14ac:dyDescent="0.2">
      <c r="A15" s="129"/>
      <c r="B15" s="124"/>
      <c r="C15" s="130">
        <f>C14-1</f>
        <v>-3</v>
      </c>
      <c r="D15" s="124" t="s">
        <v>298</v>
      </c>
      <c r="E15" s="124"/>
      <c r="F15" s="125"/>
      <c r="G15" s="459" t="s">
        <v>488</v>
      </c>
      <c r="H15" s="18"/>
      <c r="I15" s="61"/>
      <c r="J15" s="61"/>
      <c r="K15" s="61"/>
      <c r="L15" s="61"/>
      <c r="M15" s="61"/>
      <c r="N15" s="81"/>
      <c r="O15" s="81"/>
      <c r="P15" s="29">
        <f t="shared" si="1"/>
        <v>0</v>
      </c>
    </row>
    <row r="16" spans="1:16" x14ac:dyDescent="0.2">
      <c r="A16" s="127"/>
      <c r="B16" s="39"/>
      <c r="C16" s="131">
        <f>C15-1</f>
        <v>-4</v>
      </c>
      <c r="D16" s="39" t="s">
        <v>299</v>
      </c>
      <c r="E16" s="39"/>
      <c r="F16" s="128"/>
      <c r="G16" s="459" t="s">
        <v>489</v>
      </c>
      <c r="H16" s="18"/>
      <c r="I16" s="61"/>
      <c r="J16" s="61"/>
      <c r="K16" s="61"/>
      <c r="L16" s="61"/>
      <c r="M16" s="61"/>
      <c r="N16" s="81"/>
      <c r="O16" s="81"/>
      <c r="P16" s="29">
        <f t="shared" si="1"/>
        <v>0</v>
      </c>
    </row>
    <row r="17" spans="1:16" x14ac:dyDescent="0.2">
      <c r="A17" s="129"/>
      <c r="B17" s="124"/>
      <c r="C17" s="130">
        <f>C16-1</f>
        <v>-5</v>
      </c>
      <c r="D17" s="124" t="s">
        <v>300</v>
      </c>
      <c r="E17" s="124"/>
      <c r="F17" s="125"/>
      <c r="G17" s="459" t="s">
        <v>490</v>
      </c>
      <c r="H17" s="18"/>
      <c r="I17" s="62"/>
      <c r="J17" s="62"/>
      <c r="K17" s="62"/>
      <c r="L17" s="62"/>
      <c r="M17" s="62"/>
      <c r="N17" s="82"/>
      <c r="O17" s="82"/>
      <c r="P17" s="29">
        <f t="shared" si="1"/>
        <v>0</v>
      </c>
    </row>
    <row r="18" spans="1:16" x14ac:dyDescent="0.2">
      <c r="A18" s="127"/>
      <c r="B18" s="39" t="s">
        <v>195</v>
      </c>
      <c r="C18" s="39" t="s">
        <v>326</v>
      </c>
      <c r="D18" s="39"/>
      <c r="E18" s="39"/>
      <c r="F18" s="128"/>
      <c r="G18" s="459" t="s">
        <v>432</v>
      </c>
      <c r="H18" s="18"/>
      <c r="I18" s="29">
        <f t="shared" ref="I18:O18" si="3">SUM(I19,I20,I21,I22,I23)</f>
        <v>0</v>
      </c>
      <c r="J18" s="79"/>
      <c r="K18" s="79"/>
      <c r="L18" s="79"/>
      <c r="M18" s="79"/>
      <c r="N18" s="29">
        <f t="shared" si="3"/>
        <v>0</v>
      </c>
      <c r="O18" s="29">
        <f t="shared" si="3"/>
        <v>0</v>
      </c>
      <c r="P18" s="29">
        <f t="shared" ref="P18:P43" si="4">I18+K18+M18+O18</f>
        <v>0</v>
      </c>
    </row>
    <row r="19" spans="1:16" x14ac:dyDescent="0.2">
      <c r="A19" s="129"/>
      <c r="B19" s="124"/>
      <c r="C19" s="130">
        <v>-1</v>
      </c>
      <c r="D19" s="124" t="s">
        <v>296</v>
      </c>
      <c r="E19" s="124"/>
      <c r="F19" s="125"/>
      <c r="G19" s="459" t="s">
        <v>842</v>
      </c>
      <c r="H19" s="18"/>
      <c r="I19" s="61"/>
      <c r="J19" s="303"/>
      <c r="K19" s="303"/>
      <c r="L19" s="303"/>
      <c r="M19" s="303"/>
      <c r="N19" s="81"/>
      <c r="O19" s="81"/>
      <c r="P19" s="29">
        <f t="shared" si="4"/>
        <v>0</v>
      </c>
    </row>
    <row r="20" spans="1:16" x14ac:dyDescent="0.2">
      <c r="A20" s="127"/>
      <c r="B20" s="39"/>
      <c r="C20" s="131">
        <f>C19-1</f>
        <v>-2</v>
      </c>
      <c r="D20" s="39" t="s">
        <v>297</v>
      </c>
      <c r="E20" s="39"/>
      <c r="F20" s="128"/>
      <c r="G20" s="459" t="s">
        <v>843</v>
      </c>
      <c r="H20" s="18"/>
      <c r="I20" s="61"/>
      <c r="J20" s="60"/>
      <c r="K20" s="60"/>
      <c r="L20" s="60"/>
      <c r="M20" s="60"/>
      <c r="N20" s="82"/>
      <c r="O20" s="82"/>
      <c r="P20" s="29">
        <f t="shared" si="4"/>
        <v>0</v>
      </c>
    </row>
    <row r="21" spans="1:16" x14ac:dyDescent="0.2">
      <c r="A21" s="129"/>
      <c r="B21" s="124"/>
      <c r="C21" s="130">
        <f>C20-1</f>
        <v>-3</v>
      </c>
      <c r="D21" s="124" t="s">
        <v>298</v>
      </c>
      <c r="E21" s="124"/>
      <c r="F21" s="125"/>
      <c r="G21" s="459" t="s">
        <v>844</v>
      </c>
      <c r="H21" s="18"/>
      <c r="I21" s="61"/>
      <c r="J21" s="303"/>
      <c r="K21" s="303"/>
      <c r="L21" s="303"/>
      <c r="M21" s="303"/>
      <c r="N21" s="81"/>
      <c r="O21" s="81"/>
      <c r="P21" s="29">
        <f t="shared" si="4"/>
        <v>0</v>
      </c>
    </row>
    <row r="22" spans="1:16" x14ac:dyDescent="0.2">
      <c r="A22" s="127"/>
      <c r="B22" s="39"/>
      <c r="C22" s="131">
        <f>C21-1</f>
        <v>-4</v>
      </c>
      <c r="D22" s="39" t="s">
        <v>299</v>
      </c>
      <c r="E22" s="39"/>
      <c r="F22" s="128"/>
      <c r="G22" s="459" t="s">
        <v>845</v>
      </c>
      <c r="H22" s="18"/>
      <c r="I22" s="61"/>
      <c r="J22" s="303"/>
      <c r="K22" s="303"/>
      <c r="L22" s="303"/>
      <c r="M22" s="303"/>
      <c r="N22" s="81"/>
      <c r="O22" s="81"/>
      <c r="P22" s="29">
        <f t="shared" si="4"/>
        <v>0</v>
      </c>
    </row>
    <row r="23" spans="1:16" x14ac:dyDescent="0.2">
      <c r="A23" s="129"/>
      <c r="B23" s="124"/>
      <c r="C23" s="130">
        <f>C22-1</f>
        <v>-5</v>
      </c>
      <c r="D23" s="124" t="s">
        <v>300</v>
      </c>
      <c r="E23" s="124"/>
      <c r="F23" s="125"/>
      <c r="G23" s="459" t="s">
        <v>846</v>
      </c>
      <c r="H23" s="18"/>
      <c r="I23" s="62"/>
      <c r="J23" s="79"/>
      <c r="K23" s="79"/>
      <c r="L23" s="79"/>
      <c r="M23" s="79"/>
      <c r="N23" s="82"/>
      <c r="O23" s="82"/>
      <c r="P23" s="29">
        <f t="shared" si="4"/>
        <v>0</v>
      </c>
    </row>
    <row r="24" spans="1:16" x14ac:dyDescent="0.2">
      <c r="A24" s="301"/>
      <c r="B24" s="130" t="s">
        <v>197</v>
      </c>
      <c r="C24" s="130" t="s">
        <v>837</v>
      </c>
      <c r="D24" s="130"/>
      <c r="E24" s="130"/>
      <c r="F24" s="130"/>
      <c r="G24" s="460" t="s">
        <v>433</v>
      </c>
      <c r="H24" s="18"/>
      <c r="I24" s="29">
        <f>SUM(I25,I26,I27,I28)</f>
        <v>0</v>
      </c>
      <c r="J24" s="29">
        <f t="shared" ref="J24:O24" si="5">SUM(J25,J26,J27,J28)</f>
        <v>0</v>
      </c>
      <c r="K24" s="29">
        <f t="shared" si="5"/>
        <v>0</v>
      </c>
      <c r="L24" s="29">
        <f t="shared" si="5"/>
        <v>0</v>
      </c>
      <c r="M24" s="29">
        <f t="shared" si="5"/>
        <v>0</v>
      </c>
      <c r="N24" s="29">
        <f t="shared" si="5"/>
        <v>0</v>
      </c>
      <c r="O24" s="29">
        <f t="shared" si="5"/>
        <v>0</v>
      </c>
      <c r="P24" s="29">
        <f t="shared" si="4"/>
        <v>0</v>
      </c>
    </row>
    <row r="25" spans="1:16" x14ac:dyDescent="0.2">
      <c r="A25" s="302"/>
      <c r="B25" s="130"/>
      <c r="C25" s="130">
        <v>-1</v>
      </c>
      <c r="D25" s="130" t="s">
        <v>296</v>
      </c>
      <c r="E25" s="130"/>
      <c r="F25" s="130"/>
      <c r="G25" s="460" t="s">
        <v>838</v>
      </c>
      <c r="H25" s="18"/>
      <c r="I25" s="62"/>
      <c r="J25" s="62"/>
      <c r="K25" s="62"/>
      <c r="L25" s="62"/>
      <c r="M25" s="62"/>
      <c r="N25" s="82"/>
      <c r="O25" s="82"/>
      <c r="P25" s="29">
        <f t="shared" si="4"/>
        <v>0</v>
      </c>
    </row>
    <row r="26" spans="1:16" x14ac:dyDescent="0.2">
      <c r="A26" s="302"/>
      <c r="B26" s="130"/>
      <c r="C26" s="130">
        <v>-2</v>
      </c>
      <c r="D26" s="130" t="s">
        <v>298</v>
      </c>
      <c r="E26" s="130"/>
      <c r="F26" s="130"/>
      <c r="G26" s="460" t="s">
        <v>839</v>
      </c>
      <c r="H26" s="18"/>
      <c r="I26" s="62"/>
      <c r="J26" s="62"/>
      <c r="K26" s="62"/>
      <c r="L26" s="62"/>
      <c r="M26" s="62"/>
      <c r="N26" s="82"/>
      <c r="O26" s="82"/>
      <c r="P26" s="29">
        <f t="shared" si="4"/>
        <v>0</v>
      </c>
    </row>
    <row r="27" spans="1:16" x14ac:dyDescent="0.2">
      <c r="A27" s="301"/>
      <c r="B27" s="130"/>
      <c r="C27" s="130">
        <v>-3</v>
      </c>
      <c r="D27" s="130" t="s">
        <v>299</v>
      </c>
      <c r="E27" s="130"/>
      <c r="F27" s="130"/>
      <c r="G27" s="460" t="s">
        <v>840</v>
      </c>
      <c r="H27" s="18"/>
      <c r="I27" s="62"/>
      <c r="J27" s="62"/>
      <c r="K27" s="62"/>
      <c r="L27" s="62"/>
      <c r="M27" s="62"/>
      <c r="N27" s="82"/>
      <c r="O27" s="82"/>
      <c r="P27" s="29">
        <f t="shared" si="4"/>
        <v>0</v>
      </c>
    </row>
    <row r="28" spans="1:16" x14ac:dyDescent="0.2">
      <c r="A28" s="302"/>
      <c r="B28" s="130"/>
      <c r="C28" s="130">
        <v>-4</v>
      </c>
      <c r="D28" s="130" t="s">
        <v>300</v>
      </c>
      <c r="E28" s="130"/>
      <c r="F28" s="130"/>
      <c r="G28" s="460" t="s">
        <v>841</v>
      </c>
      <c r="H28" s="18"/>
      <c r="I28" s="62"/>
      <c r="J28" s="62"/>
      <c r="K28" s="62"/>
      <c r="L28" s="62"/>
      <c r="M28" s="62"/>
      <c r="N28" s="82"/>
      <c r="O28" s="82"/>
      <c r="P28" s="29">
        <f t="shared" si="4"/>
        <v>0</v>
      </c>
    </row>
    <row r="29" spans="1:16" x14ac:dyDescent="0.2">
      <c r="A29" s="127"/>
      <c r="B29" s="39" t="s">
        <v>201</v>
      </c>
      <c r="C29" s="131" t="s">
        <v>196</v>
      </c>
      <c r="D29" s="39"/>
      <c r="E29" s="39"/>
      <c r="F29" s="128"/>
      <c r="G29" s="459" t="s">
        <v>437</v>
      </c>
      <c r="H29" s="18"/>
      <c r="I29" s="29">
        <f t="shared" ref="I29:O29" si="6">SUM(I30,I31,I32,I33)</f>
        <v>0</v>
      </c>
      <c r="J29" s="29">
        <f t="shared" si="6"/>
        <v>0</v>
      </c>
      <c r="K29" s="29">
        <f t="shared" si="6"/>
        <v>0</v>
      </c>
      <c r="L29" s="29">
        <f t="shared" si="6"/>
        <v>0</v>
      </c>
      <c r="M29" s="29">
        <f t="shared" si="6"/>
        <v>0</v>
      </c>
      <c r="N29" s="29">
        <f t="shared" si="6"/>
        <v>0</v>
      </c>
      <c r="O29" s="29">
        <f t="shared" si="6"/>
        <v>0</v>
      </c>
      <c r="P29" s="29">
        <f t="shared" si="4"/>
        <v>0</v>
      </c>
    </row>
    <row r="30" spans="1:16" x14ac:dyDescent="0.2">
      <c r="A30" s="129"/>
      <c r="B30" s="124"/>
      <c r="C30" s="130">
        <v>-1</v>
      </c>
      <c r="D30" s="124" t="s">
        <v>296</v>
      </c>
      <c r="E30" s="124"/>
      <c r="F30" s="125"/>
      <c r="G30" s="459" t="s">
        <v>491</v>
      </c>
      <c r="H30" s="18"/>
      <c r="I30" s="61"/>
      <c r="J30" s="61"/>
      <c r="K30" s="61"/>
      <c r="L30" s="61"/>
      <c r="M30" s="61"/>
      <c r="N30" s="81"/>
      <c r="O30" s="81"/>
      <c r="P30" s="29">
        <f t="shared" si="4"/>
        <v>0</v>
      </c>
    </row>
    <row r="31" spans="1:16" x14ac:dyDescent="0.2">
      <c r="A31" s="127"/>
      <c r="B31" s="39"/>
      <c r="C31" s="131">
        <f>C30-1</f>
        <v>-2</v>
      </c>
      <c r="D31" s="39" t="s">
        <v>298</v>
      </c>
      <c r="E31" s="39"/>
      <c r="F31" s="128"/>
      <c r="G31" s="459" t="s">
        <v>492</v>
      </c>
      <c r="H31" s="18"/>
      <c r="I31" s="62"/>
      <c r="J31" s="62"/>
      <c r="K31" s="62"/>
      <c r="L31" s="62"/>
      <c r="M31" s="62"/>
      <c r="N31" s="82"/>
      <c r="O31" s="82"/>
      <c r="P31" s="29">
        <f t="shared" si="4"/>
        <v>0</v>
      </c>
    </row>
    <row r="32" spans="1:16" x14ac:dyDescent="0.2">
      <c r="A32" s="129"/>
      <c r="B32" s="124"/>
      <c r="C32" s="130">
        <f>C31-1</f>
        <v>-3</v>
      </c>
      <c r="D32" s="124" t="s">
        <v>299</v>
      </c>
      <c r="E32" s="124"/>
      <c r="F32" s="125"/>
      <c r="G32" s="459" t="s">
        <v>493</v>
      </c>
      <c r="H32" s="18"/>
      <c r="I32" s="62"/>
      <c r="J32" s="62"/>
      <c r="K32" s="62"/>
      <c r="L32" s="62"/>
      <c r="M32" s="62"/>
      <c r="N32" s="82"/>
      <c r="O32" s="82"/>
      <c r="P32" s="29">
        <f t="shared" si="4"/>
        <v>0</v>
      </c>
    </row>
    <row r="33" spans="1:192" x14ac:dyDescent="0.2">
      <c r="A33" s="127"/>
      <c r="B33" s="39"/>
      <c r="C33" s="131">
        <f>C32-1</f>
        <v>-4</v>
      </c>
      <c r="D33" s="39" t="s">
        <v>300</v>
      </c>
      <c r="E33" s="39"/>
      <c r="F33" s="128"/>
      <c r="G33" s="459" t="s">
        <v>494</v>
      </c>
      <c r="H33" s="18"/>
      <c r="I33" s="62"/>
      <c r="J33" s="62"/>
      <c r="K33" s="62"/>
      <c r="L33" s="62"/>
      <c r="M33" s="62"/>
      <c r="N33" s="82"/>
      <c r="O33" s="82"/>
      <c r="P33" s="29">
        <f t="shared" si="4"/>
        <v>0</v>
      </c>
    </row>
    <row r="34" spans="1:192" x14ac:dyDescent="0.2">
      <c r="A34" s="129"/>
      <c r="B34" s="124" t="s">
        <v>305</v>
      </c>
      <c r="C34" s="124" t="s">
        <v>198</v>
      </c>
      <c r="D34" s="124"/>
      <c r="E34" s="124"/>
      <c r="F34" s="125"/>
      <c r="G34" s="459" t="s">
        <v>438</v>
      </c>
      <c r="H34" s="18"/>
      <c r="I34" s="35">
        <f t="shared" ref="I34:O34" si="7">SUM(I35,I36,I37,I38)</f>
        <v>0</v>
      </c>
      <c r="J34" s="35">
        <f t="shared" si="7"/>
        <v>0</v>
      </c>
      <c r="K34" s="35">
        <f t="shared" si="7"/>
        <v>0</v>
      </c>
      <c r="L34" s="35">
        <f t="shared" si="7"/>
        <v>0</v>
      </c>
      <c r="M34" s="35">
        <f t="shared" si="7"/>
        <v>0</v>
      </c>
      <c r="N34" s="35">
        <f t="shared" si="7"/>
        <v>0</v>
      </c>
      <c r="O34" s="35">
        <f t="shared" si="7"/>
        <v>0</v>
      </c>
      <c r="P34" s="29">
        <f t="shared" si="4"/>
        <v>0</v>
      </c>
    </row>
    <row r="35" spans="1:192" x14ac:dyDescent="0.2">
      <c r="A35" s="127"/>
      <c r="B35" s="39"/>
      <c r="C35" s="131">
        <v>-1</v>
      </c>
      <c r="D35" s="39" t="s">
        <v>301</v>
      </c>
      <c r="E35" s="39"/>
      <c r="F35" s="128"/>
      <c r="G35" s="459" t="s">
        <v>495</v>
      </c>
      <c r="H35" s="18"/>
      <c r="I35" s="62"/>
      <c r="J35" s="62"/>
      <c r="K35" s="62"/>
      <c r="L35" s="62"/>
      <c r="M35" s="62"/>
      <c r="N35" s="82"/>
      <c r="O35" s="82"/>
      <c r="P35" s="29">
        <f t="shared" si="4"/>
        <v>0</v>
      </c>
    </row>
    <row r="36" spans="1:192" x14ac:dyDescent="0.2">
      <c r="A36" s="129"/>
      <c r="B36" s="124"/>
      <c r="C36" s="130">
        <f>C35-1</f>
        <v>-2</v>
      </c>
      <c r="D36" s="124" t="s">
        <v>302</v>
      </c>
      <c r="E36" s="124"/>
      <c r="F36" s="125"/>
      <c r="G36" s="459" t="s">
        <v>496</v>
      </c>
      <c r="H36" s="18"/>
      <c r="I36" s="62"/>
      <c r="J36" s="62"/>
      <c r="K36" s="62"/>
      <c r="L36" s="62"/>
      <c r="M36" s="62"/>
      <c r="N36" s="82"/>
      <c r="O36" s="82"/>
      <c r="P36" s="29">
        <f t="shared" si="4"/>
        <v>0</v>
      </c>
    </row>
    <row r="37" spans="1:192" s="16" customFormat="1" x14ac:dyDescent="0.2">
      <c r="A37" s="127"/>
      <c r="B37" s="39"/>
      <c r="C37" s="131">
        <f>C36-1</f>
        <v>-3</v>
      </c>
      <c r="D37" s="39" t="s">
        <v>303</v>
      </c>
      <c r="E37" s="39"/>
      <c r="F37" s="128"/>
      <c r="G37" s="459" t="s">
        <v>497</v>
      </c>
      <c r="H37" s="18"/>
      <c r="I37" s="62"/>
      <c r="J37" s="62"/>
      <c r="K37" s="62"/>
      <c r="L37" s="62"/>
      <c r="M37" s="62"/>
      <c r="N37" s="82"/>
      <c r="O37" s="82"/>
      <c r="P37" s="29">
        <f t="shared" si="4"/>
        <v>0</v>
      </c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1"/>
      <c r="CD37" s="21"/>
      <c r="CE37" s="21"/>
      <c r="CF37" s="21"/>
      <c r="CG37" s="21"/>
      <c r="CH37" s="21"/>
      <c r="CI37" s="21"/>
      <c r="CJ37" s="21"/>
      <c r="CK37" s="21"/>
      <c r="CL37" s="21"/>
      <c r="CM37" s="21"/>
      <c r="CN37" s="21"/>
      <c r="CO37" s="21"/>
      <c r="CP37" s="21"/>
      <c r="CQ37" s="21"/>
      <c r="CR37" s="21"/>
      <c r="CS37" s="21"/>
      <c r="CT37" s="21"/>
      <c r="CU37" s="21"/>
      <c r="CV37" s="21"/>
      <c r="CW37" s="21"/>
      <c r="CX37" s="21"/>
      <c r="CY37" s="21"/>
      <c r="CZ37" s="21"/>
      <c r="DA37" s="21"/>
      <c r="DB37" s="21"/>
      <c r="DC37" s="21"/>
      <c r="DD37" s="21"/>
      <c r="DE37" s="21"/>
      <c r="DF37" s="21"/>
      <c r="DG37" s="21"/>
      <c r="DH37" s="21"/>
      <c r="DI37" s="21"/>
      <c r="DJ37" s="21"/>
      <c r="DK37" s="21"/>
      <c r="DL37" s="21"/>
      <c r="DM37" s="21"/>
      <c r="DN37" s="21"/>
      <c r="DO37" s="21"/>
      <c r="DP37" s="21"/>
      <c r="DQ37" s="21"/>
      <c r="DR37" s="21"/>
      <c r="DS37" s="21"/>
      <c r="DT37" s="21"/>
      <c r="DU37" s="21"/>
      <c r="DV37" s="21"/>
      <c r="DW37" s="21"/>
      <c r="DX37" s="21"/>
      <c r="DY37" s="21"/>
      <c r="DZ37" s="21"/>
      <c r="EA37" s="21"/>
      <c r="EB37" s="21"/>
      <c r="EC37" s="21"/>
      <c r="ED37" s="21"/>
      <c r="EE37" s="21"/>
      <c r="EF37" s="21"/>
      <c r="EG37" s="21"/>
      <c r="EH37" s="21"/>
      <c r="EI37" s="21"/>
      <c r="EJ37" s="21"/>
      <c r="EK37" s="21"/>
      <c r="EL37" s="21"/>
      <c r="EM37" s="21"/>
      <c r="EN37" s="21"/>
      <c r="EO37" s="21"/>
      <c r="EP37" s="21"/>
      <c r="EQ37" s="21"/>
      <c r="ER37" s="21"/>
      <c r="ES37" s="21"/>
      <c r="ET37" s="21"/>
      <c r="EU37" s="21"/>
      <c r="EV37" s="21"/>
      <c r="EW37" s="21"/>
      <c r="EX37" s="21"/>
      <c r="EY37" s="21"/>
      <c r="EZ37" s="21"/>
      <c r="FA37" s="21"/>
      <c r="FB37" s="21"/>
      <c r="FC37" s="21"/>
      <c r="FD37" s="21"/>
      <c r="FE37" s="21"/>
      <c r="FF37" s="21"/>
      <c r="FG37" s="21"/>
      <c r="FH37" s="21"/>
      <c r="FI37" s="21"/>
      <c r="FJ37" s="21"/>
      <c r="FK37" s="21"/>
      <c r="FL37" s="21"/>
      <c r="FM37" s="21"/>
      <c r="FN37" s="21"/>
      <c r="FO37" s="21"/>
      <c r="FP37" s="21"/>
      <c r="FQ37" s="21"/>
      <c r="FR37" s="21"/>
      <c r="FS37" s="21"/>
      <c r="FT37" s="21"/>
      <c r="FU37" s="21"/>
      <c r="FV37" s="21"/>
      <c r="FW37" s="21"/>
      <c r="FX37" s="21"/>
      <c r="FY37" s="21"/>
      <c r="FZ37" s="21"/>
      <c r="GA37" s="21"/>
      <c r="GB37" s="21"/>
      <c r="GC37" s="21"/>
      <c r="GD37" s="21"/>
      <c r="GE37" s="21"/>
      <c r="GF37" s="21"/>
      <c r="GG37" s="21"/>
      <c r="GH37" s="21"/>
      <c r="GI37" s="21"/>
      <c r="GJ37" s="21"/>
    </row>
    <row r="38" spans="1:192" s="21" customFormat="1" x14ac:dyDescent="0.2">
      <c r="A38" s="129"/>
      <c r="B38" s="124"/>
      <c r="C38" s="130">
        <f>C37-1</f>
        <v>-4</v>
      </c>
      <c r="D38" s="124" t="s">
        <v>304</v>
      </c>
      <c r="E38" s="124"/>
      <c r="F38" s="125"/>
      <c r="G38" s="459" t="s">
        <v>498</v>
      </c>
      <c r="H38" s="18"/>
      <c r="I38" s="62"/>
      <c r="J38" s="62"/>
      <c r="K38" s="62"/>
      <c r="L38" s="62"/>
      <c r="M38" s="62"/>
      <c r="N38" s="82"/>
      <c r="O38" s="82"/>
      <c r="P38" s="29">
        <f t="shared" si="4"/>
        <v>0</v>
      </c>
    </row>
    <row r="39" spans="1:192" s="21" customFormat="1" x14ac:dyDescent="0.2">
      <c r="A39" s="127"/>
      <c r="B39" s="39" t="s">
        <v>867</v>
      </c>
      <c r="C39" s="39" t="s">
        <v>202</v>
      </c>
      <c r="D39" s="39"/>
      <c r="E39" s="39"/>
      <c r="F39" s="128"/>
      <c r="G39" s="459" t="s">
        <v>441</v>
      </c>
      <c r="H39" s="18"/>
      <c r="I39" s="35">
        <f t="shared" ref="I39:O39" si="8">SUM(I40,I41,I42,I43)</f>
        <v>0</v>
      </c>
      <c r="J39" s="35">
        <f t="shared" si="8"/>
        <v>0</v>
      </c>
      <c r="K39" s="35">
        <f t="shared" si="8"/>
        <v>0</v>
      </c>
      <c r="L39" s="35">
        <f t="shared" si="8"/>
        <v>0</v>
      </c>
      <c r="M39" s="35">
        <f t="shared" si="8"/>
        <v>0</v>
      </c>
      <c r="N39" s="35">
        <f t="shared" si="8"/>
        <v>0</v>
      </c>
      <c r="O39" s="35">
        <f t="shared" si="8"/>
        <v>0</v>
      </c>
      <c r="P39" s="29">
        <f t="shared" si="4"/>
        <v>0</v>
      </c>
    </row>
    <row r="40" spans="1:192" s="21" customFormat="1" x14ac:dyDescent="0.2">
      <c r="A40" s="129"/>
      <c r="B40" s="124"/>
      <c r="C40" s="130">
        <v>-1</v>
      </c>
      <c r="D40" s="124" t="s">
        <v>301</v>
      </c>
      <c r="E40" s="124"/>
      <c r="F40" s="125"/>
      <c r="G40" s="459" t="s">
        <v>499</v>
      </c>
      <c r="H40" s="18"/>
      <c r="I40" s="62"/>
      <c r="J40" s="62"/>
      <c r="K40" s="62"/>
      <c r="L40" s="62"/>
      <c r="M40" s="62"/>
      <c r="N40" s="82"/>
      <c r="O40" s="82"/>
      <c r="P40" s="29">
        <f t="shared" si="4"/>
        <v>0</v>
      </c>
    </row>
    <row r="41" spans="1:192" s="21" customFormat="1" x14ac:dyDescent="0.2">
      <c r="A41" s="127"/>
      <c r="B41" s="39"/>
      <c r="C41" s="131">
        <f>C40-1</f>
        <v>-2</v>
      </c>
      <c r="D41" s="39" t="s">
        <v>302</v>
      </c>
      <c r="E41" s="39"/>
      <c r="F41" s="128"/>
      <c r="G41" s="459" t="s">
        <v>500</v>
      </c>
      <c r="H41" s="18"/>
      <c r="I41" s="62"/>
      <c r="J41" s="62"/>
      <c r="K41" s="62"/>
      <c r="L41" s="62"/>
      <c r="M41" s="62"/>
      <c r="N41" s="82"/>
      <c r="O41" s="82"/>
      <c r="P41" s="29">
        <f t="shared" si="4"/>
        <v>0</v>
      </c>
    </row>
    <row r="42" spans="1:192" s="21" customFormat="1" x14ac:dyDescent="0.2">
      <c r="A42" s="129"/>
      <c r="B42" s="124"/>
      <c r="C42" s="130">
        <f>C41-1</f>
        <v>-3</v>
      </c>
      <c r="D42" s="124" t="s">
        <v>303</v>
      </c>
      <c r="E42" s="124"/>
      <c r="F42" s="125"/>
      <c r="G42" s="459" t="s">
        <v>501</v>
      </c>
      <c r="H42" s="18"/>
      <c r="I42" s="62"/>
      <c r="J42" s="62"/>
      <c r="K42" s="62"/>
      <c r="L42" s="62"/>
      <c r="M42" s="62"/>
      <c r="N42" s="82"/>
      <c r="O42" s="82"/>
      <c r="P42" s="29">
        <f t="shared" si="4"/>
        <v>0</v>
      </c>
    </row>
    <row r="43" spans="1:192" s="21" customFormat="1" x14ac:dyDescent="0.2">
      <c r="A43" s="127"/>
      <c r="B43" s="39"/>
      <c r="C43" s="131">
        <f>C42-1</f>
        <v>-4</v>
      </c>
      <c r="D43" s="39" t="s">
        <v>304</v>
      </c>
      <c r="E43" s="39"/>
      <c r="F43" s="128"/>
      <c r="G43" s="459" t="s">
        <v>502</v>
      </c>
      <c r="H43" s="18"/>
      <c r="I43" s="62"/>
      <c r="J43" s="62"/>
      <c r="K43" s="62"/>
      <c r="L43" s="62"/>
      <c r="M43" s="62"/>
      <c r="N43" s="82"/>
      <c r="O43" s="82"/>
      <c r="P43" s="29">
        <f t="shared" si="4"/>
        <v>0</v>
      </c>
    </row>
    <row r="44" spans="1:192" s="21" customFormat="1" x14ac:dyDescent="0.2">
      <c r="A44" s="116" t="s">
        <v>33</v>
      </c>
      <c r="B44" s="115" t="s">
        <v>204</v>
      </c>
      <c r="C44" s="124"/>
      <c r="D44" s="124"/>
      <c r="E44" s="124"/>
      <c r="F44" s="125"/>
      <c r="G44" s="459" t="s">
        <v>444</v>
      </c>
      <c r="H44" s="18"/>
      <c r="I44" s="60"/>
      <c r="J44" s="35">
        <f t="shared" ref="J44:O44" si="9">SUM(J45,J50,J55,J60)</f>
        <v>0</v>
      </c>
      <c r="K44" s="35">
        <f t="shared" si="9"/>
        <v>0</v>
      </c>
      <c r="L44" s="35">
        <f t="shared" si="9"/>
        <v>0</v>
      </c>
      <c r="M44" s="35">
        <f t="shared" si="9"/>
        <v>0</v>
      </c>
      <c r="N44" s="35">
        <f t="shared" si="9"/>
        <v>0</v>
      </c>
      <c r="O44" s="35">
        <f t="shared" si="9"/>
        <v>0</v>
      </c>
      <c r="P44" s="29">
        <f t="shared" ref="P44:P54" si="10">I44+K44+M44+O44</f>
        <v>0</v>
      </c>
    </row>
    <row r="45" spans="1:192" s="21" customFormat="1" x14ac:dyDescent="0.2">
      <c r="A45" s="127"/>
      <c r="B45" s="39" t="s">
        <v>188</v>
      </c>
      <c r="C45" s="39" t="s">
        <v>205</v>
      </c>
      <c r="D45" s="39"/>
      <c r="E45" s="39"/>
      <c r="F45" s="128"/>
      <c r="G45" s="459" t="s">
        <v>445</v>
      </c>
      <c r="H45" s="18"/>
      <c r="I45" s="60"/>
      <c r="J45" s="35">
        <f t="shared" ref="J45:O45" si="11">SUM(J46,J47,J48,J49)</f>
        <v>0</v>
      </c>
      <c r="K45" s="35">
        <f t="shared" si="11"/>
        <v>0</v>
      </c>
      <c r="L45" s="35">
        <f t="shared" si="11"/>
        <v>0</v>
      </c>
      <c r="M45" s="35">
        <f t="shared" si="11"/>
        <v>0</v>
      </c>
      <c r="N45" s="35">
        <f t="shared" si="11"/>
        <v>0</v>
      </c>
      <c r="O45" s="35">
        <f t="shared" si="11"/>
        <v>0</v>
      </c>
      <c r="P45" s="29">
        <f t="shared" si="10"/>
        <v>0</v>
      </c>
    </row>
    <row r="46" spans="1:192" s="21" customFormat="1" x14ac:dyDescent="0.2">
      <c r="A46" s="129"/>
      <c r="B46" s="124"/>
      <c r="C46" s="130">
        <v>-1</v>
      </c>
      <c r="D46" s="124" t="s">
        <v>296</v>
      </c>
      <c r="E46" s="124"/>
      <c r="F46" s="125"/>
      <c r="G46" s="459" t="s">
        <v>503</v>
      </c>
      <c r="H46" s="18"/>
      <c r="I46" s="60"/>
      <c r="J46" s="62"/>
      <c r="K46" s="62"/>
      <c r="L46" s="62"/>
      <c r="M46" s="62"/>
      <c r="N46" s="82"/>
      <c r="O46" s="82"/>
      <c r="P46" s="29">
        <f t="shared" si="10"/>
        <v>0</v>
      </c>
    </row>
    <row r="47" spans="1:192" s="21" customFormat="1" x14ac:dyDescent="0.2">
      <c r="A47" s="127"/>
      <c r="B47" s="39"/>
      <c r="C47" s="167" t="s">
        <v>21</v>
      </c>
      <c r="D47" s="39" t="s">
        <v>298</v>
      </c>
      <c r="E47" s="39"/>
      <c r="F47" s="128"/>
      <c r="G47" s="459" t="s">
        <v>504</v>
      </c>
      <c r="H47" s="18"/>
      <c r="I47" s="60"/>
      <c r="J47" s="62"/>
      <c r="K47" s="62"/>
      <c r="L47" s="62"/>
      <c r="M47" s="62"/>
      <c r="N47" s="82"/>
      <c r="O47" s="82"/>
      <c r="P47" s="29">
        <f t="shared" si="10"/>
        <v>0</v>
      </c>
    </row>
    <row r="48" spans="1:192" s="21" customFormat="1" x14ac:dyDescent="0.2">
      <c r="A48" s="129"/>
      <c r="B48" s="124"/>
      <c r="C48" s="130">
        <f>C47-1</f>
        <v>-3</v>
      </c>
      <c r="D48" s="124" t="s">
        <v>299</v>
      </c>
      <c r="E48" s="124"/>
      <c r="F48" s="125"/>
      <c r="G48" s="459" t="s">
        <v>505</v>
      </c>
      <c r="H48" s="18"/>
      <c r="I48" s="60"/>
      <c r="J48" s="62"/>
      <c r="K48" s="62"/>
      <c r="L48" s="62"/>
      <c r="M48" s="62"/>
      <c r="N48" s="82"/>
      <c r="O48" s="82"/>
      <c r="P48" s="29">
        <f t="shared" si="10"/>
        <v>0</v>
      </c>
    </row>
    <row r="49" spans="1:16" s="21" customFormat="1" x14ac:dyDescent="0.2">
      <c r="A49" s="127"/>
      <c r="B49" s="39"/>
      <c r="C49" s="131">
        <f>C48-1</f>
        <v>-4</v>
      </c>
      <c r="D49" s="39" t="s">
        <v>300</v>
      </c>
      <c r="E49" s="39"/>
      <c r="F49" s="128"/>
      <c r="G49" s="459" t="s">
        <v>506</v>
      </c>
      <c r="H49" s="18"/>
      <c r="I49" s="60"/>
      <c r="J49" s="62"/>
      <c r="K49" s="62"/>
      <c r="L49" s="62"/>
      <c r="M49" s="62"/>
      <c r="N49" s="82"/>
      <c r="O49" s="82"/>
      <c r="P49" s="29">
        <f t="shared" si="10"/>
        <v>0</v>
      </c>
    </row>
    <row r="50" spans="1:16" s="21" customFormat="1" x14ac:dyDescent="0.2">
      <c r="A50" s="129"/>
      <c r="B50" s="124" t="s">
        <v>195</v>
      </c>
      <c r="C50" s="130" t="s">
        <v>306</v>
      </c>
      <c r="D50" s="124"/>
      <c r="E50" s="124"/>
      <c r="F50" s="125"/>
      <c r="G50" s="459" t="s">
        <v>446</v>
      </c>
      <c r="H50" s="18"/>
      <c r="I50" s="60"/>
      <c r="J50" s="35">
        <f t="shared" ref="J50:O50" si="12">SUM(J51,J52,J53,J54)</f>
        <v>0</v>
      </c>
      <c r="K50" s="35">
        <f t="shared" si="12"/>
        <v>0</v>
      </c>
      <c r="L50" s="35">
        <f t="shared" si="12"/>
        <v>0</v>
      </c>
      <c r="M50" s="35">
        <f t="shared" si="12"/>
        <v>0</v>
      </c>
      <c r="N50" s="35">
        <f t="shared" si="12"/>
        <v>0</v>
      </c>
      <c r="O50" s="35">
        <f t="shared" si="12"/>
        <v>0</v>
      </c>
      <c r="P50" s="29">
        <f t="shared" si="10"/>
        <v>0</v>
      </c>
    </row>
    <row r="51" spans="1:16" s="21" customFormat="1" x14ac:dyDescent="0.2">
      <c r="A51" s="127"/>
      <c r="B51" s="39"/>
      <c r="C51" s="131">
        <v>-1</v>
      </c>
      <c r="D51" s="39" t="s">
        <v>301</v>
      </c>
      <c r="E51" s="39"/>
      <c r="F51" s="128"/>
      <c r="G51" s="459" t="s">
        <v>507</v>
      </c>
      <c r="H51" s="18"/>
      <c r="I51" s="60"/>
      <c r="J51" s="62"/>
      <c r="K51" s="62"/>
      <c r="L51" s="62"/>
      <c r="M51" s="62"/>
      <c r="N51" s="82"/>
      <c r="O51" s="82"/>
      <c r="P51" s="29">
        <f t="shared" si="10"/>
        <v>0</v>
      </c>
    </row>
    <row r="52" spans="1:16" s="21" customFormat="1" x14ac:dyDescent="0.2">
      <c r="A52" s="129"/>
      <c r="B52" s="124"/>
      <c r="C52" s="130">
        <f>C51-1</f>
        <v>-2</v>
      </c>
      <c r="D52" s="124" t="s">
        <v>302</v>
      </c>
      <c r="E52" s="124"/>
      <c r="F52" s="125"/>
      <c r="G52" s="459" t="s">
        <v>508</v>
      </c>
      <c r="H52" s="18"/>
      <c r="I52" s="60"/>
      <c r="J52" s="62"/>
      <c r="K52" s="62"/>
      <c r="L52" s="62"/>
      <c r="M52" s="62"/>
      <c r="N52" s="82"/>
      <c r="O52" s="82"/>
      <c r="P52" s="29">
        <f t="shared" si="10"/>
        <v>0</v>
      </c>
    </row>
    <row r="53" spans="1:16" s="21" customFormat="1" x14ac:dyDescent="0.2">
      <c r="A53" s="127"/>
      <c r="B53" s="39"/>
      <c r="C53" s="131">
        <f>C52-1</f>
        <v>-3</v>
      </c>
      <c r="D53" s="39" t="s">
        <v>303</v>
      </c>
      <c r="E53" s="39"/>
      <c r="F53" s="128"/>
      <c r="G53" s="459" t="s">
        <v>509</v>
      </c>
      <c r="H53" s="18"/>
      <c r="I53" s="60"/>
      <c r="J53" s="62"/>
      <c r="K53" s="62"/>
      <c r="L53" s="62"/>
      <c r="M53" s="62"/>
      <c r="N53" s="82"/>
      <c r="O53" s="82"/>
      <c r="P53" s="29">
        <f t="shared" si="10"/>
        <v>0</v>
      </c>
    </row>
    <row r="54" spans="1:16" s="21" customFormat="1" x14ac:dyDescent="0.2">
      <c r="A54" s="129"/>
      <c r="B54" s="124"/>
      <c r="C54" s="130">
        <f>C53-1</f>
        <v>-4</v>
      </c>
      <c r="D54" s="124" t="s">
        <v>304</v>
      </c>
      <c r="E54" s="124"/>
      <c r="F54" s="125"/>
      <c r="G54" s="459" t="s">
        <v>510</v>
      </c>
      <c r="H54" s="18"/>
      <c r="I54" s="60"/>
      <c r="J54" s="62"/>
      <c r="K54" s="62"/>
      <c r="L54" s="62"/>
      <c r="M54" s="62"/>
      <c r="N54" s="82"/>
      <c r="O54" s="82"/>
      <c r="P54" s="29">
        <f t="shared" si="10"/>
        <v>0</v>
      </c>
    </row>
    <row r="55" spans="1:16" s="21" customFormat="1" x14ac:dyDescent="0.2">
      <c r="A55" s="127"/>
      <c r="B55" s="39" t="s">
        <v>197</v>
      </c>
      <c r="C55" s="39" t="s">
        <v>198</v>
      </c>
      <c r="D55" s="39"/>
      <c r="E55" s="39"/>
      <c r="F55" s="128"/>
      <c r="G55" s="459" t="s">
        <v>447</v>
      </c>
      <c r="H55" s="18"/>
      <c r="I55" s="60"/>
      <c r="J55" s="35">
        <f t="shared" ref="J55:O55" si="13">SUM(J56,J57,J58,J59)</f>
        <v>0</v>
      </c>
      <c r="K55" s="35">
        <f t="shared" si="13"/>
        <v>0</v>
      </c>
      <c r="L55" s="35">
        <f t="shared" si="13"/>
        <v>0</v>
      </c>
      <c r="M55" s="35">
        <f t="shared" si="13"/>
        <v>0</v>
      </c>
      <c r="N55" s="35">
        <f t="shared" si="13"/>
        <v>0</v>
      </c>
      <c r="O55" s="35">
        <f t="shared" si="13"/>
        <v>0</v>
      </c>
      <c r="P55" s="29">
        <f t="shared" ref="P55:P70" si="14">I55+K55+M55+O55</f>
        <v>0</v>
      </c>
    </row>
    <row r="56" spans="1:16" s="21" customFormat="1" x14ac:dyDescent="0.2">
      <c r="A56" s="129"/>
      <c r="B56" s="124"/>
      <c r="C56" s="130">
        <v>-1</v>
      </c>
      <c r="D56" s="124" t="s">
        <v>301</v>
      </c>
      <c r="E56" s="124"/>
      <c r="F56" s="125"/>
      <c r="G56" s="459" t="s">
        <v>511</v>
      </c>
      <c r="H56" s="18"/>
      <c r="I56" s="60"/>
      <c r="J56" s="62"/>
      <c r="K56" s="62"/>
      <c r="L56" s="62"/>
      <c r="M56" s="62"/>
      <c r="N56" s="82"/>
      <c r="O56" s="82"/>
      <c r="P56" s="29">
        <f t="shared" si="14"/>
        <v>0</v>
      </c>
    </row>
    <row r="57" spans="1:16" s="21" customFormat="1" x14ac:dyDescent="0.2">
      <c r="A57" s="127"/>
      <c r="B57" s="39"/>
      <c r="C57" s="131">
        <f>C56-1</f>
        <v>-2</v>
      </c>
      <c r="D57" s="39" t="s">
        <v>302</v>
      </c>
      <c r="E57" s="39"/>
      <c r="F57" s="128"/>
      <c r="G57" s="459" t="s">
        <v>512</v>
      </c>
      <c r="H57" s="18"/>
      <c r="I57" s="60"/>
      <c r="J57" s="62"/>
      <c r="K57" s="62"/>
      <c r="L57" s="62"/>
      <c r="M57" s="62"/>
      <c r="N57" s="82"/>
      <c r="O57" s="82"/>
      <c r="P57" s="29">
        <f t="shared" si="14"/>
        <v>0</v>
      </c>
    </row>
    <row r="58" spans="1:16" s="21" customFormat="1" x14ac:dyDescent="0.2">
      <c r="A58" s="129"/>
      <c r="B58" s="124"/>
      <c r="C58" s="130">
        <f>C57-1</f>
        <v>-3</v>
      </c>
      <c r="D58" s="124" t="s">
        <v>303</v>
      </c>
      <c r="E58" s="124"/>
      <c r="F58" s="125"/>
      <c r="G58" s="459" t="s">
        <v>513</v>
      </c>
      <c r="H58" s="18"/>
      <c r="I58" s="60"/>
      <c r="J58" s="62"/>
      <c r="K58" s="62"/>
      <c r="L58" s="62"/>
      <c r="M58" s="62"/>
      <c r="N58" s="82"/>
      <c r="O58" s="82"/>
      <c r="P58" s="29">
        <f t="shared" si="14"/>
        <v>0</v>
      </c>
    </row>
    <row r="59" spans="1:16" s="21" customFormat="1" x14ac:dyDescent="0.2">
      <c r="A59" s="127"/>
      <c r="B59" s="39"/>
      <c r="C59" s="131">
        <f>C58-1</f>
        <v>-4</v>
      </c>
      <c r="D59" s="39" t="s">
        <v>304</v>
      </c>
      <c r="E59" s="39"/>
      <c r="F59" s="128"/>
      <c r="G59" s="459" t="s">
        <v>514</v>
      </c>
      <c r="H59" s="18"/>
      <c r="I59" s="60"/>
      <c r="J59" s="62"/>
      <c r="K59" s="62"/>
      <c r="L59" s="62"/>
      <c r="M59" s="62"/>
      <c r="N59" s="82"/>
      <c r="O59" s="82"/>
      <c r="P59" s="29">
        <f t="shared" si="14"/>
        <v>0</v>
      </c>
    </row>
    <row r="60" spans="1:16" s="21" customFormat="1" x14ac:dyDescent="0.2">
      <c r="A60" s="129"/>
      <c r="B60" s="124" t="s">
        <v>201</v>
      </c>
      <c r="C60" s="124" t="s">
        <v>208</v>
      </c>
      <c r="D60" s="124"/>
      <c r="E60" s="124"/>
      <c r="F60" s="125"/>
      <c r="G60" s="459" t="s">
        <v>450</v>
      </c>
      <c r="H60" s="18"/>
      <c r="I60" s="60"/>
      <c r="J60" s="35">
        <f t="shared" ref="J60:O60" si="15">SUM(J61,J62,J63,J64)</f>
        <v>0</v>
      </c>
      <c r="K60" s="35">
        <f t="shared" si="15"/>
        <v>0</v>
      </c>
      <c r="L60" s="35">
        <f t="shared" si="15"/>
        <v>0</v>
      </c>
      <c r="M60" s="35">
        <f t="shared" si="15"/>
        <v>0</v>
      </c>
      <c r="N60" s="35">
        <f t="shared" si="15"/>
        <v>0</v>
      </c>
      <c r="O60" s="35">
        <f t="shared" si="15"/>
        <v>0</v>
      </c>
      <c r="P60" s="29">
        <f t="shared" si="14"/>
        <v>0</v>
      </c>
    </row>
    <row r="61" spans="1:16" s="21" customFormat="1" x14ac:dyDescent="0.2">
      <c r="A61" s="129"/>
      <c r="B61" s="124"/>
      <c r="C61" s="130">
        <v>-1</v>
      </c>
      <c r="D61" s="124" t="s">
        <v>301</v>
      </c>
      <c r="E61" s="124"/>
      <c r="F61" s="125"/>
      <c r="G61" s="459" t="s">
        <v>515</v>
      </c>
      <c r="H61" s="18"/>
      <c r="I61" s="60"/>
      <c r="J61" s="62"/>
      <c r="K61" s="62"/>
      <c r="L61" s="62"/>
      <c r="M61" s="62"/>
      <c r="N61" s="82"/>
      <c r="O61" s="82"/>
      <c r="P61" s="29">
        <f t="shared" si="14"/>
        <v>0</v>
      </c>
    </row>
    <row r="62" spans="1:16" s="21" customFormat="1" x14ac:dyDescent="0.2">
      <c r="A62" s="129"/>
      <c r="B62" s="124"/>
      <c r="C62" s="130">
        <f>C61-1</f>
        <v>-2</v>
      </c>
      <c r="D62" s="124" t="s">
        <v>302</v>
      </c>
      <c r="E62" s="124"/>
      <c r="F62" s="125"/>
      <c r="G62" s="459" t="s">
        <v>516</v>
      </c>
      <c r="H62" s="18"/>
      <c r="I62" s="60"/>
      <c r="J62" s="62"/>
      <c r="K62" s="62"/>
      <c r="L62" s="62"/>
      <c r="M62" s="62"/>
      <c r="N62" s="82"/>
      <c r="O62" s="82"/>
      <c r="P62" s="29">
        <f t="shared" si="14"/>
        <v>0</v>
      </c>
    </row>
    <row r="63" spans="1:16" s="21" customFormat="1" x14ac:dyDescent="0.2">
      <c r="A63" s="127"/>
      <c r="B63" s="39"/>
      <c r="C63" s="131">
        <f>C62-1</f>
        <v>-3</v>
      </c>
      <c r="D63" s="39" t="s">
        <v>303</v>
      </c>
      <c r="E63" s="39"/>
      <c r="F63" s="128"/>
      <c r="G63" s="459" t="s">
        <v>517</v>
      </c>
      <c r="H63" s="18"/>
      <c r="I63" s="60"/>
      <c r="J63" s="62"/>
      <c r="K63" s="62"/>
      <c r="L63" s="62"/>
      <c r="M63" s="62"/>
      <c r="N63" s="82"/>
      <c r="O63" s="82"/>
      <c r="P63" s="29">
        <f t="shared" si="14"/>
        <v>0</v>
      </c>
    </row>
    <row r="64" spans="1:16" s="21" customFormat="1" x14ac:dyDescent="0.2">
      <c r="A64" s="129"/>
      <c r="B64" s="124"/>
      <c r="C64" s="130">
        <f>C63-1</f>
        <v>-4</v>
      </c>
      <c r="D64" s="124" t="s">
        <v>304</v>
      </c>
      <c r="E64" s="124"/>
      <c r="F64" s="124"/>
      <c r="G64" s="460" t="s">
        <v>518</v>
      </c>
      <c r="H64" s="18"/>
      <c r="I64" s="60"/>
      <c r="J64" s="62"/>
      <c r="K64" s="62"/>
      <c r="L64" s="62"/>
      <c r="M64" s="62"/>
      <c r="N64" s="82"/>
      <c r="O64" s="82"/>
      <c r="P64" s="29">
        <f t="shared" si="14"/>
        <v>0</v>
      </c>
    </row>
    <row r="65" spans="1:16" s="21" customFormat="1" x14ac:dyDescent="0.2">
      <c r="A65" s="304" t="s">
        <v>48</v>
      </c>
      <c r="B65" s="304" t="s">
        <v>209</v>
      </c>
      <c r="C65" s="130"/>
      <c r="D65" s="130"/>
      <c r="E65" s="130"/>
      <c r="F65" s="130"/>
      <c r="G65" s="460" t="s">
        <v>451</v>
      </c>
      <c r="H65" s="18"/>
      <c r="I65" s="305">
        <f t="shared" ref="I65:O65" si="16">SUM(I66,I67,I68,I69)</f>
        <v>0</v>
      </c>
      <c r="J65" s="305">
        <f t="shared" si="16"/>
        <v>0</v>
      </c>
      <c r="K65" s="305">
        <f t="shared" si="16"/>
        <v>0</v>
      </c>
      <c r="L65" s="305">
        <f t="shared" si="16"/>
        <v>0</v>
      </c>
      <c r="M65" s="305">
        <f t="shared" si="16"/>
        <v>0</v>
      </c>
      <c r="N65" s="305">
        <f t="shared" si="16"/>
        <v>0</v>
      </c>
      <c r="O65" s="305">
        <f t="shared" si="16"/>
        <v>0</v>
      </c>
      <c r="P65" s="29">
        <f t="shared" si="14"/>
        <v>0</v>
      </c>
    </row>
    <row r="66" spans="1:16" s="21" customFormat="1" x14ac:dyDescent="0.2">
      <c r="A66" s="130"/>
      <c r="B66" s="130"/>
      <c r="C66" s="130">
        <v>-1</v>
      </c>
      <c r="D66" s="130" t="s">
        <v>301</v>
      </c>
      <c r="E66" s="130"/>
      <c r="F66" s="130"/>
      <c r="G66" s="460" t="s">
        <v>847</v>
      </c>
      <c r="H66" s="18"/>
      <c r="I66" s="62"/>
      <c r="J66" s="62"/>
      <c r="K66" s="62"/>
      <c r="L66" s="62"/>
      <c r="M66" s="62"/>
      <c r="N66" s="82"/>
      <c r="O66" s="82"/>
      <c r="P66" s="29">
        <f t="shared" si="14"/>
        <v>0</v>
      </c>
    </row>
    <row r="67" spans="1:16" s="21" customFormat="1" x14ac:dyDescent="0.2">
      <c r="A67" s="130"/>
      <c r="B67" s="130"/>
      <c r="C67" s="130">
        <f>C66-1</f>
        <v>-2</v>
      </c>
      <c r="D67" s="130" t="s">
        <v>302</v>
      </c>
      <c r="E67" s="130"/>
      <c r="F67" s="130"/>
      <c r="G67" s="460" t="s">
        <v>848</v>
      </c>
      <c r="H67" s="18"/>
      <c r="I67" s="62"/>
      <c r="J67" s="62"/>
      <c r="K67" s="62"/>
      <c r="L67" s="62"/>
      <c r="M67" s="62"/>
      <c r="N67" s="82"/>
      <c r="O67" s="82"/>
      <c r="P67" s="29">
        <f t="shared" si="14"/>
        <v>0</v>
      </c>
    </row>
    <row r="68" spans="1:16" s="21" customFormat="1" x14ac:dyDescent="0.2">
      <c r="A68" s="130"/>
      <c r="B68" s="130"/>
      <c r="C68" s="130">
        <f>C67-1</f>
        <v>-3</v>
      </c>
      <c r="D68" s="130" t="s">
        <v>303</v>
      </c>
      <c r="E68" s="130"/>
      <c r="F68" s="130"/>
      <c r="G68" s="460" t="s">
        <v>849</v>
      </c>
      <c r="H68" s="18"/>
      <c r="I68" s="62"/>
      <c r="J68" s="62"/>
      <c r="K68" s="62"/>
      <c r="L68" s="62"/>
      <c r="M68" s="62"/>
      <c r="N68" s="82"/>
      <c r="O68" s="82"/>
      <c r="P68" s="29">
        <f t="shared" si="14"/>
        <v>0</v>
      </c>
    </row>
    <row r="69" spans="1:16" s="21" customFormat="1" x14ac:dyDescent="0.2">
      <c r="A69" s="130"/>
      <c r="B69" s="130"/>
      <c r="C69" s="130">
        <f>C68-1</f>
        <v>-4</v>
      </c>
      <c r="D69" s="130" t="s">
        <v>304</v>
      </c>
      <c r="E69" s="130"/>
      <c r="F69" s="130"/>
      <c r="G69" s="460" t="s">
        <v>850</v>
      </c>
      <c r="H69" s="18"/>
      <c r="I69" s="62"/>
      <c r="J69" s="62"/>
      <c r="K69" s="62"/>
      <c r="L69" s="62"/>
      <c r="M69" s="62"/>
      <c r="N69" s="82"/>
      <c r="O69" s="82"/>
      <c r="P69" s="29">
        <f t="shared" si="14"/>
        <v>0</v>
      </c>
    </row>
    <row r="70" spans="1:16" s="19" customFormat="1" x14ac:dyDescent="0.2">
      <c r="A70" s="168" t="s">
        <v>392</v>
      </c>
      <c r="B70" s="169"/>
      <c r="C70" s="169"/>
      <c r="D70" s="169"/>
      <c r="E70" s="169"/>
      <c r="F70" s="170"/>
      <c r="G70" s="459" t="s">
        <v>452</v>
      </c>
      <c r="H70" s="18"/>
      <c r="I70" s="35">
        <f>SUM(I11,I44,I65)</f>
        <v>0</v>
      </c>
      <c r="J70" s="35">
        <f t="shared" ref="J70:O70" si="17">SUM(J11,J44,J65)</f>
        <v>0</v>
      </c>
      <c r="K70" s="35">
        <f t="shared" si="17"/>
        <v>0</v>
      </c>
      <c r="L70" s="35">
        <f t="shared" si="17"/>
        <v>0</v>
      </c>
      <c r="M70" s="35">
        <f t="shared" si="17"/>
        <v>0</v>
      </c>
      <c r="N70" s="35">
        <f t="shared" si="17"/>
        <v>0</v>
      </c>
      <c r="O70" s="35">
        <f t="shared" si="17"/>
        <v>0</v>
      </c>
      <c r="P70" s="29">
        <f t="shared" si="14"/>
        <v>0</v>
      </c>
    </row>
    <row r="71" spans="1:16" x14ac:dyDescent="0.2">
      <c r="G71" s="49" t="s">
        <v>184</v>
      </c>
    </row>
  </sheetData>
  <sheetProtection password="EFD8" sheet="1" objects="1" scenarios="1" selectLockedCells="1"/>
  <mergeCells count="9">
    <mergeCell ref="A7:F9"/>
    <mergeCell ref="G7:G9"/>
    <mergeCell ref="A1:P1"/>
    <mergeCell ref="I7:P7"/>
    <mergeCell ref="N8:O8"/>
    <mergeCell ref="P8:P9"/>
    <mergeCell ref="I8:I9"/>
    <mergeCell ref="L8:M8"/>
    <mergeCell ref="J8:K8"/>
  </mergeCells>
  <phoneticPr fontId="0" type="noConversion"/>
  <dataValidations count="2">
    <dataValidation type="decimal" operator="lessThan" allowBlank="1" showInputMessage="1" showErrorMessage="1" sqref="I10:DC247">
      <formula1>1000000000000000</formula1>
    </dataValidation>
    <dataValidation operator="lessThan" allowBlank="1" showInputMessage="1" showErrorMessage="1" sqref="A24:G28 G18:G23 A65:G69"/>
  </dataValidations>
  <printOptions horizontalCentered="1"/>
  <pageMargins left="0.25" right="0.25" top="1" bottom="0.5" header="0.5" footer="0.5"/>
  <pageSetup paperSize="9" scale="79" orientation="landscape" horizontalDpi="360" verticalDpi="360" r:id="rId1"/>
  <headerFooter alignWithMargins="0">
    <oddHeader>&amp;R&amp;"Arial,Bold"&amp;USchedule 3a&amp;8&amp;U
&amp;P of &amp;N&amp;C&amp;"Arial,Bold"&amp;8 MAXIMUM SAVINGS BANK, INC.  [ 03-070011 ]
 As of: June 30, 2019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123"/>
  <sheetViews>
    <sheetView zoomScale="75" zoomScaleNormal="90" zoomScaleSheetLayoutView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3" sqref="I13"/>
    </sheetView>
  </sheetViews>
  <sheetFormatPr defaultRowHeight="11.25" x14ac:dyDescent="0.2"/>
  <cols>
    <col min="1" max="2" width="3.5703125" style="1" customWidth="1"/>
    <col min="3" max="3" width="3" style="1" customWidth="1"/>
    <col min="4" max="4" width="4" style="1" customWidth="1"/>
    <col min="5" max="5" width="39.140625" style="1" customWidth="1"/>
    <col min="6" max="6" width="35.7109375" style="1" hidden="1" customWidth="1"/>
    <col min="7" max="7" width="16.5703125" style="9" customWidth="1"/>
    <col min="8" max="8" width="16.5703125" style="9" hidden="1" customWidth="1"/>
    <col min="9" max="13" width="20.7109375" style="1" customWidth="1"/>
    <col min="14" max="15" width="20.7109375" style="1" hidden="1" customWidth="1"/>
    <col min="16" max="21" width="20.7109375" style="1" customWidth="1"/>
    <col min="22" max="23" width="20.7109375" style="1" hidden="1" customWidth="1"/>
    <col min="24" max="29" width="20.7109375" style="1" customWidth="1"/>
    <col min="30" max="31" width="20.7109375" style="1" hidden="1" customWidth="1"/>
    <col min="32" max="32" width="20.7109375" style="1" customWidth="1"/>
    <col min="33" max="16384" width="9.140625" style="1"/>
  </cols>
  <sheetData>
    <row r="1" spans="1:32" ht="12.75" x14ac:dyDescent="0.2">
      <c r="A1" s="512" t="s">
        <v>183</v>
      </c>
      <c r="B1" s="512"/>
      <c r="C1" s="512"/>
      <c r="D1" s="512"/>
      <c r="E1" s="512"/>
      <c r="F1" s="512"/>
      <c r="G1" s="512"/>
      <c r="H1" s="512"/>
      <c r="I1" s="512"/>
      <c r="J1" s="512"/>
      <c r="K1" s="512"/>
      <c r="L1" s="512"/>
      <c r="M1" s="512"/>
      <c r="N1" s="512"/>
      <c r="O1" s="512"/>
      <c r="P1" s="512"/>
      <c r="Q1" s="512"/>
      <c r="R1" s="512"/>
      <c r="S1" s="512"/>
      <c r="T1" s="512"/>
      <c r="U1" s="512"/>
      <c r="V1" s="512"/>
      <c r="W1" s="512"/>
      <c r="X1" s="512"/>
      <c r="Y1" s="512"/>
      <c r="Z1" s="512"/>
      <c r="AA1" s="512"/>
      <c r="AB1" s="512"/>
      <c r="AC1" s="512"/>
      <c r="AD1" s="512"/>
      <c r="AE1" s="512"/>
      <c r="AF1" s="512"/>
    </row>
    <row r="2" spans="1:32" hidden="1" x14ac:dyDescent="0.2"/>
    <row r="3" spans="1:32" hidden="1" x14ac:dyDescent="0.2"/>
    <row r="4" spans="1:32" hidden="1" x14ac:dyDescent="0.2"/>
    <row r="6" spans="1:32" s="2" customFormat="1" x14ac:dyDescent="0.2">
      <c r="A6" s="504" t="s">
        <v>0</v>
      </c>
      <c r="B6" s="505"/>
      <c r="C6" s="505"/>
      <c r="D6" s="505"/>
      <c r="E6" s="505"/>
      <c r="F6" s="506"/>
      <c r="G6" s="496" t="s">
        <v>2</v>
      </c>
      <c r="H6" s="46"/>
      <c r="I6" s="504" t="s">
        <v>69</v>
      </c>
      <c r="J6" s="505"/>
      <c r="K6" s="505"/>
      <c r="L6" s="505"/>
      <c r="M6" s="505"/>
      <c r="N6" s="505"/>
      <c r="O6" s="505"/>
      <c r="P6" s="506"/>
      <c r="Q6" s="518" t="s">
        <v>72</v>
      </c>
      <c r="R6" s="533"/>
      <c r="S6" s="533"/>
      <c r="T6" s="533"/>
      <c r="U6" s="533"/>
      <c r="V6" s="533"/>
      <c r="W6" s="533"/>
      <c r="X6" s="533"/>
      <c r="Y6" s="533"/>
      <c r="Z6" s="533"/>
      <c r="AA6" s="533"/>
      <c r="AB6" s="533"/>
      <c r="AC6" s="533"/>
      <c r="AD6" s="533"/>
      <c r="AE6" s="533"/>
      <c r="AF6" s="521"/>
    </row>
    <row r="7" spans="1:32" s="2" customFormat="1" x14ac:dyDescent="0.2">
      <c r="A7" s="507"/>
      <c r="B7" s="508"/>
      <c r="C7" s="508"/>
      <c r="D7" s="508"/>
      <c r="E7" s="508"/>
      <c r="F7" s="509"/>
      <c r="G7" s="497"/>
      <c r="H7" s="11"/>
      <c r="I7" s="491"/>
      <c r="J7" s="510"/>
      <c r="K7" s="510"/>
      <c r="L7" s="510"/>
      <c r="M7" s="510"/>
      <c r="N7" s="510"/>
      <c r="O7" s="510"/>
      <c r="P7" s="492"/>
      <c r="Q7" s="518" t="s">
        <v>70</v>
      </c>
      <c r="R7" s="533"/>
      <c r="S7" s="533"/>
      <c r="T7" s="533"/>
      <c r="U7" s="533"/>
      <c r="V7" s="533"/>
      <c r="W7" s="533"/>
      <c r="X7" s="521"/>
      <c r="Y7" s="518" t="s">
        <v>71</v>
      </c>
      <c r="Z7" s="533"/>
      <c r="AA7" s="533"/>
      <c r="AB7" s="533"/>
      <c r="AC7" s="533"/>
      <c r="AD7" s="533"/>
      <c r="AE7" s="533"/>
      <c r="AF7" s="521"/>
    </row>
    <row r="8" spans="1:32" s="2" customFormat="1" x14ac:dyDescent="0.2">
      <c r="A8" s="507"/>
      <c r="B8" s="508"/>
      <c r="C8" s="508"/>
      <c r="D8" s="508"/>
      <c r="E8" s="508"/>
      <c r="F8" s="509"/>
      <c r="G8" s="497"/>
      <c r="H8" s="47"/>
      <c r="I8" s="497" t="s">
        <v>3</v>
      </c>
      <c r="J8" s="491" t="s">
        <v>4</v>
      </c>
      <c r="K8" s="492"/>
      <c r="L8" s="491" t="s">
        <v>7</v>
      </c>
      <c r="M8" s="492"/>
      <c r="N8" s="518" t="s">
        <v>391</v>
      </c>
      <c r="O8" s="521"/>
      <c r="P8" s="496" t="s">
        <v>68</v>
      </c>
      <c r="Q8" s="497" t="s">
        <v>3</v>
      </c>
      <c r="R8" s="491" t="s">
        <v>4</v>
      </c>
      <c r="S8" s="492"/>
      <c r="T8" s="491" t="s">
        <v>7</v>
      </c>
      <c r="U8" s="492"/>
      <c r="V8" s="518" t="s">
        <v>391</v>
      </c>
      <c r="W8" s="521"/>
      <c r="X8" s="497" t="s">
        <v>68</v>
      </c>
      <c r="Y8" s="497" t="s">
        <v>3</v>
      </c>
      <c r="Z8" s="491" t="s">
        <v>4</v>
      </c>
      <c r="AA8" s="492"/>
      <c r="AB8" s="491" t="s">
        <v>7</v>
      </c>
      <c r="AC8" s="492"/>
      <c r="AD8" s="518" t="s">
        <v>391</v>
      </c>
      <c r="AE8" s="521"/>
      <c r="AF8" s="497" t="s">
        <v>68</v>
      </c>
    </row>
    <row r="9" spans="1:32" s="2" customFormat="1" x14ac:dyDescent="0.2">
      <c r="A9" s="507"/>
      <c r="B9" s="508"/>
      <c r="C9" s="508"/>
      <c r="D9" s="508"/>
      <c r="E9" s="508"/>
      <c r="F9" s="509"/>
      <c r="G9" s="498"/>
      <c r="H9" s="44"/>
      <c r="I9" s="498"/>
      <c r="J9" s="8" t="s">
        <v>5</v>
      </c>
      <c r="K9" s="8" t="s">
        <v>6</v>
      </c>
      <c r="L9" s="8" t="s">
        <v>5</v>
      </c>
      <c r="M9" s="8" t="s">
        <v>6</v>
      </c>
      <c r="N9" s="8" t="s">
        <v>5</v>
      </c>
      <c r="O9" s="8" t="s">
        <v>6</v>
      </c>
      <c r="P9" s="498"/>
      <c r="Q9" s="498"/>
      <c r="R9" s="8" t="s">
        <v>5</v>
      </c>
      <c r="S9" s="8" t="s">
        <v>6</v>
      </c>
      <c r="T9" s="8" t="s">
        <v>5</v>
      </c>
      <c r="U9" s="8" t="s">
        <v>6</v>
      </c>
      <c r="V9" s="8" t="s">
        <v>5</v>
      </c>
      <c r="W9" s="8" t="s">
        <v>6</v>
      </c>
      <c r="X9" s="498"/>
      <c r="Y9" s="498"/>
      <c r="Z9" s="8" t="s">
        <v>5</v>
      </c>
      <c r="AA9" s="8" t="s">
        <v>6</v>
      </c>
      <c r="AB9" s="8" t="s">
        <v>5</v>
      </c>
      <c r="AC9" s="8" t="s">
        <v>6</v>
      </c>
      <c r="AD9" s="8" t="s">
        <v>5</v>
      </c>
      <c r="AE9" s="8" t="s">
        <v>6</v>
      </c>
      <c r="AF9" s="498"/>
    </row>
    <row r="10" spans="1:32" x14ac:dyDescent="0.2">
      <c r="A10" s="171" t="s">
        <v>8</v>
      </c>
      <c r="B10" s="172"/>
      <c r="C10" s="172"/>
      <c r="D10" s="172"/>
      <c r="E10" s="172"/>
      <c r="F10" s="173"/>
      <c r="G10" s="460" t="s">
        <v>1</v>
      </c>
      <c r="H10" s="18"/>
      <c r="I10" s="29">
        <f t="shared" ref="I10:O10" si="0">SUM(I11,I26,I55,I65)</f>
        <v>0</v>
      </c>
      <c r="J10" s="29">
        <f t="shared" si="0"/>
        <v>0</v>
      </c>
      <c r="K10" s="29">
        <f t="shared" si="0"/>
        <v>0</v>
      </c>
      <c r="L10" s="29">
        <f t="shared" si="0"/>
        <v>0</v>
      </c>
      <c r="M10" s="29">
        <f t="shared" si="0"/>
        <v>0</v>
      </c>
      <c r="N10" s="29">
        <f t="shared" si="0"/>
        <v>0</v>
      </c>
      <c r="O10" s="29">
        <f t="shared" si="0"/>
        <v>0</v>
      </c>
      <c r="P10" s="29">
        <f>SUM(I10,K10,M10,O10)</f>
        <v>0</v>
      </c>
      <c r="Q10" s="29">
        <f t="shared" ref="Q10:W10" si="1">SUM(Q11,Q26,Q55,Q65)</f>
        <v>0</v>
      </c>
      <c r="R10" s="29">
        <f t="shared" si="1"/>
        <v>0</v>
      </c>
      <c r="S10" s="29">
        <f t="shared" si="1"/>
        <v>0</v>
      </c>
      <c r="T10" s="29">
        <f t="shared" si="1"/>
        <v>0</v>
      </c>
      <c r="U10" s="29">
        <f t="shared" si="1"/>
        <v>0</v>
      </c>
      <c r="V10" s="29">
        <f t="shared" si="1"/>
        <v>0</v>
      </c>
      <c r="W10" s="29">
        <f t="shared" si="1"/>
        <v>0</v>
      </c>
      <c r="X10" s="29">
        <f>SUM(Q10,S10,U10,W10)</f>
        <v>0</v>
      </c>
      <c r="Y10" s="29">
        <f t="shared" ref="Y10:AE10" si="2">SUM(Y11,Y26,Y55,Y65)</f>
        <v>0</v>
      </c>
      <c r="Z10" s="29">
        <f t="shared" si="2"/>
        <v>0</v>
      </c>
      <c r="AA10" s="29">
        <f t="shared" si="2"/>
        <v>0</v>
      </c>
      <c r="AB10" s="29">
        <f t="shared" si="2"/>
        <v>0</v>
      </c>
      <c r="AC10" s="29">
        <f t="shared" si="2"/>
        <v>0</v>
      </c>
      <c r="AD10" s="29">
        <f t="shared" si="2"/>
        <v>0</v>
      </c>
      <c r="AE10" s="29">
        <f t="shared" si="2"/>
        <v>0</v>
      </c>
      <c r="AF10" s="29">
        <f>SUM(Y10,AA10,AC10,AE10)</f>
        <v>0</v>
      </c>
    </row>
    <row r="11" spans="1:32" x14ac:dyDescent="0.2">
      <c r="A11" s="175"/>
      <c r="B11" s="176" t="s">
        <v>9</v>
      </c>
      <c r="C11" s="177" t="s">
        <v>10</v>
      </c>
      <c r="D11" s="106"/>
      <c r="E11" s="178"/>
      <c r="F11" s="156"/>
      <c r="G11" s="460" t="s">
        <v>73</v>
      </c>
      <c r="H11" s="18"/>
      <c r="I11" s="29">
        <f>SUM(I12,I14,I19,I20,I23)</f>
        <v>0</v>
      </c>
      <c r="J11" s="29">
        <f t="shared" ref="J11:AC11" si="3">SUM(J12,J14,J19,J20,J23)</f>
        <v>0</v>
      </c>
      <c r="K11" s="29">
        <f t="shared" si="3"/>
        <v>0</v>
      </c>
      <c r="L11" s="29">
        <f t="shared" si="3"/>
        <v>0</v>
      </c>
      <c r="M11" s="29">
        <f t="shared" si="3"/>
        <v>0</v>
      </c>
      <c r="N11" s="29">
        <f>SUM(N12,N14,N19,N20,N23)</f>
        <v>0</v>
      </c>
      <c r="O11" s="29">
        <f>SUM(O12,O14,O19,O20,O23)</f>
        <v>0</v>
      </c>
      <c r="P11" s="29">
        <f t="shared" ref="P11:P74" si="4">SUM(I11,K11,M11,O11)</f>
        <v>0</v>
      </c>
      <c r="Q11" s="29">
        <f t="shared" si="3"/>
        <v>0</v>
      </c>
      <c r="R11" s="29">
        <f t="shared" si="3"/>
        <v>0</v>
      </c>
      <c r="S11" s="29">
        <f t="shared" si="3"/>
        <v>0</v>
      </c>
      <c r="T11" s="29">
        <f t="shared" si="3"/>
        <v>0</v>
      </c>
      <c r="U11" s="29">
        <f t="shared" si="3"/>
        <v>0</v>
      </c>
      <c r="V11" s="29">
        <f>SUM(V12,V14,V19,V20,V23)</f>
        <v>0</v>
      </c>
      <c r="W11" s="29">
        <f>SUM(W12,W14,W19,W20,W23)</f>
        <v>0</v>
      </c>
      <c r="X11" s="29">
        <f t="shared" ref="X11:X74" si="5">SUM(Q11,S11,U11,W11)</f>
        <v>0</v>
      </c>
      <c r="Y11" s="29">
        <f t="shared" si="3"/>
        <v>0</v>
      </c>
      <c r="Z11" s="29">
        <f t="shared" si="3"/>
        <v>0</v>
      </c>
      <c r="AA11" s="29">
        <f t="shared" si="3"/>
        <v>0</v>
      </c>
      <c r="AB11" s="29">
        <f t="shared" si="3"/>
        <v>0</v>
      </c>
      <c r="AC11" s="29">
        <f t="shared" si="3"/>
        <v>0</v>
      </c>
      <c r="AD11" s="29">
        <f>SUM(AD12,AD14,AD19,AD20,AD23)</f>
        <v>0</v>
      </c>
      <c r="AE11" s="29">
        <f>SUM(AE12,AE14,AE19,AE20,AE23)</f>
        <v>0</v>
      </c>
      <c r="AF11" s="29">
        <f t="shared" ref="AF11:AF74" si="6">SUM(Y11,AA11,AC11,AE11)</f>
        <v>0</v>
      </c>
    </row>
    <row r="12" spans="1:32" x14ac:dyDescent="0.2">
      <c r="A12" s="174"/>
      <c r="B12" s="3"/>
      <c r="C12" s="154" t="s">
        <v>11</v>
      </c>
      <c r="D12" s="157" t="s">
        <v>12</v>
      </c>
      <c r="E12" s="155"/>
      <c r="F12" s="156"/>
      <c r="G12" s="460" t="s">
        <v>786</v>
      </c>
      <c r="H12" s="18"/>
      <c r="I12" s="29">
        <f>SUM(I13)</f>
        <v>0</v>
      </c>
      <c r="J12" s="29">
        <f t="shared" ref="J12:AE12" si="7">SUM(J13)</f>
        <v>0</v>
      </c>
      <c r="K12" s="29">
        <f t="shared" si="7"/>
        <v>0</v>
      </c>
      <c r="L12" s="29">
        <f t="shared" si="7"/>
        <v>0</v>
      </c>
      <c r="M12" s="29">
        <f t="shared" si="7"/>
        <v>0</v>
      </c>
      <c r="N12" s="29">
        <f t="shared" si="7"/>
        <v>0</v>
      </c>
      <c r="O12" s="29">
        <f t="shared" si="7"/>
        <v>0</v>
      </c>
      <c r="P12" s="29">
        <f t="shared" si="4"/>
        <v>0</v>
      </c>
      <c r="Q12" s="29">
        <f t="shared" si="7"/>
        <v>0</v>
      </c>
      <c r="R12" s="29">
        <f t="shared" si="7"/>
        <v>0</v>
      </c>
      <c r="S12" s="29">
        <f t="shared" si="7"/>
        <v>0</v>
      </c>
      <c r="T12" s="29">
        <f t="shared" si="7"/>
        <v>0</v>
      </c>
      <c r="U12" s="29">
        <f t="shared" si="7"/>
        <v>0</v>
      </c>
      <c r="V12" s="29">
        <f t="shared" si="7"/>
        <v>0</v>
      </c>
      <c r="W12" s="29">
        <f t="shared" si="7"/>
        <v>0</v>
      </c>
      <c r="X12" s="29">
        <f t="shared" si="5"/>
        <v>0</v>
      </c>
      <c r="Y12" s="29">
        <f t="shared" si="7"/>
        <v>0</v>
      </c>
      <c r="Z12" s="29">
        <f t="shared" si="7"/>
        <v>0</v>
      </c>
      <c r="AA12" s="29">
        <f t="shared" si="7"/>
        <v>0</v>
      </c>
      <c r="AB12" s="29">
        <f t="shared" si="7"/>
        <v>0</v>
      </c>
      <c r="AC12" s="29">
        <f t="shared" si="7"/>
        <v>0</v>
      </c>
      <c r="AD12" s="29">
        <f t="shared" si="7"/>
        <v>0</v>
      </c>
      <c r="AE12" s="29">
        <f t="shared" si="7"/>
        <v>0</v>
      </c>
      <c r="AF12" s="29">
        <f t="shared" si="6"/>
        <v>0</v>
      </c>
    </row>
    <row r="13" spans="1:32" x14ac:dyDescent="0.2">
      <c r="A13" s="175"/>
      <c r="B13" s="179"/>
      <c r="C13" s="180"/>
      <c r="D13" s="181" t="s">
        <v>13</v>
      </c>
      <c r="E13" s="182" t="s">
        <v>14</v>
      </c>
      <c r="F13" s="156"/>
      <c r="G13" s="460" t="s">
        <v>74</v>
      </c>
      <c r="H13" s="18"/>
      <c r="I13" s="61"/>
      <c r="J13" s="61"/>
      <c r="K13" s="61"/>
      <c r="L13" s="61"/>
      <c r="M13" s="61"/>
      <c r="N13" s="61"/>
      <c r="O13" s="61"/>
      <c r="P13" s="29">
        <f t="shared" si="4"/>
        <v>0</v>
      </c>
      <c r="Q13" s="61"/>
      <c r="R13" s="61"/>
      <c r="S13" s="61"/>
      <c r="T13" s="61"/>
      <c r="U13" s="61"/>
      <c r="V13" s="61"/>
      <c r="W13" s="61"/>
      <c r="X13" s="29">
        <f t="shared" si="5"/>
        <v>0</v>
      </c>
      <c r="Y13" s="61"/>
      <c r="Z13" s="61"/>
      <c r="AA13" s="61"/>
      <c r="AB13" s="61"/>
      <c r="AC13" s="61"/>
      <c r="AD13" s="61"/>
      <c r="AE13" s="61"/>
      <c r="AF13" s="29">
        <f t="shared" si="6"/>
        <v>0</v>
      </c>
    </row>
    <row r="14" spans="1:32" x14ac:dyDescent="0.2">
      <c r="A14" s="174"/>
      <c r="B14" s="155"/>
      <c r="C14" s="39" t="s">
        <v>15</v>
      </c>
      <c r="D14" s="154" t="s">
        <v>16</v>
      </c>
      <c r="E14" s="154"/>
      <c r="F14" s="156"/>
      <c r="G14" s="460" t="s">
        <v>75</v>
      </c>
      <c r="H14" s="18"/>
      <c r="I14" s="29">
        <f>SUM(I15,I18)</f>
        <v>0</v>
      </c>
      <c r="J14" s="29">
        <f t="shared" ref="J14:AC14" si="8">SUM(J15,J18)</f>
        <v>0</v>
      </c>
      <c r="K14" s="29">
        <f t="shared" si="8"/>
        <v>0</v>
      </c>
      <c r="L14" s="29">
        <f t="shared" si="8"/>
        <v>0</v>
      </c>
      <c r="M14" s="29">
        <f t="shared" si="8"/>
        <v>0</v>
      </c>
      <c r="N14" s="29">
        <f>SUM(N15,N18)</f>
        <v>0</v>
      </c>
      <c r="O14" s="29">
        <f>SUM(O15,O18)</f>
        <v>0</v>
      </c>
      <c r="P14" s="29">
        <f t="shared" si="4"/>
        <v>0</v>
      </c>
      <c r="Q14" s="29">
        <f t="shared" si="8"/>
        <v>0</v>
      </c>
      <c r="R14" s="29">
        <f t="shared" si="8"/>
        <v>0</v>
      </c>
      <c r="S14" s="29">
        <f t="shared" si="8"/>
        <v>0</v>
      </c>
      <c r="T14" s="29">
        <f t="shared" si="8"/>
        <v>0</v>
      </c>
      <c r="U14" s="29">
        <f t="shared" si="8"/>
        <v>0</v>
      </c>
      <c r="V14" s="29">
        <f>SUM(V15,V18)</f>
        <v>0</v>
      </c>
      <c r="W14" s="29">
        <f>SUM(W15,W18)</f>
        <v>0</v>
      </c>
      <c r="X14" s="29">
        <f t="shared" si="5"/>
        <v>0</v>
      </c>
      <c r="Y14" s="29">
        <f t="shared" si="8"/>
        <v>0</v>
      </c>
      <c r="Z14" s="29">
        <f t="shared" si="8"/>
        <v>0</v>
      </c>
      <c r="AA14" s="29">
        <f t="shared" si="8"/>
        <v>0</v>
      </c>
      <c r="AB14" s="29">
        <f t="shared" si="8"/>
        <v>0</v>
      </c>
      <c r="AC14" s="29">
        <f t="shared" si="8"/>
        <v>0</v>
      </c>
      <c r="AD14" s="29">
        <f>SUM(AD15,AD18)</f>
        <v>0</v>
      </c>
      <c r="AE14" s="29">
        <f>SUM(AE15,AE18)</f>
        <v>0</v>
      </c>
      <c r="AF14" s="29">
        <f t="shared" si="6"/>
        <v>0</v>
      </c>
    </row>
    <row r="15" spans="1:32" x14ac:dyDescent="0.2">
      <c r="A15" s="175"/>
      <c r="B15" s="179"/>
      <c r="C15" s="180"/>
      <c r="D15" s="124" t="s">
        <v>17</v>
      </c>
      <c r="E15" s="183" t="s">
        <v>18</v>
      </c>
      <c r="F15" s="156"/>
      <c r="G15" s="460" t="s">
        <v>76</v>
      </c>
      <c r="H15" s="18"/>
      <c r="I15" s="29">
        <f>SUM(I16,I17)</f>
        <v>0</v>
      </c>
      <c r="J15" s="29">
        <f t="shared" ref="J15:AC15" si="9">SUM(J16,J17)</f>
        <v>0</v>
      </c>
      <c r="K15" s="29">
        <f t="shared" si="9"/>
        <v>0</v>
      </c>
      <c r="L15" s="29">
        <f t="shared" si="9"/>
        <v>0</v>
      </c>
      <c r="M15" s="29">
        <f t="shared" si="9"/>
        <v>0</v>
      </c>
      <c r="N15" s="29">
        <f>SUM(N16,N17)</f>
        <v>0</v>
      </c>
      <c r="O15" s="29">
        <f>SUM(O16,O17)</f>
        <v>0</v>
      </c>
      <c r="P15" s="29">
        <f t="shared" si="4"/>
        <v>0</v>
      </c>
      <c r="Q15" s="29">
        <f t="shared" si="9"/>
        <v>0</v>
      </c>
      <c r="R15" s="29">
        <f t="shared" si="9"/>
        <v>0</v>
      </c>
      <c r="S15" s="29">
        <f t="shared" si="9"/>
        <v>0</v>
      </c>
      <c r="T15" s="29">
        <f t="shared" si="9"/>
        <v>0</v>
      </c>
      <c r="U15" s="29">
        <f t="shared" si="9"/>
        <v>0</v>
      </c>
      <c r="V15" s="29">
        <f>SUM(V16,V17)</f>
        <v>0</v>
      </c>
      <c r="W15" s="29">
        <f>SUM(W16,W17)</f>
        <v>0</v>
      </c>
      <c r="X15" s="29">
        <f t="shared" si="5"/>
        <v>0</v>
      </c>
      <c r="Y15" s="29">
        <f t="shared" si="9"/>
        <v>0</v>
      </c>
      <c r="Z15" s="29">
        <f t="shared" si="9"/>
        <v>0</v>
      </c>
      <c r="AA15" s="29">
        <f t="shared" si="9"/>
        <v>0</v>
      </c>
      <c r="AB15" s="29">
        <f t="shared" si="9"/>
        <v>0</v>
      </c>
      <c r="AC15" s="29">
        <f t="shared" si="9"/>
        <v>0</v>
      </c>
      <c r="AD15" s="29">
        <f>SUM(AD16,AD17)</f>
        <v>0</v>
      </c>
      <c r="AE15" s="29">
        <f>SUM(AE16,AE17)</f>
        <v>0</v>
      </c>
      <c r="AF15" s="29">
        <f t="shared" si="6"/>
        <v>0</v>
      </c>
    </row>
    <row r="16" spans="1:32" x14ac:dyDescent="0.2">
      <c r="A16" s="174"/>
      <c r="B16" s="155"/>
      <c r="C16" s="39"/>
      <c r="D16" s="158" t="s">
        <v>19</v>
      </c>
      <c r="E16" s="154" t="s">
        <v>20</v>
      </c>
      <c r="F16" s="156"/>
      <c r="G16" s="460" t="s">
        <v>77</v>
      </c>
      <c r="H16" s="18"/>
      <c r="I16" s="61"/>
      <c r="J16" s="61"/>
      <c r="K16" s="61"/>
      <c r="L16" s="61"/>
      <c r="M16" s="61"/>
      <c r="N16" s="61"/>
      <c r="O16" s="61"/>
      <c r="P16" s="29">
        <f t="shared" si="4"/>
        <v>0</v>
      </c>
      <c r="Q16" s="61"/>
      <c r="R16" s="61"/>
      <c r="S16" s="61"/>
      <c r="T16" s="61"/>
      <c r="U16" s="61"/>
      <c r="V16" s="61"/>
      <c r="W16" s="61"/>
      <c r="X16" s="29">
        <f t="shared" si="5"/>
        <v>0</v>
      </c>
      <c r="Y16" s="61"/>
      <c r="Z16" s="61"/>
      <c r="AA16" s="61"/>
      <c r="AB16" s="61"/>
      <c r="AC16" s="61"/>
      <c r="AD16" s="61"/>
      <c r="AE16" s="61"/>
      <c r="AF16" s="29">
        <f t="shared" si="6"/>
        <v>0</v>
      </c>
    </row>
    <row r="17" spans="1:32" x14ac:dyDescent="0.2">
      <c r="A17" s="175"/>
      <c r="B17" s="179"/>
      <c r="C17" s="124"/>
      <c r="D17" s="184" t="s">
        <v>21</v>
      </c>
      <c r="E17" s="183" t="s">
        <v>22</v>
      </c>
      <c r="F17" s="156"/>
      <c r="G17" s="460" t="s">
        <v>78</v>
      </c>
      <c r="H17" s="18"/>
      <c r="I17" s="61"/>
      <c r="J17" s="61"/>
      <c r="K17" s="61"/>
      <c r="L17" s="61"/>
      <c r="M17" s="61"/>
      <c r="N17" s="61"/>
      <c r="O17" s="61"/>
      <c r="P17" s="29">
        <f t="shared" si="4"/>
        <v>0</v>
      </c>
      <c r="Q17" s="61"/>
      <c r="R17" s="61"/>
      <c r="S17" s="61"/>
      <c r="T17" s="61"/>
      <c r="U17" s="61"/>
      <c r="V17" s="61"/>
      <c r="W17" s="61"/>
      <c r="X17" s="29">
        <f t="shared" si="5"/>
        <v>0</v>
      </c>
      <c r="Y17" s="61"/>
      <c r="Z17" s="61"/>
      <c r="AA17" s="61"/>
      <c r="AB17" s="61"/>
      <c r="AC17" s="61"/>
      <c r="AD17" s="61"/>
      <c r="AE17" s="61"/>
      <c r="AF17" s="29">
        <f t="shared" si="6"/>
        <v>0</v>
      </c>
    </row>
    <row r="18" spans="1:32" x14ac:dyDescent="0.2">
      <c r="A18" s="174"/>
      <c r="B18" s="155"/>
      <c r="C18" s="154"/>
      <c r="D18" s="39" t="s">
        <v>23</v>
      </c>
      <c r="E18" s="154" t="s">
        <v>24</v>
      </c>
      <c r="F18" s="156"/>
      <c r="G18" s="460" t="s">
        <v>79</v>
      </c>
      <c r="H18" s="18"/>
      <c r="I18" s="61"/>
      <c r="J18" s="61"/>
      <c r="K18" s="61"/>
      <c r="L18" s="61"/>
      <c r="M18" s="61"/>
      <c r="N18" s="61"/>
      <c r="O18" s="61"/>
      <c r="P18" s="29">
        <f t="shared" si="4"/>
        <v>0</v>
      </c>
      <c r="Q18" s="61"/>
      <c r="R18" s="61"/>
      <c r="S18" s="61"/>
      <c r="T18" s="61"/>
      <c r="U18" s="61"/>
      <c r="V18" s="61"/>
      <c r="W18" s="61"/>
      <c r="X18" s="29">
        <f t="shared" si="5"/>
        <v>0</v>
      </c>
      <c r="Y18" s="61"/>
      <c r="Z18" s="61"/>
      <c r="AA18" s="61"/>
      <c r="AB18" s="61"/>
      <c r="AC18" s="61"/>
      <c r="AD18" s="61"/>
      <c r="AE18" s="61"/>
      <c r="AF18" s="29">
        <f t="shared" si="6"/>
        <v>0</v>
      </c>
    </row>
    <row r="19" spans="1:32" x14ac:dyDescent="0.2">
      <c r="A19" s="175"/>
      <c r="B19" s="179"/>
      <c r="C19" s="180" t="s">
        <v>25</v>
      </c>
      <c r="D19" s="180" t="s">
        <v>26</v>
      </c>
      <c r="E19" s="183"/>
      <c r="F19" s="159"/>
      <c r="G19" s="460" t="s">
        <v>80</v>
      </c>
      <c r="H19" s="18"/>
      <c r="I19" s="61"/>
      <c r="J19" s="61"/>
      <c r="K19" s="61"/>
      <c r="L19" s="61"/>
      <c r="M19" s="61"/>
      <c r="N19" s="61"/>
      <c r="O19" s="61"/>
      <c r="P19" s="29">
        <f t="shared" si="4"/>
        <v>0</v>
      </c>
      <c r="Q19" s="61"/>
      <c r="R19" s="61"/>
      <c r="S19" s="61"/>
      <c r="T19" s="61"/>
      <c r="U19" s="61"/>
      <c r="V19" s="61"/>
      <c r="W19" s="61"/>
      <c r="X19" s="29">
        <f t="shared" si="5"/>
        <v>0</v>
      </c>
      <c r="Y19" s="61"/>
      <c r="Z19" s="61"/>
      <c r="AA19" s="61"/>
      <c r="AB19" s="61"/>
      <c r="AC19" s="61"/>
      <c r="AD19" s="61"/>
      <c r="AE19" s="61"/>
      <c r="AF19" s="29">
        <f t="shared" si="6"/>
        <v>0</v>
      </c>
    </row>
    <row r="20" spans="1:32" x14ac:dyDescent="0.2">
      <c r="A20" s="174"/>
      <c r="B20" s="155"/>
      <c r="C20" s="39" t="s">
        <v>27</v>
      </c>
      <c r="D20" s="525" t="s">
        <v>28</v>
      </c>
      <c r="E20" s="526"/>
      <c r="F20" s="527"/>
      <c r="G20" s="460" t="s">
        <v>81</v>
      </c>
      <c r="H20" s="18"/>
      <c r="I20" s="29">
        <f>SUM(I21,I22)</f>
        <v>0</v>
      </c>
      <c r="J20" s="29">
        <f t="shared" ref="J20:AC20" si="10">SUM(J21,J22)</f>
        <v>0</v>
      </c>
      <c r="K20" s="29">
        <f t="shared" si="10"/>
        <v>0</v>
      </c>
      <c r="L20" s="29">
        <f t="shared" si="10"/>
        <v>0</v>
      </c>
      <c r="M20" s="29">
        <f t="shared" si="10"/>
        <v>0</v>
      </c>
      <c r="N20" s="29">
        <f>SUM(N21,N22)</f>
        <v>0</v>
      </c>
      <c r="O20" s="29">
        <f>SUM(O21,O22)</f>
        <v>0</v>
      </c>
      <c r="P20" s="29">
        <f t="shared" si="4"/>
        <v>0</v>
      </c>
      <c r="Q20" s="29">
        <f t="shared" si="10"/>
        <v>0</v>
      </c>
      <c r="R20" s="29">
        <f t="shared" si="10"/>
        <v>0</v>
      </c>
      <c r="S20" s="29">
        <f t="shared" si="10"/>
        <v>0</v>
      </c>
      <c r="T20" s="29">
        <f t="shared" si="10"/>
        <v>0</v>
      </c>
      <c r="U20" s="29">
        <f t="shared" si="10"/>
        <v>0</v>
      </c>
      <c r="V20" s="29">
        <f>SUM(V21,V22)</f>
        <v>0</v>
      </c>
      <c r="W20" s="29">
        <f>SUM(W21,W22)</f>
        <v>0</v>
      </c>
      <c r="X20" s="29">
        <f t="shared" si="5"/>
        <v>0</v>
      </c>
      <c r="Y20" s="29">
        <f t="shared" si="10"/>
        <v>0</v>
      </c>
      <c r="Z20" s="29">
        <f t="shared" si="10"/>
        <v>0</v>
      </c>
      <c r="AA20" s="29">
        <f t="shared" si="10"/>
        <v>0</v>
      </c>
      <c r="AB20" s="29">
        <f t="shared" si="10"/>
        <v>0</v>
      </c>
      <c r="AC20" s="29">
        <f t="shared" si="10"/>
        <v>0</v>
      </c>
      <c r="AD20" s="29">
        <f>SUM(AD21,AD22)</f>
        <v>0</v>
      </c>
      <c r="AE20" s="29">
        <f>SUM(AE21,AE22)</f>
        <v>0</v>
      </c>
      <c r="AF20" s="29">
        <f t="shared" si="6"/>
        <v>0</v>
      </c>
    </row>
    <row r="21" spans="1:32" x14ac:dyDescent="0.2">
      <c r="A21" s="175"/>
      <c r="B21" s="179"/>
      <c r="C21" s="180"/>
      <c r="D21" s="184" t="s">
        <v>19</v>
      </c>
      <c r="E21" s="183" t="s">
        <v>29</v>
      </c>
      <c r="F21" s="159"/>
      <c r="G21" s="460" t="s">
        <v>82</v>
      </c>
      <c r="H21" s="18"/>
      <c r="I21" s="61"/>
      <c r="J21" s="61"/>
      <c r="K21" s="61"/>
      <c r="L21" s="61"/>
      <c r="M21" s="61"/>
      <c r="N21" s="61"/>
      <c r="O21" s="61"/>
      <c r="P21" s="29">
        <f t="shared" si="4"/>
        <v>0</v>
      </c>
      <c r="Q21" s="61"/>
      <c r="R21" s="61"/>
      <c r="S21" s="61"/>
      <c r="T21" s="61"/>
      <c r="U21" s="61"/>
      <c r="V21" s="61"/>
      <c r="W21" s="61"/>
      <c r="X21" s="29">
        <f t="shared" si="5"/>
        <v>0</v>
      </c>
      <c r="Y21" s="61"/>
      <c r="Z21" s="61"/>
      <c r="AA21" s="61"/>
      <c r="AB21" s="61"/>
      <c r="AC21" s="61"/>
      <c r="AD21" s="61"/>
      <c r="AE21" s="61"/>
      <c r="AF21" s="29">
        <f t="shared" si="6"/>
        <v>0</v>
      </c>
    </row>
    <row r="22" spans="1:32" x14ac:dyDescent="0.2">
      <c r="A22" s="174"/>
      <c r="B22" s="155"/>
      <c r="C22" s="154"/>
      <c r="D22" s="158" t="s">
        <v>21</v>
      </c>
      <c r="E22" s="154" t="s">
        <v>30</v>
      </c>
      <c r="F22" s="159"/>
      <c r="G22" s="460" t="s">
        <v>83</v>
      </c>
      <c r="H22" s="18"/>
      <c r="I22" s="61"/>
      <c r="J22" s="61"/>
      <c r="K22" s="61"/>
      <c r="L22" s="61"/>
      <c r="M22" s="61"/>
      <c r="N22" s="61"/>
      <c r="O22" s="61"/>
      <c r="P22" s="29">
        <f t="shared" si="4"/>
        <v>0</v>
      </c>
      <c r="Q22" s="61"/>
      <c r="R22" s="61"/>
      <c r="S22" s="61"/>
      <c r="T22" s="61"/>
      <c r="U22" s="61"/>
      <c r="V22" s="61"/>
      <c r="W22" s="61"/>
      <c r="X22" s="29">
        <f t="shared" si="5"/>
        <v>0</v>
      </c>
      <c r="Y22" s="61"/>
      <c r="Z22" s="61"/>
      <c r="AA22" s="61"/>
      <c r="AB22" s="61"/>
      <c r="AC22" s="61"/>
      <c r="AD22" s="61"/>
      <c r="AE22" s="61"/>
      <c r="AF22" s="29">
        <f t="shared" si="6"/>
        <v>0</v>
      </c>
    </row>
    <row r="23" spans="1:32" x14ac:dyDescent="0.2">
      <c r="A23" s="175"/>
      <c r="B23" s="179"/>
      <c r="C23" s="124" t="s">
        <v>31</v>
      </c>
      <c r="D23" s="522" t="s">
        <v>32</v>
      </c>
      <c r="E23" s="523"/>
      <c r="F23" s="524"/>
      <c r="G23" s="460" t="s">
        <v>84</v>
      </c>
      <c r="H23" s="18"/>
      <c r="I23" s="29">
        <f>SUM(I24,I25,)</f>
        <v>0</v>
      </c>
      <c r="J23" s="29">
        <f t="shared" ref="J23:AC23" si="11">SUM(J24,J25,)</f>
        <v>0</v>
      </c>
      <c r="K23" s="29">
        <f t="shared" si="11"/>
        <v>0</v>
      </c>
      <c r="L23" s="29">
        <f t="shared" si="11"/>
        <v>0</v>
      </c>
      <c r="M23" s="29">
        <f t="shared" si="11"/>
        <v>0</v>
      </c>
      <c r="N23" s="29">
        <f>SUM(N24,N25,)</f>
        <v>0</v>
      </c>
      <c r="O23" s="29">
        <f>SUM(O24,O25,)</f>
        <v>0</v>
      </c>
      <c r="P23" s="29">
        <f t="shared" si="4"/>
        <v>0</v>
      </c>
      <c r="Q23" s="29">
        <f t="shared" si="11"/>
        <v>0</v>
      </c>
      <c r="R23" s="29">
        <f t="shared" si="11"/>
        <v>0</v>
      </c>
      <c r="S23" s="29">
        <f t="shared" si="11"/>
        <v>0</v>
      </c>
      <c r="T23" s="29">
        <f t="shared" si="11"/>
        <v>0</v>
      </c>
      <c r="U23" s="29">
        <f t="shared" si="11"/>
        <v>0</v>
      </c>
      <c r="V23" s="29">
        <f>SUM(V24,V25,)</f>
        <v>0</v>
      </c>
      <c r="W23" s="29">
        <f>SUM(W24,W25,)</f>
        <v>0</v>
      </c>
      <c r="X23" s="29">
        <f t="shared" si="5"/>
        <v>0</v>
      </c>
      <c r="Y23" s="29">
        <f t="shared" si="11"/>
        <v>0</v>
      </c>
      <c r="Z23" s="29">
        <f t="shared" si="11"/>
        <v>0</v>
      </c>
      <c r="AA23" s="29">
        <f t="shared" si="11"/>
        <v>0</v>
      </c>
      <c r="AB23" s="29">
        <f t="shared" si="11"/>
        <v>0</v>
      </c>
      <c r="AC23" s="29">
        <f t="shared" si="11"/>
        <v>0</v>
      </c>
      <c r="AD23" s="29">
        <f>SUM(AD24,AD25,)</f>
        <v>0</v>
      </c>
      <c r="AE23" s="29">
        <f>SUM(AE24,AE25,)</f>
        <v>0</v>
      </c>
      <c r="AF23" s="29">
        <f t="shared" si="6"/>
        <v>0</v>
      </c>
    </row>
    <row r="24" spans="1:32" x14ac:dyDescent="0.2">
      <c r="A24" s="174"/>
      <c r="B24" s="155"/>
      <c r="C24" s="154"/>
      <c r="D24" s="158" t="s">
        <v>19</v>
      </c>
      <c r="E24" s="154" t="s">
        <v>29</v>
      </c>
      <c r="F24" s="159"/>
      <c r="G24" s="460" t="s">
        <v>85</v>
      </c>
      <c r="H24" s="18"/>
      <c r="I24" s="61"/>
      <c r="J24" s="61"/>
      <c r="K24" s="61"/>
      <c r="L24" s="61"/>
      <c r="M24" s="61"/>
      <c r="N24" s="61"/>
      <c r="O24" s="61"/>
      <c r="P24" s="29">
        <f t="shared" si="4"/>
        <v>0</v>
      </c>
      <c r="Q24" s="61"/>
      <c r="R24" s="61"/>
      <c r="S24" s="61"/>
      <c r="T24" s="61"/>
      <c r="U24" s="61"/>
      <c r="V24" s="61"/>
      <c r="W24" s="61"/>
      <c r="X24" s="29">
        <f t="shared" si="5"/>
        <v>0</v>
      </c>
      <c r="Y24" s="61"/>
      <c r="Z24" s="61"/>
      <c r="AA24" s="61"/>
      <c r="AB24" s="61"/>
      <c r="AC24" s="61"/>
      <c r="AD24" s="61"/>
      <c r="AE24" s="61"/>
      <c r="AF24" s="29">
        <f t="shared" si="6"/>
        <v>0</v>
      </c>
    </row>
    <row r="25" spans="1:32" x14ac:dyDescent="0.2">
      <c r="A25" s="175"/>
      <c r="B25" s="179"/>
      <c r="C25" s="180"/>
      <c r="D25" s="184" t="s">
        <v>21</v>
      </c>
      <c r="E25" s="183" t="s">
        <v>30</v>
      </c>
      <c r="F25" s="159"/>
      <c r="G25" s="460" t="s">
        <v>86</v>
      </c>
      <c r="H25" s="18"/>
      <c r="I25" s="61"/>
      <c r="J25" s="61"/>
      <c r="K25" s="61"/>
      <c r="L25" s="61"/>
      <c r="M25" s="61"/>
      <c r="N25" s="61"/>
      <c r="O25" s="61"/>
      <c r="P25" s="29">
        <f t="shared" si="4"/>
        <v>0</v>
      </c>
      <c r="Q25" s="61"/>
      <c r="R25" s="61"/>
      <c r="S25" s="61"/>
      <c r="T25" s="61"/>
      <c r="U25" s="61"/>
      <c r="V25" s="61"/>
      <c r="W25" s="61"/>
      <c r="X25" s="29">
        <f t="shared" si="5"/>
        <v>0</v>
      </c>
      <c r="Y25" s="61"/>
      <c r="Z25" s="61"/>
      <c r="AA25" s="61"/>
      <c r="AB25" s="61"/>
      <c r="AC25" s="61"/>
      <c r="AD25" s="61"/>
      <c r="AE25" s="61"/>
      <c r="AF25" s="29">
        <f t="shared" si="6"/>
        <v>0</v>
      </c>
    </row>
    <row r="26" spans="1:32" x14ac:dyDescent="0.2">
      <c r="A26" s="174"/>
      <c r="B26" s="3" t="s">
        <v>33</v>
      </c>
      <c r="C26" s="4" t="s">
        <v>34</v>
      </c>
      <c r="D26" s="157"/>
      <c r="E26" s="154"/>
      <c r="F26" s="159"/>
      <c r="G26" s="460" t="s">
        <v>87</v>
      </c>
      <c r="H26" s="18"/>
      <c r="I26" s="79"/>
      <c r="J26" s="29">
        <f t="shared" ref="J26:O26" si="12">SUM(J27,J37,J40,J41,J48)</f>
        <v>0</v>
      </c>
      <c r="K26" s="29">
        <f t="shared" si="12"/>
        <v>0</v>
      </c>
      <c r="L26" s="29">
        <f t="shared" si="12"/>
        <v>0</v>
      </c>
      <c r="M26" s="29">
        <f t="shared" si="12"/>
        <v>0</v>
      </c>
      <c r="N26" s="29">
        <f t="shared" si="12"/>
        <v>0</v>
      </c>
      <c r="O26" s="29">
        <f t="shared" si="12"/>
        <v>0</v>
      </c>
      <c r="P26" s="29">
        <f>SUM(I26,K26,M26,O26)</f>
        <v>0</v>
      </c>
      <c r="Q26" s="29">
        <f>SUM(Q27,Q37,Q40,Q41,Q48)</f>
        <v>0</v>
      </c>
      <c r="R26" s="79"/>
      <c r="S26" s="79"/>
      <c r="T26" s="29">
        <f>SUM(T27,T37,T40,T41,T48)</f>
        <v>0</v>
      </c>
      <c r="U26" s="29">
        <f>SUM(U27,U37,U40,U41,U48)</f>
        <v>0</v>
      </c>
      <c r="V26" s="29">
        <f>SUM(V27,V37,V40,V41,V48)</f>
        <v>0</v>
      </c>
      <c r="W26" s="29">
        <f>SUM(W27,W37,W40,W41,W48)</f>
        <v>0</v>
      </c>
      <c r="X26" s="29">
        <f t="shared" si="5"/>
        <v>0</v>
      </c>
      <c r="Y26" s="29">
        <f>SUM(Y27,Y37,Y40,Y41,Y48)</f>
        <v>0</v>
      </c>
      <c r="Z26" s="79"/>
      <c r="AA26" s="79"/>
      <c r="AB26" s="29">
        <f>SUM(AB27,AB37,AB40,AB41,AB48)</f>
        <v>0</v>
      </c>
      <c r="AC26" s="29">
        <f>SUM(AC27,AC37,AC40,AC41,AC48)</f>
        <v>0</v>
      </c>
      <c r="AD26" s="29">
        <f>SUM(AD27,AD37,AD40,AD41,AD48)</f>
        <v>0</v>
      </c>
      <c r="AE26" s="29">
        <f>SUM(AE27,AE37,AE40,AE41,AE48)</f>
        <v>0</v>
      </c>
      <c r="AF26" s="29">
        <f t="shared" si="6"/>
        <v>0</v>
      </c>
    </row>
    <row r="27" spans="1:32" x14ac:dyDescent="0.2">
      <c r="A27" s="175"/>
      <c r="B27" s="179"/>
      <c r="C27" s="180" t="s">
        <v>11</v>
      </c>
      <c r="D27" s="180" t="s">
        <v>600</v>
      </c>
      <c r="E27" s="183"/>
      <c r="F27" s="159"/>
      <c r="G27" s="460" t="s">
        <v>88</v>
      </c>
      <c r="H27" s="18"/>
      <c r="I27" s="79"/>
      <c r="J27" s="29">
        <f t="shared" ref="J27:O27" si="13">J28+J31+J34</f>
        <v>0</v>
      </c>
      <c r="K27" s="29">
        <f t="shared" si="13"/>
        <v>0</v>
      </c>
      <c r="L27" s="29">
        <f t="shared" si="13"/>
        <v>0</v>
      </c>
      <c r="M27" s="29">
        <f t="shared" si="13"/>
        <v>0</v>
      </c>
      <c r="N27" s="29">
        <f t="shared" si="13"/>
        <v>0</v>
      </c>
      <c r="O27" s="29">
        <f t="shared" si="13"/>
        <v>0</v>
      </c>
      <c r="P27" s="29">
        <f t="shared" si="4"/>
        <v>0</v>
      </c>
      <c r="Q27" s="29">
        <f>Q28+Q31+Q34</f>
        <v>0</v>
      </c>
      <c r="R27" s="79"/>
      <c r="S27" s="79"/>
      <c r="T27" s="29">
        <f>T28+T31+T34</f>
        <v>0</v>
      </c>
      <c r="U27" s="29">
        <f>U28+U31+U34</f>
        <v>0</v>
      </c>
      <c r="V27" s="29">
        <f>V28+V31+V34</f>
        <v>0</v>
      </c>
      <c r="W27" s="29">
        <f>W28+W31+W34</f>
        <v>0</v>
      </c>
      <c r="X27" s="29">
        <f t="shared" si="5"/>
        <v>0</v>
      </c>
      <c r="Y27" s="29">
        <f>Y28+Y31+Y34</f>
        <v>0</v>
      </c>
      <c r="Z27" s="79"/>
      <c r="AA27" s="79"/>
      <c r="AB27" s="29">
        <f>AB28+AB31+AB34</f>
        <v>0</v>
      </c>
      <c r="AC27" s="29">
        <f>AC28+AC31+AC34</f>
        <v>0</v>
      </c>
      <c r="AD27" s="29">
        <f>AD28+AD31+AD34</f>
        <v>0</v>
      </c>
      <c r="AE27" s="29">
        <f>AE28+AE31+AE34</f>
        <v>0</v>
      </c>
      <c r="AF27" s="29">
        <f t="shared" si="6"/>
        <v>0</v>
      </c>
    </row>
    <row r="28" spans="1:32" x14ac:dyDescent="0.2">
      <c r="A28" s="174"/>
      <c r="B28" s="155"/>
      <c r="C28" s="154"/>
      <c r="D28" s="163">
        <v>-1</v>
      </c>
      <c r="E28" s="154" t="s">
        <v>601</v>
      </c>
      <c r="F28" s="159"/>
      <c r="G28" s="460" t="s">
        <v>89</v>
      </c>
      <c r="H28" s="18"/>
      <c r="I28" s="79"/>
      <c r="J28" s="29">
        <f t="shared" ref="J28:O28" si="14">SUM(J29,J30)</f>
        <v>0</v>
      </c>
      <c r="K28" s="29">
        <f t="shared" si="14"/>
        <v>0</v>
      </c>
      <c r="L28" s="29">
        <f t="shared" si="14"/>
        <v>0</v>
      </c>
      <c r="M28" s="29">
        <f t="shared" si="14"/>
        <v>0</v>
      </c>
      <c r="N28" s="29">
        <f t="shared" si="14"/>
        <v>0</v>
      </c>
      <c r="O28" s="29">
        <f t="shared" si="14"/>
        <v>0</v>
      </c>
      <c r="P28" s="29">
        <f t="shared" si="4"/>
        <v>0</v>
      </c>
      <c r="Q28" s="29">
        <f>SUM(Q29,Q30)</f>
        <v>0</v>
      </c>
      <c r="R28" s="79"/>
      <c r="S28" s="79"/>
      <c r="T28" s="29">
        <f>SUM(T29,T30)</f>
        <v>0</v>
      </c>
      <c r="U28" s="29">
        <f>SUM(U29,U30)</f>
        <v>0</v>
      </c>
      <c r="V28" s="29">
        <f>SUM(V29,V30)</f>
        <v>0</v>
      </c>
      <c r="W28" s="29">
        <f>SUM(W29,W30)</f>
        <v>0</v>
      </c>
      <c r="X28" s="29">
        <f t="shared" si="5"/>
        <v>0</v>
      </c>
      <c r="Y28" s="29">
        <f>SUM(Y29,Y30)</f>
        <v>0</v>
      </c>
      <c r="Z28" s="79"/>
      <c r="AA28" s="79"/>
      <c r="AB28" s="29">
        <f>SUM(AB29,AB30)</f>
        <v>0</v>
      </c>
      <c r="AC28" s="29">
        <f>SUM(AC29,AC30)</f>
        <v>0</v>
      </c>
      <c r="AD28" s="29">
        <f>SUM(AD29,AD30)</f>
        <v>0</v>
      </c>
      <c r="AE28" s="29">
        <f>SUM(AE29,AE30)</f>
        <v>0</v>
      </c>
      <c r="AF28" s="29">
        <f t="shared" si="6"/>
        <v>0</v>
      </c>
    </row>
    <row r="29" spans="1:32" x14ac:dyDescent="0.2">
      <c r="A29" s="175"/>
      <c r="B29" s="179"/>
      <c r="C29" s="180"/>
      <c r="D29" s="185" t="s">
        <v>35</v>
      </c>
      <c r="E29" s="183" t="s">
        <v>29</v>
      </c>
      <c r="F29" s="159"/>
      <c r="G29" s="460" t="s">
        <v>90</v>
      </c>
      <c r="H29" s="18"/>
      <c r="I29" s="79"/>
      <c r="J29" s="61"/>
      <c r="K29" s="61"/>
      <c r="L29" s="61"/>
      <c r="M29" s="61"/>
      <c r="N29" s="61"/>
      <c r="O29" s="61"/>
      <c r="P29" s="29">
        <f t="shared" si="4"/>
        <v>0</v>
      </c>
      <c r="Q29" s="62"/>
      <c r="R29" s="303"/>
      <c r="S29" s="303"/>
      <c r="T29" s="61"/>
      <c r="U29" s="61"/>
      <c r="V29" s="61"/>
      <c r="W29" s="61"/>
      <c r="X29" s="29">
        <f t="shared" si="5"/>
        <v>0</v>
      </c>
      <c r="Y29" s="62"/>
      <c r="Z29" s="303"/>
      <c r="AA29" s="303"/>
      <c r="AB29" s="61"/>
      <c r="AC29" s="61"/>
      <c r="AD29" s="61"/>
      <c r="AE29" s="61"/>
      <c r="AF29" s="29">
        <f t="shared" si="6"/>
        <v>0</v>
      </c>
    </row>
    <row r="30" spans="1:32" x14ac:dyDescent="0.2">
      <c r="A30" s="285"/>
      <c r="B30" s="286"/>
      <c r="C30" s="249"/>
      <c r="D30" s="287" t="s">
        <v>36</v>
      </c>
      <c r="E30" s="249" t="s">
        <v>30</v>
      </c>
      <c r="F30" s="159"/>
      <c r="G30" s="460" t="s">
        <v>91</v>
      </c>
      <c r="H30" s="18"/>
      <c r="I30" s="79"/>
      <c r="J30" s="61"/>
      <c r="K30" s="61"/>
      <c r="L30" s="61"/>
      <c r="M30" s="61"/>
      <c r="N30" s="61"/>
      <c r="O30" s="61"/>
      <c r="P30" s="29">
        <f t="shared" si="4"/>
        <v>0</v>
      </c>
      <c r="Q30" s="62"/>
      <c r="R30" s="303"/>
      <c r="S30" s="303"/>
      <c r="T30" s="61"/>
      <c r="U30" s="61"/>
      <c r="V30" s="61"/>
      <c r="W30" s="61"/>
      <c r="X30" s="29">
        <f t="shared" si="5"/>
        <v>0</v>
      </c>
      <c r="Y30" s="62"/>
      <c r="Z30" s="303"/>
      <c r="AA30" s="303"/>
      <c r="AB30" s="61"/>
      <c r="AC30" s="61"/>
      <c r="AD30" s="61"/>
      <c r="AE30" s="61"/>
      <c r="AF30" s="29">
        <f t="shared" si="6"/>
        <v>0</v>
      </c>
    </row>
    <row r="31" spans="1:32" x14ac:dyDescent="0.2">
      <c r="A31" s="175"/>
      <c r="B31" s="179"/>
      <c r="C31" s="180"/>
      <c r="D31" s="306">
        <v>-2</v>
      </c>
      <c r="E31" s="306" t="s">
        <v>37</v>
      </c>
      <c r="F31" s="159"/>
      <c r="G31" s="460" t="s">
        <v>92</v>
      </c>
      <c r="H31" s="18"/>
      <c r="I31" s="79"/>
      <c r="J31" s="29">
        <f t="shared" ref="J31:O31" si="15">SUM(J32,J33)</f>
        <v>0</v>
      </c>
      <c r="K31" s="29">
        <f t="shared" si="15"/>
        <v>0</v>
      </c>
      <c r="L31" s="29">
        <f t="shared" si="15"/>
        <v>0</v>
      </c>
      <c r="M31" s="29">
        <f t="shared" si="15"/>
        <v>0</v>
      </c>
      <c r="N31" s="29">
        <f t="shared" si="15"/>
        <v>0</v>
      </c>
      <c r="O31" s="29">
        <f t="shared" si="15"/>
        <v>0</v>
      </c>
      <c r="P31" s="29">
        <f t="shared" si="4"/>
        <v>0</v>
      </c>
      <c r="Q31" s="29">
        <f t="shared" ref="Q31:W31" si="16">SUM(Q32,Q33)</f>
        <v>0</v>
      </c>
      <c r="R31" s="79"/>
      <c r="S31" s="79"/>
      <c r="T31" s="29">
        <f t="shared" si="16"/>
        <v>0</v>
      </c>
      <c r="U31" s="29">
        <f t="shared" si="16"/>
        <v>0</v>
      </c>
      <c r="V31" s="29">
        <f t="shared" si="16"/>
        <v>0</v>
      </c>
      <c r="W31" s="29">
        <f t="shared" si="16"/>
        <v>0</v>
      </c>
      <c r="X31" s="29">
        <f t="shared" si="5"/>
        <v>0</v>
      </c>
      <c r="Y31" s="29">
        <f t="shared" ref="Y31:AE31" si="17">SUM(Y32,Y33)</f>
        <v>0</v>
      </c>
      <c r="Z31" s="79"/>
      <c r="AA31" s="79"/>
      <c r="AB31" s="29">
        <f t="shared" si="17"/>
        <v>0</v>
      </c>
      <c r="AC31" s="29">
        <f t="shared" si="17"/>
        <v>0</v>
      </c>
      <c r="AD31" s="29">
        <f t="shared" si="17"/>
        <v>0</v>
      </c>
      <c r="AE31" s="29">
        <f t="shared" si="17"/>
        <v>0</v>
      </c>
      <c r="AF31" s="29">
        <f t="shared" si="6"/>
        <v>0</v>
      </c>
    </row>
    <row r="32" spans="1:32" x14ac:dyDescent="0.2">
      <c r="A32" s="175"/>
      <c r="B32" s="179"/>
      <c r="C32" s="180"/>
      <c r="D32" s="185" t="s">
        <v>38</v>
      </c>
      <c r="E32" s="306" t="s">
        <v>29</v>
      </c>
      <c r="F32" s="159"/>
      <c r="G32" s="460" t="s">
        <v>93</v>
      </c>
      <c r="H32" s="18"/>
      <c r="I32" s="79"/>
      <c r="J32" s="61"/>
      <c r="K32" s="61"/>
      <c r="L32" s="61"/>
      <c r="M32" s="61"/>
      <c r="N32" s="61"/>
      <c r="O32" s="61"/>
      <c r="P32" s="29">
        <f t="shared" si="4"/>
        <v>0</v>
      </c>
      <c r="Q32" s="62"/>
      <c r="R32" s="303"/>
      <c r="S32" s="303"/>
      <c r="T32" s="61"/>
      <c r="U32" s="61"/>
      <c r="V32" s="61"/>
      <c r="W32" s="61"/>
      <c r="X32" s="29">
        <f t="shared" si="5"/>
        <v>0</v>
      </c>
      <c r="Y32" s="62"/>
      <c r="Z32" s="303"/>
      <c r="AA32" s="303"/>
      <c r="AB32" s="61"/>
      <c r="AC32" s="61"/>
      <c r="AD32" s="61"/>
      <c r="AE32" s="61"/>
      <c r="AF32" s="29">
        <f t="shared" si="6"/>
        <v>0</v>
      </c>
    </row>
    <row r="33" spans="1:32" x14ac:dyDescent="0.2">
      <c r="A33" s="175"/>
      <c r="B33" s="179"/>
      <c r="C33" s="180"/>
      <c r="D33" s="185" t="s">
        <v>39</v>
      </c>
      <c r="E33" s="306" t="s">
        <v>30</v>
      </c>
      <c r="F33" s="159"/>
      <c r="G33" s="460" t="s">
        <v>94</v>
      </c>
      <c r="H33" s="18"/>
      <c r="I33" s="79"/>
      <c r="J33" s="61"/>
      <c r="K33" s="61"/>
      <c r="L33" s="61"/>
      <c r="M33" s="61"/>
      <c r="N33" s="61"/>
      <c r="O33" s="61"/>
      <c r="P33" s="29">
        <f t="shared" si="4"/>
        <v>0</v>
      </c>
      <c r="Q33" s="62"/>
      <c r="R33" s="303"/>
      <c r="S33" s="303"/>
      <c r="T33" s="61"/>
      <c r="U33" s="61"/>
      <c r="V33" s="61"/>
      <c r="W33" s="61"/>
      <c r="X33" s="29">
        <f t="shared" si="5"/>
        <v>0</v>
      </c>
      <c r="Y33" s="62"/>
      <c r="Z33" s="303"/>
      <c r="AA33" s="303"/>
      <c r="AB33" s="61"/>
      <c r="AC33" s="61"/>
      <c r="AD33" s="61"/>
      <c r="AE33" s="61"/>
      <c r="AF33" s="29">
        <f t="shared" si="6"/>
        <v>0</v>
      </c>
    </row>
    <row r="34" spans="1:32" x14ac:dyDescent="0.2">
      <c r="A34" s="174"/>
      <c r="B34" s="155"/>
      <c r="C34" s="154"/>
      <c r="D34" s="284" t="s">
        <v>60</v>
      </c>
      <c r="E34" s="154" t="s">
        <v>40</v>
      </c>
      <c r="F34" s="159"/>
      <c r="G34" s="460" t="s">
        <v>95</v>
      </c>
      <c r="H34" s="18"/>
      <c r="I34" s="79"/>
      <c r="J34" s="29">
        <f t="shared" ref="J34:O34" si="18">SUM(J35,J36)</f>
        <v>0</v>
      </c>
      <c r="K34" s="29">
        <f t="shared" si="18"/>
        <v>0</v>
      </c>
      <c r="L34" s="29">
        <f t="shared" si="18"/>
        <v>0</v>
      </c>
      <c r="M34" s="29">
        <f t="shared" si="18"/>
        <v>0</v>
      </c>
      <c r="N34" s="29">
        <f t="shared" si="18"/>
        <v>0</v>
      </c>
      <c r="O34" s="29">
        <f t="shared" si="18"/>
        <v>0</v>
      </c>
      <c r="P34" s="29">
        <f t="shared" si="4"/>
        <v>0</v>
      </c>
      <c r="Q34" s="29">
        <f t="shared" ref="Q34:W34" si="19">SUM(Q35,Q36)</f>
        <v>0</v>
      </c>
      <c r="R34" s="79"/>
      <c r="S34" s="79"/>
      <c r="T34" s="29">
        <f t="shared" si="19"/>
        <v>0</v>
      </c>
      <c r="U34" s="29">
        <f t="shared" si="19"/>
        <v>0</v>
      </c>
      <c r="V34" s="29">
        <f t="shared" si="19"/>
        <v>0</v>
      </c>
      <c r="W34" s="29">
        <f t="shared" si="19"/>
        <v>0</v>
      </c>
      <c r="X34" s="29">
        <f t="shared" si="5"/>
        <v>0</v>
      </c>
      <c r="Y34" s="29">
        <f t="shared" ref="Y34:AE34" si="20">SUM(Y35,Y36)</f>
        <v>0</v>
      </c>
      <c r="Z34" s="79"/>
      <c r="AA34" s="79"/>
      <c r="AB34" s="29">
        <f t="shared" si="20"/>
        <v>0</v>
      </c>
      <c r="AC34" s="29">
        <f t="shared" si="20"/>
        <v>0</v>
      </c>
      <c r="AD34" s="29">
        <f t="shared" si="20"/>
        <v>0</v>
      </c>
      <c r="AE34" s="29">
        <f t="shared" si="20"/>
        <v>0</v>
      </c>
      <c r="AF34" s="29">
        <f t="shared" si="6"/>
        <v>0</v>
      </c>
    </row>
    <row r="35" spans="1:32" x14ac:dyDescent="0.2">
      <c r="A35" s="175"/>
      <c r="B35" s="179"/>
      <c r="C35" s="180"/>
      <c r="D35" s="306" t="s">
        <v>851</v>
      </c>
      <c r="E35" s="183" t="s">
        <v>29</v>
      </c>
      <c r="F35" s="159"/>
      <c r="G35" s="460" t="s">
        <v>96</v>
      </c>
      <c r="H35" s="18"/>
      <c r="I35" s="79"/>
      <c r="J35" s="61"/>
      <c r="K35" s="61"/>
      <c r="L35" s="61"/>
      <c r="M35" s="61"/>
      <c r="N35" s="61"/>
      <c r="O35" s="61"/>
      <c r="P35" s="29">
        <f t="shared" si="4"/>
        <v>0</v>
      </c>
      <c r="Q35" s="62"/>
      <c r="R35" s="303"/>
      <c r="S35" s="303"/>
      <c r="T35" s="61"/>
      <c r="U35" s="61"/>
      <c r="V35" s="61"/>
      <c r="W35" s="61"/>
      <c r="X35" s="29">
        <f t="shared" si="5"/>
        <v>0</v>
      </c>
      <c r="Y35" s="62"/>
      <c r="Z35" s="303"/>
      <c r="AA35" s="303"/>
      <c r="AB35" s="61"/>
      <c r="AC35" s="61"/>
      <c r="AD35" s="61"/>
      <c r="AE35" s="61"/>
      <c r="AF35" s="29">
        <f t="shared" si="6"/>
        <v>0</v>
      </c>
    </row>
    <row r="36" spans="1:32" x14ac:dyDescent="0.2">
      <c r="A36" s="174"/>
      <c r="B36" s="155"/>
      <c r="C36" s="154"/>
      <c r="D36" s="306" t="s">
        <v>852</v>
      </c>
      <c r="E36" s="154" t="s">
        <v>30</v>
      </c>
      <c r="F36" s="159"/>
      <c r="G36" s="460" t="s">
        <v>97</v>
      </c>
      <c r="H36" s="18"/>
      <c r="I36" s="79"/>
      <c r="J36" s="61"/>
      <c r="K36" s="61"/>
      <c r="L36" s="61"/>
      <c r="M36" s="61"/>
      <c r="N36" s="61"/>
      <c r="O36" s="61"/>
      <c r="P36" s="29">
        <f t="shared" si="4"/>
        <v>0</v>
      </c>
      <c r="Q36" s="62"/>
      <c r="R36" s="303"/>
      <c r="S36" s="303"/>
      <c r="T36" s="61"/>
      <c r="U36" s="61"/>
      <c r="V36" s="61"/>
      <c r="W36" s="61"/>
      <c r="X36" s="29">
        <f t="shared" si="5"/>
        <v>0</v>
      </c>
      <c r="Y36" s="62"/>
      <c r="Z36" s="303"/>
      <c r="AA36" s="303"/>
      <c r="AB36" s="61"/>
      <c r="AC36" s="61"/>
      <c r="AD36" s="61"/>
      <c r="AE36" s="61"/>
      <c r="AF36" s="29">
        <f t="shared" si="6"/>
        <v>0</v>
      </c>
    </row>
    <row r="37" spans="1:32" x14ac:dyDescent="0.2">
      <c r="A37" s="175"/>
      <c r="B37" s="179"/>
      <c r="C37" s="180" t="s">
        <v>15</v>
      </c>
      <c r="D37" s="283" t="s">
        <v>41</v>
      </c>
      <c r="E37" s="183"/>
      <c r="F37" s="159"/>
      <c r="G37" s="460" t="s">
        <v>98</v>
      </c>
      <c r="H37" s="18"/>
      <c r="I37" s="79"/>
      <c r="J37" s="29">
        <f t="shared" ref="J37:O37" si="21">SUM(J38,J39)</f>
        <v>0</v>
      </c>
      <c r="K37" s="29">
        <f t="shared" si="21"/>
        <v>0</v>
      </c>
      <c r="L37" s="29">
        <f t="shared" si="21"/>
        <v>0</v>
      </c>
      <c r="M37" s="29">
        <f t="shared" si="21"/>
        <v>0</v>
      </c>
      <c r="N37" s="29">
        <f t="shared" si="21"/>
        <v>0</v>
      </c>
      <c r="O37" s="29">
        <f t="shared" si="21"/>
        <v>0</v>
      </c>
      <c r="P37" s="29">
        <f t="shared" si="4"/>
        <v>0</v>
      </c>
      <c r="Q37" s="29">
        <f t="shared" ref="Q37:W37" si="22">SUM(Q38,Q39)</f>
        <v>0</v>
      </c>
      <c r="R37" s="79"/>
      <c r="S37" s="79"/>
      <c r="T37" s="29">
        <f t="shared" si="22"/>
        <v>0</v>
      </c>
      <c r="U37" s="29">
        <f t="shared" si="22"/>
        <v>0</v>
      </c>
      <c r="V37" s="29">
        <f t="shared" si="22"/>
        <v>0</v>
      </c>
      <c r="W37" s="29">
        <f t="shared" si="22"/>
        <v>0</v>
      </c>
      <c r="X37" s="29">
        <f t="shared" si="5"/>
        <v>0</v>
      </c>
      <c r="Y37" s="29">
        <f t="shared" ref="Y37:AE37" si="23">SUM(Y38,Y39)</f>
        <v>0</v>
      </c>
      <c r="Z37" s="79"/>
      <c r="AA37" s="79"/>
      <c r="AB37" s="29">
        <f t="shared" si="23"/>
        <v>0</v>
      </c>
      <c r="AC37" s="29">
        <f t="shared" si="23"/>
        <v>0</v>
      </c>
      <c r="AD37" s="29">
        <f t="shared" si="23"/>
        <v>0</v>
      </c>
      <c r="AE37" s="29">
        <f t="shared" si="23"/>
        <v>0</v>
      </c>
      <c r="AF37" s="29">
        <f t="shared" si="6"/>
        <v>0</v>
      </c>
    </row>
    <row r="38" spans="1:32" x14ac:dyDescent="0.2">
      <c r="A38" s="174"/>
      <c r="B38" s="155"/>
      <c r="C38" s="39"/>
      <c r="D38" s="158" t="s">
        <v>19</v>
      </c>
      <c r="E38" s="154" t="s">
        <v>42</v>
      </c>
      <c r="F38" s="159"/>
      <c r="G38" s="460" t="s">
        <v>99</v>
      </c>
      <c r="H38" s="18"/>
      <c r="I38" s="79"/>
      <c r="J38" s="61"/>
      <c r="K38" s="61"/>
      <c r="L38" s="61"/>
      <c r="M38" s="61"/>
      <c r="N38" s="61"/>
      <c r="O38" s="61"/>
      <c r="P38" s="29">
        <f t="shared" si="4"/>
        <v>0</v>
      </c>
      <c r="Q38" s="62"/>
      <c r="R38" s="303"/>
      <c r="S38" s="303"/>
      <c r="T38" s="61"/>
      <c r="U38" s="61"/>
      <c r="V38" s="61"/>
      <c r="W38" s="61"/>
      <c r="X38" s="29">
        <f t="shared" si="5"/>
        <v>0</v>
      </c>
      <c r="Y38" s="62"/>
      <c r="Z38" s="303"/>
      <c r="AA38" s="303"/>
      <c r="AB38" s="61"/>
      <c r="AC38" s="61"/>
      <c r="AD38" s="61"/>
      <c r="AE38" s="61"/>
      <c r="AF38" s="29">
        <f t="shared" si="6"/>
        <v>0</v>
      </c>
    </row>
    <row r="39" spans="1:32" x14ac:dyDescent="0.2">
      <c r="A39" s="175"/>
      <c r="B39" s="179"/>
      <c r="C39" s="124"/>
      <c r="D39" s="184" t="s">
        <v>21</v>
      </c>
      <c r="E39" s="183" t="s">
        <v>43</v>
      </c>
      <c r="F39" s="159"/>
      <c r="G39" s="460" t="s">
        <v>100</v>
      </c>
      <c r="H39" s="18"/>
      <c r="I39" s="79"/>
      <c r="J39" s="61"/>
      <c r="K39" s="61"/>
      <c r="L39" s="61"/>
      <c r="M39" s="61"/>
      <c r="N39" s="61"/>
      <c r="O39" s="61"/>
      <c r="P39" s="29">
        <f t="shared" si="4"/>
        <v>0</v>
      </c>
      <c r="Q39" s="62"/>
      <c r="R39" s="303"/>
      <c r="S39" s="303"/>
      <c r="T39" s="61"/>
      <c r="U39" s="61"/>
      <c r="V39" s="61"/>
      <c r="W39" s="61"/>
      <c r="X39" s="29">
        <f t="shared" si="5"/>
        <v>0</v>
      </c>
      <c r="Y39" s="62"/>
      <c r="Z39" s="303"/>
      <c r="AA39" s="303"/>
      <c r="AB39" s="61"/>
      <c r="AC39" s="61"/>
      <c r="AD39" s="61"/>
      <c r="AE39" s="61"/>
      <c r="AF39" s="29">
        <f t="shared" si="6"/>
        <v>0</v>
      </c>
    </row>
    <row r="40" spans="1:32" x14ac:dyDescent="0.2">
      <c r="A40" s="174"/>
      <c r="B40" s="155"/>
      <c r="C40" s="154" t="s">
        <v>25</v>
      </c>
      <c r="D40" s="154" t="s">
        <v>602</v>
      </c>
      <c r="E40" s="154"/>
      <c r="F40" s="159"/>
      <c r="G40" s="460" t="s">
        <v>101</v>
      </c>
      <c r="H40" s="18"/>
      <c r="I40" s="79"/>
      <c r="J40" s="61"/>
      <c r="K40" s="61"/>
      <c r="L40" s="61"/>
      <c r="M40" s="61"/>
      <c r="N40" s="61"/>
      <c r="O40" s="61"/>
      <c r="P40" s="29">
        <f t="shared" si="4"/>
        <v>0</v>
      </c>
      <c r="Q40" s="62"/>
      <c r="R40" s="303"/>
      <c r="S40" s="303"/>
      <c r="T40" s="61"/>
      <c r="U40" s="61"/>
      <c r="V40" s="61"/>
      <c r="W40" s="61"/>
      <c r="X40" s="29">
        <f t="shared" si="5"/>
        <v>0</v>
      </c>
      <c r="Y40" s="62"/>
      <c r="Z40" s="303"/>
      <c r="AA40" s="303"/>
      <c r="AB40" s="61"/>
      <c r="AC40" s="61"/>
      <c r="AD40" s="61"/>
      <c r="AE40" s="61"/>
      <c r="AF40" s="29">
        <f t="shared" si="6"/>
        <v>0</v>
      </c>
    </row>
    <row r="41" spans="1:32" x14ac:dyDescent="0.2">
      <c r="A41" s="175"/>
      <c r="B41" s="179"/>
      <c r="C41" s="124" t="s">
        <v>27</v>
      </c>
      <c r="D41" s="522" t="s">
        <v>44</v>
      </c>
      <c r="E41" s="523"/>
      <c r="F41" s="524"/>
      <c r="G41" s="460" t="s">
        <v>102</v>
      </c>
      <c r="H41" s="18"/>
      <c r="I41" s="79"/>
      <c r="J41" s="29">
        <f t="shared" ref="J41:O41" si="24">SUM(J42,J45)</f>
        <v>0</v>
      </c>
      <c r="K41" s="29">
        <f t="shared" si="24"/>
        <v>0</v>
      </c>
      <c r="L41" s="29">
        <f t="shared" si="24"/>
        <v>0</v>
      </c>
      <c r="M41" s="29">
        <f t="shared" si="24"/>
        <v>0</v>
      </c>
      <c r="N41" s="29">
        <f t="shared" si="24"/>
        <v>0</v>
      </c>
      <c r="O41" s="29">
        <f t="shared" si="24"/>
        <v>0</v>
      </c>
      <c r="P41" s="29">
        <f t="shared" si="4"/>
        <v>0</v>
      </c>
      <c r="Q41" s="29">
        <f>SUM(Q42,Q45)</f>
        <v>0</v>
      </c>
      <c r="R41" s="79"/>
      <c r="S41" s="79"/>
      <c r="T41" s="29">
        <f>SUM(T42,T45)</f>
        <v>0</v>
      </c>
      <c r="U41" s="29">
        <f>SUM(U42,U45)</f>
        <v>0</v>
      </c>
      <c r="V41" s="29">
        <f>SUM(V42,V45)</f>
        <v>0</v>
      </c>
      <c r="W41" s="29">
        <f>SUM(W42,W45)</f>
        <v>0</v>
      </c>
      <c r="X41" s="29">
        <f t="shared" si="5"/>
        <v>0</v>
      </c>
      <c r="Y41" s="29">
        <f>SUM(Y42,Y45)</f>
        <v>0</v>
      </c>
      <c r="Z41" s="79"/>
      <c r="AA41" s="79"/>
      <c r="AB41" s="29">
        <f>SUM(AB42,AB45)</f>
        <v>0</v>
      </c>
      <c r="AC41" s="29">
        <f>SUM(AC42,AC45)</f>
        <v>0</v>
      </c>
      <c r="AD41" s="29">
        <f>SUM(AD42,AD45)</f>
        <v>0</v>
      </c>
      <c r="AE41" s="29">
        <f>SUM(AE42,AE45)</f>
        <v>0</v>
      </c>
      <c r="AF41" s="29">
        <f t="shared" si="6"/>
        <v>0</v>
      </c>
    </row>
    <row r="42" spans="1:32" x14ac:dyDescent="0.2">
      <c r="A42" s="174"/>
      <c r="B42" s="155"/>
      <c r="C42" s="154"/>
      <c r="D42" s="158" t="s">
        <v>19</v>
      </c>
      <c r="E42" s="154" t="s">
        <v>29</v>
      </c>
      <c r="F42" s="159"/>
      <c r="G42" s="460" t="s">
        <v>103</v>
      </c>
      <c r="H42" s="18"/>
      <c r="I42" s="79"/>
      <c r="J42" s="29">
        <f t="shared" ref="J42:O42" si="25">SUM(J43,J44)</f>
        <v>0</v>
      </c>
      <c r="K42" s="29">
        <f t="shared" si="25"/>
        <v>0</v>
      </c>
      <c r="L42" s="29">
        <f t="shared" si="25"/>
        <v>0</v>
      </c>
      <c r="M42" s="29">
        <f t="shared" si="25"/>
        <v>0</v>
      </c>
      <c r="N42" s="29">
        <f t="shared" si="25"/>
        <v>0</v>
      </c>
      <c r="O42" s="29">
        <f t="shared" si="25"/>
        <v>0</v>
      </c>
      <c r="P42" s="29">
        <f t="shared" si="4"/>
        <v>0</v>
      </c>
      <c r="Q42" s="29">
        <f>SUM(Q43,Q44)</f>
        <v>0</v>
      </c>
      <c r="R42" s="79"/>
      <c r="S42" s="79"/>
      <c r="T42" s="29">
        <f>SUM(T43,T44)</f>
        <v>0</v>
      </c>
      <c r="U42" s="29">
        <f>SUM(U43,U44)</f>
        <v>0</v>
      </c>
      <c r="V42" s="29">
        <f>SUM(V43,V44)</f>
        <v>0</v>
      </c>
      <c r="W42" s="29">
        <f>SUM(W43,W44)</f>
        <v>0</v>
      </c>
      <c r="X42" s="29">
        <f t="shared" si="5"/>
        <v>0</v>
      </c>
      <c r="Y42" s="29">
        <f>SUM(Y43,Y44)</f>
        <v>0</v>
      </c>
      <c r="Z42" s="79"/>
      <c r="AA42" s="79"/>
      <c r="AB42" s="29">
        <f>SUM(AB43,AB44)</f>
        <v>0</v>
      </c>
      <c r="AC42" s="29">
        <f>SUM(AC43,AC44)</f>
        <v>0</v>
      </c>
      <c r="AD42" s="29">
        <f>SUM(AD43,AD44)</f>
        <v>0</v>
      </c>
      <c r="AE42" s="29">
        <f>SUM(AE43,AE44)</f>
        <v>0</v>
      </c>
      <c r="AF42" s="29">
        <f t="shared" si="6"/>
        <v>0</v>
      </c>
    </row>
    <row r="43" spans="1:32" x14ac:dyDescent="0.2">
      <c r="A43" s="175"/>
      <c r="B43" s="179"/>
      <c r="C43" s="180"/>
      <c r="D43" s="185" t="s">
        <v>35</v>
      </c>
      <c r="E43" s="183" t="s">
        <v>45</v>
      </c>
      <c r="F43" s="159"/>
      <c r="G43" s="460" t="s">
        <v>104</v>
      </c>
      <c r="H43" s="18"/>
      <c r="I43" s="79"/>
      <c r="J43" s="61"/>
      <c r="K43" s="61"/>
      <c r="L43" s="61"/>
      <c r="M43" s="61"/>
      <c r="N43" s="61"/>
      <c r="O43" s="61"/>
      <c r="P43" s="29">
        <f t="shared" si="4"/>
        <v>0</v>
      </c>
      <c r="Q43" s="62"/>
      <c r="R43" s="303"/>
      <c r="S43" s="303"/>
      <c r="T43" s="61"/>
      <c r="U43" s="61"/>
      <c r="V43" s="61"/>
      <c r="W43" s="61"/>
      <c r="X43" s="29">
        <f t="shared" si="5"/>
        <v>0</v>
      </c>
      <c r="Y43" s="62"/>
      <c r="Z43" s="303"/>
      <c r="AA43" s="303"/>
      <c r="AB43" s="61"/>
      <c r="AC43" s="61"/>
      <c r="AD43" s="61"/>
      <c r="AE43" s="61"/>
      <c r="AF43" s="29">
        <f t="shared" si="6"/>
        <v>0</v>
      </c>
    </row>
    <row r="44" spans="1:32" x14ac:dyDescent="0.2">
      <c r="A44" s="174"/>
      <c r="B44" s="155"/>
      <c r="C44" s="154"/>
      <c r="D44" s="164" t="s">
        <v>36</v>
      </c>
      <c r="E44" s="154" t="s">
        <v>46</v>
      </c>
      <c r="F44" s="159"/>
      <c r="G44" s="460" t="s">
        <v>105</v>
      </c>
      <c r="H44" s="18"/>
      <c r="I44" s="79"/>
      <c r="J44" s="61"/>
      <c r="K44" s="61"/>
      <c r="L44" s="61"/>
      <c r="M44" s="61"/>
      <c r="N44" s="61"/>
      <c r="O44" s="61"/>
      <c r="P44" s="29">
        <f t="shared" si="4"/>
        <v>0</v>
      </c>
      <c r="Q44" s="62"/>
      <c r="R44" s="303"/>
      <c r="S44" s="303"/>
      <c r="T44" s="61"/>
      <c r="U44" s="61"/>
      <c r="V44" s="61"/>
      <c r="W44" s="61"/>
      <c r="X44" s="29">
        <f t="shared" si="5"/>
        <v>0</v>
      </c>
      <c r="Y44" s="62"/>
      <c r="Z44" s="303"/>
      <c r="AA44" s="303"/>
      <c r="AB44" s="61"/>
      <c r="AC44" s="61"/>
      <c r="AD44" s="61"/>
      <c r="AE44" s="61"/>
      <c r="AF44" s="29">
        <f t="shared" si="6"/>
        <v>0</v>
      </c>
    </row>
    <row r="45" spans="1:32" x14ac:dyDescent="0.2">
      <c r="A45" s="175"/>
      <c r="B45" s="179"/>
      <c r="C45" s="180"/>
      <c r="D45" s="184" t="s">
        <v>21</v>
      </c>
      <c r="E45" s="183" t="s">
        <v>30</v>
      </c>
      <c r="F45" s="159"/>
      <c r="G45" s="460" t="s">
        <v>106</v>
      </c>
      <c r="H45" s="18"/>
      <c r="I45" s="79"/>
      <c r="J45" s="29">
        <f>SUM(J46,J47)</f>
        <v>0</v>
      </c>
      <c r="K45" s="29">
        <f t="shared" ref="K45:AC45" si="26">SUM(K46,K47)</f>
        <v>0</v>
      </c>
      <c r="L45" s="29">
        <f t="shared" si="26"/>
        <v>0</v>
      </c>
      <c r="M45" s="29">
        <f t="shared" si="26"/>
        <v>0</v>
      </c>
      <c r="N45" s="29">
        <f>SUM(N46,N47)</f>
        <v>0</v>
      </c>
      <c r="O45" s="29">
        <f>SUM(O46,O47)</f>
        <v>0</v>
      </c>
      <c r="P45" s="29">
        <f t="shared" si="4"/>
        <v>0</v>
      </c>
      <c r="Q45" s="29">
        <f t="shared" si="26"/>
        <v>0</v>
      </c>
      <c r="R45" s="79"/>
      <c r="S45" s="79"/>
      <c r="T45" s="29">
        <f t="shared" si="26"/>
        <v>0</v>
      </c>
      <c r="U45" s="29">
        <f t="shared" si="26"/>
        <v>0</v>
      </c>
      <c r="V45" s="29">
        <f>SUM(V46,V47)</f>
        <v>0</v>
      </c>
      <c r="W45" s="29">
        <f>SUM(W46,W47)</f>
        <v>0</v>
      </c>
      <c r="X45" s="29">
        <f t="shared" si="5"/>
        <v>0</v>
      </c>
      <c r="Y45" s="29">
        <f t="shared" si="26"/>
        <v>0</v>
      </c>
      <c r="Z45" s="79"/>
      <c r="AA45" s="79"/>
      <c r="AB45" s="29">
        <f t="shared" si="26"/>
        <v>0</v>
      </c>
      <c r="AC45" s="29">
        <f t="shared" si="26"/>
        <v>0</v>
      </c>
      <c r="AD45" s="29">
        <f>SUM(AD46,AD47)</f>
        <v>0</v>
      </c>
      <c r="AE45" s="29">
        <f>SUM(AE46,AE47)</f>
        <v>0</v>
      </c>
      <c r="AF45" s="29">
        <f t="shared" si="6"/>
        <v>0</v>
      </c>
    </row>
    <row r="46" spans="1:32" x14ac:dyDescent="0.2">
      <c r="A46" s="174"/>
      <c r="B46" s="155"/>
      <c r="C46" s="154"/>
      <c r="D46" s="164" t="s">
        <v>38</v>
      </c>
      <c r="E46" s="154" t="s">
        <v>45</v>
      </c>
      <c r="F46" s="159"/>
      <c r="G46" s="460" t="s">
        <v>107</v>
      </c>
      <c r="H46" s="18"/>
      <c r="I46" s="79"/>
      <c r="J46" s="61"/>
      <c r="K46" s="61"/>
      <c r="L46" s="61"/>
      <c r="M46" s="61"/>
      <c r="N46" s="61"/>
      <c r="O46" s="61"/>
      <c r="P46" s="29">
        <f t="shared" si="4"/>
        <v>0</v>
      </c>
      <c r="Q46" s="62"/>
      <c r="R46" s="303"/>
      <c r="S46" s="303"/>
      <c r="T46" s="61"/>
      <c r="U46" s="61"/>
      <c r="V46" s="61"/>
      <c r="W46" s="61"/>
      <c r="X46" s="29">
        <f t="shared" si="5"/>
        <v>0</v>
      </c>
      <c r="Y46" s="62"/>
      <c r="Z46" s="303"/>
      <c r="AA46" s="303"/>
      <c r="AB46" s="61"/>
      <c r="AC46" s="61"/>
      <c r="AD46" s="61"/>
      <c r="AE46" s="61"/>
      <c r="AF46" s="29">
        <f t="shared" si="6"/>
        <v>0</v>
      </c>
    </row>
    <row r="47" spans="1:32" s="21" customFormat="1" x14ac:dyDescent="0.2">
      <c r="A47" s="175"/>
      <c r="B47" s="179"/>
      <c r="C47" s="180"/>
      <c r="D47" s="185" t="s">
        <v>39</v>
      </c>
      <c r="E47" s="183" t="s">
        <v>46</v>
      </c>
      <c r="F47" s="159"/>
      <c r="G47" s="460" t="s">
        <v>108</v>
      </c>
      <c r="H47" s="18"/>
      <c r="I47" s="79"/>
      <c r="J47" s="61"/>
      <c r="K47" s="61"/>
      <c r="L47" s="61"/>
      <c r="M47" s="61"/>
      <c r="N47" s="61"/>
      <c r="O47" s="61"/>
      <c r="P47" s="29">
        <f t="shared" si="4"/>
        <v>0</v>
      </c>
      <c r="Q47" s="62"/>
      <c r="R47" s="303"/>
      <c r="S47" s="303"/>
      <c r="T47" s="61"/>
      <c r="U47" s="61"/>
      <c r="V47" s="61"/>
      <c r="W47" s="61"/>
      <c r="X47" s="29">
        <f t="shared" si="5"/>
        <v>0</v>
      </c>
      <c r="Y47" s="62"/>
      <c r="Z47" s="303"/>
      <c r="AA47" s="303"/>
      <c r="AB47" s="61"/>
      <c r="AC47" s="61"/>
      <c r="AD47" s="61"/>
      <c r="AE47" s="61"/>
      <c r="AF47" s="29">
        <f t="shared" si="6"/>
        <v>0</v>
      </c>
    </row>
    <row r="48" spans="1:32" x14ac:dyDescent="0.2">
      <c r="A48" s="174"/>
      <c r="B48" s="155"/>
      <c r="C48" s="39" t="s">
        <v>31</v>
      </c>
      <c r="D48" s="525" t="s">
        <v>47</v>
      </c>
      <c r="E48" s="526"/>
      <c r="F48" s="527"/>
      <c r="G48" s="460" t="s">
        <v>109</v>
      </c>
      <c r="H48" s="18"/>
      <c r="I48" s="79"/>
      <c r="J48" s="29">
        <f t="shared" ref="J48:O48" si="27">SUM(J49,J52)</f>
        <v>0</v>
      </c>
      <c r="K48" s="29">
        <f t="shared" si="27"/>
        <v>0</v>
      </c>
      <c r="L48" s="29">
        <f t="shared" si="27"/>
        <v>0</v>
      </c>
      <c r="M48" s="29">
        <f t="shared" si="27"/>
        <v>0</v>
      </c>
      <c r="N48" s="29">
        <f t="shared" si="27"/>
        <v>0</v>
      </c>
      <c r="O48" s="29">
        <f t="shared" si="27"/>
        <v>0</v>
      </c>
      <c r="P48" s="29">
        <f t="shared" si="4"/>
        <v>0</v>
      </c>
      <c r="Q48" s="29">
        <f>SUM(Q49,Q52)</f>
        <v>0</v>
      </c>
      <c r="R48" s="79"/>
      <c r="S48" s="79"/>
      <c r="T48" s="29">
        <f>SUM(T49,T52)</f>
        <v>0</v>
      </c>
      <c r="U48" s="29">
        <f>SUM(U49,U52)</f>
        <v>0</v>
      </c>
      <c r="V48" s="29">
        <f>SUM(V49,V52)</f>
        <v>0</v>
      </c>
      <c r="W48" s="29">
        <f>SUM(W49,W52)</f>
        <v>0</v>
      </c>
      <c r="X48" s="29">
        <f t="shared" si="5"/>
        <v>0</v>
      </c>
      <c r="Y48" s="29">
        <f>SUM(Y49,Y52)</f>
        <v>0</v>
      </c>
      <c r="Z48" s="79"/>
      <c r="AA48" s="79"/>
      <c r="AB48" s="29">
        <f>SUM(AB49,AB52)</f>
        <v>0</v>
      </c>
      <c r="AC48" s="29">
        <f>SUM(AC49,AC52)</f>
        <v>0</v>
      </c>
      <c r="AD48" s="29">
        <f>SUM(AD49,AD52)</f>
        <v>0</v>
      </c>
      <c r="AE48" s="29">
        <f>SUM(AE49,AE52)</f>
        <v>0</v>
      </c>
      <c r="AF48" s="29">
        <f t="shared" si="6"/>
        <v>0</v>
      </c>
    </row>
    <row r="49" spans="1:32" x14ac:dyDescent="0.2">
      <c r="A49" s="175"/>
      <c r="B49" s="179"/>
      <c r="C49" s="180"/>
      <c r="D49" s="184" t="s">
        <v>19</v>
      </c>
      <c r="E49" s="183" t="s">
        <v>29</v>
      </c>
      <c r="F49" s="159"/>
      <c r="G49" s="460" t="s">
        <v>110</v>
      </c>
      <c r="H49" s="18"/>
      <c r="I49" s="79"/>
      <c r="J49" s="29">
        <f t="shared" ref="J49:O49" si="28">SUM(J50,J51)</f>
        <v>0</v>
      </c>
      <c r="K49" s="29">
        <f t="shared" si="28"/>
        <v>0</v>
      </c>
      <c r="L49" s="29">
        <f t="shared" si="28"/>
        <v>0</v>
      </c>
      <c r="M49" s="29">
        <f t="shared" si="28"/>
        <v>0</v>
      </c>
      <c r="N49" s="29">
        <f t="shared" si="28"/>
        <v>0</v>
      </c>
      <c r="O49" s="29">
        <f t="shared" si="28"/>
        <v>0</v>
      </c>
      <c r="P49" s="29">
        <f t="shared" si="4"/>
        <v>0</v>
      </c>
      <c r="Q49" s="29">
        <f>SUM(Q50,Q51)</f>
        <v>0</v>
      </c>
      <c r="R49" s="79"/>
      <c r="S49" s="79"/>
      <c r="T49" s="29">
        <f>SUM(T50,T51)</f>
        <v>0</v>
      </c>
      <c r="U49" s="29">
        <f>SUM(U50,U51)</f>
        <v>0</v>
      </c>
      <c r="V49" s="29">
        <f>SUM(V50,V51)</f>
        <v>0</v>
      </c>
      <c r="W49" s="29">
        <f>SUM(W50,W51)</f>
        <v>0</v>
      </c>
      <c r="X49" s="29">
        <f t="shared" si="5"/>
        <v>0</v>
      </c>
      <c r="Y49" s="29">
        <f>SUM(Y50,Y51)</f>
        <v>0</v>
      </c>
      <c r="Z49" s="79"/>
      <c r="AA49" s="79"/>
      <c r="AB49" s="29">
        <f>SUM(AB50,AB51)</f>
        <v>0</v>
      </c>
      <c r="AC49" s="29">
        <f>SUM(AC50,AC51)</f>
        <v>0</v>
      </c>
      <c r="AD49" s="29">
        <f>SUM(AD50,AD51)</f>
        <v>0</v>
      </c>
      <c r="AE49" s="29">
        <f>SUM(AE50,AE51)</f>
        <v>0</v>
      </c>
      <c r="AF49" s="29">
        <f t="shared" si="6"/>
        <v>0</v>
      </c>
    </row>
    <row r="50" spans="1:32" x14ac:dyDescent="0.2">
      <c r="A50" s="174"/>
      <c r="B50" s="155"/>
      <c r="C50" s="154"/>
      <c r="D50" s="164" t="s">
        <v>35</v>
      </c>
      <c r="E50" s="154" t="s">
        <v>45</v>
      </c>
      <c r="F50" s="159"/>
      <c r="G50" s="460" t="s">
        <v>111</v>
      </c>
      <c r="H50" s="18"/>
      <c r="I50" s="79"/>
      <c r="J50" s="61"/>
      <c r="K50" s="61"/>
      <c r="L50" s="61"/>
      <c r="M50" s="61"/>
      <c r="N50" s="61"/>
      <c r="O50" s="61"/>
      <c r="P50" s="29">
        <f t="shared" si="4"/>
        <v>0</v>
      </c>
      <c r="Q50" s="62"/>
      <c r="R50" s="303"/>
      <c r="S50" s="303"/>
      <c r="T50" s="61"/>
      <c r="U50" s="61"/>
      <c r="V50" s="61"/>
      <c r="W50" s="61"/>
      <c r="X50" s="29">
        <f t="shared" si="5"/>
        <v>0</v>
      </c>
      <c r="Y50" s="62"/>
      <c r="Z50" s="303"/>
      <c r="AA50" s="303"/>
      <c r="AB50" s="61"/>
      <c r="AC50" s="61"/>
      <c r="AD50" s="61"/>
      <c r="AE50" s="61"/>
      <c r="AF50" s="29">
        <f t="shared" si="6"/>
        <v>0</v>
      </c>
    </row>
    <row r="51" spans="1:32" x14ac:dyDescent="0.2">
      <c r="A51" s="175"/>
      <c r="B51" s="179"/>
      <c r="C51" s="180"/>
      <c r="D51" s="185" t="s">
        <v>36</v>
      </c>
      <c r="E51" s="183" t="s">
        <v>46</v>
      </c>
      <c r="F51" s="159"/>
      <c r="G51" s="460" t="s">
        <v>112</v>
      </c>
      <c r="H51" s="18"/>
      <c r="I51" s="79"/>
      <c r="J51" s="61"/>
      <c r="K51" s="61"/>
      <c r="L51" s="61"/>
      <c r="M51" s="61"/>
      <c r="N51" s="61"/>
      <c r="O51" s="61"/>
      <c r="P51" s="29">
        <f t="shared" si="4"/>
        <v>0</v>
      </c>
      <c r="Q51" s="62"/>
      <c r="R51" s="303"/>
      <c r="S51" s="303"/>
      <c r="T51" s="61"/>
      <c r="U51" s="61"/>
      <c r="V51" s="61"/>
      <c r="W51" s="61"/>
      <c r="X51" s="29">
        <f t="shared" si="5"/>
        <v>0</v>
      </c>
      <c r="Y51" s="62"/>
      <c r="Z51" s="303"/>
      <c r="AA51" s="303"/>
      <c r="AB51" s="61"/>
      <c r="AC51" s="61"/>
      <c r="AD51" s="61"/>
      <c r="AE51" s="61"/>
      <c r="AF51" s="29">
        <f t="shared" si="6"/>
        <v>0</v>
      </c>
    </row>
    <row r="52" spans="1:32" x14ac:dyDescent="0.2">
      <c r="A52" s="174"/>
      <c r="B52" s="155"/>
      <c r="C52" s="154"/>
      <c r="D52" s="158" t="s">
        <v>21</v>
      </c>
      <c r="E52" s="154" t="s">
        <v>30</v>
      </c>
      <c r="F52" s="159"/>
      <c r="G52" s="460" t="s">
        <v>113</v>
      </c>
      <c r="H52" s="18"/>
      <c r="I52" s="79"/>
      <c r="J52" s="29">
        <f>SUM(J53,J54)</f>
        <v>0</v>
      </c>
      <c r="K52" s="29">
        <f t="shared" ref="K52:AC52" si="29">SUM(K53,K54)</f>
        <v>0</v>
      </c>
      <c r="L52" s="29">
        <f t="shared" si="29"/>
        <v>0</v>
      </c>
      <c r="M52" s="29">
        <f t="shared" si="29"/>
        <v>0</v>
      </c>
      <c r="N52" s="29">
        <f>SUM(N53,N54)</f>
        <v>0</v>
      </c>
      <c r="O52" s="29">
        <f>SUM(O53,O54)</f>
        <v>0</v>
      </c>
      <c r="P52" s="29">
        <f t="shared" si="4"/>
        <v>0</v>
      </c>
      <c r="Q52" s="29">
        <f t="shared" si="29"/>
        <v>0</v>
      </c>
      <c r="R52" s="79"/>
      <c r="S52" s="79"/>
      <c r="T52" s="29">
        <f t="shared" si="29"/>
        <v>0</v>
      </c>
      <c r="U52" s="29">
        <f t="shared" si="29"/>
        <v>0</v>
      </c>
      <c r="V52" s="29">
        <f>SUM(V53,V54)</f>
        <v>0</v>
      </c>
      <c r="W52" s="29">
        <f>SUM(W53,W54)</f>
        <v>0</v>
      </c>
      <c r="X52" s="29">
        <f t="shared" si="5"/>
        <v>0</v>
      </c>
      <c r="Y52" s="29">
        <f t="shared" si="29"/>
        <v>0</v>
      </c>
      <c r="Z52" s="79"/>
      <c r="AA52" s="79"/>
      <c r="AB52" s="29">
        <f t="shared" si="29"/>
        <v>0</v>
      </c>
      <c r="AC52" s="29">
        <f t="shared" si="29"/>
        <v>0</v>
      </c>
      <c r="AD52" s="29">
        <f>SUM(AD53,AD54)</f>
        <v>0</v>
      </c>
      <c r="AE52" s="29">
        <f>SUM(AE53,AE54)</f>
        <v>0</v>
      </c>
      <c r="AF52" s="29">
        <f t="shared" si="6"/>
        <v>0</v>
      </c>
    </row>
    <row r="53" spans="1:32" x14ac:dyDescent="0.2">
      <c r="A53" s="175"/>
      <c r="B53" s="179"/>
      <c r="C53" s="180"/>
      <c r="D53" s="185" t="s">
        <v>38</v>
      </c>
      <c r="E53" s="183" t="s">
        <v>45</v>
      </c>
      <c r="F53" s="159"/>
      <c r="G53" s="460" t="s">
        <v>114</v>
      </c>
      <c r="H53" s="18"/>
      <c r="I53" s="79"/>
      <c r="J53" s="61"/>
      <c r="K53" s="61"/>
      <c r="L53" s="61"/>
      <c r="M53" s="61"/>
      <c r="N53" s="61"/>
      <c r="O53" s="61"/>
      <c r="P53" s="29">
        <f t="shared" si="4"/>
        <v>0</v>
      </c>
      <c r="Q53" s="62"/>
      <c r="R53" s="303"/>
      <c r="S53" s="303"/>
      <c r="T53" s="61"/>
      <c r="U53" s="61"/>
      <c r="V53" s="61"/>
      <c r="W53" s="61"/>
      <c r="X53" s="29">
        <f t="shared" si="5"/>
        <v>0</v>
      </c>
      <c r="Y53" s="62"/>
      <c r="Z53" s="303"/>
      <c r="AA53" s="303"/>
      <c r="AB53" s="61"/>
      <c r="AC53" s="61"/>
      <c r="AD53" s="61"/>
      <c r="AE53" s="61"/>
      <c r="AF53" s="29">
        <f t="shared" si="6"/>
        <v>0</v>
      </c>
    </row>
    <row r="54" spans="1:32" x14ac:dyDescent="0.2">
      <c r="A54" s="175"/>
      <c r="B54" s="179"/>
      <c r="C54" s="180"/>
      <c r="D54" s="185" t="s">
        <v>39</v>
      </c>
      <c r="E54" s="183" t="s">
        <v>46</v>
      </c>
      <c r="F54" s="159"/>
      <c r="G54" s="460" t="s">
        <v>115</v>
      </c>
      <c r="H54" s="18"/>
      <c r="I54" s="79"/>
      <c r="J54" s="61"/>
      <c r="K54" s="61"/>
      <c r="L54" s="61"/>
      <c r="M54" s="61"/>
      <c r="N54" s="61"/>
      <c r="O54" s="61"/>
      <c r="P54" s="29">
        <f t="shared" si="4"/>
        <v>0</v>
      </c>
      <c r="Q54" s="62"/>
      <c r="R54" s="303"/>
      <c r="S54" s="303"/>
      <c r="T54" s="61"/>
      <c r="U54" s="61"/>
      <c r="V54" s="61"/>
      <c r="W54" s="61"/>
      <c r="X54" s="29">
        <f t="shared" si="5"/>
        <v>0</v>
      </c>
      <c r="Y54" s="62"/>
      <c r="Z54" s="303"/>
      <c r="AA54" s="303"/>
      <c r="AB54" s="61"/>
      <c r="AC54" s="61"/>
      <c r="AD54" s="61"/>
      <c r="AE54" s="61"/>
      <c r="AF54" s="29">
        <f t="shared" si="6"/>
        <v>0</v>
      </c>
    </row>
    <row r="55" spans="1:32" x14ac:dyDescent="0.2">
      <c r="A55" s="175"/>
      <c r="B55" s="176" t="s">
        <v>48</v>
      </c>
      <c r="C55" s="177" t="s">
        <v>49</v>
      </c>
      <c r="D55" s="181"/>
      <c r="E55" s="183"/>
      <c r="F55" s="159"/>
      <c r="G55" s="460" t="s">
        <v>116</v>
      </c>
      <c r="H55" s="18"/>
      <c r="I55" s="29">
        <f>SUM(I56,I57,I58,I59,I62)</f>
        <v>0</v>
      </c>
      <c r="J55" s="29">
        <f t="shared" ref="J55:AC55" si="30">SUM(J56,J57,J58,J59,J62)</f>
        <v>0</v>
      </c>
      <c r="K55" s="29">
        <f t="shared" si="30"/>
        <v>0</v>
      </c>
      <c r="L55" s="29">
        <f t="shared" si="30"/>
        <v>0</v>
      </c>
      <c r="M55" s="29">
        <f t="shared" si="30"/>
        <v>0</v>
      </c>
      <c r="N55" s="29">
        <f>SUM(N56,N57,N58,N59,N62)</f>
        <v>0</v>
      </c>
      <c r="O55" s="29">
        <f>SUM(O56,O57,O58,O59,O62)</f>
        <v>0</v>
      </c>
      <c r="P55" s="29">
        <f t="shared" si="4"/>
        <v>0</v>
      </c>
      <c r="Q55" s="29">
        <f t="shared" si="30"/>
        <v>0</v>
      </c>
      <c r="R55" s="29">
        <f t="shared" si="30"/>
        <v>0</v>
      </c>
      <c r="S55" s="29">
        <f t="shared" si="30"/>
        <v>0</v>
      </c>
      <c r="T55" s="29">
        <f t="shared" si="30"/>
        <v>0</v>
      </c>
      <c r="U55" s="29">
        <f t="shared" si="30"/>
        <v>0</v>
      </c>
      <c r="V55" s="29">
        <f>SUM(V56,V57,V58,V59,V62)</f>
        <v>0</v>
      </c>
      <c r="W55" s="29">
        <f>SUM(W56,W57,W58,W59,W62)</f>
        <v>0</v>
      </c>
      <c r="X55" s="29">
        <f t="shared" si="5"/>
        <v>0</v>
      </c>
      <c r="Y55" s="29">
        <f t="shared" si="30"/>
        <v>0</v>
      </c>
      <c r="Z55" s="29">
        <f t="shared" si="30"/>
        <v>0</v>
      </c>
      <c r="AA55" s="29">
        <f t="shared" si="30"/>
        <v>0</v>
      </c>
      <c r="AB55" s="29">
        <f t="shared" si="30"/>
        <v>0</v>
      </c>
      <c r="AC55" s="29">
        <f t="shared" si="30"/>
        <v>0</v>
      </c>
      <c r="AD55" s="29">
        <f>SUM(AD56,AD57,AD58,AD59,AD62)</f>
        <v>0</v>
      </c>
      <c r="AE55" s="29">
        <f>SUM(AE56,AE57,AE58,AE59,AE62)</f>
        <v>0</v>
      </c>
      <c r="AF55" s="29">
        <f t="shared" si="6"/>
        <v>0</v>
      </c>
    </row>
    <row r="56" spans="1:32" x14ac:dyDescent="0.2">
      <c r="A56" s="174"/>
      <c r="B56" s="155"/>
      <c r="C56" s="154" t="s">
        <v>11</v>
      </c>
      <c r="D56" s="157" t="s">
        <v>50</v>
      </c>
      <c r="E56" s="154"/>
      <c r="F56" s="159"/>
      <c r="G56" s="460" t="s">
        <v>117</v>
      </c>
      <c r="H56" s="18"/>
      <c r="I56" s="61"/>
      <c r="J56" s="61"/>
      <c r="K56" s="61"/>
      <c r="L56" s="61"/>
      <c r="M56" s="61"/>
      <c r="N56" s="61"/>
      <c r="O56" s="61"/>
      <c r="P56" s="29">
        <f t="shared" si="4"/>
        <v>0</v>
      </c>
      <c r="Q56" s="61"/>
      <c r="R56" s="61"/>
      <c r="S56" s="61"/>
      <c r="T56" s="61"/>
      <c r="U56" s="61"/>
      <c r="V56" s="61"/>
      <c r="W56" s="61"/>
      <c r="X56" s="29">
        <f t="shared" si="5"/>
        <v>0</v>
      </c>
      <c r="Y56" s="61"/>
      <c r="Z56" s="61"/>
      <c r="AA56" s="61"/>
      <c r="AB56" s="61"/>
      <c r="AC56" s="61"/>
      <c r="AD56" s="61"/>
      <c r="AE56" s="61"/>
      <c r="AF56" s="29">
        <f t="shared" si="6"/>
        <v>0</v>
      </c>
    </row>
    <row r="57" spans="1:32" x14ac:dyDescent="0.2">
      <c r="A57" s="175"/>
      <c r="B57" s="179"/>
      <c r="C57" s="180" t="s">
        <v>15</v>
      </c>
      <c r="D57" s="181" t="s">
        <v>51</v>
      </c>
      <c r="E57" s="183"/>
      <c r="F57" s="159"/>
      <c r="G57" s="460" t="s">
        <v>118</v>
      </c>
      <c r="H57" s="18"/>
      <c r="I57" s="61"/>
      <c r="J57" s="61"/>
      <c r="K57" s="61"/>
      <c r="L57" s="61"/>
      <c r="M57" s="61"/>
      <c r="N57" s="61"/>
      <c r="O57" s="61"/>
      <c r="P57" s="29">
        <f t="shared" si="4"/>
        <v>0</v>
      </c>
      <c r="Q57" s="61"/>
      <c r="R57" s="61"/>
      <c r="S57" s="61"/>
      <c r="T57" s="61"/>
      <c r="U57" s="61"/>
      <c r="V57" s="61"/>
      <c r="W57" s="61"/>
      <c r="X57" s="29">
        <f t="shared" si="5"/>
        <v>0</v>
      </c>
      <c r="Y57" s="61"/>
      <c r="Z57" s="61"/>
      <c r="AA57" s="61"/>
      <c r="AB57" s="61"/>
      <c r="AC57" s="61"/>
      <c r="AD57" s="61"/>
      <c r="AE57" s="61"/>
      <c r="AF57" s="29">
        <f t="shared" si="6"/>
        <v>0</v>
      </c>
    </row>
    <row r="58" spans="1:32" x14ac:dyDescent="0.2">
      <c r="A58" s="175"/>
      <c r="B58" s="179"/>
      <c r="C58" s="180" t="s">
        <v>25</v>
      </c>
      <c r="D58" s="181" t="s">
        <v>52</v>
      </c>
      <c r="E58" s="183"/>
      <c r="F58" s="159"/>
      <c r="G58" s="460" t="s">
        <v>119</v>
      </c>
      <c r="H58" s="18"/>
      <c r="I58" s="61"/>
      <c r="J58" s="61"/>
      <c r="K58" s="61"/>
      <c r="L58" s="61"/>
      <c r="M58" s="61"/>
      <c r="N58" s="61"/>
      <c r="O58" s="61"/>
      <c r="P58" s="29">
        <f t="shared" si="4"/>
        <v>0</v>
      </c>
      <c r="Q58" s="61"/>
      <c r="R58" s="61"/>
      <c r="S58" s="61"/>
      <c r="T58" s="61"/>
      <c r="U58" s="61"/>
      <c r="V58" s="61"/>
      <c r="W58" s="61"/>
      <c r="X58" s="29">
        <f t="shared" si="5"/>
        <v>0</v>
      </c>
      <c r="Y58" s="61"/>
      <c r="Z58" s="61"/>
      <c r="AA58" s="61"/>
      <c r="AB58" s="61"/>
      <c r="AC58" s="61"/>
      <c r="AD58" s="61"/>
      <c r="AE58" s="61"/>
      <c r="AF58" s="29">
        <f t="shared" si="6"/>
        <v>0</v>
      </c>
    </row>
    <row r="59" spans="1:32" x14ac:dyDescent="0.2">
      <c r="A59" s="175"/>
      <c r="B59" s="179"/>
      <c r="C59" s="124" t="s">
        <v>27</v>
      </c>
      <c r="D59" s="522" t="s">
        <v>53</v>
      </c>
      <c r="E59" s="523"/>
      <c r="F59" s="524"/>
      <c r="G59" s="460" t="s">
        <v>120</v>
      </c>
      <c r="H59" s="18"/>
      <c r="I59" s="29">
        <f>SUM(I60,I61)</f>
        <v>0</v>
      </c>
      <c r="J59" s="29">
        <f t="shared" ref="J59:AC59" si="31">SUM(J60,J61)</f>
        <v>0</v>
      </c>
      <c r="K59" s="29">
        <f t="shared" si="31"/>
        <v>0</v>
      </c>
      <c r="L59" s="29">
        <f t="shared" si="31"/>
        <v>0</v>
      </c>
      <c r="M59" s="29">
        <f t="shared" si="31"/>
        <v>0</v>
      </c>
      <c r="N59" s="29">
        <f>SUM(N60,N61)</f>
        <v>0</v>
      </c>
      <c r="O59" s="29">
        <f>SUM(O60,O61)</f>
        <v>0</v>
      </c>
      <c r="P59" s="29">
        <f t="shared" si="4"/>
        <v>0</v>
      </c>
      <c r="Q59" s="29">
        <f t="shared" si="31"/>
        <v>0</v>
      </c>
      <c r="R59" s="29">
        <f t="shared" si="31"/>
        <v>0</v>
      </c>
      <c r="S59" s="29">
        <f t="shared" si="31"/>
        <v>0</v>
      </c>
      <c r="T59" s="29">
        <f t="shared" si="31"/>
        <v>0</v>
      </c>
      <c r="U59" s="29">
        <f t="shared" si="31"/>
        <v>0</v>
      </c>
      <c r="V59" s="29">
        <f>SUM(V60,V61)</f>
        <v>0</v>
      </c>
      <c r="W59" s="29">
        <f>SUM(W60,W61)</f>
        <v>0</v>
      </c>
      <c r="X59" s="29">
        <f t="shared" si="5"/>
        <v>0</v>
      </c>
      <c r="Y59" s="29">
        <f t="shared" si="31"/>
        <v>0</v>
      </c>
      <c r="Z59" s="29">
        <f t="shared" si="31"/>
        <v>0</v>
      </c>
      <c r="AA59" s="29">
        <f t="shared" si="31"/>
        <v>0</v>
      </c>
      <c r="AB59" s="29">
        <f t="shared" si="31"/>
        <v>0</v>
      </c>
      <c r="AC59" s="29">
        <f t="shared" si="31"/>
        <v>0</v>
      </c>
      <c r="AD59" s="29">
        <f>SUM(AD60,AD61)</f>
        <v>0</v>
      </c>
      <c r="AE59" s="29">
        <f>SUM(AE60,AE61)</f>
        <v>0</v>
      </c>
      <c r="AF59" s="29">
        <f t="shared" si="6"/>
        <v>0</v>
      </c>
    </row>
    <row r="60" spans="1:32" x14ac:dyDescent="0.2">
      <c r="A60" s="174"/>
      <c r="B60" s="155"/>
      <c r="C60" s="154"/>
      <c r="D60" s="158" t="s">
        <v>19</v>
      </c>
      <c r="E60" s="154" t="s">
        <v>29</v>
      </c>
      <c r="F60" s="110"/>
      <c r="G60" s="460" t="s">
        <v>121</v>
      </c>
      <c r="H60" s="18"/>
      <c r="I60" s="61"/>
      <c r="J60" s="61"/>
      <c r="K60" s="61"/>
      <c r="L60" s="61"/>
      <c r="M60" s="61"/>
      <c r="N60" s="61"/>
      <c r="O60" s="61"/>
      <c r="P60" s="29">
        <f t="shared" si="4"/>
        <v>0</v>
      </c>
      <c r="Q60" s="61"/>
      <c r="R60" s="61"/>
      <c r="S60" s="61"/>
      <c r="T60" s="61"/>
      <c r="U60" s="61"/>
      <c r="V60" s="61"/>
      <c r="W60" s="61"/>
      <c r="X60" s="29">
        <f t="shared" si="5"/>
        <v>0</v>
      </c>
      <c r="Y60" s="61"/>
      <c r="Z60" s="61"/>
      <c r="AA60" s="61"/>
      <c r="AB60" s="61"/>
      <c r="AC60" s="61"/>
      <c r="AD60" s="61"/>
      <c r="AE60" s="61"/>
      <c r="AF60" s="29">
        <f t="shared" si="6"/>
        <v>0</v>
      </c>
    </row>
    <row r="61" spans="1:32" x14ac:dyDescent="0.2">
      <c r="A61" s="175"/>
      <c r="B61" s="179"/>
      <c r="C61" s="180"/>
      <c r="D61" s="184" t="s">
        <v>21</v>
      </c>
      <c r="E61" s="183" t="s">
        <v>30</v>
      </c>
      <c r="F61" s="110"/>
      <c r="G61" s="460" t="s">
        <v>122</v>
      </c>
      <c r="H61" s="18"/>
      <c r="I61" s="61"/>
      <c r="J61" s="61"/>
      <c r="K61" s="61"/>
      <c r="L61" s="61"/>
      <c r="M61" s="61"/>
      <c r="N61" s="61"/>
      <c r="O61" s="61"/>
      <c r="P61" s="29">
        <f t="shared" si="4"/>
        <v>0</v>
      </c>
      <c r="Q61" s="61"/>
      <c r="R61" s="61"/>
      <c r="S61" s="61"/>
      <c r="T61" s="61"/>
      <c r="U61" s="61"/>
      <c r="V61" s="61"/>
      <c r="W61" s="61"/>
      <c r="X61" s="29">
        <f t="shared" si="5"/>
        <v>0</v>
      </c>
      <c r="Y61" s="61"/>
      <c r="Z61" s="61"/>
      <c r="AA61" s="61"/>
      <c r="AB61" s="61"/>
      <c r="AC61" s="61"/>
      <c r="AD61" s="61"/>
      <c r="AE61" s="61"/>
      <c r="AF61" s="29">
        <f t="shared" si="6"/>
        <v>0</v>
      </c>
    </row>
    <row r="62" spans="1:32" x14ac:dyDescent="0.2">
      <c r="A62" s="174"/>
      <c r="B62" s="155"/>
      <c r="C62" s="39" t="s">
        <v>31</v>
      </c>
      <c r="D62" s="525" t="s">
        <v>54</v>
      </c>
      <c r="E62" s="526"/>
      <c r="F62" s="527"/>
      <c r="G62" s="460" t="s">
        <v>123</v>
      </c>
      <c r="H62" s="18"/>
      <c r="I62" s="29">
        <f>SUM(I63,I64)</f>
        <v>0</v>
      </c>
      <c r="J62" s="29">
        <f t="shared" ref="J62:AC62" si="32">SUM(J63,J64)</f>
        <v>0</v>
      </c>
      <c r="K62" s="29">
        <f t="shared" si="32"/>
        <v>0</v>
      </c>
      <c r="L62" s="29">
        <f t="shared" si="32"/>
        <v>0</v>
      </c>
      <c r="M62" s="29">
        <f t="shared" si="32"/>
        <v>0</v>
      </c>
      <c r="N62" s="29">
        <f>SUM(N63,N64)</f>
        <v>0</v>
      </c>
      <c r="O62" s="29">
        <f>SUM(O63,O64)</f>
        <v>0</v>
      </c>
      <c r="P62" s="29">
        <f t="shared" si="4"/>
        <v>0</v>
      </c>
      <c r="Q62" s="29">
        <f t="shared" si="32"/>
        <v>0</v>
      </c>
      <c r="R62" s="29">
        <f t="shared" si="32"/>
        <v>0</v>
      </c>
      <c r="S62" s="29">
        <f t="shared" si="32"/>
        <v>0</v>
      </c>
      <c r="T62" s="29">
        <f t="shared" si="32"/>
        <v>0</v>
      </c>
      <c r="U62" s="29">
        <f t="shared" si="32"/>
        <v>0</v>
      </c>
      <c r="V62" s="29">
        <f>SUM(V63,V64)</f>
        <v>0</v>
      </c>
      <c r="W62" s="29">
        <f>SUM(W63,W64)</f>
        <v>0</v>
      </c>
      <c r="X62" s="29">
        <f t="shared" si="5"/>
        <v>0</v>
      </c>
      <c r="Y62" s="29">
        <f t="shared" si="32"/>
        <v>0</v>
      </c>
      <c r="Z62" s="29">
        <f t="shared" si="32"/>
        <v>0</v>
      </c>
      <c r="AA62" s="29">
        <f t="shared" si="32"/>
        <v>0</v>
      </c>
      <c r="AB62" s="29">
        <f t="shared" si="32"/>
        <v>0</v>
      </c>
      <c r="AC62" s="29">
        <f t="shared" si="32"/>
        <v>0</v>
      </c>
      <c r="AD62" s="29">
        <f>SUM(AD63,AD64)</f>
        <v>0</v>
      </c>
      <c r="AE62" s="29">
        <f>SUM(AE63,AE64)</f>
        <v>0</v>
      </c>
      <c r="AF62" s="29">
        <f t="shared" si="6"/>
        <v>0</v>
      </c>
    </row>
    <row r="63" spans="1:32" x14ac:dyDescent="0.2">
      <c r="A63" s="175"/>
      <c r="B63" s="179"/>
      <c r="C63" s="180"/>
      <c r="D63" s="184" t="s">
        <v>19</v>
      </c>
      <c r="E63" s="183" t="s">
        <v>29</v>
      </c>
      <c r="F63" s="110"/>
      <c r="G63" s="460" t="s">
        <v>124</v>
      </c>
      <c r="H63" s="18"/>
      <c r="I63" s="61"/>
      <c r="J63" s="61"/>
      <c r="K63" s="61"/>
      <c r="L63" s="61"/>
      <c r="M63" s="61"/>
      <c r="N63" s="61"/>
      <c r="O63" s="61"/>
      <c r="P63" s="29">
        <f t="shared" si="4"/>
        <v>0</v>
      </c>
      <c r="Q63" s="61"/>
      <c r="R63" s="61"/>
      <c r="S63" s="61"/>
      <c r="T63" s="61"/>
      <c r="U63" s="61"/>
      <c r="V63" s="61"/>
      <c r="W63" s="61"/>
      <c r="X63" s="29">
        <f t="shared" si="5"/>
        <v>0</v>
      </c>
      <c r="Y63" s="61"/>
      <c r="Z63" s="61"/>
      <c r="AA63" s="61"/>
      <c r="AB63" s="61"/>
      <c r="AC63" s="61"/>
      <c r="AD63" s="61"/>
      <c r="AE63" s="61"/>
      <c r="AF63" s="29">
        <f t="shared" si="6"/>
        <v>0</v>
      </c>
    </row>
    <row r="64" spans="1:32" x14ac:dyDescent="0.2">
      <c r="A64" s="174"/>
      <c r="B64" s="155"/>
      <c r="C64" s="154"/>
      <c r="D64" s="158" t="s">
        <v>21</v>
      </c>
      <c r="E64" s="154" t="s">
        <v>30</v>
      </c>
      <c r="F64" s="110"/>
      <c r="G64" s="460" t="s">
        <v>125</v>
      </c>
      <c r="H64" s="18"/>
      <c r="I64" s="61"/>
      <c r="J64" s="61"/>
      <c r="K64" s="61"/>
      <c r="L64" s="61"/>
      <c r="M64" s="61"/>
      <c r="N64" s="61"/>
      <c r="O64" s="61"/>
      <c r="P64" s="29">
        <f t="shared" si="4"/>
        <v>0</v>
      </c>
      <c r="Q64" s="61"/>
      <c r="R64" s="61"/>
      <c r="S64" s="61"/>
      <c r="T64" s="61"/>
      <c r="U64" s="61"/>
      <c r="V64" s="61"/>
      <c r="W64" s="61"/>
      <c r="X64" s="29">
        <f t="shared" si="5"/>
        <v>0</v>
      </c>
      <c r="Y64" s="61"/>
      <c r="Z64" s="61"/>
      <c r="AA64" s="61"/>
      <c r="AB64" s="61"/>
      <c r="AC64" s="61"/>
      <c r="AD64" s="61"/>
      <c r="AE64" s="61"/>
      <c r="AF64" s="29">
        <f t="shared" si="6"/>
        <v>0</v>
      </c>
    </row>
    <row r="65" spans="1:32" x14ac:dyDescent="0.2">
      <c r="A65" s="175"/>
      <c r="B65" s="187" t="s">
        <v>55</v>
      </c>
      <c r="C65" s="188" t="s">
        <v>56</v>
      </c>
      <c r="D65" s="180"/>
      <c r="E65" s="183"/>
      <c r="F65" s="159"/>
      <c r="G65" s="460" t="s">
        <v>126</v>
      </c>
      <c r="H65" s="18"/>
      <c r="I65" s="29">
        <f>SUM(I66,I70)</f>
        <v>0</v>
      </c>
      <c r="J65" s="29">
        <f>SUM(J66,J70)</f>
        <v>0</v>
      </c>
      <c r="K65" s="29">
        <f t="shared" ref="K65:AC65" si="33">SUM(K66,K70)</f>
        <v>0</v>
      </c>
      <c r="L65" s="29">
        <f t="shared" si="33"/>
        <v>0</v>
      </c>
      <c r="M65" s="29">
        <f t="shared" si="33"/>
        <v>0</v>
      </c>
      <c r="N65" s="29">
        <f>SUM(N66,N70)</f>
        <v>0</v>
      </c>
      <c r="O65" s="29">
        <f>SUM(O66,O70)</f>
        <v>0</v>
      </c>
      <c r="P65" s="29">
        <f t="shared" si="4"/>
        <v>0</v>
      </c>
      <c r="Q65" s="29">
        <f t="shared" si="33"/>
        <v>0</v>
      </c>
      <c r="R65" s="29">
        <f t="shared" si="33"/>
        <v>0</v>
      </c>
      <c r="S65" s="29">
        <f t="shared" si="33"/>
        <v>0</v>
      </c>
      <c r="T65" s="29">
        <f t="shared" si="33"/>
        <v>0</v>
      </c>
      <c r="U65" s="29">
        <f t="shared" si="33"/>
        <v>0</v>
      </c>
      <c r="V65" s="29">
        <f>SUM(V66,V70)</f>
        <v>0</v>
      </c>
      <c r="W65" s="29">
        <f>SUM(W66,W70)</f>
        <v>0</v>
      </c>
      <c r="X65" s="29">
        <f t="shared" si="5"/>
        <v>0</v>
      </c>
      <c r="Y65" s="29">
        <f t="shared" si="33"/>
        <v>0</v>
      </c>
      <c r="Z65" s="29">
        <f t="shared" si="33"/>
        <v>0</v>
      </c>
      <c r="AA65" s="29">
        <f t="shared" si="33"/>
        <v>0</v>
      </c>
      <c r="AB65" s="29">
        <f t="shared" si="33"/>
        <v>0</v>
      </c>
      <c r="AC65" s="29">
        <f t="shared" si="33"/>
        <v>0</v>
      </c>
      <c r="AD65" s="29">
        <f>SUM(AD66,AD70)</f>
        <v>0</v>
      </c>
      <c r="AE65" s="29">
        <f>SUM(AE66,AE70)</f>
        <v>0</v>
      </c>
      <c r="AF65" s="29">
        <f t="shared" si="6"/>
        <v>0</v>
      </c>
    </row>
    <row r="66" spans="1:32" x14ac:dyDescent="0.2">
      <c r="A66" s="174"/>
      <c r="B66" s="153"/>
      <c r="C66" s="154" t="s">
        <v>11</v>
      </c>
      <c r="D66" s="154" t="s">
        <v>57</v>
      </c>
      <c r="E66" s="154"/>
      <c r="F66" s="159"/>
      <c r="G66" s="460" t="s">
        <v>127</v>
      </c>
      <c r="H66" s="18"/>
      <c r="I66" s="29">
        <f>SUM(I67,I68,I69)</f>
        <v>0</v>
      </c>
      <c r="J66" s="29">
        <f>SUM(J67,J68,J69)</f>
        <v>0</v>
      </c>
      <c r="K66" s="29">
        <f t="shared" ref="K66:AC66" si="34">SUM(K67,K68,K69)</f>
        <v>0</v>
      </c>
      <c r="L66" s="29">
        <f t="shared" si="34"/>
        <v>0</v>
      </c>
      <c r="M66" s="29">
        <f t="shared" si="34"/>
        <v>0</v>
      </c>
      <c r="N66" s="29">
        <f>SUM(N67,N68,N69)</f>
        <v>0</v>
      </c>
      <c r="O66" s="29">
        <f>SUM(O67,O68,O69)</f>
        <v>0</v>
      </c>
      <c r="P66" s="29">
        <f t="shared" si="4"/>
        <v>0</v>
      </c>
      <c r="Q66" s="29">
        <f t="shared" si="34"/>
        <v>0</v>
      </c>
      <c r="R66" s="29">
        <f t="shared" si="34"/>
        <v>0</v>
      </c>
      <c r="S66" s="29">
        <f t="shared" si="34"/>
        <v>0</v>
      </c>
      <c r="T66" s="29">
        <f t="shared" si="34"/>
        <v>0</v>
      </c>
      <c r="U66" s="29">
        <f t="shared" si="34"/>
        <v>0</v>
      </c>
      <c r="V66" s="29">
        <f>SUM(V67,V68,V69)</f>
        <v>0</v>
      </c>
      <c r="W66" s="29">
        <f>SUM(W67,W68,W69)</f>
        <v>0</v>
      </c>
      <c r="X66" s="29">
        <f t="shared" si="5"/>
        <v>0</v>
      </c>
      <c r="Y66" s="29">
        <f t="shared" si="34"/>
        <v>0</v>
      </c>
      <c r="Z66" s="29">
        <f t="shared" si="34"/>
        <v>0</v>
      </c>
      <c r="AA66" s="29">
        <f t="shared" si="34"/>
        <v>0</v>
      </c>
      <c r="AB66" s="29">
        <f t="shared" si="34"/>
        <v>0</v>
      </c>
      <c r="AC66" s="29">
        <f t="shared" si="34"/>
        <v>0</v>
      </c>
      <c r="AD66" s="29">
        <f>SUM(AD67,AD68,AD69)</f>
        <v>0</v>
      </c>
      <c r="AE66" s="29">
        <f>SUM(AE67,AE68,AE69)</f>
        <v>0</v>
      </c>
      <c r="AF66" s="29">
        <f t="shared" si="6"/>
        <v>0</v>
      </c>
    </row>
    <row r="67" spans="1:32" x14ac:dyDescent="0.2">
      <c r="A67" s="175"/>
      <c r="B67" s="189"/>
      <c r="C67" s="180"/>
      <c r="D67" s="184" t="s">
        <v>19</v>
      </c>
      <c r="E67" s="183" t="s">
        <v>58</v>
      </c>
      <c r="F67" s="159"/>
      <c r="G67" s="460" t="s">
        <v>128</v>
      </c>
      <c r="H67" s="18"/>
      <c r="I67" s="61"/>
      <c r="J67" s="61"/>
      <c r="K67" s="61"/>
      <c r="L67" s="61"/>
      <c r="M67" s="61"/>
      <c r="N67" s="61"/>
      <c r="O67" s="61"/>
      <c r="P67" s="29">
        <f t="shared" si="4"/>
        <v>0</v>
      </c>
      <c r="Q67" s="61"/>
      <c r="R67" s="61"/>
      <c r="S67" s="61"/>
      <c r="T67" s="61"/>
      <c r="U67" s="61"/>
      <c r="V67" s="61"/>
      <c r="W67" s="61"/>
      <c r="X67" s="29">
        <f t="shared" si="5"/>
        <v>0</v>
      </c>
      <c r="Y67" s="61"/>
      <c r="Z67" s="61"/>
      <c r="AA67" s="61"/>
      <c r="AB67" s="61"/>
      <c r="AC67" s="61"/>
      <c r="AD67" s="61"/>
      <c r="AE67" s="61"/>
      <c r="AF67" s="29">
        <f t="shared" si="6"/>
        <v>0</v>
      </c>
    </row>
    <row r="68" spans="1:32" x14ac:dyDescent="0.2">
      <c r="A68" s="174"/>
      <c r="B68" s="153"/>
      <c r="C68" s="154"/>
      <c r="D68" s="158" t="s">
        <v>21</v>
      </c>
      <c r="E68" s="154" t="s">
        <v>59</v>
      </c>
      <c r="F68" s="159"/>
      <c r="G68" s="460" t="s">
        <v>129</v>
      </c>
      <c r="H68" s="18"/>
      <c r="I68" s="61"/>
      <c r="J68" s="61"/>
      <c r="K68" s="61"/>
      <c r="L68" s="61"/>
      <c r="M68" s="61"/>
      <c r="N68" s="61"/>
      <c r="O68" s="61"/>
      <c r="P68" s="29">
        <f t="shared" si="4"/>
        <v>0</v>
      </c>
      <c r="Q68" s="61"/>
      <c r="R68" s="61"/>
      <c r="S68" s="61"/>
      <c r="T68" s="61"/>
      <c r="U68" s="61"/>
      <c r="V68" s="61"/>
      <c r="W68" s="61"/>
      <c r="X68" s="29">
        <f t="shared" si="5"/>
        <v>0</v>
      </c>
      <c r="Y68" s="61"/>
      <c r="Z68" s="61"/>
      <c r="AA68" s="61"/>
      <c r="AB68" s="61"/>
      <c r="AC68" s="61"/>
      <c r="AD68" s="61"/>
      <c r="AE68" s="61"/>
      <c r="AF68" s="29">
        <f t="shared" si="6"/>
        <v>0</v>
      </c>
    </row>
    <row r="69" spans="1:32" x14ac:dyDescent="0.2">
      <c r="A69" s="175"/>
      <c r="B69" s="189"/>
      <c r="C69" s="180"/>
      <c r="D69" s="149" t="s">
        <v>60</v>
      </c>
      <c r="E69" s="531" t="s">
        <v>61</v>
      </c>
      <c r="F69" s="532"/>
      <c r="G69" s="460" t="s">
        <v>130</v>
      </c>
      <c r="H69" s="18"/>
      <c r="I69" s="61"/>
      <c r="J69" s="61"/>
      <c r="K69" s="61"/>
      <c r="L69" s="61"/>
      <c r="M69" s="61"/>
      <c r="N69" s="61"/>
      <c r="O69" s="61"/>
      <c r="P69" s="29">
        <f t="shared" si="4"/>
        <v>0</v>
      </c>
      <c r="Q69" s="61"/>
      <c r="R69" s="61"/>
      <c r="S69" s="61"/>
      <c r="T69" s="61"/>
      <c r="U69" s="61"/>
      <c r="V69" s="61"/>
      <c r="W69" s="61"/>
      <c r="X69" s="29">
        <f t="shared" si="5"/>
        <v>0</v>
      </c>
      <c r="Y69" s="61"/>
      <c r="Z69" s="61"/>
      <c r="AA69" s="61"/>
      <c r="AB69" s="61"/>
      <c r="AC69" s="61"/>
      <c r="AD69" s="61"/>
      <c r="AE69" s="61"/>
      <c r="AF69" s="29">
        <f t="shared" si="6"/>
        <v>0</v>
      </c>
    </row>
    <row r="70" spans="1:32" x14ac:dyDescent="0.2">
      <c r="A70" s="174"/>
      <c r="B70" s="153"/>
      <c r="C70" s="154" t="s">
        <v>15</v>
      </c>
      <c r="D70" s="39" t="s">
        <v>62</v>
      </c>
      <c r="E70" s="39"/>
      <c r="F70" s="128"/>
      <c r="G70" s="460" t="s">
        <v>131</v>
      </c>
      <c r="H70" s="18"/>
      <c r="I70" s="29">
        <f>SUM(I71,I72,I73)</f>
        <v>0</v>
      </c>
      <c r="J70" s="29">
        <f t="shared" ref="J70:AC70" si="35">SUM(J71,J72,J73)</f>
        <v>0</v>
      </c>
      <c r="K70" s="29">
        <f t="shared" si="35"/>
        <v>0</v>
      </c>
      <c r="L70" s="29">
        <f t="shared" si="35"/>
        <v>0</v>
      </c>
      <c r="M70" s="29">
        <f t="shared" si="35"/>
        <v>0</v>
      </c>
      <c r="N70" s="29">
        <f>SUM(N71,N72,N73)</f>
        <v>0</v>
      </c>
      <c r="O70" s="29">
        <f>SUM(O71,O72,O73)</f>
        <v>0</v>
      </c>
      <c r="P70" s="29">
        <f t="shared" si="4"/>
        <v>0</v>
      </c>
      <c r="Q70" s="29">
        <f t="shared" si="35"/>
        <v>0</v>
      </c>
      <c r="R70" s="29">
        <f t="shared" si="35"/>
        <v>0</v>
      </c>
      <c r="S70" s="29">
        <f t="shared" si="35"/>
        <v>0</v>
      </c>
      <c r="T70" s="29">
        <f t="shared" si="35"/>
        <v>0</v>
      </c>
      <c r="U70" s="29">
        <f t="shared" si="35"/>
        <v>0</v>
      </c>
      <c r="V70" s="29">
        <f>SUM(V71,V72,V73)</f>
        <v>0</v>
      </c>
      <c r="W70" s="29">
        <f>SUM(W71,W72,W73)</f>
        <v>0</v>
      </c>
      <c r="X70" s="29">
        <f t="shared" si="5"/>
        <v>0</v>
      </c>
      <c r="Y70" s="29">
        <f t="shared" si="35"/>
        <v>0</v>
      </c>
      <c r="Z70" s="29">
        <f t="shared" si="35"/>
        <v>0</v>
      </c>
      <c r="AA70" s="29">
        <f t="shared" si="35"/>
        <v>0</v>
      </c>
      <c r="AB70" s="29">
        <f t="shared" si="35"/>
        <v>0</v>
      </c>
      <c r="AC70" s="29">
        <f t="shared" si="35"/>
        <v>0</v>
      </c>
      <c r="AD70" s="29">
        <f>SUM(AD71,AD72,AD73)</f>
        <v>0</v>
      </c>
      <c r="AE70" s="29">
        <f>SUM(AE71,AE72,AE73)</f>
        <v>0</v>
      </c>
      <c r="AF70" s="29">
        <f t="shared" si="6"/>
        <v>0</v>
      </c>
    </row>
    <row r="71" spans="1:32" x14ac:dyDescent="0.2">
      <c r="A71" s="175"/>
      <c r="B71" s="189"/>
      <c r="C71" s="180"/>
      <c r="D71" s="149" t="s">
        <v>19</v>
      </c>
      <c r="E71" s="125" t="s">
        <v>63</v>
      </c>
      <c r="F71" s="128"/>
      <c r="G71" s="460" t="s">
        <v>132</v>
      </c>
      <c r="H71" s="18"/>
      <c r="I71" s="61"/>
      <c r="J71" s="61"/>
      <c r="K71" s="61"/>
      <c r="L71" s="61"/>
      <c r="M71" s="61"/>
      <c r="N71" s="61"/>
      <c r="O71" s="61"/>
      <c r="P71" s="29">
        <f t="shared" si="4"/>
        <v>0</v>
      </c>
      <c r="Q71" s="61"/>
      <c r="R71" s="61"/>
      <c r="S71" s="61"/>
      <c r="T71" s="61"/>
      <c r="U71" s="61"/>
      <c r="V71" s="61"/>
      <c r="W71" s="61"/>
      <c r="X71" s="29">
        <f t="shared" si="5"/>
        <v>0</v>
      </c>
      <c r="Y71" s="61"/>
      <c r="Z71" s="61"/>
      <c r="AA71" s="61"/>
      <c r="AB71" s="61"/>
      <c r="AC71" s="61"/>
      <c r="AD71" s="61"/>
      <c r="AE71" s="61"/>
      <c r="AF71" s="29">
        <f t="shared" si="6"/>
        <v>0</v>
      </c>
    </row>
    <row r="72" spans="1:32" x14ac:dyDescent="0.2">
      <c r="A72" s="174"/>
      <c r="B72" s="153"/>
      <c r="C72" s="154"/>
      <c r="D72" s="150" t="s">
        <v>21</v>
      </c>
      <c r="E72" s="39" t="s">
        <v>64</v>
      </c>
      <c r="F72" s="128"/>
      <c r="G72" s="460" t="s">
        <v>133</v>
      </c>
      <c r="H72" s="18"/>
      <c r="I72" s="61"/>
      <c r="J72" s="61"/>
      <c r="K72" s="61"/>
      <c r="L72" s="61"/>
      <c r="M72" s="61"/>
      <c r="N72" s="61"/>
      <c r="O72" s="61"/>
      <c r="P72" s="29">
        <f t="shared" si="4"/>
        <v>0</v>
      </c>
      <c r="Q72" s="61"/>
      <c r="R72" s="61"/>
      <c r="S72" s="61"/>
      <c r="T72" s="61"/>
      <c r="U72" s="61"/>
      <c r="V72" s="61"/>
      <c r="W72" s="61"/>
      <c r="X72" s="29">
        <f t="shared" si="5"/>
        <v>0</v>
      </c>
      <c r="Y72" s="61"/>
      <c r="Z72" s="61"/>
      <c r="AA72" s="61"/>
      <c r="AB72" s="61"/>
      <c r="AC72" s="61"/>
      <c r="AD72" s="61"/>
      <c r="AE72" s="61"/>
      <c r="AF72" s="29">
        <f t="shared" si="6"/>
        <v>0</v>
      </c>
    </row>
    <row r="73" spans="1:32" x14ac:dyDescent="0.2">
      <c r="A73" s="175"/>
      <c r="B73" s="189"/>
      <c r="C73" s="180"/>
      <c r="D73" s="149" t="s">
        <v>60</v>
      </c>
      <c r="E73" s="531" t="s">
        <v>65</v>
      </c>
      <c r="F73" s="532"/>
      <c r="G73" s="460" t="s">
        <v>134</v>
      </c>
      <c r="H73" s="18"/>
      <c r="I73" s="61"/>
      <c r="J73" s="61"/>
      <c r="K73" s="61"/>
      <c r="L73" s="61"/>
      <c r="M73" s="61"/>
      <c r="N73" s="61"/>
      <c r="O73" s="61"/>
      <c r="P73" s="29">
        <f t="shared" si="4"/>
        <v>0</v>
      </c>
      <c r="Q73" s="61"/>
      <c r="R73" s="61"/>
      <c r="S73" s="61"/>
      <c r="T73" s="61"/>
      <c r="U73" s="61"/>
      <c r="V73" s="61"/>
      <c r="W73" s="61"/>
      <c r="X73" s="29">
        <f t="shared" si="5"/>
        <v>0</v>
      </c>
      <c r="Y73" s="61"/>
      <c r="Z73" s="61"/>
      <c r="AA73" s="61"/>
      <c r="AB73" s="61"/>
      <c r="AC73" s="61"/>
      <c r="AD73" s="61"/>
      <c r="AE73" s="61"/>
      <c r="AF73" s="29">
        <f t="shared" si="6"/>
        <v>0</v>
      </c>
    </row>
    <row r="74" spans="1:32" x14ac:dyDescent="0.2">
      <c r="A74" s="174" t="s">
        <v>66</v>
      </c>
      <c r="B74" s="155"/>
      <c r="C74" s="155"/>
      <c r="D74" s="155"/>
      <c r="E74" s="155"/>
      <c r="F74" s="156"/>
      <c r="G74" s="460" t="s">
        <v>135</v>
      </c>
      <c r="H74" s="18"/>
      <c r="I74" s="29">
        <f t="shared" ref="I74:O74" si="36">SUM(I75,I87,I106,I113)</f>
        <v>0</v>
      </c>
      <c r="J74" s="29">
        <f t="shared" si="36"/>
        <v>0</v>
      </c>
      <c r="K74" s="29">
        <f t="shared" si="36"/>
        <v>0</v>
      </c>
      <c r="L74" s="29">
        <f t="shared" si="36"/>
        <v>0</v>
      </c>
      <c r="M74" s="29">
        <f t="shared" si="36"/>
        <v>0</v>
      </c>
      <c r="N74" s="29">
        <f t="shared" si="36"/>
        <v>0</v>
      </c>
      <c r="O74" s="29">
        <f t="shared" si="36"/>
        <v>0</v>
      </c>
      <c r="P74" s="29">
        <f t="shared" si="4"/>
        <v>0</v>
      </c>
      <c r="Q74" s="29">
        <f t="shared" ref="Q74:W74" si="37">SUM(Q75,Q87,Q106,Q113)</f>
        <v>0</v>
      </c>
      <c r="R74" s="29">
        <f t="shared" si="37"/>
        <v>0</v>
      </c>
      <c r="S74" s="29">
        <f t="shared" si="37"/>
        <v>0</v>
      </c>
      <c r="T74" s="29">
        <f t="shared" si="37"/>
        <v>0</v>
      </c>
      <c r="U74" s="29">
        <f t="shared" si="37"/>
        <v>0</v>
      </c>
      <c r="V74" s="29">
        <f t="shared" si="37"/>
        <v>0</v>
      </c>
      <c r="W74" s="29">
        <f t="shared" si="37"/>
        <v>0</v>
      </c>
      <c r="X74" s="29">
        <f t="shared" si="5"/>
        <v>0</v>
      </c>
      <c r="Y74" s="29">
        <f t="shared" ref="Y74:AE74" si="38">SUM(Y75,Y87,Y106,Y113)</f>
        <v>0</v>
      </c>
      <c r="Z74" s="29">
        <f t="shared" si="38"/>
        <v>0</v>
      </c>
      <c r="AA74" s="29">
        <f t="shared" si="38"/>
        <v>0</v>
      </c>
      <c r="AB74" s="29">
        <f t="shared" si="38"/>
        <v>0</v>
      </c>
      <c r="AC74" s="29">
        <f t="shared" si="38"/>
        <v>0</v>
      </c>
      <c r="AD74" s="29">
        <f t="shared" si="38"/>
        <v>0</v>
      </c>
      <c r="AE74" s="29">
        <f t="shared" si="38"/>
        <v>0</v>
      </c>
      <c r="AF74" s="29">
        <f t="shared" si="6"/>
        <v>0</v>
      </c>
    </row>
    <row r="75" spans="1:32" x14ac:dyDescent="0.2">
      <c r="A75" s="175"/>
      <c r="B75" s="176" t="s">
        <v>9</v>
      </c>
      <c r="C75" s="177" t="s">
        <v>10</v>
      </c>
      <c r="D75" s="106"/>
      <c r="E75" s="178"/>
      <c r="F75" s="156"/>
      <c r="G75" s="460" t="s">
        <v>136</v>
      </c>
      <c r="H75" s="18"/>
      <c r="I75" s="29">
        <f>SUM(I76,I78,I83,I84)</f>
        <v>0</v>
      </c>
      <c r="J75" s="29">
        <f>SUM(J76,J78,J83,J84)</f>
        <v>0</v>
      </c>
      <c r="K75" s="29">
        <f t="shared" ref="K75:AC75" si="39">SUM(K76,K78,K83,K84)</f>
        <v>0</v>
      </c>
      <c r="L75" s="29">
        <f t="shared" si="39"/>
        <v>0</v>
      </c>
      <c r="M75" s="29">
        <f t="shared" si="39"/>
        <v>0</v>
      </c>
      <c r="N75" s="29">
        <f>SUM(N76,N78,N83,N84)</f>
        <v>0</v>
      </c>
      <c r="O75" s="29">
        <f>SUM(O76,O78,O83,O84)</f>
        <v>0</v>
      </c>
      <c r="P75" s="29">
        <f t="shared" ref="P75:P122" si="40">SUM(I75,K75,M75,O75)</f>
        <v>0</v>
      </c>
      <c r="Q75" s="29">
        <f t="shared" si="39"/>
        <v>0</v>
      </c>
      <c r="R75" s="29">
        <f t="shared" si="39"/>
        <v>0</v>
      </c>
      <c r="S75" s="29">
        <f t="shared" si="39"/>
        <v>0</v>
      </c>
      <c r="T75" s="29">
        <f t="shared" si="39"/>
        <v>0</v>
      </c>
      <c r="U75" s="29">
        <f t="shared" si="39"/>
        <v>0</v>
      </c>
      <c r="V75" s="29">
        <f>SUM(V76,V78,V83,V84)</f>
        <v>0</v>
      </c>
      <c r="W75" s="29">
        <f>SUM(W76,W78,W83,W84)</f>
        <v>0</v>
      </c>
      <c r="X75" s="29">
        <f t="shared" ref="X75:X122" si="41">SUM(Q75,S75,U75,W75)</f>
        <v>0</v>
      </c>
      <c r="Y75" s="29">
        <f t="shared" si="39"/>
        <v>0</v>
      </c>
      <c r="Z75" s="29">
        <f t="shared" si="39"/>
        <v>0</v>
      </c>
      <c r="AA75" s="29">
        <f t="shared" si="39"/>
        <v>0</v>
      </c>
      <c r="AB75" s="29">
        <f t="shared" si="39"/>
        <v>0</v>
      </c>
      <c r="AC75" s="29">
        <f t="shared" si="39"/>
        <v>0</v>
      </c>
      <c r="AD75" s="29">
        <f>SUM(AD76,AD78,AD83,AD84)</f>
        <v>0</v>
      </c>
      <c r="AE75" s="29">
        <f>SUM(AE76,AE78,AE83,AE84)</f>
        <v>0</v>
      </c>
      <c r="AF75" s="29">
        <f t="shared" ref="AF75:AF122" si="42">SUM(Y75,AA75,AC75,AE75)</f>
        <v>0</v>
      </c>
    </row>
    <row r="76" spans="1:32" x14ac:dyDescent="0.2">
      <c r="A76" s="174"/>
      <c r="B76" s="3"/>
      <c r="C76" s="154" t="s">
        <v>11</v>
      </c>
      <c r="D76" s="157" t="s">
        <v>12</v>
      </c>
      <c r="E76" s="155"/>
      <c r="F76" s="156"/>
      <c r="G76" s="460" t="s">
        <v>787</v>
      </c>
      <c r="H76" s="18"/>
      <c r="I76" s="73">
        <f t="shared" ref="I76:O76" si="43">SUM(I77)</f>
        <v>0</v>
      </c>
      <c r="J76" s="73">
        <f t="shared" si="43"/>
        <v>0</v>
      </c>
      <c r="K76" s="73">
        <f t="shared" si="43"/>
        <v>0</v>
      </c>
      <c r="L76" s="73">
        <f t="shared" si="43"/>
        <v>0</v>
      </c>
      <c r="M76" s="73">
        <f t="shared" si="43"/>
        <v>0</v>
      </c>
      <c r="N76" s="73">
        <f t="shared" si="43"/>
        <v>0</v>
      </c>
      <c r="O76" s="73">
        <f t="shared" si="43"/>
        <v>0</v>
      </c>
      <c r="P76" s="73">
        <f t="shared" si="40"/>
        <v>0</v>
      </c>
      <c r="Q76" s="73">
        <f>SUM(Q77)</f>
        <v>0</v>
      </c>
      <c r="R76" s="73">
        <f t="shared" ref="R76:W76" si="44">SUM(R77)</f>
        <v>0</v>
      </c>
      <c r="S76" s="73">
        <f t="shared" si="44"/>
        <v>0</v>
      </c>
      <c r="T76" s="73">
        <f t="shared" si="44"/>
        <v>0</v>
      </c>
      <c r="U76" s="73">
        <f t="shared" si="44"/>
        <v>0</v>
      </c>
      <c r="V76" s="73">
        <f t="shared" si="44"/>
        <v>0</v>
      </c>
      <c r="W76" s="73">
        <f t="shared" si="44"/>
        <v>0</v>
      </c>
      <c r="X76" s="73">
        <f t="shared" si="41"/>
        <v>0</v>
      </c>
      <c r="Y76" s="73">
        <f t="shared" ref="Y76:AE76" si="45">SUM(Y77)</f>
        <v>0</v>
      </c>
      <c r="Z76" s="73">
        <f t="shared" si="45"/>
        <v>0</v>
      </c>
      <c r="AA76" s="73">
        <f t="shared" si="45"/>
        <v>0</v>
      </c>
      <c r="AB76" s="73">
        <f t="shared" si="45"/>
        <v>0</v>
      </c>
      <c r="AC76" s="73">
        <f t="shared" si="45"/>
        <v>0</v>
      </c>
      <c r="AD76" s="73">
        <f t="shared" si="45"/>
        <v>0</v>
      </c>
      <c r="AE76" s="73">
        <f t="shared" si="45"/>
        <v>0</v>
      </c>
      <c r="AF76" s="73">
        <f t="shared" si="42"/>
        <v>0</v>
      </c>
    </row>
    <row r="77" spans="1:32" x14ac:dyDescent="0.2">
      <c r="A77" s="175"/>
      <c r="B77" s="179"/>
      <c r="C77" s="180"/>
      <c r="D77" s="181" t="s">
        <v>13</v>
      </c>
      <c r="E77" s="182" t="s">
        <v>14</v>
      </c>
      <c r="F77" s="156"/>
      <c r="G77" s="460" t="s">
        <v>137</v>
      </c>
      <c r="H77" s="18"/>
      <c r="I77" s="61"/>
      <c r="J77" s="61"/>
      <c r="K77" s="61"/>
      <c r="L77" s="61"/>
      <c r="M77" s="61"/>
      <c r="N77" s="61"/>
      <c r="O77" s="61"/>
      <c r="P77" s="29">
        <f t="shared" si="40"/>
        <v>0</v>
      </c>
      <c r="Q77" s="61"/>
      <c r="R77" s="61"/>
      <c r="S77" s="61"/>
      <c r="T77" s="61"/>
      <c r="U77" s="61"/>
      <c r="V77" s="61"/>
      <c r="W77" s="61"/>
      <c r="X77" s="29">
        <f t="shared" si="41"/>
        <v>0</v>
      </c>
      <c r="Y77" s="61"/>
      <c r="Z77" s="61"/>
      <c r="AA77" s="61"/>
      <c r="AB77" s="61"/>
      <c r="AC77" s="61"/>
      <c r="AD77" s="61"/>
      <c r="AE77" s="61"/>
      <c r="AF77" s="29">
        <f t="shared" si="42"/>
        <v>0</v>
      </c>
    </row>
    <row r="78" spans="1:32" x14ac:dyDescent="0.2">
      <c r="A78" s="174"/>
      <c r="B78" s="155"/>
      <c r="C78" s="39" t="s">
        <v>15</v>
      </c>
      <c r="D78" s="154" t="s">
        <v>16</v>
      </c>
      <c r="E78" s="154"/>
      <c r="F78" s="156"/>
      <c r="G78" s="460" t="s">
        <v>138</v>
      </c>
      <c r="H78" s="18"/>
      <c r="I78" s="29">
        <f>SUM(I79,I82)</f>
        <v>0</v>
      </c>
      <c r="J78" s="29">
        <f>SUM(J79,J82)</f>
        <v>0</v>
      </c>
      <c r="K78" s="29">
        <f t="shared" ref="K78:AC78" si="46">SUM(K79,K82)</f>
        <v>0</v>
      </c>
      <c r="L78" s="29">
        <f t="shared" si="46"/>
        <v>0</v>
      </c>
      <c r="M78" s="29">
        <f t="shared" si="46"/>
        <v>0</v>
      </c>
      <c r="N78" s="29">
        <f>SUM(N79,N82)</f>
        <v>0</v>
      </c>
      <c r="O78" s="29">
        <f>SUM(O79,O82)</f>
        <v>0</v>
      </c>
      <c r="P78" s="29">
        <f t="shared" si="40"/>
        <v>0</v>
      </c>
      <c r="Q78" s="29">
        <f t="shared" si="46"/>
        <v>0</v>
      </c>
      <c r="R78" s="29">
        <f t="shared" si="46"/>
        <v>0</v>
      </c>
      <c r="S78" s="29">
        <f t="shared" si="46"/>
        <v>0</v>
      </c>
      <c r="T78" s="29">
        <f t="shared" si="46"/>
        <v>0</v>
      </c>
      <c r="U78" s="29">
        <f t="shared" si="46"/>
        <v>0</v>
      </c>
      <c r="V78" s="29">
        <f>SUM(V79,V82)</f>
        <v>0</v>
      </c>
      <c r="W78" s="29">
        <f>SUM(W79,W82)</f>
        <v>0</v>
      </c>
      <c r="X78" s="29">
        <f t="shared" si="41"/>
        <v>0</v>
      </c>
      <c r="Y78" s="29">
        <f t="shared" si="46"/>
        <v>0</v>
      </c>
      <c r="Z78" s="29">
        <f t="shared" si="46"/>
        <v>0</v>
      </c>
      <c r="AA78" s="29">
        <f t="shared" si="46"/>
        <v>0</v>
      </c>
      <c r="AB78" s="29">
        <f t="shared" si="46"/>
        <v>0</v>
      </c>
      <c r="AC78" s="29">
        <f t="shared" si="46"/>
        <v>0</v>
      </c>
      <c r="AD78" s="29">
        <f>SUM(AD79,AD82)</f>
        <v>0</v>
      </c>
      <c r="AE78" s="29">
        <f>SUM(AE79,AE82)</f>
        <v>0</v>
      </c>
      <c r="AF78" s="29">
        <f t="shared" si="42"/>
        <v>0</v>
      </c>
    </row>
    <row r="79" spans="1:32" x14ac:dyDescent="0.2">
      <c r="A79" s="175"/>
      <c r="B79" s="179"/>
      <c r="C79" s="180"/>
      <c r="D79" s="124" t="s">
        <v>17</v>
      </c>
      <c r="E79" s="183" t="s">
        <v>18</v>
      </c>
      <c r="F79" s="156"/>
      <c r="G79" s="460" t="s">
        <v>139</v>
      </c>
      <c r="H79" s="18"/>
      <c r="I79" s="29">
        <f>SUM(I80,I81)</f>
        <v>0</v>
      </c>
      <c r="J79" s="29">
        <f>SUM(J80,J81)</f>
        <v>0</v>
      </c>
      <c r="K79" s="29">
        <f t="shared" ref="K79:AC79" si="47">SUM(K80,K81)</f>
        <v>0</v>
      </c>
      <c r="L79" s="29">
        <f t="shared" si="47"/>
        <v>0</v>
      </c>
      <c r="M79" s="29">
        <f t="shared" si="47"/>
        <v>0</v>
      </c>
      <c r="N79" s="29">
        <f>SUM(N80,N81)</f>
        <v>0</v>
      </c>
      <c r="O79" s="29">
        <f>SUM(O80,O81)</f>
        <v>0</v>
      </c>
      <c r="P79" s="29">
        <f t="shared" si="40"/>
        <v>0</v>
      </c>
      <c r="Q79" s="29">
        <f t="shared" si="47"/>
        <v>0</v>
      </c>
      <c r="R79" s="29">
        <f t="shared" si="47"/>
        <v>0</v>
      </c>
      <c r="S79" s="29">
        <f t="shared" si="47"/>
        <v>0</v>
      </c>
      <c r="T79" s="29">
        <f t="shared" si="47"/>
        <v>0</v>
      </c>
      <c r="U79" s="29">
        <f t="shared" si="47"/>
        <v>0</v>
      </c>
      <c r="V79" s="29">
        <f>SUM(V80,V81)</f>
        <v>0</v>
      </c>
      <c r="W79" s="29">
        <f>SUM(W80,W81)</f>
        <v>0</v>
      </c>
      <c r="X79" s="29">
        <f t="shared" si="41"/>
        <v>0</v>
      </c>
      <c r="Y79" s="29">
        <f t="shared" si="47"/>
        <v>0</v>
      </c>
      <c r="Z79" s="29">
        <f t="shared" si="47"/>
        <v>0</v>
      </c>
      <c r="AA79" s="29">
        <f t="shared" si="47"/>
        <v>0</v>
      </c>
      <c r="AB79" s="29">
        <f t="shared" si="47"/>
        <v>0</v>
      </c>
      <c r="AC79" s="29">
        <f t="shared" si="47"/>
        <v>0</v>
      </c>
      <c r="AD79" s="29">
        <f>SUM(AD80,AD81)</f>
        <v>0</v>
      </c>
      <c r="AE79" s="29">
        <f>SUM(AE80,AE81)</f>
        <v>0</v>
      </c>
      <c r="AF79" s="29">
        <f t="shared" si="42"/>
        <v>0</v>
      </c>
    </row>
    <row r="80" spans="1:32" x14ac:dyDescent="0.2">
      <c r="A80" s="174"/>
      <c r="B80" s="155"/>
      <c r="C80" s="39"/>
      <c r="D80" s="158" t="s">
        <v>19</v>
      </c>
      <c r="E80" s="154" t="s">
        <v>20</v>
      </c>
      <c r="F80" s="156"/>
      <c r="G80" s="460" t="s">
        <v>140</v>
      </c>
      <c r="H80" s="18"/>
      <c r="I80" s="61"/>
      <c r="J80" s="61"/>
      <c r="K80" s="61"/>
      <c r="L80" s="61"/>
      <c r="M80" s="61"/>
      <c r="N80" s="61"/>
      <c r="O80" s="61"/>
      <c r="P80" s="29">
        <f t="shared" si="40"/>
        <v>0</v>
      </c>
      <c r="Q80" s="61"/>
      <c r="R80" s="61"/>
      <c r="S80" s="61"/>
      <c r="T80" s="61"/>
      <c r="U80" s="61"/>
      <c r="V80" s="61"/>
      <c r="W80" s="61"/>
      <c r="X80" s="29">
        <f t="shared" si="41"/>
        <v>0</v>
      </c>
      <c r="Y80" s="61"/>
      <c r="Z80" s="61"/>
      <c r="AA80" s="61"/>
      <c r="AB80" s="61"/>
      <c r="AC80" s="61"/>
      <c r="AD80" s="61"/>
      <c r="AE80" s="61"/>
      <c r="AF80" s="29">
        <f t="shared" si="42"/>
        <v>0</v>
      </c>
    </row>
    <row r="81" spans="1:32" x14ac:dyDescent="0.2">
      <c r="A81" s="175"/>
      <c r="B81" s="179"/>
      <c r="C81" s="124"/>
      <c r="D81" s="184" t="s">
        <v>21</v>
      </c>
      <c r="E81" s="183" t="s">
        <v>22</v>
      </c>
      <c r="F81" s="156"/>
      <c r="G81" s="460" t="s">
        <v>141</v>
      </c>
      <c r="H81" s="18"/>
      <c r="I81" s="61"/>
      <c r="J81" s="61"/>
      <c r="K81" s="61"/>
      <c r="L81" s="61"/>
      <c r="M81" s="61"/>
      <c r="N81" s="61"/>
      <c r="O81" s="61"/>
      <c r="P81" s="29">
        <f t="shared" si="40"/>
        <v>0</v>
      </c>
      <c r="Q81" s="61"/>
      <c r="R81" s="61"/>
      <c r="S81" s="61"/>
      <c r="T81" s="61"/>
      <c r="U81" s="61"/>
      <c r="V81" s="61"/>
      <c r="W81" s="61"/>
      <c r="X81" s="29">
        <f t="shared" si="41"/>
        <v>0</v>
      </c>
      <c r="Y81" s="61"/>
      <c r="Z81" s="61"/>
      <c r="AA81" s="61"/>
      <c r="AB81" s="61"/>
      <c r="AC81" s="61"/>
      <c r="AD81" s="61"/>
      <c r="AE81" s="61"/>
      <c r="AF81" s="29">
        <f t="shared" si="42"/>
        <v>0</v>
      </c>
    </row>
    <row r="82" spans="1:32" x14ac:dyDescent="0.2">
      <c r="A82" s="174"/>
      <c r="B82" s="155"/>
      <c r="C82" s="154"/>
      <c r="D82" s="39" t="s">
        <v>23</v>
      </c>
      <c r="E82" s="154" t="s">
        <v>24</v>
      </c>
      <c r="F82" s="156"/>
      <c r="G82" s="460" t="s">
        <v>142</v>
      </c>
      <c r="H82" s="18"/>
      <c r="I82" s="61"/>
      <c r="J82" s="61"/>
      <c r="K82" s="61"/>
      <c r="L82" s="61"/>
      <c r="M82" s="61"/>
      <c r="N82" s="61"/>
      <c r="O82" s="61"/>
      <c r="P82" s="29">
        <f t="shared" si="40"/>
        <v>0</v>
      </c>
      <c r="Q82" s="61"/>
      <c r="R82" s="61"/>
      <c r="S82" s="61"/>
      <c r="T82" s="61"/>
      <c r="U82" s="61"/>
      <c r="V82" s="61"/>
      <c r="W82" s="61"/>
      <c r="X82" s="29">
        <f t="shared" si="41"/>
        <v>0</v>
      </c>
      <c r="Y82" s="61"/>
      <c r="Z82" s="61"/>
      <c r="AA82" s="61"/>
      <c r="AB82" s="61"/>
      <c r="AC82" s="61"/>
      <c r="AD82" s="61"/>
      <c r="AE82" s="61"/>
      <c r="AF82" s="29">
        <f t="shared" si="42"/>
        <v>0</v>
      </c>
    </row>
    <row r="83" spans="1:32" x14ac:dyDescent="0.2">
      <c r="A83" s="175"/>
      <c r="B83" s="179"/>
      <c r="C83" s="180" t="s">
        <v>25</v>
      </c>
      <c r="D83" s="180" t="s">
        <v>26</v>
      </c>
      <c r="E83" s="183"/>
      <c r="F83" s="159"/>
      <c r="G83" s="460" t="s">
        <v>143</v>
      </c>
      <c r="H83" s="18"/>
      <c r="I83" s="61"/>
      <c r="J83" s="61"/>
      <c r="K83" s="61"/>
      <c r="L83" s="61"/>
      <c r="M83" s="61"/>
      <c r="N83" s="61"/>
      <c r="O83" s="61"/>
      <c r="P83" s="29">
        <f t="shared" si="40"/>
        <v>0</v>
      </c>
      <c r="Q83" s="61"/>
      <c r="R83" s="61"/>
      <c r="S83" s="61"/>
      <c r="T83" s="61"/>
      <c r="U83" s="61"/>
      <c r="V83" s="61"/>
      <c r="W83" s="61"/>
      <c r="X83" s="29">
        <f t="shared" si="41"/>
        <v>0</v>
      </c>
      <c r="Y83" s="61"/>
      <c r="Z83" s="61"/>
      <c r="AA83" s="61"/>
      <c r="AB83" s="61"/>
      <c r="AC83" s="61"/>
      <c r="AD83" s="61"/>
      <c r="AE83" s="61"/>
      <c r="AF83" s="29">
        <f t="shared" si="42"/>
        <v>0</v>
      </c>
    </row>
    <row r="84" spans="1:32" x14ac:dyDescent="0.2">
      <c r="A84" s="174"/>
      <c r="B84" s="155"/>
      <c r="C84" s="39" t="s">
        <v>67</v>
      </c>
      <c r="D84" s="525" t="s">
        <v>28</v>
      </c>
      <c r="E84" s="526"/>
      <c r="F84" s="527"/>
      <c r="G84" s="460" t="s">
        <v>144</v>
      </c>
      <c r="H84" s="18"/>
      <c r="I84" s="29">
        <f>SUM(I85,I86)</f>
        <v>0</v>
      </c>
      <c r="J84" s="29">
        <f>SUM(J85,J86)</f>
        <v>0</v>
      </c>
      <c r="K84" s="29">
        <f t="shared" ref="K84:AC84" si="48">SUM(K85,K86)</f>
        <v>0</v>
      </c>
      <c r="L84" s="29">
        <f t="shared" si="48"/>
        <v>0</v>
      </c>
      <c r="M84" s="29">
        <f t="shared" si="48"/>
        <v>0</v>
      </c>
      <c r="N84" s="29">
        <f>SUM(N85,N86)</f>
        <v>0</v>
      </c>
      <c r="O84" s="29">
        <f>SUM(O85,O86)</f>
        <v>0</v>
      </c>
      <c r="P84" s="29">
        <f t="shared" si="40"/>
        <v>0</v>
      </c>
      <c r="Q84" s="29">
        <f t="shared" si="48"/>
        <v>0</v>
      </c>
      <c r="R84" s="29">
        <f t="shared" si="48"/>
        <v>0</v>
      </c>
      <c r="S84" s="29">
        <f t="shared" si="48"/>
        <v>0</v>
      </c>
      <c r="T84" s="29">
        <f t="shared" si="48"/>
        <v>0</v>
      </c>
      <c r="U84" s="29">
        <f t="shared" si="48"/>
        <v>0</v>
      </c>
      <c r="V84" s="29">
        <f>SUM(V85,V86)</f>
        <v>0</v>
      </c>
      <c r="W84" s="29">
        <f>SUM(W85,W86)</f>
        <v>0</v>
      </c>
      <c r="X84" s="29">
        <f t="shared" si="41"/>
        <v>0</v>
      </c>
      <c r="Y84" s="29">
        <f t="shared" si="48"/>
        <v>0</v>
      </c>
      <c r="Z84" s="29">
        <f t="shared" si="48"/>
        <v>0</v>
      </c>
      <c r="AA84" s="29">
        <f t="shared" si="48"/>
        <v>0</v>
      </c>
      <c r="AB84" s="29">
        <f t="shared" si="48"/>
        <v>0</v>
      </c>
      <c r="AC84" s="29">
        <f t="shared" si="48"/>
        <v>0</v>
      </c>
      <c r="AD84" s="29">
        <f>SUM(AD85,AD86)</f>
        <v>0</v>
      </c>
      <c r="AE84" s="29">
        <f>SUM(AE85,AE86)</f>
        <v>0</v>
      </c>
      <c r="AF84" s="29">
        <f t="shared" si="42"/>
        <v>0</v>
      </c>
    </row>
    <row r="85" spans="1:32" x14ac:dyDescent="0.2">
      <c r="A85" s="175"/>
      <c r="B85" s="179"/>
      <c r="C85" s="180"/>
      <c r="D85" s="184" t="s">
        <v>19</v>
      </c>
      <c r="E85" s="183" t="s">
        <v>29</v>
      </c>
      <c r="F85" s="159"/>
      <c r="G85" s="460" t="s">
        <v>145</v>
      </c>
      <c r="H85" s="18"/>
      <c r="I85" s="61"/>
      <c r="J85" s="61"/>
      <c r="K85" s="61"/>
      <c r="L85" s="61"/>
      <c r="M85" s="61"/>
      <c r="N85" s="61"/>
      <c r="O85" s="61"/>
      <c r="P85" s="29">
        <f t="shared" si="40"/>
        <v>0</v>
      </c>
      <c r="Q85" s="61"/>
      <c r="R85" s="61"/>
      <c r="S85" s="61"/>
      <c r="T85" s="61"/>
      <c r="U85" s="61"/>
      <c r="V85" s="61"/>
      <c r="W85" s="61"/>
      <c r="X85" s="29">
        <f t="shared" si="41"/>
        <v>0</v>
      </c>
      <c r="Y85" s="61"/>
      <c r="Z85" s="61"/>
      <c r="AA85" s="61"/>
      <c r="AB85" s="61"/>
      <c r="AC85" s="61"/>
      <c r="AD85" s="61"/>
      <c r="AE85" s="61"/>
      <c r="AF85" s="29">
        <f t="shared" si="42"/>
        <v>0</v>
      </c>
    </row>
    <row r="86" spans="1:32" s="21" customFormat="1" x14ac:dyDescent="0.2">
      <c r="A86" s="174"/>
      <c r="B86" s="155"/>
      <c r="C86" s="154"/>
      <c r="D86" s="158" t="s">
        <v>21</v>
      </c>
      <c r="E86" s="154" t="s">
        <v>30</v>
      </c>
      <c r="F86" s="159"/>
      <c r="G86" s="460" t="s">
        <v>146</v>
      </c>
      <c r="H86" s="18"/>
      <c r="I86" s="61"/>
      <c r="J86" s="61"/>
      <c r="K86" s="61"/>
      <c r="L86" s="61"/>
      <c r="M86" s="61"/>
      <c r="N86" s="61"/>
      <c r="O86" s="61"/>
      <c r="P86" s="29">
        <f t="shared" si="40"/>
        <v>0</v>
      </c>
      <c r="Q86" s="61"/>
      <c r="R86" s="61"/>
      <c r="S86" s="61"/>
      <c r="T86" s="61"/>
      <c r="U86" s="61"/>
      <c r="V86" s="61"/>
      <c r="W86" s="61"/>
      <c r="X86" s="29">
        <f t="shared" si="41"/>
        <v>0</v>
      </c>
      <c r="Y86" s="61"/>
      <c r="Z86" s="61"/>
      <c r="AA86" s="61"/>
      <c r="AB86" s="61"/>
      <c r="AC86" s="61"/>
      <c r="AD86" s="61"/>
      <c r="AE86" s="61"/>
      <c r="AF86" s="29">
        <f t="shared" si="42"/>
        <v>0</v>
      </c>
    </row>
    <row r="87" spans="1:32" x14ac:dyDescent="0.2">
      <c r="A87" s="175"/>
      <c r="B87" s="176" t="s">
        <v>33</v>
      </c>
      <c r="C87" s="177" t="s">
        <v>34</v>
      </c>
      <c r="D87" s="181"/>
      <c r="E87" s="183"/>
      <c r="F87" s="159"/>
      <c r="G87" s="460" t="s">
        <v>147</v>
      </c>
      <c r="H87" s="18"/>
      <c r="I87" s="79"/>
      <c r="J87" s="29">
        <f t="shared" ref="J87:O87" si="49">SUM(J88,J95,J98,J99)</f>
        <v>0</v>
      </c>
      <c r="K87" s="29">
        <f t="shared" si="49"/>
        <v>0</v>
      </c>
      <c r="L87" s="29">
        <f t="shared" si="49"/>
        <v>0</v>
      </c>
      <c r="M87" s="29">
        <f t="shared" si="49"/>
        <v>0</v>
      </c>
      <c r="N87" s="29">
        <f t="shared" si="49"/>
        <v>0</v>
      </c>
      <c r="O87" s="29">
        <f t="shared" si="49"/>
        <v>0</v>
      </c>
      <c r="P87" s="29">
        <f t="shared" si="40"/>
        <v>0</v>
      </c>
      <c r="Q87" s="29">
        <f>SUM(Q88,Q95,Q98,Q99)</f>
        <v>0</v>
      </c>
      <c r="R87" s="79"/>
      <c r="S87" s="79"/>
      <c r="T87" s="29">
        <f>SUM(T88,T95,T98,T99)</f>
        <v>0</v>
      </c>
      <c r="U87" s="29">
        <f>SUM(U88,U95,U98,U99)</f>
        <v>0</v>
      </c>
      <c r="V87" s="29">
        <f>SUM(V88,V95,V98,V99)</f>
        <v>0</v>
      </c>
      <c r="W87" s="29">
        <f>SUM(W88,W95,W98,W99)</f>
        <v>0</v>
      </c>
      <c r="X87" s="29">
        <f t="shared" si="41"/>
        <v>0</v>
      </c>
      <c r="Y87" s="29">
        <f>SUM(Y88,Y95,Y98,Y99)</f>
        <v>0</v>
      </c>
      <c r="Z87" s="79"/>
      <c r="AA87" s="79"/>
      <c r="AB87" s="29">
        <f>SUM(AB88,AB95,AB98,AB99)</f>
        <v>0</v>
      </c>
      <c r="AC87" s="29">
        <f>SUM(AC88,AC95,AC98,AC99)</f>
        <v>0</v>
      </c>
      <c r="AD87" s="29">
        <f>SUM(AD88,AD95,AD98,AD99)</f>
        <v>0</v>
      </c>
      <c r="AE87" s="29">
        <f>SUM(AE88,AE95,AE98,AE99)</f>
        <v>0</v>
      </c>
      <c r="AF87" s="29">
        <f t="shared" si="42"/>
        <v>0</v>
      </c>
    </row>
    <row r="88" spans="1:32" x14ac:dyDescent="0.2">
      <c r="A88" s="174"/>
      <c r="B88" s="155"/>
      <c r="C88" s="154" t="s">
        <v>11</v>
      </c>
      <c r="D88" s="154" t="s">
        <v>600</v>
      </c>
      <c r="E88" s="154"/>
      <c r="F88" s="159"/>
      <c r="G88" s="460" t="s">
        <v>148</v>
      </c>
      <c r="H88" s="18"/>
      <c r="I88" s="79"/>
      <c r="J88" s="29">
        <f t="shared" ref="J88:O88" si="50">SUM(J89,J93,J94)</f>
        <v>0</v>
      </c>
      <c r="K88" s="29">
        <f t="shared" si="50"/>
        <v>0</v>
      </c>
      <c r="L88" s="29">
        <f t="shared" si="50"/>
        <v>0</v>
      </c>
      <c r="M88" s="29">
        <f t="shared" si="50"/>
        <v>0</v>
      </c>
      <c r="N88" s="29">
        <f t="shared" si="50"/>
        <v>0</v>
      </c>
      <c r="O88" s="29">
        <f t="shared" si="50"/>
        <v>0</v>
      </c>
      <c r="P88" s="29">
        <f t="shared" si="40"/>
        <v>0</v>
      </c>
      <c r="Q88" s="29">
        <f>SUM(Q89,Q93,Q94)</f>
        <v>0</v>
      </c>
      <c r="R88" s="79"/>
      <c r="S88" s="79"/>
      <c r="T88" s="29">
        <f>SUM(T89,T93,T94)</f>
        <v>0</v>
      </c>
      <c r="U88" s="29">
        <f>SUM(U89,U93,U94)</f>
        <v>0</v>
      </c>
      <c r="V88" s="29">
        <f>SUM(V89,V93,V94)</f>
        <v>0</v>
      </c>
      <c r="W88" s="29">
        <f>SUM(W89,W93,W94)</f>
        <v>0</v>
      </c>
      <c r="X88" s="29">
        <f t="shared" si="41"/>
        <v>0</v>
      </c>
      <c r="Y88" s="29">
        <f>SUM(Y89,Y93,Y94)</f>
        <v>0</v>
      </c>
      <c r="Z88" s="79"/>
      <c r="AA88" s="79"/>
      <c r="AB88" s="29">
        <f>SUM(AB89,AB93,AB94)</f>
        <v>0</v>
      </c>
      <c r="AC88" s="29">
        <f>SUM(AC89,AC93,AC94)</f>
        <v>0</v>
      </c>
      <c r="AD88" s="29">
        <f>SUM(AD89,AD93,AD94)</f>
        <v>0</v>
      </c>
      <c r="AE88" s="29">
        <f>SUM(AE89,AE93,AE94)</f>
        <v>0</v>
      </c>
      <c r="AF88" s="29">
        <f t="shared" si="42"/>
        <v>0</v>
      </c>
    </row>
    <row r="89" spans="1:32" x14ac:dyDescent="0.2">
      <c r="A89" s="175"/>
      <c r="B89" s="179"/>
      <c r="C89" s="180"/>
      <c r="D89" s="186">
        <v>-1</v>
      </c>
      <c r="E89" s="183" t="s">
        <v>601</v>
      </c>
      <c r="F89" s="159"/>
      <c r="G89" s="460" t="s">
        <v>149</v>
      </c>
      <c r="H89" s="18"/>
      <c r="I89" s="79"/>
      <c r="J89" s="29">
        <f t="shared" ref="J89:O89" si="51">SUM(J90,J91)</f>
        <v>0</v>
      </c>
      <c r="K89" s="29">
        <f t="shared" si="51"/>
        <v>0</v>
      </c>
      <c r="L89" s="29">
        <f t="shared" si="51"/>
        <v>0</v>
      </c>
      <c r="M89" s="29">
        <f t="shared" si="51"/>
        <v>0</v>
      </c>
      <c r="N89" s="29">
        <f t="shared" si="51"/>
        <v>0</v>
      </c>
      <c r="O89" s="29">
        <f t="shared" si="51"/>
        <v>0</v>
      </c>
      <c r="P89" s="29">
        <f t="shared" si="40"/>
        <v>0</v>
      </c>
      <c r="Q89" s="29">
        <f>SUM(Q90,Q91)</f>
        <v>0</v>
      </c>
      <c r="R89" s="79"/>
      <c r="S89" s="79"/>
      <c r="T89" s="29">
        <f>SUM(T90,T91)</f>
        <v>0</v>
      </c>
      <c r="U89" s="29">
        <f>SUM(U90,U91)</f>
        <v>0</v>
      </c>
      <c r="V89" s="29">
        <f>SUM(V90,V91)</f>
        <v>0</v>
      </c>
      <c r="W89" s="29">
        <f>SUM(W90,W91)</f>
        <v>0</v>
      </c>
      <c r="X89" s="29">
        <f t="shared" si="41"/>
        <v>0</v>
      </c>
      <c r="Y89" s="29">
        <f>SUM(Y90,Y91)</f>
        <v>0</v>
      </c>
      <c r="Z89" s="79"/>
      <c r="AA89" s="79"/>
      <c r="AB89" s="29">
        <f>SUM(AB90,AB91)</f>
        <v>0</v>
      </c>
      <c r="AC89" s="29">
        <f>SUM(AC90,AC91)</f>
        <v>0</v>
      </c>
      <c r="AD89" s="29">
        <f>SUM(AD90,AD91)</f>
        <v>0</v>
      </c>
      <c r="AE89" s="29">
        <f>SUM(AE90,AE91)</f>
        <v>0</v>
      </c>
      <c r="AF89" s="29">
        <f t="shared" si="42"/>
        <v>0</v>
      </c>
    </row>
    <row r="90" spans="1:32" x14ac:dyDescent="0.2">
      <c r="A90" s="174"/>
      <c r="B90" s="155"/>
      <c r="C90" s="154"/>
      <c r="D90" s="164" t="s">
        <v>35</v>
      </c>
      <c r="E90" s="154" t="s">
        <v>29</v>
      </c>
      <c r="F90" s="159"/>
      <c r="G90" s="460" t="s">
        <v>150</v>
      </c>
      <c r="H90" s="18"/>
      <c r="I90" s="79"/>
      <c r="J90" s="61"/>
      <c r="K90" s="61"/>
      <c r="L90" s="61"/>
      <c r="M90" s="61"/>
      <c r="N90" s="61"/>
      <c r="O90" s="61"/>
      <c r="P90" s="29">
        <f t="shared" si="40"/>
        <v>0</v>
      </c>
      <c r="Q90" s="74"/>
      <c r="R90" s="303"/>
      <c r="S90" s="303"/>
      <c r="T90" s="61"/>
      <c r="U90" s="61"/>
      <c r="V90" s="61"/>
      <c r="W90" s="61"/>
      <c r="X90" s="29">
        <f t="shared" si="41"/>
        <v>0</v>
      </c>
      <c r="Y90" s="74"/>
      <c r="Z90" s="303"/>
      <c r="AA90" s="303"/>
      <c r="AB90" s="61"/>
      <c r="AC90" s="61"/>
      <c r="AD90" s="61"/>
      <c r="AE90" s="61"/>
      <c r="AF90" s="29">
        <f t="shared" si="42"/>
        <v>0</v>
      </c>
    </row>
    <row r="91" spans="1:32" x14ac:dyDescent="0.2">
      <c r="A91" s="175"/>
      <c r="B91" s="179"/>
      <c r="C91" s="180"/>
      <c r="D91" s="185" t="s">
        <v>36</v>
      </c>
      <c r="E91" s="183" t="s">
        <v>30</v>
      </c>
      <c r="F91" s="159"/>
      <c r="G91" s="460" t="s">
        <v>151</v>
      </c>
      <c r="H91" s="18"/>
      <c r="I91" s="79"/>
      <c r="J91" s="61"/>
      <c r="K91" s="61"/>
      <c r="L91" s="61"/>
      <c r="M91" s="61"/>
      <c r="N91" s="61"/>
      <c r="O91" s="61"/>
      <c r="P91" s="29">
        <f t="shared" si="40"/>
        <v>0</v>
      </c>
      <c r="Q91" s="74"/>
      <c r="R91" s="303"/>
      <c r="S91" s="303"/>
      <c r="T91" s="61"/>
      <c r="U91" s="61"/>
      <c r="V91" s="61"/>
      <c r="W91" s="61"/>
      <c r="X91" s="29">
        <f t="shared" si="41"/>
        <v>0</v>
      </c>
      <c r="Y91" s="74"/>
      <c r="Z91" s="303"/>
      <c r="AA91" s="303"/>
      <c r="AB91" s="61"/>
      <c r="AC91" s="61"/>
      <c r="AD91" s="61"/>
      <c r="AE91" s="61"/>
      <c r="AF91" s="29">
        <f t="shared" si="42"/>
        <v>0</v>
      </c>
    </row>
    <row r="92" spans="1:32" x14ac:dyDescent="0.2">
      <c r="A92" s="175"/>
      <c r="B92" s="179"/>
      <c r="C92" s="180"/>
      <c r="D92" s="306">
        <v>-2</v>
      </c>
      <c r="E92" s="183" t="s">
        <v>37</v>
      </c>
      <c r="F92" s="159"/>
      <c r="G92" s="460" t="s">
        <v>152</v>
      </c>
      <c r="H92" s="18"/>
      <c r="I92" s="79"/>
      <c r="J92" s="29">
        <f t="shared" ref="J92:O92" si="52">SUM(J93,J94)</f>
        <v>0</v>
      </c>
      <c r="K92" s="29">
        <f t="shared" si="52"/>
        <v>0</v>
      </c>
      <c r="L92" s="29">
        <f t="shared" si="52"/>
        <v>0</v>
      </c>
      <c r="M92" s="29">
        <f t="shared" si="52"/>
        <v>0</v>
      </c>
      <c r="N92" s="29">
        <f t="shared" si="52"/>
        <v>0</v>
      </c>
      <c r="O92" s="29">
        <f t="shared" si="52"/>
        <v>0</v>
      </c>
      <c r="P92" s="29">
        <f t="shared" si="40"/>
        <v>0</v>
      </c>
      <c r="Q92" s="29">
        <f>SUM(Q93,Q94)</f>
        <v>0</v>
      </c>
      <c r="R92" s="79"/>
      <c r="S92" s="79"/>
      <c r="T92" s="29">
        <f>SUM(T93,T94)</f>
        <v>0</v>
      </c>
      <c r="U92" s="29">
        <f>SUM(U93,U94)</f>
        <v>0</v>
      </c>
      <c r="V92" s="29">
        <f>SUM(V93,V94)</f>
        <v>0</v>
      </c>
      <c r="W92" s="29">
        <f>SUM(W93,W94)</f>
        <v>0</v>
      </c>
      <c r="X92" s="29">
        <f t="shared" si="41"/>
        <v>0</v>
      </c>
      <c r="Y92" s="29">
        <f>SUM(Y93,Y94)</f>
        <v>0</v>
      </c>
      <c r="Z92" s="79"/>
      <c r="AA92" s="79"/>
      <c r="AB92" s="29">
        <f>SUM(AB93,AB94)</f>
        <v>0</v>
      </c>
      <c r="AC92" s="29">
        <f>SUM(AC93,AC94)</f>
        <v>0</v>
      </c>
      <c r="AD92" s="29">
        <f>SUM(AD93,AD94)</f>
        <v>0</v>
      </c>
      <c r="AE92" s="29">
        <f>SUM(AE93,AE94)</f>
        <v>0</v>
      </c>
      <c r="AF92" s="29">
        <f t="shared" si="42"/>
        <v>0</v>
      </c>
    </row>
    <row r="93" spans="1:32" x14ac:dyDescent="0.2">
      <c r="A93" s="175"/>
      <c r="B93" s="179"/>
      <c r="C93" s="180"/>
      <c r="D93" s="185" t="s">
        <v>38</v>
      </c>
      <c r="E93" s="183" t="s">
        <v>29</v>
      </c>
      <c r="F93" s="159"/>
      <c r="G93" s="460" t="s">
        <v>153</v>
      </c>
      <c r="H93" s="18"/>
      <c r="I93" s="79"/>
      <c r="J93" s="61"/>
      <c r="K93" s="61"/>
      <c r="L93" s="61"/>
      <c r="M93" s="61"/>
      <c r="N93" s="61"/>
      <c r="O93" s="61"/>
      <c r="P93" s="29">
        <f t="shared" si="40"/>
        <v>0</v>
      </c>
      <c r="Q93" s="74"/>
      <c r="R93" s="303"/>
      <c r="S93" s="303"/>
      <c r="T93" s="61"/>
      <c r="U93" s="61"/>
      <c r="V93" s="61"/>
      <c r="W93" s="61"/>
      <c r="X93" s="29">
        <f t="shared" si="41"/>
        <v>0</v>
      </c>
      <c r="Y93" s="74"/>
      <c r="Z93" s="303"/>
      <c r="AA93" s="303"/>
      <c r="AB93" s="61"/>
      <c r="AC93" s="61"/>
      <c r="AD93" s="61"/>
      <c r="AE93" s="61"/>
      <c r="AF93" s="29">
        <f t="shared" si="42"/>
        <v>0</v>
      </c>
    </row>
    <row r="94" spans="1:32" x14ac:dyDescent="0.2">
      <c r="A94" s="175"/>
      <c r="B94" s="179"/>
      <c r="C94" s="180"/>
      <c r="D94" s="185" t="s">
        <v>39</v>
      </c>
      <c r="E94" s="180" t="s">
        <v>30</v>
      </c>
      <c r="F94" s="159"/>
      <c r="G94" s="460" t="s">
        <v>154</v>
      </c>
      <c r="H94" s="18"/>
      <c r="I94" s="79"/>
      <c r="J94" s="61"/>
      <c r="K94" s="61"/>
      <c r="L94" s="61"/>
      <c r="M94" s="61"/>
      <c r="N94" s="61"/>
      <c r="O94" s="61"/>
      <c r="P94" s="29">
        <f t="shared" si="40"/>
        <v>0</v>
      </c>
      <c r="Q94" s="74"/>
      <c r="R94" s="303"/>
      <c r="S94" s="303"/>
      <c r="T94" s="61"/>
      <c r="U94" s="61"/>
      <c r="V94" s="61"/>
      <c r="W94" s="61"/>
      <c r="X94" s="29">
        <f t="shared" si="41"/>
        <v>0</v>
      </c>
      <c r="Y94" s="74"/>
      <c r="Z94" s="303"/>
      <c r="AA94" s="303"/>
      <c r="AB94" s="61"/>
      <c r="AC94" s="61"/>
      <c r="AD94" s="61"/>
      <c r="AE94" s="61"/>
      <c r="AF94" s="29">
        <f t="shared" si="42"/>
        <v>0</v>
      </c>
    </row>
    <row r="95" spans="1:32" x14ac:dyDescent="0.2">
      <c r="A95" s="175"/>
      <c r="B95" s="179"/>
      <c r="C95" s="180" t="s">
        <v>15</v>
      </c>
      <c r="D95" s="180" t="s">
        <v>41</v>
      </c>
      <c r="E95" s="183"/>
      <c r="F95" s="159"/>
      <c r="G95" s="460" t="s">
        <v>155</v>
      </c>
      <c r="H95" s="18"/>
      <c r="I95" s="79"/>
      <c r="J95" s="29">
        <f t="shared" ref="J95:O95" si="53">SUM(J96,J97)</f>
        <v>0</v>
      </c>
      <c r="K95" s="29">
        <f t="shared" si="53"/>
        <v>0</v>
      </c>
      <c r="L95" s="29">
        <f t="shared" si="53"/>
        <v>0</v>
      </c>
      <c r="M95" s="29">
        <f t="shared" si="53"/>
        <v>0</v>
      </c>
      <c r="N95" s="29">
        <f t="shared" si="53"/>
        <v>0</v>
      </c>
      <c r="O95" s="29">
        <f t="shared" si="53"/>
        <v>0</v>
      </c>
      <c r="P95" s="29">
        <f t="shared" si="40"/>
        <v>0</v>
      </c>
      <c r="Q95" s="29">
        <f>SUM(Q96,Q97)</f>
        <v>0</v>
      </c>
      <c r="R95" s="79"/>
      <c r="S95" s="79"/>
      <c r="T95" s="29">
        <f>SUM(T96,T97)</f>
        <v>0</v>
      </c>
      <c r="U95" s="29">
        <f>SUM(U96,U97)</f>
        <v>0</v>
      </c>
      <c r="V95" s="29">
        <f>SUM(V96,V97)</f>
        <v>0</v>
      </c>
      <c r="W95" s="29">
        <f>SUM(W96,W97)</f>
        <v>0</v>
      </c>
      <c r="X95" s="29">
        <f t="shared" si="41"/>
        <v>0</v>
      </c>
      <c r="Y95" s="29">
        <f>SUM(Y96,Y97)</f>
        <v>0</v>
      </c>
      <c r="Z95" s="79"/>
      <c r="AA95" s="79"/>
      <c r="AB95" s="29">
        <f>SUM(AB96,AB97)</f>
        <v>0</v>
      </c>
      <c r="AC95" s="29">
        <f>SUM(AC96,AC97)</f>
        <v>0</v>
      </c>
      <c r="AD95" s="29">
        <f>SUM(AD96,AD97)</f>
        <v>0</v>
      </c>
      <c r="AE95" s="29">
        <f>SUM(AE96,AE97)</f>
        <v>0</v>
      </c>
      <c r="AF95" s="29">
        <f t="shared" si="42"/>
        <v>0</v>
      </c>
    </row>
    <row r="96" spans="1:32" x14ac:dyDescent="0.2">
      <c r="A96" s="174"/>
      <c r="B96" s="155"/>
      <c r="C96" s="39"/>
      <c r="D96" s="186">
        <v>-1</v>
      </c>
      <c r="E96" s="154" t="s">
        <v>42</v>
      </c>
      <c r="F96" s="159"/>
      <c r="G96" s="460" t="s">
        <v>156</v>
      </c>
      <c r="H96" s="18"/>
      <c r="I96" s="79"/>
      <c r="J96" s="61"/>
      <c r="K96" s="61"/>
      <c r="L96" s="61"/>
      <c r="M96" s="61"/>
      <c r="N96" s="61"/>
      <c r="O96" s="61"/>
      <c r="P96" s="29">
        <f t="shared" si="40"/>
        <v>0</v>
      </c>
      <c r="Q96" s="74"/>
      <c r="R96" s="303"/>
      <c r="S96" s="303"/>
      <c r="T96" s="61"/>
      <c r="U96" s="61"/>
      <c r="V96" s="61"/>
      <c r="W96" s="61"/>
      <c r="X96" s="29">
        <f t="shared" si="41"/>
        <v>0</v>
      </c>
      <c r="Y96" s="74"/>
      <c r="Z96" s="303"/>
      <c r="AA96" s="303"/>
      <c r="AB96" s="61"/>
      <c r="AC96" s="61"/>
      <c r="AD96" s="61"/>
      <c r="AE96" s="61"/>
      <c r="AF96" s="29">
        <f t="shared" si="42"/>
        <v>0</v>
      </c>
    </row>
    <row r="97" spans="1:32" x14ac:dyDescent="0.2">
      <c r="A97" s="175"/>
      <c r="B97" s="179"/>
      <c r="C97" s="124"/>
      <c r="D97" s="184" t="s">
        <v>21</v>
      </c>
      <c r="E97" s="183" t="s">
        <v>43</v>
      </c>
      <c r="F97" s="159"/>
      <c r="G97" s="460" t="s">
        <v>157</v>
      </c>
      <c r="H97" s="18"/>
      <c r="I97" s="79"/>
      <c r="J97" s="61"/>
      <c r="K97" s="61"/>
      <c r="L97" s="61"/>
      <c r="M97" s="61"/>
      <c r="N97" s="61"/>
      <c r="O97" s="61"/>
      <c r="P97" s="29">
        <f t="shared" si="40"/>
        <v>0</v>
      </c>
      <c r="Q97" s="74"/>
      <c r="R97" s="303"/>
      <c r="S97" s="303"/>
      <c r="T97" s="61"/>
      <c r="U97" s="61"/>
      <c r="V97" s="61"/>
      <c r="W97" s="61"/>
      <c r="X97" s="29">
        <f t="shared" si="41"/>
        <v>0</v>
      </c>
      <c r="Y97" s="74"/>
      <c r="Z97" s="303"/>
      <c r="AA97" s="303"/>
      <c r="AB97" s="61"/>
      <c r="AC97" s="61"/>
      <c r="AD97" s="61"/>
      <c r="AE97" s="61"/>
      <c r="AF97" s="29">
        <f t="shared" si="42"/>
        <v>0</v>
      </c>
    </row>
    <row r="98" spans="1:32" x14ac:dyDescent="0.2">
      <c r="A98" s="174"/>
      <c r="B98" s="155"/>
      <c r="C98" s="154" t="s">
        <v>25</v>
      </c>
      <c r="D98" s="154" t="s">
        <v>602</v>
      </c>
      <c r="E98" s="154"/>
      <c r="F98" s="159"/>
      <c r="G98" s="460" t="s">
        <v>158</v>
      </c>
      <c r="H98" s="18"/>
      <c r="I98" s="79"/>
      <c r="J98" s="61"/>
      <c r="K98" s="61"/>
      <c r="L98" s="61"/>
      <c r="M98" s="61"/>
      <c r="N98" s="61"/>
      <c r="O98" s="61"/>
      <c r="P98" s="29">
        <f t="shared" si="40"/>
        <v>0</v>
      </c>
      <c r="Q98" s="74"/>
      <c r="R98" s="303"/>
      <c r="S98" s="303"/>
      <c r="T98" s="61"/>
      <c r="U98" s="61"/>
      <c r="V98" s="61"/>
      <c r="W98" s="61"/>
      <c r="X98" s="29">
        <f t="shared" si="41"/>
        <v>0</v>
      </c>
      <c r="Y98" s="74"/>
      <c r="Z98" s="303"/>
      <c r="AA98" s="303"/>
      <c r="AB98" s="61"/>
      <c r="AC98" s="61"/>
      <c r="AD98" s="61"/>
      <c r="AE98" s="61"/>
      <c r="AF98" s="29">
        <f t="shared" si="42"/>
        <v>0</v>
      </c>
    </row>
    <row r="99" spans="1:32" x14ac:dyDescent="0.2">
      <c r="A99" s="175"/>
      <c r="B99" s="179"/>
      <c r="C99" s="124" t="s">
        <v>27</v>
      </c>
      <c r="D99" s="522" t="s">
        <v>44</v>
      </c>
      <c r="E99" s="523"/>
      <c r="F99" s="524"/>
      <c r="G99" s="460" t="s">
        <v>159</v>
      </c>
      <c r="H99" s="18"/>
      <c r="I99" s="79"/>
      <c r="J99" s="29">
        <f t="shared" ref="J99:O99" si="54">SUM(J100,J103)</f>
        <v>0</v>
      </c>
      <c r="K99" s="29">
        <f t="shared" si="54"/>
        <v>0</v>
      </c>
      <c r="L99" s="29">
        <f t="shared" si="54"/>
        <v>0</v>
      </c>
      <c r="M99" s="29">
        <f t="shared" si="54"/>
        <v>0</v>
      </c>
      <c r="N99" s="29">
        <f t="shared" si="54"/>
        <v>0</v>
      </c>
      <c r="O99" s="29">
        <f t="shared" si="54"/>
        <v>0</v>
      </c>
      <c r="P99" s="29">
        <f t="shared" si="40"/>
        <v>0</v>
      </c>
      <c r="Q99" s="29">
        <f>SUM(Q100,Q103)</f>
        <v>0</v>
      </c>
      <c r="R99" s="79"/>
      <c r="S99" s="79"/>
      <c r="T99" s="29">
        <f>SUM(T100,T103)</f>
        <v>0</v>
      </c>
      <c r="U99" s="29">
        <f>SUM(U100,U103)</f>
        <v>0</v>
      </c>
      <c r="V99" s="29">
        <f>SUM(V100,V103)</f>
        <v>0</v>
      </c>
      <c r="W99" s="29">
        <f>SUM(W100,W103)</f>
        <v>0</v>
      </c>
      <c r="X99" s="29">
        <f t="shared" si="41"/>
        <v>0</v>
      </c>
      <c r="Y99" s="29">
        <f>SUM(Y100,Y103)</f>
        <v>0</v>
      </c>
      <c r="Z99" s="79"/>
      <c r="AA99" s="79"/>
      <c r="AB99" s="29">
        <f>SUM(AB100,AB103)</f>
        <v>0</v>
      </c>
      <c r="AC99" s="29">
        <f>SUM(AC100,AC103)</f>
        <v>0</v>
      </c>
      <c r="AD99" s="29">
        <f>SUM(AD100,AD103)</f>
        <v>0</v>
      </c>
      <c r="AE99" s="29">
        <f>SUM(AE100,AE103)</f>
        <v>0</v>
      </c>
      <c r="AF99" s="29">
        <f t="shared" si="42"/>
        <v>0</v>
      </c>
    </row>
    <row r="100" spans="1:32" x14ac:dyDescent="0.2">
      <c r="A100" s="175"/>
      <c r="B100" s="179"/>
      <c r="C100" s="180"/>
      <c r="D100" s="184" t="s">
        <v>19</v>
      </c>
      <c r="E100" s="183" t="s">
        <v>29</v>
      </c>
      <c r="F100" s="159"/>
      <c r="G100" s="460" t="s">
        <v>160</v>
      </c>
      <c r="H100" s="18"/>
      <c r="I100" s="79"/>
      <c r="J100" s="29">
        <f t="shared" ref="J100:O100" si="55">SUM(J101,J102)</f>
        <v>0</v>
      </c>
      <c r="K100" s="29">
        <f t="shared" si="55"/>
        <v>0</v>
      </c>
      <c r="L100" s="29">
        <f t="shared" si="55"/>
        <v>0</v>
      </c>
      <c r="M100" s="29">
        <f t="shared" si="55"/>
        <v>0</v>
      </c>
      <c r="N100" s="29">
        <f t="shared" si="55"/>
        <v>0</v>
      </c>
      <c r="O100" s="29">
        <f t="shared" si="55"/>
        <v>0</v>
      </c>
      <c r="P100" s="29">
        <f t="shared" si="40"/>
        <v>0</v>
      </c>
      <c r="Q100" s="29">
        <f>SUM(Q101,Q102)</f>
        <v>0</v>
      </c>
      <c r="R100" s="79"/>
      <c r="S100" s="79"/>
      <c r="T100" s="29">
        <f>SUM(T101,T102)</f>
        <v>0</v>
      </c>
      <c r="U100" s="29">
        <f>SUM(U101,U102)</f>
        <v>0</v>
      </c>
      <c r="V100" s="29">
        <f>SUM(V101,V102)</f>
        <v>0</v>
      </c>
      <c r="W100" s="29">
        <f>SUM(W101,W102)</f>
        <v>0</v>
      </c>
      <c r="X100" s="29">
        <f t="shared" si="41"/>
        <v>0</v>
      </c>
      <c r="Y100" s="29">
        <f>SUM(Y101,Y102)</f>
        <v>0</v>
      </c>
      <c r="Z100" s="79"/>
      <c r="AA100" s="79"/>
      <c r="AB100" s="29">
        <f>SUM(AB101,AB102)</f>
        <v>0</v>
      </c>
      <c r="AC100" s="29">
        <f>SUM(AC101,AC102)</f>
        <v>0</v>
      </c>
      <c r="AD100" s="29">
        <f>SUM(AD101,AD102)</f>
        <v>0</v>
      </c>
      <c r="AE100" s="29">
        <f>SUM(AE101,AE102)</f>
        <v>0</v>
      </c>
      <c r="AF100" s="29">
        <f t="shared" si="42"/>
        <v>0</v>
      </c>
    </row>
    <row r="101" spans="1:32" x14ac:dyDescent="0.2">
      <c r="A101" s="175"/>
      <c r="B101" s="179"/>
      <c r="C101" s="180"/>
      <c r="D101" s="185" t="s">
        <v>35</v>
      </c>
      <c r="E101" s="183" t="s">
        <v>45</v>
      </c>
      <c r="F101" s="159"/>
      <c r="G101" s="460" t="s">
        <v>161</v>
      </c>
      <c r="H101" s="18"/>
      <c r="I101" s="79"/>
      <c r="J101" s="61"/>
      <c r="K101" s="61"/>
      <c r="L101" s="61"/>
      <c r="M101" s="61"/>
      <c r="N101" s="61"/>
      <c r="O101" s="61"/>
      <c r="P101" s="29">
        <f t="shared" si="40"/>
        <v>0</v>
      </c>
      <c r="Q101" s="74"/>
      <c r="R101" s="303"/>
      <c r="S101" s="303"/>
      <c r="T101" s="61"/>
      <c r="U101" s="61"/>
      <c r="V101" s="61"/>
      <c r="W101" s="61"/>
      <c r="X101" s="29">
        <f t="shared" si="41"/>
        <v>0</v>
      </c>
      <c r="Y101" s="74"/>
      <c r="Z101" s="303"/>
      <c r="AA101" s="303"/>
      <c r="AB101" s="61"/>
      <c r="AC101" s="61"/>
      <c r="AD101" s="61"/>
      <c r="AE101" s="61"/>
      <c r="AF101" s="29">
        <f t="shared" si="42"/>
        <v>0</v>
      </c>
    </row>
    <row r="102" spans="1:32" x14ac:dyDescent="0.2">
      <c r="A102" s="174"/>
      <c r="B102" s="155"/>
      <c r="C102" s="154"/>
      <c r="D102" s="164" t="s">
        <v>36</v>
      </c>
      <c r="E102" s="154" t="s">
        <v>46</v>
      </c>
      <c r="F102" s="159"/>
      <c r="G102" s="460" t="s">
        <v>162</v>
      </c>
      <c r="H102" s="18"/>
      <c r="I102" s="79"/>
      <c r="J102" s="61"/>
      <c r="K102" s="61"/>
      <c r="L102" s="61"/>
      <c r="M102" s="61"/>
      <c r="N102" s="61"/>
      <c r="O102" s="61"/>
      <c r="P102" s="29">
        <f t="shared" si="40"/>
        <v>0</v>
      </c>
      <c r="Q102" s="74"/>
      <c r="R102" s="303"/>
      <c r="S102" s="303"/>
      <c r="T102" s="61"/>
      <c r="U102" s="61"/>
      <c r="V102" s="61"/>
      <c r="W102" s="61"/>
      <c r="X102" s="29">
        <f t="shared" si="41"/>
        <v>0</v>
      </c>
      <c r="Y102" s="74"/>
      <c r="Z102" s="303"/>
      <c r="AA102" s="303"/>
      <c r="AB102" s="61"/>
      <c r="AC102" s="61"/>
      <c r="AD102" s="61"/>
      <c r="AE102" s="61"/>
      <c r="AF102" s="29">
        <f t="shared" si="42"/>
        <v>0</v>
      </c>
    </row>
    <row r="103" spans="1:32" x14ac:dyDescent="0.2">
      <c r="A103" s="175"/>
      <c r="B103" s="179"/>
      <c r="C103" s="180"/>
      <c r="D103" s="184" t="s">
        <v>21</v>
      </c>
      <c r="E103" s="183" t="s">
        <v>30</v>
      </c>
      <c r="F103" s="159"/>
      <c r="G103" s="460" t="s">
        <v>163</v>
      </c>
      <c r="H103" s="18"/>
      <c r="I103" s="79"/>
      <c r="J103" s="29">
        <f t="shared" ref="J103:O103" si="56">SUM(J104,J105)</f>
        <v>0</v>
      </c>
      <c r="K103" s="29">
        <f t="shared" si="56"/>
        <v>0</v>
      </c>
      <c r="L103" s="29">
        <f t="shared" si="56"/>
        <v>0</v>
      </c>
      <c r="M103" s="29">
        <f t="shared" si="56"/>
        <v>0</v>
      </c>
      <c r="N103" s="29">
        <f t="shared" si="56"/>
        <v>0</v>
      </c>
      <c r="O103" s="29">
        <f t="shared" si="56"/>
        <v>0</v>
      </c>
      <c r="P103" s="29">
        <f t="shared" si="40"/>
        <v>0</v>
      </c>
      <c r="Q103" s="29">
        <f>SUM(Q104,Q105)</f>
        <v>0</v>
      </c>
      <c r="R103" s="79"/>
      <c r="S103" s="79"/>
      <c r="T103" s="29">
        <f>SUM(T104,T105)</f>
        <v>0</v>
      </c>
      <c r="U103" s="29">
        <f>SUM(U104,U105)</f>
        <v>0</v>
      </c>
      <c r="V103" s="29">
        <f>SUM(V104,V105)</f>
        <v>0</v>
      </c>
      <c r="W103" s="29">
        <f>SUM(W104,W105)</f>
        <v>0</v>
      </c>
      <c r="X103" s="29">
        <f t="shared" si="41"/>
        <v>0</v>
      </c>
      <c r="Y103" s="29">
        <f>SUM(Y104,Y105)</f>
        <v>0</v>
      </c>
      <c r="Z103" s="79"/>
      <c r="AA103" s="79"/>
      <c r="AB103" s="29">
        <f>SUM(AB104,AB105)</f>
        <v>0</v>
      </c>
      <c r="AC103" s="29">
        <f>SUM(AC104,AC105)</f>
        <v>0</v>
      </c>
      <c r="AD103" s="29">
        <f>SUM(AD104,AD105)</f>
        <v>0</v>
      </c>
      <c r="AE103" s="29">
        <f>SUM(AE104,AE105)</f>
        <v>0</v>
      </c>
      <c r="AF103" s="29">
        <f t="shared" si="42"/>
        <v>0</v>
      </c>
    </row>
    <row r="104" spans="1:32" x14ac:dyDescent="0.2">
      <c r="A104" s="174"/>
      <c r="B104" s="155"/>
      <c r="C104" s="154"/>
      <c r="D104" s="164" t="s">
        <v>38</v>
      </c>
      <c r="E104" s="154" t="s">
        <v>45</v>
      </c>
      <c r="F104" s="159"/>
      <c r="G104" s="460" t="s">
        <v>164</v>
      </c>
      <c r="H104" s="18"/>
      <c r="I104" s="319"/>
      <c r="J104" s="61"/>
      <c r="K104" s="61"/>
      <c r="L104" s="61"/>
      <c r="M104" s="61"/>
      <c r="N104" s="61"/>
      <c r="O104" s="61"/>
      <c r="P104" s="29">
        <f t="shared" si="40"/>
        <v>0</v>
      </c>
      <c r="Q104" s="74"/>
      <c r="R104" s="303"/>
      <c r="S104" s="303"/>
      <c r="T104" s="61"/>
      <c r="U104" s="61"/>
      <c r="V104" s="61"/>
      <c r="W104" s="61"/>
      <c r="X104" s="29">
        <f t="shared" si="41"/>
        <v>0</v>
      </c>
      <c r="Y104" s="74"/>
      <c r="Z104" s="303"/>
      <c r="AA104" s="303"/>
      <c r="AB104" s="61"/>
      <c r="AC104" s="61"/>
      <c r="AD104" s="61"/>
      <c r="AE104" s="61"/>
      <c r="AF104" s="29">
        <f t="shared" si="42"/>
        <v>0</v>
      </c>
    </row>
    <row r="105" spans="1:32" x14ac:dyDescent="0.2">
      <c r="A105" s="175"/>
      <c r="B105" s="179"/>
      <c r="C105" s="180"/>
      <c r="D105" s="185" t="s">
        <v>39</v>
      </c>
      <c r="E105" s="183" t="s">
        <v>46</v>
      </c>
      <c r="F105" s="159"/>
      <c r="G105" s="460" t="s">
        <v>165</v>
      </c>
      <c r="H105" s="18"/>
      <c r="I105" s="319"/>
      <c r="J105" s="61"/>
      <c r="K105" s="61"/>
      <c r="L105" s="61"/>
      <c r="M105" s="61"/>
      <c r="N105" s="61"/>
      <c r="O105" s="61"/>
      <c r="P105" s="29">
        <f t="shared" si="40"/>
        <v>0</v>
      </c>
      <c r="Q105" s="74"/>
      <c r="R105" s="293"/>
      <c r="S105" s="293"/>
      <c r="T105" s="61"/>
      <c r="U105" s="61"/>
      <c r="V105" s="61"/>
      <c r="W105" s="61"/>
      <c r="X105" s="29">
        <f t="shared" si="41"/>
        <v>0</v>
      </c>
      <c r="Y105" s="74"/>
      <c r="Z105" s="293"/>
      <c r="AA105" s="293"/>
      <c r="AB105" s="61"/>
      <c r="AC105" s="61"/>
      <c r="AD105" s="61"/>
      <c r="AE105" s="61"/>
      <c r="AF105" s="29">
        <f t="shared" si="42"/>
        <v>0</v>
      </c>
    </row>
    <row r="106" spans="1:32" x14ac:dyDescent="0.2">
      <c r="A106" s="174"/>
      <c r="B106" s="3" t="s">
        <v>48</v>
      </c>
      <c r="C106" s="4" t="s">
        <v>49</v>
      </c>
      <c r="D106" s="157"/>
      <c r="E106" s="154"/>
      <c r="F106" s="159"/>
      <c r="G106" s="460" t="s">
        <v>166</v>
      </c>
      <c r="H106" s="18"/>
      <c r="I106" s="29">
        <f>SUM(I107,I108,I109,I110)</f>
        <v>0</v>
      </c>
      <c r="J106" s="29">
        <f t="shared" ref="J106:AC106" si="57">SUM(J107,J108,J109,J110)</f>
        <v>0</v>
      </c>
      <c r="K106" s="29">
        <f t="shared" si="57"/>
        <v>0</v>
      </c>
      <c r="L106" s="29">
        <f t="shared" si="57"/>
        <v>0</v>
      </c>
      <c r="M106" s="29">
        <f t="shared" si="57"/>
        <v>0</v>
      </c>
      <c r="N106" s="29">
        <f>SUM(N107,N108,N109,N110)</f>
        <v>0</v>
      </c>
      <c r="O106" s="29">
        <f>SUM(O107,O108,O109,O110)</f>
        <v>0</v>
      </c>
      <c r="P106" s="29">
        <f t="shared" si="40"/>
        <v>0</v>
      </c>
      <c r="Q106" s="29">
        <f t="shared" si="57"/>
        <v>0</v>
      </c>
      <c r="R106" s="29">
        <f t="shared" si="57"/>
        <v>0</v>
      </c>
      <c r="S106" s="29">
        <f t="shared" si="57"/>
        <v>0</v>
      </c>
      <c r="T106" s="29">
        <f t="shared" si="57"/>
        <v>0</v>
      </c>
      <c r="U106" s="29">
        <f t="shared" si="57"/>
        <v>0</v>
      </c>
      <c r="V106" s="29">
        <f>SUM(V107,V108,V109,V110)</f>
        <v>0</v>
      </c>
      <c r="W106" s="29">
        <f>SUM(W107,W108,W109,W110)</f>
        <v>0</v>
      </c>
      <c r="X106" s="29">
        <f t="shared" si="41"/>
        <v>0</v>
      </c>
      <c r="Y106" s="29">
        <f t="shared" si="57"/>
        <v>0</v>
      </c>
      <c r="Z106" s="29">
        <f t="shared" si="57"/>
        <v>0</v>
      </c>
      <c r="AA106" s="29">
        <f t="shared" si="57"/>
        <v>0</v>
      </c>
      <c r="AB106" s="29">
        <f t="shared" si="57"/>
        <v>0</v>
      </c>
      <c r="AC106" s="29">
        <f t="shared" si="57"/>
        <v>0</v>
      </c>
      <c r="AD106" s="29">
        <f>SUM(AD107,AD108,AD109,AD110)</f>
        <v>0</v>
      </c>
      <c r="AE106" s="29">
        <f>SUM(AE107,AE108,AE109,AE110)</f>
        <v>0</v>
      </c>
      <c r="AF106" s="29">
        <f t="shared" si="42"/>
        <v>0</v>
      </c>
    </row>
    <row r="107" spans="1:32" x14ac:dyDescent="0.2">
      <c r="A107" s="175"/>
      <c r="B107" s="179"/>
      <c r="C107" s="180" t="s">
        <v>11</v>
      </c>
      <c r="D107" s="181" t="s">
        <v>50</v>
      </c>
      <c r="E107" s="183"/>
      <c r="F107" s="159"/>
      <c r="G107" s="460" t="s">
        <v>167</v>
      </c>
      <c r="H107" s="18"/>
      <c r="I107" s="61"/>
      <c r="J107" s="61"/>
      <c r="K107" s="61"/>
      <c r="L107" s="61"/>
      <c r="M107" s="61"/>
      <c r="N107" s="61"/>
      <c r="O107" s="61"/>
      <c r="P107" s="29">
        <f t="shared" si="40"/>
        <v>0</v>
      </c>
      <c r="Q107" s="61"/>
      <c r="R107" s="61"/>
      <c r="S107" s="61"/>
      <c r="T107" s="61"/>
      <c r="U107" s="61"/>
      <c r="V107" s="61"/>
      <c r="W107" s="61"/>
      <c r="X107" s="29">
        <f t="shared" si="41"/>
        <v>0</v>
      </c>
      <c r="Y107" s="61"/>
      <c r="Z107" s="61"/>
      <c r="AA107" s="61"/>
      <c r="AB107" s="61"/>
      <c r="AC107" s="61"/>
      <c r="AD107" s="61"/>
      <c r="AE107" s="61"/>
      <c r="AF107" s="29">
        <f t="shared" si="42"/>
        <v>0</v>
      </c>
    </row>
    <row r="108" spans="1:32" x14ac:dyDescent="0.2">
      <c r="A108" s="175"/>
      <c r="B108" s="179"/>
      <c r="C108" s="180" t="s">
        <v>15</v>
      </c>
      <c r="D108" s="181" t="s">
        <v>51</v>
      </c>
      <c r="E108" s="183"/>
      <c r="F108" s="159"/>
      <c r="G108" s="460" t="s">
        <v>168</v>
      </c>
      <c r="H108" s="18"/>
      <c r="I108" s="61"/>
      <c r="J108" s="61"/>
      <c r="K108" s="61"/>
      <c r="L108" s="61"/>
      <c r="M108" s="61"/>
      <c r="N108" s="61"/>
      <c r="O108" s="61"/>
      <c r="P108" s="29">
        <f t="shared" si="40"/>
        <v>0</v>
      </c>
      <c r="Q108" s="61"/>
      <c r="R108" s="61"/>
      <c r="S108" s="61"/>
      <c r="T108" s="61"/>
      <c r="U108" s="61"/>
      <c r="V108" s="61"/>
      <c r="W108" s="61"/>
      <c r="X108" s="29">
        <f t="shared" si="41"/>
        <v>0</v>
      </c>
      <c r="Y108" s="61"/>
      <c r="Z108" s="61"/>
      <c r="AA108" s="61"/>
      <c r="AB108" s="61"/>
      <c r="AC108" s="61"/>
      <c r="AD108" s="61"/>
      <c r="AE108" s="61"/>
      <c r="AF108" s="29">
        <f t="shared" si="42"/>
        <v>0</v>
      </c>
    </row>
    <row r="109" spans="1:32" x14ac:dyDescent="0.2">
      <c r="A109" s="175"/>
      <c r="B109" s="179"/>
      <c r="C109" s="180" t="s">
        <v>25</v>
      </c>
      <c r="D109" s="181" t="s">
        <v>52</v>
      </c>
      <c r="E109" s="183"/>
      <c r="F109" s="159"/>
      <c r="G109" s="460" t="s">
        <v>169</v>
      </c>
      <c r="H109" s="18"/>
      <c r="I109" s="61"/>
      <c r="J109" s="61"/>
      <c r="K109" s="61"/>
      <c r="L109" s="61"/>
      <c r="M109" s="61"/>
      <c r="N109" s="61"/>
      <c r="O109" s="61"/>
      <c r="P109" s="29">
        <f t="shared" si="40"/>
        <v>0</v>
      </c>
      <c r="Q109" s="61"/>
      <c r="R109" s="61"/>
      <c r="S109" s="61"/>
      <c r="T109" s="61"/>
      <c r="U109" s="61"/>
      <c r="V109" s="61"/>
      <c r="W109" s="61"/>
      <c r="X109" s="29">
        <f t="shared" si="41"/>
        <v>0</v>
      </c>
      <c r="Y109" s="61"/>
      <c r="Z109" s="61"/>
      <c r="AA109" s="61"/>
      <c r="AB109" s="61"/>
      <c r="AC109" s="61"/>
      <c r="AD109" s="61"/>
      <c r="AE109" s="61"/>
      <c r="AF109" s="29">
        <f t="shared" si="42"/>
        <v>0</v>
      </c>
    </row>
    <row r="110" spans="1:32" x14ac:dyDescent="0.2">
      <c r="A110" s="174"/>
      <c r="B110" s="155"/>
      <c r="C110" s="39" t="s">
        <v>27</v>
      </c>
      <c r="D110" s="525" t="s">
        <v>53</v>
      </c>
      <c r="E110" s="526"/>
      <c r="F110" s="527"/>
      <c r="G110" s="460" t="s">
        <v>170</v>
      </c>
      <c r="H110" s="18"/>
      <c r="I110" s="29">
        <f>SUM(I111,I112)</f>
        <v>0</v>
      </c>
      <c r="J110" s="29">
        <f t="shared" ref="J110:AC110" si="58">SUM(J111,J112)</f>
        <v>0</v>
      </c>
      <c r="K110" s="29">
        <f t="shared" si="58"/>
        <v>0</v>
      </c>
      <c r="L110" s="29">
        <f t="shared" si="58"/>
        <v>0</v>
      </c>
      <c r="M110" s="29">
        <f t="shared" si="58"/>
        <v>0</v>
      </c>
      <c r="N110" s="29">
        <f>SUM(N111,N112)</f>
        <v>0</v>
      </c>
      <c r="O110" s="29">
        <f>SUM(O111,O112)</f>
        <v>0</v>
      </c>
      <c r="P110" s="29">
        <f t="shared" si="40"/>
        <v>0</v>
      </c>
      <c r="Q110" s="29">
        <f t="shared" si="58"/>
        <v>0</v>
      </c>
      <c r="R110" s="29">
        <f t="shared" si="58"/>
        <v>0</v>
      </c>
      <c r="S110" s="29">
        <f t="shared" si="58"/>
        <v>0</v>
      </c>
      <c r="T110" s="29">
        <f t="shared" si="58"/>
        <v>0</v>
      </c>
      <c r="U110" s="29">
        <f t="shared" si="58"/>
        <v>0</v>
      </c>
      <c r="V110" s="29">
        <f>SUM(V111,V112)</f>
        <v>0</v>
      </c>
      <c r="W110" s="29">
        <f>SUM(W111,W112)</f>
        <v>0</v>
      </c>
      <c r="X110" s="29">
        <f t="shared" si="41"/>
        <v>0</v>
      </c>
      <c r="Y110" s="29">
        <f t="shared" si="58"/>
        <v>0</v>
      </c>
      <c r="Z110" s="29">
        <f t="shared" si="58"/>
        <v>0</v>
      </c>
      <c r="AA110" s="29">
        <f t="shared" si="58"/>
        <v>0</v>
      </c>
      <c r="AB110" s="29">
        <f t="shared" si="58"/>
        <v>0</v>
      </c>
      <c r="AC110" s="29">
        <f t="shared" si="58"/>
        <v>0</v>
      </c>
      <c r="AD110" s="29">
        <f>SUM(AD111,AD112)</f>
        <v>0</v>
      </c>
      <c r="AE110" s="29">
        <f>SUM(AE111,AE112)</f>
        <v>0</v>
      </c>
      <c r="AF110" s="29">
        <f t="shared" si="42"/>
        <v>0</v>
      </c>
    </row>
    <row r="111" spans="1:32" x14ac:dyDescent="0.2">
      <c r="A111" s="175"/>
      <c r="B111" s="179"/>
      <c r="C111" s="180"/>
      <c r="D111" s="184" t="s">
        <v>19</v>
      </c>
      <c r="E111" s="183" t="s">
        <v>29</v>
      </c>
      <c r="F111" s="110"/>
      <c r="G111" s="460" t="s">
        <v>171</v>
      </c>
      <c r="H111" s="18"/>
      <c r="I111" s="61"/>
      <c r="J111" s="61"/>
      <c r="K111" s="61"/>
      <c r="L111" s="61"/>
      <c r="M111" s="61"/>
      <c r="N111" s="61"/>
      <c r="O111" s="61"/>
      <c r="P111" s="29">
        <f t="shared" si="40"/>
        <v>0</v>
      </c>
      <c r="Q111" s="61"/>
      <c r="R111" s="61"/>
      <c r="S111" s="61"/>
      <c r="T111" s="61"/>
      <c r="U111" s="61"/>
      <c r="V111" s="61"/>
      <c r="W111" s="61"/>
      <c r="X111" s="29">
        <f t="shared" si="41"/>
        <v>0</v>
      </c>
      <c r="Y111" s="61"/>
      <c r="Z111" s="61"/>
      <c r="AA111" s="61"/>
      <c r="AB111" s="61"/>
      <c r="AC111" s="61"/>
      <c r="AD111" s="61"/>
      <c r="AE111" s="61"/>
      <c r="AF111" s="29">
        <f t="shared" si="42"/>
        <v>0</v>
      </c>
    </row>
    <row r="112" spans="1:32" x14ac:dyDescent="0.2">
      <c r="A112" s="174"/>
      <c r="B112" s="155"/>
      <c r="C112" s="154"/>
      <c r="D112" s="158" t="s">
        <v>21</v>
      </c>
      <c r="E112" s="154" t="s">
        <v>30</v>
      </c>
      <c r="F112" s="110"/>
      <c r="G112" s="460" t="s">
        <v>172</v>
      </c>
      <c r="H112" s="18"/>
      <c r="I112" s="61"/>
      <c r="J112" s="61"/>
      <c r="K112" s="61"/>
      <c r="L112" s="61"/>
      <c r="M112" s="61"/>
      <c r="N112" s="61"/>
      <c r="O112" s="61"/>
      <c r="P112" s="29">
        <f t="shared" si="40"/>
        <v>0</v>
      </c>
      <c r="Q112" s="61"/>
      <c r="R112" s="61"/>
      <c r="S112" s="61"/>
      <c r="T112" s="61"/>
      <c r="U112" s="61"/>
      <c r="V112" s="61"/>
      <c r="W112" s="61"/>
      <c r="X112" s="29">
        <f t="shared" si="41"/>
        <v>0</v>
      </c>
      <c r="Y112" s="61"/>
      <c r="Z112" s="61"/>
      <c r="AA112" s="61"/>
      <c r="AB112" s="61"/>
      <c r="AC112" s="61"/>
      <c r="AD112" s="61"/>
      <c r="AE112" s="61"/>
      <c r="AF112" s="29">
        <f t="shared" si="42"/>
        <v>0</v>
      </c>
    </row>
    <row r="113" spans="1:32" x14ac:dyDescent="0.2">
      <c r="A113" s="175"/>
      <c r="B113" s="187" t="s">
        <v>55</v>
      </c>
      <c r="C113" s="188" t="s">
        <v>56</v>
      </c>
      <c r="D113" s="180"/>
      <c r="E113" s="183"/>
      <c r="F113" s="159"/>
      <c r="G113" s="460" t="s">
        <v>173</v>
      </c>
      <c r="H113" s="18"/>
      <c r="I113" s="29">
        <f>SUM(I114,I118)</f>
        <v>0</v>
      </c>
      <c r="J113" s="29">
        <f t="shared" ref="J113:AC113" si="59">SUM(J114,J118)</f>
        <v>0</v>
      </c>
      <c r="K113" s="29">
        <f t="shared" si="59"/>
        <v>0</v>
      </c>
      <c r="L113" s="29">
        <f t="shared" si="59"/>
        <v>0</v>
      </c>
      <c r="M113" s="29">
        <f t="shared" si="59"/>
        <v>0</v>
      </c>
      <c r="N113" s="29">
        <f>SUM(N114,N118)</f>
        <v>0</v>
      </c>
      <c r="O113" s="29">
        <f>SUM(O114,O118)</f>
        <v>0</v>
      </c>
      <c r="P113" s="29">
        <f t="shared" si="40"/>
        <v>0</v>
      </c>
      <c r="Q113" s="29">
        <f t="shared" si="59"/>
        <v>0</v>
      </c>
      <c r="R113" s="29">
        <f t="shared" si="59"/>
        <v>0</v>
      </c>
      <c r="S113" s="29">
        <f t="shared" si="59"/>
        <v>0</v>
      </c>
      <c r="T113" s="29">
        <f t="shared" si="59"/>
        <v>0</v>
      </c>
      <c r="U113" s="29">
        <f t="shared" si="59"/>
        <v>0</v>
      </c>
      <c r="V113" s="29">
        <f>SUM(V114,V118)</f>
        <v>0</v>
      </c>
      <c r="W113" s="29">
        <f>SUM(W114,W118)</f>
        <v>0</v>
      </c>
      <c r="X113" s="29">
        <f t="shared" si="41"/>
        <v>0</v>
      </c>
      <c r="Y113" s="29">
        <f t="shared" si="59"/>
        <v>0</v>
      </c>
      <c r="Z113" s="29">
        <f t="shared" si="59"/>
        <v>0</v>
      </c>
      <c r="AA113" s="29">
        <f t="shared" si="59"/>
        <v>0</v>
      </c>
      <c r="AB113" s="29">
        <f t="shared" si="59"/>
        <v>0</v>
      </c>
      <c r="AC113" s="29">
        <f t="shared" si="59"/>
        <v>0</v>
      </c>
      <c r="AD113" s="29">
        <f>SUM(AD114,AD118)</f>
        <v>0</v>
      </c>
      <c r="AE113" s="29">
        <f>SUM(AE114,AE118)</f>
        <v>0</v>
      </c>
      <c r="AF113" s="29">
        <f t="shared" si="42"/>
        <v>0</v>
      </c>
    </row>
    <row r="114" spans="1:32" x14ac:dyDescent="0.2">
      <c r="A114" s="174"/>
      <c r="B114" s="153"/>
      <c r="C114" s="154" t="s">
        <v>11</v>
      </c>
      <c r="D114" s="154" t="s">
        <v>57</v>
      </c>
      <c r="E114" s="154"/>
      <c r="F114" s="159"/>
      <c r="G114" s="460" t="s">
        <v>174</v>
      </c>
      <c r="H114" s="18"/>
      <c r="I114" s="29">
        <f>SUM(I115,I116,I117)</f>
        <v>0</v>
      </c>
      <c r="J114" s="29">
        <f t="shared" ref="J114:AC114" si="60">SUM(J115,J116,J117)</f>
        <v>0</v>
      </c>
      <c r="K114" s="29">
        <f t="shared" si="60"/>
        <v>0</v>
      </c>
      <c r="L114" s="29">
        <f t="shared" si="60"/>
        <v>0</v>
      </c>
      <c r="M114" s="29">
        <f t="shared" si="60"/>
        <v>0</v>
      </c>
      <c r="N114" s="29">
        <f>SUM(N115,N116,N117)</f>
        <v>0</v>
      </c>
      <c r="O114" s="29">
        <f>SUM(O115,O116,O117)</f>
        <v>0</v>
      </c>
      <c r="P114" s="29">
        <f t="shared" si="40"/>
        <v>0</v>
      </c>
      <c r="Q114" s="29">
        <f t="shared" si="60"/>
        <v>0</v>
      </c>
      <c r="R114" s="29">
        <f t="shared" si="60"/>
        <v>0</v>
      </c>
      <c r="S114" s="29">
        <f t="shared" si="60"/>
        <v>0</v>
      </c>
      <c r="T114" s="29">
        <f t="shared" si="60"/>
        <v>0</v>
      </c>
      <c r="U114" s="29">
        <f t="shared" si="60"/>
        <v>0</v>
      </c>
      <c r="V114" s="29">
        <f>SUM(V115,V116,V117)</f>
        <v>0</v>
      </c>
      <c r="W114" s="29">
        <f>SUM(W115,W116,W117)</f>
        <v>0</v>
      </c>
      <c r="X114" s="29">
        <f t="shared" si="41"/>
        <v>0</v>
      </c>
      <c r="Y114" s="29">
        <f t="shared" si="60"/>
        <v>0</v>
      </c>
      <c r="Z114" s="29">
        <f t="shared" si="60"/>
        <v>0</v>
      </c>
      <c r="AA114" s="29">
        <f t="shared" si="60"/>
        <v>0</v>
      </c>
      <c r="AB114" s="29">
        <f t="shared" si="60"/>
        <v>0</v>
      </c>
      <c r="AC114" s="29">
        <f t="shared" si="60"/>
        <v>0</v>
      </c>
      <c r="AD114" s="29">
        <f>SUM(AD115,AD116,AD117)</f>
        <v>0</v>
      </c>
      <c r="AE114" s="29">
        <f>SUM(AE115,AE116,AE117)</f>
        <v>0</v>
      </c>
      <c r="AF114" s="29">
        <f t="shared" si="42"/>
        <v>0</v>
      </c>
    </row>
    <row r="115" spans="1:32" x14ac:dyDescent="0.2">
      <c r="A115" s="175"/>
      <c r="B115" s="189"/>
      <c r="C115" s="180"/>
      <c r="D115" s="184" t="s">
        <v>19</v>
      </c>
      <c r="E115" s="183" t="s">
        <v>58</v>
      </c>
      <c r="F115" s="159"/>
      <c r="G115" s="460" t="s">
        <v>175</v>
      </c>
      <c r="H115" s="18"/>
      <c r="I115" s="61"/>
      <c r="J115" s="61"/>
      <c r="K115" s="61"/>
      <c r="L115" s="61"/>
      <c r="M115" s="61"/>
      <c r="N115" s="61"/>
      <c r="O115" s="61"/>
      <c r="P115" s="29">
        <f t="shared" si="40"/>
        <v>0</v>
      </c>
      <c r="Q115" s="61"/>
      <c r="R115" s="61"/>
      <c r="S115" s="61"/>
      <c r="T115" s="61"/>
      <c r="U115" s="61"/>
      <c r="V115" s="61"/>
      <c r="W115" s="61"/>
      <c r="X115" s="29">
        <f t="shared" si="41"/>
        <v>0</v>
      </c>
      <c r="Y115" s="61"/>
      <c r="Z115" s="61"/>
      <c r="AA115" s="61"/>
      <c r="AB115" s="61"/>
      <c r="AC115" s="61"/>
      <c r="AD115" s="61"/>
      <c r="AE115" s="61"/>
      <c r="AF115" s="29">
        <f t="shared" si="42"/>
        <v>0</v>
      </c>
    </row>
    <row r="116" spans="1:32" x14ac:dyDescent="0.2">
      <c r="A116" s="174"/>
      <c r="B116" s="153"/>
      <c r="C116" s="154"/>
      <c r="D116" s="158" t="s">
        <v>21</v>
      </c>
      <c r="E116" s="154" t="s">
        <v>59</v>
      </c>
      <c r="F116" s="159"/>
      <c r="G116" s="460" t="s">
        <v>176</v>
      </c>
      <c r="H116" s="18"/>
      <c r="I116" s="61"/>
      <c r="J116" s="61"/>
      <c r="K116" s="61"/>
      <c r="L116" s="61"/>
      <c r="M116" s="61"/>
      <c r="N116" s="61"/>
      <c r="O116" s="61"/>
      <c r="P116" s="29">
        <f t="shared" si="40"/>
        <v>0</v>
      </c>
      <c r="Q116" s="61"/>
      <c r="R116" s="61"/>
      <c r="S116" s="61"/>
      <c r="T116" s="61"/>
      <c r="U116" s="61"/>
      <c r="V116" s="61"/>
      <c r="W116" s="61"/>
      <c r="X116" s="29">
        <f t="shared" si="41"/>
        <v>0</v>
      </c>
      <c r="Y116" s="61"/>
      <c r="Z116" s="61"/>
      <c r="AA116" s="61"/>
      <c r="AB116" s="61"/>
      <c r="AC116" s="61"/>
      <c r="AD116" s="61"/>
      <c r="AE116" s="61"/>
      <c r="AF116" s="29">
        <f t="shared" si="42"/>
        <v>0</v>
      </c>
    </row>
    <row r="117" spans="1:32" x14ac:dyDescent="0.2">
      <c r="A117" s="175"/>
      <c r="B117" s="189"/>
      <c r="C117" s="180"/>
      <c r="D117" s="149" t="s">
        <v>60</v>
      </c>
      <c r="E117" s="531" t="s">
        <v>61</v>
      </c>
      <c r="F117" s="532"/>
      <c r="G117" s="460" t="s">
        <v>177</v>
      </c>
      <c r="H117" s="18"/>
      <c r="I117" s="61"/>
      <c r="J117" s="61"/>
      <c r="K117" s="61"/>
      <c r="L117" s="61"/>
      <c r="M117" s="61"/>
      <c r="N117" s="61"/>
      <c r="O117" s="61"/>
      <c r="P117" s="29">
        <f t="shared" si="40"/>
        <v>0</v>
      </c>
      <c r="Q117" s="61"/>
      <c r="R117" s="61"/>
      <c r="S117" s="61"/>
      <c r="T117" s="61"/>
      <c r="U117" s="61"/>
      <c r="V117" s="61"/>
      <c r="W117" s="61"/>
      <c r="X117" s="29">
        <f t="shared" si="41"/>
        <v>0</v>
      </c>
      <c r="Y117" s="61"/>
      <c r="Z117" s="61"/>
      <c r="AA117" s="61"/>
      <c r="AB117" s="61"/>
      <c r="AC117" s="61"/>
      <c r="AD117" s="61"/>
      <c r="AE117" s="61"/>
      <c r="AF117" s="29">
        <f t="shared" si="42"/>
        <v>0</v>
      </c>
    </row>
    <row r="118" spans="1:32" x14ac:dyDescent="0.2">
      <c r="A118" s="174"/>
      <c r="B118" s="153"/>
      <c r="C118" s="154" t="s">
        <v>15</v>
      </c>
      <c r="D118" s="39" t="s">
        <v>62</v>
      </c>
      <c r="E118" s="39"/>
      <c r="F118" s="128"/>
      <c r="G118" s="460" t="s">
        <v>178</v>
      </c>
      <c r="H118" s="18"/>
      <c r="I118" s="29">
        <f>SUM(I119,I120,I121)</f>
        <v>0</v>
      </c>
      <c r="J118" s="29">
        <f t="shared" ref="J118:AC118" si="61">SUM(J119,J120,J121)</f>
        <v>0</v>
      </c>
      <c r="K118" s="29">
        <f t="shared" si="61"/>
        <v>0</v>
      </c>
      <c r="L118" s="29">
        <f t="shared" si="61"/>
        <v>0</v>
      </c>
      <c r="M118" s="29">
        <f t="shared" si="61"/>
        <v>0</v>
      </c>
      <c r="N118" s="29">
        <f>SUM(N119,N120,N121)</f>
        <v>0</v>
      </c>
      <c r="O118" s="29">
        <f>SUM(O119,O120,O121)</f>
        <v>0</v>
      </c>
      <c r="P118" s="29">
        <f t="shared" si="40"/>
        <v>0</v>
      </c>
      <c r="Q118" s="29">
        <f t="shared" si="61"/>
        <v>0</v>
      </c>
      <c r="R118" s="29">
        <f t="shared" si="61"/>
        <v>0</v>
      </c>
      <c r="S118" s="29">
        <f t="shared" si="61"/>
        <v>0</v>
      </c>
      <c r="T118" s="29">
        <f t="shared" si="61"/>
        <v>0</v>
      </c>
      <c r="U118" s="29">
        <f t="shared" si="61"/>
        <v>0</v>
      </c>
      <c r="V118" s="29">
        <f>SUM(V119,V120,V121)</f>
        <v>0</v>
      </c>
      <c r="W118" s="29">
        <f>SUM(W119,W120,W121)</f>
        <v>0</v>
      </c>
      <c r="X118" s="29">
        <f t="shared" si="41"/>
        <v>0</v>
      </c>
      <c r="Y118" s="29">
        <f t="shared" si="61"/>
        <v>0</v>
      </c>
      <c r="Z118" s="29">
        <f t="shared" si="61"/>
        <v>0</v>
      </c>
      <c r="AA118" s="29">
        <f t="shared" si="61"/>
        <v>0</v>
      </c>
      <c r="AB118" s="29">
        <f t="shared" si="61"/>
        <v>0</v>
      </c>
      <c r="AC118" s="29">
        <f t="shared" si="61"/>
        <v>0</v>
      </c>
      <c r="AD118" s="29">
        <f>SUM(AD119,AD120,AD121)</f>
        <v>0</v>
      </c>
      <c r="AE118" s="29">
        <f>SUM(AE119,AE120,AE121)</f>
        <v>0</v>
      </c>
      <c r="AF118" s="29">
        <f t="shared" si="42"/>
        <v>0</v>
      </c>
    </row>
    <row r="119" spans="1:32" x14ac:dyDescent="0.2">
      <c r="A119" s="175"/>
      <c r="B119" s="189"/>
      <c r="C119" s="180"/>
      <c r="D119" s="149" t="s">
        <v>19</v>
      </c>
      <c r="E119" s="125" t="s">
        <v>63</v>
      </c>
      <c r="F119" s="128"/>
      <c r="G119" s="460" t="s">
        <v>179</v>
      </c>
      <c r="H119" s="18"/>
      <c r="I119" s="61"/>
      <c r="J119" s="61"/>
      <c r="K119" s="61"/>
      <c r="L119" s="61"/>
      <c r="M119" s="61"/>
      <c r="N119" s="61"/>
      <c r="O119" s="61"/>
      <c r="P119" s="29">
        <f t="shared" si="40"/>
        <v>0</v>
      </c>
      <c r="Q119" s="61"/>
      <c r="R119" s="61"/>
      <c r="S119" s="61"/>
      <c r="T119" s="61"/>
      <c r="U119" s="61"/>
      <c r="V119" s="61"/>
      <c r="W119" s="61"/>
      <c r="X119" s="29">
        <f t="shared" si="41"/>
        <v>0</v>
      </c>
      <c r="Y119" s="61"/>
      <c r="Z119" s="61"/>
      <c r="AA119" s="61"/>
      <c r="AB119" s="61"/>
      <c r="AC119" s="61"/>
      <c r="AD119" s="61"/>
      <c r="AE119" s="61"/>
      <c r="AF119" s="29">
        <f t="shared" si="42"/>
        <v>0</v>
      </c>
    </row>
    <row r="120" spans="1:32" x14ac:dyDescent="0.2">
      <c r="A120" s="174"/>
      <c r="B120" s="153"/>
      <c r="C120" s="154"/>
      <c r="D120" s="150" t="s">
        <v>21</v>
      </c>
      <c r="E120" s="39" t="s">
        <v>64</v>
      </c>
      <c r="F120" s="128"/>
      <c r="G120" s="460" t="s">
        <v>180</v>
      </c>
      <c r="H120" s="18"/>
      <c r="I120" s="61"/>
      <c r="J120" s="61"/>
      <c r="K120" s="61"/>
      <c r="L120" s="61"/>
      <c r="M120" s="61"/>
      <c r="N120" s="61"/>
      <c r="O120" s="61"/>
      <c r="P120" s="29">
        <f t="shared" si="40"/>
        <v>0</v>
      </c>
      <c r="Q120" s="61"/>
      <c r="R120" s="61"/>
      <c r="S120" s="61"/>
      <c r="T120" s="61"/>
      <c r="U120" s="61"/>
      <c r="V120" s="61"/>
      <c r="W120" s="61"/>
      <c r="X120" s="29">
        <f t="shared" si="41"/>
        <v>0</v>
      </c>
      <c r="Y120" s="61"/>
      <c r="Z120" s="61"/>
      <c r="AA120" s="61"/>
      <c r="AB120" s="61"/>
      <c r="AC120" s="61"/>
      <c r="AD120" s="61"/>
      <c r="AE120" s="61"/>
      <c r="AF120" s="29">
        <f t="shared" si="42"/>
        <v>0</v>
      </c>
    </row>
    <row r="121" spans="1:32" s="16" customFormat="1" x14ac:dyDescent="0.2">
      <c r="A121" s="175"/>
      <c r="B121" s="189"/>
      <c r="C121" s="180"/>
      <c r="D121" s="149" t="s">
        <v>60</v>
      </c>
      <c r="E121" s="531" t="s">
        <v>65</v>
      </c>
      <c r="F121" s="532"/>
      <c r="G121" s="460" t="s">
        <v>181</v>
      </c>
      <c r="H121" s="18"/>
      <c r="I121" s="61"/>
      <c r="J121" s="61"/>
      <c r="K121" s="61"/>
      <c r="L121" s="61"/>
      <c r="M121" s="61"/>
      <c r="N121" s="61"/>
      <c r="O121" s="61"/>
      <c r="P121" s="29">
        <f t="shared" si="40"/>
        <v>0</v>
      </c>
      <c r="Q121" s="61"/>
      <c r="R121" s="61"/>
      <c r="S121" s="61"/>
      <c r="T121" s="61"/>
      <c r="U121" s="61"/>
      <c r="V121" s="61"/>
      <c r="W121" s="61"/>
      <c r="X121" s="29">
        <f t="shared" si="41"/>
        <v>0</v>
      </c>
      <c r="Y121" s="61"/>
      <c r="Z121" s="61"/>
      <c r="AA121" s="61"/>
      <c r="AB121" s="61"/>
      <c r="AC121" s="61"/>
      <c r="AD121" s="61"/>
      <c r="AE121" s="61"/>
      <c r="AF121" s="29">
        <f t="shared" si="42"/>
        <v>0</v>
      </c>
    </row>
    <row r="122" spans="1:32" s="19" customFormat="1" x14ac:dyDescent="0.2">
      <c r="A122" s="528" t="s">
        <v>392</v>
      </c>
      <c r="B122" s="529"/>
      <c r="C122" s="529"/>
      <c r="D122" s="529"/>
      <c r="E122" s="529"/>
      <c r="F122" s="530"/>
      <c r="G122" s="460" t="s">
        <v>182</v>
      </c>
      <c r="H122" s="18"/>
      <c r="I122" s="29">
        <f t="shared" ref="I122:O122" si="62">SUM(I10,I74)</f>
        <v>0</v>
      </c>
      <c r="J122" s="29">
        <f t="shared" si="62"/>
        <v>0</v>
      </c>
      <c r="K122" s="29">
        <f t="shared" si="62"/>
        <v>0</v>
      </c>
      <c r="L122" s="29">
        <f t="shared" si="62"/>
        <v>0</v>
      </c>
      <c r="M122" s="29">
        <f t="shared" si="62"/>
        <v>0</v>
      </c>
      <c r="N122" s="29">
        <f t="shared" si="62"/>
        <v>0</v>
      </c>
      <c r="O122" s="29">
        <f t="shared" si="62"/>
        <v>0</v>
      </c>
      <c r="P122" s="29">
        <f t="shared" si="40"/>
        <v>0</v>
      </c>
      <c r="Q122" s="29">
        <f t="shared" ref="Q122:W122" si="63">SUM(Q10,Q74)</f>
        <v>0</v>
      </c>
      <c r="R122" s="29">
        <f t="shared" si="63"/>
        <v>0</v>
      </c>
      <c r="S122" s="29">
        <f t="shared" si="63"/>
        <v>0</v>
      </c>
      <c r="T122" s="29">
        <f t="shared" si="63"/>
        <v>0</v>
      </c>
      <c r="U122" s="29">
        <f t="shared" si="63"/>
        <v>0</v>
      </c>
      <c r="V122" s="29">
        <f t="shared" si="63"/>
        <v>0</v>
      </c>
      <c r="W122" s="29">
        <f t="shared" si="63"/>
        <v>0</v>
      </c>
      <c r="X122" s="29">
        <f t="shared" si="41"/>
        <v>0</v>
      </c>
      <c r="Y122" s="29">
        <f t="shared" ref="Y122:AE122" si="64">SUM(Y10,Y74)</f>
        <v>0</v>
      </c>
      <c r="Z122" s="29">
        <f t="shared" si="64"/>
        <v>0</v>
      </c>
      <c r="AA122" s="29">
        <f t="shared" si="64"/>
        <v>0</v>
      </c>
      <c r="AB122" s="29">
        <f t="shared" si="64"/>
        <v>0</v>
      </c>
      <c r="AC122" s="29">
        <f t="shared" si="64"/>
        <v>0</v>
      </c>
      <c r="AD122" s="29">
        <f t="shared" si="64"/>
        <v>0</v>
      </c>
      <c r="AE122" s="29">
        <f t="shared" si="64"/>
        <v>0</v>
      </c>
      <c r="AF122" s="29">
        <f t="shared" si="42"/>
        <v>0</v>
      </c>
    </row>
    <row r="123" spans="1:32" x14ac:dyDescent="0.2">
      <c r="G123" s="49" t="s">
        <v>184</v>
      </c>
      <c r="I123" s="13"/>
    </row>
  </sheetData>
  <sheetProtection password="F156" sheet="1" objects="1" scenarios="1" selectLockedCells="1"/>
  <mergeCells count="36">
    <mergeCell ref="AF8:AF9"/>
    <mergeCell ref="AD8:AE8"/>
    <mergeCell ref="Q6:AF6"/>
    <mergeCell ref="A1:AF1"/>
    <mergeCell ref="Q7:X7"/>
    <mergeCell ref="Y7:AF7"/>
    <mergeCell ref="I6:P7"/>
    <mergeCell ref="X8:X9"/>
    <mergeCell ref="Y8:Y9"/>
    <mergeCell ref="Z8:AA8"/>
    <mergeCell ref="AB8:AC8"/>
    <mergeCell ref="E117:F117"/>
    <mergeCell ref="E121:F121"/>
    <mergeCell ref="P8:P9"/>
    <mergeCell ref="I8:I9"/>
    <mergeCell ref="E73:F73"/>
    <mergeCell ref="D84:F84"/>
    <mergeCell ref="D99:F99"/>
    <mergeCell ref="D110:F110"/>
    <mergeCell ref="L8:M8"/>
    <mergeCell ref="A122:F122"/>
    <mergeCell ref="N8:O8"/>
    <mergeCell ref="E69:F69"/>
    <mergeCell ref="D20:F20"/>
    <mergeCell ref="D23:F23"/>
    <mergeCell ref="D41:F41"/>
    <mergeCell ref="A6:F9"/>
    <mergeCell ref="V8:W8"/>
    <mergeCell ref="D59:F59"/>
    <mergeCell ref="D62:F62"/>
    <mergeCell ref="Q8:Q9"/>
    <mergeCell ref="R8:S8"/>
    <mergeCell ref="T8:U8"/>
    <mergeCell ref="D48:F48"/>
    <mergeCell ref="G6:G9"/>
    <mergeCell ref="J8:K8"/>
  </mergeCells>
  <phoneticPr fontId="0" type="noConversion"/>
  <dataValidations count="2">
    <dataValidation type="decimal" operator="lessThan" allowBlank="1" showInputMessage="1" showErrorMessage="1" error="Entries should be less than 1,000,000,000,000,000.00" sqref="I10:AF122">
      <formula1>1000000000000000</formula1>
    </dataValidation>
    <dataValidation operator="lessThan" allowBlank="1" showInputMessage="1" showErrorMessage="1" error="Entries should be less than 1,000,000,000,000,000.00" sqref="A31:E33 G92 A92:E92 G31:G33 D35:D36"/>
  </dataValidations>
  <printOptions horizontalCentered="1"/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&amp;R&amp;"Arial,Bold"&amp;USchedule 4&amp;8&amp;U
&amp;P of &amp;N&amp;C&amp;"Arial,Bold"&amp;8 MAXIMUM SAVINGS BANK, INC.  [ 03-070011 ]
 As of: June 30, 2019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W72"/>
  <sheetViews>
    <sheetView zoomScale="75" zoomScaleNormal="85" workbookViewId="0">
      <pane xSplit="8" ySplit="9" topLeftCell="I12" activePane="bottomRight" state="frozen"/>
      <selection pane="topRight" activeCell="I1" sqref="I1"/>
      <selection pane="bottomLeft" activeCell="A10" sqref="A10"/>
      <selection pane="bottomRight" activeCell="I12" sqref="I12"/>
    </sheetView>
  </sheetViews>
  <sheetFormatPr defaultRowHeight="11.25" x14ac:dyDescent="0.2"/>
  <cols>
    <col min="1" max="4" width="2.85546875" style="1" customWidth="1"/>
    <col min="5" max="5" width="25.85546875" style="1" customWidth="1"/>
    <col min="6" max="6" width="18.7109375" style="1" hidden="1" customWidth="1"/>
    <col min="7" max="7" width="16.85546875" style="9" customWidth="1"/>
    <col min="8" max="8" width="18" style="9" hidden="1" customWidth="1"/>
    <col min="9" max="13" width="20.7109375" style="1" customWidth="1"/>
    <col min="14" max="15" width="20.7109375" style="1" hidden="1" customWidth="1"/>
    <col min="16" max="21" width="20.7109375" style="1" customWidth="1"/>
    <col min="22" max="23" width="20.7109375" style="1" hidden="1" customWidth="1"/>
    <col min="24" max="29" width="20.7109375" style="1" customWidth="1"/>
    <col min="30" max="31" width="20.7109375" style="1" hidden="1" customWidth="1"/>
    <col min="32" max="37" width="20.7109375" style="1" customWidth="1"/>
    <col min="38" max="39" width="20.7109375" style="1" hidden="1" customWidth="1"/>
    <col min="40" max="45" width="20.7109375" style="1" customWidth="1"/>
    <col min="46" max="47" width="20.7109375" style="1" hidden="1" customWidth="1"/>
    <col min="48" max="49" width="20.7109375" style="1" customWidth="1"/>
    <col min="50" max="16384" width="9.140625" style="1"/>
  </cols>
  <sheetData>
    <row r="1" spans="1:49" ht="12.75" x14ac:dyDescent="0.2">
      <c r="A1" s="537" t="s">
        <v>183</v>
      </c>
      <c r="B1" s="537"/>
      <c r="C1" s="537"/>
      <c r="D1" s="537"/>
      <c r="E1" s="537"/>
      <c r="F1" s="537"/>
      <c r="G1" s="537"/>
      <c r="H1" s="537"/>
      <c r="I1" s="537"/>
      <c r="J1" s="537"/>
      <c r="K1" s="537"/>
      <c r="L1" s="537"/>
      <c r="M1" s="537"/>
      <c r="N1" s="537"/>
      <c r="O1" s="537"/>
      <c r="P1" s="537"/>
      <c r="Q1" s="537"/>
      <c r="R1" s="537"/>
      <c r="S1" s="537"/>
      <c r="T1" s="537"/>
      <c r="U1" s="537"/>
      <c r="V1" s="537"/>
      <c r="W1" s="537"/>
      <c r="X1" s="537"/>
      <c r="Y1" s="537"/>
      <c r="Z1" s="537"/>
      <c r="AA1" s="537"/>
      <c r="AB1" s="537"/>
      <c r="AC1" s="537"/>
      <c r="AD1" s="537"/>
      <c r="AE1" s="537"/>
      <c r="AF1" s="537"/>
      <c r="AG1" s="537"/>
      <c r="AH1" s="537"/>
      <c r="AI1" s="537"/>
      <c r="AJ1" s="537"/>
      <c r="AK1" s="537"/>
      <c r="AL1" s="537"/>
      <c r="AM1" s="537"/>
      <c r="AN1" s="537"/>
      <c r="AO1" s="537"/>
      <c r="AP1" s="537"/>
      <c r="AQ1" s="537"/>
      <c r="AR1" s="537"/>
      <c r="AS1" s="537"/>
      <c r="AT1" s="537"/>
      <c r="AU1" s="537"/>
      <c r="AV1" s="537"/>
      <c r="AW1" s="537"/>
    </row>
    <row r="2" spans="1:49" ht="12.75" x14ac:dyDescent="0.2">
      <c r="A2" s="537" t="s">
        <v>719</v>
      </c>
      <c r="B2" s="537"/>
      <c r="C2" s="537"/>
      <c r="D2" s="537"/>
      <c r="E2" s="537"/>
      <c r="F2" s="537"/>
      <c r="G2" s="537"/>
      <c r="H2" s="537"/>
      <c r="I2" s="537"/>
      <c r="J2" s="537"/>
      <c r="K2" s="537"/>
      <c r="L2" s="537"/>
      <c r="M2" s="537"/>
      <c r="N2" s="537"/>
      <c r="O2" s="537"/>
      <c r="P2" s="537"/>
      <c r="Q2" s="537"/>
      <c r="R2" s="537"/>
      <c r="S2" s="537"/>
      <c r="T2" s="537"/>
      <c r="U2" s="537"/>
      <c r="V2" s="537"/>
      <c r="W2" s="537"/>
      <c r="X2" s="537"/>
      <c r="Y2" s="537"/>
      <c r="Z2" s="537"/>
      <c r="AA2" s="537"/>
      <c r="AB2" s="537"/>
      <c r="AC2" s="537"/>
      <c r="AD2" s="537"/>
      <c r="AE2" s="537"/>
      <c r="AF2" s="537"/>
      <c r="AG2" s="537"/>
      <c r="AH2" s="537"/>
      <c r="AI2" s="537"/>
      <c r="AJ2" s="537"/>
      <c r="AK2" s="537"/>
      <c r="AL2" s="537"/>
      <c r="AM2" s="537"/>
      <c r="AN2" s="537"/>
      <c r="AO2" s="537"/>
      <c r="AP2" s="537"/>
      <c r="AQ2" s="537"/>
      <c r="AR2" s="537"/>
      <c r="AS2" s="537"/>
      <c r="AT2" s="537"/>
      <c r="AU2" s="537"/>
      <c r="AV2" s="537"/>
      <c r="AW2" s="537"/>
    </row>
    <row r="3" spans="1:49" ht="12.75" x14ac:dyDescent="0.2">
      <c r="A3" s="254"/>
      <c r="B3" s="254"/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4"/>
      <c r="R3" s="254"/>
      <c r="S3" s="254"/>
      <c r="T3" s="254"/>
      <c r="U3" s="254"/>
      <c r="V3" s="254"/>
      <c r="W3" s="254"/>
      <c r="X3" s="254"/>
      <c r="Y3" s="254"/>
      <c r="Z3" s="254"/>
      <c r="AA3" s="254"/>
      <c r="AB3" s="254"/>
      <c r="AC3" s="254"/>
      <c r="AD3" s="254"/>
      <c r="AE3" s="254"/>
      <c r="AF3" s="254"/>
      <c r="AG3" s="254"/>
      <c r="AH3" s="254"/>
      <c r="AI3" s="254"/>
      <c r="AJ3" s="254"/>
      <c r="AK3" s="254"/>
      <c r="AL3" s="254"/>
      <c r="AM3" s="254"/>
      <c r="AN3" s="254"/>
      <c r="AO3" s="254"/>
      <c r="AP3" s="254"/>
      <c r="AQ3" s="254"/>
      <c r="AR3" s="254"/>
      <c r="AS3" s="254"/>
      <c r="AT3" s="254"/>
      <c r="AU3" s="254"/>
      <c r="AV3" s="254"/>
      <c r="AW3" s="254"/>
    </row>
    <row r="4" spans="1:49" ht="12.75" x14ac:dyDescent="0.2">
      <c r="A4" s="538" t="s">
        <v>720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8"/>
      <c r="O4" s="538"/>
      <c r="P4" s="538"/>
      <c r="Q4" s="538"/>
      <c r="R4" s="538"/>
      <c r="S4" s="538"/>
      <c r="T4" s="538"/>
      <c r="U4" s="538"/>
      <c r="V4" s="538"/>
      <c r="W4" s="538"/>
      <c r="X4" s="538"/>
      <c r="Y4" s="538"/>
      <c r="Z4" s="538"/>
      <c r="AA4" s="538"/>
      <c r="AB4" s="538"/>
      <c r="AC4" s="538"/>
      <c r="AD4" s="538"/>
      <c r="AE4" s="538"/>
      <c r="AF4" s="538"/>
      <c r="AG4" s="538"/>
      <c r="AH4" s="538"/>
      <c r="AI4" s="538"/>
      <c r="AJ4" s="538"/>
      <c r="AK4" s="538"/>
      <c r="AL4" s="538"/>
      <c r="AM4" s="538"/>
      <c r="AN4" s="538"/>
      <c r="AO4" s="538"/>
      <c r="AP4" s="538"/>
      <c r="AQ4" s="538"/>
      <c r="AR4" s="538"/>
      <c r="AS4" s="538"/>
      <c r="AT4" s="538"/>
      <c r="AU4" s="538"/>
      <c r="AV4" s="538"/>
      <c r="AW4" s="538"/>
    </row>
    <row r="5" spans="1:49" x14ac:dyDescent="0.2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</row>
    <row r="6" spans="1:49" ht="12.75" customHeight="1" x14ac:dyDescent="0.2">
      <c r="A6" s="551" t="s">
        <v>722</v>
      </c>
      <c r="B6" s="552"/>
      <c r="C6" s="552"/>
      <c r="D6" s="552"/>
      <c r="E6" s="552"/>
      <c r="F6" s="553"/>
      <c r="G6" s="560" t="s">
        <v>2</v>
      </c>
      <c r="H6" s="88"/>
      <c r="I6" s="539" t="s">
        <v>721</v>
      </c>
      <c r="J6" s="540"/>
      <c r="K6" s="540"/>
      <c r="L6" s="540"/>
      <c r="M6" s="540"/>
      <c r="N6" s="540"/>
      <c r="O6" s="540"/>
      <c r="P6" s="540"/>
      <c r="Q6" s="540"/>
      <c r="R6" s="540"/>
      <c r="S6" s="540"/>
      <c r="T6" s="540"/>
      <c r="U6" s="540"/>
      <c r="V6" s="540"/>
      <c r="W6" s="540"/>
      <c r="X6" s="540"/>
      <c r="Y6" s="540"/>
      <c r="Z6" s="540"/>
      <c r="AA6" s="540"/>
      <c r="AB6" s="540"/>
      <c r="AC6" s="540"/>
      <c r="AD6" s="540"/>
      <c r="AE6" s="540"/>
      <c r="AF6" s="540"/>
      <c r="AG6" s="540"/>
      <c r="AH6" s="540"/>
      <c r="AI6" s="540"/>
      <c r="AJ6" s="540"/>
      <c r="AK6" s="540"/>
      <c r="AL6" s="540"/>
      <c r="AM6" s="540"/>
      <c r="AN6" s="540"/>
      <c r="AO6" s="540"/>
      <c r="AP6" s="540"/>
      <c r="AQ6" s="540"/>
      <c r="AR6" s="540"/>
      <c r="AS6" s="540"/>
      <c r="AT6" s="540"/>
      <c r="AU6" s="540"/>
      <c r="AV6" s="540"/>
      <c r="AW6" s="541"/>
    </row>
    <row r="7" spans="1:49" x14ac:dyDescent="0.2">
      <c r="A7" s="554"/>
      <c r="B7" s="555"/>
      <c r="C7" s="555"/>
      <c r="D7" s="555"/>
      <c r="E7" s="555"/>
      <c r="F7" s="556"/>
      <c r="G7" s="561"/>
      <c r="H7" s="107"/>
      <c r="I7" s="534" t="s">
        <v>50</v>
      </c>
      <c r="J7" s="535"/>
      <c r="K7" s="535"/>
      <c r="L7" s="535"/>
      <c r="M7" s="535"/>
      <c r="N7" s="535"/>
      <c r="O7" s="535"/>
      <c r="P7" s="536"/>
      <c r="Q7" s="534" t="s">
        <v>723</v>
      </c>
      <c r="R7" s="535"/>
      <c r="S7" s="535"/>
      <c r="T7" s="535"/>
      <c r="U7" s="535"/>
      <c r="V7" s="535"/>
      <c r="W7" s="535"/>
      <c r="X7" s="536"/>
      <c r="Y7" s="534" t="s">
        <v>724</v>
      </c>
      <c r="Z7" s="535"/>
      <c r="AA7" s="535"/>
      <c r="AB7" s="535"/>
      <c r="AC7" s="535"/>
      <c r="AD7" s="535"/>
      <c r="AE7" s="535"/>
      <c r="AF7" s="536"/>
      <c r="AG7" s="534" t="s">
        <v>52</v>
      </c>
      <c r="AH7" s="535"/>
      <c r="AI7" s="535"/>
      <c r="AJ7" s="535"/>
      <c r="AK7" s="535"/>
      <c r="AL7" s="535"/>
      <c r="AM7" s="535"/>
      <c r="AN7" s="536"/>
      <c r="AO7" s="534" t="s">
        <v>56</v>
      </c>
      <c r="AP7" s="535"/>
      <c r="AQ7" s="535"/>
      <c r="AR7" s="535"/>
      <c r="AS7" s="535"/>
      <c r="AT7" s="535"/>
      <c r="AU7" s="535"/>
      <c r="AV7" s="535"/>
      <c r="AW7" s="542" t="s">
        <v>68</v>
      </c>
    </row>
    <row r="8" spans="1:49" x14ac:dyDescent="0.2">
      <c r="A8" s="554"/>
      <c r="B8" s="555"/>
      <c r="C8" s="555"/>
      <c r="D8" s="555"/>
      <c r="E8" s="555"/>
      <c r="F8" s="556"/>
      <c r="G8" s="561"/>
      <c r="H8" s="104"/>
      <c r="I8" s="545" t="s">
        <v>725</v>
      </c>
      <c r="J8" s="547" t="s">
        <v>4</v>
      </c>
      <c r="K8" s="548"/>
      <c r="L8" s="534" t="s">
        <v>7</v>
      </c>
      <c r="M8" s="536"/>
      <c r="N8" s="534" t="s">
        <v>391</v>
      </c>
      <c r="O8" s="536"/>
      <c r="P8" s="545" t="s">
        <v>68</v>
      </c>
      <c r="Q8" s="545" t="s">
        <v>725</v>
      </c>
      <c r="R8" s="547" t="s">
        <v>4</v>
      </c>
      <c r="S8" s="548"/>
      <c r="T8" s="534" t="s">
        <v>7</v>
      </c>
      <c r="U8" s="536"/>
      <c r="V8" s="534" t="s">
        <v>391</v>
      </c>
      <c r="W8" s="536"/>
      <c r="X8" s="545" t="s">
        <v>68</v>
      </c>
      <c r="Y8" s="545" t="s">
        <v>725</v>
      </c>
      <c r="Z8" s="547" t="s">
        <v>4</v>
      </c>
      <c r="AA8" s="548"/>
      <c r="AB8" s="534" t="s">
        <v>7</v>
      </c>
      <c r="AC8" s="536"/>
      <c r="AD8" s="534" t="s">
        <v>391</v>
      </c>
      <c r="AE8" s="536"/>
      <c r="AF8" s="545" t="s">
        <v>68</v>
      </c>
      <c r="AG8" s="545" t="s">
        <v>725</v>
      </c>
      <c r="AH8" s="547" t="s">
        <v>4</v>
      </c>
      <c r="AI8" s="548"/>
      <c r="AJ8" s="534" t="s">
        <v>7</v>
      </c>
      <c r="AK8" s="536"/>
      <c r="AL8" s="534" t="s">
        <v>391</v>
      </c>
      <c r="AM8" s="536"/>
      <c r="AN8" s="545" t="s">
        <v>68</v>
      </c>
      <c r="AO8" s="545" t="s">
        <v>725</v>
      </c>
      <c r="AP8" s="547" t="s">
        <v>4</v>
      </c>
      <c r="AQ8" s="548"/>
      <c r="AR8" s="534" t="s">
        <v>7</v>
      </c>
      <c r="AS8" s="536"/>
      <c r="AT8" s="534" t="s">
        <v>391</v>
      </c>
      <c r="AU8" s="536"/>
      <c r="AV8" s="549" t="s">
        <v>68</v>
      </c>
      <c r="AW8" s="543"/>
    </row>
    <row r="9" spans="1:49" x14ac:dyDescent="0.2">
      <c r="A9" s="557"/>
      <c r="B9" s="558"/>
      <c r="C9" s="558"/>
      <c r="D9" s="558"/>
      <c r="E9" s="558"/>
      <c r="F9" s="559"/>
      <c r="G9" s="562"/>
      <c r="H9" s="105"/>
      <c r="I9" s="546"/>
      <c r="J9" s="89" t="s">
        <v>726</v>
      </c>
      <c r="K9" s="89" t="s">
        <v>727</v>
      </c>
      <c r="L9" s="89" t="s">
        <v>726</v>
      </c>
      <c r="M9" s="89" t="s">
        <v>727</v>
      </c>
      <c r="N9" s="89" t="s">
        <v>726</v>
      </c>
      <c r="O9" s="89" t="s">
        <v>727</v>
      </c>
      <c r="P9" s="546"/>
      <c r="Q9" s="546"/>
      <c r="R9" s="89" t="s">
        <v>726</v>
      </c>
      <c r="S9" s="89" t="s">
        <v>727</v>
      </c>
      <c r="T9" s="89" t="s">
        <v>726</v>
      </c>
      <c r="U9" s="89" t="s">
        <v>727</v>
      </c>
      <c r="V9" s="89" t="s">
        <v>726</v>
      </c>
      <c r="W9" s="89" t="s">
        <v>727</v>
      </c>
      <c r="X9" s="546"/>
      <c r="Y9" s="546"/>
      <c r="Z9" s="89" t="s">
        <v>726</v>
      </c>
      <c r="AA9" s="89" t="s">
        <v>727</v>
      </c>
      <c r="AB9" s="89" t="s">
        <v>726</v>
      </c>
      <c r="AC9" s="89" t="s">
        <v>727</v>
      </c>
      <c r="AD9" s="89" t="s">
        <v>726</v>
      </c>
      <c r="AE9" s="89" t="s">
        <v>727</v>
      </c>
      <c r="AF9" s="546"/>
      <c r="AG9" s="546"/>
      <c r="AH9" s="89" t="s">
        <v>726</v>
      </c>
      <c r="AI9" s="89" t="s">
        <v>727</v>
      </c>
      <c r="AJ9" s="89" t="s">
        <v>726</v>
      </c>
      <c r="AK9" s="89" t="s">
        <v>727</v>
      </c>
      <c r="AL9" s="89" t="s">
        <v>726</v>
      </c>
      <c r="AM9" s="89" t="s">
        <v>727</v>
      </c>
      <c r="AN9" s="546"/>
      <c r="AO9" s="546"/>
      <c r="AP9" s="89" t="s">
        <v>726</v>
      </c>
      <c r="AQ9" s="89" t="s">
        <v>727</v>
      </c>
      <c r="AR9" s="89" t="s">
        <v>726</v>
      </c>
      <c r="AS9" s="89" t="s">
        <v>727</v>
      </c>
      <c r="AT9" s="89" t="s">
        <v>726</v>
      </c>
      <c r="AU9" s="89" t="s">
        <v>727</v>
      </c>
      <c r="AV9" s="550"/>
      <c r="AW9" s="544"/>
    </row>
    <row r="10" spans="1:49" x14ac:dyDescent="0.2">
      <c r="A10" s="449" t="s">
        <v>186</v>
      </c>
      <c r="B10" s="450" t="s">
        <v>187</v>
      </c>
      <c r="C10" s="378"/>
      <c r="D10" s="378"/>
      <c r="E10" s="379"/>
      <c r="F10" s="382"/>
      <c r="G10" s="472" t="s">
        <v>729</v>
      </c>
      <c r="H10" s="190"/>
      <c r="I10" s="95">
        <f t="shared" ref="I10:O10" si="0">I11+I18+I19+I22+I27</f>
        <v>0</v>
      </c>
      <c r="J10" s="95">
        <f t="shared" si="0"/>
        <v>0</v>
      </c>
      <c r="K10" s="95">
        <f t="shared" si="0"/>
        <v>0</v>
      </c>
      <c r="L10" s="95">
        <f t="shared" si="0"/>
        <v>0</v>
      </c>
      <c r="M10" s="95">
        <f t="shared" si="0"/>
        <v>0</v>
      </c>
      <c r="N10" s="95">
        <f t="shared" si="0"/>
        <v>0</v>
      </c>
      <c r="O10" s="95">
        <f t="shared" si="0"/>
        <v>0</v>
      </c>
      <c r="P10" s="95">
        <f>I10+K10+M10+O10</f>
        <v>0</v>
      </c>
      <c r="Q10" s="95">
        <f t="shared" ref="Q10:W10" si="1">Q11+Q18+Q19+Q22+Q27</f>
        <v>0</v>
      </c>
      <c r="R10" s="95">
        <f t="shared" si="1"/>
        <v>0</v>
      </c>
      <c r="S10" s="95">
        <f t="shared" si="1"/>
        <v>0</v>
      </c>
      <c r="T10" s="95">
        <f t="shared" si="1"/>
        <v>0</v>
      </c>
      <c r="U10" s="95">
        <f t="shared" si="1"/>
        <v>0</v>
      </c>
      <c r="V10" s="95">
        <f t="shared" si="1"/>
        <v>0</v>
      </c>
      <c r="W10" s="95">
        <f t="shared" si="1"/>
        <v>0</v>
      </c>
      <c r="X10" s="95">
        <f>Q10+S10+U10+W10</f>
        <v>0</v>
      </c>
      <c r="Y10" s="95">
        <f t="shared" ref="Y10:AE10" si="2">Y11+Y18+Y19+Y22+Y27</f>
        <v>0</v>
      </c>
      <c r="Z10" s="95">
        <f t="shared" si="2"/>
        <v>0</v>
      </c>
      <c r="AA10" s="95">
        <f t="shared" si="2"/>
        <v>0</v>
      </c>
      <c r="AB10" s="95">
        <f t="shared" si="2"/>
        <v>0</v>
      </c>
      <c r="AC10" s="95">
        <f t="shared" si="2"/>
        <v>0</v>
      </c>
      <c r="AD10" s="95">
        <f t="shared" si="2"/>
        <v>0</v>
      </c>
      <c r="AE10" s="95">
        <f t="shared" si="2"/>
        <v>0</v>
      </c>
      <c r="AF10" s="95">
        <f>Y10+AA10+AC10+AE10</f>
        <v>0</v>
      </c>
      <c r="AG10" s="95">
        <f t="shared" ref="AG10:AM10" si="3">AG11+AG18+AG19+AG22+AG27</f>
        <v>0</v>
      </c>
      <c r="AH10" s="95">
        <f t="shared" si="3"/>
        <v>0</v>
      </c>
      <c r="AI10" s="95">
        <f t="shared" si="3"/>
        <v>0</v>
      </c>
      <c r="AJ10" s="95">
        <f t="shared" si="3"/>
        <v>0</v>
      </c>
      <c r="AK10" s="95">
        <f t="shared" si="3"/>
        <v>0</v>
      </c>
      <c r="AL10" s="95">
        <f t="shared" si="3"/>
        <v>0</v>
      </c>
      <c r="AM10" s="95">
        <f t="shared" si="3"/>
        <v>0</v>
      </c>
      <c r="AN10" s="95">
        <f>AG10+AI10+AK10+AM10</f>
        <v>0</v>
      </c>
      <c r="AO10" s="95">
        <f t="shared" ref="AO10:AU10" si="4">AO11+AO18+AO19+AO22+AO27</f>
        <v>0</v>
      </c>
      <c r="AP10" s="95">
        <f t="shared" si="4"/>
        <v>0</v>
      </c>
      <c r="AQ10" s="95">
        <f t="shared" si="4"/>
        <v>0</v>
      </c>
      <c r="AR10" s="95">
        <f t="shared" si="4"/>
        <v>0</v>
      </c>
      <c r="AS10" s="95">
        <f t="shared" si="4"/>
        <v>0</v>
      </c>
      <c r="AT10" s="95">
        <f t="shared" si="4"/>
        <v>0</v>
      </c>
      <c r="AU10" s="95">
        <f t="shared" si="4"/>
        <v>0</v>
      </c>
      <c r="AV10" s="95">
        <f>AO10+AQ10+AS10+AU10</f>
        <v>0</v>
      </c>
      <c r="AW10" s="95">
        <f>P10+X10+AF10+AN10+AV10</f>
        <v>0</v>
      </c>
    </row>
    <row r="11" spans="1:49" x14ac:dyDescent="0.2">
      <c r="A11" s="386"/>
      <c r="B11" s="355" t="s">
        <v>188</v>
      </c>
      <c r="C11" s="355" t="s">
        <v>788</v>
      </c>
      <c r="D11" s="355"/>
      <c r="E11" s="382"/>
      <c r="F11" s="382"/>
      <c r="G11" s="472" t="s">
        <v>730</v>
      </c>
      <c r="H11" s="190"/>
      <c r="I11" s="95">
        <f>I12+I13+I14</f>
        <v>0</v>
      </c>
      <c r="J11" s="95">
        <f t="shared" ref="J11:AS11" si="5">J12+J13+J14</f>
        <v>0</v>
      </c>
      <c r="K11" s="95">
        <f t="shared" si="5"/>
        <v>0</v>
      </c>
      <c r="L11" s="95">
        <f t="shared" si="5"/>
        <v>0</v>
      </c>
      <c r="M11" s="95">
        <f t="shared" si="5"/>
        <v>0</v>
      </c>
      <c r="N11" s="95">
        <f>N12+N13+N14</f>
        <v>0</v>
      </c>
      <c r="O11" s="95">
        <f>O12+O13+O14</f>
        <v>0</v>
      </c>
      <c r="P11" s="95">
        <f t="shared" ref="P11:P36" si="6">I11+K11+M11+O11</f>
        <v>0</v>
      </c>
      <c r="Q11" s="95">
        <f t="shared" si="5"/>
        <v>0</v>
      </c>
      <c r="R11" s="95">
        <f t="shared" si="5"/>
        <v>0</v>
      </c>
      <c r="S11" s="95">
        <f t="shared" si="5"/>
        <v>0</v>
      </c>
      <c r="T11" s="95">
        <f t="shared" si="5"/>
        <v>0</v>
      </c>
      <c r="U11" s="95">
        <f t="shared" si="5"/>
        <v>0</v>
      </c>
      <c r="V11" s="95">
        <f>V12+V13+V14</f>
        <v>0</v>
      </c>
      <c r="W11" s="95">
        <f>W12+W13+W14</f>
        <v>0</v>
      </c>
      <c r="X11" s="95">
        <f t="shared" ref="X11:X36" si="7">Q11+S11+U11+W11</f>
        <v>0</v>
      </c>
      <c r="Y11" s="95">
        <f t="shared" si="5"/>
        <v>0</v>
      </c>
      <c r="Z11" s="95">
        <f t="shared" si="5"/>
        <v>0</v>
      </c>
      <c r="AA11" s="95">
        <f t="shared" si="5"/>
        <v>0</v>
      </c>
      <c r="AB11" s="95">
        <f t="shared" si="5"/>
        <v>0</v>
      </c>
      <c r="AC11" s="95">
        <f t="shared" si="5"/>
        <v>0</v>
      </c>
      <c r="AD11" s="95">
        <f>AD12+AD13+AD14</f>
        <v>0</v>
      </c>
      <c r="AE11" s="95">
        <f>AE12+AE13+AE14</f>
        <v>0</v>
      </c>
      <c r="AF11" s="95">
        <f t="shared" ref="AF11:AF36" si="8">Y11+AA11+AC11+AE11</f>
        <v>0</v>
      </c>
      <c r="AG11" s="95">
        <f t="shared" si="5"/>
        <v>0</v>
      </c>
      <c r="AH11" s="95">
        <f t="shared" si="5"/>
        <v>0</v>
      </c>
      <c r="AI11" s="95">
        <f t="shared" si="5"/>
        <v>0</v>
      </c>
      <c r="AJ11" s="95">
        <f t="shared" si="5"/>
        <v>0</v>
      </c>
      <c r="AK11" s="95">
        <f t="shared" si="5"/>
        <v>0</v>
      </c>
      <c r="AL11" s="95">
        <f>AL12+AL13+AL14</f>
        <v>0</v>
      </c>
      <c r="AM11" s="95">
        <f>AM12+AM13+AM14</f>
        <v>0</v>
      </c>
      <c r="AN11" s="95">
        <f t="shared" ref="AN11:AN36" si="9">AG11+AI11+AK11+AM11</f>
        <v>0</v>
      </c>
      <c r="AO11" s="95">
        <f t="shared" si="5"/>
        <v>0</v>
      </c>
      <c r="AP11" s="95">
        <f t="shared" si="5"/>
        <v>0</v>
      </c>
      <c r="AQ11" s="95">
        <f t="shared" si="5"/>
        <v>0</v>
      </c>
      <c r="AR11" s="95">
        <f t="shared" si="5"/>
        <v>0</v>
      </c>
      <c r="AS11" s="95">
        <f t="shared" si="5"/>
        <v>0</v>
      </c>
      <c r="AT11" s="95">
        <f>AT12+AT13+AT14</f>
        <v>0</v>
      </c>
      <c r="AU11" s="95">
        <f>AU12+AU13+AU14</f>
        <v>0</v>
      </c>
      <c r="AV11" s="95">
        <f t="shared" ref="AV11:AV36" si="10">AO11+AQ11+AS11+AU11</f>
        <v>0</v>
      </c>
      <c r="AW11" s="95">
        <f t="shared" ref="AW11:AW36" si="11">P11+X11+AF11+AN11+AV11</f>
        <v>0</v>
      </c>
    </row>
    <row r="12" spans="1:49" x14ac:dyDescent="0.2">
      <c r="A12" s="384"/>
      <c r="B12" s="385"/>
      <c r="C12" s="473" t="s">
        <v>19</v>
      </c>
      <c r="D12" s="385" t="s">
        <v>189</v>
      </c>
      <c r="E12" s="383"/>
      <c r="F12" s="382"/>
      <c r="G12" s="472" t="s">
        <v>731</v>
      </c>
      <c r="H12" s="190"/>
      <c r="I12" s="94"/>
      <c r="J12" s="94"/>
      <c r="K12" s="94"/>
      <c r="L12" s="94"/>
      <c r="M12" s="94"/>
      <c r="N12" s="94"/>
      <c r="O12" s="94"/>
      <c r="P12" s="95">
        <f t="shared" si="6"/>
        <v>0</v>
      </c>
      <c r="Q12" s="92"/>
      <c r="R12" s="92"/>
      <c r="S12" s="92"/>
      <c r="T12" s="92"/>
      <c r="U12" s="92"/>
      <c r="V12" s="92"/>
      <c r="W12" s="92"/>
      <c r="X12" s="95">
        <f t="shared" si="7"/>
        <v>0</v>
      </c>
      <c r="Y12" s="92"/>
      <c r="Z12" s="92"/>
      <c r="AA12" s="92"/>
      <c r="AB12" s="92"/>
      <c r="AC12" s="92"/>
      <c r="AD12" s="92"/>
      <c r="AE12" s="92"/>
      <c r="AF12" s="95">
        <f t="shared" si="8"/>
        <v>0</v>
      </c>
      <c r="AG12" s="92"/>
      <c r="AH12" s="92"/>
      <c r="AI12" s="92"/>
      <c r="AJ12" s="92"/>
      <c r="AK12" s="92"/>
      <c r="AL12" s="92"/>
      <c r="AM12" s="92"/>
      <c r="AN12" s="95">
        <f t="shared" si="9"/>
        <v>0</v>
      </c>
      <c r="AO12" s="92"/>
      <c r="AP12" s="92"/>
      <c r="AQ12" s="92"/>
      <c r="AR12" s="92"/>
      <c r="AS12" s="92"/>
      <c r="AT12" s="92"/>
      <c r="AU12" s="92"/>
      <c r="AV12" s="95">
        <f t="shared" si="10"/>
        <v>0</v>
      </c>
      <c r="AW12" s="95">
        <f t="shared" si="11"/>
        <v>0</v>
      </c>
    </row>
    <row r="13" spans="1:49" x14ac:dyDescent="0.2">
      <c r="A13" s="386"/>
      <c r="B13" s="355"/>
      <c r="C13" s="405" t="s">
        <v>21</v>
      </c>
      <c r="D13" s="355" t="s">
        <v>190</v>
      </c>
      <c r="E13" s="382"/>
      <c r="F13" s="382"/>
      <c r="G13" s="472" t="s">
        <v>732</v>
      </c>
      <c r="H13" s="190"/>
      <c r="I13" s="94"/>
      <c r="J13" s="94"/>
      <c r="K13" s="94"/>
      <c r="L13" s="94"/>
      <c r="M13" s="94"/>
      <c r="N13" s="94"/>
      <c r="O13" s="94"/>
      <c r="P13" s="95">
        <f t="shared" si="6"/>
        <v>0</v>
      </c>
      <c r="Q13" s="92"/>
      <c r="R13" s="92"/>
      <c r="S13" s="92"/>
      <c r="T13" s="92"/>
      <c r="U13" s="92"/>
      <c r="V13" s="92"/>
      <c r="W13" s="92"/>
      <c r="X13" s="95">
        <f t="shared" si="7"/>
        <v>0</v>
      </c>
      <c r="Y13" s="92"/>
      <c r="Z13" s="92"/>
      <c r="AA13" s="92"/>
      <c r="AB13" s="92"/>
      <c r="AC13" s="92"/>
      <c r="AD13" s="92"/>
      <c r="AE13" s="92"/>
      <c r="AF13" s="95">
        <f t="shared" si="8"/>
        <v>0</v>
      </c>
      <c r="AG13" s="92"/>
      <c r="AH13" s="92"/>
      <c r="AI13" s="92"/>
      <c r="AJ13" s="92"/>
      <c r="AK13" s="92"/>
      <c r="AL13" s="92"/>
      <c r="AM13" s="92"/>
      <c r="AN13" s="95">
        <f t="shared" si="9"/>
        <v>0</v>
      </c>
      <c r="AO13" s="92"/>
      <c r="AP13" s="92"/>
      <c r="AQ13" s="92"/>
      <c r="AR13" s="92"/>
      <c r="AS13" s="92"/>
      <c r="AT13" s="92"/>
      <c r="AU13" s="92"/>
      <c r="AV13" s="95">
        <f t="shared" si="10"/>
        <v>0</v>
      </c>
      <c r="AW13" s="95">
        <f t="shared" si="11"/>
        <v>0</v>
      </c>
    </row>
    <row r="14" spans="1:49" x14ac:dyDescent="0.2">
      <c r="A14" s="384"/>
      <c r="B14" s="385"/>
      <c r="C14" s="473" t="s">
        <v>60</v>
      </c>
      <c r="D14" s="385" t="s">
        <v>191</v>
      </c>
      <c r="E14" s="383"/>
      <c r="F14" s="382"/>
      <c r="G14" s="472" t="s">
        <v>733</v>
      </c>
      <c r="H14" s="190"/>
      <c r="I14" s="95">
        <f>I15+I16+I17</f>
        <v>0</v>
      </c>
      <c r="J14" s="95">
        <f t="shared" ref="J14:AS14" si="12">J15+J16+J17</f>
        <v>0</v>
      </c>
      <c r="K14" s="95">
        <f t="shared" si="12"/>
        <v>0</v>
      </c>
      <c r="L14" s="95">
        <f t="shared" si="12"/>
        <v>0</v>
      </c>
      <c r="M14" s="95">
        <f t="shared" si="12"/>
        <v>0</v>
      </c>
      <c r="N14" s="95">
        <f>N15+N16+N17</f>
        <v>0</v>
      </c>
      <c r="O14" s="95">
        <f>O15+O16+O17</f>
        <v>0</v>
      </c>
      <c r="P14" s="95">
        <f t="shared" si="6"/>
        <v>0</v>
      </c>
      <c r="Q14" s="95">
        <f t="shared" si="12"/>
        <v>0</v>
      </c>
      <c r="R14" s="95">
        <f t="shared" si="12"/>
        <v>0</v>
      </c>
      <c r="S14" s="95">
        <f t="shared" si="12"/>
        <v>0</v>
      </c>
      <c r="T14" s="95">
        <f t="shared" si="12"/>
        <v>0</v>
      </c>
      <c r="U14" s="95">
        <f t="shared" si="12"/>
        <v>0</v>
      </c>
      <c r="V14" s="95">
        <f>V15+V16+V17</f>
        <v>0</v>
      </c>
      <c r="W14" s="95">
        <f>W15+W16+W17</f>
        <v>0</v>
      </c>
      <c r="X14" s="95">
        <f t="shared" si="7"/>
        <v>0</v>
      </c>
      <c r="Y14" s="95">
        <f t="shared" si="12"/>
        <v>0</v>
      </c>
      <c r="Z14" s="95">
        <f t="shared" si="12"/>
        <v>0</v>
      </c>
      <c r="AA14" s="95">
        <f t="shared" si="12"/>
        <v>0</v>
      </c>
      <c r="AB14" s="95">
        <f t="shared" si="12"/>
        <v>0</v>
      </c>
      <c r="AC14" s="95">
        <f t="shared" si="12"/>
        <v>0</v>
      </c>
      <c r="AD14" s="95">
        <f>AD15+AD16+AD17</f>
        <v>0</v>
      </c>
      <c r="AE14" s="95">
        <f>AE15+AE16+AE17</f>
        <v>0</v>
      </c>
      <c r="AF14" s="95">
        <f t="shared" si="8"/>
        <v>0</v>
      </c>
      <c r="AG14" s="95">
        <f t="shared" si="12"/>
        <v>0</v>
      </c>
      <c r="AH14" s="95">
        <f t="shared" si="12"/>
        <v>0</v>
      </c>
      <c r="AI14" s="95">
        <f t="shared" si="12"/>
        <v>0</v>
      </c>
      <c r="AJ14" s="95">
        <f t="shared" si="12"/>
        <v>0</v>
      </c>
      <c r="AK14" s="95">
        <f t="shared" si="12"/>
        <v>0</v>
      </c>
      <c r="AL14" s="95">
        <f>AL15+AL16+AL17</f>
        <v>0</v>
      </c>
      <c r="AM14" s="95">
        <f>AM15+AM16+AM17</f>
        <v>0</v>
      </c>
      <c r="AN14" s="95">
        <f t="shared" si="9"/>
        <v>0</v>
      </c>
      <c r="AO14" s="95">
        <f t="shared" si="12"/>
        <v>0</v>
      </c>
      <c r="AP14" s="95">
        <f t="shared" si="12"/>
        <v>0</v>
      </c>
      <c r="AQ14" s="95">
        <f t="shared" si="12"/>
        <v>0</v>
      </c>
      <c r="AR14" s="95">
        <f t="shared" si="12"/>
        <v>0</v>
      </c>
      <c r="AS14" s="95">
        <f t="shared" si="12"/>
        <v>0</v>
      </c>
      <c r="AT14" s="95">
        <f>AT15+AT16+AT17</f>
        <v>0</v>
      </c>
      <c r="AU14" s="95">
        <f>AU15+AU16+AU17</f>
        <v>0</v>
      </c>
      <c r="AV14" s="95">
        <f t="shared" si="10"/>
        <v>0</v>
      </c>
      <c r="AW14" s="95">
        <f t="shared" si="11"/>
        <v>0</v>
      </c>
    </row>
    <row r="15" spans="1:49" x14ac:dyDescent="0.2">
      <c r="A15" s="386"/>
      <c r="B15" s="355"/>
      <c r="C15" s="395"/>
      <c r="D15" s="355" t="s">
        <v>11</v>
      </c>
      <c r="E15" s="382" t="s">
        <v>192</v>
      </c>
      <c r="F15" s="382"/>
      <c r="G15" s="472" t="s">
        <v>734</v>
      </c>
      <c r="H15" s="190"/>
      <c r="I15" s="94"/>
      <c r="J15" s="94"/>
      <c r="K15" s="94"/>
      <c r="L15" s="94"/>
      <c r="M15" s="94"/>
      <c r="N15" s="94"/>
      <c r="O15" s="94"/>
      <c r="P15" s="95">
        <f t="shared" si="6"/>
        <v>0</v>
      </c>
      <c r="Q15" s="92"/>
      <c r="R15" s="92"/>
      <c r="S15" s="92"/>
      <c r="T15" s="92"/>
      <c r="U15" s="92"/>
      <c r="V15" s="92"/>
      <c r="W15" s="92"/>
      <c r="X15" s="95">
        <f t="shared" si="7"/>
        <v>0</v>
      </c>
      <c r="Y15" s="92"/>
      <c r="Z15" s="92"/>
      <c r="AA15" s="92"/>
      <c r="AB15" s="92"/>
      <c r="AC15" s="92"/>
      <c r="AD15" s="92"/>
      <c r="AE15" s="92"/>
      <c r="AF15" s="95">
        <f t="shared" si="8"/>
        <v>0</v>
      </c>
      <c r="AG15" s="92"/>
      <c r="AH15" s="92"/>
      <c r="AI15" s="92"/>
      <c r="AJ15" s="92"/>
      <c r="AK15" s="92"/>
      <c r="AL15" s="92"/>
      <c r="AM15" s="92"/>
      <c r="AN15" s="95">
        <f t="shared" si="9"/>
        <v>0</v>
      </c>
      <c r="AO15" s="92"/>
      <c r="AP15" s="92"/>
      <c r="AQ15" s="92"/>
      <c r="AR15" s="92"/>
      <c r="AS15" s="92"/>
      <c r="AT15" s="92"/>
      <c r="AU15" s="92"/>
      <c r="AV15" s="95">
        <f t="shared" si="10"/>
        <v>0</v>
      </c>
      <c r="AW15" s="95">
        <f t="shared" si="11"/>
        <v>0</v>
      </c>
    </row>
    <row r="16" spans="1:49" x14ac:dyDescent="0.2">
      <c r="A16" s="384"/>
      <c r="B16" s="385"/>
      <c r="C16" s="391"/>
      <c r="D16" s="385" t="s">
        <v>15</v>
      </c>
      <c r="E16" s="383" t="s">
        <v>193</v>
      </c>
      <c r="F16" s="382"/>
      <c r="G16" s="472" t="s">
        <v>735</v>
      </c>
      <c r="H16" s="190"/>
      <c r="I16" s="94"/>
      <c r="J16" s="94"/>
      <c r="K16" s="94"/>
      <c r="L16" s="94"/>
      <c r="M16" s="94"/>
      <c r="N16" s="94"/>
      <c r="O16" s="94"/>
      <c r="P16" s="95">
        <f t="shared" si="6"/>
        <v>0</v>
      </c>
      <c r="Q16" s="92"/>
      <c r="R16" s="92"/>
      <c r="S16" s="92"/>
      <c r="T16" s="92"/>
      <c r="U16" s="92"/>
      <c r="V16" s="92"/>
      <c r="W16" s="92"/>
      <c r="X16" s="95">
        <f t="shared" si="7"/>
        <v>0</v>
      </c>
      <c r="Y16" s="92"/>
      <c r="Z16" s="92"/>
      <c r="AA16" s="92"/>
      <c r="AB16" s="92"/>
      <c r="AC16" s="92"/>
      <c r="AD16" s="92"/>
      <c r="AE16" s="92"/>
      <c r="AF16" s="95">
        <f t="shared" si="8"/>
        <v>0</v>
      </c>
      <c r="AG16" s="92"/>
      <c r="AH16" s="92"/>
      <c r="AI16" s="92"/>
      <c r="AJ16" s="92"/>
      <c r="AK16" s="92"/>
      <c r="AL16" s="92"/>
      <c r="AM16" s="92"/>
      <c r="AN16" s="95">
        <f t="shared" si="9"/>
        <v>0</v>
      </c>
      <c r="AO16" s="92"/>
      <c r="AP16" s="92"/>
      <c r="AQ16" s="92"/>
      <c r="AR16" s="92"/>
      <c r="AS16" s="92"/>
      <c r="AT16" s="92"/>
      <c r="AU16" s="92"/>
      <c r="AV16" s="95">
        <f t="shared" si="10"/>
        <v>0</v>
      </c>
      <c r="AW16" s="95">
        <f t="shared" si="11"/>
        <v>0</v>
      </c>
    </row>
    <row r="17" spans="1:49" x14ac:dyDescent="0.2">
      <c r="A17" s="386"/>
      <c r="B17" s="355"/>
      <c r="C17" s="395"/>
      <c r="D17" s="355" t="s">
        <v>25</v>
      </c>
      <c r="E17" s="382" t="s">
        <v>194</v>
      </c>
      <c r="F17" s="382"/>
      <c r="G17" s="472" t="s">
        <v>736</v>
      </c>
      <c r="H17" s="190"/>
      <c r="I17" s="94"/>
      <c r="J17" s="94"/>
      <c r="K17" s="94"/>
      <c r="L17" s="94"/>
      <c r="M17" s="94"/>
      <c r="N17" s="94"/>
      <c r="O17" s="94"/>
      <c r="P17" s="95">
        <f t="shared" si="6"/>
        <v>0</v>
      </c>
      <c r="Q17" s="92"/>
      <c r="R17" s="92"/>
      <c r="S17" s="92"/>
      <c r="T17" s="92"/>
      <c r="U17" s="92"/>
      <c r="V17" s="92"/>
      <c r="W17" s="92"/>
      <c r="X17" s="95">
        <f t="shared" si="7"/>
        <v>0</v>
      </c>
      <c r="Y17" s="92"/>
      <c r="Z17" s="92"/>
      <c r="AA17" s="92"/>
      <c r="AB17" s="92"/>
      <c r="AC17" s="92"/>
      <c r="AD17" s="92"/>
      <c r="AE17" s="92"/>
      <c r="AF17" s="95">
        <f t="shared" si="8"/>
        <v>0</v>
      </c>
      <c r="AG17" s="92"/>
      <c r="AH17" s="92"/>
      <c r="AI17" s="92"/>
      <c r="AJ17" s="92"/>
      <c r="AK17" s="92"/>
      <c r="AL17" s="92"/>
      <c r="AM17" s="92"/>
      <c r="AN17" s="95">
        <f t="shared" si="9"/>
        <v>0</v>
      </c>
      <c r="AO17" s="92"/>
      <c r="AP17" s="92"/>
      <c r="AQ17" s="92"/>
      <c r="AR17" s="92"/>
      <c r="AS17" s="92"/>
      <c r="AT17" s="92"/>
      <c r="AU17" s="92"/>
      <c r="AV17" s="95">
        <f t="shared" si="10"/>
        <v>0</v>
      </c>
      <c r="AW17" s="95">
        <f t="shared" si="11"/>
        <v>0</v>
      </c>
    </row>
    <row r="18" spans="1:49" x14ac:dyDescent="0.2">
      <c r="A18" s="384"/>
      <c r="B18" s="385" t="s">
        <v>195</v>
      </c>
      <c r="C18" s="391" t="s">
        <v>196</v>
      </c>
      <c r="D18" s="385"/>
      <c r="E18" s="383"/>
      <c r="F18" s="382"/>
      <c r="G18" s="472" t="s">
        <v>737</v>
      </c>
      <c r="H18" s="190"/>
      <c r="I18" s="94"/>
      <c r="J18" s="94"/>
      <c r="K18" s="94"/>
      <c r="L18" s="94"/>
      <c r="M18" s="94"/>
      <c r="N18" s="94"/>
      <c r="O18" s="94"/>
      <c r="P18" s="95">
        <f t="shared" si="6"/>
        <v>0</v>
      </c>
      <c r="Q18" s="92"/>
      <c r="R18" s="92"/>
      <c r="S18" s="92"/>
      <c r="T18" s="92"/>
      <c r="U18" s="92"/>
      <c r="V18" s="92"/>
      <c r="W18" s="92"/>
      <c r="X18" s="95">
        <f t="shared" si="7"/>
        <v>0</v>
      </c>
      <c r="Y18" s="92"/>
      <c r="Z18" s="92"/>
      <c r="AA18" s="92"/>
      <c r="AB18" s="92"/>
      <c r="AC18" s="92"/>
      <c r="AD18" s="92"/>
      <c r="AE18" s="92"/>
      <c r="AF18" s="95">
        <f t="shared" si="8"/>
        <v>0</v>
      </c>
      <c r="AG18" s="92"/>
      <c r="AH18" s="92"/>
      <c r="AI18" s="92"/>
      <c r="AJ18" s="92"/>
      <c r="AK18" s="92"/>
      <c r="AL18" s="92"/>
      <c r="AM18" s="92"/>
      <c r="AN18" s="95">
        <f t="shared" si="9"/>
        <v>0</v>
      </c>
      <c r="AO18" s="92"/>
      <c r="AP18" s="92"/>
      <c r="AQ18" s="92"/>
      <c r="AR18" s="92"/>
      <c r="AS18" s="92"/>
      <c r="AT18" s="92"/>
      <c r="AU18" s="92"/>
      <c r="AV18" s="95">
        <f t="shared" si="10"/>
        <v>0</v>
      </c>
      <c r="AW18" s="95">
        <f t="shared" si="11"/>
        <v>0</v>
      </c>
    </row>
    <row r="19" spans="1:49" x14ac:dyDescent="0.2">
      <c r="A19" s="386"/>
      <c r="B19" s="355" t="s">
        <v>197</v>
      </c>
      <c r="C19" s="355" t="s">
        <v>198</v>
      </c>
      <c r="D19" s="355"/>
      <c r="E19" s="382"/>
      <c r="F19" s="382"/>
      <c r="G19" s="472" t="s">
        <v>738</v>
      </c>
      <c r="H19" s="190"/>
      <c r="I19" s="95">
        <f>I20+I21</f>
        <v>0</v>
      </c>
      <c r="J19" s="95">
        <f t="shared" ref="J19:AS19" si="13">J20+J21</f>
        <v>0</v>
      </c>
      <c r="K19" s="95">
        <f t="shared" si="13"/>
        <v>0</v>
      </c>
      <c r="L19" s="95">
        <f t="shared" si="13"/>
        <v>0</v>
      </c>
      <c r="M19" s="95">
        <f t="shared" si="13"/>
        <v>0</v>
      </c>
      <c r="N19" s="95">
        <f>N20+N21</f>
        <v>0</v>
      </c>
      <c r="O19" s="95">
        <f>O20+O21</f>
        <v>0</v>
      </c>
      <c r="P19" s="95">
        <f t="shared" si="6"/>
        <v>0</v>
      </c>
      <c r="Q19" s="95">
        <f t="shared" si="13"/>
        <v>0</v>
      </c>
      <c r="R19" s="95">
        <f t="shared" si="13"/>
        <v>0</v>
      </c>
      <c r="S19" s="95">
        <f t="shared" si="13"/>
        <v>0</v>
      </c>
      <c r="T19" s="95">
        <f t="shared" si="13"/>
        <v>0</v>
      </c>
      <c r="U19" s="95">
        <f t="shared" si="13"/>
        <v>0</v>
      </c>
      <c r="V19" s="95">
        <f>V20+V21</f>
        <v>0</v>
      </c>
      <c r="W19" s="95">
        <f>W20+W21</f>
        <v>0</v>
      </c>
      <c r="X19" s="95">
        <f t="shared" si="7"/>
        <v>0</v>
      </c>
      <c r="Y19" s="95">
        <f t="shared" si="13"/>
        <v>0</v>
      </c>
      <c r="Z19" s="95">
        <f t="shared" si="13"/>
        <v>0</v>
      </c>
      <c r="AA19" s="95">
        <f t="shared" si="13"/>
        <v>0</v>
      </c>
      <c r="AB19" s="95">
        <f t="shared" si="13"/>
        <v>0</v>
      </c>
      <c r="AC19" s="95">
        <f t="shared" si="13"/>
        <v>0</v>
      </c>
      <c r="AD19" s="95">
        <f>AD20+AD21</f>
        <v>0</v>
      </c>
      <c r="AE19" s="95">
        <f>AE20+AE21</f>
        <v>0</v>
      </c>
      <c r="AF19" s="95">
        <f t="shared" si="8"/>
        <v>0</v>
      </c>
      <c r="AG19" s="95">
        <f t="shared" si="13"/>
        <v>0</v>
      </c>
      <c r="AH19" s="95">
        <f t="shared" si="13"/>
        <v>0</v>
      </c>
      <c r="AI19" s="95">
        <f t="shared" si="13"/>
        <v>0</v>
      </c>
      <c r="AJ19" s="95">
        <f t="shared" si="13"/>
        <v>0</v>
      </c>
      <c r="AK19" s="95">
        <f t="shared" si="13"/>
        <v>0</v>
      </c>
      <c r="AL19" s="95">
        <f>AL20+AL21</f>
        <v>0</v>
      </c>
      <c r="AM19" s="95">
        <f>AM20+AM21</f>
        <v>0</v>
      </c>
      <c r="AN19" s="95">
        <f t="shared" si="9"/>
        <v>0</v>
      </c>
      <c r="AO19" s="95">
        <f t="shared" si="13"/>
        <v>0</v>
      </c>
      <c r="AP19" s="95">
        <f t="shared" si="13"/>
        <v>0</v>
      </c>
      <c r="AQ19" s="95">
        <f t="shared" si="13"/>
        <v>0</v>
      </c>
      <c r="AR19" s="95">
        <f t="shared" si="13"/>
        <v>0</v>
      </c>
      <c r="AS19" s="95">
        <f t="shared" si="13"/>
        <v>0</v>
      </c>
      <c r="AT19" s="95">
        <f>AT20+AT21</f>
        <v>0</v>
      </c>
      <c r="AU19" s="95">
        <f>AU20+AU21</f>
        <v>0</v>
      </c>
      <c r="AV19" s="95">
        <f t="shared" si="10"/>
        <v>0</v>
      </c>
      <c r="AW19" s="95">
        <f t="shared" si="11"/>
        <v>0</v>
      </c>
    </row>
    <row r="20" spans="1:49" x14ac:dyDescent="0.2">
      <c r="A20" s="384"/>
      <c r="B20" s="385"/>
      <c r="C20" s="473" t="s">
        <v>19</v>
      </c>
      <c r="D20" s="421" t="s">
        <v>199</v>
      </c>
      <c r="E20" s="383"/>
      <c r="F20" s="382"/>
      <c r="G20" s="472" t="s">
        <v>739</v>
      </c>
      <c r="H20" s="190"/>
      <c r="I20" s="94"/>
      <c r="J20" s="94"/>
      <c r="K20" s="94"/>
      <c r="L20" s="94"/>
      <c r="M20" s="94"/>
      <c r="N20" s="94"/>
      <c r="O20" s="94"/>
      <c r="P20" s="95">
        <f t="shared" si="6"/>
        <v>0</v>
      </c>
      <c r="Q20" s="92"/>
      <c r="R20" s="92"/>
      <c r="S20" s="92"/>
      <c r="T20" s="92"/>
      <c r="U20" s="92"/>
      <c r="V20" s="92"/>
      <c r="W20" s="92"/>
      <c r="X20" s="95">
        <f t="shared" si="7"/>
        <v>0</v>
      </c>
      <c r="Y20" s="92"/>
      <c r="Z20" s="92"/>
      <c r="AA20" s="92"/>
      <c r="AB20" s="92"/>
      <c r="AC20" s="92"/>
      <c r="AD20" s="92"/>
      <c r="AE20" s="92"/>
      <c r="AF20" s="95">
        <f t="shared" si="8"/>
        <v>0</v>
      </c>
      <c r="AG20" s="92"/>
      <c r="AH20" s="92"/>
      <c r="AI20" s="92"/>
      <c r="AJ20" s="92"/>
      <c r="AK20" s="92"/>
      <c r="AL20" s="92"/>
      <c r="AM20" s="92"/>
      <c r="AN20" s="95">
        <f t="shared" si="9"/>
        <v>0</v>
      </c>
      <c r="AO20" s="92"/>
      <c r="AP20" s="92"/>
      <c r="AQ20" s="92"/>
      <c r="AR20" s="92"/>
      <c r="AS20" s="92"/>
      <c r="AT20" s="92"/>
      <c r="AU20" s="92"/>
      <c r="AV20" s="95">
        <f t="shared" si="10"/>
        <v>0</v>
      </c>
      <c r="AW20" s="95">
        <f t="shared" si="11"/>
        <v>0</v>
      </c>
    </row>
    <row r="21" spans="1:49" x14ac:dyDescent="0.2">
      <c r="A21" s="386"/>
      <c r="B21" s="355"/>
      <c r="C21" s="405" t="s">
        <v>21</v>
      </c>
      <c r="D21" s="355" t="s">
        <v>200</v>
      </c>
      <c r="E21" s="382"/>
      <c r="F21" s="382"/>
      <c r="G21" s="472" t="s">
        <v>740</v>
      </c>
      <c r="H21" s="190"/>
      <c r="I21" s="94"/>
      <c r="J21" s="94"/>
      <c r="K21" s="94"/>
      <c r="L21" s="94"/>
      <c r="M21" s="94"/>
      <c r="N21" s="94"/>
      <c r="O21" s="94"/>
      <c r="P21" s="95">
        <f t="shared" si="6"/>
        <v>0</v>
      </c>
      <c r="Q21" s="92"/>
      <c r="R21" s="92"/>
      <c r="S21" s="92"/>
      <c r="T21" s="92"/>
      <c r="U21" s="92"/>
      <c r="V21" s="92"/>
      <c r="W21" s="92"/>
      <c r="X21" s="95">
        <f t="shared" si="7"/>
        <v>0</v>
      </c>
      <c r="Y21" s="92"/>
      <c r="Z21" s="92"/>
      <c r="AA21" s="92"/>
      <c r="AB21" s="92"/>
      <c r="AC21" s="92"/>
      <c r="AD21" s="92"/>
      <c r="AE21" s="92"/>
      <c r="AF21" s="95">
        <f t="shared" si="8"/>
        <v>0</v>
      </c>
      <c r="AG21" s="92"/>
      <c r="AH21" s="92"/>
      <c r="AI21" s="92"/>
      <c r="AJ21" s="92"/>
      <c r="AK21" s="92"/>
      <c r="AL21" s="92"/>
      <c r="AM21" s="92"/>
      <c r="AN21" s="95">
        <f t="shared" si="9"/>
        <v>0</v>
      </c>
      <c r="AO21" s="92"/>
      <c r="AP21" s="92"/>
      <c r="AQ21" s="92"/>
      <c r="AR21" s="92"/>
      <c r="AS21" s="92"/>
      <c r="AT21" s="92"/>
      <c r="AU21" s="92"/>
      <c r="AV21" s="95">
        <f t="shared" si="10"/>
        <v>0</v>
      </c>
      <c r="AW21" s="95">
        <f t="shared" si="11"/>
        <v>0</v>
      </c>
    </row>
    <row r="22" spans="1:49" x14ac:dyDescent="0.2">
      <c r="A22" s="384"/>
      <c r="B22" s="385" t="s">
        <v>201</v>
      </c>
      <c r="C22" s="385" t="s">
        <v>202</v>
      </c>
      <c r="D22" s="385"/>
      <c r="E22" s="383"/>
      <c r="F22" s="382"/>
      <c r="G22" s="472" t="s">
        <v>741</v>
      </c>
      <c r="H22" s="190"/>
      <c r="I22" s="95">
        <f>I23+I26</f>
        <v>0</v>
      </c>
      <c r="J22" s="95">
        <f t="shared" ref="J22:AS22" si="14">J23+J26</f>
        <v>0</v>
      </c>
      <c r="K22" s="95">
        <f t="shared" si="14"/>
        <v>0</v>
      </c>
      <c r="L22" s="95">
        <f t="shared" si="14"/>
        <v>0</v>
      </c>
      <c r="M22" s="95">
        <f t="shared" si="14"/>
        <v>0</v>
      </c>
      <c r="N22" s="95">
        <f t="shared" si="14"/>
        <v>0</v>
      </c>
      <c r="O22" s="95">
        <f t="shared" si="14"/>
        <v>0</v>
      </c>
      <c r="P22" s="95">
        <f t="shared" si="6"/>
        <v>0</v>
      </c>
      <c r="Q22" s="95">
        <f t="shared" si="14"/>
        <v>0</v>
      </c>
      <c r="R22" s="95">
        <f t="shared" si="14"/>
        <v>0</v>
      </c>
      <c r="S22" s="95">
        <f t="shared" si="14"/>
        <v>0</v>
      </c>
      <c r="T22" s="95">
        <f t="shared" si="14"/>
        <v>0</v>
      </c>
      <c r="U22" s="95">
        <f t="shared" si="14"/>
        <v>0</v>
      </c>
      <c r="V22" s="95">
        <f>V23+V26</f>
        <v>0</v>
      </c>
      <c r="W22" s="95">
        <f>W23+W26</f>
        <v>0</v>
      </c>
      <c r="X22" s="95">
        <f t="shared" si="7"/>
        <v>0</v>
      </c>
      <c r="Y22" s="95">
        <f t="shared" si="14"/>
        <v>0</v>
      </c>
      <c r="Z22" s="95">
        <f t="shared" si="14"/>
        <v>0</v>
      </c>
      <c r="AA22" s="95">
        <f t="shared" si="14"/>
        <v>0</v>
      </c>
      <c r="AB22" s="95">
        <f t="shared" si="14"/>
        <v>0</v>
      </c>
      <c r="AC22" s="95">
        <f t="shared" si="14"/>
        <v>0</v>
      </c>
      <c r="AD22" s="95">
        <f>AD23+AD26</f>
        <v>0</v>
      </c>
      <c r="AE22" s="95">
        <f>AE23+AE26</f>
        <v>0</v>
      </c>
      <c r="AF22" s="95">
        <f t="shared" si="8"/>
        <v>0</v>
      </c>
      <c r="AG22" s="95">
        <f t="shared" si="14"/>
        <v>0</v>
      </c>
      <c r="AH22" s="95">
        <f t="shared" si="14"/>
        <v>0</v>
      </c>
      <c r="AI22" s="95">
        <f t="shared" si="14"/>
        <v>0</v>
      </c>
      <c r="AJ22" s="95">
        <f t="shared" si="14"/>
        <v>0</v>
      </c>
      <c r="AK22" s="95">
        <f t="shared" si="14"/>
        <v>0</v>
      </c>
      <c r="AL22" s="95">
        <f>AL23+AL26</f>
        <v>0</v>
      </c>
      <c r="AM22" s="95">
        <f>AM23+AM26</f>
        <v>0</v>
      </c>
      <c r="AN22" s="95">
        <f t="shared" si="9"/>
        <v>0</v>
      </c>
      <c r="AO22" s="95">
        <f t="shared" si="14"/>
        <v>0</v>
      </c>
      <c r="AP22" s="95">
        <f t="shared" si="14"/>
        <v>0</v>
      </c>
      <c r="AQ22" s="95">
        <f t="shared" si="14"/>
        <v>0</v>
      </c>
      <c r="AR22" s="95">
        <f t="shared" si="14"/>
        <v>0</v>
      </c>
      <c r="AS22" s="95">
        <f t="shared" si="14"/>
        <v>0</v>
      </c>
      <c r="AT22" s="95">
        <f>AT23+AT26</f>
        <v>0</v>
      </c>
      <c r="AU22" s="95">
        <f>AU23+AU26</f>
        <v>0</v>
      </c>
      <c r="AV22" s="95">
        <f t="shared" si="10"/>
        <v>0</v>
      </c>
      <c r="AW22" s="95">
        <f t="shared" si="11"/>
        <v>0</v>
      </c>
    </row>
    <row r="23" spans="1:49" x14ac:dyDescent="0.2">
      <c r="A23" s="386"/>
      <c r="B23" s="355"/>
      <c r="C23" s="395">
        <v>-1</v>
      </c>
      <c r="D23" s="355" t="s">
        <v>203</v>
      </c>
      <c r="E23" s="382"/>
      <c r="F23" s="382"/>
      <c r="G23" s="472" t="s">
        <v>742</v>
      </c>
      <c r="H23" s="190"/>
      <c r="I23" s="288">
        <f>I24+I25</f>
        <v>0</v>
      </c>
      <c r="J23" s="288">
        <f t="shared" ref="J23:O23" si="15">J24+J25</f>
        <v>0</v>
      </c>
      <c r="K23" s="288">
        <f t="shared" si="15"/>
        <v>0</v>
      </c>
      <c r="L23" s="288">
        <f t="shared" si="15"/>
        <v>0</v>
      </c>
      <c r="M23" s="288">
        <f t="shared" si="15"/>
        <v>0</v>
      </c>
      <c r="N23" s="288">
        <f t="shared" si="15"/>
        <v>0</v>
      </c>
      <c r="O23" s="288">
        <f t="shared" si="15"/>
        <v>0</v>
      </c>
      <c r="P23" s="95">
        <f t="shared" si="6"/>
        <v>0</v>
      </c>
      <c r="Q23" s="95">
        <f>Q24+Q25</f>
        <v>0</v>
      </c>
      <c r="R23" s="95">
        <f t="shared" ref="R23:W23" si="16">R24+R25</f>
        <v>0</v>
      </c>
      <c r="S23" s="95">
        <f t="shared" si="16"/>
        <v>0</v>
      </c>
      <c r="T23" s="95">
        <f t="shared" si="16"/>
        <v>0</v>
      </c>
      <c r="U23" s="95">
        <f t="shared" si="16"/>
        <v>0</v>
      </c>
      <c r="V23" s="95">
        <f t="shared" si="16"/>
        <v>0</v>
      </c>
      <c r="W23" s="95">
        <f t="shared" si="16"/>
        <v>0</v>
      </c>
      <c r="X23" s="95">
        <f t="shared" si="7"/>
        <v>0</v>
      </c>
      <c r="Y23" s="95">
        <f>Y24+Y25</f>
        <v>0</v>
      </c>
      <c r="Z23" s="95">
        <f t="shared" ref="Z23:AE23" si="17">Z24+Z25</f>
        <v>0</v>
      </c>
      <c r="AA23" s="95">
        <f t="shared" si="17"/>
        <v>0</v>
      </c>
      <c r="AB23" s="95">
        <f t="shared" si="17"/>
        <v>0</v>
      </c>
      <c r="AC23" s="95">
        <f t="shared" si="17"/>
        <v>0</v>
      </c>
      <c r="AD23" s="95">
        <f t="shared" si="17"/>
        <v>0</v>
      </c>
      <c r="AE23" s="95">
        <f t="shared" si="17"/>
        <v>0</v>
      </c>
      <c r="AF23" s="95">
        <f t="shared" si="8"/>
        <v>0</v>
      </c>
      <c r="AG23" s="95">
        <f>AG24+AG25</f>
        <v>0</v>
      </c>
      <c r="AH23" s="95">
        <f t="shared" ref="AH23:AM23" si="18">AH24+AH25</f>
        <v>0</v>
      </c>
      <c r="AI23" s="95">
        <f t="shared" si="18"/>
        <v>0</v>
      </c>
      <c r="AJ23" s="95">
        <f t="shared" si="18"/>
        <v>0</v>
      </c>
      <c r="AK23" s="95">
        <f t="shared" si="18"/>
        <v>0</v>
      </c>
      <c r="AL23" s="95">
        <f t="shared" si="18"/>
        <v>0</v>
      </c>
      <c r="AM23" s="95">
        <f t="shared" si="18"/>
        <v>0</v>
      </c>
      <c r="AN23" s="95">
        <f t="shared" si="9"/>
        <v>0</v>
      </c>
      <c r="AO23" s="95">
        <f>AO24+AO25</f>
        <v>0</v>
      </c>
      <c r="AP23" s="95">
        <f t="shared" ref="AP23:AU23" si="19">AP24+AP25</f>
        <v>0</v>
      </c>
      <c r="AQ23" s="95">
        <f t="shared" si="19"/>
        <v>0</v>
      </c>
      <c r="AR23" s="95">
        <f t="shared" si="19"/>
        <v>0</v>
      </c>
      <c r="AS23" s="95">
        <f t="shared" si="19"/>
        <v>0</v>
      </c>
      <c r="AT23" s="95">
        <f t="shared" si="19"/>
        <v>0</v>
      </c>
      <c r="AU23" s="95">
        <f t="shared" si="19"/>
        <v>0</v>
      </c>
      <c r="AV23" s="95">
        <f t="shared" si="10"/>
        <v>0</v>
      </c>
      <c r="AW23" s="95">
        <f t="shared" si="11"/>
        <v>0</v>
      </c>
    </row>
    <row r="24" spans="1:49" x14ac:dyDescent="0.2">
      <c r="A24" s="386"/>
      <c r="B24" s="355"/>
      <c r="C24" s="395"/>
      <c r="D24" s="355" t="s">
        <v>11</v>
      </c>
      <c r="E24" s="355" t="s">
        <v>792</v>
      </c>
      <c r="F24" s="383"/>
      <c r="G24" s="472" t="s">
        <v>804</v>
      </c>
      <c r="H24" s="190"/>
      <c r="I24" s="94"/>
      <c r="J24" s="94"/>
      <c r="K24" s="94"/>
      <c r="L24" s="94"/>
      <c r="M24" s="94"/>
      <c r="N24" s="94"/>
      <c r="O24" s="94"/>
      <c r="P24" s="95">
        <f t="shared" si="6"/>
        <v>0</v>
      </c>
      <c r="Q24" s="92"/>
      <c r="R24" s="92"/>
      <c r="S24" s="92"/>
      <c r="T24" s="92"/>
      <c r="U24" s="92"/>
      <c r="V24" s="92"/>
      <c r="W24" s="92"/>
      <c r="X24" s="95">
        <f t="shared" si="7"/>
        <v>0</v>
      </c>
      <c r="Y24" s="92"/>
      <c r="Z24" s="92"/>
      <c r="AA24" s="92"/>
      <c r="AB24" s="92"/>
      <c r="AC24" s="92"/>
      <c r="AD24" s="92"/>
      <c r="AE24" s="92"/>
      <c r="AF24" s="95">
        <f t="shared" si="8"/>
        <v>0</v>
      </c>
      <c r="AG24" s="92"/>
      <c r="AH24" s="92"/>
      <c r="AI24" s="92"/>
      <c r="AJ24" s="92"/>
      <c r="AK24" s="92"/>
      <c r="AL24" s="92"/>
      <c r="AM24" s="92"/>
      <c r="AN24" s="95">
        <f t="shared" si="9"/>
        <v>0</v>
      </c>
      <c r="AO24" s="92"/>
      <c r="AP24" s="92"/>
      <c r="AQ24" s="92"/>
      <c r="AR24" s="92"/>
      <c r="AS24" s="92"/>
      <c r="AT24" s="92"/>
      <c r="AU24" s="92"/>
      <c r="AV24" s="95">
        <f t="shared" si="10"/>
        <v>0</v>
      </c>
      <c r="AW24" s="95">
        <f t="shared" si="11"/>
        <v>0</v>
      </c>
    </row>
    <row r="25" spans="1:49" x14ac:dyDescent="0.2">
      <c r="A25" s="408"/>
      <c r="B25" s="392"/>
      <c r="C25" s="435"/>
      <c r="D25" s="355" t="s">
        <v>15</v>
      </c>
      <c r="E25" s="355" t="s">
        <v>793</v>
      </c>
      <c r="F25" s="383"/>
      <c r="G25" s="472" t="s">
        <v>805</v>
      </c>
      <c r="H25" s="190"/>
      <c r="I25" s="94"/>
      <c r="J25" s="94"/>
      <c r="K25" s="94"/>
      <c r="L25" s="94"/>
      <c r="M25" s="94"/>
      <c r="N25" s="94"/>
      <c r="O25" s="94"/>
      <c r="P25" s="95">
        <f t="shared" si="6"/>
        <v>0</v>
      </c>
      <c r="Q25" s="92"/>
      <c r="R25" s="92"/>
      <c r="S25" s="92"/>
      <c r="T25" s="92"/>
      <c r="U25" s="92"/>
      <c r="V25" s="92"/>
      <c r="W25" s="92"/>
      <c r="X25" s="95">
        <f t="shared" si="7"/>
        <v>0</v>
      </c>
      <c r="Y25" s="92"/>
      <c r="Z25" s="92"/>
      <c r="AA25" s="92"/>
      <c r="AB25" s="92"/>
      <c r="AC25" s="92"/>
      <c r="AD25" s="92"/>
      <c r="AE25" s="92"/>
      <c r="AF25" s="95">
        <f t="shared" si="8"/>
        <v>0</v>
      </c>
      <c r="AG25" s="92"/>
      <c r="AH25" s="92"/>
      <c r="AI25" s="92"/>
      <c r="AJ25" s="92"/>
      <c r="AK25" s="92"/>
      <c r="AL25" s="92"/>
      <c r="AM25" s="92"/>
      <c r="AN25" s="95">
        <f t="shared" si="9"/>
        <v>0</v>
      </c>
      <c r="AO25" s="92"/>
      <c r="AP25" s="92"/>
      <c r="AQ25" s="92"/>
      <c r="AR25" s="92"/>
      <c r="AS25" s="92"/>
      <c r="AT25" s="92"/>
      <c r="AU25" s="92"/>
      <c r="AV25" s="95">
        <f t="shared" si="10"/>
        <v>0</v>
      </c>
      <c r="AW25" s="95">
        <f t="shared" si="11"/>
        <v>0</v>
      </c>
    </row>
    <row r="26" spans="1:49" x14ac:dyDescent="0.2">
      <c r="A26" s="386"/>
      <c r="B26" s="355"/>
      <c r="C26" s="405" t="s">
        <v>21</v>
      </c>
      <c r="D26" s="355" t="s">
        <v>194</v>
      </c>
      <c r="E26" s="382"/>
      <c r="F26" s="382"/>
      <c r="G26" s="472" t="s">
        <v>743</v>
      </c>
      <c r="H26" s="190"/>
      <c r="I26" s="94"/>
      <c r="J26" s="94"/>
      <c r="K26" s="94"/>
      <c r="L26" s="94"/>
      <c r="M26" s="94"/>
      <c r="N26" s="94"/>
      <c r="O26" s="94"/>
      <c r="P26" s="95">
        <f t="shared" si="6"/>
        <v>0</v>
      </c>
      <c r="Q26" s="92"/>
      <c r="R26" s="92"/>
      <c r="S26" s="92"/>
      <c r="T26" s="92"/>
      <c r="U26" s="92"/>
      <c r="V26" s="92"/>
      <c r="W26" s="92"/>
      <c r="X26" s="95">
        <f t="shared" si="7"/>
        <v>0</v>
      </c>
      <c r="Y26" s="92"/>
      <c r="Z26" s="92"/>
      <c r="AA26" s="92"/>
      <c r="AB26" s="92"/>
      <c r="AC26" s="92"/>
      <c r="AD26" s="92"/>
      <c r="AE26" s="92"/>
      <c r="AF26" s="95">
        <f t="shared" si="8"/>
        <v>0</v>
      </c>
      <c r="AG26" s="92"/>
      <c r="AH26" s="92"/>
      <c r="AI26" s="92"/>
      <c r="AJ26" s="92"/>
      <c r="AK26" s="92"/>
      <c r="AL26" s="92"/>
      <c r="AM26" s="92"/>
      <c r="AN26" s="95">
        <f t="shared" si="9"/>
        <v>0</v>
      </c>
      <c r="AO26" s="92"/>
      <c r="AP26" s="92"/>
      <c r="AQ26" s="92"/>
      <c r="AR26" s="92"/>
      <c r="AS26" s="92"/>
      <c r="AT26" s="92"/>
      <c r="AU26" s="92"/>
      <c r="AV26" s="95">
        <f t="shared" si="10"/>
        <v>0</v>
      </c>
      <c r="AW26" s="95">
        <f t="shared" si="11"/>
        <v>0</v>
      </c>
    </row>
    <row r="27" spans="1:49" x14ac:dyDescent="0.2">
      <c r="A27" s="384"/>
      <c r="B27" s="385" t="s">
        <v>305</v>
      </c>
      <c r="C27" s="391" t="s">
        <v>888</v>
      </c>
      <c r="D27" s="385"/>
      <c r="E27" s="383"/>
      <c r="F27" s="382"/>
      <c r="G27" s="472" t="s">
        <v>889</v>
      </c>
      <c r="H27" s="190"/>
      <c r="I27" s="94"/>
      <c r="J27" s="94"/>
      <c r="K27" s="94"/>
      <c r="L27" s="94"/>
      <c r="M27" s="94"/>
      <c r="N27" s="94"/>
      <c r="O27" s="94"/>
      <c r="P27" s="95">
        <f t="shared" si="6"/>
        <v>0</v>
      </c>
      <c r="Q27" s="92"/>
      <c r="R27" s="92"/>
      <c r="S27" s="92"/>
      <c r="T27" s="92"/>
      <c r="U27" s="92"/>
      <c r="V27" s="92"/>
      <c r="W27" s="92"/>
      <c r="X27" s="95">
        <f t="shared" si="7"/>
        <v>0</v>
      </c>
      <c r="Y27" s="92"/>
      <c r="Z27" s="92"/>
      <c r="AA27" s="92"/>
      <c r="AB27" s="92"/>
      <c r="AC27" s="92"/>
      <c r="AD27" s="92"/>
      <c r="AE27" s="92"/>
      <c r="AF27" s="95">
        <f t="shared" si="8"/>
        <v>0</v>
      </c>
      <c r="AG27" s="92"/>
      <c r="AH27" s="92"/>
      <c r="AI27" s="92"/>
      <c r="AJ27" s="92"/>
      <c r="AK27" s="92"/>
      <c r="AL27" s="92"/>
      <c r="AM27" s="92"/>
      <c r="AN27" s="95">
        <f t="shared" si="9"/>
        <v>0</v>
      </c>
      <c r="AO27" s="92"/>
      <c r="AP27" s="92"/>
      <c r="AQ27" s="92"/>
      <c r="AR27" s="92"/>
      <c r="AS27" s="92"/>
      <c r="AT27" s="92"/>
      <c r="AU27" s="92"/>
      <c r="AV27" s="95">
        <f t="shared" si="10"/>
        <v>0</v>
      </c>
      <c r="AW27" s="95">
        <f t="shared" si="11"/>
        <v>0</v>
      </c>
    </row>
    <row r="28" spans="1:49" x14ac:dyDescent="0.2">
      <c r="A28" s="380" t="s">
        <v>33</v>
      </c>
      <c r="B28" s="381" t="s">
        <v>204</v>
      </c>
      <c r="C28" s="355"/>
      <c r="D28" s="355"/>
      <c r="E28" s="382"/>
      <c r="F28" s="382"/>
      <c r="G28" s="472" t="s">
        <v>744</v>
      </c>
      <c r="H28" s="190"/>
      <c r="I28" s="95">
        <f t="shared" ref="I28:O28" si="20">I29+I30+I31+I34+I35</f>
        <v>0</v>
      </c>
      <c r="J28" s="95">
        <f t="shared" si="20"/>
        <v>0</v>
      </c>
      <c r="K28" s="95">
        <f t="shared" si="20"/>
        <v>0</v>
      </c>
      <c r="L28" s="95">
        <f t="shared" si="20"/>
        <v>0</v>
      </c>
      <c r="M28" s="95">
        <f t="shared" si="20"/>
        <v>0</v>
      </c>
      <c r="N28" s="95">
        <f t="shared" si="20"/>
        <v>0</v>
      </c>
      <c r="O28" s="95">
        <f t="shared" si="20"/>
        <v>0</v>
      </c>
      <c r="P28" s="95">
        <f t="shared" si="6"/>
        <v>0</v>
      </c>
      <c r="Q28" s="95">
        <f t="shared" ref="Q28:W28" si="21">Q29+Q30+Q31+Q34+Q35</f>
        <v>0</v>
      </c>
      <c r="R28" s="95">
        <f t="shared" si="21"/>
        <v>0</v>
      </c>
      <c r="S28" s="95">
        <f t="shared" si="21"/>
        <v>0</v>
      </c>
      <c r="T28" s="95">
        <f t="shared" si="21"/>
        <v>0</v>
      </c>
      <c r="U28" s="95">
        <f t="shared" si="21"/>
        <v>0</v>
      </c>
      <c r="V28" s="95">
        <f t="shared" si="21"/>
        <v>0</v>
      </c>
      <c r="W28" s="95">
        <f t="shared" si="21"/>
        <v>0</v>
      </c>
      <c r="X28" s="95">
        <f t="shared" si="7"/>
        <v>0</v>
      </c>
      <c r="Y28" s="95">
        <f t="shared" ref="Y28:AE28" si="22">Y29+Y30+Y31+Y34+Y35</f>
        <v>0</v>
      </c>
      <c r="Z28" s="95">
        <f t="shared" si="22"/>
        <v>0</v>
      </c>
      <c r="AA28" s="95">
        <f t="shared" si="22"/>
        <v>0</v>
      </c>
      <c r="AB28" s="95">
        <f t="shared" si="22"/>
        <v>0</v>
      </c>
      <c r="AC28" s="95">
        <f t="shared" si="22"/>
        <v>0</v>
      </c>
      <c r="AD28" s="95">
        <f t="shared" si="22"/>
        <v>0</v>
      </c>
      <c r="AE28" s="95">
        <f t="shared" si="22"/>
        <v>0</v>
      </c>
      <c r="AF28" s="95">
        <f t="shared" si="8"/>
        <v>0</v>
      </c>
      <c r="AG28" s="95">
        <f t="shared" ref="AG28:AM28" si="23">AG29+AG30+AG31+AG34+AG35</f>
        <v>0</v>
      </c>
      <c r="AH28" s="95">
        <f t="shared" si="23"/>
        <v>0</v>
      </c>
      <c r="AI28" s="95">
        <f t="shared" si="23"/>
        <v>0</v>
      </c>
      <c r="AJ28" s="95">
        <f t="shared" si="23"/>
        <v>0</v>
      </c>
      <c r="AK28" s="95">
        <f t="shared" si="23"/>
        <v>0</v>
      </c>
      <c r="AL28" s="95">
        <f t="shared" si="23"/>
        <v>0</v>
      </c>
      <c r="AM28" s="95">
        <f t="shared" si="23"/>
        <v>0</v>
      </c>
      <c r="AN28" s="95">
        <f t="shared" si="9"/>
        <v>0</v>
      </c>
      <c r="AO28" s="95">
        <f t="shared" ref="AO28:AU28" si="24">AO29+AO30+AO31+AO34+AO35</f>
        <v>0</v>
      </c>
      <c r="AP28" s="95">
        <f t="shared" si="24"/>
        <v>0</v>
      </c>
      <c r="AQ28" s="95">
        <f t="shared" si="24"/>
        <v>0</v>
      </c>
      <c r="AR28" s="95">
        <f t="shared" si="24"/>
        <v>0</v>
      </c>
      <c r="AS28" s="95">
        <f t="shared" si="24"/>
        <v>0</v>
      </c>
      <c r="AT28" s="95">
        <f t="shared" si="24"/>
        <v>0</v>
      </c>
      <c r="AU28" s="95">
        <f t="shared" si="24"/>
        <v>0</v>
      </c>
      <c r="AV28" s="95">
        <f t="shared" si="10"/>
        <v>0</v>
      </c>
      <c r="AW28" s="95">
        <f t="shared" si="11"/>
        <v>0</v>
      </c>
    </row>
    <row r="29" spans="1:49" x14ac:dyDescent="0.2">
      <c r="A29" s="384"/>
      <c r="B29" s="385" t="s">
        <v>188</v>
      </c>
      <c r="C29" s="385" t="s">
        <v>205</v>
      </c>
      <c r="D29" s="385"/>
      <c r="E29" s="383"/>
      <c r="F29" s="382"/>
      <c r="G29" s="472" t="s">
        <v>745</v>
      </c>
      <c r="H29" s="190"/>
      <c r="I29" s="94"/>
      <c r="J29" s="94"/>
      <c r="K29" s="94"/>
      <c r="L29" s="94"/>
      <c r="M29" s="94"/>
      <c r="N29" s="94"/>
      <c r="O29" s="94"/>
      <c r="P29" s="95">
        <f t="shared" si="6"/>
        <v>0</v>
      </c>
      <c r="Q29" s="92"/>
      <c r="R29" s="92"/>
      <c r="S29" s="92"/>
      <c r="T29" s="92"/>
      <c r="U29" s="92"/>
      <c r="V29" s="92"/>
      <c r="W29" s="92"/>
      <c r="X29" s="95">
        <f t="shared" si="7"/>
        <v>0</v>
      </c>
      <c r="Y29" s="92"/>
      <c r="Z29" s="92"/>
      <c r="AA29" s="92"/>
      <c r="AB29" s="92"/>
      <c r="AC29" s="92"/>
      <c r="AD29" s="92"/>
      <c r="AE29" s="92"/>
      <c r="AF29" s="95">
        <f t="shared" si="8"/>
        <v>0</v>
      </c>
      <c r="AG29" s="92"/>
      <c r="AH29" s="92"/>
      <c r="AI29" s="92"/>
      <c r="AJ29" s="92"/>
      <c r="AK29" s="92"/>
      <c r="AL29" s="92"/>
      <c r="AM29" s="92"/>
      <c r="AN29" s="95">
        <f t="shared" si="9"/>
        <v>0</v>
      </c>
      <c r="AO29" s="92"/>
      <c r="AP29" s="92"/>
      <c r="AQ29" s="92"/>
      <c r="AR29" s="92"/>
      <c r="AS29" s="92"/>
      <c r="AT29" s="92"/>
      <c r="AU29" s="92"/>
      <c r="AV29" s="95">
        <f t="shared" si="10"/>
        <v>0</v>
      </c>
      <c r="AW29" s="95">
        <f t="shared" si="11"/>
        <v>0</v>
      </c>
    </row>
    <row r="30" spans="1:49" x14ac:dyDescent="0.2">
      <c r="A30" s="386"/>
      <c r="B30" s="355" t="s">
        <v>195</v>
      </c>
      <c r="C30" s="355" t="s">
        <v>206</v>
      </c>
      <c r="D30" s="355"/>
      <c r="E30" s="382"/>
      <c r="F30" s="382"/>
      <c r="G30" s="472" t="s">
        <v>746</v>
      </c>
      <c r="H30" s="190"/>
      <c r="I30" s="94"/>
      <c r="J30" s="94"/>
      <c r="K30" s="94"/>
      <c r="L30" s="94"/>
      <c r="M30" s="94"/>
      <c r="N30" s="94"/>
      <c r="O30" s="94"/>
      <c r="P30" s="95">
        <f t="shared" si="6"/>
        <v>0</v>
      </c>
      <c r="Q30" s="92"/>
      <c r="R30" s="92"/>
      <c r="S30" s="92"/>
      <c r="T30" s="92"/>
      <c r="U30" s="92"/>
      <c r="V30" s="92"/>
      <c r="W30" s="92"/>
      <c r="X30" s="95">
        <f t="shared" si="7"/>
        <v>0</v>
      </c>
      <c r="Y30" s="92"/>
      <c r="Z30" s="92"/>
      <c r="AA30" s="92"/>
      <c r="AB30" s="92"/>
      <c r="AC30" s="92"/>
      <c r="AD30" s="92"/>
      <c r="AE30" s="92"/>
      <c r="AF30" s="95">
        <f t="shared" si="8"/>
        <v>0</v>
      </c>
      <c r="AG30" s="92"/>
      <c r="AH30" s="92"/>
      <c r="AI30" s="92"/>
      <c r="AJ30" s="92"/>
      <c r="AK30" s="92"/>
      <c r="AL30" s="92"/>
      <c r="AM30" s="92"/>
      <c r="AN30" s="95">
        <f t="shared" si="9"/>
        <v>0</v>
      </c>
      <c r="AO30" s="92"/>
      <c r="AP30" s="92"/>
      <c r="AQ30" s="92"/>
      <c r="AR30" s="92"/>
      <c r="AS30" s="92"/>
      <c r="AT30" s="92"/>
      <c r="AU30" s="92"/>
      <c r="AV30" s="95">
        <f t="shared" si="10"/>
        <v>0</v>
      </c>
      <c r="AW30" s="95">
        <f t="shared" si="11"/>
        <v>0</v>
      </c>
    </row>
    <row r="31" spans="1:49" x14ac:dyDescent="0.2">
      <c r="A31" s="384"/>
      <c r="B31" s="385" t="s">
        <v>197</v>
      </c>
      <c r="C31" s="385" t="s">
        <v>198</v>
      </c>
      <c r="D31" s="385"/>
      <c r="E31" s="383"/>
      <c r="F31" s="382"/>
      <c r="G31" s="472" t="s">
        <v>747</v>
      </c>
      <c r="H31" s="190"/>
      <c r="I31" s="95">
        <f t="shared" ref="I31:AS31" si="25">I32+I33</f>
        <v>0</v>
      </c>
      <c r="J31" s="95">
        <f t="shared" si="25"/>
        <v>0</v>
      </c>
      <c r="K31" s="95">
        <f t="shared" si="25"/>
        <v>0</v>
      </c>
      <c r="L31" s="95">
        <f t="shared" si="25"/>
        <v>0</v>
      </c>
      <c r="M31" s="95">
        <f t="shared" si="25"/>
        <v>0</v>
      </c>
      <c r="N31" s="95">
        <f>N32+N33</f>
        <v>0</v>
      </c>
      <c r="O31" s="95">
        <f>O32+O33</f>
        <v>0</v>
      </c>
      <c r="P31" s="95">
        <f t="shared" si="6"/>
        <v>0</v>
      </c>
      <c r="Q31" s="95">
        <f t="shared" si="25"/>
        <v>0</v>
      </c>
      <c r="R31" s="95">
        <f t="shared" si="25"/>
        <v>0</v>
      </c>
      <c r="S31" s="95">
        <f t="shared" si="25"/>
        <v>0</v>
      </c>
      <c r="T31" s="95">
        <f t="shared" si="25"/>
        <v>0</v>
      </c>
      <c r="U31" s="95">
        <f t="shared" si="25"/>
        <v>0</v>
      </c>
      <c r="V31" s="95">
        <f>V32+V33</f>
        <v>0</v>
      </c>
      <c r="W31" s="95">
        <f>W32+W33</f>
        <v>0</v>
      </c>
      <c r="X31" s="95">
        <f t="shared" si="7"/>
        <v>0</v>
      </c>
      <c r="Y31" s="95">
        <f t="shared" si="25"/>
        <v>0</v>
      </c>
      <c r="Z31" s="95">
        <f t="shared" si="25"/>
        <v>0</v>
      </c>
      <c r="AA31" s="95">
        <f t="shared" si="25"/>
        <v>0</v>
      </c>
      <c r="AB31" s="95">
        <f t="shared" si="25"/>
        <v>0</v>
      </c>
      <c r="AC31" s="95">
        <f t="shared" si="25"/>
        <v>0</v>
      </c>
      <c r="AD31" s="95">
        <f>AD32+AD33</f>
        <v>0</v>
      </c>
      <c r="AE31" s="95">
        <f>AE32+AE33</f>
        <v>0</v>
      </c>
      <c r="AF31" s="95">
        <f t="shared" si="8"/>
        <v>0</v>
      </c>
      <c r="AG31" s="95">
        <f t="shared" si="25"/>
        <v>0</v>
      </c>
      <c r="AH31" s="95">
        <f t="shared" si="25"/>
        <v>0</v>
      </c>
      <c r="AI31" s="95">
        <f t="shared" si="25"/>
        <v>0</v>
      </c>
      <c r="AJ31" s="95">
        <f t="shared" si="25"/>
        <v>0</v>
      </c>
      <c r="AK31" s="95">
        <f t="shared" si="25"/>
        <v>0</v>
      </c>
      <c r="AL31" s="95">
        <f>AL32+AL33</f>
        <v>0</v>
      </c>
      <c r="AM31" s="95">
        <f>AM32+AM33</f>
        <v>0</v>
      </c>
      <c r="AN31" s="95">
        <f t="shared" si="9"/>
        <v>0</v>
      </c>
      <c r="AO31" s="95">
        <f t="shared" si="25"/>
        <v>0</v>
      </c>
      <c r="AP31" s="95">
        <f t="shared" si="25"/>
        <v>0</v>
      </c>
      <c r="AQ31" s="95">
        <f t="shared" si="25"/>
        <v>0</v>
      </c>
      <c r="AR31" s="95">
        <f t="shared" si="25"/>
        <v>0</v>
      </c>
      <c r="AS31" s="95">
        <f t="shared" si="25"/>
        <v>0</v>
      </c>
      <c r="AT31" s="95">
        <f>AT32+AT33</f>
        <v>0</v>
      </c>
      <c r="AU31" s="95">
        <f>AU32+AU33</f>
        <v>0</v>
      </c>
      <c r="AV31" s="95">
        <f t="shared" si="10"/>
        <v>0</v>
      </c>
      <c r="AW31" s="95">
        <f t="shared" si="11"/>
        <v>0</v>
      </c>
    </row>
    <row r="32" spans="1:49" x14ac:dyDescent="0.2">
      <c r="A32" s="386"/>
      <c r="B32" s="355"/>
      <c r="C32" s="405" t="s">
        <v>19</v>
      </c>
      <c r="D32" s="355" t="s">
        <v>207</v>
      </c>
      <c r="E32" s="382"/>
      <c r="F32" s="382"/>
      <c r="G32" s="472" t="s">
        <v>748</v>
      </c>
      <c r="H32" s="190"/>
      <c r="I32" s="94"/>
      <c r="J32" s="94"/>
      <c r="K32" s="94"/>
      <c r="L32" s="94"/>
      <c r="M32" s="94"/>
      <c r="N32" s="94"/>
      <c r="O32" s="94"/>
      <c r="P32" s="95">
        <f t="shared" si="6"/>
        <v>0</v>
      </c>
      <c r="Q32" s="92"/>
      <c r="R32" s="92"/>
      <c r="S32" s="92"/>
      <c r="T32" s="92"/>
      <c r="U32" s="92"/>
      <c r="V32" s="92"/>
      <c r="W32" s="92"/>
      <c r="X32" s="95">
        <f t="shared" si="7"/>
        <v>0</v>
      </c>
      <c r="Y32" s="92"/>
      <c r="Z32" s="92"/>
      <c r="AA32" s="92"/>
      <c r="AB32" s="92"/>
      <c r="AC32" s="92"/>
      <c r="AD32" s="92"/>
      <c r="AE32" s="92"/>
      <c r="AF32" s="95">
        <f t="shared" si="8"/>
        <v>0</v>
      </c>
      <c r="AG32" s="92"/>
      <c r="AH32" s="92"/>
      <c r="AI32" s="92"/>
      <c r="AJ32" s="92"/>
      <c r="AK32" s="92"/>
      <c r="AL32" s="92"/>
      <c r="AM32" s="92"/>
      <c r="AN32" s="95">
        <f t="shared" si="9"/>
        <v>0</v>
      </c>
      <c r="AO32" s="92"/>
      <c r="AP32" s="92"/>
      <c r="AQ32" s="92"/>
      <c r="AR32" s="92"/>
      <c r="AS32" s="92"/>
      <c r="AT32" s="92"/>
      <c r="AU32" s="92"/>
      <c r="AV32" s="95">
        <f t="shared" si="10"/>
        <v>0</v>
      </c>
      <c r="AW32" s="95">
        <f t="shared" si="11"/>
        <v>0</v>
      </c>
    </row>
    <row r="33" spans="1:49" x14ac:dyDescent="0.2">
      <c r="A33" s="384"/>
      <c r="B33" s="385"/>
      <c r="C33" s="473" t="s">
        <v>21</v>
      </c>
      <c r="D33" s="385" t="s">
        <v>200</v>
      </c>
      <c r="E33" s="383"/>
      <c r="F33" s="382"/>
      <c r="G33" s="472" t="s">
        <v>749</v>
      </c>
      <c r="H33" s="190"/>
      <c r="I33" s="94"/>
      <c r="J33" s="94"/>
      <c r="K33" s="94"/>
      <c r="L33" s="94"/>
      <c r="M33" s="94"/>
      <c r="N33" s="94"/>
      <c r="O33" s="94"/>
      <c r="P33" s="95">
        <f t="shared" si="6"/>
        <v>0</v>
      </c>
      <c r="Q33" s="92"/>
      <c r="R33" s="92"/>
      <c r="S33" s="92"/>
      <c r="T33" s="92"/>
      <c r="U33" s="92"/>
      <c r="V33" s="92"/>
      <c r="W33" s="92"/>
      <c r="X33" s="95">
        <f t="shared" si="7"/>
        <v>0</v>
      </c>
      <c r="Y33" s="92"/>
      <c r="Z33" s="92"/>
      <c r="AA33" s="92"/>
      <c r="AB33" s="92"/>
      <c r="AC33" s="92"/>
      <c r="AD33" s="92"/>
      <c r="AE33" s="92"/>
      <c r="AF33" s="95">
        <f t="shared" si="8"/>
        <v>0</v>
      </c>
      <c r="AG33" s="92"/>
      <c r="AH33" s="92"/>
      <c r="AI33" s="92"/>
      <c r="AJ33" s="92"/>
      <c r="AK33" s="92"/>
      <c r="AL33" s="92"/>
      <c r="AM33" s="92"/>
      <c r="AN33" s="95">
        <f t="shared" si="9"/>
        <v>0</v>
      </c>
      <c r="AO33" s="92"/>
      <c r="AP33" s="92"/>
      <c r="AQ33" s="92"/>
      <c r="AR33" s="92"/>
      <c r="AS33" s="92"/>
      <c r="AT33" s="92"/>
      <c r="AU33" s="92"/>
      <c r="AV33" s="95">
        <f t="shared" si="10"/>
        <v>0</v>
      </c>
      <c r="AW33" s="95">
        <f t="shared" si="11"/>
        <v>0</v>
      </c>
    </row>
    <row r="34" spans="1:49" x14ac:dyDescent="0.2">
      <c r="A34" s="386"/>
      <c r="B34" s="355" t="s">
        <v>201</v>
      </c>
      <c r="C34" s="355" t="s">
        <v>208</v>
      </c>
      <c r="D34" s="355"/>
      <c r="E34" s="382"/>
      <c r="F34" s="382"/>
      <c r="G34" s="472" t="s">
        <v>750</v>
      </c>
      <c r="H34" s="190"/>
      <c r="I34" s="94"/>
      <c r="J34" s="94"/>
      <c r="K34" s="94"/>
      <c r="L34" s="94"/>
      <c r="M34" s="94"/>
      <c r="N34" s="94"/>
      <c r="O34" s="94"/>
      <c r="P34" s="95">
        <f t="shared" si="6"/>
        <v>0</v>
      </c>
      <c r="Q34" s="92"/>
      <c r="R34" s="92"/>
      <c r="S34" s="92"/>
      <c r="T34" s="92"/>
      <c r="U34" s="92"/>
      <c r="V34" s="92"/>
      <c r="W34" s="92"/>
      <c r="X34" s="95">
        <f t="shared" si="7"/>
        <v>0</v>
      </c>
      <c r="Y34" s="92"/>
      <c r="Z34" s="92"/>
      <c r="AA34" s="92"/>
      <c r="AB34" s="92"/>
      <c r="AC34" s="92"/>
      <c r="AD34" s="92"/>
      <c r="AE34" s="92"/>
      <c r="AF34" s="95">
        <f t="shared" si="8"/>
        <v>0</v>
      </c>
      <c r="AG34" s="92"/>
      <c r="AH34" s="92"/>
      <c r="AI34" s="92"/>
      <c r="AJ34" s="92"/>
      <c r="AK34" s="92"/>
      <c r="AL34" s="92"/>
      <c r="AM34" s="92"/>
      <c r="AN34" s="95">
        <f t="shared" si="9"/>
        <v>0</v>
      </c>
      <c r="AO34" s="92"/>
      <c r="AP34" s="92"/>
      <c r="AQ34" s="92"/>
      <c r="AR34" s="92"/>
      <c r="AS34" s="92"/>
      <c r="AT34" s="92"/>
      <c r="AU34" s="92"/>
      <c r="AV34" s="95">
        <f t="shared" si="10"/>
        <v>0</v>
      </c>
      <c r="AW34" s="95">
        <f t="shared" si="11"/>
        <v>0</v>
      </c>
    </row>
    <row r="35" spans="1:49" x14ac:dyDescent="0.2">
      <c r="A35" s="408"/>
      <c r="B35" s="392" t="s">
        <v>305</v>
      </c>
      <c r="C35" s="392" t="s">
        <v>888</v>
      </c>
      <c r="D35" s="392"/>
      <c r="E35" s="388"/>
      <c r="F35" s="382"/>
      <c r="G35" s="472" t="s">
        <v>890</v>
      </c>
      <c r="H35" s="190"/>
      <c r="I35" s="94"/>
      <c r="J35" s="94"/>
      <c r="K35" s="94"/>
      <c r="L35" s="94"/>
      <c r="M35" s="94"/>
      <c r="N35" s="94"/>
      <c r="O35" s="94"/>
      <c r="P35" s="95">
        <f t="shared" si="6"/>
        <v>0</v>
      </c>
      <c r="Q35" s="92"/>
      <c r="R35" s="92"/>
      <c r="S35" s="92"/>
      <c r="T35" s="92"/>
      <c r="U35" s="92"/>
      <c r="V35" s="92"/>
      <c r="W35" s="92"/>
      <c r="X35" s="95">
        <f t="shared" si="7"/>
        <v>0</v>
      </c>
      <c r="Y35" s="92"/>
      <c r="Z35" s="92"/>
      <c r="AA35" s="92"/>
      <c r="AB35" s="92"/>
      <c r="AC35" s="92"/>
      <c r="AD35" s="92"/>
      <c r="AE35" s="92"/>
      <c r="AF35" s="95">
        <f t="shared" si="8"/>
        <v>0</v>
      </c>
      <c r="AG35" s="92"/>
      <c r="AH35" s="92"/>
      <c r="AI35" s="92"/>
      <c r="AJ35" s="92"/>
      <c r="AK35" s="92"/>
      <c r="AL35" s="92"/>
      <c r="AM35" s="92"/>
      <c r="AN35" s="95">
        <f t="shared" si="9"/>
        <v>0</v>
      </c>
      <c r="AO35" s="92"/>
      <c r="AP35" s="92"/>
      <c r="AQ35" s="92"/>
      <c r="AR35" s="92"/>
      <c r="AS35" s="92"/>
      <c r="AT35" s="92"/>
      <c r="AU35" s="92"/>
      <c r="AV35" s="95">
        <f t="shared" si="10"/>
        <v>0</v>
      </c>
      <c r="AW35" s="95">
        <f t="shared" si="11"/>
        <v>0</v>
      </c>
    </row>
    <row r="36" spans="1:49" x14ac:dyDescent="0.2">
      <c r="A36" s="407" t="s">
        <v>392</v>
      </c>
      <c r="B36" s="474"/>
      <c r="C36" s="435"/>
      <c r="D36" s="392"/>
      <c r="E36" s="388"/>
      <c r="F36" s="382"/>
      <c r="G36" s="472" t="s">
        <v>182</v>
      </c>
      <c r="H36" s="191"/>
      <c r="I36" s="95">
        <f>I10+I28</f>
        <v>0</v>
      </c>
      <c r="J36" s="95">
        <f t="shared" ref="J36:AU36" si="26">J10+J28</f>
        <v>0</v>
      </c>
      <c r="K36" s="95">
        <f t="shared" si="26"/>
        <v>0</v>
      </c>
      <c r="L36" s="95">
        <f t="shared" si="26"/>
        <v>0</v>
      </c>
      <c r="M36" s="95">
        <f t="shared" si="26"/>
        <v>0</v>
      </c>
      <c r="N36" s="95">
        <f t="shared" si="26"/>
        <v>0</v>
      </c>
      <c r="O36" s="95">
        <f t="shared" si="26"/>
        <v>0</v>
      </c>
      <c r="P36" s="95">
        <f t="shared" si="6"/>
        <v>0</v>
      </c>
      <c r="Q36" s="95">
        <f t="shared" si="26"/>
        <v>0</v>
      </c>
      <c r="R36" s="95">
        <f t="shared" si="26"/>
        <v>0</v>
      </c>
      <c r="S36" s="95">
        <f t="shared" si="26"/>
        <v>0</v>
      </c>
      <c r="T36" s="95">
        <f t="shared" si="26"/>
        <v>0</v>
      </c>
      <c r="U36" s="95">
        <f t="shared" si="26"/>
        <v>0</v>
      </c>
      <c r="V36" s="95">
        <f t="shared" si="26"/>
        <v>0</v>
      </c>
      <c r="W36" s="95">
        <f t="shared" si="26"/>
        <v>0</v>
      </c>
      <c r="X36" s="95">
        <f t="shared" si="7"/>
        <v>0</v>
      </c>
      <c r="Y36" s="95">
        <f t="shared" si="26"/>
        <v>0</v>
      </c>
      <c r="Z36" s="95">
        <f t="shared" si="26"/>
        <v>0</v>
      </c>
      <c r="AA36" s="95">
        <f t="shared" si="26"/>
        <v>0</v>
      </c>
      <c r="AB36" s="95">
        <f t="shared" si="26"/>
        <v>0</v>
      </c>
      <c r="AC36" s="95">
        <f t="shared" si="26"/>
        <v>0</v>
      </c>
      <c r="AD36" s="95">
        <f t="shared" si="26"/>
        <v>0</v>
      </c>
      <c r="AE36" s="95">
        <f t="shared" si="26"/>
        <v>0</v>
      </c>
      <c r="AF36" s="95">
        <f t="shared" si="8"/>
        <v>0</v>
      </c>
      <c r="AG36" s="95">
        <f t="shared" si="26"/>
        <v>0</v>
      </c>
      <c r="AH36" s="95">
        <f t="shared" si="26"/>
        <v>0</v>
      </c>
      <c r="AI36" s="95">
        <f t="shared" si="26"/>
        <v>0</v>
      </c>
      <c r="AJ36" s="95">
        <f t="shared" si="26"/>
        <v>0</v>
      </c>
      <c r="AK36" s="95">
        <f t="shared" si="26"/>
        <v>0</v>
      </c>
      <c r="AL36" s="95">
        <f t="shared" si="26"/>
        <v>0</v>
      </c>
      <c r="AM36" s="95">
        <f t="shared" si="26"/>
        <v>0</v>
      </c>
      <c r="AN36" s="95">
        <f t="shared" si="9"/>
        <v>0</v>
      </c>
      <c r="AO36" s="95">
        <f t="shared" si="26"/>
        <v>0</v>
      </c>
      <c r="AP36" s="95">
        <f t="shared" si="26"/>
        <v>0</v>
      </c>
      <c r="AQ36" s="95">
        <f t="shared" si="26"/>
        <v>0</v>
      </c>
      <c r="AR36" s="95">
        <f t="shared" si="26"/>
        <v>0</v>
      </c>
      <c r="AS36" s="95">
        <f t="shared" si="26"/>
        <v>0</v>
      </c>
      <c r="AT36" s="95">
        <f t="shared" si="26"/>
        <v>0</v>
      </c>
      <c r="AU36" s="95">
        <f t="shared" si="26"/>
        <v>0</v>
      </c>
      <c r="AV36" s="95">
        <f t="shared" si="10"/>
        <v>0</v>
      </c>
      <c r="AW36" s="95">
        <f t="shared" si="11"/>
        <v>0</v>
      </c>
    </row>
    <row r="37" spans="1:49" x14ac:dyDescent="0.2">
      <c r="A37" s="90"/>
      <c r="B37" s="152"/>
      <c r="C37" s="152"/>
      <c r="D37" s="152"/>
      <c r="E37" s="152"/>
      <c r="F37" s="152"/>
      <c r="G37" s="256"/>
      <c r="H37" s="192"/>
      <c r="I37" s="152"/>
      <c r="J37" s="152"/>
      <c r="K37" s="152"/>
      <c r="L37" s="152"/>
      <c r="M37" s="152"/>
      <c r="N37" s="152"/>
      <c r="O37" s="152"/>
      <c r="P37" s="152"/>
      <c r="Q37" s="152"/>
      <c r="R37" s="152"/>
      <c r="S37" s="152"/>
      <c r="T37" s="152"/>
      <c r="U37" s="152"/>
      <c r="V37" s="152"/>
      <c r="W37" s="152"/>
      <c r="X37" s="152"/>
      <c r="Y37" s="152"/>
      <c r="Z37" s="152"/>
      <c r="AA37" s="152"/>
      <c r="AB37" s="152"/>
      <c r="AC37" s="152"/>
      <c r="AD37" s="152"/>
      <c r="AE37" s="152"/>
      <c r="AF37" s="152"/>
      <c r="AG37" s="152"/>
      <c r="AH37" s="152"/>
      <c r="AI37" s="152"/>
      <c r="AJ37" s="152"/>
      <c r="AK37" s="152"/>
      <c r="AL37" s="152"/>
      <c r="AM37" s="152"/>
      <c r="AN37" s="152"/>
      <c r="AO37" s="152"/>
      <c r="AP37" s="152"/>
      <c r="AQ37" s="152"/>
      <c r="AR37" s="152"/>
      <c r="AS37" s="152"/>
      <c r="AT37" s="152"/>
      <c r="AU37" s="152"/>
      <c r="AV37" s="152"/>
      <c r="AW37" s="152"/>
    </row>
    <row r="38" spans="1:49" x14ac:dyDescent="0.2">
      <c r="A38" s="90"/>
      <c r="B38" s="152"/>
      <c r="C38" s="152"/>
      <c r="D38" s="152"/>
      <c r="E38" s="152"/>
      <c r="F38" s="152"/>
      <c r="G38" s="192"/>
      <c r="H38" s="192"/>
      <c r="I38" s="152"/>
      <c r="J38" s="152"/>
      <c r="K38" s="152"/>
      <c r="L38" s="152"/>
      <c r="M38" s="152"/>
      <c r="N38" s="152"/>
      <c r="O38" s="152"/>
      <c r="P38" s="152"/>
      <c r="Q38" s="152"/>
      <c r="R38" s="152"/>
      <c r="S38" s="152"/>
      <c r="T38" s="152"/>
      <c r="U38" s="152"/>
      <c r="V38" s="152"/>
      <c r="W38" s="152"/>
      <c r="X38" s="152"/>
      <c r="Y38" s="152"/>
      <c r="Z38" s="152"/>
      <c r="AA38" s="152"/>
      <c r="AB38" s="152"/>
      <c r="AC38" s="152"/>
      <c r="AD38" s="152"/>
      <c r="AE38" s="152"/>
      <c r="AF38" s="152"/>
      <c r="AG38" s="152"/>
      <c r="AH38" s="152"/>
      <c r="AI38" s="152"/>
      <c r="AJ38" s="152"/>
      <c r="AK38" s="152"/>
      <c r="AL38" s="152"/>
      <c r="AM38" s="152"/>
      <c r="AN38" s="152"/>
      <c r="AO38" s="152"/>
      <c r="AP38" s="152"/>
      <c r="AQ38" s="152"/>
      <c r="AR38" s="152"/>
      <c r="AS38" s="152"/>
      <c r="AT38" s="152"/>
      <c r="AU38" s="152"/>
      <c r="AV38" s="152"/>
      <c r="AW38" s="152"/>
    </row>
    <row r="39" spans="1:49" s="165" customFormat="1" ht="12.75" x14ac:dyDescent="0.2">
      <c r="A39" s="538" t="s">
        <v>728</v>
      </c>
      <c r="B39" s="538"/>
      <c r="C39" s="538"/>
      <c r="D39" s="538"/>
      <c r="E39" s="538"/>
      <c r="F39" s="538"/>
      <c r="G39" s="538"/>
      <c r="H39" s="538"/>
      <c r="I39" s="538"/>
      <c r="J39" s="538"/>
      <c r="K39" s="538"/>
      <c r="L39" s="538"/>
      <c r="M39" s="538"/>
      <c r="N39" s="538"/>
      <c r="O39" s="538"/>
      <c r="P39" s="538"/>
      <c r="Q39" s="538"/>
      <c r="R39" s="538"/>
      <c r="S39" s="538"/>
      <c r="T39" s="538"/>
      <c r="U39" s="538"/>
      <c r="V39" s="538"/>
      <c r="W39" s="538"/>
      <c r="X39" s="538"/>
      <c r="Y39" s="538"/>
      <c r="Z39" s="538"/>
      <c r="AA39" s="538"/>
      <c r="AB39" s="538"/>
      <c r="AC39" s="538"/>
      <c r="AD39" s="538"/>
      <c r="AE39" s="538"/>
      <c r="AF39" s="538"/>
      <c r="AG39" s="538"/>
      <c r="AH39" s="538"/>
      <c r="AI39" s="538"/>
      <c r="AJ39" s="538"/>
      <c r="AK39" s="538"/>
      <c r="AL39" s="538"/>
      <c r="AM39" s="538"/>
      <c r="AN39" s="538"/>
      <c r="AO39" s="538"/>
      <c r="AP39" s="538"/>
      <c r="AQ39" s="538"/>
      <c r="AR39" s="538"/>
      <c r="AS39" s="538"/>
      <c r="AT39" s="538"/>
      <c r="AU39" s="538"/>
      <c r="AV39" s="538"/>
      <c r="AW39" s="538"/>
    </row>
    <row r="40" spans="1:49" s="165" customFormat="1" ht="12.75" x14ac:dyDescent="0.2">
      <c r="A40" s="255"/>
      <c r="B40" s="255"/>
      <c r="C40" s="255"/>
      <c r="D40" s="255"/>
      <c r="E40" s="255"/>
      <c r="F40" s="255"/>
      <c r="G40" s="255"/>
      <c r="H40" s="255"/>
      <c r="I40" s="255"/>
      <c r="J40" s="255"/>
      <c r="K40" s="255"/>
      <c r="L40" s="255"/>
      <c r="M40" s="255"/>
      <c r="N40" s="255"/>
      <c r="O40" s="255"/>
      <c r="P40" s="255"/>
      <c r="Q40" s="255"/>
      <c r="R40" s="255"/>
      <c r="S40" s="255"/>
      <c r="T40" s="255"/>
      <c r="U40" s="255"/>
      <c r="V40" s="255"/>
      <c r="W40" s="255"/>
      <c r="X40" s="255"/>
      <c r="Y40" s="255"/>
      <c r="Z40" s="255"/>
      <c r="AA40" s="255"/>
      <c r="AB40" s="255"/>
      <c r="AC40" s="255"/>
      <c r="AD40" s="255"/>
      <c r="AE40" s="255"/>
      <c r="AF40" s="255"/>
      <c r="AG40" s="255"/>
      <c r="AH40" s="255"/>
      <c r="AI40" s="255"/>
      <c r="AJ40" s="255"/>
      <c r="AK40" s="255"/>
      <c r="AL40" s="255"/>
      <c r="AM40" s="255"/>
      <c r="AN40" s="255"/>
      <c r="AO40" s="255"/>
      <c r="AP40" s="255"/>
      <c r="AQ40" s="255"/>
      <c r="AR40" s="255"/>
      <c r="AS40" s="255"/>
      <c r="AT40" s="255"/>
      <c r="AU40" s="255"/>
      <c r="AV40" s="255"/>
      <c r="AW40" s="255"/>
    </row>
    <row r="41" spans="1:49" ht="12.75" customHeight="1" x14ac:dyDescent="0.2">
      <c r="A41" s="551" t="s">
        <v>722</v>
      </c>
      <c r="B41" s="552"/>
      <c r="C41" s="552"/>
      <c r="D41" s="552"/>
      <c r="E41" s="552"/>
      <c r="F41" s="553"/>
      <c r="G41" s="560" t="s">
        <v>2</v>
      </c>
      <c r="H41" s="88"/>
      <c r="I41" s="539" t="s">
        <v>721</v>
      </c>
      <c r="J41" s="540"/>
      <c r="K41" s="540"/>
      <c r="L41" s="540"/>
      <c r="M41" s="540"/>
      <c r="N41" s="540"/>
      <c r="O41" s="540"/>
      <c r="P41" s="540"/>
      <c r="Q41" s="540"/>
      <c r="R41" s="540"/>
      <c r="S41" s="540"/>
      <c r="T41" s="540"/>
      <c r="U41" s="540"/>
      <c r="V41" s="540"/>
      <c r="W41" s="540"/>
      <c r="X41" s="540"/>
      <c r="Y41" s="540"/>
      <c r="Z41" s="540"/>
      <c r="AA41" s="540"/>
      <c r="AB41" s="540"/>
      <c r="AC41" s="540"/>
      <c r="AD41" s="540"/>
      <c r="AE41" s="540"/>
      <c r="AF41" s="540"/>
      <c r="AG41" s="540"/>
      <c r="AH41" s="540"/>
      <c r="AI41" s="540"/>
      <c r="AJ41" s="540"/>
      <c r="AK41" s="540"/>
      <c r="AL41" s="540"/>
      <c r="AM41" s="540"/>
      <c r="AN41" s="540"/>
      <c r="AO41" s="540"/>
      <c r="AP41" s="540"/>
      <c r="AQ41" s="540"/>
      <c r="AR41" s="540"/>
      <c r="AS41" s="540"/>
      <c r="AT41" s="540"/>
      <c r="AU41" s="540"/>
      <c r="AV41" s="540"/>
      <c r="AW41" s="541"/>
    </row>
    <row r="42" spans="1:49" x14ac:dyDescent="0.2">
      <c r="A42" s="554"/>
      <c r="B42" s="555"/>
      <c r="C42" s="555"/>
      <c r="D42" s="555"/>
      <c r="E42" s="555"/>
      <c r="F42" s="556"/>
      <c r="G42" s="561"/>
      <c r="H42" s="107"/>
      <c r="I42" s="534" t="s">
        <v>50</v>
      </c>
      <c r="J42" s="535"/>
      <c r="K42" s="535"/>
      <c r="L42" s="535"/>
      <c r="M42" s="535"/>
      <c r="N42" s="535"/>
      <c r="O42" s="535"/>
      <c r="P42" s="536"/>
      <c r="Q42" s="534" t="s">
        <v>723</v>
      </c>
      <c r="R42" s="535"/>
      <c r="S42" s="535"/>
      <c r="T42" s="535"/>
      <c r="U42" s="535"/>
      <c r="V42" s="535"/>
      <c r="W42" s="535"/>
      <c r="X42" s="536"/>
      <c r="Y42" s="534" t="s">
        <v>724</v>
      </c>
      <c r="Z42" s="535"/>
      <c r="AA42" s="535"/>
      <c r="AB42" s="535"/>
      <c r="AC42" s="535"/>
      <c r="AD42" s="535"/>
      <c r="AE42" s="535"/>
      <c r="AF42" s="536"/>
      <c r="AG42" s="534" t="s">
        <v>52</v>
      </c>
      <c r="AH42" s="535"/>
      <c r="AI42" s="535"/>
      <c r="AJ42" s="535"/>
      <c r="AK42" s="535"/>
      <c r="AL42" s="535"/>
      <c r="AM42" s="535"/>
      <c r="AN42" s="536"/>
      <c r="AO42" s="534" t="s">
        <v>56</v>
      </c>
      <c r="AP42" s="535"/>
      <c r="AQ42" s="535"/>
      <c r="AR42" s="535"/>
      <c r="AS42" s="535"/>
      <c r="AT42" s="535"/>
      <c r="AU42" s="535"/>
      <c r="AV42" s="535"/>
      <c r="AW42" s="542" t="s">
        <v>68</v>
      </c>
    </row>
    <row r="43" spans="1:49" x14ac:dyDescent="0.2">
      <c r="A43" s="554"/>
      <c r="B43" s="555"/>
      <c r="C43" s="555"/>
      <c r="D43" s="555"/>
      <c r="E43" s="555"/>
      <c r="F43" s="556"/>
      <c r="G43" s="561"/>
      <c r="H43" s="104"/>
      <c r="I43" s="545" t="s">
        <v>725</v>
      </c>
      <c r="J43" s="547" t="s">
        <v>4</v>
      </c>
      <c r="K43" s="548"/>
      <c r="L43" s="534" t="s">
        <v>7</v>
      </c>
      <c r="M43" s="536"/>
      <c r="N43" s="534" t="s">
        <v>391</v>
      </c>
      <c r="O43" s="536"/>
      <c r="P43" s="545" t="s">
        <v>68</v>
      </c>
      <c r="Q43" s="545" t="s">
        <v>725</v>
      </c>
      <c r="R43" s="547" t="s">
        <v>4</v>
      </c>
      <c r="S43" s="548"/>
      <c r="T43" s="534" t="s">
        <v>7</v>
      </c>
      <c r="U43" s="536"/>
      <c r="V43" s="534" t="s">
        <v>391</v>
      </c>
      <c r="W43" s="536"/>
      <c r="X43" s="545" t="s">
        <v>68</v>
      </c>
      <c r="Y43" s="545" t="s">
        <v>725</v>
      </c>
      <c r="Z43" s="547" t="s">
        <v>4</v>
      </c>
      <c r="AA43" s="548"/>
      <c r="AB43" s="534" t="s">
        <v>7</v>
      </c>
      <c r="AC43" s="536"/>
      <c r="AD43" s="534" t="s">
        <v>391</v>
      </c>
      <c r="AE43" s="536"/>
      <c r="AF43" s="545" t="s">
        <v>68</v>
      </c>
      <c r="AG43" s="545" t="s">
        <v>725</v>
      </c>
      <c r="AH43" s="547" t="s">
        <v>4</v>
      </c>
      <c r="AI43" s="548"/>
      <c r="AJ43" s="534" t="s">
        <v>7</v>
      </c>
      <c r="AK43" s="536"/>
      <c r="AL43" s="534" t="s">
        <v>391</v>
      </c>
      <c r="AM43" s="536"/>
      <c r="AN43" s="545" t="s">
        <v>68</v>
      </c>
      <c r="AO43" s="545" t="s">
        <v>725</v>
      </c>
      <c r="AP43" s="547" t="s">
        <v>4</v>
      </c>
      <c r="AQ43" s="548"/>
      <c r="AR43" s="534" t="s">
        <v>7</v>
      </c>
      <c r="AS43" s="536"/>
      <c r="AT43" s="534" t="s">
        <v>391</v>
      </c>
      <c r="AU43" s="536"/>
      <c r="AV43" s="549" t="s">
        <v>68</v>
      </c>
      <c r="AW43" s="543"/>
    </row>
    <row r="44" spans="1:49" x14ac:dyDescent="0.2">
      <c r="A44" s="557"/>
      <c r="B44" s="558"/>
      <c r="C44" s="558"/>
      <c r="D44" s="558"/>
      <c r="E44" s="558"/>
      <c r="F44" s="559"/>
      <c r="G44" s="562"/>
      <c r="H44" s="105"/>
      <c r="I44" s="546"/>
      <c r="J44" s="89" t="s">
        <v>726</v>
      </c>
      <c r="K44" s="89" t="s">
        <v>727</v>
      </c>
      <c r="L44" s="89" t="s">
        <v>726</v>
      </c>
      <c r="M44" s="89" t="s">
        <v>727</v>
      </c>
      <c r="N44" s="89" t="s">
        <v>726</v>
      </c>
      <c r="O44" s="89" t="s">
        <v>727</v>
      </c>
      <c r="P44" s="546"/>
      <c r="Q44" s="546"/>
      <c r="R44" s="89" t="s">
        <v>726</v>
      </c>
      <c r="S44" s="89" t="s">
        <v>727</v>
      </c>
      <c r="T44" s="89" t="s">
        <v>726</v>
      </c>
      <c r="U44" s="89" t="s">
        <v>727</v>
      </c>
      <c r="V44" s="89" t="s">
        <v>726</v>
      </c>
      <c r="W44" s="89" t="s">
        <v>727</v>
      </c>
      <c r="X44" s="546"/>
      <c r="Y44" s="546"/>
      <c r="Z44" s="89" t="s">
        <v>726</v>
      </c>
      <c r="AA44" s="89" t="s">
        <v>727</v>
      </c>
      <c r="AB44" s="89" t="s">
        <v>726</v>
      </c>
      <c r="AC44" s="89" t="s">
        <v>727</v>
      </c>
      <c r="AD44" s="89" t="s">
        <v>726</v>
      </c>
      <c r="AE44" s="89" t="s">
        <v>727</v>
      </c>
      <c r="AF44" s="546"/>
      <c r="AG44" s="546"/>
      <c r="AH44" s="89" t="s">
        <v>726</v>
      </c>
      <c r="AI44" s="89" t="s">
        <v>727</v>
      </c>
      <c r="AJ44" s="89" t="s">
        <v>726</v>
      </c>
      <c r="AK44" s="89" t="s">
        <v>727</v>
      </c>
      <c r="AL44" s="89" t="s">
        <v>726</v>
      </c>
      <c r="AM44" s="89" t="s">
        <v>727</v>
      </c>
      <c r="AN44" s="546"/>
      <c r="AO44" s="546"/>
      <c r="AP44" s="89" t="s">
        <v>726</v>
      </c>
      <c r="AQ44" s="89" t="s">
        <v>727</v>
      </c>
      <c r="AR44" s="89" t="s">
        <v>726</v>
      </c>
      <c r="AS44" s="89" t="s">
        <v>727</v>
      </c>
      <c r="AT44" s="89" t="s">
        <v>726</v>
      </c>
      <c r="AU44" s="89" t="s">
        <v>727</v>
      </c>
      <c r="AV44" s="550"/>
      <c r="AW44" s="544"/>
    </row>
    <row r="45" spans="1:49" x14ac:dyDescent="0.2">
      <c r="A45" s="449" t="s">
        <v>186</v>
      </c>
      <c r="B45" s="450" t="s">
        <v>187</v>
      </c>
      <c r="C45" s="378"/>
      <c r="D45" s="378"/>
      <c r="E45" s="379"/>
      <c r="F45" s="382"/>
      <c r="G45" s="472" t="s">
        <v>756</v>
      </c>
      <c r="H45" s="190"/>
      <c r="I45" s="95">
        <f t="shared" ref="I45:O45" si="27">I46+I53+I54+I57+I62</f>
        <v>0</v>
      </c>
      <c r="J45" s="95">
        <f t="shared" si="27"/>
        <v>0</v>
      </c>
      <c r="K45" s="95">
        <f t="shared" si="27"/>
        <v>0</v>
      </c>
      <c r="L45" s="95">
        <f t="shared" si="27"/>
        <v>0</v>
      </c>
      <c r="M45" s="95">
        <f t="shared" si="27"/>
        <v>0</v>
      </c>
      <c r="N45" s="95">
        <f t="shared" si="27"/>
        <v>0</v>
      </c>
      <c r="O45" s="95">
        <f t="shared" si="27"/>
        <v>0</v>
      </c>
      <c r="P45" s="95">
        <f>I45+K45+M45+O45</f>
        <v>0</v>
      </c>
      <c r="Q45" s="95">
        <f t="shared" ref="Q45:W45" si="28">Q46+Q53+Q54+Q57+Q62</f>
        <v>0</v>
      </c>
      <c r="R45" s="95">
        <f t="shared" si="28"/>
        <v>0</v>
      </c>
      <c r="S45" s="95">
        <f t="shared" si="28"/>
        <v>0</v>
      </c>
      <c r="T45" s="95">
        <f t="shared" si="28"/>
        <v>0</v>
      </c>
      <c r="U45" s="95">
        <f t="shared" si="28"/>
        <v>0</v>
      </c>
      <c r="V45" s="95">
        <f t="shared" si="28"/>
        <v>0</v>
      </c>
      <c r="W45" s="95">
        <f t="shared" si="28"/>
        <v>0</v>
      </c>
      <c r="X45" s="95">
        <f>Q45+S45+U45+W45</f>
        <v>0</v>
      </c>
      <c r="Y45" s="95">
        <f t="shared" ref="Y45:AE45" si="29">Y46+Y53+Y54+Y57+Y62</f>
        <v>0</v>
      </c>
      <c r="Z45" s="95">
        <f t="shared" si="29"/>
        <v>0</v>
      </c>
      <c r="AA45" s="95">
        <f t="shared" si="29"/>
        <v>0</v>
      </c>
      <c r="AB45" s="95">
        <f t="shared" si="29"/>
        <v>0</v>
      </c>
      <c r="AC45" s="95">
        <f t="shared" si="29"/>
        <v>0</v>
      </c>
      <c r="AD45" s="95">
        <f t="shared" si="29"/>
        <v>0</v>
      </c>
      <c r="AE45" s="95">
        <f t="shared" si="29"/>
        <v>0</v>
      </c>
      <c r="AF45" s="95">
        <f>Y45+AA45+AC45+AE45</f>
        <v>0</v>
      </c>
      <c r="AG45" s="95">
        <f t="shared" ref="AG45:AM45" si="30">AG46+AG53+AG54+AG57+AG62</f>
        <v>0</v>
      </c>
      <c r="AH45" s="95">
        <f t="shared" si="30"/>
        <v>0</v>
      </c>
      <c r="AI45" s="95">
        <f t="shared" si="30"/>
        <v>0</v>
      </c>
      <c r="AJ45" s="95">
        <f t="shared" si="30"/>
        <v>0</v>
      </c>
      <c r="AK45" s="95">
        <f t="shared" si="30"/>
        <v>0</v>
      </c>
      <c r="AL45" s="95">
        <f t="shared" si="30"/>
        <v>0</v>
      </c>
      <c r="AM45" s="95">
        <f t="shared" si="30"/>
        <v>0</v>
      </c>
      <c r="AN45" s="95">
        <f>AG45+AI45+AK45+AM45</f>
        <v>0</v>
      </c>
      <c r="AO45" s="95">
        <f t="shared" ref="AO45:AU45" si="31">AO46+AO53+AO54+AO57+AO62</f>
        <v>0</v>
      </c>
      <c r="AP45" s="95">
        <f t="shared" si="31"/>
        <v>0</v>
      </c>
      <c r="AQ45" s="95">
        <f t="shared" si="31"/>
        <v>0</v>
      </c>
      <c r="AR45" s="95">
        <f t="shared" si="31"/>
        <v>0</v>
      </c>
      <c r="AS45" s="95">
        <f t="shared" si="31"/>
        <v>0</v>
      </c>
      <c r="AT45" s="95">
        <f t="shared" si="31"/>
        <v>0</v>
      </c>
      <c r="AU45" s="95">
        <f t="shared" si="31"/>
        <v>0</v>
      </c>
      <c r="AV45" s="95">
        <f>AO45+AQ45+AS45+AU45</f>
        <v>0</v>
      </c>
      <c r="AW45" s="95">
        <f>P45+X45+AF45+AN45+AV45</f>
        <v>0</v>
      </c>
    </row>
    <row r="46" spans="1:49" x14ac:dyDescent="0.2">
      <c r="A46" s="386"/>
      <c r="B46" s="355" t="s">
        <v>188</v>
      </c>
      <c r="C46" s="355" t="s">
        <v>788</v>
      </c>
      <c r="D46" s="355"/>
      <c r="E46" s="382"/>
      <c r="F46" s="382"/>
      <c r="G46" s="472" t="s">
        <v>757</v>
      </c>
      <c r="H46" s="190"/>
      <c r="I46" s="95">
        <f>I47+I48+I49</f>
        <v>0</v>
      </c>
      <c r="J46" s="95">
        <f t="shared" ref="J46:AU46" si="32">J47+J48+J49</f>
        <v>0</v>
      </c>
      <c r="K46" s="95">
        <f t="shared" si="32"/>
        <v>0</v>
      </c>
      <c r="L46" s="95">
        <f t="shared" si="32"/>
        <v>0</v>
      </c>
      <c r="M46" s="95">
        <f t="shared" si="32"/>
        <v>0</v>
      </c>
      <c r="N46" s="95">
        <f t="shared" si="32"/>
        <v>0</v>
      </c>
      <c r="O46" s="95">
        <f t="shared" si="32"/>
        <v>0</v>
      </c>
      <c r="P46" s="95">
        <f t="shared" ref="P46:P71" si="33">I46+K46+M46+O46</f>
        <v>0</v>
      </c>
      <c r="Q46" s="95">
        <f t="shared" si="32"/>
        <v>0</v>
      </c>
      <c r="R46" s="95">
        <f t="shared" si="32"/>
        <v>0</v>
      </c>
      <c r="S46" s="95">
        <f t="shared" si="32"/>
        <v>0</v>
      </c>
      <c r="T46" s="95">
        <f t="shared" si="32"/>
        <v>0</v>
      </c>
      <c r="U46" s="95">
        <f t="shared" si="32"/>
        <v>0</v>
      </c>
      <c r="V46" s="95">
        <f>V47+V48+V49</f>
        <v>0</v>
      </c>
      <c r="W46" s="95">
        <f>W47+W48+W49</f>
        <v>0</v>
      </c>
      <c r="X46" s="95">
        <f t="shared" ref="X46:X71" si="34">Q46+S46+U46+W46</f>
        <v>0</v>
      </c>
      <c r="Y46" s="95">
        <f t="shared" si="32"/>
        <v>0</v>
      </c>
      <c r="Z46" s="95">
        <f t="shared" si="32"/>
        <v>0</v>
      </c>
      <c r="AA46" s="95">
        <f t="shared" si="32"/>
        <v>0</v>
      </c>
      <c r="AB46" s="95">
        <f t="shared" si="32"/>
        <v>0</v>
      </c>
      <c r="AC46" s="95">
        <f t="shared" si="32"/>
        <v>0</v>
      </c>
      <c r="AD46" s="95">
        <f t="shared" si="32"/>
        <v>0</v>
      </c>
      <c r="AE46" s="95">
        <f t="shared" si="32"/>
        <v>0</v>
      </c>
      <c r="AF46" s="95">
        <f t="shared" ref="AF46:AF71" si="35">Y46+AA46+AC46+AE46</f>
        <v>0</v>
      </c>
      <c r="AG46" s="95">
        <f t="shared" si="32"/>
        <v>0</v>
      </c>
      <c r="AH46" s="95">
        <f t="shared" si="32"/>
        <v>0</v>
      </c>
      <c r="AI46" s="95">
        <f t="shared" si="32"/>
        <v>0</v>
      </c>
      <c r="AJ46" s="95">
        <f t="shared" si="32"/>
        <v>0</v>
      </c>
      <c r="AK46" s="95">
        <f t="shared" si="32"/>
        <v>0</v>
      </c>
      <c r="AL46" s="95">
        <f t="shared" si="32"/>
        <v>0</v>
      </c>
      <c r="AM46" s="95">
        <f t="shared" si="32"/>
        <v>0</v>
      </c>
      <c r="AN46" s="95">
        <f t="shared" ref="AN46:AN71" si="36">AG46+AI46+AK46+AM46</f>
        <v>0</v>
      </c>
      <c r="AO46" s="95">
        <f t="shared" si="32"/>
        <v>0</v>
      </c>
      <c r="AP46" s="95">
        <f t="shared" si="32"/>
        <v>0</v>
      </c>
      <c r="AQ46" s="95">
        <f t="shared" si="32"/>
        <v>0</v>
      </c>
      <c r="AR46" s="95">
        <f t="shared" si="32"/>
        <v>0</v>
      </c>
      <c r="AS46" s="95">
        <f t="shared" si="32"/>
        <v>0</v>
      </c>
      <c r="AT46" s="95">
        <f t="shared" si="32"/>
        <v>0</v>
      </c>
      <c r="AU46" s="95">
        <f t="shared" si="32"/>
        <v>0</v>
      </c>
      <c r="AV46" s="95">
        <f t="shared" ref="AV46:AV71" si="37">AO46+AQ46+AS46+AU46</f>
        <v>0</v>
      </c>
      <c r="AW46" s="95">
        <f t="shared" ref="AW46:AW71" si="38">P46+X46+AF46+AN46+AV46</f>
        <v>0</v>
      </c>
    </row>
    <row r="47" spans="1:49" x14ac:dyDescent="0.2">
      <c r="A47" s="384"/>
      <c r="B47" s="385"/>
      <c r="C47" s="473" t="s">
        <v>19</v>
      </c>
      <c r="D47" s="385" t="s">
        <v>189</v>
      </c>
      <c r="E47" s="383"/>
      <c r="F47" s="382"/>
      <c r="G47" s="472" t="s">
        <v>758</v>
      </c>
      <c r="H47" s="190"/>
      <c r="I47" s="92"/>
      <c r="J47" s="92"/>
      <c r="K47" s="92"/>
      <c r="L47" s="92"/>
      <c r="M47" s="92"/>
      <c r="N47" s="92"/>
      <c r="O47" s="92"/>
      <c r="P47" s="95">
        <f t="shared" si="33"/>
        <v>0</v>
      </c>
      <c r="Q47" s="92"/>
      <c r="R47" s="92"/>
      <c r="S47" s="92"/>
      <c r="T47" s="92"/>
      <c r="U47" s="92"/>
      <c r="V47" s="92"/>
      <c r="W47" s="92"/>
      <c r="X47" s="95">
        <f t="shared" si="34"/>
        <v>0</v>
      </c>
      <c r="Y47" s="92"/>
      <c r="Z47" s="92"/>
      <c r="AA47" s="92"/>
      <c r="AB47" s="92"/>
      <c r="AC47" s="92"/>
      <c r="AD47" s="92"/>
      <c r="AE47" s="92"/>
      <c r="AF47" s="95">
        <f t="shared" si="35"/>
        <v>0</v>
      </c>
      <c r="AG47" s="92"/>
      <c r="AH47" s="92"/>
      <c r="AI47" s="92"/>
      <c r="AJ47" s="92"/>
      <c r="AK47" s="92"/>
      <c r="AL47" s="92"/>
      <c r="AM47" s="92"/>
      <c r="AN47" s="95">
        <f t="shared" si="36"/>
        <v>0</v>
      </c>
      <c r="AO47" s="92"/>
      <c r="AP47" s="92"/>
      <c r="AQ47" s="92"/>
      <c r="AR47" s="92"/>
      <c r="AS47" s="92"/>
      <c r="AT47" s="92"/>
      <c r="AU47" s="92"/>
      <c r="AV47" s="95">
        <f t="shared" si="37"/>
        <v>0</v>
      </c>
      <c r="AW47" s="95">
        <f t="shared" si="38"/>
        <v>0</v>
      </c>
    </row>
    <row r="48" spans="1:49" x14ac:dyDescent="0.2">
      <c r="A48" s="386"/>
      <c r="B48" s="355"/>
      <c r="C48" s="405" t="s">
        <v>21</v>
      </c>
      <c r="D48" s="355" t="s">
        <v>190</v>
      </c>
      <c r="E48" s="382"/>
      <c r="F48" s="382"/>
      <c r="G48" s="472" t="s">
        <v>759</v>
      </c>
      <c r="H48" s="190"/>
      <c r="I48" s="92"/>
      <c r="J48" s="92"/>
      <c r="K48" s="92"/>
      <c r="L48" s="92"/>
      <c r="M48" s="92"/>
      <c r="N48" s="92"/>
      <c r="O48" s="92"/>
      <c r="P48" s="95">
        <f t="shared" si="33"/>
        <v>0</v>
      </c>
      <c r="Q48" s="92"/>
      <c r="R48" s="92"/>
      <c r="S48" s="92"/>
      <c r="T48" s="92"/>
      <c r="U48" s="92"/>
      <c r="V48" s="92"/>
      <c r="W48" s="92"/>
      <c r="X48" s="95">
        <f t="shared" si="34"/>
        <v>0</v>
      </c>
      <c r="Y48" s="92"/>
      <c r="Z48" s="92"/>
      <c r="AA48" s="92"/>
      <c r="AB48" s="92"/>
      <c r="AC48" s="92"/>
      <c r="AD48" s="92"/>
      <c r="AE48" s="92"/>
      <c r="AF48" s="95">
        <f t="shared" si="35"/>
        <v>0</v>
      </c>
      <c r="AG48" s="92"/>
      <c r="AH48" s="92"/>
      <c r="AI48" s="92"/>
      <c r="AJ48" s="92"/>
      <c r="AK48" s="92"/>
      <c r="AL48" s="92"/>
      <c r="AM48" s="92"/>
      <c r="AN48" s="95">
        <f t="shared" si="36"/>
        <v>0</v>
      </c>
      <c r="AO48" s="92"/>
      <c r="AP48" s="92"/>
      <c r="AQ48" s="92"/>
      <c r="AR48" s="92"/>
      <c r="AS48" s="92"/>
      <c r="AT48" s="92"/>
      <c r="AU48" s="92"/>
      <c r="AV48" s="95">
        <f t="shared" si="37"/>
        <v>0</v>
      </c>
      <c r="AW48" s="95">
        <f t="shared" si="38"/>
        <v>0</v>
      </c>
    </row>
    <row r="49" spans="1:49" x14ac:dyDescent="0.2">
      <c r="A49" s="384"/>
      <c r="B49" s="385"/>
      <c r="C49" s="473" t="s">
        <v>60</v>
      </c>
      <c r="D49" s="385" t="s">
        <v>191</v>
      </c>
      <c r="E49" s="383"/>
      <c r="F49" s="382"/>
      <c r="G49" s="472" t="s">
        <v>760</v>
      </c>
      <c r="H49" s="190"/>
      <c r="I49" s="95">
        <f>I50+I51+I52</f>
        <v>0</v>
      </c>
      <c r="J49" s="95">
        <f t="shared" ref="J49:AU49" si="39">J50+J51+J52</f>
        <v>0</v>
      </c>
      <c r="K49" s="95">
        <f t="shared" si="39"/>
        <v>0</v>
      </c>
      <c r="L49" s="95">
        <f t="shared" si="39"/>
        <v>0</v>
      </c>
      <c r="M49" s="95">
        <f t="shared" si="39"/>
        <v>0</v>
      </c>
      <c r="N49" s="95">
        <f t="shared" si="39"/>
        <v>0</v>
      </c>
      <c r="O49" s="95">
        <f t="shared" si="39"/>
        <v>0</v>
      </c>
      <c r="P49" s="95">
        <f t="shared" si="33"/>
        <v>0</v>
      </c>
      <c r="Q49" s="95">
        <f t="shared" si="39"/>
        <v>0</v>
      </c>
      <c r="R49" s="95">
        <f t="shared" si="39"/>
        <v>0</v>
      </c>
      <c r="S49" s="95">
        <f t="shared" si="39"/>
        <v>0</v>
      </c>
      <c r="T49" s="95">
        <f t="shared" si="39"/>
        <v>0</v>
      </c>
      <c r="U49" s="95">
        <f t="shared" si="39"/>
        <v>0</v>
      </c>
      <c r="V49" s="95">
        <f>V50+V51+V52</f>
        <v>0</v>
      </c>
      <c r="W49" s="95">
        <f>W50+W51+W52</f>
        <v>0</v>
      </c>
      <c r="X49" s="95">
        <f t="shared" si="34"/>
        <v>0</v>
      </c>
      <c r="Y49" s="95">
        <f t="shared" si="39"/>
        <v>0</v>
      </c>
      <c r="Z49" s="95">
        <f t="shared" si="39"/>
        <v>0</v>
      </c>
      <c r="AA49" s="95">
        <f t="shared" si="39"/>
        <v>0</v>
      </c>
      <c r="AB49" s="95">
        <f t="shared" si="39"/>
        <v>0</v>
      </c>
      <c r="AC49" s="95">
        <f t="shared" si="39"/>
        <v>0</v>
      </c>
      <c r="AD49" s="95">
        <f t="shared" si="39"/>
        <v>0</v>
      </c>
      <c r="AE49" s="95">
        <f t="shared" si="39"/>
        <v>0</v>
      </c>
      <c r="AF49" s="95">
        <f t="shared" si="35"/>
        <v>0</v>
      </c>
      <c r="AG49" s="95">
        <f t="shared" si="39"/>
        <v>0</v>
      </c>
      <c r="AH49" s="95">
        <f t="shared" si="39"/>
        <v>0</v>
      </c>
      <c r="AI49" s="95">
        <f t="shared" si="39"/>
        <v>0</v>
      </c>
      <c r="AJ49" s="95">
        <f t="shared" si="39"/>
        <v>0</v>
      </c>
      <c r="AK49" s="95">
        <f t="shared" si="39"/>
        <v>0</v>
      </c>
      <c r="AL49" s="95">
        <f t="shared" si="39"/>
        <v>0</v>
      </c>
      <c r="AM49" s="95">
        <f t="shared" si="39"/>
        <v>0</v>
      </c>
      <c r="AN49" s="95">
        <f t="shared" si="36"/>
        <v>0</v>
      </c>
      <c r="AO49" s="95">
        <f t="shared" si="39"/>
        <v>0</v>
      </c>
      <c r="AP49" s="95">
        <f t="shared" si="39"/>
        <v>0</v>
      </c>
      <c r="AQ49" s="95">
        <f t="shared" si="39"/>
        <v>0</v>
      </c>
      <c r="AR49" s="95">
        <f t="shared" si="39"/>
        <v>0</v>
      </c>
      <c r="AS49" s="95">
        <f t="shared" si="39"/>
        <v>0</v>
      </c>
      <c r="AT49" s="95">
        <f t="shared" si="39"/>
        <v>0</v>
      </c>
      <c r="AU49" s="95">
        <f t="shared" si="39"/>
        <v>0</v>
      </c>
      <c r="AV49" s="95">
        <f t="shared" si="37"/>
        <v>0</v>
      </c>
      <c r="AW49" s="95">
        <f t="shared" si="38"/>
        <v>0</v>
      </c>
    </row>
    <row r="50" spans="1:49" x14ac:dyDescent="0.2">
      <c r="A50" s="386"/>
      <c r="B50" s="355"/>
      <c r="C50" s="395"/>
      <c r="D50" s="355" t="s">
        <v>11</v>
      </c>
      <c r="E50" s="382" t="s">
        <v>192</v>
      </c>
      <c r="F50" s="382"/>
      <c r="G50" s="472" t="s">
        <v>761</v>
      </c>
      <c r="H50" s="190"/>
      <c r="I50" s="92"/>
      <c r="J50" s="92"/>
      <c r="K50" s="92"/>
      <c r="L50" s="92"/>
      <c r="M50" s="92"/>
      <c r="N50" s="92"/>
      <c r="O50" s="92"/>
      <c r="P50" s="95">
        <f t="shared" si="33"/>
        <v>0</v>
      </c>
      <c r="Q50" s="92"/>
      <c r="R50" s="92"/>
      <c r="S50" s="92"/>
      <c r="T50" s="92"/>
      <c r="U50" s="92"/>
      <c r="V50" s="92"/>
      <c r="W50" s="92"/>
      <c r="X50" s="95">
        <f t="shared" si="34"/>
        <v>0</v>
      </c>
      <c r="Y50" s="92"/>
      <c r="Z50" s="92"/>
      <c r="AA50" s="92"/>
      <c r="AB50" s="92"/>
      <c r="AC50" s="92"/>
      <c r="AD50" s="92"/>
      <c r="AE50" s="92"/>
      <c r="AF50" s="95">
        <f t="shared" si="35"/>
        <v>0</v>
      </c>
      <c r="AG50" s="92"/>
      <c r="AH50" s="92"/>
      <c r="AI50" s="92"/>
      <c r="AJ50" s="92"/>
      <c r="AK50" s="92"/>
      <c r="AL50" s="92"/>
      <c r="AM50" s="92"/>
      <c r="AN50" s="95">
        <f t="shared" si="36"/>
        <v>0</v>
      </c>
      <c r="AO50" s="92"/>
      <c r="AP50" s="92"/>
      <c r="AQ50" s="92"/>
      <c r="AR50" s="92"/>
      <c r="AS50" s="92"/>
      <c r="AT50" s="92"/>
      <c r="AU50" s="92"/>
      <c r="AV50" s="95">
        <f t="shared" si="37"/>
        <v>0</v>
      </c>
      <c r="AW50" s="95">
        <f t="shared" si="38"/>
        <v>0</v>
      </c>
    </row>
    <row r="51" spans="1:49" x14ac:dyDescent="0.2">
      <c r="A51" s="384"/>
      <c r="B51" s="385"/>
      <c r="C51" s="391"/>
      <c r="D51" s="385" t="s">
        <v>15</v>
      </c>
      <c r="E51" s="383" t="s">
        <v>193</v>
      </c>
      <c r="F51" s="382"/>
      <c r="G51" s="472" t="s">
        <v>762</v>
      </c>
      <c r="H51" s="190"/>
      <c r="I51" s="92"/>
      <c r="J51" s="92"/>
      <c r="K51" s="92"/>
      <c r="L51" s="92"/>
      <c r="M51" s="92"/>
      <c r="N51" s="92"/>
      <c r="O51" s="92"/>
      <c r="P51" s="95">
        <f t="shared" si="33"/>
        <v>0</v>
      </c>
      <c r="Q51" s="92"/>
      <c r="R51" s="92"/>
      <c r="S51" s="92"/>
      <c r="T51" s="92"/>
      <c r="U51" s="92"/>
      <c r="V51" s="92"/>
      <c r="W51" s="92"/>
      <c r="X51" s="95">
        <f t="shared" si="34"/>
        <v>0</v>
      </c>
      <c r="Y51" s="92"/>
      <c r="Z51" s="92"/>
      <c r="AA51" s="92"/>
      <c r="AB51" s="92"/>
      <c r="AC51" s="92"/>
      <c r="AD51" s="92"/>
      <c r="AE51" s="92"/>
      <c r="AF51" s="95">
        <f t="shared" si="35"/>
        <v>0</v>
      </c>
      <c r="AG51" s="92"/>
      <c r="AH51" s="92"/>
      <c r="AI51" s="92"/>
      <c r="AJ51" s="92"/>
      <c r="AK51" s="92"/>
      <c r="AL51" s="92"/>
      <c r="AM51" s="92"/>
      <c r="AN51" s="95">
        <f t="shared" si="36"/>
        <v>0</v>
      </c>
      <c r="AO51" s="92"/>
      <c r="AP51" s="92"/>
      <c r="AQ51" s="92"/>
      <c r="AR51" s="92"/>
      <c r="AS51" s="92"/>
      <c r="AT51" s="92"/>
      <c r="AU51" s="92"/>
      <c r="AV51" s="95">
        <f t="shared" si="37"/>
        <v>0</v>
      </c>
      <c r="AW51" s="95">
        <f t="shared" si="38"/>
        <v>0</v>
      </c>
    </row>
    <row r="52" spans="1:49" x14ac:dyDescent="0.2">
      <c r="A52" s="386"/>
      <c r="B52" s="355"/>
      <c r="C52" s="395"/>
      <c r="D52" s="355" t="s">
        <v>25</v>
      </c>
      <c r="E52" s="382" t="s">
        <v>194</v>
      </c>
      <c r="F52" s="382"/>
      <c r="G52" s="472" t="s">
        <v>763</v>
      </c>
      <c r="H52" s="190"/>
      <c r="I52" s="92"/>
      <c r="J52" s="92"/>
      <c r="K52" s="92"/>
      <c r="L52" s="92"/>
      <c r="M52" s="92"/>
      <c r="N52" s="92"/>
      <c r="O52" s="92"/>
      <c r="P52" s="95">
        <f t="shared" si="33"/>
        <v>0</v>
      </c>
      <c r="Q52" s="92"/>
      <c r="R52" s="92"/>
      <c r="S52" s="92"/>
      <c r="T52" s="92"/>
      <c r="U52" s="92"/>
      <c r="V52" s="92"/>
      <c r="W52" s="92"/>
      <c r="X52" s="95">
        <f t="shared" si="34"/>
        <v>0</v>
      </c>
      <c r="Y52" s="92"/>
      <c r="Z52" s="92"/>
      <c r="AA52" s="92"/>
      <c r="AB52" s="92"/>
      <c r="AC52" s="92"/>
      <c r="AD52" s="92"/>
      <c r="AE52" s="92"/>
      <c r="AF52" s="95">
        <f t="shared" si="35"/>
        <v>0</v>
      </c>
      <c r="AG52" s="92"/>
      <c r="AH52" s="92"/>
      <c r="AI52" s="92"/>
      <c r="AJ52" s="92"/>
      <c r="AK52" s="92"/>
      <c r="AL52" s="92"/>
      <c r="AM52" s="92"/>
      <c r="AN52" s="95">
        <f t="shared" si="36"/>
        <v>0</v>
      </c>
      <c r="AO52" s="92"/>
      <c r="AP52" s="92"/>
      <c r="AQ52" s="92"/>
      <c r="AR52" s="92"/>
      <c r="AS52" s="92"/>
      <c r="AT52" s="92"/>
      <c r="AU52" s="92"/>
      <c r="AV52" s="95">
        <f t="shared" si="37"/>
        <v>0</v>
      </c>
      <c r="AW52" s="95">
        <f t="shared" si="38"/>
        <v>0</v>
      </c>
    </row>
    <row r="53" spans="1:49" x14ac:dyDescent="0.2">
      <c r="A53" s="384"/>
      <c r="B53" s="385" t="s">
        <v>195</v>
      </c>
      <c r="C53" s="391" t="s">
        <v>196</v>
      </c>
      <c r="D53" s="385"/>
      <c r="E53" s="383"/>
      <c r="F53" s="382"/>
      <c r="G53" s="472" t="s">
        <v>764</v>
      </c>
      <c r="H53" s="190"/>
      <c r="I53" s="92"/>
      <c r="J53" s="92"/>
      <c r="K53" s="92"/>
      <c r="L53" s="92"/>
      <c r="M53" s="92"/>
      <c r="N53" s="92"/>
      <c r="O53" s="92"/>
      <c r="P53" s="95">
        <f t="shared" si="33"/>
        <v>0</v>
      </c>
      <c r="Q53" s="92"/>
      <c r="R53" s="92"/>
      <c r="S53" s="92"/>
      <c r="T53" s="92"/>
      <c r="U53" s="92"/>
      <c r="V53" s="92"/>
      <c r="W53" s="92"/>
      <c r="X53" s="95">
        <f t="shared" si="34"/>
        <v>0</v>
      </c>
      <c r="Y53" s="92"/>
      <c r="Z53" s="92"/>
      <c r="AA53" s="92"/>
      <c r="AB53" s="92"/>
      <c r="AC53" s="92"/>
      <c r="AD53" s="92"/>
      <c r="AE53" s="92"/>
      <c r="AF53" s="95">
        <f t="shared" si="35"/>
        <v>0</v>
      </c>
      <c r="AG53" s="92"/>
      <c r="AH53" s="92"/>
      <c r="AI53" s="92"/>
      <c r="AJ53" s="92"/>
      <c r="AK53" s="92"/>
      <c r="AL53" s="92"/>
      <c r="AM53" s="92"/>
      <c r="AN53" s="95">
        <f t="shared" si="36"/>
        <v>0</v>
      </c>
      <c r="AO53" s="92"/>
      <c r="AP53" s="92"/>
      <c r="AQ53" s="92"/>
      <c r="AR53" s="92"/>
      <c r="AS53" s="92"/>
      <c r="AT53" s="92"/>
      <c r="AU53" s="92"/>
      <c r="AV53" s="95">
        <f t="shared" si="37"/>
        <v>0</v>
      </c>
      <c r="AW53" s="95">
        <f t="shared" si="38"/>
        <v>0</v>
      </c>
    </row>
    <row r="54" spans="1:49" x14ac:dyDescent="0.2">
      <c r="A54" s="386"/>
      <c r="B54" s="355" t="s">
        <v>197</v>
      </c>
      <c r="C54" s="355" t="s">
        <v>198</v>
      </c>
      <c r="D54" s="355"/>
      <c r="E54" s="382"/>
      <c r="F54" s="382"/>
      <c r="G54" s="472" t="s">
        <v>765</v>
      </c>
      <c r="H54" s="190"/>
      <c r="I54" s="95">
        <f>I55+I56</f>
        <v>0</v>
      </c>
      <c r="J54" s="95">
        <f t="shared" ref="J54:AU54" si="40">J55+J56</f>
        <v>0</v>
      </c>
      <c r="K54" s="95">
        <f t="shared" si="40"/>
        <v>0</v>
      </c>
      <c r="L54" s="95">
        <f t="shared" si="40"/>
        <v>0</v>
      </c>
      <c r="M54" s="95">
        <f t="shared" si="40"/>
        <v>0</v>
      </c>
      <c r="N54" s="95">
        <f t="shared" si="40"/>
        <v>0</v>
      </c>
      <c r="O54" s="95">
        <f t="shared" si="40"/>
        <v>0</v>
      </c>
      <c r="P54" s="95">
        <f t="shared" si="33"/>
        <v>0</v>
      </c>
      <c r="Q54" s="95">
        <f t="shared" si="40"/>
        <v>0</v>
      </c>
      <c r="R54" s="95">
        <f t="shared" si="40"/>
        <v>0</v>
      </c>
      <c r="S54" s="95">
        <f t="shared" si="40"/>
        <v>0</v>
      </c>
      <c r="T54" s="95">
        <f t="shared" si="40"/>
        <v>0</v>
      </c>
      <c r="U54" s="95">
        <f t="shared" si="40"/>
        <v>0</v>
      </c>
      <c r="V54" s="95">
        <f>V55+V56</f>
        <v>0</v>
      </c>
      <c r="W54" s="95">
        <f>W55+W56</f>
        <v>0</v>
      </c>
      <c r="X54" s="95">
        <f t="shared" si="34"/>
        <v>0</v>
      </c>
      <c r="Y54" s="95">
        <f t="shared" si="40"/>
        <v>0</v>
      </c>
      <c r="Z54" s="95">
        <f t="shared" si="40"/>
        <v>0</v>
      </c>
      <c r="AA54" s="95">
        <f t="shared" si="40"/>
        <v>0</v>
      </c>
      <c r="AB54" s="95">
        <f t="shared" si="40"/>
        <v>0</v>
      </c>
      <c r="AC54" s="95">
        <f t="shared" si="40"/>
        <v>0</v>
      </c>
      <c r="AD54" s="95">
        <f t="shared" si="40"/>
        <v>0</v>
      </c>
      <c r="AE54" s="95">
        <f t="shared" si="40"/>
        <v>0</v>
      </c>
      <c r="AF54" s="95">
        <f t="shared" si="35"/>
        <v>0</v>
      </c>
      <c r="AG54" s="95">
        <f t="shared" si="40"/>
        <v>0</v>
      </c>
      <c r="AH54" s="95">
        <f t="shared" si="40"/>
        <v>0</v>
      </c>
      <c r="AI54" s="95">
        <f t="shared" si="40"/>
        <v>0</v>
      </c>
      <c r="AJ54" s="95">
        <f t="shared" si="40"/>
        <v>0</v>
      </c>
      <c r="AK54" s="95">
        <f t="shared" si="40"/>
        <v>0</v>
      </c>
      <c r="AL54" s="95">
        <f t="shared" si="40"/>
        <v>0</v>
      </c>
      <c r="AM54" s="95">
        <f t="shared" si="40"/>
        <v>0</v>
      </c>
      <c r="AN54" s="95">
        <f t="shared" si="36"/>
        <v>0</v>
      </c>
      <c r="AO54" s="95">
        <f t="shared" si="40"/>
        <v>0</v>
      </c>
      <c r="AP54" s="95">
        <f t="shared" si="40"/>
        <v>0</v>
      </c>
      <c r="AQ54" s="95">
        <f t="shared" si="40"/>
        <v>0</v>
      </c>
      <c r="AR54" s="95">
        <f t="shared" si="40"/>
        <v>0</v>
      </c>
      <c r="AS54" s="95">
        <f t="shared" si="40"/>
        <v>0</v>
      </c>
      <c r="AT54" s="95">
        <f t="shared" si="40"/>
        <v>0</v>
      </c>
      <c r="AU54" s="95">
        <f t="shared" si="40"/>
        <v>0</v>
      </c>
      <c r="AV54" s="95">
        <f t="shared" si="37"/>
        <v>0</v>
      </c>
      <c r="AW54" s="95">
        <f t="shared" si="38"/>
        <v>0</v>
      </c>
    </row>
    <row r="55" spans="1:49" x14ac:dyDescent="0.2">
      <c r="A55" s="384"/>
      <c r="B55" s="385"/>
      <c r="C55" s="473" t="s">
        <v>19</v>
      </c>
      <c r="D55" s="421" t="s">
        <v>199</v>
      </c>
      <c r="E55" s="383"/>
      <c r="F55" s="382"/>
      <c r="G55" s="472" t="s">
        <v>766</v>
      </c>
      <c r="H55" s="190"/>
      <c r="I55" s="92"/>
      <c r="J55" s="92"/>
      <c r="K55" s="92"/>
      <c r="L55" s="92"/>
      <c r="M55" s="92"/>
      <c r="N55" s="92"/>
      <c r="O55" s="92"/>
      <c r="P55" s="95">
        <f t="shared" si="33"/>
        <v>0</v>
      </c>
      <c r="Q55" s="92"/>
      <c r="R55" s="92"/>
      <c r="S55" s="92"/>
      <c r="T55" s="92"/>
      <c r="U55" s="92"/>
      <c r="V55" s="92"/>
      <c r="W55" s="92"/>
      <c r="X55" s="95">
        <f t="shared" si="34"/>
        <v>0</v>
      </c>
      <c r="Y55" s="92"/>
      <c r="Z55" s="92"/>
      <c r="AA55" s="92"/>
      <c r="AB55" s="92"/>
      <c r="AC55" s="92"/>
      <c r="AD55" s="92"/>
      <c r="AE55" s="92"/>
      <c r="AF55" s="95">
        <f t="shared" si="35"/>
        <v>0</v>
      </c>
      <c r="AG55" s="92"/>
      <c r="AH55" s="92"/>
      <c r="AI55" s="92"/>
      <c r="AJ55" s="92"/>
      <c r="AK55" s="92"/>
      <c r="AL55" s="92"/>
      <c r="AM55" s="92"/>
      <c r="AN55" s="95">
        <f t="shared" si="36"/>
        <v>0</v>
      </c>
      <c r="AO55" s="92"/>
      <c r="AP55" s="92"/>
      <c r="AQ55" s="92"/>
      <c r="AR55" s="92"/>
      <c r="AS55" s="92"/>
      <c r="AT55" s="92"/>
      <c r="AU55" s="92"/>
      <c r="AV55" s="95">
        <f t="shared" si="37"/>
        <v>0</v>
      </c>
      <c r="AW55" s="95">
        <f t="shared" si="38"/>
        <v>0</v>
      </c>
    </row>
    <row r="56" spans="1:49" x14ac:dyDescent="0.2">
      <c r="A56" s="386"/>
      <c r="B56" s="355"/>
      <c r="C56" s="405" t="s">
        <v>21</v>
      </c>
      <c r="D56" s="355" t="s">
        <v>200</v>
      </c>
      <c r="E56" s="382"/>
      <c r="F56" s="382"/>
      <c r="G56" s="472" t="s">
        <v>767</v>
      </c>
      <c r="H56" s="190"/>
      <c r="I56" s="92"/>
      <c r="J56" s="92"/>
      <c r="K56" s="92"/>
      <c r="L56" s="92"/>
      <c r="M56" s="92"/>
      <c r="N56" s="92"/>
      <c r="O56" s="92"/>
      <c r="P56" s="95">
        <f t="shared" si="33"/>
        <v>0</v>
      </c>
      <c r="Q56" s="92"/>
      <c r="R56" s="92"/>
      <c r="S56" s="92"/>
      <c r="T56" s="92"/>
      <c r="U56" s="92"/>
      <c r="V56" s="92"/>
      <c r="W56" s="92"/>
      <c r="X56" s="95">
        <f t="shared" si="34"/>
        <v>0</v>
      </c>
      <c r="Y56" s="92"/>
      <c r="Z56" s="92"/>
      <c r="AA56" s="92"/>
      <c r="AB56" s="92"/>
      <c r="AC56" s="92"/>
      <c r="AD56" s="92"/>
      <c r="AE56" s="92"/>
      <c r="AF56" s="95">
        <f t="shared" si="35"/>
        <v>0</v>
      </c>
      <c r="AG56" s="92"/>
      <c r="AH56" s="92"/>
      <c r="AI56" s="92"/>
      <c r="AJ56" s="92"/>
      <c r="AK56" s="92"/>
      <c r="AL56" s="92"/>
      <c r="AM56" s="92"/>
      <c r="AN56" s="95">
        <f t="shared" si="36"/>
        <v>0</v>
      </c>
      <c r="AO56" s="92"/>
      <c r="AP56" s="92"/>
      <c r="AQ56" s="92"/>
      <c r="AR56" s="92"/>
      <c r="AS56" s="92"/>
      <c r="AT56" s="92"/>
      <c r="AU56" s="92"/>
      <c r="AV56" s="95">
        <f t="shared" si="37"/>
        <v>0</v>
      </c>
      <c r="AW56" s="95">
        <f t="shared" si="38"/>
        <v>0</v>
      </c>
    </row>
    <row r="57" spans="1:49" x14ac:dyDescent="0.2">
      <c r="A57" s="384"/>
      <c r="B57" s="385" t="s">
        <v>201</v>
      </c>
      <c r="C57" s="385" t="s">
        <v>202</v>
      </c>
      <c r="D57" s="385"/>
      <c r="E57" s="383"/>
      <c r="F57" s="382"/>
      <c r="G57" s="472" t="s">
        <v>768</v>
      </c>
      <c r="H57" s="190"/>
      <c r="I57" s="95">
        <f>I58+I61</f>
        <v>0</v>
      </c>
      <c r="J57" s="95">
        <f t="shared" ref="J57:AU57" si="41">J58+J61</f>
        <v>0</v>
      </c>
      <c r="K57" s="95">
        <f t="shared" si="41"/>
        <v>0</v>
      </c>
      <c r="L57" s="95">
        <f t="shared" si="41"/>
        <v>0</v>
      </c>
      <c r="M57" s="95">
        <f t="shared" si="41"/>
        <v>0</v>
      </c>
      <c r="N57" s="95">
        <f t="shared" si="41"/>
        <v>0</v>
      </c>
      <c r="O57" s="95">
        <f t="shared" si="41"/>
        <v>0</v>
      </c>
      <c r="P57" s="95">
        <f t="shared" si="33"/>
        <v>0</v>
      </c>
      <c r="Q57" s="95">
        <f t="shared" si="41"/>
        <v>0</v>
      </c>
      <c r="R57" s="95">
        <f t="shared" si="41"/>
        <v>0</v>
      </c>
      <c r="S57" s="95">
        <f t="shared" si="41"/>
        <v>0</v>
      </c>
      <c r="T57" s="95">
        <f t="shared" si="41"/>
        <v>0</v>
      </c>
      <c r="U57" s="95">
        <f t="shared" si="41"/>
        <v>0</v>
      </c>
      <c r="V57" s="95">
        <f>V58+V61</f>
        <v>0</v>
      </c>
      <c r="W57" s="95">
        <f>W58+W61</f>
        <v>0</v>
      </c>
      <c r="X57" s="95">
        <f t="shared" si="34"/>
        <v>0</v>
      </c>
      <c r="Y57" s="95">
        <f t="shared" si="41"/>
        <v>0</v>
      </c>
      <c r="Z57" s="95">
        <f t="shared" si="41"/>
        <v>0</v>
      </c>
      <c r="AA57" s="95">
        <f t="shared" si="41"/>
        <v>0</v>
      </c>
      <c r="AB57" s="95">
        <f t="shared" si="41"/>
        <v>0</v>
      </c>
      <c r="AC57" s="95">
        <f t="shared" si="41"/>
        <v>0</v>
      </c>
      <c r="AD57" s="95">
        <f t="shared" si="41"/>
        <v>0</v>
      </c>
      <c r="AE57" s="95">
        <f t="shared" si="41"/>
        <v>0</v>
      </c>
      <c r="AF57" s="95">
        <f t="shared" si="35"/>
        <v>0</v>
      </c>
      <c r="AG57" s="95">
        <f t="shared" si="41"/>
        <v>0</v>
      </c>
      <c r="AH57" s="95">
        <f t="shared" si="41"/>
        <v>0</v>
      </c>
      <c r="AI57" s="95">
        <f t="shared" si="41"/>
        <v>0</v>
      </c>
      <c r="AJ57" s="95">
        <f t="shared" si="41"/>
        <v>0</v>
      </c>
      <c r="AK57" s="95">
        <f t="shared" si="41"/>
        <v>0</v>
      </c>
      <c r="AL57" s="95">
        <f t="shared" si="41"/>
        <v>0</v>
      </c>
      <c r="AM57" s="95">
        <f t="shared" si="41"/>
        <v>0</v>
      </c>
      <c r="AN57" s="95">
        <f t="shared" si="36"/>
        <v>0</v>
      </c>
      <c r="AO57" s="95">
        <f t="shared" si="41"/>
        <v>0</v>
      </c>
      <c r="AP57" s="95">
        <f t="shared" si="41"/>
        <v>0</v>
      </c>
      <c r="AQ57" s="95">
        <f t="shared" si="41"/>
        <v>0</v>
      </c>
      <c r="AR57" s="95">
        <f t="shared" si="41"/>
        <v>0</v>
      </c>
      <c r="AS57" s="95">
        <f t="shared" si="41"/>
        <v>0</v>
      </c>
      <c r="AT57" s="95">
        <f t="shared" si="41"/>
        <v>0</v>
      </c>
      <c r="AU57" s="95">
        <f t="shared" si="41"/>
        <v>0</v>
      </c>
      <c r="AV57" s="95">
        <f t="shared" si="37"/>
        <v>0</v>
      </c>
      <c r="AW57" s="95">
        <f t="shared" si="38"/>
        <v>0</v>
      </c>
    </row>
    <row r="58" spans="1:49" x14ac:dyDescent="0.2">
      <c r="A58" s="386"/>
      <c r="B58" s="355"/>
      <c r="C58" s="405" t="s">
        <v>19</v>
      </c>
      <c r="D58" s="355" t="s">
        <v>203</v>
      </c>
      <c r="E58" s="382"/>
      <c r="F58" s="382"/>
      <c r="G58" s="472" t="s">
        <v>769</v>
      </c>
      <c r="H58" s="190"/>
      <c r="I58" s="95">
        <f>I59+I60</f>
        <v>0</v>
      </c>
      <c r="J58" s="95">
        <f t="shared" ref="J58:O58" si="42">J59+J60</f>
        <v>0</v>
      </c>
      <c r="K58" s="95">
        <f t="shared" si="42"/>
        <v>0</v>
      </c>
      <c r="L58" s="95">
        <f t="shared" si="42"/>
        <v>0</v>
      </c>
      <c r="M58" s="95">
        <f t="shared" si="42"/>
        <v>0</v>
      </c>
      <c r="N58" s="95">
        <f t="shared" si="42"/>
        <v>0</v>
      </c>
      <c r="O58" s="95">
        <f t="shared" si="42"/>
        <v>0</v>
      </c>
      <c r="P58" s="95">
        <f t="shared" si="33"/>
        <v>0</v>
      </c>
      <c r="Q58" s="95">
        <f>Q59+Q60</f>
        <v>0</v>
      </c>
      <c r="R58" s="95">
        <f t="shared" ref="R58:W58" si="43">R59+R60</f>
        <v>0</v>
      </c>
      <c r="S58" s="95">
        <f t="shared" si="43"/>
        <v>0</v>
      </c>
      <c r="T58" s="95">
        <f t="shared" si="43"/>
        <v>0</v>
      </c>
      <c r="U58" s="95">
        <f t="shared" si="43"/>
        <v>0</v>
      </c>
      <c r="V58" s="95">
        <f t="shared" si="43"/>
        <v>0</v>
      </c>
      <c r="W58" s="95">
        <f t="shared" si="43"/>
        <v>0</v>
      </c>
      <c r="X58" s="95">
        <f t="shared" si="34"/>
        <v>0</v>
      </c>
      <c r="Y58" s="95">
        <f>Y59+Y60</f>
        <v>0</v>
      </c>
      <c r="Z58" s="95">
        <f t="shared" ref="Z58:AE58" si="44">Z59+Z60</f>
        <v>0</v>
      </c>
      <c r="AA58" s="95">
        <f t="shared" si="44"/>
        <v>0</v>
      </c>
      <c r="AB58" s="95">
        <f t="shared" si="44"/>
        <v>0</v>
      </c>
      <c r="AC58" s="95">
        <f t="shared" si="44"/>
        <v>0</v>
      </c>
      <c r="AD58" s="95">
        <f t="shared" si="44"/>
        <v>0</v>
      </c>
      <c r="AE58" s="95">
        <f t="shared" si="44"/>
        <v>0</v>
      </c>
      <c r="AF58" s="95">
        <f t="shared" si="35"/>
        <v>0</v>
      </c>
      <c r="AG58" s="95">
        <f>AG59+AG60</f>
        <v>0</v>
      </c>
      <c r="AH58" s="95">
        <f t="shared" ref="AH58:AM58" si="45">AH59+AH60</f>
        <v>0</v>
      </c>
      <c r="AI58" s="95">
        <f t="shared" si="45"/>
        <v>0</v>
      </c>
      <c r="AJ58" s="95">
        <f t="shared" si="45"/>
        <v>0</v>
      </c>
      <c r="AK58" s="95">
        <f t="shared" si="45"/>
        <v>0</v>
      </c>
      <c r="AL58" s="95">
        <f t="shared" si="45"/>
        <v>0</v>
      </c>
      <c r="AM58" s="95">
        <f t="shared" si="45"/>
        <v>0</v>
      </c>
      <c r="AN58" s="95">
        <f t="shared" si="36"/>
        <v>0</v>
      </c>
      <c r="AO58" s="95">
        <f>AO59+AO60</f>
        <v>0</v>
      </c>
      <c r="AP58" s="95">
        <f t="shared" ref="AP58:AU58" si="46">AP59+AP60</f>
        <v>0</v>
      </c>
      <c r="AQ58" s="95">
        <f t="shared" si="46"/>
        <v>0</v>
      </c>
      <c r="AR58" s="95">
        <f t="shared" si="46"/>
        <v>0</v>
      </c>
      <c r="AS58" s="95">
        <f t="shared" si="46"/>
        <v>0</v>
      </c>
      <c r="AT58" s="95">
        <f t="shared" si="46"/>
        <v>0</v>
      </c>
      <c r="AU58" s="95">
        <f t="shared" si="46"/>
        <v>0</v>
      </c>
      <c r="AV58" s="95">
        <f t="shared" si="37"/>
        <v>0</v>
      </c>
      <c r="AW58" s="95">
        <f t="shared" si="38"/>
        <v>0</v>
      </c>
    </row>
    <row r="59" spans="1:49" x14ac:dyDescent="0.2">
      <c r="A59" s="386"/>
      <c r="B59" s="355"/>
      <c r="C59" s="405"/>
      <c r="D59" s="355" t="s">
        <v>11</v>
      </c>
      <c r="E59" s="355" t="s">
        <v>792</v>
      </c>
      <c r="F59" s="383"/>
      <c r="G59" s="472" t="s">
        <v>806</v>
      </c>
      <c r="H59" s="190"/>
      <c r="I59" s="92"/>
      <c r="J59" s="92"/>
      <c r="K59" s="92"/>
      <c r="L59" s="92"/>
      <c r="M59" s="92"/>
      <c r="N59" s="92"/>
      <c r="O59" s="92"/>
      <c r="P59" s="95">
        <f t="shared" si="33"/>
        <v>0</v>
      </c>
      <c r="Q59" s="92"/>
      <c r="R59" s="92"/>
      <c r="S59" s="92"/>
      <c r="T59" s="92"/>
      <c r="U59" s="92"/>
      <c r="V59" s="92"/>
      <c r="W59" s="92"/>
      <c r="X59" s="95">
        <f t="shared" si="34"/>
        <v>0</v>
      </c>
      <c r="Y59" s="92"/>
      <c r="Z59" s="92"/>
      <c r="AA59" s="92"/>
      <c r="AB59" s="92"/>
      <c r="AC59" s="92"/>
      <c r="AD59" s="92"/>
      <c r="AE59" s="92"/>
      <c r="AF59" s="95">
        <f t="shared" si="35"/>
        <v>0</v>
      </c>
      <c r="AG59" s="92"/>
      <c r="AH59" s="92"/>
      <c r="AI59" s="92"/>
      <c r="AJ59" s="92"/>
      <c r="AK59" s="92"/>
      <c r="AL59" s="92"/>
      <c r="AM59" s="92"/>
      <c r="AN59" s="95">
        <f t="shared" si="36"/>
        <v>0</v>
      </c>
      <c r="AO59" s="92"/>
      <c r="AP59" s="92"/>
      <c r="AQ59" s="92"/>
      <c r="AR59" s="92"/>
      <c r="AS59" s="92"/>
      <c r="AT59" s="92"/>
      <c r="AU59" s="92"/>
      <c r="AV59" s="95">
        <f t="shared" si="37"/>
        <v>0</v>
      </c>
      <c r="AW59" s="95">
        <f t="shared" si="38"/>
        <v>0</v>
      </c>
    </row>
    <row r="60" spans="1:49" x14ac:dyDescent="0.2">
      <c r="A60" s="408"/>
      <c r="B60" s="392"/>
      <c r="C60" s="475"/>
      <c r="D60" s="392" t="s">
        <v>15</v>
      </c>
      <c r="E60" s="392" t="s">
        <v>793</v>
      </c>
      <c r="F60" s="383"/>
      <c r="G60" s="472" t="s">
        <v>807</v>
      </c>
      <c r="H60" s="190"/>
      <c r="I60" s="92"/>
      <c r="J60" s="92"/>
      <c r="K60" s="92"/>
      <c r="L60" s="92"/>
      <c r="M60" s="92"/>
      <c r="N60" s="92"/>
      <c r="O60" s="92"/>
      <c r="P60" s="95">
        <f t="shared" si="33"/>
        <v>0</v>
      </c>
      <c r="Q60" s="92"/>
      <c r="R60" s="92"/>
      <c r="S60" s="92"/>
      <c r="T60" s="92"/>
      <c r="U60" s="92"/>
      <c r="V60" s="92"/>
      <c r="W60" s="92"/>
      <c r="X60" s="95">
        <f t="shared" si="34"/>
        <v>0</v>
      </c>
      <c r="Y60" s="92"/>
      <c r="Z60" s="92"/>
      <c r="AA60" s="92"/>
      <c r="AB60" s="92"/>
      <c r="AC60" s="92"/>
      <c r="AD60" s="92"/>
      <c r="AE60" s="92"/>
      <c r="AF60" s="95">
        <f t="shared" si="35"/>
        <v>0</v>
      </c>
      <c r="AG60" s="92"/>
      <c r="AH60" s="92"/>
      <c r="AI60" s="92"/>
      <c r="AJ60" s="92"/>
      <c r="AK60" s="92"/>
      <c r="AL60" s="92"/>
      <c r="AM60" s="92"/>
      <c r="AN60" s="95">
        <f t="shared" si="36"/>
        <v>0</v>
      </c>
      <c r="AO60" s="92"/>
      <c r="AP60" s="92"/>
      <c r="AQ60" s="92"/>
      <c r="AR60" s="92"/>
      <c r="AS60" s="92"/>
      <c r="AT60" s="92"/>
      <c r="AU60" s="92"/>
      <c r="AV60" s="95">
        <f t="shared" si="37"/>
        <v>0</v>
      </c>
      <c r="AW60" s="95">
        <f t="shared" si="38"/>
        <v>0</v>
      </c>
    </row>
    <row r="61" spans="1:49" x14ac:dyDescent="0.2">
      <c r="A61" s="386"/>
      <c r="B61" s="355"/>
      <c r="C61" s="405" t="s">
        <v>21</v>
      </c>
      <c r="D61" s="355" t="s">
        <v>194</v>
      </c>
      <c r="E61" s="382"/>
      <c r="F61" s="382"/>
      <c r="G61" s="472" t="s">
        <v>770</v>
      </c>
      <c r="H61" s="190"/>
      <c r="I61" s="92"/>
      <c r="J61" s="92"/>
      <c r="K61" s="92"/>
      <c r="L61" s="92"/>
      <c r="M61" s="92"/>
      <c r="N61" s="92"/>
      <c r="O61" s="92"/>
      <c r="P61" s="95">
        <f t="shared" si="33"/>
        <v>0</v>
      </c>
      <c r="Q61" s="92"/>
      <c r="R61" s="92"/>
      <c r="S61" s="92"/>
      <c r="T61" s="92"/>
      <c r="U61" s="92"/>
      <c r="V61" s="92"/>
      <c r="W61" s="92"/>
      <c r="X61" s="95">
        <f t="shared" si="34"/>
        <v>0</v>
      </c>
      <c r="Y61" s="92"/>
      <c r="Z61" s="92"/>
      <c r="AA61" s="92"/>
      <c r="AB61" s="92"/>
      <c r="AC61" s="92"/>
      <c r="AD61" s="92"/>
      <c r="AE61" s="92"/>
      <c r="AF61" s="95">
        <f t="shared" si="35"/>
        <v>0</v>
      </c>
      <c r="AG61" s="92"/>
      <c r="AH61" s="92"/>
      <c r="AI61" s="92"/>
      <c r="AJ61" s="92"/>
      <c r="AK61" s="92"/>
      <c r="AL61" s="92"/>
      <c r="AM61" s="92"/>
      <c r="AN61" s="95">
        <f t="shared" si="36"/>
        <v>0</v>
      </c>
      <c r="AO61" s="92"/>
      <c r="AP61" s="92"/>
      <c r="AQ61" s="92"/>
      <c r="AR61" s="92"/>
      <c r="AS61" s="92"/>
      <c r="AT61" s="92"/>
      <c r="AU61" s="92"/>
      <c r="AV61" s="95">
        <f t="shared" si="37"/>
        <v>0</v>
      </c>
      <c r="AW61" s="95">
        <f t="shared" si="38"/>
        <v>0</v>
      </c>
    </row>
    <row r="62" spans="1:49" x14ac:dyDescent="0.2">
      <c r="A62" s="384"/>
      <c r="B62" s="385" t="s">
        <v>305</v>
      </c>
      <c r="C62" s="391" t="s">
        <v>888</v>
      </c>
      <c r="D62" s="385"/>
      <c r="E62" s="383"/>
      <c r="F62" s="382"/>
      <c r="G62" s="472" t="s">
        <v>891</v>
      </c>
      <c r="H62" s="190"/>
      <c r="I62" s="92"/>
      <c r="J62" s="92"/>
      <c r="K62" s="92"/>
      <c r="L62" s="92"/>
      <c r="M62" s="92"/>
      <c r="N62" s="92"/>
      <c r="O62" s="92"/>
      <c r="P62" s="95">
        <f t="shared" si="33"/>
        <v>0</v>
      </c>
      <c r="Q62" s="92"/>
      <c r="R62" s="92"/>
      <c r="S62" s="92"/>
      <c r="T62" s="92"/>
      <c r="U62" s="92"/>
      <c r="V62" s="92"/>
      <c r="W62" s="92"/>
      <c r="X62" s="95">
        <f t="shared" si="34"/>
        <v>0</v>
      </c>
      <c r="Y62" s="92"/>
      <c r="Z62" s="92"/>
      <c r="AA62" s="92"/>
      <c r="AB62" s="92"/>
      <c r="AC62" s="92"/>
      <c r="AD62" s="92"/>
      <c r="AE62" s="92"/>
      <c r="AF62" s="95">
        <f t="shared" si="35"/>
        <v>0</v>
      </c>
      <c r="AG62" s="92"/>
      <c r="AH62" s="92"/>
      <c r="AI62" s="92"/>
      <c r="AJ62" s="92"/>
      <c r="AK62" s="92"/>
      <c r="AL62" s="92"/>
      <c r="AM62" s="92"/>
      <c r="AN62" s="95">
        <f t="shared" si="36"/>
        <v>0</v>
      </c>
      <c r="AO62" s="92"/>
      <c r="AP62" s="92"/>
      <c r="AQ62" s="92"/>
      <c r="AR62" s="92"/>
      <c r="AS62" s="92"/>
      <c r="AT62" s="92"/>
      <c r="AU62" s="92"/>
      <c r="AV62" s="95">
        <f t="shared" si="37"/>
        <v>0</v>
      </c>
      <c r="AW62" s="95">
        <f t="shared" si="38"/>
        <v>0</v>
      </c>
    </row>
    <row r="63" spans="1:49" x14ac:dyDescent="0.2">
      <c r="A63" s="380" t="s">
        <v>33</v>
      </c>
      <c r="B63" s="381" t="s">
        <v>204</v>
      </c>
      <c r="C63" s="355"/>
      <c r="D63" s="355"/>
      <c r="E63" s="382"/>
      <c r="F63" s="382"/>
      <c r="G63" s="472" t="s">
        <v>771</v>
      </c>
      <c r="H63" s="190"/>
      <c r="I63" s="95">
        <f t="shared" ref="I63:O63" si="47">I64+I65+I66+I69+I70</f>
        <v>0</v>
      </c>
      <c r="J63" s="95">
        <f t="shared" si="47"/>
        <v>0</v>
      </c>
      <c r="K63" s="95">
        <f t="shared" si="47"/>
        <v>0</v>
      </c>
      <c r="L63" s="95">
        <f t="shared" si="47"/>
        <v>0</v>
      </c>
      <c r="M63" s="95">
        <f t="shared" si="47"/>
        <v>0</v>
      </c>
      <c r="N63" s="95">
        <f t="shared" si="47"/>
        <v>0</v>
      </c>
      <c r="O63" s="95">
        <f t="shared" si="47"/>
        <v>0</v>
      </c>
      <c r="P63" s="95">
        <f t="shared" si="33"/>
        <v>0</v>
      </c>
      <c r="Q63" s="95">
        <f t="shared" ref="Q63:W63" si="48">Q64+Q65+Q66+Q69+Q70</f>
        <v>0</v>
      </c>
      <c r="R63" s="95">
        <f t="shared" si="48"/>
        <v>0</v>
      </c>
      <c r="S63" s="95">
        <f t="shared" si="48"/>
        <v>0</v>
      </c>
      <c r="T63" s="95">
        <f t="shared" si="48"/>
        <v>0</v>
      </c>
      <c r="U63" s="95">
        <f t="shared" si="48"/>
        <v>0</v>
      </c>
      <c r="V63" s="95">
        <f t="shared" si="48"/>
        <v>0</v>
      </c>
      <c r="W63" s="95">
        <f t="shared" si="48"/>
        <v>0</v>
      </c>
      <c r="X63" s="95">
        <f t="shared" si="34"/>
        <v>0</v>
      </c>
      <c r="Y63" s="95">
        <f t="shared" ref="Y63:AE63" si="49">Y64+Y65+Y66+Y69+Y70</f>
        <v>0</v>
      </c>
      <c r="Z63" s="95">
        <f t="shared" si="49"/>
        <v>0</v>
      </c>
      <c r="AA63" s="95">
        <f t="shared" si="49"/>
        <v>0</v>
      </c>
      <c r="AB63" s="95">
        <f t="shared" si="49"/>
        <v>0</v>
      </c>
      <c r="AC63" s="95">
        <f t="shared" si="49"/>
        <v>0</v>
      </c>
      <c r="AD63" s="95">
        <f t="shared" si="49"/>
        <v>0</v>
      </c>
      <c r="AE63" s="95">
        <f t="shared" si="49"/>
        <v>0</v>
      </c>
      <c r="AF63" s="95">
        <f t="shared" si="35"/>
        <v>0</v>
      </c>
      <c r="AG63" s="95">
        <f t="shared" ref="AG63:AM63" si="50">AG64+AG65+AG66+AG69+AG70</f>
        <v>0</v>
      </c>
      <c r="AH63" s="95">
        <f t="shared" si="50"/>
        <v>0</v>
      </c>
      <c r="AI63" s="95">
        <f t="shared" si="50"/>
        <v>0</v>
      </c>
      <c r="AJ63" s="95">
        <f t="shared" si="50"/>
        <v>0</v>
      </c>
      <c r="AK63" s="95">
        <f t="shared" si="50"/>
        <v>0</v>
      </c>
      <c r="AL63" s="95">
        <f t="shared" si="50"/>
        <v>0</v>
      </c>
      <c r="AM63" s="95">
        <f t="shared" si="50"/>
        <v>0</v>
      </c>
      <c r="AN63" s="95">
        <f t="shared" si="36"/>
        <v>0</v>
      </c>
      <c r="AO63" s="95">
        <f t="shared" ref="AO63:AU63" si="51">AO64+AO65+AO66+AO69+AO70</f>
        <v>0</v>
      </c>
      <c r="AP63" s="95">
        <f t="shared" si="51"/>
        <v>0</v>
      </c>
      <c r="AQ63" s="95">
        <f t="shared" si="51"/>
        <v>0</v>
      </c>
      <c r="AR63" s="95">
        <f t="shared" si="51"/>
        <v>0</v>
      </c>
      <c r="AS63" s="95">
        <f t="shared" si="51"/>
        <v>0</v>
      </c>
      <c r="AT63" s="95">
        <f t="shared" si="51"/>
        <v>0</v>
      </c>
      <c r="AU63" s="95">
        <f t="shared" si="51"/>
        <v>0</v>
      </c>
      <c r="AV63" s="95">
        <f t="shared" si="37"/>
        <v>0</v>
      </c>
      <c r="AW63" s="95">
        <f t="shared" si="38"/>
        <v>0</v>
      </c>
    </row>
    <row r="64" spans="1:49" x14ac:dyDescent="0.2">
      <c r="A64" s="386"/>
      <c r="B64" s="355" t="s">
        <v>188</v>
      </c>
      <c r="C64" s="355" t="s">
        <v>205</v>
      </c>
      <c r="D64" s="355"/>
      <c r="E64" s="382"/>
      <c r="F64" s="382"/>
      <c r="G64" s="472" t="s">
        <v>772</v>
      </c>
      <c r="H64" s="190"/>
      <c r="I64" s="92"/>
      <c r="J64" s="92"/>
      <c r="K64" s="92"/>
      <c r="L64" s="92"/>
      <c r="M64" s="92"/>
      <c r="N64" s="92"/>
      <c r="O64" s="92"/>
      <c r="P64" s="95">
        <f t="shared" si="33"/>
        <v>0</v>
      </c>
      <c r="Q64" s="92"/>
      <c r="R64" s="92"/>
      <c r="S64" s="92"/>
      <c r="T64" s="92"/>
      <c r="U64" s="92"/>
      <c r="V64" s="92"/>
      <c r="W64" s="92"/>
      <c r="X64" s="95">
        <f t="shared" si="34"/>
        <v>0</v>
      </c>
      <c r="Y64" s="92"/>
      <c r="Z64" s="92"/>
      <c r="AA64" s="92"/>
      <c r="AB64" s="92"/>
      <c r="AC64" s="92"/>
      <c r="AD64" s="92"/>
      <c r="AE64" s="92"/>
      <c r="AF64" s="95">
        <f t="shared" si="35"/>
        <v>0</v>
      </c>
      <c r="AG64" s="92"/>
      <c r="AH64" s="92"/>
      <c r="AI64" s="92"/>
      <c r="AJ64" s="92"/>
      <c r="AK64" s="92"/>
      <c r="AL64" s="92"/>
      <c r="AM64" s="92"/>
      <c r="AN64" s="95">
        <f t="shared" si="36"/>
        <v>0</v>
      </c>
      <c r="AO64" s="92"/>
      <c r="AP64" s="92"/>
      <c r="AQ64" s="92"/>
      <c r="AR64" s="92"/>
      <c r="AS64" s="92"/>
      <c r="AT64" s="92"/>
      <c r="AU64" s="92"/>
      <c r="AV64" s="95">
        <f t="shared" si="37"/>
        <v>0</v>
      </c>
      <c r="AW64" s="95">
        <f t="shared" si="38"/>
        <v>0</v>
      </c>
    </row>
    <row r="65" spans="1:49" x14ac:dyDescent="0.2">
      <c r="A65" s="386"/>
      <c r="B65" s="355" t="s">
        <v>195</v>
      </c>
      <c r="C65" s="355" t="s">
        <v>206</v>
      </c>
      <c r="D65" s="355"/>
      <c r="E65" s="382"/>
      <c r="F65" s="382"/>
      <c r="G65" s="472" t="s">
        <v>773</v>
      </c>
      <c r="H65" s="190"/>
      <c r="I65" s="92"/>
      <c r="J65" s="92"/>
      <c r="K65" s="92"/>
      <c r="L65" s="92"/>
      <c r="M65" s="92"/>
      <c r="N65" s="92"/>
      <c r="O65" s="92"/>
      <c r="P65" s="95">
        <f t="shared" si="33"/>
        <v>0</v>
      </c>
      <c r="Q65" s="92"/>
      <c r="R65" s="92"/>
      <c r="S65" s="92"/>
      <c r="T65" s="92"/>
      <c r="U65" s="92"/>
      <c r="V65" s="92"/>
      <c r="W65" s="92"/>
      <c r="X65" s="95">
        <f t="shared" si="34"/>
        <v>0</v>
      </c>
      <c r="Y65" s="92"/>
      <c r="Z65" s="92"/>
      <c r="AA65" s="92"/>
      <c r="AB65" s="92"/>
      <c r="AC65" s="92"/>
      <c r="AD65" s="92"/>
      <c r="AE65" s="92"/>
      <c r="AF65" s="95">
        <f t="shared" si="35"/>
        <v>0</v>
      </c>
      <c r="AG65" s="92"/>
      <c r="AH65" s="92"/>
      <c r="AI65" s="92"/>
      <c r="AJ65" s="92"/>
      <c r="AK65" s="92"/>
      <c r="AL65" s="92"/>
      <c r="AM65" s="92"/>
      <c r="AN65" s="95">
        <f t="shared" si="36"/>
        <v>0</v>
      </c>
      <c r="AO65" s="92"/>
      <c r="AP65" s="92"/>
      <c r="AQ65" s="92"/>
      <c r="AR65" s="92"/>
      <c r="AS65" s="92"/>
      <c r="AT65" s="92"/>
      <c r="AU65" s="92"/>
      <c r="AV65" s="95">
        <f t="shared" si="37"/>
        <v>0</v>
      </c>
      <c r="AW65" s="95">
        <f t="shared" si="38"/>
        <v>0</v>
      </c>
    </row>
    <row r="66" spans="1:49" x14ac:dyDescent="0.2">
      <c r="A66" s="384"/>
      <c r="B66" s="385" t="s">
        <v>197</v>
      </c>
      <c r="C66" s="385" t="s">
        <v>198</v>
      </c>
      <c r="D66" s="385"/>
      <c r="E66" s="383"/>
      <c r="F66" s="382"/>
      <c r="G66" s="472" t="s">
        <v>774</v>
      </c>
      <c r="H66" s="190"/>
      <c r="I66" s="95">
        <f t="shared" ref="I66:AU66" si="52">I67+I68</f>
        <v>0</v>
      </c>
      <c r="J66" s="95">
        <f t="shared" si="52"/>
        <v>0</v>
      </c>
      <c r="K66" s="95">
        <f t="shared" si="52"/>
        <v>0</v>
      </c>
      <c r="L66" s="95">
        <f t="shared" si="52"/>
        <v>0</v>
      </c>
      <c r="M66" s="95">
        <f t="shared" si="52"/>
        <v>0</v>
      </c>
      <c r="N66" s="95">
        <f t="shared" si="52"/>
        <v>0</v>
      </c>
      <c r="O66" s="95">
        <f t="shared" si="52"/>
        <v>0</v>
      </c>
      <c r="P66" s="95">
        <f t="shared" si="33"/>
        <v>0</v>
      </c>
      <c r="Q66" s="95">
        <f t="shared" si="52"/>
        <v>0</v>
      </c>
      <c r="R66" s="95">
        <f t="shared" si="52"/>
        <v>0</v>
      </c>
      <c r="S66" s="95">
        <f t="shared" si="52"/>
        <v>0</v>
      </c>
      <c r="T66" s="95">
        <f t="shared" si="52"/>
        <v>0</v>
      </c>
      <c r="U66" s="95">
        <f t="shared" si="52"/>
        <v>0</v>
      </c>
      <c r="V66" s="95">
        <f>V67+V68</f>
        <v>0</v>
      </c>
      <c r="W66" s="95">
        <f>W67+W68</f>
        <v>0</v>
      </c>
      <c r="X66" s="95">
        <f t="shared" si="34"/>
        <v>0</v>
      </c>
      <c r="Y66" s="95">
        <f t="shared" si="52"/>
        <v>0</v>
      </c>
      <c r="Z66" s="95">
        <f t="shared" si="52"/>
        <v>0</v>
      </c>
      <c r="AA66" s="95">
        <f t="shared" si="52"/>
        <v>0</v>
      </c>
      <c r="AB66" s="95">
        <f t="shared" si="52"/>
        <v>0</v>
      </c>
      <c r="AC66" s="95">
        <f t="shared" si="52"/>
        <v>0</v>
      </c>
      <c r="AD66" s="95">
        <f t="shared" si="52"/>
        <v>0</v>
      </c>
      <c r="AE66" s="95">
        <f t="shared" si="52"/>
        <v>0</v>
      </c>
      <c r="AF66" s="95">
        <f t="shared" si="35"/>
        <v>0</v>
      </c>
      <c r="AG66" s="95">
        <f t="shared" si="52"/>
        <v>0</v>
      </c>
      <c r="AH66" s="95">
        <f t="shared" si="52"/>
        <v>0</v>
      </c>
      <c r="AI66" s="95">
        <f t="shared" si="52"/>
        <v>0</v>
      </c>
      <c r="AJ66" s="95">
        <f t="shared" si="52"/>
        <v>0</v>
      </c>
      <c r="AK66" s="95">
        <f t="shared" si="52"/>
        <v>0</v>
      </c>
      <c r="AL66" s="95">
        <f t="shared" si="52"/>
        <v>0</v>
      </c>
      <c r="AM66" s="95">
        <f t="shared" si="52"/>
        <v>0</v>
      </c>
      <c r="AN66" s="95">
        <f t="shared" si="36"/>
        <v>0</v>
      </c>
      <c r="AO66" s="95">
        <f t="shared" si="52"/>
        <v>0</v>
      </c>
      <c r="AP66" s="95">
        <f t="shared" si="52"/>
        <v>0</v>
      </c>
      <c r="AQ66" s="95">
        <f t="shared" si="52"/>
        <v>0</v>
      </c>
      <c r="AR66" s="95">
        <f t="shared" si="52"/>
        <v>0</v>
      </c>
      <c r="AS66" s="95">
        <f t="shared" si="52"/>
        <v>0</v>
      </c>
      <c r="AT66" s="95">
        <f t="shared" si="52"/>
        <v>0</v>
      </c>
      <c r="AU66" s="95">
        <f t="shared" si="52"/>
        <v>0</v>
      </c>
      <c r="AV66" s="95">
        <f t="shared" si="37"/>
        <v>0</v>
      </c>
      <c r="AW66" s="95">
        <f t="shared" si="38"/>
        <v>0</v>
      </c>
    </row>
    <row r="67" spans="1:49" x14ac:dyDescent="0.2">
      <c r="A67" s="386"/>
      <c r="B67" s="355"/>
      <c r="C67" s="405" t="s">
        <v>19</v>
      </c>
      <c r="D67" s="355" t="s">
        <v>207</v>
      </c>
      <c r="E67" s="382"/>
      <c r="F67" s="382"/>
      <c r="G67" s="472" t="s">
        <v>775</v>
      </c>
      <c r="H67" s="190"/>
      <c r="I67" s="92"/>
      <c r="J67" s="92"/>
      <c r="K67" s="92"/>
      <c r="L67" s="92"/>
      <c r="M67" s="92"/>
      <c r="N67" s="92"/>
      <c r="O67" s="92"/>
      <c r="P67" s="95">
        <f t="shared" si="33"/>
        <v>0</v>
      </c>
      <c r="Q67" s="92"/>
      <c r="R67" s="92"/>
      <c r="S67" s="92"/>
      <c r="T67" s="92"/>
      <c r="U67" s="92"/>
      <c r="V67" s="92"/>
      <c r="W67" s="92"/>
      <c r="X67" s="95">
        <f t="shared" si="34"/>
        <v>0</v>
      </c>
      <c r="Y67" s="92"/>
      <c r="Z67" s="92"/>
      <c r="AA67" s="92"/>
      <c r="AB67" s="92"/>
      <c r="AC67" s="92"/>
      <c r="AD67" s="92"/>
      <c r="AE67" s="92"/>
      <c r="AF67" s="95">
        <f t="shared" si="35"/>
        <v>0</v>
      </c>
      <c r="AG67" s="92"/>
      <c r="AH67" s="92"/>
      <c r="AI67" s="92"/>
      <c r="AJ67" s="92"/>
      <c r="AK67" s="92"/>
      <c r="AL67" s="92"/>
      <c r="AM67" s="92"/>
      <c r="AN67" s="95">
        <f t="shared" si="36"/>
        <v>0</v>
      </c>
      <c r="AO67" s="92"/>
      <c r="AP67" s="92"/>
      <c r="AQ67" s="92"/>
      <c r="AR67" s="92"/>
      <c r="AS67" s="92"/>
      <c r="AT67" s="92"/>
      <c r="AU67" s="92"/>
      <c r="AV67" s="95">
        <f t="shared" si="37"/>
        <v>0</v>
      </c>
      <c r="AW67" s="95">
        <f t="shared" si="38"/>
        <v>0</v>
      </c>
    </row>
    <row r="68" spans="1:49" x14ac:dyDescent="0.2">
      <c r="A68" s="384"/>
      <c r="B68" s="385"/>
      <c r="C68" s="473" t="s">
        <v>21</v>
      </c>
      <c r="D68" s="385" t="s">
        <v>200</v>
      </c>
      <c r="E68" s="383"/>
      <c r="F68" s="382"/>
      <c r="G68" s="472" t="s">
        <v>776</v>
      </c>
      <c r="H68" s="190"/>
      <c r="I68" s="92"/>
      <c r="J68" s="92"/>
      <c r="K68" s="92"/>
      <c r="L68" s="92"/>
      <c r="M68" s="92"/>
      <c r="N68" s="92"/>
      <c r="O68" s="92"/>
      <c r="P68" s="95">
        <f t="shared" si="33"/>
        <v>0</v>
      </c>
      <c r="Q68" s="92"/>
      <c r="R68" s="92"/>
      <c r="S68" s="92"/>
      <c r="T68" s="92"/>
      <c r="U68" s="92"/>
      <c r="V68" s="92"/>
      <c r="W68" s="92"/>
      <c r="X68" s="95">
        <f t="shared" si="34"/>
        <v>0</v>
      </c>
      <c r="Y68" s="92"/>
      <c r="Z68" s="92"/>
      <c r="AA68" s="92"/>
      <c r="AB68" s="92"/>
      <c r="AC68" s="92"/>
      <c r="AD68" s="92"/>
      <c r="AE68" s="92"/>
      <c r="AF68" s="95">
        <f t="shared" si="35"/>
        <v>0</v>
      </c>
      <c r="AG68" s="92"/>
      <c r="AH68" s="92"/>
      <c r="AI68" s="92"/>
      <c r="AJ68" s="92"/>
      <c r="AK68" s="92"/>
      <c r="AL68" s="92"/>
      <c r="AM68" s="92"/>
      <c r="AN68" s="95">
        <f t="shared" si="36"/>
        <v>0</v>
      </c>
      <c r="AO68" s="92"/>
      <c r="AP68" s="92"/>
      <c r="AQ68" s="92"/>
      <c r="AR68" s="92"/>
      <c r="AS68" s="92"/>
      <c r="AT68" s="92"/>
      <c r="AU68" s="92"/>
      <c r="AV68" s="95">
        <f t="shared" si="37"/>
        <v>0</v>
      </c>
      <c r="AW68" s="95">
        <f t="shared" si="38"/>
        <v>0</v>
      </c>
    </row>
    <row r="69" spans="1:49" x14ac:dyDescent="0.2">
      <c r="A69" s="386"/>
      <c r="B69" s="355" t="s">
        <v>201</v>
      </c>
      <c r="C69" s="355" t="s">
        <v>208</v>
      </c>
      <c r="D69" s="355"/>
      <c r="E69" s="382"/>
      <c r="F69" s="382"/>
      <c r="G69" s="472" t="s">
        <v>777</v>
      </c>
      <c r="H69" s="190"/>
      <c r="I69" s="92"/>
      <c r="J69" s="92"/>
      <c r="K69" s="92"/>
      <c r="L69" s="92"/>
      <c r="M69" s="92"/>
      <c r="N69" s="92"/>
      <c r="O69" s="92"/>
      <c r="P69" s="95">
        <f t="shared" si="33"/>
        <v>0</v>
      </c>
      <c r="Q69" s="92"/>
      <c r="R69" s="92"/>
      <c r="S69" s="92"/>
      <c r="T69" s="92"/>
      <c r="U69" s="92"/>
      <c r="V69" s="92"/>
      <c r="W69" s="92"/>
      <c r="X69" s="95">
        <f t="shared" si="34"/>
        <v>0</v>
      </c>
      <c r="Y69" s="92"/>
      <c r="Z69" s="92"/>
      <c r="AA69" s="92"/>
      <c r="AB69" s="92"/>
      <c r="AC69" s="92"/>
      <c r="AD69" s="92"/>
      <c r="AE69" s="92"/>
      <c r="AF69" s="95">
        <f t="shared" si="35"/>
        <v>0</v>
      </c>
      <c r="AG69" s="92"/>
      <c r="AH69" s="92"/>
      <c r="AI69" s="92"/>
      <c r="AJ69" s="92"/>
      <c r="AK69" s="92"/>
      <c r="AL69" s="92"/>
      <c r="AM69" s="92"/>
      <c r="AN69" s="95">
        <f t="shared" si="36"/>
        <v>0</v>
      </c>
      <c r="AO69" s="92"/>
      <c r="AP69" s="92"/>
      <c r="AQ69" s="92"/>
      <c r="AR69" s="92"/>
      <c r="AS69" s="92"/>
      <c r="AT69" s="92"/>
      <c r="AU69" s="92"/>
      <c r="AV69" s="95">
        <f t="shared" si="37"/>
        <v>0</v>
      </c>
      <c r="AW69" s="95">
        <f t="shared" si="38"/>
        <v>0</v>
      </c>
    </row>
    <row r="70" spans="1:49" x14ac:dyDescent="0.2">
      <c r="A70" s="408"/>
      <c r="B70" s="392" t="s">
        <v>305</v>
      </c>
      <c r="C70" s="392" t="s">
        <v>888</v>
      </c>
      <c r="D70" s="392"/>
      <c r="E70" s="388"/>
      <c r="F70" s="382"/>
      <c r="G70" s="472" t="s">
        <v>892</v>
      </c>
      <c r="H70" s="190"/>
      <c r="I70" s="92"/>
      <c r="J70" s="92"/>
      <c r="K70" s="92"/>
      <c r="L70" s="92"/>
      <c r="M70" s="92"/>
      <c r="N70" s="92"/>
      <c r="O70" s="92"/>
      <c r="P70" s="95">
        <f t="shared" si="33"/>
        <v>0</v>
      </c>
      <c r="Q70" s="92"/>
      <c r="R70" s="92"/>
      <c r="S70" s="92"/>
      <c r="T70" s="92"/>
      <c r="U70" s="92"/>
      <c r="V70" s="92"/>
      <c r="W70" s="92"/>
      <c r="X70" s="95">
        <f t="shared" si="34"/>
        <v>0</v>
      </c>
      <c r="Y70" s="92"/>
      <c r="Z70" s="92"/>
      <c r="AA70" s="92"/>
      <c r="AB70" s="92"/>
      <c r="AC70" s="92"/>
      <c r="AD70" s="92"/>
      <c r="AE70" s="92"/>
      <c r="AF70" s="95">
        <f t="shared" si="35"/>
        <v>0</v>
      </c>
      <c r="AG70" s="92"/>
      <c r="AH70" s="92"/>
      <c r="AI70" s="92"/>
      <c r="AJ70" s="92"/>
      <c r="AK70" s="92"/>
      <c r="AL70" s="92"/>
      <c r="AM70" s="92"/>
      <c r="AN70" s="95">
        <f t="shared" si="36"/>
        <v>0</v>
      </c>
      <c r="AO70" s="92"/>
      <c r="AP70" s="92"/>
      <c r="AQ70" s="92"/>
      <c r="AR70" s="92"/>
      <c r="AS70" s="92"/>
      <c r="AT70" s="92"/>
      <c r="AU70" s="92"/>
      <c r="AV70" s="95">
        <f t="shared" si="37"/>
        <v>0</v>
      </c>
      <c r="AW70" s="95">
        <f t="shared" si="38"/>
        <v>0</v>
      </c>
    </row>
    <row r="71" spans="1:49" x14ac:dyDescent="0.2">
      <c r="A71" s="407" t="s">
        <v>392</v>
      </c>
      <c r="B71" s="474"/>
      <c r="C71" s="435"/>
      <c r="D71" s="392"/>
      <c r="E71" s="388"/>
      <c r="F71" s="382"/>
      <c r="G71" s="472" t="s">
        <v>778</v>
      </c>
      <c r="H71" s="191"/>
      <c r="I71" s="95">
        <f>I45+I63</f>
        <v>0</v>
      </c>
      <c r="J71" s="95">
        <f t="shared" ref="J71:AU71" si="53">J45+J63</f>
        <v>0</v>
      </c>
      <c r="K71" s="95">
        <f t="shared" si="53"/>
        <v>0</v>
      </c>
      <c r="L71" s="95">
        <f t="shared" si="53"/>
        <v>0</v>
      </c>
      <c r="M71" s="95">
        <f t="shared" si="53"/>
        <v>0</v>
      </c>
      <c r="N71" s="95">
        <f t="shared" si="53"/>
        <v>0</v>
      </c>
      <c r="O71" s="95">
        <f t="shared" si="53"/>
        <v>0</v>
      </c>
      <c r="P71" s="95">
        <f t="shared" si="33"/>
        <v>0</v>
      </c>
      <c r="Q71" s="95">
        <f t="shared" si="53"/>
        <v>0</v>
      </c>
      <c r="R71" s="95">
        <f t="shared" si="53"/>
        <v>0</v>
      </c>
      <c r="S71" s="95">
        <f t="shared" si="53"/>
        <v>0</v>
      </c>
      <c r="T71" s="95">
        <f t="shared" si="53"/>
        <v>0</v>
      </c>
      <c r="U71" s="95">
        <f t="shared" si="53"/>
        <v>0</v>
      </c>
      <c r="V71" s="95">
        <f t="shared" si="53"/>
        <v>0</v>
      </c>
      <c r="W71" s="95">
        <f t="shared" si="53"/>
        <v>0</v>
      </c>
      <c r="X71" s="95">
        <f t="shared" si="34"/>
        <v>0</v>
      </c>
      <c r="Y71" s="95">
        <f t="shared" si="53"/>
        <v>0</v>
      </c>
      <c r="Z71" s="95">
        <f t="shared" si="53"/>
        <v>0</v>
      </c>
      <c r="AA71" s="95">
        <f t="shared" si="53"/>
        <v>0</v>
      </c>
      <c r="AB71" s="95">
        <f t="shared" si="53"/>
        <v>0</v>
      </c>
      <c r="AC71" s="95">
        <f t="shared" si="53"/>
        <v>0</v>
      </c>
      <c r="AD71" s="95">
        <f t="shared" si="53"/>
        <v>0</v>
      </c>
      <c r="AE71" s="95">
        <f t="shared" si="53"/>
        <v>0</v>
      </c>
      <c r="AF71" s="95">
        <f t="shared" si="35"/>
        <v>0</v>
      </c>
      <c r="AG71" s="95">
        <f t="shared" si="53"/>
        <v>0</v>
      </c>
      <c r="AH71" s="95">
        <f t="shared" si="53"/>
        <v>0</v>
      </c>
      <c r="AI71" s="95">
        <f t="shared" si="53"/>
        <v>0</v>
      </c>
      <c r="AJ71" s="95">
        <f t="shared" si="53"/>
        <v>0</v>
      </c>
      <c r="AK71" s="95">
        <f t="shared" si="53"/>
        <v>0</v>
      </c>
      <c r="AL71" s="95">
        <f t="shared" si="53"/>
        <v>0</v>
      </c>
      <c r="AM71" s="95">
        <f t="shared" si="53"/>
        <v>0</v>
      </c>
      <c r="AN71" s="95">
        <f t="shared" si="36"/>
        <v>0</v>
      </c>
      <c r="AO71" s="95">
        <f t="shared" si="53"/>
        <v>0</v>
      </c>
      <c r="AP71" s="95">
        <f t="shared" si="53"/>
        <v>0</v>
      </c>
      <c r="AQ71" s="95">
        <f t="shared" si="53"/>
        <v>0</v>
      </c>
      <c r="AR71" s="95">
        <f t="shared" si="53"/>
        <v>0</v>
      </c>
      <c r="AS71" s="95">
        <f t="shared" si="53"/>
        <v>0</v>
      </c>
      <c r="AT71" s="95">
        <f t="shared" si="53"/>
        <v>0</v>
      </c>
      <c r="AU71" s="95">
        <f t="shared" si="53"/>
        <v>0</v>
      </c>
      <c r="AV71" s="95">
        <f t="shared" si="37"/>
        <v>0</v>
      </c>
      <c r="AW71" s="95">
        <f t="shared" si="38"/>
        <v>0</v>
      </c>
    </row>
    <row r="72" spans="1:49" x14ac:dyDescent="0.2">
      <c r="G72" s="49" t="s">
        <v>184</v>
      </c>
    </row>
  </sheetData>
  <sheetProtection password="EC58" sheet="1" objects="1" scenarios="1" selectLockedCells="1"/>
  <mergeCells count="72">
    <mergeCell ref="AB43:AC43"/>
    <mergeCell ref="AF43:AF44"/>
    <mergeCell ref="AD43:AE43"/>
    <mergeCell ref="A6:F9"/>
    <mergeCell ref="G6:G9"/>
    <mergeCell ref="A41:F44"/>
    <mergeCell ref="G41:G44"/>
    <mergeCell ref="L43:M43"/>
    <mergeCell ref="P43:P44"/>
    <mergeCell ref="N43:O43"/>
    <mergeCell ref="AJ43:AK43"/>
    <mergeCell ref="AN43:AN44"/>
    <mergeCell ref="AL43:AM43"/>
    <mergeCell ref="AO43:AO44"/>
    <mergeCell ref="AP43:AQ43"/>
    <mergeCell ref="AR43:AS43"/>
    <mergeCell ref="AW42:AW44"/>
    <mergeCell ref="I43:I44"/>
    <mergeCell ref="R43:S43"/>
    <mergeCell ref="Q43:Q44"/>
    <mergeCell ref="T43:U43"/>
    <mergeCell ref="X43:X44"/>
    <mergeCell ref="AV43:AV44"/>
    <mergeCell ref="AT43:AU43"/>
    <mergeCell ref="AG43:AG44"/>
    <mergeCell ref="AH43:AI43"/>
    <mergeCell ref="AF8:AF9"/>
    <mergeCell ref="AG8:AG9"/>
    <mergeCell ref="Y43:Y44"/>
    <mergeCell ref="Z43:AA43"/>
    <mergeCell ref="I41:AW41"/>
    <mergeCell ref="I42:P42"/>
    <mergeCell ref="Q42:X42"/>
    <mergeCell ref="Y42:AF42"/>
    <mergeCell ref="AG42:AN42"/>
    <mergeCell ref="AO42:AV42"/>
    <mergeCell ref="Y8:Y9"/>
    <mergeCell ref="AJ8:AK8"/>
    <mergeCell ref="J43:K43"/>
    <mergeCell ref="V43:W43"/>
    <mergeCell ref="AP8:AQ8"/>
    <mergeCell ref="AR8:AS8"/>
    <mergeCell ref="AN8:AN9"/>
    <mergeCell ref="AO8:AO9"/>
    <mergeCell ref="Z8:AA8"/>
    <mergeCell ref="AB8:AC8"/>
    <mergeCell ref="T8:U8"/>
    <mergeCell ref="X8:X9"/>
    <mergeCell ref="AV8:AV9"/>
    <mergeCell ref="A39:AW39"/>
    <mergeCell ref="N8:O8"/>
    <mergeCell ref="AD8:AE8"/>
    <mergeCell ref="AL8:AM8"/>
    <mergeCell ref="AT8:AU8"/>
    <mergeCell ref="V8:W8"/>
    <mergeCell ref="AH8:AI8"/>
    <mergeCell ref="I8:I9"/>
    <mergeCell ref="J8:K8"/>
    <mergeCell ref="L8:M8"/>
    <mergeCell ref="P8:P9"/>
    <mergeCell ref="Q8:Q9"/>
    <mergeCell ref="R8:S8"/>
    <mergeCell ref="I7:P7"/>
    <mergeCell ref="A1:AW1"/>
    <mergeCell ref="A2:AW2"/>
    <mergeCell ref="A4:AW4"/>
    <mergeCell ref="I6:AW6"/>
    <mergeCell ref="Q7:X7"/>
    <mergeCell ref="Y7:AF7"/>
    <mergeCell ref="AG7:AN7"/>
    <mergeCell ref="AO7:AV7"/>
    <mergeCell ref="AW7:AW9"/>
  </mergeCells>
  <phoneticPr fontId="0" type="noConversion"/>
  <pageMargins left="0.25" right="0.25" top="1" bottom="0.5" header="0.5" footer="0.5"/>
  <pageSetup paperSize="9" scale="80" orientation="landscape" r:id="rId1"/>
  <headerFooter alignWithMargins="0">
    <oddHeader>&amp;R&amp;"Arial,Bold"&amp;USchedule 4a&amp;"Arial,Regular"&amp;U
&amp;"Arial,Bold"&amp;8&amp;P of &amp;N&amp;C&amp;"Arial,Bold"&amp;8 MAXIMUM SAVINGS BANK, INC.  [ 03-070011 ]
 As of: June 30, 2019</oddHeader>
  </headerFooter>
  <rowBreaks count="1" manualBreakCount="1">
    <brk id="37" max="48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A264"/>
  <sheetViews>
    <sheetView zoomScaleNormal="100" zoomScaleSheetLayoutView="70" workbookViewId="0">
      <pane xSplit="8" ySplit="9" topLeftCell="I14" activePane="bottomRight" state="frozen"/>
      <selection pane="topRight" activeCell="I1" sqref="I1"/>
      <selection pane="bottomLeft" activeCell="A10" sqref="A10"/>
      <selection pane="bottomRight" activeCell="I14" sqref="I14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53.28515625" style="1" customWidth="1"/>
    <col min="6" max="6" width="4.5703125" style="1" hidden="1" customWidth="1"/>
    <col min="7" max="7" width="16.5703125" style="9" customWidth="1"/>
    <col min="8" max="8" width="11.28515625" style="9" customWidth="1"/>
    <col min="9" max="13" width="20.7109375" style="1" customWidth="1"/>
    <col min="14" max="15" width="20.7109375" style="1" hidden="1" customWidth="1"/>
    <col min="16" max="16" width="20.7109375" style="1" customWidth="1"/>
    <col min="17" max="16384" width="9.140625" style="1"/>
  </cols>
  <sheetData>
    <row r="1" spans="1:16" ht="12.75" x14ac:dyDescent="0.2">
      <c r="A1" s="512" t="s">
        <v>295</v>
      </c>
      <c r="B1" s="512"/>
      <c r="C1" s="512"/>
      <c r="D1" s="512"/>
      <c r="E1" s="512"/>
      <c r="F1" s="512"/>
      <c r="G1" s="512"/>
      <c r="H1" s="512"/>
      <c r="I1" s="512"/>
      <c r="J1" s="512"/>
      <c r="K1" s="512"/>
      <c r="L1" s="512"/>
      <c r="M1" s="512"/>
      <c r="N1" s="512"/>
      <c r="O1" s="512"/>
      <c r="P1" s="512"/>
    </row>
    <row r="2" spans="1:16" hidden="1" x14ac:dyDescent="0.2"/>
    <row r="3" spans="1:16" hidden="1" x14ac:dyDescent="0.2"/>
    <row r="4" spans="1:16" hidden="1" x14ac:dyDescent="0.2"/>
    <row r="6" spans="1:16" s="11" customFormat="1" ht="12.75" hidden="1" customHeight="1" x14ac:dyDescent="0.2"/>
    <row r="7" spans="1:16" s="11" customFormat="1" x14ac:dyDescent="0.2">
      <c r="A7" s="504" t="s">
        <v>0</v>
      </c>
      <c r="B7" s="505"/>
      <c r="C7" s="505"/>
      <c r="D7" s="505"/>
      <c r="E7" s="505"/>
      <c r="F7" s="506"/>
      <c r="G7" s="496" t="s">
        <v>2</v>
      </c>
      <c r="H7" s="493" t="s">
        <v>414</v>
      </c>
      <c r="I7" s="518" t="s">
        <v>72</v>
      </c>
      <c r="J7" s="533"/>
      <c r="K7" s="533"/>
      <c r="L7" s="533"/>
      <c r="M7" s="533"/>
      <c r="N7" s="533"/>
      <c r="O7" s="533"/>
      <c r="P7" s="521"/>
    </row>
    <row r="8" spans="1:16" s="2" customFormat="1" x14ac:dyDescent="0.2">
      <c r="A8" s="507"/>
      <c r="B8" s="508"/>
      <c r="C8" s="508"/>
      <c r="D8" s="508"/>
      <c r="E8" s="508"/>
      <c r="F8" s="509"/>
      <c r="G8" s="497"/>
      <c r="H8" s="494"/>
      <c r="I8" s="497" t="s">
        <v>3</v>
      </c>
      <c r="J8" s="491" t="s">
        <v>4</v>
      </c>
      <c r="K8" s="492"/>
      <c r="L8" s="491" t="s">
        <v>7</v>
      </c>
      <c r="M8" s="510"/>
      <c r="N8" s="518" t="s">
        <v>391</v>
      </c>
      <c r="O8" s="521"/>
      <c r="P8" s="497" t="s">
        <v>68</v>
      </c>
    </row>
    <row r="9" spans="1:16" s="2" customFormat="1" x14ac:dyDescent="0.2">
      <c r="A9" s="507"/>
      <c r="B9" s="508"/>
      <c r="C9" s="508"/>
      <c r="D9" s="508"/>
      <c r="E9" s="508"/>
      <c r="F9" s="509"/>
      <c r="G9" s="498"/>
      <c r="H9" s="495"/>
      <c r="I9" s="498"/>
      <c r="J9" s="8" t="s">
        <v>5</v>
      </c>
      <c r="K9" s="8" t="s">
        <v>6</v>
      </c>
      <c r="L9" s="8" t="s">
        <v>5</v>
      </c>
      <c r="M9" s="10" t="s">
        <v>6</v>
      </c>
      <c r="N9" s="8" t="s">
        <v>5</v>
      </c>
      <c r="O9" s="10" t="s">
        <v>6</v>
      </c>
      <c r="P9" s="498"/>
    </row>
    <row r="10" spans="1:16" x14ac:dyDescent="0.2">
      <c r="A10" s="119" t="s">
        <v>185</v>
      </c>
      <c r="B10" s="120"/>
      <c r="C10" s="120"/>
      <c r="D10" s="120"/>
      <c r="E10" s="120"/>
      <c r="F10" s="121"/>
      <c r="G10" s="320"/>
      <c r="H10" s="18"/>
      <c r="I10" s="29"/>
      <c r="J10" s="29"/>
      <c r="K10" s="29"/>
      <c r="L10" s="29"/>
      <c r="M10" s="29"/>
      <c r="N10" s="29"/>
      <c r="O10" s="29"/>
      <c r="P10" s="29"/>
    </row>
    <row r="11" spans="1:16" x14ac:dyDescent="0.2">
      <c r="A11" s="116" t="s">
        <v>186</v>
      </c>
      <c r="B11" s="115" t="s">
        <v>187</v>
      </c>
      <c r="C11" s="124"/>
      <c r="D11" s="124"/>
      <c r="E11" s="125"/>
      <c r="F11" s="128"/>
      <c r="G11" s="458" t="s">
        <v>237</v>
      </c>
      <c r="H11" s="18"/>
      <c r="I11" s="78">
        <f t="shared" ref="I11:O11" si="0">SUM(I12,I24,I25,I28)</f>
        <v>0</v>
      </c>
      <c r="J11" s="78">
        <f t="shared" si="0"/>
        <v>0</v>
      </c>
      <c r="K11" s="78">
        <f t="shared" si="0"/>
        <v>0</v>
      </c>
      <c r="L11" s="78">
        <f t="shared" si="0"/>
        <v>0</v>
      </c>
      <c r="M11" s="78">
        <f t="shared" si="0"/>
        <v>0</v>
      </c>
      <c r="N11" s="78">
        <f t="shared" si="0"/>
        <v>0</v>
      </c>
      <c r="O11" s="78">
        <f t="shared" si="0"/>
        <v>0</v>
      </c>
      <c r="P11" s="78">
        <f>SUM(I11,K11,M11,O11)</f>
        <v>0</v>
      </c>
    </row>
    <row r="12" spans="1:16" x14ac:dyDescent="0.2">
      <c r="A12" s="127"/>
      <c r="B12" s="39" t="s">
        <v>188</v>
      </c>
      <c r="C12" s="39" t="s">
        <v>788</v>
      </c>
      <c r="D12" s="39"/>
      <c r="E12" s="39"/>
      <c r="F12" s="128"/>
      <c r="G12" s="458" t="s">
        <v>238</v>
      </c>
      <c r="H12" s="18"/>
      <c r="I12" s="78">
        <f t="shared" ref="I12:O12" si="1">SUM(I13,I19,I20)</f>
        <v>0</v>
      </c>
      <c r="J12" s="78">
        <f t="shared" si="1"/>
        <v>0</v>
      </c>
      <c r="K12" s="78">
        <f t="shared" si="1"/>
        <v>0</v>
      </c>
      <c r="L12" s="78">
        <f t="shared" si="1"/>
        <v>0</v>
      </c>
      <c r="M12" s="78">
        <f t="shared" si="1"/>
        <v>0</v>
      </c>
      <c r="N12" s="78">
        <f t="shared" si="1"/>
        <v>0</v>
      </c>
      <c r="O12" s="78">
        <f t="shared" si="1"/>
        <v>0</v>
      </c>
      <c r="P12" s="78">
        <f t="shared" ref="P12:P41" si="2">SUM(I12,K12,M12,O12)</f>
        <v>0</v>
      </c>
    </row>
    <row r="13" spans="1:16" x14ac:dyDescent="0.2">
      <c r="A13" s="129"/>
      <c r="B13" s="124"/>
      <c r="C13" s="130">
        <v>-1</v>
      </c>
      <c r="D13" s="124" t="s">
        <v>189</v>
      </c>
      <c r="E13" s="125"/>
      <c r="F13" s="128"/>
      <c r="G13" s="458" t="s">
        <v>239</v>
      </c>
      <c r="H13" s="18"/>
      <c r="I13" s="78">
        <f>I14+I15+I16</f>
        <v>0</v>
      </c>
      <c r="J13" s="78">
        <f t="shared" ref="J13:O13" si="3">J14+J15+J16</f>
        <v>0</v>
      </c>
      <c r="K13" s="78">
        <f t="shared" si="3"/>
        <v>0</v>
      </c>
      <c r="L13" s="78">
        <f t="shared" si="3"/>
        <v>0</v>
      </c>
      <c r="M13" s="78">
        <f t="shared" si="3"/>
        <v>0</v>
      </c>
      <c r="N13" s="78">
        <f t="shared" si="3"/>
        <v>0</v>
      </c>
      <c r="O13" s="78">
        <f t="shared" si="3"/>
        <v>0</v>
      </c>
      <c r="P13" s="78">
        <f t="shared" si="2"/>
        <v>0</v>
      </c>
    </row>
    <row r="14" spans="1:16" x14ac:dyDescent="0.2">
      <c r="A14" s="129"/>
      <c r="B14" s="124"/>
      <c r="C14" s="130"/>
      <c r="D14" s="124" t="s">
        <v>11</v>
      </c>
      <c r="E14" s="124" t="s">
        <v>789</v>
      </c>
      <c r="F14" s="125"/>
      <c r="G14" s="458" t="s">
        <v>808</v>
      </c>
      <c r="H14" s="18"/>
      <c r="I14" s="61"/>
      <c r="J14" s="61"/>
      <c r="K14" s="61"/>
      <c r="L14" s="61"/>
      <c r="M14" s="61"/>
      <c r="N14" s="61"/>
      <c r="O14" s="61"/>
      <c r="P14" s="78">
        <f t="shared" si="2"/>
        <v>0</v>
      </c>
    </row>
    <row r="15" spans="1:16" x14ac:dyDescent="0.2">
      <c r="A15" s="129"/>
      <c r="B15" s="124"/>
      <c r="C15" s="130"/>
      <c r="D15" s="124" t="s">
        <v>15</v>
      </c>
      <c r="E15" s="196" t="s">
        <v>790</v>
      </c>
      <c r="F15" s="197"/>
      <c r="G15" s="458" t="s">
        <v>809</v>
      </c>
      <c r="H15" s="18"/>
      <c r="I15" s="61"/>
      <c r="J15" s="61"/>
      <c r="K15" s="61"/>
      <c r="L15" s="61"/>
      <c r="M15" s="61"/>
      <c r="N15" s="61"/>
      <c r="O15" s="61"/>
      <c r="P15" s="78">
        <f t="shared" si="2"/>
        <v>0</v>
      </c>
    </row>
    <row r="16" spans="1:16" x14ac:dyDescent="0.2">
      <c r="A16" s="129"/>
      <c r="B16" s="124"/>
      <c r="C16" s="130"/>
      <c r="D16" s="124" t="s">
        <v>25</v>
      </c>
      <c r="E16" s="196" t="s">
        <v>791</v>
      </c>
      <c r="F16" s="197"/>
      <c r="G16" s="458" t="s">
        <v>810</v>
      </c>
      <c r="H16" s="85" t="s">
        <v>751</v>
      </c>
      <c r="I16" s="78">
        <f>SUM(I17:I18)</f>
        <v>0</v>
      </c>
      <c r="J16" s="78">
        <f t="shared" ref="J16:O16" si="4">SUM(J17:J18)</f>
        <v>0</v>
      </c>
      <c r="K16" s="78">
        <f t="shared" si="4"/>
        <v>0</v>
      </c>
      <c r="L16" s="78">
        <f t="shared" si="4"/>
        <v>0</v>
      </c>
      <c r="M16" s="78">
        <f t="shared" si="4"/>
        <v>0</v>
      </c>
      <c r="N16" s="78">
        <f t="shared" si="4"/>
        <v>0</v>
      </c>
      <c r="O16" s="78">
        <f t="shared" si="4"/>
        <v>0</v>
      </c>
      <c r="P16" s="78">
        <f t="shared" si="2"/>
        <v>0</v>
      </c>
    </row>
    <row r="17" spans="1:16" x14ac:dyDescent="0.2">
      <c r="A17" s="129"/>
      <c r="B17" s="124"/>
      <c r="C17" s="130"/>
      <c r="D17" s="310"/>
      <c r="E17" s="310"/>
      <c r="F17" s="128"/>
      <c r="G17" s="458"/>
      <c r="H17" s="91">
        <v>1</v>
      </c>
      <c r="I17" s="61"/>
      <c r="J17" s="61"/>
      <c r="K17" s="61"/>
      <c r="L17" s="61"/>
      <c r="M17" s="61"/>
      <c r="N17" s="61"/>
      <c r="O17" s="61"/>
      <c r="P17" s="78">
        <f t="shared" si="2"/>
        <v>0</v>
      </c>
    </row>
    <row r="18" spans="1:16" x14ac:dyDescent="0.2">
      <c r="A18" s="251"/>
      <c r="B18" s="252"/>
      <c r="C18" s="311"/>
      <c r="D18" s="252"/>
      <c r="E18" s="252"/>
      <c r="F18" s="334"/>
      <c r="G18" s="457"/>
      <c r="H18" s="239" t="str">
        <f>CHAR(132)</f>
        <v>„</v>
      </c>
      <c r="I18" s="109"/>
      <c r="J18" s="109"/>
      <c r="K18" s="109"/>
      <c r="L18" s="109"/>
      <c r="M18" s="109"/>
      <c r="N18" s="109"/>
      <c r="O18" s="109"/>
      <c r="P18" s="78"/>
    </row>
    <row r="19" spans="1:16" x14ac:dyDescent="0.2">
      <c r="A19" s="332"/>
      <c r="B19" s="333"/>
      <c r="C19" s="335">
        <f>C13-1</f>
        <v>-2</v>
      </c>
      <c r="D19" s="333" t="s">
        <v>190</v>
      </c>
      <c r="E19" s="333"/>
      <c r="F19" s="334"/>
      <c r="G19" s="457" t="s">
        <v>240</v>
      </c>
      <c r="H19" s="18"/>
      <c r="I19" s="61"/>
      <c r="J19" s="60"/>
      <c r="K19" s="60"/>
      <c r="L19" s="60"/>
      <c r="M19" s="60"/>
      <c r="N19" s="62"/>
      <c r="O19" s="62"/>
      <c r="P19" s="78">
        <f t="shared" si="2"/>
        <v>0</v>
      </c>
    </row>
    <row r="20" spans="1:16" x14ac:dyDescent="0.2">
      <c r="A20" s="251"/>
      <c r="B20" s="252"/>
      <c r="C20" s="311">
        <f>C19-1</f>
        <v>-3</v>
      </c>
      <c r="D20" s="252" t="s">
        <v>191</v>
      </c>
      <c r="E20" s="313"/>
      <c r="F20" s="334"/>
      <c r="G20" s="457" t="s">
        <v>241</v>
      </c>
      <c r="H20" s="18"/>
      <c r="I20" s="78">
        <f t="shared" ref="I20:O20" si="5">SUM(I21,I22,I23)</f>
        <v>0</v>
      </c>
      <c r="J20" s="78">
        <f t="shared" si="5"/>
        <v>0</v>
      </c>
      <c r="K20" s="78">
        <f t="shared" si="5"/>
        <v>0</v>
      </c>
      <c r="L20" s="78">
        <f t="shared" si="5"/>
        <v>0</v>
      </c>
      <c r="M20" s="78">
        <f t="shared" si="5"/>
        <v>0</v>
      </c>
      <c r="N20" s="78">
        <f t="shared" si="5"/>
        <v>0</v>
      </c>
      <c r="O20" s="78">
        <f t="shared" si="5"/>
        <v>0</v>
      </c>
      <c r="P20" s="78">
        <f t="shared" si="2"/>
        <v>0</v>
      </c>
    </row>
    <row r="21" spans="1:16" x14ac:dyDescent="0.2">
      <c r="A21" s="332"/>
      <c r="B21" s="333"/>
      <c r="C21" s="335"/>
      <c r="D21" s="333" t="s">
        <v>11</v>
      </c>
      <c r="E21" s="333" t="s">
        <v>192</v>
      </c>
      <c r="F21" s="334"/>
      <c r="G21" s="457" t="s">
        <v>242</v>
      </c>
      <c r="H21" s="18"/>
      <c r="I21" s="61"/>
      <c r="J21" s="61"/>
      <c r="K21" s="61"/>
      <c r="L21" s="61"/>
      <c r="M21" s="61"/>
      <c r="N21" s="61"/>
      <c r="O21" s="61"/>
      <c r="P21" s="78">
        <f t="shared" si="2"/>
        <v>0</v>
      </c>
    </row>
    <row r="22" spans="1:16" x14ac:dyDescent="0.2">
      <c r="A22" s="251"/>
      <c r="B22" s="252"/>
      <c r="C22" s="311"/>
      <c r="D22" s="252" t="s">
        <v>15</v>
      </c>
      <c r="E22" s="313" t="s">
        <v>193</v>
      </c>
      <c r="F22" s="334"/>
      <c r="G22" s="457" t="s">
        <v>243</v>
      </c>
      <c r="H22" s="18"/>
      <c r="I22" s="61"/>
      <c r="J22" s="61"/>
      <c r="K22" s="61"/>
      <c r="L22" s="61"/>
      <c r="M22" s="61"/>
      <c r="N22" s="61"/>
      <c r="O22" s="61"/>
      <c r="P22" s="78">
        <f t="shared" si="2"/>
        <v>0</v>
      </c>
    </row>
    <row r="23" spans="1:16" x14ac:dyDescent="0.2">
      <c r="A23" s="332"/>
      <c r="B23" s="333"/>
      <c r="C23" s="335"/>
      <c r="D23" s="333" t="s">
        <v>25</v>
      </c>
      <c r="E23" s="333" t="s">
        <v>194</v>
      </c>
      <c r="F23" s="334"/>
      <c r="G23" s="457" t="s">
        <v>244</v>
      </c>
      <c r="H23" s="18"/>
      <c r="I23" s="61"/>
      <c r="J23" s="61"/>
      <c r="K23" s="61"/>
      <c r="L23" s="61"/>
      <c r="M23" s="61"/>
      <c r="N23" s="61"/>
      <c r="O23" s="61"/>
      <c r="P23" s="78">
        <f t="shared" si="2"/>
        <v>0</v>
      </c>
    </row>
    <row r="24" spans="1:16" x14ac:dyDescent="0.2">
      <c r="A24" s="251"/>
      <c r="B24" s="252" t="s">
        <v>195</v>
      </c>
      <c r="C24" s="311" t="s">
        <v>196</v>
      </c>
      <c r="D24" s="252"/>
      <c r="E24" s="313"/>
      <c r="F24" s="334"/>
      <c r="G24" s="457" t="s">
        <v>245</v>
      </c>
      <c r="H24" s="18"/>
      <c r="I24" s="61"/>
      <c r="J24" s="61"/>
      <c r="K24" s="61"/>
      <c r="L24" s="61"/>
      <c r="M24" s="61"/>
      <c r="N24" s="61"/>
      <c r="O24" s="61"/>
      <c r="P24" s="78">
        <f t="shared" si="2"/>
        <v>0</v>
      </c>
    </row>
    <row r="25" spans="1:16" x14ac:dyDescent="0.2">
      <c r="A25" s="332"/>
      <c r="B25" s="333" t="s">
        <v>197</v>
      </c>
      <c r="C25" s="333" t="s">
        <v>198</v>
      </c>
      <c r="D25" s="333"/>
      <c r="E25" s="333"/>
      <c r="F25" s="334"/>
      <c r="G25" s="457" t="s">
        <v>246</v>
      </c>
      <c r="H25" s="18"/>
      <c r="I25" s="78">
        <f t="shared" ref="I25:O25" si="6">SUM(I26,I27)</f>
        <v>0</v>
      </c>
      <c r="J25" s="78">
        <f t="shared" si="6"/>
        <v>0</v>
      </c>
      <c r="K25" s="78">
        <f t="shared" si="6"/>
        <v>0</v>
      </c>
      <c r="L25" s="78">
        <f t="shared" si="6"/>
        <v>0</v>
      </c>
      <c r="M25" s="78">
        <f t="shared" si="6"/>
        <v>0</v>
      </c>
      <c r="N25" s="78">
        <f t="shared" si="6"/>
        <v>0</v>
      </c>
      <c r="O25" s="78">
        <f t="shared" si="6"/>
        <v>0</v>
      </c>
      <c r="P25" s="78">
        <f t="shared" si="2"/>
        <v>0</v>
      </c>
    </row>
    <row r="26" spans="1:16" x14ac:dyDescent="0.2">
      <c r="A26" s="251"/>
      <c r="B26" s="252"/>
      <c r="C26" s="311">
        <v>-1</v>
      </c>
      <c r="D26" s="252" t="s">
        <v>199</v>
      </c>
      <c r="E26" s="313"/>
      <c r="F26" s="334"/>
      <c r="G26" s="457" t="s">
        <v>247</v>
      </c>
      <c r="H26" s="18"/>
      <c r="I26" s="61"/>
      <c r="J26" s="61"/>
      <c r="K26" s="61"/>
      <c r="L26" s="61"/>
      <c r="M26" s="61"/>
      <c r="N26" s="61"/>
      <c r="O26" s="61"/>
      <c r="P26" s="78">
        <f t="shared" si="2"/>
        <v>0</v>
      </c>
    </row>
    <row r="27" spans="1:16" x14ac:dyDescent="0.2">
      <c r="A27" s="332"/>
      <c r="B27" s="333"/>
      <c r="C27" s="335">
        <f>C26-1</f>
        <v>-2</v>
      </c>
      <c r="D27" s="333" t="s">
        <v>200</v>
      </c>
      <c r="E27" s="333"/>
      <c r="F27" s="334"/>
      <c r="G27" s="457" t="s">
        <v>248</v>
      </c>
      <c r="H27" s="18"/>
      <c r="I27" s="61"/>
      <c r="J27" s="61"/>
      <c r="K27" s="61"/>
      <c r="L27" s="61"/>
      <c r="M27" s="61"/>
      <c r="N27" s="61"/>
      <c r="O27" s="61"/>
      <c r="P27" s="78">
        <f t="shared" si="2"/>
        <v>0</v>
      </c>
    </row>
    <row r="28" spans="1:16" x14ac:dyDescent="0.2">
      <c r="A28" s="251"/>
      <c r="B28" s="252" t="s">
        <v>201</v>
      </c>
      <c r="C28" s="252" t="s">
        <v>202</v>
      </c>
      <c r="D28" s="252"/>
      <c r="E28" s="313"/>
      <c r="F28" s="334"/>
      <c r="G28" s="457" t="s">
        <v>249</v>
      </c>
      <c r="H28" s="18"/>
      <c r="I28" s="78">
        <f t="shared" ref="I28:O28" si="7">SUM(I29,I32)</f>
        <v>0</v>
      </c>
      <c r="J28" s="78">
        <f t="shared" si="7"/>
        <v>0</v>
      </c>
      <c r="K28" s="78">
        <f t="shared" si="7"/>
        <v>0</v>
      </c>
      <c r="L28" s="78">
        <f t="shared" si="7"/>
        <v>0</v>
      </c>
      <c r="M28" s="78">
        <f t="shared" si="7"/>
        <v>0</v>
      </c>
      <c r="N28" s="78">
        <f t="shared" si="7"/>
        <v>0</v>
      </c>
      <c r="O28" s="78">
        <f t="shared" si="7"/>
        <v>0</v>
      </c>
      <c r="P28" s="78">
        <f t="shared" si="2"/>
        <v>0</v>
      </c>
    </row>
    <row r="29" spans="1:16" x14ac:dyDescent="0.2">
      <c r="A29" s="251"/>
      <c r="B29" s="252"/>
      <c r="C29" s="311">
        <v>-1</v>
      </c>
      <c r="D29" s="252" t="s">
        <v>203</v>
      </c>
      <c r="E29" s="252"/>
      <c r="F29" s="334"/>
      <c r="G29" s="457" t="s">
        <v>250</v>
      </c>
      <c r="H29" s="18"/>
      <c r="I29" s="78">
        <f>I30+I31</f>
        <v>0</v>
      </c>
      <c r="J29" s="78">
        <f t="shared" ref="J29:O29" si="8">J30+J31</f>
        <v>0</v>
      </c>
      <c r="K29" s="78">
        <f t="shared" si="8"/>
        <v>0</v>
      </c>
      <c r="L29" s="78">
        <f t="shared" si="8"/>
        <v>0</v>
      </c>
      <c r="M29" s="78">
        <f t="shared" si="8"/>
        <v>0</v>
      </c>
      <c r="N29" s="78">
        <f t="shared" si="8"/>
        <v>0</v>
      </c>
      <c r="O29" s="78">
        <f t="shared" si="8"/>
        <v>0</v>
      </c>
      <c r="P29" s="78">
        <f t="shared" si="2"/>
        <v>0</v>
      </c>
    </row>
    <row r="30" spans="1:16" x14ac:dyDescent="0.2">
      <c r="A30" s="251"/>
      <c r="B30" s="252"/>
      <c r="C30" s="311"/>
      <c r="D30" s="252" t="s">
        <v>11</v>
      </c>
      <c r="E30" s="252" t="s">
        <v>792</v>
      </c>
      <c r="F30" s="313"/>
      <c r="G30" s="457" t="s">
        <v>811</v>
      </c>
      <c r="H30" s="18"/>
      <c r="I30" s="61"/>
      <c r="J30" s="61"/>
      <c r="K30" s="61"/>
      <c r="L30" s="61"/>
      <c r="M30" s="61"/>
      <c r="N30" s="61"/>
      <c r="O30" s="61"/>
      <c r="P30" s="78">
        <f t="shared" si="2"/>
        <v>0</v>
      </c>
    </row>
    <row r="31" spans="1:16" x14ac:dyDescent="0.2">
      <c r="A31" s="332"/>
      <c r="B31" s="333"/>
      <c r="C31" s="335"/>
      <c r="D31" s="336" t="s">
        <v>15</v>
      </c>
      <c r="E31" s="336" t="s">
        <v>793</v>
      </c>
      <c r="F31" s="313"/>
      <c r="G31" s="457" t="s">
        <v>812</v>
      </c>
      <c r="H31" s="18"/>
      <c r="I31" s="61"/>
      <c r="J31" s="61"/>
      <c r="K31" s="61"/>
      <c r="L31" s="61"/>
      <c r="M31" s="61"/>
      <c r="N31" s="61"/>
      <c r="O31" s="61"/>
      <c r="P31" s="78">
        <f t="shared" si="2"/>
        <v>0</v>
      </c>
    </row>
    <row r="32" spans="1:16" x14ac:dyDescent="0.2">
      <c r="A32" s="251"/>
      <c r="B32" s="252"/>
      <c r="C32" s="311">
        <f>C29-1</f>
        <v>-2</v>
      </c>
      <c r="D32" s="252" t="s">
        <v>194</v>
      </c>
      <c r="E32" s="313"/>
      <c r="F32" s="334"/>
      <c r="G32" s="457" t="s">
        <v>251</v>
      </c>
      <c r="H32" s="18"/>
      <c r="I32" s="61"/>
      <c r="J32" s="61"/>
      <c r="K32" s="61"/>
      <c r="L32" s="61"/>
      <c r="M32" s="61"/>
      <c r="N32" s="61"/>
      <c r="O32" s="61"/>
      <c r="P32" s="78">
        <f t="shared" si="2"/>
        <v>0</v>
      </c>
    </row>
    <row r="33" spans="1:16" x14ac:dyDescent="0.2">
      <c r="A33" s="338" t="s">
        <v>33</v>
      </c>
      <c r="B33" s="339" t="s">
        <v>204</v>
      </c>
      <c r="C33" s="333"/>
      <c r="D33" s="333"/>
      <c r="E33" s="333"/>
      <c r="F33" s="334"/>
      <c r="G33" s="457" t="s">
        <v>252</v>
      </c>
      <c r="H33" s="18"/>
      <c r="I33" s="60"/>
      <c r="J33" s="78">
        <f t="shared" ref="J33:O33" si="9">SUM(J34,J35,J36,J39)</f>
        <v>0</v>
      </c>
      <c r="K33" s="78">
        <f t="shared" si="9"/>
        <v>0</v>
      </c>
      <c r="L33" s="78">
        <f t="shared" si="9"/>
        <v>0</v>
      </c>
      <c r="M33" s="78">
        <f t="shared" si="9"/>
        <v>0</v>
      </c>
      <c r="N33" s="78">
        <f t="shared" si="9"/>
        <v>0</v>
      </c>
      <c r="O33" s="78">
        <f t="shared" si="9"/>
        <v>0</v>
      </c>
      <c r="P33" s="78">
        <f t="shared" si="2"/>
        <v>0</v>
      </c>
    </row>
    <row r="34" spans="1:16" x14ac:dyDescent="0.2">
      <c r="A34" s="251"/>
      <c r="B34" s="252" t="s">
        <v>188</v>
      </c>
      <c r="C34" s="252" t="s">
        <v>205</v>
      </c>
      <c r="D34" s="252"/>
      <c r="E34" s="313"/>
      <c r="F34" s="334"/>
      <c r="G34" s="457" t="s">
        <v>253</v>
      </c>
      <c r="H34" s="18"/>
      <c r="I34" s="60"/>
      <c r="J34" s="61"/>
      <c r="K34" s="61"/>
      <c r="L34" s="61"/>
      <c r="M34" s="61"/>
      <c r="N34" s="61"/>
      <c r="O34" s="61"/>
      <c r="P34" s="78">
        <f t="shared" si="2"/>
        <v>0</v>
      </c>
    </row>
    <row r="35" spans="1:16" x14ac:dyDescent="0.2">
      <c r="A35" s="332"/>
      <c r="B35" s="333" t="s">
        <v>195</v>
      </c>
      <c r="C35" s="333" t="s">
        <v>206</v>
      </c>
      <c r="D35" s="333"/>
      <c r="E35" s="333"/>
      <c r="F35" s="334"/>
      <c r="G35" s="457" t="s">
        <v>254</v>
      </c>
      <c r="H35" s="18"/>
      <c r="I35" s="60"/>
      <c r="J35" s="61"/>
      <c r="K35" s="61"/>
      <c r="L35" s="61"/>
      <c r="M35" s="61"/>
      <c r="N35" s="61"/>
      <c r="O35" s="61"/>
      <c r="P35" s="78">
        <f t="shared" si="2"/>
        <v>0</v>
      </c>
    </row>
    <row r="36" spans="1:16" x14ac:dyDescent="0.2">
      <c r="A36" s="251"/>
      <c r="B36" s="252" t="s">
        <v>197</v>
      </c>
      <c r="C36" s="252" t="s">
        <v>198</v>
      </c>
      <c r="D36" s="252"/>
      <c r="E36" s="313"/>
      <c r="F36" s="334"/>
      <c r="G36" s="457" t="s">
        <v>255</v>
      </c>
      <c r="H36" s="18"/>
      <c r="I36" s="60"/>
      <c r="J36" s="78">
        <f t="shared" ref="J36:O36" si="10">SUM(J37,J38)</f>
        <v>0</v>
      </c>
      <c r="K36" s="78">
        <f t="shared" si="10"/>
        <v>0</v>
      </c>
      <c r="L36" s="78">
        <f t="shared" si="10"/>
        <v>0</v>
      </c>
      <c r="M36" s="78">
        <f t="shared" si="10"/>
        <v>0</v>
      </c>
      <c r="N36" s="78">
        <f t="shared" si="10"/>
        <v>0</v>
      </c>
      <c r="O36" s="78">
        <f t="shared" si="10"/>
        <v>0</v>
      </c>
      <c r="P36" s="78">
        <f t="shared" si="2"/>
        <v>0</v>
      </c>
    </row>
    <row r="37" spans="1:16" x14ac:dyDescent="0.2">
      <c r="A37" s="332"/>
      <c r="B37" s="333"/>
      <c r="C37" s="335">
        <v>-1</v>
      </c>
      <c r="D37" s="333" t="s">
        <v>207</v>
      </c>
      <c r="E37" s="333"/>
      <c r="F37" s="334"/>
      <c r="G37" s="457" t="s">
        <v>256</v>
      </c>
      <c r="H37" s="18"/>
      <c r="I37" s="60"/>
      <c r="J37" s="61"/>
      <c r="K37" s="61"/>
      <c r="L37" s="61"/>
      <c r="M37" s="61"/>
      <c r="N37" s="61"/>
      <c r="O37" s="61"/>
      <c r="P37" s="78">
        <f t="shared" si="2"/>
        <v>0</v>
      </c>
    </row>
    <row r="38" spans="1:16" x14ac:dyDescent="0.2">
      <c r="A38" s="251"/>
      <c r="B38" s="252"/>
      <c r="C38" s="311">
        <f>C37-1</f>
        <v>-2</v>
      </c>
      <c r="D38" s="252" t="s">
        <v>200</v>
      </c>
      <c r="E38" s="313"/>
      <c r="F38" s="334"/>
      <c r="G38" s="457" t="s">
        <v>257</v>
      </c>
      <c r="H38" s="18"/>
      <c r="I38" s="60"/>
      <c r="J38" s="61"/>
      <c r="K38" s="61"/>
      <c r="L38" s="61"/>
      <c r="M38" s="61"/>
      <c r="N38" s="61"/>
      <c r="O38" s="61"/>
      <c r="P38" s="78">
        <f t="shared" si="2"/>
        <v>0</v>
      </c>
    </row>
    <row r="39" spans="1:16" s="21" customFormat="1" x14ac:dyDescent="0.2">
      <c r="A39" s="332"/>
      <c r="B39" s="333" t="s">
        <v>201</v>
      </c>
      <c r="C39" s="333" t="s">
        <v>208</v>
      </c>
      <c r="D39" s="333"/>
      <c r="E39" s="333"/>
      <c r="F39" s="334"/>
      <c r="G39" s="457" t="s">
        <v>258</v>
      </c>
      <c r="H39" s="18"/>
      <c r="I39" s="60"/>
      <c r="J39" s="61"/>
      <c r="K39" s="61"/>
      <c r="L39" s="61"/>
      <c r="M39" s="61"/>
      <c r="N39" s="61"/>
      <c r="O39" s="61"/>
      <c r="P39" s="78">
        <f t="shared" si="2"/>
        <v>0</v>
      </c>
    </row>
    <row r="40" spans="1:16" s="21" customFormat="1" x14ac:dyDescent="0.2">
      <c r="A40" s="340" t="s">
        <v>48</v>
      </c>
      <c r="B40" s="331" t="s">
        <v>209</v>
      </c>
      <c r="C40" s="311"/>
      <c r="D40" s="252"/>
      <c r="E40" s="313"/>
      <c r="F40" s="334"/>
      <c r="G40" s="457" t="s">
        <v>259</v>
      </c>
      <c r="H40" s="18"/>
      <c r="I40" s="62"/>
      <c r="J40" s="61"/>
      <c r="K40" s="61"/>
      <c r="L40" s="61"/>
      <c r="M40" s="61"/>
      <c r="N40" s="61"/>
      <c r="O40" s="61"/>
      <c r="P40" s="78">
        <f t="shared" si="2"/>
        <v>0</v>
      </c>
    </row>
    <row r="41" spans="1:16" s="21" customFormat="1" x14ac:dyDescent="0.2">
      <c r="A41" s="341"/>
      <c r="B41" s="339" t="s">
        <v>210</v>
      </c>
      <c r="C41" s="335"/>
      <c r="D41" s="333"/>
      <c r="E41" s="333"/>
      <c r="F41" s="334"/>
      <c r="G41" s="457" t="s">
        <v>260</v>
      </c>
      <c r="H41" s="18"/>
      <c r="I41" s="77">
        <f t="shared" ref="I41:O41" si="11">SUM(I11,I33,I40)</f>
        <v>0</v>
      </c>
      <c r="J41" s="77">
        <f t="shared" si="11"/>
        <v>0</v>
      </c>
      <c r="K41" s="77">
        <f t="shared" si="11"/>
        <v>0</v>
      </c>
      <c r="L41" s="77">
        <f t="shared" si="11"/>
        <v>0</v>
      </c>
      <c r="M41" s="77">
        <f t="shared" si="11"/>
        <v>0</v>
      </c>
      <c r="N41" s="77">
        <f t="shared" si="11"/>
        <v>0</v>
      </c>
      <c r="O41" s="77">
        <f t="shared" si="11"/>
        <v>0</v>
      </c>
      <c r="P41" s="78">
        <f t="shared" si="2"/>
        <v>0</v>
      </c>
    </row>
    <row r="42" spans="1:16" s="21" customFormat="1" x14ac:dyDescent="0.2">
      <c r="A42" s="342" t="s">
        <v>211</v>
      </c>
      <c r="B42" s="252"/>
      <c r="C42" s="311"/>
      <c r="D42" s="252"/>
      <c r="E42" s="313"/>
      <c r="F42" s="334"/>
      <c r="G42" s="461" t="s">
        <v>261</v>
      </c>
      <c r="H42" s="18"/>
      <c r="I42" s="35"/>
      <c r="J42" s="35"/>
      <c r="K42" s="35"/>
      <c r="L42" s="35"/>
      <c r="M42" s="35"/>
      <c r="N42" s="35"/>
      <c r="O42" s="35"/>
      <c r="P42" s="78"/>
    </row>
    <row r="43" spans="1:16" s="21" customFormat="1" x14ac:dyDescent="0.2">
      <c r="A43" s="338" t="s">
        <v>186</v>
      </c>
      <c r="B43" s="339" t="s">
        <v>187</v>
      </c>
      <c r="C43" s="335"/>
      <c r="D43" s="333"/>
      <c r="E43" s="333"/>
      <c r="F43" s="334"/>
      <c r="G43" s="457" t="s">
        <v>262</v>
      </c>
      <c r="H43" s="18"/>
      <c r="I43" s="77">
        <f>SUM(I44,I47,I50)</f>
        <v>0</v>
      </c>
      <c r="J43" s="77">
        <f>SUM(J44,J47,J50)</f>
        <v>0</v>
      </c>
      <c r="K43" s="77">
        <f>SUM(K44,K47,K50)</f>
        <v>0</v>
      </c>
      <c r="L43" s="295"/>
      <c r="M43" s="295"/>
      <c r="N43" s="77">
        <f>SUM(N44,N47,N50)</f>
        <v>0</v>
      </c>
      <c r="O43" s="77">
        <f>SUM(O44,O47,O50)</f>
        <v>0</v>
      </c>
      <c r="P43" s="78">
        <f>SUM(I43,K43,M43,O43)</f>
        <v>0</v>
      </c>
    </row>
    <row r="44" spans="1:16" s="21" customFormat="1" x14ac:dyDescent="0.2">
      <c r="A44" s="251"/>
      <c r="B44" s="252" t="s">
        <v>188</v>
      </c>
      <c r="C44" s="567" t="s">
        <v>212</v>
      </c>
      <c r="D44" s="567"/>
      <c r="E44" s="567"/>
      <c r="F44" s="568"/>
      <c r="G44" s="457" t="s">
        <v>263</v>
      </c>
      <c r="H44" s="18"/>
      <c r="I44" s="77">
        <f>SUM(I45,I46)</f>
        <v>0</v>
      </c>
      <c r="J44" s="77">
        <f>SUM(J45,J46)</f>
        <v>0</v>
      </c>
      <c r="K44" s="77">
        <f>SUM(K45,K46)</f>
        <v>0</v>
      </c>
      <c r="L44" s="295"/>
      <c r="M44" s="295"/>
      <c r="N44" s="77">
        <f>SUM(N45,N46)</f>
        <v>0</v>
      </c>
      <c r="O44" s="77">
        <f>SUM(O45,O46)</f>
        <v>0</v>
      </c>
      <c r="P44" s="78">
        <f t="shared" ref="P44:P86" si="12">SUM(I44,K44,M44,O44)</f>
        <v>0</v>
      </c>
    </row>
    <row r="45" spans="1:16" s="21" customFormat="1" x14ac:dyDescent="0.2">
      <c r="A45" s="332"/>
      <c r="B45" s="333"/>
      <c r="C45" s="343" t="s">
        <v>19</v>
      </c>
      <c r="D45" s="569" t="s">
        <v>213</v>
      </c>
      <c r="E45" s="569"/>
      <c r="F45" s="570"/>
      <c r="G45" s="457" t="s">
        <v>264</v>
      </c>
      <c r="H45" s="18"/>
      <c r="I45" s="62"/>
      <c r="J45" s="62"/>
      <c r="K45" s="62"/>
      <c r="L45" s="60"/>
      <c r="M45" s="60"/>
      <c r="N45" s="82"/>
      <c r="O45" s="82"/>
      <c r="P45" s="78">
        <f t="shared" si="12"/>
        <v>0</v>
      </c>
    </row>
    <row r="46" spans="1:16" s="21" customFormat="1" x14ac:dyDescent="0.2">
      <c r="A46" s="251"/>
      <c r="B46" s="252"/>
      <c r="C46" s="344" t="s">
        <v>21</v>
      </c>
      <c r="D46" s="567" t="s">
        <v>194</v>
      </c>
      <c r="E46" s="567"/>
      <c r="F46" s="568"/>
      <c r="G46" s="457" t="s">
        <v>265</v>
      </c>
      <c r="H46" s="18"/>
      <c r="I46" s="62"/>
      <c r="J46" s="62"/>
      <c r="K46" s="62"/>
      <c r="L46" s="60"/>
      <c r="M46" s="60"/>
      <c r="N46" s="82"/>
      <c r="O46" s="82"/>
      <c r="P46" s="78">
        <f t="shared" si="12"/>
        <v>0</v>
      </c>
    </row>
    <row r="47" spans="1:16" s="21" customFormat="1" x14ac:dyDescent="0.2">
      <c r="A47" s="332"/>
      <c r="B47" s="333" t="s">
        <v>195</v>
      </c>
      <c r="C47" s="335" t="s">
        <v>198</v>
      </c>
      <c r="D47" s="333"/>
      <c r="E47" s="333"/>
      <c r="F47" s="334"/>
      <c r="G47" s="457" t="s">
        <v>266</v>
      </c>
      <c r="H47" s="18"/>
      <c r="I47" s="77">
        <f>SUM(I48,I49)</f>
        <v>0</v>
      </c>
      <c r="J47" s="77">
        <f>SUM(J48,J49)</f>
        <v>0</v>
      </c>
      <c r="K47" s="77">
        <f>SUM(K48,K49)</f>
        <v>0</v>
      </c>
      <c r="L47" s="295"/>
      <c r="M47" s="295"/>
      <c r="N47" s="77">
        <f>SUM(N48,N49)</f>
        <v>0</v>
      </c>
      <c r="O47" s="77">
        <f>SUM(O48,O49)</f>
        <v>0</v>
      </c>
      <c r="P47" s="78">
        <f t="shared" si="12"/>
        <v>0</v>
      </c>
    </row>
    <row r="48" spans="1:16" s="21" customFormat="1" x14ac:dyDescent="0.2">
      <c r="A48" s="251"/>
      <c r="B48" s="252"/>
      <c r="C48" s="311">
        <v>-1</v>
      </c>
      <c r="D48" s="252" t="s">
        <v>199</v>
      </c>
      <c r="E48" s="313"/>
      <c r="F48" s="334"/>
      <c r="G48" s="457" t="s">
        <v>267</v>
      </c>
      <c r="H48" s="18"/>
      <c r="I48" s="62"/>
      <c r="J48" s="62"/>
      <c r="K48" s="62"/>
      <c r="L48" s="60"/>
      <c r="M48" s="60"/>
      <c r="N48" s="82"/>
      <c r="O48" s="82"/>
      <c r="P48" s="78">
        <f t="shared" si="12"/>
        <v>0</v>
      </c>
    </row>
    <row r="49" spans="1:16" s="21" customFormat="1" x14ac:dyDescent="0.2">
      <c r="A49" s="332"/>
      <c r="B49" s="333"/>
      <c r="C49" s="345" t="s">
        <v>21</v>
      </c>
      <c r="D49" s="333" t="s">
        <v>200</v>
      </c>
      <c r="E49" s="333"/>
      <c r="F49" s="334"/>
      <c r="G49" s="457" t="s">
        <v>268</v>
      </c>
      <c r="H49" s="18"/>
      <c r="I49" s="62"/>
      <c r="J49" s="62"/>
      <c r="K49" s="62"/>
      <c r="L49" s="60"/>
      <c r="M49" s="60"/>
      <c r="N49" s="82"/>
      <c r="O49" s="82"/>
      <c r="P49" s="78">
        <f t="shared" si="12"/>
        <v>0</v>
      </c>
    </row>
    <row r="50" spans="1:16" s="21" customFormat="1" x14ac:dyDescent="0.2">
      <c r="A50" s="251"/>
      <c r="B50" s="252" t="s">
        <v>197</v>
      </c>
      <c r="C50" s="311" t="s">
        <v>202</v>
      </c>
      <c r="D50" s="252"/>
      <c r="E50" s="313"/>
      <c r="F50" s="334"/>
      <c r="G50" s="457" t="s">
        <v>269</v>
      </c>
      <c r="H50" s="18"/>
      <c r="I50" s="77">
        <f>SUM(I51,I52)</f>
        <v>0</v>
      </c>
      <c r="J50" s="77">
        <f>SUM(J51,J52)</f>
        <v>0</v>
      </c>
      <c r="K50" s="77">
        <f>SUM(K51,K52)</f>
        <v>0</v>
      </c>
      <c r="L50" s="295"/>
      <c r="M50" s="295"/>
      <c r="N50" s="77">
        <f>SUM(N51,N52)</f>
        <v>0</v>
      </c>
      <c r="O50" s="77">
        <f>SUM(O51,O52)</f>
        <v>0</v>
      </c>
      <c r="P50" s="78">
        <f t="shared" si="12"/>
        <v>0</v>
      </c>
    </row>
    <row r="51" spans="1:16" s="21" customFormat="1" x14ac:dyDescent="0.2">
      <c r="A51" s="332"/>
      <c r="B51" s="333"/>
      <c r="C51" s="343" t="s">
        <v>19</v>
      </c>
      <c r="D51" s="569" t="s">
        <v>203</v>
      </c>
      <c r="E51" s="569"/>
      <c r="F51" s="570"/>
      <c r="G51" s="457" t="s">
        <v>270</v>
      </c>
      <c r="H51" s="18"/>
      <c r="I51" s="62"/>
      <c r="J51" s="62"/>
      <c r="K51" s="62"/>
      <c r="L51" s="60"/>
      <c r="M51" s="60"/>
      <c r="N51" s="82"/>
      <c r="O51" s="82"/>
      <c r="P51" s="78">
        <f t="shared" si="12"/>
        <v>0</v>
      </c>
    </row>
    <row r="52" spans="1:16" s="21" customFormat="1" x14ac:dyDescent="0.2">
      <c r="A52" s="251"/>
      <c r="B52" s="252"/>
      <c r="C52" s="344" t="s">
        <v>21</v>
      </c>
      <c r="D52" s="567" t="s">
        <v>194</v>
      </c>
      <c r="E52" s="567"/>
      <c r="F52" s="568"/>
      <c r="G52" s="457" t="s">
        <v>271</v>
      </c>
      <c r="H52" s="18"/>
      <c r="I52" s="62"/>
      <c r="J52" s="62"/>
      <c r="K52" s="62"/>
      <c r="L52" s="60"/>
      <c r="M52" s="60"/>
      <c r="N52" s="82"/>
      <c r="O52" s="82"/>
      <c r="P52" s="78">
        <f t="shared" si="12"/>
        <v>0</v>
      </c>
    </row>
    <row r="53" spans="1:16" s="21" customFormat="1" x14ac:dyDescent="0.2">
      <c r="A53" s="338" t="s">
        <v>214</v>
      </c>
      <c r="B53" s="339" t="s">
        <v>204</v>
      </c>
      <c r="C53" s="335"/>
      <c r="D53" s="333"/>
      <c r="E53" s="333"/>
      <c r="F53" s="334"/>
      <c r="G53" s="457" t="s">
        <v>272</v>
      </c>
      <c r="H53" s="18"/>
      <c r="I53" s="295"/>
      <c r="J53" s="78">
        <f>SUM(J54,J55)</f>
        <v>0</v>
      </c>
      <c r="K53" s="78">
        <f>SUM(K54,K55)</f>
        <v>0</v>
      </c>
      <c r="L53" s="295"/>
      <c r="M53" s="295"/>
      <c r="N53" s="77">
        <f>SUM(N54,N55)</f>
        <v>0</v>
      </c>
      <c r="O53" s="77">
        <f>SUM(O54,O55)</f>
        <v>0</v>
      </c>
      <c r="P53" s="78">
        <f t="shared" si="12"/>
        <v>0</v>
      </c>
    </row>
    <row r="54" spans="1:16" s="21" customFormat="1" x14ac:dyDescent="0.2">
      <c r="A54" s="330"/>
      <c r="B54" s="252" t="s">
        <v>188</v>
      </c>
      <c r="C54" s="311" t="s">
        <v>198</v>
      </c>
      <c r="D54" s="252"/>
      <c r="E54" s="313"/>
      <c r="F54" s="334"/>
      <c r="G54" s="457" t="s">
        <v>273</v>
      </c>
      <c r="H54" s="18"/>
      <c r="I54" s="60"/>
      <c r="J54" s="61"/>
      <c r="K54" s="61"/>
      <c r="L54" s="60"/>
      <c r="M54" s="60"/>
      <c r="N54" s="82"/>
      <c r="O54" s="82"/>
      <c r="P54" s="78">
        <f t="shared" si="12"/>
        <v>0</v>
      </c>
    </row>
    <row r="55" spans="1:16" s="21" customFormat="1" x14ac:dyDescent="0.2">
      <c r="A55" s="338"/>
      <c r="B55" s="333" t="s">
        <v>195</v>
      </c>
      <c r="C55" s="335" t="s">
        <v>208</v>
      </c>
      <c r="D55" s="333"/>
      <c r="E55" s="333"/>
      <c r="F55" s="334"/>
      <c r="G55" s="457" t="s">
        <v>274</v>
      </c>
      <c r="H55" s="18"/>
      <c r="I55" s="60"/>
      <c r="J55" s="61"/>
      <c r="K55" s="61"/>
      <c r="L55" s="60"/>
      <c r="M55" s="60"/>
      <c r="N55" s="82"/>
      <c r="O55" s="82"/>
      <c r="P55" s="78">
        <f t="shared" si="12"/>
        <v>0</v>
      </c>
    </row>
    <row r="56" spans="1:16" s="21" customFormat="1" x14ac:dyDescent="0.2">
      <c r="A56" s="251"/>
      <c r="B56" s="331" t="s">
        <v>210</v>
      </c>
      <c r="C56" s="311"/>
      <c r="D56" s="252"/>
      <c r="E56" s="313"/>
      <c r="F56" s="334"/>
      <c r="G56" s="457" t="s">
        <v>275</v>
      </c>
      <c r="H56" s="18"/>
      <c r="I56" s="77">
        <f t="shared" ref="I56:O56" si="13">SUM(I43,I53)</f>
        <v>0</v>
      </c>
      <c r="J56" s="77">
        <f t="shared" si="13"/>
        <v>0</v>
      </c>
      <c r="K56" s="77">
        <f t="shared" si="13"/>
        <v>0</v>
      </c>
      <c r="L56" s="295"/>
      <c r="M56" s="295"/>
      <c r="N56" s="77">
        <f t="shared" si="13"/>
        <v>0</v>
      </c>
      <c r="O56" s="77">
        <f t="shared" si="13"/>
        <v>0</v>
      </c>
      <c r="P56" s="78">
        <f t="shared" si="12"/>
        <v>0</v>
      </c>
    </row>
    <row r="57" spans="1:16" s="21" customFormat="1" x14ac:dyDescent="0.2">
      <c r="A57" s="330" t="s">
        <v>392</v>
      </c>
      <c r="B57" s="331"/>
      <c r="C57" s="252"/>
      <c r="D57" s="252"/>
      <c r="E57" s="313"/>
      <c r="F57" s="334"/>
      <c r="G57" s="457" t="s">
        <v>276</v>
      </c>
      <c r="H57" s="18"/>
      <c r="I57" s="77">
        <f t="shared" ref="I57:O57" si="14">SUM(I41,I56)</f>
        <v>0</v>
      </c>
      <c r="J57" s="77">
        <f t="shared" si="14"/>
        <v>0</v>
      </c>
      <c r="K57" s="77">
        <f t="shared" si="14"/>
        <v>0</v>
      </c>
      <c r="L57" s="77">
        <f t="shared" si="14"/>
        <v>0</v>
      </c>
      <c r="M57" s="77">
        <f t="shared" si="14"/>
        <v>0</v>
      </c>
      <c r="N57" s="77">
        <f t="shared" si="14"/>
        <v>0</v>
      </c>
      <c r="O57" s="77">
        <f t="shared" si="14"/>
        <v>0</v>
      </c>
      <c r="P57" s="78">
        <f t="shared" si="12"/>
        <v>0</v>
      </c>
    </row>
    <row r="58" spans="1:16" s="21" customFormat="1" x14ac:dyDescent="0.2">
      <c r="A58" s="338" t="s">
        <v>215</v>
      </c>
      <c r="B58" s="333"/>
      <c r="C58" s="333"/>
      <c r="D58" s="333"/>
      <c r="E58" s="333"/>
      <c r="F58" s="334"/>
      <c r="G58" s="461" t="s">
        <v>261</v>
      </c>
      <c r="H58" s="18"/>
      <c r="I58" s="35"/>
      <c r="J58" s="29"/>
      <c r="K58" s="29"/>
      <c r="L58" s="29"/>
      <c r="M58" s="29"/>
      <c r="N58" s="35"/>
      <c r="O58" s="35"/>
      <c r="P58" s="78"/>
    </row>
    <row r="59" spans="1:16" s="21" customFormat="1" x14ac:dyDescent="0.2">
      <c r="A59" s="251" t="s">
        <v>9</v>
      </c>
      <c r="B59" s="252" t="s">
        <v>216</v>
      </c>
      <c r="C59" s="252"/>
      <c r="D59" s="252"/>
      <c r="E59" s="313"/>
      <c r="F59" s="334"/>
      <c r="G59" s="457" t="s">
        <v>277</v>
      </c>
      <c r="H59" s="18"/>
      <c r="I59" s="77">
        <f>SUM(I60,I61,I62,I63)</f>
        <v>0</v>
      </c>
      <c r="J59" s="77">
        <f>SUM(J60,J61,J62,J63)</f>
        <v>0</v>
      </c>
      <c r="K59" s="77">
        <f>SUM(K60,K61,K62,K63)</f>
        <v>0</v>
      </c>
      <c r="L59" s="60"/>
      <c r="M59" s="60"/>
      <c r="N59" s="481">
        <f>SUM(N60,N61,N62,N63)</f>
        <v>0</v>
      </c>
      <c r="O59" s="481">
        <f>SUM(O60,O61,O62,O63)</f>
        <v>0</v>
      </c>
      <c r="P59" s="78">
        <f t="shared" si="12"/>
        <v>0</v>
      </c>
    </row>
    <row r="60" spans="1:16" s="21" customFormat="1" x14ac:dyDescent="0.2">
      <c r="A60" s="332"/>
      <c r="B60" s="333" t="s">
        <v>217</v>
      </c>
      <c r="C60" s="333" t="s">
        <v>218</v>
      </c>
      <c r="D60" s="333"/>
      <c r="E60" s="333"/>
      <c r="F60" s="334"/>
      <c r="G60" s="457" t="s">
        <v>278</v>
      </c>
      <c r="H60" s="18"/>
      <c r="I60" s="62"/>
      <c r="J60" s="60"/>
      <c r="K60" s="60"/>
      <c r="L60" s="60"/>
      <c r="M60" s="60"/>
      <c r="N60" s="82"/>
      <c r="O60" s="82"/>
      <c r="P60" s="78">
        <f t="shared" si="12"/>
        <v>0</v>
      </c>
    </row>
    <row r="61" spans="1:16" s="21" customFormat="1" x14ac:dyDescent="0.2">
      <c r="A61" s="251"/>
      <c r="B61" s="252" t="s">
        <v>219</v>
      </c>
      <c r="C61" s="252" t="s">
        <v>220</v>
      </c>
      <c r="D61" s="252"/>
      <c r="E61" s="313"/>
      <c r="F61" s="334"/>
      <c r="G61" s="457" t="s">
        <v>279</v>
      </c>
      <c r="H61" s="18"/>
      <c r="I61" s="61"/>
      <c r="J61" s="60"/>
      <c r="K61" s="60"/>
      <c r="L61" s="60"/>
      <c r="M61" s="60"/>
      <c r="N61" s="82"/>
      <c r="O61" s="82"/>
      <c r="P61" s="78">
        <f t="shared" si="12"/>
        <v>0</v>
      </c>
    </row>
    <row r="62" spans="1:16" s="21" customFormat="1" x14ac:dyDescent="0.2">
      <c r="A62" s="332"/>
      <c r="B62" s="333" t="s">
        <v>197</v>
      </c>
      <c r="C62" s="333" t="s">
        <v>941</v>
      </c>
      <c r="D62" s="333"/>
      <c r="E62" s="333"/>
      <c r="F62" s="334"/>
      <c r="G62" s="457" t="s">
        <v>280</v>
      </c>
      <c r="H62" s="18"/>
      <c r="I62" s="61"/>
      <c r="J62" s="60"/>
      <c r="K62" s="60"/>
      <c r="L62" s="60"/>
      <c r="M62" s="60"/>
      <c r="N62" s="82"/>
      <c r="O62" s="82"/>
      <c r="P62" s="78">
        <f t="shared" si="12"/>
        <v>0</v>
      </c>
    </row>
    <row r="63" spans="1:16" s="21" customFormat="1" ht="26.25" customHeight="1" x14ac:dyDescent="0.2">
      <c r="A63" s="251"/>
      <c r="B63" s="252" t="s">
        <v>201</v>
      </c>
      <c r="C63" s="563" t="s">
        <v>969</v>
      </c>
      <c r="D63" s="563"/>
      <c r="E63" s="564"/>
      <c r="F63" s="333"/>
      <c r="G63" s="457" t="s">
        <v>971</v>
      </c>
      <c r="H63" s="18"/>
      <c r="I63" s="61"/>
      <c r="J63" s="61"/>
      <c r="K63" s="61"/>
      <c r="L63" s="60"/>
      <c r="M63" s="60"/>
      <c r="N63" s="82"/>
      <c r="O63" s="82"/>
      <c r="P63" s="480">
        <f t="shared" si="12"/>
        <v>0</v>
      </c>
    </row>
    <row r="64" spans="1:16" s="21" customFormat="1" x14ac:dyDescent="0.2">
      <c r="A64" s="346" t="s">
        <v>33</v>
      </c>
      <c r="B64" s="571" t="s">
        <v>221</v>
      </c>
      <c r="C64" s="571"/>
      <c r="D64" s="571"/>
      <c r="E64" s="571"/>
      <c r="F64" s="572"/>
      <c r="G64" s="457" t="s">
        <v>281</v>
      </c>
      <c r="H64" s="18"/>
      <c r="I64" s="61"/>
      <c r="J64" s="60"/>
      <c r="K64" s="60"/>
      <c r="L64" s="60"/>
      <c r="M64" s="60"/>
      <c r="N64" s="82"/>
      <c r="O64" s="82"/>
      <c r="P64" s="78">
        <f t="shared" si="12"/>
        <v>0</v>
      </c>
    </row>
    <row r="65" spans="1:16" s="21" customFormat="1" x14ac:dyDescent="0.2">
      <c r="A65" s="347" t="s">
        <v>48</v>
      </c>
      <c r="B65" s="573" t="s">
        <v>222</v>
      </c>
      <c r="C65" s="573"/>
      <c r="D65" s="573"/>
      <c r="E65" s="573"/>
      <c r="F65" s="574"/>
      <c r="G65" s="457" t="s">
        <v>282</v>
      </c>
      <c r="H65" s="18"/>
      <c r="I65" s="61"/>
      <c r="J65" s="61"/>
      <c r="K65" s="61"/>
      <c r="L65" s="61"/>
      <c r="M65" s="61"/>
      <c r="N65" s="82"/>
      <c r="O65" s="82"/>
      <c r="P65" s="78">
        <f t="shared" si="12"/>
        <v>0</v>
      </c>
    </row>
    <row r="66" spans="1:16" s="21" customFormat="1" x14ac:dyDescent="0.2">
      <c r="A66" s="346" t="s">
        <v>55</v>
      </c>
      <c r="B66" s="571" t="s">
        <v>223</v>
      </c>
      <c r="C66" s="571"/>
      <c r="D66" s="327"/>
      <c r="E66" s="324"/>
      <c r="F66" s="363"/>
      <c r="G66" s="457" t="s">
        <v>283</v>
      </c>
      <c r="H66" s="18"/>
      <c r="I66" s="61"/>
      <c r="J66" s="60"/>
      <c r="K66" s="60"/>
      <c r="L66" s="60"/>
      <c r="M66" s="60"/>
      <c r="N66" s="82"/>
      <c r="O66" s="82"/>
      <c r="P66" s="78">
        <f t="shared" si="12"/>
        <v>0</v>
      </c>
    </row>
    <row r="67" spans="1:16" s="21" customFormat="1" x14ac:dyDescent="0.2">
      <c r="A67" s="346" t="s">
        <v>224</v>
      </c>
      <c r="B67" s="252" t="s">
        <v>225</v>
      </c>
      <c r="C67" s="252"/>
      <c r="D67" s="252"/>
      <c r="E67" s="313"/>
      <c r="F67" s="334"/>
      <c r="G67" s="457" t="s">
        <v>284</v>
      </c>
      <c r="H67" s="18"/>
      <c r="I67" s="78">
        <f t="shared" ref="I67:O67" si="15">SUM(I68,I69,I70)</f>
        <v>0</v>
      </c>
      <c r="J67" s="78">
        <f t="shared" si="15"/>
        <v>0</v>
      </c>
      <c r="K67" s="78">
        <f t="shared" si="15"/>
        <v>0</v>
      </c>
      <c r="L67" s="78">
        <f t="shared" si="15"/>
        <v>0</v>
      </c>
      <c r="M67" s="78">
        <f t="shared" si="15"/>
        <v>0</v>
      </c>
      <c r="N67" s="77">
        <f t="shared" si="15"/>
        <v>0</v>
      </c>
      <c r="O67" s="77">
        <f t="shared" si="15"/>
        <v>0</v>
      </c>
      <c r="P67" s="78">
        <f t="shared" si="12"/>
        <v>0</v>
      </c>
    </row>
    <row r="68" spans="1:16" s="21" customFormat="1" x14ac:dyDescent="0.2">
      <c r="A68" s="332"/>
      <c r="B68" s="333" t="s">
        <v>188</v>
      </c>
      <c r="C68" s="333" t="s">
        <v>226</v>
      </c>
      <c r="D68" s="333"/>
      <c r="E68" s="333"/>
      <c r="F68" s="334"/>
      <c r="G68" s="457" t="s">
        <v>285</v>
      </c>
      <c r="H68" s="18"/>
      <c r="I68" s="61"/>
      <c r="J68" s="61"/>
      <c r="K68" s="61"/>
      <c r="L68" s="61"/>
      <c r="M68" s="61"/>
      <c r="N68" s="62"/>
      <c r="O68" s="62"/>
      <c r="P68" s="78">
        <f t="shared" si="12"/>
        <v>0</v>
      </c>
    </row>
    <row r="69" spans="1:16" s="21" customFormat="1" x14ac:dyDescent="0.2">
      <c r="A69" s="251"/>
      <c r="B69" s="252" t="s">
        <v>195</v>
      </c>
      <c r="C69" s="252" t="s">
        <v>227</v>
      </c>
      <c r="D69" s="252"/>
      <c r="E69" s="313"/>
      <c r="F69" s="334"/>
      <c r="G69" s="457" t="s">
        <v>286</v>
      </c>
      <c r="H69" s="18"/>
      <c r="I69" s="61"/>
      <c r="J69" s="61"/>
      <c r="K69" s="61"/>
      <c r="L69" s="61"/>
      <c r="M69" s="61"/>
      <c r="N69" s="62"/>
      <c r="O69" s="62"/>
      <c r="P69" s="78">
        <f t="shared" si="12"/>
        <v>0</v>
      </c>
    </row>
    <row r="70" spans="1:16" s="21" customFormat="1" x14ac:dyDescent="0.2">
      <c r="A70" s="332"/>
      <c r="B70" s="333" t="s">
        <v>197</v>
      </c>
      <c r="C70" s="333" t="s">
        <v>228</v>
      </c>
      <c r="D70" s="333"/>
      <c r="E70" s="333"/>
      <c r="F70" s="334"/>
      <c r="G70" s="457" t="s">
        <v>287</v>
      </c>
      <c r="H70" s="18"/>
      <c r="I70" s="78">
        <f t="shared" ref="I70:O70" si="16">SUM(I71,I72)</f>
        <v>0</v>
      </c>
      <c r="J70" s="78">
        <f t="shared" si="16"/>
        <v>0</v>
      </c>
      <c r="K70" s="78">
        <f t="shared" si="16"/>
        <v>0</v>
      </c>
      <c r="L70" s="78">
        <f t="shared" si="16"/>
        <v>0</v>
      </c>
      <c r="M70" s="78">
        <f t="shared" si="16"/>
        <v>0</v>
      </c>
      <c r="N70" s="77">
        <f t="shared" si="16"/>
        <v>0</v>
      </c>
      <c r="O70" s="77">
        <f t="shared" si="16"/>
        <v>0</v>
      </c>
      <c r="P70" s="78">
        <f t="shared" si="12"/>
        <v>0</v>
      </c>
    </row>
    <row r="71" spans="1:16" s="21" customFormat="1" x14ac:dyDescent="0.2">
      <c r="A71" s="251"/>
      <c r="B71" s="252"/>
      <c r="C71" s="349" t="s">
        <v>19</v>
      </c>
      <c r="D71" s="252" t="s">
        <v>229</v>
      </c>
      <c r="E71" s="313"/>
      <c r="F71" s="334"/>
      <c r="G71" s="457" t="s">
        <v>288</v>
      </c>
      <c r="H71" s="18"/>
      <c r="I71" s="61"/>
      <c r="J71" s="61"/>
      <c r="K71" s="61"/>
      <c r="L71" s="61"/>
      <c r="M71" s="61"/>
      <c r="N71" s="62"/>
      <c r="O71" s="62"/>
      <c r="P71" s="78">
        <f t="shared" si="12"/>
        <v>0</v>
      </c>
    </row>
    <row r="72" spans="1:16" s="21" customFormat="1" x14ac:dyDescent="0.2">
      <c r="A72" s="332"/>
      <c r="B72" s="333"/>
      <c r="C72" s="348" t="s">
        <v>21</v>
      </c>
      <c r="D72" s="333" t="s">
        <v>228</v>
      </c>
      <c r="E72" s="333"/>
      <c r="F72" s="334"/>
      <c r="G72" s="457" t="s">
        <v>289</v>
      </c>
      <c r="H72" s="18"/>
      <c r="I72" s="61"/>
      <c r="J72" s="61"/>
      <c r="K72" s="61"/>
      <c r="L72" s="61"/>
      <c r="M72" s="61"/>
      <c r="N72" s="62"/>
      <c r="O72" s="62"/>
      <c r="P72" s="78">
        <f t="shared" si="12"/>
        <v>0</v>
      </c>
    </row>
    <row r="73" spans="1:16" s="21" customFormat="1" x14ac:dyDescent="0.2">
      <c r="A73" s="346" t="s">
        <v>230</v>
      </c>
      <c r="B73" s="252" t="s">
        <v>231</v>
      </c>
      <c r="C73" s="252"/>
      <c r="D73" s="252"/>
      <c r="E73" s="313"/>
      <c r="F73" s="334"/>
      <c r="G73" s="457" t="s">
        <v>290</v>
      </c>
      <c r="H73" s="18"/>
      <c r="I73" s="78">
        <f t="shared" ref="I73:O73" si="17">SUM(I74,I75)</f>
        <v>0</v>
      </c>
      <c r="J73" s="78">
        <f t="shared" si="17"/>
        <v>0</v>
      </c>
      <c r="K73" s="78">
        <f t="shared" si="17"/>
        <v>0</v>
      </c>
      <c r="L73" s="78">
        <f t="shared" si="17"/>
        <v>0</v>
      </c>
      <c r="M73" s="78">
        <f t="shared" si="17"/>
        <v>0</v>
      </c>
      <c r="N73" s="77">
        <f t="shared" si="17"/>
        <v>0</v>
      </c>
      <c r="O73" s="77">
        <f t="shared" si="17"/>
        <v>0</v>
      </c>
      <c r="P73" s="78">
        <f t="shared" si="12"/>
        <v>0</v>
      </c>
    </row>
    <row r="74" spans="1:16" s="21" customFormat="1" x14ac:dyDescent="0.2">
      <c r="A74" s="332"/>
      <c r="B74" s="333" t="s">
        <v>188</v>
      </c>
      <c r="C74" s="333" t="s">
        <v>232</v>
      </c>
      <c r="D74" s="333"/>
      <c r="E74" s="333"/>
      <c r="F74" s="334"/>
      <c r="G74" s="457" t="s">
        <v>291</v>
      </c>
      <c r="H74" s="18"/>
      <c r="I74" s="61"/>
      <c r="J74" s="61"/>
      <c r="K74" s="61"/>
      <c r="L74" s="61"/>
      <c r="M74" s="61"/>
      <c r="N74" s="82"/>
      <c r="O74" s="82"/>
      <c r="P74" s="78">
        <f t="shared" si="12"/>
        <v>0</v>
      </c>
    </row>
    <row r="75" spans="1:16" s="21" customFormat="1" x14ac:dyDescent="0.2">
      <c r="A75" s="251"/>
      <c r="B75" s="252" t="s">
        <v>195</v>
      </c>
      <c r="C75" s="252" t="s">
        <v>233</v>
      </c>
      <c r="D75" s="252"/>
      <c r="E75" s="313"/>
      <c r="F75" s="334"/>
      <c r="G75" s="457" t="s">
        <v>292</v>
      </c>
      <c r="H75" s="18"/>
      <c r="I75" s="61"/>
      <c r="J75" s="61"/>
      <c r="K75" s="61"/>
      <c r="L75" s="61"/>
      <c r="M75" s="61"/>
      <c r="N75" s="82"/>
      <c r="O75" s="82"/>
      <c r="P75" s="78">
        <f t="shared" si="12"/>
        <v>0</v>
      </c>
    </row>
    <row r="76" spans="1:16" s="21" customFormat="1" x14ac:dyDescent="0.2">
      <c r="A76" s="347" t="s">
        <v>234</v>
      </c>
      <c r="B76" s="333" t="s">
        <v>235</v>
      </c>
      <c r="C76" s="333"/>
      <c r="D76" s="333"/>
      <c r="E76" s="333"/>
      <c r="F76" s="334"/>
      <c r="G76" s="457" t="s">
        <v>293</v>
      </c>
      <c r="H76" s="18"/>
      <c r="I76" s="61"/>
      <c r="J76" s="61"/>
      <c r="K76" s="61"/>
      <c r="L76" s="61"/>
      <c r="M76" s="61"/>
      <c r="N76" s="82"/>
      <c r="O76" s="82"/>
      <c r="P76" s="78">
        <f t="shared" si="12"/>
        <v>0</v>
      </c>
    </row>
    <row r="77" spans="1:16" s="21" customFormat="1" x14ac:dyDescent="0.2">
      <c r="A77" s="346" t="s">
        <v>236</v>
      </c>
      <c r="B77" s="252" t="s">
        <v>581</v>
      </c>
      <c r="C77" s="252"/>
      <c r="D77" s="252"/>
      <c r="E77" s="313"/>
      <c r="F77" s="334"/>
      <c r="G77" s="457" t="s">
        <v>294</v>
      </c>
      <c r="H77" s="18"/>
      <c r="I77" s="61"/>
      <c r="J77" s="61"/>
      <c r="K77" s="61"/>
      <c r="L77" s="60"/>
      <c r="M77" s="60"/>
      <c r="N77" s="82"/>
      <c r="O77" s="82"/>
      <c r="P77" s="78">
        <f t="shared" si="12"/>
        <v>0</v>
      </c>
    </row>
    <row r="78" spans="1:16" s="21" customFormat="1" x14ac:dyDescent="0.2">
      <c r="A78" s="367" t="s">
        <v>583</v>
      </c>
      <c r="B78" s="368" t="s">
        <v>188</v>
      </c>
      <c r="C78" s="336" t="s">
        <v>587</v>
      </c>
      <c r="D78" s="368"/>
      <c r="E78" s="368"/>
      <c r="F78" s="336"/>
      <c r="G78" s="457" t="s">
        <v>813</v>
      </c>
      <c r="H78" s="289"/>
      <c r="I78" s="61"/>
      <c r="J78" s="61"/>
      <c r="K78" s="61"/>
      <c r="L78" s="62"/>
      <c r="M78" s="62"/>
      <c r="N78" s="82"/>
      <c r="O78" s="82"/>
      <c r="P78" s="78">
        <f t="shared" si="12"/>
        <v>0</v>
      </c>
    </row>
    <row r="79" spans="1:16" s="21" customFormat="1" x14ac:dyDescent="0.2">
      <c r="A79" s="369"/>
      <c r="B79" s="364" t="s">
        <v>195</v>
      </c>
      <c r="C79" s="252" t="s">
        <v>589</v>
      </c>
      <c r="D79" s="364"/>
      <c r="E79" s="364"/>
      <c r="F79" s="252"/>
      <c r="G79" s="457" t="s">
        <v>814</v>
      </c>
      <c r="H79" s="289"/>
      <c r="I79" s="61"/>
      <c r="J79" s="61"/>
      <c r="K79" s="61"/>
      <c r="L79" s="62"/>
      <c r="M79" s="62"/>
      <c r="N79" s="82"/>
      <c r="O79" s="82"/>
      <c r="P79" s="78">
        <f t="shared" si="12"/>
        <v>0</v>
      </c>
    </row>
    <row r="80" spans="1:16" s="21" customFormat="1" x14ac:dyDescent="0.2">
      <c r="A80" s="369" t="s">
        <v>586</v>
      </c>
      <c r="B80" s="364" t="s">
        <v>584</v>
      </c>
      <c r="C80" s="252"/>
      <c r="D80" s="364"/>
      <c r="E80" s="364"/>
      <c r="F80" s="252"/>
      <c r="G80" s="462" t="s">
        <v>853</v>
      </c>
      <c r="H80" s="289"/>
      <c r="I80" s="293"/>
      <c r="J80" s="293"/>
      <c r="K80" s="293"/>
      <c r="L80" s="295"/>
      <c r="M80" s="295"/>
      <c r="N80" s="296"/>
      <c r="O80" s="296"/>
      <c r="P80" s="295"/>
    </row>
    <row r="81" spans="1:16" s="21" customFormat="1" x14ac:dyDescent="0.2">
      <c r="A81" s="369" t="s">
        <v>591</v>
      </c>
      <c r="B81" s="364" t="s">
        <v>592</v>
      </c>
      <c r="C81" s="252"/>
      <c r="D81" s="364"/>
      <c r="E81" s="364"/>
      <c r="F81" s="252"/>
      <c r="G81" s="462" t="s">
        <v>854</v>
      </c>
      <c r="H81" s="289"/>
      <c r="I81" s="78">
        <f>SUM(I82,I83,I84)</f>
        <v>0</v>
      </c>
      <c r="J81" s="78">
        <f t="shared" ref="J81:O81" si="18">SUM(J82,J83,J84)</f>
        <v>0</v>
      </c>
      <c r="K81" s="78">
        <f t="shared" si="18"/>
        <v>0</v>
      </c>
      <c r="L81" s="78">
        <f t="shared" si="18"/>
        <v>0</v>
      </c>
      <c r="M81" s="78">
        <f t="shared" si="18"/>
        <v>0</v>
      </c>
      <c r="N81" s="78">
        <f t="shared" si="18"/>
        <v>0</v>
      </c>
      <c r="O81" s="78">
        <f t="shared" si="18"/>
        <v>0</v>
      </c>
      <c r="P81" s="78">
        <f t="shared" si="12"/>
        <v>0</v>
      </c>
    </row>
    <row r="82" spans="1:16" s="21" customFormat="1" x14ac:dyDescent="0.2">
      <c r="A82" s="369"/>
      <c r="B82" s="364" t="s">
        <v>188</v>
      </c>
      <c r="C82" s="252" t="s">
        <v>594</v>
      </c>
      <c r="D82" s="364"/>
      <c r="E82" s="364"/>
      <c r="F82" s="252"/>
      <c r="G82" s="462" t="s">
        <v>855</v>
      </c>
      <c r="H82" s="289"/>
      <c r="I82" s="62"/>
      <c r="J82" s="62"/>
      <c r="K82" s="62"/>
      <c r="L82" s="62"/>
      <c r="M82" s="62"/>
      <c r="N82" s="82"/>
      <c r="O82" s="82"/>
      <c r="P82" s="78">
        <f t="shared" si="12"/>
        <v>0</v>
      </c>
    </row>
    <row r="83" spans="1:16" s="21" customFormat="1" x14ac:dyDescent="0.2">
      <c r="A83" s="369"/>
      <c r="B83" s="364" t="s">
        <v>195</v>
      </c>
      <c r="C83" s="252" t="s">
        <v>596</v>
      </c>
      <c r="D83" s="364"/>
      <c r="E83" s="364"/>
      <c r="F83" s="252"/>
      <c r="G83" s="462" t="s">
        <v>856</v>
      </c>
      <c r="H83" s="289"/>
      <c r="I83" s="62"/>
      <c r="J83" s="62"/>
      <c r="K83" s="62"/>
      <c r="L83" s="62"/>
      <c r="M83" s="62"/>
      <c r="N83" s="82"/>
      <c r="O83" s="82"/>
      <c r="P83" s="78">
        <f t="shared" si="12"/>
        <v>0</v>
      </c>
    </row>
    <row r="84" spans="1:16" s="21" customFormat="1" x14ac:dyDescent="0.2">
      <c r="A84" s="369"/>
      <c r="B84" s="364" t="s">
        <v>197</v>
      </c>
      <c r="C84" s="252" t="s">
        <v>598</v>
      </c>
      <c r="D84" s="364"/>
      <c r="E84" s="364"/>
      <c r="F84" s="252"/>
      <c r="G84" s="462" t="s">
        <v>857</v>
      </c>
      <c r="H84" s="289"/>
      <c r="I84" s="62"/>
      <c r="J84" s="62"/>
      <c r="K84" s="62"/>
      <c r="L84" s="62"/>
      <c r="M84" s="62"/>
      <c r="N84" s="82"/>
      <c r="O84" s="82"/>
      <c r="P84" s="78">
        <f t="shared" si="12"/>
        <v>0</v>
      </c>
    </row>
    <row r="85" spans="1:16" s="21" customFormat="1" x14ac:dyDescent="0.2">
      <c r="A85" s="370" t="s">
        <v>635</v>
      </c>
      <c r="B85" s="364"/>
      <c r="C85" s="252"/>
      <c r="D85" s="364"/>
      <c r="E85" s="364"/>
      <c r="F85" s="252"/>
      <c r="G85" s="462"/>
      <c r="H85" s="356"/>
      <c r="I85" s="357"/>
      <c r="J85" s="357"/>
      <c r="K85" s="357"/>
      <c r="L85" s="77"/>
      <c r="M85" s="77"/>
      <c r="N85" s="358"/>
      <c r="O85" s="358"/>
      <c r="P85" s="78"/>
    </row>
    <row r="86" spans="1:16" s="21" customFormat="1" x14ac:dyDescent="0.2">
      <c r="A86" s="369" t="s">
        <v>9</v>
      </c>
      <c r="B86" s="575" t="s">
        <v>815</v>
      </c>
      <c r="C86" s="575"/>
      <c r="D86" s="575"/>
      <c r="E86" s="575"/>
      <c r="F86" s="575"/>
      <c r="G86" s="457" t="s">
        <v>816</v>
      </c>
      <c r="H86" s="289"/>
      <c r="I86" s="61"/>
      <c r="J86" s="61"/>
      <c r="K86" s="61"/>
      <c r="L86" s="60"/>
      <c r="M86" s="60"/>
      <c r="N86" s="82"/>
      <c r="O86" s="82"/>
      <c r="P86" s="78">
        <f t="shared" si="12"/>
        <v>0</v>
      </c>
    </row>
    <row r="87" spans="1:16" s="21" customFormat="1" x14ac:dyDescent="0.2">
      <c r="A87" s="151"/>
      <c r="B87" s="39"/>
      <c r="C87" s="39"/>
      <c r="D87" s="39"/>
      <c r="E87" s="39"/>
      <c r="F87" s="39"/>
      <c r="G87" s="51" t="s">
        <v>184</v>
      </c>
      <c r="H87" s="48"/>
      <c r="I87" s="36"/>
      <c r="J87" s="36"/>
      <c r="K87" s="36"/>
      <c r="L87" s="36"/>
      <c r="M87" s="36"/>
      <c r="N87" s="36"/>
      <c r="O87" s="36"/>
      <c r="P87" s="36"/>
    </row>
    <row r="88" spans="1:16" s="21" customFormat="1" x14ac:dyDescent="0.2">
      <c r="A88" s="199" t="s">
        <v>754</v>
      </c>
      <c r="B88" s="153"/>
      <c r="C88" s="154"/>
      <c r="D88" s="150"/>
      <c r="E88" s="39"/>
      <c r="F88" s="39"/>
      <c r="G88" s="40"/>
      <c r="H88" s="40"/>
      <c r="I88" s="50"/>
      <c r="J88" s="50"/>
      <c r="K88" s="50"/>
      <c r="L88" s="50"/>
      <c r="M88" s="50"/>
      <c r="N88" s="50"/>
      <c r="O88" s="50"/>
      <c r="P88" s="50"/>
    </row>
    <row r="89" spans="1:16" s="21" customFormat="1" x14ac:dyDescent="0.2">
      <c r="A89" s="7"/>
      <c r="B89" s="153"/>
      <c r="C89" s="154"/>
      <c r="D89" s="150"/>
      <c r="E89" s="566"/>
      <c r="F89" s="566"/>
      <c r="G89" s="13"/>
      <c r="H89" s="13"/>
      <c r="I89" s="17"/>
      <c r="J89" s="17"/>
      <c r="K89" s="17"/>
      <c r="L89" s="17"/>
      <c r="M89" s="17"/>
      <c r="N89" s="17"/>
      <c r="O89" s="17"/>
      <c r="P89" s="17"/>
    </row>
    <row r="90" spans="1:16" s="21" customFormat="1" x14ac:dyDescent="0.2">
      <c r="A90" s="7"/>
      <c r="B90" s="155"/>
      <c r="C90" s="155"/>
      <c r="D90" s="155"/>
      <c r="E90" s="155"/>
      <c r="F90" s="155"/>
      <c r="G90" s="20"/>
      <c r="H90" s="20"/>
      <c r="I90" s="17"/>
      <c r="J90" s="17"/>
      <c r="K90" s="17"/>
      <c r="L90" s="17"/>
      <c r="M90" s="17"/>
      <c r="N90" s="17"/>
      <c r="O90" s="17"/>
      <c r="P90" s="17"/>
    </row>
    <row r="91" spans="1:16" s="21" customFormat="1" x14ac:dyDescent="0.2">
      <c r="A91" s="7"/>
      <c r="B91" s="3"/>
      <c r="C91" s="4"/>
      <c r="D91" s="5"/>
      <c r="E91" s="155"/>
      <c r="F91" s="155"/>
      <c r="G91" s="20"/>
      <c r="H91" s="20"/>
      <c r="I91" s="17"/>
      <c r="J91" s="17"/>
      <c r="K91" s="17"/>
      <c r="L91" s="17"/>
      <c r="M91" s="17"/>
      <c r="N91" s="17"/>
      <c r="O91" s="17"/>
      <c r="P91" s="17"/>
    </row>
    <row r="92" spans="1:16" s="21" customFormat="1" x14ac:dyDescent="0.2">
      <c r="A92" s="7"/>
      <c r="B92" s="3"/>
      <c r="C92" s="154"/>
      <c r="D92" s="157"/>
      <c r="E92" s="155"/>
      <c r="F92" s="155"/>
      <c r="G92" s="20"/>
      <c r="H92" s="20"/>
      <c r="I92" s="17"/>
      <c r="J92" s="17"/>
      <c r="K92" s="17"/>
      <c r="L92" s="17"/>
      <c r="M92" s="17"/>
      <c r="N92" s="17"/>
      <c r="O92" s="17"/>
      <c r="P92" s="17"/>
    </row>
    <row r="93" spans="1:16" s="21" customFormat="1" x14ac:dyDescent="0.2">
      <c r="A93" s="7"/>
      <c r="B93" s="155"/>
      <c r="C93" s="154"/>
      <c r="D93" s="157"/>
      <c r="E93" s="157"/>
      <c r="F93" s="155"/>
      <c r="G93" s="20"/>
      <c r="H93" s="20"/>
      <c r="I93" s="17"/>
      <c r="J93" s="17"/>
      <c r="K93" s="17"/>
      <c r="L93" s="17"/>
      <c r="M93" s="17"/>
      <c r="N93" s="17"/>
      <c r="O93" s="17"/>
      <c r="P93" s="17"/>
    </row>
    <row r="94" spans="1:16" s="21" customFormat="1" x14ac:dyDescent="0.2">
      <c r="A94" s="7"/>
      <c r="B94" s="155"/>
      <c r="C94" s="39"/>
      <c r="D94" s="154"/>
      <c r="E94" s="154"/>
      <c r="F94" s="155"/>
      <c r="G94" s="20"/>
      <c r="H94" s="20"/>
      <c r="I94" s="17"/>
      <c r="J94" s="17"/>
      <c r="K94" s="17"/>
      <c r="L94" s="17"/>
      <c r="M94" s="17"/>
      <c r="N94" s="17"/>
      <c r="O94" s="17"/>
      <c r="P94" s="17"/>
    </row>
    <row r="95" spans="1:16" s="21" customFormat="1" x14ac:dyDescent="0.2">
      <c r="A95" s="7"/>
      <c r="B95" s="155"/>
      <c r="C95" s="154"/>
      <c r="D95" s="39"/>
      <c r="E95" s="154"/>
      <c r="F95" s="155"/>
      <c r="G95" s="20"/>
      <c r="H95" s="20"/>
      <c r="I95" s="17"/>
      <c r="J95" s="17"/>
      <c r="K95" s="17"/>
      <c r="L95" s="17"/>
      <c r="M95" s="17"/>
      <c r="N95" s="17"/>
      <c r="O95" s="17"/>
      <c r="P95" s="17"/>
    </row>
    <row r="96" spans="1:16" s="21" customFormat="1" x14ac:dyDescent="0.2">
      <c r="A96" s="7"/>
      <c r="B96" s="155"/>
      <c r="C96" s="39"/>
      <c r="D96" s="158"/>
      <c r="E96" s="154"/>
      <c r="F96" s="155"/>
      <c r="G96" s="20"/>
      <c r="H96" s="20"/>
      <c r="I96" s="17"/>
      <c r="J96" s="17"/>
      <c r="K96" s="17"/>
      <c r="L96" s="17"/>
      <c r="M96" s="17"/>
      <c r="N96" s="17"/>
      <c r="O96" s="17"/>
      <c r="P96" s="17"/>
    </row>
    <row r="97" spans="1:16" s="21" customFormat="1" x14ac:dyDescent="0.2">
      <c r="A97" s="7"/>
      <c r="B97" s="155"/>
      <c r="C97" s="39"/>
      <c r="D97" s="158"/>
      <c r="E97" s="154"/>
      <c r="F97" s="155"/>
      <c r="G97" s="20"/>
      <c r="H97" s="20"/>
      <c r="I97" s="17"/>
      <c r="J97" s="17"/>
      <c r="K97" s="17"/>
      <c r="L97" s="17"/>
      <c r="M97" s="17"/>
      <c r="N97" s="17"/>
      <c r="O97" s="17"/>
      <c r="P97" s="17"/>
    </row>
    <row r="98" spans="1:16" s="21" customFormat="1" x14ac:dyDescent="0.2">
      <c r="A98" s="7"/>
      <c r="B98" s="155"/>
      <c r="C98" s="154"/>
      <c r="D98" s="39"/>
      <c r="E98" s="154"/>
      <c r="F98" s="155"/>
      <c r="G98" s="20"/>
      <c r="H98" s="20"/>
      <c r="I98" s="17"/>
      <c r="J98" s="17"/>
      <c r="K98" s="17"/>
      <c r="L98" s="17"/>
      <c r="M98" s="17"/>
      <c r="N98" s="17"/>
      <c r="O98" s="17"/>
      <c r="P98" s="17"/>
    </row>
    <row r="99" spans="1:16" s="21" customFormat="1" x14ac:dyDescent="0.2">
      <c r="A99" s="7"/>
      <c r="B99" s="155"/>
      <c r="C99" s="154"/>
      <c r="D99" s="154"/>
      <c r="E99" s="154"/>
      <c r="F99" s="154"/>
      <c r="G99" s="20"/>
      <c r="H99" s="20"/>
      <c r="I99" s="17"/>
      <c r="J99" s="17"/>
      <c r="K99" s="17"/>
      <c r="L99" s="17"/>
      <c r="M99" s="17"/>
      <c r="N99" s="17"/>
      <c r="O99" s="17"/>
      <c r="P99" s="17"/>
    </row>
    <row r="100" spans="1:16" s="21" customFormat="1" x14ac:dyDescent="0.2">
      <c r="A100" s="7"/>
      <c r="B100" s="155"/>
      <c r="C100" s="39"/>
      <c r="D100" s="525"/>
      <c r="E100" s="526"/>
      <c r="F100" s="526"/>
      <c r="G100" s="20"/>
      <c r="H100" s="20"/>
      <c r="I100" s="17"/>
      <c r="J100" s="17"/>
      <c r="K100" s="17"/>
      <c r="L100" s="17"/>
      <c r="M100" s="17"/>
      <c r="N100" s="17"/>
      <c r="O100" s="17"/>
      <c r="P100" s="17"/>
    </row>
    <row r="101" spans="1:16" s="21" customFormat="1" x14ac:dyDescent="0.2">
      <c r="A101" s="7"/>
      <c r="B101" s="155"/>
      <c r="C101" s="154"/>
      <c r="D101" s="158"/>
      <c r="E101" s="154"/>
      <c r="F101" s="154"/>
      <c r="G101" s="20"/>
      <c r="H101" s="20"/>
      <c r="I101" s="17"/>
      <c r="J101" s="17"/>
      <c r="K101" s="17"/>
      <c r="L101" s="17"/>
      <c r="M101" s="17"/>
      <c r="N101" s="17"/>
      <c r="O101" s="17"/>
      <c r="P101" s="17"/>
    </row>
    <row r="102" spans="1:16" s="21" customFormat="1" x14ac:dyDescent="0.2">
      <c r="A102" s="7"/>
      <c r="B102" s="155"/>
      <c r="C102" s="154"/>
      <c r="D102" s="158"/>
      <c r="E102" s="154"/>
      <c r="F102" s="154"/>
      <c r="G102" s="20"/>
      <c r="H102" s="20"/>
      <c r="I102" s="17"/>
      <c r="J102" s="17"/>
      <c r="K102" s="17"/>
      <c r="L102" s="17"/>
      <c r="M102" s="17"/>
      <c r="N102" s="17"/>
      <c r="O102" s="17"/>
      <c r="P102" s="17"/>
    </row>
    <row r="103" spans="1:16" s="21" customFormat="1" x14ac:dyDescent="0.2">
      <c r="A103" s="7"/>
      <c r="B103" s="3"/>
      <c r="C103" s="4"/>
      <c r="D103" s="157"/>
      <c r="E103" s="154"/>
      <c r="F103" s="154"/>
      <c r="G103" s="20"/>
      <c r="H103" s="20"/>
      <c r="I103" s="17"/>
      <c r="J103" s="17"/>
      <c r="K103" s="17"/>
      <c r="L103" s="17"/>
      <c r="M103" s="17"/>
      <c r="N103" s="17"/>
      <c r="O103" s="17"/>
      <c r="P103" s="17"/>
    </row>
    <row r="104" spans="1:16" s="21" customFormat="1" x14ac:dyDescent="0.2">
      <c r="A104" s="7"/>
      <c r="B104" s="155"/>
      <c r="C104" s="154"/>
      <c r="D104" s="154"/>
      <c r="E104" s="154"/>
      <c r="F104" s="154"/>
      <c r="G104" s="20"/>
      <c r="H104" s="20"/>
      <c r="I104" s="17"/>
      <c r="J104" s="17"/>
      <c r="K104" s="17"/>
      <c r="L104" s="17"/>
      <c r="M104" s="17"/>
      <c r="N104" s="17"/>
      <c r="O104" s="17"/>
      <c r="P104" s="17"/>
    </row>
    <row r="105" spans="1:16" s="21" customFormat="1" x14ac:dyDescent="0.2">
      <c r="A105" s="7"/>
      <c r="B105" s="155"/>
      <c r="C105" s="154"/>
      <c r="D105" s="163"/>
      <c r="E105" s="154"/>
      <c r="F105" s="154"/>
      <c r="G105" s="20"/>
      <c r="H105" s="20"/>
      <c r="I105" s="17"/>
      <c r="J105" s="17"/>
      <c r="K105" s="17"/>
      <c r="L105" s="17"/>
      <c r="M105" s="17"/>
      <c r="N105" s="17"/>
      <c r="O105" s="17"/>
      <c r="P105" s="17"/>
    </row>
    <row r="106" spans="1:16" s="21" customFormat="1" x14ac:dyDescent="0.2">
      <c r="A106" s="7"/>
      <c r="B106" s="155"/>
      <c r="C106" s="154"/>
      <c r="D106" s="164"/>
      <c r="E106" s="154"/>
      <c r="F106" s="154"/>
      <c r="G106" s="20"/>
      <c r="H106" s="20"/>
      <c r="I106" s="17"/>
      <c r="J106" s="17"/>
      <c r="K106" s="17"/>
      <c r="L106" s="17"/>
      <c r="M106" s="17"/>
      <c r="N106" s="17"/>
      <c r="O106" s="17"/>
      <c r="P106" s="17"/>
    </row>
    <row r="107" spans="1:16" s="21" customFormat="1" x14ac:dyDescent="0.2">
      <c r="A107" s="7"/>
      <c r="B107" s="155"/>
      <c r="C107" s="154"/>
      <c r="D107" s="164"/>
      <c r="E107" s="154"/>
      <c r="F107" s="154"/>
      <c r="G107" s="20"/>
      <c r="H107" s="20"/>
      <c r="I107" s="17"/>
      <c r="J107" s="17"/>
      <c r="K107" s="17"/>
      <c r="L107" s="17"/>
      <c r="M107" s="17"/>
      <c r="N107" s="17"/>
      <c r="O107" s="17"/>
      <c r="P107" s="17"/>
    </row>
    <row r="108" spans="1:16" s="21" customFormat="1" x14ac:dyDescent="0.2">
      <c r="A108" s="7"/>
      <c r="B108" s="155"/>
      <c r="C108" s="154"/>
      <c r="D108" s="163"/>
      <c r="E108" s="154"/>
      <c r="F108" s="154"/>
      <c r="G108" s="20"/>
      <c r="H108" s="20"/>
      <c r="I108" s="17"/>
      <c r="J108" s="17"/>
      <c r="K108" s="17"/>
      <c r="L108" s="17"/>
      <c r="M108" s="17"/>
      <c r="N108" s="17"/>
      <c r="O108" s="17"/>
      <c r="P108" s="17"/>
    </row>
    <row r="109" spans="1:16" s="21" customFormat="1" x14ac:dyDescent="0.2">
      <c r="A109" s="7"/>
      <c r="B109" s="155"/>
      <c r="C109" s="154"/>
      <c r="D109" s="164"/>
      <c r="E109" s="154"/>
      <c r="F109" s="154"/>
      <c r="G109" s="20"/>
      <c r="H109" s="20"/>
      <c r="I109" s="17"/>
      <c r="J109" s="17"/>
      <c r="K109" s="17"/>
      <c r="L109" s="17"/>
      <c r="M109" s="17"/>
      <c r="N109" s="17"/>
      <c r="O109" s="17"/>
      <c r="P109" s="17"/>
    </row>
    <row r="110" spans="1:16" s="21" customFormat="1" x14ac:dyDescent="0.2">
      <c r="A110" s="7"/>
      <c r="B110" s="155"/>
      <c r="C110" s="154"/>
      <c r="D110" s="164"/>
      <c r="E110" s="154"/>
      <c r="F110" s="154"/>
      <c r="G110" s="20"/>
      <c r="H110" s="20"/>
      <c r="I110" s="17"/>
      <c r="J110" s="17"/>
      <c r="K110" s="17"/>
      <c r="L110" s="17"/>
      <c r="M110" s="17"/>
      <c r="N110" s="17"/>
      <c r="O110" s="17"/>
      <c r="P110" s="17"/>
    </row>
    <row r="111" spans="1:16" s="21" customFormat="1" x14ac:dyDescent="0.2">
      <c r="A111" s="7"/>
      <c r="B111" s="155"/>
      <c r="C111" s="154"/>
      <c r="D111" s="154"/>
      <c r="E111" s="154"/>
      <c r="F111" s="154"/>
      <c r="G111" s="20"/>
      <c r="H111" s="20"/>
      <c r="I111" s="17"/>
      <c r="J111" s="17"/>
      <c r="K111" s="17"/>
      <c r="L111" s="17"/>
      <c r="M111" s="17"/>
      <c r="N111" s="17"/>
      <c r="O111" s="17"/>
      <c r="P111" s="17"/>
    </row>
    <row r="112" spans="1:16" s="21" customFormat="1" x14ac:dyDescent="0.2">
      <c r="A112" s="7"/>
      <c r="B112" s="155"/>
      <c r="C112" s="39"/>
      <c r="D112" s="158"/>
      <c r="E112" s="154"/>
      <c r="F112" s="154"/>
      <c r="G112" s="20"/>
      <c r="H112" s="20"/>
      <c r="I112" s="17"/>
      <c r="J112" s="17"/>
      <c r="K112" s="17"/>
      <c r="L112" s="17"/>
      <c r="M112" s="17"/>
      <c r="N112" s="17"/>
      <c r="O112" s="17"/>
      <c r="P112" s="17"/>
    </row>
    <row r="113" spans="1:16" s="21" customFormat="1" x14ac:dyDescent="0.2">
      <c r="A113" s="7"/>
      <c r="B113" s="155"/>
      <c r="C113" s="39"/>
      <c r="D113" s="158"/>
      <c r="E113" s="154"/>
      <c r="F113" s="154"/>
      <c r="G113" s="20"/>
      <c r="H113" s="20"/>
      <c r="I113" s="17"/>
      <c r="J113" s="17"/>
      <c r="K113" s="17"/>
      <c r="L113" s="17"/>
      <c r="M113" s="17"/>
      <c r="N113" s="17"/>
      <c r="O113" s="17"/>
      <c r="P113" s="17"/>
    </row>
    <row r="114" spans="1:16" s="21" customFormat="1" x14ac:dyDescent="0.2">
      <c r="A114" s="7"/>
      <c r="B114" s="155"/>
      <c r="C114" s="154"/>
      <c r="D114" s="154"/>
      <c r="E114" s="154"/>
      <c r="F114" s="154"/>
      <c r="G114" s="20"/>
      <c r="H114" s="20"/>
      <c r="I114" s="17"/>
      <c r="J114" s="17"/>
      <c r="K114" s="17"/>
      <c r="L114" s="17"/>
      <c r="M114" s="17"/>
      <c r="N114" s="17"/>
      <c r="O114" s="17"/>
      <c r="P114" s="17"/>
    </row>
    <row r="115" spans="1:16" s="21" customFormat="1" x14ac:dyDescent="0.2">
      <c r="A115" s="7"/>
      <c r="B115" s="155"/>
      <c r="C115" s="39"/>
      <c r="D115" s="525"/>
      <c r="E115" s="526"/>
      <c r="F115" s="526"/>
      <c r="G115" s="20"/>
      <c r="H115" s="20"/>
      <c r="I115" s="17"/>
      <c r="J115" s="17"/>
      <c r="K115" s="17"/>
      <c r="L115" s="17"/>
      <c r="M115" s="17"/>
      <c r="N115" s="17"/>
      <c r="O115" s="17"/>
      <c r="P115" s="17"/>
    </row>
    <row r="116" spans="1:16" s="21" customFormat="1" x14ac:dyDescent="0.2">
      <c r="A116" s="7"/>
      <c r="B116" s="155"/>
      <c r="C116" s="154"/>
      <c r="D116" s="158"/>
      <c r="E116" s="154"/>
      <c r="F116" s="154"/>
      <c r="G116" s="20"/>
      <c r="H116" s="20"/>
      <c r="I116" s="17"/>
      <c r="J116" s="17"/>
      <c r="K116" s="17"/>
      <c r="L116" s="17"/>
      <c r="M116" s="17"/>
      <c r="N116" s="17"/>
      <c r="O116" s="17"/>
      <c r="P116" s="17"/>
    </row>
    <row r="117" spans="1:16" s="21" customFormat="1" x14ac:dyDescent="0.2">
      <c r="A117" s="7"/>
      <c r="B117" s="155"/>
      <c r="C117" s="154"/>
      <c r="D117" s="164"/>
      <c r="E117" s="154"/>
      <c r="F117" s="154"/>
      <c r="G117" s="20"/>
      <c r="H117" s="20"/>
      <c r="I117" s="17"/>
      <c r="J117" s="17"/>
      <c r="K117" s="17"/>
      <c r="L117" s="17"/>
      <c r="M117" s="17"/>
      <c r="N117" s="17"/>
      <c r="O117" s="17"/>
      <c r="P117" s="17"/>
    </row>
    <row r="118" spans="1:16" s="21" customFormat="1" x14ac:dyDescent="0.2">
      <c r="A118" s="7"/>
      <c r="B118" s="155"/>
      <c r="C118" s="154"/>
      <c r="D118" s="164"/>
      <c r="E118" s="154"/>
      <c r="F118" s="154"/>
      <c r="G118" s="20"/>
      <c r="H118" s="20"/>
      <c r="I118" s="17"/>
      <c r="J118" s="17"/>
      <c r="K118" s="17"/>
      <c r="L118" s="17"/>
      <c r="M118" s="17"/>
      <c r="N118" s="17"/>
      <c r="O118" s="17"/>
      <c r="P118" s="17"/>
    </row>
    <row r="119" spans="1:16" s="21" customFormat="1" x14ac:dyDescent="0.2">
      <c r="A119" s="7"/>
      <c r="B119" s="155"/>
      <c r="C119" s="154"/>
      <c r="D119" s="158"/>
      <c r="E119" s="154"/>
      <c r="F119" s="154"/>
      <c r="G119" s="20"/>
      <c r="H119" s="20"/>
      <c r="I119" s="17"/>
      <c r="J119" s="17"/>
      <c r="K119" s="17"/>
      <c r="L119" s="17"/>
      <c r="M119" s="17"/>
      <c r="N119" s="17"/>
      <c r="O119" s="17"/>
      <c r="P119" s="17"/>
    </row>
    <row r="120" spans="1:16" s="21" customFormat="1" x14ac:dyDescent="0.2">
      <c r="A120" s="7"/>
      <c r="B120" s="155"/>
      <c r="C120" s="154"/>
      <c r="D120" s="164"/>
      <c r="E120" s="154"/>
      <c r="F120" s="154"/>
      <c r="G120" s="20"/>
      <c r="H120" s="20"/>
      <c r="I120" s="17"/>
      <c r="J120" s="17"/>
      <c r="K120" s="17"/>
      <c r="L120" s="17"/>
      <c r="M120" s="17"/>
      <c r="N120" s="17"/>
      <c r="O120" s="17"/>
      <c r="P120" s="17"/>
    </row>
    <row r="121" spans="1:16" s="21" customFormat="1" x14ac:dyDescent="0.2">
      <c r="A121" s="7"/>
      <c r="B121" s="155"/>
      <c r="C121" s="154"/>
      <c r="D121" s="164"/>
      <c r="E121" s="154"/>
      <c r="F121" s="154"/>
      <c r="G121" s="20"/>
      <c r="H121" s="20"/>
      <c r="I121" s="17"/>
      <c r="J121" s="17"/>
      <c r="K121" s="17"/>
      <c r="L121" s="17"/>
      <c r="M121" s="17"/>
      <c r="N121" s="17"/>
      <c r="O121" s="17"/>
      <c r="P121" s="17"/>
    </row>
    <row r="122" spans="1:16" s="21" customFormat="1" x14ac:dyDescent="0.2">
      <c r="A122" s="7"/>
      <c r="B122" s="3"/>
      <c r="C122" s="4"/>
      <c r="D122" s="157"/>
      <c r="E122" s="154"/>
      <c r="F122" s="154"/>
      <c r="G122" s="20"/>
      <c r="H122" s="20"/>
      <c r="I122" s="17"/>
      <c r="J122" s="17"/>
      <c r="K122" s="17"/>
      <c r="L122" s="17"/>
      <c r="M122" s="17"/>
      <c r="N122" s="17"/>
      <c r="O122" s="17"/>
      <c r="P122" s="17"/>
    </row>
    <row r="123" spans="1:16" s="21" customFormat="1" x14ac:dyDescent="0.2">
      <c r="A123" s="7"/>
      <c r="B123" s="155"/>
      <c r="C123" s="154"/>
      <c r="D123" s="157"/>
      <c r="E123" s="154"/>
      <c r="F123" s="154"/>
      <c r="G123" s="20"/>
      <c r="H123" s="20"/>
      <c r="I123" s="17"/>
      <c r="J123" s="17"/>
      <c r="K123" s="17"/>
      <c r="L123" s="17"/>
      <c r="M123" s="17"/>
      <c r="N123" s="17"/>
      <c r="O123" s="17"/>
      <c r="P123" s="17"/>
    </row>
    <row r="124" spans="1:16" s="21" customFormat="1" x14ac:dyDescent="0.2">
      <c r="A124" s="7"/>
      <c r="B124" s="155"/>
      <c r="C124" s="154"/>
      <c r="D124" s="157"/>
      <c r="E124" s="154"/>
      <c r="F124" s="154"/>
      <c r="G124" s="20"/>
      <c r="H124" s="20"/>
      <c r="I124" s="17"/>
      <c r="J124" s="17"/>
      <c r="K124" s="17"/>
      <c r="L124" s="17"/>
      <c r="M124" s="17"/>
      <c r="N124" s="17"/>
      <c r="O124" s="17"/>
      <c r="P124" s="17"/>
    </row>
    <row r="125" spans="1:16" s="21" customFormat="1" x14ac:dyDescent="0.2">
      <c r="A125" s="7"/>
      <c r="B125" s="155"/>
      <c r="C125" s="154"/>
      <c r="D125" s="157"/>
      <c r="E125" s="154"/>
      <c r="F125" s="154"/>
      <c r="G125" s="20"/>
      <c r="H125" s="20"/>
      <c r="I125" s="17"/>
      <c r="J125" s="17"/>
      <c r="K125" s="17"/>
      <c r="L125" s="17"/>
      <c r="M125" s="17"/>
      <c r="N125" s="17"/>
      <c r="O125" s="17"/>
      <c r="P125" s="17"/>
    </row>
    <row r="126" spans="1:16" s="21" customFormat="1" x14ac:dyDescent="0.2">
      <c r="A126" s="7"/>
      <c r="B126" s="155"/>
      <c r="C126" s="39"/>
      <c r="D126" s="525"/>
      <c r="E126" s="526"/>
      <c r="F126" s="526"/>
      <c r="G126" s="20"/>
      <c r="H126" s="20"/>
      <c r="I126" s="17"/>
      <c r="J126" s="17"/>
      <c r="K126" s="17"/>
      <c r="L126" s="17"/>
      <c r="M126" s="17"/>
      <c r="N126" s="17"/>
      <c r="O126" s="17"/>
      <c r="P126" s="17"/>
    </row>
    <row r="127" spans="1:16" s="21" customFormat="1" x14ac:dyDescent="0.2">
      <c r="A127" s="7"/>
      <c r="B127" s="155"/>
      <c r="C127" s="154"/>
      <c r="D127" s="158"/>
      <c r="E127" s="154"/>
      <c r="F127" s="126"/>
      <c r="G127" s="20"/>
      <c r="H127" s="20"/>
      <c r="I127" s="17"/>
      <c r="J127" s="17"/>
      <c r="K127" s="17"/>
      <c r="L127" s="17"/>
      <c r="M127" s="17"/>
      <c r="N127" s="17"/>
      <c r="O127" s="17"/>
      <c r="P127" s="17"/>
    </row>
    <row r="128" spans="1:16" s="21" customFormat="1" x14ac:dyDescent="0.2">
      <c r="A128" s="7"/>
      <c r="B128" s="155"/>
      <c r="C128" s="154"/>
      <c r="D128" s="158"/>
      <c r="E128" s="154"/>
      <c r="F128" s="126"/>
      <c r="G128" s="20"/>
      <c r="H128" s="20"/>
      <c r="I128" s="17"/>
      <c r="J128" s="17"/>
      <c r="K128" s="17"/>
      <c r="L128" s="17"/>
      <c r="M128" s="17"/>
      <c r="N128" s="17"/>
      <c r="O128" s="17"/>
      <c r="P128" s="17"/>
    </row>
    <row r="129" spans="1:27" s="21" customFormat="1" x14ac:dyDescent="0.2">
      <c r="A129" s="7"/>
      <c r="B129" s="6"/>
      <c r="C129" s="7"/>
      <c r="D129" s="154"/>
      <c r="E129" s="154"/>
      <c r="F129" s="154"/>
      <c r="G129" s="20"/>
      <c r="H129" s="20"/>
      <c r="I129" s="17"/>
      <c r="J129" s="17"/>
      <c r="K129" s="17"/>
      <c r="L129" s="17"/>
      <c r="M129" s="17"/>
      <c r="N129" s="17"/>
      <c r="O129" s="17"/>
      <c r="P129" s="17"/>
    </row>
    <row r="130" spans="1:27" s="21" customFormat="1" x14ac:dyDescent="0.2">
      <c r="A130" s="7"/>
      <c r="B130" s="153"/>
      <c r="C130" s="154"/>
      <c r="D130" s="154"/>
      <c r="E130" s="154"/>
      <c r="F130" s="154"/>
      <c r="G130" s="20"/>
      <c r="H130" s="20"/>
      <c r="I130" s="17"/>
      <c r="J130" s="17"/>
      <c r="K130" s="17"/>
      <c r="L130" s="17"/>
      <c r="M130" s="17"/>
      <c r="N130" s="17"/>
      <c r="O130" s="17"/>
      <c r="P130" s="17"/>
    </row>
    <row r="131" spans="1:27" s="21" customFormat="1" x14ac:dyDescent="0.2">
      <c r="A131" s="7"/>
      <c r="B131" s="153"/>
      <c r="C131" s="154"/>
      <c r="D131" s="158"/>
      <c r="E131" s="154"/>
      <c r="F131" s="154"/>
      <c r="G131" s="20"/>
      <c r="H131" s="20"/>
      <c r="I131" s="17"/>
      <c r="J131" s="17"/>
      <c r="K131" s="17"/>
      <c r="L131" s="17"/>
      <c r="M131" s="17"/>
      <c r="N131" s="17"/>
      <c r="O131" s="17"/>
      <c r="P131" s="17"/>
    </row>
    <row r="132" spans="1:27" s="21" customFormat="1" x14ac:dyDescent="0.2">
      <c r="A132" s="7"/>
      <c r="B132" s="153"/>
      <c r="C132" s="154"/>
      <c r="D132" s="158"/>
      <c r="E132" s="154"/>
      <c r="F132" s="154"/>
      <c r="G132" s="20"/>
      <c r="H132" s="20"/>
      <c r="I132" s="17"/>
      <c r="J132" s="17"/>
      <c r="K132" s="17"/>
      <c r="L132" s="17"/>
      <c r="M132" s="17"/>
      <c r="N132" s="17"/>
      <c r="O132" s="17"/>
      <c r="P132" s="17"/>
    </row>
    <row r="133" spans="1:27" s="21" customFormat="1" x14ac:dyDescent="0.2">
      <c r="A133" s="7"/>
      <c r="B133" s="153"/>
      <c r="C133" s="154"/>
      <c r="D133" s="150"/>
      <c r="E133" s="566"/>
      <c r="F133" s="566"/>
      <c r="G133" s="20"/>
      <c r="H133" s="20"/>
      <c r="I133" s="17"/>
      <c r="J133" s="17"/>
      <c r="K133" s="17"/>
      <c r="L133" s="17"/>
      <c r="M133" s="17"/>
      <c r="N133" s="17"/>
      <c r="O133" s="17"/>
      <c r="P133" s="17"/>
    </row>
    <row r="134" spans="1:27" x14ac:dyDescent="0.2">
      <c r="A134" s="7"/>
      <c r="B134" s="153"/>
      <c r="C134" s="154"/>
      <c r="D134" s="39"/>
      <c r="E134" s="39"/>
      <c r="F134" s="39"/>
      <c r="G134" s="20"/>
      <c r="H134" s="20"/>
      <c r="I134" s="17"/>
      <c r="J134" s="17"/>
      <c r="K134" s="17"/>
      <c r="L134" s="17"/>
      <c r="M134" s="17"/>
      <c r="N134" s="17"/>
      <c r="O134" s="17"/>
      <c r="P134" s="17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</row>
    <row r="135" spans="1:27" x14ac:dyDescent="0.2">
      <c r="A135" s="7"/>
      <c r="B135" s="153"/>
      <c r="C135" s="154"/>
      <c r="D135" s="150"/>
      <c r="E135" s="39"/>
      <c r="F135" s="39"/>
      <c r="G135" s="20"/>
      <c r="H135" s="20"/>
      <c r="I135" s="17"/>
      <c r="J135" s="17"/>
      <c r="K135" s="17"/>
      <c r="L135" s="17"/>
      <c r="M135" s="17"/>
      <c r="N135" s="17"/>
      <c r="O135" s="17"/>
      <c r="P135" s="17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</row>
    <row r="136" spans="1:27" x14ac:dyDescent="0.2">
      <c r="A136" s="7"/>
      <c r="B136" s="153"/>
      <c r="C136" s="154"/>
      <c r="D136" s="150"/>
      <c r="E136" s="39"/>
      <c r="F136" s="39"/>
      <c r="G136" s="20"/>
      <c r="H136" s="20"/>
      <c r="I136" s="17"/>
      <c r="J136" s="17"/>
      <c r="K136" s="17"/>
      <c r="L136" s="17"/>
      <c r="M136" s="17"/>
      <c r="N136" s="17"/>
      <c r="O136" s="17"/>
      <c r="P136" s="17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</row>
    <row r="137" spans="1:27" x14ac:dyDescent="0.2">
      <c r="A137" s="7"/>
      <c r="B137" s="153"/>
      <c r="C137" s="154"/>
      <c r="D137" s="150"/>
      <c r="E137" s="566"/>
      <c r="F137" s="566"/>
      <c r="G137" s="20"/>
      <c r="H137" s="20"/>
      <c r="I137" s="17"/>
      <c r="J137" s="17"/>
      <c r="K137" s="17"/>
      <c r="L137" s="17"/>
      <c r="M137" s="17"/>
      <c r="N137" s="17"/>
      <c r="O137" s="17"/>
      <c r="P137" s="17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</row>
    <row r="138" spans="1:27" x14ac:dyDescent="0.2">
      <c r="A138" s="154"/>
      <c r="B138" s="565"/>
      <c r="C138" s="565"/>
      <c r="D138" s="565"/>
      <c r="E138" s="565"/>
      <c r="F138" s="565"/>
      <c r="G138" s="20"/>
      <c r="H138" s="20"/>
      <c r="I138" s="17"/>
      <c r="J138" s="17"/>
      <c r="K138" s="17"/>
      <c r="L138" s="17"/>
      <c r="M138" s="17"/>
      <c r="N138" s="17"/>
      <c r="O138" s="17"/>
      <c r="P138" s="17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</row>
    <row r="139" spans="1:27" x14ac:dyDescent="0.2">
      <c r="A139" s="21"/>
      <c r="B139" s="21"/>
      <c r="C139" s="21"/>
      <c r="D139" s="21"/>
      <c r="E139" s="21"/>
      <c r="F139" s="21"/>
      <c r="G139" s="20"/>
      <c r="H139" s="20"/>
      <c r="I139" s="22" t="s">
        <v>184</v>
      </c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</row>
    <row r="140" spans="1:27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</row>
    <row r="141" spans="1:27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</row>
    <row r="142" spans="1:27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</row>
    <row r="143" spans="1:27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</row>
    <row r="144" spans="1:27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</row>
    <row r="145" spans="1:27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</row>
    <row r="146" spans="1:27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</row>
    <row r="147" spans="1:27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</row>
    <row r="148" spans="1:27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</row>
    <row r="149" spans="1:27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</row>
    <row r="150" spans="1:27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</row>
    <row r="151" spans="1:27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</row>
    <row r="152" spans="1:27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</row>
    <row r="153" spans="1:27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</row>
    <row r="154" spans="1:27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</row>
    <row r="155" spans="1:27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</row>
    <row r="156" spans="1:27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</row>
    <row r="157" spans="1:27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</row>
    <row r="158" spans="1:27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</row>
    <row r="159" spans="1:27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</row>
    <row r="160" spans="1:27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</row>
    <row r="161" spans="1:27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</row>
    <row r="162" spans="1:27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</row>
    <row r="163" spans="1:27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</row>
    <row r="164" spans="1:27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27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</row>
    <row r="166" spans="1:27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27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  <row r="168" spans="1:27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</row>
    <row r="169" spans="1:27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</row>
    <row r="170" spans="1:27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</row>
    <row r="171" spans="1:27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</row>
    <row r="172" spans="1:27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</row>
    <row r="173" spans="1:27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</row>
    <row r="174" spans="1:27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27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</row>
    <row r="176" spans="1:27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1:27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  <row r="178" spans="1:27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</row>
    <row r="179" spans="1:27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</row>
    <row r="180" spans="1:27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</row>
    <row r="181" spans="1:27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</row>
    <row r="182" spans="1:27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</row>
    <row r="183" spans="1:27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</row>
    <row r="184" spans="1:27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</row>
    <row r="185" spans="1:27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</row>
    <row r="186" spans="1:27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</row>
    <row r="187" spans="1:27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</row>
    <row r="188" spans="1:27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</row>
    <row r="189" spans="1:27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</row>
    <row r="190" spans="1:27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</row>
    <row r="191" spans="1:27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</row>
    <row r="192" spans="1:27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</row>
    <row r="193" spans="1:27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</row>
    <row r="194" spans="1:27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</row>
    <row r="195" spans="1:27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</row>
    <row r="196" spans="1:27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</row>
    <row r="197" spans="1:27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</row>
    <row r="198" spans="1:27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</row>
    <row r="199" spans="1:27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</row>
    <row r="200" spans="1:27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</row>
    <row r="201" spans="1:27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</row>
    <row r="202" spans="1:27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</row>
    <row r="203" spans="1:27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</row>
    <row r="204" spans="1:27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</row>
    <row r="205" spans="1:27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</row>
    <row r="206" spans="1:27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</row>
    <row r="207" spans="1:27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</row>
    <row r="208" spans="1:27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</row>
    <row r="209" spans="1:27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</row>
    <row r="210" spans="1:27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</row>
    <row r="211" spans="1:27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</row>
    <row r="212" spans="1:27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</row>
    <row r="213" spans="1:27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</row>
    <row r="214" spans="1:27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</row>
    <row r="215" spans="1:27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</row>
    <row r="216" spans="1:27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</row>
    <row r="217" spans="1:27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</row>
    <row r="218" spans="1:27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</row>
    <row r="219" spans="1:27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</row>
    <row r="220" spans="1:27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</row>
    <row r="221" spans="1:27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</row>
    <row r="222" spans="1:27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</row>
    <row r="223" spans="1:27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</row>
    <row r="224" spans="1:27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</row>
    <row r="225" spans="1:27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</row>
    <row r="226" spans="1:27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</row>
    <row r="227" spans="1:27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</row>
    <row r="228" spans="1:27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</row>
    <row r="229" spans="1:27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</row>
    <row r="230" spans="1:27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</row>
    <row r="231" spans="1:27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</row>
    <row r="232" spans="1:27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</row>
    <row r="233" spans="1:27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</row>
    <row r="234" spans="1:27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</row>
    <row r="235" spans="1:27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</row>
    <row r="236" spans="1:27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</row>
    <row r="237" spans="1:27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</row>
    <row r="238" spans="1:27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</row>
    <row r="239" spans="1:27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</row>
    <row r="240" spans="1:27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</row>
    <row r="241" spans="1:27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</row>
    <row r="242" spans="1:27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</row>
    <row r="243" spans="1:27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</row>
    <row r="244" spans="1:27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</row>
    <row r="245" spans="1:27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</row>
    <row r="246" spans="1:27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</row>
    <row r="247" spans="1:27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</row>
    <row r="248" spans="1:27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</row>
    <row r="249" spans="1:27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</row>
    <row r="250" spans="1:27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</row>
    <row r="251" spans="1:27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</row>
    <row r="252" spans="1:27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</row>
    <row r="253" spans="1:27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</row>
    <row r="254" spans="1:27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</row>
    <row r="255" spans="1:27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</row>
    <row r="256" spans="1:27" x14ac:dyDescent="0.2">
      <c r="A256" s="21"/>
      <c r="B256" s="21"/>
      <c r="C256" s="21"/>
      <c r="D256" s="21"/>
      <c r="E256" s="21"/>
      <c r="F256" s="21"/>
      <c r="G256" s="20"/>
      <c r="H256" s="20"/>
      <c r="I256" s="21"/>
      <c r="J256" s="21"/>
      <c r="K256" s="21"/>
      <c r="L256" s="21"/>
      <c r="M256" s="21"/>
      <c r="N256" s="21"/>
      <c r="O256" s="21"/>
      <c r="P256" s="21"/>
      <c r="Q256" s="21"/>
      <c r="R256" s="21"/>
      <c r="S256" s="21"/>
      <c r="T256" s="21"/>
      <c r="U256" s="21"/>
      <c r="V256" s="21"/>
      <c r="W256" s="21"/>
      <c r="X256" s="21"/>
      <c r="Y256" s="21"/>
      <c r="Z256" s="21"/>
      <c r="AA256" s="21"/>
    </row>
    <row r="257" spans="1:27" x14ac:dyDescent="0.2">
      <c r="A257" s="21"/>
      <c r="B257" s="21"/>
      <c r="C257" s="21"/>
      <c r="D257" s="21"/>
      <c r="E257" s="21"/>
      <c r="F257" s="21"/>
      <c r="G257" s="20"/>
      <c r="H257" s="20"/>
      <c r="I257" s="21"/>
      <c r="J257" s="21"/>
      <c r="K257" s="21"/>
      <c r="L257" s="21"/>
      <c r="M257" s="21"/>
      <c r="N257" s="21"/>
      <c r="O257" s="21"/>
      <c r="P257" s="21"/>
      <c r="Q257" s="21"/>
      <c r="R257" s="21"/>
      <c r="S257" s="21"/>
      <c r="T257" s="21"/>
      <c r="U257" s="21"/>
      <c r="V257" s="21"/>
      <c r="W257" s="21"/>
      <c r="X257" s="21"/>
      <c r="Y257" s="21"/>
      <c r="Z257" s="21"/>
      <c r="AA257" s="21"/>
    </row>
    <row r="258" spans="1:27" x14ac:dyDescent="0.2">
      <c r="A258" s="21"/>
      <c r="B258" s="21"/>
      <c r="C258" s="21"/>
      <c r="D258" s="21"/>
      <c r="E258" s="21"/>
      <c r="F258" s="21"/>
      <c r="G258" s="20"/>
      <c r="H258" s="20"/>
      <c r="I258" s="21"/>
      <c r="J258" s="21"/>
      <c r="K258" s="21"/>
      <c r="L258" s="21"/>
      <c r="M258" s="21"/>
      <c r="N258" s="21"/>
      <c r="O258" s="21"/>
      <c r="P258" s="21"/>
      <c r="Q258" s="21"/>
      <c r="R258" s="21"/>
      <c r="S258" s="21"/>
      <c r="T258" s="21"/>
      <c r="U258" s="21"/>
      <c r="V258" s="21"/>
      <c r="W258" s="21"/>
      <c r="X258" s="21"/>
      <c r="Y258" s="21"/>
      <c r="Z258" s="21"/>
      <c r="AA258" s="21"/>
    </row>
    <row r="259" spans="1:27" x14ac:dyDescent="0.2">
      <c r="A259" s="21"/>
      <c r="B259" s="21"/>
      <c r="C259" s="21"/>
      <c r="D259" s="21"/>
      <c r="E259" s="21"/>
      <c r="F259" s="21"/>
      <c r="G259" s="20"/>
      <c r="H259" s="20"/>
      <c r="I259" s="21"/>
      <c r="J259" s="21"/>
      <c r="K259" s="21"/>
      <c r="L259" s="21"/>
      <c r="M259" s="21"/>
      <c r="N259" s="21"/>
      <c r="O259" s="21"/>
      <c r="P259" s="21"/>
      <c r="Q259" s="21"/>
      <c r="R259" s="21"/>
      <c r="S259" s="21"/>
      <c r="T259" s="21"/>
      <c r="U259" s="21"/>
      <c r="V259" s="21"/>
      <c r="W259" s="21"/>
      <c r="X259" s="21"/>
      <c r="Y259" s="21"/>
      <c r="Z259" s="21"/>
      <c r="AA259" s="21"/>
    </row>
    <row r="260" spans="1:27" x14ac:dyDescent="0.2">
      <c r="A260" s="21"/>
      <c r="B260" s="21"/>
      <c r="C260" s="21"/>
      <c r="D260" s="21"/>
      <c r="E260" s="21"/>
      <c r="F260" s="21"/>
      <c r="G260" s="20"/>
      <c r="H260" s="20"/>
      <c r="I260" s="21"/>
      <c r="J260" s="21"/>
      <c r="K260" s="21"/>
      <c r="L260" s="21"/>
      <c r="M260" s="21"/>
      <c r="N260" s="21"/>
      <c r="O260" s="21"/>
      <c r="P260" s="21"/>
      <c r="Q260" s="21"/>
      <c r="R260" s="21"/>
      <c r="S260" s="21"/>
      <c r="T260" s="21"/>
      <c r="U260" s="21"/>
      <c r="V260" s="21"/>
      <c r="W260" s="21"/>
      <c r="X260" s="21"/>
      <c r="Y260" s="21"/>
      <c r="Z260" s="21"/>
      <c r="AA260" s="21"/>
    </row>
    <row r="261" spans="1:27" x14ac:dyDescent="0.2">
      <c r="A261" s="21"/>
      <c r="B261" s="21"/>
      <c r="C261" s="21"/>
      <c r="D261" s="21"/>
      <c r="E261" s="21"/>
      <c r="F261" s="21"/>
      <c r="G261" s="20"/>
      <c r="H261" s="20"/>
      <c r="I261" s="21"/>
      <c r="J261" s="21"/>
      <c r="K261" s="21"/>
      <c r="L261" s="21"/>
      <c r="M261" s="21"/>
      <c r="N261" s="21"/>
      <c r="O261" s="21"/>
      <c r="P261" s="21"/>
      <c r="Q261" s="21"/>
      <c r="R261" s="21"/>
      <c r="S261" s="21"/>
      <c r="T261" s="21"/>
      <c r="U261" s="21"/>
      <c r="V261" s="21"/>
      <c r="W261" s="21"/>
      <c r="X261" s="21"/>
      <c r="Y261" s="21"/>
      <c r="Z261" s="21"/>
      <c r="AA261" s="21"/>
    </row>
    <row r="262" spans="1:27" x14ac:dyDescent="0.2">
      <c r="A262" s="21"/>
      <c r="B262" s="21"/>
      <c r="C262" s="21"/>
      <c r="D262" s="21"/>
      <c r="E262" s="21"/>
      <c r="F262" s="21"/>
      <c r="G262" s="20"/>
      <c r="H262" s="20"/>
      <c r="I262" s="21"/>
      <c r="J262" s="21"/>
      <c r="K262" s="21"/>
      <c r="L262" s="21"/>
      <c r="M262" s="21"/>
      <c r="N262" s="21"/>
      <c r="O262" s="21"/>
      <c r="P262" s="21"/>
      <c r="Q262" s="21"/>
      <c r="R262" s="21"/>
      <c r="S262" s="21"/>
      <c r="T262" s="21"/>
      <c r="U262" s="21"/>
      <c r="V262" s="21"/>
      <c r="W262" s="21"/>
      <c r="X262" s="21"/>
      <c r="Y262" s="21"/>
      <c r="Z262" s="21"/>
      <c r="AA262" s="21"/>
    </row>
    <row r="263" spans="1:27" x14ac:dyDescent="0.2">
      <c r="A263" s="21"/>
      <c r="B263" s="21"/>
      <c r="C263" s="21"/>
      <c r="D263" s="21"/>
      <c r="E263" s="21"/>
      <c r="F263" s="21"/>
      <c r="G263" s="20"/>
      <c r="H263" s="20"/>
      <c r="I263" s="21"/>
      <c r="J263" s="21"/>
      <c r="K263" s="21"/>
      <c r="L263" s="21"/>
      <c r="M263" s="21"/>
      <c r="N263" s="21"/>
      <c r="O263" s="21"/>
      <c r="P263" s="21"/>
      <c r="Q263" s="21"/>
      <c r="R263" s="21"/>
      <c r="S263" s="21"/>
      <c r="T263" s="21"/>
      <c r="U263" s="21"/>
      <c r="V263" s="21"/>
      <c r="W263" s="21"/>
      <c r="X263" s="21"/>
      <c r="Y263" s="21"/>
      <c r="Z263" s="21"/>
      <c r="AA263" s="21"/>
    </row>
    <row r="264" spans="1:27" x14ac:dyDescent="0.2">
      <c r="A264" s="21"/>
      <c r="B264" s="21"/>
      <c r="C264" s="21"/>
      <c r="D264" s="21"/>
      <c r="E264" s="21"/>
      <c r="F264" s="21"/>
      <c r="G264" s="20"/>
      <c r="H264" s="20"/>
      <c r="I264" s="21"/>
      <c r="J264" s="21"/>
      <c r="K264" s="21"/>
      <c r="L264" s="21"/>
      <c r="M264" s="21"/>
      <c r="N264" s="21"/>
      <c r="O264" s="21"/>
      <c r="P264" s="21"/>
      <c r="Q264" s="21"/>
      <c r="R264" s="21"/>
      <c r="S264" s="21"/>
      <c r="T264" s="21"/>
      <c r="U264" s="21"/>
      <c r="V264" s="21"/>
      <c r="W264" s="21"/>
      <c r="X264" s="21"/>
      <c r="Y264" s="21"/>
      <c r="Z264" s="21"/>
      <c r="AA264" s="21"/>
    </row>
  </sheetData>
  <sheetProtection password="F1D6" sheet="1" objects="1" scenarios="1" selectLockedCells="1"/>
  <mergeCells count="27">
    <mergeCell ref="E137:F137"/>
    <mergeCell ref="C44:F44"/>
    <mergeCell ref="D45:F45"/>
    <mergeCell ref="D46:F46"/>
    <mergeCell ref="D51:F51"/>
    <mergeCell ref="D52:F52"/>
    <mergeCell ref="B64:F64"/>
    <mergeCell ref="B65:F65"/>
    <mergeCell ref="B66:C66"/>
    <mergeCell ref="B86:F86"/>
    <mergeCell ref="B138:F138"/>
    <mergeCell ref="P8:P9"/>
    <mergeCell ref="I8:I9"/>
    <mergeCell ref="E89:F89"/>
    <mergeCell ref="D100:F100"/>
    <mergeCell ref="D115:F115"/>
    <mergeCell ref="D126:F126"/>
    <mergeCell ref="L8:M8"/>
    <mergeCell ref="J8:K8"/>
    <mergeCell ref="E133:F133"/>
    <mergeCell ref="C63:E63"/>
    <mergeCell ref="A1:P1"/>
    <mergeCell ref="A7:F9"/>
    <mergeCell ref="G7:G9"/>
    <mergeCell ref="I7:P7"/>
    <mergeCell ref="N8:O8"/>
    <mergeCell ref="H7:H9"/>
  </mergeCells>
  <phoneticPr fontId="0" type="noConversion"/>
  <dataValidations count="1">
    <dataValidation type="decimal" operator="lessThan" allowBlank="1" showInputMessage="1" showErrorMessage="1" sqref="I10:P87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5&amp;8&amp;U
&amp;P of &amp;N&amp;C&amp;"Arial,Bold"&amp;8 MAXIMUM SAVINGS BANK, INC.  [ 03-070011 ]
 As of: June 30, 2019</oddHeader>
  </headerFooter>
  <drawing r:id="rId2"/>
  <legacyDrawing r:id="rId3"/>
  <controls>
    <mc:AlternateContent xmlns:mc="http://schemas.openxmlformats.org/markup-compatibility/2006">
      <mc:Choice Requires="x14">
        <control shapeId="6145" r:id="rId4" name="Label1">
          <controlPr defaultSize="0" autoLine="0" r:id="rId5">
            <anchor moveWithCells="1">
              <from>
                <xdr:col>7</xdr:col>
                <xdr:colOff>333375</xdr:colOff>
                <xdr:row>17</xdr:row>
                <xdr:rowOff>9525</xdr:rowOff>
              </from>
              <to>
                <xdr:col>7</xdr:col>
                <xdr:colOff>723900</xdr:colOff>
                <xdr:row>18</xdr:row>
                <xdr:rowOff>0</xdr:rowOff>
              </to>
            </anchor>
          </controlPr>
        </control>
      </mc:Choice>
      <mc:Fallback>
        <control shapeId="6145" r:id="rId4" name="Label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N255"/>
  <sheetViews>
    <sheetView zoomScaleNormal="100" zoomScaleSheetLayoutView="50" workbookViewId="0">
      <pane xSplit="8" ySplit="9" topLeftCell="I14" activePane="bottomRight" state="frozen"/>
      <selection pane="topRight" activeCell="I1" sqref="I1"/>
      <selection pane="bottomLeft" activeCell="A10" sqref="A10"/>
      <selection pane="bottomRight" activeCell="I14" sqref="I14"/>
    </sheetView>
  </sheetViews>
  <sheetFormatPr defaultRowHeight="11.25" x14ac:dyDescent="0.2"/>
  <cols>
    <col min="1" max="1" width="2.7109375" style="1" customWidth="1"/>
    <col min="2" max="2" width="3.5703125" style="1" customWidth="1"/>
    <col min="3" max="5" width="3" style="1" customWidth="1"/>
    <col min="6" max="6" width="38.28515625" style="1" customWidth="1"/>
    <col min="7" max="7" width="18.28515625" style="9" customWidth="1"/>
    <col min="8" max="8" width="10.5703125" style="9" customWidth="1"/>
    <col min="9" max="13" width="20.7109375" style="1" customWidth="1"/>
    <col min="14" max="15" width="20.7109375" style="1" hidden="1" customWidth="1"/>
    <col min="16" max="21" width="20.7109375" style="1" customWidth="1"/>
    <col min="22" max="23" width="20.7109375" style="1" hidden="1" customWidth="1"/>
    <col min="24" max="29" width="20.7109375" style="1" customWidth="1"/>
    <col min="30" max="31" width="20.7109375" style="1" hidden="1" customWidth="1"/>
    <col min="32" max="37" width="20.7109375" style="1" customWidth="1"/>
    <col min="38" max="39" width="20.7109375" style="1" hidden="1" customWidth="1"/>
    <col min="40" max="40" width="20.7109375" style="1" customWidth="1"/>
    <col min="41" max="16384" width="9.140625" style="1"/>
  </cols>
  <sheetData>
    <row r="1" spans="1:40" ht="12.75" x14ac:dyDescent="0.2">
      <c r="A1" s="512" t="s">
        <v>519</v>
      </c>
      <c r="B1" s="512"/>
      <c r="C1" s="512"/>
      <c r="D1" s="512"/>
      <c r="E1" s="512"/>
      <c r="F1" s="512"/>
      <c r="G1" s="512"/>
      <c r="H1" s="512"/>
      <c r="I1" s="512"/>
      <c r="J1" s="512"/>
      <c r="K1" s="512"/>
      <c r="L1" s="512"/>
      <c r="M1" s="512"/>
      <c r="N1" s="512"/>
      <c r="O1" s="512"/>
      <c r="P1" s="512"/>
      <c r="Q1" s="512"/>
      <c r="R1" s="512"/>
      <c r="S1" s="512"/>
      <c r="T1" s="512"/>
      <c r="U1" s="512"/>
      <c r="V1" s="512"/>
      <c r="W1" s="512"/>
      <c r="X1" s="512"/>
      <c r="Y1" s="512"/>
      <c r="Z1" s="512"/>
      <c r="AA1" s="512"/>
      <c r="AB1" s="512"/>
      <c r="AC1" s="512"/>
      <c r="AD1" s="512"/>
      <c r="AE1" s="512"/>
      <c r="AF1" s="512"/>
      <c r="AG1" s="512"/>
      <c r="AH1" s="512"/>
      <c r="AI1" s="512"/>
      <c r="AJ1" s="512"/>
      <c r="AK1" s="512"/>
      <c r="AL1" s="512"/>
      <c r="AM1" s="512"/>
      <c r="AN1" s="512"/>
    </row>
    <row r="2" spans="1:40" hidden="1" x14ac:dyDescent="0.2"/>
    <row r="3" spans="1:40" hidden="1" x14ac:dyDescent="0.2"/>
    <row r="4" spans="1:40" hidden="1" x14ac:dyDescent="0.2"/>
    <row r="6" spans="1:40" s="11" customFormat="1" ht="12.75" hidden="1" customHeight="1" x14ac:dyDescent="0.2"/>
    <row r="7" spans="1:40" s="11" customFormat="1" x14ac:dyDescent="0.2">
      <c r="A7" s="504" t="s">
        <v>0</v>
      </c>
      <c r="B7" s="505"/>
      <c r="C7" s="505"/>
      <c r="D7" s="505"/>
      <c r="E7" s="505"/>
      <c r="F7" s="506"/>
      <c r="G7" s="496" t="s">
        <v>2</v>
      </c>
      <c r="H7" s="493" t="s">
        <v>414</v>
      </c>
      <c r="I7" s="518" t="s">
        <v>603</v>
      </c>
      <c r="J7" s="519"/>
      <c r="K7" s="519"/>
      <c r="L7" s="519"/>
      <c r="M7" s="519"/>
      <c r="N7" s="519"/>
      <c r="O7" s="519"/>
      <c r="P7" s="520"/>
      <c r="Q7" s="518" t="s">
        <v>604</v>
      </c>
      <c r="R7" s="519"/>
      <c r="S7" s="519"/>
      <c r="T7" s="519"/>
      <c r="U7" s="519"/>
      <c r="V7" s="519"/>
      <c r="W7" s="519"/>
      <c r="X7" s="520"/>
      <c r="Y7" s="518" t="s">
        <v>395</v>
      </c>
      <c r="Z7" s="519"/>
      <c r="AA7" s="519"/>
      <c r="AB7" s="519"/>
      <c r="AC7" s="519"/>
      <c r="AD7" s="519"/>
      <c r="AE7" s="519"/>
      <c r="AF7" s="520"/>
      <c r="AG7" s="518" t="s">
        <v>396</v>
      </c>
      <c r="AH7" s="519"/>
      <c r="AI7" s="519"/>
      <c r="AJ7" s="519"/>
      <c r="AK7" s="519"/>
      <c r="AL7" s="519"/>
      <c r="AM7" s="519"/>
      <c r="AN7" s="520"/>
    </row>
    <row r="8" spans="1:40" s="2" customFormat="1" x14ac:dyDescent="0.2">
      <c r="A8" s="507"/>
      <c r="B8" s="508"/>
      <c r="C8" s="508"/>
      <c r="D8" s="508"/>
      <c r="E8" s="508"/>
      <c r="F8" s="509"/>
      <c r="G8" s="497"/>
      <c r="H8" s="494"/>
      <c r="I8" s="497" t="s">
        <v>3</v>
      </c>
      <c r="J8" s="491" t="s">
        <v>4</v>
      </c>
      <c r="K8" s="492"/>
      <c r="L8" s="491" t="s">
        <v>7</v>
      </c>
      <c r="M8" s="510"/>
      <c r="N8" s="491" t="s">
        <v>391</v>
      </c>
      <c r="O8" s="510"/>
      <c r="P8" s="497" t="s">
        <v>68</v>
      </c>
      <c r="Q8" s="497" t="s">
        <v>3</v>
      </c>
      <c r="R8" s="491" t="s">
        <v>4</v>
      </c>
      <c r="S8" s="492"/>
      <c r="T8" s="491" t="s">
        <v>7</v>
      </c>
      <c r="U8" s="510"/>
      <c r="V8" s="491" t="s">
        <v>391</v>
      </c>
      <c r="W8" s="510"/>
      <c r="X8" s="497" t="s">
        <v>68</v>
      </c>
      <c r="Y8" s="497" t="s">
        <v>3</v>
      </c>
      <c r="Z8" s="491" t="s">
        <v>4</v>
      </c>
      <c r="AA8" s="492"/>
      <c r="AB8" s="491" t="s">
        <v>7</v>
      </c>
      <c r="AC8" s="510"/>
      <c r="AD8" s="491" t="s">
        <v>391</v>
      </c>
      <c r="AE8" s="510"/>
      <c r="AF8" s="497" t="s">
        <v>68</v>
      </c>
      <c r="AG8" s="497" t="s">
        <v>3</v>
      </c>
      <c r="AH8" s="491" t="s">
        <v>4</v>
      </c>
      <c r="AI8" s="492"/>
      <c r="AJ8" s="491" t="s">
        <v>7</v>
      </c>
      <c r="AK8" s="510"/>
      <c r="AL8" s="491" t="s">
        <v>391</v>
      </c>
      <c r="AM8" s="510"/>
      <c r="AN8" s="497" t="s">
        <v>68</v>
      </c>
    </row>
    <row r="9" spans="1:40" s="2" customFormat="1" x14ac:dyDescent="0.2">
      <c r="A9" s="507"/>
      <c r="B9" s="508"/>
      <c r="C9" s="508"/>
      <c r="D9" s="508"/>
      <c r="E9" s="508"/>
      <c r="F9" s="509"/>
      <c r="G9" s="498"/>
      <c r="H9" s="495"/>
      <c r="I9" s="498"/>
      <c r="J9" s="8" t="s">
        <v>5</v>
      </c>
      <c r="K9" s="8" t="s">
        <v>6</v>
      </c>
      <c r="L9" s="8" t="s">
        <v>5</v>
      </c>
      <c r="M9" s="10" t="s">
        <v>6</v>
      </c>
      <c r="N9" s="8" t="s">
        <v>5</v>
      </c>
      <c r="O9" s="10" t="s">
        <v>6</v>
      </c>
      <c r="P9" s="498"/>
      <c r="Q9" s="498"/>
      <c r="R9" s="8" t="s">
        <v>5</v>
      </c>
      <c r="S9" s="8" t="s">
        <v>6</v>
      </c>
      <c r="T9" s="8" t="s">
        <v>5</v>
      </c>
      <c r="U9" s="10" t="s">
        <v>6</v>
      </c>
      <c r="V9" s="8" t="s">
        <v>5</v>
      </c>
      <c r="W9" s="10" t="s">
        <v>6</v>
      </c>
      <c r="X9" s="498"/>
      <c r="Y9" s="498"/>
      <c r="Z9" s="8" t="s">
        <v>5</v>
      </c>
      <c r="AA9" s="8" t="s">
        <v>6</v>
      </c>
      <c r="AB9" s="8" t="s">
        <v>5</v>
      </c>
      <c r="AC9" s="10" t="s">
        <v>6</v>
      </c>
      <c r="AD9" s="8" t="s">
        <v>5</v>
      </c>
      <c r="AE9" s="10" t="s">
        <v>6</v>
      </c>
      <c r="AF9" s="498"/>
      <c r="AG9" s="498"/>
      <c r="AH9" s="8" t="s">
        <v>5</v>
      </c>
      <c r="AI9" s="8" t="s">
        <v>6</v>
      </c>
      <c r="AJ9" s="8" t="s">
        <v>5</v>
      </c>
      <c r="AK9" s="10" t="s">
        <v>6</v>
      </c>
      <c r="AL9" s="8" t="s">
        <v>5</v>
      </c>
      <c r="AM9" s="10" t="s">
        <v>6</v>
      </c>
      <c r="AN9" s="498"/>
    </row>
    <row r="10" spans="1:40" x14ac:dyDescent="0.2">
      <c r="A10" s="325" t="s">
        <v>185</v>
      </c>
      <c r="B10" s="326"/>
      <c r="C10" s="326"/>
      <c r="D10" s="326"/>
      <c r="E10" s="326"/>
      <c r="F10" s="328"/>
      <c r="G10" s="329"/>
      <c r="H10" s="18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</row>
    <row r="11" spans="1:40" x14ac:dyDescent="0.2">
      <c r="A11" s="330" t="s">
        <v>186</v>
      </c>
      <c r="B11" s="331" t="s">
        <v>187</v>
      </c>
      <c r="C11" s="252"/>
      <c r="D11" s="252"/>
      <c r="E11" s="252"/>
      <c r="F11" s="313"/>
      <c r="G11" s="463" t="s">
        <v>521</v>
      </c>
      <c r="H11" s="18"/>
      <c r="I11" s="78">
        <f t="shared" ref="I11:O11" si="0">SUM(I12,I24,I25,I28)</f>
        <v>0</v>
      </c>
      <c r="J11" s="78">
        <f t="shared" si="0"/>
        <v>0</v>
      </c>
      <c r="K11" s="78">
        <f t="shared" si="0"/>
        <v>0</v>
      </c>
      <c r="L11" s="78">
        <f t="shared" si="0"/>
        <v>0</v>
      </c>
      <c r="M11" s="78">
        <f t="shared" si="0"/>
        <v>0</v>
      </c>
      <c r="N11" s="78">
        <f t="shared" si="0"/>
        <v>0</v>
      </c>
      <c r="O11" s="78">
        <f t="shared" si="0"/>
        <v>0</v>
      </c>
      <c r="P11" s="78">
        <f>SUM(I11,K11,M11,O11)</f>
        <v>0</v>
      </c>
      <c r="Q11" s="273">
        <f t="shared" ref="Q11:W11" si="1">SUM(Q12,Q24,Q25,Q28)</f>
        <v>0</v>
      </c>
      <c r="R11" s="273">
        <f t="shared" si="1"/>
        <v>0</v>
      </c>
      <c r="S11" s="273">
        <f t="shared" si="1"/>
        <v>0</v>
      </c>
      <c r="T11" s="273">
        <f t="shared" si="1"/>
        <v>0</v>
      </c>
      <c r="U11" s="273">
        <f t="shared" si="1"/>
        <v>0</v>
      </c>
      <c r="V11" s="273">
        <f t="shared" si="1"/>
        <v>0</v>
      </c>
      <c r="W11" s="273">
        <f t="shared" si="1"/>
        <v>0</v>
      </c>
      <c r="X11" s="273">
        <f>SUM(Q11,S11,U11,W11)</f>
        <v>0</v>
      </c>
      <c r="Y11" s="78">
        <f t="shared" ref="Y11:AE11" si="2">SUM(Y12,Y24,Y25,Y28)</f>
        <v>0</v>
      </c>
      <c r="Z11" s="78">
        <f t="shared" si="2"/>
        <v>0</v>
      </c>
      <c r="AA11" s="78">
        <f t="shared" si="2"/>
        <v>0</v>
      </c>
      <c r="AB11" s="78">
        <f t="shared" si="2"/>
        <v>0</v>
      </c>
      <c r="AC11" s="78">
        <f t="shared" si="2"/>
        <v>0</v>
      </c>
      <c r="AD11" s="78">
        <f t="shared" si="2"/>
        <v>0</v>
      </c>
      <c r="AE11" s="78">
        <f t="shared" si="2"/>
        <v>0</v>
      </c>
      <c r="AF11" s="78">
        <f>SUM(Y11,AA11,AC11,AE11)</f>
        <v>0</v>
      </c>
      <c r="AG11" s="78">
        <f t="shared" ref="AG11:AG32" si="3">(I11+Q11)-Y11</f>
        <v>0</v>
      </c>
      <c r="AH11" s="78">
        <f t="shared" ref="AH11:AH32" si="4">(J11+R11)-Z11</f>
        <v>0</v>
      </c>
      <c r="AI11" s="78">
        <f t="shared" ref="AI11:AI32" si="5">(K11+S11)-AA11</f>
        <v>0</v>
      </c>
      <c r="AJ11" s="78">
        <f t="shared" ref="AJ11:AJ32" si="6">(L11+T11)-AB11</f>
        <v>0</v>
      </c>
      <c r="AK11" s="78">
        <f t="shared" ref="AK11:AK32" si="7">(M11+U11)-AC11</f>
        <v>0</v>
      </c>
      <c r="AL11" s="78">
        <f t="shared" ref="AL11:AM16" si="8">(N11+V11)-AD11</f>
        <v>0</v>
      </c>
      <c r="AM11" s="78">
        <f t="shared" si="8"/>
        <v>0</v>
      </c>
      <c r="AN11" s="78">
        <f t="shared" ref="AN11:AN32" si="9">(P11+X11)-AF11</f>
        <v>0</v>
      </c>
    </row>
    <row r="12" spans="1:40" x14ac:dyDescent="0.2">
      <c r="A12" s="332"/>
      <c r="B12" s="333" t="s">
        <v>188</v>
      </c>
      <c r="C12" s="333" t="s">
        <v>788</v>
      </c>
      <c r="D12" s="333"/>
      <c r="E12" s="333"/>
      <c r="F12" s="334"/>
      <c r="G12" s="463" t="s">
        <v>522</v>
      </c>
      <c r="H12" s="18"/>
      <c r="I12" s="78">
        <f t="shared" ref="I12:O12" si="10">SUM(I13,I19,I20)</f>
        <v>0</v>
      </c>
      <c r="J12" s="78">
        <f t="shared" si="10"/>
        <v>0</v>
      </c>
      <c r="K12" s="78">
        <f t="shared" si="10"/>
        <v>0</v>
      </c>
      <c r="L12" s="78">
        <f t="shared" si="10"/>
        <v>0</v>
      </c>
      <c r="M12" s="78">
        <f t="shared" si="10"/>
        <v>0</v>
      </c>
      <c r="N12" s="78">
        <f t="shared" si="10"/>
        <v>0</v>
      </c>
      <c r="O12" s="78">
        <f t="shared" si="10"/>
        <v>0</v>
      </c>
      <c r="P12" s="78">
        <f t="shared" ref="P12:P77" si="11">SUM(I12,K12,M12,O12)</f>
        <v>0</v>
      </c>
      <c r="Q12" s="273">
        <f t="shared" ref="Q12:W12" si="12">SUM(Q13,Q19,Q20)</f>
        <v>0</v>
      </c>
      <c r="R12" s="273">
        <f t="shared" si="12"/>
        <v>0</v>
      </c>
      <c r="S12" s="273">
        <f t="shared" si="12"/>
        <v>0</v>
      </c>
      <c r="T12" s="273">
        <f t="shared" si="12"/>
        <v>0</v>
      </c>
      <c r="U12" s="273">
        <f t="shared" si="12"/>
        <v>0</v>
      </c>
      <c r="V12" s="273">
        <f t="shared" si="12"/>
        <v>0</v>
      </c>
      <c r="W12" s="273">
        <f t="shared" si="12"/>
        <v>0</v>
      </c>
      <c r="X12" s="273">
        <f t="shared" ref="X12:X77" si="13">SUM(Q12,S12,U12,W12)</f>
        <v>0</v>
      </c>
      <c r="Y12" s="78">
        <f t="shared" ref="Y12:AE12" si="14">SUM(Y13,Y19,Y20)</f>
        <v>0</v>
      </c>
      <c r="Z12" s="78">
        <f t="shared" si="14"/>
        <v>0</v>
      </c>
      <c r="AA12" s="78">
        <f t="shared" si="14"/>
        <v>0</v>
      </c>
      <c r="AB12" s="78">
        <f t="shared" si="14"/>
        <v>0</v>
      </c>
      <c r="AC12" s="78">
        <f t="shared" si="14"/>
        <v>0</v>
      </c>
      <c r="AD12" s="78">
        <f t="shared" si="14"/>
        <v>0</v>
      </c>
      <c r="AE12" s="78">
        <f t="shared" si="14"/>
        <v>0</v>
      </c>
      <c r="AF12" s="78">
        <f t="shared" ref="AF12:AF77" si="15">SUM(Y12,AA12,AC12,AE12)</f>
        <v>0</v>
      </c>
      <c r="AG12" s="78">
        <f t="shared" si="3"/>
        <v>0</v>
      </c>
      <c r="AH12" s="78">
        <f t="shared" si="4"/>
        <v>0</v>
      </c>
      <c r="AI12" s="78">
        <f t="shared" si="5"/>
        <v>0</v>
      </c>
      <c r="AJ12" s="78">
        <f t="shared" si="6"/>
        <v>0</v>
      </c>
      <c r="AK12" s="78">
        <f t="shared" si="7"/>
        <v>0</v>
      </c>
      <c r="AL12" s="78">
        <f t="shared" si="8"/>
        <v>0</v>
      </c>
      <c r="AM12" s="78">
        <f t="shared" si="8"/>
        <v>0</v>
      </c>
      <c r="AN12" s="78">
        <f t="shared" si="9"/>
        <v>0</v>
      </c>
    </row>
    <row r="13" spans="1:40" x14ac:dyDescent="0.2">
      <c r="A13" s="251"/>
      <c r="B13" s="252"/>
      <c r="C13" s="311">
        <v>-1</v>
      </c>
      <c r="D13" s="252" t="s">
        <v>189</v>
      </c>
      <c r="E13" s="252"/>
      <c r="F13" s="313"/>
      <c r="G13" s="463" t="s">
        <v>523</v>
      </c>
      <c r="H13" s="18"/>
      <c r="I13" s="78">
        <f>I14+I15+I16</f>
        <v>0</v>
      </c>
      <c r="J13" s="78">
        <f t="shared" ref="J13:O13" si="16">J14+J15+J16</f>
        <v>0</v>
      </c>
      <c r="K13" s="78">
        <f t="shared" si="16"/>
        <v>0</v>
      </c>
      <c r="L13" s="78">
        <f t="shared" si="16"/>
        <v>0</v>
      </c>
      <c r="M13" s="78">
        <f t="shared" si="16"/>
        <v>0</v>
      </c>
      <c r="N13" s="78">
        <f t="shared" si="16"/>
        <v>0</v>
      </c>
      <c r="O13" s="78">
        <f t="shared" si="16"/>
        <v>0</v>
      </c>
      <c r="P13" s="78">
        <f t="shared" si="11"/>
        <v>0</v>
      </c>
      <c r="Q13" s="273">
        <f>Q14+Q15+Q16</f>
        <v>0</v>
      </c>
      <c r="R13" s="273">
        <f t="shared" ref="R13:W13" si="17">R14+R15+R16</f>
        <v>0</v>
      </c>
      <c r="S13" s="273">
        <f t="shared" si="17"/>
        <v>0</v>
      </c>
      <c r="T13" s="273">
        <f t="shared" si="17"/>
        <v>0</v>
      </c>
      <c r="U13" s="273">
        <f t="shared" si="17"/>
        <v>0</v>
      </c>
      <c r="V13" s="273">
        <f t="shared" si="17"/>
        <v>0</v>
      </c>
      <c r="W13" s="273">
        <f t="shared" si="17"/>
        <v>0</v>
      </c>
      <c r="X13" s="273">
        <f t="shared" si="13"/>
        <v>0</v>
      </c>
      <c r="Y13" s="78">
        <f>Y14+Y15+Y16</f>
        <v>0</v>
      </c>
      <c r="Z13" s="78">
        <f t="shared" ref="Z13:AE13" si="18">Z14+Z15+Z16</f>
        <v>0</v>
      </c>
      <c r="AA13" s="78">
        <f t="shared" si="18"/>
        <v>0</v>
      </c>
      <c r="AB13" s="78">
        <f t="shared" si="18"/>
        <v>0</v>
      </c>
      <c r="AC13" s="78">
        <f t="shared" si="18"/>
        <v>0</v>
      </c>
      <c r="AD13" s="78">
        <f t="shared" si="18"/>
        <v>0</v>
      </c>
      <c r="AE13" s="78">
        <f t="shared" si="18"/>
        <v>0</v>
      </c>
      <c r="AF13" s="78">
        <f t="shared" si="15"/>
        <v>0</v>
      </c>
      <c r="AG13" s="78">
        <f t="shared" si="3"/>
        <v>0</v>
      </c>
      <c r="AH13" s="78">
        <f t="shared" si="4"/>
        <v>0</v>
      </c>
      <c r="AI13" s="78">
        <f t="shared" si="5"/>
        <v>0</v>
      </c>
      <c r="AJ13" s="78">
        <f t="shared" si="6"/>
        <v>0</v>
      </c>
      <c r="AK13" s="78">
        <f t="shared" si="7"/>
        <v>0</v>
      </c>
      <c r="AL13" s="78">
        <f t="shared" si="8"/>
        <v>0</v>
      </c>
      <c r="AM13" s="78">
        <f t="shared" si="8"/>
        <v>0</v>
      </c>
      <c r="AN13" s="78">
        <f t="shared" si="9"/>
        <v>0</v>
      </c>
    </row>
    <row r="14" spans="1:40" x14ac:dyDescent="0.2">
      <c r="A14" s="251"/>
      <c r="B14" s="252"/>
      <c r="C14" s="311"/>
      <c r="D14" s="252" t="s">
        <v>11</v>
      </c>
      <c r="E14" s="252" t="s">
        <v>789</v>
      </c>
      <c r="F14" s="313"/>
      <c r="G14" s="463" t="s">
        <v>817</v>
      </c>
      <c r="H14" s="18"/>
      <c r="I14" s="61"/>
      <c r="J14" s="61"/>
      <c r="K14" s="61"/>
      <c r="L14" s="61"/>
      <c r="M14" s="61"/>
      <c r="N14" s="61"/>
      <c r="O14" s="61"/>
      <c r="P14" s="29">
        <f t="shared" si="11"/>
        <v>0</v>
      </c>
      <c r="Q14" s="261"/>
      <c r="R14" s="261"/>
      <c r="S14" s="261"/>
      <c r="T14" s="261"/>
      <c r="U14" s="261"/>
      <c r="V14" s="261"/>
      <c r="W14" s="261"/>
      <c r="X14" s="260">
        <f t="shared" si="13"/>
        <v>0</v>
      </c>
      <c r="Y14" s="61"/>
      <c r="Z14" s="61"/>
      <c r="AA14" s="61"/>
      <c r="AB14" s="61"/>
      <c r="AC14" s="61"/>
      <c r="AD14" s="61"/>
      <c r="AE14" s="61"/>
      <c r="AF14" s="78">
        <f t="shared" si="15"/>
        <v>0</v>
      </c>
      <c r="AG14" s="78">
        <f t="shared" si="3"/>
        <v>0</v>
      </c>
      <c r="AH14" s="78">
        <f t="shared" si="4"/>
        <v>0</v>
      </c>
      <c r="AI14" s="78">
        <f t="shared" si="5"/>
        <v>0</v>
      </c>
      <c r="AJ14" s="78">
        <f t="shared" si="6"/>
        <v>0</v>
      </c>
      <c r="AK14" s="78">
        <f t="shared" si="7"/>
        <v>0</v>
      </c>
      <c r="AL14" s="78">
        <f t="shared" si="8"/>
        <v>0</v>
      </c>
      <c r="AM14" s="78">
        <f t="shared" si="8"/>
        <v>0</v>
      </c>
      <c r="AN14" s="78">
        <f t="shared" si="9"/>
        <v>0</v>
      </c>
    </row>
    <row r="15" spans="1:40" x14ac:dyDescent="0.2">
      <c r="A15" s="251"/>
      <c r="B15" s="252"/>
      <c r="C15" s="311"/>
      <c r="D15" s="252" t="s">
        <v>15</v>
      </c>
      <c r="E15" s="252" t="s">
        <v>790</v>
      </c>
      <c r="F15" s="313"/>
      <c r="G15" s="463" t="s">
        <v>818</v>
      </c>
      <c r="H15" s="18"/>
      <c r="I15" s="61"/>
      <c r="J15" s="61"/>
      <c r="K15" s="61"/>
      <c r="L15" s="61"/>
      <c r="M15" s="61"/>
      <c r="N15" s="61"/>
      <c r="O15" s="61"/>
      <c r="P15" s="29">
        <f t="shared" si="11"/>
        <v>0</v>
      </c>
      <c r="Q15" s="261"/>
      <c r="R15" s="261"/>
      <c r="S15" s="261"/>
      <c r="T15" s="261"/>
      <c r="U15" s="261"/>
      <c r="V15" s="261"/>
      <c r="W15" s="261"/>
      <c r="X15" s="260">
        <f t="shared" si="13"/>
        <v>0</v>
      </c>
      <c r="Y15" s="61"/>
      <c r="Z15" s="61"/>
      <c r="AA15" s="61"/>
      <c r="AB15" s="61"/>
      <c r="AC15" s="61"/>
      <c r="AD15" s="61"/>
      <c r="AE15" s="61"/>
      <c r="AF15" s="78">
        <f t="shared" si="15"/>
        <v>0</v>
      </c>
      <c r="AG15" s="78">
        <f t="shared" si="3"/>
        <v>0</v>
      </c>
      <c r="AH15" s="78">
        <f t="shared" si="4"/>
        <v>0</v>
      </c>
      <c r="AI15" s="78">
        <f t="shared" si="5"/>
        <v>0</v>
      </c>
      <c r="AJ15" s="78">
        <f t="shared" si="6"/>
        <v>0</v>
      </c>
      <c r="AK15" s="78">
        <f t="shared" si="7"/>
        <v>0</v>
      </c>
      <c r="AL15" s="78">
        <f t="shared" si="8"/>
        <v>0</v>
      </c>
      <c r="AM15" s="78">
        <f t="shared" si="8"/>
        <v>0</v>
      </c>
      <c r="AN15" s="78">
        <f t="shared" si="9"/>
        <v>0</v>
      </c>
    </row>
    <row r="16" spans="1:40" x14ac:dyDescent="0.2">
      <c r="A16" s="251"/>
      <c r="B16" s="252"/>
      <c r="C16" s="311"/>
      <c r="D16" s="252" t="s">
        <v>25</v>
      </c>
      <c r="E16" s="252" t="s">
        <v>791</v>
      </c>
      <c r="F16" s="313"/>
      <c r="G16" s="463" t="s">
        <v>819</v>
      </c>
      <c r="H16" s="85" t="s">
        <v>751</v>
      </c>
      <c r="I16" s="78">
        <f>SUM(I17:I18)</f>
        <v>0</v>
      </c>
      <c r="J16" s="78">
        <f t="shared" ref="J16:Q16" si="19">SUM(J17:J18)</f>
        <v>0</v>
      </c>
      <c r="K16" s="78">
        <f t="shared" si="19"/>
        <v>0</v>
      </c>
      <c r="L16" s="78">
        <f t="shared" si="19"/>
        <v>0</v>
      </c>
      <c r="M16" s="78">
        <f t="shared" si="19"/>
        <v>0</v>
      </c>
      <c r="N16" s="78">
        <f t="shared" si="19"/>
        <v>0</v>
      </c>
      <c r="O16" s="78">
        <f t="shared" si="19"/>
        <v>0</v>
      </c>
      <c r="P16" s="78">
        <f t="shared" si="11"/>
        <v>0</v>
      </c>
      <c r="Q16" s="78">
        <f t="shared" si="19"/>
        <v>0</v>
      </c>
      <c r="R16" s="78">
        <f t="shared" ref="R16:W16" si="20">SUM(R17:R18)</f>
        <v>0</v>
      </c>
      <c r="S16" s="78">
        <f t="shared" si="20"/>
        <v>0</v>
      </c>
      <c r="T16" s="78">
        <f t="shared" si="20"/>
        <v>0</v>
      </c>
      <c r="U16" s="78">
        <f t="shared" si="20"/>
        <v>0</v>
      </c>
      <c r="V16" s="78">
        <f t="shared" si="20"/>
        <v>0</v>
      </c>
      <c r="W16" s="78">
        <f t="shared" si="20"/>
        <v>0</v>
      </c>
      <c r="X16" s="273">
        <f t="shared" si="13"/>
        <v>0</v>
      </c>
      <c r="Y16" s="78">
        <f t="shared" ref="Y16:AE16" si="21">SUM(Y17:Y18)</f>
        <v>0</v>
      </c>
      <c r="Z16" s="78">
        <f t="shared" si="21"/>
        <v>0</v>
      </c>
      <c r="AA16" s="78">
        <f t="shared" si="21"/>
        <v>0</v>
      </c>
      <c r="AB16" s="78">
        <f t="shared" si="21"/>
        <v>0</v>
      </c>
      <c r="AC16" s="78">
        <f t="shared" si="21"/>
        <v>0</v>
      </c>
      <c r="AD16" s="78">
        <f t="shared" si="21"/>
        <v>0</v>
      </c>
      <c r="AE16" s="78">
        <f t="shared" si="21"/>
        <v>0</v>
      </c>
      <c r="AF16" s="78">
        <f t="shared" si="15"/>
        <v>0</v>
      </c>
      <c r="AG16" s="78">
        <f t="shared" si="3"/>
        <v>0</v>
      </c>
      <c r="AH16" s="78">
        <f t="shared" si="4"/>
        <v>0</v>
      </c>
      <c r="AI16" s="78">
        <f t="shared" si="5"/>
        <v>0</v>
      </c>
      <c r="AJ16" s="78">
        <f t="shared" si="6"/>
        <v>0</v>
      </c>
      <c r="AK16" s="78">
        <f t="shared" si="7"/>
        <v>0</v>
      </c>
      <c r="AL16" s="78">
        <f t="shared" si="8"/>
        <v>0</v>
      </c>
      <c r="AM16" s="78">
        <f t="shared" si="8"/>
        <v>0</v>
      </c>
      <c r="AN16" s="78">
        <f t="shared" si="9"/>
        <v>0</v>
      </c>
    </row>
    <row r="17" spans="1:40" x14ac:dyDescent="0.2">
      <c r="A17" s="251"/>
      <c r="B17" s="252"/>
      <c r="C17" s="311"/>
      <c r="D17" s="252"/>
      <c r="E17" s="252"/>
      <c r="F17" s="291"/>
      <c r="G17" s="463"/>
      <c r="H17" s="91">
        <v>1</v>
      </c>
      <c r="I17" s="61"/>
      <c r="J17" s="61"/>
      <c r="K17" s="61"/>
      <c r="L17" s="61"/>
      <c r="M17" s="61"/>
      <c r="N17" s="61"/>
      <c r="O17" s="61"/>
      <c r="P17" s="29">
        <f t="shared" si="11"/>
        <v>0</v>
      </c>
      <c r="Q17" s="261"/>
      <c r="R17" s="261"/>
      <c r="S17" s="261"/>
      <c r="T17" s="261"/>
      <c r="U17" s="261"/>
      <c r="V17" s="261"/>
      <c r="W17" s="261"/>
      <c r="X17" s="260">
        <f t="shared" si="13"/>
        <v>0</v>
      </c>
      <c r="Y17" s="61"/>
      <c r="Z17" s="61"/>
      <c r="AA17" s="61"/>
      <c r="AB17" s="61"/>
      <c r="AC17" s="61"/>
      <c r="AD17" s="61"/>
      <c r="AE17" s="61"/>
      <c r="AF17" s="78">
        <f t="shared" si="15"/>
        <v>0</v>
      </c>
      <c r="AG17" s="78">
        <f t="shared" ref="AG17:AN17" si="22">(I17+Q17)-Y17</f>
        <v>0</v>
      </c>
      <c r="AH17" s="78">
        <f t="shared" si="22"/>
        <v>0</v>
      </c>
      <c r="AI17" s="78">
        <f t="shared" si="22"/>
        <v>0</v>
      </c>
      <c r="AJ17" s="78">
        <f t="shared" si="22"/>
        <v>0</v>
      </c>
      <c r="AK17" s="78">
        <f t="shared" si="22"/>
        <v>0</v>
      </c>
      <c r="AL17" s="78">
        <f t="shared" si="22"/>
        <v>0</v>
      </c>
      <c r="AM17" s="78">
        <f t="shared" si="22"/>
        <v>0</v>
      </c>
      <c r="AN17" s="78">
        <f t="shared" si="22"/>
        <v>0</v>
      </c>
    </row>
    <row r="18" spans="1:40" x14ac:dyDescent="0.2">
      <c r="A18" s="251"/>
      <c r="B18" s="252"/>
      <c r="C18" s="311"/>
      <c r="D18" s="252"/>
      <c r="E18" s="252"/>
      <c r="F18" s="313"/>
      <c r="G18" s="463"/>
      <c r="H18" s="239" t="str">
        <f>CHAR(132)</f>
        <v>„</v>
      </c>
      <c r="I18" s="109"/>
      <c r="J18" s="109"/>
      <c r="K18" s="109"/>
      <c r="L18" s="109"/>
      <c r="M18" s="109"/>
      <c r="N18" s="109"/>
      <c r="O18" s="109"/>
      <c r="P18" s="73"/>
      <c r="Q18" s="315"/>
      <c r="R18" s="315"/>
      <c r="S18" s="315"/>
      <c r="T18" s="315"/>
      <c r="U18" s="315"/>
      <c r="V18" s="315"/>
      <c r="W18" s="315"/>
      <c r="X18" s="316"/>
      <c r="Y18" s="109"/>
      <c r="Z18" s="109"/>
      <c r="AA18" s="109"/>
      <c r="AB18" s="109"/>
      <c r="AC18" s="109"/>
      <c r="AD18" s="109"/>
      <c r="AE18" s="109"/>
      <c r="AF18" s="78"/>
      <c r="AG18" s="78"/>
      <c r="AH18" s="78"/>
      <c r="AI18" s="78"/>
      <c r="AJ18" s="78"/>
      <c r="AK18" s="78"/>
      <c r="AL18" s="78"/>
      <c r="AM18" s="78"/>
      <c r="AN18" s="78"/>
    </row>
    <row r="19" spans="1:40" x14ac:dyDescent="0.2">
      <c r="A19" s="332"/>
      <c r="B19" s="333"/>
      <c r="C19" s="335">
        <f>C13-1</f>
        <v>-2</v>
      </c>
      <c r="D19" s="333" t="s">
        <v>190</v>
      </c>
      <c r="E19" s="333"/>
      <c r="F19" s="334"/>
      <c r="G19" s="463" t="s">
        <v>524</v>
      </c>
      <c r="H19" s="18"/>
      <c r="I19" s="61"/>
      <c r="J19" s="79"/>
      <c r="K19" s="79"/>
      <c r="L19" s="79"/>
      <c r="M19" s="79"/>
      <c r="N19" s="62"/>
      <c r="O19" s="62"/>
      <c r="P19" s="29">
        <f t="shared" si="11"/>
        <v>0</v>
      </c>
      <c r="Q19" s="261"/>
      <c r="R19" s="262"/>
      <c r="S19" s="262"/>
      <c r="T19" s="262"/>
      <c r="U19" s="262"/>
      <c r="V19" s="263"/>
      <c r="W19" s="263"/>
      <c r="X19" s="260">
        <f t="shared" si="13"/>
        <v>0</v>
      </c>
      <c r="Y19" s="61"/>
      <c r="Z19" s="79"/>
      <c r="AA19" s="79"/>
      <c r="AB19" s="79"/>
      <c r="AC19" s="79"/>
      <c r="AD19" s="82"/>
      <c r="AE19" s="82"/>
      <c r="AF19" s="78">
        <f t="shared" si="15"/>
        <v>0</v>
      </c>
      <c r="AG19" s="78">
        <f t="shared" si="3"/>
        <v>0</v>
      </c>
      <c r="AH19" s="371"/>
      <c r="AI19" s="371"/>
      <c r="AJ19" s="371"/>
      <c r="AK19" s="371"/>
      <c r="AL19" s="78">
        <f t="shared" ref="AL19:AL41" si="23">(N19+V19)-AD19</f>
        <v>0</v>
      </c>
      <c r="AM19" s="78">
        <f t="shared" ref="AM19:AM41" si="24">(O19+W19)-AE19</f>
        <v>0</v>
      </c>
      <c r="AN19" s="78">
        <f t="shared" si="9"/>
        <v>0</v>
      </c>
    </row>
    <row r="20" spans="1:40" x14ac:dyDescent="0.2">
      <c r="A20" s="251"/>
      <c r="B20" s="252"/>
      <c r="C20" s="311">
        <f>C19-1</f>
        <v>-3</v>
      </c>
      <c r="D20" s="252" t="s">
        <v>191</v>
      </c>
      <c r="E20" s="252"/>
      <c r="F20" s="313"/>
      <c r="G20" s="463" t="s">
        <v>525</v>
      </c>
      <c r="H20" s="18"/>
      <c r="I20" s="78">
        <f t="shared" ref="I20:O20" si="25">SUM(I21,I22,I23)</f>
        <v>0</v>
      </c>
      <c r="J20" s="78">
        <f t="shared" si="25"/>
        <v>0</v>
      </c>
      <c r="K20" s="78">
        <f t="shared" si="25"/>
        <v>0</v>
      </c>
      <c r="L20" s="78">
        <f t="shared" si="25"/>
        <v>0</v>
      </c>
      <c r="M20" s="78">
        <f t="shared" si="25"/>
        <v>0</v>
      </c>
      <c r="N20" s="78">
        <f t="shared" si="25"/>
        <v>0</v>
      </c>
      <c r="O20" s="78">
        <f t="shared" si="25"/>
        <v>0</v>
      </c>
      <c r="P20" s="78">
        <f t="shared" si="11"/>
        <v>0</v>
      </c>
      <c r="Q20" s="273">
        <f t="shared" ref="Q20:W20" si="26">SUM(Q21,Q22,Q23)</f>
        <v>0</v>
      </c>
      <c r="R20" s="273">
        <f t="shared" si="26"/>
        <v>0</v>
      </c>
      <c r="S20" s="273">
        <f t="shared" si="26"/>
        <v>0</v>
      </c>
      <c r="T20" s="273">
        <f t="shared" si="26"/>
        <v>0</v>
      </c>
      <c r="U20" s="273">
        <f t="shared" si="26"/>
        <v>0</v>
      </c>
      <c r="V20" s="273">
        <f t="shared" si="26"/>
        <v>0</v>
      </c>
      <c r="W20" s="273">
        <f t="shared" si="26"/>
        <v>0</v>
      </c>
      <c r="X20" s="273">
        <f t="shared" si="13"/>
        <v>0</v>
      </c>
      <c r="Y20" s="78">
        <f t="shared" ref="Y20:AE20" si="27">SUM(Y21,Y22,Y23)</f>
        <v>0</v>
      </c>
      <c r="Z20" s="78">
        <f t="shared" si="27"/>
        <v>0</v>
      </c>
      <c r="AA20" s="78">
        <f t="shared" si="27"/>
        <v>0</v>
      </c>
      <c r="AB20" s="78">
        <f t="shared" si="27"/>
        <v>0</v>
      </c>
      <c r="AC20" s="78">
        <f t="shared" si="27"/>
        <v>0</v>
      </c>
      <c r="AD20" s="78">
        <f t="shared" si="27"/>
        <v>0</v>
      </c>
      <c r="AE20" s="78">
        <f t="shared" si="27"/>
        <v>0</v>
      </c>
      <c r="AF20" s="78">
        <f t="shared" si="15"/>
        <v>0</v>
      </c>
      <c r="AG20" s="78">
        <f t="shared" si="3"/>
        <v>0</v>
      </c>
      <c r="AH20" s="78">
        <f t="shared" si="4"/>
        <v>0</v>
      </c>
      <c r="AI20" s="78">
        <f t="shared" si="5"/>
        <v>0</v>
      </c>
      <c r="AJ20" s="78">
        <f t="shared" si="6"/>
        <v>0</v>
      </c>
      <c r="AK20" s="78">
        <f t="shared" si="7"/>
        <v>0</v>
      </c>
      <c r="AL20" s="78">
        <f t="shared" si="23"/>
        <v>0</v>
      </c>
      <c r="AM20" s="78">
        <f t="shared" si="24"/>
        <v>0</v>
      </c>
      <c r="AN20" s="78">
        <f t="shared" si="9"/>
        <v>0</v>
      </c>
    </row>
    <row r="21" spans="1:40" x14ac:dyDescent="0.2">
      <c r="A21" s="332"/>
      <c r="B21" s="333"/>
      <c r="C21" s="335"/>
      <c r="D21" s="333" t="s">
        <v>11</v>
      </c>
      <c r="E21" s="333" t="s">
        <v>192</v>
      </c>
      <c r="F21" s="334"/>
      <c r="G21" s="463" t="s">
        <v>526</v>
      </c>
      <c r="H21" s="18"/>
      <c r="I21" s="61"/>
      <c r="J21" s="61"/>
      <c r="K21" s="61"/>
      <c r="L21" s="61"/>
      <c r="M21" s="61"/>
      <c r="N21" s="61"/>
      <c r="O21" s="61"/>
      <c r="P21" s="29">
        <f t="shared" si="11"/>
        <v>0</v>
      </c>
      <c r="Q21" s="261"/>
      <c r="R21" s="261"/>
      <c r="S21" s="261"/>
      <c r="T21" s="261"/>
      <c r="U21" s="261"/>
      <c r="V21" s="261"/>
      <c r="W21" s="261"/>
      <c r="X21" s="260">
        <f t="shared" si="13"/>
        <v>0</v>
      </c>
      <c r="Y21" s="61"/>
      <c r="Z21" s="61"/>
      <c r="AA21" s="61"/>
      <c r="AB21" s="61"/>
      <c r="AC21" s="61"/>
      <c r="AD21" s="61"/>
      <c r="AE21" s="61"/>
      <c r="AF21" s="78">
        <f t="shared" si="15"/>
        <v>0</v>
      </c>
      <c r="AG21" s="78">
        <f t="shared" si="3"/>
        <v>0</v>
      </c>
      <c r="AH21" s="78">
        <f t="shared" si="4"/>
        <v>0</v>
      </c>
      <c r="AI21" s="78">
        <f t="shared" si="5"/>
        <v>0</v>
      </c>
      <c r="AJ21" s="78">
        <f t="shared" si="6"/>
        <v>0</v>
      </c>
      <c r="AK21" s="78">
        <f t="shared" si="7"/>
        <v>0</v>
      </c>
      <c r="AL21" s="78">
        <f t="shared" si="23"/>
        <v>0</v>
      </c>
      <c r="AM21" s="78">
        <f t="shared" si="24"/>
        <v>0</v>
      </c>
      <c r="AN21" s="78">
        <f t="shared" si="9"/>
        <v>0</v>
      </c>
    </row>
    <row r="22" spans="1:40" x14ac:dyDescent="0.2">
      <c r="A22" s="251"/>
      <c r="B22" s="252"/>
      <c r="C22" s="311"/>
      <c r="D22" s="252" t="s">
        <v>15</v>
      </c>
      <c r="E22" s="252" t="s">
        <v>193</v>
      </c>
      <c r="F22" s="313"/>
      <c r="G22" s="463" t="s">
        <v>528</v>
      </c>
      <c r="H22" s="18"/>
      <c r="I22" s="61"/>
      <c r="J22" s="61"/>
      <c r="K22" s="61"/>
      <c r="L22" s="61"/>
      <c r="M22" s="61"/>
      <c r="N22" s="61"/>
      <c r="O22" s="61"/>
      <c r="P22" s="29">
        <f t="shared" si="11"/>
        <v>0</v>
      </c>
      <c r="Q22" s="261"/>
      <c r="R22" s="261"/>
      <c r="S22" s="261"/>
      <c r="T22" s="261"/>
      <c r="U22" s="261"/>
      <c r="V22" s="261"/>
      <c r="W22" s="261"/>
      <c r="X22" s="260">
        <f t="shared" si="13"/>
        <v>0</v>
      </c>
      <c r="Y22" s="61"/>
      <c r="Z22" s="61"/>
      <c r="AA22" s="61"/>
      <c r="AB22" s="61"/>
      <c r="AC22" s="61"/>
      <c r="AD22" s="61"/>
      <c r="AE22" s="61"/>
      <c r="AF22" s="78">
        <f t="shared" si="15"/>
        <v>0</v>
      </c>
      <c r="AG22" s="78">
        <f t="shared" si="3"/>
        <v>0</v>
      </c>
      <c r="AH22" s="78">
        <f t="shared" si="4"/>
        <v>0</v>
      </c>
      <c r="AI22" s="78">
        <f t="shared" si="5"/>
        <v>0</v>
      </c>
      <c r="AJ22" s="78">
        <f t="shared" si="6"/>
        <v>0</v>
      </c>
      <c r="AK22" s="78">
        <f t="shared" si="7"/>
        <v>0</v>
      </c>
      <c r="AL22" s="78">
        <f t="shared" si="23"/>
        <v>0</v>
      </c>
      <c r="AM22" s="78">
        <f t="shared" si="24"/>
        <v>0</v>
      </c>
      <c r="AN22" s="78">
        <f t="shared" si="9"/>
        <v>0</v>
      </c>
    </row>
    <row r="23" spans="1:40" x14ac:dyDescent="0.2">
      <c r="A23" s="332"/>
      <c r="B23" s="333"/>
      <c r="C23" s="335"/>
      <c r="D23" s="333" t="s">
        <v>25</v>
      </c>
      <c r="E23" s="333" t="s">
        <v>194</v>
      </c>
      <c r="F23" s="334"/>
      <c r="G23" s="463" t="s">
        <v>529</v>
      </c>
      <c r="H23" s="18"/>
      <c r="I23" s="61"/>
      <c r="J23" s="61"/>
      <c r="K23" s="61"/>
      <c r="L23" s="61"/>
      <c r="M23" s="61"/>
      <c r="N23" s="61"/>
      <c r="O23" s="61"/>
      <c r="P23" s="29">
        <f t="shared" si="11"/>
        <v>0</v>
      </c>
      <c r="Q23" s="261"/>
      <c r="R23" s="261"/>
      <c r="S23" s="261"/>
      <c r="T23" s="261"/>
      <c r="U23" s="261"/>
      <c r="V23" s="261"/>
      <c r="W23" s="261"/>
      <c r="X23" s="260">
        <f t="shared" si="13"/>
        <v>0</v>
      </c>
      <c r="Y23" s="61"/>
      <c r="Z23" s="61"/>
      <c r="AA23" s="61"/>
      <c r="AB23" s="61"/>
      <c r="AC23" s="61"/>
      <c r="AD23" s="61"/>
      <c r="AE23" s="61"/>
      <c r="AF23" s="78">
        <f t="shared" si="15"/>
        <v>0</v>
      </c>
      <c r="AG23" s="78">
        <f t="shared" si="3"/>
        <v>0</v>
      </c>
      <c r="AH23" s="78">
        <f t="shared" si="4"/>
        <v>0</v>
      </c>
      <c r="AI23" s="78">
        <f t="shared" si="5"/>
        <v>0</v>
      </c>
      <c r="AJ23" s="78">
        <f t="shared" si="6"/>
        <v>0</v>
      </c>
      <c r="AK23" s="78">
        <f t="shared" si="7"/>
        <v>0</v>
      </c>
      <c r="AL23" s="78">
        <f t="shared" si="23"/>
        <v>0</v>
      </c>
      <c r="AM23" s="78">
        <f t="shared" si="24"/>
        <v>0</v>
      </c>
      <c r="AN23" s="78">
        <f t="shared" si="9"/>
        <v>0</v>
      </c>
    </row>
    <row r="24" spans="1:40" x14ac:dyDescent="0.2">
      <c r="A24" s="251"/>
      <c r="B24" s="252" t="s">
        <v>195</v>
      </c>
      <c r="C24" s="311" t="s">
        <v>196</v>
      </c>
      <c r="D24" s="252"/>
      <c r="E24" s="252"/>
      <c r="F24" s="313"/>
      <c r="G24" s="463" t="s">
        <v>530</v>
      </c>
      <c r="H24" s="18"/>
      <c r="I24" s="61"/>
      <c r="J24" s="61"/>
      <c r="K24" s="61"/>
      <c r="L24" s="61"/>
      <c r="M24" s="61"/>
      <c r="N24" s="61"/>
      <c r="O24" s="61"/>
      <c r="P24" s="29">
        <f t="shared" si="11"/>
        <v>0</v>
      </c>
      <c r="Q24" s="261"/>
      <c r="R24" s="261"/>
      <c r="S24" s="261"/>
      <c r="T24" s="261"/>
      <c r="U24" s="261"/>
      <c r="V24" s="261"/>
      <c r="W24" s="261"/>
      <c r="X24" s="260">
        <f t="shared" si="13"/>
        <v>0</v>
      </c>
      <c r="Y24" s="61"/>
      <c r="Z24" s="61"/>
      <c r="AA24" s="61"/>
      <c r="AB24" s="61"/>
      <c r="AC24" s="61"/>
      <c r="AD24" s="61"/>
      <c r="AE24" s="61"/>
      <c r="AF24" s="78">
        <f t="shared" si="15"/>
        <v>0</v>
      </c>
      <c r="AG24" s="78">
        <f t="shared" si="3"/>
        <v>0</v>
      </c>
      <c r="AH24" s="78">
        <f t="shared" si="4"/>
        <v>0</v>
      </c>
      <c r="AI24" s="78">
        <f t="shared" si="5"/>
        <v>0</v>
      </c>
      <c r="AJ24" s="78">
        <f t="shared" si="6"/>
        <v>0</v>
      </c>
      <c r="AK24" s="78">
        <f t="shared" si="7"/>
        <v>0</v>
      </c>
      <c r="AL24" s="78">
        <f t="shared" si="23"/>
        <v>0</v>
      </c>
      <c r="AM24" s="78">
        <f t="shared" si="24"/>
        <v>0</v>
      </c>
      <c r="AN24" s="78">
        <f t="shared" si="9"/>
        <v>0</v>
      </c>
    </row>
    <row r="25" spans="1:40" x14ac:dyDescent="0.2">
      <c r="A25" s="332"/>
      <c r="B25" s="333" t="s">
        <v>197</v>
      </c>
      <c r="C25" s="333" t="s">
        <v>198</v>
      </c>
      <c r="D25" s="333"/>
      <c r="E25" s="333"/>
      <c r="F25" s="334"/>
      <c r="G25" s="463" t="s">
        <v>531</v>
      </c>
      <c r="H25" s="18"/>
      <c r="I25" s="78">
        <f t="shared" ref="I25:O25" si="28">SUM(I26,I27)</f>
        <v>0</v>
      </c>
      <c r="J25" s="78">
        <f t="shared" si="28"/>
        <v>0</v>
      </c>
      <c r="K25" s="78">
        <f t="shared" si="28"/>
        <v>0</v>
      </c>
      <c r="L25" s="78">
        <f t="shared" si="28"/>
        <v>0</v>
      </c>
      <c r="M25" s="78">
        <f t="shared" si="28"/>
        <v>0</v>
      </c>
      <c r="N25" s="78">
        <f t="shared" si="28"/>
        <v>0</v>
      </c>
      <c r="O25" s="78">
        <f t="shared" si="28"/>
        <v>0</v>
      </c>
      <c r="P25" s="78">
        <f t="shared" si="11"/>
        <v>0</v>
      </c>
      <c r="Q25" s="273">
        <f t="shared" ref="Q25:W25" si="29">SUM(Q26,Q27)</f>
        <v>0</v>
      </c>
      <c r="R25" s="273">
        <f t="shared" si="29"/>
        <v>0</v>
      </c>
      <c r="S25" s="273">
        <f t="shared" si="29"/>
        <v>0</v>
      </c>
      <c r="T25" s="273">
        <f t="shared" si="29"/>
        <v>0</v>
      </c>
      <c r="U25" s="273">
        <f t="shared" si="29"/>
        <v>0</v>
      </c>
      <c r="V25" s="273">
        <f t="shared" si="29"/>
        <v>0</v>
      </c>
      <c r="W25" s="273">
        <f t="shared" si="29"/>
        <v>0</v>
      </c>
      <c r="X25" s="273">
        <f t="shared" si="13"/>
        <v>0</v>
      </c>
      <c r="Y25" s="78">
        <f t="shared" ref="Y25:AE25" si="30">SUM(Y26,Y27)</f>
        <v>0</v>
      </c>
      <c r="Z25" s="78">
        <f t="shared" si="30"/>
        <v>0</v>
      </c>
      <c r="AA25" s="78">
        <f t="shared" si="30"/>
        <v>0</v>
      </c>
      <c r="AB25" s="78">
        <f t="shared" si="30"/>
        <v>0</v>
      </c>
      <c r="AC25" s="78">
        <f t="shared" si="30"/>
        <v>0</v>
      </c>
      <c r="AD25" s="78">
        <f t="shared" si="30"/>
        <v>0</v>
      </c>
      <c r="AE25" s="78">
        <f t="shared" si="30"/>
        <v>0</v>
      </c>
      <c r="AF25" s="78">
        <f t="shared" si="15"/>
        <v>0</v>
      </c>
      <c r="AG25" s="78">
        <f t="shared" si="3"/>
        <v>0</v>
      </c>
      <c r="AH25" s="78">
        <f t="shared" si="4"/>
        <v>0</v>
      </c>
      <c r="AI25" s="78">
        <f t="shared" si="5"/>
        <v>0</v>
      </c>
      <c r="AJ25" s="78">
        <f t="shared" si="6"/>
        <v>0</v>
      </c>
      <c r="AK25" s="78">
        <f t="shared" si="7"/>
        <v>0</v>
      </c>
      <c r="AL25" s="78">
        <f t="shared" si="23"/>
        <v>0</v>
      </c>
      <c r="AM25" s="78">
        <f t="shared" si="24"/>
        <v>0</v>
      </c>
      <c r="AN25" s="78">
        <f t="shared" si="9"/>
        <v>0</v>
      </c>
    </row>
    <row r="26" spans="1:40" x14ac:dyDescent="0.2">
      <c r="A26" s="251"/>
      <c r="B26" s="252"/>
      <c r="C26" s="311">
        <v>-1</v>
      </c>
      <c r="D26" s="252" t="s">
        <v>199</v>
      </c>
      <c r="E26" s="252"/>
      <c r="F26" s="313"/>
      <c r="G26" s="463" t="s">
        <v>532</v>
      </c>
      <c r="H26" s="18"/>
      <c r="I26" s="61"/>
      <c r="J26" s="61"/>
      <c r="K26" s="61"/>
      <c r="L26" s="61"/>
      <c r="M26" s="61"/>
      <c r="N26" s="61"/>
      <c r="O26" s="61"/>
      <c r="P26" s="29">
        <f t="shared" si="11"/>
        <v>0</v>
      </c>
      <c r="Q26" s="261"/>
      <c r="R26" s="261"/>
      <c r="S26" s="261"/>
      <c r="T26" s="261"/>
      <c r="U26" s="261"/>
      <c r="V26" s="261"/>
      <c r="W26" s="261"/>
      <c r="X26" s="260">
        <f t="shared" si="13"/>
        <v>0</v>
      </c>
      <c r="Y26" s="61"/>
      <c r="Z26" s="61"/>
      <c r="AA26" s="61"/>
      <c r="AB26" s="61"/>
      <c r="AC26" s="61"/>
      <c r="AD26" s="61"/>
      <c r="AE26" s="61"/>
      <c r="AF26" s="78">
        <f t="shared" si="15"/>
        <v>0</v>
      </c>
      <c r="AG26" s="78">
        <f t="shared" si="3"/>
        <v>0</v>
      </c>
      <c r="AH26" s="78">
        <f t="shared" si="4"/>
        <v>0</v>
      </c>
      <c r="AI26" s="78">
        <f t="shared" si="5"/>
        <v>0</v>
      </c>
      <c r="AJ26" s="78">
        <f t="shared" si="6"/>
        <v>0</v>
      </c>
      <c r="AK26" s="78">
        <f t="shared" si="7"/>
        <v>0</v>
      </c>
      <c r="AL26" s="78">
        <f t="shared" si="23"/>
        <v>0</v>
      </c>
      <c r="AM26" s="78">
        <f t="shared" si="24"/>
        <v>0</v>
      </c>
      <c r="AN26" s="78">
        <f t="shared" si="9"/>
        <v>0</v>
      </c>
    </row>
    <row r="27" spans="1:40" x14ac:dyDescent="0.2">
      <c r="A27" s="332"/>
      <c r="B27" s="333"/>
      <c r="C27" s="335">
        <f>C26-1</f>
        <v>-2</v>
      </c>
      <c r="D27" s="333" t="s">
        <v>200</v>
      </c>
      <c r="E27" s="333"/>
      <c r="F27" s="334"/>
      <c r="G27" s="463" t="s">
        <v>533</v>
      </c>
      <c r="H27" s="18"/>
      <c r="I27" s="61"/>
      <c r="J27" s="61"/>
      <c r="K27" s="61"/>
      <c r="L27" s="61"/>
      <c r="M27" s="61"/>
      <c r="N27" s="61"/>
      <c r="O27" s="61"/>
      <c r="P27" s="29">
        <f t="shared" si="11"/>
        <v>0</v>
      </c>
      <c r="Q27" s="261"/>
      <c r="R27" s="261"/>
      <c r="S27" s="261"/>
      <c r="T27" s="261"/>
      <c r="U27" s="261"/>
      <c r="V27" s="261"/>
      <c r="W27" s="261"/>
      <c r="X27" s="260">
        <f t="shared" si="13"/>
        <v>0</v>
      </c>
      <c r="Y27" s="61"/>
      <c r="Z27" s="61"/>
      <c r="AA27" s="61"/>
      <c r="AB27" s="61"/>
      <c r="AC27" s="61"/>
      <c r="AD27" s="61"/>
      <c r="AE27" s="61"/>
      <c r="AF27" s="78">
        <f t="shared" si="15"/>
        <v>0</v>
      </c>
      <c r="AG27" s="78">
        <f t="shared" si="3"/>
        <v>0</v>
      </c>
      <c r="AH27" s="78">
        <f t="shared" si="4"/>
        <v>0</v>
      </c>
      <c r="AI27" s="78">
        <f t="shared" si="5"/>
        <v>0</v>
      </c>
      <c r="AJ27" s="78">
        <f t="shared" si="6"/>
        <v>0</v>
      </c>
      <c r="AK27" s="78">
        <f t="shared" si="7"/>
        <v>0</v>
      </c>
      <c r="AL27" s="78">
        <f t="shared" si="23"/>
        <v>0</v>
      </c>
      <c r="AM27" s="78">
        <f t="shared" si="24"/>
        <v>0</v>
      </c>
      <c r="AN27" s="78">
        <f t="shared" si="9"/>
        <v>0</v>
      </c>
    </row>
    <row r="28" spans="1:40" x14ac:dyDescent="0.2">
      <c r="A28" s="251"/>
      <c r="B28" s="252" t="s">
        <v>201</v>
      </c>
      <c r="C28" s="252" t="s">
        <v>202</v>
      </c>
      <c r="D28" s="252"/>
      <c r="E28" s="252"/>
      <c r="F28" s="313"/>
      <c r="G28" s="463" t="s">
        <v>534</v>
      </c>
      <c r="H28" s="18"/>
      <c r="I28" s="78">
        <f t="shared" ref="I28:O28" si="31">SUM(I29,I32)</f>
        <v>0</v>
      </c>
      <c r="J28" s="78">
        <f t="shared" si="31"/>
        <v>0</v>
      </c>
      <c r="K28" s="78">
        <f t="shared" si="31"/>
        <v>0</v>
      </c>
      <c r="L28" s="78">
        <f t="shared" si="31"/>
        <v>0</v>
      </c>
      <c r="M28" s="78">
        <f t="shared" si="31"/>
        <v>0</v>
      </c>
      <c r="N28" s="78">
        <f t="shared" si="31"/>
        <v>0</v>
      </c>
      <c r="O28" s="78">
        <f t="shared" si="31"/>
        <v>0</v>
      </c>
      <c r="P28" s="78">
        <f t="shared" si="11"/>
        <v>0</v>
      </c>
      <c r="Q28" s="273">
        <f t="shared" ref="Q28:W28" si="32">SUM(Q29,Q32)</f>
        <v>0</v>
      </c>
      <c r="R28" s="273">
        <f t="shared" si="32"/>
        <v>0</v>
      </c>
      <c r="S28" s="273">
        <f t="shared" si="32"/>
        <v>0</v>
      </c>
      <c r="T28" s="273">
        <f t="shared" si="32"/>
        <v>0</v>
      </c>
      <c r="U28" s="273">
        <f t="shared" si="32"/>
        <v>0</v>
      </c>
      <c r="V28" s="273">
        <f t="shared" si="32"/>
        <v>0</v>
      </c>
      <c r="W28" s="273">
        <f t="shared" si="32"/>
        <v>0</v>
      </c>
      <c r="X28" s="273">
        <f t="shared" si="13"/>
        <v>0</v>
      </c>
      <c r="Y28" s="78">
        <f t="shared" ref="Y28:AE28" si="33">SUM(Y29,Y32)</f>
        <v>0</v>
      </c>
      <c r="Z28" s="78">
        <f t="shared" si="33"/>
        <v>0</v>
      </c>
      <c r="AA28" s="78">
        <f t="shared" si="33"/>
        <v>0</v>
      </c>
      <c r="AB28" s="78">
        <f t="shared" si="33"/>
        <v>0</v>
      </c>
      <c r="AC28" s="78">
        <f t="shared" si="33"/>
        <v>0</v>
      </c>
      <c r="AD28" s="78">
        <f t="shared" si="33"/>
        <v>0</v>
      </c>
      <c r="AE28" s="78">
        <f t="shared" si="33"/>
        <v>0</v>
      </c>
      <c r="AF28" s="78">
        <f t="shared" si="15"/>
        <v>0</v>
      </c>
      <c r="AG28" s="78">
        <f t="shared" si="3"/>
        <v>0</v>
      </c>
      <c r="AH28" s="78">
        <f t="shared" si="4"/>
        <v>0</v>
      </c>
      <c r="AI28" s="78">
        <f t="shared" si="5"/>
        <v>0</v>
      </c>
      <c r="AJ28" s="78">
        <f t="shared" si="6"/>
        <v>0</v>
      </c>
      <c r="AK28" s="78">
        <f t="shared" si="7"/>
        <v>0</v>
      </c>
      <c r="AL28" s="78">
        <f t="shared" si="23"/>
        <v>0</v>
      </c>
      <c r="AM28" s="78">
        <f t="shared" si="24"/>
        <v>0</v>
      </c>
      <c r="AN28" s="78">
        <f t="shared" si="9"/>
        <v>0</v>
      </c>
    </row>
    <row r="29" spans="1:40" x14ac:dyDescent="0.2">
      <c r="A29" s="251"/>
      <c r="B29" s="252"/>
      <c r="C29" s="311">
        <v>-1</v>
      </c>
      <c r="D29" s="252" t="s">
        <v>203</v>
      </c>
      <c r="E29" s="252"/>
      <c r="F29" s="313"/>
      <c r="G29" s="463" t="s">
        <v>535</v>
      </c>
      <c r="H29" s="18"/>
      <c r="I29" s="78">
        <f>I30+I31</f>
        <v>0</v>
      </c>
      <c r="J29" s="78">
        <f t="shared" ref="J29:O29" si="34">J30+J31</f>
        <v>0</v>
      </c>
      <c r="K29" s="78">
        <f t="shared" si="34"/>
        <v>0</v>
      </c>
      <c r="L29" s="78">
        <f t="shared" si="34"/>
        <v>0</v>
      </c>
      <c r="M29" s="78">
        <f t="shared" si="34"/>
        <v>0</v>
      </c>
      <c r="N29" s="78">
        <f t="shared" si="34"/>
        <v>0</v>
      </c>
      <c r="O29" s="78">
        <f t="shared" si="34"/>
        <v>0</v>
      </c>
      <c r="P29" s="78">
        <f t="shared" si="11"/>
        <v>0</v>
      </c>
      <c r="Q29" s="273">
        <f>Q30+Q31</f>
        <v>0</v>
      </c>
      <c r="R29" s="273">
        <f t="shared" ref="R29:W29" si="35">R30+R31</f>
        <v>0</v>
      </c>
      <c r="S29" s="273">
        <f t="shared" si="35"/>
        <v>0</v>
      </c>
      <c r="T29" s="273">
        <f t="shared" si="35"/>
        <v>0</v>
      </c>
      <c r="U29" s="273">
        <f t="shared" si="35"/>
        <v>0</v>
      </c>
      <c r="V29" s="273">
        <f t="shared" si="35"/>
        <v>0</v>
      </c>
      <c r="W29" s="273">
        <f t="shared" si="35"/>
        <v>0</v>
      </c>
      <c r="X29" s="273">
        <f t="shared" si="13"/>
        <v>0</v>
      </c>
      <c r="Y29" s="78">
        <f>Y30+Y31</f>
        <v>0</v>
      </c>
      <c r="Z29" s="78">
        <f t="shared" ref="Z29:AE29" si="36">Z30+Z31</f>
        <v>0</v>
      </c>
      <c r="AA29" s="78">
        <f t="shared" si="36"/>
        <v>0</v>
      </c>
      <c r="AB29" s="78">
        <f t="shared" si="36"/>
        <v>0</v>
      </c>
      <c r="AC29" s="78">
        <f t="shared" si="36"/>
        <v>0</v>
      </c>
      <c r="AD29" s="78">
        <f t="shared" si="36"/>
        <v>0</v>
      </c>
      <c r="AE29" s="78">
        <f t="shared" si="36"/>
        <v>0</v>
      </c>
      <c r="AF29" s="78">
        <f t="shared" si="15"/>
        <v>0</v>
      </c>
      <c r="AG29" s="78">
        <f t="shared" si="3"/>
        <v>0</v>
      </c>
      <c r="AH29" s="78">
        <f t="shared" si="4"/>
        <v>0</v>
      </c>
      <c r="AI29" s="78">
        <f>(K29+S29)-AA29</f>
        <v>0</v>
      </c>
      <c r="AJ29" s="78">
        <f t="shared" si="6"/>
        <v>0</v>
      </c>
      <c r="AK29" s="78">
        <f t="shared" si="7"/>
        <v>0</v>
      </c>
      <c r="AL29" s="78">
        <f t="shared" si="23"/>
        <v>0</v>
      </c>
      <c r="AM29" s="78">
        <f t="shared" si="24"/>
        <v>0</v>
      </c>
      <c r="AN29" s="78">
        <f t="shared" si="9"/>
        <v>0</v>
      </c>
    </row>
    <row r="30" spans="1:40" x14ac:dyDescent="0.2">
      <c r="A30" s="251"/>
      <c r="B30" s="252"/>
      <c r="C30" s="311"/>
      <c r="D30" s="336" t="s">
        <v>11</v>
      </c>
      <c r="E30" s="336" t="s">
        <v>792</v>
      </c>
      <c r="F30" s="337"/>
      <c r="G30" s="463" t="s">
        <v>820</v>
      </c>
      <c r="H30" s="18"/>
      <c r="I30" s="61"/>
      <c r="J30" s="61"/>
      <c r="K30" s="61"/>
      <c r="L30" s="61"/>
      <c r="M30" s="61"/>
      <c r="N30" s="61"/>
      <c r="O30" s="61"/>
      <c r="P30" s="29">
        <f t="shared" si="11"/>
        <v>0</v>
      </c>
      <c r="Q30" s="261"/>
      <c r="R30" s="261"/>
      <c r="S30" s="261"/>
      <c r="T30" s="261"/>
      <c r="U30" s="261"/>
      <c r="V30" s="261"/>
      <c r="W30" s="261"/>
      <c r="X30" s="260">
        <f t="shared" si="13"/>
        <v>0</v>
      </c>
      <c r="Y30" s="61"/>
      <c r="Z30" s="61"/>
      <c r="AA30" s="61"/>
      <c r="AB30" s="61"/>
      <c r="AC30" s="61"/>
      <c r="AD30" s="61"/>
      <c r="AE30" s="61"/>
      <c r="AF30" s="78">
        <f t="shared" si="15"/>
        <v>0</v>
      </c>
      <c r="AG30" s="78">
        <f t="shared" si="3"/>
        <v>0</v>
      </c>
      <c r="AH30" s="78">
        <f t="shared" si="4"/>
        <v>0</v>
      </c>
      <c r="AI30" s="78">
        <f>(K30+S30)-AA30</f>
        <v>0</v>
      </c>
      <c r="AJ30" s="78">
        <f t="shared" si="6"/>
        <v>0</v>
      </c>
      <c r="AK30" s="78">
        <f t="shared" si="7"/>
        <v>0</v>
      </c>
      <c r="AL30" s="78">
        <f t="shared" si="23"/>
        <v>0</v>
      </c>
      <c r="AM30" s="78">
        <f t="shared" si="24"/>
        <v>0</v>
      </c>
      <c r="AN30" s="78">
        <f t="shared" si="9"/>
        <v>0</v>
      </c>
    </row>
    <row r="31" spans="1:40" x14ac:dyDescent="0.2">
      <c r="A31" s="332"/>
      <c r="B31" s="333"/>
      <c r="C31" s="335"/>
      <c r="D31" s="336" t="s">
        <v>15</v>
      </c>
      <c r="E31" s="336" t="s">
        <v>793</v>
      </c>
      <c r="F31" s="334"/>
      <c r="G31" s="463" t="s">
        <v>821</v>
      </c>
      <c r="H31" s="18"/>
      <c r="I31" s="61"/>
      <c r="J31" s="61"/>
      <c r="K31" s="61"/>
      <c r="L31" s="61"/>
      <c r="M31" s="61"/>
      <c r="N31" s="61"/>
      <c r="O31" s="61"/>
      <c r="P31" s="29">
        <f t="shared" si="11"/>
        <v>0</v>
      </c>
      <c r="Q31" s="261"/>
      <c r="R31" s="261"/>
      <c r="S31" s="261"/>
      <c r="T31" s="261"/>
      <c r="U31" s="261"/>
      <c r="V31" s="261"/>
      <c r="W31" s="261"/>
      <c r="X31" s="260">
        <f t="shared" si="13"/>
        <v>0</v>
      </c>
      <c r="Y31" s="61"/>
      <c r="Z31" s="61"/>
      <c r="AA31" s="61"/>
      <c r="AB31" s="61"/>
      <c r="AC31" s="61"/>
      <c r="AD31" s="61"/>
      <c r="AE31" s="61"/>
      <c r="AF31" s="78">
        <f t="shared" si="15"/>
        <v>0</v>
      </c>
      <c r="AG31" s="78">
        <f t="shared" si="3"/>
        <v>0</v>
      </c>
      <c r="AH31" s="78">
        <f t="shared" si="4"/>
        <v>0</v>
      </c>
      <c r="AI31" s="78">
        <f>(K31+S31)-AA31</f>
        <v>0</v>
      </c>
      <c r="AJ31" s="78">
        <f t="shared" si="6"/>
        <v>0</v>
      </c>
      <c r="AK31" s="78">
        <f t="shared" si="7"/>
        <v>0</v>
      </c>
      <c r="AL31" s="78">
        <f t="shared" si="23"/>
        <v>0</v>
      </c>
      <c r="AM31" s="78">
        <f t="shared" si="24"/>
        <v>0</v>
      </c>
      <c r="AN31" s="78">
        <f t="shared" si="9"/>
        <v>0</v>
      </c>
    </row>
    <row r="32" spans="1:40" x14ac:dyDescent="0.2">
      <c r="A32" s="251"/>
      <c r="B32" s="252"/>
      <c r="C32" s="311">
        <f>C29-1</f>
        <v>-2</v>
      </c>
      <c r="D32" s="252" t="s">
        <v>194</v>
      </c>
      <c r="E32" s="252"/>
      <c r="F32" s="313"/>
      <c r="G32" s="463" t="s">
        <v>536</v>
      </c>
      <c r="H32" s="18"/>
      <c r="I32" s="61"/>
      <c r="J32" s="61"/>
      <c r="K32" s="61"/>
      <c r="L32" s="61"/>
      <c r="M32" s="61"/>
      <c r="N32" s="61"/>
      <c r="O32" s="61"/>
      <c r="P32" s="29">
        <f t="shared" si="11"/>
        <v>0</v>
      </c>
      <c r="Q32" s="261"/>
      <c r="R32" s="261"/>
      <c r="S32" s="261"/>
      <c r="T32" s="261"/>
      <c r="U32" s="261"/>
      <c r="V32" s="261"/>
      <c r="W32" s="261"/>
      <c r="X32" s="260">
        <f t="shared" si="13"/>
        <v>0</v>
      </c>
      <c r="Y32" s="61"/>
      <c r="Z32" s="61"/>
      <c r="AA32" s="61"/>
      <c r="AB32" s="61"/>
      <c r="AC32" s="61"/>
      <c r="AD32" s="61"/>
      <c r="AE32" s="61"/>
      <c r="AF32" s="78">
        <f t="shared" si="15"/>
        <v>0</v>
      </c>
      <c r="AG32" s="78">
        <f t="shared" si="3"/>
        <v>0</v>
      </c>
      <c r="AH32" s="78">
        <f t="shared" si="4"/>
        <v>0</v>
      </c>
      <c r="AI32" s="78">
        <f t="shared" si="5"/>
        <v>0</v>
      </c>
      <c r="AJ32" s="78">
        <f t="shared" si="6"/>
        <v>0</v>
      </c>
      <c r="AK32" s="78">
        <f t="shared" si="7"/>
        <v>0</v>
      </c>
      <c r="AL32" s="78">
        <f t="shared" si="23"/>
        <v>0</v>
      </c>
      <c r="AM32" s="78">
        <f t="shared" si="24"/>
        <v>0</v>
      </c>
      <c r="AN32" s="78">
        <f t="shared" si="9"/>
        <v>0</v>
      </c>
    </row>
    <row r="33" spans="1:40" x14ac:dyDescent="0.2">
      <c r="A33" s="338" t="s">
        <v>33</v>
      </c>
      <c r="B33" s="339" t="s">
        <v>204</v>
      </c>
      <c r="C33" s="333"/>
      <c r="D33" s="333"/>
      <c r="E33" s="333"/>
      <c r="F33" s="334"/>
      <c r="G33" s="463" t="s">
        <v>537</v>
      </c>
      <c r="H33" s="18"/>
      <c r="I33" s="295"/>
      <c r="J33" s="77">
        <f t="shared" ref="J33:O33" si="37">SUM(J34,J35,J36,J39)</f>
        <v>0</v>
      </c>
      <c r="K33" s="77">
        <f t="shared" si="37"/>
        <v>0</v>
      </c>
      <c r="L33" s="77">
        <f t="shared" si="37"/>
        <v>0</v>
      </c>
      <c r="M33" s="77">
        <f t="shared" si="37"/>
        <v>0</v>
      </c>
      <c r="N33" s="77">
        <f t="shared" si="37"/>
        <v>0</v>
      </c>
      <c r="O33" s="77">
        <f t="shared" si="37"/>
        <v>0</v>
      </c>
      <c r="P33" s="78">
        <f t="shared" si="11"/>
        <v>0</v>
      </c>
      <c r="Q33" s="376"/>
      <c r="R33" s="267">
        <f t="shared" ref="R33:W33" si="38">SUM(R34,R35,R36,R39)</f>
        <v>0</v>
      </c>
      <c r="S33" s="267">
        <f t="shared" si="38"/>
        <v>0</v>
      </c>
      <c r="T33" s="267">
        <f t="shared" si="38"/>
        <v>0</v>
      </c>
      <c r="U33" s="267">
        <f t="shared" si="38"/>
        <v>0</v>
      </c>
      <c r="V33" s="267">
        <f t="shared" si="38"/>
        <v>0</v>
      </c>
      <c r="W33" s="267">
        <f t="shared" si="38"/>
        <v>0</v>
      </c>
      <c r="X33" s="273">
        <f t="shared" si="13"/>
        <v>0</v>
      </c>
      <c r="Y33" s="295"/>
      <c r="Z33" s="77">
        <f t="shared" ref="Z33:AE33" si="39">SUM(Z34,Z35,Z36,Z39)</f>
        <v>0</v>
      </c>
      <c r="AA33" s="77">
        <f t="shared" si="39"/>
        <v>0</v>
      </c>
      <c r="AB33" s="77">
        <f t="shared" si="39"/>
        <v>0</v>
      </c>
      <c r="AC33" s="77">
        <f t="shared" si="39"/>
        <v>0</v>
      </c>
      <c r="AD33" s="77">
        <f t="shared" si="39"/>
        <v>0</v>
      </c>
      <c r="AE33" s="77">
        <f t="shared" si="39"/>
        <v>0</v>
      </c>
      <c r="AF33" s="78">
        <f t="shared" si="15"/>
        <v>0</v>
      </c>
      <c r="AG33" s="295"/>
      <c r="AH33" s="78">
        <f t="shared" ref="AG33:AH52" si="40">(J33+R33)-Z33</f>
        <v>0</v>
      </c>
      <c r="AI33" s="78">
        <f t="shared" ref="AI33:AI52" si="41">(K33+S33)-AA33</f>
        <v>0</v>
      </c>
      <c r="AJ33" s="78">
        <f t="shared" ref="AJ33:AJ41" si="42">(L33+T33)-AB33</f>
        <v>0</v>
      </c>
      <c r="AK33" s="78">
        <f t="shared" ref="AK33:AK41" si="43">(M33+U33)-AC33</f>
        <v>0</v>
      </c>
      <c r="AL33" s="78">
        <f t="shared" si="23"/>
        <v>0</v>
      </c>
      <c r="AM33" s="78">
        <f t="shared" si="24"/>
        <v>0</v>
      </c>
      <c r="AN33" s="78">
        <f t="shared" ref="AN33:AN41" si="44">(P33+X33)-AF33</f>
        <v>0</v>
      </c>
    </row>
    <row r="34" spans="1:40" x14ac:dyDescent="0.2">
      <c r="A34" s="251"/>
      <c r="B34" s="252" t="s">
        <v>188</v>
      </c>
      <c r="C34" s="252" t="s">
        <v>205</v>
      </c>
      <c r="D34" s="252"/>
      <c r="E34" s="252"/>
      <c r="F34" s="313"/>
      <c r="G34" s="463" t="s">
        <v>538</v>
      </c>
      <c r="H34" s="18"/>
      <c r="I34" s="60"/>
      <c r="J34" s="62"/>
      <c r="K34" s="62"/>
      <c r="L34" s="62"/>
      <c r="M34" s="62"/>
      <c r="N34" s="62"/>
      <c r="O34" s="62"/>
      <c r="P34" s="29">
        <f t="shared" si="11"/>
        <v>0</v>
      </c>
      <c r="Q34" s="264"/>
      <c r="R34" s="266"/>
      <c r="S34" s="266"/>
      <c r="T34" s="266"/>
      <c r="U34" s="266"/>
      <c r="V34" s="266"/>
      <c r="W34" s="266"/>
      <c r="X34" s="260">
        <f t="shared" si="13"/>
        <v>0</v>
      </c>
      <c r="Y34" s="60"/>
      <c r="Z34" s="62"/>
      <c r="AA34" s="62"/>
      <c r="AB34" s="62"/>
      <c r="AC34" s="62"/>
      <c r="AD34" s="62"/>
      <c r="AE34" s="62"/>
      <c r="AF34" s="78">
        <f t="shared" si="15"/>
        <v>0</v>
      </c>
      <c r="AG34" s="295"/>
      <c r="AH34" s="78">
        <f t="shared" si="40"/>
        <v>0</v>
      </c>
      <c r="AI34" s="78">
        <f t="shared" si="41"/>
        <v>0</v>
      </c>
      <c r="AJ34" s="78">
        <f t="shared" si="42"/>
        <v>0</v>
      </c>
      <c r="AK34" s="78">
        <f t="shared" si="43"/>
        <v>0</v>
      </c>
      <c r="AL34" s="78">
        <f t="shared" si="23"/>
        <v>0</v>
      </c>
      <c r="AM34" s="78">
        <f t="shared" si="24"/>
        <v>0</v>
      </c>
      <c r="AN34" s="78">
        <f t="shared" si="44"/>
        <v>0</v>
      </c>
    </row>
    <row r="35" spans="1:40" x14ac:dyDescent="0.2">
      <c r="A35" s="332"/>
      <c r="B35" s="333" t="s">
        <v>195</v>
      </c>
      <c r="C35" s="333" t="s">
        <v>206</v>
      </c>
      <c r="D35" s="333"/>
      <c r="E35" s="333"/>
      <c r="F35" s="334"/>
      <c r="G35" s="463" t="s">
        <v>539</v>
      </c>
      <c r="H35" s="18"/>
      <c r="I35" s="60"/>
      <c r="J35" s="62"/>
      <c r="K35" s="62"/>
      <c r="L35" s="62"/>
      <c r="M35" s="62"/>
      <c r="N35" s="62"/>
      <c r="O35" s="62"/>
      <c r="P35" s="29">
        <f t="shared" si="11"/>
        <v>0</v>
      </c>
      <c r="Q35" s="264"/>
      <c r="R35" s="266"/>
      <c r="S35" s="266"/>
      <c r="T35" s="266"/>
      <c r="U35" s="266"/>
      <c r="V35" s="266"/>
      <c r="W35" s="266"/>
      <c r="X35" s="260">
        <f t="shared" si="13"/>
        <v>0</v>
      </c>
      <c r="Y35" s="60"/>
      <c r="Z35" s="62"/>
      <c r="AA35" s="62"/>
      <c r="AB35" s="62"/>
      <c r="AC35" s="62"/>
      <c r="AD35" s="62"/>
      <c r="AE35" s="62"/>
      <c r="AF35" s="78">
        <f t="shared" si="15"/>
        <v>0</v>
      </c>
      <c r="AG35" s="295"/>
      <c r="AH35" s="78">
        <f t="shared" si="40"/>
        <v>0</v>
      </c>
      <c r="AI35" s="78">
        <f t="shared" si="41"/>
        <v>0</v>
      </c>
      <c r="AJ35" s="78">
        <f t="shared" si="42"/>
        <v>0</v>
      </c>
      <c r="AK35" s="78">
        <f t="shared" si="43"/>
        <v>0</v>
      </c>
      <c r="AL35" s="78">
        <f t="shared" si="23"/>
        <v>0</v>
      </c>
      <c r="AM35" s="78">
        <f t="shared" si="24"/>
        <v>0</v>
      </c>
      <c r="AN35" s="78">
        <f t="shared" si="44"/>
        <v>0</v>
      </c>
    </row>
    <row r="36" spans="1:40" x14ac:dyDescent="0.2">
      <c r="A36" s="251"/>
      <c r="B36" s="252" t="s">
        <v>197</v>
      </c>
      <c r="C36" s="252" t="s">
        <v>198</v>
      </c>
      <c r="D36" s="252"/>
      <c r="E36" s="252"/>
      <c r="F36" s="313"/>
      <c r="G36" s="463" t="s">
        <v>540</v>
      </c>
      <c r="H36" s="18"/>
      <c r="I36" s="60"/>
      <c r="J36" s="77">
        <f t="shared" ref="J36:O36" si="45">SUM(J37,J38)</f>
        <v>0</v>
      </c>
      <c r="K36" s="77">
        <f t="shared" si="45"/>
        <v>0</v>
      </c>
      <c r="L36" s="77">
        <f t="shared" si="45"/>
        <v>0</v>
      </c>
      <c r="M36" s="77">
        <f t="shared" si="45"/>
        <v>0</v>
      </c>
      <c r="N36" s="77">
        <f t="shared" si="45"/>
        <v>0</v>
      </c>
      <c r="O36" s="77">
        <f t="shared" si="45"/>
        <v>0</v>
      </c>
      <c r="P36" s="78">
        <f t="shared" si="11"/>
        <v>0</v>
      </c>
      <c r="Q36" s="376"/>
      <c r="R36" s="267">
        <f t="shared" ref="R36:W36" si="46">SUM(R37,R38)</f>
        <v>0</v>
      </c>
      <c r="S36" s="267">
        <f t="shared" si="46"/>
        <v>0</v>
      </c>
      <c r="T36" s="267">
        <f t="shared" si="46"/>
        <v>0</v>
      </c>
      <c r="U36" s="267">
        <f t="shared" si="46"/>
        <v>0</v>
      </c>
      <c r="V36" s="267">
        <f t="shared" si="46"/>
        <v>0</v>
      </c>
      <c r="W36" s="267">
        <f t="shared" si="46"/>
        <v>0</v>
      </c>
      <c r="X36" s="273">
        <f t="shared" si="13"/>
        <v>0</v>
      </c>
      <c r="Y36" s="295"/>
      <c r="Z36" s="77">
        <f t="shared" ref="Z36:AE36" si="47">SUM(Z37,Z38)</f>
        <v>0</v>
      </c>
      <c r="AA36" s="77">
        <f t="shared" si="47"/>
        <v>0</v>
      </c>
      <c r="AB36" s="77">
        <f t="shared" si="47"/>
        <v>0</v>
      </c>
      <c r="AC36" s="77">
        <f t="shared" si="47"/>
        <v>0</v>
      </c>
      <c r="AD36" s="77">
        <f t="shared" si="47"/>
        <v>0</v>
      </c>
      <c r="AE36" s="77">
        <f t="shared" si="47"/>
        <v>0</v>
      </c>
      <c r="AF36" s="78">
        <f t="shared" si="15"/>
        <v>0</v>
      </c>
      <c r="AG36" s="295"/>
      <c r="AH36" s="78">
        <f t="shared" si="40"/>
        <v>0</v>
      </c>
      <c r="AI36" s="78">
        <f t="shared" si="41"/>
        <v>0</v>
      </c>
      <c r="AJ36" s="78">
        <f t="shared" si="42"/>
        <v>0</v>
      </c>
      <c r="AK36" s="78">
        <f t="shared" si="43"/>
        <v>0</v>
      </c>
      <c r="AL36" s="78">
        <f t="shared" si="23"/>
        <v>0</v>
      </c>
      <c r="AM36" s="78">
        <f t="shared" si="24"/>
        <v>0</v>
      </c>
      <c r="AN36" s="78">
        <f t="shared" si="44"/>
        <v>0</v>
      </c>
    </row>
    <row r="37" spans="1:40" x14ac:dyDescent="0.2">
      <c r="A37" s="332"/>
      <c r="B37" s="333"/>
      <c r="C37" s="335">
        <v>-1</v>
      </c>
      <c r="D37" s="333" t="s">
        <v>207</v>
      </c>
      <c r="E37" s="333"/>
      <c r="F37" s="334"/>
      <c r="G37" s="463" t="s">
        <v>541</v>
      </c>
      <c r="H37" s="18"/>
      <c r="I37" s="60"/>
      <c r="J37" s="62"/>
      <c r="K37" s="62"/>
      <c r="L37" s="62"/>
      <c r="M37" s="62"/>
      <c r="N37" s="62"/>
      <c r="O37" s="62"/>
      <c r="P37" s="29">
        <f t="shared" si="11"/>
        <v>0</v>
      </c>
      <c r="Q37" s="264"/>
      <c r="R37" s="266"/>
      <c r="S37" s="266"/>
      <c r="T37" s="266"/>
      <c r="U37" s="266"/>
      <c r="V37" s="266"/>
      <c r="W37" s="266"/>
      <c r="X37" s="260">
        <f t="shared" si="13"/>
        <v>0</v>
      </c>
      <c r="Y37" s="60"/>
      <c r="Z37" s="62"/>
      <c r="AA37" s="62"/>
      <c r="AB37" s="62"/>
      <c r="AC37" s="62"/>
      <c r="AD37" s="62"/>
      <c r="AE37" s="62"/>
      <c r="AF37" s="78">
        <f t="shared" si="15"/>
        <v>0</v>
      </c>
      <c r="AG37" s="295"/>
      <c r="AH37" s="78">
        <f t="shared" si="40"/>
        <v>0</v>
      </c>
      <c r="AI37" s="78">
        <f t="shared" si="41"/>
        <v>0</v>
      </c>
      <c r="AJ37" s="78">
        <f t="shared" si="42"/>
        <v>0</v>
      </c>
      <c r="AK37" s="78">
        <f t="shared" si="43"/>
        <v>0</v>
      </c>
      <c r="AL37" s="78">
        <f t="shared" si="23"/>
        <v>0</v>
      </c>
      <c r="AM37" s="78">
        <f t="shared" si="24"/>
        <v>0</v>
      </c>
      <c r="AN37" s="78">
        <f t="shared" si="44"/>
        <v>0</v>
      </c>
    </row>
    <row r="38" spans="1:40" x14ac:dyDescent="0.2">
      <c r="A38" s="251"/>
      <c r="B38" s="252"/>
      <c r="C38" s="311">
        <f>C37-1</f>
        <v>-2</v>
      </c>
      <c r="D38" s="252" t="s">
        <v>200</v>
      </c>
      <c r="E38" s="252"/>
      <c r="F38" s="313"/>
      <c r="G38" s="463" t="s">
        <v>542</v>
      </c>
      <c r="H38" s="18"/>
      <c r="I38" s="60"/>
      <c r="J38" s="62"/>
      <c r="K38" s="62"/>
      <c r="L38" s="62"/>
      <c r="M38" s="62"/>
      <c r="N38" s="62"/>
      <c r="O38" s="62"/>
      <c r="P38" s="29">
        <f t="shared" si="11"/>
        <v>0</v>
      </c>
      <c r="Q38" s="264"/>
      <c r="R38" s="266"/>
      <c r="S38" s="266"/>
      <c r="T38" s="266"/>
      <c r="U38" s="266"/>
      <c r="V38" s="266"/>
      <c r="W38" s="266"/>
      <c r="X38" s="260">
        <f t="shared" si="13"/>
        <v>0</v>
      </c>
      <c r="Y38" s="60"/>
      <c r="Z38" s="62"/>
      <c r="AA38" s="62"/>
      <c r="AB38" s="62"/>
      <c r="AC38" s="62"/>
      <c r="AD38" s="62"/>
      <c r="AE38" s="62"/>
      <c r="AF38" s="78">
        <f t="shared" si="15"/>
        <v>0</v>
      </c>
      <c r="AG38" s="295"/>
      <c r="AH38" s="78">
        <f t="shared" si="40"/>
        <v>0</v>
      </c>
      <c r="AI38" s="78">
        <f t="shared" si="41"/>
        <v>0</v>
      </c>
      <c r="AJ38" s="78">
        <f t="shared" si="42"/>
        <v>0</v>
      </c>
      <c r="AK38" s="78">
        <f t="shared" si="43"/>
        <v>0</v>
      </c>
      <c r="AL38" s="78">
        <f t="shared" si="23"/>
        <v>0</v>
      </c>
      <c r="AM38" s="78">
        <f t="shared" si="24"/>
        <v>0</v>
      </c>
      <c r="AN38" s="78">
        <f t="shared" si="44"/>
        <v>0</v>
      </c>
    </row>
    <row r="39" spans="1:40" s="21" customFormat="1" x14ac:dyDescent="0.2">
      <c r="A39" s="332"/>
      <c r="B39" s="333" t="s">
        <v>201</v>
      </c>
      <c r="C39" s="333" t="s">
        <v>208</v>
      </c>
      <c r="D39" s="333"/>
      <c r="E39" s="333"/>
      <c r="F39" s="334"/>
      <c r="G39" s="463" t="s">
        <v>543</v>
      </c>
      <c r="H39" s="18"/>
      <c r="I39" s="60"/>
      <c r="J39" s="62"/>
      <c r="K39" s="62"/>
      <c r="L39" s="62"/>
      <c r="M39" s="62"/>
      <c r="N39" s="62"/>
      <c r="O39" s="62"/>
      <c r="P39" s="29">
        <f t="shared" si="11"/>
        <v>0</v>
      </c>
      <c r="Q39" s="264"/>
      <c r="R39" s="266"/>
      <c r="S39" s="266"/>
      <c r="T39" s="266"/>
      <c r="U39" s="266"/>
      <c r="V39" s="266"/>
      <c r="W39" s="266"/>
      <c r="X39" s="260">
        <f t="shared" si="13"/>
        <v>0</v>
      </c>
      <c r="Y39" s="60"/>
      <c r="Z39" s="62"/>
      <c r="AA39" s="62"/>
      <c r="AB39" s="62"/>
      <c r="AC39" s="62"/>
      <c r="AD39" s="62"/>
      <c r="AE39" s="62"/>
      <c r="AF39" s="78">
        <f t="shared" si="15"/>
        <v>0</v>
      </c>
      <c r="AG39" s="295"/>
      <c r="AH39" s="78">
        <f t="shared" si="40"/>
        <v>0</v>
      </c>
      <c r="AI39" s="78">
        <f t="shared" si="41"/>
        <v>0</v>
      </c>
      <c r="AJ39" s="78">
        <f t="shared" si="42"/>
        <v>0</v>
      </c>
      <c r="AK39" s="78">
        <f t="shared" si="43"/>
        <v>0</v>
      </c>
      <c r="AL39" s="78">
        <f t="shared" si="23"/>
        <v>0</v>
      </c>
      <c r="AM39" s="78">
        <f t="shared" si="24"/>
        <v>0</v>
      </c>
      <c r="AN39" s="78">
        <f t="shared" si="44"/>
        <v>0</v>
      </c>
    </row>
    <row r="40" spans="1:40" s="21" customFormat="1" x14ac:dyDescent="0.2">
      <c r="A40" s="340" t="s">
        <v>48</v>
      </c>
      <c r="B40" s="331" t="s">
        <v>209</v>
      </c>
      <c r="C40" s="311"/>
      <c r="D40" s="252"/>
      <c r="E40" s="252"/>
      <c r="F40" s="313"/>
      <c r="G40" s="463" t="s">
        <v>544</v>
      </c>
      <c r="H40" s="18"/>
      <c r="I40" s="62"/>
      <c r="J40" s="62"/>
      <c r="K40" s="62"/>
      <c r="L40" s="62"/>
      <c r="M40" s="62"/>
      <c r="N40" s="62"/>
      <c r="O40" s="62"/>
      <c r="P40" s="29">
        <f t="shared" si="11"/>
        <v>0</v>
      </c>
      <c r="Q40" s="266"/>
      <c r="R40" s="266"/>
      <c r="S40" s="266"/>
      <c r="T40" s="266"/>
      <c r="U40" s="266"/>
      <c r="V40" s="266"/>
      <c r="W40" s="266"/>
      <c r="X40" s="260">
        <f t="shared" si="13"/>
        <v>0</v>
      </c>
      <c r="Y40" s="62"/>
      <c r="Z40" s="62"/>
      <c r="AA40" s="62"/>
      <c r="AB40" s="62"/>
      <c r="AC40" s="62"/>
      <c r="AD40" s="62"/>
      <c r="AE40" s="62"/>
      <c r="AF40" s="78">
        <f t="shared" si="15"/>
        <v>0</v>
      </c>
      <c r="AG40" s="78">
        <f t="shared" si="40"/>
        <v>0</v>
      </c>
      <c r="AH40" s="78">
        <f t="shared" si="40"/>
        <v>0</v>
      </c>
      <c r="AI40" s="78">
        <f t="shared" si="41"/>
        <v>0</v>
      </c>
      <c r="AJ40" s="78">
        <f t="shared" si="42"/>
        <v>0</v>
      </c>
      <c r="AK40" s="78">
        <f t="shared" si="43"/>
        <v>0</v>
      </c>
      <c r="AL40" s="78">
        <f t="shared" si="23"/>
        <v>0</v>
      </c>
      <c r="AM40" s="78">
        <f t="shared" si="24"/>
        <v>0</v>
      </c>
      <c r="AN40" s="78">
        <f t="shared" si="44"/>
        <v>0</v>
      </c>
    </row>
    <row r="41" spans="1:40" s="21" customFormat="1" x14ac:dyDescent="0.2">
      <c r="A41" s="341"/>
      <c r="B41" s="339" t="s">
        <v>210</v>
      </c>
      <c r="C41" s="335"/>
      <c r="D41" s="333"/>
      <c r="E41" s="333"/>
      <c r="F41" s="334"/>
      <c r="G41" s="463" t="s">
        <v>520</v>
      </c>
      <c r="H41" s="18"/>
      <c r="I41" s="77">
        <f t="shared" ref="I41:O41" si="48">SUM(I11,I33,I40)</f>
        <v>0</v>
      </c>
      <c r="J41" s="77">
        <f t="shared" si="48"/>
        <v>0</v>
      </c>
      <c r="K41" s="77">
        <f t="shared" si="48"/>
        <v>0</v>
      </c>
      <c r="L41" s="77">
        <f t="shared" si="48"/>
        <v>0</v>
      </c>
      <c r="M41" s="77">
        <f t="shared" si="48"/>
        <v>0</v>
      </c>
      <c r="N41" s="77">
        <f t="shared" si="48"/>
        <v>0</v>
      </c>
      <c r="O41" s="77">
        <f t="shared" si="48"/>
        <v>0</v>
      </c>
      <c r="P41" s="78">
        <f t="shared" si="11"/>
        <v>0</v>
      </c>
      <c r="Q41" s="267">
        <f t="shared" ref="Q41:W41" si="49">SUM(Q11,Q33,Q40)</f>
        <v>0</v>
      </c>
      <c r="R41" s="267">
        <f t="shared" si="49"/>
        <v>0</v>
      </c>
      <c r="S41" s="267">
        <f t="shared" si="49"/>
        <v>0</v>
      </c>
      <c r="T41" s="267">
        <f t="shared" si="49"/>
        <v>0</v>
      </c>
      <c r="U41" s="267">
        <f t="shared" si="49"/>
        <v>0</v>
      </c>
      <c r="V41" s="267">
        <f t="shared" si="49"/>
        <v>0</v>
      </c>
      <c r="W41" s="267">
        <f t="shared" si="49"/>
        <v>0</v>
      </c>
      <c r="X41" s="273">
        <f t="shared" si="13"/>
        <v>0</v>
      </c>
      <c r="Y41" s="77">
        <f t="shared" ref="Y41:AE41" si="50">SUM(Y11,Y33,Y40)</f>
        <v>0</v>
      </c>
      <c r="Z41" s="77">
        <f t="shared" si="50"/>
        <v>0</v>
      </c>
      <c r="AA41" s="77">
        <f t="shared" si="50"/>
        <v>0</v>
      </c>
      <c r="AB41" s="77">
        <f t="shared" si="50"/>
        <v>0</v>
      </c>
      <c r="AC41" s="77">
        <f t="shared" si="50"/>
        <v>0</v>
      </c>
      <c r="AD41" s="77">
        <f t="shared" si="50"/>
        <v>0</v>
      </c>
      <c r="AE41" s="77">
        <f t="shared" si="50"/>
        <v>0</v>
      </c>
      <c r="AF41" s="78">
        <f t="shared" si="15"/>
        <v>0</v>
      </c>
      <c r="AG41" s="77">
        <f>(I41+Q41)-Y41</f>
        <v>0</v>
      </c>
      <c r="AH41" s="77">
        <f t="shared" si="40"/>
        <v>0</v>
      </c>
      <c r="AI41" s="77">
        <f t="shared" si="41"/>
        <v>0</v>
      </c>
      <c r="AJ41" s="77">
        <f t="shared" si="42"/>
        <v>0</v>
      </c>
      <c r="AK41" s="77">
        <f t="shared" si="43"/>
        <v>0</v>
      </c>
      <c r="AL41" s="77">
        <f t="shared" si="23"/>
        <v>0</v>
      </c>
      <c r="AM41" s="77">
        <f t="shared" si="24"/>
        <v>0</v>
      </c>
      <c r="AN41" s="78">
        <f t="shared" si="44"/>
        <v>0</v>
      </c>
    </row>
    <row r="42" spans="1:40" s="21" customFormat="1" x14ac:dyDescent="0.2">
      <c r="A42" s="342" t="s">
        <v>211</v>
      </c>
      <c r="B42" s="252"/>
      <c r="C42" s="311"/>
      <c r="D42" s="252"/>
      <c r="E42" s="252"/>
      <c r="F42" s="313"/>
      <c r="G42" s="464" t="s">
        <v>261</v>
      </c>
      <c r="H42" s="18"/>
      <c r="I42" s="35"/>
      <c r="J42" s="35"/>
      <c r="K42" s="35"/>
      <c r="L42" s="35"/>
      <c r="M42" s="35"/>
      <c r="N42" s="35"/>
      <c r="O42" s="35"/>
      <c r="P42" s="29"/>
      <c r="Q42" s="265"/>
      <c r="R42" s="265"/>
      <c r="S42" s="265"/>
      <c r="T42" s="265"/>
      <c r="U42" s="265"/>
      <c r="V42" s="265"/>
      <c r="W42" s="265"/>
      <c r="X42" s="260"/>
      <c r="Y42" s="35"/>
      <c r="Z42" s="35"/>
      <c r="AA42" s="35"/>
      <c r="AB42" s="35"/>
      <c r="AC42" s="35"/>
      <c r="AD42" s="35"/>
      <c r="AE42" s="35"/>
      <c r="AF42" s="78"/>
      <c r="AG42" s="77"/>
      <c r="AH42" s="77"/>
      <c r="AI42" s="77"/>
      <c r="AJ42" s="77"/>
      <c r="AK42" s="77"/>
      <c r="AL42" s="77"/>
      <c r="AM42" s="77"/>
      <c r="AN42" s="78"/>
    </row>
    <row r="43" spans="1:40" s="21" customFormat="1" x14ac:dyDescent="0.2">
      <c r="A43" s="338" t="s">
        <v>186</v>
      </c>
      <c r="B43" s="339" t="s">
        <v>187</v>
      </c>
      <c r="C43" s="335"/>
      <c r="D43" s="333"/>
      <c r="E43" s="333"/>
      <c r="F43" s="334"/>
      <c r="G43" s="463" t="s">
        <v>546</v>
      </c>
      <c r="H43" s="18"/>
      <c r="I43" s="77">
        <f>SUM(I44,I47,I50)</f>
        <v>0</v>
      </c>
      <c r="J43" s="77">
        <f>SUM(J44,J47,J50)</f>
        <v>0</v>
      </c>
      <c r="K43" s="77">
        <f>SUM(K44,K47,K50)</f>
        <v>0</v>
      </c>
      <c r="L43" s="295"/>
      <c r="M43" s="295"/>
      <c r="N43" s="77">
        <f>SUM(N44,N47,N50)</f>
        <v>0</v>
      </c>
      <c r="O43" s="77">
        <f>SUM(O44,O47,O50)</f>
        <v>0</v>
      </c>
      <c r="P43" s="78">
        <f t="shared" si="11"/>
        <v>0</v>
      </c>
      <c r="Q43" s="267">
        <f>SUM(Q44,Q47,Q50)</f>
        <v>0</v>
      </c>
      <c r="R43" s="267">
        <f>SUM(R44,R47,R50)</f>
        <v>0</v>
      </c>
      <c r="S43" s="267">
        <f>SUM(S44,S47,S50)</f>
        <v>0</v>
      </c>
      <c r="T43" s="376"/>
      <c r="U43" s="376"/>
      <c r="V43" s="267">
        <f>SUM(V44,V47,V50)</f>
        <v>0</v>
      </c>
      <c r="W43" s="267">
        <f>SUM(W44,W47,W50)</f>
        <v>0</v>
      </c>
      <c r="X43" s="273">
        <f t="shared" si="13"/>
        <v>0</v>
      </c>
      <c r="Y43" s="77">
        <f>SUM(Y44,Y47,Y50)</f>
        <v>0</v>
      </c>
      <c r="Z43" s="77">
        <f>SUM(Z44,Z47,Z50)</f>
        <v>0</v>
      </c>
      <c r="AA43" s="77">
        <f>SUM(AA44,AA47,AA50)</f>
        <v>0</v>
      </c>
      <c r="AB43" s="295"/>
      <c r="AC43" s="295"/>
      <c r="AD43" s="77">
        <f>SUM(AD44,AD47,AD50)</f>
        <v>0</v>
      </c>
      <c r="AE43" s="77">
        <f>SUM(AE44,AE47,AE50)</f>
        <v>0</v>
      </c>
      <c r="AF43" s="78">
        <f t="shared" si="15"/>
        <v>0</v>
      </c>
      <c r="AG43" s="77">
        <f t="shared" ref="AG43:AG52" si="51">(I43+Q43)-Y43</f>
        <v>0</v>
      </c>
      <c r="AH43" s="77">
        <f t="shared" si="40"/>
        <v>0</v>
      </c>
      <c r="AI43" s="77">
        <f t="shared" si="41"/>
        <v>0</v>
      </c>
      <c r="AJ43" s="295"/>
      <c r="AK43" s="295"/>
      <c r="AL43" s="77">
        <f t="shared" ref="AL43:AL56" si="52">(N43+V43)-AD43</f>
        <v>0</v>
      </c>
      <c r="AM43" s="77">
        <f t="shared" ref="AM43:AM56" si="53">(O43+W43)-AE43</f>
        <v>0</v>
      </c>
      <c r="AN43" s="78">
        <f t="shared" ref="AN43:AN56" si="54">(P43+X43)-AF43</f>
        <v>0</v>
      </c>
    </row>
    <row r="44" spans="1:40" s="21" customFormat="1" x14ac:dyDescent="0.2">
      <c r="A44" s="330"/>
      <c r="B44" s="252" t="s">
        <v>188</v>
      </c>
      <c r="C44" s="567" t="s">
        <v>212</v>
      </c>
      <c r="D44" s="567"/>
      <c r="E44" s="567"/>
      <c r="F44" s="568"/>
      <c r="G44" s="463" t="s">
        <v>547</v>
      </c>
      <c r="H44" s="18"/>
      <c r="I44" s="77">
        <f>SUM(I45,I46)</f>
        <v>0</v>
      </c>
      <c r="J44" s="77">
        <f>SUM(J45,J46)</f>
        <v>0</v>
      </c>
      <c r="K44" s="77">
        <f>SUM(K45,K46)</f>
        <v>0</v>
      </c>
      <c r="L44" s="295"/>
      <c r="M44" s="295"/>
      <c r="N44" s="77">
        <f>SUM(N45,N46)</f>
        <v>0</v>
      </c>
      <c r="O44" s="77">
        <f>SUM(O45,O46)</f>
        <v>0</v>
      </c>
      <c r="P44" s="78">
        <f t="shared" si="11"/>
        <v>0</v>
      </c>
      <c r="Q44" s="267">
        <f>SUM(Q45,Q46)</f>
        <v>0</v>
      </c>
      <c r="R44" s="267">
        <f>SUM(R45,R46)</f>
        <v>0</v>
      </c>
      <c r="S44" s="267">
        <f>SUM(S45,S46)</f>
        <v>0</v>
      </c>
      <c r="T44" s="376"/>
      <c r="U44" s="376"/>
      <c r="V44" s="267">
        <f>SUM(V45,V46)</f>
        <v>0</v>
      </c>
      <c r="W44" s="267">
        <f>SUM(W45,W46)</f>
        <v>0</v>
      </c>
      <c r="X44" s="273">
        <f t="shared" si="13"/>
        <v>0</v>
      </c>
      <c r="Y44" s="77">
        <f>SUM(Y45,Y46)</f>
        <v>0</v>
      </c>
      <c r="Z44" s="77">
        <f>SUM(Z45,Z46)</f>
        <v>0</v>
      </c>
      <c r="AA44" s="77">
        <f>SUM(AA45,AA46)</f>
        <v>0</v>
      </c>
      <c r="AB44" s="295"/>
      <c r="AC44" s="295"/>
      <c r="AD44" s="77">
        <f>SUM(AD45,AD46)</f>
        <v>0</v>
      </c>
      <c r="AE44" s="77">
        <f>SUM(AE45,AE46)</f>
        <v>0</v>
      </c>
      <c r="AF44" s="78">
        <f t="shared" si="15"/>
        <v>0</v>
      </c>
      <c r="AG44" s="77">
        <f t="shared" si="51"/>
        <v>0</v>
      </c>
      <c r="AH44" s="77">
        <f t="shared" si="40"/>
        <v>0</v>
      </c>
      <c r="AI44" s="77">
        <f t="shared" si="41"/>
        <v>0</v>
      </c>
      <c r="AJ44" s="295"/>
      <c r="AK44" s="295"/>
      <c r="AL44" s="77">
        <f t="shared" si="52"/>
        <v>0</v>
      </c>
      <c r="AM44" s="77">
        <f t="shared" si="53"/>
        <v>0</v>
      </c>
      <c r="AN44" s="78">
        <f t="shared" si="54"/>
        <v>0</v>
      </c>
    </row>
    <row r="45" spans="1:40" s="21" customFormat="1" x14ac:dyDescent="0.2">
      <c r="A45" s="338"/>
      <c r="B45" s="333"/>
      <c r="C45" s="343" t="s">
        <v>19</v>
      </c>
      <c r="D45" s="569" t="s">
        <v>213</v>
      </c>
      <c r="E45" s="569"/>
      <c r="F45" s="570"/>
      <c r="G45" s="463" t="s">
        <v>548</v>
      </c>
      <c r="H45" s="18"/>
      <c r="I45" s="62"/>
      <c r="J45" s="82"/>
      <c r="K45" s="82"/>
      <c r="L45" s="60"/>
      <c r="M45" s="60"/>
      <c r="N45" s="82"/>
      <c r="O45" s="82"/>
      <c r="P45" s="29">
        <f t="shared" si="11"/>
        <v>0</v>
      </c>
      <c r="Q45" s="266"/>
      <c r="R45" s="263"/>
      <c r="S45" s="263"/>
      <c r="T45" s="264"/>
      <c r="U45" s="264"/>
      <c r="V45" s="263"/>
      <c r="W45" s="263"/>
      <c r="X45" s="260">
        <f t="shared" si="13"/>
        <v>0</v>
      </c>
      <c r="Y45" s="62"/>
      <c r="Z45" s="82"/>
      <c r="AA45" s="82"/>
      <c r="AB45" s="60"/>
      <c r="AC45" s="60"/>
      <c r="AD45" s="82"/>
      <c r="AE45" s="82"/>
      <c r="AF45" s="78">
        <f t="shared" si="15"/>
        <v>0</v>
      </c>
      <c r="AG45" s="77">
        <f t="shared" si="51"/>
        <v>0</v>
      </c>
      <c r="AH45" s="77">
        <f t="shared" si="40"/>
        <v>0</v>
      </c>
      <c r="AI45" s="77">
        <f t="shared" si="41"/>
        <v>0</v>
      </c>
      <c r="AJ45" s="295"/>
      <c r="AK45" s="295"/>
      <c r="AL45" s="77">
        <f t="shared" si="52"/>
        <v>0</v>
      </c>
      <c r="AM45" s="77">
        <f t="shared" si="53"/>
        <v>0</v>
      </c>
      <c r="AN45" s="78">
        <f t="shared" si="54"/>
        <v>0</v>
      </c>
    </row>
    <row r="46" spans="1:40" s="21" customFormat="1" x14ac:dyDescent="0.2">
      <c r="A46" s="330"/>
      <c r="B46" s="252"/>
      <c r="C46" s="344" t="s">
        <v>21</v>
      </c>
      <c r="D46" s="567" t="s">
        <v>194</v>
      </c>
      <c r="E46" s="567"/>
      <c r="F46" s="568"/>
      <c r="G46" s="463" t="s">
        <v>549</v>
      </c>
      <c r="H46" s="18"/>
      <c r="I46" s="62"/>
      <c r="J46" s="82"/>
      <c r="K46" s="82"/>
      <c r="L46" s="60"/>
      <c r="M46" s="60"/>
      <c r="N46" s="82"/>
      <c r="O46" s="82"/>
      <c r="P46" s="29">
        <f t="shared" si="11"/>
        <v>0</v>
      </c>
      <c r="Q46" s="266"/>
      <c r="R46" s="263"/>
      <c r="S46" s="263"/>
      <c r="T46" s="264"/>
      <c r="U46" s="264"/>
      <c r="V46" s="263"/>
      <c r="W46" s="263"/>
      <c r="X46" s="260">
        <f t="shared" si="13"/>
        <v>0</v>
      </c>
      <c r="Y46" s="62"/>
      <c r="Z46" s="82"/>
      <c r="AA46" s="82"/>
      <c r="AB46" s="60"/>
      <c r="AC46" s="60"/>
      <c r="AD46" s="82"/>
      <c r="AE46" s="82"/>
      <c r="AF46" s="78">
        <f t="shared" si="15"/>
        <v>0</v>
      </c>
      <c r="AG46" s="77">
        <f t="shared" si="51"/>
        <v>0</v>
      </c>
      <c r="AH46" s="77">
        <f t="shared" si="40"/>
        <v>0</v>
      </c>
      <c r="AI46" s="77">
        <f t="shared" si="41"/>
        <v>0</v>
      </c>
      <c r="AJ46" s="295"/>
      <c r="AK46" s="295"/>
      <c r="AL46" s="77">
        <f t="shared" si="52"/>
        <v>0</v>
      </c>
      <c r="AM46" s="77">
        <f t="shared" si="53"/>
        <v>0</v>
      </c>
      <c r="AN46" s="78">
        <f t="shared" si="54"/>
        <v>0</v>
      </c>
    </row>
    <row r="47" spans="1:40" s="21" customFormat="1" x14ac:dyDescent="0.2">
      <c r="A47" s="338"/>
      <c r="B47" s="333" t="s">
        <v>195</v>
      </c>
      <c r="C47" s="335" t="s">
        <v>198</v>
      </c>
      <c r="D47" s="333"/>
      <c r="E47" s="333"/>
      <c r="F47" s="334"/>
      <c r="G47" s="463" t="s">
        <v>550</v>
      </c>
      <c r="H47" s="18"/>
      <c r="I47" s="77">
        <f>SUM(I48,I49)</f>
        <v>0</v>
      </c>
      <c r="J47" s="77">
        <f>SUM(J48,J49)</f>
        <v>0</v>
      </c>
      <c r="K47" s="77">
        <f>SUM(K48,K49)</f>
        <v>0</v>
      </c>
      <c r="L47" s="295"/>
      <c r="M47" s="295"/>
      <c r="N47" s="77">
        <f>SUM(N48,N49)</f>
        <v>0</v>
      </c>
      <c r="O47" s="77">
        <f>SUM(O48,O49)</f>
        <v>0</v>
      </c>
      <c r="P47" s="78">
        <f t="shared" si="11"/>
        <v>0</v>
      </c>
      <c r="Q47" s="267">
        <f>SUM(Q48,Q49)</f>
        <v>0</v>
      </c>
      <c r="R47" s="267">
        <f>SUM(R48,R49)</f>
        <v>0</v>
      </c>
      <c r="S47" s="267">
        <f>SUM(S48,S49)</f>
        <v>0</v>
      </c>
      <c r="T47" s="376"/>
      <c r="U47" s="376"/>
      <c r="V47" s="267">
        <f>SUM(V48,V49)</f>
        <v>0</v>
      </c>
      <c r="W47" s="267">
        <f>SUM(W48,W49)</f>
        <v>0</v>
      </c>
      <c r="X47" s="273">
        <f t="shared" si="13"/>
        <v>0</v>
      </c>
      <c r="Y47" s="77">
        <f>SUM(Y48,Y49)</f>
        <v>0</v>
      </c>
      <c r="Z47" s="77">
        <f>SUM(Z48,Z49)</f>
        <v>0</v>
      </c>
      <c r="AA47" s="77">
        <f>SUM(AA48,AA49)</f>
        <v>0</v>
      </c>
      <c r="AB47" s="295"/>
      <c r="AC47" s="295"/>
      <c r="AD47" s="77">
        <f>SUM(AD48,AD49)</f>
        <v>0</v>
      </c>
      <c r="AE47" s="77">
        <f>SUM(AE48,AE49)</f>
        <v>0</v>
      </c>
      <c r="AF47" s="78">
        <f t="shared" si="15"/>
        <v>0</v>
      </c>
      <c r="AG47" s="77">
        <f t="shared" si="51"/>
        <v>0</v>
      </c>
      <c r="AH47" s="77">
        <f t="shared" si="40"/>
        <v>0</v>
      </c>
      <c r="AI47" s="77">
        <f t="shared" si="41"/>
        <v>0</v>
      </c>
      <c r="AJ47" s="295"/>
      <c r="AK47" s="295"/>
      <c r="AL47" s="77">
        <f t="shared" si="52"/>
        <v>0</v>
      </c>
      <c r="AM47" s="77">
        <f t="shared" si="53"/>
        <v>0</v>
      </c>
      <c r="AN47" s="78">
        <f t="shared" si="54"/>
        <v>0</v>
      </c>
    </row>
    <row r="48" spans="1:40" s="21" customFormat="1" x14ac:dyDescent="0.2">
      <c r="A48" s="330"/>
      <c r="B48" s="252"/>
      <c r="C48" s="311">
        <v>-1</v>
      </c>
      <c r="D48" s="252" t="s">
        <v>199</v>
      </c>
      <c r="E48" s="252"/>
      <c r="F48" s="313"/>
      <c r="G48" s="463" t="s">
        <v>551</v>
      </c>
      <c r="H48" s="18"/>
      <c r="I48" s="62"/>
      <c r="J48" s="82"/>
      <c r="K48" s="82"/>
      <c r="L48" s="60"/>
      <c r="M48" s="60"/>
      <c r="N48" s="82"/>
      <c r="O48" s="82"/>
      <c r="P48" s="29">
        <f t="shared" si="11"/>
        <v>0</v>
      </c>
      <c r="Q48" s="266"/>
      <c r="R48" s="263"/>
      <c r="S48" s="263"/>
      <c r="T48" s="264"/>
      <c r="U48" s="264"/>
      <c r="V48" s="263"/>
      <c r="W48" s="263"/>
      <c r="X48" s="260">
        <f t="shared" si="13"/>
        <v>0</v>
      </c>
      <c r="Y48" s="62"/>
      <c r="Z48" s="82"/>
      <c r="AA48" s="82"/>
      <c r="AB48" s="60"/>
      <c r="AC48" s="60"/>
      <c r="AD48" s="82"/>
      <c r="AE48" s="82"/>
      <c r="AF48" s="78">
        <f t="shared" si="15"/>
        <v>0</v>
      </c>
      <c r="AG48" s="77">
        <f t="shared" si="51"/>
        <v>0</v>
      </c>
      <c r="AH48" s="77">
        <f t="shared" si="40"/>
        <v>0</v>
      </c>
      <c r="AI48" s="77">
        <f t="shared" si="41"/>
        <v>0</v>
      </c>
      <c r="AJ48" s="295"/>
      <c r="AK48" s="295"/>
      <c r="AL48" s="77">
        <f t="shared" si="52"/>
        <v>0</v>
      </c>
      <c r="AM48" s="77">
        <f t="shared" si="53"/>
        <v>0</v>
      </c>
      <c r="AN48" s="78">
        <f t="shared" si="54"/>
        <v>0</v>
      </c>
    </row>
    <row r="49" spans="1:40" s="21" customFormat="1" x14ac:dyDescent="0.2">
      <c r="A49" s="338"/>
      <c r="B49" s="333"/>
      <c r="C49" s="345" t="s">
        <v>21</v>
      </c>
      <c r="D49" s="333" t="s">
        <v>200</v>
      </c>
      <c r="E49" s="333"/>
      <c r="F49" s="334"/>
      <c r="G49" s="463" t="s">
        <v>552</v>
      </c>
      <c r="H49" s="18"/>
      <c r="I49" s="62"/>
      <c r="J49" s="82"/>
      <c r="K49" s="82"/>
      <c r="L49" s="60"/>
      <c r="M49" s="60"/>
      <c r="N49" s="82"/>
      <c r="O49" s="82"/>
      <c r="P49" s="29">
        <f t="shared" si="11"/>
        <v>0</v>
      </c>
      <c r="Q49" s="266"/>
      <c r="R49" s="263"/>
      <c r="S49" s="263"/>
      <c r="T49" s="264"/>
      <c r="U49" s="264"/>
      <c r="V49" s="263"/>
      <c r="W49" s="263"/>
      <c r="X49" s="260">
        <f t="shared" si="13"/>
        <v>0</v>
      </c>
      <c r="Y49" s="62"/>
      <c r="Z49" s="82"/>
      <c r="AA49" s="82"/>
      <c r="AB49" s="60"/>
      <c r="AC49" s="60"/>
      <c r="AD49" s="82"/>
      <c r="AE49" s="82"/>
      <c r="AF49" s="78">
        <f t="shared" si="15"/>
        <v>0</v>
      </c>
      <c r="AG49" s="77">
        <f t="shared" si="51"/>
        <v>0</v>
      </c>
      <c r="AH49" s="77">
        <f t="shared" si="40"/>
        <v>0</v>
      </c>
      <c r="AI49" s="77">
        <f t="shared" si="41"/>
        <v>0</v>
      </c>
      <c r="AJ49" s="295"/>
      <c r="AK49" s="295"/>
      <c r="AL49" s="77">
        <f t="shared" si="52"/>
        <v>0</v>
      </c>
      <c r="AM49" s="77">
        <f t="shared" si="53"/>
        <v>0</v>
      </c>
      <c r="AN49" s="78">
        <f t="shared" si="54"/>
        <v>0</v>
      </c>
    </row>
    <row r="50" spans="1:40" s="21" customFormat="1" x14ac:dyDescent="0.2">
      <c r="A50" s="251"/>
      <c r="B50" s="252" t="s">
        <v>197</v>
      </c>
      <c r="C50" s="311" t="s">
        <v>202</v>
      </c>
      <c r="D50" s="252"/>
      <c r="E50" s="252"/>
      <c r="F50" s="313"/>
      <c r="G50" s="463" t="s">
        <v>553</v>
      </c>
      <c r="H50" s="18"/>
      <c r="I50" s="77">
        <f>SUM(I51,I52)</f>
        <v>0</v>
      </c>
      <c r="J50" s="77">
        <f>SUM(J51,J52)</f>
        <v>0</v>
      </c>
      <c r="K50" s="77">
        <f>SUM(K51,K52)</f>
        <v>0</v>
      </c>
      <c r="L50" s="295"/>
      <c r="M50" s="295"/>
      <c r="N50" s="77">
        <f>SUM(N51,N52)</f>
        <v>0</v>
      </c>
      <c r="O50" s="77">
        <f>SUM(O51,O52)</f>
        <v>0</v>
      </c>
      <c r="P50" s="78">
        <f t="shared" si="11"/>
        <v>0</v>
      </c>
      <c r="Q50" s="267">
        <f>SUM(Q51,Q52)</f>
        <v>0</v>
      </c>
      <c r="R50" s="267">
        <f>SUM(R51,R52)</f>
        <v>0</v>
      </c>
      <c r="S50" s="267">
        <f>SUM(S51,S52)</f>
        <v>0</v>
      </c>
      <c r="T50" s="376"/>
      <c r="U50" s="376"/>
      <c r="V50" s="267">
        <f>SUM(V51,V52)</f>
        <v>0</v>
      </c>
      <c r="W50" s="267">
        <f>SUM(W51,W52)</f>
        <v>0</v>
      </c>
      <c r="X50" s="273">
        <f t="shared" si="13"/>
        <v>0</v>
      </c>
      <c r="Y50" s="77">
        <f>SUM(Y51,Y52)</f>
        <v>0</v>
      </c>
      <c r="Z50" s="77">
        <f>SUM(Z51,Z52)</f>
        <v>0</v>
      </c>
      <c r="AA50" s="77">
        <f>SUM(AA51,AA52)</f>
        <v>0</v>
      </c>
      <c r="AB50" s="295"/>
      <c r="AC50" s="295"/>
      <c r="AD50" s="77">
        <f>SUM(AD51,AD52)</f>
        <v>0</v>
      </c>
      <c r="AE50" s="77">
        <f>SUM(AE51,AE52)</f>
        <v>0</v>
      </c>
      <c r="AF50" s="78">
        <f t="shared" si="15"/>
        <v>0</v>
      </c>
      <c r="AG50" s="77">
        <f t="shared" si="51"/>
        <v>0</v>
      </c>
      <c r="AH50" s="77">
        <f t="shared" si="40"/>
        <v>0</v>
      </c>
      <c r="AI50" s="77">
        <f t="shared" si="41"/>
        <v>0</v>
      </c>
      <c r="AJ50" s="295"/>
      <c r="AK50" s="295"/>
      <c r="AL50" s="77">
        <f t="shared" si="52"/>
        <v>0</v>
      </c>
      <c r="AM50" s="77">
        <f t="shared" si="53"/>
        <v>0</v>
      </c>
      <c r="AN50" s="78">
        <f t="shared" si="54"/>
        <v>0</v>
      </c>
    </row>
    <row r="51" spans="1:40" s="21" customFormat="1" x14ac:dyDescent="0.2">
      <c r="A51" s="332"/>
      <c r="B51" s="333"/>
      <c r="C51" s="343" t="s">
        <v>19</v>
      </c>
      <c r="D51" s="569" t="s">
        <v>203</v>
      </c>
      <c r="E51" s="569"/>
      <c r="F51" s="570"/>
      <c r="G51" s="463" t="s">
        <v>554</v>
      </c>
      <c r="H51" s="18"/>
      <c r="I51" s="62"/>
      <c r="J51" s="82"/>
      <c r="K51" s="82"/>
      <c r="L51" s="60"/>
      <c r="M51" s="60"/>
      <c r="N51" s="82"/>
      <c r="O51" s="82"/>
      <c r="P51" s="29">
        <f t="shared" si="11"/>
        <v>0</v>
      </c>
      <c r="Q51" s="266"/>
      <c r="R51" s="263"/>
      <c r="S51" s="263"/>
      <c r="T51" s="264"/>
      <c r="U51" s="264"/>
      <c r="V51" s="263"/>
      <c r="W51" s="263"/>
      <c r="X51" s="260">
        <f t="shared" si="13"/>
        <v>0</v>
      </c>
      <c r="Y51" s="62"/>
      <c r="Z51" s="82"/>
      <c r="AA51" s="82"/>
      <c r="AB51" s="60"/>
      <c r="AC51" s="60"/>
      <c r="AD51" s="82"/>
      <c r="AE51" s="82"/>
      <c r="AF51" s="78">
        <f t="shared" si="15"/>
        <v>0</v>
      </c>
      <c r="AG51" s="77">
        <f t="shared" si="51"/>
        <v>0</v>
      </c>
      <c r="AH51" s="77">
        <f t="shared" si="40"/>
        <v>0</v>
      </c>
      <c r="AI51" s="77">
        <f t="shared" si="41"/>
        <v>0</v>
      </c>
      <c r="AJ51" s="295"/>
      <c r="AK51" s="295"/>
      <c r="AL51" s="77">
        <f t="shared" si="52"/>
        <v>0</v>
      </c>
      <c r="AM51" s="77">
        <f t="shared" si="53"/>
        <v>0</v>
      </c>
      <c r="AN51" s="78">
        <f t="shared" si="54"/>
        <v>0</v>
      </c>
    </row>
    <row r="52" spans="1:40" s="21" customFormat="1" x14ac:dyDescent="0.2">
      <c r="A52" s="251"/>
      <c r="B52" s="252"/>
      <c r="C52" s="344" t="s">
        <v>21</v>
      </c>
      <c r="D52" s="567" t="s">
        <v>194</v>
      </c>
      <c r="E52" s="567"/>
      <c r="F52" s="568"/>
      <c r="G52" s="463" t="s">
        <v>555</v>
      </c>
      <c r="H52" s="18"/>
      <c r="I52" s="62"/>
      <c r="J52" s="82"/>
      <c r="K52" s="82"/>
      <c r="L52" s="60"/>
      <c r="M52" s="60"/>
      <c r="N52" s="82"/>
      <c r="O52" s="82"/>
      <c r="P52" s="29">
        <f t="shared" si="11"/>
        <v>0</v>
      </c>
      <c r="Q52" s="266"/>
      <c r="R52" s="263"/>
      <c r="S52" s="263"/>
      <c r="T52" s="264"/>
      <c r="U52" s="264"/>
      <c r="V52" s="263"/>
      <c r="W52" s="263"/>
      <c r="X52" s="260">
        <f t="shared" si="13"/>
        <v>0</v>
      </c>
      <c r="Y52" s="62"/>
      <c r="Z52" s="82"/>
      <c r="AA52" s="82"/>
      <c r="AB52" s="60"/>
      <c r="AC52" s="60"/>
      <c r="AD52" s="82"/>
      <c r="AE52" s="82"/>
      <c r="AF52" s="78">
        <f t="shared" si="15"/>
        <v>0</v>
      </c>
      <c r="AG52" s="77">
        <f t="shared" si="51"/>
        <v>0</v>
      </c>
      <c r="AH52" s="77">
        <f t="shared" si="40"/>
        <v>0</v>
      </c>
      <c r="AI52" s="77">
        <f t="shared" si="41"/>
        <v>0</v>
      </c>
      <c r="AJ52" s="295"/>
      <c r="AK52" s="295"/>
      <c r="AL52" s="77">
        <f t="shared" si="52"/>
        <v>0</v>
      </c>
      <c r="AM52" s="77">
        <f t="shared" si="53"/>
        <v>0</v>
      </c>
      <c r="AN52" s="78">
        <f t="shared" si="54"/>
        <v>0</v>
      </c>
    </row>
    <row r="53" spans="1:40" s="21" customFormat="1" x14ac:dyDescent="0.2">
      <c r="A53" s="338" t="s">
        <v>214</v>
      </c>
      <c r="B53" s="339" t="s">
        <v>204</v>
      </c>
      <c r="C53" s="335"/>
      <c r="D53" s="333"/>
      <c r="E53" s="333"/>
      <c r="F53" s="334"/>
      <c r="G53" s="463" t="s">
        <v>556</v>
      </c>
      <c r="H53" s="18"/>
      <c r="I53" s="295"/>
      <c r="J53" s="77">
        <f>SUM(J54,J55)</f>
        <v>0</v>
      </c>
      <c r="K53" s="77">
        <f>SUM(K54,K55)</f>
        <v>0</v>
      </c>
      <c r="L53" s="295"/>
      <c r="M53" s="295"/>
      <c r="N53" s="77">
        <f>SUM(N54,N55)</f>
        <v>0</v>
      </c>
      <c r="O53" s="77">
        <f>SUM(O54,O55)</f>
        <v>0</v>
      </c>
      <c r="P53" s="78">
        <f t="shared" si="11"/>
        <v>0</v>
      </c>
      <c r="Q53" s="376"/>
      <c r="R53" s="267">
        <f>SUM(R54,R55)</f>
        <v>0</v>
      </c>
      <c r="S53" s="267">
        <f>SUM(S54,S55)</f>
        <v>0</v>
      </c>
      <c r="T53" s="376"/>
      <c r="U53" s="376"/>
      <c r="V53" s="267">
        <f>SUM(V54,V55)</f>
        <v>0</v>
      </c>
      <c r="W53" s="267">
        <f>SUM(W54,W55)</f>
        <v>0</v>
      </c>
      <c r="X53" s="273">
        <f t="shared" si="13"/>
        <v>0</v>
      </c>
      <c r="Y53" s="295"/>
      <c r="Z53" s="77">
        <f>SUM(Z54,Z55)</f>
        <v>0</v>
      </c>
      <c r="AA53" s="77">
        <f>SUM(AA54,AA55)</f>
        <v>0</v>
      </c>
      <c r="AB53" s="295"/>
      <c r="AC53" s="295"/>
      <c r="AD53" s="77">
        <f>SUM(AD54,AD55)</f>
        <v>0</v>
      </c>
      <c r="AE53" s="77">
        <f>SUM(AE54,AE55)</f>
        <v>0</v>
      </c>
      <c r="AF53" s="78">
        <f t="shared" si="15"/>
        <v>0</v>
      </c>
      <c r="AG53" s="295"/>
      <c r="AH53" s="77">
        <f t="shared" ref="AH53:AI56" si="55">(J53+R53)-Z53</f>
        <v>0</v>
      </c>
      <c r="AI53" s="77">
        <f t="shared" si="55"/>
        <v>0</v>
      </c>
      <c r="AJ53" s="295"/>
      <c r="AK53" s="295"/>
      <c r="AL53" s="77">
        <f t="shared" si="52"/>
        <v>0</v>
      </c>
      <c r="AM53" s="77">
        <f t="shared" si="53"/>
        <v>0</v>
      </c>
      <c r="AN53" s="78">
        <f t="shared" si="54"/>
        <v>0</v>
      </c>
    </row>
    <row r="54" spans="1:40" s="21" customFormat="1" x14ac:dyDescent="0.2">
      <c r="A54" s="330"/>
      <c r="B54" s="252" t="s">
        <v>188</v>
      </c>
      <c r="C54" s="311" t="s">
        <v>198</v>
      </c>
      <c r="D54" s="252"/>
      <c r="E54" s="252"/>
      <c r="F54" s="313"/>
      <c r="G54" s="463" t="s">
        <v>557</v>
      </c>
      <c r="H54" s="18"/>
      <c r="I54" s="60"/>
      <c r="J54" s="62"/>
      <c r="K54" s="62"/>
      <c r="L54" s="60"/>
      <c r="M54" s="60"/>
      <c r="N54" s="82"/>
      <c r="O54" s="82"/>
      <c r="P54" s="29">
        <f t="shared" si="11"/>
        <v>0</v>
      </c>
      <c r="Q54" s="264"/>
      <c r="R54" s="266"/>
      <c r="S54" s="266"/>
      <c r="T54" s="264"/>
      <c r="U54" s="264"/>
      <c r="V54" s="266"/>
      <c r="W54" s="266"/>
      <c r="X54" s="260">
        <f t="shared" si="13"/>
        <v>0</v>
      </c>
      <c r="Y54" s="60"/>
      <c r="Z54" s="62"/>
      <c r="AA54" s="62"/>
      <c r="AB54" s="60"/>
      <c r="AC54" s="60"/>
      <c r="AD54" s="82"/>
      <c r="AE54" s="82"/>
      <c r="AF54" s="78">
        <f t="shared" si="15"/>
        <v>0</v>
      </c>
      <c r="AG54" s="295"/>
      <c r="AH54" s="77">
        <f t="shared" si="55"/>
        <v>0</v>
      </c>
      <c r="AI54" s="77">
        <f t="shared" si="55"/>
        <v>0</v>
      </c>
      <c r="AJ54" s="295"/>
      <c r="AK54" s="295"/>
      <c r="AL54" s="77">
        <f t="shared" si="52"/>
        <v>0</v>
      </c>
      <c r="AM54" s="77">
        <f t="shared" si="53"/>
        <v>0</v>
      </c>
      <c r="AN54" s="78">
        <f t="shared" si="54"/>
        <v>0</v>
      </c>
    </row>
    <row r="55" spans="1:40" s="21" customFormat="1" x14ac:dyDescent="0.2">
      <c r="A55" s="338"/>
      <c r="B55" s="333" t="s">
        <v>195</v>
      </c>
      <c r="C55" s="335" t="s">
        <v>208</v>
      </c>
      <c r="D55" s="333"/>
      <c r="E55" s="333"/>
      <c r="F55" s="334"/>
      <c r="G55" s="463" t="s">
        <v>558</v>
      </c>
      <c r="H55" s="18"/>
      <c r="I55" s="60"/>
      <c r="J55" s="62"/>
      <c r="K55" s="62"/>
      <c r="L55" s="60"/>
      <c r="M55" s="60"/>
      <c r="N55" s="82"/>
      <c r="O55" s="82"/>
      <c r="P55" s="29">
        <f t="shared" si="11"/>
        <v>0</v>
      </c>
      <c r="Q55" s="264"/>
      <c r="R55" s="266"/>
      <c r="S55" s="266"/>
      <c r="T55" s="264"/>
      <c r="U55" s="264"/>
      <c r="V55" s="266"/>
      <c r="W55" s="266"/>
      <c r="X55" s="260">
        <f t="shared" si="13"/>
        <v>0</v>
      </c>
      <c r="Y55" s="60"/>
      <c r="Z55" s="62"/>
      <c r="AA55" s="62"/>
      <c r="AB55" s="60"/>
      <c r="AC55" s="60"/>
      <c r="AD55" s="82"/>
      <c r="AE55" s="82"/>
      <c r="AF55" s="78">
        <f t="shared" si="15"/>
        <v>0</v>
      </c>
      <c r="AG55" s="295"/>
      <c r="AH55" s="77">
        <f t="shared" si="55"/>
        <v>0</v>
      </c>
      <c r="AI55" s="77">
        <f t="shared" si="55"/>
        <v>0</v>
      </c>
      <c r="AJ55" s="295"/>
      <c r="AK55" s="295"/>
      <c r="AL55" s="77">
        <f t="shared" si="52"/>
        <v>0</v>
      </c>
      <c r="AM55" s="77">
        <f t="shared" si="53"/>
        <v>0</v>
      </c>
      <c r="AN55" s="78">
        <f t="shared" si="54"/>
        <v>0</v>
      </c>
    </row>
    <row r="56" spans="1:40" s="21" customFormat="1" x14ac:dyDescent="0.2">
      <c r="A56" s="251"/>
      <c r="B56" s="331" t="s">
        <v>210</v>
      </c>
      <c r="C56" s="311"/>
      <c r="D56" s="252"/>
      <c r="E56" s="252"/>
      <c r="F56" s="313"/>
      <c r="G56" s="463" t="s">
        <v>545</v>
      </c>
      <c r="H56" s="18"/>
      <c r="I56" s="77">
        <f>SUM(I43,I53)</f>
        <v>0</v>
      </c>
      <c r="J56" s="77">
        <f>SUM(J43,J53)</f>
        <v>0</v>
      </c>
      <c r="K56" s="77">
        <f>SUM(K43,K53)</f>
        <v>0</v>
      </c>
      <c r="L56" s="295"/>
      <c r="M56" s="295"/>
      <c r="N56" s="77">
        <f>SUM(N43,N53)</f>
        <v>0</v>
      </c>
      <c r="O56" s="77">
        <f>SUM(O43,O53)</f>
        <v>0</v>
      </c>
      <c r="P56" s="78">
        <f t="shared" si="11"/>
        <v>0</v>
      </c>
      <c r="Q56" s="267">
        <f>SUM(Q43,Q53)</f>
        <v>0</v>
      </c>
      <c r="R56" s="267">
        <f>SUM(R43,R53)</f>
        <v>0</v>
      </c>
      <c r="S56" s="267">
        <f>SUM(S43,S53)</f>
        <v>0</v>
      </c>
      <c r="T56" s="376"/>
      <c r="U56" s="376"/>
      <c r="V56" s="267">
        <f>SUM(V43,V53)</f>
        <v>0</v>
      </c>
      <c r="W56" s="267">
        <f>SUM(W43,W53)</f>
        <v>0</v>
      </c>
      <c r="X56" s="273">
        <f t="shared" si="13"/>
        <v>0</v>
      </c>
      <c r="Y56" s="77">
        <f>SUM(Y43,Y53)</f>
        <v>0</v>
      </c>
      <c r="Z56" s="77">
        <f>SUM(Z43,Z53)</f>
        <v>0</v>
      </c>
      <c r="AA56" s="77">
        <f>SUM(AA43,AA53)</f>
        <v>0</v>
      </c>
      <c r="AB56" s="295"/>
      <c r="AC56" s="295"/>
      <c r="AD56" s="77">
        <f>SUM(AD43,AD53)</f>
        <v>0</v>
      </c>
      <c r="AE56" s="77">
        <f>SUM(AE43,AE53)</f>
        <v>0</v>
      </c>
      <c r="AF56" s="78">
        <f t="shared" si="15"/>
        <v>0</v>
      </c>
      <c r="AG56" s="77">
        <f>(I56+Q56)-Y56</f>
        <v>0</v>
      </c>
      <c r="AH56" s="77">
        <f t="shared" si="55"/>
        <v>0</v>
      </c>
      <c r="AI56" s="77">
        <f t="shared" si="55"/>
        <v>0</v>
      </c>
      <c r="AJ56" s="295"/>
      <c r="AK56" s="295"/>
      <c r="AL56" s="77">
        <f t="shared" si="52"/>
        <v>0</v>
      </c>
      <c r="AM56" s="77">
        <f t="shared" si="53"/>
        <v>0</v>
      </c>
      <c r="AN56" s="78">
        <f t="shared" si="54"/>
        <v>0</v>
      </c>
    </row>
    <row r="57" spans="1:40" s="21" customFormat="1" x14ac:dyDescent="0.2">
      <c r="A57" s="342" t="s">
        <v>392</v>
      </c>
      <c r="B57" s="228"/>
      <c r="C57" s="252"/>
      <c r="D57" s="252"/>
      <c r="E57" s="252"/>
      <c r="F57" s="313"/>
      <c r="G57" s="463" t="s">
        <v>560</v>
      </c>
      <c r="H57" s="18"/>
      <c r="I57" s="77">
        <f t="shared" ref="I57:O57" si="56">SUM(I41,I56)</f>
        <v>0</v>
      </c>
      <c r="J57" s="77">
        <f t="shared" si="56"/>
        <v>0</v>
      </c>
      <c r="K57" s="77">
        <f t="shared" si="56"/>
        <v>0</v>
      </c>
      <c r="L57" s="77">
        <f t="shared" si="56"/>
        <v>0</v>
      </c>
      <c r="M57" s="77">
        <f t="shared" si="56"/>
        <v>0</v>
      </c>
      <c r="N57" s="77">
        <f t="shared" si="56"/>
        <v>0</v>
      </c>
      <c r="O57" s="77">
        <f t="shared" si="56"/>
        <v>0</v>
      </c>
      <c r="P57" s="78">
        <f t="shared" si="11"/>
        <v>0</v>
      </c>
      <c r="Q57" s="267">
        <f t="shared" ref="Q57:W57" si="57">SUM(Q41,Q56)</f>
        <v>0</v>
      </c>
      <c r="R57" s="267">
        <f t="shared" si="57"/>
        <v>0</v>
      </c>
      <c r="S57" s="267">
        <f t="shared" si="57"/>
        <v>0</v>
      </c>
      <c r="T57" s="267">
        <f t="shared" si="57"/>
        <v>0</v>
      </c>
      <c r="U57" s="267">
        <f t="shared" si="57"/>
        <v>0</v>
      </c>
      <c r="V57" s="267">
        <f t="shared" si="57"/>
        <v>0</v>
      </c>
      <c r="W57" s="267">
        <f t="shared" si="57"/>
        <v>0</v>
      </c>
      <c r="X57" s="273">
        <f t="shared" si="13"/>
        <v>0</v>
      </c>
      <c r="Y57" s="77">
        <f t="shared" ref="Y57:AE57" si="58">SUM(Y41,Y56)</f>
        <v>0</v>
      </c>
      <c r="Z57" s="77">
        <f t="shared" si="58"/>
        <v>0</v>
      </c>
      <c r="AA57" s="77">
        <f t="shared" si="58"/>
        <v>0</v>
      </c>
      <c r="AB57" s="77">
        <f t="shared" si="58"/>
        <v>0</v>
      </c>
      <c r="AC57" s="77">
        <f t="shared" si="58"/>
        <v>0</v>
      </c>
      <c r="AD57" s="77">
        <f t="shared" si="58"/>
        <v>0</v>
      </c>
      <c r="AE57" s="77">
        <f t="shared" si="58"/>
        <v>0</v>
      </c>
      <c r="AF57" s="78">
        <f t="shared" si="15"/>
        <v>0</v>
      </c>
      <c r="AG57" s="77">
        <f t="shared" ref="AG57:AN57" si="59">(I57+Q57)-Y57</f>
        <v>0</v>
      </c>
      <c r="AH57" s="77">
        <f t="shared" si="59"/>
        <v>0</v>
      </c>
      <c r="AI57" s="77">
        <f t="shared" si="59"/>
        <v>0</v>
      </c>
      <c r="AJ57" s="77">
        <f t="shared" si="59"/>
        <v>0</v>
      </c>
      <c r="AK57" s="77">
        <f t="shared" si="59"/>
        <v>0</v>
      </c>
      <c r="AL57" s="77">
        <f t="shared" si="59"/>
        <v>0</v>
      </c>
      <c r="AM57" s="77">
        <f t="shared" si="59"/>
        <v>0</v>
      </c>
      <c r="AN57" s="78">
        <f t="shared" si="59"/>
        <v>0</v>
      </c>
    </row>
    <row r="58" spans="1:40" s="21" customFormat="1" x14ac:dyDescent="0.2">
      <c r="A58" s="338" t="s">
        <v>215</v>
      </c>
      <c r="B58" s="333"/>
      <c r="C58" s="333"/>
      <c r="D58" s="333"/>
      <c r="E58" s="333"/>
      <c r="F58" s="334"/>
      <c r="G58" s="464" t="s">
        <v>261</v>
      </c>
      <c r="H58" s="18"/>
      <c r="I58" s="35"/>
      <c r="J58" s="35"/>
      <c r="K58" s="35"/>
      <c r="L58" s="35"/>
      <c r="M58" s="35"/>
      <c r="N58" s="35"/>
      <c r="O58" s="35"/>
      <c r="P58" s="29"/>
      <c r="Q58" s="265"/>
      <c r="R58" s="265"/>
      <c r="S58" s="265"/>
      <c r="T58" s="265"/>
      <c r="U58" s="265"/>
      <c r="V58" s="265"/>
      <c r="W58" s="265"/>
      <c r="X58" s="260"/>
      <c r="Y58" s="35"/>
      <c r="Z58" s="35"/>
      <c r="AA58" s="35"/>
      <c r="AB58" s="35"/>
      <c r="AC58" s="35"/>
      <c r="AD58" s="35"/>
      <c r="AE58" s="35"/>
      <c r="AF58" s="78"/>
      <c r="AG58" s="77"/>
      <c r="AH58" s="77"/>
      <c r="AI58" s="77"/>
      <c r="AJ58" s="77"/>
      <c r="AK58" s="77"/>
      <c r="AL58" s="77"/>
      <c r="AM58" s="77"/>
      <c r="AN58" s="78"/>
    </row>
    <row r="59" spans="1:40" s="21" customFormat="1" x14ac:dyDescent="0.2">
      <c r="A59" s="251" t="s">
        <v>9</v>
      </c>
      <c r="B59" s="252" t="s">
        <v>216</v>
      </c>
      <c r="C59" s="252"/>
      <c r="D59" s="252"/>
      <c r="E59" s="252"/>
      <c r="F59" s="313"/>
      <c r="G59" s="463" t="s">
        <v>605</v>
      </c>
      <c r="H59" s="18"/>
      <c r="I59" s="77">
        <f>SUM(I60,I61,I62,I63)</f>
        <v>0</v>
      </c>
      <c r="J59" s="77">
        <f>SUM(J60,J61,J62,J63)</f>
        <v>0</v>
      </c>
      <c r="K59" s="77">
        <f>SUM(K60,K61,K62,K63)</f>
        <v>0</v>
      </c>
      <c r="L59" s="295"/>
      <c r="M59" s="295"/>
      <c r="N59" s="481">
        <f>SUM(N60,N61,N62,N63)</f>
        <v>0</v>
      </c>
      <c r="O59" s="481">
        <f>SUM(O60,O61,O62,O63)</f>
        <v>0</v>
      </c>
      <c r="P59" s="77">
        <f>SUM(I59,K59,M59,O59)</f>
        <v>0</v>
      </c>
      <c r="Q59" s="77">
        <f>SUM(Q60,Q61,Q62,Q63)</f>
        <v>0</v>
      </c>
      <c r="R59" s="77">
        <f>SUM(R60,R61,R62,R63)</f>
        <v>0</v>
      </c>
      <c r="S59" s="77">
        <f>SUM(S60,S61,S62,S63)</f>
        <v>0</v>
      </c>
      <c r="T59" s="295"/>
      <c r="U59" s="295"/>
      <c r="V59" s="481">
        <f>SUM(V60,V61,V62,V63)</f>
        <v>0</v>
      </c>
      <c r="W59" s="481">
        <f>SUM(W60,W61,W62,W63)</f>
        <v>0</v>
      </c>
      <c r="X59" s="77">
        <f>SUM(Q59,S59,U59,W59)</f>
        <v>0</v>
      </c>
      <c r="Y59" s="77">
        <f>SUM(Y60,Y61,Y62,Y63)</f>
        <v>0</v>
      </c>
      <c r="Z59" s="77">
        <f>SUM(Z60,Z61,Z62,Z63)</f>
        <v>0</v>
      </c>
      <c r="AA59" s="77">
        <f>SUM(AA60,AA61,AA62,AA63)</f>
        <v>0</v>
      </c>
      <c r="AB59" s="295"/>
      <c r="AC59" s="295"/>
      <c r="AD59" s="481">
        <f>SUM(AD60,AD61,AD62,AD63)</f>
        <v>0</v>
      </c>
      <c r="AE59" s="481">
        <f>SUM(AE60,AE61,AE62,AE63)</f>
        <v>0</v>
      </c>
      <c r="AF59" s="77">
        <f>SUM(Y59,AA59,AC59,AE59)</f>
        <v>0</v>
      </c>
      <c r="AG59" s="77">
        <f>(I59+Q59)-Y59</f>
        <v>0</v>
      </c>
      <c r="AH59" s="77">
        <f>(J59+R59)-Z59</f>
        <v>0</v>
      </c>
      <c r="AI59" s="77">
        <f>(K59+S59)-AA59</f>
        <v>0</v>
      </c>
      <c r="AJ59" s="295"/>
      <c r="AK59" s="295"/>
      <c r="AL59" s="77">
        <f>(N59+V59)-AD59</f>
        <v>0</v>
      </c>
      <c r="AM59" s="77">
        <f>(O59+W59)-AE59</f>
        <v>0</v>
      </c>
      <c r="AN59" s="77">
        <f>(P59+X59)-AF59</f>
        <v>0</v>
      </c>
    </row>
    <row r="60" spans="1:40" s="21" customFormat="1" x14ac:dyDescent="0.2">
      <c r="A60" s="332"/>
      <c r="B60" s="333" t="s">
        <v>217</v>
      </c>
      <c r="C60" s="333" t="s">
        <v>218</v>
      </c>
      <c r="D60" s="333"/>
      <c r="E60" s="333"/>
      <c r="F60" s="334"/>
      <c r="G60" s="463" t="s">
        <v>606</v>
      </c>
      <c r="H60" s="18"/>
      <c r="I60" s="62"/>
      <c r="J60" s="60"/>
      <c r="K60" s="60"/>
      <c r="L60" s="60"/>
      <c r="M60" s="60"/>
      <c r="N60" s="82"/>
      <c r="O60" s="82"/>
      <c r="P60" s="29">
        <f t="shared" si="11"/>
        <v>0</v>
      </c>
      <c r="Q60" s="266"/>
      <c r="R60" s="264"/>
      <c r="S60" s="264"/>
      <c r="T60" s="264"/>
      <c r="U60" s="264"/>
      <c r="V60" s="263"/>
      <c r="W60" s="263"/>
      <c r="X60" s="260">
        <f t="shared" si="13"/>
        <v>0</v>
      </c>
      <c r="Y60" s="62"/>
      <c r="Z60" s="60"/>
      <c r="AA60" s="60"/>
      <c r="AB60" s="60"/>
      <c r="AC60" s="60"/>
      <c r="AD60" s="82"/>
      <c r="AE60" s="82"/>
      <c r="AF60" s="78">
        <f t="shared" si="15"/>
        <v>0</v>
      </c>
      <c r="AG60" s="77">
        <f t="shared" ref="AG60:AG80" si="60">(I60+Q60)-Y60</f>
        <v>0</v>
      </c>
      <c r="AH60" s="295"/>
      <c r="AI60" s="295"/>
      <c r="AJ60" s="295"/>
      <c r="AK60" s="295"/>
      <c r="AL60" s="77">
        <f t="shared" ref="AL60:AL77" si="61">(N60+V60)-AD60</f>
        <v>0</v>
      </c>
      <c r="AM60" s="77">
        <f t="shared" ref="AM60:AM77" si="62">(O60+W60)-AE60</f>
        <v>0</v>
      </c>
      <c r="AN60" s="78">
        <f t="shared" ref="AN60:AN77" si="63">(P60+X60)-AF60</f>
        <v>0</v>
      </c>
    </row>
    <row r="61" spans="1:40" s="21" customFormat="1" x14ac:dyDescent="0.2">
      <c r="A61" s="251"/>
      <c r="B61" s="252" t="s">
        <v>219</v>
      </c>
      <c r="C61" s="252" t="s">
        <v>220</v>
      </c>
      <c r="D61" s="252"/>
      <c r="E61" s="252"/>
      <c r="F61" s="313"/>
      <c r="G61" s="463" t="s">
        <v>607</v>
      </c>
      <c r="H61" s="18"/>
      <c r="I61" s="62"/>
      <c r="J61" s="60"/>
      <c r="K61" s="60"/>
      <c r="L61" s="60"/>
      <c r="M61" s="60"/>
      <c r="N61" s="82"/>
      <c r="O61" s="82"/>
      <c r="P61" s="29">
        <f t="shared" si="11"/>
        <v>0</v>
      </c>
      <c r="Q61" s="266"/>
      <c r="R61" s="264"/>
      <c r="S61" s="264"/>
      <c r="T61" s="264"/>
      <c r="U61" s="264"/>
      <c r="V61" s="263"/>
      <c r="W61" s="263"/>
      <c r="X61" s="260">
        <f t="shared" si="13"/>
        <v>0</v>
      </c>
      <c r="Y61" s="62"/>
      <c r="Z61" s="60"/>
      <c r="AA61" s="60"/>
      <c r="AB61" s="60"/>
      <c r="AC61" s="60"/>
      <c r="AD61" s="82"/>
      <c r="AE61" s="82"/>
      <c r="AF61" s="78">
        <f t="shared" si="15"/>
        <v>0</v>
      </c>
      <c r="AG61" s="77">
        <f t="shared" si="60"/>
        <v>0</v>
      </c>
      <c r="AH61" s="295"/>
      <c r="AI61" s="295"/>
      <c r="AJ61" s="295"/>
      <c r="AK61" s="295"/>
      <c r="AL61" s="77">
        <f t="shared" si="61"/>
        <v>0</v>
      </c>
      <c r="AM61" s="77">
        <f t="shared" si="62"/>
        <v>0</v>
      </c>
      <c r="AN61" s="78">
        <f t="shared" si="63"/>
        <v>0</v>
      </c>
    </row>
    <row r="62" spans="1:40" s="21" customFormat="1" x14ac:dyDescent="0.2">
      <c r="A62" s="251"/>
      <c r="B62" s="252" t="s">
        <v>197</v>
      </c>
      <c r="C62" s="252" t="s">
        <v>941</v>
      </c>
      <c r="D62" s="252"/>
      <c r="E62" s="252"/>
      <c r="F62" s="313"/>
      <c r="G62" s="463" t="s">
        <v>608</v>
      </c>
      <c r="H62" s="18"/>
      <c r="I62" s="62"/>
      <c r="J62" s="60"/>
      <c r="K62" s="60"/>
      <c r="L62" s="60"/>
      <c r="M62" s="60"/>
      <c r="N62" s="82"/>
      <c r="O62" s="82"/>
      <c r="P62" s="29">
        <f t="shared" si="11"/>
        <v>0</v>
      </c>
      <c r="Q62" s="266"/>
      <c r="R62" s="264"/>
      <c r="S62" s="264"/>
      <c r="T62" s="264"/>
      <c r="U62" s="264"/>
      <c r="V62" s="263"/>
      <c r="W62" s="263"/>
      <c r="X62" s="260">
        <f t="shared" si="13"/>
        <v>0</v>
      </c>
      <c r="Y62" s="62"/>
      <c r="Z62" s="60"/>
      <c r="AA62" s="60"/>
      <c r="AB62" s="60"/>
      <c r="AC62" s="60"/>
      <c r="AD62" s="82"/>
      <c r="AE62" s="82"/>
      <c r="AF62" s="78">
        <f t="shared" si="15"/>
        <v>0</v>
      </c>
      <c r="AG62" s="77">
        <f t="shared" si="60"/>
        <v>0</v>
      </c>
      <c r="AH62" s="295"/>
      <c r="AI62" s="295"/>
      <c r="AJ62" s="295"/>
      <c r="AK62" s="295"/>
      <c r="AL62" s="77">
        <f t="shared" si="61"/>
        <v>0</v>
      </c>
      <c r="AM62" s="77">
        <f t="shared" si="62"/>
        <v>0</v>
      </c>
      <c r="AN62" s="78">
        <f t="shared" si="63"/>
        <v>0</v>
      </c>
    </row>
    <row r="63" spans="1:40" s="21" customFormat="1" ht="27" customHeight="1" x14ac:dyDescent="0.2">
      <c r="A63" s="251"/>
      <c r="B63" s="124" t="s">
        <v>201</v>
      </c>
      <c r="C63" s="501" t="s">
        <v>969</v>
      </c>
      <c r="D63" s="501"/>
      <c r="E63" s="501"/>
      <c r="F63" s="511"/>
      <c r="G63" s="465" t="s">
        <v>972</v>
      </c>
      <c r="H63" s="18"/>
      <c r="I63" s="62"/>
      <c r="J63" s="62"/>
      <c r="K63" s="62"/>
      <c r="L63" s="60"/>
      <c r="M63" s="60"/>
      <c r="N63" s="94"/>
      <c r="O63" s="94"/>
      <c r="P63" s="372">
        <f t="shared" si="11"/>
        <v>0</v>
      </c>
      <c r="Q63" s="62"/>
      <c r="R63" s="62"/>
      <c r="S63" s="62"/>
      <c r="T63" s="60"/>
      <c r="U63" s="60"/>
      <c r="V63" s="275"/>
      <c r="W63" s="275"/>
      <c r="X63" s="483">
        <f t="shared" si="13"/>
        <v>0</v>
      </c>
      <c r="Y63" s="62"/>
      <c r="Z63" s="62"/>
      <c r="AA63" s="62"/>
      <c r="AB63" s="60"/>
      <c r="AC63" s="60"/>
      <c r="AD63" s="94"/>
      <c r="AE63" s="94"/>
      <c r="AF63" s="372">
        <f t="shared" si="15"/>
        <v>0</v>
      </c>
      <c r="AG63" s="95">
        <f t="shared" si="60"/>
        <v>0</v>
      </c>
      <c r="AH63" s="372">
        <f>(J63+R63)-Z63</f>
        <v>0</v>
      </c>
      <c r="AI63" s="372">
        <f>(K63+S63)-AA63</f>
        <v>0</v>
      </c>
      <c r="AJ63" s="60"/>
      <c r="AK63" s="60"/>
      <c r="AL63" s="95">
        <f t="shared" si="61"/>
        <v>0</v>
      </c>
      <c r="AM63" s="95">
        <f t="shared" si="62"/>
        <v>0</v>
      </c>
      <c r="AN63" s="372">
        <f t="shared" si="63"/>
        <v>0</v>
      </c>
    </row>
    <row r="64" spans="1:40" s="21" customFormat="1" ht="12.75" customHeight="1" x14ac:dyDescent="0.2">
      <c r="A64" s="346" t="s">
        <v>33</v>
      </c>
      <c r="B64" s="571" t="s">
        <v>221</v>
      </c>
      <c r="C64" s="571"/>
      <c r="D64" s="571"/>
      <c r="E64" s="571"/>
      <c r="F64" s="572"/>
      <c r="G64" s="463" t="s">
        <v>609</v>
      </c>
      <c r="H64" s="18"/>
      <c r="I64" s="62"/>
      <c r="J64" s="60"/>
      <c r="K64" s="60"/>
      <c r="L64" s="60"/>
      <c r="M64" s="60"/>
      <c r="N64" s="82"/>
      <c r="O64" s="82"/>
      <c r="P64" s="29">
        <f t="shared" si="11"/>
        <v>0</v>
      </c>
      <c r="Q64" s="266"/>
      <c r="R64" s="264"/>
      <c r="S64" s="264"/>
      <c r="T64" s="264"/>
      <c r="U64" s="264"/>
      <c r="V64" s="263"/>
      <c r="W64" s="263"/>
      <c r="X64" s="260">
        <f t="shared" si="13"/>
        <v>0</v>
      </c>
      <c r="Y64" s="62"/>
      <c r="Z64" s="60"/>
      <c r="AA64" s="60"/>
      <c r="AB64" s="60"/>
      <c r="AC64" s="60"/>
      <c r="AD64" s="82"/>
      <c r="AE64" s="82"/>
      <c r="AF64" s="78">
        <f t="shared" si="15"/>
        <v>0</v>
      </c>
      <c r="AG64" s="77">
        <f t="shared" si="60"/>
        <v>0</v>
      </c>
      <c r="AH64" s="295"/>
      <c r="AI64" s="295"/>
      <c r="AJ64" s="295"/>
      <c r="AK64" s="295"/>
      <c r="AL64" s="77">
        <f t="shared" si="61"/>
        <v>0</v>
      </c>
      <c r="AM64" s="77">
        <f t="shared" si="62"/>
        <v>0</v>
      </c>
      <c r="AN64" s="78">
        <f t="shared" si="63"/>
        <v>0</v>
      </c>
    </row>
    <row r="65" spans="1:40" s="21" customFormat="1" ht="23.25" customHeight="1" x14ac:dyDescent="0.2">
      <c r="A65" s="347" t="s">
        <v>48</v>
      </c>
      <c r="B65" s="573" t="s">
        <v>222</v>
      </c>
      <c r="C65" s="573"/>
      <c r="D65" s="573"/>
      <c r="E65" s="573"/>
      <c r="F65" s="574"/>
      <c r="G65" s="465" t="s">
        <v>610</v>
      </c>
      <c r="H65" s="18"/>
      <c r="I65" s="92"/>
      <c r="J65" s="92"/>
      <c r="K65" s="92"/>
      <c r="L65" s="92"/>
      <c r="M65" s="92"/>
      <c r="N65" s="92"/>
      <c r="O65" s="92"/>
      <c r="P65" s="93">
        <f t="shared" si="11"/>
        <v>0</v>
      </c>
      <c r="Q65" s="268"/>
      <c r="R65" s="268"/>
      <c r="S65" s="268"/>
      <c r="T65" s="268"/>
      <c r="U65" s="268"/>
      <c r="V65" s="268"/>
      <c r="W65" s="268"/>
      <c r="X65" s="269">
        <f t="shared" si="13"/>
        <v>0</v>
      </c>
      <c r="Y65" s="92"/>
      <c r="Z65" s="92"/>
      <c r="AA65" s="92"/>
      <c r="AB65" s="92"/>
      <c r="AC65" s="92"/>
      <c r="AD65" s="94"/>
      <c r="AE65" s="94"/>
      <c r="AF65" s="372">
        <f t="shared" si="15"/>
        <v>0</v>
      </c>
      <c r="AG65" s="95">
        <f t="shared" si="60"/>
        <v>0</v>
      </c>
      <c r="AH65" s="95">
        <f>(J65+R65)-Z65</f>
        <v>0</v>
      </c>
      <c r="AI65" s="95">
        <f>(K65+S65)-AA65</f>
        <v>0</v>
      </c>
      <c r="AJ65" s="95">
        <f>(L65+T65)-AB65</f>
        <v>0</v>
      </c>
      <c r="AK65" s="95">
        <f>(M65+U65)-AC65</f>
        <v>0</v>
      </c>
      <c r="AL65" s="95">
        <f t="shared" si="61"/>
        <v>0</v>
      </c>
      <c r="AM65" s="95">
        <f t="shared" si="62"/>
        <v>0</v>
      </c>
      <c r="AN65" s="372">
        <f t="shared" si="63"/>
        <v>0</v>
      </c>
    </row>
    <row r="66" spans="1:40" s="21" customFormat="1" x14ac:dyDescent="0.2">
      <c r="A66" s="346" t="s">
        <v>55</v>
      </c>
      <c r="B66" s="571" t="s">
        <v>223</v>
      </c>
      <c r="C66" s="571"/>
      <c r="D66" s="327"/>
      <c r="E66" s="327"/>
      <c r="F66" s="324"/>
      <c r="G66" s="463" t="s">
        <v>611</v>
      </c>
      <c r="H66" s="18"/>
      <c r="I66" s="62"/>
      <c r="J66" s="60"/>
      <c r="K66" s="60"/>
      <c r="L66" s="60"/>
      <c r="M66" s="60"/>
      <c r="N66" s="74"/>
      <c r="O66" s="74"/>
      <c r="P66" s="29">
        <f t="shared" si="11"/>
        <v>0</v>
      </c>
      <c r="Q66" s="266"/>
      <c r="R66" s="264"/>
      <c r="S66" s="264"/>
      <c r="T66" s="264"/>
      <c r="U66" s="264"/>
      <c r="V66" s="263"/>
      <c r="W66" s="263"/>
      <c r="X66" s="260">
        <f t="shared" si="13"/>
        <v>0</v>
      </c>
      <c r="Y66" s="62"/>
      <c r="Z66" s="60"/>
      <c r="AA66" s="60"/>
      <c r="AB66" s="60"/>
      <c r="AC66" s="60"/>
      <c r="AD66" s="82"/>
      <c r="AE66" s="82"/>
      <c r="AF66" s="78">
        <f t="shared" si="15"/>
        <v>0</v>
      </c>
      <c r="AG66" s="77">
        <f t="shared" si="60"/>
        <v>0</v>
      </c>
      <c r="AH66" s="295"/>
      <c r="AI66" s="295"/>
      <c r="AJ66" s="295"/>
      <c r="AK66" s="295"/>
      <c r="AL66" s="77">
        <f t="shared" si="61"/>
        <v>0</v>
      </c>
      <c r="AM66" s="77">
        <f t="shared" si="62"/>
        <v>0</v>
      </c>
      <c r="AN66" s="78">
        <f t="shared" si="63"/>
        <v>0</v>
      </c>
    </row>
    <row r="67" spans="1:40" s="21" customFormat="1" x14ac:dyDescent="0.2">
      <c r="A67" s="347" t="s">
        <v>224</v>
      </c>
      <c r="B67" s="333" t="s">
        <v>225</v>
      </c>
      <c r="C67" s="333"/>
      <c r="D67" s="333"/>
      <c r="E67" s="333"/>
      <c r="F67" s="334"/>
      <c r="G67" s="463" t="s">
        <v>612</v>
      </c>
      <c r="H67" s="18"/>
      <c r="I67" s="77">
        <f t="shared" ref="I67:O67" si="64">SUM(I68,I69,I70)</f>
        <v>0</v>
      </c>
      <c r="J67" s="77">
        <f t="shared" si="64"/>
        <v>0</v>
      </c>
      <c r="K67" s="77">
        <f t="shared" si="64"/>
        <v>0</v>
      </c>
      <c r="L67" s="77">
        <f t="shared" si="64"/>
        <v>0</v>
      </c>
      <c r="M67" s="77">
        <f t="shared" si="64"/>
        <v>0</v>
      </c>
      <c r="N67" s="77">
        <f t="shared" si="64"/>
        <v>0</v>
      </c>
      <c r="O67" s="77">
        <f t="shared" si="64"/>
        <v>0</v>
      </c>
      <c r="P67" s="78">
        <f t="shared" si="11"/>
        <v>0</v>
      </c>
      <c r="Q67" s="267">
        <f t="shared" ref="Q67:W67" si="65">SUM(Q68,Q69,Q70)</f>
        <v>0</v>
      </c>
      <c r="R67" s="267">
        <f t="shared" si="65"/>
        <v>0</v>
      </c>
      <c r="S67" s="267">
        <f t="shared" si="65"/>
        <v>0</v>
      </c>
      <c r="T67" s="267">
        <f t="shared" si="65"/>
        <v>0</v>
      </c>
      <c r="U67" s="267">
        <f t="shared" si="65"/>
        <v>0</v>
      </c>
      <c r="V67" s="267">
        <f t="shared" si="65"/>
        <v>0</v>
      </c>
      <c r="W67" s="267">
        <f t="shared" si="65"/>
        <v>0</v>
      </c>
      <c r="X67" s="273">
        <f t="shared" si="13"/>
        <v>0</v>
      </c>
      <c r="Y67" s="77">
        <f t="shared" ref="Y67:AE67" si="66">SUM(Y68,Y69,Y70)</f>
        <v>0</v>
      </c>
      <c r="Z67" s="77">
        <f t="shared" si="66"/>
        <v>0</v>
      </c>
      <c r="AA67" s="77">
        <f t="shared" si="66"/>
        <v>0</v>
      </c>
      <c r="AB67" s="77">
        <f t="shared" si="66"/>
        <v>0</v>
      </c>
      <c r="AC67" s="77">
        <f t="shared" si="66"/>
        <v>0</v>
      </c>
      <c r="AD67" s="77">
        <f t="shared" si="66"/>
        <v>0</v>
      </c>
      <c r="AE67" s="77">
        <f t="shared" si="66"/>
        <v>0</v>
      </c>
      <c r="AF67" s="78">
        <f t="shared" si="15"/>
        <v>0</v>
      </c>
      <c r="AG67" s="77">
        <f t="shared" si="60"/>
        <v>0</v>
      </c>
      <c r="AH67" s="77">
        <f t="shared" ref="AH67:AH76" si="67">(J67+R67)-Z67</f>
        <v>0</v>
      </c>
      <c r="AI67" s="77">
        <f t="shared" ref="AI67:AI76" si="68">(K67+S67)-AA67</f>
        <v>0</v>
      </c>
      <c r="AJ67" s="77">
        <f t="shared" ref="AJ67:AJ76" si="69">(L67+T67)-AB67</f>
        <v>0</v>
      </c>
      <c r="AK67" s="77">
        <f t="shared" ref="AK67:AK76" si="70">(M67+U67)-AC67</f>
        <v>0</v>
      </c>
      <c r="AL67" s="77">
        <f t="shared" si="61"/>
        <v>0</v>
      </c>
      <c r="AM67" s="77">
        <f t="shared" si="62"/>
        <v>0</v>
      </c>
      <c r="AN67" s="77">
        <f t="shared" si="63"/>
        <v>0</v>
      </c>
    </row>
    <row r="68" spans="1:40" s="21" customFormat="1" x14ac:dyDescent="0.2">
      <c r="A68" s="251"/>
      <c r="B68" s="252" t="s">
        <v>188</v>
      </c>
      <c r="C68" s="252" t="s">
        <v>613</v>
      </c>
      <c r="D68" s="252"/>
      <c r="E68" s="252"/>
      <c r="F68" s="313"/>
      <c r="G68" s="463" t="s">
        <v>614</v>
      </c>
      <c r="H68" s="18"/>
      <c r="I68" s="62"/>
      <c r="J68" s="62"/>
      <c r="K68" s="62"/>
      <c r="L68" s="62"/>
      <c r="M68" s="62"/>
      <c r="N68" s="62"/>
      <c r="O68" s="62"/>
      <c r="P68" s="29">
        <f t="shared" si="11"/>
        <v>0</v>
      </c>
      <c r="Q68" s="266"/>
      <c r="R68" s="266"/>
      <c r="S68" s="266"/>
      <c r="T68" s="266"/>
      <c r="U68" s="266"/>
      <c r="V68" s="266"/>
      <c r="W68" s="266"/>
      <c r="X68" s="260">
        <f t="shared" si="13"/>
        <v>0</v>
      </c>
      <c r="Y68" s="62"/>
      <c r="Z68" s="62"/>
      <c r="AA68" s="62"/>
      <c r="AB68" s="62"/>
      <c r="AC68" s="62"/>
      <c r="AD68" s="62"/>
      <c r="AE68" s="62"/>
      <c r="AF68" s="78">
        <f t="shared" si="15"/>
        <v>0</v>
      </c>
      <c r="AG68" s="77">
        <f t="shared" si="60"/>
        <v>0</v>
      </c>
      <c r="AH68" s="77">
        <f t="shared" si="67"/>
        <v>0</v>
      </c>
      <c r="AI68" s="77">
        <f t="shared" si="68"/>
        <v>0</v>
      </c>
      <c r="AJ68" s="77">
        <f t="shared" si="69"/>
        <v>0</v>
      </c>
      <c r="AK68" s="77">
        <f t="shared" si="70"/>
        <v>0</v>
      </c>
      <c r="AL68" s="77">
        <f t="shared" si="61"/>
        <v>0</v>
      </c>
      <c r="AM68" s="77">
        <f t="shared" si="62"/>
        <v>0</v>
      </c>
      <c r="AN68" s="77">
        <f t="shared" si="63"/>
        <v>0</v>
      </c>
    </row>
    <row r="69" spans="1:40" s="21" customFormat="1" x14ac:dyDescent="0.2">
      <c r="A69" s="332"/>
      <c r="B69" s="333" t="s">
        <v>195</v>
      </c>
      <c r="C69" s="333" t="s">
        <v>227</v>
      </c>
      <c r="D69" s="333"/>
      <c r="E69" s="333"/>
      <c r="F69" s="334"/>
      <c r="G69" s="463" t="s">
        <v>615</v>
      </c>
      <c r="H69" s="18"/>
      <c r="I69" s="62"/>
      <c r="J69" s="62"/>
      <c r="K69" s="62"/>
      <c r="L69" s="62"/>
      <c r="M69" s="62"/>
      <c r="N69" s="62"/>
      <c r="O69" s="62"/>
      <c r="P69" s="29">
        <f t="shared" si="11"/>
        <v>0</v>
      </c>
      <c r="Q69" s="266"/>
      <c r="R69" s="266"/>
      <c r="S69" s="266"/>
      <c r="T69" s="266"/>
      <c r="U69" s="266"/>
      <c r="V69" s="266"/>
      <c r="W69" s="266"/>
      <c r="X69" s="260">
        <f t="shared" si="13"/>
        <v>0</v>
      </c>
      <c r="Y69" s="62"/>
      <c r="Z69" s="62"/>
      <c r="AA69" s="62"/>
      <c r="AB69" s="62"/>
      <c r="AC69" s="62"/>
      <c r="AD69" s="62"/>
      <c r="AE69" s="62"/>
      <c r="AF69" s="78">
        <f t="shared" si="15"/>
        <v>0</v>
      </c>
      <c r="AG69" s="77">
        <f t="shared" si="60"/>
        <v>0</v>
      </c>
      <c r="AH69" s="77">
        <f t="shared" si="67"/>
        <v>0</v>
      </c>
      <c r="AI69" s="77">
        <f t="shared" si="68"/>
        <v>0</v>
      </c>
      <c r="AJ69" s="77">
        <f t="shared" si="69"/>
        <v>0</v>
      </c>
      <c r="AK69" s="77">
        <f t="shared" si="70"/>
        <v>0</v>
      </c>
      <c r="AL69" s="77">
        <f t="shared" si="61"/>
        <v>0</v>
      </c>
      <c r="AM69" s="77">
        <f t="shared" si="62"/>
        <v>0</v>
      </c>
      <c r="AN69" s="77">
        <f t="shared" si="63"/>
        <v>0</v>
      </c>
    </row>
    <row r="70" spans="1:40" s="21" customFormat="1" x14ac:dyDescent="0.2">
      <c r="A70" s="251"/>
      <c r="B70" s="252" t="s">
        <v>197</v>
      </c>
      <c r="C70" s="252" t="s">
        <v>228</v>
      </c>
      <c r="D70" s="252"/>
      <c r="E70" s="252"/>
      <c r="F70" s="313"/>
      <c r="G70" s="463" t="s">
        <v>616</v>
      </c>
      <c r="H70" s="18"/>
      <c r="I70" s="77">
        <f t="shared" ref="I70:O70" si="71">SUM(I71,I72)</f>
        <v>0</v>
      </c>
      <c r="J70" s="77">
        <f t="shared" si="71"/>
        <v>0</v>
      </c>
      <c r="K70" s="77">
        <f t="shared" si="71"/>
        <v>0</v>
      </c>
      <c r="L70" s="77">
        <f t="shared" si="71"/>
        <v>0</v>
      </c>
      <c r="M70" s="77">
        <f t="shared" si="71"/>
        <v>0</v>
      </c>
      <c r="N70" s="77">
        <f t="shared" si="71"/>
        <v>0</v>
      </c>
      <c r="O70" s="77">
        <f t="shared" si="71"/>
        <v>0</v>
      </c>
      <c r="P70" s="78">
        <f t="shared" si="11"/>
        <v>0</v>
      </c>
      <c r="Q70" s="267">
        <f t="shared" ref="Q70:W70" si="72">SUM(Q71,Q72)</f>
        <v>0</v>
      </c>
      <c r="R70" s="267">
        <f t="shared" si="72"/>
        <v>0</v>
      </c>
      <c r="S70" s="267">
        <f t="shared" si="72"/>
        <v>0</v>
      </c>
      <c r="T70" s="267">
        <f t="shared" si="72"/>
        <v>0</v>
      </c>
      <c r="U70" s="267">
        <f t="shared" si="72"/>
        <v>0</v>
      </c>
      <c r="V70" s="267">
        <f t="shared" si="72"/>
        <v>0</v>
      </c>
      <c r="W70" s="267">
        <f t="shared" si="72"/>
        <v>0</v>
      </c>
      <c r="X70" s="273">
        <f t="shared" si="13"/>
        <v>0</v>
      </c>
      <c r="Y70" s="77">
        <f t="shared" ref="Y70:AE70" si="73">SUM(Y71,Y72)</f>
        <v>0</v>
      </c>
      <c r="Z70" s="77">
        <f t="shared" si="73"/>
        <v>0</v>
      </c>
      <c r="AA70" s="77">
        <f t="shared" si="73"/>
        <v>0</v>
      </c>
      <c r="AB70" s="77">
        <f t="shared" si="73"/>
        <v>0</v>
      </c>
      <c r="AC70" s="77">
        <f t="shared" si="73"/>
        <v>0</v>
      </c>
      <c r="AD70" s="77">
        <f t="shared" si="73"/>
        <v>0</v>
      </c>
      <c r="AE70" s="77">
        <f t="shared" si="73"/>
        <v>0</v>
      </c>
      <c r="AF70" s="78">
        <f t="shared" si="15"/>
        <v>0</v>
      </c>
      <c r="AG70" s="77">
        <f t="shared" si="60"/>
        <v>0</v>
      </c>
      <c r="AH70" s="77">
        <f t="shared" si="67"/>
        <v>0</v>
      </c>
      <c r="AI70" s="77">
        <f t="shared" si="68"/>
        <v>0</v>
      </c>
      <c r="AJ70" s="77">
        <f t="shared" si="69"/>
        <v>0</v>
      </c>
      <c r="AK70" s="77">
        <f t="shared" si="70"/>
        <v>0</v>
      </c>
      <c r="AL70" s="77">
        <f t="shared" si="61"/>
        <v>0</v>
      </c>
      <c r="AM70" s="77">
        <f t="shared" si="62"/>
        <v>0</v>
      </c>
      <c r="AN70" s="77">
        <f t="shared" si="63"/>
        <v>0</v>
      </c>
    </row>
    <row r="71" spans="1:40" s="21" customFormat="1" x14ac:dyDescent="0.2">
      <c r="A71" s="332"/>
      <c r="B71" s="333"/>
      <c r="C71" s="348" t="s">
        <v>19</v>
      </c>
      <c r="D71" s="333" t="s">
        <v>229</v>
      </c>
      <c r="E71" s="333"/>
      <c r="F71" s="334"/>
      <c r="G71" s="463" t="s">
        <v>617</v>
      </c>
      <c r="H71" s="18"/>
      <c r="I71" s="62"/>
      <c r="J71" s="62"/>
      <c r="K71" s="62"/>
      <c r="L71" s="62"/>
      <c r="M71" s="62"/>
      <c r="N71" s="62"/>
      <c r="O71" s="62"/>
      <c r="P71" s="29">
        <f t="shared" si="11"/>
        <v>0</v>
      </c>
      <c r="Q71" s="266"/>
      <c r="R71" s="266"/>
      <c r="S71" s="266"/>
      <c r="T71" s="266"/>
      <c r="U71" s="266"/>
      <c r="V71" s="266"/>
      <c r="W71" s="266"/>
      <c r="X71" s="260">
        <f t="shared" si="13"/>
        <v>0</v>
      </c>
      <c r="Y71" s="62"/>
      <c r="Z71" s="62"/>
      <c r="AA71" s="62"/>
      <c r="AB71" s="62"/>
      <c r="AC71" s="62"/>
      <c r="AD71" s="62"/>
      <c r="AE71" s="62"/>
      <c r="AF71" s="78">
        <f t="shared" si="15"/>
        <v>0</v>
      </c>
      <c r="AG71" s="77">
        <f t="shared" si="60"/>
        <v>0</v>
      </c>
      <c r="AH71" s="77">
        <f t="shared" si="67"/>
        <v>0</v>
      </c>
      <c r="AI71" s="77">
        <f t="shared" si="68"/>
        <v>0</v>
      </c>
      <c r="AJ71" s="77">
        <f t="shared" si="69"/>
        <v>0</v>
      </c>
      <c r="AK71" s="77">
        <f t="shared" si="70"/>
        <v>0</v>
      </c>
      <c r="AL71" s="77">
        <f t="shared" si="61"/>
        <v>0</v>
      </c>
      <c r="AM71" s="77">
        <f t="shared" si="62"/>
        <v>0</v>
      </c>
      <c r="AN71" s="77">
        <f t="shared" si="63"/>
        <v>0</v>
      </c>
    </row>
    <row r="72" spans="1:40" s="21" customFormat="1" x14ac:dyDescent="0.2">
      <c r="A72" s="251"/>
      <c r="B72" s="252"/>
      <c r="C72" s="349" t="s">
        <v>21</v>
      </c>
      <c r="D72" s="252" t="s">
        <v>228</v>
      </c>
      <c r="E72" s="252"/>
      <c r="F72" s="313"/>
      <c r="G72" s="463" t="s">
        <v>618</v>
      </c>
      <c r="H72" s="18"/>
      <c r="I72" s="62"/>
      <c r="J72" s="62"/>
      <c r="K72" s="62"/>
      <c r="L72" s="62"/>
      <c r="M72" s="62"/>
      <c r="N72" s="62"/>
      <c r="O72" s="62"/>
      <c r="P72" s="29">
        <f t="shared" si="11"/>
        <v>0</v>
      </c>
      <c r="Q72" s="266"/>
      <c r="R72" s="266"/>
      <c r="S72" s="266"/>
      <c r="T72" s="266"/>
      <c r="U72" s="266"/>
      <c r="V72" s="266"/>
      <c r="W72" s="266"/>
      <c r="X72" s="260">
        <f t="shared" si="13"/>
        <v>0</v>
      </c>
      <c r="Y72" s="62"/>
      <c r="Z72" s="62"/>
      <c r="AA72" s="62"/>
      <c r="AB72" s="62"/>
      <c r="AC72" s="62"/>
      <c r="AD72" s="62"/>
      <c r="AE72" s="62"/>
      <c r="AF72" s="78">
        <f t="shared" si="15"/>
        <v>0</v>
      </c>
      <c r="AG72" s="77">
        <f t="shared" si="60"/>
        <v>0</v>
      </c>
      <c r="AH72" s="77">
        <f t="shared" si="67"/>
        <v>0</v>
      </c>
      <c r="AI72" s="77">
        <f t="shared" si="68"/>
        <v>0</v>
      </c>
      <c r="AJ72" s="77">
        <f t="shared" si="69"/>
        <v>0</v>
      </c>
      <c r="AK72" s="77">
        <f t="shared" si="70"/>
        <v>0</v>
      </c>
      <c r="AL72" s="77">
        <f t="shared" si="61"/>
        <v>0</v>
      </c>
      <c r="AM72" s="77">
        <f t="shared" si="62"/>
        <v>0</v>
      </c>
      <c r="AN72" s="77">
        <f t="shared" si="63"/>
        <v>0</v>
      </c>
    </row>
    <row r="73" spans="1:40" s="21" customFormat="1" x14ac:dyDescent="0.2">
      <c r="A73" s="347" t="s">
        <v>230</v>
      </c>
      <c r="B73" s="333" t="s">
        <v>231</v>
      </c>
      <c r="C73" s="333"/>
      <c r="D73" s="333"/>
      <c r="E73" s="333"/>
      <c r="F73" s="334"/>
      <c r="G73" s="463" t="s">
        <v>619</v>
      </c>
      <c r="H73" s="18"/>
      <c r="I73" s="77">
        <f t="shared" ref="I73:O73" si="74">SUM(I74,I75)</f>
        <v>0</v>
      </c>
      <c r="J73" s="77">
        <f t="shared" si="74"/>
        <v>0</v>
      </c>
      <c r="K73" s="77">
        <f t="shared" si="74"/>
        <v>0</v>
      </c>
      <c r="L73" s="77">
        <f t="shared" si="74"/>
        <v>0</v>
      </c>
      <c r="M73" s="77">
        <f t="shared" si="74"/>
        <v>0</v>
      </c>
      <c r="N73" s="77">
        <f t="shared" si="74"/>
        <v>0</v>
      </c>
      <c r="O73" s="77">
        <f t="shared" si="74"/>
        <v>0</v>
      </c>
      <c r="P73" s="78">
        <f t="shared" si="11"/>
        <v>0</v>
      </c>
      <c r="Q73" s="267">
        <f t="shared" ref="Q73:W73" si="75">SUM(Q74,Q75)</f>
        <v>0</v>
      </c>
      <c r="R73" s="267">
        <f t="shared" si="75"/>
        <v>0</v>
      </c>
      <c r="S73" s="267">
        <f t="shared" si="75"/>
        <v>0</v>
      </c>
      <c r="T73" s="267">
        <f t="shared" si="75"/>
        <v>0</v>
      </c>
      <c r="U73" s="267">
        <f t="shared" si="75"/>
        <v>0</v>
      </c>
      <c r="V73" s="267">
        <f t="shared" si="75"/>
        <v>0</v>
      </c>
      <c r="W73" s="267">
        <f t="shared" si="75"/>
        <v>0</v>
      </c>
      <c r="X73" s="273">
        <f t="shared" si="13"/>
        <v>0</v>
      </c>
      <c r="Y73" s="77">
        <f t="shared" ref="Y73:AE73" si="76">SUM(Y74,Y75)</f>
        <v>0</v>
      </c>
      <c r="Z73" s="77">
        <f t="shared" si="76"/>
        <v>0</v>
      </c>
      <c r="AA73" s="77">
        <f t="shared" si="76"/>
        <v>0</v>
      </c>
      <c r="AB73" s="77">
        <f t="shared" si="76"/>
        <v>0</v>
      </c>
      <c r="AC73" s="77">
        <f t="shared" si="76"/>
        <v>0</v>
      </c>
      <c r="AD73" s="77">
        <f t="shared" si="76"/>
        <v>0</v>
      </c>
      <c r="AE73" s="77">
        <f t="shared" si="76"/>
        <v>0</v>
      </c>
      <c r="AF73" s="78">
        <f t="shared" si="15"/>
        <v>0</v>
      </c>
      <c r="AG73" s="77">
        <f t="shared" si="60"/>
        <v>0</v>
      </c>
      <c r="AH73" s="77">
        <f t="shared" si="67"/>
        <v>0</v>
      </c>
      <c r="AI73" s="77">
        <f t="shared" si="68"/>
        <v>0</v>
      </c>
      <c r="AJ73" s="77">
        <f t="shared" si="69"/>
        <v>0</v>
      </c>
      <c r="AK73" s="77">
        <f t="shared" si="70"/>
        <v>0</v>
      </c>
      <c r="AL73" s="77">
        <f t="shared" si="61"/>
        <v>0</v>
      </c>
      <c r="AM73" s="77">
        <f t="shared" si="62"/>
        <v>0</v>
      </c>
      <c r="AN73" s="77">
        <f t="shared" si="63"/>
        <v>0</v>
      </c>
    </row>
    <row r="74" spans="1:40" s="21" customFormat="1" x14ac:dyDescent="0.2">
      <c r="A74" s="251"/>
      <c r="B74" s="252" t="s">
        <v>188</v>
      </c>
      <c r="C74" s="252" t="s">
        <v>232</v>
      </c>
      <c r="D74" s="252"/>
      <c r="E74" s="252"/>
      <c r="F74" s="313"/>
      <c r="G74" s="463" t="s">
        <v>620</v>
      </c>
      <c r="H74" s="18"/>
      <c r="I74" s="62"/>
      <c r="J74" s="62"/>
      <c r="K74" s="62"/>
      <c r="L74" s="62"/>
      <c r="M74" s="62"/>
      <c r="N74" s="62"/>
      <c r="O74" s="62"/>
      <c r="P74" s="29">
        <f t="shared" si="11"/>
        <v>0</v>
      </c>
      <c r="Q74" s="266"/>
      <c r="R74" s="266"/>
      <c r="S74" s="266"/>
      <c r="T74" s="266"/>
      <c r="U74" s="266"/>
      <c r="V74" s="266"/>
      <c r="W74" s="266"/>
      <c r="X74" s="260">
        <f t="shared" si="13"/>
        <v>0</v>
      </c>
      <c r="Y74" s="62"/>
      <c r="Z74" s="62"/>
      <c r="AA74" s="62"/>
      <c r="AB74" s="62"/>
      <c r="AC74" s="62"/>
      <c r="AD74" s="62"/>
      <c r="AE74" s="62"/>
      <c r="AF74" s="78">
        <f t="shared" si="15"/>
        <v>0</v>
      </c>
      <c r="AG74" s="77">
        <f t="shared" si="60"/>
        <v>0</v>
      </c>
      <c r="AH74" s="77">
        <f t="shared" si="67"/>
        <v>0</v>
      </c>
      <c r="AI74" s="77">
        <f t="shared" si="68"/>
        <v>0</v>
      </c>
      <c r="AJ74" s="77">
        <f t="shared" si="69"/>
        <v>0</v>
      </c>
      <c r="AK74" s="77">
        <f t="shared" si="70"/>
        <v>0</v>
      </c>
      <c r="AL74" s="77">
        <f t="shared" si="61"/>
        <v>0</v>
      </c>
      <c r="AM74" s="77">
        <f t="shared" si="62"/>
        <v>0</v>
      </c>
      <c r="AN74" s="77">
        <f t="shared" si="63"/>
        <v>0</v>
      </c>
    </row>
    <row r="75" spans="1:40" s="21" customFormat="1" x14ac:dyDescent="0.2">
      <c r="A75" s="332"/>
      <c r="B75" s="333" t="s">
        <v>195</v>
      </c>
      <c r="C75" s="333" t="s">
        <v>233</v>
      </c>
      <c r="D75" s="333"/>
      <c r="E75" s="333"/>
      <c r="F75" s="334"/>
      <c r="G75" s="463" t="s">
        <v>621</v>
      </c>
      <c r="H75" s="18"/>
      <c r="I75" s="62"/>
      <c r="J75" s="62"/>
      <c r="K75" s="62"/>
      <c r="L75" s="62"/>
      <c r="M75" s="62"/>
      <c r="N75" s="62"/>
      <c r="O75" s="62"/>
      <c r="P75" s="29">
        <f t="shared" si="11"/>
        <v>0</v>
      </c>
      <c r="Q75" s="266"/>
      <c r="R75" s="266"/>
      <c r="S75" s="266"/>
      <c r="T75" s="266"/>
      <c r="U75" s="266"/>
      <c r="V75" s="266"/>
      <c r="W75" s="266"/>
      <c r="X75" s="260">
        <f t="shared" si="13"/>
        <v>0</v>
      </c>
      <c r="Y75" s="62"/>
      <c r="Z75" s="62"/>
      <c r="AA75" s="62"/>
      <c r="AB75" s="62"/>
      <c r="AC75" s="62"/>
      <c r="AD75" s="62"/>
      <c r="AE75" s="62"/>
      <c r="AF75" s="78">
        <f t="shared" si="15"/>
        <v>0</v>
      </c>
      <c r="AG75" s="77">
        <f t="shared" si="60"/>
        <v>0</v>
      </c>
      <c r="AH75" s="77">
        <f t="shared" si="67"/>
        <v>0</v>
      </c>
      <c r="AI75" s="77">
        <f t="shared" si="68"/>
        <v>0</v>
      </c>
      <c r="AJ75" s="77">
        <f t="shared" si="69"/>
        <v>0</v>
      </c>
      <c r="AK75" s="77">
        <f t="shared" si="70"/>
        <v>0</v>
      </c>
      <c r="AL75" s="77">
        <f t="shared" si="61"/>
        <v>0</v>
      </c>
      <c r="AM75" s="77">
        <f t="shared" si="62"/>
        <v>0</v>
      </c>
      <c r="AN75" s="77">
        <f t="shared" si="63"/>
        <v>0</v>
      </c>
    </row>
    <row r="76" spans="1:40" s="21" customFormat="1" x14ac:dyDescent="0.2">
      <c r="A76" s="346" t="s">
        <v>234</v>
      </c>
      <c r="B76" s="252" t="s">
        <v>235</v>
      </c>
      <c r="C76" s="252"/>
      <c r="D76" s="252"/>
      <c r="E76" s="252"/>
      <c r="F76" s="313"/>
      <c r="G76" s="463" t="s">
        <v>622</v>
      </c>
      <c r="H76" s="18"/>
      <c r="I76" s="62"/>
      <c r="J76" s="62"/>
      <c r="K76" s="62"/>
      <c r="L76" s="62"/>
      <c r="M76" s="62"/>
      <c r="N76" s="62"/>
      <c r="O76" s="62"/>
      <c r="P76" s="29">
        <f t="shared" si="11"/>
        <v>0</v>
      </c>
      <c r="Q76" s="266"/>
      <c r="R76" s="266"/>
      <c r="S76" s="266"/>
      <c r="T76" s="266"/>
      <c r="U76" s="266"/>
      <c r="V76" s="266"/>
      <c r="W76" s="266"/>
      <c r="X76" s="260">
        <f t="shared" si="13"/>
        <v>0</v>
      </c>
      <c r="Y76" s="62"/>
      <c r="Z76" s="62"/>
      <c r="AA76" s="62"/>
      <c r="AB76" s="62"/>
      <c r="AC76" s="62"/>
      <c r="AD76" s="62"/>
      <c r="AE76" s="62"/>
      <c r="AF76" s="78">
        <f t="shared" si="15"/>
        <v>0</v>
      </c>
      <c r="AG76" s="77">
        <f t="shared" si="60"/>
        <v>0</v>
      </c>
      <c r="AH76" s="77">
        <f t="shared" si="67"/>
        <v>0</v>
      </c>
      <c r="AI76" s="77">
        <f t="shared" si="68"/>
        <v>0</v>
      </c>
      <c r="AJ76" s="77">
        <f t="shared" si="69"/>
        <v>0</v>
      </c>
      <c r="AK76" s="77">
        <f t="shared" si="70"/>
        <v>0</v>
      </c>
      <c r="AL76" s="77">
        <f t="shared" si="61"/>
        <v>0</v>
      </c>
      <c r="AM76" s="77">
        <f t="shared" si="62"/>
        <v>0</v>
      </c>
      <c r="AN76" s="77">
        <f t="shared" si="63"/>
        <v>0</v>
      </c>
    </row>
    <row r="77" spans="1:40" s="21" customFormat="1" x14ac:dyDescent="0.2">
      <c r="A77" s="347" t="s">
        <v>236</v>
      </c>
      <c r="B77" s="333" t="s">
        <v>581</v>
      </c>
      <c r="C77" s="333"/>
      <c r="D77" s="333"/>
      <c r="E77" s="333"/>
      <c r="F77" s="334"/>
      <c r="G77" s="463" t="s">
        <v>623</v>
      </c>
      <c r="H77" s="18"/>
      <c r="I77" s="62"/>
      <c r="J77" s="62"/>
      <c r="K77" s="62"/>
      <c r="L77" s="60"/>
      <c r="M77" s="60"/>
      <c r="N77" s="82"/>
      <c r="O77" s="82"/>
      <c r="P77" s="29">
        <f t="shared" si="11"/>
        <v>0</v>
      </c>
      <c r="Q77" s="266"/>
      <c r="R77" s="266"/>
      <c r="S77" s="266"/>
      <c r="T77" s="264"/>
      <c r="U77" s="264"/>
      <c r="V77" s="263"/>
      <c r="W77" s="263"/>
      <c r="X77" s="260">
        <f t="shared" si="13"/>
        <v>0</v>
      </c>
      <c r="Y77" s="62"/>
      <c r="Z77" s="62"/>
      <c r="AA77" s="62"/>
      <c r="AB77" s="60"/>
      <c r="AC77" s="60"/>
      <c r="AD77" s="82"/>
      <c r="AE77" s="82"/>
      <c r="AF77" s="78">
        <f t="shared" si="15"/>
        <v>0</v>
      </c>
      <c r="AG77" s="77">
        <f t="shared" si="60"/>
        <v>0</v>
      </c>
      <c r="AH77" s="77">
        <f t="shared" ref="AH77:AI80" si="77">(J77+R77)-Z77</f>
        <v>0</v>
      </c>
      <c r="AI77" s="77">
        <f t="shared" si="77"/>
        <v>0</v>
      </c>
      <c r="AJ77" s="295"/>
      <c r="AK77" s="295"/>
      <c r="AL77" s="77">
        <f t="shared" si="61"/>
        <v>0</v>
      </c>
      <c r="AM77" s="77">
        <f t="shared" si="62"/>
        <v>0</v>
      </c>
      <c r="AN77" s="78">
        <f t="shared" si="63"/>
        <v>0</v>
      </c>
    </row>
    <row r="78" spans="1:40" s="21" customFormat="1" x14ac:dyDescent="0.2">
      <c r="A78" s="346" t="s">
        <v>583</v>
      </c>
      <c r="B78" s="252" t="s">
        <v>188</v>
      </c>
      <c r="C78" s="311" t="s">
        <v>587</v>
      </c>
      <c r="D78" s="252"/>
      <c r="E78" s="252"/>
      <c r="F78" s="313"/>
      <c r="G78" s="463" t="s">
        <v>627</v>
      </c>
      <c r="H78" s="18"/>
      <c r="I78" s="61"/>
      <c r="J78" s="61"/>
      <c r="K78" s="61"/>
      <c r="L78" s="61"/>
      <c r="M78" s="61"/>
      <c r="N78" s="61"/>
      <c r="O78" s="61"/>
      <c r="P78" s="29">
        <f>SUM(I78,K78,M78,O78)</f>
        <v>0</v>
      </c>
      <c r="Q78" s="261"/>
      <c r="R78" s="261"/>
      <c r="S78" s="261"/>
      <c r="T78" s="261"/>
      <c r="U78" s="261"/>
      <c r="V78" s="261"/>
      <c r="W78" s="261"/>
      <c r="X78" s="260">
        <f>SUM(Q78,S78,U78,W78)</f>
        <v>0</v>
      </c>
      <c r="Y78" s="61"/>
      <c r="Z78" s="61"/>
      <c r="AA78" s="61"/>
      <c r="AB78" s="61"/>
      <c r="AC78" s="61"/>
      <c r="AD78" s="61"/>
      <c r="AE78" s="61"/>
      <c r="AF78" s="78">
        <f>SUM(Y78,AA78,AC78,AE78)</f>
        <v>0</v>
      </c>
      <c r="AG78" s="77">
        <f t="shared" si="60"/>
        <v>0</v>
      </c>
      <c r="AH78" s="77">
        <f t="shared" si="77"/>
        <v>0</v>
      </c>
      <c r="AI78" s="77">
        <f t="shared" si="77"/>
        <v>0</v>
      </c>
      <c r="AJ78" s="77">
        <f t="shared" ref="AJ78:AN80" si="78">(L78+T78)-AB78</f>
        <v>0</v>
      </c>
      <c r="AK78" s="77">
        <f t="shared" si="78"/>
        <v>0</v>
      </c>
      <c r="AL78" s="77">
        <f t="shared" si="78"/>
        <v>0</v>
      </c>
      <c r="AM78" s="77">
        <f t="shared" si="78"/>
        <v>0</v>
      </c>
      <c r="AN78" s="78">
        <f t="shared" si="78"/>
        <v>0</v>
      </c>
    </row>
    <row r="79" spans="1:40" s="21" customFormat="1" x14ac:dyDescent="0.2">
      <c r="A79" s="346"/>
      <c r="B79" s="252" t="s">
        <v>195</v>
      </c>
      <c r="C79" s="311" t="s">
        <v>628</v>
      </c>
      <c r="D79" s="252"/>
      <c r="E79" s="252"/>
      <c r="F79" s="313"/>
      <c r="G79" s="463" t="s">
        <v>629</v>
      </c>
      <c r="H79" s="18"/>
      <c r="I79" s="61"/>
      <c r="J79" s="61"/>
      <c r="K79" s="61"/>
      <c r="L79" s="61"/>
      <c r="M79" s="61"/>
      <c r="N79" s="61"/>
      <c r="O79" s="61"/>
      <c r="P79" s="29">
        <f>SUM(I79,K79,M79,O79)</f>
        <v>0</v>
      </c>
      <c r="Q79" s="261"/>
      <c r="R79" s="261"/>
      <c r="S79" s="261"/>
      <c r="T79" s="261"/>
      <c r="U79" s="261"/>
      <c r="V79" s="261"/>
      <c r="W79" s="261"/>
      <c r="X79" s="260">
        <f>SUM(Q79,S79,U79,W79)</f>
        <v>0</v>
      </c>
      <c r="Y79" s="61"/>
      <c r="Z79" s="61"/>
      <c r="AA79" s="61"/>
      <c r="AB79" s="61"/>
      <c r="AC79" s="61"/>
      <c r="AD79" s="61"/>
      <c r="AE79" s="61"/>
      <c r="AF79" s="78">
        <f>SUM(Y79,AA79,AC79,AE79)</f>
        <v>0</v>
      </c>
      <c r="AG79" s="77">
        <f t="shared" si="60"/>
        <v>0</v>
      </c>
      <c r="AH79" s="77">
        <f t="shared" si="77"/>
        <v>0</v>
      </c>
      <c r="AI79" s="77">
        <f t="shared" si="77"/>
        <v>0</v>
      </c>
      <c r="AJ79" s="77">
        <f t="shared" si="78"/>
        <v>0</v>
      </c>
      <c r="AK79" s="77">
        <f t="shared" si="78"/>
        <v>0</v>
      </c>
      <c r="AL79" s="77">
        <f t="shared" si="78"/>
        <v>0</v>
      </c>
      <c r="AM79" s="77">
        <f t="shared" si="78"/>
        <v>0</v>
      </c>
      <c r="AN79" s="78">
        <f t="shared" si="78"/>
        <v>0</v>
      </c>
    </row>
    <row r="80" spans="1:40" s="21" customFormat="1" x14ac:dyDescent="0.2">
      <c r="A80" s="347" t="s">
        <v>586</v>
      </c>
      <c r="B80" s="333" t="s">
        <v>584</v>
      </c>
      <c r="C80" s="335"/>
      <c r="D80" s="333"/>
      <c r="E80" s="333"/>
      <c r="F80" s="334"/>
      <c r="G80" s="463" t="s">
        <v>626</v>
      </c>
      <c r="H80" s="84"/>
      <c r="I80" s="61"/>
      <c r="J80" s="61"/>
      <c r="K80" s="61"/>
      <c r="L80" s="61"/>
      <c r="M80" s="61"/>
      <c r="N80" s="61"/>
      <c r="O80" s="61"/>
      <c r="P80" s="29">
        <f>SUM(I80,K80,M80,O80)</f>
        <v>0</v>
      </c>
      <c r="Q80" s="261"/>
      <c r="R80" s="261"/>
      <c r="S80" s="261"/>
      <c r="T80" s="261"/>
      <c r="U80" s="261"/>
      <c r="V80" s="261"/>
      <c r="W80" s="261"/>
      <c r="X80" s="260">
        <f>SUM(Q80,S80,U80,W80)</f>
        <v>0</v>
      </c>
      <c r="Y80" s="61"/>
      <c r="Z80" s="61"/>
      <c r="AA80" s="61"/>
      <c r="AB80" s="61"/>
      <c r="AC80" s="61"/>
      <c r="AD80" s="61"/>
      <c r="AE80" s="61"/>
      <c r="AF80" s="78">
        <f>SUM(Y80,AA80,AC80,AE80)</f>
        <v>0</v>
      </c>
      <c r="AG80" s="77">
        <f t="shared" si="60"/>
        <v>0</v>
      </c>
      <c r="AH80" s="77">
        <f t="shared" si="77"/>
        <v>0</v>
      </c>
      <c r="AI80" s="77">
        <f t="shared" si="77"/>
        <v>0</v>
      </c>
      <c r="AJ80" s="77">
        <f t="shared" si="78"/>
        <v>0</v>
      </c>
      <c r="AK80" s="77">
        <f t="shared" si="78"/>
        <v>0</v>
      </c>
      <c r="AL80" s="77">
        <f t="shared" si="78"/>
        <v>0</v>
      </c>
      <c r="AM80" s="77">
        <f t="shared" si="78"/>
        <v>0</v>
      </c>
      <c r="AN80" s="78">
        <f t="shared" si="78"/>
        <v>0</v>
      </c>
    </row>
    <row r="81" spans="1:40" s="21" customFormat="1" x14ac:dyDescent="0.2">
      <c r="A81" s="346" t="s">
        <v>591</v>
      </c>
      <c r="B81" s="252" t="s">
        <v>592</v>
      </c>
      <c r="C81" s="311"/>
      <c r="D81" s="252"/>
      <c r="E81" s="252"/>
      <c r="F81" s="313"/>
      <c r="G81" s="463" t="s">
        <v>631</v>
      </c>
      <c r="H81" s="18"/>
      <c r="I81" s="78">
        <f t="shared" ref="I81:O81" si="79">SUM(I82,I83,I84)</f>
        <v>0</v>
      </c>
      <c r="J81" s="78">
        <f t="shared" si="79"/>
        <v>0</v>
      </c>
      <c r="K81" s="78">
        <f t="shared" si="79"/>
        <v>0</v>
      </c>
      <c r="L81" s="78">
        <f t="shared" si="79"/>
        <v>0</v>
      </c>
      <c r="M81" s="78">
        <f t="shared" si="79"/>
        <v>0</v>
      </c>
      <c r="N81" s="78">
        <f t="shared" si="79"/>
        <v>0</v>
      </c>
      <c r="O81" s="78">
        <f t="shared" si="79"/>
        <v>0</v>
      </c>
      <c r="P81" s="78">
        <f t="shared" ref="P81:P88" si="80">SUM(I81,K81,M81,O81)</f>
        <v>0</v>
      </c>
      <c r="Q81" s="273">
        <f t="shared" ref="Q81:W81" si="81">SUM(Q82,Q83,Q84)</f>
        <v>0</v>
      </c>
      <c r="R81" s="273">
        <f t="shared" si="81"/>
        <v>0</v>
      </c>
      <c r="S81" s="273">
        <f t="shared" si="81"/>
        <v>0</v>
      </c>
      <c r="T81" s="273">
        <f t="shared" si="81"/>
        <v>0</v>
      </c>
      <c r="U81" s="273">
        <f t="shared" si="81"/>
        <v>0</v>
      </c>
      <c r="V81" s="273">
        <f t="shared" si="81"/>
        <v>0</v>
      </c>
      <c r="W81" s="273">
        <f t="shared" si="81"/>
        <v>0</v>
      </c>
      <c r="X81" s="273">
        <f t="shared" ref="X81:X88" si="82">SUM(Q81,S81,U81,W81)</f>
        <v>0</v>
      </c>
      <c r="Y81" s="78">
        <f t="shared" ref="Y81:AE81" si="83">SUM(Y82,Y83,Y84)</f>
        <v>0</v>
      </c>
      <c r="Z81" s="78">
        <f t="shared" si="83"/>
        <v>0</v>
      </c>
      <c r="AA81" s="78">
        <f t="shared" si="83"/>
        <v>0</v>
      </c>
      <c r="AB81" s="78">
        <f t="shared" si="83"/>
        <v>0</v>
      </c>
      <c r="AC81" s="78">
        <f t="shared" si="83"/>
        <v>0</v>
      </c>
      <c r="AD81" s="78">
        <f t="shared" si="83"/>
        <v>0</v>
      </c>
      <c r="AE81" s="78">
        <f t="shared" si="83"/>
        <v>0</v>
      </c>
      <c r="AF81" s="78">
        <f t="shared" ref="AF81:AF88" si="84">SUM(Y81,AA81,AC81,AE81)</f>
        <v>0</v>
      </c>
      <c r="AG81" s="77">
        <f t="shared" ref="AG81:AI87" si="85">(I81+Q81)-Y81</f>
        <v>0</v>
      </c>
      <c r="AH81" s="77">
        <f t="shared" si="85"/>
        <v>0</v>
      </c>
      <c r="AI81" s="77">
        <f t="shared" si="85"/>
        <v>0</v>
      </c>
      <c r="AJ81" s="77">
        <f t="shared" ref="AJ81:AK84" si="86">(L81+T81)-AB81</f>
        <v>0</v>
      </c>
      <c r="AK81" s="77">
        <f t="shared" si="86"/>
        <v>0</v>
      </c>
      <c r="AL81" s="77">
        <f t="shared" ref="AL81:AM87" si="87">(N81+V81)-AD81</f>
        <v>0</v>
      </c>
      <c r="AM81" s="77">
        <f t="shared" si="87"/>
        <v>0</v>
      </c>
      <c r="AN81" s="78">
        <f>(P81+X81)-AF81</f>
        <v>0</v>
      </c>
    </row>
    <row r="82" spans="1:40" s="21" customFormat="1" x14ac:dyDescent="0.2">
      <c r="A82" s="347"/>
      <c r="B82" s="333" t="s">
        <v>188</v>
      </c>
      <c r="C82" s="335" t="s">
        <v>594</v>
      </c>
      <c r="D82" s="333"/>
      <c r="E82" s="333"/>
      <c r="F82" s="334"/>
      <c r="G82" s="463" t="s">
        <v>632</v>
      </c>
      <c r="H82" s="18"/>
      <c r="I82" s="61"/>
      <c r="J82" s="61"/>
      <c r="K82" s="61"/>
      <c r="L82" s="61"/>
      <c r="M82" s="61"/>
      <c r="N82" s="61"/>
      <c r="O82" s="61"/>
      <c r="P82" s="78">
        <f t="shared" si="80"/>
        <v>0</v>
      </c>
      <c r="Q82" s="261"/>
      <c r="R82" s="261"/>
      <c r="S82" s="261"/>
      <c r="T82" s="261"/>
      <c r="U82" s="261"/>
      <c r="V82" s="261"/>
      <c r="W82" s="261"/>
      <c r="X82" s="260">
        <f t="shared" si="82"/>
        <v>0</v>
      </c>
      <c r="Y82" s="61"/>
      <c r="Z82" s="61"/>
      <c r="AA82" s="61"/>
      <c r="AB82" s="61"/>
      <c r="AC82" s="61"/>
      <c r="AD82" s="61"/>
      <c r="AE82" s="61"/>
      <c r="AF82" s="78">
        <f t="shared" si="84"/>
        <v>0</v>
      </c>
      <c r="AG82" s="77">
        <f t="shared" si="85"/>
        <v>0</v>
      </c>
      <c r="AH82" s="77">
        <f t="shared" si="85"/>
        <v>0</v>
      </c>
      <c r="AI82" s="77">
        <f t="shared" si="85"/>
        <v>0</v>
      </c>
      <c r="AJ82" s="77">
        <f t="shared" si="86"/>
        <v>0</v>
      </c>
      <c r="AK82" s="77">
        <f t="shared" si="86"/>
        <v>0</v>
      </c>
      <c r="AL82" s="77">
        <f t="shared" si="87"/>
        <v>0</v>
      </c>
      <c r="AM82" s="77">
        <f t="shared" si="87"/>
        <v>0</v>
      </c>
      <c r="AN82" s="78">
        <f>(P82+X82)-AF82</f>
        <v>0</v>
      </c>
    </row>
    <row r="83" spans="1:40" s="21" customFormat="1" x14ac:dyDescent="0.2">
      <c r="A83" s="346"/>
      <c r="B83" s="252" t="s">
        <v>195</v>
      </c>
      <c r="C83" s="252" t="s">
        <v>596</v>
      </c>
      <c r="D83" s="252"/>
      <c r="E83" s="252"/>
      <c r="F83" s="313"/>
      <c r="G83" s="463" t="s">
        <v>633</v>
      </c>
      <c r="H83" s="18"/>
      <c r="I83" s="61"/>
      <c r="J83" s="61"/>
      <c r="K83" s="61"/>
      <c r="L83" s="61"/>
      <c r="M83" s="61"/>
      <c r="N83" s="61"/>
      <c r="O83" s="61"/>
      <c r="P83" s="78">
        <f t="shared" si="80"/>
        <v>0</v>
      </c>
      <c r="Q83" s="261"/>
      <c r="R83" s="261"/>
      <c r="S83" s="261"/>
      <c r="T83" s="261"/>
      <c r="U83" s="261"/>
      <c r="V83" s="261"/>
      <c r="W83" s="261"/>
      <c r="X83" s="260">
        <f t="shared" si="82"/>
        <v>0</v>
      </c>
      <c r="Y83" s="61"/>
      <c r="Z83" s="61"/>
      <c r="AA83" s="61"/>
      <c r="AB83" s="61"/>
      <c r="AC83" s="61"/>
      <c r="AD83" s="61"/>
      <c r="AE83" s="61"/>
      <c r="AF83" s="78">
        <f t="shared" si="84"/>
        <v>0</v>
      </c>
      <c r="AG83" s="77">
        <f t="shared" si="85"/>
        <v>0</v>
      </c>
      <c r="AH83" s="77">
        <f t="shared" si="85"/>
        <v>0</v>
      </c>
      <c r="AI83" s="77">
        <f t="shared" si="85"/>
        <v>0</v>
      </c>
      <c r="AJ83" s="77">
        <f t="shared" si="86"/>
        <v>0</v>
      </c>
      <c r="AK83" s="77">
        <f t="shared" si="86"/>
        <v>0</v>
      </c>
      <c r="AL83" s="77">
        <f t="shared" si="87"/>
        <v>0</v>
      </c>
      <c r="AM83" s="77">
        <f t="shared" si="87"/>
        <v>0</v>
      </c>
      <c r="AN83" s="78">
        <f>(P83+X83)-AF83</f>
        <v>0</v>
      </c>
    </row>
    <row r="84" spans="1:40" s="21" customFormat="1" x14ac:dyDescent="0.2">
      <c r="A84" s="347"/>
      <c r="B84" s="333" t="s">
        <v>197</v>
      </c>
      <c r="C84" s="333" t="s">
        <v>598</v>
      </c>
      <c r="D84" s="333"/>
      <c r="E84" s="333"/>
      <c r="F84" s="334"/>
      <c r="G84" s="463" t="s">
        <v>634</v>
      </c>
      <c r="H84" s="18"/>
      <c r="I84" s="61"/>
      <c r="J84" s="61"/>
      <c r="K84" s="61"/>
      <c r="L84" s="61"/>
      <c r="M84" s="61"/>
      <c r="N84" s="61"/>
      <c r="O84" s="61"/>
      <c r="P84" s="78">
        <f>SUM(I84,K84,M84,O84)</f>
        <v>0</v>
      </c>
      <c r="Q84" s="261"/>
      <c r="R84" s="261"/>
      <c r="S84" s="261"/>
      <c r="T84" s="261"/>
      <c r="U84" s="261"/>
      <c r="V84" s="261"/>
      <c r="W84" s="261"/>
      <c r="X84" s="260">
        <f t="shared" si="82"/>
        <v>0</v>
      </c>
      <c r="Y84" s="61"/>
      <c r="Z84" s="61"/>
      <c r="AA84" s="61"/>
      <c r="AB84" s="61"/>
      <c r="AC84" s="61"/>
      <c r="AD84" s="61"/>
      <c r="AE84" s="61"/>
      <c r="AF84" s="78">
        <f t="shared" si="84"/>
        <v>0</v>
      </c>
      <c r="AG84" s="77">
        <f t="shared" si="85"/>
        <v>0</v>
      </c>
      <c r="AH84" s="77">
        <f t="shared" si="85"/>
        <v>0</v>
      </c>
      <c r="AI84" s="77">
        <f t="shared" si="85"/>
        <v>0</v>
      </c>
      <c r="AJ84" s="77">
        <f t="shared" si="86"/>
        <v>0</v>
      </c>
      <c r="AK84" s="77">
        <f t="shared" si="86"/>
        <v>0</v>
      </c>
      <c r="AL84" s="77">
        <f t="shared" si="87"/>
        <v>0</v>
      </c>
      <c r="AM84" s="77">
        <f t="shared" si="87"/>
        <v>0</v>
      </c>
      <c r="AN84" s="78">
        <f>(P84+X84)-AF84</f>
        <v>0</v>
      </c>
    </row>
    <row r="85" spans="1:40" s="21" customFormat="1" x14ac:dyDescent="0.2">
      <c r="A85" s="346" t="s">
        <v>630</v>
      </c>
      <c r="B85" s="252" t="s">
        <v>624</v>
      </c>
      <c r="C85" s="311"/>
      <c r="D85" s="252"/>
      <c r="E85" s="252"/>
      <c r="F85" s="313"/>
      <c r="G85" s="463" t="s">
        <v>625</v>
      </c>
      <c r="H85" s="18"/>
      <c r="I85" s="61"/>
      <c r="J85" s="61"/>
      <c r="K85" s="61"/>
      <c r="L85" s="60"/>
      <c r="M85" s="60"/>
      <c r="N85" s="82"/>
      <c r="O85" s="82"/>
      <c r="P85" s="78">
        <f>SUM(I85,K85,M85,O85)</f>
        <v>0</v>
      </c>
      <c r="Q85" s="261"/>
      <c r="R85" s="261"/>
      <c r="S85" s="261"/>
      <c r="T85" s="264"/>
      <c r="U85" s="264"/>
      <c r="V85" s="263"/>
      <c r="W85" s="263"/>
      <c r="X85" s="260">
        <f>SUM(Q85,S85,U85,W85)</f>
        <v>0</v>
      </c>
      <c r="Y85" s="61"/>
      <c r="Z85" s="61"/>
      <c r="AA85" s="61"/>
      <c r="AB85" s="60"/>
      <c r="AC85" s="60"/>
      <c r="AD85" s="82"/>
      <c r="AE85" s="82"/>
      <c r="AF85" s="78">
        <f>SUM(Y85,AA85,AC85,AE85)</f>
        <v>0</v>
      </c>
      <c r="AG85" s="77">
        <f>(I85+Q85)-Y85</f>
        <v>0</v>
      </c>
      <c r="AH85" s="77">
        <f>(J85+R85)-Z85</f>
        <v>0</v>
      </c>
      <c r="AI85" s="77">
        <f>(K85+S85)-AA85</f>
        <v>0</v>
      </c>
      <c r="AJ85" s="295"/>
      <c r="AK85" s="295"/>
      <c r="AL85" s="77">
        <f>(N85+V85)-AD85</f>
        <v>0</v>
      </c>
      <c r="AM85" s="77">
        <f>(O85+W85)-AE85</f>
        <v>0</v>
      </c>
      <c r="AN85" s="78">
        <f>(P85+X85)-AF85</f>
        <v>0</v>
      </c>
    </row>
    <row r="86" spans="1:40" s="21" customFormat="1" x14ac:dyDescent="0.2">
      <c r="A86" s="330" t="s">
        <v>635</v>
      </c>
      <c r="B86" s="252"/>
      <c r="C86" s="311"/>
      <c r="D86" s="252"/>
      <c r="E86" s="252"/>
      <c r="F86" s="313"/>
      <c r="G86" s="464"/>
      <c r="H86" s="18"/>
      <c r="I86" s="29"/>
      <c r="J86" s="29"/>
      <c r="K86" s="29"/>
      <c r="L86" s="29"/>
      <c r="M86" s="29"/>
      <c r="N86" s="29"/>
      <c r="O86" s="29"/>
      <c r="P86" s="78"/>
      <c r="Q86" s="260"/>
      <c r="R86" s="260"/>
      <c r="S86" s="260"/>
      <c r="T86" s="265"/>
      <c r="U86" s="265"/>
      <c r="V86" s="265"/>
      <c r="W86" s="265"/>
      <c r="X86" s="260"/>
      <c r="Y86" s="29"/>
      <c r="Z86" s="29"/>
      <c r="AA86" s="29"/>
      <c r="AB86" s="29"/>
      <c r="AC86" s="29"/>
      <c r="AD86" s="29"/>
      <c r="AE86" s="29"/>
      <c r="AF86" s="78"/>
      <c r="AG86" s="77"/>
      <c r="AH86" s="77"/>
      <c r="AI86" s="77"/>
      <c r="AJ86" s="77"/>
      <c r="AK86" s="77"/>
      <c r="AL86" s="77"/>
      <c r="AM86" s="77"/>
      <c r="AN86" s="78"/>
    </row>
    <row r="87" spans="1:40" s="21" customFormat="1" ht="12.75" x14ac:dyDescent="0.2">
      <c r="A87" s="347" t="s">
        <v>9</v>
      </c>
      <c r="B87" s="350" t="s">
        <v>815</v>
      </c>
      <c r="C87" s="351"/>
      <c r="D87" s="350"/>
      <c r="E87" s="350"/>
      <c r="F87" s="352"/>
      <c r="G87" s="466" t="s">
        <v>822</v>
      </c>
      <c r="H87" s="203"/>
      <c r="I87" s="204"/>
      <c r="J87" s="204"/>
      <c r="K87" s="204"/>
      <c r="L87" s="307"/>
      <c r="M87" s="307"/>
      <c r="N87" s="204"/>
      <c r="O87" s="204"/>
      <c r="P87" s="78">
        <f>SUM(I87,K87,M87,O87)</f>
        <v>0</v>
      </c>
      <c r="Q87" s="360"/>
      <c r="R87" s="360"/>
      <c r="S87" s="360"/>
      <c r="T87" s="308"/>
      <c r="U87" s="308"/>
      <c r="V87" s="361"/>
      <c r="W87" s="361"/>
      <c r="X87" s="260">
        <f t="shared" si="82"/>
        <v>0</v>
      </c>
      <c r="Y87" s="359"/>
      <c r="Z87" s="359"/>
      <c r="AA87" s="359"/>
      <c r="AB87" s="307"/>
      <c r="AC87" s="307"/>
      <c r="AD87" s="359"/>
      <c r="AE87" s="359"/>
      <c r="AF87" s="78">
        <f t="shared" si="84"/>
        <v>0</v>
      </c>
      <c r="AG87" s="77">
        <f t="shared" si="85"/>
        <v>0</v>
      </c>
      <c r="AH87" s="77">
        <f t="shared" si="85"/>
        <v>0</v>
      </c>
      <c r="AI87" s="77">
        <f t="shared" si="85"/>
        <v>0</v>
      </c>
      <c r="AJ87" s="295"/>
      <c r="AK87" s="295"/>
      <c r="AL87" s="77">
        <f t="shared" si="87"/>
        <v>0</v>
      </c>
      <c r="AM87" s="77">
        <f t="shared" si="87"/>
        <v>0</v>
      </c>
      <c r="AN87" s="78">
        <f>(P87+X87)-AF87</f>
        <v>0</v>
      </c>
    </row>
    <row r="88" spans="1:40" s="21" customFormat="1" x14ac:dyDescent="0.2">
      <c r="A88" s="346" t="s">
        <v>33</v>
      </c>
      <c r="B88" s="333" t="s">
        <v>584</v>
      </c>
      <c r="C88" s="335"/>
      <c r="D88" s="333"/>
      <c r="E88" s="333"/>
      <c r="F88" s="334"/>
      <c r="G88" s="466" t="s">
        <v>638</v>
      </c>
      <c r="H88" s="203"/>
      <c r="I88" s="204"/>
      <c r="J88" s="204"/>
      <c r="K88" s="204"/>
      <c r="L88" s="307"/>
      <c r="M88" s="307"/>
      <c r="N88" s="205"/>
      <c r="O88" s="205"/>
      <c r="P88" s="373">
        <f t="shared" si="80"/>
        <v>0</v>
      </c>
      <c r="Q88" s="270"/>
      <c r="R88" s="270"/>
      <c r="S88" s="270"/>
      <c r="T88" s="308"/>
      <c r="U88" s="308"/>
      <c r="V88" s="271"/>
      <c r="W88" s="271"/>
      <c r="X88" s="272">
        <f t="shared" si="82"/>
        <v>0</v>
      </c>
      <c r="Y88" s="204"/>
      <c r="Z88" s="204"/>
      <c r="AA88" s="204"/>
      <c r="AB88" s="307"/>
      <c r="AC88" s="307"/>
      <c r="AD88" s="205"/>
      <c r="AE88" s="205"/>
      <c r="AF88" s="373">
        <f t="shared" si="84"/>
        <v>0</v>
      </c>
      <c r="AG88" s="374">
        <f t="shared" ref="AG88:AI89" si="88">(I88+Q88)-Y88</f>
        <v>0</v>
      </c>
      <c r="AH88" s="374">
        <f t="shared" si="88"/>
        <v>0</v>
      </c>
      <c r="AI88" s="374">
        <f t="shared" si="88"/>
        <v>0</v>
      </c>
      <c r="AJ88" s="375"/>
      <c r="AK88" s="375"/>
      <c r="AL88" s="374">
        <f>(N88+V88)-AD88</f>
        <v>0</v>
      </c>
      <c r="AM88" s="374">
        <f>(O88+W88)-AE88</f>
        <v>0</v>
      </c>
      <c r="AN88" s="373">
        <f>(P88+X88)-AF88</f>
        <v>0</v>
      </c>
    </row>
    <row r="89" spans="1:40" s="21" customFormat="1" x14ac:dyDescent="0.2">
      <c r="A89" s="346" t="s">
        <v>48</v>
      </c>
      <c r="B89" s="252" t="s">
        <v>636</v>
      </c>
      <c r="C89" s="311"/>
      <c r="D89" s="252"/>
      <c r="E89" s="252"/>
      <c r="F89" s="313"/>
      <c r="G89" s="463" t="s">
        <v>637</v>
      </c>
      <c r="H89" s="18"/>
      <c r="I89" s="61"/>
      <c r="J89" s="61"/>
      <c r="K89" s="61"/>
      <c r="L89" s="303"/>
      <c r="M89" s="303"/>
      <c r="N89" s="61"/>
      <c r="O89" s="61"/>
      <c r="P89" s="78">
        <f>SUM(I89,K89,M89,O89)</f>
        <v>0</v>
      </c>
      <c r="Q89" s="261"/>
      <c r="R89" s="261"/>
      <c r="S89" s="261"/>
      <c r="T89" s="309"/>
      <c r="U89" s="309"/>
      <c r="V89" s="261"/>
      <c r="W89" s="261"/>
      <c r="X89" s="260">
        <f>SUM(Q89,S89,U89,W89)</f>
        <v>0</v>
      </c>
      <c r="Y89" s="61"/>
      <c r="Z89" s="61"/>
      <c r="AA89" s="61"/>
      <c r="AB89" s="303"/>
      <c r="AC89" s="303"/>
      <c r="AD89" s="61"/>
      <c r="AE89" s="61"/>
      <c r="AF89" s="78">
        <f>SUM(Y89,AA89,AC89,AE89)</f>
        <v>0</v>
      </c>
      <c r="AG89" s="77">
        <f t="shared" si="88"/>
        <v>0</v>
      </c>
      <c r="AH89" s="77">
        <f t="shared" si="88"/>
        <v>0</v>
      </c>
      <c r="AI89" s="77">
        <f t="shared" si="88"/>
        <v>0</v>
      </c>
      <c r="AJ89" s="295"/>
      <c r="AK89" s="295"/>
      <c r="AL89" s="77">
        <f>(N89+V89)-AD89</f>
        <v>0</v>
      </c>
      <c r="AM89" s="77">
        <f>(O89+W89)-AE89</f>
        <v>0</v>
      </c>
      <c r="AN89" s="78">
        <f>(P89+X89)-AF89</f>
        <v>0</v>
      </c>
    </row>
    <row r="90" spans="1:40" s="21" customFormat="1" x14ac:dyDescent="0.2">
      <c r="A90" s="166"/>
      <c r="B90" s="39"/>
      <c r="C90" s="131"/>
      <c r="D90" s="39"/>
      <c r="E90" s="39"/>
      <c r="F90" s="39"/>
      <c r="G90" s="72" t="s">
        <v>184</v>
      </c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</row>
    <row r="91" spans="1:40" s="21" customFormat="1" x14ac:dyDescent="0.2">
      <c r="A91" s="201" t="s">
        <v>754</v>
      </c>
      <c r="B91" s="202"/>
      <c r="C91" s="202"/>
      <c r="D91" s="202"/>
      <c r="E91" s="202"/>
      <c r="F91" s="202"/>
      <c r="G91" s="20"/>
      <c r="H91" s="20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</row>
    <row r="92" spans="1:40" s="21" customFormat="1" x14ac:dyDescent="0.2">
      <c r="A92" s="7"/>
      <c r="B92" s="155"/>
      <c r="C92" s="154"/>
      <c r="D92" s="158"/>
      <c r="E92" s="154"/>
      <c r="F92" s="154"/>
      <c r="G92" s="20"/>
      <c r="H92" s="20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  <c r="AN92" s="17"/>
    </row>
    <row r="93" spans="1:40" s="21" customFormat="1" x14ac:dyDescent="0.2">
      <c r="A93" s="7"/>
      <c r="B93" s="155"/>
      <c r="C93" s="154"/>
      <c r="D93" s="158"/>
      <c r="E93" s="154"/>
      <c r="F93" s="154"/>
      <c r="G93" s="20"/>
      <c r="H93" s="20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</row>
    <row r="94" spans="1:40" s="21" customFormat="1" x14ac:dyDescent="0.2">
      <c r="A94" s="7"/>
      <c r="B94" s="3"/>
      <c r="C94" s="4"/>
      <c r="D94" s="157"/>
      <c r="E94" s="154"/>
      <c r="F94" s="154"/>
      <c r="G94" s="20"/>
      <c r="H94" s="20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</row>
    <row r="95" spans="1:40" s="21" customFormat="1" x14ac:dyDescent="0.2">
      <c r="A95" s="7"/>
      <c r="B95" s="155"/>
      <c r="C95" s="154"/>
      <c r="D95" s="154"/>
      <c r="E95" s="154"/>
      <c r="F95" s="154"/>
      <c r="G95" s="20"/>
      <c r="H95" s="20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</row>
    <row r="96" spans="1:40" s="21" customFormat="1" x14ac:dyDescent="0.2">
      <c r="A96" s="7"/>
      <c r="B96" s="155"/>
      <c r="C96" s="154"/>
      <c r="D96" s="163"/>
      <c r="E96" s="154"/>
      <c r="F96" s="154"/>
      <c r="G96" s="20"/>
      <c r="H96" s="20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  <c r="AN96" s="17"/>
    </row>
    <row r="97" spans="1:40" s="21" customFormat="1" x14ac:dyDescent="0.2">
      <c r="A97" s="7"/>
      <c r="B97" s="155"/>
      <c r="C97" s="154"/>
      <c r="D97" s="164"/>
      <c r="E97" s="154"/>
      <c r="F97" s="154"/>
      <c r="G97" s="20"/>
      <c r="H97" s="20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</row>
    <row r="98" spans="1:40" s="21" customFormat="1" x14ac:dyDescent="0.2">
      <c r="A98" s="7"/>
      <c r="B98" s="155"/>
      <c r="C98" s="154"/>
      <c r="D98" s="164"/>
      <c r="E98" s="154"/>
      <c r="F98" s="154"/>
      <c r="G98" s="20"/>
      <c r="H98" s="20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</row>
    <row r="99" spans="1:40" s="21" customFormat="1" x14ac:dyDescent="0.2">
      <c r="A99" s="7"/>
      <c r="B99" s="155"/>
      <c r="C99" s="154"/>
      <c r="D99" s="163"/>
      <c r="E99" s="154"/>
      <c r="F99" s="154"/>
      <c r="G99" s="20"/>
      <c r="H99" s="20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  <c r="AN99" s="17"/>
    </row>
    <row r="100" spans="1:40" s="21" customFormat="1" x14ac:dyDescent="0.2">
      <c r="A100" s="7"/>
      <c r="B100" s="155"/>
      <c r="C100" s="154"/>
      <c r="D100" s="164"/>
      <c r="E100" s="154"/>
      <c r="F100" s="154"/>
      <c r="G100" s="20"/>
      <c r="H100" s="20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  <c r="AL100" s="17"/>
      <c r="AM100" s="17"/>
      <c r="AN100" s="17"/>
    </row>
    <row r="101" spans="1:40" s="21" customFormat="1" x14ac:dyDescent="0.2">
      <c r="A101" s="7"/>
      <c r="B101" s="155"/>
      <c r="C101" s="154"/>
      <c r="D101" s="164"/>
      <c r="E101" s="154"/>
      <c r="F101" s="154"/>
      <c r="G101" s="20"/>
      <c r="H101" s="20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  <c r="AN101" s="17"/>
    </row>
    <row r="102" spans="1:40" s="21" customFormat="1" x14ac:dyDescent="0.2">
      <c r="A102" s="7"/>
      <c r="B102" s="155"/>
      <c r="C102" s="154"/>
      <c r="D102" s="154"/>
      <c r="E102" s="154"/>
      <c r="F102" s="154"/>
      <c r="G102" s="20"/>
      <c r="H102" s="20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  <c r="AN102" s="17"/>
    </row>
    <row r="103" spans="1:40" s="21" customFormat="1" x14ac:dyDescent="0.2">
      <c r="A103" s="7"/>
      <c r="B103" s="155"/>
      <c r="C103" s="39"/>
      <c r="D103" s="158"/>
      <c r="E103" s="154"/>
      <c r="F103" s="154"/>
      <c r="G103" s="20"/>
      <c r="H103" s="20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</row>
    <row r="104" spans="1:40" s="21" customFormat="1" x14ac:dyDescent="0.2">
      <c r="A104" s="7"/>
      <c r="B104" s="155"/>
      <c r="C104" s="39"/>
      <c r="D104" s="158"/>
      <c r="E104" s="154"/>
      <c r="F104" s="154"/>
      <c r="G104" s="20"/>
      <c r="H104" s="20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  <c r="AN104" s="17"/>
    </row>
    <row r="105" spans="1:40" s="21" customFormat="1" x14ac:dyDescent="0.2">
      <c r="A105" s="7"/>
      <c r="B105" s="155"/>
      <c r="C105" s="154"/>
      <c r="D105" s="154"/>
      <c r="E105" s="154"/>
      <c r="F105" s="154"/>
      <c r="G105" s="20"/>
      <c r="H105" s="20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  <c r="AN105" s="17"/>
    </row>
    <row r="106" spans="1:40" s="21" customFormat="1" x14ac:dyDescent="0.2">
      <c r="A106" s="7"/>
      <c r="B106" s="155"/>
      <c r="C106" s="39"/>
      <c r="D106" s="525"/>
      <c r="E106" s="526"/>
      <c r="F106" s="526"/>
      <c r="G106" s="20"/>
      <c r="H106" s="20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  <c r="AN106" s="17"/>
    </row>
    <row r="107" spans="1:40" s="21" customFormat="1" x14ac:dyDescent="0.2">
      <c r="A107" s="7"/>
      <c r="B107" s="155"/>
      <c r="C107" s="154"/>
      <c r="D107" s="158"/>
      <c r="E107" s="154"/>
      <c r="F107" s="154"/>
      <c r="G107" s="20"/>
      <c r="H107" s="20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  <c r="AL107" s="17"/>
      <c r="AM107" s="17"/>
      <c r="AN107" s="17"/>
    </row>
    <row r="108" spans="1:40" s="21" customFormat="1" x14ac:dyDescent="0.2">
      <c r="A108" s="7"/>
      <c r="B108" s="155"/>
      <c r="C108" s="154"/>
      <c r="D108" s="164"/>
      <c r="E108" s="154"/>
      <c r="F108" s="154"/>
      <c r="G108" s="20"/>
      <c r="H108" s="20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  <c r="AN108" s="17"/>
    </row>
    <row r="109" spans="1:40" s="21" customFormat="1" x14ac:dyDescent="0.2">
      <c r="A109" s="7"/>
      <c r="B109" s="155"/>
      <c r="C109" s="154"/>
      <c r="D109" s="164"/>
      <c r="E109" s="154"/>
      <c r="F109" s="154"/>
      <c r="G109" s="20"/>
      <c r="H109" s="20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  <c r="AL109" s="17"/>
      <c r="AM109" s="17"/>
      <c r="AN109" s="17"/>
    </row>
    <row r="110" spans="1:40" s="21" customFormat="1" x14ac:dyDescent="0.2">
      <c r="A110" s="7"/>
      <c r="B110" s="155"/>
      <c r="C110" s="154"/>
      <c r="D110" s="158"/>
      <c r="E110" s="154"/>
      <c r="F110" s="154"/>
      <c r="G110" s="20"/>
      <c r="H110" s="20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</row>
    <row r="111" spans="1:40" s="21" customFormat="1" x14ac:dyDescent="0.2">
      <c r="A111" s="7"/>
      <c r="B111" s="155"/>
      <c r="C111" s="154"/>
      <c r="D111" s="164"/>
      <c r="E111" s="154"/>
      <c r="F111" s="154"/>
      <c r="G111" s="20"/>
      <c r="H111" s="20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  <c r="AN111" s="17"/>
    </row>
    <row r="112" spans="1:40" s="21" customFormat="1" x14ac:dyDescent="0.2">
      <c r="A112" s="7"/>
      <c r="B112" s="155"/>
      <c r="C112" s="154"/>
      <c r="D112" s="164"/>
      <c r="E112" s="154"/>
      <c r="F112" s="154"/>
      <c r="G112" s="20"/>
      <c r="H112" s="20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  <c r="AN112" s="17"/>
    </row>
    <row r="113" spans="1:40" s="21" customFormat="1" x14ac:dyDescent="0.2">
      <c r="A113" s="7"/>
      <c r="B113" s="3"/>
      <c r="C113" s="4"/>
      <c r="D113" s="157"/>
      <c r="E113" s="154"/>
      <c r="F113" s="154"/>
      <c r="G113" s="20"/>
      <c r="H113" s="20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  <c r="AL113" s="17"/>
      <c r="AM113" s="17"/>
      <c r="AN113" s="17"/>
    </row>
    <row r="114" spans="1:40" s="21" customFormat="1" x14ac:dyDescent="0.2">
      <c r="A114" s="7"/>
      <c r="B114" s="155"/>
      <c r="C114" s="154"/>
      <c r="D114" s="157"/>
      <c r="E114" s="154"/>
      <c r="F114" s="154"/>
      <c r="G114" s="20"/>
      <c r="H114" s="20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  <c r="AN114" s="17"/>
    </row>
    <row r="115" spans="1:40" s="21" customFormat="1" x14ac:dyDescent="0.2">
      <c r="A115" s="7"/>
      <c r="B115" s="155"/>
      <c r="C115" s="154"/>
      <c r="D115" s="157"/>
      <c r="E115" s="154"/>
      <c r="F115" s="154"/>
      <c r="G115" s="20"/>
      <c r="H115" s="20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  <c r="AL115" s="17"/>
      <c r="AM115" s="17"/>
      <c r="AN115" s="17"/>
    </row>
    <row r="116" spans="1:40" s="21" customFormat="1" x14ac:dyDescent="0.2">
      <c r="A116" s="7"/>
      <c r="B116" s="155"/>
      <c r="C116" s="154"/>
      <c r="D116" s="157"/>
      <c r="E116" s="154"/>
      <c r="F116" s="154"/>
      <c r="G116" s="20"/>
      <c r="H116" s="20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  <c r="AL116" s="17"/>
      <c r="AM116" s="17"/>
      <c r="AN116" s="17"/>
    </row>
    <row r="117" spans="1:40" s="21" customFormat="1" x14ac:dyDescent="0.2">
      <c r="A117" s="7"/>
      <c r="B117" s="155"/>
      <c r="C117" s="39"/>
      <c r="D117" s="525"/>
      <c r="E117" s="526"/>
      <c r="F117" s="526"/>
      <c r="G117" s="20"/>
      <c r="H117" s="20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L117" s="17"/>
      <c r="AM117" s="17"/>
      <c r="AN117" s="17"/>
    </row>
    <row r="118" spans="1:40" s="21" customFormat="1" x14ac:dyDescent="0.2">
      <c r="A118" s="7"/>
      <c r="B118" s="155"/>
      <c r="C118" s="154"/>
      <c r="D118" s="158"/>
      <c r="E118" s="154"/>
      <c r="F118" s="126"/>
      <c r="G118" s="20"/>
      <c r="H118" s="20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  <c r="AN118" s="17"/>
    </row>
    <row r="119" spans="1:40" s="21" customFormat="1" x14ac:dyDescent="0.2">
      <c r="A119" s="7"/>
      <c r="B119" s="155"/>
      <c r="C119" s="154"/>
      <c r="D119" s="158"/>
      <c r="E119" s="154"/>
      <c r="F119" s="126"/>
      <c r="G119" s="20"/>
      <c r="H119" s="20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  <c r="AL119" s="17"/>
      <c r="AM119" s="17"/>
      <c r="AN119" s="17"/>
    </row>
    <row r="120" spans="1:40" s="21" customFormat="1" x14ac:dyDescent="0.2">
      <c r="A120" s="7"/>
      <c r="B120" s="6"/>
      <c r="C120" s="7"/>
      <c r="D120" s="154"/>
      <c r="E120" s="154"/>
      <c r="F120" s="154"/>
      <c r="G120" s="20"/>
      <c r="H120" s="20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  <c r="AL120" s="17"/>
      <c r="AM120" s="17"/>
      <c r="AN120" s="17"/>
    </row>
    <row r="121" spans="1:40" s="21" customFormat="1" x14ac:dyDescent="0.2">
      <c r="A121" s="7"/>
      <c r="B121" s="153"/>
      <c r="C121" s="154"/>
      <c r="D121" s="154"/>
      <c r="E121" s="154"/>
      <c r="F121" s="154"/>
      <c r="G121" s="20"/>
      <c r="H121" s="20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  <c r="AL121" s="17"/>
      <c r="AM121" s="17"/>
      <c r="AN121" s="17"/>
    </row>
    <row r="122" spans="1:40" s="21" customFormat="1" x14ac:dyDescent="0.2">
      <c r="A122" s="7"/>
      <c r="B122" s="153"/>
      <c r="C122" s="154"/>
      <c r="D122" s="158"/>
      <c r="E122" s="154"/>
      <c r="F122" s="154"/>
      <c r="G122" s="20"/>
      <c r="H122" s="20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  <c r="AL122" s="17"/>
      <c r="AM122" s="17"/>
      <c r="AN122" s="17"/>
    </row>
    <row r="123" spans="1:40" s="21" customFormat="1" x14ac:dyDescent="0.2">
      <c r="A123" s="7"/>
      <c r="B123" s="153"/>
      <c r="C123" s="154"/>
      <c r="D123" s="158"/>
      <c r="E123" s="154"/>
      <c r="F123" s="154"/>
      <c r="G123" s="20"/>
      <c r="H123" s="20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  <c r="AL123" s="17"/>
      <c r="AM123" s="17"/>
      <c r="AN123" s="17"/>
    </row>
    <row r="124" spans="1:40" s="21" customFormat="1" x14ac:dyDescent="0.2">
      <c r="A124" s="7"/>
      <c r="B124" s="153"/>
      <c r="C124" s="154"/>
      <c r="D124" s="150"/>
      <c r="E124" s="566"/>
      <c r="F124" s="566"/>
      <c r="G124" s="20"/>
      <c r="H124" s="20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  <c r="AL124" s="17"/>
      <c r="AM124" s="17"/>
      <c r="AN124" s="17"/>
    </row>
    <row r="125" spans="1:40" x14ac:dyDescent="0.2">
      <c r="A125" s="7"/>
      <c r="B125" s="153"/>
      <c r="C125" s="154"/>
      <c r="D125" s="39"/>
      <c r="E125" s="39"/>
      <c r="F125" s="39"/>
      <c r="G125" s="20"/>
      <c r="H125" s="20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  <c r="AN125" s="17"/>
    </row>
    <row r="126" spans="1:40" x14ac:dyDescent="0.2">
      <c r="A126" s="7"/>
      <c r="B126" s="153"/>
      <c r="C126" s="154"/>
      <c r="D126" s="150"/>
      <c r="E126" s="39"/>
      <c r="F126" s="39"/>
      <c r="G126" s="20"/>
      <c r="H126" s="20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  <c r="AN126" s="17"/>
    </row>
    <row r="127" spans="1:40" x14ac:dyDescent="0.2">
      <c r="A127" s="7"/>
      <c r="B127" s="153"/>
      <c r="C127" s="154"/>
      <c r="D127" s="150"/>
      <c r="E127" s="39"/>
      <c r="F127" s="39"/>
      <c r="G127" s="20"/>
      <c r="H127" s="20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  <c r="AN127" s="17"/>
    </row>
    <row r="128" spans="1:40" x14ac:dyDescent="0.2">
      <c r="A128" s="7"/>
      <c r="B128" s="153"/>
      <c r="C128" s="154"/>
      <c r="D128" s="150"/>
      <c r="E128" s="566"/>
      <c r="F128" s="566"/>
      <c r="G128" s="20"/>
      <c r="H128" s="20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  <c r="AN128" s="17"/>
    </row>
    <row r="129" spans="1:40" x14ac:dyDescent="0.2">
      <c r="A129" s="154"/>
      <c r="B129" s="565"/>
      <c r="C129" s="565"/>
      <c r="D129" s="565"/>
      <c r="E129" s="565"/>
      <c r="F129" s="565"/>
      <c r="G129" s="20"/>
      <c r="H129" s="20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  <c r="AN129" s="17"/>
    </row>
    <row r="130" spans="1:40" x14ac:dyDescent="0.2">
      <c r="A130" s="21"/>
      <c r="B130" s="21"/>
      <c r="C130" s="21"/>
      <c r="D130" s="21"/>
      <c r="E130" s="21"/>
      <c r="F130" s="21"/>
      <c r="G130" s="20"/>
      <c r="H130" s="20"/>
      <c r="I130" s="22" t="s">
        <v>184</v>
      </c>
      <c r="J130" s="21"/>
      <c r="K130" s="21"/>
      <c r="L130" s="21"/>
      <c r="M130" s="21"/>
      <c r="N130" s="21"/>
      <c r="O130" s="21"/>
      <c r="P130" s="21"/>
      <c r="Q130" s="22" t="s">
        <v>184</v>
      </c>
      <c r="R130" s="21"/>
      <c r="S130" s="21"/>
      <c r="T130" s="21"/>
      <c r="U130" s="21"/>
      <c r="V130" s="21"/>
      <c r="W130" s="21"/>
      <c r="X130" s="21"/>
      <c r="Y130" s="22" t="s">
        <v>184</v>
      </c>
      <c r="Z130" s="21"/>
      <c r="AA130" s="21"/>
      <c r="AB130" s="21"/>
      <c r="AC130" s="21"/>
      <c r="AD130" s="21"/>
      <c r="AE130" s="21"/>
      <c r="AF130" s="21"/>
      <c r="AG130" s="22"/>
      <c r="AH130" s="21"/>
      <c r="AI130" s="21"/>
      <c r="AJ130" s="21"/>
      <c r="AK130" s="21"/>
      <c r="AL130" s="21"/>
      <c r="AM130" s="21"/>
      <c r="AN130" s="21"/>
    </row>
    <row r="131" spans="1:40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G131" s="21"/>
      <c r="AH131" s="21"/>
      <c r="AI131" s="21"/>
      <c r="AJ131" s="21"/>
      <c r="AK131" s="21"/>
      <c r="AL131" s="21"/>
      <c r="AM131" s="21"/>
      <c r="AN131" s="21"/>
    </row>
    <row r="132" spans="1:40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G132" s="21"/>
      <c r="AH132" s="21"/>
      <c r="AI132" s="21"/>
      <c r="AJ132" s="21"/>
      <c r="AK132" s="21"/>
      <c r="AL132" s="21"/>
      <c r="AM132" s="21"/>
      <c r="AN132" s="21"/>
    </row>
    <row r="133" spans="1:40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G133" s="21"/>
      <c r="AH133" s="21"/>
      <c r="AI133" s="21"/>
      <c r="AJ133" s="21"/>
      <c r="AK133" s="21"/>
      <c r="AL133" s="21"/>
      <c r="AM133" s="21"/>
      <c r="AN133" s="21"/>
    </row>
    <row r="134" spans="1:40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G134" s="21"/>
      <c r="AH134" s="21"/>
      <c r="AI134" s="21"/>
      <c r="AJ134" s="21"/>
      <c r="AK134" s="21"/>
      <c r="AL134" s="21"/>
      <c r="AM134" s="21"/>
      <c r="AN134" s="21"/>
    </row>
    <row r="135" spans="1:40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G135" s="21"/>
      <c r="AH135" s="21"/>
      <c r="AI135" s="21"/>
      <c r="AJ135" s="21"/>
      <c r="AK135" s="21"/>
      <c r="AL135" s="21"/>
      <c r="AM135" s="21"/>
      <c r="AN135" s="21"/>
    </row>
    <row r="136" spans="1:40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G136" s="21"/>
      <c r="AH136" s="21"/>
      <c r="AI136" s="21"/>
      <c r="AJ136" s="21"/>
      <c r="AK136" s="21"/>
      <c r="AL136" s="21"/>
      <c r="AM136" s="21"/>
      <c r="AN136" s="21"/>
    </row>
    <row r="137" spans="1:40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G137" s="21"/>
      <c r="AH137" s="21"/>
      <c r="AI137" s="21"/>
      <c r="AJ137" s="21"/>
      <c r="AK137" s="21"/>
      <c r="AL137" s="21"/>
      <c r="AM137" s="21"/>
      <c r="AN137" s="21"/>
    </row>
    <row r="138" spans="1:40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G138" s="21"/>
      <c r="AH138" s="21"/>
      <c r="AI138" s="21"/>
      <c r="AJ138" s="21"/>
      <c r="AK138" s="21"/>
      <c r="AL138" s="21"/>
      <c r="AM138" s="21"/>
      <c r="AN138" s="21"/>
    </row>
    <row r="139" spans="1:40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G139" s="21"/>
      <c r="AH139" s="21"/>
      <c r="AI139" s="21"/>
      <c r="AJ139" s="21"/>
      <c r="AK139" s="21"/>
      <c r="AL139" s="21"/>
      <c r="AM139" s="21"/>
      <c r="AN139" s="21"/>
    </row>
    <row r="140" spans="1:40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G140" s="21"/>
      <c r="AH140" s="21"/>
      <c r="AI140" s="21"/>
      <c r="AJ140" s="21"/>
      <c r="AK140" s="21"/>
      <c r="AL140" s="21"/>
      <c r="AM140" s="21"/>
      <c r="AN140" s="21"/>
    </row>
    <row r="141" spans="1:40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G141" s="21"/>
      <c r="AH141" s="21"/>
      <c r="AI141" s="21"/>
      <c r="AJ141" s="21"/>
      <c r="AK141" s="21"/>
      <c r="AL141" s="21"/>
      <c r="AM141" s="21"/>
      <c r="AN141" s="21"/>
    </row>
    <row r="142" spans="1:40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G142" s="21"/>
      <c r="AH142" s="21"/>
      <c r="AI142" s="21"/>
      <c r="AJ142" s="21"/>
      <c r="AK142" s="21"/>
      <c r="AL142" s="21"/>
      <c r="AM142" s="21"/>
      <c r="AN142" s="21"/>
    </row>
    <row r="143" spans="1:40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21"/>
      <c r="AH143" s="21"/>
      <c r="AI143" s="21"/>
      <c r="AJ143" s="21"/>
      <c r="AK143" s="21"/>
      <c r="AL143" s="21"/>
      <c r="AM143" s="21"/>
      <c r="AN143" s="21"/>
    </row>
    <row r="144" spans="1:40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G144" s="21"/>
      <c r="AH144" s="21"/>
      <c r="AI144" s="21"/>
      <c r="AJ144" s="21"/>
      <c r="AK144" s="21"/>
      <c r="AL144" s="21"/>
      <c r="AM144" s="21"/>
      <c r="AN144" s="21"/>
    </row>
    <row r="145" spans="1:40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G145" s="21"/>
      <c r="AH145" s="21"/>
      <c r="AI145" s="21"/>
      <c r="AJ145" s="21"/>
      <c r="AK145" s="21"/>
      <c r="AL145" s="21"/>
      <c r="AM145" s="21"/>
      <c r="AN145" s="21"/>
    </row>
    <row r="146" spans="1:40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  <c r="AE146" s="21"/>
      <c r="AF146" s="21"/>
      <c r="AG146" s="21"/>
      <c r="AH146" s="21"/>
      <c r="AI146" s="21"/>
      <c r="AJ146" s="21"/>
      <c r="AK146" s="21"/>
      <c r="AL146" s="21"/>
      <c r="AM146" s="21"/>
      <c r="AN146" s="21"/>
    </row>
    <row r="147" spans="1:40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  <c r="AE147" s="21"/>
      <c r="AF147" s="21"/>
      <c r="AG147" s="21"/>
      <c r="AH147" s="21"/>
      <c r="AI147" s="21"/>
      <c r="AJ147" s="21"/>
      <c r="AK147" s="21"/>
      <c r="AL147" s="21"/>
      <c r="AM147" s="21"/>
      <c r="AN147" s="21"/>
    </row>
    <row r="148" spans="1:40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  <c r="AE148" s="21"/>
      <c r="AF148" s="21"/>
      <c r="AG148" s="21"/>
      <c r="AH148" s="21"/>
      <c r="AI148" s="21"/>
      <c r="AJ148" s="21"/>
      <c r="AK148" s="21"/>
      <c r="AL148" s="21"/>
      <c r="AM148" s="21"/>
      <c r="AN148" s="21"/>
    </row>
    <row r="149" spans="1:40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  <c r="AE149" s="21"/>
      <c r="AF149" s="21"/>
      <c r="AG149" s="21"/>
      <c r="AH149" s="21"/>
      <c r="AI149" s="21"/>
      <c r="AJ149" s="21"/>
      <c r="AK149" s="21"/>
      <c r="AL149" s="21"/>
      <c r="AM149" s="21"/>
      <c r="AN149" s="21"/>
    </row>
    <row r="150" spans="1:40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  <c r="AE150" s="21"/>
      <c r="AF150" s="21"/>
      <c r="AG150" s="21"/>
      <c r="AH150" s="21"/>
      <c r="AI150" s="21"/>
      <c r="AJ150" s="21"/>
      <c r="AK150" s="21"/>
      <c r="AL150" s="21"/>
      <c r="AM150" s="21"/>
      <c r="AN150" s="21"/>
    </row>
    <row r="151" spans="1:40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  <c r="AE151" s="21"/>
      <c r="AF151" s="21"/>
      <c r="AG151" s="21"/>
      <c r="AH151" s="21"/>
      <c r="AI151" s="21"/>
      <c r="AJ151" s="21"/>
      <c r="AK151" s="21"/>
      <c r="AL151" s="21"/>
      <c r="AM151" s="21"/>
      <c r="AN151" s="21"/>
    </row>
    <row r="152" spans="1:40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</row>
    <row r="153" spans="1:40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  <c r="AE153" s="21"/>
      <c r="AF153" s="21"/>
      <c r="AG153" s="21"/>
      <c r="AH153" s="21"/>
      <c r="AI153" s="21"/>
      <c r="AJ153" s="21"/>
      <c r="AK153" s="21"/>
      <c r="AL153" s="21"/>
      <c r="AM153" s="21"/>
      <c r="AN153" s="21"/>
    </row>
    <row r="154" spans="1:40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  <c r="AE154" s="21"/>
      <c r="AF154" s="21"/>
      <c r="AG154" s="21"/>
      <c r="AH154" s="21"/>
      <c r="AI154" s="21"/>
      <c r="AJ154" s="21"/>
      <c r="AK154" s="21"/>
      <c r="AL154" s="21"/>
      <c r="AM154" s="21"/>
      <c r="AN154" s="21"/>
    </row>
    <row r="155" spans="1:40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  <c r="AE155" s="21"/>
      <c r="AF155" s="21"/>
      <c r="AG155" s="21"/>
      <c r="AH155" s="21"/>
      <c r="AI155" s="21"/>
      <c r="AJ155" s="21"/>
      <c r="AK155" s="21"/>
      <c r="AL155" s="21"/>
      <c r="AM155" s="21"/>
      <c r="AN155" s="21"/>
    </row>
    <row r="156" spans="1:40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  <c r="AE156" s="21"/>
      <c r="AF156" s="21"/>
      <c r="AG156" s="21"/>
      <c r="AH156" s="21"/>
      <c r="AI156" s="21"/>
      <c r="AJ156" s="21"/>
      <c r="AK156" s="21"/>
      <c r="AL156" s="21"/>
      <c r="AM156" s="21"/>
      <c r="AN156" s="21"/>
    </row>
    <row r="157" spans="1:40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  <c r="AE157" s="21"/>
      <c r="AF157" s="21"/>
      <c r="AG157" s="21"/>
      <c r="AH157" s="21"/>
      <c r="AI157" s="21"/>
      <c r="AJ157" s="21"/>
      <c r="AK157" s="21"/>
      <c r="AL157" s="21"/>
      <c r="AM157" s="21"/>
      <c r="AN157" s="21"/>
    </row>
    <row r="158" spans="1:40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  <c r="AE158" s="21"/>
      <c r="AF158" s="21"/>
      <c r="AG158" s="21"/>
      <c r="AH158" s="21"/>
      <c r="AI158" s="21"/>
      <c r="AJ158" s="21"/>
      <c r="AK158" s="21"/>
      <c r="AL158" s="21"/>
      <c r="AM158" s="21"/>
      <c r="AN158" s="21"/>
    </row>
    <row r="159" spans="1:40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  <c r="AE159" s="21"/>
      <c r="AF159" s="21"/>
      <c r="AG159" s="21"/>
      <c r="AH159" s="21"/>
      <c r="AI159" s="21"/>
      <c r="AJ159" s="21"/>
      <c r="AK159" s="21"/>
      <c r="AL159" s="21"/>
      <c r="AM159" s="21"/>
      <c r="AN159" s="21"/>
    </row>
    <row r="160" spans="1:40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  <c r="AE160" s="21"/>
      <c r="AF160" s="21"/>
      <c r="AG160" s="21"/>
      <c r="AH160" s="21"/>
      <c r="AI160" s="21"/>
      <c r="AJ160" s="21"/>
      <c r="AK160" s="21"/>
      <c r="AL160" s="21"/>
      <c r="AM160" s="21"/>
      <c r="AN160" s="21"/>
    </row>
    <row r="161" spans="1:40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  <c r="AE161" s="21"/>
      <c r="AF161" s="21"/>
      <c r="AG161" s="21"/>
      <c r="AH161" s="21"/>
      <c r="AI161" s="21"/>
      <c r="AJ161" s="21"/>
      <c r="AK161" s="21"/>
      <c r="AL161" s="21"/>
      <c r="AM161" s="21"/>
      <c r="AN161" s="21"/>
    </row>
    <row r="162" spans="1:40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  <c r="AE162" s="21"/>
      <c r="AF162" s="21"/>
      <c r="AG162" s="21"/>
      <c r="AH162" s="21"/>
      <c r="AI162" s="21"/>
      <c r="AJ162" s="21"/>
      <c r="AK162" s="21"/>
      <c r="AL162" s="21"/>
      <c r="AM162" s="21"/>
      <c r="AN162" s="21"/>
    </row>
    <row r="163" spans="1:40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  <c r="AE163" s="21"/>
      <c r="AF163" s="21"/>
      <c r="AG163" s="21"/>
      <c r="AH163" s="21"/>
      <c r="AI163" s="21"/>
      <c r="AJ163" s="21"/>
      <c r="AK163" s="21"/>
      <c r="AL163" s="21"/>
      <c r="AM163" s="21"/>
      <c r="AN163" s="21"/>
    </row>
    <row r="164" spans="1:40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  <c r="AE164" s="21"/>
      <c r="AF164" s="21"/>
      <c r="AG164" s="21"/>
      <c r="AH164" s="21"/>
      <c r="AI164" s="21"/>
      <c r="AJ164" s="21"/>
      <c r="AK164" s="21"/>
      <c r="AL164" s="21"/>
      <c r="AM164" s="21"/>
      <c r="AN164" s="21"/>
    </row>
    <row r="165" spans="1:40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  <c r="AE165" s="21"/>
      <c r="AF165" s="21"/>
      <c r="AG165" s="21"/>
      <c r="AH165" s="21"/>
      <c r="AI165" s="21"/>
      <c r="AJ165" s="21"/>
      <c r="AK165" s="21"/>
      <c r="AL165" s="21"/>
      <c r="AM165" s="21"/>
      <c r="AN165" s="21"/>
    </row>
    <row r="166" spans="1:40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  <c r="AE166" s="21"/>
      <c r="AF166" s="21"/>
      <c r="AG166" s="21"/>
      <c r="AH166" s="21"/>
      <c r="AI166" s="21"/>
      <c r="AJ166" s="21"/>
      <c r="AK166" s="21"/>
      <c r="AL166" s="21"/>
      <c r="AM166" s="21"/>
      <c r="AN166" s="21"/>
    </row>
    <row r="167" spans="1:40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  <c r="AE167" s="21"/>
      <c r="AF167" s="21"/>
      <c r="AG167" s="21"/>
      <c r="AH167" s="21"/>
      <c r="AI167" s="21"/>
      <c r="AJ167" s="21"/>
      <c r="AK167" s="21"/>
      <c r="AL167" s="21"/>
      <c r="AM167" s="21"/>
      <c r="AN167" s="21"/>
    </row>
    <row r="168" spans="1:40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  <c r="AE168" s="21"/>
      <c r="AF168" s="21"/>
      <c r="AG168" s="21"/>
      <c r="AH168" s="21"/>
      <c r="AI168" s="21"/>
      <c r="AJ168" s="21"/>
      <c r="AK168" s="21"/>
      <c r="AL168" s="21"/>
      <c r="AM168" s="21"/>
      <c r="AN168" s="21"/>
    </row>
    <row r="169" spans="1:40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  <c r="AE169" s="21"/>
      <c r="AF169" s="21"/>
      <c r="AG169" s="21"/>
      <c r="AH169" s="21"/>
      <c r="AI169" s="21"/>
      <c r="AJ169" s="21"/>
      <c r="AK169" s="21"/>
      <c r="AL169" s="21"/>
      <c r="AM169" s="21"/>
      <c r="AN169" s="21"/>
    </row>
    <row r="170" spans="1:40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  <c r="AE170" s="21"/>
      <c r="AF170" s="21"/>
      <c r="AG170" s="21"/>
      <c r="AH170" s="21"/>
      <c r="AI170" s="21"/>
      <c r="AJ170" s="21"/>
      <c r="AK170" s="21"/>
      <c r="AL170" s="21"/>
      <c r="AM170" s="21"/>
      <c r="AN170" s="21"/>
    </row>
    <row r="171" spans="1:40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  <c r="AE171" s="21"/>
      <c r="AF171" s="21"/>
      <c r="AG171" s="21"/>
      <c r="AH171" s="21"/>
      <c r="AI171" s="21"/>
      <c r="AJ171" s="21"/>
      <c r="AK171" s="21"/>
      <c r="AL171" s="21"/>
      <c r="AM171" s="21"/>
      <c r="AN171" s="21"/>
    </row>
    <row r="172" spans="1:40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  <c r="AE172" s="21"/>
      <c r="AF172" s="21"/>
      <c r="AG172" s="21"/>
      <c r="AH172" s="21"/>
      <c r="AI172" s="21"/>
      <c r="AJ172" s="21"/>
      <c r="AK172" s="21"/>
      <c r="AL172" s="21"/>
      <c r="AM172" s="21"/>
      <c r="AN172" s="21"/>
    </row>
    <row r="173" spans="1:40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  <c r="AG173" s="21"/>
      <c r="AH173" s="21"/>
      <c r="AI173" s="21"/>
      <c r="AJ173" s="21"/>
      <c r="AK173" s="21"/>
      <c r="AL173" s="21"/>
      <c r="AM173" s="21"/>
      <c r="AN173" s="21"/>
    </row>
    <row r="174" spans="1:40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  <c r="AE174" s="21"/>
      <c r="AF174" s="21"/>
      <c r="AG174" s="21"/>
      <c r="AH174" s="21"/>
      <c r="AI174" s="21"/>
      <c r="AJ174" s="21"/>
      <c r="AK174" s="21"/>
      <c r="AL174" s="21"/>
      <c r="AM174" s="21"/>
      <c r="AN174" s="21"/>
    </row>
    <row r="175" spans="1:40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  <c r="AE175" s="21"/>
      <c r="AF175" s="21"/>
      <c r="AG175" s="21"/>
      <c r="AH175" s="21"/>
      <c r="AI175" s="21"/>
      <c r="AJ175" s="21"/>
      <c r="AK175" s="21"/>
      <c r="AL175" s="21"/>
      <c r="AM175" s="21"/>
      <c r="AN175" s="21"/>
    </row>
    <row r="176" spans="1:40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  <c r="AE176" s="21"/>
      <c r="AF176" s="21"/>
      <c r="AG176" s="21"/>
      <c r="AH176" s="21"/>
      <c r="AI176" s="21"/>
      <c r="AJ176" s="21"/>
      <c r="AK176" s="21"/>
      <c r="AL176" s="21"/>
      <c r="AM176" s="21"/>
      <c r="AN176" s="21"/>
    </row>
    <row r="177" spans="1:40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  <c r="AE177" s="21"/>
      <c r="AF177" s="21"/>
      <c r="AG177" s="21"/>
      <c r="AH177" s="21"/>
      <c r="AI177" s="21"/>
      <c r="AJ177" s="21"/>
      <c r="AK177" s="21"/>
      <c r="AL177" s="21"/>
      <c r="AM177" s="21"/>
      <c r="AN177" s="21"/>
    </row>
    <row r="178" spans="1:40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  <c r="AG178" s="21"/>
      <c r="AH178" s="21"/>
      <c r="AI178" s="21"/>
      <c r="AJ178" s="21"/>
      <c r="AK178" s="21"/>
      <c r="AL178" s="21"/>
      <c r="AM178" s="21"/>
      <c r="AN178" s="21"/>
    </row>
    <row r="179" spans="1:40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  <c r="AE179" s="21"/>
      <c r="AF179" s="21"/>
      <c r="AG179" s="21"/>
      <c r="AH179" s="21"/>
      <c r="AI179" s="21"/>
      <c r="AJ179" s="21"/>
      <c r="AK179" s="21"/>
      <c r="AL179" s="21"/>
      <c r="AM179" s="21"/>
      <c r="AN179" s="21"/>
    </row>
    <row r="180" spans="1:40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  <c r="AG180" s="21"/>
      <c r="AH180" s="21"/>
      <c r="AI180" s="21"/>
      <c r="AJ180" s="21"/>
      <c r="AK180" s="21"/>
      <c r="AL180" s="21"/>
      <c r="AM180" s="21"/>
      <c r="AN180" s="21"/>
    </row>
    <row r="181" spans="1:40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  <c r="AE181" s="21"/>
      <c r="AF181" s="21"/>
      <c r="AG181" s="21"/>
      <c r="AH181" s="21"/>
      <c r="AI181" s="21"/>
      <c r="AJ181" s="21"/>
      <c r="AK181" s="21"/>
      <c r="AL181" s="21"/>
      <c r="AM181" s="21"/>
      <c r="AN181" s="21"/>
    </row>
    <row r="182" spans="1:40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  <c r="AE182" s="21"/>
      <c r="AF182" s="21"/>
      <c r="AG182" s="21"/>
      <c r="AH182" s="21"/>
      <c r="AI182" s="21"/>
      <c r="AJ182" s="21"/>
      <c r="AK182" s="21"/>
      <c r="AL182" s="21"/>
      <c r="AM182" s="21"/>
      <c r="AN182" s="21"/>
    </row>
    <row r="183" spans="1:40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  <c r="AE183" s="21"/>
      <c r="AF183" s="21"/>
      <c r="AG183" s="21"/>
      <c r="AH183" s="21"/>
      <c r="AI183" s="21"/>
      <c r="AJ183" s="21"/>
      <c r="AK183" s="21"/>
      <c r="AL183" s="21"/>
      <c r="AM183" s="21"/>
      <c r="AN183" s="21"/>
    </row>
    <row r="184" spans="1:40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  <c r="AE184" s="21"/>
      <c r="AF184" s="21"/>
      <c r="AG184" s="21"/>
      <c r="AH184" s="21"/>
      <c r="AI184" s="21"/>
      <c r="AJ184" s="21"/>
      <c r="AK184" s="21"/>
      <c r="AL184" s="21"/>
      <c r="AM184" s="21"/>
      <c r="AN184" s="21"/>
    </row>
    <row r="185" spans="1:40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  <c r="AE185" s="21"/>
      <c r="AF185" s="21"/>
      <c r="AG185" s="21"/>
      <c r="AH185" s="21"/>
      <c r="AI185" s="21"/>
      <c r="AJ185" s="21"/>
      <c r="AK185" s="21"/>
      <c r="AL185" s="21"/>
      <c r="AM185" s="21"/>
      <c r="AN185" s="21"/>
    </row>
    <row r="186" spans="1:40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  <c r="AE186" s="21"/>
      <c r="AF186" s="21"/>
      <c r="AG186" s="21"/>
      <c r="AH186" s="21"/>
      <c r="AI186" s="21"/>
      <c r="AJ186" s="21"/>
      <c r="AK186" s="21"/>
      <c r="AL186" s="21"/>
      <c r="AM186" s="21"/>
      <c r="AN186" s="21"/>
    </row>
    <row r="187" spans="1:40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  <c r="AE187" s="21"/>
      <c r="AF187" s="21"/>
      <c r="AG187" s="21"/>
      <c r="AH187" s="21"/>
      <c r="AI187" s="21"/>
      <c r="AJ187" s="21"/>
      <c r="AK187" s="21"/>
      <c r="AL187" s="21"/>
      <c r="AM187" s="21"/>
      <c r="AN187" s="21"/>
    </row>
    <row r="188" spans="1:40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  <c r="AE188" s="21"/>
      <c r="AF188" s="21"/>
      <c r="AG188" s="21"/>
      <c r="AH188" s="21"/>
      <c r="AI188" s="21"/>
      <c r="AJ188" s="21"/>
      <c r="AK188" s="21"/>
      <c r="AL188" s="21"/>
      <c r="AM188" s="21"/>
      <c r="AN188" s="21"/>
    </row>
    <row r="189" spans="1:40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  <c r="AE189" s="21"/>
      <c r="AF189" s="21"/>
      <c r="AG189" s="21"/>
      <c r="AH189" s="21"/>
      <c r="AI189" s="21"/>
      <c r="AJ189" s="21"/>
      <c r="AK189" s="21"/>
      <c r="AL189" s="21"/>
      <c r="AM189" s="21"/>
      <c r="AN189" s="21"/>
    </row>
    <row r="190" spans="1:40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  <c r="AE190" s="21"/>
      <c r="AF190" s="21"/>
      <c r="AG190" s="21"/>
      <c r="AH190" s="21"/>
      <c r="AI190" s="21"/>
      <c r="AJ190" s="21"/>
      <c r="AK190" s="21"/>
      <c r="AL190" s="21"/>
      <c r="AM190" s="21"/>
      <c r="AN190" s="21"/>
    </row>
    <row r="191" spans="1:40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  <c r="AE191" s="21"/>
      <c r="AF191" s="21"/>
      <c r="AG191" s="21"/>
      <c r="AH191" s="21"/>
      <c r="AI191" s="21"/>
      <c r="AJ191" s="21"/>
      <c r="AK191" s="21"/>
      <c r="AL191" s="21"/>
      <c r="AM191" s="21"/>
      <c r="AN191" s="21"/>
    </row>
    <row r="192" spans="1:40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  <c r="AE192" s="21"/>
      <c r="AF192" s="21"/>
      <c r="AG192" s="21"/>
      <c r="AH192" s="21"/>
      <c r="AI192" s="21"/>
      <c r="AJ192" s="21"/>
      <c r="AK192" s="21"/>
      <c r="AL192" s="21"/>
      <c r="AM192" s="21"/>
      <c r="AN192" s="21"/>
    </row>
    <row r="193" spans="1:40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  <c r="AE193" s="21"/>
      <c r="AF193" s="21"/>
      <c r="AG193" s="21"/>
      <c r="AH193" s="21"/>
      <c r="AI193" s="21"/>
      <c r="AJ193" s="21"/>
      <c r="AK193" s="21"/>
      <c r="AL193" s="21"/>
      <c r="AM193" s="21"/>
      <c r="AN193" s="21"/>
    </row>
    <row r="194" spans="1:40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  <c r="AE194" s="21"/>
      <c r="AF194" s="21"/>
      <c r="AG194" s="21"/>
      <c r="AH194" s="21"/>
      <c r="AI194" s="21"/>
      <c r="AJ194" s="21"/>
      <c r="AK194" s="21"/>
      <c r="AL194" s="21"/>
      <c r="AM194" s="21"/>
      <c r="AN194" s="21"/>
    </row>
    <row r="195" spans="1:40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  <c r="AE195" s="21"/>
      <c r="AF195" s="21"/>
      <c r="AG195" s="21"/>
      <c r="AH195" s="21"/>
      <c r="AI195" s="21"/>
      <c r="AJ195" s="21"/>
      <c r="AK195" s="21"/>
      <c r="AL195" s="21"/>
      <c r="AM195" s="21"/>
      <c r="AN195" s="21"/>
    </row>
    <row r="196" spans="1:40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  <c r="AE196" s="21"/>
      <c r="AF196" s="21"/>
      <c r="AG196" s="21"/>
      <c r="AH196" s="21"/>
      <c r="AI196" s="21"/>
      <c r="AJ196" s="21"/>
      <c r="AK196" s="21"/>
      <c r="AL196" s="21"/>
      <c r="AM196" s="21"/>
      <c r="AN196" s="21"/>
    </row>
    <row r="197" spans="1:40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  <c r="AE197" s="21"/>
      <c r="AF197" s="21"/>
      <c r="AG197" s="21"/>
      <c r="AH197" s="21"/>
      <c r="AI197" s="21"/>
      <c r="AJ197" s="21"/>
      <c r="AK197" s="21"/>
      <c r="AL197" s="21"/>
      <c r="AM197" s="21"/>
      <c r="AN197" s="21"/>
    </row>
    <row r="198" spans="1:40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  <c r="AE198" s="21"/>
      <c r="AF198" s="21"/>
      <c r="AG198" s="21"/>
      <c r="AH198" s="21"/>
      <c r="AI198" s="21"/>
      <c r="AJ198" s="21"/>
      <c r="AK198" s="21"/>
      <c r="AL198" s="21"/>
      <c r="AM198" s="21"/>
      <c r="AN198" s="21"/>
    </row>
    <row r="199" spans="1:40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  <c r="AE199" s="21"/>
      <c r="AF199" s="21"/>
      <c r="AG199" s="21"/>
      <c r="AH199" s="21"/>
      <c r="AI199" s="21"/>
      <c r="AJ199" s="21"/>
      <c r="AK199" s="21"/>
      <c r="AL199" s="21"/>
      <c r="AM199" s="21"/>
      <c r="AN199" s="21"/>
    </row>
    <row r="200" spans="1:40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  <c r="AE200" s="21"/>
      <c r="AF200" s="21"/>
      <c r="AG200" s="21"/>
      <c r="AH200" s="21"/>
      <c r="AI200" s="21"/>
      <c r="AJ200" s="21"/>
      <c r="AK200" s="21"/>
      <c r="AL200" s="21"/>
      <c r="AM200" s="21"/>
      <c r="AN200" s="21"/>
    </row>
    <row r="201" spans="1:40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  <c r="AE201" s="21"/>
      <c r="AF201" s="21"/>
      <c r="AG201" s="21"/>
      <c r="AH201" s="21"/>
      <c r="AI201" s="21"/>
      <c r="AJ201" s="21"/>
      <c r="AK201" s="21"/>
      <c r="AL201" s="21"/>
      <c r="AM201" s="21"/>
      <c r="AN201" s="21"/>
    </row>
    <row r="202" spans="1:40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  <c r="AE202" s="21"/>
      <c r="AF202" s="21"/>
      <c r="AG202" s="21"/>
      <c r="AH202" s="21"/>
      <c r="AI202" s="21"/>
      <c r="AJ202" s="21"/>
      <c r="AK202" s="21"/>
      <c r="AL202" s="21"/>
      <c r="AM202" s="21"/>
      <c r="AN202" s="21"/>
    </row>
    <row r="203" spans="1:40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  <c r="AE203" s="21"/>
      <c r="AF203" s="21"/>
      <c r="AG203" s="21"/>
      <c r="AH203" s="21"/>
      <c r="AI203" s="21"/>
      <c r="AJ203" s="21"/>
      <c r="AK203" s="21"/>
      <c r="AL203" s="21"/>
      <c r="AM203" s="21"/>
      <c r="AN203" s="21"/>
    </row>
    <row r="204" spans="1:40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  <c r="AE204" s="21"/>
      <c r="AF204" s="21"/>
      <c r="AG204" s="21"/>
      <c r="AH204" s="21"/>
      <c r="AI204" s="21"/>
      <c r="AJ204" s="21"/>
      <c r="AK204" s="21"/>
      <c r="AL204" s="21"/>
      <c r="AM204" s="21"/>
      <c r="AN204" s="21"/>
    </row>
    <row r="205" spans="1:40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  <c r="AE205" s="21"/>
      <c r="AF205" s="21"/>
      <c r="AG205" s="21"/>
      <c r="AH205" s="21"/>
      <c r="AI205" s="21"/>
      <c r="AJ205" s="21"/>
      <c r="AK205" s="21"/>
      <c r="AL205" s="21"/>
      <c r="AM205" s="21"/>
      <c r="AN205" s="21"/>
    </row>
    <row r="206" spans="1:40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  <c r="AE206" s="21"/>
      <c r="AF206" s="21"/>
      <c r="AG206" s="21"/>
      <c r="AH206" s="21"/>
      <c r="AI206" s="21"/>
      <c r="AJ206" s="21"/>
      <c r="AK206" s="21"/>
      <c r="AL206" s="21"/>
      <c r="AM206" s="21"/>
      <c r="AN206" s="21"/>
    </row>
    <row r="207" spans="1:40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  <c r="AE207" s="21"/>
      <c r="AF207" s="21"/>
      <c r="AG207" s="21"/>
      <c r="AH207" s="21"/>
      <c r="AI207" s="21"/>
      <c r="AJ207" s="21"/>
      <c r="AK207" s="21"/>
      <c r="AL207" s="21"/>
      <c r="AM207" s="21"/>
      <c r="AN207" s="21"/>
    </row>
    <row r="208" spans="1:40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  <c r="AE208" s="21"/>
      <c r="AF208" s="21"/>
      <c r="AG208" s="21"/>
      <c r="AH208" s="21"/>
      <c r="AI208" s="21"/>
      <c r="AJ208" s="21"/>
      <c r="AK208" s="21"/>
      <c r="AL208" s="21"/>
      <c r="AM208" s="21"/>
      <c r="AN208" s="21"/>
    </row>
    <row r="209" spans="1:40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  <c r="AE209" s="21"/>
      <c r="AF209" s="21"/>
      <c r="AG209" s="21"/>
      <c r="AH209" s="21"/>
      <c r="AI209" s="21"/>
      <c r="AJ209" s="21"/>
      <c r="AK209" s="21"/>
      <c r="AL209" s="21"/>
      <c r="AM209" s="21"/>
      <c r="AN209" s="21"/>
    </row>
    <row r="210" spans="1:40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  <c r="AE210" s="21"/>
      <c r="AF210" s="21"/>
      <c r="AG210" s="21"/>
      <c r="AH210" s="21"/>
      <c r="AI210" s="21"/>
      <c r="AJ210" s="21"/>
      <c r="AK210" s="21"/>
      <c r="AL210" s="21"/>
      <c r="AM210" s="21"/>
      <c r="AN210" s="21"/>
    </row>
    <row r="211" spans="1:40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  <c r="AE211" s="21"/>
      <c r="AF211" s="21"/>
      <c r="AG211" s="21"/>
      <c r="AH211" s="21"/>
      <c r="AI211" s="21"/>
      <c r="AJ211" s="21"/>
      <c r="AK211" s="21"/>
      <c r="AL211" s="21"/>
      <c r="AM211" s="21"/>
      <c r="AN211" s="21"/>
    </row>
    <row r="212" spans="1:40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  <c r="AE212" s="21"/>
      <c r="AF212" s="21"/>
      <c r="AG212" s="21"/>
      <c r="AH212" s="21"/>
      <c r="AI212" s="21"/>
      <c r="AJ212" s="21"/>
      <c r="AK212" s="21"/>
      <c r="AL212" s="21"/>
      <c r="AM212" s="21"/>
      <c r="AN212" s="21"/>
    </row>
    <row r="213" spans="1:40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  <c r="AE213" s="21"/>
      <c r="AF213" s="21"/>
      <c r="AG213" s="21"/>
      <c r="AH213" s="21"/>
      <c r="AI213" s="21"/>
      <c r="AJ213" s="21"/>
      <c r="AK213" s="21"/>
      <c r="AL213" s="21"/>
      <c r="AM213" s="21"/>
      <c r="AN213" s="21"/>
    </row>
    <row r="214" spans="1:40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  <c r="AE214" s="21"/>
      <c r="AF214" s="21"/>
      <c r="AG214" s="21"/>
      <c r="AH214" s="21"/>
      <c r="AI214" s="21"/>
      <c r="AJ214" s="21"/>
      <c r="AK214" s="21"/>
      <c r="AL214" s="21"/>
      <c r="AM214" s="21"/>
      <c r="AN214" s="21"/>
    </row>
    <row r="215" spans="1:40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  <c r="AE215" s="21"/>
      <c r="AF215" s="21"/>
      <c r="AG215" s="21"/>
      <c r="AH215" s="21"/>
      <c r="AI215" s="21"/>
      <c r="AJ215" s="21"/>
      <c r="AK215" s="21"/>
      <c r="AL215" s="21"/>
      <c r="AM215" s="21"/>
      <c r="AN215" s="21"/>
    </row>
    <row r="216" spans="1:40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  <c r="AE216" s="21"/>
      <c r="AF216" s="21"/>
      <c r="AG216" s="21"/>
      <c r="AH216" s="21"/>
      <c r="AI216" s="21"/>
      <c r="AJ216" s="21"/>
      <c r="AK216" s="21"/>
      <c r="AL216" s="21"/>
      <c r="AM216" s="21"/>
      <c r="AN216" s="21"/>
    </row>
    <row r="217" spans="1:40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  <c r="AE217" s="21"/>
      <c r="AF217" s="21"/>
      <c r="AG217" s="21"/>
      <c r="AH217" s="21"/>
      <c r="AI217" s="21"/>
      <c r="AJ217" s="21"/>
      <c r="AK217" s="21"/>
      <c r="AL217" s="21"/>
      <c r="AM217" s="21"/>
      <c r="AN217" s="21"/>
    </row>
    <row r="218" spans="1:40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  <c r="AE218" s="21"/>
      <c r="AF218" s="21"/>
      <c r="AG218" s="21"/>
      <c r="AH218" s="21"/>
      <c r="AI218" s="21"/>
      <c r="AJ218" s="21"/>
      <c r="AK218" s="21"/>
      <c r="AL218" s="21"/>
      <c r="AM218" s="21"/>
      <c r="AN218" s="21"/>
    </row>
    <row r="219" spans="1:40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  <c r="AE219" s="21"/>
      <c r="AF219" s="21"/>
      <c r="AG219" s="21"/>
      <c r="AH219" s="21"/>
      <c r="AI219" s="21"/>
      <c r="AJ219" s="21"/>
      <c r="AK219" s="21"/>
      <c r="AL219" s="21"/>
      <c r="AM219" s="21"/>
      <c r="AN219" s="21"/>
    </row>
    <row r="220" spans="1:40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  <c r="AE220" s="21"/>
      <c r="AF220" s="21"/>
      <c r="AG220" s="21"/>
      <c r="AH220" s="21"/>
      <c r="AI220" s="21"/>
      <c r="AJ220" s="21"/>
      <c r="AK220" s="21"/>
      <c r="AL220" s="21"/>
      <c r="AM220" s="21"/>
      <c r="AN220" s="21"/>
    </row>
    <row r="221" spans="1:40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  <c r="AE221" s="21"/>
      <c r="AF221" s="21"/>
      <c r="AG221" s="21"/>
      <c r="AH221" s="21"/>
      <c r="AI221" s="21"/>
      <c r="AJ221" s="21"/>
      <c r="AK221" s="21"/>
      <c r="AL221" s="21"/>
      <c r="AM221" s="21"/>
      <c r="AN221" s="21"/>
    </row>
    <row r="222" spans="1:40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  <c r="AE222" s="21"/>
      <c r="AF222" s="21"/>
      <c r="AG222" s="21"/>
      <c r="AH222" s="21"/>
      <c r="AI222" s="21"/>
      <c r="AJ222" s="21"/>
      <c r="AK222" s="21"/>
      <c r="AL222" s="21"/>
      <c r="AM222" s="21"/>
      <c r="AN222" s="21"/>
    </row>
    <row r="223" spans="1:40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  <c r="AE223" s="21"/>
      <c r="AF223" s="21"/>
      <c r="AG223" s="21"/>
      <c r="AH223" s="21"/>
      <c r="AI223" s="21"/>
      <c r="AJ223" s="21"/>
      <c r="AK223" s="21"/>
      <c r="AL223" s="21"/>
      <c r="AM223" s="21"/>
      <c r="AN223" s="21"/>
    </row>
    <row r="224" spans="1:40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  <c r="AE224" s="21"/>
      <c r="AF224" s="21"/>
      <c r="AG224" s="21"/>
      <c r="AH224" s="21"/>
      <c r="AI224" s="21"/>
      <c r="AJ224" s="21"/>
      <c r="AK224" s="21"/>
      <c r="AL224" s="21"/>
      <c r="AM224" s="21"/>
      <c r="AN224" s="21"/>
    </row>
    <row r="225" spans="1:40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  <c r="AE225" s="21"/>
      <c r="AF225" s="21"/>
      <c r="AG225" s="21"/>
      <c r="AH225" s="21"/>
      <c r="AI225" s="21"/>
      <c r="AJ225" s="21"/>
      <c r="AK225" s="21"/>
      <c r="AL225" s="21"/>
      <c r="AM225" s="21"/>
      <c r="AN225" s="21"/>
    </row>
    <row r="226" spans="1:40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  <c r="AE226" s="21"/>
      <c r="AF226" s="21"/>
      <c r="AG226" s="21"/>
      <c r="AH226" s="21"/>
      <c r="AI226" s="21"/>
      <c r="AJ226" s="21"/>
      <c r="AK226" s="21"/>
      <c r="AL226" s="21"/>
      <c r="AM226" s="21"/>
      <c r="AN226" s="21"/>
    </row>
    <row r="227" spans="1:40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  <c r="AE227" s="21"/>
      <c r="AF227" s="21"/>
      <c r="AG227" s="21"/>
      <c r="AH227" s="21"/>
      <c r="AI227" s="21"/>
      <c r="AJ227" s="21"/>
      <c r="AK227" s="21"/>
      <c r="AL227" s="21"/>
      <c r="AM227" s="21"/>
      <c r="AN227" s="21"/>
    </row>
    <row r="228" spans="1:40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  <c r="AE228" s="21"/>
      <c r="AF228" s="21"/>
      <c r="AG228" s="21"/>
      <c r="AH228" s="21"/>
      <c r="AI228" s="21"/>
      <c r="AJ228" s="21"/>
      <c r="AK228" s="21"/>
      <c r="AL228" s="21"/>
      <c r="AM228" s="21"/>
      <c r="AN228" s="21"/>
    </row>
    <row r="229" spans="1:40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  <c r="AE229" s="21"/>
      <c r="AF229" s="21"/>
      <c r="AG229" s="21"/>
      <c r="AH229" s="21"/>
      <c r="AI229" s="21"/>
      <c r="AJ229" s="21"/>
      <c r="AK229" s="21"/>
      <c r="AL229" s="21"/>
      <c r="AM229" s="21"/>
      <c r="AN229" s="21"/>
    </row>
    <row r="230" spans="1:40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  <c r="AE230" s="21"/>
      <c r="AF230" s="21"/>
      <c r="AG230" s="21"/>
      <c r="AH230" s="21"/>
      <c r="AI230" s="21"/>
      <c r="AJ230" s="21"/>
      <c r="AK230" s="21"/>
      <c r="AL230" s="21"/>
      <c r="AM230" s="21"/>
      <c r="AN230" s="21"/>
    </row>
    <row r="231" spans="1:40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  <c r="AE231" s="21"/>
      <c r="AF231" s="21"/>
      <c r="AG231" s="21"/>
      <c r="AH231" s="21"/>
      <c r="AI231" s="21"/>
      <c r="AJ231" s="21"/>
      <c r="AK231" s="21"/>
      <c r="AL231" s="21"/>
      <c r="AM231" s="21"/>
      <c r="AN231" s="21"/>
    </row>
    <row r="232" spans="1:40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  <c r="AE232" s="21"/>
      <c r="AF232" s="21"/>
      <c r="AG232" s="21"/>
      <c r="AH232" s="21"/>
      <c r="AI232" s="21"/>
      <c r="AJ232" s="21"/>
      <c r="AK232" s="21"/>
      <c r="AL232" s="21"/>
      <c r="AM232" s="21"/>
      <c r="AN232" s="21"/>
    </row>
    <row r="233" spans="1:40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  <c r="AE233" s="21"/>
      <c r="AF233" s="21"/>
      <c r="AG233" s="21"/>
      <c r="AH233" s="21"/>
      <c r="AI233" s="21"/>
      <c r="AJ233" s="21"/>
      <c r="AK233" s="21"/>
      <c r="AL233" s="21"/>
      <c r="AM233" s="21"/>
      <c r="AN233" s="21"/>
    </row>
    <row r="234" spans="1:40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  <c r="AE234" s="21"/>
      <c r="AF234" s="21"/>
      <c r="AG234" s="21"/>
      <c r="AH234" s="21"/>
      <c r="AI234" s="21"/>
      <c r="AJ234" s="21"/>
      <c r="AK234" s="21"/>
      <c r="AL234" s="21"/>
      <c r="AM234" s="21"/>
      <c r="AN234" s="21"/>
    </row>
    <row r="235" spans="1:40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  <c r="AE235" s="21"/>
      <c r="AF235" s="21"/>
      <c r="AG235" s="21"/>
      <c r="AH235" s="21"/>
      <c r="AI235" s="21"/>
      <c r="AJ235" s="21"/>
      <c r="AK235" s="21"/>
      <c r="AL235" s="21"/>
      <c r="AM235" s="21"/>
      <c r="AN235" s="21"/>
    </row>
    <row r="236" spans="1:40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  <c r="AE236" s="21"/>
      <c r="AF236" s="21"/>
      <c r="AG236" s="21"/>
      <c r="AH236" s="21"/>
      <c r="AI236" s="21"/>
      <c r="AJ236" s="21"/>
      <c r="AK236" s="21"/>
      <c r="AL236" s="21"/>
      <c r="AM236" s="21"/>
      <c r="AN236" s="21"/>
    </row>
    <row r="237" spans="1:40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  <c r="AE237" s="21"/>
      <c r="AF237" s="21"/>
      <c r="AG237" s="21"/>
      <c r="AH237" s="21"/>
      <c r="AI237" s="21"/>
      <c r="AJ237" s="21"/>
      <c r="AK237" s="21"/>
      <c r="AL237" s="21"/>
      <c r="AM237" s="21"/>
      <c r="AN237" s="21"/>
    </row>
    <row r="238" spans="1:40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  <c r="AE238" s="21"/>
      <c r="AF238" s="21"/>
      <c r="AG238" s="21"/>
      <c r="AH238" s="21"/>
      <c r="AI238" s="21"/>
      <c r="AJ238" s="21"/>
      <c r="AK238" s="21"/>
      <c r="AL238" s="21"/>
      <c r="AM238" s="21"/>
      <c r="AN238" s="21"/>
    </row>
    <row r="239" spans="1:40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  <c r="AE239" s="21"/>
      <c r="AF239" s="21"/>
      <c r="AG239" s="21"/>
      <c r="AH239" s="21"/>
      <c r="AI239" s="21"/>
      <c r="AJ239" s="21"/>
      <c r="AK239" s="21"/>
      <c r="AL239" s="21"/>
      <c r="AM239" s="21"/>
      <c r="AN239" s="21"/>
    </row>
    <row r="240" spans="1:40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  <c r="AE240" s="21"/>
      <c r="AF240" s="21"/>
      <c r="AG240" s="21"/>
      <c r="AH240" s="21"/>
      <c r="AI240" s="21"/>
      <c r="AJ240" s="21"/>
      <c r="AK240" s="21"/>
      <c r="AL240" s="21"/>
      <c r="AM240" s="21"/>
      <c r="AN240" s="21"/>
    </row>
    <row r="241" spans="1:40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  <c r="AE241" s="21"/>
      <c r="AF241" s="21"/>
      <c r="AG241" s="21"/>
      <c r="AH241" s="21"/>
      <c r="AI241" s="21"/>
      <c r="AJ241" s="21"/>
      <c r="AK241" s="21"/>
      <c r="AL241" s="21"/>
      <c r="AM241" s="21"/>
      <c r="AN241" s="21"/>
    </row>
    <row r="242" spans="1:40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  <c r="AE242" s="21"/>
      <c r="AF242" s="21"/>
      <c r="AG242" s="21"/>
      <c r="AH242" s="21"/>
      <c r="AI242" s="21"/>
      <c r="AJ242" s="21"/>
      <c r="AK242" s="21"/>
      <c r="AL242" s="21"/>
      <c r="AM242" s="21"/>
      <c r="AN242" s="21"/>
    </row>
    <row r="243" spans="1:40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  <c r="AE243" s="21"/>
      <c r="AF243" s="21"/>
      <c r="AG243" s="21"/>
      <c r="AH243" s="21"/>
      <c r="AI243" s="21"/>
      <c r="AJ243" s="21"/>
      <c r="AK243" s="21"/>
      <c r="AL243" s="21"/>
      <c r="AM243" s="21"/>
      <c r="AN243" s="21"/>
    </row>
    <row r="244" spans="1:40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  <c r="AE244" s="21"/>
      <c r="AF244" s="21"/>
      <c r="AG244" s="21"/>
      <c r="AH244" s="21"/>
      <c r="AI244" s="21"/>
      <c r="AJ244" s="21"/>
      <c r="AK244" s="21"/>
      <c r="AL244" s="21"/>
      <c r="AM244" s="21"/>
      <c r="AN244" s="21"/>
    </row>
    <row r="245" spans="1:40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  <c r="AE245" s="21"/>
      <c r="AF245" s="21"/>
      <c r="AG245" s="21"/>
      <c r="AH245" s="21"/>
      <c r="AI245" s="21"/>
      <c r="AJ245" s="21"/>
      <c r="AK245" s="21"/>
      <c r="AL245" s="21"/>
      <c r="AM245" s="21"/>
      <c r="AN245" s="21"/>
    </row>
    <row r="246" spans="1:40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  <c r="AE246" s="21"/>
      <c r="AF246" s="21"/>
      <c r="AG246" s="21"/>
      <c r="AH246" s="21"/>
      <c r="AI246" s="21"/>
      <c r="AJ246" s="21"/>
      <c r="AK246" s="21"/>
      <c r="AL246" s="21"/>
      <c r="AM246" s="21"/>
      <c r="AN246" s="21"/>
    </row>
    <row r="247" spans="1:40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  <c r="AE247" s="21"/>
      <c r="AF247" s="21"/>
      <c r="AG247" s="21"/>
      <c r="AH247" s="21"/>
      <c r="AI247" s="21"/>
      <c r="AJ247" s="21"/>
      <c r="AK247" s="21"/>
      <c r="AL247" s="21"/>
      <c r="AM247" s="21"/>
      <c r="AN247" s="21"/>
    </row>
    <row r="248" spans="1:40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  <c r="AE248" s="21"/>
      <c r="AF248" s="21"/>
      <c r="AG248" s="21"/>
      <c r="AH248" s="21"/>
      <c r="AI248" s="21"/>
      <c r="AJ248" s="21"/>
      <c r="AK248" s="21"/>
      <c r="AL248" s="21"/>
      <c r="AM248" s="21"/>
      <c r="AN248" s="21"/>
    </row>
    <row r="249" spans="1:40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  <c r="AE249" s="21"/>
      <c r="AF249" s="21"/>
      <c r="AG249" s="21"/>
      <c r="AH249" s="21"/>
      <c r="AI249" s="21"/>
      <c r="AJ249" s="21"/>
      <c r="AK249" s="21"/>
      <c r="AL249" s="21"/>
      <c r="AM249" s="21"/>
      <c r="AN249" s="21"/>
    </row>
    <row r="250" spans="1:40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  <c r="AE250" s="21"/>
      <c r="AF250" s="21"/>
      <c r="AG250" s="21"/>
      <c r="AH250" s="21"/>
      <c r="AI250" s="21"/>
      <c r="AJ250" s="21"/>
      <c r="AK250" s="21"/>
      <c r="AL250" s="21"/>
      <c r="AM250" s="21"/>
      <c r="AN250" s="21"/>
    </row>
    <row r="251" spans="1:40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  <c r="AE251" s="21"/>
      <c r="AF251" s="21"/>
      <c r="AG251" s="21"/>
      <c r="AH251" s="21"/>
      <c r="AI251" s="21"/>
      <c r="AJ251" s="21"/>
      <c r="AK251" s="21"/>
      <c r="AL251" s="21"/>
      <c r="AM251" s="21"/>
      <c r="AN251" s="21"/>
    </row>
    <row r="252" spans="1:40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  <c r="AE252" s="21"/>
      <c r="AF252" s="21"/>
      <c r="AG252" s="21"/>
      <c r="AH252" s="21"/>
      <c r="AI252" s="21"/>
      <c r="AJ252" s="21"/>
      <c r="AK252" s="21"/>
      <c r="AL252" s="21"/>
      <c r="AM252" s="21"/>
      <c r="AN252" s="21"/>
    </row>
    <row r="253" spans="1:40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  <c r="AE253" s="21"/>
      <c r="AF253" s="21"/>
      <c r="AG253" s="21"/>
      <c r="AH253" s="21"/>
      <c r="AI253" s="21"/>
      <c r="AJ253" s="21"/>
      <c r="AK253" s="21"/>
      <c r="AL253" s="21"/>
      <c r="AM253" s="21"/>
      <c r="AN253" s="21"/>
    </row>
    <row r="254" spans="1:40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  <c r="AE254" s="21"/>
      <c r="AF254" s="21"/>
      <c r="AG254" s="21"/>
      <c r="AH254" s="21"/>
      <c r="AI254" s="21"/>
      <c r="AJ254" s="21"/>
      <c r="AK254" s="21"/>
      <c r="AL254" s="21"/>
      <c r="AM254" s="21"/>
      <c r="AN254" s="21"/>
    </row>
    <row r="255" spans="1:40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  <c r="AE255" s="21"/>
      <c r="AF255" s="21"/>
      <c r="AG255" s="21"/>
      <c r="AH255" s="21"/>
      <c r="AI255" s="21"/>
      <c r="AJ255" s="21"/>
      <c r="AK255" s="21"/>
      <c r="AL255" s="21"/>
      <c r="AM255" s="21"/>
      <c r="AN255" s="21"/>
    </row>
  </sheetData>
  <sheetProtection password="F056" sheet="1" objects="1" scenarios="1" selectLockedCells="1"/>
  <mergeCells count="42">
    <mergeCell ref="AN8:AN9"/>
    <mergeCell ref="AF8:AF9"/>
    <mergeCell ref="AB8:AC8"/>
    <mergeCell ref="AG7:AN7"/>
    <mergeCell ref="AD8:AE8"/>
    <mergeCell ref="X8:X9"/>
    <mergeCell ref="Y8:Y9"/>
    <mergeCell ref="AL8:AM8"/>
    <mergeCell ref="AG8:AG9"/>
    <mergeCell ref="P8:P9"/>
    <mergeCell ref="N8:O8"/>
    <mergeCell ref="AH8:AI8"/>
    <mergeCell ref="Z8:AA8"/>
    <mergeCell ref="I7:P7"/>
    <mergeCell ref="Y7:AF7"/>
    <mergeCell ref="A7:F9"/>
    <mergeCell ref="B66:C66"/>
    <mergeCell ref="J8:K8"/>
    <mergeCell ref="D45:F45"/>
    <mergeCell ref="L8:M8"/>
    <mergeCell ref="G7:G9"/>
    <mergeCell ref="I8:I9"/>
    <mergeCell ref="D46:F46"/>
    <mergeCell ref="A1:AN1"/>
    <mergeCell ref="Q7:X7"/>
    <mergeCell ref="Q8:Q9"/>
    <mergeCell ref="R8:S8"/>
    <mergeCell ref="T8:U8"/>
    <mergeCell ref="D52:F52"/>
    <mergeCell ref="AJ8:AK8"/>
    <mergeCell ref="D51:F51"/>
    <mergeCell ref="V8:W8"/>
    <mergeCell ref="H7:H9"/>
    <mergeCell ref="B129:F129"/>
    <mergeCell ref="D106:F106"/>
    <mergeCell ref="D117:F117"/>
    <mergeCell ref="E124:F124"/>
    <mergeCell ref="E128:F128"/>
    <mergeCell ref="C44:F44"/>
    <mergeCell ref="B65:F65"/>
    <mergeCell ref="B64:F64"/>
    <mergeCell ref="C63:F63"/>
  </mergeCells>
  <phoneticPr fontId="0" type="noConversion"/>
  <dataValidations count="2">
    <dataValidation type="decimal" operator="lessThan" allowBlank="1" showInputMessage="1" showErrorMessage="1" sqref="AJ63:AK63 AH59:AI59 AB60:AC90 AD10:AF90 AB10:AC58 T60:U90 V10:AA90 T10:U58 I10:K90 N10:S90 L10:M58 L60:M90">
      <formula1>1000000000000000</formula1>
    </dataValidation>
    <dataValidation operator="lessThan" allowBlank="1" showInputMessage="1" showErrorMessage="1" sqref="AL63:AN63 AG64:AN91 AG63:AI63 AG10:AN58 AG60:AN62 AG59 AJ59:AN59 AB59:AC59 T59:U59 L59:M59"/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6&amp;8&amp;U
&amp;P of &amp;N&amp;C&amp;"Arial,Bold"&amp;8 MAXIMUM SAVINGS BANK, INC.  [ 03-070011 ]
 As of: June 30, 2019</oddHeader>
  </headerFooter>
  <drawing r:id="rId2"/>
  <legacyDrawing r:id="rId3"/>
  <controls>
    <mc:AlternateContent xmlns:mc="http://schemas.openxmlformats.org/markup-compatibility/2006">
      <mc:Choice Requires="x14">
        <control shapeId="7169" r:id="rId4" name="Label1">
          <controlPr defaultSize="0" autoLine="0" r:id="rId5">
            <anchor moveWithCells="1">
              <from>
                <xdr:col>7</xdr:col>
                <xdr:colOff>295275</xdr:colOff>
                <xdr:row>17</xdr:row>
                <xdr:rowOff>28575</xdr:rowOff>
              </from>
              <to>
                <xdr:col>7</xdr:col>
                <xdr:colOff>685800</xdr:colOff>
                <xdr:row>18</xdr:row>
                <xdr:rowOff>19050</xdr:rowOff>
              </to>
            </anchor>
          </controlPr>
        </control>
      </mc:Choice>
      <mc:Fallback>
        <control shapeId="7169" r:id="rId4" name="Label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F257"/>
  <sheetViews>
    <sheetView zoomScale="75" zoomScaleNormal="9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3" sqref="I13"/>
    </sheetView>
  </sheetViews>
  <sheetFormatPr defaultRowHeight="11.25" x14ac:dyDescent="0.2"/>
  <cols>
    <col min="1" max="1" width="2.7109375" style="1" customWidth="1"/>
    <col min="2" max="2" width="3.5703125" style="1" customWidth="1"/>
    <col min="3" max="3" width="3" style="1" customWidth="1"/>
    <col min="4" max="4" width="28.140625" style="1" customWidth="1"/>
    <col min="5" max="5" width="26.7109375" style="1" hidden="1" customWidth="1"/>
    <col min="6" max="6" width="21.42578125" style="1" hidden="1" customWidth="1"/>
    <col min="7" max="7" width="17.28515625" style="9" customWidth="1"/>
    <col min="8" max="8" width="16.5703125" style="9" hidden="1" customWidth="1"/>
    <col min="9" max="13" width="20.7109375" style="1" customWidth="1"/>
    <col min="14" max="15" width="20.7109375" style="1" hidden="1" customWidth="1"/>
    <col min="16" max="16" width="20.7109375" style="1" customWidth="1"/>
    <col min="17" max="17" width="10.7109375" style="1" customWidth="1"/>
    <col min="18" max="155" width="25.7109375" style="1" customWidth="1"/>
    <col min="156" max="16384" width="9.140625" style="1"/>
  </cols>
  <sheetData>
    <row r="1" spans="1:16" ht="12.75" x14ac:dyDescent="0.2">
      <c r="A1" s="512" t="s">
        <v>795</v>
      </c>
      <c r="B1" s="512"/>
      <c r="C1" s="512"/>
      <c r="D1" s="512"/>
      <c r="E1" s="512"/>
      <c r="F1" s="512"/>
      <c r="G1" s="512"/>
      <c r="H1" s="512"/>
      <c r="I1" s="512"/>
      <c r="J1" s="512"/>
      <c r="K1" s="512"/>
      <c r="L1" s="512"/>
      <c r="M1" s="512"/>
      <c r="N1" s="512"/>
      <c r="O1" s="512"/>
      <c r="P1" s="512"/>
    </row>
    <row r="2" spans="1:16" hidden="1" x14ac:dyDescent="0.2"/>
    <row r="3" spans="1:16" hidden="1" x14ac:dyDescent="0.2"/>
    <row r="4" spans="1:16" hidden="1" x14ac:dyDescent="0.2"/>
    <row r="6" spans="1:16" s="11" customFormat="1" ht="12.75" customHeight="1" x14ac:dyDescent="0.2">
      <c r="A6" s="504" t="s">
        <v>0</v>
      </c>
      <c r="B6" s="505"/>
      <c r="C6" s="505"/>
      <c r="D6" s="505"/>
      <c r="E6" s="505"/>
      <c r="F6" s="506"/>
      <c r="G6" s="496" t="s">
        <v>2</v>
      </c>
      <c r="H6" s="45"/>
      <c r="I6" s="505" t="s">
        <v>72</v>
      </c>
      <c r="J6" s="576"/>
      <c r="K6" s="576"/>
      <c r="L6" s="576"/>
      <c r="M6" s="576"/>
      <c r="N6" s="576"/>
      <c r="O6" s="576"/>
      <c r="P6" s="577"/>
    </row>
    <row r="7" spans="1:16" s="11" customFormat="1" x14ac:dyDescent="0.2">
      <c r="A7" s="507"/>
      <c r="B7" s="508"/>
      <c r="C7" s="508"/>
      <c r="D7" s="508"/>
      <c r="E7" s="508"/>
      <c r="F7" s="509"/>
      <c r="G7" s="497"/>
      <c r="I7" s="529"/>
      <c r="J7" s="529"/>
      <c r="K7" s="529"/>
      <c r="L7" s="529"/>
      <c r="M7" s="529"/>
      <c r="N7" s="529"/>
      <c r="O7" s="529"/>
      <c r="P7" s="530"/>
    </row>
    <row r="8" spans="1:16" s="2" customFormat="1" x14ac:dyDescent="0.2">
      <c r="A8" s="507"/>
      <c r="B8" s="508"/>
      <c r="C8" s="508"/>
      <c r="D8" s="508"/>
      <c r="E8" s="508"/>
      <c r="F8" s="509"/>
      <c r="G8" s="497"/>
      <c r="H8" s="47"/>
      <c r="I8" s="509" t="s">
        <v>3</v>
      </c>
      <c r="J8" s="491" t="s">
        <v>4</v>
      </c>
      <c r="K8" s="492"/>
      <c r="L8" s="491" t="s">
        <v>7</v>
      </c>
      <c r="M8" s="510"/>
      <c r="N8" s="491" t="s">
        <v>391</v>
      </c>
      <c r="O8" s="510"/>
      <c r="P8" s="497" t="s">
        <v>68</v>
      </c>
    </row>
    <row r="9" spans="1:16" s="2" customFormat="1" x14ac:dyDescent="0.2">
      <c r="A9" s="507"/>
      <c r="B9" s="508"/>
      <c r="C9" s="508"/>
      <c r="D9" s="508"/>
      <c r="E9" s="510"/>
      <c r="F9" s="492"/>
      <c r="G9" s="498"/>
      <c r="H9" s="44"/>
      <c r="I9" s="492"/>
      <c r="J9" s="8" t="s">
        <v>5</v>
      </c>
      <c r="K9" s="8" t="s">
        <v>6</v>
      </c>
      <c r="L9" s="8" t="s">
        <v>5</v>
      </c>
      <c r="M9" s="10" t="s">
        <v>6</v>
      </c>
      <c r="N9" s="8" t="s">
        <v>5</v>
      </c>
      <c r="O9" s="10" t="s">
        <v>6</v>
      </c>
      <c r="P9" s="498"/>
    </row>
    <row r="10" spans="1:16" x14ac:dyDescent="0.2">
      <c r="A10" s="119" t="s">
        <v>185</v>
      </c>
      <c r="B10" s="120"/>
      <c r="C10" s="120"/>
      <c r="D10" s="121"/>
      <c r="E10" s="125"/>
      <c r="F10" s="63"/>
      <c r="G10" s="18"/>
      <c r="H10" s="18"/>
      <c r="I10" s="29"/>
      <c r="J10" s="29"/>
      <c r="K10" s="29"/>
      <c r="L10" s="29"/>
      <c r="M10" s="29"/>
      <c r="N10" s="29"/>
      <c r="O10" s="29"/>
      <c r="P10" s="29"/>
    </row>
    <row r="11" spans="1:16" x14ac:dyDescent="0.2">
      <c r="A11" s="116" t="s">
        <v>186</v>
      </c>
      <c r="B11" s="115" t="s">
        <v>187</v>
      </c>
      <c r="C11" s="124"/>
      <c r="D11" s="125"/>
      <c r="E11" s="125"/>
      <c r="F11" s="63"/>
      <c r="G11" s="460" t="s">
        <v>521</v>
      </c>
      <c r="H11" s="18"/>
      <c r="I11" s="29">
        <f>SUM(I12,I18,I24,I29,I34,I39)</f>
        <v>0</v>
      </c>
      <c r="J11" s="29">
        <f t="shared" ref="J11:O11" si="0">SUM(J12,J18,J24,J29,J34,J39)</f>
        <v>0</v>
      </c>
      <c r="K11" s="29">
        <f t="shared" si="0"/>
        <v>0</v>
      </c>
      <c r="L11" s="29">
        <f t="shared" si="0"/>
        <v>0</v>
      </c>
      <c r="M11" s="29">
        <f t="shared" si="0"/>
        <v>0</v>
      </c>
      <c r="N11" s="29">
        <f t="shared" si="0"/>
        <v>0</v>
      </c>
      <c r="O11" s="29">
        <f t="shared" si="0"/>
        <v>0</v>
      </c>
      <c r="P11" s="29">
        <f>SUM(I11,K11,M11, O11)</f>
        <v>0</v>
      </c>
    </row>
    <row r="12" spans="1:16" x14ac:dyDescent="0.2">
      <c r="A12" s="127"/>
      <c r="B12" s="39" t="s">
        <v>188</v>
      </c>
      <c r="C12" s="39" t="s">
        <v>189</v>
      </c>
      <c r="D12" s="128"/>
      <c r="E12" s="125"/>
      <c r="F12" s="63"/>
      <c r="G12" s="460" t="s">
        <v>523</v>
      </c>
      <c r="H12" s="18"/>
      <c r="I12" s="29">
        <f t="shared" ref="I12:O12" si="1">SUM(I13,I14,I15,I16,I17)</f>
        <v>0</v>
      </c>
      <c r="J12" s="29">
        <f t="shared" si="1"/>
        <v>0</v>
      </c>
      <c r="K12" s="29">
        <f t="shared" si="1"/>
        <v>0</v>
      </c>
      <c r="L12" s="29">
        <f t="shared" si="1"/>
        <v>0</v>
      </c>
      <c r="M12" s="29">
        <f t="shared" si="1"/>
        <v>0</v>
      </c>
      <c r="N12" s="29">
        <f t="shared" si="1"/>
        <v>0</v>
      </c>
      <c r="O12" s="29">
        <f t="shared" si="1"/>
        <v>0</v>
      </c>
      <c r="P12" s="29">
        <f t="shared" ref="P12:P70" si="2">SUM(I12,K12,M12, O12)</f>
        <v>0</v>
      </c>
    </row>
    <row r="13" spans="1:16" x14ac:dyDescent="0.2">
      <c r="A13" s="129"/>
      <c r="B13" s="124"/>
      <c r="C13" s="130">
        <v>-1</v>
      </c>
      <c r="D13" s="125" t="s">
        <v>296</v>
      </c>
      <c r="E13" s="125"/>
      <c r="F13" s="63"/>
      <c r="G13" s="460" t="s">
        <v>639</v>
      </c>
      <c r="H13" s="18"/>
      <c r="I13" s="61"/>
      <c r="J13" s="61"/>
      <c r="K13" s="61"/>
      <c r="L13" s="61"/>
      <c r="M13" s="61"/>
      <c r="N13" s="61"/>
      <c r="O13" s="61"/>
      <c r="P13" s="29">
        <f t="shared" si="2"/>
        <v>0</v>
      </c>
    </row>
    <row r="14" spans="1:16" x14ac:dyDescent="0.2">
      <c r="A14" s="127"/>
      <c r="B14" s="39"/>
      <c r="C14" s="131">
        <f>C13-1</f>
        <v>-2</v>
      </c>
      <c r="D14" s="128" t="s">
        <v>297</v>
      </c>
      <c r="E14" s="125"/>
      <c r="F14" s="63"/>
      <c r="G14" s="460" t="s">
        <v>640</v>
      </c>
      <c r="H14" s="18"/>
      <c r="I14" s="61"/>
      <c r="J14" s="60"/>
      <c r="K14" s="60"/>
      <c r="L14" s="60"/>
      <c r="M14" s="60"/>
      <c r="N14" s="82"/>
      <c r="O14" s="82"/>
      <c r="P14" s="29">
        <f t="shared" si="2"/>
        <v>0</v>
      </c>
    </row>
    <row r="15" spans="1:16" x14ac:dyDescent="0.2">
      <c r="A15" s="129"/>
      <c r="B15" s="124"/>
      <c r="C15" s="130">
        <f>C14-1</f>
        <v>-3</v>
      </c>
      <c r="D15" s="125" t="s">
        <v>298</v>
      </c>
      <c r="E15" s="125"/>
      <c r="F15" s="63"/>
      <c r="G15" s="460" t="s">
        <v>641</v>
      </c>
      <c r="H15" s="18"/>
      <c r="I15" s="61"/>
      <c r="J15" s="61"/>
      <c r="K15" s="61"/>
      <c r="L15" s="61"/>
      <c r="M15" s="61"/>
      <c r="N15" s="61"/>
      <c r="O15" s="61"/>
      <c r="P15" s="29">
        <f t="shared" si="2"/>
        <v>0</v>
      </c>
    </row>
    <row r="16" spans="1:16" x14ac:dyDescent="0.2">
      <c r="A16" s="127"/>
      <c r="B16" s="39"/>
      <c r="C16" s="131">
        <f>C15-1</f>
        <v>-4</v>
      </c>
      <c r="D16" s="128" t="s">
        <v>299</v>
      </c>
      <c r="E16" s="125"/>
      <c r="F16" s="63"/>
      <c r="G16" s="460" t="s">
        <v>642</v>
      </c>
      <c r="H16" s="18"/>
      <c r="I16" s="61"/>
      <c r="J16" s="61"/>
      <c r="K16" s="61"/>
      <c r="L16" s="61"/>
      <c r="M16" s="61"/>
      <c r="N16" s="61"/>
      <c r="O16" s="61"/>
      <c r="P16" s="29">
        <f t="shared" si="2"/>
        <v>0</v>
      </c>
    </row>
    <row r="17" spans="1:16" x14ac:dyDescent="0.2">
      <c r="A17" s="129"/>
      <c r="B17" s="124"/>
      <c r="C17" s="130">
        <f>C16-1</f>
        <v>-5</v>
      </c>
      <c r="D17" s="125" t="s">
        <v>300</v>
      </c>
      <c r="E17" s="125"/>
      <c r="F17" s="63"/>
      <c r="G17" s="460" t="s">
        <v>643</v>
      </c>
      <c r="H17" s="18"/>
      <c r="I17" s="62"/>
      <c r="J17" s="62"/>
      <c r="K17" s="62"/>
      <c r="L17" s="62"/>
      <c r="M17" s="62"/>
      <c r="N17" s="82"/>
      <c r="O17" s="82"/>
      <c r="P17" s="29">
        <f t="shared" si="2"/>
        <v>0</v>
      </c>
    </row>
    <row r="18" spans="1:16" x14ac:dyDescent="0.2">
      <c r="A18" s="127"/>
      <c r="B18" s="39" t="s">
        <v>195</v>
      </c>
      <c r="C18" s="39" t="s">
        <v>326</v>
      </c>
      <c r="D18" s="128"/>
      <c r="E18" s="125"/>
      <c r="F18" s="63"/>
      <c r="G18" s="460" t="s">
        <v>524</v>
      </c>
      <c r="H18" s="18"/>
      <c r="I18" s="29">
        <f t="shared" ref="I18:O18" si="3">SUM(I19,I20,I21,I22,I23)</f>
        <v>0</v>
      </c>
      <c r="J18" s="295"/>
      <c r="K18" s="295"/>
      <c r="L18" s="295"/>
      <c r="M18" s="295"/>
      <c r="N18" s="29">
        <f t="shared" si="3"/>
        <v>0</v>
      </c>
      <c r="O18" s="29">
        <f t="shared" si="3"/>
        <v>0</v>
      </c>
      <c r="P18" s="29">
        <f t="shared" si="2"/>
        <v>0</v>
      </c>
    </row>
    <row r="19" spans="1:16" x14ac:dyDescent="0.2">
      <c r="A19" s="129"/>
      <c r="B19" s="124"/>
      <c r="C19" s="130">
        <v>-1</v>
      </c>
      <c r="D19" s="125" t="s">
        <v>296</v>
      </c>
      <c r="E19" s="125"/>
      <c r="F19" s="63"/>
      <c r="G19" s="460" t="s">
        <v>858</v>
      </c>
      <c r="H19" s="18"/>
      <c r="I19" s="61"/>
      <c r="J19" s="303"/>
      <c r="K19" s="303"/>
      <c r="L19" s="303"/>
      <c r="M19" s="303"/>
      <c r="N19" s="61"/>
      <c r="O19" s="61"/>
      <c r="P19" s="29">
        <f t="shared" si="2"/>
        <v>0</v>
      </c>
    </row>
    <row r="20" spans="1:16" x14ac:dyDescent="0.2">
      <c r="A20" s="127"/>
      <c r="B20" s="39"/>
      <c r="C20" s="131">
        <f>C19-1</f>
        <v>-2</v>
      </c>
      <c r="D20" s="128" t="s">
        <v>297</v>
      </c>
      <c r="E20" s="125"/>
      <c r="F20" s="63"/>
      <c r="G20" s="460" t="s">
        <v>859</v>
      </c>
      <c r="H20" s="18"/>
      <c r="I20" s="61"/>
      <c r="J20" s="79"/>
      <c r="K20" s="79"/>
      <c r="L20" s="79"/>
      <c r="M20" s="79"/>
      <c r="N20" s="82"/>
      <c r="O20" s="82"/>
      <c r="P20" s="29">
        <f t="shared" si="2"/>
        <v>0</v>
      </c>
    </row>
    <row r="21" spans="1:16" x14ac:dyDescent="0.2">
      <c r="A21" s="129"/>
      <c r="B21" s="124"/>
      <c r="C21" s="130">
        <f>C20-1</f>
        <v>-3</v>
      </c>
      <c r="D21" s="125" t="s">
        <v>298</v>
      </c>
      <c r="E21" s="125"/>
      <c r="F21" s="63"/>
      <c r="G21" s="460" t="s">
        <v>860</v>
      </c>
      <c r="H21" s="18"/>
      <c r="I21" s="61"/>
      <c r="J21" s="303"/>
      <c r="K21" s="303"/>
      <c r="L21" s="303"/>
      <c r="M21" s="303"/>
      <c r="N21" s="61"/>
      <c r="O21" s="61"/>
      <c r="P21" s="29">
        <f t="shared" si="2"/>
        <v>0</v>
      </c>
    </row>
    <row r="22" spans="1:16" x14ac:dyDescent="0.2">
      <c r="A22" s="127"/>
      <c r="B22" s="39"/>
      <c r="C22" s="131">
        <f>C21-1</f>
        <v>-4</v>
      </c>
      <c r="D22" s="128" t="s">
        <v>299</v>
      </c>
      <c r="E22" s="125"/>
      <c r="F22" s="63"/>
      <c r="G22" s="460" t="s">
        <v>861</v>
      </c>
      <c r="H22" s="18"/>
      <c r="I22" s="61"/>
      <c r="J22" s="303"/>
      <c r="K22" s="303"/>
      <c r="L22" s="303"/>
      <c r="M22" s="303"/>
      <c r="N22" s="61"/>
      <c r="O22" s="61"/>
      <c r="P22" s="29">
        <f t="shared" si="2"/>
        <v>0</v>
      </c>
    </row>
    <row r="23" spans="1:16" x14ac:dyDescent="0.2">
      <c r="A23" s="129"/>
      <c r="B23" s="124"/>
      <c r="C23" s="130">
        <f>C22-1</f>
        <v>-5</v>
      </c>
      <c r="D23" s="125" t="s">
        <v>300</v>
      </c>
      <c r="E23" s="125"/>
      <c r="F23" s="63"/>
      <c r="G23" s="460" t="s">
        <v>862</v>
      </c>
      <c r="H23" s="18"/>
      <c r="I23" s="62"/>
      <c r="J23" s="79"/>
      <c r="K23" s="79"/>
      <c r="L23" s="79"/>
      <c r="M23" s="79"/>
      <c r="N23" s="82"/>
      <c r="O23" s="82"/>
      <c r="P23" s="29">
        <f t="shared" si="2"/>
        <v>0</v>
      </c>
    </row>
    <row r="24" spans="1:16" x14ac:dyDescent="0.2">
      <c r="A24" s="301"/>
      <c r="B24" s="130" t="s">
        <v>197</v>
      </c>
      <c r="C24" s="130" t="s">
        <v>837</v>
      </c>
      <c r="D24" s="130"/>
      <c r="E24" s="125"/>
      <c r="F24" s="63"/>
      <c r="G24" s="460" t="s">
        <v>525</v>
      </c>
      <c r="H24" s="18"/>
      <c r="I24" s="29">
        <f>SUM(I25,I26,I27,I28)</f>
        <v>0</v>
      </c>
      <c r="J24" s="29">
        <f t="shared" ref="J24:O24" si="4">SUM(J25,J26,J27,J28)</f>
        <v>0</v>
      </c>
      <c r="K24" s="29">
        <f t="shared" si="4"/>
        <v>0</v>
      </c>
      <c r="L24" s="29">
        <f t="shared" si="4"/>
        <v>0</v>
      </c>
      <c r="M24" s="29">
        <f t="shared" si="4"/>
        <v>0</v>
      </c>
      <c r="N24" s="29">
        <f t="shared" si="4"/>
        <v>0</v>
      </c>
      <c r="O24" s="29">
        <f t="shared" si="4"/>
        <v>0</v>
      </c>
      <c r="P24" s="29">
        <f t="shared" si="2"/>
        <v>0</v>
      </c>
    </row>
    <row r="25" spans="1:16" x14ac:dyDescent="0.2">
      <c r="A25" s="302"/>
      <c r="B25" s="130"/>
      <c r="C25" s="130">
        <v>-1</v>
      </c>
      <c r="D25" s="130" t="s">
        <v>296</v>
      </c>
      <c r="E25" s="125"/>
      <c r="F25" s="63"/>
      <c r="G25" s="460" t="s">
        <v>863</v>
      </c>
      <c r="H25" s="18"/>
      <c r="I25" s="62"/>
      <c r="J25" s="62"/>
      <c r="K25" s="62"/>
      <c r="L25" s="62"/>
      <c r="M25" s="62"/>
      <c r="N25" s="82"/>
      <c r="O25" s="82"/>
      <c r="P25" s="29">
        <f t="shared" si="2"/>
        <v>0</v>
      </c>
    </row>
    <row r="26" spans="1:16" x14ac:dyDescent="0.2">
      <c r="A26" s="302"/>
      <c r="B26" s="130"/>
      <c r="C26" s="130">
        <v>-2</v>
      </c>
      <c r="D26" s="130" t="s">
        <v>298</v>
      </c>
      <c r="E26" s="125"/>
      <c r="F26" s="63"/>
      <c r="G26" s="460" t="s">
        <v>864</v>
      </c>
      <c r="H26" s="18"/>
      <c r="I26" s="62"/>
      <c r="J26" s="62"/>
      <c r="K26" s="62"/>
      <c r="L26" s="62"/>
      <c r="M26" s="62"/>
      <c r="N26" s="82"/>
      <c r="O26" s="82"/>
      <c r="P26" s="29">
        <f t="shared" si="2"/>
        <v>0</v>
      </c>
    </row>
    <row r="27" spans="1:16" x14ac:dyDescent="0.2">
      <c r="A27" s="301"/>
      <c r="B27" s="130"/>
      <c r="C27" s="130">
        <v>-3</v>
      </c>
      <c r="D27" s="130" t="s">
        <v>299</v>
      </c>
      <c r="E27" s="125"/>
      <c r="F27" s="63"/>
      <c r="G27" s="460" t="s">
        <v>865</v>
      </c>
      <c r="H27" s="18"/>
      <c r="I27" s="62"/>
      <c r="J27" s="62"/>
      <c r="K27" s="62"/>
      <c r="L27" s="62"/>
      <c r="M27" s="62"/>
      <c r="N27" s="82"/>
      <c r="O27" s="82"/>
      <c r="P27" s="29">
        <f t="shared" si="2"/>
        <v>0</v>
      </c>
    </row>
    <row r="28" spans="1:16" x14ac:dyDescent="0.2">
      <c r="A28" s="302"/>
      <c r="B28" s="130"/>
      <c r="C28" s="130">
        <v>-4</v>
      </c>
      <c r="D28" s="130" t="s">
        <v>300</v>
      </c>
      <c r="E28" s="125"/>
      <c r="F28" s="63"/>
      <c r="G28" s="460" t="s">
        <v>866</v>
      </c>
      <c r="H28" s="18"/>
      <c r="I28" s="62"/>
      <c r="J28" s="62"/>
      <c r="K28" s="62"/>
      <c r="L28" s="62"/>
      <c r="M28" s="62"/>
      <c r="N28" s="82"/>
      <c r="O28" s="82"/>
      <c r="P28" s="29">
        <f t="shared" si="2"/>
        <v>0</v>
      </c>
    </row>
    <row r="29" spans="1:16" x14ac:dyDescent="0.2">
      <c r="A29" s="127"/>
      <c r="B29" s="124" t="s">
        <v>201</v>
      </c>
      <c r="C29" s="131" t="s">
        <v>196</v>
      </c>
      <c r="D29" s="128"/>
      <c r="E29" s="125"/>
      <c r="F29" s="63"/>
      <c r="G29" s="460" t="s">
        <v>530</v>
      </c>
      <c r="H29" s="18"/>
      <c r="I29" s="29">
        <f t="shared" ref="I29:O29" si="5">SUM(I30,I31,I32,I33)</f>
        <v>0</v>
      </c>
      <c r="J29" s="29">
        <f t="shared" si="5"/>
        <v>0</v>
      </c>
      <c r="K29" s="29">
        <f t="shared" si="5"/>
        <v>0</v>
      </c>
      <c r="L29" s="29">
        <f t="shared" si="5"/>
        <v>0</v>
      </c>
      <c r="M29" s="29">
        <f t="shared" si="5"/>
        <v>0</v>
      </c>
      <c r="N29" s="29">
        <f t="shared" si="5"/>
        <v>0</v>
      </c>
      <c r="O29" s="29">
        <f t="shared" si="5"/>
        <v>0</v>
      </c>
      <c r="P29" s="29">
        <f t="shared" si="2"/>
        <v>0</v>
      </c>
    </row>
    <row r="30" spans="1:16" x14ac:dyDescent="0.2">
      <c r="A30" s="129"/>
      <c r="B30" s="124"/>
      <c r="C30" s="130">
        <v>-1</v>
      </c>
      <c r="D30" s="125" t="s">
        <v>296</v>
      </c>
      <c r="E30" s="125"/>
      <c r="F30" s="63"/>
      <c r="G30" s="460" t="s">
        <v>644</v>
      </c>
      <c r="H30" s="18"/>
      <c r="I30" s="61"/>
      <c r="J30" s="61"/>
      <c r="K30" s="61"/>
      <c r="L30" s="61"/>
      <c r="M30" s="61"/>
      <c r="N30" s="61"/>
      <c r="O30" s="61"/>
      <c r="P30" s="29">
        <f t="shared" si="2"/>
        <v>0</v>
      </c>
    </row>
    <row r="31" spans="1:16" x14ac:dyDescent="0.2">
      <c r="A31" s="127"/>
      <c r="B31" s="39"/>
      <c r="C31" s="131">
        <f>C30-1</f>
        <v>-2</v>
      </c>
      <c r="D31" s="128" t="s">
        <v>298</v>
      </c>
      <c r="E31" s="125"/>
      <c r="F31" s="63"/>
      <c r="G31" s="460" t="s">
        <v>645</v>
      </c>
      <c r="H31" s="18"/>
      <c r="I31" s="62"/>
      <c r="J31" s="62"/>
      <c r="K31" s="62"/>
      <c r="L31" s="62"/>
      <c r="M31" s="62"/>
      <c r="N31" s="62"/>
      <c r="O31" s="62"/>
      <c r="P31" s="29">
        <f t="shared" si="2"/>
        <v>0</v>
      </c>
    </row>
    <row r="32" spans="1:16" x14ac:dyDescent="0.2">
      <c r="A32" s="129"/>
      <c r="B32" s="124"/>
      <c r="C32" s="130">
        <f>C31-1</f>
        <v>-3</v>
      </c>
      <c r="D32" s="125" t="s">
        <v>299</v>
      </c>
      <c r="E32" s="125"/>
      <c r="F32" s="63"/>
      <c r="G32" s="460" t="s">
        <v>646</v>
      </c>
      <c r="H32" s="18"/>
      <c r="I32" s="62"/>
      <c r="J32" s="62"/>
      <c r="K32" s="62"/>
      <c r="L32" s="62"/>
      <c r="M32" s="62"/>
      <c r="N32" s="62"/>
      <c r="O32" s="62"/>
      <c r="P32" s="29">
        <f t="shared" si="2"/>
        <v>0</v>
      </c>
    </row>
    <row r="33" spans="1:240" x14ac:dyDescent="0.2">
      <c r="A33" s="127"/>
      <c r="B33" s="63"/>
      <c r="C33" s="131">
        <f>C32-1</f>
        <v>-4</v>
      </c>
      <c r="D33" s="128" t="s">
        <v>300</v>
      </c>
      <c r="E33" s="125"/>
      <c r="F33" s="63"/>
      <c r="G33" s="460" t="s">
        <v>647</v>
      </c>
      <c r="H33" s="18"/>
      <c r="I33" s="62"/>
      <c r="J33" s="62"/>
      <c r="K33" s="62"/>
      <c r="L33" s="62"/>
      <c r="M33" s="62"/>
      <c r="N33" s="82"/>
      <c r="O33" s="82"/>
      <c r="P33" s="29">
        <f t="shared" si="2"/>
        <v>0</v>
      </c>
    </row>
    <row r="34" spans="1:240" x14ac:dyDescent="0.2">
      <c r="A34" s="129"/>
      <c r="B34" s="63" t="s">
        <v>305</v>
      </c>
      <c r="C34" s="124" t="s">
        <v>198</v>
      </c>
      <c r="D34" s="125"/>
      <c r="E34" s="125"/>
      <c r="F34" s="63"/>
      <c r="G34" s="460" t="s">
        <v>531</v>
      </c>
      <c r="H34" s="18"/>
      <c r="I34" s="35">
        <f t="shared" ref="I34:O34" si="6">SUM(I35,I36,I37,I38)</f>
        <v>0</v>
      </c>
      <c r="J34" s="35">
        <f t="shared" si="6"/>
        <v>0</v>
      </c>
      <c r="K34" s="35">
        <f t="shared" si="6"/>
        <v>0</v>
      </c>
      <c r="L34" s="35">
        <f t="shared" si="6"/>
        <v>0</v>
      </c>
      <c r="M34" s="35">
        <f t="shared" si="6"/>
        <v>0</v>
      </c>
      <c r="N34" s="35">
        <f t="shared" si="6"/>
        <v>0</v>
      </c>
      <c r="O34" s="35">
        <f t="shared" si="6"/>
        <v>0</v>
      </c>
      <c r="P34" s="29">
        <f t="shared" si="2"/>
        <v>0</v>
      </c>
    </row>
    <row r="35" spans="1:240" x14ac:dyDescent="0.2">
      <c r="A35" s="127"/>
      <c r="B35" s="39"/>
      <c r="C35" s="131">
        <v>-1</v>
      </c>
      <c r="D35" s="128" t="s">
        <v>301</v>
      </c>
      <c r="E35" s="125"/>
      <c r="F35" s="63"/>
      <c r="G35" s="460" t="s">
        <v>648</v>
      </c>
      <c r="H35" s="18"/>
      <c r="I35" s="62"/>
      <c r="J35" s="62"/>
      <c r="K35" s="62"/>
      <c r="L35" s="62"/>
      <c r="M35" s="62"/>
      <c r="N35" s="62"/>
      <c r="O35" s="62"/>
      <c r="P35" s="29">
        <f t="shared" si="2"/>
        <v>0</v>
      </c>
    </row>
    <row r="36" spans="1:240" x14ac:dyDescent="0.2">
      <c r="A36" s="129"/>
      <c r="B36" s="124"/>
      <c r="C36" s="130">
        <f>C35-1</f>
        <v>-2</v>
      </c>
      <c r="D36" s="125" t="s">
        <v>302</v>
      </c>
      <c r="E36" s="125"/>
      <c r="F36" s="63"/>
      <c r="G36" s="460" t="s">
        <v>649</v>
      </c>
      <c r="H36" s="18"/>
      <c r="I36" s="62"/>
      <c r="J36" s="62"/>
      <c r="K36" s="62"/>
      <c r="L36" s="62"/>
      <c r="M36" s="62"/>
      <c r="N36" s="62"/>
      <c r="O36" s="62"/>
      <c r="P36" s="29">
        <f t="shared" si="2"/>
        <v>0</v>
      </c>
    </row>
    <row r="37" spans="1:240" s="16" customFormat="1" x14ac:dyDescent="0.2">
      <c r="A37" s="127"/>
      <c r="B37" s="39"/>
      <c r="C37" s="131">
        <f>C36-1</f>
        <v>-3</v>
      </c>
      <c r="D37" s="128" t="s">
        <v>303</v>
      </c>
      <c r="E37" s="125"/>
      <c r="F37" s="63"/>
      <c r="G37" s="460" t="s">
        <v>650</v>
      </c>
      <c r="H37" s="18"/>
      <c r="I37" s="62"/>
      <c r="J37" s="62"/>
      <c r="K37" s="62"/>
      <c r="L37" s="62"/>
      <c r="M37" s="62"/>
      <c r="N37" s="62"/>
      <c r="O37" s="62"/>
      <c r="P37" s="29">
        <f t="shared" si="2"/>
        <v>0</v>
      </c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1"/>
      <c r="CD37" s="21"/>
      <c r="CE37" s="21"/>
      <c r="CF37" s="21"/>
      <c r="CG37" s="21"/>
      <c r="CH37" s="21"/>
      <c r="CI37" s="21"/>
      <c r="CJ37" s="21"/>
      <c r="CK37" s="21"/>
      <c r="CL37" s="21"/>
      <c r="CM37" s="21"/>
      <c r="CN37" s="21"/>
      <c r="CO37" s="21"/>
      <c r="CP37" s="21"/>
      <c r="CQ37" s="21"/>
      <c r="CR37" s="21"/>
      <c r="CS37" s="21"/>
      <c r="CT37" s="21"/>
      <c r="CU37" s="21"/>
      <c r="CV37" s="21"/>
      <c r="CW37" s="21"/>
      <c r="CX37" s="21"/>
      <c r="CY37" s="21"/>
      <c r="CZ37" s="21"/>
      <c r="DA37" s="21"/>
      <c r="DB37" s="21"/>
      <c r="DC37" s="21"/>
      <c r="DD37" s="21"/>
      <c r="DE37" s="21"/>
      <c r="DF37" s="21"/>
      <c r="DG37" s="21"/>
      <c r="DH37" s="21"/>
      <c r="DI37" s="21"/>
      <c r="DJ37" s="21"/>
      <c r="DK37" s="21"/>
      <c r="DL37" s="21"/>
      <c r="DM37" s="21"/>
      <c r="DN37" s="21"/>
      <c r="DO37" s="21"/>
      <c r="DP37" s="21"/>
      <c r="DQ37" s="21"/>
      <c r="DR37" s="21"/>
      <c r="DS37" s="21"/>
      <c r="DT37" s="21"/>
      <c r="DU37" s="21"/>
      <c r="DV37" s="21"/>
      <c r="DW37" s="21"/>
      <c r="DX37" s="21"/>
      <c r="DY37" s="21"/>
      <c r="DZ37" s="21"/>
      <c r="EA37" s="21"/>
      <c r="EB37" s="21"/>
      <c r="EC37" s="21"/>
      <c r="ED37" s="21"/>
      <c r="EE37" s="21"/>
      <c r="EF37" s="21"/>
      <c r="EG37" s="21"/>
      <c r="EH37" s="21"/>
      <c r="EI37" s="21"/>
      <c r="EJ37" s="21"/>
      <c r="EK37" s="21"/>
      <c r="EL37" s="21"/>
      <c r="EM37" s="21"/>
      <c r="EN37" s="21"/>
      <c r="EO37" s="21"/>
      <c r="EP37" s="21"/>
      <c r="EQ37" s="21"/>
      <c r="ER37" s="21"/>
      <c r="ES37" s="21"/>
      <c r="ET37" s="21"/>
      <c r="EU37" s="21"/>
      <c r="EV37" s="21"/>
      <c r="EW37" s="21"/>
      <c r="EX37" s="21"/>
      <c r="EY37" s="21"/>
      <c r="EZ37" s="21"/>
      <c r="FA37" s="21"/>
      <c r="FB37" s="21"/>
      <c r="FC37" s="21"/>
      <c r="FD37" s="21"/>
      <c r="FE37" s="21"/>
      <c r="FF37" s="21"/>
      <c r="FG37" s="21"/>
      <c r="FH37" s="21"/>
      <c r="FI37" s="21"/>
      <c r="FJ37" s="21"/>
      <c r="FK37" s="21"/>
      <c r="FL37" s="21"/>
      <c r="FM37" s="21"/>
      <c r="FN37" s="21"/>
      <c r="FO37" s="21"/>
      <c r="FP37" s="21"/>
      <c r="FQ37" s="21"/>
      <c r="FR37" s="21"/>
      <c r="FS37" s="21"/>
      <c r="FT37" s="21"/>
      <c r="FU37" s="21"/>
      <c r="FV37" s="21"/>
      <c r="FW37" s="21"/>
      <c r="FX37" s="21"/>
      <c r="FY37" s="21"/>
      <c r="FZ37" s="21"/>
      <c r="GA37" s="21"/>
      <c r="GB37" s="21"/>
      <c r="GC37" s="21"/>
      <c r="GD37" s="21"/>
      <c r="GE37" s="21"/>
      <c r="GF37" s="21"/>
      <c r="GG37" s="21"/>
      <c r="GH37" s="21"/>
      <c r="GI37" s="21"/>
      <c r="GJ37" s="21"/>
      <c r="GK37" s="21"/>
      <c r="GL37" s="21"/>
      <c r="GM37" s="21"/>
      <c r="GN37" s="21"/>
      <c r="GO37" s="21"/>
      <c r="GP37" s="21"/>
      <c r="GQ37" s="21"/>
      <c r="GR37" s="21"/>
      <c r="GS37" s="21"/>
      <c r="GT37" s="21"/>
      <c r="GU37" s="21"/>
      <c r="GV37" s="21"/>
      <c r="GW37" s="21"/>
      <c r="GX37" s="21"/>
      <c r="GY37" s="21"/>
      <c r="GZ37" s="21"/>
      <c r="HA37" s="21"/>
      <c r="HB37" s="21"/>
      <c r="HC37" s="21"/>
      <c r="HD37" s="21"/>
      <c r="HE37" s="21"/>
      <c r="HF37" s="21"/>
      <c r="HG37" s="21"/>
      <c r="HH37" s="21"/>
      <c r="HI37" s="21"/>
      <c r="HJ37" s="21"/>
      <c r="HK37" s="21"/>
      <c r="HL37" s="21"/>
      <c r="HM37" s="21"/>
      <c r="HN37" s="21"/>
      <c r="HO37" s="21"/>
      <c r="HP37" s="21"/>
      <c r="HQ37" s="21"/>
      <c r="HR37" s="21"/>
      <c r="HS37" s="21"/>
      <c r="HT37" s="21"/>
      <c r="HU37" s="21"/>
      <c r="HV37" s="21"/>
      <c r="HW37" s="21"/>
      <c r="HX37" s="21"/>
      <c r="HY37" s="21"/>
      <c r="HZ37" s="21"/>
      <c r="IA37" s="21"/>
      <c r="IB37" s="21"/>
      <c r="IC37" s="21"/>
      <c r="ID37" s="21"/>
      <c r="IE37" s="21"/>
      <c r="IF37" s="21"/>
    </row>
    <row r="38" spans="1:240" s="21" customFormat="1" x14ac:dyDescent="0.2">
      <c r="A38" s="129"/>
      <c r="B38" s="124"/>
      <c r="C38" s="130">
        <f>C37-1</f>
        <v>-4</v>
      </c>
      <c r="D38" s="125" t="s">
        <v>304</v>
      </c>
      <c r="E38" s="125"/>
      <c r="F38" s="63"/>
      <c r="G38" s="460" t="s">
        <v>651</v>
      </c>
      <c r="H38" s="18"/>
      <c r="I38" s="62"/>
      <c r="J38" s="62"/>
      <c r="K38" s="62"/>
      <c r="L38" s="62"/>
      <c r="M38" s="62"/>
      <c r="N38" s="82"/>
      <c r="O38" s="82"/>
      <c r="P38" s="29">
        <f t="shared" si="2"/>
        <v>0</v>
      </c>
    </row>
    <row r="39" spans="1:240" s="21" customFormat="1" x14ac:dyDescent="0.2">
      <c r="A39" s="127"/>
      <c r="B39" s="39" t="s">
        <v>867</v>
      </c>
      <c r="C39" s="39" t="s">
        <v>202</v>
      </c>
      <c r="D39" s="128"/>
      <c r="E39" s="125"/>
      <c r="F39" s="63"/>
      <c r="G39" s="460" t="s">
        <v>534</v>
      </c>
      <c r="H39" s="18"/>
      <c r="I39" s="35">
        <f t="shared" ref="I39:O39" si="7">SUM(I40,I41,I42,I43)</f>
        <v>0</v>
      </c>
      <c r="J39" s="35">
        <f t="shared" si="7"/>
        <v>0</v>
      </c>
      <c r="K39" s="35">
        <f t="shared" si="7"/>
        <v>0</v>
      </c>
      <c r="L39" s="35">
        <f t="shared" si="7"/>
        <v>0</v>
      </c>
      <c r="M39" s="35">
        <f t="shared" si="7"/>
        <v>0</v>
      </c>
      <c r="N39" s="35">
        <f t="shared" si="7"/>
        <v>0</v>
      </c>
      <c r="O39" s="35">
        <f t="shared" si="7"/>
        <v>0</v>
      </c>
      <c r="P39" s="29">
        <f t="shared" si="2"/>
        <v>0</v>
      </c>
    </row>
    <row r="40" spans="1:240" s="21" customFormat="1" x14ac:dyDescent="0.2">
      <c r="A40" s="129"/>
      <c r="B40" s="124"/>
      <c r="C40" s="130">
        <v>-1</v>
      </c>
      <c r="D40" s="125" t="s">
        <v>301</v>
      </c>
      <c r="E40" s="125"/>
      <c r="F40" s="63"/>
      <c r="G40" s="460" t="s">
        <v>652</v>
      </c>
      <c r="H40" s="18"/>
      <c r="I40" s="62"/>
      <c r="J40" s="62"/>
      <c r="K40" s="62"/>
      <c r="L40" s="62"/>
      <c r="M40" s="62"/>
      <c r="N40" s="62"/>
      <c r="O40" s="62"/>
      <c r="P40" s="29">
        <f t="shared" si="2"/>
        <v>0</v>
      </c>
    </row>
    <row r="41" spans="1:240" s="21" customFormat="1" x14ac:dyDescent="0.2">
      <c r="A41" s="127"/>
      <c r="B41" s="39"/>
      <c r="C41" s="131">
        <f>C40-1</f>
        <v>-2</v>
      </c>
      <c r="D41" s="128" t="s">
        <v>302</v>
      </c>
      <c r="E41" s="125"/>
      <c r="F41" s="63"/>
      <c r="G41" s="460" t="s">
        <v>653</v>
      </c>
      <c r="H41" s="18"/>
      <c r="I41" s="62"/>
      <c r="J41" s="62"/>
      <c r="K41" s="62"/>
      <c r="L41" s="62"/>
      <c r="M41" s="62"/>
      <c r="N41" s="62"/>
      <c r="O41" s="62"/>
      <c r="P41" s="29">
        <f t="shared" si="2"/>
        <v>0</v>
      </c>
    </row>
    <row r="42" spans="1:240" s="21" customFormat="1" x14ac:dyDescent="0.2">
      <c r="A42" s="129"/>
      <c r="B42" s="124"/>
      <c r="C42" s="130">
        <f>C41-1</f>
        <v>-3</v>
      </c>
      <c r="D42" s="125" t="s">
        <v>303</v>
      </c>
      <c r="E42" s="125"/>
      <c r="F42" s="63"/>
      <c r="G42" s="460" t="s">
        <v>654</v>
      </c>
      <c r="H42" s="18"/>
      <c r="I42" s="62"/>
      <c r="J42" s="62"/>
      <c r="K42" s="62"/>
      <c r="L42" s="62"/>
      <c r="M42" s="62"/>
      <c r="N42" s="62"/>
      <c r="O42" s="62"/>
      <c r="P42" s="29">
        <f t="shared" si="2"/>
        <v>0</v>
      </c>
    </row>
    <row r="43" spans="1:240" s="21" customFormat="1" x14ac:dyDescent="0.2">
      <c r="A43" s="127"/>
      <c r="B43" s="39"/>
      <c r="C43" s="131">
        <f>C42-1</f>
        <v>-4</v>
      </c>
      <c r="D43" s="128" t="s">
        <v>304</v>
      </c>
      <c r="E43" s="125"/>
      <c r="F43" s="63"/>
      <c r="G43" s="460" t="s">
        <v>655</v>
      </c>
      <c r="H43" s="18"/>
      <c r="I43" s="62"/>
      <c r="J43" s="62"/>
      <c r="K43" s="62"/>
      <c r="L43" s="62"/>
      <c r="M43" s="62"/>
      <c r="N43" s="82"/>
      <c r="O43" s="82"/>
      <c r="P43" s="29">
        <f t="shared" si="2"/>
        <v>0</v>
      </c>
    </row>
    <row r="44" spans="1:240" s="21" customFormat="1" x14ac:dyDescent="0.2">
      <c r="A44" s="116" t="s">
        <v>33</v>
      </c>
      <c r="B44" s="115" t="s">
        <v>204</v>
      </c>
      <c r="C44" s="124"/>
      <c r="D44" s="125"/>
      <c r="E44" s="125"/>
      <c r="F44" s="63"/>
      <c r="G44" s="460" t="s">
        <v>537</v>
      </c>
      <c r="H44" s="18"/>
      <c r="I44" s="60"/>
      <c r="J44" s="35">
        <f t="shared" ref="J44:O44" si="8">SUM(J45,J50,J55,J60)</f>
        <v>0</v>
      </c>
      <c r="K44" s="35">
        <f t="shared" si="8"/>
        <v>0</v>
      </c>
      <c r="L44" s="35">
        <f t="shared" si="8"/>
        <v>0</v>
      </c>
      <c r="M44" s="35">
        <f t="shared" si="8"/>
        <v>0</v>
      </c>
      <c r="N44" s="35">
        <f t="shared" si="8"/>
        <v>0</v>
      </c>
      <c r="O44" s="35">
        <f t="shared" si="8"/>
        <v>0</v>
      </c>
      <c r="P44" s="29">
        <f t="shared" si="2"/>
        <v>0</v>
      </c>
    </row>
    <row r="45" spans="1:240" s="21" customFormat="1" x14ac:dyDescent="0.2">
      <c r="A45" s="127"/>
      <c r="B45" s="39" t="s">
        <v>188</v>
      </c>
      <c r="C45" s="39" t="s">
        <v>205</v>
      </c>
      <c r="D45" s="128"/>
      <c r="E45" s="125"/>
      <c r="F45" s="63"/>
      <c r="G45" s="460" t="s">
        <v>538</v>
      </c>
      <c r="H45" s="18"/>
      <c r="I45" s="60"/>
      <c r="J45" s="35">
        <f t="shared" ref="J45:O45" si="9">SUM(J46,J47,J48,J49)</f>
        <v>0</v>
      </c>
      <c r="K45" s="35">
        <f t="shared" si="9"/>
        <v>0</v>
      </c>
      <c r="L45" s="35">
        <f t="shared" si="9"/>
        <v>0</v>
      </c>
      <c r="M45" s="35">
        <f t="shared" si="9"/>
        <v>0</v>
      </c>
      <c r="N45" s="35">
        <f t="shared" si="9"/>
        <v>0</v>
      </c>
      <c r="O45" s="35">
        <f t="shared" si="9"/>
        <v>0</v>
      </c>
      <c r="P45" s="29">
        <f t="shared" si="2"/>
        <v>0</v>
      </c>
    </row>
    <row r="46" spans="1:240" s="21" customFormat="1" x14ac:dyDescent="0.2">
      <c r="A46" s="129"/>
      <c r="B46" s="124"/>
      <c r="C46" s="130">
        <v>-1</v>
      </c>
      <c r="D46" s="125" t="s">
        <v>296</v>
      </c>
      <c r="E46" s="125"/>
      <c r="F46" s="63"/>
      <c r="G46" s="460" t="s">
        <v>656</v>
      </c>
      <c r="H46" s="18"/>
      <c r="I46" s="60"/>
      <c r="J46" s="62"/>
      <c r="K46" s="62"/>
      <c r="L46" s="62"/>
      <c r="M46" s="62"/>
      <c r="N46" s="62"/>
      <c r="O46" s="62"/>
      <c r="P46" s="29">
        <f t="shared" si="2"/>
        <v>0</v>
      </c>
    </row>
    <row r="47" spans="1:240" s="21" customFormat="1" x14ac:dyDescent="0.2">
      <c r="A47" s="127"/>
      <c r="B47" s="39"/>
      <c r="C47" s="167" t="s">
        <v>21</v>
      </c>
      <c r="D47" s="128" t="s">
        <v>298</v>
      </c>
      <c r="E47" s="125"/>
      <c r="F47" s="63"/>
      <c r="G47" s="460" t="s">
        <v>657</v>
      </c>
      <c r="H47" s="18"/>
      <c r="I47" s="60"/>
      <c r="J47" s="62"/>
      <c r="K47" s="62"/>
      <c r="L47" s="62"/>
      <c r="M47" s="62"/>
      <c r="N47" s="62"/>
      <c r="O47" s="62"/>
      <c r="P47" s="29">
        <f t="shared" si="2"/>
        <v>0</v>
      </c>
    </row>
    <row r="48" spans="1:240" s="21" customFormat="1" x14ac:dyDescent="0.2">
      <c r="A48" s="129"/>
      <c r="B48" s="124"/>
      <c r="C48" s="130">
        <f>C47-1</f>
        <v>-3</v>
      </c>
      <c r="D48" s="125" t="s">
        <v>299</v>
      </c>
      <c r="E48" s="125"/>
      <c r="F48" s="63"/>
      <c r="G48" s="460" t="s">
        <v>658</v>
      </c>
      <c r="H48" s="18"/>
      <c r="I48" s="60"/>
      <c r="J48" s="62"/>
      <c r="K48" s="62"/>
      <c r="L48" s="62"/>
      <c r="M48" s="62"/>
      <c r="N48" s="62"/>
      <c r="O48" s="62"/>
      <c r="P48" s="29">
        <f t="shared" si="2"/>
        <v>0</v>
      </c>
    </row>
    <row r="49" spans="1:16" s="21" customFormat="1" x14ac:dyDescent="0.2">
      <c r="A49" s="127"/>
      <c r="B49" s="39"/>
      <c r="C49" s="131">
        <f>C48-1</f>
        <v>-4</v>
      </c>
      <c r="D49" s="128" t="s">
        <v>300</v>
      </c>
      <c r="E49" s="125"/>
      <c r="F49" s="63"/>
      <c r="G49" s="460" t="s">
        <v>659</v>
      </c>
      <c r="H49" s="18"/>
      <c r="I49" s="60"/>
      <c r="J49" s="62"/>
      <c r="K49" s="62"/>
      <c r="L49" s="62"/>
      <c r="M49" s="62"/>
      <c r="N49" s="62"/>
      <c r="O49" s="62"/>
      <c r="P49" s="29">
        <f t="shared" si="2"/>
        <v>0</v>
      </c>
    </row>
    <row r="50" spans="1:16" s="21" customFormat="1" x14ac:dyDescent="0.2">
      <c r="A50" s="129"/>
      <c r="B50" s="124" t="s">
        <v>195</v>
      </c>
      <c r="C50" s="130" t="s">
        <v>306</v>
      </c>
      <c r="D50" s="125"/>
      <c r="E50" s="125"/>
      <c r="F50" s="63"/>
      <c r="G50" s="460" t="s">
        <v>539</v>
      </c>
      <c r="H50" s="18"/>
      <c r="I50" s="60"/>
      <c r="J50" s="35">
        <f t="shared" ref="J50:O50" si="10">SUM(J51,J52,J53,J54)</f>
        <v>0</v>
      </c>
      <c r="K50" s="35">
        <f t="shared" si="10"/>
        <v>0</v>
      </c>
      <c r="L50" s="35">
        <f t="shared" si="10"/>
        <v>0</v>
      </c>
      <c r="M50" s="35">
        <f t="shared" si="10"/>
        <v>0</v>
      </c>
      <c r="N50" s="35">
        <f t="shared" si="10"/>
        <v>0</v>
      </c>
      <c r="O50" s="35">
        <f t="shared" si="10"/>
        <v>0</v>
      </c>
      <c r="P50" s="29">
        <f t="shared" si="2"/>
        <v>0</v>
      </c>
    </row>
    <row r="51" spans="1:16" s="21" customFormat="1" x14ac:dyDescent="0.2">
      <c r="A51" s="127"/>
      <c r="B51" s="39"/>
      <c r="C51" s="131">
        <v>-1</v>
      </c>
      <c r="D51" s="128" t="s">
        <v>301</v>
      </c>
      <c r="E51" s="125"/>
      <c r="F51" s="63"/>
      <c r="G51" s="460" t="s">
        <v>660</v>
      </c>
      <c r="H51" s="18"/>
      <c r="I51" s="60"/>
      <c r="J51" s="62"/>
      <c r="K51" s="62"/>
      <c r="L51" s="62"/>
      <c r="M51" s="62"/>
      <c r="N51" s="62"/>
      <c r="O51" s="62"/>
      <c r="P51" s="29">
        <f t="shared" si="2"/>
        <v>0</v>
      </c>
    </row>
    <row r="52" spans="1:16" s="21" customFormat="1" x14ac:dyDescent="0.2">
      <c r="A52" s="129"/>
      <c r="B52" s="124"/>
      <c r="C52" s="130">
        <f>C51-1</f>
        <v>-2</v>
      </c>
      <c r="D52" s="125" t="s">
        <v>302</v>
      </c>
      <c r="E52" s="125"/>
      <c r="F52" s="63"/>
      <c r="G52" s="460" t="s">
        <v>661</v>
      </c>
      <c r="H52" s="18"/>
      <c r="I52" s="60"/>
      <c r="J52" s="62"/>
      <c r="K52" s="62"/>
      <c r="L52" s="62"/>
      <c r="M52" s="62"/>
      <c r="N52" s="62"/>
      <c r="O52" s="62"/>
      <c r="P52" s="29">
        <f t="shared" si="2"/>
        <v>0</v>
      </c>
    </row>
    <row r="53" spans="1:16" s="21" customFormat="1" x14ac:dyDescent="0.2">
      <c r="A53" s="127"/>
      <c r="B53" s="39"/>
      <c r="C53" s="131">
        <f>C52-1</f>
        <v>-3</v>
      </c>
      <c r="D53" s="128" t="s">
        <v>303</v>
      </c>
      <c r="E53" s="125"/>
      <c r="F53" s="63"/>
      <c r="G53" s="460" t="s">
        <v>662</v>
      </c>
      <c r="H53" s="18"/>
      <c r="I53" s="60"/>
      <c r="J53" s="62"/>
      <c r="K53" s="62"/>
      <c r="L53" s="62"/>
      <c r="M53" s="62"/>
      <c r="N53" s="62"/>
      <c r="O53" s="62"/>
      <c r="P53" s="29">
        <f t="shared" si="2"/>
        <v>0</v>
      </c>
    </row>
    <row r="54" spans="1:16" s="21" customFormat="1" x14ac:dyDescent="0.2">
      <c r="A54" s="129"/>
      <c r="B54" s="124"/>
      <c r="C54" s="130">
        <f>C53-1</f>
        <v>-4</v>
      </c>
      <c r="D54" s="125" t="s">
        <v>304</v>
      </c>
      <c r="E54" s="125"/>
      <c r="F54" s="63"/>
      <c r="G54" s="460" t="s">
        <v>663</v>
      </c>
      <c r="H54" s="18"/>
      <c r="I54" s="60"/>
      <c r="J54" s="62"/>
      <c r="K54" s="62"/>
      <c r="L54" s="62"/>
      <c r="M54" s="62"/>
      <c r="N54" s="82"/>
      <c r="O54" s="82"/>
      <c r="P54" s="29">
        <f t="shared" si="2"/>
        <v>0</v>
      </c>
    </row>
    <row r="55" spans="1:16" s="21" customFormat="1" x14ac:dyDescent="0.2">
      <c r="A55" s="127"/>
      <c r="B55" s="39" t="s">
        <v>197</v>
      </c>
      <c r="C55" s="39" t="s">
        <v>198</v>
      </c>
      <c r="D55" s="128"/>
      <c r="E55" s="125"/>
      <c r="F55" s="63"/>
      <c r="G55" s="460" t="s">
        <v>540</v>
      </c>
      <c r="H55" s="18"/>
      <c r="I55" s="60"/>
      <c r="J55" s="35">
        <f t="shared" ref="J55:O55" si="11">SUM(J56,J57,J58,J59)</f>
        <v>0</v>
      </c>
      <c r="K55" s="35">
        <f t="shared" si="11"/>
        <v>0</v>
      </c>
      <c r="L55" s="35">
        <f t="shared" si="11"/>
        <v>0</v>
      </c>
      <c r="M55" s="35">
        <f t="shared" si="11"/>
        <v>0</v>
      </c>
      <c r="N55" s="35">
        <f t="shared" si="11"/>
        <v>0</v>
      </c>
      <c r="O55" s="35">
        <f t="shared" si="11"/>
        <v>0</v>
      </c>
      <c r="P55" s="29">
        <f t="shared" si="2"/>
        <v>0</v>
      </c>
    </row>
    <row r="56" spans="1:16" s="21" customFormat="1" x14ac:dyDescent="0.2">
      <c r="A56" s="129"/>
      <c r="B56" s="124"/>
      <c r="C56" s="130">
        <v>-1</v>
      </c>
      <c r="D56" s="125" t="s">
        <v>301</v>
      </c>
      <c r="E56" s="125"/>
      <c r="F56" s="63"/>
      <c r="G56" s="460" t="s">
        <v>664</v>
      </c>
      <c r="H56" s="18"/>
      <c r="I56" s="60"/>
      <c r="J56" s="62"/>
      <c r="K56" s="62"/>
      <c r="L56" s="62"/>
      <c r="M56" s="62"/>
      <c r="N56" s="62"/>
      <c r="O56" s="62"/>
      <c r="P56" s="29">
        <f t="shared" si="2"/>
        <v>0</v>
      </c>
    </row>
    <row r="57" spans="1:16" s="21" customFormat="1" x14ac:dyDescent="0.2">
      <c r="A57" s="127"/>
      <c r="B57" s="39"/>
      <c r="C57" s="131">
        <f>C56-1</f>
        <v>-2</v>
      </c>
      <c r="D57" s="128" t="s">
        <v>302</v>
      </c>
      <c r="E57" s="125"/>
      <c r="F57" s="63"/>
      <c r="G57" s="460" t="s">
        <v>665</v>
      </c>
      <c r="H57" s="18"/>
      <c r="I57" s="60"/>
      <c r="J57" s="62"/>
      <c r="K57" s="62"/>
      <c r="L57" s="62"/>
      <c r="M57" s="62"/>
      <c r="N57" s="62"/>
      <c r="O57" s="62"/>
      <c r="P57" s="29">
        <f t="shared" si="2"/>
        <v>0</v>
      </c>
    </row>
    <row r="58" spans="1:16" s="21" customFormat="1" x14ac:dyDescent="0.2">
      <c r="A58" s="129"/>
      <c r="B58" s="124"/>
      <c r="C58" s="130">
        <f>C57-1</f>
        <v>-3</v>
      </c>
      <c r="D58" s="125" t="s">
        <v>303</v>
      </c>
      <c r="E58" s="125"/>
      <c r="F58" s="63"/>
      <c r="G58" s="460" t="s">
        <v>666</v>
      </c>
      <c r="H58" s="18"/>
      <c r="I58" s="60"/>
      <c r="J58" s="62"/>
      <c r="K58" s="62"/>
      <c r="L58" s="62"/>
      <c r="M58" s="62"/>
      <c r="N58" s="62"/>
      <c r="O58" s="62"/>
      <c r="P58" s="29">
        <f t="shared" si="2"/>
        <v>0</v>
      </c>
    </row>
    <row r="59" spans="1:16" s="21" customFormat="1" x14ac:dyDescent="0.2">
      <c r="A59" s="129"/>
      <c r="B59" s="124"/>
      <c r="C59" s="130">
        <f>C58-1</f>
        <v>-4</v>
      </c>
      <c r="D59" s="125" t="s">
        <v>304</v>
      </c>
      <c r="E59" s="125"/>
      <c r="F59" s="63"/>
      <c r="G59" s="460" t="s">
        <v>667</v>
      </c>
      <c r="H59" s="18"/>
      <c r="I59" s="60"/>
      <c r="J59" s="62"/>
      <c r="K59" s="62"/>
      <c r="L59" s="62"/>
      <c r="M59" s="62"/>
      <c r="N59" s="82"/>
      <c r="O59" s="82"/>
      <c r="P59" s="29">
        <f t="shared" si="2"/>
        <v>0</v>
      </c>
    </row>
    <row r="60" spans="1:16" s="21" customFormat="1" x14ac:dyDescent="0.2">
      <c r="A60" s="129"/>
      <c r="B60" s="124" t="s">
        <v>201</v>
      </c>
      <c r="C60" s="124" t="s">
        <v>208</v>
      </c>
      <c r="D60" s="125"/>
      <c r="E60" s="125"/>
      <c r="F60" s="63"/>
      <c r="G60" s="460" t="s">
        <v>543</v>
      </c>
      <c r="H60" s="18"/>
      <c r="I60" s="60"/>
      <c r="J60" s="35">
        <f t="shared" ref="J60:O60" si="12">SUM(J61,J62,J63,J64)</f>
        <v>0</v>
      </c>
      <c r="K60" s="35">
        <f t="shared" si="12"/>
        <v>0</v>
      </c>
      <c r="L60" s="35">
        <f t="shared" si="12"/>
        <v>0</v>
      </c>
      <c r="M60" s="35">
        <f t="shared" si="12"/>
        <v>0</v>
      </c>
      <c r="N60" s="35">
        <f t="shared" si="12"/>
        <v>0</v>
      </c>
      <c r="O60" s="35">
        <f t="shared" si="12"/>
        <v>0</v>
      </c>
      <c r="P60" s="29">
        <f t="shared" si="2"/>
        <v>0</v>
      </c>
    </row>
    <row r="61" spans="1:16" s="21" customFormat="1" x14ac:dyDescent="0.2">
      <c r="A61" s="127"/>
      <c r="B61" s="39"/>
      <c r="C61" s="131">
        <v>-1</v>
      </c>
      <c r="D61" s="128" t="s">
        <v>301</v>
      </c>
      <c r="E61" s="125"/>
      <c r="F61" s="63"/>
      <c r="G61" s="460" t="s">
        <v>668</v>
      </c>
      <c r="H61" s="18"/>
      <c r="I61" s="60"/>
      <c r="J61" s="62"/>
      <c r="K61" s="62"/>
      <c r="L61" s="62"/>
      <c r="M61" s="62"/>
      <c r="N61" s="62"/>
      <c r="O61" s="62"/>
      <c r="P61" s="29">
        <f t="shared" si="2"/>
        <v>0</v>
      </c>
    </row>
    <row r="62" spans="1:16" s="21" customFormat="1" x14ac:dyDescent="0.2">
      <c r="A62" s="129"/>
      <c r="B62" s="124"/>
      <c r="C62" s="130">
        <f>C61-1</f>
        <v>-2</v>
      </c>
      <c r="D62" s="125" t="s">
        <v>302</v>
      </c>
      <c r="E62" s="125"/>
      <c r="F62" s="63"/>
      <c r="G62" s="460" t="s">
        <v>669</v>
      </c>
      <c r="H62" s="18"/>
      <c r="I62" s="60"/>
      <c r="J62" s="62"/>
      <c r="K62" s="62"/>
      <c r="L62" s="62"/>
      <c r="M62" s="62"/>
      <c r="N62" s="62"/>
      <c r="O62" s="62"/>
      <c r="P62" s="29">
        <f t="shared" si="2"/>
        <v>0</v>
      </c>
    </row>
    <row r="63" spans="1:16" s="21" customFormat="1" x14ac:dyDescent="0.2">
      <c r="A63" s="127"/>
      <c r="B63" s="39"/>
      <c r="C63" s="131">
        <f>C62-1</f>
        <v>-3</v>
      </c>
      <c r="D63" s="128" t="s">
        <v>303</v>
      </c>
      <c r="E63" s="125"/>
      <c r="F63" s="63"/>
      <c r="G63" s="460" t="s">
        <v>670</v>
      </c>
      <c r="H63" s="18"/>
      <c r="I63" s="60"/>
      <c r="J63" s="62"/>
      <c r="K63" s="62"/>
      <c r="L63" s="62"/>
      <c r="M63" s="62"/>
      <c r="N63" s="62"/>
      <c r="O63" s="62"/>
      <c r="P63" s="29">
        <f t="shared" si="2"/>
        <v>0</v>
      </c>
    </row>
    <row r="64" spans="1:16" s="21" customFormat="1" x14ac:dyDescent="0.2">
      <c r="A64" s="129"/>
      <c r="B64" s="124"/>
      <c r="C64" s="130">
        <f>C63-1</f>
        <v>-4</v>
      </c>
      <c r="D64" s="125" t="s">
        <v>304</v>
      </c>
      <c r="E64" s="125"/>
      <c r="F64" s="63"/>
      <c r="G64" s="460" t="s">
        <v>671</v>
      </c>
      <c r="H64" s="18"/>
      <c r="I64" s="60"/>
      <c r="J64" s="62"/>
      <c r="K64" s="62"/>
      <c r="L64" s="62"/>
      <c r="M64" s="62"/>
      <c r="N64" s="82"/>
      <c r="O64" s="82"/>
      <c r="P64" s="29">
        <f t="shared" si="2"/>
        <v>0</v>
      </c>
    </row>
    <row r="65" spans="1:16" s="21" customFormat="1" x14ac:dyDescent="0.2">
      <c r="A65" s="193" t="s">
        <v>48</v>
      </c>
      <c r="B65" s="194" t="s">
        <v>209</v>
      </c>
      <c r="C65" s="195"/>
      <c r="D65" s="197"/>
      <c r="E65" s="125"/>
      <c r="F65" s="63"/>
      <c r="G65" s="460" t="s">
        <v>544</v>
      </c>
      <c r="H65" s="18"/>
      <c r="I65" s="35">
        <f t="shared" ref="I65:O65" si="13">SUM(I66,I67,I68,I69)</f>
        <v>0</v>
      </c>
      <c r="J65" s="35">
        <f t="shared" si="13"/>
        <v>0</v>
      </c>
      <c r="K65" s="35">
        <f t="shared" si="13"/>
        <v>0</v>
      </c>
      <c r="L65" s="35">
        <f t="shared" si="13"/>
        <v>0</v>
      </c>
      <c r="M65" s="35">
        <f t="shared" si="13"/>
        <v>0</v>
      </c>
      <c r="N65" s="35">
        <f t="shared" si="13"/>
        <v>0</v>
      </c>
      <c r="O65" s="35">
        <f t="shared" si="13"/>
        <v>0</v>
      </c>
      <c r="P65" s="29">
        <f t="shared" si="2"/>
        <v>0</v>
      </c>
    </row>
    <row r="66" spans="1:16" s="21" customFormat="1" x14ac:dyDescent="0.2">
      <c r="A66" s="279"/>
      <c r="B66" s="196"/>
      <c r="C66" s="195">
        <v>-1</v>
      </c>
      <c r="D66" s="197" t="s">
        <v>301</v>
      </c>
      <c r="E66" s="125"/>
      <c r="F66" s="63"/>
      <c r="G66" s="460" t="s">
        <v>868</v>
      </c>
      <c r="H66" s="18"/>
      <c r="I66" s="62"/>
      <c r="J66" s="62"/>
      <c r="K66" s="62"/>
      <c r="L66" s="62"/>
      <c r="M66" s="62"/>
      <c r="N66" s="82"/>
      <c r="O66" s="82"/>
      <c r="P66" s="29">
        <f t="shared" si="2"/>
        <v>0</v>
      </c>
    </row>
    <row r="67" spans="1:16" s="21" customFormat="1" x14ac:dyDescent="0.2">
      <c r="A67" s="279"/>
      <c r="B67" s="196"/>
      <c r="C67" s="195">
        <v>-2</v>
      </c>
      <c r="D67" s="197" t="s">
        <v>302</v>
      </c>
      <c r="E67" s="125"/>
      <c r="F67" s="63"/>
      <c r="G67" s="460" t="s">
        <v>869</v>
      </c>
      <c r="H67" s="18"/>
      <c r="I67" s="62"/>
      <c r="J67" s="62"/>
      <c r="K67" s="62"/>
      <c r="L67" s="62"/>
      <c r="M67" s="62"/>
      <c r="N67" s="82"/>
      <c r="O67" s="82"/>
      <c r="P67" s="29">
        <f t="shared" si="2"/>
        <v>0</v>
      </c>
    </row>
    <row r="68" spans="1:16" s="21" customFormat="1" x14ac:dyDescent="0.2">
      <c r="A68" s="279"/>
      <c r="B68" s="196"/>
      <c r="C68" s="195">
        <v>-3</v>
      </c>
      <c r="D68" s="197" t="s">
        <v>303</v>
      </c>
      <c r="E68" s="125"/>
      <c r="F68" s="63"/>
      <c r="G68" s="460" t="s">
        <v>870</v>
      </c>
      <c r="H68" s="18"/>
      <c r="I68" s="62"/>
      <c r="J68" s="62"/>
      <c r="K68" s="62"/>
      <c r="L68" s="62"/>
      <c r="M68" s="62"/>
      <c r="N68" s="82"/>
      <c r="O68" s="82"/>
      <c r="P68" s="29">
        <f t="shared" si="2"/>
        <v>0</v>
      </c>
    </row>
    <row r="69" spans="1:16" s="21" customFormat="1" x14ac:dyDescent="0.2">
      <c r="A69" s="279"/>
      <c r="B69" s="196"/>
      <c r="C69" s="195">
        <v>-4</v>
      </c>
      <c r="D69" s="197" t="s">
        <v>304</v>
      </c>
      <c r="E69" s="125"/>
      <c r="F69" s="63"/>
      <c r="G69" s="460" t="s">
        <v>871</v>
      </c>
      <c r="H69" s="18"/>
      <c r="I69" s="62"/>
      <c r="J69" s="62"/>
      <c r="K69" s="62"/>
      <c r="L69" s="62"/>
      <c r="M69" s="62"/>
      <c r="N69" s="82"/>
      <c r="O69" s="82"/>
      <c r="P69" s="29">
        <f t="shared" si="2"/>
        <v>0</v>
      </c>
    </row>
    <row r="70" spans="1:16" s="21" customFormat="1" x14ac:dyDescent="0.2">
      <c r="A70" s="206" t="s">
        <v>392</v>
      </c>
      <c r="B70" s="16"/>
      <c r="C70" s="196"/>
      <c r="D70" s="197"/>
      <c r="E70" s="125"/>
      <c r="F70" s="63"/>
      <c r="G70" s="460" t="s">
        <v>520</v>
      </c>
      <c r="H70" s="18"/>
      <c r="I70" s="35">
        <f>SUM(I11,I44,I65)</f>
        <v>0</v>
      </c>
      <c r="J70" s="35">
        <f t="shared" ref="J70:O70" si="14">SUM(J11,J44,J65)</f>
        <v>0</v>
      </c>
      <c r="K70" s="35">
        <f t="shared" si="14"/>
        <v>0</v>
      </c>
      <c r="L70" s="35">
        <f t="shared" si="14"/>
        <v>0</v>
      </c>
      <c r="M70" s="35">
        <f t="shared" si="14"/>
        <v>0</v>
      </c>
      <c r="N70" s="35">
        <f t="shared" si="14"/>
        <v>0</v>
      </c>
      <c r="O70" s="35">
        <f t="shared" si="14"/>
        <v>0</v>
      </c>
      <c r="P70" s="29">
        <f t="shared" si="2"/>
        <v>0</v>
      </c>
    </row>
    <row r="71" spans="1:16" s="21" customFormat="1" x14ac:dyDescent="0.2">
      <c r="A71" s="127"/>
      <c r="B71" s="39"/>
      <c r="C71" s="39"/>
      <c r="D71" s="39"/>
      <c r="E71" s="39"/>
      <c r="F71" s="39"/>
      <c r="G71" s="72" t="s">
        <v>184</v>
      </c>
      <c r="H71" s="20"/>
      <c r="I71" s="25"/>
      <c r="J71" s="25"/>
      <c r="K71" s="25"/>
      <c r="L71" s="25"/>
      <c r="M71" s="25"/>
      <c r="N71" s="25"/>
      <c r="O71" s="25"/>
      <c r="P71" s="26"/>
    </row>
    <row r="72" spans="1:16" s="21" customFormat="1" x14ac:dyDescent="0.2">
      <c r="A72" s="127"/>
      <c r="B72" s="39"/>
      <c r="C72" s="39"/>
      <c r="D72" s="39"/>
      <c r="E72" s="39"/>
      <c r="F72" s="39"/>
      <c r="G72" s="20"/>
      <c r="H72" s="20"/>
      <c r="I72" s="25"/>
      <c r="J72" s="25"/>
      <c r="K72" s="25"/>
      <c r="L72" s="25"/>
      <c r="M72" s="25"/>
      <c r="N72" s="25"/>
      <c r="O72" s="25"/>
      <c r="P72" s="26"/>
    </row>
    <row r="73" spans="1:16" s="21" customFormat="1" x14ac:dyDescent="0.2">
      <c r="A73" s="127"/>
      <c r="B73" s="39"/>
      <c r="C73" s="150"/>
      <c r="D73" s="39"/>
      <c r="E73" s="39"/>
      <c r="F73" s="39"/>
      <c r="G73" s="20"/>
      <c r="H73" s="20"/>
      <c r="I73" s="25"/>
      <c r="J73" s="25"/>
      <c r="K73" s="25"/>
      <c r="L73" s="25"/>
      <c r="M73" s="25"/>
      <c r="N73" s="25"/>
      <c r="O73" s="25"/>
      <c r="P73" s="26"/>
    </row>
    <row r="74" spans="1:16" s="21" customFormat="1" x14ac:dyDescent="0.2">
      <c r="A74" s="127"/>
      <c r="B74" s="39"/>
      <c r="C74" s="150"/>
      <c r="D74" s="39"/>
      <c r="E74" s="39"/>
      <c r="F74" s="39"/>
      <c r="G74" s="20"/>
      <c r="H74" s="20"/>
      <c r="I74" s="25"/>
      <c r="J74" s="25"/>
      <c r="K74" s="25"/>
      <c r="L74" s="25"/>
      <c r="M74" s="25"/>
      <c r="N74" s="25"/>
      <c r="O74" s="25"/>
      <c r="P74" s="26"/>
    </row>
    <row r="75" spans="1:16" s="21" customFormat="1" x14ac:dyDescent="0.2">
      <c r="A75" s="143"/>
      <c r="B75" s="39"/>
      <c r="C75" s="39"/>
      <c r="D75" s="39"/>
      <c r="E75" s="39"/>
      <c r="F75" s="39"/>
      <c r="G75" s="20"/>
      <c r="H75" s="20"/>
      <c r="I75" s="25"/>
      <c r="J75" s="25"/>
      <c r="K75" s="25"/>
      <c r="L75" s="25"/>
      <c r="M75" s="25"/>
      <c r="N75" s="25"/>
      <c r="O75" s="25"/>
      <c r="P75" s="26"/>
    </row>
    <row r="76" spans="1:16" s="21" customFormat="1" x14ac:dyDescent="0.2">
      <c r="A76" s="127"/>
      <c r="B76" s="39"/>
      <c r="C76" s="39"/>
      <c r="D76" s="39"/>
      <c r="E76" s="39"/>
      <c r="F76" s="39"/>
      <c r="G76" s="20"/>
      <c r="H76" s="20"/>
      <c r="I76" s="25"/>
      <c r="J76" s="25"/>
      <c r="K76" s="25"/>
      <c r="L76" s="25"/>
      <c r="M76" s="25"/>
      <c r="N76" s="25"/>
      <c r="O76" s="25"/>
      <c r="P76" s="26"/>
    </row>
    <row r="77" spans="1:16" s="21" customFormat="1" x14ac:dyDescent="0.2">
      <c r="A77" s="127"/>
      <c r="B77" s="39"/>
      <c r="C77" s="39"/>
      <c r="D77" s="39"/>
      <c r="E77" s="39"/>
      <c r="F77" s="39"/>
      <c r="G77" s="20"/>
      <c r="H77" s="20"/>
      <c r="I77" s="25"/>
      <c r="J77" s="25"/>
      <c r="K77" s="25"/>
      <c r="L77" s="25"/>
      <c r="M77" s="25"/>
      <c r="N77" s="25"/>
      <c r="O77" s="25"/>
      <c r="P77" s="26"/>
    </row>
    <row r="78" spans="1:16" s="21" customFormat="1" x14ac:dyDescent="0.2">
      <c r="A78" s="143"/>
      <c r="B78" s="39"/>
      <c r="C78" s="39"/>
      <c r="D78" s="39"/>
      <c r="E78" s="39"/>
      <c r="F78" s="39"/>
      <c r="G78" s="20"/>
      <c r="H78" s="20"/>
      <c r="I78" s="25"/>
      <c r="J78" s="25"/>
      <c r="K78" s="25"/>
      <c r="L78" s="25"/>
      <c r="M78" s="25"/>
      <c r="N78" s="25"/>
      <c r="O78" s="25"/>
      <c r="P78" s="26"/>
    </row>
    <row r="79" spans="1:16" s="21" customFormat="1" x14ac:dyDescent="0.2">
      <c r="A79" s="143"/>
      <c r="B79" s="39"/>
      <c r="C79" s="39"/>
      <c r="D79" s="39"/>
      <c r="E79" s="39"/>
      <c r="F79" s="39"/>
      <c r="G79" s="20" t="s">
        <v>261</v>
      </c>
      <c r="H79" s="20"/>
      <c r="I79" s="25"/>
      <c r="J79" s="25"/>
      <c r="K79" s="25"/>
      <c r="L79" s="25"/>
      <c r="M79" s="25"/>
      <c r="N79" s="25"/>
      <c r="O79" s="25"/>
      <c r="P79" s="26"/>
    </row>
    <row r="80" spans="1:16" s="21" customFormat="1" x14ac:dyDescent="0.2">
      <c r="A80" s="200"/>
      <c r="B80" s="39"/>
      <c r="C80" s="39"/>
      <c r="D80" s="39"/>
      <c r="E80" s="39"/>
      <c r="F80" s="39"/>
      <c r="G80" s="20"/>
      <c r="H80" s="20"/>
      <c r="I80" s="25"/>
      <c r="J80" s="25"/>
      <c r="K80" s="25"/>
      <c r="L80" s="25"/>
      <c r="M80" s="25"/>
      <c r="N80" s="25"/>
      <c r="O80" s="25"/>
      <c r="P80" s="26"/>
    </row>
    <row r="81" spans="1:16" s="21" customFormat="1" x14ac:dyDescent="0.2">
      <c r="A81" s="199"/>
      <c r="B81" s="153"/>
      <c r="C81" s="154"/>
      <c r="D81" s="150"/>
      <c r="E81" s="39"/>
      <c r="F81" s="39"/>
      <c r="G81" s="20"/>
      <c r="H81" s="20"/>
      <c r="I81" s="26"/>
      <c r="J81" s="26"/>
      <c r="K81" s="26"/>
      <c r="L81" s="26"/>
      <c r="M81" s="26"/>
      <c r="N81" s="26"/>
      <c r="O81" s="26"/>
      <c r="P81" s="26"/>
    </row>
    <row r="82" spans="1:16" s="21" customFormat="1" x14ac:dyDescent="0.2">
      <c r="A82" s="7"/>
      <c r="B82" s="153"/>
      <c r="C82" s="154"/>
      <c r="D82" s="150"/>
      <c r="E82" s="566"/>
      <c r="F82" s="566"/>
      <c r="G82" s="22"/>
      <c r="H82" s="22"/>
      <c r="I82" s="26"/>
      <c r="J82" s="26"/>
      <c r="K82" s="26"/>
      <c r="L82" s="26"/>
      <c r="M82" s="26"/>
      <c r="N82" s="26"/>
      <c r="O82" s="26"/>
      <c r="P82" s="26"/>
    </row>
    <row r="83" spans="1:16" s="21" customFormat="1" x14ac:dyDescent="0.2">
      <c r="A83" s="7"/>
      <c r="B83" s="155"/>
      <c r="C83" s="155"/>
      <c r="D83" s="155"/>
      <c r="E83" s="155"/>
      <c r="F83" s="155"/>
      <c r="G83" s="20"/>
      <c r="H83" s="20"/>
      <c r="I83" s="26"/>
      <c r="J83" s="26"/>
      <c r="K83" s="26"/>
      <c r="L83" s="26"/>
      <c r="M83" s="26"/>
      <c r="N83" s="26"/>
      <c r="O83" s="26"/>
      <c r="P83" s="26"/>
    </row>
    <row r="84" spans="1:16" s="21" customFormat="1" x14ac:dyDescent="0.2">
      <c r="A84" s="7"/>
      <c r="B84" s="3"/>
      <c r="C84" s="4"/>
      <c r="D84" s="5"/>
      <c r="E84" s="155"/>
      <c r="F84" s="155"/>
      <c r="G84" s="20"/>
      <c r="H84" s="20"/>
      <c r="I84" s="26"/>
      <c r="J84" s="26"/>
      <c r="K84" s="26"/>
      <c r="L84" s="26"/>
      <c r="M84" s="26"/>
      <c r="N84" s="26"/>
      <c r="O84" s="26"/>
      <c r="P84" s="26"/>
    </row>
    <row r="85" spans="1:16" s="21" customFormat="1" x14ac:dyDescent="0.2">
      <c r="A85" s="7"/>
      <c r="B85" s="3"/>
      <c r="C85" s="154"/>
      <c r="D85" s="157"/>
      <c r="E85" s="155"/>
      <c r="F85" s="155"/>
      <c r="G85" s="20"/>
      <c r="H85" s="20"/>
      <c r="I85" s="26"/>
      <c r="J85" s="26"/>
      <c r="K85" s="26"/>
      <c r="L85" s="26"/>
      <c r="M85" s="26"/>
      <c r="N85" s="26"/>
      <c r="O85" s="26"/>
      <c r="P85" s="26"/>
    </row>
    <row r="86" spans="1:16" s="21" customFormat="1" x14ac:dyDescent="0.2">
      <c r="A86" s="7"/>
      <c r="B86" s="155"/>
      <c r="C86" s="154"/>
      <c r="D86" s="157"/>
      <c r="E86" s="157"/>
      <c r="F86" s="155"/>
      <c r="G86" s="20"/>
      <c r="H86" s="20"/>
      <c r="I86" s="26"/>
      <c r="J86" s="26"/>
      <c r="K86" s="26"/>
      <c r="L86" s="26"/>
      <c r="M86" s="26"/>
      <c r="N86" s="26"/>
      <c r="O86" s="26"/>
      <c r="P86" s="26"/>
    </row>
    <row r="87" spans="1:16" s="21" customFormat="1" x14ac:dyDescent="0.2">
      <c r="A87" s="7"/>
      <c r="B87" s="155"/>
      <c r="C87" s="39"/>
      <c r="D87" s="154"/>
      <c r="E87" s="154"/>
      <c r="F87" s="155"/>
      <c r="G87" s="20"/>
      <c r="H87" s="20"/>
      <c r="I87" s="26"/>
      <c r="J87" s="26"/>
      <c r="K87" s="26"/>
      <c r="L87" s="26"/>
      <c r="M87" s="26"/>
      <c r="N87" s="26"/>
      <c r="O87" s="26"/>
      <c r="P87" s="26"/>
    </row>
    <row r="88" spans="1:16" s="21" customFormat="1" x14ac:dyDescent="0.2">
      <c r="A88" s="7"/>
      <c r="B88" s="155"/>
      <c r="C88" s="154"/>
      <c r="D88" s="39"/>
      <c r="E88" s="154"/>
      <c r="F88" s="155"/>
      <c r="G88" s="20"/>
      <c r="H88" s="20"/>
      <c r="I88" s="26"/>
      <c r="J88" s="26"/>
      <c r="K88" s="26"/>
      <c r="L88" s="26"/>
      <c r="M88" s="26"/>
      <c r="N88" s="26"/>
      <c r="O88" s="26"/>
      <c r="P88" s="26"/>
    </row>
    <row r="89" spans="1:16" s="21" customFormat="1" x14ac:dyDescent="0.2">
      <c r="A89" s="7"/>
      <c r="B89" s="155"/>
      <c r="C89" s="39"/>
      <c r="D89" s="158"/>
      <c r="E89" s="154"/>
      <c r="F89" s="155"/>
      <c r="G89" s="20"/>
      <c r="H89" s="20"/>
      <c r="I89" s="26"/>
      <c r="J89" s="26"/>
      <c r="K89" s="26"/>
      <c r="L89" s="26"/>
      <c r="M89" s="26"/>
      <c r="N89" s="26"/>
      <c r="O89" s="26"/>
      <c r="P89" s="26"/>
    </row>
    <row r="90" spans="1:16" s="21" customFormat="1" x14ac:dyDescent="0.2">
      <c r="A90" s="7"/>
      <c r="B90" s="155"/>
      <c r="C90" s="39"/>
      <c r="D90" s="158"/>
      <c r="E90" s="154"/>
      <c r="F90" s="155"/>
      <c r="G90" s="20"/>
      <c r="H90" s="20"/>
      <c r="I90" s="26"/>
      <c r="J90" s="26"/>
      <c r="K90" s="26"/>
      <c r="L90" s="26"/>
      <c r="M90" s="26"/>
      <c r="N90" s="26"/>
      <c r="O90" s="26"/>
      <c r="P90" s="26"/>
    </row>
    <row r="91" spans="1:16" s="21" customFormat="1" x14ac:dyDescent="0.2">
      <c r="A91" s="7"/>
      <c r="B91" s="155"/>
      <c r="C91" s="154"/>
      <c r="D91" s="39"/>
      <c r="E91" s="154"/>
      <c r="F91" s="155"/>
      <c r="G91" s="20"/>
      <c r="H91" s="20"/>
      <c r="I91" s="26"/>
      <c r="J91" s="26"/>
      <c r="K91" s="26"/>
      <c r="L91" s="26"/>
      <c r="M91" s="26"/>
      <c r="N91" s="26"/>
      <c r="O91" s="26"/>
      <c r="P91" s="26"/>
    </row>
    <row r="92" spans="1:16" s="21" customFormat="1" x14ac:dyDescent="0.2">
      <c r="A92" s="7"/>
      <c r="B92" s="155"/>
      <c r="C92" s="154"/>
      <c r="D92" s="154"/>
      <c r="E92" s="154"/>
      <c r="F92" s="154"/>
      <c r="G92" s="20"/>
      <c r="H92" s="20"/>
      <c r="I92" s="26"/>
      <c r="J92" s="26"/>
      <c r="K92" s="26"/>
      <c r="L92" s="26"/>
      <c r="M92" s="26"/>
      <c r="N92" s="26"/>
      <c r="O92" s="26"/>
      <c r="P92" s="26"/>
    </row>
    <row r="93" spans="1:16" s="21" customFormat="1" x14ac:dyDescent="0.2">
      <c r="A93" s="7"/>
      <c r="B93" s="155"/>
      <c r="C93" s="39"/>
      <c r="D93" s="525"/>
      <c r="E93" s="526"/>
      <c r="F93" s="526"/>
      <c r="G93" s="20"/>
      <c r="H93" s="20"/>
      <c r="I93" s="26"/>
      <c r="J93" s="26"/>
      <c r="K93" s="26"/>
      <c r="L93" s="26"/>
      <c r="M93" s="26"/>
      <c r="N93" s="26"/>
      <c r="O93" s="26"/>
      <c r="P93" s="26"/>
    </row>
    <row r="94" spans="1:16" s="21" customFormat="1" x14ac:dyDescent="0.2">
      <c r="A94" s="7"/>
      <c r="B94" s="155"/>
      <c r="C94" s="154"/>
      <c r="D94" s="158"/>
      <c r="E94" s="154"/>
      <c r="F94" s="154"/>
      <c r="G94" s="20"/>
      <c r="H94" s="20"/>
      <c r="I94" s="26"/>
      <c r="J94" s="26"/>
      <c r="K94" s="26"/>
      <c r="L94" s="26"/>
      <c r="M94" s="26"/>
      <c r="N94" s="26"/>
      <c r="O94" s="26"/>
      <c r="P94" s="26"/>
    </row>
    <row r="95" spans="1:16" s="21" customFormat="1" x14ac:dyDescent="0.2">
      <c r="A95" s="7"/>
      <c r="B95" s="155"/>
      <c r="C95" s="154"/>
      <c r="D95" s="158"/>
      <c r="E95" s="154"/>
      <c r="F95" s="154"/>
      <c r="G95" s="20"/>
      <c r="H95" s="20"/>
      <c r="I95" s="26"/>
      <c r="J95" s="26"/>
      <c r="K95" s="26"/>
      <c r="L95" s="26"/>
      <c r="M95" s="26"/>
      <c r="N95" s="26"/>
      <c r="O95" s="26"/>
      <c r="P95" s="26"/>
    </row>
    <row r="96" spans="1:16" s="21" customFormat="1" x14ac:dyDescent="0.2">
      <c r="A96" s="7"/>
      <c r="B96" s="3"/>
      <c r="C96" s="4"/>
      <c r="D96" s="157"/>
      <c r="E96" s="154"/>
      <c r="F96" s="154"/>
      <c r="G96" s="20"/>
      <c r="H96" s="20"/>
      <c r="I96" s="26"/>
      <c r="J96" s="26"/>
      <c r="K96" s="26"/>
      <c r="L96" s="26"/>
      <c r="M96" s="26"/>
      <c r="N96" s="26"/>
      <c r="O96" s="26"/>
      <c r="P96" s="26"/>
    </row>
    <row r="97" spans="1:16" s="21" customFormat="1" x14ac:dyDescent="0.2">
      <c r="A97" s="7"/>
      <c r="B97" s="155"/>
      <c r="C97" s="154"/>
      <c r="D97" s="154"/>
      <c r="E97" s="154"/>
      <c r="F97" s="154"/>
      <c r="G97" s="20"/>
      <c r="H97" s="20"/>
      <c r="I97" s="26"/>
      <c r="J97" s="26"/>
      <c r="K97" s="26"/>
      <c r="L97" s="26"/>
      <c r="M97" s="26"/>
      <c r="N97" s="26"/>
      <c r="O97" s="26"/>
      <c r="P97" s="26"/>
    </row>
    <row r="98" spans="1:16" s="21" customFormat="1" x14ac:dyDescent="0.2">
      <c r="A98" s="7"/>
      <c r="B98" s="155"/>
      <c r="C98" s="154"/>
      <c r="D98" s="163"/>
      <c r="E98" s="154"/>
      <c r="F98" s="154"/>
      <c r="G98" s="20"/>
      <c r="H98" s="20"/>
      <c r="I98" s="26"/>
      <c r="J98" s="26"/>
      <c r="K98" s="26"/>
      <c r="L98" s="26"/>
      <c r="M98" s="26"/>
      <c r="N98" s="26"/>
      <c r="O98" s="26"/>
      <c r="P98" s="26"/>
    </row>
    <row r="99" spans="1:16" s="21" customFormat="1" x14ac:dyDescent="0.2">
      <c r="A99" s="7"/>
      <c r="B99" s="155"/>
      <c r="C99" s="154"/>
      <c r="D99" s="164"/>
      <c r="E99" s="154"/>
      <c r="F99" s="154"/>
      <c r="G99" s="20"/>
      <c r="H99" s="20"/>
      <c r="I99" s="26"/>
      <c r="J99" s="26"/>
      <c r="K99" s="26"/>
      <c r="L99" s="26"/>
      <c r="M99" s="26"/>
      <c r="N99" s="26"/>
      <c r="O99" s="26"/>
      <c r="P99" s="26"/>
    </row>
    <row r="100" spans="1:16" s="21" customFormat="1" x14ac:dyDescent="0.2">
      <c r="A100" s="7"/>
      <c r="B100" s="155"/>
      <c r="C100" s="154"/>
      <c r="D100" s="164"/>
      <c r="E100" s="154"/>
      <c r="F100" s="154"/>
      <c r="G100" s="20"/>
      <c r="H100" s="20"/>
      <c r="I100" s="26"/>
      <c r="J100" s="26"/>
      <c r="K100" s="26"/>
      <c r="L100" s="26"/>
      <c r="M100" s="26"/>
      <c r="N100" s="26"/>
      <c r="O100" s="26"/>
      <c r="P100" s="26"/>
    </row>
    <row r="101" spans="1:16" s="21" customFormat="1" x14ac:dyDescent="0.2">
      <c r="A101" s="7"/>
      <c r="B101" s="155"/>
      <c r="C101" s="154"/>
      <c r="D101" s="163"/>
      <c r="E101" s="154"/>
      <c r="F101" s="154"/>
      <c r="G101" s="20"/>
      <c r="H101" s="20"/>
      <c r="I101" s="26"/>
      <c r="J101" s="26"/>
      <c r="K101" s="26"/>
      <c r="L101" s="26"/>
      <c r="M101" s="26"/>
      <c r="N101" s="26"/>
      <c r="O101" s="26"/>
      <c r="P101" s="26"/>
    </row>
    <row r="102" spans="1:16" s="21" customFormat="1" x14ac:dyDescent="0.2">
      <c r="A102" s="7"/>
      <c r="B102" s="155"/>
      <c r="C102" s="154"/>
      <c r="D102" s="164"/>
      <c r="E102" s="154"/>
      <c r="F102" s="154"/>
      <c r="G102" s="20"/>
      <c r="H102" s="20"/>
      <c r="I102" s="26"/>
      <c r="J102" s="26"/>
      <c r="K102" s="26"/>
      <c r="L102" s="26"/>
      <c r="M102" s="26"/>
      <c r="N102" s="26"/>
      <c r="O102" s="26"/>
      <c r="P102" s="26"/>
    </row>
    <row r="103" spans="1:16" s="21" customFormat="1" x14ac:dyDescent="0.2">
      <c r="A103" s="7"/>
      <c r="B103" s="155"/>
      <c r="C103" s="154"/>
      <c r="D103" s="164"/>
      <c r="E103" s="154"/>
      <c r="F103" s="154"/>
      <c r="G103" s="20"/>
      <c r="H103" s="20"/>
      <c r="I103" s="26"/>
      <c r="J103" s="26"/>
      <c r="K103" s="26"/>
      <c r="L103" s="26"/>
      <c r="M103" s="26"/>
      <c r="N103" s="26"/>
      <c r="O103" s="26"/>
      <c r="P103" s="26"/>
    </row>
    <row r="104" spans="1:16" s="21" customFormat="1" x14ac:dyDescent="0.2">
      <c r="A104" s="7"/>
      <c r="B104" s="155"/>
      <c r="C104" s="154"/>
      <c r="D104" s="154"/>
      <c r="E104" s="154"/>
      <c r="F104" s="154"/>
      <c r="G104" s="20"/>
      <c r="H104" s="20"/>
      <c r="I104" s="26"/>
      <c r="J104" s="26"/>
      <c r="K104" s="26"/>
      <c r="L104" s="26"/>
      <c r="M104" s="26"/>
      <c r="N104" s="26"/>
      <c r="O104" s="26"/>
      <c r="P104" s="26"/>
    </row>
    <row r="105" spans="1:16" s="21" customFormat="1" x14ac:dyDescent="0.2">
      <c r="A105" s="7"/>
      <c r="B105" s="155"/>
      <c r="C105" s="39"/>
      <c r="D105" s="158"/>
      <c r="E105" s="154"/>
      <c r="F105" s="154"/>
      <c r="G105" s="20"/>
      <c r="H105" s="20"/>
      <c r="I105" s="26"/>
      <c r="J105" s="26"/>
      <c r="K105" s="26"/>
      <c r="L105" s="26"/>
      <c r="M105" s="26"/>
      <c r="N105" s="26"/>
      <c r="O105" s="26"/>
      <c r="P105" s="26"/>
    </row>
    <row r="106" spans="1:16" s="21" customFormat="1" x14ac:dyDescent="0.2">
      <c r="A106" s="7"/>
      <c r="B106" s="155"/>
      <c r="C106" s="39"/>
      <c r="D106" s="158"/>
      <c r="E106" s="154"/>
      <c r="F106" s="154"/>
      <c r="G106" s="20"/>
      <c r="H106" s="20"/>
      <c r="I106" s="26"/>
      <c r="J106" s="26"/>
      <c r="K106" s="26"/>
      <c r="L106" s="26"/>
      <c r="M106" s="26"/>
      <c r="N106" s="26"/>
      <c r="O106" s="26"/>
      <c r="P106" s="26"/>
    </row>
    <row r="107" spans="1:16" s="21" customFormat="1" x14ac:dyDescent="0.2">
      <c r="A107" s="7"/>
      <c r="B107" s="155"/>
      <c r="C107" s="154"/>
      <c r="D107" s="154"/>
      <c r="E107" s="154"/>
      <c r="F107" s="154"/>
      <c r="G107" s="20"/>
      <c r="H107" s="20"/>
      <c r="I107" s="26"/>
      <c r="J107" s="26"/>
      <c r="K107" s="26"/>
      <c r="L107" s="26"/>
      <c r="M107" s="26"/>
      <c r="N107" s="26"/>
      <c r="O107" s="26"/>
      <c r="P107" s="26"/>
    </row>
    <row r="108" spans="1:16" s="21" customFormat="1" x14ac:dyDescent="0.2">
      <c r="A108" s="7"/>
      <c r="B108" s="155"/>
      <c r="C108" s="39"/>
      <c r="D108" s="525"/>
      <c r="E108" s="526"/>
      <c r="F108" s="526"/>
      <c r="G108" s="20"/>
      <c r="H108" s="20"/>
      <c r="I108" s="26"/>
      <c r="J108" s="26"/>
      <c r="K108" s="26"/>
      <c r="L108" s="26"/>
      <c r="M108" s="26"/>
      <c r="N108" s="26"/>
      <c r="O108" s="26"/>
      <c r="P108" s="26"/>
    </row>
    <row r="109" spans="1:16" s="21" customFormat="1" x14ac:dyDescent="0.2">
      <c r="A109" s="7"/>
      <c r="B109" s="155"/>
      <c r="C109" s="154"/>
      <c r="D109" s="158"/>
      <c r="E109" s="154"/>
      <c r="F109" s="154"/>
      <c r="G109" s="20"/>
      <c r="H109" s="20"/>
      <c r="I109" s="26"/>
      <c r="J109" s="26"/>
      <c r="K109" s="26"/>
      <c r="L109" s="26"/>
      <c r="M109" s="26"/>
      <c r="N109" s="26"/>
      <c r="O109" s="26"/>
      <c r="P109" s="26"/>
    </row>
    <row r="110" spans="1:16" s="21" customFormat="1" x14ac:dyDescent="0.2">
      <c r="A110" s="7"/>
      <c r="B110" s="155"/>
      <c r="C110" s="154"/>
      <c r="D110" s="164"/>
      <c r="E110" s="154"/>
      <c r="F110" s="154"/>
      <c r="G110" s="20"/>
      <c r="H110" s="20"/>
      <c r="I110" s="26"/>
      <c r="J110" s="26"/>
      <c r="K110" s="26"/>
      <c r="L110" s="26"/>
      <c r="M110" s="26"/>
      <c r="N110" s="26"/>
      <c r="O110" s="26"/>
      <c r="P110" s="26"/>
    </row>
    <row r="111" spans="1:16" s="21" customFormat="1" x14ac:dyDescent="0.2">
      <c r="A111" s="7"/>
      <c r="B111" s="155"/>
      <c r="C111" s="154"/>
      <c r="D111" s="164"/>
      <c r="E111" s="154"/>
      <c r="F111" s="154"/>
      <c r="G111" s="20"/>
      <c r="H111" s="20"/>
      <c r="I111" s="26"/>
      <c r="J111" s="26"/>
      <c r="K111" s="26"/>
      <c r="L111" s="26"/>
      <c r="M111" s="26"/>
      <c r="N111" s="26"/>
      <c r="O111" s="26"/>
      <c r="P111" s="26"/>
    </row>
    <row r="112" spans="1:16" s="21" customFormat="1" x14ac:dyDescent="0.2">
      <c r="A112" s="7"/>
      <c r="B112" s="155"/>
      <c r="C112" s="154"/>
      <c r="D112" s="158"/>
      <c r="E112" s="154"/>
      <c r="F112" s="154"/>
      <c r="G112" s="20"/>
      <c r="H112" s="20"/>
      <c r="I112" s="26"/>
      <c r="J112" s="26"/>
      <c r="K112" s="26"/>
      <c r="L112" s="26"/>
      <c r="M112" s="26"/>
      <c r="N112" s="26"/>
      <c r="O112" s="26"/>
      <c r="P112" s="26"/>
    </row>
    <row r="113" spans="1:16" s="21" customFormat="1" x14ac:dyDescent="0.2">
      <c r="A113" s="7"/>
      <c r="B113" s="155"/>
      <c r="C113" s="154"/>
      <c r="D113" s="164"/>
      <c r="E113" s="154"/>
      <c r="F113" s="154"/>
      <c r="G113" s="20"/>
      <c r="H113" s="20"/>
      <c r="I113" s="26"/>
      <c r="J113" s="26"/>
      <c r="K113" s="26"/>
      <c r="L113" s="26"/>
      <c r="M113" s="26"/>
      <c r="N113" s="26"/>
      <c r="O113" s="26"/>
      <c r="P113" s="26"/>
    </row>
    <row r="114" spans="1:16" s="21" customFormat="1" x14ac:dyDescent="0.2">
      <c r="A114" s="7"/>
      <c r="B114" s="155"/>
      <c r="C114" s="154"/>
      <c r="D114" s="164"/>
      <c r="E114" s="154"/>
      <c r="F114" s="154"/>
      <c r="G114" s="20"/>
      <c r="H114" s="20"/>
      <c r="I114" s="26"/>
      <c r="J114" s="26"/>
      <c r="K114" s="26"/>
      <c r="L114" s="26"/>
      <c r="M114" s="26"/>
      <c r="N114" s="26"/>
      <c r="O114" s="26"/>
      <c r="P114" s="26"/>
    </row>
    <row r="115" spans="1:16" s="21" customFormat="1" x14ac:dyDescent="0.2">
      <c r="A115" s="7"/>
      <c r="B115" s="3"/>
      <c r="C115" s="4"/>
      <c r="D115" s="157"/>
      <c r="E115" s="154"/>
      <c r="F115" s="154"/>
      <c r="G115" s="20"/>
      <c r="H115" s="20"/>
      <c r="I115" s="26"/>
      <c r="J115" s="26"/>
      <c r="K115" s="26"/>
      <c r="L115" s="26"/>
      <c r="M115" s="26"/>
      <c r="N115" s="26"/>
      <c r="O115" s="26"/>
      <c r="P115" s="26"/>
    </row>
    <row r="116" spans="1:16" s="21" customFormat="1" x14ac:dyDescent="0.2">
      <c r="A116" s="7"/>
      <c r="B116" s="155"/>
      <c r="C116" s="154"/>
      <c r="D116" s="157"/>
      <c r="E116" s="154"/>
      <c r="F116" s="154"/>
      <c r="G116" s="20"/>
      <c r="H116" s="20"/>
      <c r="I116" s="26"/>
      <c r="J116" s="26"/>
      <c r="K116" s="26"/>
      <c r="L116" s="26"/>
      <c r="M116" s="26"/>
      <c r="N116" s="26"/>
      <c r="O116" s="26"/>
      <c r="P116" s="26"/>
    </row>
    <row r="117" spans="1:16" s="21" customFormat="1" x14ac:dyDescent="0.2">
      <c r="A117" s="7"/>
      <c r="B117" s="155"/>
      <c r="C117" s="154"/>
      <c r="D117" s="157"/>
      <c r="E117" s="154"/>
      <c r="F117" s="154"/>
      <c r="G117" s="20"/>
      <c r="H117" s="20"/>
      <c r="I117" s="26"/>
      <c r="J117" s="26"/>
      <c r="K117" s="26"/>
      <c r="L117" s="26"/>
      <c r="M117" s="26"/>
      <c r="N117" s="26"/>
      <c r="O117" s="26"/>
      <c r="P117" s="26"/>
    </row>
    <row r="118" spans="1:16" s="21" customFormat="1" x14ac:dyDescent="0.2">
      <c r="A118" s="7"/>
      <c r="B118" s="155"/>
      <c r="C118" s="154"/>
      <c r="D118" s="157"/>
      <c r="E118" s="154"/>
      <c r="F118" s="154"/>
      <c r="G118" s="20"/>
      <c r="H118" s="20"/>
      <c r="I118" s="26"/>
      <c r="J118" s="26"/>
      <c r="K118" s="26"/>
      <c r="L118" s="26"/>
      <c r="M118" s="26"/>
      <c r="N118" s="26"/>
      <c r="O118" s="26"/>
      <c r="P118" s="26"/>
    </row>
    <row r="119" spans="1:16" s="21" customFormat="1" x14ac:dyDescent="0.2">
      <c r="A119" s="7"/>
      <c r="B119" s="155"/>
      <c r="C119" s="39"/>
      <c r="D119" s="525"/>
      <c r="E119" s="526"/>
      <c r="F119" s="526"/>
      <c r="G119" s="20"/>
      <c r="H119" s="20"/>
      <c r="I119" s="26"/>
      <c r="J119" s="26"/>
      <c r="K119" s="26"/>
      <c r="L119" s="26"/>
      <c r="M119" s="26"/>
      <c r="N119" s="26"/>
      <c r="O119" s="26"/>
      <c r="P119" s="26"/>
    </row>
    <row r="120" spans="1:16" s="21" customFormat="1" x14ac:dyDescent="0.2">
      <c r="A120" s="7"/>
      <c r="B120" s="155"/>
      <c r="C120" s="154"/>
      <c r="D120" s="158"/>
      <c r="E120" s="154"/>
      <c r="F120" s="126"/>
      <c r="G120" s="20"/>
      <c r="H120" s="20"/>
      <c r="I120" s="26"/>
      <c r="J120" s="26"/>
      <c r="K120" s="26"/>
      <c r="L120" s="26"/>
      <c r="M120" s="26"/>
      <c r="N120" s="26"/>
      <c r="O120" s="26"/>
      <c r="P120" s="26"/>
    </row>
    <row r="121" spans="1:16" s="21" customFormat="1" x14ac:dyDescent="0.2">
      <c r="A121" s="7"/>
      <c r="B121" s="155"/>
      <c r="C121" s="154"/>
      <c r="D121" s="158"/>
      <c r="E121" s="154"/>
      <c r="F121" s="126"/>
      <c r="G121" s="20"/>
      <c r="H121" s="20"/>
      <c r="I121" s="26"/>
      <c r="J121" s="26"/>
      <c r="K121" s="26"/>
      <c r="L121" s="26"/>
      <c r="M121" s="26"/>
      <c r="N121" s="26"/>
      <c r="O121" s="26"/>
      <c r="P121" s="26"/>
    </row>
    <row r="122" spans="1:16" s="21" customFormat="1" x14ac:dyDescent="0.2">
      <c r="A122" s="7"/>
      <c r="B122" s="6"/>
      <c r="C122" s="7"/>
      <c r="D122" s="154"/>
      <c r="E122" s="154"/>
      <c r="F122" s="154"/>
      <c r="G122" s="20"/>
      <c r="H122" s="20"/>
      <c r="I122" s="26"/>
      <c r="J122" s="26"/>
      <c r="K122" s="26"/>
      <c r="L122" s="26"/>
      <c r="M122" s="26"/>
      <c r="N122" s="26"/>
      <c r="O122" s="26"/>
      <c r="P122" s="26"/>
    </row>
    <row r="123" spans="1:16" s="21" customFormat="1" x14ac:dyDescent="0.2">
      <c r="A123" s="7"/>
      <c r="B123" s="153"/>
      <c r="C123" s="154"/>
      <c r="D123" s="154"/>
      <c r="E123" s="154"/>
      <c r="F123" s="154"/>
      <c r="G123" s="20"/>
      <c r="H123" s="20"/>
      <c r="I123" s="26"/>
      <c r="J123" s="26"/>
      <c r="K123" s="26"/>
      <c r="L123" s="26"/>
      <c r="M123" s="26"/>
      <c r="N123" s="26"/>
      <c r="O123" s="26"/>
      <c r="P123" s="26"/>
    </row>
    <row r="124" spans="1:16" s="21" customFormat="1" x14ac:dyDescent="0.2">
      <c r="A124" s="7"/>
      <c r="B124" s="153"/>
      <c r="C124" s="154"/>
      <c r="D124" s="158"/>
      <c r="E124" s="154"/>
      <c r="F124" s="154"/>
      <c r="G124" s="20"/>
      <c r="H124" s="20"/>
      <c r="I124" s="26"/>
      <c r="J124" s="26"/>
      <c r="K124" s="26"/>
      <c r="L124" s="26"/>
      <c r="M124" s="26"/>
      <c r="N124" s="26"/>
      <c r="O124" s="26"/>
      <c r="P124" s="26"/>
    </row>
    <row r="125" spans="1:16" s="21" customFormat="1" x14ac:dyDescent="0.2">
      <c r="A125" s="7"/>
      <c r="B125" s="153"/>
      <c r="C125" s="154"/>
      <c r="D125" s="158"/>
      <c r="E125" s="154"/>
      <c r="F125" s="154"/>
      <c r="G125" s="20"/>
      <c r="H125" s="20"/>
      <c r="I125" s="26"/>
      <c r="J125" s="26"/>
      <c r="K125" s="26"/>
      <c r="L125" s="26"/>
      <c r="M125" s="26"/>
      <c r="N125" s="26"/>
      <c r="O125" s="26"/>
      <c r="P125" s="26"/>
    </row>
    <row r="126" spans="1:16" s="21" customFormat="1" x14ac:dyDescent="0.2">
      <c r="A126" s="7"/>
      <c r="B126" s="153"/>
      <c r="C126" s="154"/>
      <c r="D126" s="150"/>
      <c r="E126" s="566"/>
      <c r="F126" s="566"/>
      <c r="G126" s="20"/>
      <c r="H126" s="20"/>
      <c r="I126" s="26"/>
      <c r="J126" s="26"/>
      <c r="K126" s="26"/>
      <c r="L126" s="26"/>
      <c r="M126" s="26"/>
      <c r="N126" s="26"/>
      <c r="O126" s="26"/>
      <c r="P126" s="26"/>
    </row>
    <row r="127" spans="1:16" x14ac:dyDescent="0.2">
      <c r="A127" s="7"/>
      <c r="B127" s="153"/>
      <c r="C127" s="154"/>
      <c r="D127" s="39"/>
      <c r="E127" s="39"/>
      <c r="F127" s="39"/>
      <c r="G127" s="20"/>
      <c r="H127" s="20"/>
      <c r="I127" s="26"/>
      <c r="J127" s="26"/>
      <c r="K127" s="26"/>
      <c r="L127" s="26"/>
      <c r="M127" s="26"/>
      <c r="N127" s="26"/>
      <c r="O127" s="26"/>
      <c r="P127" s="26"/>
    </row>
    <row r="128" spans="1:16" x14ac:dyDescent="0.2">
      <c r="A128" s="7"/>
      <c r="B128" s="153"/>
      <c r="C128" s="154"/>
      <c r="D128" s="150"/>
      <c r="E128" s="39"/>
      <c r="F128" s="39"/>
      <c r="G128" s="20"/>
      <c r="H128" s="20"/>
      <c r="I128" s="26"/>
      <c r="J128" s="26"/>
      <c r="K128" s="26"/>
      <c r="L128" s="26"/>
      <c r="M128" s="26"/>
      <c r="N128" s="26"/>
      <c r="O128" s="26"/>
      <c r="P128" s="26"/>
    </row>
    <row r="129" spans="1:16" x14ac:dyDescent="0.2">
      <c r="A129" s="7"/>
      <c r="B129" s="153"/>
      <c r="C129" s="154"/>
      <c r="D129" s="150"/>
      <c r="E129" s="39"/>
      <c r="F129" s="39"/>
      <c r="G129" s="20"/>
      <c r="H129" s="20"/>
      <c r="I129" s="26"/>
      <c r="J129" s="26"/>
      <c r="K129" s="26"/>
      <c r="L129" s="26"/>
      <c r="M129" s="26"/>
      <c r="N129" s="26"/>
      <c r="O129" s="26"/>
      <c r="P129" s="26"/>
    </row>
    <row r="130" spans="1:16" x14ac:dyDescent="0.2">
      <c r="A130" s="7"/>
      <c r="B130" s="153"/>
      <c r="C130" s="154"/>
      <c r="D130" s="150"/>
      <c r="E130" s="566"/>
      <c r="F130" s="566"/>
      <c r="G130" s="20"/>
      <c r="H130" s="20"/>
      <c r="I130" s="26"/>
      <c r="J130" s="26"/>
      <c r="K130" s="26"/>
      <c r="L130" s="26"/>
      <c r="M130" s="26"/>
      <c r="N130" s="26"/>
      <c r="O130" s="26"/>
      <c r="P130" s="26"/>
    </row>
    <row r="131" spans="1:16" x14ac:dyDescent="0.2">
      <c r="A131" s="154"/>
      <c r="B131" s="565"/>
      <c r="C131" s="565"/>
      <c r="D131" s="565"/>
      <c r="E131" s="565"/>
      <c r="F131" s="565"/>
      <c r="G131" s="20"/>
      <c r="H131" s="20"/>
      <c r="I131" s="26"/>
      <c r="J131" s="26"/>
      <c r="K131" s="26"/>
      <c r="L131" s="26"/>
      <c r="M131" s="26"/>
      <c r="N131" s="26"/>
      <c r="O131" s="26"/>
      <c r="P131" s="26"/>
    </row>
    <row r="132" spans="1:16" x14ac:dyDescent="0.2">
      <c r="A132" s="21"/>
      <c r="B132" s="21"/>
      <c r="C132" s="21"/>
      <c r="D132" s="21"/>
      <c r="E132" s="21"/>
      <c r="F132" s="21"/>
      <c r="G132" s="20"/>
      <c r="H132" s="20"/>
      <c r="I132" s="27"/>
      <c r="J132" s="26"/>
      <c r="K132" s="26"/>
      <c r="L132" s="26"/>
      <c r="M132" s="26"/>
      <c r="N132" s="26"/>
      <c r="O132" s="26"/>
      <c r="P132" s="26"/>
    </row>
    <row r="133" spans="1:16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</row>
    <row r="134" spans="1:16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</row>
    <row r="135" spans="1:16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</row>
    <row r="136" spans="1:16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</row>
    <row r="137" spans="1:16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</row>
    <row r="138" spans="1:16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</row>
    <row r="139" spans="1:16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</row>
    <row r="140" spans="1:16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</row>
    <row r="141" spans="1:16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</row>
    <row r="142" spans="1:16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</row>
    <row r="143" spans="1:16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</row>
    <row r="144" spans="1:16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</row>
    <row r="145" spans="1:16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</row>
    <row r="146" spans="1:16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</row>
    <row r="147" spans="1:16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</row>
    <row r="148" spans="1:16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</row>
    <row r="149" spans="1:16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</row>
    <row r="150" spans="1:16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</row>
    <row r="151" spans="1:16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</row>
    <row r="152" spans="1:16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</row>
    <row r="153" spans="1:16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</row>
    <row r="154" spans="1:16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</row>
    <row r="155" spans="1:16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</row>
    <row r="156" spans="1:16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</row>
    <row r="157" spans="1:16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</row>
    <row r="158" spans="1:16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</row>
    <row r="159" spans="1:16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</row>
    <row r="160" spans="1:16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</row>
    <row r="161" spans="1:16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</row>
    <row r="162" spans="1:16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</row>
    <row r="163" spans="1:16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</row>
    <row r="164" spans="1:16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</row>
    <row r="165" spans="1:16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</row>
    <row r="166" spans="1:16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</row>
    <row r="167" spans="1:16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</row>
    <row r="168" spans="1:16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</row>
    <row r="169" spans="1:16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</row>
    <row r="170" spans="1:16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</row>
    <row r="171" spans="1:16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</row>
    <row r="172" spans="1:16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</row>
    <row r="173" spans="1:16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</row>
    <row r="174" spans="1:16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</row>
    <row r="175" spans="1:16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</row>
    <row r="176" spans="1:16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</row>
    <row r="177" spans="1:16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</row>
    <row r="178" spans="1:16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</row>
    <row r="179" spans="1:16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</row>
    <row r="180" spans="1:16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</row>
    <row r="181" spans="1:16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</row>
    <row r="182" spans="1:16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</row>
    <row r="183" spans="1:16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</row>
    <row r="184" spans="1:16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</row>
    <row r="185" spans="1:16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</row>
    <row r="186" spans="1:16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</row>
    <row r="187" spans="1:16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</row>
    <row r="188" spans="1:16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</row>
    <row r="189" spans="1:16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</row>
    <row r="190" spans="1:16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</row>
    <row r="191" spans="1:16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</row>
    <row r="192" spans="1:16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</row>
    <row r="193" spans="1:16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</row>
    <row r="194" spans="1:16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</row>
    <row r="195" spans="1:16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</row>
    <row r="196" spans="1:16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</row>
    <row r="197" spans="1:16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</row>
    <row r="198" spans="1:16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</row>
    <row r="199" spans="1:16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</row>
    <row r="200" spans="1:16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</row>
    <row r="201" spans="1:16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</row>
    <row r="202" spans="1:16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</row>
    <row r="203" spans="1:16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</row>
    <row r="204" spans="1:16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</row>
    <row r="205" spans="1:16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</row>
    <row r="206" spans="1:16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</row>
    <row r="207" spans="1:16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</row>
    <row r="208" spans="1:16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</row>
    <row r="209" spans="1:16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</row>
    <row r="210" spans="1:16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</row>
    <row r="211" spans="1:16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</row>
    <row r="212" spans="1:16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</row>
    <row r="213" spans="1:16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</row>
    <row r="214" spans="1:16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</row>
    <row r="215" spans="1:16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</row>
    <row r="216" spans="1:16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</row>
    <row r="217" spans="1:16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</row>
    <row r="218" spans="1:16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</row>
    <row r="219" spans="1:16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</row>
    <row r="220" spans="1:16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</row>
    <row r="221" spans="1:16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</row>
    <row r="222" spans="1:16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</row>
    <row r="223" spans="1:16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</row>
    <row r="224" spans="1:16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</row>
    <row r="225" spans="1:16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</row>
    <row r="226" spans="1:16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</row>
    <row r="227" spans="1:16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</row>
    <row r="228" spans="1:16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</row>
    <row r="229" spans="1:16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</row>
    <row r="230" spans="1:16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</row>
    <row r="231" spans="1:16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</row>
    <row r="232" spans="1:16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</row>
    <row r="233" spans="1:16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</row>
    <row r="234" spans="1:16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</row>
    <row r="235" spans="1:16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</row>
    <row r="236" spans="1:16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</row>
    <row r="237" spans="1:16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</row>
    <row r="238" spans="1:16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</row>
    <row r="239" spans="1:16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</row>
    <row r="240" spans="1:16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</row>
    <row r="241" spans="1:16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</row>
    <row r="242" spans="1:16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</row>
    <row r="243" spans="1:16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</row>
    <row r="244" spans="1:16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</row>
    <row r="245" spans="1:16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</row>
    <row r="246" spans="1:16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</row>
    <row r="247" spans="1:16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</row>
    <row r="248" spans="1:16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</row>
    <row r="249" spans="1:16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</row>
    <row r="250" spans="1:16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</row>
    <row r="251" spans="1:16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</row>
    <row r="252" spans="1:16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</row>
    <row r="253" spans="1:16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</row>
    <row r="254" spans="1:16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</row>
    <row r="255" spans="1:16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</row>
    <row r="256" spans="1:16" x14ac:dyDescent="0.2">
      <c r="A256" s="21"/>
      <c r="B256" s="21"/>
      <c r="C256" s="21"/>
      <c r="D256" s="21"/>
      <c r="E256" s="21"/>
      <c r="F256" s="21"/>
      <c r="G256" s="20"/>
      <c r="H256" s="20"/>
      <c r="I256" s="21"/>
      <c r="J256" s="21"/>
      <c r="K256" s="21"/>
      <c r="L256" s="21"/>
      <c r="M256" s="21"/>
      <c r="N256" s="21"/>
      <c r="O256" s="21"/>
      <c r="P256" s="21"/>
    </row>
    <row r="257" spans="1:16" x14ac:dyDescent="0.2">
      <c r="A257" s="21"/>
      <c r="B257" s="21"/>
      <c r="C257" s="21"/>
      <c r="D257" s="21"/>
      <c r="E257" s="21"/>
      <c r="F257" s="21"/>
      <c r="G257" s="20"/>
      <c r="H257" s="20"/>
      <c r="I257" s="21"/>
      <c r="J257" s="21"/>
      <c r="K257" s="21"/>
      <c r="L257" s="21"/>
      <c r="M257" s="21"/>
      <c r="N257" s="21"/>
      <c r="O257" s="21"/>
      <c r="P257" s="21"/>
    </row>
  </sheetData>
  <sheetProtection password="ED58" sheet="1" objects="1" scenarios="1" selectLockedCells="1"/>
  <mergeCells count="16">
    <mergeCell ref="A1:P1"/>
    <mergeCell ref="B131:F131"/>
    <mergeCell ref="P8:P9"/>
    <mergeCell ref="I8:I9"/>
    <mergeCell ref="E82:F82"/>
    <mergeCell ref="D93:F93"/>
    <mergeCell ref="D108:F108"/>
    <mergeCell ref="D119:F119"/>
    <mergeCell ref="L8:M8"/>
    <mergeCell ref="J8:K8"/>
    <mergeCell ref="I6:P7"/>
    <mergeCell ref="N8:O8"/>
    <mergeCell ref="E130:F130"/>
    <mergeCell ref="E126:F126"/>
    <mergeCell ref="A6:F9"/>
    <mergeCell ref="G6:G9"/>
  </mergeCells>
  <phoneticPr fontId="0" type="noConversion"/>
  <dataValidations count="2">
    <dataValidation type="decimal" operator="lessThan" allowBlank="1" showInputMessage="1" showErrorMessage="1" sqref="I10:EY589">
      <formula1>1000000000000000</formula1>
    </dataValidation>
    <dataValidation operator="lessThan" allowBlank="1" showInputMessage="1" showErrorMessage="1" sqref="A24:D28"/>
  </dataValidations>
  <printOptions horizontalCentered="1"/>
  <pageMargins left="0.25" right="0.25" top="1" bottom="0.5" header="0.5" footer="0.5"/>
  <pageSetup paperSize="9" scale="85" orientation="landscape" horizontalDpi="360" verticalDpi="360" r:id="rId1"/>
  <headerFooter alignWithMargins="0">
    <oddHeader>&amp;R&amp;"Arial,Bold"&amp;USchedule 6a&amp;8&amp;U
&amp;P of &amp;N&amp;C&amp;"Arial,Bold"&amp;8 MAXIMUM SAVINGS BANK, INC.  [ 03-070011 ]
 As of: June 30, 2019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J254"/>
  <sheetViews>
    <sheetView zoomScale="75" zoomScaleNormal="45" zoomScaleSheetLayoutView="100" workbookViewId="0">
      <pane xSplit="8" ySplit="10" topLeftCell="I11" activePane="bottomRight" state="frozen"/>
      <selection pane="topRight" activeCell="I1" sqref="I1"/>
      <selection pane="bottomLeft" activeCell="A11" sqref="A11"/>
      <selection pane="bottomRight" sqref="A1:S1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25.5703125" style="1" customWidth="1"/>
    <col min="6" max="6" width="21.42578125" style="1" hidden="1" customWidth="1"/>
    <col min="7" max="7" width="17.85546875" style="9" customWidth="1"/>
    <col min="8" max="8" width="10" style="9" hidden="1" customWidth="1"/>
    <col min="9" max="19" width="20.7109375" style="1" customWidth="1"/>
    <col min="20" max="159" width="25.7109375" style="1" customWidth="1"/>
    <col min="160" max="16384" width="9.140625" style="1"/>
  </cols>
  <sheetData>
    <row r="1" spans="1:22" ht="12.75" x14ac:dyDescent="0.2">
      <c r="A1" s="512" t="s">
        <v>519</v>
      </c>
      <c r="B1" s="512"/>
      <c r="C1" s="512"/>
      <c r="D1" s="512"/>
      <c r="E1" s="512"/>
      <c r="F1" s="512"/>
      <c r="G1" s="512"/>
      <c r="H1" s="512"/>
      <c r="I1" s="512"/>
      <c r="J1" s="512"/>
      <c r="K1" s="512"/>
      <c r="L1" s="512"/>
      <c r="M1" s="512"/>
      <c r="N1" s="512"/>
      <c r="O1" s="512"/>
      <c r="P1" s="512"/>
      <c r="Q1" s="512"/>
      <c r="R1" s="512"/>
      <c r="S1" s="512"/>
    </row>
    <row r="2" spans="1:22" ht="12.75" customHeight="1" x14ac:dyDescent="0.2">
      <c r="A2" s="512" t="s">
        <v>325</v>
      </c>
      <c r="B2" s="512"/>
      <c r="C2" s="512"/>
      <c r="D2" s="512"/>
      <c r="E2" s="512"/>
      <c r="F2" s="512"/>
      <c r="G2" s="512"/>
      <c r="H2" s="512"/>
      <c r="I2" s="512"/>
      <c r="J2" s="512"/>
      <c r="K2" s="512"/>
      <c r="L2" s="512"/>
      <c r="M2" s="512"/>
      <c r="N2" s="512"/>
      <c r="O2" s="512"/>
      <c r="P2" s="512"/>
      <c r="Q2" s="512"/>
      <c r="R2" s="512"/>
      <c r="S2" s="512"/>
    </row>
    <row r="3" spans="1:22" ht="12.75" hidden="1" customHeight="1" x14ac:dyDescent="0.2">
      <c r="A3" s="257"/>
      <c r="B3" s="257"/>
      <c r="C3" s="257"/>
      <c r="D3" s="257"/>
      <c r="E3" s="257"/>
      <c r="F3" s="257"/>
      <c r="G3" s="257"/>
      <c r="H3" s="257"/>
      <c r="I3" s="257"/>
      <c r="J3" s="257"/>
      <c r="K3" s="257"/>
      <c r="L3" s="257"/>
      <c r="M3" s="257"/>
      <c r="N3" s="257"/>
      <c r="O3" s="257"/>
      <c r="P3" s="257"/>
      <c r="Q3" s="257"/>
      <c r="R3" s="257"/>
      <c r="S3" s="257"/>
    </row>
    <row r="4" spans="1:22" ht="12.75" hidden="1" customHeight="1" x14ac:dyDescent="0.2">
      <c r="A4" s="257"/>
      <c r="B4" s="257"/>
      <c r="C4" s="257"/>
      <c r="D4" s="257"/>
      <c r="E4" s="257"/>
      <c r="F4" s="257"/>
      <c r="G4" s="257"/>
      <c r="H4" s="257"/>
      <c r="I4" s="257"/>
      <c r="J4" s="257"/>
      <c r="K4" s="257"/>
      <c r="L4" s="257"/>
      <c r="M4" s="257"/>
      <c r="N4" s="257"/>
      <c r="O4" s="257"/>
      <c r="P4" s="257"/>
      <c r="Q4" s="257"/>
      <c r="R4" s="257"/>
      <c r="S4" s="257"/>
    </row>
    <row r="5" spans="1:22" ht="12.75" customHeight="1" x14ac:dyDescent="0.2">
      <c r="A5" s="512" t="s">
        <v>356</v>
      </c>
      <c r="B5" s="589"/>
      <c r="C5" s="589"/>
      <c r="D5" s="589"/>
      <c r="E5" s="589"/>
      <c r="F5" s="589"/>
      <c r="G5" s="589"/>
      <c r="H5" s="589"/>
      <c r="I5" s="589"/>
      <c r="J5" s="589"/>
      <c r="K5" s="589"/>
      <c r="L5" s="589"/>
      <c r="M5" s="589"/>
      <c r="N5" s="589"/>
      <c r="O5" s="589"/>
      <c r="P5" s="589"/>
      <c r="Q5" s="589"/>
      <c r="R5" s="589"/>
      <c r="S5" s="589"/>
    </row>
    <row r="6" spans="1:22" ht="14.25" customHeight="1" x14ac:dyDescent="0.2"/>
    <row r="7" spans="1:22" s="11" customFormat="1" ht="12.75" customHeight="1" x14ac:dyDescent="0.2">
      <c r="A7" s="504" t="s">
        <v>0</v>
      </c>
      <c r="B7" s="505"/>
      <c r="C7" s="505"/>
      <c r="D7" s="505"/>
      <c r="E7" s="505"/>
      <c r="F7" s="506"/>
      <c r="G7" s="496" t="s">
        <v>2</v>
      </c>
      <c r="H7" s="493" t="s">
        <v>414</v>
      </c>
      <c r="I7" s="8" t="s">
        <v>309</v>
      </c>
      <c r="J7" s="8" t="s">
        <v>310</v>
      </c>
      <c r="K7" s="8" t="s">
        <v>311</v>
      </c>
      <c r="L7" s="8" t="s">
        <v>312</v>
      </c>
      <c r="M7" s="8" t="s">
        <v>313</v>
      </c>
      <c r="N7" s="8" t="s">
        <v>314</v>
      </c>
      <c r="O7" s="8" t="s">
        <v>315</v>
      </c>
      <c r="P7" s="8" t="s">
        <v>316</v>
      </c>
      <c r="Q7" s="8" t="s">
        <v>317</v>
      </c>
      <c r="R7" s="8" t="s">
        <v>318</v>
      </c>
      <c r="S7" s="8" t="s">
        <v>307</v>
      </c>
    </row>
    <row r="8" spans="1:22" s="11" customFormat="1" x14ac:dyDescent="0.2">
      <c r="A8" s="507"/>
      <c r="B8" s="508"/>
      <c r="C8" s="508"/>
      <c r="D8" s="508"/>
      <c r="E8" s="508"/>
      <c r="F8" s="509"/>
      <c r="G8" s="497"/>
      <c r="H8" s="494"/>
      <c r="I8" s="592" t="s">
        <v>755</v>
      </c>
      <c r="J8" s="580" t="s">
        <v>324</v>
      </c>
      <c r="K8" s="581"/>
      <c r="L8" s="581"/>
      <c r="M8" s="581"/>
      <c r="N8" s="582"/>
      <c r="O8" s="493" t="s">
        <v>319</v>
      </c>
      <c r="P8" s="493" t="s">
        <v>320</v>
      </c>
      <c r="Q8" s="493" t="s">
        <v>321</v>
      </c>
      <c r="R8" s="493" t="s">
        <v>322</v>
      </c>
      <c r="S8" s="493" t="s">
        <v>323</v>
      </c>
    </row>
    <row r="9" spans="1:22" s="2" customFormat="1" ht="12.75" customHeight="1" x14ac:dyDescent="0.2">
      <c r="A9" s="507"/>
      <c r="B9" s="508"/>
      <c r="C9" s="508"/>
      <c r="D9" s="508"/>
      <c r="E9" s="508"/>
      <c r="F9" s="509"/>
      <c r="G9" s="497"/>
      <c r="H9" s="494"/>
      <c r="I9" s="593"/>
      <c r="J9" s="496" t="s">
        <v>779</v>
      </c>
      <c r="K9" s="496" t="s">
        <v>780</v>
      </c>
      <c r="L9" s="496" t="s">
        <v>781</v>
      </c>
      <c r="M9" s="506" t="s">
        <v>782</v>
      </c>
      <c r="N9" s="496" t="s">
        <v>308</v>
      </c>
      <c r="O9" s="587"/>
      <c r="P9" s="587"/>
      <c r="Q9" s="585"/>
      <c r="R9" s="583"/>
      <c r="S9" s="583"/>
    </row>
    <row r="10" spans="1:22" s="2" customFormat="1" ht="33" customHeight="1" x14ac:dyDescent="0.2">
      <c r="A10" s="507"/>
      <c r="B10" s="508"/>
      <c r="C10" s="508"/>
      <c r="D10" s="508"/>
      <c r="E10" s="508"/>
      <c r="F10" s="509"/>
      <c r="G10" s="498"/>
      <c r="H10" s="495"/>
      <c r="I10" s="594"/>
      <c r="J10" s="498"/>
      <c r="K10" s="498"/>
      <c r="L10" s="498"/>
      <c r="M10" s="492"/>
      <c r="N10" s="498"/>
      <c r="O10" s="588"/>
      <c r="P10" s="588"/>
      <c r="Q10" s="586"/>
      <c r="R10" s="584"/>
      <c r="S10" s="584"/>
    </row>
    <row r="11" spans="1:22" x14ac:dyDescent="0.2">
      <c r="A11" s="377" t="s">
        <v>185</v>
      </c>
      <c r="B11" s="378"/>
      <c r="C11" s="378"/>
      <c r="D11" s="378"/>
      <c r="E11" s="378"/>
      <c r="F11" s="379"/>
      <c r="G11" s="458" t="s">
        <v>520</v>
      </c>
      <c r="H11" s="320"/>
      <c r="I11" s="78">
        <f>'6B1'!J10+'6B2'!J10+'6B3'!J10+'6B4'!J10</f>
        <v>0</v>
      </c>
      <c r="J11" s="78">
        <f>'6B1'!L10+'6B2'!L10+'6B3'!L10+'6B4'!L10</f>
        <v>0</v>
      </c>
      <c r="K11" s="78">
        <f>'6B1'!N10+'6B2'!N10+'6B3'!N10+'6B4'!N10</f>
        <v>0</v>
      </c>
      <c r="L11" s="78">
        <f>'6B1'!P10+'6B2'!P10+'6B3'!P10+'6B4'!P10</f>
        <v>0</v>
      </c>
      <c r="M11" s="78">
        <f>'6B1'!R10+'6B2'!R10+'6B3'!R10+'6B4'!R10</f>
        <v>0</v>
      </c>
      <c r="N11" s="78">
        <f>'6B1'!T10+'6B2'!T10+'6B3'!T10+'6B4'!T10</f>
        <v>0</v>
      </c>
      <c r="O11" s="78">
        <f>'6B1'!V10+'6B2'!V10+'6B3'!V10+'6B4'!V10</f>
        <v>0</v>
      </c>
      <c r="P11" s="78">
        <f>'6B1'!X10+'6B2'!X10+'6B3'!X10+'6B4'!X10</f>
        <v>0</v>
      </c>
      <c r="Q11" s="78">
        <f>'6B1'!Z10+'6B2'!Z10+'6B3'!Z10+'6B4'!Z10</f>
        <v>0</v>
      </c>
      <c r="R11" s="78">
        <f>'6B1'!AB10+'6B2'!AB10+'6B3'!AB10+'6B4'!AB10</f>
        <v>0</v>
      </c>
      <c r="S11" s="78">
        <f>'6B1'!AD10+'6B2'!AD10+'6B3'!AD10+'6B4'!AD10</f>
        <v>0</v>
      </c>
      <c r="T11" s="122"/>
      <c r="U11" s="123"/>
      <c r="V11" s="123"/>
    </row>
    <row r="12" spans="1:22" x14ac:dyDescent="0.2">
      <c r="A12" s="380" t="s">
        <v>186</v>
      </c>
      <c r="B12" s="381" t="s">
        <v>187</v>
      </c>
      <c r="C12" s="355"/>
      <c r="D12" s="355"/>
      <c r="E12" s="382"/>
      <c r="F12" s="383"/>
      <c r="G12" s="458" t="s">
        <v>521</v>
      </c>
      <c r="H12" s="320"/>
      <c r="I12" s="78">
        <f>'6B1'!J11+'6B2'!J11+'6B3'!J11+'6B4'!J11</f>
        <v>0</v>
      </c>
      <c r="J12" s="78">
        <f>'6B1'!L11+'6B2'!L11+'6B3'!L11+'6B4'!L11</f>
        <v>0</v>
      </c>
      <c r="K12" s="78">
        <f>'6B1'!N11+'6B2'!N11+'6B3'!N11+'6B4'!N11</f>
        <v>0</v>
      </c>
      <c r="L12" s="78">
        <f>'6B1'!P11+'6B2'!P11+'6B3'!P11+'6B4'!P11</f>
        <v>0</v>
      </c>
      <c r="M12" s="78">
        <f>'6B1'!R11+'6B2'!R11+'6B3'!R11+'6B4'!R11</f>
        <v>0</v>
      </c>
      <c r="N12" s="78">
        <f>'6B1'!T11+'6B2'!T11+'6B3'!T11+'6B4'!T11</f>
        <v>0</v>
      </c>
      <c r="O12" s="78">
        <f>'6B1'!V11+'6B2'!V11+'6B3'!V11+'6B4'!V11</f>
        <v>0</v>
      </c>
      <c r="P12" s="78">
        <f>'6B1'!X11+'6B2'!X11+'6B3'!X11+'6B4'!X11</f>
        <v>0</v>
      </c>
      <c r="Q12" s="78">
        <f>'6B1'!Z11+'6B2'!Z11+'6B3'!Z11+'6B4'!Z11</f>
        <v>0</v>
      </c>
      <c r="R12" s="78">
        <f>'6B1'!AB11+'6B2'!AB11+'6B3'!AB11+'6B4'!AB11</f>
        <v>0</v>
      </c>
      <c r="S12" s="78">
        <f>'6B1'!AD11+'6B2'!AD11+'6B3'!AD11+'6B4'!AD11</f>
        <v>0</v>
      </c>
      <c r="T12" s="122"/>
      <c r="U12" s="123"/>
      <c r="V12" s="123"/>
    </row>
    <row r="13" spans="1:22" x14ac:dyDescent="0.2">
      <c r="A13" s="384"/>
      <c r="B13" s="385" t="s">
        <v>188</v>
      </c>
      <c r="C13" s="385" t="s">
        <v>788</v>
      </c>
      <c r="D13" s="385"/>
      <c r="E13" s="385"/>
      <c r="F13" s="383"/>
      <c r="G13" s="458" t="s">
        <v>522</v>
      </c>
      <c r="H13" s="320"/>
      <c r="I13" s="78">
        <f>'6B1'!J12+'6B2'!J12+'6B3'!J12+'6B4'!J12</f>
        <v>0</v>
      </c>
      <c r="J13" s="78">
        <f>'6B1'!L12+'6B2'!L12+'6B3'!L12+'6B4'!L12</f>
        <v>0</v>
      </c>
      <c r="K13" s="78">
        <f>'6B1'!N12+'6B2'!N12+'6B3'!N12+'6B4'!N12</f>
        <v>0</v>
      </c>
      <c r="L13" s="78">
        <f>'6B1'!P12+'6B2'!P12+'6B3'!P12+'6B4'!P12</f>
        <v>0</v>
      </c>
      <c r="M13" s="78">
        <f>'6B1'!R12+'6B2'!R12+'6B3'!R12+'6B4'!R12</f>
        <v>0</v>
      </c>
      <c r="N13" s="78">
        <f>'6B1'!T12+'6B2'!T12+'6B3'!T12+'6B4'!T12</f>
        <v>0</v>
      </c>
      <c r="O13" s="78">
        <f>'6B1'!V12+'6B2'!V12+'6B3'!V12+'6B4'!V12</f>
        <v>0</v>
      </c>
      <c r="P13" s="78">
        <f>'6B1'!X12+'6B2'!X12+'6B3'!X12+'6B4'!X12</f>
        <v>0</v>
      </c>
      <c r="Q13" s="78">
        <f>'6B1'!Z12+'6B2'!Z12+'6B3'!Z12+'6B4'!Z12</f>
        <v>0</v>
      </c>
      <c r="R13" s="78">
        <f>'6B1'!AB12+'6B2'!AB12+'6B3'!AB12+'6B4'!AB12</f>
        <v>0</v>
      </c>
      <c r="S13" s="78">
        <f>'6B1'!AD12+'6B2'!AD12+'6B3'!AD12+'6B4'!AD12</f>
        <v>0</v>
      </c>
      <c r="T13" s="122"/>
      <c r="U13" s="123"/>
      <c r="V13" s="123"/>
    </row>
    <row r="14" spans="1:22" x14ac:dyDescent="0.2">
      <c r="A14" s="386"/>
      <c r="B14" s="355"/>
      <c r="C14" s="387" t="s">
        <v>19</v>
      </c>
      <c r="D14" s="355" t="s">
        <v>189</v>
      </c>
      <c r="E14" s="382"/>
      <c r="F14" s="383"/>
      <c r="G14" s="458" t="s">
        <v>523</v>
      </c>
      <c r="H14" s="320"/>
      <c r="I14" s="78">
        <f>'6B1'!J13+'6B2'!J13+'6B3'!J13+'6B4'!J13</f>
        <v>0</v>
      </c>
      <c r="J14" s="78">
        <f>'6B1'!L13+'6B2'!L13+'6B3'!L13+'6B4'!L13</f>
        <v>0</v>
      </c>
      <c r="K14" s="78">
        <f>'6B1'!N13+'6B2'!N13+'6B3'!N13+'6B4'!N13</f>
        <v>0</v>
      </c>
      <c r="L14" s="78">
        <f>'6B1'!P13+'6B2'!P13+'6B3'!P13+'6B4'!P13</f>
        <v>0</v>
      </c>
      <c r="M14" s="78">
        <f>'6B1'!R13+'6B2'!R13+'6B3'!R13+'6B4'!R13</f>
        <v>0</v>
      </c>
      <c r="N14" s="78">
        <f>'6B1'!T13+'6B2'!T13+'6B3'!T13+'6B4'!T13</f>
        <v>0</v>
      </c>
      <c r="O14" s="78">
        <f>'6B1'!V13+'6B2'!V13+'6B3'!V13+'6B4'!V13</f>
        <v>0</v>
      </c>
      <c r="P14" s="78">
        <f>'6B1'!X13+'6B2'!X13+'6B3'!X13+'6B4'!X13</f>
        <v>0</v>
      </c>
      <c r="Q14" s="78">
        <f>'6B1'!Z13+'6B2'!Z13+'6B3'!Z13+'6B4'!Z13</f>
        <v>0</v>
      </c>
      <c r="R14" s="78">
        <f>'6B1'!AB13+'6B2'!AB13+'6B3'!AB13+'6B4'!AB13</f>
        <v>0</v>
      </c>
      <c r="S14" s="78">
        <f>'6B1'!AD13+'6B2'!AD13+'6B3'!AD13+'6B4'!AD13</f>
        <v>0</v>
      </c>
      <c r="T14" s="122"/>
      <c r="U14" s="123"/>
      <c r="V14" s="123"/>
    </row>
    <row r="15" spans="1:22" x14ac:dyDescent="0.2">
      <c r="A15" s="386"/>
      <c r="B15" s="355"/>
      <c r="C15" s="387"/>
      <c r="D15" s="355" t="s">
        <v>11</v>
      </c>
      <c r="E15" s="355" t="s">
        <v>789</v>
      </c>
      <c r="F15" s="382"/>
      <c r="G15" s="458" t="s">
        <v>817</v>
      </c>
      <c r="H15" s="320"/>
      <c r="I15" s="78">
        <f>'6B1'!J14+'6B2'!J14+'6B3'!J14+'6B4'!J14</f>
        <v>0</v>
      </c>
      <c r="J15" s="78">
        <f>'6B1'!L14+'6B2'!L14+'6B3'!L14+'6B4'!L14</f>
        <v>0</v>
      </c>
      <c r="K15" s="78">
        <f>'6B1'!N14+'6B2'!N14+'6B3'!N14+'6B4'!N14</f>
        <v>0</v>
      </c>
      <c r="L15" s="78">
        <f>'6B1'!P14+'6B2'!P14+'6B3'!P14+'6B4'!P14</f>
        <v>0</v>
      </c>
      <c r="M15" s="78">
        <f>'6B1'!R14+'6B2'!R14+'6B3'!R14+'6B4'!R14</f>
        <v>0</v>
      </c>
      <c r="N15" s="78">
        <f>'6B1'!T14+'6B2'!T14+'6B3'!T14+'6B4'!T14</f>
        <v>0</v>
      </c>
      <c r="O15" s="78">
        <f>'6B1'!V14+'6B2'!V14+'6B3'!V14+'6B4'!V14</f>
        <v>0</v>
      </c>
      <c r="P15" s="78">
        <f>'6B1'!X14+'6B2'!X14+'6B3'!X14+'6B4'!X14</f>
        <v>0</v>
      </c>
      <c r="Q15" s="78">
        <f>'6B1'!Z14+'6B2'!Z14+'6B3'!Z14+'6B4'!Z14</f>
        <v>0</v>
      </c>
      <c r="R15" s="78">
        <f>'6B1'!AB14+'6B2'!AB14+'6B3'!AB14+'6B4'!AB14</f>
        <v>0</v>
      </c>
      <c r="S15" s="78">
        <f>'6B1'!AD14+'6B2'!AD14+'6B3'!AD14+'6B4'!AD14</f>
        <v>0</v>
      </c>
      <c r="T15" s="122"/>
      <c r="U15" s="123"/>
      <c r="V15" s="123"/>
    </row>
    <row r="16" spans="1:22" x14ac:dyDescent="0.2">
      <c r="A16" s="386"/>
      <c r="B16" s="355"/>
      <c r="C16" s="387"/>
      <c r="D16" s="355" t="s">
        <v>15</v>
      </c>
      <c r="E16" s="355" t="s">
        <v>790</v>
      </c>
      <c r="F16" s="388"/>
      <c r="G16" s="458" t="s">
        <v>818</v>
      </c>
      <c r="H16" s="320"/>
      <c r="I16" s="78">
        <f>'6B1'!J15+'6B2'!J15+'6B3'!J15+'6B4'!J15</f>
        <v>0</v>
      </c>
      <c r="J16" s="78">
        <f>'6B1'!L15+'6B2'!L15+'6B3'!L15+'6B4'!L15</f>
        <v>0</v>
      </c>
      <c r="K16" s="78">
        <f>'6B1'!N15+'6B2'!N15+'6B3'!N15+'6B4'!N15</f>
        <v>0</v>
      </c>
      <c r="L16" s="78">
        <f>'6B1'!P15+'6B2'!P15+'6B3'!P15+'6B4'!P15</f>
        <v>0</v>
      </c>
      <c r="M16" s="78">
        <f>'6B1'!R15+'6B2'!R15+'6B3'!R15+'6B4'!R15</f>
        <v>0</v>
      </c>
      <c r="N16" s="78">
        <f>'6B1'!T15+'6B2'!T15+'6B3'!T15+'6B4'!T15</f>
        <v>0</v>
      </c>
      <c r="O16" s="78">
        <f>'6B1'!V15+'6B2'!V15+'6B3'!V15+'6B4'!V15</f>
        <v>0</v>
      </c>
      <c r="P16" s="78">
        <f>'6B1'!X15+'6B2'!X15+'6B3'!X15+'6B4'!X15</f>
        <v>0</v>
      </c>
      <c r="Q16" s="78">
        <f>'6B1'!Z15+'6B2'!Z15+'6B3'!Z15+'6B4'!Z15</f>
        <v>0</v>
      </c>
      <c r="R16" s="78">
        <f>'6B1'!AB15+'6B2'!AB15+'6B3'!AB15+'6B4'!AB15</f>
        <v>0</v>
      </c>
      <c r="S16" s="78">
        <f>'6B1'!AD15+'6B2'!AD15+'6B3'!AD15+'6B4'!AD15</f>
        <v>0</v>
      </c>
      <c r="T16" s="122"/>
      <c r="U16" s="123"/>
      <c r="V16" s="123"/>
    </row>
    <row r="17" spans="1:22" x14ac:dyDescent="0.2">
      <c r="A17" s="386"/>
      <c r="B17" s="355"/>
      <c r="C17" s="387"/>
      <c r="D17" s="355" t="s">
        <v>25</v>
      </c>
      <c r="E17" s="355" t="s">
        <v>791</v>
      </c>
      <c r="F17" s="388"/>
      <c r="G17" s="458" t="s">
        <v>819</v>
      </c>
      <c r="H17" s="389" t="s">
        <v>751</v>
      </c>
      <c r="I17" s="78">
        <f>'6B1'!J16+'6B2'!J16+'6B3'!J16+'6B4'!J16</f>
        <v>0</v>
      </c>
      <c r="J17" s="78">
        <f>'6B1'!L16+'6B2'!L16+'6B3'!L16+'6B4'!L16</f>
        <v>0</v>
      </c>
      <c r="K17" s="78">
        <f>'6B1'!N16+'6B2'!N16+'6B3'!N16+'6B4'!N16</f>
        <v>0</v>
      </c>
      <c r="L17" s="78">
        <f>'6B1'!P16+'6B2'!P16+'6B3'!P16+'6B4'!P16</f>
        <v>0</v>
      </c>
      <c r="M17" s="78">
        <f>'6B1'!R16+'6B2'!R16+'6B3'!R16+'6B4'!R16</f>
        <v>0</v>
      </c>
      <c r="N17" s="78">
        <f>'6B1'!T16+'6B2'!T16+'6B3'!T16+'6B4'!T16</f>
        <v>0</v>
      </c>
      <c r="O17" s="78">
        <f>'6B1'!V16+'6B2'!V16+'6B3'!V16+'6B4'!V16</f>
        <v>0</v>
      </c>
      <c r="P17" s="78">
        <f>'6B1'!X16+'6B2'!X16+'6B3'!X16+'6B4'!X16</f>
        <v>0</v>
      </c>
      <c r="Q17" s="78">
        <f>'6B1'!Z16+'6B2'!Z16+'6B3'!Z16+'6B4'!Z16</f>
        <v>0</v>
      </c>
      <c r="R17" s="78">
        <f>'6B1'!AB16+'6B2'!AB16+'6B3'!AB16+'6B4'!AB16</f>
        <v>0</v>
      </c>
      <c r="S17" s="78">
        <f>'6B1'!AD16+'6B2'!AD16+'6B3'!AD16+'6B4'!AD16</f>
        <v>0</v>
      </c>
      <c r="T17" s="122"/>
      <c r="U17" s="123"/>
      <c r="V17" s="123"/>
    </row>
    <row r="18" spans="1:22" x14ac:dyDescent="0.2">
      <c r="A18" s="384"/>
      <c r="B18" s="385"/>
      <c r="C18" s="390" t="s">
        <v>21</v>
      </c>
      <c r="D18" s="385" t="s">
        <v>326</v>
      </c>
      <c r="E18" s="385"/>
      <c r="F18" s="383"/>
      <c r="G18" s="458" t="s">
        <v>524</v>
      </c>
      <c r="H18" s="320"/>
      <c r="I18" s="78">
        <f>'6B1'!J19+'6B2'!J19+'6B3'!J19+'6B4'!J19</f>
        <v>0</v>
      </c>
      <c r="J18" s="78">
        <f>'6B1'!L19+'6B2'!L19+'6B3'!L19+'6B4'!L19</f>
        <v>0</v>
      </c>
      <c r="K18" s="78">
        <f>'6B1'!N19+'6B2'!N19+'6B3'!N19+'6B4'!N19</f>
        <v>0</v>
      </c>
      <c r="L18" s="78">
        <f>'6B1'!P19+'6B2'!P19+'6B3'!P19+'6B4'!P19</f>
        <v>0</v>
      </c>
      <c r="M18" s="78">
        <f>'6B1'!R19+'6B2'!R19+'6B3'!R19+'6B4'!R19</f>
        <v>0</v>
      </c>
      <c r="N18" s="78">
        <f>'6B1'!T19+'6B2'!T19+'6B3'!T19+'6B4'!T19</f>
        <v>0</v>
      </c>
      <c r="O18" s="78">
        <f>'6B1'!V19+'6B2'!V19+'6B3'!V19+'6B4'!V19</f>
        <v>0</v>
      </c>
      <c r="P18" s="78">
        <f>'6B1'!X19+'6B2'!X19+'6B3'!X19+'6B4'!X19</f>
        <v>0</v>
      </c>
      <c r="Q18" s="78">
        <f>'6B1'!Z19+'6B2'!Z19+'6B3'!Z19+'6B4'!Z19</f>
        <v>0</v>
      </c>
      <c r="R18" s="78">
        <f>'6B1'!AB19+'6B2'!AB19+'6B3'!AB19+'6B4'!AB19</f>
        <v>0</v>
      </c>
      <c r="S18" s="78">
        <f>'6B1'!AD19+'6B2'!AD19+'6B3'!AD19+'6B4'!AD19</f>
        <v>0</v>
      </c>
      <c r="T18" s="122"/>
      <c r="U18" s="123"/>
      <c r="V18" s="123"/>
    </row>
    <row r="19" spans="1:22" x14ac:dyDescent="0.2">
      <c r="A19" s="386"/>
      <c r="B19" s="355"/>
      <c r="C19" s="387" t="s">
        <v>60</v>
      </c>
      <c r="D19" s="355" t="s">
        <v>191</v>
      </c>
      <c r="E19" s="382"/>
      <c r="F19" s="383"/>
      <c r="G19" s="458" t="s">
        <v>525</v>
      </c>
      <c r="H19" s="320"/>
      <c r="I19" s="78">
        <f>'6B1'!J20+'6B2'!J20+'6B3'!J20+'6B4'!J20</f>
        <v>0</v>
      </c>
      <c r="J19" s="78">
        <f>'6B1'!L20+'6B2'!L20+'6B3'!L20+'6B4'!L20</f>
        <v>0</v>
      </c>
      <c r="K19" s="78">
        <f>'6B1'!N20+'6B2'!N20+'6B3'!N20+'6B4'!N20</f>
        <v>0</v>
      </c>
      <c r="L19" s="78">
        <f>'6B1'!P20+'6B2'!P20+'6B3'!P20+'6B4'!P20</f>
        <v>0</v>
      </c>
      <c r="M19" s="78">
        <f>'6B1'!R20+'6B2'!R20+'6B3'!R20+'6B4'!R20</f>
        <v>0</v>
      </c>
      <c r="N19" s="78">
        <f>'6B1'!T20+'6B2'!T20+'6B3'!T20+'6B4'!T20</f>
        <v>0</v>
      </c>
      <c r="O19" s="78">
        <f>'6B1'!V20+'6B2'!V20+'6B3'!V20+'6B4'!V20</f>
        <v>0</v>
      </c>
      <c r="P19" s="78">
        <f>'6B1'!X20+'6B2'!X20+'6B3'!X20+'6B4'!X20</f>
        <v>0</v>
      </c>
      <c r="Q19" s="78">
        <f>'6B1'!Z20+'6B2'!Z20+'6B3'!Z20+'6B4'!Z20</f>
        <v>0</v>
      </c>
      <c r="R19" s="78">
        <f>'6B1'!AB20+'6B2'!AB20+'6B3'!AB20+'6B4'!AB20</f>
        <v>0</v>
      </c>
      <c r="S19" s="78">
        <f>'6B1'!AD20+'6B2'!AD20+'6B3'!AD20+'6B4'!AD20</f>
        <v>0</v>
      </c>
      <c r="T19" s="122"/>
      <c r="U19" s="123"/>
      <c r="V19" s="123"/>
    </row>
    <row r="20" spans="1:22" x14ac:dyDescent="0.2">
      <c r="A20" s="384"/>
      <c r="B20" s="385"/>
      <c r="C20" s="390"/>
      <c r="D20" s="385" t="s">
        <v>11</v>
      </c>
      <c r="E20" s="385" t="s">
        <v>192</v>
      </c>
      <c r="F20" s="383"/>
      <c r="G20" s="458" t="s">
        <v>526</v>
      </c>
      <c r="H20" s="320"/>
      <c r="I20" s="78">
        <f>'6B1'!J21+'6B2'!J21+'6B3'!J21+'6B4'!J21</f>
        <v>0</v>
      </c>
      <c r="J20" s="78">
        <f>'6B1'!L21+'6B2'!L21+'6B3'!L21+'6B4'!L21</f>
        <v>0</v>
      </c>
      <c r="K20" s="78">
        <f>'6B1'!N21+'6B2'!N21+'6B3'!N21+'6B4'!N21</f>
        <v>0</v>
      </c>
      <c r="L20" s="78">
        <f>'6B1'!P21+'6B2'!P21+'6B3'!P21+'6B4'!P21</f>
        <v>0</v>
      </c>
      <c r="M20" s="78">
        <f>'6B1'!R21+'6B2'!R21+'6B3'!R21+'6B4'!R21</f>
        <v>0</v>
      </c>
      <c r="N20" s="78">
        <f>'6B1'!T21+'6B2'!T21+'6B3'!T21+'6B4'!T21</f>
        <v>0</v>
      </c>
      <c r="O20" s="78">
        <f>'6B1'!V21+'6B2'!V21+'6B3'!V21+'6B4'!V21</f>
        <v>0</v>
      </c>
      <c r="P20" s="78">
        <f>'6B1'!X21+'6B2'!X21+'6B3'!X21+'6B4'!X21</f>
        <v>0</v>
      </c>
      <c r="Q20" s="78">
        <f>'6B1'!Z21+'6B2'!Z21+'6B3'!Z21+'6B4'!Z21</f>
        <v>0</v>
      </c>
      <c r="R20" s="78">
        <f>'6B1'!AB21+'6B2'!AB21+'6B3'!AB21+'6B4'!AB21</f>
        <v>0</v>
      </c>
      <c r="S20" s="78">
        <f>'6B1'!AD21+'6B2'!AD21+'6B3'!AD21+'6B4'!AD21</f>
        <v>0</v>
      </c>
      <c r="T20" s="122"/>
      <c r="U20" s="123"/>
      <c r="V20" s="123"/>
    </row>
    <row r="21" spans="1:22" x14ac:dyDescent="0.2">
      <c r="A21" s="386"/>
      <c r="B21" s="355"/>
      <c r="C21" s="355"/>
      <c r="D21" s="355" t="s">
        <v>15</v>
      </c>
      <c r="E21" s="382" t="s">
        <v>527</v>
      </c>
      <c r="F21" s="383"/>
      <c r="G21" s="458" t="s">
        <v>528</v>
      </c>
      <c r="H21" s="320"/>
      <c r="I21" s="78">
        <f>'6B1'!J22+'6B2'!J22+'6B3'!J22+'6B4'!J22</f>
        <v>0</v>
      </c>
      <c r="J21" s="78">
        <f>'6B1'!L22+'6B2'!L22+'6B3'!L22+'6B4'!L22</f>
        <v>0</v>
      </c>
      <c r="K21" s="78">
        <f>'6B1'!N22+'6B2'!N22+'6B3'!N22+'6B4'!N22</f>
        <v>0</v>
      </c>
      <c r="L21" s="78">
        <f>'6B1'!P22+'6B2'!P22+'6B3'!P22+'6B4'!P22</f>
        <v>0</v>
      </c>
      <c r="M21" s="78">
        <f>'6B1'!R22+'6B2'!R22+'6B3'!R22+'6B4'!R22</f>
        <v>0</v>
      </c>
      <c r="N21" s="78">
        <f>'6B1'!T22+'6B2'!T22+'6B3'!T22+'6B4'!T22</f>
        <v>0</v>
      </c>
      <c r="O21" s="78">
        <f>'6B1'!V22+'6B2'!V22+'6B3'!V22+'6B4'!V22</f>
        <v>0</v>
      </c>
      <c r="P21" s="78">
        <f>'6B1'!X22+'6B2'!X22+'6B3'!X22+'6B4'!X22</f>
        <v>0</v>
      </c>
      <c r="Q21" s="78">
        <f>'6B1'!Z22+'6B2'!Z22+'6B3'!Z22+'6B4'!Z22</f>
        <v>0</v>
      </c>
      <c r="R21" s="78">
        <f>'6B1'!AB22+'6B2'!AB22+'6B3'!AB22+'6B4'!AB22</f>
        <v>0</v>
      </c>
      <c r="S21" s="78">
        <f>'6B1'!AD22+'6B2'!AD22+'6B3'!AD22+'6B4'!AD22</f>
        <v>0</v>
      </c>
      <c r="T21" s="122"/>
      <c r="U21" s="123"/>
      <c r="V21" s="123"/>
    </row>
    <row r="22" spans="1:22" x14ac:dyDescent="0.2">
      <c r="A22" s="384"/>
      <c r="B22" s="385"/>
      <c r="C22" s="385"/>
      <c r="D22" s="385" t="s">
        <v>25</v>
      </c>
      <c r="E22" s="385" t="s">
        <v>194</v>
      </c>
      <c r="F22" s="383"/>
      <c r="G22" s="458" t="s">
        <v>529</v>
      </c>
      <c r="H22" s="320"/>
      <c r="I22" s="78">
        <f>'6B1'!J23+'6B2'!J23+'6B3'!J23+'6B4'!J23</f>
        <v>0</v>
      </c>
      <c r="J22" s="78">
        <f>'6B1'!L23+'6B2'!L23+'6B3'!L23+'6B4'!L23</f>
        <v>0</v>
      </c>
      <c r="K22" s="78">
        <f>'6B1'!N23+'6B2'!N23+'6B3'!N23+'6B4'!N23</f>
        <v>0</v>
      </c>
      <c r="L22" s="78">
        <f>'6B1'!P23+'6B2'!P23+'6B3'!P23+'6B4'!P23</f>
        <v>0</v>
      </c>
      <c r="M22" s="78">
        <f>'6B1'!R23+'6B2'!R23+'6B3'!R23+'6B4'!R23</f>
        <v>0</v>
      </c>
      <c r="N22" s="78">
        <f>'6B1'!T23+'6B2'!T23+'6B3'!T23+'6B4'!T23</f>
        <v>0</v>
      </c>
      <c r="O22" s="78">
        <f>'6B1'!V23+'6B2'!V23+'6B3'!V23+'6B4'!V23</f>
        <v>0</v>
      </c>
      <c r="P22" s="78">
        <f>'6B1'!X23+'6B2'!X23+'6B3'!X23+'6B4'!X23</f>
        <v>0</v>
      </c>
      <c r="Q22" s="78">
        <f>'6B1'!Z23+'6B2'!Z23+'6B3'!Z23+'6B4'!Z23</f>
        <v>0</v>
      </c>
      <c r="R22" s="78">
        <f>'6B1'!AB23+'6B2'!AB23+'6B3'!AB23+'6B4'!AB23</f>
        <v>0</v>
      </c>
      <c r="S22" s="78">
        <f>'6B1'!AD23+'6B2'!AD23+'6B3'!AD23+'6B4'!AD23</f>
        <v>0</v>
      </c>
      <c r="T22" s="122"/>
      <c r="U22" s="123"/>
      <c r="V22" s="123"/>
    </row>
    <row r="23" spans="1:22" x14ac:dyDescent="0.2">
      <c r="A23" s="386"/>
      <c r="B23" s="355" t="s">
        <v>195</v>
      </c>
      <c r="C23" s="355" t="s">
        <v>196</v>
      </c>
      <c r="D23" s="355"/>
      <c r="E23" s="382"/>
      <c r="F23" s="383"/>
      <c r="G23" s="458" t="s">
        <v>530</v>
      </c>
      <c r="H23" s="320"/>
      <c r="I23" s="78">
        <f>'6B1'!J24+'6B2'!J24+'6B3'!J24+'6B4'!J24</f>
        <v>0</v>
      </c>
      <c r="J23" s="78">
        <f>'6B1'!L24+'6B2'!L24+'6B3'!L24+'6B4'!L24</f>
        <v>0</v>
      </c>
      <c r="K23" s="78">
        <f>'6B1'!N24+'6B2'!N24+'6B3'!N24+'6B4'!N24</f>
        <v>0</v>
      </c>
      <c r="L23" s="78">
        <f>'6B1'!P24+'6B2'!P24+'6B3'!P24+'6B4'!P24</f>
        <v>0</v>
      </c>
      <c r="M23" s="78">
        <f>'6B1'!R24+'6B2'!R24+'6B3'!R24+'6B4'!R24</f>
        <v>0</v>
      </c>
      <c r="N23" s="78">
        <f>'6B1'!T24+'6B2'!T24+'6B3'!T24+'6B4'!T24</f>
        <v>0</v>
      </c>
      <c r="O23" s="78">
        <f>'6B1'!V24+'6B2'!V24+'6B3'!V24+'6B4'!V24</f>
        <v>0</v>
      </c>
      <c r="P23" s="78">
        <f>'6B1'!X24+'6B2'!X24+'6B3'!X24+'6B4'!X24</f>
        <v>0</v>
      </c>
      <c r="Q23" s="78">
        <f>'6B1'!Z24+'6B2'!Z24+'6B3'!Z24+'6B4'!Z24</f>
        <v>0</v>
      </c>
      <c r="R23" s="78">
        <f>'6B1'!AB24+'6B2'!AB24+'6B3'!AB24+'6B4'!AB24</f>
        <v>0</v>
      </c>
      <c r="S23" s="78">
        <f>'6B1'!AD24+'6B2'!AD24+'6B3'!AD24+'6B4'!AD24</f>
        <v>0</v>
      </c>
      <c r="T23" s="122"/>
      <c r="U23" s="123"/>
      <c r="V23" s="123"/>
    </row>
    <row r="24" spans="1:22" x14ac:dyDescent="0.2">
      <c r="A24" s="384"/>
      <c r="B24" s="385" t="s">
        <v>197</v>
      </c>
      <c r="C24" s="385" t="s">
        <v>198</v>
      </c>
      <c r="D24" s="385"/>
      <c r="E24" s="385"/>
      <c r="F24" s="383"/>
      <c r="G24" s="458" t="s">
        <v>531</v>
      </c>
      <c r="H24" s="320"/>
      <c r="I24" s="78">
        <f>'6B1'!J25+'6B2'!J25+'6B3'!J25+'6B4'!J25</f>
        <v>0</v>
      </c>
      <c r="J24" s="78">
        <f>'6B1'!L25+'6B2'!L25+'6B3'!L25+'6B4'!L25</f>
        <v>0</v>
      </c>
      <c r="K24" s="78">
        <f>'6B1'!N25+'6B2'!N25+'6B3'!N25+'6B4'!N25</f>
        <v>0</v>
      </c>
      <c r="L24" s="78">
        <f>'6B1'!P25+'6B2'!P25+'6B3'!P25+'6B4'!P25</f>
        <v>0</v>
      </c>
      <c r="M24" s="78">
        <f>'6B1'!R25+'6B2'!R25+'6B3'!R25+'6B4'!R25</f>
        <v>0</v>
      </c>
      <c r="N24" s="78">
        <f>'6B1'!T25+'6B2'!T25+'6B3'!T25+'6B4'!T25</f>
        <v>0</v>
      </c>
      <c r="O24" s="78">
        <f>'6B1'!V25+'6B2'!V25+'6B3'!V25+'6B4'!V25</f>
        <v>0</v>
      </c>
      <c r="P24" s="78">
        <f>'6B1'!X25+'6B2'!X25+'6B3'!X25+'6B4'!X25</f>
        <v>0</v>
      </c>
      <c r="Q24" s="78">
        <f>'6B1'!Z25+'6B2'!Z25+'6B3'!Z25+'6B4'!Z25</f>
        <v>0</v>
      </c>
      <c r="R24" s="78">
        <f>'6B1'!AB25+'6B2'!AB25+'6B3'!AB25+'6B4'!AB25</f>
        <v>0</v>
      </c>
      <c r="S24" s="78">
        <f>'6B1'!AD25+'6B2'!AD25+'6B3'!AD25+'6B4'!AD25</f>
        <v>0</v>
      </c>
      <c r="T24" s="122"/>
      <c r="U24" s="123"/>
      <c r="V24" s="123"/>
    </row>
    <row r="25" spans="1:22" x14ac:dyDescent="0.2">
      <c r="A25" s="386"/>
      <c r="B25" s="355"/>
      <c r="C25" s="387" t="s">
        <v>19</v>
      </c>
      <c r="D25" s="355" t="s">
        <v>199</v>
      </c>
      <c r="E25" s="382"/>
      <c r="F25" s="383"/>
      <c r="G25" s="458" t="s">
        <v>532</v>
      </c>
      <c r="H25" s="320"/>
      <c r="I25" s="78">
        <f>'6B1'!J26+'6B2'!J26+'6B3'!J26+'6B4'!J26</f>
        <v>0</v>
      </c>
      <c r="J25" s="78">
        <f>'6B1'!L26+'6B2'!L26+'6B3'!L26+'6B4'!L26</f>
        <v>0</v>
      </c>
      <c r="K25" s="78">
        <f>'6B1'!N26+'6B2'!N26+'6B3'!N26+'6B4'!N26</f>
        <v>0</v>
      </c>
      <c r="L25" s="78">
        <f>'6B1'!P26+'6B2'!P26+'6B3'!P26+'6B4'!P26</f>
        <v>0</v>
      </c>
      <c r="M25" s="78">
        <f>'6B1'!R26+'6B2'!R26+'6B3'!R26+'6B4'!R26</f>
        <v>0</v>
      </c>
      <c r="N25" s="78">
        <f>'6B1'!T26+'6B2'!T26+'6B3'!T26+'6B4'!T26</f>
        <v>0</v>
      </c>
      <c r="O25" s="78">
        <f>'6B1'!V26+'6B2'!V26+'6B3'!V26+'6B4'!V26</f>
        <v>0</v>
      </c>
      <c r="P25" s="78">
        <f>'6B1'!X26+'6B2'!X26+'6B3'!X26+'6B4'!X26</f>
        <v>0</v>
      </c>
      <c r="Q25" s="78">
        <f>'6B1'!Z26+'6B2'!Z26+'6B3'!Z26+'6B4'!Z26</f>
        <v>0</v>
      </c>
      <c r="R25" s="78">
        <f>'6B1'!AB26+'6B2'!AB26+'6B3'!AB26+'6B4'!AB26</f>
        <v>0</v>
      </c>
      <c r="S25" s="78">
        <f>'6B1'!AD26+'6B2'!AD26+'6B3'!AD26+'6B4'!AD26</f>
        <v>0</v>
      </c>
      <c r="T25" s="122"/>
      <c r="U25" s="123"/>
      <c r="V25" s="123"/>
    </row>
    <row r="26" spans="1:22" x14ac:dyDescent="0.2">
      <c r="A26" s="384"/>
      <c r="B26" s="385"/>
      <c r="C26" s="390" t="s">
        <v>21</v>
      </c>
      <c r="D26" s="391" t="s">
        <v>200</v>
      </c>
      <c r="E26" s="391"/>
      <c r="F26" s="383"/>
      <c r="G26" s="458" t="s">
        <v>533</v>
      </c>
      <c r="H26" s="320"/>
      <c r="I26" s="78">
        <f>'6B1'!J27+'6B2'!J27+'6B3'!J27+'6B4'!J27</f>
        <v>0</v>
      </c>
      <c r="J26" s="78">
        <f>'6B1'!L27+'6B2'!L27+'6B3'!L27+'6B4'!L27</f>
        <v>0</v>
      </c>
      <c r="K26" s="78">
        <f>'6B1'!N27+'6B2'!N27+'6B3'!N27+'6B4'!N27</f>
        <v>0</v>
      </c>
      <c r="L26" s="78">
        <f>'6B1'!P27+'6B2'!P27+'6B3'!P27+'6B4'!P27</f>
        <v>0</v>
      </c>
      <c r="M26" s="78">
        <f>'6B1'!R27+'6B2'!R27+'6B3'!R27+'6B4'!R27</f>
        <v>0</v>
      </c>
      <c r="N26" s="78">
        <f>'6B1'!T27+'6B2'!T27+'6B3'!T27+'6B4'!T27</f>
        <v>0</v>
      </c>
      <c r="O26" s="78">
        <f>'6B1'!V27+'6B2'!V27+'6B3'!V27+'6B4'!V27</f>
        <v>0</v>
      </c>
      <c r="P26" s="78">
        <f>'6B1'!X27+'6B2'!X27+'6B3'!X27+'6B4'!X27</f>
        <v>0</v>
      </c>
      <c r="Q26" s="78">
        <f>'6B1'!Z27+'6B2'!Z27+'6B3'!Z27+'6B4'!Z27</f>
        <v>0</v>
      </c>
      <c r="R26" s="78">
        <f>'6B1'!AB27+'6B2'!AB27+'6B3'!AB27+'6B4'!AB27</f>
        <v>0</v>
      </c>
      <c r="S26" s="78">
        <f>'6B1'!AD27+'6B2'!AD27+'6B3'!AD27+'6B4'!AD27</f>
        <v>0</v>
      </c>
      <c r="T26" s="122"/>
      <c r="U26" s="123"/>
      <c r="V26" s="123"/>
    </row>
    <row r="27" spans="1:22" x14ac:dyDescent="0.2">
      <c r="A27" s="386"/>
      <c r="B27" s="355" t="s">
        <v>201</v>
      </c>
      <c r="C27" s="355" t="s">
        <v>202</v>
      </c>
      <c r="D27" s="355"/>
      <c r="E27" s="382"/>
      <c r="F27" s="383"/>
      <c r="G27" s="458" t="s">
        <v>534</v>
      </c>
      <c r="H27" s="320"/>
      <c r="I27" s="78">
        <f>'6B1'!J28+'6B2'!J28+'6B3'!J28+'6B4'!J28</f>
        <v>0</v>
      </c>
      <c r="J27" s="78">
        <f>'6B1'!L28+'6B2'!L28+'6B3'!L28+'6B4'!L28</f>
        <v>0</v>
      </c>
      <c r="K27" s="78">
        <f>'6B1'!N28+'6B2'!N28+'6B3'!N28+'6B4'!N28</f>
        <v>0</v>
      </c>
      <c r="L27" s="78">
        <f>'6B1'!P28+'6B2'!P28+'6B3'!P28+'6B4'!P28</f>
        <v>0</v>
      </c>
      <c r="M27" s="78">
        <f>'6B1'!R28+'6B2'!R28+'6B3'!R28+'6B4'!R28</f>
        <v>0</v>
      </c>
      <c r="N27" s="78">
        <f>'6B1'!T28+'6B2'!T28+'6B3'!T28+'6B4'!T28</f>
        <v>0</v>
      </c>
      <c r="O27" s="78">
        <f>'6B1'!V28+'6B2'!V28+'6B3'!V28+'6B4'!V28</f>
        <v>0</v>
      </c>
      <c r="P27" s="78">
        <f>'6B1'!X28+'6B2'!X28+'6B3'!X28+'6B4'!X28</f>
        <v>0</v>
      </c>
      <c r="Q27" s="78">
        <f>'6B1'!Z28+'6B2'!Z28+'6B3'!Z28+'6B4'!Z28</f>
        <v>0</v>
      </c>
      <c r="R27" s="78">
        <f>'6B1'!AB28+'6B2'!AB28+'6B3'!AB28+'6B4'!AB28</f>
        <v>0</v>
      </c>
      <c r="S27" s="78">
        <f>'6B1'!AD28+'6B2'!AD28+'6B3'!AD28+'6B4'!AD28</f>
        <v>0</v>
      </c>
      <c r="T27" s="122"/>
      <c r="U27" s="123"/>
      <c r="V27" s="123"/>
    </row>
    <row r="28" spans="1:22" x14ac:dyDescent="0.2">
      <c r="A28" s="386"/>
      <c r="B28" s="355"/>
      <c r="C28" s="387" t="s">
        <v>19</v>
      </c>
      <c r="D28" s="355" t="s">
        <v>203</v>
      </c>
      <c r="E28" s="355"/>
      <c r="F28" s="383"/>
      <c r="G28" s="458" t="s">
        <v>535</v>
      </c>
      <c r="H28" s="320"/>
      <c r="I28" s="78">
        <f>'6B1'!J29+'6B2'!J29+'6B3'!J29+'6B4'!J29</f>
        <v>0</v>
      </c>
      <c r="J28" s="78">
        <f>'6B1'!L29+'6B2'!L29+'6B3'!L29+'6B4'!L29</f>
        <v>0</v>
      </c>
      <c r="K28" s="78">
        <f>'6B1'!N29+'6B2'!N29+'6B3'!N29+'6B4'!N29</f>
        <v>0</v>
      </c>
      <c r="L28" s="78">
        <f>'6B1'!P29+'6B2'!P29+'6B3'!P29+'6B4'!P29</f>
        <v>0</v>
      </c>
      <c r="M28" s="78">
        <f>'6B1'!R29+'6B2'!R29+'6B3'!R29+'6B4'!R29</f>
        <v>0</v>
      </c>
      <c r="N28" s="78">
        <f>'6B1'!T29+'6B2'!T29+'6B3'!T29+'6B4'!T29</f>
        <v>0</v>
      </c>
      <c r="O28" s="78">
        <f>'6B1'!V29+'6B2'!V29+'6B3'!V29+'6B4'!V29</f>
        <v>0</v>
      </c>
      <c r="P28" s="78">
        <f>'6B1'!X29+'6B2'!X29+'6B3'!X29+'6B4'!X29</f>
        <v>0</v>
      </c>
      <c r="Q28" s="78">
        <f>'6B1'!Z29+'6B2'!Z29+'6B3'!Z29+'6B4'!Z29</f>
        <v>0</v>
      </c>
      <c r="R28" s="78">
        <f>'6B1'!AB29+'6B2'!AB29+'6B3'!AB29+'6B4'!AB29</f>
        <v>0</v>
      </c>
      <c r="S28" s="78">
        <f>'6B1'!AD29+'6B2'!AD29+'6B3'!AD29+'6B4'!AD29</f>
        <v>0</v>
      </c>
      <c r="T28" s="122"/>
      <c r="U28" s="123"/>
      <c r="V28" s="123"/>
    </row>
    <row r="29" spans="1:22" x14ac:dyDescent="0.2">
      <c r="A29" s="386"/>
      <c r="B29" s="355"/>
      <c r="C29" s="387"/>
      <c r="D29" s="355" t="s">
        <v>11</v>
      </c>
      <c r="E29" s="392" t="s">
        <v>792</v>
      </c>
      <c r="F29" s="382"/>
      <c r="G29" s="458" t="s">
        <v>820</v>
      </c>
      <c r="H29" s="320"/>
      <c r="I29" s="78">
        <f>'6B1'!J30+'6B2'!J30+'6B3'!J30+'6B4'!J30</f>
        <v>0</v>
      </c>
      <c r="J29" s="78">
        <f>'6B1'!L30+'6B2'!L30+'6B3'!L30+'6B4'!L30</f>
        <v>0</v>
      </c>
      <c r="K29" s="78">
        <f>'6B1'!N30+'6B2'!N30+'6B3'!N30+'6B4'!N30</f>
        <v>0</v>
      </c>
      <c r="L29" s="78">
        <f>'6B1'!P30+'6B2'!P30+'6B3'!P30+'6B4'!P30</f>
        <v>0</v>
      </c>
      <c r="M29" s="78">
        <f>'6B1'!R30+'6B2'!R30+'6B3'!R30+'6B4'!R30</f>
        <v>0</v>
      </c>
      <c r="N29" s="78">
        <f>'6B1'!T30+'6B2'!T30+'6B3'!T30+'6B4'!T30</f>
        <v>0</v>
      </c>
      <c r="O29" s="78">
        <f>'6B1'!V30+'6B2'!V30+'6B3'!V30+'6B4'!V30</f>
        <v>0</v>
      </c>
      <c r="P29" s="78">
        <f>'6B1'!X30+'6B2'!X30+'6B3'!X30+'6B4'!X30</f>
        <v>0</v>
      </c>
      <c r="Q29" s="78">
        <f>'6B1'!Z30+'6B2'!Z30+'6B3'!Z30+'6B4'!Z30</f>
        <v>0</v>
      </c>
      <c r="R29" s="78">
        <f>'6B1'!AB30+'6B2'!AB30+'6B3'!AB30+'6B4'!AB30</f>
        <v>0</v>
      </c>
      <c r="S29" s="78">
        <f>'6B1'!AD30+'6B2'!AD30+'6B3'!AD30+'6B4'!AD30</f>
        <v>0</v>
      </c>
      <c r="T29" s="122"/>
      <c r="U29" s="123"/>
      <c r="V29" s="123"/>
    </row>
    <row r="30" spans="1:22" x14ac:dyDescent="0.2">
      <c r="A30" s="384"/>
      <c r="B30" s="385"/>
      <c r="C30" s="390"/>
      <c r="D30" s="392" t="s">
        <v>15</v>
      </c>
      <c r="E30" s="355" t="s">
        <v>793</v>
      </c>
      <c r="F30" s="382"/>
      <c r="G30" s="458" t="s">
        <v>821</v>
      </c>
      <c r="H30" s="320"/>
      <c r="I30" s="78">
        <f>'6B1'!J31+'6B2'!J31+'6B3'!J31+'6B4'!J31</f>
        <v>0</v>
      </c>
      <c r="J30" s="78">
        <f>'6B1'!L31+'6B2'!L31+'6B3'!L31+'6B4'!L31</f>
        <v>0</v>
      </c>
      <c r="K30" s="78">
        <f>'6B1'!N31+'6B2'!N31+'6B3'!N31+'6B4'!N31</f>
        <v>0</v>
      </c>
      <c r="L30" s="78">
        <f>'6B1'!P31+'6B2'!P31+'6B3'!P31+'6B4'!P31</f>
        <v>0</v>
      </c>
      <c r="M30" s="78">
        <f>'6B1'!R31+'6B2'!R31+'6B3'!R31+'6B4'!R31</f>
        <v>0</v>
      </c>
      <c r="N30" s="78">
        <f>'6B1'!T31+'6B2'!T31+'6B3'!T31+'6B4'!T31</f>
        <v>0</v>
      </c>
      <c r="O30" s="78">
        <f>'6B1'!V31+'6B2'!V31+'6B3'!V31+'6B4'!V31</f>
        <v>0</v>
      </c>
      <c r="P30" s="78">
        <f>'6B1'!X31+'6B2'!X31+'6B3'!X31+'6B4'!X31</f>
        <v>0</v>
      </c>
      <c r="Q30" s="78">
        <f>'6B1'!Z31+'6B2'!Z31+'6B3'!Z31+'6B4'!Z31</f>
        <v>0</v>
      </c>
      <c r="R30" s="78">
        <f>'6B1'!AB31+'6B2'!AB31+'6B3'!AB31+'6B4'!AB31</f>
        <v>0</v>
      </c>
      <c r="S30" s="78">
        <f>'6B1'!AD31+'6B2'!AD31+'6B3'!AD31+'6B4'!AD31</f>
        <v>0</v>
      </c>
      <c r="T30" s="122"/>
      <c r="U30" s="123"/>
      <c r="V30" s="123"/>
    </row>
    <row r="31" spans="1:22" x14ac:dyDescent="0.2">
      <c r="A31" s="386"/>
      <c r="B31" s="355"/>
      <c r="C31" s="387" t="s">
        <v>21</v>
      </c>
      <c r="D31" s="355" t="s">
        <v>194</v>
      </c>
      <c r="E31" s="382"/>
      <c r="F31" s="383"/>
      <c r="G31" s="458" t="s">
        <v>536</v>
      </c>
      <c r="H31" s="320"/>
      <c r="I31" s="78">
        <f>'6B1'!J32+'6B2'!J32+'6B3'!J32+'6B4'!J32</f>
        <v>0</v>
      </c>
      <c r="J31" s="78">
        <f>'6B1'!L32+'6B2'!L32+'6B3'!L32+'6B4'!L32</f>
        <v>0</v>
      </c>
      <c r="K31" s="78">
        <f>'6B1'!N32+'6B2'!N32+'6B3'!N32+'6B4'!N32</f>
        <v>0</v>
      </c>
      <c r="L31" s="78">
        <f>'6B1'!P32+'6B2'!P32+'6B3'!P32+'6B4'!P32</f>
        <v>0</v>
      </c>
      <c r="M31" s="78">
        <f>'6B1'!R32+'6B2'!R32+'6B3'!R32+'6B4'!R32</f>
        <v>0</v>
      </c>
      <c r="N31" s="78">
        <f>'6B1'!T32+'6B2'!T32+'6B3'!T32+'6B4'!T32</f>
        <v>0</v>
      </c>
      <c r="O31" s="78">
        <f>'6B1'!V32+'6B2'!V32+'6B3'!V32+'6B4'!V32</f>
        <v>0</v>
      </c>
      <c r="P31" s="78">
        <f>'6B1'!X32+'6B2'!X32+'6B3'!X32+'6B4'!X32</f>
        <v>0</v>
      </c>
      <c r="Q31" s="78">
        <f>'6B1'!Z32+'6B2'!Z32+'6B3'!Z32+'6B4'!Z32</f>
        <v>0</v>
      </c>
      <c r="R31" s="78">
        <f>'6B1'!AB32+'6B2'!AB32+'6B3'!AB32+'6B4'!AB32</f>
        <v>0</v>
      </c>
      <c r="S31" s="78">
        <f>'6B1'!AD32+'6B2'!AD32+'6B3'!AD32+'6B4'!AD32</f>
        <v>0</v>
      </c>
      <c r="T31" s="122"/>
      <c r="U31" s="123"/>
      <c r="V31" s="123"/>
    </row>
    <row r="32" spans="1:22" x14ac:dyDescent="0.2">
      <c r="A32" s="393" t="s">
        <v>33</v>
      </c>
      <c r="B32" s="394" t="s">
        <v>204</v>
      </c>
      <c r="C32" s="385"/>
      <c r="D32" s="385"/>
      <c r="E32" s="385"/>
      <c r="F32" s="383"/>
      <c r="G32" s="458" t="s">
        <v>537</v>
      </c>
      <c r="H32" s="320"/>
      <c r="I32" s="78">
        <f>'6B1'!J33+'6B2'!J33+'6B3'!J33+'6B4'!J33</f>
        <v>0</v>
      </c>
      <c r="J32" s="78">
        <f>'6B1'!L33+'6B2'!L33+'6B3'!L33+'6B4'!L33</f>
        <v>0</v>
      </c>
      <c r="K32" s="78">
        <f>'6B1'!N33+'6B2'!N33+'6B3'!N33+'6B4'!N33</f>
        <v>0</v>
      </c>
      <c r="L32" s="78">
        <f>'6B1'!P33+'6B2'!P33+'6B3'!P33+'6B4'!P33</f>
        <v>0</v>
      </c>
      <c r="M32" s="78">
        <f>'6B1'!R33+'6B2'!R33+'6B3'!R33+'6B4'!R33</f>
        <v>0</v>
      </c>
      <c r="N32" s="78">
        <f>'6B1'!T33+'6B2'!T33+'6B3'!T33+'6B4'!T33</f>
        <v>0</v>
      </c>
      <c r="O32" s="78">
        <f>'6B1'!V33+'6B2'!V33+'6B3'!V33+'6B4'!V33</f>
        <v>0</v>
      </c>
      <c r="P32" s="78">
        <f>'6B1'!X33+'6B2'!X33+'6B3'!X33+'6B4'!X33</f>
        <v>0</v>
      </c>
      <c r="Q32" s="78">
        <f>'6B1'!Z33+'6B2'!Z33+'6B3'!Z33+'6B4'!Z33</f>
        <v>0</v>
      </c>
      <c r="R32" s="78">
        <f>'6B1'!AB33+'6B2'!AB33+'6B3'!AB33+'6B4'!AB33</f>
        <v>0</v>
      </c>
      <c r="S32" s="78">
        <f>'6B1'!AD33+'6B2'!AD33+'6B3'!AD33+'6B4'!AD33</f>
        <v>0</v>
      </c>
      <c r="T32" s="122"/>
      <c r="U32" s="123"/>
      <c r="V32" s="123"/>
    </row>
    <row r="33" spans="1:244" x14ac:dyDescent="0.2">
      <c r="A33" s="386"/>
      <c r="B33" s="355" t="s">
        <v>188</v>
      </c>
      <c r="C33" s="355" t="s">
        <v>205</v>
      </c>
      <c r="D33" s="355"/>
      <c r="E33" s="382"/>
      <c r="F33" s="383"/>
      <c r="G33" s="458" t="s">
        <v>538</v>
      </c>
      <c r="H33" s="320"/>
      <c r="I33" s="78">
        <f>'6B1'!J34+'6B2'!J34+'6B3'!J34+'6B4'!J34</f>
        <v>0</v>
      </c>
      <c r="J33" s="78">
        <f>'6B1'!L34+'6B2'!L34+'6B3'!L34+'6B4'!L34</f>
        <v>0</v>
      </c>
      <c r="K33" s="78">
        <f>'6B1'!N34+'6B2'!N34+'6B3'!N34+'6B4'!N34</f>
        <v>0</v>
      </c>
      <c r="L33" s="78">
        <f>'6B1'!P34+'6B2'!P34+'6B3'!P34+'6B4'!P34</f>
        <v>0</v>
      </c>
      <c r="M33" s="78">
        <f>'6B1'!R34+'6B2'!R34+'6B3'!R34+'6B4'!R34</f>
        <v>0</v>
      </c>
      <c r="N33" s="78">
        <f>'6B1'!T34+'6B2'!T34+'6B3'!T34+'6B4'!T34</f>
        <v>0</v>
      </c>
      <c r="O33" s="78">
        <f>'6B1'!V34+'6B2'!V34+'6B3'!V34+'6B4'!V34</f>
        <v>0</v>
      </c>
      <c r="P33" s="78">
        <f>'6B1'!X34+'6B2'!X34+'6B3'!X34+'6B4'!X34</f>
        <v>0</v>
      </c>
      <c r="Q33" s="78">
        <f>'6B1'!Z34+'6B2'!Z34+'6B3'!Z34+'6B4'!Z34</f>
        <v>0</v>
      </c>
      <c r="R33" s="78">
        <f>'6B1'!AB34+'6B2'!AB34+'6B3'!AB34+'6B4'!AB34</f>
        <v>0</v>
      </c>
      <c r="S33" s="78">
        <f>'6B1'!AD34+'6B2'!AD34+'6B3'!AD34+'6B4'!AD34</f>
        <v>0</v>
      </c>
      <c r="T33" s="122"/>
      <c r="U33" s="123"/>
      <c r="V33" s="123"/>
    </row>
    <row r="34" spans="1:244" x14ac:dyDescent="0.2">
      <c r="A34" s="384"/>
      <c r="B34" s="385" t="s">
        <v>195</v>
      </c>
      <c r="C34" s="385" t="s">
        <v>306</v>
      </c>
      <c r="D34" s="385"/>
      <c r="E34" s="385"/>
      <c r="F34" s="383"/>
      <c r="G34" s="458" t="s">
        <v>539</v>
      </c>
      <c r="H34" s="320"/>
      <c r="I34" s="78">
        <f>'6B1'!J35+'6B2'!J35+'6B3'!J35+'6B4'!J35</f>
        <v>0</v>
      </c>
      <c r="J34" s="78">
        <f>'6B1'!L35+'6B2'!L35+'6B3'!L35+'6B4'!L35</f>
        <v>0</v>
      </c>
      <c r="K34" s="78">
        <f>'6B1'!N35+'6B2'!N35+'6B3'!N35+'6B4'!N35</f>
        <v>0</v>
      </c>
      <c r="L34" s="78">
        <f>'6B1'!P35+'6B2'!P35+'6B3'!P35+'6B4'!P35</f>
        <v>0</v>
      </c>
      <c r="M34" s="78">
        <f>'6B1'!R35+'6B2'!R35+'6B3'!R35+'6B4'!R35</f>
        <v>0</v>
      </c>
      <c r="N34" s="78">
        <f>'6B1'!T35+'6B2'!T35+'6B3'!T35+'6B4'!T35</f>
        <v>0</v>
      </c>
      <c r="O34" s="78">
        <f>'6B1'!V35+'6B2'!V35+'6B3'!V35+'6B4'!V35</f>
        <v>0</v>
      </c>
      <c r="P34" s="78">
        <f>'6B1'!X35+'6B2'!X35+'6B3'!X35+'6B4'!X35</f>
        <v>0</v>
      </c>
      <c r="Q34" s="78">
        <f>'6B1'!Z35+'6B2'!Z35+'6B3'!Z35+'6B4'!Z35</f>
        <v>0</v>
      </c>
      <c r="R34" s="78">
        <f>'6B1'!AB35+'6B2'!AB35+'6B3'!AB35+'6B4'!AB35</f>
        <v>0</v>
      </c>
      <c r="S34" s="78">
        <f>'6B1'!AD35+'6B2'!AD35+'6B3'!AD35+'6B4'!AD35</f>
        <v>0</v>
      </c>
      <c r="T34" s="122"/>
      <c r="U34" s="123"/>
      <c r="V34" s="123"/>
    </row>
    <row r="35" spans="1:244" x14ac:dyDescent="0.2">
      <c r="A35" s="386"/>
      <c r="B35" s="355" t="s">
        <v>197</v>
      </c>
      <c r="C35" s="355" t="s">
        <v>198</v>
      </c>
      <c r="D35" s="355"/>
      <c r="E35" s="382"/>
      <c r="F35" s="383"/>
      <c r="G35" s="458" t="s">
        <v>540</v>
      </c>
      <c r="H35" s="320"/>
      <c r="I35" s="78">
        <f>'6B1'!J36+'6B2'!J36+'6B3'!J36+'6B4'!J36</f>
        <v>0</v>
      </c>
      <c r="J35" s="78">
        <f>'6B1'!L36+'6B2'!L36+'6B3'!L36+'6B4'!L36</f>
        <v>0</v>
      </c>
      <c r="K35" s="78">
        <f>'6B1'!N36+'6B2'!N36+'6B3'!N36+'6B4'!N36</f>
        <v>0</v>
      </c>
      <c r="L35" s="78">
        <f>'6B1'!P36+'6B2'!P36+'6B3'!P36+'6B4'!P36</f>
        <v>0</v>
      </c>
      <c r="M35" s="78">
        <f>'6B1'!R36+'6B2'!R36+'6B3'!R36+'6B4'!R36</f>
        <v>0</v>
      </c>
      <c r="N35" s="78">
        <f>'6B1'!T36+'6B2'!T36+'6B3'!T36+'6B4'!T36</f>
        <v>0</v>
      </c>
      <c r="O35" s="78">
        <f>'6B1'!V36+'6B2'!V36+'6B3'!V36+'6B4'!V36</f>
        <v>0</v>
      </c>
      <c r="P35" s="78">
        <f>'6B1'!X36+'6B2'!X36+'6B3'!X36+'6B4'!X36</f>
        <v>0</v>
      </c>
      <c r="Q35" s="78">
        <f>'6B1'!Z36+'6B2'!Z36+'6B3'!Z36+'6B4'!Z36</f>
        <v>0</v>
      </c>
      <c r="R35" s="78">
        <f>'6B1'!AB36+'6B2'!AB36+'6B3'!AB36+'6B4'!AB36</f>
        <v>0</v>
      </c>
      <c r="S35" s="78">
        <f>'6B1'!AD36+'6B2'!AD36+'6B3'!AD36+'6B4'!AD36</f>
        <v>0</v>
      </c>
      <c r="T35" s="122"/>
      <c r="U35" s="123"/>
      <c r="V35" s="123"/>
    </row>
    <row r="36" spans="1:244" x14ac:dyDescent="0.2">
      <c r="A36" s="384"/>
      <c r="B36" s="385"/>
      <c r="C36" s="390" t="s">
        <v>19</v>
      </c>
      <c r="D36" s="385" t="s">
        <v>207</v>
      </c>
      <c r="E36" s="385"/>
      <c r="F36" s="383"/>
      <c r="G36" s="458" t="s">
        <v>541</v>
      </c>
      <c r="H36" s="320"/>
      <c r="I36" s="78">
        <f>'6B1'!J37+'6B2'!J37+'6B3'!J37+'6B4'!J37</f>
        <v>0</v>
      </c>
      <c r="J36" s="78">
        <f>'6B1'!L37+'6B2'!L37+'6B3'!L37+'6B4'!L37</f>
        <v>0</v>
      </c>
      <c r="K36" s="78">
        <f>'6B1'!N37+'6B2'!N37+'6B3'!N37+'6B4'!N37</f>
        <v>0</v>
      </c>
      <c r="L36" s="78">
        <f>'6B1'!P37+'6B2'!P37+'6B3'!P37+'6B4'!P37</f>
        <v>0</v>
      </c>
      <c r="M36" s="78">
        <f>'6B1'!R37+'6B2'!R37+'6B3'!R37+'6B4'!R37</f>
        <v>0</v>
      </c>
      <c r="N36" s="78">
        <f>'6B1'!T37+'6B2'!T37+'6B3'!T37+'6B4'!T37</f>
        <v>0</v>
      </c>
      <c r="O36" s="78">
        <f>'6B1'!V37+'6B2'!V37+'6B3'!V37+'6B4'!V37</f>
        <v>0</v>
      </c>
      <c r="P36" s="78">
        <f>'6B1'!X37+'6B2'!X37+'6B3'!X37+'6B4'!X37</f>
        <v>0</v>
      </c>
      <c r="Q36" s="78">
        <f>'6B1'!Z37+'6B2'!Z37+'6B3'!Z37+'6B4'!Z37</f>
        <v>0</v>
      </c>
      <c r="R36" s="78">
        <f>'6B1'!AB37+'6B2'!AB37+'6B3'!AB37+'6B4'!AB37</f>
        <v>0</v>
      </c>
      <c r="S36" s="78">
        <f>'6B1'!AD37+'6B2'!AD37+'6B3'!AD37+'6B4'!AD37</f>
        <v>0</v>
      </c>
      <c r="T36" s="122"/>
      <c r="U36" s="123"/>
      <c r="V36" s="123"/>
    </row>
    <row r="37" spans="1:244" x14ac:dyDescent="0.2">
      <c r="A37" s="386"/>
      <c r="B37" s="355"/>
      <c r="C37" s="387" t="s">
        <v>21</v>
      </c>
      <c r="D37" s="395" t="s">
        <v>200</v>
      </c>
      <c r="E37" s="396"/>
      <c r="F37" s="383"/>
      <c r="G37" s="458" t="s">
        <v>542</v>
      </c>
      <c r="H37" s="320"/>
      <c r="I37" s="78">
        <f>'6B1'!J38+'6B2'!J38+'6B3'!J38+'6B4'!J38</f>
        <v>0</v>
      </c>
      <c r="J37" s="78">
        <f>'6B1'!L38+'6B2'!L38+'6B3'!L38+'6B4'!L38</f>
        <v>0</v>
      </c>
      <c r="K37" s="78">
        <f>'6B1'!N38+'6B2'!N38+'6B3'!N38+'6B4'!N38</f>
        <v>0</v>
      </c>
      <c r="L37" s="78">
        <f>'6B1'!P38+'6B2'!P38+'6B3'!P38+'6B4'!P38</f>
        <v>0</v>
      </c>
      <c r="M37" s="78">
        <f>'6B1'!R38+'6B2'!R38+'6B3'!R38+'6B4'!R38</f>
        <v>0</v>
      </c>
      <c r="N37" s="78">
        <f>'6B1'!T38+'6B2'!T38+'6B3'!T38+'6B4'!T38</f>
        <v>0</v>
      </c>
      <c r="O37" s="78">
        <f>'6B1'!V38+'6B2'!V38+'6B3'!V38+'6B4'!V38</f>
        <v>0</v>
      </c>
      <c r="P37" s="78">
        <f>'6B1'!X38+'6B2'!X38+'6B3'!X38+'6B4'!X38</f>
        <v>0</v>
      </c>
      <c r="Q37" s="78">
        <f>'6B1'!Z38+'6B2'!Z38+'6B3'!Z38+'6B4'!Z38</f>
        <v>0</v>
      </c>
      <c r="R37" s="78">
        <f>'6B1'!AB38+'6B2'!AB38+'6B3'!AB38+'6B4'!AB38</f>
        <v>0</v>
      </c>
      <c r="S37" s="78">
        <f>'6B1'!AD38+'6B2'!AD38+'6B3'!AD38+'6B4'!AD38</f>
        <v>0</v>
      </c>
      <c r="T37" s="122"/>
      <c r="U37" s="123"/>
      <c r="V37" s="123"/>
    </row>
    <row r="38" spans="1:244" s="16" customFormat="1" x14ac:dyDescent="0.2">
      <c r="A38" s="384"/>
      <c r="B38" s="385" t="s">
        <v>201</v>
      </c>
      <c r="C38" s="385" t="s">
        <v>208</v>
      </c>
      <c r="D38" s="385"/>
      <c r="E38" s="385"/>
      <c r="F38" s="383"/>
      <c r="G38" s="458" t="s">
        <v>543</v>
      </c>
      <c r="H38" s="320"/>
      <c r="I38" s="78">
        <f>'6B1'!J39+'6B2'!J39+'6B3'!J39+'6B4'!J39</f>
        <v>0</v>
      </c>
      <c r="J38" s="78">
        <f>'6B1'!L39+'6B2'!L39+'6B3'!L39+'6B4'!L39</f>
        <v>0</v>
      </c>
      <c r="K38" s="78">
        <f>'6B1'!N39+'6B2'!N39+'6B3'!N39+'6B4'!N39</f>
        <v>0</v>
      </c>
      <c r="L38" s="78">
        <f>'6B1'!P39+'6B2'!P39+'6B3'!P39+'6B4'!P39</f>
        <v>0</v>
      </c>
      <c r="M38" s="78">
        <f>'6B1'!R39+'6B2'!R39+'6B3'!R39+'6B4'!R39</f>
        <v>0</v>
      </c>
      <c r="N38" s="78">
        <f>'6B1'!T39+'6B2'!T39+'6B3'!T39+'6B4'!T39</f>
        <v>0</v>
      </c>
      <c r="O38" s="78">
        <f>'6B1'!V39+'6B2'!V39+'6B3'!V39+'6B4'!V39</f>
        <v>0</v>
      </c>
      <c r="P38" s="78">
        <f>'6B1'!X39+'6B2'!X39+'6B3'!X39+'6B4'!X39</f>
        <v>0</v>
      </c>
      <c r="Q38" s="78">
        <f>'6B1'!Z39+'6B2'!Z39+'6B3'!Z39+'6B4'!Z39</f>
        <v>0</v>
      </c>
      <c r="R38" s="78">
        <f>'6B1'!AB39+'6B2'!AB39+'6B3'!AB39+'6B4'!AB39</f>
        <v>0</v>
      </c>
      <c r="S38" s="78">
        <f>'6B1'!AD39+'6B2'!AD39+'6B3'!AD39+'6B4'!AD39</f>
        <v>0</v>
      </c>
      <c r="T38" s="34"/>
      <c r="U38" s="132"/>
      <c r="V38" s="132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  <c r="CD38" s="21"/>
      <c r="CE38" s="21"/>
      <c r="CF38" s="21"/>
      <c r="CG38" s="21"/>
      <c r="CH38" s="21"/>
      <c r="CI38" s="21"/>
      <c r="CJ38" s="21"/>
      <c r="CK38" s="21"/>
      <c r="CL38" s="21"/>
      <c r="CM38" s="21"/>
      <c r="CN38" s="21"/>
      <c r="CO38" s="21"/>
      <c r="CP38" s="21"/>
      <c r="CQ38" s="21"/>
      <c r="CR38" s="21"/>
      <c r="CS38" s="21"/>
      <c r="CT38" s="21"/>
      <c r="CU38" s="21"/>
      <c r="CV38" s="21"/>
      <c r="CW38" s="21"/>
      <c r="CX38" s="21"/>
      <c r="CY38" s="21"/>
      <c r="CZ38" s="21"/>
      <c r="DA38" s="21"/>
      <c r="DB38" s="21"/>
      <c r="DC38" s="21"/>
      <c r="DD38" s="21"/>
      <c r="DE38" s="21"/>
      <c r="DF38" s="21"/>
      <c r="DG38" s="21"/>
      <c r="DH38" s="21"/>
      <c r="DI38" s="21"/>
      <c r="DJ38" s="21"/>
      <c r="DK38" s="21"/>
      <c r="DL38" s="21"/>
      <c r="DM38" s="21"/>
      <c r="DN38" s="21"/>
      <c r="DO38" s="21"/>
      <c r="DP38" s="21"/>
      <c r="DQ38" s="21"/>
      <c r="DR38" s="21"/>
      <c r="DS38" s="21"/>
      <c r="DT38" s="21"/>
      <c r="DU38" s="21"/>
      <c r="DV38" s="21"/>
      <c r="DW38" s="21"/>
      <c r="DX38" s="21"/>
      <c r="DY38" s="21"/>
      <c r="DZ38" s="21"/>
      <c r="EA38" s="21"/>
      <c r="EB38" s="21"/>
      <c r="EC38" s="21"/>
      <c r="ED38" s="21"/>
      <c r="EE38" s="21"/>
      <c r="EF38" s="21"/>
      <c r="EG38" s="21"/>
      <c r="EH38" s="21"/>
      <c r="EI38" s="21"/>
      <c r="EJ38" s="21"/>
      <c r="EK38" s="21"/>
      <c r="EL38" s="21"/>
      <c r="EM38" s="21"/>
      <c r="EN38" s="21"/>
      <c r="EO38" s="21"/>
      <c r="EP38" s="21"/>
      <c r="EQ38" s="21"/>
      <c r="ER38" s="21"/>
      <c r="ES38" s="21"/>
      <c r="ET38" s="21"/>
      <c r="EU38" s="21"/>
      <c r="EV38" s="21"/>
      <c r="EW38" s="21"/>
      <c r="EX38" s="21"/>
      <c r="EY38" s="21"/>
      <c r="EZ38" s="21"/>
      <c r="FA38" s="21"/>
      <c r="FB38" s="21"/>
      <c r="FC38" s="21"/>
      <c r="FD38" s="21"/>
      <c r="FE38" s="21"/>
      <c r="FF38" s="21"/>
      <c r="FG38" s="21"/>
      <c r="FH38" s="21"/>
      <c r="FI38" s="21"/>
      <c r="FJ38" s="21"/>
      <c r="FK38" s="21"/>
      <c r="FL38" s="21"/>
      <c r="FM38" s="21"/>
      <c r="FN38" s="21"/>
      <c r="FO38" s="21"/>
      <c r="FP38" s="21"/>
      <c r="FQ38" s="21"/>
      <c r="FR38" s="21"/>
      <c r="FS38" s="21"/>
      <c r="FT38" s="21"/>
      <c r="FU38" s="21"/>
      <c r="FV38" s="21"/>
      <c r="FW38" s="21"/>
      <c r="FX38" s="21"/>
      <c r="FY38" s="21"/>
      <c r="FZ38" s="21"/>
      <c r="GA38" s="21"/>
      <c r="GB38" s="21"/>
      <c r="GC38" s="21"/>
      <c r="GD38" s="21"/>
      <c r="GE38" s="21"/>
      <c r="GF38" s="21"/>
      <c r="GG38" s="21"/>
      <c r="GH38" s="21"/>
      <c r="GI38" s="21"/>
      <c r="GJ38" s="21"/>
      <c r="GK38" s="21"/>
      <c r="GL38" s="21"/>
      <c r="GM38" s="21"/>
      <c r="GN38" s="21"/>
      <c r="GO38" s="21"/>
      <c r="GP38" s="21"/>
      <c r="GQ38" s="21"/>
      <c r="GR38" s="21"/>
      <c r="GS38" s="21"/>
      <c r="GT38" s="21"/>
      <c r="GU38" s="21"/>
      <c r="GV38" s="21"/>
      <c r="GW38" s="21"/>
      <c r="GX38" s="21"/>
      <c r="GY38" s="21"/>
      <c r="GZ38" s="21"/>
      <c r="HA38" s="21"/>
      <c r="HB38" s="21"/>
      <c r="HC38" s="21"/>
      <c r="HD38" s="21"/>
      <c r="HE38" s="21"/>
      <c r="HF38" s="21"/>
      <c r="HG38" s="21"/>
      <c r="HH38" s="21"/>
      <c r="HI38" s="21"/>
      <c r="HJ38" s="21"/>
      <c r="HK38" s="21"/>
      <c r="HL38" s="21"/>
      <c r="HM38" s="21"/>
      <c r="HN38" s="21"/>
      <c r="HO38" s="21"/>
      <c r="HP38" s="21"/>
      <c r="HQ38" s="21"/>
      <c r="HR38" s="21"/>
      <c r="HS38" s="21"/>
      <c r="HT38" s="21"/>
      <c r="HU38" s="21"/>
      <c r="HV38" s="21"/>
      <c r="HW38" s="21"/>
      <c r="HX38" s="21"/>
      <c r="HY38" s="21"/>
      <c r="HZ38" s="21"/>
      <c r="IA38" s="21"/>
      <c r="IB38" s="21"/>
      <c r="IC38" s="21"/>
      <c r="ID38" s="21"/>
      <c r="IE38" s="21"/>
      <c r="IF38" s="21"/>
      <c r="IG38" s="21"/>
      <c r="IH38" s="21"/>
      <c r="II38" s="21"/>
      <c r="IJ38" s="21"/>
    </row>
    <row r="39" spans="1:244" s="21" customFormat="1" x14ac:dyDescent="0.2">
      <c r="A39" s="397" t="s">
        <v>48</v>
      </c>
      <c r="B39" s="381" t="s">
        <v>209</v>
      </c>
      <c r="C39" s="395"/>
      <c r="D39" s="355"/>
      <c r="E39" s="382"/>
      <c r="F39" s="383"/>
      <c r="G39" s="458" t="s">
        <v>544</v>
      </c>
      <c r="H39" s="320"/>
      <c r="I39" s="78">
        <f>'6B1'!J40+'6B2'!J40+'6B3'!J40+'6B4'!J40</f>
        <v>0</v>
      </c>
      <c r="J39" s="78">
        <f>'6B1'!L40+'6B2'!L40+'6B3'!L40+'6B4'!L40</f>
        <v>0</v>
      </c>
      <c r="K39" s="78">
        <f>'6B1'!N40+'6B2'!N40+'6B3'!N40+'6B4'!N40</f>
        <v>0</v>
      </c>
      <c r="L39" s="78">
        <f>'6B1'!P40+'6B2'!P40+'6B3'!P40+'6B4'!P40</f>
        <v>0</v>
      </c>
      <c r="M39" s="78">
        <f>'6B1'!R40+'6B2'!R40+'6B3'!R40+'6B4'!R40</f>
        <v>0</v>
      </c>
      <c r="N39" s="78">
        <f>'6B1'!T40+'6B2'!T40+'6B3'!T40+'6B4'!T40</f>
        <v>0</v>
      </c>
      <c r="O39" s="78">
        <f>'6B1'!V40+'6B2'!V40+'6B3'!V40+'6B4'!V40</f>
        <v>0</v>
      </c>
      <c r="P39" s="78">
        <f>'6B1'!X40+'6B2'!X40+'6B3'!X40+'6B4'!X40</f>
        <v>0</v>
      </c>
      <c r="Q39" s="78">
        <f>'6B1'!Z40+'6B2'!Z40+'6B3'!Z40+'6B4'!Z40</f>
        <v>0</v>
      </c>
      <c r="R39" s="78">
        <f>'6B1'!AB40+'6B2'!AB40+'6B3'!AB40+'6B4'!AB40</f>
        <v>0</v>
      </c>
      <c r="S39" s="78">
        <f>'6B1'!AD40+'6B2'!AD40+'6B3'!AD40+'6B4'!AD40</f>
        <v>0</v>
      </c>
      <c r="T39" s="34"/>
      <c r="U39" s="132"/>
      <c r="V39" s="132"/>
    </row>
    <row r="40" spans="1:244" s="21" customFormat="1" x14ac:dyDescent="0.2">
      <c r="A40" s="398" t="s">
        <v>211</v>
      </c>
      <c r="B40" s="385"/>
      <c r="C40" s="391"/>
      <c r="D40" s="385"/>
      <c r="E40" s="385"/>
      <c r="F40" s="399"/>
      <c r="G40" s="458" t="s">
        <v>545</v>
      </c>
      <c r="H40" s="320"/>
      <c r="I40" s="78">
        <f>'6B1'!J41+'6B2'!J41+'6B3'!J41+'6B4'!J41</f>
        <v>0</v>
      </c>
      <c r="J40" s="295"/>
      <c r="K40" s="295"/>
      <c r="L40" s="295"/>
      <c r="M40" s="295"/>
      <c r="N40" s="295"/>
      <c r="O40" s="78">
        <f>'6B1'!V41+'6B2'!V41+'6B3'!V41+'6B4'!V41</f>
        <v>0</v>
      </c>
      <c r="P40" s="78">
        <f>'6B1'!X41+'6B2'!X41+'6B3'!X41+'6B4'!X41</f>
        <v>0</v>
      </c>
      <c r="Q40" s="78">
        <f>'6B1'!Z41+'6B2'!Z41+'6B3'!Z41+'6B4'!Z41</f>
        <v>0</v>
      </c>
      <c r="R40" s="78">
        <f>'6B1'!AB41+'6B2'!AB41+'6B3'!AB41+'6B4'!AB41</f>
        <v>0</v>
      </c>
      <c r="S40" s="78">
        <f>'6B1'!AD41+'6B2'!AD41+'6B3'!AD41+'6B4'!AD41</f>
        <v>0</v>
      </c>
      <c r="T40" s="34"/>
      <c r="U40" s="132"/>
      <c r="V40" s="132"/>
    </row>
    <row r="41" spans="1:244" s="21" customFormat="1" x14ac:dyDescent="0.2">
      <c r="A41" s="380" t="s">
        <v>186</v>
      </c>
      <c r="B41" s="381" t="s">
        <v>187</v>
      </c>
      <c r="C41" s="395"/>
      <c r="D41" s="355"/>
      <c r="E41" s="382"/>
      <c r="F41" s="400"/>
      <c r="G41" s="458" t="s">
        <v>546</v>
      </c>
      <c r="H41" s="320"/>
      <c r="I41" s="78">
        <f>'6B1'!J42+'6B2'!J42+'6B3'!J42+'6B4'!J42</f>
        <v>0</v>
      </c>
      <c r="J41" s="295"/>
      <c r="K41" s="295"/>
      <c r="L41" s="295"/>
      <c r="M41" s="295"/>
      <c r="N41" s="295"/>
      <c r="O41" s="78">
        <f>'6B1'!V42+'6B2'!V42+'6B3'!V42+'6B4'!V42</f>
        <v>0</v>
      </c>
      <c r="P41" s="78">
        <f>'6B1'!X42+'6B2'!X42+'6B3'!X42+'6B4'!X42</f>
        <v>0</v>
      </c>
      <c r="Q41" s="78">
        <f>'6B1'!Z42+'6B2'!Z42+'6B3'!Z42+'6B4'!Z42</f>
        <v>0</v>
      </c>
      <c r="R41" s="78">
        <f>'6B1'!AB42+'6B2'!AB42+'6B3'!AB42+'6B4'!AB42</f>
        <v>0</v>
      </c>
      <c r="S41" s="78">
        <f>'6B1'!AD42+'6B2'!AD42+'6B3'!AD42+'6B4'!AD42</f>
        <v>0</v>
      </c>
      <c r="T41" s="34"/>
      <c r="U41" s="132"/>
      <c r="V41" s="132"/>
    </row>
    <row r="42" spans="1:244" s="21" customFormat="1" x14ac:dyDescent="0.2">
      <c r="A42" s="393"/>
      <c r="B42" s="385" t="s">
        <v>188</v>
      </c>
      <c r="C42" s="595" t="s">
        <v>212</v>
      </c>
      <c r="D42" s="595"/>
      <c r="E42" s="401"/>
      <c r="F42" s="399"/>
      <c r="G42" s="458" t="s">
        <v>547</v>
      </c>
      <c r="H42" s="320"/>
      <c r="I42" s="78">
        <f>'6B1'!J43+'6B2'!J43+'6B3'!J43+'6B4'!J43</f>
        <v>0</v>
      </c>
      <c r="J42" s="295"/>
      <c r="K42" s="295"/>
      <c r="L42" s="295"/>
      <c r="M42" s="295"/>
      <c r="N42" s="295"/>
      <c r="O42" s="78">
        <f>'6B1'!V43+'6B2'!V43+'6B3'!V43+'6B4'!V43</f>
        <v>0</v>
      </c>
      <c r="P42" s="78">
        <f>'6B1'!X43+'6B2'!X43+'6B3'!X43+'6B4'!X43</f>
        <v>0</v>
      </c>
      <c r="Q42" s="78">
        <f>'6B1'!Z43+'6B2'!Z43+'6B3'!Z43+'6B4'!Z43</f>
        <v>0</v>
      </c>
      <c r="R42" s="78">
        <f>'6B1'!AB43+'6B2'!AB43+'6B3'!AB43+'6B4'!AB43</f>
        <v>0</v>
      </c>
      <c r="S42" s="78">
        <f>'6B1'!AD43+'6B2'!AD43+'6B3'!AD43+'6B4'!AD43</f>
        <v>0</v>
      </c>
      <c r="T42" s="34"/>
      <c r="U42" s="132"/>
      <c r="V42" s="132"/>
    </row>
    <row r="43" spans="1:244" s="21" customFormat="1" x14ac:dyDescent="0.2">
      <c r="A43" s="380"/>
      <c r="B43" s="355"/>
      <c r="C43" s="402" t="s">
        <v>19</v>
      </c>
      <c r="D43" s="578" t="s">
        <v>213</v>
      </c>
      <c r="E43" s="578"/>
      <c r="F43" s="579"/>
      <c r="G43" s="458" t="s">
        <v>548</v>
      </c>
      <c r="H43" s="320"/>
      <c r="I43" s="78">
        <f>'6B1'!J44+'6B2'!J44+'6B3'!J44+'6B4'!J44</f>
        <v>0</v>
      </c>
      <c r="J43" s="295"/>
      <c r="K43" s="295"/>
      <c r="L43" s="295"/>
      <c r="M43" s="295"/>
      <c r="N43" s="295"/>
      <c r="O43" s="78">
        <f>'6B1'!V44+'6B2'!V44+'6B3'!V44+'6B4'!V44</f>
        <v>0</v>
      </c>
      <c r="P43" s="78">
        <f>'6B1'!X44+'6B2'!X44+'6B3'!X44+'6B4'!X44</f>
        <v>0</v>
      </c>
      <c r="Q43" s="78">
        <f>'6B1'!Z44+'6B2'!Z44+'6B3'!Z44+'6B4'!Z44</f>
        <v>0</v>
      </c>
      <c r="R43" s="78">
        <f>'6B1'!AB44+'6B2'!AB44+'6B3'!AB44+'6B4'!AB44</f>
        <v>0</v>
      </c>
      <c r="S43" s="78">
        <f>'6B1'!AD44+'6B2'!AD44+'6B3'!AD44+'6B4'!AD44</f>
        <v>0</v>
      </c>
      <c r="T43" s="34"/>
      <c r="U43" s="132"/>
      <c r="V43" s="132"/>
    </row>
    <row r="44" spans="1:244" s="21" customFormat="1" x14ac:dyDescent="0.2">
      <c r="A44" s="393"/>
      <c r="B44" s="385"/>
      <c r="C44" s="404" t="s">
        <v>21</v>
      </c>
      <c r="D44" s="590" t="s">
        <v>194</v>
      </c>
      <c r="E44" s="590"/>
      <c r="F44" s="591"/>
      <c r="G44" s="458" t="s">
        <v>549</v>
      </c>
      <c r="H44" s="320"/>
      <c r="I44" s="78">
        <f>'6B1'!J45+'6B2'!J45+'6B3'!J45+'6B4'!J45</f>
        <v>0</v>
      </c>
      <c r="J44" s="295"/>
      <c r="K44" s="295"/>
      <c r="L44" s="295"/>
      <c r="M44" s="295"/>
      <c r="N44" s="295"/>
      <c r="O44" s="78">
        <f>'6B1'!V45+'6B2'!V45+'6B3'!V45+'6B4'!V45</f>
        <v>0</v>
      </c>
      <c r="P44" s="78">
        <f>'6B1'!X45+'6B2'!X45+'6B3'!X45+'6B4'!X45</f>
        <v>0</v>
      </c>
      <c r="Q44" s="78">
        <f>'6B1'!Z45+'6B2'!Z45+'6B3'!Z45+'6B4'!Z45</f>
        <v>0</v>
      </c>
      <c r="R44" s="78">
        <f>'6B1'!AB45+'6B2'!AB45+'6B3'!AB45+'6B4'!AB45</f>
        <v>0</v>
      </c>
      <c r="S44" s="78">
        <f>'6B1'!AD45+'6B2'!AD45+'6B3'!AD45+'6B4'!AD45</f>
        <v>0</v>
      </c>
      <c r="T44" s="34"/>
      <c r="U44" s="132"/>
      <c r="V44" s="132"/>
    </row>
    <row r="45" spans="1:244" s="21" customFormat="1" x14ac:dyDescent="0.2">
      <c r="A45" s="380"/>
      <c r="B45" s="355" t="s">
        <v>195</v>
      </c>
      <c r="C45" s="395" t="s">
        <v>198</v>
      </c>
      <c r="D45" s="355"/>
      <c r="E45" s="382"/>
      <c r="F45" s="383"/>
      <c r="G45" s="458" t="s">
        <v>550</v>
      </c>
      <c r="H45" s="320"/>
      <c r="I45" s="78">
        <f>'6B1'!J46+'6B2'!J46+'6B3'!J46+'6B4'!J46</f>
        <v>0</v>
      </c>
      <c r="J45" s="295"/>
      <c r="K45" s="295"/>
      <c r="L45" s="295"/>
      <c r="M45" s="295"/>
      <c r="N45" s="295"/>
      <c r="O45" s="78">
        <f>'6B1'!V46+'6B2'!V46+'6B3'!V46+'6B4'!V46</f>
        <v>0</v>
      </c>
      <c r="P45" s="78">
        <f>'6B1'!X46+'6B2'!X46+'6B3'!X46+'6B4'!X46</f>
        <v>0</v>
      </c>
      <c r="Q45" s="78">
        <f>'6B1'!Z46+'6B2'!Z46+'6B3'!Z46+'6B4'!Z46</f>
        <v>0</v>
      </c>
      <c r="R45" s="78">
        <f>'6B1'!AB46+'6B2'!AB46+'6B3'!AB46+'6B4'!AB46</f>
        <v>0</v>
      </c>
      <c r="S45" s="78">
        <f>'6B1'!AD46+'6B2'!AD46+'6B3'!AD46+'6B4'!AD46</f>
        <v>0</v>
      </c>
      <c r="T45" s="34"/>
      <c r="U45" s="132"/>
      <c r="V45" s="132"/>
    </row>
    <row r="46" spans="1:244" s="21" customFormat="1" x14ac:dyDescent="0.2">
      <c r="A46" s="393"/>
      <c r="B46" s="385"/>
      <c r="C46" s="391">
        <v>-1</v>
      </c>
      <c r="D46" s="385" t="s">
        <v>199</v>
      </c>
      <c r="E46" s="385"/>
      <c r="F46" s="383"/>
      <c r="G46" s="458" t="s">
        <v>551</v>
      </c>
      <c r="H46" s="320"/>
      <c r="I46" s="78">
        <f>'6B1'!J47+'6B2'!J47+'6B3'!J47+'6B4'!J47</f>
        <v>0</v>
      </c>
      <c r="J46" s="295"/>
      <c r="K46" s="295"/>
      <c r="L46" s="295"/>
      <c r="M46" s="295"/>
      <c r="N46" s="295"/>
      <c r="O46" s="78">
        <f>'6B1'!V47+'6B2'!V47+'6B3'!V47+'6B4'!V47</f>
        <v>0</v>
      </c>
      <c r="P46" s="78">
        <f>'6B1'!X47+'6B2'!X47+'6B3'!X47+'6B4'!X47</f>
        <v>0</v>
      </c>
      <c r="Q46" s="78">
        <f>'6B1'!Z47+'6B2'!Z47+'6B3'!Z47+'6B4'!Z47</f>
        <v>0</v>
      </c>
      <c r="R46" s="78">
        <f>'6B1'!AB47+'6B2'!AB47+'6B3'!AB47+'6B4'!AB47</f>
        <v>0</v>
      </c>
      <c r="S46" s="78">
        <f>'6B1'!AD47+'6B2'!AD47+'6B3'!AD47+'6B4'!AD47</f>
        <v>0</v>
      </c>
      <c r="T46" s="34"/>
      <c r="U46" s="132"/>
      <c r="V46" s="132"/>
    </row>
    <row r="47" spans="1:244" s="21" customFormat="1" x14ac:dyDescent="0.2">
      <c r="A47" s="380"/>
      <c r="B47" s="355"/>
      <c r="C47" s="405" t="s">
        <v>21</v>
      </c>
      <c r="D47" s="355" t="s">
        <v>200</v>
      </c>
      <c r="E47" s="382"/>
      <c r="F47" s="383"/>
      <c r="G47" s="458" t="s">
        <v>552</v>
      </c>
      <c r="H47" s="320"/>
      <c r="I47" s="78">
        <f>'6B1'!J48+'6B2'!J48+'6B3'!J48+'6B4'!J48</f>
        <v>0</v>
      </c>
      <c r="J47" s="295"/>
      <c r="K47" s="295"/>
      <c r="L47" s="295"/>
      <c r="M47" s="295"/>
      <c r="N47" s="295"/>
      <c r="O47" s="78">
        <f>'6B1'!V48+'6B2'!V48+'6B3'!V48+'6B4'!V48</f>
        <v>0</v>
      </c>
      <c r="P47" s="78">
        <f>'6B1'!X48+'6B2'!X48+'6B3'!X48+'6B4'!X48</f>
        <v>0</v>
      </c>
      <c r="Q47" s="78">
        <f>'6B1'!Z48+'6B2'!Z48+'6B3'!Z48+'6B4'!Z48</f>
        <v>0</v>
      </c>
      <c r="R47" s="78">
        <f>'6B1'!AB48+'6B2'!AB48+'6B3'!AB48+'6B4'!AB48</f>
        <v>0</v>
      </c>
      <c r="S47" s="78">
        <f>'6B1'!AD48+'6B2'!AD48+'6B3'!AD48+'6B4'!AD48</f>
        <v>0</v>
      </c>
      <c r="T47" s="34"/>
      <c r="U47" s="132"/>
      <c r="V47" s="132"/>
    </row>
    <row r="48" spans="1:244" s="21" customFormat="1" x14ac:dyDescent="0.2">
      <c r="A48" s="384"/>
      <c r="B48" s="385" t="s">
        <v>197</v>
      </c>
      <c r="C48" s="391" t="s">
        <v>202</v>
      </c>
      <c r="D48" s="385"/>
      <c r="E48" s="385"/>
      <c r="F48" s="383"/>
      <c r="G48" s="458" t="s">
        <v>553</v>
      </c>
      <c r="H48" s="320"/>
      <c r="I48" s="78">
        <f>'6B1'!J49+'6B2'!J49+'6B3'!J49+'6B4'!J49</f>
        <v>0</v>
      </c>
      <c r="J48" s="295"/>
      <c r="K48" s="295"/>
      <c r="L48" s="295"/>
      <c r="M48" s="295"/>
      <c r="N48" s="295"/>
      <c r="O48" s="78">
        <f>'6B1'!V49+'6B2'!V49+'6B3'!V49+'6B4'!V49</f>
        <v>0</v>
      </c>
      <c r="P48" s="78">
        <f>'6B1'!X49+'6B2'!X49+'6B3'!X49+'6B4'!X49</f>
        <v>0</v>
      </c>
      <c r="Q48" s="78">
        <f>'6B1'!Z49+'6B2'!Z49+'6B3'!Z49+'6B4'!Z49</f>
        <v>0</v>
      </c>
      <c r="R48" s="78">
        <f>'6B1'!AB49+'6B2'!AB49+'6B3'!AB49+'6B4'!AB49</f>
        <v>0</v>
      </c>
      <c r="S48" s="78">
        <f>'6B1'!AD49+'6B2'!AD49+'6B3'!AD49+'6B4'!AD49</f>
        <v>0</v>
      </c>
      <c r="T48" s="34"/>
      <c r="U48" s="132"/>
      <c r="V48" s="132"/>
    </row>
    <row r="49" spans="1:22" s="21" customFormat="1" x14ac:dyDescent="0.2">
      <c r="A49" s="386"/>
      <c r="B49" s="355"/>
      <c r="C49" s="402" t="s">
        <v>19</v>
      </c>
      <c r="D49" s="578" t="s">
        <v>203</v>
      </c>
      <c r="E49" s="578"/>
      <c r="F49" s="579"/>
      <c r="G49" s="458" t="s">
        <v>554</v>
      </c>
      <c r="H49" s="320"/>
      <c r="I49" s="78">
        <f>'6B1'!J50+'6B2'!J50+'6B3'!J50+'6B4'!J50</f>
        <v>0</v>
      </c>
      <c r="J49" s="295"/>
      <c r="K49" s="295"/>
      <c r="L49" s="295"/>
      <c r="M49" s="295"/>
      <c r="N49" s="295"/>
      <c r="O49" s="78">
        <f>'6B1'!V50+'6B2'!V50+'6B3'!V50+'6B4'!V50</f>
        <v>0</v>
      </c>
      <c r="P49" s="78">
        <f>'6B1'!X50+'6B2'!X50+'6B3'!X50+'6B4'!X50</f>
        <v>0</v>
      </c>
      <c r="Q49" s="78">
        <f>'6B1'!Z50+'6B2'!Z50+'6B3'!Z50+'6B4'!Z50</f>
        <v>0</v>
      </c>
      <c r="R49" s="78">
        <f>'6B1'!AB50+'6B2'!AB50+'6B3'!AB50+'6B4'!AB50</f>
        <v>0</v>
      </c>
      <c r="S49" s="78">
        <f>'6B1'!AD50+'6B2'!AD50+'6B3'!AD50+'6B4'!AD50</f>
        <v>0</v>
      </c>
      <c r="T49" s="34"/>
      <c r="U49" s="132"/>
      <c r="V49" s="132"/>
    </row>
    <row r="50" spans="1:22" s="21" customFormat="1" x14ac:dyDescent="0.2">
      <c r="A50" s="384"/>
      <c r="B50" s="385"/>
      <c r="C50" s="404" t="s">
        <v>21</v>
      </c>
      <c r="D50" s="590" t="s">
        <v>194</v>
      </c>
      <c r="E50" s="590"/>
      <c r="F50" s="591"/>
      <c r="G50" s="458" t="s">
        <v>555</v>
      </c>
      <c r="H50" s="320"/>
      <c r="I50" s="78">
        <f>'6B1'!J51+'6B2'!J51+'6B3'!J51+'6B4'!J51</f>
        <v>0</v>
      </c>
      <c r="J50" s="295"/>
      <c r="K50" s="295"/>
      <c r="L50" s="295"/>
      <c r="M50" s="295"/>
      <c r="N50" s="295"/>
      <c r="O50" s="78">
        <f>'6B1'!V51+'6B2'!V51+'6B3'!V51+'6B4'!V51</f>
        <v>0</v>
      </c>
      <c r="P50" s="78">
        <f>'6B1'!X51+'6B2'!X51+'6B3'!X51+'6B4'!X51</f>
        <v>0</v>
      </c>
      <c r="Q50" s="78">
        <f>'6B1'!Z51+'6B2'!Z51+'6B3'!Z51+'6B4'!Z51</f>
        <v>0</v>
      </c>
      <c r="R50" s="78">
        <f>'6B1'!AB51+'6B2'!AB51+'6B3'!AB51+'6B4'!AB51</f>
        <v>0</v>
      </c>
      <c r="S50" s="78">
        <f>'6B1'!AD51+'6B2'!AD51+'6B3'!AD51+'6B4'!AD51</f>
        <v>0</v>
      </c>
      <c r="T50" s="34"/>
      <c r="U50" s="132"/>
      <c r="V50" s="132"/>
    </row>
    <row r="51" spans="1:22" s="21" customFormat="1" x14ac:dyDescent="0.2">
      <c r="A51" s="380" t="s">
        <v>214</v>
      </c>
      <c r="B51" s="381" t="s">
        <v>204</v>
      </c>
      <c r="C51" s="395"/>
      <c r="D51" s="355"/>
      <c r="E51" s="382"/>
      <c r="F51" s="383"/>
      <c r="G51" s="467" t="s">
        <v>556</v>
      </c>
      <c r="H51" s="406"/>
      <c r="I51" s="78">
        <f>'6B1'!J52+'6B2'!J52+'6B3'!J52+'6B4'!J52</f>
        <v>0</v>
      </c>
      <c r="J51" s="295"/>
      <c r="K51" s="295"/>
      <c r="L51" s="295"/>
      <c r="M51" s="295"/>
      <c r="N51" s="295"/>
      <c r="O51" s="78">
        <f>'6B1'!V52+'6B2'!V52+'6B3'!V52+'6B4'!V52</f>
        <v>0</v>
      </c>
      <c r="P51" s="78">
        <f>'6B1'!X52+'6B2'!X52+'6B3'!X52+'6B4'!X52</f>
        <v>0</v>
      </c>
      <c r="Q51" s="78">
        <f>'6B1'!Z52+'6B2'!Z52+'6B3'!Z52+'6B4'!Z52</f>
        <v>0</v>
      </c>
      <c r="R51" s="78">
        <f>'6B1'!AB52+'6B2'!AB52+'6B3'!AB52+'6B4'!AB52</f>
        <v>0</v>
      </c>
      <c r="S51" s="78">
        <f>'6B1'!AD52+'6B2'!AD52+'6B3'!AD52+'6B4'!AD52</f>
        <v>0</v>
      </c>
      <c r="T51" s="34"/>
      <c r="U51" s="132"/>
      <c r="V51" s="132"/>
    </row>
    <row r="52" spans="1:22" s="21" customFormat="1" x14ac:dyDescent="0.2">
      <c r="A52" s="393"/>
      <c r="B52" s="385" t="s">
        <v>188</v>
      </c>
      <c r="C52" s="391" t="s">
        <v>198</v>
      </c>
      <c r="D52" s="385"/>
      <c r="E52" s="385"/>
      <c r="F52" s="383"/>
      <c r="G52" s="467" t="s">
        <v>557</v>
      </c>
      <c r="H52" s="406"/>
      <c r="I52" s="78">
        <f>'6B1'!J53+'6B2'!J53+'6B3'!J53+'6B4'!J53</f>
        <v>0</v>
      </c>
      <c r="J52" s="295"/>
      <c r="K52" s="295"/>
      <c r="L52" s="295"/>
      <c r="M52" s="295"/>
      <c r="N52" s="295"/>
      <c r="O52" s="78">
        <f>'6B1'!V53+'6B2'!V53+'6B3'!V53+'6B4'!V53</f>
        <v>0</v>
      </c>
      <c r="P52" s="78">
        <f>'6B1'!X53+'6B2'!X53+'6B3'!X53+'6B4'!X53</f>
        <v>0</v>
      </c>
      <c r="Q52" s="78">
        <f>'6B1'!Z53+'6B2'!Z53+'6B3'!Z53+'6B4'!Z53</f>
        <v>0</v>
      </c>
      <c r="R52" s="78">
        <f>'6B1'!AB53+'6B2'!AB53+'6B3'!AB53+'6B4'!AB53</f>
        <v>0</v>
      </c>
      <c r="S52" s="78">
        <f>'6B1'!AD53+'6B2'!AD53+'6B3'!AD53+'6B4'!AD53</f>
        <v>0</v>
      </c>
      <c r="T52" s="34"/>
      <c r="U52" s="132"/>
      <c r="V52" s="132"/>
    </row>
    <row r="53" spans="1:22" s="21" customFormat="1" x14ac:dyDescent="0.2">
      <c r="A53" s="380"/>
      <c r="B53" s="355" t="s">
        <v>195</v>
      </c>
      <c r="C53" s="395" t="s">
        <v>208</v>
      </c>
      <c r="D53" s="355"/>
      <c r="E53" s="382"/>
      <c r="F53" s="383"/>
      <c r="G53" s="467" t="s">
        <v>558</v>
      </c>
      <c r="H53" s="406"/>
      <c r="I53" s="78">
        <f>'6B1'!J54+'6B2'!J54+'6B3'!J54+'6B4'!J54</f>
        <v>0</v>
      </c>
      <c r="J53" s="295"/>
      <c r="K53" s="295"/>
      <c r="L53" s="295"/>
      <c r="M53" s="295"/>
      <c r="N53" s="295"/>
      <c r="O53" s="78">
        <f>'6B1'!V54+'6B2'!V54+'6B3'!V54+'6B4'!V54</f>
        <v>0</v>
      </c>
      <c r="P53" s="78">
        <f>'6B1'!X54+'6B2'!X54+'6B3'!X54+'6B4'!X54</f>
        <v>0</v>
      </c>
      <c r="Q53" s="78">
        <f>'6B1'!Z54+'6B2'!Z54+'6B3'!Z54+'6B4'!Z54</f>
        <v>0</v>
      </c>
      <c r="R53" s="78">
        <f>'6B1'!AB54+'6B2'!AB54+'6B3'!AB54+'6B4'!AB54</f>
        <v>0</v>
      </c>
      <c r="S53" s="78">
        <f>'6B1'!AD54+'6B2'!AD54+'6B3'!AD54+'6B4'!AD54</f>
        <v>0</v>
      </c>
      <c r="T53" s="34"/>
      <c r="U53" s="132"/>
      <c r="V53" s="132"/>
    </row>
    <row r="54" spans="1:22" s="19" customFormat="1" x14ac:dyDescent="0.2">
      <c r="A54" s="407" t="s">
        <v>559</v>
      </c>
      <c r="B54" s="392"/>
      <c r="C54" s="392"/>
      <c r="D54" s="392"/>
      <c r="E54" s="392"/>
      <c r="F54" s="388"/>
      <c r="G54" s="458" t="s">
        <v>560</v>
      </c>
      <c r="H54" s="320"/>
      <c r="I54" s="78">
        <f>'6B1'!J55+'6B2'!J55+'6B3'!J55+'6B4'!J55</f>
        <v>0</v>
      </c>
      <c r="J54" s="78">
        <f>'6B1'!L55+'6B2'!L55+'6B3'!L55+'6B4'!L55</f>
        <v>0</v>
      </c>
      <c r="K54" s="78">
        <f>'6B1'!N55+'6B2'!N55+'6B3'!N55+'6B4'!N55</f>
        <v>0</v>
      </c>
      <c r="L54" s="78">
        <f>'6B1'!P55+'6B2'!P55+'6B3'!P55+'6B4'!P55</f>
        <v>0</v>
      </c>
      <c r="M54" s="78">
        <f>'6B1'!R55+'6B2'!R55+'6B3'!R55+'6B4'!R55</f>
        <v>0</v>
      </c>
      <c r="N54" s="78">
        <f>'6B1'!T55+'6B2'!T55+'6B3'!T55+'6B4'!T55</f>
        <v>0</v>
      </c>
      <c r="O54" s="78">
        <f>'6B1'!V55+'6B2'!V55+'6B3'!V55+'6B4'!V55</f>
        <v>0</v>
      </c>
      <c r="P54" s="78">
        <f>'6B1'!X55+'6B2'!X55+'6B3'!X55+'6B4'!X55</f>
        <v>0</v>
      </c>
      <c r="Q54" s="78">
        <f>'6B1'!Z55+'6B2'!Z55+'6B3'!Z55+'6B4'!Z55</f>
        <v>0</v>
      </c>
      <c r="R54" s="78">
        <f>'6B1'!AB55+'6B2'!AB55+'6B3'!AB55+'6B4'!AB55</f>
        <v>0</v>
      </c>
      <c r="S54" s="78">
        <f>'6B1'!AD55+'6B2'!AD55+'6B3'!AD55+'6B4'!AD55</f>
        <v>0</v>
      </c>
      <c r="T54" s="211"/>
      <c r="U54" s="134"/>
      <c r="V54" s="134"/>
    </row>
    <row r="55" spans="1:22" s="21" customFormat="1" x14ac:dyDescent="0.2">
      <c r="A55" s="166"/>
      <c r="B55" s="14"/>
      <c r="C55" s="131"/>
      <c r="D55" s="39"/>
      <c r="E55" s="39"/>
      <c r="F55" s="128"/>
      <c r="G55" s="52" t="s">
        <v>184</v>
      </c>
      <c r="H55" s="20"/>
      <c r="I55" s="32"/>
      <c r="J55" s="30"/>
      <c r="K55" s="30"/>
      <c r="L55" s="30"/>
      <c r="M55" s="30"/>
      <c r="N55" s="33"/>
      <c r="O55" s="30"/>
      <c r="P55" s="30"/>
      <c r="Q55" s="30"/>
      <c r="R55" s="30"/>
      <c r="S55" s="30"/>
      <c r="T55" s="33"/>
      <c r="U55" s="132"/>
      <c r="V55" s="132"/>
    </row>
    <row r="56" spans="1:22" s="21" customFormat="1" x14ac:dyDescent="0.2">
      <c r="A56" s="166"/>
      <c r="B56" s="39"/>
      <c r="C56" s="39"/>
      <c r="D56" s="39"/>
      <c r="E56" s="39"/>
      <c r="F56" s="128"/>
      <c r="G56" s="23"/>
      <c r="H56" s="20"/>
      <c r="I56" s="32"/>
      <c r="J56" s="30"/>
      <c r="K56" s="30"/>
      <c r="L56" s="30"/>
      <c r="M56" s="30"/>
      <c r="N56" s="33"/>
      <c r="O56" s="30"/>
      <c r="P56" s="30"/>
      <c r="Q56" s="30"/>
      <c r="R56" s="30"/>
      <c r="S56" s="30"/>
      <c r="T56" s="33"/>
      <c r="U56" s="132"/>
      <c r="V56" s="132"/>
    </row>
    <row r="57" spans="1:22" s="21" customFormat="1" x14ac:dyDescent="0.2">
      <c r="A57" s="166"/>
      <c r="B57" s="14"/>
      <c r="C57" s="39"/>
      <c r="D57" s="39"/>
      <c r="E57" s="39"/>
      <c r="F57" s="128"/>
      <c r="G57" s="23"/>
      <c r="H57" s="20"/>
      <c r="I57" s="32"/>
      <c r="J57" s="30"/>
      <c r="K57" s="30"/>
      <c r="L57" s="30"/>
      <c r="M57" s="30"/>
      <c r="N57" s="33"/>
      <c r="O57" s="30"/>
      <c r="P57" s="30"/>
      <c r="Q57" s="30"/>
      <c r="R57" s="30"/>
      <c r="S57" s="30"/>
      <c r="T57" s="33"/>
      <c r="U57" s="132"/>
      <c r="V57" s="132"/>
    </row>
    <row r="58" spans="1:22" s="21" customFormat="1" x14ac:dyDescent="0.2">
      <c r="A58" s="24"/>
      <c r="B58" s="39"/>
      <c r="C58" s="39"/>
      <c r="D58" s="39"/>
      <c r="E58" s="39"/>
      <c r="F58" s="128"/>
      <c r="G58" s="23"/>
      <c r="H58" s="20"/>
      <c r="I58" s="32"/>
      <c r="J58" s="30"/>
      <c r="K58" s="30"/>
      <c r="L58" s="30"/>
      <c r="M58" s="30"/>
      <c r="N58" s="33"/>
      <c r="O58" s="30"/>
      <c r="P58" s="30"/>
      <c r="Q58" s="30"/>
      <c r="R58" s="30"/>
      <c r="S58" s="30"/>
      <c r="T58" s="33"/>
      <c r="U58" s="132"/>
      <c r="V58" s="132"/>
    </row>
    <row r="59" spans="1:22" s="21" customFormat="1" x14ac:dyDescent="0.2">
      <c r="A59" s="166"/>
      <c r="B59" s="39"/>
      <c r="C59" s="39"/>
      <c r="D59" s="39"/>
      <c r="E59" s="39"/>
      <c r="F59" s="128"/>
      <c r="G59" s="23"/>
      <c r="H59" s="20"/>
      <c r="I59" s="32"/>
      <c r="J59" s="30"/>
      <c r="K59" s="30"/>
      <c r="L59" s="30"/>
      <c r="M59" s="30"/>
      <c r="N59" s="33"/>
      <c r="O59" s="30"/>
      <c r="P59" s="30"/>
      <c r="Q59" s="30"/>
      <c r="R59" s="30"/>
      <c r="S59" s="30"/>
      <c r="T59" s="33"/>
      <c r="U59" s="132"/>
      <c r="V59" s="132"/>
    </row>
    <row r="60" spans="1:22" s="21" customFormat="1" x14ac:dyDescent="0.2">
      <c r="A60" s="166"/>
      <c r="B60" s="39"/>
      <c r="C60" s="39"/>
      <c r="D60" s="39"/>
      <c r="E60" s="39"/>
      <c r="F60" s="128"/>
      <c r="G60" s="23"/>
      <c r="H60" s="20"/>
      <c r="I60" s="32"/>
      <c r="J60" s="30"/>
      <c r="K60" s="30"/>
      <c r="L60" s="30"/>
      <c r="M60" s="30"/>
      <c r="N60" s="33"/>
      <c r="O60" s="30"/>
      <c r="P60" s="30"/>
      <c r="Q60" s="30"/>
      <c r="R60" s="30"/>
      <c r="S60" s="30"/>
      <c r="T60" s="33"/>
      <c r="U60" s="132"/>
      <c r="V60" s="132"/>
    </row>
    <row r="61" spans="1:22" s="21" customFormat="1" x14ac:dyDescent="0.2">
      <c r="A61" s="166"/>
      <c r="B61" s="39"/>
      <c r="C61" s="39"/>
      <c r="D61" s="39"/>
      <c r="E61" s="39"/>
      <c r="F61" s="128"/>
      <c r="G61" s="23"/>
      <c r="H61" s="20"/>
      <c r="I61" s="32"/>
      <c r="J61" s="30"/>
      <c r="K61" s="30"/>
      <c r="L61" s="30"/>
      <c r="M61" s="30"/>
      <c r="N61" s="33"/>
      <c r="O61" s="30"/>
      <c r="P61" s="30"/>
      <c r="Q61" s="30"/>
      <c r="R61" s="30"/>
      <c r="S61" s="30"/>
      <c r="T61" s="33"/>
      <c r="U61" s="132"/>
      <c r="V61" s="132"/>
    </row>
    <row r="62" spans="1:22" s="21" customFormat="1" x14ac:dyDescent="0.2">
      <c r="A62" s="166"/>
      <c r="B62" s="39"/>
      <c r="C62" s="39"/>
      <c r="D62" s="39"/>
      <c r="E62" s="39"/>
      <c r="F62" s="128"/>
      <c r="G62" s="23"/>
      <c r="H62" s="20"/>
      <c r="I62" s="32"/>
      <c r="J62" s="30"/>
      <c r="K62" s="30"/>
      <c r="L62" s="30"/>
      <c r="M62" s="30"/>
      <c r="N62" s="33"/>
      <c r="O62" s="30"/>
      <c r="P62" s="30"/>
      <c r="Q62" s="30"/>
      <c r="R62" s="30"/>
      <c r="S62" s="30"/>
      <c r="T62" s="33"/>
      <c r="U62" s="132"/>
      <c r="V62" s="132"/>
    </row>
    <row r="63" spans="1:22" s="21" customFormat="1" x14ac:dyDescent="0.2">
      <c r="A63" s="151"/>
      <c r="B63" s="212"/>
      <c r="C63" s="212"/>
      <c r="D63" s="212"/>
      <c r="E63" s="212"/>
      <c r="F63" s="213"/>
      <c r="G63" s="23"/>
      <c r="H63" s="20"/>
      <c r="I63" s="32"/>
      <c r="J63" s="30"/>
      <c r="K63" s="30"/>
      <c r="L63" s="30"/>
      <c r="M63" s="30"/>
      <c r="N63" s="33"/>
      <c r="O63" s="30"/>
      <c r="P63" s="30"/>
      <c r="Q63" s="30"/>
      <c r="R63" s="30"/>
      <c r="S63" s="30"/>
      <c r="T63" s="33"/>
      <c r="U63" s="132"/>
      <c r="V63" s="132"/>
    </row>
    <row r="64" spans="1:22" s="21" customFormat="1" x14ac:dyDescent="0.2">
      <c r="A64" s="151"/>
      <c r="B64" s="212"/>
      <c r="C64" s="212"/>
      <c r="D64" s="212"/>
      <c r="E64" s="212"/>
      <c r="F64" s="213"/>
      <c r="G64" s="23"/>
      <c r="H64" s="20"/>
      <c r="I64" s="32"/>
      <c r="J64" s="30"/>
      <c r="K64" s="30"/>
      <c r="L64" s="30"/>
      <c r="M64" s="30"/>
      <c r="N64" s="33"/>
      <c r="O64" s="30"/>
      <c r="P64" s="30"/>
      <c r="Q64" s="30"/>
      <c r="R64" s="30"/>
      <c r="S64" s="30"/>
      <c r="T64" s="33"/>
      <c r="U64" s="132"/>
      <c r="V64" s="132"/>
    </row>
    <row r="65" spans="1:22" s="21" customFormat="1" x14ac:dyDescent="0.2">
      <c r="A65" s="151"/>
      <c r="B65" s="212"/>
      <c r="C65" s="212"/>
      <c r="D65" s="144"/>
      <c r="E65" s="144"/>
      <c r="F65" s="145"/>
      <c r="G65" s="23"/>
      <c r="H65" s="20"/>
      <c r="I65" s="32"/>
      <c r="J65" s="30"/>
      <c r="K65" s="30"/>
      <c r="L65" s="30"/>
      <c r="M65" s="30"/>
      <c r="N65" s="33"/>
      <c r="O65" s="30"/>
      <c r="P65" s="30"/>
      <c r="Q65" s="30"/>
      <c r="R65" s="30"/>
      <c r="S65" s="30"/>
      <c r="T65" s="33"/>
      <c r="U65" s="132"/>
      <c r="V65" s="132"/>
    </row>
    <row r="66" spans="1:22" s="21" customFormat="1" x14ac:dyDescent="0.2">
      <c r="A66" s="151"/>
      <c r="B66" s="39"/>
      <c r="C66" s="39"/>
      <c r="D66" s="39"/>
      <c r="E66" s="39"/>
      <c r="F66" s="128"/>
      <c r="G66" s="23"/>
      <c r="H66" s="20"/>
      <c r="I66" s="32"/>
      <c r="J66" s="30"/>
      <c r="K66" s="30"/>
      <c r="L66" s="30"/>
      <c r="M66" s="30"/>
      <c r="N66" s="33"/>
      <c r="O66" s="30"/>
      <c r="P66" s="30"/>
      <c r="Q66" s="30"/>
      <c r="R66" s="30"/>
      <c r="S66" s="30"/>
      <c r="T66" s="33"/>
      <c r="U66" s="132"/>
      <c r="V66" s="132"/>
    </row>
    <row r="67" spans="1:22" s="21" customFormat="1" x14ac:dyDescent="0.2">
      <c r="A67" s="127"/>
      <c r="B67" s="39"/>
      <c r="C67" s="39"/>
      <c r="D67" s="39"/>
      <c r="E67" s="39"/>
      <c r="F67" s="128"/>
      <c r="G67" s="23"/>
      <c r="H67" s="20"/>
      <c r="I67" s="32"/>
      <c r="J67" s="30"/>
      <c r="K67" s="30"/>
      <c r="L67" s="30"/>
      <c r="M67" s="30"/>
      <c r="N67" s="33"/>
      <c r="O67" s="30"/>
      <c r="P67" s="30"/>
      <c r="Q67" s="30"/>
      <c r="R67" s="30"/>
      <c r="S67" s="30"/>
      <c r="T67" s="33"/>
      <c r="U67" s="132"/>
      <c r="V67" s="132"/>
    </row>
    <row r="68" spans="1:22" s="21" customFormat="1" x14ac:dyDescent="0.2">
      <c r="A68" s="127"/>
      <c r="B68" s="39"/>
      <c r="C68" s="39"/>
      <c r="D68" s="39"/>
      <c r="E68" s="39"/>
      <c r="F68" s="128"/>
      <c r="G68" s="23"/>
      <c r="H68" s="20"/>
      <c r="I68" s="32"/>
      <c r="J68" s="30"/>
      <c r="K68" s="30"/>
      <c r="L68" s="30"/>
      <c r="M68" s="30"/>
      <c r="N68" s="33"/>
      <c r="O68" s="30"/>
      <c r="P68" s="30"/>
      <c r="Q68" s="30"/>
      <c r="R68" s="30"/>
      <c r="S68" s="30"/>
      <c r="T68" s="33"/>
      <c r="U68" s="132"/>
      <c r="V68" s="132"/>
    </row>
    <row r="69" spans="1:22" s="21" customFormat="1" x14ac:dyDescent="0.2">
      <c r="A69" s="127"/>
      <c r="B69" s="39"/>
      <c r="C69" s="39"/>
      <c r="D69" s="39"/>
      <c r="E69" s="39"/>
      <c r="F69" s="128"/>
      <c r="G69" s="23"/>
      <c r="H69" s="20"/>
      <c r="I69" s="32"/>
      <c r="J69" s="30"/>
      <c r="K69" s="30"/>
      <c r="L69" s="30"/>
      <c r="M69" s="30"/>
      <c r="N69" s="33"/>
      <c r="O69" s="30"/>
      <c r="P69" s="30"/>
      <c r="Q69" s="30"/>
      <c r="R69" s="30"/>
      <c r="S69" s="30"/>
      <c r="T69" s="33"/>
      <c r="U69" s="132"/>
      <c r="V69" s="132"/>
    </row>
    <row r="70" spans="1:22" s="21" customFormat="1" x14ac:dyDescent="0.2">
      <c r="A70" s="127"/>
      <c r="B70" s="39"/>
      <c r="C70" s="150"/>
      <c r="D70" s="39"/>
      <c r="E70" s="39"/>
      <c r="F70" s="128"/>
      <c r="G70" s="23"/>
      <c r="H70" s="20"/>
      <c r="I70" s="32"/>
      <c r="J70" s="30"/>
      <c r="K70" s="30"/>
      <c r="L70" s="30"/>
      <c r="M70" s="30"/>
      <c r="N70" s="33"/>
      <c r="O70" s="30"/>
      <c r="P70" s="30"/>
      <c r="Q70" s="30"/>
      <c r="R70" s="30"/>
      <c r="S70" s="30"/>
      <c r="T70" s="33"/>
      <c r="U70" s="132"/>
      <c r="V70" s="132"/>
    </row>
    <row r="71" spans="1:22" s="21" customFormat="1" x14ac:dyDescent="0.2">
      <c r="A71" s="127"/>
      <c r="B71" s="39"/>
      <c r="C71" s="150"/>
      <c r="D71" s="39"/>
      <c r="E71" s="39"/>
      <c r="F71" s="128"/>
      <c r="G71" s="23"/>
      <c r="H71" s="20"/>
      <c r="I71" s="32"/>
      <c r="J71" s="30"/>
      <c r="K71" s="30"/>
      <c r="L71" s="30"/>
      <c r="M71" s="30"/>
      <c r="N71" s="33"/>
      <c r="O71" s="30"/>
      <c r="P71" s="30"/>
      <c r="Q71" s="30"/>
      <c r="R71" s="30"/>
      <c r="S71" s="30"/>
      <c r="T71" s="33"/>
      <c r="U71" s="132"/>
      <c r="V71" s="132"/>
    </row>
    <row r="72" spans="1:22" s="21" customFormat="1" x14ac:dyDescent="0.2">
      <c r="A72" s="143"/>
      <c r="B72" s="39"/>
      <c r="C72" s="39"/>
      <c r="D72" s="39"/>
      <c r="E72" s="39"/>
      <c r="F72" s="128"/>
      <c r="G72" s="23"/>
      <c r="H72" s="20"/>
      <c r="I72" s="32"/>
      <c r="J72" s="30"/>
      <c r="K72" s="30"/>
      <c r="L72" s="30"/>
      <c r="M72" s="30"/>
      <c r="N72" s="33"/>
      <c r="O72" s="30"/>
      <c r="P72" s="30"/>
      <c r="Q72" s="30"/>
      <c r="R72" s="30"/>
      <c r="S72" s="30"/>
      <c r="T72" s="33"/>
      <c r="U72" s="132"/>
      <c r="V72" s="132"/>
    </row>
    <row r="73" spans="1:22" s="21" customFormat="1" x14ac:dyDescent="0.2">
      <c r="A73" s="127"/>
      <c r="B73" s="39"/>
      <c r="C73" s="39"/>
      <c r="D73" s="39"/>
      <c r="E73" s="39"/>
      <c r="F73" s="128"/>
      <c r="G73" s="23"/>
      <c r="H73" s="20"/>
      <c r="I73" s="32"/>
      <c r="J73" s="30"/>
      <c r="K73" s="30"/>
      <c r="L73" s="30"/>
      <c r="M73" s="30"/>
      <c r="N73" s="33"/>
      <c r="O73" s="30"/>
      <c r="P73" s="30"/>
      <c r="Q73" s="30"/>
      <c r="R73" s="30"/>
      <c r="S73" s="30"/>
      <c r="T73" s="33"/>
      <c r="U73" s="132"/>
      <c r="V73" s="132"/>
    </row>
    <row r="74" spans="1:22" s="21" customFormat="1" x14ac:dyDescent="0.2">
      <c r="A74" s="127"/>
      <c r="B74" s="39"/>
      <c r="C74" s="39"/>
      <c r="D74" s="39"/>
      <c r="E74" s="39"/>
      <c r="F74" s="128"/>
      <c r="G74" s="23"/>
      <c r="H74" s="20"/>
      <c r="I74" s="32"/>
      <c r="J74" s="30"/>
      <c r="K74" s="30"/>
      <c r="L74" s="30"/>
      <c r="M74" s="30"/>
      <c r="N74" s="33"/>
      <c r="O74" s="30"/>
      <c r="P74" s="30"/>
      <c r="Q74" s="30"/>
      <c r="R74" s="30"/>
      <c r="S74" s="30"/>
      <c r="T74" s="33"/>
      <c r="U74" s="132"/>
      <c r="V74" s="132"/>
    </row>
    <row r="75" spans="1:22" s="21" customFormat="1" x14ac:dyDescent="0.2">
      <c r="A75" s="143"/>
      <c r="B75" s="39"/>
      <c r="C75" s="39"/>
      <c r="D75" s="39"/>
      <c r="E75" s="39"/>
      <c r="F75" s="128"/>
      <c r="G75" s="23"/>
      <c r="H75" s="20"/>
      <c r="I75" s="32"/>
      <c r="J75" s="30"/>
      <c r="K75" s="30"/>
      <c r="L75" s="30"/>
      <c r="M75" s="30"/>
      <c r="N75" s="33"/>
      <c r="O75" s="30"/>
      <c r="P75" s="30"/>
      <c r="Q75" s="30"/>
      <c r="R75" s="30"/>
      <c r="S75" s="30"/>
      <c r="T75" s="33"/>
      <c r="U75" s="132"/>
      <c r="V75" s="132"/>
    </row>
    <row r="76" spans="1:22" s="21" customFormat="1" x14ac:dyDescent="0.2">
      <c r="A76" s="143"/>
      <c r="B76" s="39"/>
      <c r="C76" s="39"/>
      <c r="D76" s="39"/>
      <c r="E76" s="39"/>
      <c r="F76" s="128"/>
      <c r="G76" s="23" t="s">
        <v>261</v>
      </c>
      <c r="H76" s="20"/>
      <c r="I76" s="32"/>
      <c r="J76" s="30"/>
      <c r="K76" s="30"/>
      <c r="L76" s="30"/>
      <c r="M76" s="30"/>
      <c r="N76" s="33"/>
      <c r="O76" s="30"/>
      <c r="P76" s="30"/>
      <c r="Q76" s="30"/>
      <c r="R76" s="30"/>
      <c r="S76" s="30"/>
      <c r="T76" s="33"/>
      <c r="U76" s="132"/>
      <c r="V76" s="132"/>
    </row>
    <row r="77" spans="1:22" s="21" customFormat="1" x14ac:dyDescent="0.2">
      <c r="A77" s="200"/>
      <c r="B77" s="39"/>
      <c r="C77" s="39"/>
      <c r="D77" s="39"/>
      <c r="E77" s="39"/>
      <c r="F77" s="128"/>
      <c r="G77" s="23"/>
      <c r="H77" s="20"/>
      <c r="I77" s="32"/>
      <c r="J77" s="30"/>
      <c r="K77" s="30"/>
      <c r="L77" s="30"/>
      <c r="M77" s="30"/>
      <c r="N77" s="33"/>
      <c r="O77" s="30"/>
      <c r="P77" s="30"/>
      <c r="Q77" s="30"/>
      <c r="R77" s="30"/>
      <c r="S77" s="30"/>
      <c r="T77" s="33"/>
      <c r="U77" s="132"/>
      <c r="V77" s="132"/>
    </row>
    <row r="78" spans="1:22" s="21" customFormat="1" x14ac:dyDescent="0.2">
      <c r="A78" s="199"/>
      <c r="B78" s="153"/>
      <c r="C78" s="154"/>
      <c r="D78" s="150"/>
      <c r="E78" s="39"/>
      <c r="F78" s="128"/>
      <c r="G78" s="23"/>
      <c r="H78" s="20"/>
      <c r="I78" s="34"/>
      <c r="J78" s="33"/>
      <c r="K78" s="33"/>
      <c r="L78" s="33"/>
      <c r="M78" s="33"/>
      <c r="N78" s="33"/>
      <c r="O78" s="33"/>
      <c r="P78" s="33"/>
      <c r="Q78" s="34"/>
      <c r="R78" s="33"/>
      <c r="S78" s="33"/>
      <c r="T78" s="34"/>
      <c r="U78" s="132"/>
      <c r="V78" s="132"/>
    </row>
    <row r="79" spans="1:22" s="21" customFormat="1" x14ac:dyDescent="0.2">
      <c r="A79" s="7"/>
      <c r="B79" s="153"/>
      <c r="C79" s="154"/>
      <c r="D79" s="150"/>
      <c r="E79" s="566"/>
      <c r="F79" s="596"/>
      <c r="G79" s="67" t="s">
        <v>184</v>
      </c>
      <c r="H79" s="22"/>
      <c r="I79" s="34"/>
      <c r="J79" s="28"/>
      <c r="K79" s="34"/>
      <c r="L79" s="34"/>
      <c r="M79" s="34"/>
      <c r="N79" s="34"/>
      <c r="O79" s="34"/>
      <c r="P79" s="33"/>
      <c r="Q79" s="34"/>
      <c r="R79" s="34"/>
      <c r="S79" s="34"/>
      <c r="T79" s="34"/>
      <c r="U79" s="132"/>
      <c r="V79" s="132"/>
    </row>
    <row r="80" spans="1:22" s="21" customFormat="1" x14ac:dyDescent="0.2">
      <c r="A80" s="7"/>
      <c r="B80" s="155"/>
      <c r="C80" s="155"/>
      <c r="D80" s="155"/>
      <c r="E80" s="155"/>
      <c r="F80" s="155"/>
      <c r="G80" s="20"/>
      <c r="H80" s="20"/>
      <c r="I80" s="6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132"/>
      <c r="V80" s="132"/>
    </row>
    <row r="81" spans="1:22" s="21" customFormat="1" x14ac:dyDescent="0.2">
      <c r="A81" s="7"/>
      <c r="B81" s="3"/>
      <c r="C81" s="4"/>
      <c r="D81" s="5"/>
      <c r="E81" s="155"/>
      <c r="F81" s="155"/>
      <c r="G81" s="20"/>
      <c r="H81" s="20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132"/>
      <c r="V81" s="132"/>
    </row>
    <row r="82" spans="1:22" s="21" customFormat="1" x14ac:dyDescent="0.2">
      <c r="A82" s="7"/>
      <c r="B82" s="3"/>
      <c r="C82" s="154"/>
      <c r="D82" s="157"/>
      <c r="E82" s="155"/>
      <c r="F82" s="155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132"/>
      <c r="V82" s="132"/>
    </row>
    <row r="83" spans="1:22" s="21" customFormat="1" x14ac:dyDescent="0.2">
      <c r="A83" s="7"/>
      <c r="B83" s="155"/>
      <c r="C83" s="154"/>
      <c r="D83" s="157"/>
      <c r="E83" s="157"/>
      <c r="F83" s="155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132"/>
      <c r="V83" s="132"/>
    </row>
    <row r="84" spans="1:22" s="21" customFormat="1" x14ac:dyDescent="0.2">
      <c r="A84" s="7"/>
      <c r="B84" s="155"/>
      <c r="C84" s="39"/>
      <c r="D84" s="154"/>
      <c r="E84" s="154"/>
      <c r="F84" s="155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132"/>
      <c r="V84" s="132"/>
    </row>
    <row r="85" spans="1:22" s="21" customFormat="1" x14ac:dyDescent="0.2">
      <c r="A85" s="7"/>
      <c r="B85" s="155"/>
      <c r="C85" s="154"/>
      <c r="D85" s="39"/>
      <c r="E85" s="154"/>
      <c r="F85" s="155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132"/>
      <c r="V85" s="132"/>
    </row>
    <row r="86" spans="1:22" s="21" customFormat="1" x14ac:dyDescent="0.2">
      <c r="A86" s="7"/>
      <c r="B86" s="155"/>
      <c r="C86" s="39"/>
      <c r="D86" s="158"/>
      <c r="E86" s="154"/>
      <c r="F86" s="155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132"/>
      <c r="V86" s="132"/>
    </row>
    <row r="87" spans="1:22" s="21" customFormat="1" x14ac:dyDescent="0.2">
      <c r="A87" s="7"/>
      <c r="B87" s="155"/>
      <c r="C87" s="39"/>
      <c r="D87" s="158"/>
      <c r="E87" s="154"/>
      <c r="F87" s="155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132"/>
      <c r="V87" s="132"/>
    </row>
    <row r="88" spans="1:22" s="21" customFormat="1" x14ac:dyDescent="0.2">
      <c r="A88" s="7"/>
      <c r="B88" s="155"/>
      <c r="C88" s="154"/>
      <c r="D88" s="39"/>
      <c r="E88" s="154"/>
      <c r="F88" s="155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132"/>
      <c r="V88" s="132"/>
    </row>
    <row r="89" spans="1:22" s="21" customFormat="1" x14ac:dyDescent="0.2">
      <c r="A89" s="7"/>
      <c r="B89" s="155"/>
      <c r="C89" s="154"/>
      <c r="D89" s="154"/>
      <c r="E89" s="154"/>
      <c r="F89" s="154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132"/>
      <c r="V89" s="132"/>
    </row>
    <row r="90" spans="1:22" s="21" customFormat="1" x14ac:dyDescent="0.2">
      <c r="A90" s="7"/>
      <c r="B90" s="155"/>
      <c r="C90" s="39"/>
      <c r="D90" s="525"/>
      <c r="E90" s="526"/>
      <c r="F90" s="526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132"/>
      <c r="V90" s="132"/>
    </row>
    <row r="91" spans="1:22" s="21" customFormat="1" x14ac:dyDescent="0.2">
      <c r="A91" s="7"/>
      <c r="B91" s="155"/>
      <c r="C91" s="154"/>
      <c r="D91" s="158"/>
      <c r="E91" s="154"/>
      <c r="F91" s="154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132"/>
      <c r="V91" s="132"/>
    </row>
    <row r="92" spans="1:22" s="21" customFormat="1" x14ac:dyDescent="0.2">
      <c r="A92" s="7"/>
      <c r="B92" s="155"/>
      <c r="C92" s="154"/>
      <c r="D92" s="158"/>
      <c r="E92" s="154"/>
      <c r="F92" s="154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132"/>
      <c r="V92" s="132"/>
    </row>
    <row r="93" spans="1:22" s="21" customFormat="1" x14ac:dyDescent="0.2">
      <c r="A93" s="7"/>
      <c r="B93" s="3"/>
      <c r="C93" s="4"/>
      <c r="D93" s="157"/>
      <c r="E93" s="154"/>
      <c r="F93" s="154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132"/>
      <c r="V93" s="132"/>
    </row>
    <row r="94" spans="1:22" s="21" customFormat="1" x14ac:dyDescent="0.2">
      <c r="A94" s="7"/>
      <c r="B94" s="155"/>
      <c r="C94" s="154"/>
      <c r="D94" s="154"/>
      <c r="E94" s="154"/>
      <c r="F94" s="154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132"/>
      <c r="V94" s="132"/>
    </row>
    <row r="95" spans="1:22" s="21" customFormat="1" x14ac:dyDescent="0.2">
      <c r="A95" s="7"/>
      <c r="B95" s="155"/>
      <c r="C95" s="154"/>
      <c r="D95" s="163"/>
      <c r="E95" s="154"/>
      <c r="F95" s="154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132"/>
      <c r="V95" s="132"/>
    </row>
    <row r="96" spans="1:22" s="21" customFormat="1" x14ac:dyDescent="0.2">
      <c r="A96" s="7"/>
      <c r="B96" s="155"/>
      <c r="C96" s="154"/>
      <c r="D96" s="164"/>
      <c r="E96" s="154"/>
      <c r="F96" s="154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132"/>
      <c r="V96" s="132"/>
    </row>
    <row r="97" spans="1:22" s="21" customFormat="1" x14ac:dyDescent="0.2">
      <c r="A97" s="7"/>
      <c r="B97" s="155"/>
      <c r="C97" s="154"/>
      <c r="D97" s="164"/>
      <c r="E97" s="154"/>
      <c r="F97" s="154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132"/>
      <c r="V97" s="132"/>
    </row>
    <row r="98" spans="1:22" s="21" customFormat="1" x14ac:dyDescent="0.2">
      <c r="A98" s="7"/>
      <c r="B98" s="155"/>
      <c r="C98" s="154"/>
      <c r="D98" s="163"/>
      <c r="E98" s="154"/>
      <c r="F98" s="154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132"/>
      <c r="V98" s="132"/>
    </row>
    <row r="99" spans="1:22" s="21" customFormat="1" x14ac:dyDescent="0.2">
      <c r="A99" s="7"/>
      <c r="B99" s="155"/>
      <c r="C99" s="154"/>
      <c r="D99" s="164"/>
      <c r="E99" s="154"/>
      <c r="F99" s="154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132"/>
      <c r="V99" s="132"/>
    </row>
    <row r="100" spans="1:22" s="21" customFormat="1" x14ac:dyDescent="0.2">
      <c r="A100" s="7"/>
      <c r="B100" s="155"/>
      <c r="C100" s="154"/>
      <c r="D100" s="164"/>
      <c r="E100" s="154"/>
      <c r="F100" s="154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132"/>
      <c r="V100" s="132"/>
    </row>
    <row r="101" spans="1:22" s="21" customFormat="1" x14ac:dyDescent="0.2">
      <c r="A101" s="7"/>
      <c r="B101" s="155"/>
      <c r="C101" s="154"/>
      <c r="D101" s="154"/>
      <c r="E101" s="154"/>
      <c r="F101" s="154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132"/>
      <c r="V101" s="132"/>
    </row>
    <row r="102" spans="1:22" s="21" customFormat="1" x14ac:dyDescent="0.2">
      <c r="A102" s="7"/>
      <c r="B102" s="155"/>
      <c r="C102" s="39"/>
      <c r="D102" s="158"/>
      <c r="E102" s="154"/>
      <c r="F102" s="154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132"/>
      <c r="V102" s="132"/>
    </row>
    <row r="103" spans="1:22" s="21" customFormat="1" x14ac:dyDescent="0.2">
      <c r="A103" s="7"/>
      <c r="B103" s="155"/>
      <c r="C103" s="39"/>
      <c r="D103" s="158"/>
      <c r="E103" s="154"/>
      <c r="F103" s="154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132"/>
      <c r="V103" s="132"/>
    </row>
    <row r="104" spans="1:22" s="21" customFormat="1" x14ac:dyDescent="0.2">
      <c r="A104" s="7"/>
      <c r="B104" s="155"/>
      <c r="C104" s="154"/>
      <c r="D104" s="154"/>
      <c r="E104" s="154"/>
      <c r="F104" s="154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132"/>
      <c r="V104" s="132"/>
    </row>
    <row r="105" spans="1:22" s="21" customFormat="1" x14ac:dyDescent="0.2">
      <c r="A105" s="7"/>
      <c r="B105" s="155"/>
      <c r="C105" s="39"/>
      <c r="D105" s="525"/>
      <c r="E105" s="526"/>
      <c r="F105" s="526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132"/>
      <c r="V105" s="132"/>
    </row>
    <row r="106" spans="1:22" s="21" customFormat="1" x14ac:dyDescent="0.2">
      <c r="A106" s="7"/>
      <c r="B106" s="155"/>
      <c r="C106" s="154"/>
      <c r="D106" s="158"/>
      <c r="E106" s="154"/>
      <c r="F106" s="154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132"/>
      <c r="V106" s="132"/>
    </row>
    <row r="107" spans="1:22" s="21" customFormat="1" x14ac:dyDescent="0.2">
      <c r="A107" s="7"/>
      <c r="B107" s="155"/>
      <c r="C107" s="154"/>
      <c r="D107" s="164"/>
      <c r="E107" s="154"/>
      <c r="F107" s="154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132"/>
      <c r="V107" s="132"/>
    </row>
    <row r="108" spans="1:22" s="21" customFormat="1" x14ac:dyDescent="0.2">
      <c r="A108" s="7"/>
      <c r="B108" s="155"/>
      <c r="C108" s="154"/>
      <c r="D108" s="164"/>
      <c r="E108" s="154"/>
      <c r="F108" s="154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132"/>
      <c r="V108" s="132"/>
    </row>
    <row r="109" spans="1:22" s="21" customFormat="1" x14ac:dyDescent="0.2">
      <c r="A109" s="7"/>
      <c r="B109" s="155"/>
      <c r="C109" s="154"/>
      <c r="D109" s="158"/>
      <c r="E109" s="154"/>
      <c r="F109" s="154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132"/>
      <c r="V109" s="132"/>
    </row>
    <row r="110" spans="1:22" s="21" customFormat="1" x14ac:dyDescent="0.2">
      <c r="A110" s="7"/>
      <c r="B110" s="155"/>
      <c r="C110" s="154"/>
      <c r="D110" s="164"/>
      <c r="E110" s="154"/>
      <c r="F110" s="154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132"/>
      <c r="V110" s="132"/>
    </row>
    <row r="111" spans="1:22" s="21" customFormat="1" x14ac:dyDescent="0.2">
      <c r="A111" s="7"/>
      <c r="B111" s="155"/>
      <c r="C111" s="154"/>
      <c r="D111" s="164"/>
      <c r="E111" s="154"/>
      <c r="F111" s="154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132"/>
      <c r="V111" s="132"/>
    </row>
    <row r="112" spans="1:22" s="21" customFormat="1" x14ac:dyDescent="0.2">
      <c r="A112" s="7"/>
      <c r="B112" s="3"/>
      <c r="C112" s="4"/>
      <c r="D112" s="157"/>
      <c r="E112" s="154"/>
      <c r="F112" s="154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132"/>
      <c r="V112" s="132"/>
    </row>
    <row r="113" spans="1:22" s="21" customFormat="1" x14ac:dyDescent="0.2">
      <c r="A113" s="7"/>
      <c r="B113" s="155"/>
      <c r="C113" s="154"/>
      <c r="D113" s="157"/>
      <c r="E113" s="154"/>
      <c r="F113" s="154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132"/>
      <c r="V113" s="132"/>
    </row>
    <row r="114" spans="1:22" s="21" customFormat="1" x14ac:dyDescent="0.2">
      <c r="A114" s="7"/>
      <c r="B114" s="155"/>
      <c r="C114" s="154"/>
      <c r="D114" s="157"/>
      <c r="E114" s="154"/>
      <c r="F114" s="154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132"/>
      <c r="V114" s="132"/>
    </row>
    <row r="115" spans="1:22" s="21" customFormat="1" x14ac:dyDescent="0.2">
      <c r="A115" s="7"/>
      <c r="B115" s="155"/>
      <c r="C115" s="154"/>
      <c r="D115" s="157"/>
      <c r="E115" s="154"/>
      <c r="F115" s="154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132"/>
      <c r="V115" s="132"/>
    </row>
    <row r="116" spans="1:22" s="21" customFormat="1" x14ac:dyDescent="0.2">
      <c r="A116" s="7"/>
      <c r="B116" s="155"/>
      <c r="C116" s="39"/>
      <c r="D116" s="525"/>
      <c r="E116" s="526"/>
      <c r="F116" s="526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132"/>
      <c r="V116" s="132"/>
    </row>
    <row r="117" spans="1:22" s="21" customFormat="1" x14ac:dyDescent="0.2">
      <c r="A117" s="7"/>
      <c r="B117" s="155"/>
      <c r="C117" s="154"/>
      <c r="D117" s="158"/>
      <c r="E117" s="154"/>
      <c r="F117" s="126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132"/>
      <c r="V117" s="132"/>
    </row>
    <row r="118" spans="1:22" s="21" customFormat="1" x14ac:dyDescent="0.2">
      <c r="A118" s="7"/>
      <c r="B118" s="155"/>
      <c r="C118" s="154"/>
      <c r="D118" s="158"/>
      <c r="E118" s="154"/>
      <c r="F118" s="126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132"/>
      <c r="V118" s="132"/>
    </row>
    <row r="119" spans="1:22" s="21" customFormat="1" x14ac:dyDescent="0.2">
      <c r="A119" s="7"/>
      <c r="B119" s="6"/>
      <c r="C119" s="7"/>
      <c r="D119" s="154"/>
      <c r="E119" s="154"/>
      <c r="F119" s="154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132"/>
      <c r="V119" s="132"/>
    </row>
    <row r="120" spans="1:22" s="21" customFormat="1" x14ac:dyDescent="0.2">
      <c r="A120" s="7"/>
      <c r="B120" s="153"/>
      <c r="C120" s="154"/>
      <c r="D120" s="154"/>
      <c r="E120" s="154"/>
      <c r="F120" s="154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132"/>
      <c r="V120" s="132"/>
    </row>
    <row r="121" spans="1:22" s="21" customFormat="1" x14ac:dyDescent="0.2">
      <c r="A121" s="7"/>
      <c r="B121" s="153"/>
      <c r="C121" s="154"/>
      <c r="D121" s="158"/>
      <c r="E121" s="154"/>
      <c r="F121" s="154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132"/>
      <c r="V121" s="132"/>
    </row>
    <row r="122" spans="1:22" s="21" customFormat="1" x14ac:dyDescent="0.2">
      <c r="A122" s="7"/>
      <c r="B122" s="153"/>
      <c r="C122" s="154"/>
      <c r="D122" s="158"/>
      <c r="E122" s="154"/>
      <c r="F122" s="154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132"/>
      <c r="V122" s="132"/>
    </row>
    <row r="123" spans="1:22" s="21" customFormat="1" x14ac:dyDescent="0.2">
      <c r="A123" s="7"/>
      <c r="B123" s="153"/>
      <c r="C123" s="154"/>
      <c r="D123" s="150"/>
      <c r="E123" s="566"/>
      <c r="F123" s="566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132"/>
      <c r="V123" s="132"/>
    </row>
    <row r="124" spans="1:22" x14ac:dyDescent="0.2">
      <c r="A124" s="7"/>
      <c r="B124" s="153"/>
      <c r="C124" s="154"/>
      <c r="D124" s="39"/>
      <c r="E124" s="39"/>
      <c r="F124" s="39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122"/>
      <c r="U124" s="123"/>
      <c r="V124" s="123"/>
    </row>
    <row r="125" spans="1:22" x14ac:dyDescent="0.2">
      <c r="A125" s="7"/>
      <c r="B125" s="153"/>
      <c r="C125" s="154"/>
      <c r="D125" s="150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122"/>
      <c r="U125" s="123"/>
      <c r="V125" s="123"/>
    </row>
    <row r="126" spans="1:22" x14ac:dyDescent="0.2">
      <c r="A126" s="7"/>
      <c r="B126" s="153"/>
      <c r="C126" s="154"/>
      <c r="D126" s="150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122"/>
      <c r="U126" s="123"/>
      <c r="V126" s="123"/>
    </row>
    <row r="127" spans="1:22" x14ac:dyDescent="0.2">
      <c r="A127" s="7"/>
      <c r="B127" s="153"/>
      <c r="C127" s="154"/>
      <c r="D127" s="150"/>
      <c r="E127" s="566"/>
      <c r="F127" s="566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122"/>
      <c r="U127" s="123"/>
      <c r="V127" s="123"/>
    </row>
    <row r="128" spans="1:22" x14ac:dyDescent="0.2">
      <c r="A128" s="154"/>
      <c r="B128" s="565"/>
      <c r="C128" s="565"/>
      <c r="D128" s="565"/>
      <c r="E128" s="565"/>
      <c r="F128" s="565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122"/>
      <c r="U128" s="123"/>
      <c r="V128" s="123"/>
    </row>
    <row r="129" spans="1:22" x14ac:dyDescent="0.2">
      <c r="A129" s="21"/>
      <c r="B129" s="21"/>
      <c r="C129" s="21"/>
      <c r="D129" s="21"/>
      <c r="E129" s="21"/>
      <c r="F129" s="21"/>
      <c r="G129" s="20"/>
      <c r="H129" s="20"/>
      <c r="I129" s="34"/>
      <c r="J129" s="34"/>
      <c r="K129" s="34"/>
      <c r="L129" s="34"/>
      <c r="M129" s="34"/>
      <c r="N129" s="34"/>
      <c r="O129" s="34" t="s">
        <v>184</v>
      </c>
      <c r="P129" s="34"/>
      <c r="Q129" s="34"/>
      <c r="R129" s="34"/>
      <c r="S129" s="34"/>
      <c r="T129" s="122"/>
      <c r="U129" s="123"/>
      <c r="V129" s="123"/>
    </row>
    <row r="130" spans="1:22" x14ac:dyDescent="0.2">
      <c r="A130" s="21"/>
      <c r="B130" s="21"/>
      <c r="C130" s="21"/>
      <c r="D130" s="21"/>
      <c r="E130" s="21"/>
      <c r="F130" s="21"/>
      <c r="G130" s="20"/>
      <c r="H130" s="20"/>
      <c r="I130" s="21"/>
      <c r="J130" s="21"/>
      <c r="K130" s="21"/>
      <c r="L130" s="21"/>
      <c r="M130" s="21"/>
      <c r="N130" s="21"/>
      <c r="O130" s="21"/>
      <c r="P130" s="21"/>
      <c r="Q130" s="21"/>
      <c r="R130" s="21"/>
      <c r="S130" s="21"/>
    </row>
    <row r="131" spans="1:22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</row>
    <row r="132" spans="1:22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</row>
    <row r="133" spans="1:22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</row>
    <row r="134" spans="1:22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</row>
    <row r="135" spans="1:22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</row>
    <row r="136" spans="1:22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</row>
    <row r="137" spans="1:22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</row>
    <row r="138" spans="1:22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</row>
    <row r="139" spans="1:22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</row>
    <row r="140" spans="1:22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</row>
    <row r="141" spans="1:22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</row>
    <row r="142" spans="1:22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</row>
    <row r="143" spans="1:22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</row>
    <row r="144" spans="1:22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</row>
    <row r="145" spans="1:19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</row>
    <row r="146" spans="1:19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</row>
    <row r="147" spans="1:19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</row>
    <row r="148" spans="1:19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</row>
    <row r="149" spans="1:19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</row>
    <row r="150" spans="1:19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</row>
    <row r="151" spans="1:19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</row>
    <row r="152" spans="1:19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</row>
    <row r="153" spans="1:19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</row>
    <row r="154" spans="1:19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</row>
    <row r="155" spans="1:19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</row>
    <row r="156" spans="1:19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</row>
    <row r="157" spans="1:19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</row>
    <row r="158" spans="1:19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</row>
    <row r="159" spans="1:19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</row>
    <row r="160" spans="1:19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</row>
    <row r="161" spans="1:19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</row>
    <row r="162" spans="1:19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</row>
    <row r="163" spans="1:19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</row>
    <row r="164" spans="1:19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</row>
    <row r="165" spans="1:19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</row>
    <row r="166" spans="1:19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</row>
    <row r="167" spans="1:19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</row>
    <row r="168" spans="1:19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</row>
    <row r="169" spans="1:19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</row>
    <row r="170" spans="1:19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</row>
    <row r="171" spans="1:19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</row>
    <row r="172" spans="1:19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</row>
    <row r="173" spans="1:19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</row>
    <row r="174" spans="1:19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</row>
    <row r="175" spans="1:19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</row>
    <row r="176" spans="1:19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</row>
    <row r="177" spans="1:19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</row>
    <row r="178" spans="1:19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</row>
    <row r="179" spans="1:19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</row>
    <row r="180" spans="1:19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</row>
    <row r="181" spans="1:19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</row>
    <row r="182" spans="1:19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</row>
    <row r="183" spans="1:19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</row>
    <row r="184" spans="1:19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</row>
    <row r="185" spans="1:19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</row>
    <row r="186" spans="1:19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</row>
    <row r="187" spans="1:19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</row>
    <row r="188" spans="1:19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</row>
    <row r="189" spans="1:19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</row>
    <row r="190" spans="1:19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</row>
    <row r="191" spans="1:19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</row>
    <row r="192" spans="1:19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</row>
    <row r="193" spans="1:19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</row>
    <row r="194" spans="1:19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</row>
    <row r="195" spans="1:19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</row>
    <row r="196" spans="1:19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</row>
    <row r="197" spans="1:19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</row>
    <row r="198" spans="1:19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</row>
    <row r="199" spans="1:19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</row>
    <row r="200" spans="1:19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</row>
    <row r="201" spans="1:19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</row>
    <row r="202" spans="1:19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</row>
    <row r="203" spans="1:19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</row>
    <row r="204" spans="1:19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</row>
    <row r="205" spans="1:19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</row>
    <row r="206" spans="1:19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</row>
    <row r="207" spans="1:19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</row>
    <row r="208" spans="1:19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</row>
    <row r="209" spans="1:19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</row>
    <row r="210" spans="1:19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</row>
    <row r="211" spans="1:19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</row>
    <row r="212" spans="1:19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</row>
    <row r="213" spans="1:19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</row>
    <row r="214" spans="1:19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</row>
    <row r="215" spans="1:19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</row>
    <row r="216" spans="1:19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</row>
    <row r="217" spans="1:19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</row>
    <row r="218" spans="1:19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</row>
    <row r="219" spans="1:19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</row>
    <row r="220" spans="1:19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</row>
    <row r="221" spans="1:19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</row>
    <row r="222" spans="1:19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</row>
    <row r="223" spans="1:19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</row>
    <row r="224" spans="1:19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</row>
    <row r="225" spans="1:19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</row>
    <row r="226" spans="1:19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</row>
    <row r="227" spans="1:19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</row>
    <row r="228" spans="1:19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</row>
    <row r="229" spans="1:19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</row>
    <row r="230" spans="1:19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</row>
    <row r="231" spans="1:19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</row>
    <row r="232" spans="1:19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</row>
    <row r="233" spans="1:19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</row>
    <row r="234" spans="1:19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</row>
    <row r="235" spans="1:19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</row>
    <row r="236" spans="1:19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</row>
    <row r="237" spans="1:19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</row>
    <row r="238" spans="1:19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</row>
    <row r="239" spans="1:19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</row>
    <row r="240" spans="1:19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</row>
    <row r="241" spans="1:19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</row>
    <row r="242" spans="1:19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</row>
    <row r="243" spans="1:19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</row>
    <row r="244" spans="1:19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</row>
    <row r="245" spans="1:19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</row>
    <row r="246" spans="1:19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</row>
    <row r="247" spans="1:19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</row>
    <row r="248" spans="1:19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</row>
    <row r="249" spans="1:19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</row>
    <row r="250" spans="1:19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</row>
    <row r="251" spans="1:19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</row>
    <row r="252" spans="1:19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</row>
    <row r="253" spans="1:19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</row>
    <row r="254" spans="1:19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</row>
  </sheetData>
  <sheetProtection password="EE58" sheet="1" objects="1" scenarios="1" selectLockedCells="1"/>
  <mergeCells count="30">
    <mergeCell ref="B128:F128"/>
    <mergeCell ref="E79:F79"/>
    <mergeCell ref="D90:F90"/>
    <mergeCell ref="D105:F105"/>
    <mergeCell ref="D116:F116"/>
    <mergeCell ref="E123:F123"/>
    <mergeCell ref="E127:F127"/>
    <mergeCell ref="D50:F50"/>
    <mergeCell ref="D49:F49"/>
    <mergeCell ref="D44:F44"/>
    <mergeCell ref="I8:I10"/>
    <mergeCell ref="C42:D42"/>
    <mergeCell ref="H7:H10"/>
    <mergeCell ref="A1:S1"/>
    <mergeCell ref="R8:R10"/>
    <mergeCell ref="Q8:Q10"/>
    <mergeCell ref="P8:P10"/>
    <mergeCell ref="O8:O10"/>
    <mergeCell ref="S8:S10"/>
    <mergeCell ref="A2:S2"/>
    <mergeCell ref="K9:K10"/>
    <mergeCell ref="A5:S5"/>
    <mergeCell ref="N9:N10"/>
    <mergeCell ref="L9:L10"/>
    <mergeCell ref="M9:M10"/>
    <mergeCell ref="G7:G10"/>
    <mergeCell ref="D43:F43"/>
    <mergeCell ref="A7:F10"/>
    <mergeCell ref="J8:N8"/>
    <mergeCell ref="J9:J10"/>
  </mergeCells>
  <phoneticPr fontId="0" type="noConversion"/>
  <dataValidations count="1">
    <dataValidation type="decimal" operator="lessThan" allowBlank="1" showInputMessage="1" showErrorMessage="1" sqref="I11:FC586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6b&amp;8&amp;U
&amp;P of &amp;N&amp;C&amp;"Arial,Bold"&amp;8 MAXIMUM SAVINGS BANK, INC.  [ 03-070011 ]
 As of: June 30, 2019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U255"/>
  <sheetViews>
    <sheetView zoomScale="75" zoomScaleNormal="90" zoomScaleSheetLayoutView="75" workbookViewId="0">
      <pane xSplit="9" ySplit="9" topLeftCell="J10" activePane="bottomRight" state="frozen"/>
      <selection pane="topRight" activeCell="J1" sqref="J1"/>
      <selection pane="bottomLeft" activeCell="A10" sqref="A10"/>
      <selection pane="bottomRight" activeCell="J14" sqref="J14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25.42578125" style="1" bestFit="1" customWidth="1"/>
    <col min="6" max="6" width="21.42578125" style="1" hidden="1" customWidth="1"/>
    <col min="7" max="7" width="18.140625" style="9" customWidth="1"/>
    <col min="8" max="8" width="10.28515625" style="9" customWidth="1"/>
    <col min="9" max="9" width="10.28515625" style="9" hidden="1" customWidth="1"/>
    <col min="10" max="10" width="20.7109375" style="1" customWidth="1"/>
    <col min="11" max="11" width="20.7109375" style="1" hidden="1" customWidth="1"/>
    <col min="12" max="12" width="20.7109375" style="1" customWidth="1"/>
    <col min="13" max="13" width="20.7109375" style="1" hidden="1" customWidth="1"/>
    <col min="14" max="14" width="20.7109375" style="1" customWidth="1"/>
    <col min="15" max="15" width="20.7109375" style="1" hidden="1" customWidth="1"/>
    <col min="16" max="16" width="20.7109375" style="1" customWidth="1"/>
    <col min="17" max="17" width="20.7109375" style="1" hidden="1" customWidth="1"/>
    <col min="18" max="18" width="20.7109375" style="1" customWidth="1"/>
    <col min="19" max="19" width="20.7109375" style="1" hidden="1" customWidth="1"/>
    <col min="20" max="20" width="20.7109375" style="1" customWidth="1"/>
    <col min="21" max="21" width="20.7109375" style="1" hidden="1" customWidth="1"/>
    <col min="22" max="22" width="20.7109375" style="1" customWidth="1"/>
    <col min="23" max="23" width="20.7109375" style="1" hidden="1" customWidth="1"/>
    <col min="24" max="24" width="20.7109375" style="1" customWidth="1"/>
    <col min="25" max="25" width="20.7109375" style="1" hidden="1" customWidth="1"/>
    <col min="26" max="26" width="20.7109375" style="1" customWidth="1"/>
    <col min="27" max="27" width="20.7109375" style="1" hidden="1" customWidth="1"/>
    <col min="28" max="28" width="20.7109375" style="1" customWidth="1"/>
    <col min="29" max="29" width="20.7109375" style="1" hidden="1" customWidth="1"/>
    <col min="30" max="30" width="20.7109375" style="1" customWidth="1"/>
    <col min="31" max="170" width="25.7109375" style="1" customWidth="1"/>
    <col min="171" max="16384" width="9.140625" style="1"/>
  </cols>
  <sheetData>
    <row r="1" spans="1:33" ht="12.75" x14ac:dyDescent="0.2">
      <c r="A1" s="512" t="s">
        <v>519</v>
      </c>
      <c r="B1" s="512"/>
      <c r="C1" s="512"/>
      <c r="D1" s="512"/>
      <c r="E1" s="512"/>
      <c r="F1" s="512"/>
      <c r="G1" s="512"/>
      <c r="H1" s="512"/>
      <c r="I1" s="512"/>
      <c r="J1" s="512"/>
      <c r="K1" s="512"/>
      <c r="L1" s="512"/>
      <c r="M1" s="512"/>
      <c r="N1" s="512"/>
      <c r="O1" s="512"/>
      <c r="P1" s="512"/>
      <c r="Q1" s="512"/>
      <c r="R1" s="512"/>
      <c r="S1" s="512"/>
      <c r="T1" s="512"/>
      <c r="U1" s="512"/>
      <c r="V1" s="512"/>
      <c r="W1" s="512"/>
      <c r="X1" s="512"/>
      <c r="Y1" s="512"/>
      <c r="Z1" s="512"/>
      <c r="AA1" s="512"/>
      <c r="AB1" s="512"/>
      <c r="AC1" s="512"/>
      <c r="AD1" s="512"/>
    </row>
    <row r="2" spans="1:33" ht="12.75" customHeight="1" x14ac:dyDescent="0.2">
      <c r="A2" s="512" t="s">
        <v>325</v>
      </c>
      <c r="B2" s="512"/>
      <c r="C2" s="512"/>
      <c r="D2" s="512"/>
      <c r="E2" s="512"/>
      <c r="F2" s="512"/>
      <c r="G2" s="512"/>
      <c r="H2" s="512"/>
      <c r="I2" s="512"/>
      <c r="J2" s="512"/>
      <c r="K2" s="512"/>
      <c r="L2" s="512"/>
      <c r="M2" s="512"/>
      <c r="N2" s="512"/>
      <c r="O2" s="512"/>
      <c r="P2" s="512"/>
      <c r="Q2" s="512"/>
      <c r="R2" s="512"/>
      <c r="S2" s="512"/>
      <c r="T2" s="512"/>
      <c r="U2" s="512"/>
      <c r="V2" s="512"/>
      <c r="W2" s="512"/>
      <c r="X2" s="512"/>
      <c r="Y2" s="512"/>
      <c r="Z2" s="512"/>
      <c r="AA2" s="512"/>
      <c r="AB2" s="512"/>
      <c r="AC2" s="512"/>
      <c r="AD2" s="512"/>
    </row>
    <row r="3" spans="1:33" ht="12.75" hidden="1" customHeight="1" x14ac:dyDescent="0.2">
      <c r="A3" s="257"/>
      <c r="B3" s="257"/>
      <c r="C3" s="257"/>
      <c r="D3" s="257"/>
      <c r="E3" s="257"/>
      <c r="F3" s="257"/>
      <c r="G3" s="257"/>
      <c r="H3" s="257"/>
      <c r="I3" s="257"/>
      <c r="J3" s="257"/>
      <c r="K3" s="257"/>
      <c r="L3" s="257"/>
      <c r="M3" s="257"/>
      <c r="N3" s="257"/>
      <c r="O3" s="257"/>
      <c r="P3" s="257"/>
      <c r="Q3" s="257"/>
      <c r="R3" s="257"/>
      <c r="S3" s="257"/>
      <c r="T3" s="257"/>
      <c r="U3" s="257"/>
      <c r="V3" s="257"/>
      <c r="W3" s="257"/>
      <c r="X3" s="257"/>
      <c r="Y3" s="257"/>
      <c r="Z3" s="257"/>
      <c r="AA3" s="257"/>
      <c r="AB3" s="257"/>
      <c r="AC3" s="257"/>
      <c r="AD3" s="257"/>
    </row>
    <row r="4" spans="1:33" ht="12.75" customHeight="1" x14ac:dyDescent="0.2">
      <c r="A4" s="512" t="s">
        <v>3</v>
      </c>
      <c r="B4" s="512"/>
      <c r="C4" s="512"/>
      <c r="D4" s="512"/>
      <c r="E4" s="512"/>
      <c r="F4" s="512"/>
      <c r="G4" s="512"/>
      <c r="H4" s="512"/>
      <c r="I4" s="512"/>
      <c r="J4" s="512"/>
      <c r="K4" s="512"/>
      <c r="L4" s="512"/>
      <c r="M4" s="512"/>
      <c r="N4" s="512"/>
      <c r="O4" s="512"/>
      <c r="P4" s="512"/>
      <c r="Q4" s="512"/>
      <c r="R4" s="512"/>
      <c r="S4" s="512"/>
      <c r="T4" s="512"/>
      <c r="U4" s="512"/>
      <c r="V4" s="512"/>
      <c r="W4" s="512"/>
      <c r="X4" s="512"/>
      <c r="Y4" s="512"/>
      <c r="Z4" s="512"/>
      <c r="AA4" s="512"/>
      <c r="AB4" s="512"/>
      <c r="AC4" s="512"/>
      <c r="AD4" s="512"/>
    </row>
    <row r="5" spans="1:33" ht="14.25" customHeight="1" x14ac:dyDescent="0.2"/>
    <row r="6" spans="1:33" s="11" customFormat="1" ht="12.75" customHeight="1" x14ac:dyDescent="0.2">
      <c r="A6" s="504" t="s">
        <v>0</v>
      </c>
      <c r="B6" s="505"/>
      <c r="C6" s="505"/>
      <c r="D6" s="505"/>
      <c r="E6" s="505"/>
      <c r="F6" s="506"/>
      <c r="G6" s="496" t="s">
        <v>2</v>
      </c>
      <c r="H6" s="493" t="s">
        <v>414</v>
      </c>
      <c r="I6" s="493" t="s">
        <v>414</v>
      </c>
      <c r="J6" s="8" t="s">
        <v>309</v>
      </c>
      <c r="K6" s="8"/>
      <c r="L6" s="8" t="s">
        <v>310</v>
      </c>
      <c r="M6" s="8"/>
      <c r="N6" s="8" t="s">
        <v>311</v>
      </c>
      <c r="O6" s="8"/>
      <c r="P6" s="8" t="s">
        <v>312</v>
      </c>
      <c r="Q6" s="8"/>
      <c r="R6" s="8" t="s">
        <v>313</v>
      </c>
      <c r="S6" s="8"/>
      <c r="T6" s="8" t="s">
        <v>314</v>
      </c>
      <c r="U6" s="8"/>
      <c r="V6" s="8" t="s">
        <v>315</v>
      </c>
      <c r="W6" s="8"/>
      <c r="X6" s="8" t="s">
        <v>316</v>
      </c>
      <c r="Y6" s="8"/>
      <c r="Z6" s="8" t="s">
        <v>317</v>
      </c>
      <c r="AA6" s="8"/>
      <c r="AB6" s="8" t="s">
        <v>318</v>
      </c>
      <c r="AC6" s="8"/>
      <c r="AD6" s="8" t="s">
        <v>307</v>
      </c>
    </row>
    <row r="7" spans="1:33" s="11" customFormat="1" ht="12.75" customHeight="1" x14ac:dyDescent="0.2">
      <c r="A7" s="507"/>
      <c r="B7" s="508"/>
      <c r="C7" s="508"/>
      <c r="D7" s="508"/>
      <c r="E7" s="508"/>
      <c r="F7" s="509"/>
      <c r="G7" s="497"/>
      <c r="H7" s="494"/>
      <c r="I7" s="494"/>
      <c r="J7" s="493" t="s">
        <v>755</v>
      </c>
      <c r="K7" s="56"/>
      <c r="L7" s="580" t="s">
        <v>324</v>
      </c>
      <c r="M7" s="581"/>
      <c r="N7" s="581"/>
      <c r="O7" s="581"/>
      <c r="P7" s="581"/>
      <c r="Q7" s="581"/>
      <c r="R7" s="581"/>
      <c r="S7" s="581"/>
      <c r="T7" s="582"/>
      <c r="U7" s="76"/>
      <c r="V7" s="493" t="s">
        <v>319</v>
      </c>
      <c r="W7" s="53"/>
      <c r="X7" s="493" t="s">
        <v>320</v>
      </c>
      <c r="Y7" s="53"/>
      <c r="Z7" s="493" t="s">
        <v>321</v>
      </c>
      <c r="AA7" s="53"/>
      <c r="AB7" s="493" t="s">
        <v>322</v>
      </c>
      <c r="AC7" s="53"/>
      <c r="AD7" s="493" t="s">
        <v>323</v>
      </c>
    </row>
    <row r="8" spans="1:33" s="2" customFormat="1" ht="12.75" customHeight="1" x14ac:dyDescent="0.2">
      <c r="A8" s="507"/>
      <c r="B8" s="508"/>
      <c r="C8" s="508"/>
      <c r="D8" s="508"/>
      <c r="E8" s="508"/>
      <c r="F8" s="509"/>
      <c r="G8" s="497"/>
      <c r="H8" s="494"/>
      <c r="I8" s="494"/>
      <c r="J8" s="598"/>
      <c r="K8" s="57"/>
      <c r="L8" s="496" t="s">
        <v>779</v>
      </c>
      <c r="M8" s="41"/>
      <c r="N8" s="496" t="s">
        <v>780</v>
      </c>
      <c r="O8" s="41"/>
      <c r="P8" s="496" t="s">
        <v>781</v>
      </c>
      <c r="Q8" s="59"/>
      <c r="R8" s="496" t="s">
        <v>782</v>
      </c>
      <c r="S8" s="59"/>
      <c r="T8" s="496" t="s">
        <v>308</v>
      </c>
      <c r="U8" s="42"/>
      <c r="V8" s="587"/>
      <c r="W8" s="54"/>
      <c r="X8" s="587"/>
      <c r="Y8" s="54"/>
      <c r="Z8" s="585"/>
      <c r="AA8" s="207"/>
      <c r="AB8" s="583"/>
      <c r="AC8" s="208"/>
      <c r="AD8" s="583"/>
    </row>
    <row r="9" spans="1:33" s="2" customFormat="1" ht="36.75" customHeight="1" x14ac:dyDescent="0.2">
      <c r="A9" s="507"/>
      <c r="B9" s="508"/>
      <c r="C9" s="508"/>
      <c r="D9" s="508"/>
      <c r="E9" s="508"/>
      <c r="F9" s="509"/>
      <c r="G9" s="498"/>
      <c r="H9" s="495"/>
      <c r="I9" s="495"/>
      <c r="J9" s="597"/>
      <c r="K9" s="58"/>
      <c r="L9" s="597"/>
      <c r="M9" s="43"/>
      <c r="N9" s="597"/>
      <c r="O9" s="43"/>
      <c r="P9" s="597"/>
      <c r="Q9" s="44"/>
      <c r="R9" s="597"/>
      <c r="S9" s="44"/>
      <c r="T9" s="597"/>
      <c r="U9" s="43"/>
      <c r="V9" s="588"/>
      <c r="W9" s="55"/>
      <c r="X9" s="588"/>
      <c r="Y9" s="55"/>
      <c r="Z9" s="586"/>
      <c r="AA9" s="209"/>
      <c r="AB9" s="584"/>
      <c r="AC9" s="210"/>
      <c r="AD9" s="584"/>
    </row>
    <row r="10" spans="1:33" x14ac:dyDescent="0.2">
      <c r="A10" s="119" t="s">
        <v>185</v>
      </c>
      <c r="B10" s="120"/>
      <c r="C10" s="120"/>
      <c r="D10" s="120"/>
      <c r="E10" s="120"/>
      <c r="F10" s="121"/>
      <c r="G10" s="458" t="s">
        <v>520</v>
      </c>
      <c r="H10" s="18"/>
      <c r="I10" s="18"/>
      <c r="J10" s="78">
        <f>SUM(J11,J33,J40)</f>
        <v>0</v>
      </c>
      <c r="K10" s="78"/>
      <c r="L10" s="78">
        <f>SUM(L11,L33,L40)</f>
        <v>0</v>
      </c>
      <c r="M10" s="78"/>
      <c r="N10" s="78">
        <f>SUM(N11,N33,N40)</f>
        <v>0</v>
      </c>
      <c r="O10" s="78"/>
      <c r="P10" s="78">
        <f>SUM(P11,P33,P40)</f>
        <v>0</v>
      </c>
      <c r="Q10" s="78"/>
      <c r="R10" s="78">
        <f>SUM(R11,R33,R40)</f>
        <v>0</v>
      </c>
      <c r="S10" s="78"/>
      <c r="T10" s="78">
        <f>SUM(T11,T33,T40)</f>
        <v>0</v>
      </c>
      <c r="U10" s="78"/>
      <c r="V10" s="78">
        <f>SUM(V11,V33,V40)</f>
        <v>0</v>
      </c>
      <c r="W10" s="78"/>
      <c r="X10" s="78">
        <f>SUM(X11,X33,X40)</f>
        <v>0</v>
      </c>
      <c r="Y10" s="78"/>
      <c r="Z10" s="78">
        <f>SUM(Z11,Z33,Z40)</f>
        <v>0</v>
      </c>
      <c r="AA10" s="78"/>
      <c r="AB10" s="78">
        <f>SUM(AB11,AB33,AB40)</f>
        <v>0</v>
      </c>
      <c r="AC10" s="78"/>
      <c r="AD10" s="78">
        <f t="shared" ref="AD10:AD32" si="0">(J10+L10+N10+P10+R10+T10+V10) - (X10+Z10)</f>
        <v>0</v>
      </c>
      <c r="AE10" s="122"/>
      <c r="AF10" s="123"/>
      <c r="AG10" s="123"/>
    </row>
    <row r="11" spans="1:33" x14ac:dyDescent="0.2">
      <c r="A11" s="116" t="s">
        <v>186</v>
      </c>
      <c r="B11" s="115" t="s">
        <v>187</v>
      </c>
      <c r="C11" s="124"/>
      <c r="D11" s="124"/>
      <c r="E11" s="125"/>
      <c r="F11" s="128"/>
      <c r="G11" s="458" t="s">
        <v>521</v>
      </c>
      <c r="H11" s="18"/>
      <c r="I11" s="18"/>
      <c r="J11" s="78">
        <f>SUM(J12,J24,J25,J28)</f>
        <v>0</v>
      </c>
      <c r="K11" s="78"/>
      <c r="L11" s="78">
        <f>SUM(L12,L24,L25,L28)</f>
        <v>0</v>
      </c>
      <c r="M11" s="78"/>
      <c r="N11" s="78">
        <f>SUM(N12,N24,N25,N28)</f>
        <v>0</v>
      </c>
      <c r="O11" s="78"/>
      <c r="P11" s="78">
        <f>SUM(P12,P24,P25,P28)</f>
        <v>0</v>
      </c>
      <c r="Q11" s="78"/>
      <c r="R11" s="78">
        <f>SUM(R12,R24,R25,R28)</f>
        <v>0</v>
      </c>
      <c r="S11" s="78"/>
      <c r="T11" s="78">
        <f>SUM(T12,T24,T25,T28)</f>
        <v>0</v>
      </c>
      <c r="U11" s="78"/>
      <c r="V11" s="78">
        <f>SUM(V12,V24,V25,V28)</f>
        <v>0</v>
      </c>
      <c r="W11" s="78"/>
      <c r="X11" s="78">
        <f>SUM(X12,X24,X25,X28)</f>
        <v>0</v>
      </c>
      <c r="Y11" s="78"/>
      <c r="Z11" s="78">
        <f>SUM(Z12,Z24,Z25,Z28)</f>
        <v>0</v>
      </c>
      <c r="AA11" s="78"/>
      <c r="AB11" s="78">
        <f>SUM(AB12,AB24,AB25,AB28)</f>
        <v>0</v>
      </c>
      <c r="AC11" s="78"/>
      <c r="AD11" s="78">
        <f t="shared" si="0"/>
        <v>0</v>
      </c>
      <c r="AE11" s="122"/>
      <c r="AF11" s="123"/>
      <c r="AG11" s="123"/>
    </row>
    <row r="12" spans="1:33" x14ac:dyDescent="0.2">
      <c r="A12" s="127"/>
      <c r="B12" s="39" t="s">
        <v>188</v>
      </c>
      <c r="C12" s="39" t="s">
        <v>788</v>
      </c>
      <c r="D12" s="39"/>
      <c r="E12" s="39"/>
      <c r="F12" s="128"/>
      <c r="G12" s="458" t="s">
        <v>522</v>
      </c>
      <c r="H12" s="18"/>
      <c r="I12" s="18"/>
      <c r="J12" s="78">
        <f>SUM(J13,J19,J20)</f>
        <v>0</v>
      </c>
      <c r="K12" s="78"/>
      <c r="L12" s="78">
        <f>SUM(L13,L19,L20)</f>
        <v>0</v>
      </c>
      <c r="M12" s="78"/>
      <c r="N12" s="78">
        <f>SUM(N13,N19,N20)</f>
        <v>0</v>
      </c>
      <c r="O12" s="78"/>
      <c r="P12" s="78">
        <f>SUM(P13,P19,P20)</f>
        <v>0</v>
      </c>
      <c r="Q12" s="78"/>
      <c r="R12" s="78">
        <f>SUM(R13,R19,R20)</f>
        <v>0</v>
      </c>
      <c r="S12" s="78"/>
      <c r="T12" s="78">
        <f>SUM(T13,T19,T20)</f>
        <v>0</v>
      </c>
      <c r="U12" s="78"/>
      <c r="V12" s="78">
        <f>SUM(V13,V19,V20)</f>
        <v>0</v>
      </c>
      <c r="W12" s="78"/>
      <c r="X12" s="78">
        <f>SUM(X13,X19,X20)</f>
        <v>0</v>
      </c>
      <c r="Y12" s="78"/>
      <c r="Z12" s="78">
        <f>SUM(Z13,Z19,Z20)</f>
        <v>0</v>
      </c>
      <c r="AA12" s="78"/>
      <c r="AB12" s="78">
        <f>SUM(AB13,AB19,AB20)</f>
        <v>0</v>
      </c>
      <c r="AC12" s="78"/>
      <c r="AD12" s="78">
        <f t="shared" si="0"/>
        <v>0</v>
      </c>
      <c r="AE12" s="122"/>
      <c r="AF12" s="123"/>
      <c r="AG12" s="123"/>
    </row>
    <row r="13" spans="1:33" x14ac:dyDescent="0.2">
      <c r="A13" s="129"/>
      <c r="B13" s="124"/>
      <c r="C13" s="149" t="s">
        <v>19</v>
      </c>
      <c r="D13" s="124" t="s">
        <v>189</v>
      </c>
      <c r="E13" s="125"/>
      <c r="F13" s="128"/>
      <c r="G13" s="458" t="s">
        <v>523</v>
      </c>
      <c r="H13" s="18"/>
      <c r="I13" s="18"/>
      <c r="J13" s="78">
        <f>J14+J15+J16</f>
        <v>0</v>
      </c>
      <c r="K13" s="78">
        <f t="shared" ref="K13:AB13" si="1">K14+K15+K16</f>
        <v>0</v>
      </c>
      <c r="L13" s="78">
        <f t="shared" si="1"/>
        <v>0</v>
      </c>
      <c r="M13" s="78">
        <f t="shared" si="1"/>
        <v>0</v>
      </c>
      <c r="N13" s="78">
        <f t="shared" si="1"/>
        <v>0</v>
      </c>
      <c r="O13" s="78">
        <f t="shared" si="1"/>
        <v>0</v>
      </c>
      <c r="P13" s="78">
        <f t="shared" si="1"/>
        <v>0</v>
      </c>
      <c r="Q13" s="78">
        <f t="shared" si="1"/>
        <v>0</v>
      </c>
      <c r="R13" s="78">
        <f t="shared" si="1"/>
        <v>0</v>
      </c>
      <c r="S13" s="78">
        <f t="shared" si="1"/>
        <v>0</v>
      </c>
      <c r="T13" s="78">
        <f t="shared" si="1"/>
        <v>0</v>
      </c>
      <c r="U13" s="78">
        <f t="shared" si="1"/>
        <v>0</v>
      </c>
      <c r="V13" s="78">
        <f t="shared" si="1"/>
        <v>0</v>
      </c>
      <c r="W13" s="78">
        <f t="shared" si="1"/>
        <v>0</v>
      </c>
      <c r="X13" s="78">
        <f t="shared" si="1"/>
        <v>0</v>
      </c>
      <c r="Y13" s="78">
        <f t="shared" si="1"/>
        <v>0</v>
      </c>
      <c r="Z13" s="78">
        <f t="shared" si="1"/>
        <v>0</v>
      </c>
      <c r="AA13" s="78">
        <f t="shared" si="1"/>
        <v>0</v>
      </c>
      <c r="AB13" s="78">
        <f t="shared" si="1"/>
        <v>0</v>
      </c>
      <c r="AC13" s="357"/>
      <c r="AD13" s="78">
        <f t="shared" si="0"/>
        <v>0</v>
      </c>
      <c r="AE13" s="122"/>
      <c r="AF13" s="123"/>
      <c r="AG13" s="123"/>
    </row>
    <row r="14" spans="1:33" x14ac:dyDescent="0.2">
      <c r="A14" s="129"/>
      <c r="B14" s="124"/>
      <c r="C14" s="149"/>
      <c r="D14" s="124" t="s">
        <v>11</v>
      </c>
      <c r="E14" s="124" t="s">
        <v>789</v>
      </c>
      <c r="F14" s="125"/>
      <c r="G14" s="458" t="s">
        <v>817</v>
      </c>
      <c r="H14" s="18"/>
      <c r="I14" s="18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78">
        <f t="shared" si="0"/>
        <v>0</v>
      </c>
      <c r="AE14" s="122"/>
      <c r="AF14" s="123"/>
      <c r="AG14" s="123"/>
    </row>
    <row r="15" spans="1:33" x14ac:dyDescent="0.2">
      <c r="A15" s="129"/>
      <c r="B15" s="124"/>
      <c r="C15" s="149"/>
      <c r="D15" s="124" t="s">
        <v>15</v>
      </c>
      <c r="E15" s="124" t="s">
        <v>790</v>
      </c>
      <c r="F15" s="197"/>
      <c r="G15" s="458" t="s">
        <v>818</v>
      </c>
      <c r="H15" s="18"/>
      <c r="I15" s="18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61"/>
      <c r="AD15" s="78">
        <f t="shared" si="0"/>
        <v>0</v>
      </c>
      <c r="AE15" s="122"/>
      <c r="AF15" s="123"/>
      <c r="AG15" s="123"/>
    </row>
    <row r="16" spans="1:33" x14ac:dyDescent="0.2">
      <c r="A16" s="129"/>
      <c r="B16" s="124"/>
      <c r="C16" s="149"/>
      <c r="D16" s="124" t="s">
        <v>25</v>
      </c>
      <c r="E16" s="124" t="s">
        <v>791</v>
      </c>
      <c r="F16" s="197"/>
      <c r="G16" s="458" t="s">
        <v>819</v>
      </c>
      <c r="H16" s="85" t="s">
        <v>751</v>
      </c>
      <c r="I16" s="85" t="s">
        <v>751</v>
      </c>
      <c r="J16" s="78">
        <f t="shared" ref="J16:AC16" si="2">SUM(J17:J18)</f>
        <v>0</v>
      </c>
      <c r="K16" s="78">
        <f t="shared" si="2"/>
        <v>0</v>
      </c>
      <c r="L16" s="78">
        <f t="shared" si="2"/>
        <v>0</v>
      </c>
      <c r="M16" s="78">
        <f t="shared" si="2"/>
        <v>0</v>
      </c>
      <c r="N16" s="78">
        <f t="shared" si="2"/>
        <v>0</v>
      </c>
      <c r="O16" s="78">
        <f t="shared" si="2"/>
        <v>0</v>
      </c>
      <c r="P16" s="78">
        <f t="shared" si="2"/>
        <v>0</v>
      </c>
      <c r="Q16" s="78">
        <f t="shared" si="2"/>
        <v>0</v>
      </c>
      <c r="R16" s="78">
        <f t="shared" si="2"/>
        <v>0</v>
      </c>
      <c r="S16" s="78">
        <f t="shared" si="2"/>
        <v>0</v>
      </c>
      <c r="T16" s="78">
        <f t="shared" si="2"/>
        <v>0</v>
      </c>
      <c r="U16" s="78">
        <f t="shared" si="2"/>
        <v>0</v>
      </c>
      <c r="V16" s="78">
        <f t="shared" si="2"/>
        <v>0</v>
      </c>
      <c r="W16" s="78">
        <f t="shared" si="2"/>
        <v>0</v>
      </c>
      <c r="X16" s="78">
        <f t="shared" si="2"/>
        <v>0</v>
      </c>
      <c r="Y16" s="78">
        <f t="shared" si="2"/>
        <v>0</v>
      </c>
      <c r="Z16" s="78">
        <f t="shared" si="2"/>
        <v>0</v>
      </c>
      <c r="AA16" s="78">
        <f t="shared" si="2"/>
        <v>0</v>
      </c>
      <c r="AB16" s="78">
        <f t="shared" si="2"/>
        <v>0</v>
      </c>
      <c r="AC16" s="78">
        <f t="shared" si="2"/>
        <v>0</v>
      </c>
      <c r="AD16" s="78">
        <f t="shared" si="0"/>
        <v>0</v>
      </c>
      <c r="AE16" s="122"/>
      <c r="AF16" s="123"/>
      <c r="AG16" s="123"/>
    </row>
    <row r="17" spans="1:33" x14ac:dyDescent="0.2">
      <c r="A17" s="129"/>
      <c r="B17" s="124"/>
      <c r="C17" s="149"/>
      <c r="D17" s="124"/>
      <c r="E17" s="310"/>
      <c r="F17" s="128"/>
      <c r="G17" s="458"/>
      <c r="H17" s="91">
        <v>1</v>
      </c>
      <c r="I17" s="91">
        <v>1</v>
      </c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78">
        <f t="shared" si="0"/>
        <v>0</v>
      </c>
      <c r="AE17" s="122"/>
      <c r="AF17" s="123"/>
      <c r="AG17" s="123"/>
    </row>
    <row r="18" spans="1:33" x14ac:dyDescent="0.2">
      <c r="A18" s="386"/>
      <c r="B18" s="355"/>
      <c r="C18" s="387"/>
      <c r="D18" s="355"/>
      <c r="E18" s="355"/>
      <c r="F18" s="383"/>
      <c r="G18" s="458"/>
      <c r="H18" s="239" t="str">
        <f>CHAR(132)</f>
        <v>„</v>
      </c>
      <c r="I18" s="239" t="str">
        <f>CHAR(132)</f>
        <v>„</v>
      </c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109"/>
      <c r="AD18" s="78"/>
      <c r="AE18" s="122"/>
      <c r="AF18" s="123"/>
      <c r="AG18" s="123"/>
    </row>
    <row r="19" spans="1:33" x14ac:dyDescent="0.2">
      <c r="A19" s="384"/>
      <c r="B19" s="385"/>
      <c r="C19" s="390" t="s">
        <v>21</v>
      </c>
      <c r="D19" s="385" t="s">
        <v>326</v>
      </c>
      <c r="E19" s="385"/>
      <c r="F19" s="383"/>
      <c r="G19" s="458" t="s">
        <v>524</v>
      </c>
      <c r="H19" s="18"/>
      <c r="I19" s="18"/>
      <c r="J19" s="61"/>
      <c r="K19" s="61"/>
      <c r="L19" s="62"/>
      <c r="M19" s="62"/>
      <c r="N19" s="62"/>
      <c r="O19" s="62"/>
      <c r="P19" s="62"/>
      <c r="Q19" s="62"/>
      <c r="R19" s="62"/>
      <c r="S19" s="62"/>
      <c r="T19" s="61"/>
      <c r="U19" s="61"/>
      <c r="V19" s="61"/>
      <c r="W19" s="61"/>
      <c r="X19" s="62"/>
      <c r="Y19" s="62"/>
      <c r="Z19" s="62"/>
      <c r="AA19" s="62"/>
      <c r="AB19" s="62"/>
      <c r="AC19" s="62"/>
      <c r="AD19" s="78">
        <f t="shared" si="0"/>
        <v>0</v>
      </c>
      <c r="AE19" s="122"/>
      <c r="AF19" s="123"/>
      <c r="AG19" s="123"/>
    </row>
    <row r="20" spans="1:33" x14ac:dyDescent="0.2">
      <c r="A20" s="386"/>
      <c r="B20" s="355"/>
      <c r="C20" s="387" t="s">
        <v>60</v>
      </c>
      <c r="D20" s="355" t="s">
        <v>191</v>
      </c>
      <c r="E20" s="382"/>
      <c r="F20" s="383"/>
      <c r="G20" s="458" t="s">
        <v>525</v>
      </c>
      <c r="H20" s="18"/>
      <c r="I20" s="18"/>
      <c r="J20" s="78">
        <f>SUM(J21,J22,J23)</f>
        <v>0</v>
      </c>
      <c r="K20" s="78"/>
      <c r="L20" s="78">
        <f>SUM(L21,L22,L23)</f>
        <v>0</v>
      </c>
      <c r="M20" s="78"/>
      <c r="N20" s="78">
        <f>SUM(N21,N22,N23)</f>
        <v>0</v>
      </c>
      <c r="O20" s="78"/>
      <c r="P20" s="78">
        <f>SUM(P21,P22,P23)</f>
        <v>0</v>
      </c>
      <c r="Q20" s="78"/>
      <c r="R20" s="78">
        <f>SUM(R21,R22,R23)</f>
        <v>0</v>
      </c>
      <c r="S20" s="78"/>
      <c r="T20" s="78">
        <f>SUM(T21,T22,T23)</f>
        <v>0</v>
      </c>
      <c r="U20" s="78"/>
      <c r="V20" s="78">
        <f>SUM(V21,V22,V23)</f>
        <v>0</v>
      </c>
      <c r="W20" s="78"/>
      <c r="X20" s="78">
        <f>SUM(X21,X22,X23)</f>
        <v>0</v>
      </c>
      <c r="Y20" s="78"/>
      <c r="Z20" s="78">
        <f>SUM(Z21,Z22,Z23)</f>
        <v>0</v>
      </c>
      <c r="AA20" s="78"/>
      <c r="AB20" s="78">
        <f>SUM(AB21,AB22,AB23)</f>
        <v>0</v>
      </c>
      <c r="AC20" s="78"/>
      <c r="AD20" s="78">
        <f t="shared" si="0"/>
        <v>0</v>
      </c>
      <c r="AE20" s="122"/>
      <c r="AF20" s="123"/>
      <c r="AG20" s="123"/>
    </row>
    <row r="21" spans="1:33" x14ac:dyDescent="0.2">
      <c r="A21" s="384"/>
      <c r="B21" s="385"/>
      <c r="C21" s="390"/>
      <c r="D21" s="385" t="s">
        <v>561</v>
      </c>
      <c r="E21" s="385" t="s">
        <v>192</v>
      </c>
      <c r="F21" s="383"/>
      <c r="G21" s="458" t="s">
        <v>526</v>
      </c>
      <c r="H21" s="18"/>
      <c r="I21" s="18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  <c r="AD21" s="78">
        <f t="shared" si="0"/>
        <v>0</v>
      </c>
      <c r="AE21" s="122"/>
      <c r="AF21" s="123"/>
      <c r="AG21" s="123"/>
    </row>
    <row r="22" spans="1:33" x14ac:dyDescent="0.2">
      <c r="A22" s="386"/>
      <c r="B22" s="355"/>
      <c r="C22" s="355"/>
      <c r="D22" s="355" t="s">
        <v>562</v>
      </c>
      <c r="E22" s="382" t="s">
        <v>527</v>
      </c>
      <c r="F22" s="383"/>
      <c r="G22" s="458" t="s">
        <v>528</v>
      </c>
      <c r="H22" s="18"/>
      <c r="I22" s="18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61"/>
      <c r="AD22" s="78">
        <f t="shared" si="0"/>
        <v>0</v>
      </c>
      <c r="AE22" s="122"/>
      <c r="AF22" s="123"/>
      <c r="AG22" s="123"/>
    </row>
    <row r="23" spans="1:33" x14ac:dyDescent="0.2">
      <c r="A23" s="384"/>
      <c r="B23" s="385"/>
      <c r="C23" s="385"/>
      <c r="D23" s="385" t="s">
        <v>563</v>
      </c>
      <c r="E23" s="385" t="s">
        <v>194</v>
      </c>
      <c r="F23" s="383"/>
      <c r="G23" s="458" t="s">
        <v>529</v>
      </c>
      <c r="H23" s="18"/>
      <c r="I23" s="18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78">
        <f t="shared" si="0"/>
        <v>0</v>
      </c>
      <c r="AE23" s="122"/>
      <c r="AF23" s="123"/>
      <c r="AG23" s="123"/>
    </row>
    <row r="24" spans="1:33" x14ac:dyDescent="0.2">
      <c r="A24" s="386"/>
      <c r="B24" s="355" t="s">
        <v>195</v>
      </c>
      <c r="C24" s="355" t="s">
        <v>196</v>
      </c>
      <c r="D24" s="355"/>
      <c r="E24" s="382"/>
      <c r="F24" s="383"/>
      <c r="G24" s="458" t="s">
        <v>530</v>
      </c>
      <c r="H24" s="18"/>
      <c r="I24" s="18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78">
        <f t="shared" si="0"/>
        <v>0</v>
      </c>
      <c r="AE24" s="122"/>
      <c r="AF24" s="123"/>
      <c r="AG24" s="123"/>
    </row>
    <row r="25" spans="1:33" x14ac:dyDescent="0.2">
      <c r="A25" s="384"/>
      <c r="B25" s="385" t="s">
        <v>197</v>
      </c>
      <c r="C25" s="385" t="s">
        <v>198</v>
      </c>
      <c r="D25" s="385"/>
      <c r="E25" s="385"/>
      <c r="F25" s="383"/>
      <c r="G25" s="458" t="s">
        <v>531</v>
      </c>
      <c r="H25" s="18"/>
      <c r="I25" s="18"/>
      <c r="J25" s="78">
        <f>SUM(J26,J27)</f>
        <v>0</v>
      </c>
      <c r="K25" s="78"/>
      <c r="L25" s="78">
        <f>SUM(L26,L27)</f>
        <v>0</v>
      </c>
      <c r="M25" s="78"/>
      <c r="N25" s="78">
        <f>SUM(N26,N27)</f>
        <v>0</v>
      </c>
      <c r="O25" s="78"/>
      <c r="P25" s="78">
        <f>SUM(P26,P27)</f>
        <v>0</v>
      </c>
      <c r="Q25" s="78"/>
      <c r="R25" s="78">
        <f>SUM(R26,R27)</f>
        <v>0</v>
      </c>
      <c r="S25" s="78"/>
      <c r="T25" s="78">
        <f>SUM(T26,T27)</f>
        <v>0</v>
      </c>
      <c r="U25" s="78"/>
      <c r="V25" s="78">
        <f>SUM(V26,V27)</f>
        <v>0</v>
      </c>
      <c r="W25" s="78"/>
      <c r="X25" s="78">
        <f>SUM(X26,X27)</f>
        <v>0</v>
      </c>
      <c r="Y25" s="78"/>
      <c r="Z25" s="78">
        <f>SUM(Z26,Z27)</f>
        <v>0</v>
      </c>
      <c r="AA25" s="78"/>
      <c r="AB25" s="78">
        <f>SUM(AB26,AB27)</f>
        <v>0</v>
      </c>
      <c r="AC25" s="78"/>
      <c r="AD25" s="78">
        <f t="shared" si="0"/>
        <v>0</v>
      </c>
      <c r="AE25" s="122"/>
      <c r="AF25" s="123"/>
      <c r="AG25" s="123"/>
    </row>
    <row r="26" spans="1:33" x14ac:dyDescent="0.2">
      <c r="A26" s="386"/>
      <c r="B26" s="355"/>
      <c r="C26" s="387" t="s">
        <v>19</v>
      </c>
      <c r="D26" s="355" t="s">
        <v>199</v>
      </c>
      <c r="E26" s="382"/>
      <c r="F26" s="383"/>
      <c r="G26" s="458" t="s">
        <v>532</v>
      </c>
      <c r="H26" s="18"/>
      <c r="I26" s="18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78">
        <f t="shared" si="0"/>
        <v>0</v>
      </c>
      <c r="AE26" s="122"/>
      <c r="AF26" s="123"/>
      <c r="AG26" s="123"/>
    </row>
    <row r="27" spans="1:33" x14ac:dyDescent="0.2">
      <c r="A27" s="384"/>
      <c r="B27" s="385"/>
      <c r="C27" s="390" t="s">
        <v>21</v>
      </c>
      <c r="D27" s="391" t="s">
        <v>200</v>
      </c>
      <c r="E27" s="385"/>
      <c r="F27" s="383"/>
      <c r="G27" s="458" t="s">
        <v>533</v>
      </c>
      <c r="H27" s="18"/>
      <c r="I27" s="18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78">
        <f t="shared" si="0"/>
        <v>0</v>
      </c>
      <c r="AE27" s="122"/>
      <c r="AF27" s="123"/>
      <c r="AG27" s="123"/>
    </row>
    <row r="28" spans="1:33" x14ac:dyDescent="0.2">
      <c r="A28" s="386"/>
      <c r="B28" s="355" t="s">
        <v>201</v>
      </c>
      <c r="C28" s="355" t="s">
        <v>202</v>
      </c>
      <c r="D28" s="355"/>
      <c r="E28" s="382"/>
      <c r="F28" s="383"/>
      <c r="G28" s="458" t="s">
        <v>534</v>
      </c>
      <c r="H28" s="18"/>
      <c r="I28" s="18"/>
      <c r="J28" s="78">
        <f>SUM(J29,J32)</f>
        <v>0</v>
      </c>
      <c r="K28" s="78"/>
      <c r="L28" s="78">
        <f>SUM(L29,L32)</f>
        <v>0</v>
      </c>
      <c r="M28" s="78"/>
      <c r="N28" s="78">
        <f>SUM(N29,N32)</f>
        <v>0</v>
      </c>
      <c r="O28" s="78"/>
      <c r="P28" s="78">
        <f>SUM(P29,P32)</f>
        <v>0</v>
      </c>
      <c r="Q28" s="78"/>
      <c r="R28" s="78">
        <f>SUM(R29,R32)</f>
        <v>0</v>
      </c>
      <c r="S28" s="78"/>
      <c r="T28" s="78">
        <f>SUM(T29,T32)</f>
        <v>0</v>
      </c>
      <c r="U28" s="78"/>
      <c r="V28" s="78">
        <f>SUM(V29,V32)</f>
        <v>0</v>
      </c>
      <c r="W28" s="78"/>
      <c r="X28" s="78">
        <f>SUM(X29,X32)</f>
        <v>0</v>
      </c>
      <c r="Y28" s="78"/>
      <c r="Z28" s="78">
        <f>SUM(Z29,Z32)</f>
        <v>0</v>
      </c>
      <c r="AA28" s="78"/>
      <c r="AB28" s="78">
        <f>SUM(AB29,AB32)</f>
        <v>0</v>
      </c>
      <c r="AC28" s="78"/>
      <c r="AD28" s="78">
        <f t="shared" si="0"/>
        <v>0</v>
      </c>
      <c r="AE28" s="122"/>
      <c r="AF28" s="123"/>
      <c r="AG28" s="123"/>
    </row>
    <row r="29" spans="1:33" x14ac:dyDescent="0.2">
      <c r="A29" s="386"/>
      <c r="B29" s="355"/>
      <c r="C29" s="387" t="s">
        <v>19</v>
      </c>
      <c r="D29" s="355" t="s">
        <v>327</v>
      </c>
      <c r="E29" s="385"/>
      <c r="F29" s="383"/>
      <c r="G29" s="458" t="s">
        <v>535</v>
      </c>
      <c r="H29" s="18"/>
      <c r="I29" s="18"/>
      <c r="J29" s="78">
        <f>J30+J31</f>
        <v>0</v>
      </c>
      <c r="K29" s="78">
        <f t="shared" ref="K29:AB29" si="3">K30+K31</f>
        <v>0</v>
      </c>
      <c r="L29" s="78">
        <f t="shared" si="3"/>
        <v>0</v>
      </c>
      <c r="M29" s="78">
        <f t="shared" si="3"/>
        <v>0</v>
      </c>
      <c r="N29" s="78">
        <f t="shared" si="3"/>
        <v>0</v>
      </c>
      <c r="O29" s="78">
        <f t="shared" si="3"/>
        <v>0</v>
      </c>
      <c r="P29" s="78">
        <f t="shared" si="3"/>
        <v>0</v>
      </c>
      <c r="Q29" s="78">
        <f t="shared" si="3"/>
        <v>0</v>
      </c>
      <c r="R29" s="78">
        <f t="shared" si="3"/>
        <v>0</v>
      </c>
      <c r="S29" s="78">
        <f t="shared" si="3"/>
        <v>0</v>
      </c>
      <c r="T29" s="78">
        <f t="shared" si="3"/>
        <v>0</v>
      </c>
      <c r="U29" s="78">
        <f t="shared" si="3"/>
        <v>0</v>
      </c>
      <c r="V29" s="78">
        <f t="shared" si="3"/>
        <v>0</v>
      </c>
      <c r="W29" s="78">
        <f t="shared" si="3"/>
        <v>0</v>
      </c>
      <c r="X29" s="78">
        <f t="shared" si="3"/>
        <v>0</v>
      </c>
      <c r="Y29" s="78">
        <f t="shared" si="3"/>
        <v>0</v>
      </c>
      <c r="Z29" s="78">
        <f t="shared" si="3"/>
        <v>0</v>
      </c>
      <c r="AA29" s="78">
        <f t="shared" si="3"/>
        <v>0</v>
      </c>
      <c r="AB29" s="78">
        <f t="shared" si="3"/>
        <v>0</v>
      </c>
      <c r="AC29" s="357"/>
      <c r="AD29" s="78">
        <f t="shared" si="0"/>
        <v>0</v>
      </c>
      <c r="AE29" s="122"/>
      <c r="AF29" s="123"/>
      <c r="AG29" s="123"/>
    </row>
    <row r="30" spans="1:33" x14ac:dyDescent="0.2">
      <c r="A30" s="386"/>
      <c r="B30" s="355"/>
      <c r="C30" s="387"/>
      <c r="D30" s="355" t="s">
        <v>11</v>
      </c>
      <c r="E30" s="355" t="s">
        <v>792</v>
      </c>
      <c r="F30" s="382"/>
      <c r="G30" s="458" t="s">
        <v>820</v>
      </c>
      <c r="H30" s="18"/>
      <c r="I30" s="18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78">
        <f t="shared" si="0"/>
        <v>0</v>
      </c>
      <c r="AE30" s="122"/>
      <c r="AF30" s="123"/>
      <c r="AG30" s="123"/>
    </row>
    <row r="31" spans="1:33" x14ac:dyDescent="0.2">
      <c r="A31" s="384"/>
      <c r="B31" s="385"/>
      <c r="C31" s="390"/>
      <c r="D31" s="392" t="s">
        <v>15</v>
      </c>
      <c r="E31" s="392" t="s">
        <v>793</v>
      </c>
      <c r="F31" s="382"/>
      <c r="G31" s="458" t="s">
        <v>821</v>
      </c>
      <c r="H31" s="18"/>
      <c r="I31" s="18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78">
        <f t="shared" si="0"/>
        <v>0</v>
      </c>
      <c r="AE31" s="122"/>
      <c r="AF31" s="123"/>
      <c r="AG31" s="123"/>
    </row>
    <row r="32" spans="1:33" x14ac:dyDescent="0.2">
      <c r="A32" s="386"/>
      <c r="B32" s="355"/>
      <c r="C32" s="387" t="s">
        <v>21</v>
      </c>
      <c r="D32" s="355" t="s">
        <v>194</v>
      </c>
      <c r="E32" s="382"/>
      <c r="F32" s="383"/>
      <c r="G32" s="458" t="s">
        <v>536</v>
      </c>
      <c r="H32" s="18"/>
      <c r="I32" s="18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78">
        <f t="shared" si="0"/>
        <v>0</v>
      </c>
      <c r="AE32" s="122"/>
      <c r="AF32" s="123"/>
      <c r="AG32" s="123"/>
    </row>
    <row r="33" spans="1:255" x14ac:dyDescent="0.2">
      <c r="A33" s="393" t="s">
        <v>33</v>
      </c>
      <c r="B33" s="394" t="s">
        <v>204</v>
      </c>
      <c r="C33" s="385"/>
      <c r="D33" s="385"/>
      <c r="E33" s="385"/>
      <c r="F33" s="383"/>
      <c r="G33" s="458" t="s">
        <v>537</v>
      </c>
      <c r="H33" s="18"/>
      <c r="I33" s="18"/>
      <c r="J33" s="60"/>
      <c r="K33" s="60"/>
      <c r="L33" s="60"/>
      <c r="M33" s="60"/>
      <c r="N33" s="60"/>
      <c r="O33" s="60"/>
      <c r="P33" s="60"/>
      <c r="Q33" s="60"/>
      <c r="R33" s="60"/>
      <c r="S33" s="60"/>
      <c r="T33" s="60"/>
      <c r="U33" s="60"/>
      <c r="V33" s="60"/>
      <c r="W33" s="60"/>
      <c r="X33" s="60"/>
      <c r="Y33" s="60"/>
      <c r="Z33" s="60"/>
      <c r="AA33" s="60"/>
      <c r="AB33" s="60"/>
      <c r="AC33" s="60"/>
      <c r="AD33" s="295"/>
      <c r="AE33" s="122"/>
      <c r="AF33" s="123"/>
      <c r="AG33" s="123"/>
    </row>
    <row r="34" spans="1:255" x14ac:dyDescent="0.2">
      <c r="A34" s="386"/>
      <c r="B34" s="355" t="s">
        <v>188</v>
      </c>
      <c r="C34" s="355" t="s">
        <v>205</v>
      </c>
      <c r="D34" s="355"/>
      <c r="E34" s="382"/>
      <c r="F34" s="383"/>
      <c r="G34" s="458" t="s">
        <v>538</v>
      </c>
      <c r="H34" s="18"/>
      <c r="I34" s="18"/>
      <c r="J34" s="60"/>
      <c r="K34" s="60"/>
      <c r="L34" s="60"/>
      <c r="M34" s="60"/>
      <c r="N34" s="60"/>
      <c r="O34" s="60"/>
      <c r="P34" s="60"/>
      <c r="Q34" s="60"/>
      <c r="R34" s="60"/>
      <c r="S34" s="60"/>
      <c r="T34" s="60"/>
      <c r="U34" s="60"/>
      <c r="V34" s="60"/>
      <c r="W34" s="60"/>
      <c r="X34" s="60"/>
      <c r="Y34" s="60"/>
      <c r="Z34" s="60"/>
      <c r="AA34" s="60"/>
      <c r="AB34" s="60"/>
      <c r="AC34" s="60"/>
      <c r="AD34" s="295"/>
      <c r="AE34" s="122"/>
      <c r="AF34" s="123"/>
      <c r="AG34" s="123"/>
    </row>
    <row r="35" spans="1:255" x14ac:dyDescent="0.2">
      <c r="A35" s="384"/>
      <c r="B35" s="385" t="s">
        <v>195</v>
      </c>
      <c r="C35" s="385" t="s">
        <v>306</v>
      </c>
      <c r="D35" s="385"/>
      <c r="E35" s="385"/>
      <c r="F35" s="383"/>
      <c r="G35" s="458" t="s">
        <v>539</v>
      </c>
      <c r="H35" s="18"/>
      <c r="I35" s="18"/>
      <c r="J35" s="60"/>
      <c r="K35" s="60"/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  <c r="W35" s="60"/>
      <c r="X35" s="60"/>
      <c r="Y35" s="60"/>
      <c r="Z35" s="60"/>
      <c r="AA35" s="60"/>
      <c r="AB35" s="60"/>
      <c r="AC35" s="60"/>
      <c r="AD35" s="295"/>
      <c r="AE35" s="122"/>
      <c r="AF35" s="123"/>
      <c r="AG35" s="123"/>
    </row>
    <row r="36" spans="1:255" x14ac:dyDescent="0.2">
      <c r="A36" s="386"/>
      <c r="B36" s="355" t="s">
        <v>197</v>
      </c>
      <c r="C36" s="355" t="s">
        <v>198</v>
      </c>
      <c r="D36" s="355"/>
      <c r="E36" s="382"/>
      <c r="F36" s="383"/>
      <c r="G36" s="458" t="s">
        <v>540</v>
      </c>
      <c r="H36" s="18"/>
      <c r="I36" s="18"/>
      <c r="J36" s="60"/>
      <c r="K36" s="60"/>
      <c r="L36" s="60"/>
      <c r="M36" s="60"/>
      <c r="N36" s="60"/>
      <c r="O36" s="60"/>
      <c r="P36" s="60"/>
      <c r="Q36" s="60"/>
      <c r="R36" s="60"/>
      <c r="S36" s="60"/>
      <c r="T36" s="60"/>
      <c r="U36" s="60"/>
      <c r="V36" s="60"/>
      <c r="W36" s="60"/>
      <c r="X36" s="60"/>
      <c r="Y36" s="60"/>
      <c r="Z36" s="60"/>
      <c r="AA36" s="60"/>
      <c r="AB36" s="60"/>
      <c r="AC36" s="60"/>
      <c r="AD36" s="295"/>
      <c r="AE36" s="122"/>
      <c r="AF36" s="123"/>
      <c r="AG36" s="123"/>
    </row>
    <row r="37" spans="1:255" x14ac:dyDescent="0.2">
      <c r="A37" s="384"/>
      <c r="B37" s="385"/>
      <c r="C37" s="390" t="s">
        <v>19</v>
      </c>
      <c r="D37" s="385" t="s">
        <v>207</v>
      </c>
      <c r="E37" s="385"/>
      <c r="F37" s="383"/>
      <c r="G37" s="458" t="s">
        <v>541</v>
      </c>
      <c r="H37" s="18"/>
      <c r="I37" s="18"/>
      <c r="J37" s="60"/>
      <c r="K37" s="60"/>
      <c r="L37" s="60"/>
      <c r="M37" s="60"/>
      <c r="N37" s="60"/>
      <c r="O37" s="60"/>
      <c r="P37" s="60"/>
      <c r="Q37" s="60"/>
      <c r="R37" s="60"/>
      <c r="S37" s="60"/>
      <c r="T37" s="60"/>
      <c r="U37" s="60"/>
      <c r="V37" s="60"/>
      <c r="W37" s="60"/>
      <c r="X37" s="60"/>
      <c r="Y37" s="60"/>
      <c r="Z37" s="60"/>
      <c r="AA37" s="60"/>
      <c r="AB37" s="60"/>
      <c r="AC37" s="60"/>
      <c r="AD37" s="295"/>
      <c r="AE37" s="122"/>
      <c r="AF37" s="123"/>
      <c r="AG37" s="123"/>
    </row>
    <row r="38" spans="1:255" x14ac:dyDescent="0.2">
      <c r="A38" s="386"/>
      <c r="B38" s="355"/>
      <c r="C38" s="387" t="s">
        <v>21</v>
      </c>
      <c r="D38" s="395" t="s">
        <v>200</v>
      </c>
      <c r="E38" s="382"/>
      <c r="F38" s="383"/>
      <c r="G38" s="458" t="s">
        <v>542</v>
      </c>
      <c r="H38" s="18"/>
      <c r="I38" s="18"/>
      <c r="J38" s="60"/>
      <c r="K38" s="60"/>
      <c r="L38" s="60"/>
      <c r="M38" s="60"/>
      <c r="N38" s="60"/>
      <c r="O38" s="60"/>
      <c r="P38" s="60"/>
      <c r="Q38" s="60"/>
      <c r="R38" s="60"/>
      <c r="S38" s="60"/>
      <c r="T38" s="60"/>
      <c r="U38" s="60"/>
      <c r="V38" s="60"/>
      <c r="W38" s="60"/>
      <c r="X38" s="60"/>
      <c r="Y38" s="60"/>
      <c r="Z38" s="60"/>
      <c r="AA38" s="60"/>
      <c r="AB38" s="60"/>
      <c r="AC38" s="60"/>
      <c r="AD38" s="295"/>
      <c r="AE38" s="122"/>
      <c r="AF38" s="123"/>
      <c r="AG38" s="123"/>
    </row>
    <row r="39" spans="1:255" s="16" customFormat="1" x14ac:dyDescent="0.2">
      <c r="A39" s="384"/>
      <c r="B39" s="385" t="s">
        <v>201</v>
      </c>
      <c r="C39" s="385" t="s">
        <v>208</v>
      </c>
      <c r="D39" s="385"/>
      <c r="E39" s="385"/>
      <c r="F39" s="383"/>
      <c r="G39" s="458" t="s">
        <v>543</v>
      </c>
      <c r="H39" s="18"/>
      <c r="I39" s="18"/>
      <c r="J39" s="60"/>
      <c r="K39" s="60"/>
      <c r="L39" s="60"/>
      <c r="M39" s="60"/>
      <c r="N39" s="60"/>
      <c r="O39" s="60"/>
      <c r="P39" s="60"/>
      <c r="Q39" s="60"/>
      <c r="R39" s="60"/>
      <c r="S39" s="60"/>
      <c r="T39" s="60"/>
      <c r="U39" s="60"/>
      <c r="V39" s="60"/>
      <c r="W39" s="60"/>
      <c r="X39" s="60"/>
      <c r="Y39" s="60"/>
      <c r="Z39" s="60"/>
      <c r="AA39" s="60"/>
      <c r="AB39" s="60"/>
      <c r="AC39" s="60"/>
      <c r="AD39" s="295"/>
      <c r="AE39" s="34"/>
      <c r="AF39" s="132"/>
      <c r="AG39" s="132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</row>
    <row r="40" spans="1:255" s="21" customFormat="1" x14ac:dyDescent="0.2">
      <c r="A40" s="397" t="s">
        <v>48</v>
      </c>
      <c r="B40" s="381" t="s">
        <v>209</v>
      </c>
      <c r="C40" s="395"/>
      <c r="D40" s="355"/>
      <c r="E40" s="382"/>
      <c r="F40" s="383"/>
      <c r="G40" s="458" t="s">
        <v>544</v>
      </c>
      <c r="H40" s="18"/>
      <c r="I40" s="18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62"/>
      <c r="Y40" s="62"/>
      <c r="Z40" s="62"/>
      <c r="AA40" s="62"/>
      <c r="AB40" s="62"/>
      <c r="AC40" s="74"/>
      <c r="AD40" s="78">
        <f t="shared" ref="AD40:AD51" si="4">(J40+L40+N40+P40+R40+T40+V40) - (X40+Z40)</f>
        <v>0</v>
      </c>
      <c r="AE40" s="34"/>
      <c r="AF40" s="132"/>
      <c r="AG40" s="132"/>
    </row>
    <row r="41" spans="1:255" s="21" customFormat="1" x14ac:dyDescent="0.2">
      <c r="A41" s="398" t="s">
        <v>211</v>
      </c>
      <c r="B41" s="385"/>
      <c r="C41" s="391"/>
      <c r="D41" s="385"/>
      <c r="E41" s="401"/>
      <c r="F41" s="399"/>
      <c r="G41" s="458" t="s">
        <v>545</v>
      </c>
      <c r="H41" s="18"/>
      <c r="I41" s="18"/>
      <c r="J41" s="77">
        <f>SUM(J42,J52)</f>
        <v>0</v>
      </c>
      <c r="K41" s="77"/>
      <c r="L41" s="295"/>
      <c r="M41" s="295"/>
      <c r="N41" s="295"/>
      <c r="O41" s="295"/>
      <c r="P41" s="295"/>
      <c r="Q41" s="295"/>
      <c r="R41" s="295"/>
      <c r="S41" s="295"/>
      <c r="T41" s="295"/>
      <c r="U41" s="77"/>
      <c r="V41" s="77">
        <f>SUM(V42,V52)</f>
        <v>0</v>
      </c>
      <c r="W41" s="77"/>
      <c r="X41" s="77">
        <f>SUM(X42,X52)</f>
        <v>0</v>
      </c>
      <c r="Y41" s="77"/>
      <c r="Z41" s="77">
        <f>SUM(Z42,Z52)</f>
        <v>0</v>
      </c>
      <c r="AA41" s="77"/>
      <c r="AB41" s="77">
        <f>SUM(AB42,AB52)</f>
        <v>0</v>
      </c>
      <c r="AC41" s="77"/>
      <c r="AD41" s="78">
        <f t="shared" si="4"/>
        <v>0</v>
      </c>
      <c r="AE41" s="34"/>
      <c r="AF41" s="132"/>
      <c r="AG41" s="132"/>
    </row>
    <row r="42" spans="1:255" s="21" customFormat="1" x14ac:dyDescent="0.2">
      <c r="A42" s="380" t="s">
        <v>186</v>
      </c>
      <c r="B42" s="381" t="s">
        <v>187</v>
      </c>
      <c r="C42" s="395"/>
      <c r="D42" s="355"/>
      <c r="E42" s="403"/>
      <c r="F42" s="400"/>
      <c r="G42" s="458" t="s">
        <v>546</v>
      </c>
      <c r="H42" s="18"/>
      <c r="I42" s="18"/>
      <c r="J42" s="77">
        <f>SUM(J43,J46,J49)</f>
        <v>0</v>
      </c>
      <c r="K42" s="77"/>
      <c r="L42" s="295"/>
      <c r="M42" s="295"/>
      <c r="N42" s="295"/>
      <c r="O42" s="295"/>
      <c r="P42" s="295"/>
      <c r="Q42" s="295"/>
      <c r="R42" s="295"/>
      <c r="S42" s="295"/>
      <c r="T42" s="295"/>
      <c r="U42" s="295"/>
      <c r="V42" s="77">
        <f>SUM(V43,V46,V49)</f>
        <v>0</v>
      </c>
      <c r="W42" s="77"/>
      <c r="X42" s="77">
        <f>SUM(X43,X46,X49)</f>
        <v>0</v>
      </c>
      <c r="Y42" s="77"/>
      <c r="Z42" s="77">
        <f>SUM(Z43,Z46,Z49)</f>
        <v>0</v>
      </c>
      <c r="AA42" s="77"/>
      <c r="AB42" s="77">
        <f>SUM(AB43,AB46,AB49)</f>
        <v>0</v>
      </c>
      <c r="AC42" s="77"/>
      <c r="AD42" s="78">
        <f t="shared" si="4"/>
        <v>0</v>
      </c>
      <c r="AE42" s="34"/>
      <c r="AF42" s="132"/>
      <c r="AG42" s="132"/>
    </row>
    <row r="43" spans="1:255" s="21" customFormat="1" x14ac:dyDescent="0.2">
      <c r="A43" s="393"/>
      <c r="B43" s="385" t="s">
        <v>188</v>
      </c>
      <c r="C43" s="599" t="s">
        <v>212</v>
      </c>
      <c r="D43" s="599"/>
      <c r="E43" s="401"/>
      <c r="F43" s="399"/>
      <c r="G43" s="458" t="s">
        <v>547</v>
      </c>
      <c r="H43" s="18"/>
      <c r="I43" s="18"/>
      <c r="J43" s="77">
        <f>SUM(J44,J45)</f>
        <v>0</v>
      </c>
      <c r="K43" s="77"/>
      <c r="L43" s="295"/>
      <c r="M43" s="295"/>
      <c r="N43" s="295"/>
      <c r="O43" s="295"/>
      <c r="P43" s="295"/>
      <c r="Q43" s="295"/>
      <c r="R43" s="295"/>
      <c r="S43" s="295"/>
      <c r="T43" s="295"/>
      <c r="U43" s="295"/>
      <c r="V43" s="77">
        <f>SUM(V44,V45)</f>
        <v>0</v>
      </c>
      <c r="W43" s="77"/>
      <c r="X43" s="77">
        <f>SUM(X44,X45)</f>
        <v>0</v>
      </c>
      <c r="Y43" s="77"/>
      <c r="Z43" s="77">
        <f>SUM(Z44,Z45)</f>
        <v>0</v>
      </c>
      <c r="AA43" s="77"/>
      <c r="AB43" s="77">
        <f>SUM(AB44,AB45)</f>
        <v>0</v>
      </c>
      <c r="AC43" s="77"/>
      <c r="AD43" s="78">
        <f t="shared" si="4"/>
        <v>0</v>
      </c>
      <c r="AE43" s="34"/>
      <c r="AF43" s="132"/>
      <c r="AG43" s="132"/>
    </row>
    <row r="44" spans="1:255" s="21" customFormat="1" x14ac:dyDescent="0.2">
      <c r="A44" s="380"/>
      <c r="B44" s="355"/>
      <c r="C44" s="402" t="s">
        <v>19</v>
      </c>
      <c r="D44" s="578" t="s">
        <v>213</v>
      </c>
      <c r="E44" s="578"/>
      <c r="F44" s="579"/>
      <c r="G44" s="458" t="s">
        <v>548</v>
      </c>
      <c r="H44" s="18"/>
      <c r="I44" s="18"/>
      <c r="J44" s="62"/>
      <c r="K44" s="62"/>
      <c r="L44" s="60"/>
      <c r="M44" s="60"/>
      <c r="N44" s="60"/>
      <c r="O44" s="60"/>
      <c r="P44" s="60"/>
      <c r="Q44" s="60"/>
      <c r="R44" s="60"/>
      <c r="S44" s="60"/>
      <c r="T44" s="60"/>
      <c r="U44" s="60"/>
      <c r="V44" s="62"/>
      <c r="W44" s="62"/>
      <c r="X44" s="62"/>
      <c r="Y44" s="62"/>
      <c r="Z44" s="62"/>
      <c r="AA44" s="62"/>
      <c r="AB44" s="62"/>
      <c r="AC44" s="62"/>
      <c r="AD44" s="78">
        <f t="shared" si="4"/>
        <v>0</v>
      </c>
      <c r="AE44" s="34"/>
      <c r="AF44" s="132"/>
      <c r="AG44" s="132"/>
    </row>
    <row r="45" spans="1:255" s="21" customFormat="1" x14ac:dyDescent="0.2">
      <c r="A45" s="393"/>
      <c r="B45" s="385"/>
      <c r="C45" s="404" t="s">
        <v>21</v>
      </c>
      <c r="D45" s="590" t="s">
        <v>194</v>
      </c>
      <c r="E45" s="590"/>
      <c r="F45" s="591"/>
      <c r="G45" s="458" t="s">
        <v>549</v>
      </c>
      <c r="H45" s="18"/>
      <c r="I45" s="18"/>
      <c r="J45" s="62"/>
      <c r="K45" s="62"/>
      <c r="L45" s="60"/>
      <c r="M45" s="60"/>
      <c r="N45" s="60"/>
      <c r="O45" s="60"/>
      <c r="P45" s="60"/>
      <c r="Q45" s="60"/>
      <c r="R45" s="60"/>
      <c r="S45" s="60"/>
      <c r="T45" s="60"/>
      <c r="U45" s="60"/>
      <c r="V45" s="62"/>
      <c r="W45" s="62"/>
      <c r="X45" s="62"/>
      <c r="Y45" s="62"/>
      <c r="Z45" s="62"/>
      <c r="AA45" s="62"/>
      <c r="AB45" s="62"/>
      <c r="AC45" s="62"/>
      <c r="AD45" s="78">
        <f t="shared" si="4"/>
        <v>0</v>
      </c>
      <c r="AE45" s="34"/>
      <c r="AF45" s="132"/>
      <c r="AG45" s="132"/>
    </row>
    <row r="46" spans="1:255" s="21" customFormat="1" x14ac:dyDescent="0.2">
      <c r="A46" s="380"/>
      <c r="B46" s="355" t="s">
        <v>195</v>
      </c>
      <c r="C46" s="395" t="s">
        <v>198</v>
      </c>
      <c r="D46" s="355"/>
      <c r="E46" s="382"/>
      <c r="F46" s="383"/>
      <c r="G46" s="458" t="s">
        <v>550</v>
      </c>
      <c r="H46" s="18"/>
      <c r="I46" s="18"/>
      <c r="J46" s="77">
        <f>SUM(J47,J48)</f>
        <v>0</v>
      </c>
      <c r="K46" s="77"/>
      <c r="L46" s="295"/>
      <c r="M46" s="295"/>
      <c r="N46" s="295"/>
      <c r="O46" s="295"/>
      <c r="P46" s="295"/>
      <c r="Q46" s="295"/>
      <c r="R46" s="295"/>
      <c r="S46" s="295"/>
      <c r="T46" s="295"/>
      <c r="U46" s="295"/>
      <c r="V46" s="77">
        <f>SUM(V47,V48)</f>
        <v>0</v>
      </c>
      <c r="W46" s="77"/>
      <c r="X46" s="77">
        <f>SUM(X47,X48)</f>
        <v>0</v>
      </c>
      <c r="Y46" s="77"/>
      <c r="Z46" s="77">
        <f>SUM(Z47,Z48)</f>
        <v>0</v>
      </c>
      <c r="AA46" s="77"/>
      <c r="AB46" s="77">
        <f>SUM(AB47,AB48)</f>
        <v>0</v>
      </c>
      <c r="AC46" s="77"/>
      <c r="AD46" s="78">
        <f t="shared" si="4"/>
        <v>0</v>
      </c>
      <c r="AE46" s="34"/>
      <c r="AF46" s="132"/>
      <c r="AG46" s="132"/>
    </row>
    <row r="47" spans="1:255" s="21" customFormat="1" x14ac:dyDescent="0.2">
      <c r="A47" s="393"/>
      <c r="B47" s="385"/>
      <c r="C47" s="390" t="s">
        <v>19</v>
      </c>
      <c r="D47" s="385" t="s">
        <v>199</v>
      </c>
      <c r="E47" s="385"/>
      <c r="F47" s="383"/>
      <c r="G47" s="458" t="s">
        <v>551</v>
      </c>
      <c r="H47" s="18"/>
      <c r="I47" s="18"/>
      <c r="J47" s="62"/>
      <c r="K47" s="62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2"/>
      <c r="W47" s="62"/>
      <c r="X47" s="62"/>
      <c r="Y47" s="62"/>
      <c r="Z47" s="62"/>
      <c r="AA47" s="62"/>
      <c r="AB47" s="62"/>
      <c r="AC47" s="62"/>
      <c r="AD47" s="78">
        <f t="shared" si="4"/>
        <v>0</v>
      </c>
      <c r="AE47" s="34"/>
      <c r="AF47" s="132"/>
      <c r="AG47" s="132"/>
    </row>
    <row r="48" spans="1:255" s="21" customFormat="1" x14ac:dyDescent="0.2">
      <c r="A48" s="380"/>
      <c r="B48" s="355"/>
      <c r="C48" s="405" t="s">
        <v>21</v>
      </c>
      <c r="D48" s="355" t="s">
        <v>200</v>
      </c>
      <c r="E48" s="382"/>
      <c r="F48" s="383"/>
      <c r="G48" s="458" t="s">
        <v>552</v>
      </c>
      <c r="H48" s="18"/>
      <c r="I48" s="18"/>
      <c r="J48" s="62"/>
      <c r="K48" s="62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2"/>
      <c r="W48" s="62"/>
      <c r="X48" s="62"/>
      <c r="Y48" s="62"/>
      <c r="Z48" s="62"/>
      <c r="AA48" s="62"/>
      <c r="AB48" s="62"/>
      <c r="AC48" s="62"/>
      <c r="AD48" s="78">
        <f t="shared" si="4"/>
        <v>0</v>
      </c>
      <c r="AE48" s="34"/>
      <c r="AF48" s="132"/>
      <c r="AG48" s="132"/>
    </row>
    <row r="49" spans="1:33" s="21" customFormat="1" x14ac:dyDescent="0.2">
      <c r="A49" s="393"/>
      <c r="B49" s="385" t="s">
        <v>197</v>
      </c>
      <c r="C49" s="391" t="s">
        <v>202</v>
      </c>
      <c r="D49" s="385"/>
      <c r="E49" s="385"/>
      <c r="F49" s="383"/>
      <c r="G49" s="458" t="s">
        <v>553</v>
      </c>
      <c r="H49" s="18"/>
      <c r="I49" s="18"/>
      <c r="J49" s="77">
        <f>SUM(J50,J51)</f>
        <v>0</v>
      </c>
      <c r="K49" s="77"/>
      <c r="L49" s="295"/>
      <c r="M49" s="295"/>
      <c r="N49" s="295"/>
      <c r="O49" s="295"/>
      <c r="P49" s="295"/>
      <c r="Q49" s="295"/>
      <c r="R49" s="295"/>
      <c r="S49" s="295"/>
      <c r="T49" s="295"/>
      <c r="U49" s="295"/>
      <c r="V49" s="77">
        <f>SUM(V50,V51)</f>
        <v>0</v>
      </c>
      <c r="W49" s="77"/>
      <c r="X49" s="77">
        <f>SUM(X50,X51)</f>
        <v>0</v>
      </c>
      <c r="Y49" s="77"/>
      <c r="Z49" s="77">
        <f>SUM(Z50,Z51)</f>
        <v>0</v>
      </c>
      <c r="AA49" s="77"/>
      <c r="AB49" s="77">
        <f>SUM(AB50,AB51)</f>
        <v>0</v>
      </c>
      <c r="AC49" s="77"/>
      <c r="AD49" s="78">
        <f t="shared" si="4"/>
        <v>0</v>
      </c>
      <c r="AE49" s="34"/>
      <c r="AF49" s="132"/>
      <c r="AG49" s="132"/>
    </row>
    <row r="50" spans="1:33" s="21" customFormat="1" x14ac:dyDescent="0.2">
      <c r="A50" s="380"/>
      <c r="B50" s="355"/>
      <c r="C50" s="402" t="s">
        <v>19</v>
      </c>
      <c r="D50" s="578" t="s">
        <v>203</v>
      </c>
      <c r="E50" s="579"/>
      <c r="F50" s="399"/>
      <c r="G50" s="458" t="s">
        <v>554</v>
      </c>
      <c r="H50" s="18"/>
      <c r="I50" s="18"/>
      <c r="J50" s="62"/>
      <c r="K50" s="62"/>
      <c r="L50" s="60"/>
      <c r="M50" s="60"/>
      <c r="N50" s="60"/>
      <c r="O50" s="60"/>
      <c r="P50" s="60"/>
      <c r="Q50" s="60"/>
      <c r="R50" s="60"/>
      <c r="S50" s="60"/>
      <c r="T50" s="60"/>
      <c r="U50" s="60"/>
      <c r="V50" s="62"/>
      <c r="W50" s="62"/>
      <c r="X50" s="62"/>
      <c r="Y50" s="62"/>
      <c r="Z50" s="62"/>
      <c r="AA50" s="62"/>
      <c r="AB50" s="62"/>
      <c r="AC50" s="62"/>
      <c r="AD50" s="78">
        <f t="shared" si="4"/>
        <v>0</v>
      </c>
      <c r="AE50" s="34"/>
      <c r="AF50" s="132"/>
      <c r="AG50" s="132"/>
    </row>
    <row r="51" spans="1:33" s="21" customFormat="1" x14ac:dyDescent="0.2">
      <c r="A51" s="393"/>
      <c r="B51" s="385"/>
      <c r="C51" s="404" t="s">
        <v>21</v>
      </c>
      <c r="D51" s="590" t="s">
        <v>194</v>
      </c>
      <c r="E51" s="590"/>
      <c r="F51" s="591"/>
      <c r="G51" s="458" t="s">
        <v>555</v>
      </c>
      <c r="H51" s="18"/>
      <c r="I51" s="18"/>
      <c r="J51" s="62"/>
      <c r="K51" s="62"/>
      <c r="L51" s="60"/>
      <c r="M51" s="60"/>
      <c r="N51" s="60"/>
      <c r="O51" s="60"/>
      <c r="P51" s="60"/>
      <c r="Q51" s="60"/>
      <c r="R51" s="60"/>
      <c r="S51" s="60"/>
      <c r="T51" s="60"/>
      <c r="U51" s="60"/>
      <c r="V51" s="62"/>
      <c r="W51" s="62"/>
      <c r="X51" s="62"/>
      <c r="Y51" s="62"/>
      <c r="Z51" s="62"/>
      <c r="AA51" s="62"/>
      <c r="AB51" s="62"/>
      <c r="AC51" s="62"/>
      <c r="AD51" s="78">
        <f t="shared" si="4"/>
        <v>0</v>
      </c>
      <c r="AE51" s="34"/>
      <c r="AF51" s="132"/>
      <c r="AG51" s="132"/>
    </row>
    <row r="52" spans="1:33" s="21" customFormat="1" x14ac:dyDescent="0.2">
      <c r="A52" s="380" t="s">
        <v>214</v>
      </c>
      <c r="B52" s="381" t="s">
        <v>204</v>
      </c>
      <c r="C52" s="395"/>
      <c r="D52" s="355"/>
      <c r="E52" s="382"/>
      <c r="F52" s="383"/>
      <c r="G52" s="467" t="s">
        <v>556</v>
      </c>
      <c r="H52" s="75"/>
      <c r="I52" s="75"/>
      <c r="J52" s="60"/>
      <c r="K52" s="60"/>
      <c r="L52" s="60"/>
      <c r="M52" s="60"/>
      <c r="N52" s="60"/>
      <c r="O52" s="60"/>
      <c r="P52" s="60"/>
      <c r="Q52" s="60"/>
      <c r="R52" s="60"/>
      <c r="S52" s="60"/>
      <c r="T52" s="60"/>
      <c r="U52" s="60"/>
      <c r="V52" s="60"/>
      <c r="W52" s="60"/>
      <c r="X52" s="60"/>
      <c r="Y52" s="60"/>
      <c r="Z52" s="60"/>
      <c r="AA52" s="60"/>
      <c r="AB52" s="60"/>
      <c r="AC52" s="60"/>
      <c r="AD52" s="295"/>
      <c r="AE52" s="34"/>
      <c r="AF52" s="132"/>
      <c r="AG52" s="132"/>
    </row>
    <row r="53" spans="1:33" s="21" customFormat="1" x14ac:dyDescent="0.2">
      <c r="A53" s="393"/>
      <c r="B53" s="385" t="s">
        <v>188</v>
      </c>
      <c r="C53" s="595" t="s">
        <v>198</v>
      </c>
      <c r="D53" s="595"/>
      <c r="E53" s="385"/>
      <c r="F53" s="383"/>
      <c r="G53" s="467" t="s">
        <v>557</v>
      </c>
      <c r="H53" s="75"/>
      <c r="I53" s="75"/>
      <c r="J53" s="60"/>
      <c r="K53" s="60"/>
      <c r="L53" s="60"/>
      <c r="M53" s="60"/>
      <c r="N53" s="60"/>
      <c r="O53" s="60"/>
      <c r="P53" s="60"/>
      <c r="Q53" s="60"/>
      <c r="R53" s="60"/>
      <c r="S53" s="60"/>
      <c r="T53" s="60"/>
      <c r="U53" s="60"/>
      <c r="V53" s="60"/>
      <c r="W53" s="60"/>
      <c r="X53" s="60"/>
      <c r="Y53" s="60"/>
      <c r="Z53" s="60"/>
      <c r="AA53" s="60"/>
      <c r="AB53" s="60"/>
      <c r="AC53" s="60"/>
      <c r="AD53" s="295"/>
      <c r="AE53" s="34"/>
      <c r="AF53" s="132"/>
      <c r="AG53" s="132"/>
    </row>
    <row r="54" spans="1:33" s="21" customFormat="1" x14ac:dyDescent="0.2">
      <c r="A54" s="380"/>
      <c r="B54" s="355" t="s">
        <v>195</v>
      </c>
      <c r="C54" s="395" t="s">
        <v>208</v>
      </c>
      <c r="D54" s="395"/>
      <c r="E54" s="382"/>
      <c r="F54" s="383"/>
      <c r="G54" s="467" t="s">
        <v>558</v>
      </c>
      <c r="H54" s="75"/>
      <c r="I54" s="75"/>
      <c r="J54" s="60"/>
      <c r="K54" s="60"/>
      <c r="L54" s="60"/>
      <c r="M54" s="60"/>
      <c r="N54" s="60"/>
      <c r="O54" s="60"/>
      <c r="P54" s="60"/>
      <c r="Q54" s="60"/>
      <c r="R54" s="60"/>
      <c r="S54" s="60"/>
      <c r="T54" s="60"/>
      <c r="U54" s="60"/>
      <c r="V54" s="60"/>
      <c r="W54" s="60"/>
      <c r="X54" s="60"/>
      <c r="Y54" s="60"/>
      <c r="Z54" s="60"/>
      <c r="AA54" s="60"/>
      <c r="AB54" s="60"/>
      <c r="AC54" s="60"/>
      <c r="AD54" s="295"/>
      <c r="AE54" s="34"/>
      <c r="AF54" s="132"/>
      <c r="AG54" s="132"/>
    </row>
    <row r="55" spans="1:33" s="19" customFormat="1" x14ac:dyDescent="0.2">
      <c r="A55" s="407" t="s">
        <v>559</v>
      </c>
      <c r="B55" s="392"/>
      <c r="C55" s="392"/>
      <c r="D55" s="392"/>
      <c r="E55" s="392"/>
      <c r="F55" s="388"/>
      <c r="G55" s="458" t="s">
        <v>560</v>
      </c>
      <c r="H55" s="18"/>
      <c r="I55" s="18"/>
      <c r="J55" s="77">
        <f>SUM(J10,J41)</f>
        <v>0</v>
      </c>
      <c r="K55" s="77"/>
      <c r="L55" s="77">
        <f>SUM(L10,L41)</f>
        <v>0</v>
      </c>
      <c r="M55" s="77"/>
      <c r="N55" s="77">
        <f>SUM(N10,N41)</f>
        <v>0</v>
      </c>
      <c r="O55" s="77"/>
      <c r="P55" s="77">
        <f>SUM(P10,P41)</f>
        <v>0</v>
      </c>
      <c r="Q55" s="77"/>
      <c r="R55" s="77">
        <f>SUM(R10,R41)</f>
        <v>0</v>
      </c>
      <c r="S55" s="77"/>
      <c r="T55" s="77">
        <f>SUM(T10,T41)</f>
        <v>0</v>
      </c>
      <c r="U55" s="77"/>
      <c r="V55" s="77">
        <f>SUM(V10,V41)</f>
        <v>0</v>
      </c>
      <c r="W55" s="77"/>
      <c r="X55" s="77">
        <f>SUM(X10,X41)</f>
        <v>0</v>
      </c>
      <c r="Y55" s="77"/>
      <c r="Z55" s="77">
        <f>SUM(Z10,Z41)</f>
        <v>0</v>
      </c>
      <c r="AA55" s="77"/>
      <c r="AB55" s="77">
        <f>SUM(AB10,AB41)</f>
        <v>0</v>
      </c>
      <c r="AC55" s="77"/>
      <c r="AD55" s="78">
        <f>(J55+L55+N55+P55+R55+T55+V55) - (X55+Z55)</f>
        <v>0</v>
      </c>
      <c r="AE55" s="133"/>
      <c r="AF55" s="134"/>
      <c r="AG55" s="134"/>
    </row>
    <row r="56" spans="1:33" s="21" customFormat="1" x14ac:dyDescent="0.2">
      <c r="A56" s="166"/>
      <c r="B56" s="14"/>
      <c r="C56" s="131"/>
      <c r="D56" s="39"/>
      <c r="E56" s="39"/>
      <c r="F56" s="128"/>
      <c r="G56" s="52" t="s">
        <v>184</v>
      </c>
      <c r="H56" s="20"/>
      <c r="I56" s="20"/>
      <c r="J56" s="32"/>
      <c r="K56" s="32"/>
      <c r="L56" s="30"/>
      <c r="M56" s="30"/>
      <c r="N56" s="30"/>
      <c r="O56" s="30"/>
      <c r="P56" s="30"/>
      <c r="Q56" s="30"/>
      <c r="R56" s="30"/>
      <c r="S56" s="30"/>
      <c r="T56" s="33"/>
      <c r="U56" s="33"/>
      <c r="V56" s="30"/>
      <c r="W56" s="30"/>
      <c r="X56" s="30"/>
      <c r="Y56" s="30"/>
      <c r="Z56" s="30"/>
      <c r="AA56" s="30"/>
      <c r="AB56" s="30"/>
      <c r="AC56" s="30"/>
      <c r="AD56" s="30"/>
      <c r="AE56" s="33"/>
      <c r="AF56" s="132"/>
      <c r="AG56" s="132"/>
    </row>
    <row r="57" spans="1:33" s="21" customFormat="1" x14ac:dyDescent="0.2">
      <c r="A57" s="166"/>
      <c r="B57" s="39"/>
      <c r="C57" s="39"/>
      <c r="D57" s="39"/>
      <c r="E57" s="39"/>
      <c r="F57" s="128"/>
      <c r="G57" s="23"/>
      <c r="H57" s="20"/>
      <c r="I57" s="20"/>
      <c r="J57" s="32"/>
      <c r="K57" s="32"/>
      <c r="L57" s="30"/>
      <c r="M57" s="30"/>
      <c r="N57" s="30"/>
      <c r="O57" s="30"/>
      <c r="P57" s="30"/>
      <c r="Q57" s="30"/>
      <c r="R57" s="30"/>
      <c r="S57" s="30"/>
      <c r="T57" s="33"/>
      <c r="U57" s="33"/>
      <c r="V57" s="30"/>
      <c r="W57" s="30"/>
      <c r="X57" s="30"/>
      <c r="Y57" s="30"/>
      <c r="Z57" s="30"/>
      <c r="AA57" s="30"/>
      <c r="AB57" s="30"/>
      <c r="AC57" s="30"/>
      <c r="AD57" s="30"/>
      <c r="AE57" s="33"/>
      <c r="AF57" s="132"/>
      <c r="AG57" s="132"/>
    </row>
    <row r="58" spans="1:33" s="21" customFormat="1" x14ac:dyDescent="0.2">
      <c r="A58" s="166"/>
      <c r="B58" s="14"/>
      <c r="C58" s="39"/>
      <c r="D58" s="39"/>
      <c r="E58" s="39"/>
      <c r="F58" s="128"/>
      <c r="G58" s="23"/>
      <c r="H58" s="20"/>
      <c r="I58" s="20"/>
      <c r="J58" s="32"/>
      <c r="K58" s="32"/>
      <c r="L58" s="30"/>
      <c r="M58" s="30"/>
      <c r="N58" s="30"/>
      <c r="O58" s="30"/>
      <c r="P58" s="30"/>
      <c r="Q58" s="30"/>
      <c r="R58" s="30"/>
      <c r="S58" s="30"/>
      <c r="T58" s="33"/>
      <c r="U58" s="33"/>
      <c r="V58" s="30"/>
      <c r="W58" s="30"/>
      <c r="X58" s="30"/>
      <c r="Y58" s="30"/>
      <c r="Z58" s="30"/>
      <c r="AA58" s="30"/>
      <c r="AB58" s="30"/>
      <c r="AC58" s="30"/>
      <c r="AD58" s="30"/>
      <c r="AE58" s="33"/>
      <c r="AF58" s="132"/>
      <c r="AG58" s="132"/>
    </row>
    <row r="59" spans="1:33" s="21" customFormat="1" x14ac:dyDescent="0.2">
      <c r="A59" s="24"/>
      <c r="B59" s="39"/>
      <c r="C59" s="39"/>
      <c r="D59" s="39"/>
      <c r="E59" s="39"/>
      <c r="F59" s="128"/>
      <c r="G59" s="23"/>
      <c r="H59" s="20"/>
      <c r="I59" s="20"/>
      <c r="J59" s="32"/>
      <c r="K59" s="32"/>
      <c r="L59" s="30"/>
      <c r="M59" s="30"/>
      <c r="N59" s="30"/>
      <c r="O59" s="30"/>
      <c r="P59" s="30"/>
      <c r="Q59" s="30"/>
      <c r="R59" s="30"/>
      <c r="S59" s="30"/>
      <c r="T59" s="33"/>
      <c r="U59" s="33"/>
      <c r="V59" s="30"/>
      <c r="W59" s="30"/>
      <c r="X59" s="30"/>
      <c r="Y59" s="30"/>
      <c r="Z59" s="30"/>
      <c r="AA59" s="30"/>
      <c r="AB59" s="30"/>
      <c r="AC59" s="30"/>
      <c r="AD59" s="30"/>
      <c r="AE59" s="33"/>
      <c r="AF59" s="132"/>
      <c r="AG59" s="132"/>
    </row>
    <row r="60" spans="1:33" s="21" customFormat="1" x14ac:dyDescent="0.2">
      <c r="A60" s="166"/>
      <c r="B60" s="39"/>
      <c r="C60" s="39"/>
      <c r="D60" s="39"/>
      <c r="E60" s="39"/>
      <c r="F60" s="128"/>
      <c r="G60" s="23"/>
      <c r="H60" s="20"/>
      <c r="I60" s="20"/>
      <c r="J60" s="32"/>
      <c r="K60" s="32"/>
      <c r="L60" s="30"/>
      <c r="M60" s="30"/>
      <c r="N60" s="30"/>
      <c r="O60" s="30"/>
      <c r="P60" s="30"/>
      <c r="Q60" s="30"/>
      <c r="R60" s="30"/>
      <c r="S60" s="30"/>
      <c r="T60" s="33"/>
      <c r="U60" s="33"/>
      <c r="V60" s="30"/>
      <c r="W60" s="30"/>
      <c r="X60" s="30"/>
      <c r="Y60" s="30"/>
      <c r="Z60" s="30"/>
      <c r="AA60" s="30"/>
      <c r="AB60" s="30"/>
      <c r="AC60" s="30"/>
      <c r="AD60" s="30"/>
      <c r="AE60" s="33"/>
      <c r="AF60" s="132"/>
      <c r="AG60" s="132"/>
    </row>
    <row r="61" spans="1:33" s="21" customFormat="1" x14ac:dyDescent="0.2">
      <c r="A61" s="166"/>
      <c r="B61" s="39"/>
      <c r="C61" s="39"/>
      <c r="D61" s="39"/>
      <c r="E61" s="39"/>
      <c r="F61" s="128"/>
      <c r="G61" s="23"/>
      <c r="H61" s="20"/>
      <c r="I61" s="20"/>
      <c r="J61" s="32"/>
      <c r="K61" s="32"/>
      <c r="L61" s="30"/>
      <c r="M61" s="30"/>
      <c r="N61" s="30"/>
      <c r="O61" s="30"/>
      <c r="P61" s="30"/>
      <c r="Q61" s="30"/>
      <c r="R61" s="30"/>
      <c r="S61" s="30"/>
      <c r="T61" s="33"/>
      <c r="U61" s="33"/>
      <c r="V61" s="30"/>
      <c r="W61" s="30"/>
      <c r="X61" s="30"/>
      <c r="Y61" s="30"/>
      <c r="Z61" s="30"/>
      <c r="AA61" s="30"/>
      <c r="AB61" s="30"/>
      <c r="AC61" s="30"/>
      <c r="AD61" s="30"/>
      <c r="AE61" s="33"/>
      <c r="AF61" s="132"/>
      <c r="AG61" s="132"/>
    </row>
    <row r="62" spans="1:33" s="21" customFormat="1" x14ac:dyDescent="0.2">
      <c r="A62" s="166"/>
      <c r="B62" s="39"/>
      <c r="C62" s="39"/>
      <c r="D62" s="39"/>
      <c r="E62" s="39"/>
      <c r="F62" s="128"/>
      <c r="G62" s="23"/>
      <c r="H62" s="20"/>
      <c r="I62" s="20"/>
      <c r="J62" s="32"/>
      <c r="K62" s="32"/>
      <c r="L62" s="30"/>
      <c r="M62" s="30"/>
      <c r="N62" s="30"/>
      <c r="O62" s="30"/>
      <c r="P62" s="30"/>
      <c r="Q62" s="30"/>
      <c r="R62" s="30"/>
      <c r="S62" s="30"/>
      <c r="T62" s="33"/>
      <c r="U62" s="33"/>
      <c r="V62" s="30"/>
      <c r="W62" s="30"/>
      <c r="X62" s="30"/>
      <c r="Y62" s="30"/>
      <c r="Z62" s="30"/>
      <c r="AA62" s="30"/>
      <c r="AB62" s="30"/>
      <c r="AC62" s="30"/>
      <c r="AD62" s="30"/>
      <c r="AE62" s="33"/>
      <c r="AF62" s="132"/>
      <c r="AG62" s="132"/>
    </row>
    <row r="63" spans="1:33" s="21" customFormat="1" x14ac:dyDescent="0.2">
      <c r="A63" s="166"/>
      <c r="B63" s="39"/>
      <c r="C63" s="39"/>
      <c r="D63" s="39"/>
      <c r="E63" s="39"/>
      <c r="F63" s="128"/>
      <c r="G63" s="23"/>
      <c r="H63" s="20"/>
      <c r="I63" s="20"/>
      <c r="J63" s="32"/>
      <c r="K63" s="32"/>
      <c r="L63" s="30"/>
      <c r="M63" s="30"/>
      <c r="N63" s="30"/>
      <c r="O63" s="30"/>
      <c r="P63" s="30"/>
      <c r="Q63" s="30"/>
      <c r="R63" s="30"/>
      <c r="S63" s="30"/>
      <c r="T63" s="33"/>
      <c r="U63" s="33"/>
      <c r="V63" s="30"/>
      <c r="W63" s="30"/>
      <c r="X63" s="30"/>
      <c r="Y63" s="30"/>
      <c r="Z63" s="30"/>
      <c r="AA63" s="30"/>
      <c r="AB63" s="30"/>
      <c r="AC63" s="30"/>
      <c r="AD63" s="30"/>
      <c r="AE63" s="33"/>
      <c r="AF63" s="132"/>
      <c r="AG63" s="132"/>
    </row>
    <row r="64" spans="1:33" s="21" customFormat="1" x14ac:dyDescent="0.2">
      <c r="A64" s="151"/>
      <c r="B64" s="212"/>
      <c r="C64" s="212"/>
      <c r="D64" s="212"/>
      <c r="E64" s="212"/>
      <c r="F64" s="213"/>
      <c r="G64" s="23"/>
      <c r="H64" s="20"/>
      <c r="I64" s="20"/>
      <c r="J64" s="32"/>
      <c r="K64" s="32"/>
      <c r="L64" s="30"/>
      <c r="M64" s="30"/>
      <c r="N64" s="30"/>
      <c r="O64" s="30"/>
      <c r="P64" s="30"/>
      <c r="Q64" s="30"/>
      <c r="R64" s="30"/>
      <c r="S64" s="30"/>
      <c r="T64" s="33"/>
      <c r="U64" s="33"/>
      <c r="V64" s="30"/>
      <c r="W64" s="30"/>
      <c r="X64" s="30"/>
      <c r="Y64" s="30"/>
      <c r="Z64" s="30"/>
      <c r="AA64" s="30"/>
      <c r="AB64" s="30"/>
      <c r="AC64" s="30"/>
      <c r="AD64" s="30"/>
      <c r="AE64" s="33"/>
      <c r="AF64" s="132"/>
      <c r="AG64" s="132"/>
    </row>
    <row r="65" spans="1:33" s="21" customFormat="1" x14ac:dyDescent="0.2">
      <c r="A65" s="151"/>
      <c r="B65" s="212"/>
      <c r="C65" s="212"/>
      <c r="D65" s="212"/>
      <c r="E65" s="212"/>
      <c r="F65" s="213"/>
      <c r="G65" s="23"/>
      <c r="H65" s="20"/>
      <c r="I65" s="20"/>
      <c r="J65" s="32"/>
      <c r="K65" s="32"/>
      <c r="L65" s="30"/>
      <c r="M65" s="30"/>
      <c r="N65" s="30"/>
      <c r="O65" s="30"/>
      <c r="P65" s="30"/>
      <c r="Q65" s="30"/>
      <c r="R65" s="30"/>
      <c r="S65" s="30"/>
      <c r="T65" s="33"/>
      <c r="U65" s="33"/>
      <c r="V65" s="30"/>
      <c r="W65" s="30"/>
      <c r="X65" s="30"/>
      <c r="Y65" s="30"/>
      <c r="Z65" s="30"/>
      <c r="AA65" s="30"/>
      <c r="AB65" s="30"/>
      <c r="AC65" s="30"/>
      <c r="AD65" s="30"/>
      <c r="AE65" s="33"/>
      <c r="AF65" s="132"/>
      <c r="AG65" s="132"/>
    </row>
    <row r="66" spans="1:33" s="21" customFormat="1" x14ac:dyDescent="0.2">
      <c r="A66" s="151"/>
      <c r="B66" s="212"/>
      <c r="C66" s="212"/>
      <c r="D66" s="144"/>
      <c r="E66" s="144"/>
      <c r="F66" s="145"/>
      <c r="G66" s="23"/>
      <c r="H66" s="20"/>
      <c r="I66" s="20"/>
      <c r="J66" s="32"/>
      <c r="K66" s="32"/>
      <c r="L66" s="30"/>
      <c r="M66" s="30"/>
      <c r="N66" s="30"/>
      <c r="O66" s="30"/>
      <c r="P66" s="30"/>
      <c r="Q66" s="30"/>
      <c r="R66" s="30"/>
      <c r="S66" s="30"/>
      <c r="T66" s="33"/>
      <c r="U66" s="33"/>
      <c r="V66" s="30"/>
      <c r="W66" s="30"/>
      <c r="X66" s="30"/>
      <c r="Y66" s="30"/>
      <c r="Z66" s="30"/>
      <c r="AA66" s="30"/>
      <c r="AB66" s="30"/>
      <c r="AC66" s="30"/>
      <c r="AD66" s="30"/>
      <c r="AE66" s="33"/>
      <c r="AF66" s="132"/>
      <c r="AG66" s="132"/>
    </row>
    <row r="67" spans="1:33" s="21" customFormat="1" x14ac:dyDescent="0.2">
      <c r="A67" s="151"/>
      <c r="B67" s="39"/>
      <c r="C67" s="39"/>
      <c r="D67" s="39"/>
      <c r="E67" s="39"/>
      <c r="F67" s="128"/>
      <c r="G67" s="23"/>
      <c r="H67" s="20"/>
      <c r="I67" s="20"/>
      <c r="J67" s="32"/>
      <c r="K67" s="32"/>
      <c r="L67" s="30"/>
      <c r="M67" s="30"/>
      <c r="N67" s="30"/>
      <c r="O67" s="30"/>
      <c r="P67" s="30"/>
      <c r="Q67" s="30"/>
      <c r="R67" s="30"/>
      <c r="S67" s="30"/>
      <c r="T67" s="33"/>
      <c r="U67" s="33"/>
      <c r="V67" s="30"/>
      <c r="W67" s="30"/>
      <c r="X67" s="30"/>
      <c r="Y67" s="30"/>
      <c r="Z67" s="30"/>
      <c r="AA67" s="30"/>
      <c r="AB67" s="30"/>
      <c r="AC67" s="30"/>
      <c r="AD67" s="30"/>
      <c r="AE67" s="33"/>
      <c r="AF67" s="132"/>
      <c r="AG67" s="132"/>
    </row>
    <row r="68" spans="1:33" s="21" customFormat="1" x14ac:dyDescent="0.2">
      <c r="A68" s="127"/>
      <c r="B68" s="39"/>
      <c r="C68" s="39"/>
      <c r="D68" s="39"/>
      <c r="E68" s="39"/>
      <c r="F68" s="128"/>
      <c r="G68" s="23"/>
      <c r="H68" s="20"/>
      <c r="I68" s="20"/>
      <c r="J68" s="32"/>
      <c r="K68" s="32"/>
      <c r="L68" s="30"/>
      <c r="M68" s="30"/>
      <c r="N68" s="30"/>
      <c r="O68" s="30"/>
      <c r="P68" s="30"/>
      <c r="Q68" s="30"/>
      <c r="R68" s="30"/>
      <c r="S68" s="30"/>
      <c r="T68" s="33"/>
      <c r="U68" s="33"/>
      <c r="V68" s="30"/>
      <c r="W68" s="30"/>
      <c r="X68" s="30"/>
      <c r="Y68" s="30"/>
      <c r="Z68" s="30"/>
      <c r="AA68" s="30"/>
      <c r="AB68" s="30"/>
      <c r="AC68" s="30"/>
      <c r="AD68" s="30"/>
      <c r="AE68" s="33"/>
      <c r="AF68" s="132"/>
      <c r="AG68" s="132"/>
    </row>
    <row r="69" spans="1:33" s="21" customFormat="1" x14ac:dyDescent="0.2">
      <c r="A69" s="127"/>
      <c r="B69" s="39"/>
      <c r="C69" s="39"/>
      <c r="D69" s="39"/>
      <c r="E69" s="39"/>
      <c r="F69" s="128"/>
      <c r="G69" s="23"/>
      <c r="H69" s="20"/>
      <c r="I69" s="20"/>
      <c r="J69" s="32"/>
      <c r="K69" s="32"/>
      <c r="L69" s="30"/>
      <c r="M69" s="30"/>
      <c r="N69" s="30"/>
      <c r="O69" s="30"/>
      <c r="P69" s="30"/>
      <c r="Q69" s="30"/>
      <c r="R69" s="30"/>
      <c r="S69" s="30"/>
      <c r="T69" s="33"/>
      <c r="U69" s="33"/>
      <c r="V69" s="30"/>
      <c r="W69" s="30"/>
      <c r="X69" s="30"/>
      <c r="Y69" s="30"/>
      <c r="Z69" s="30"/>
      <c r="AA69" s="30"/>
      <c r="AB69" s="30"/>
      <c r="AC69" s="30"/>
      <c r="AD69" s="30"/>
      <c r="AE69" s="33"/>
      <c r="AF69" s="132"/>
      <c r="AG69" s="132"/>
    </row>
    <row r="70" spans="1:33" s="21" customFormat="1" x14ac:dyDescent="0.2">
      <c r="A70" s="127"/>
      <c r="B70" s="39"/>
      <c r="C70" s="39"/>
      <c r="D70" s="39"/>
      <c r="E70" s="39"/>
      <c r="F70" s="128"/>
      <c r="G70" s="23"/>
      <c r="H70" s="20"/>
      <c r="I70" s="20"/>
      <c r="J70" s="32"/>
      <c r="K70" s="32"/>
      <c r="L70" s="30"/>
      <c r="M70" s="30"/>
      <c r="N70" s="30"/>
      <c r="O70" s="30"/>
      <c r="P70" s="30"/>
      <c r="Q70" s="30"/>
      <c r="R70" s="30"/>
      <c r="S70" s="30"/>
      <c r="T70" s="33"/>
      <c r="U70" s="33"/>
      <c r="V70" s="30"/>
      <c r="W70" s="30"/>
      <c r="X70" s="30"/>
      <c r="Y70" s="30"/>
      <c r="Z70" s="30"/>
      <c r="AA70" s="30"/>
      <c r="AB70" s="30"/>
      <c r="AC70" s="30"/>
      <c r="AD70" s="30"/>
      <c r="AE70" s="33"/>
      <c r="AF70" s="132"/>
      <c r="AG70" s="132"/>
    </row>
    <row r="71" spans="1:33" s="21" customFormat="1" x14ac:dyDescent="0.2">
      <c r="A71" s="127"/>
      <c r="B71" s="39"/>
      <c r="C71" s="150"/>
      <c r="D71" s="39"/>
      <c r="E71" s="39"/>
      <c r="F71" s="128"/>
      <c r="G71" s="23"/>
      <c r="H71" s="20"/>
      <c r="I71" s="20"/>
      <c r="J71" s="32"/>
      <c r="K71" s="32"/>
      <c r="L71" s="30"/>
      <c r="M71" s="30"/>
      <c r="N71" s="30"/>
      <c r="O71" s="30"/>
      <c r="P71" s="30"/>
      <c r="Q71" s="30"/>
      <c r="R71" s="30"/>
      <c r="S71" s="30"/>
      <c r="T71" s="33"/>
      <c r="U71" s="33"/>
      <c r="V71" s="30"/>
      <c r="W71" s="30"/>
      <c r="X71" s="30"/>
      <c r="Y71" s="30"/>
      <c r="Z71" s="30"/>
      <c r="AA71" s="30"/>
      <c r="AB71" s="30"/>
      <c r="AC71" s="30"/>
      <c r="AD71" s="30"/>
      <c r="AE71" s="33"/>
      <c r="AF71" s="132"/>
      <c r="AG71" s="132"/>
    </row>
    <row r="72" spans="1:33" s="21" customFormat="1" x14ac:dyDescent="0.2">
      <c r="A72" s="127"/>
      <c r="B72" s="39"/>
      <c r="C72" s="150"/>
      <c r="D72" s="39"/>
      <c r="E72" s="39"/>
      <c r="F72" s="128"/>
      <c r="G72" s="23"/>
      <c r="H72" s="20"/>
      <c r="I72" s="20"/>
      <c r="J72" s="32"/>
      <c r="K72" s="32"/>
      <c r="L72" s="30"/>
      <c r="M72" s="30"/>
      <c r="N72" s="30"/>
      <c r="O72" s="30"/>
      <c r="P72" s="30"/>
      <c r="Q72" s="30"/>
      <c r="R72" s="30"/>
      <c r="S72" s="30"/>
      <c r="T72" s="33"/>
      <c r="U72" s="33"/>
      <c r="V72" s="30"/>
      <c r="W72" s="30"/>
      <c r="X72" s="30"/>
      <c r="Y72" s="30"/>
      <c r="Z72" s="30"/>
      <c r="AA72" s="30"/>
      <c r="AB72" s="30"/>
      <c r="AC72" s="30"/>
      <c r="AD72" s="30"/>
      <c r="AE72" s="33"/>
      <c r="AF72" s="132"/>
      <c r="AG72" s="132"/>
    </row>
    <row r="73" spans="1:33" s="21" customFormat="1" x14ac:dyDescent="0.2">
      <c r="A73" s="143"/>
      <c r="B73" s="39"/>
      <c r="C73" s="39"/>
      <c r="D73" s="39"/>
      <c r="E73" s="39"/>
      <c r="F73" s="128"/>
      <c r="G73" s="23"/>
      <c r="H73" s="20"/>
      <c r="I73" s="20"/>
      <c r="J73" s="32"/>
      <c r="K73" s="32"/>
      <c r="L73" s="30"/>
      <c r="M73" s="30"/>
      <c r="N73" s="30"/>
      <c r="O73" s="30"/>
      <c r="P73" s="30"/>
      <c r="Q73" s="30"/>
      <c r="R73" s="30"/>
      <c r="S73" s="30"/>
      <c r="T73" s="33"/>
      <c r="U73" s="33"/>
      <c r="V73" s="30"/>
      <c r="W73" s="30"/>
      <c r="X73" s="30"/>
      <c r="Y73" s="30"/>
      <c r="Z73" s="30"/>
      <c r="AA73" s="30"/>
      <c r="AB73" s="30"/>
      <c r="AC73" s="30"/>
      <c r="AD73" s="30"/>
      <c r="AE73" s="33"/>
      <c r="AF73" s="132"/>
      <c r="AG73" s="132"/>
    </row>
    <row r="74" spans="1:33" s="21" customFormat="1" x14ac:dyDescent="0.2">
      <c r="A74" s="127"/>
      <c r="B74" s="39"/>
      <c r="C74" s="39"/>
      <c r="D74" s="39"/>
      <c r="E74" s="39"/>
      <c r="F74" s="128"/>
      <c r="G74" s="23"/>
      <c r="H74" s="20"/>
      <c r="I74" s="20"/>
      <c r="J74" s="32"/>
      <c r="K74" s="32"/>
      <c r="L74" s="30"/>
      <c r="M74" s="30"/>
      <c r="N74" s="30"/>
      <c r="O74" s="30"/>
      <c r="P74" s="30"/>
      <c r="Q74" s="30"/>
      <c r="R74" s="30"/>
      <c r="S74" s="30"/>
      <c r="T74" s="33"/>
      <c r="U74" s="33"/>
      <c r="V74" s="30"/>
      <c r="W74" s="30"/>
      <c r="X74" s="30"/>
      <c r="Y74" s="30"/>
      <c r="Z74" s="30"/>
      <c r="AA74" s="30"/>
      <c r="AB74" s="30"/>
      <c r="AC74" s="30"/>
      <c r="AD74" s="30"/>
      <c r="AE74" s="33"/>
      <c r="AF74" s="132"/>
      <c r="AG74" s="132"/>
    </row>
    <row r="75" spans="1:33" s="21" customFormat="1" x14ac:dyDescent="0.2">
      <c r="A75" s="127"/>
      <c r="B75" s="39"/>
      <c r="C75" s="39"/>
      <c r="D75" s="39"/>
      <c r="E75" s="39"/>
      <c r="F75" s="128"/>
      <c r="G75" s="23"/>
      <c r="H75" s="20"/>
      <c r="I75" s="20"/>
      <c r="J75" s="32"/>
      <c r="K75" s="32"/>
      <c r="L75" s="30"/>
      <c r="M75" s="30"/>
      <c r="N75" s="30"/>
      <c r="O75" s="30"/>
      <c r="P75" s="30"/>
      <c r="Q75" s="30"/>
      <c r="R75" s="30"/>
      <c r="S75" s="30"/>
      <c r="T75" s="33"/>
      <c r="U75" s="33"/>
      <c r="V75" s="30"/>
      <c r="W75" s="30"/>
      <c r="X75" s="30"/>
      <c r="Y75" s="30"/>
      <c r="Z75" s="30"/>
      <c r="AA75" s="30"/>
      <c r="AB75" s="30"/>
      <c r="AC75" s="30"/>
      <c r="AD75" s="30"/>
      <c r="AE75" s="33"/>
      <c r="AF75" s="132"/>
      <c r="AG75" s="132"/>
    </row>
    <row r="76" spans="1:33" s="21" customFormat="1" x14ac:dyDescent="0.2">
      <c r="A76" s="143"/>
      <c r="B76" s="39"/>
      <c r="C76" s="39"/>
      <c r="D76" s="39"/>
      <c r="E76" s="39"/>
      <c r="F76" s="128"/>
      <c r="G76" s="23"/>
      <c r="H76" s="20"/>
      <c r="I76" s="20"/>
      <c r="J76" s="32"/>
      <c r="K76" s="32"/>
      <c r="L76" s="30"/>
      <c r="M76" s="30"/>
      <c r="N76" s="30"/>
      <c r="O76" s="30"/>
      <c r="P76" s="30"/>
      <c r="Q76" s="30"/>
      <c r="R76" s="30"/>
      <c r="S76" s="30"/>
      <c r="T76" s="33"/>
      <c r="U76" s="33"/>
      <c r="V76" s="30"/>
      <c r="W76" s="30"/>
      <c r="X76" s="30"/>
      <c r="Y76" s="30"/>
      <c r="Z76" s="30"/>
      <c r="AA76" s="30"/>
      <c r="AB76" s="30"/>
      <c r="AC76" s="30"/>
      <c r="AD76" s="30"/>
      <c r="AE76" s="33"/>
      <c r="AF76" s="132"/>
      <c r="AG76" s="132"/>
    </row>
    <row r="77" spans="1:33" s="21" customFormat="1" x14ac:dyDescent="0.2">
      <c r="A77" s="143"/>
      <c r="B77" s="39"/>
      <c r="C77" s="39"/>
      <c r="D77" s="39"/>
      <c r="E77" s="39"/>
      <c r="F77" s="128"/>
      <c r="G77" s="23" t="s">
        <v>261</v>
      </c>
      <c r="H77" s="20"/>
      <c r="I77" s="20"/>
      <c r="J77" s="32"/>
      <c r="K77" s="32"/>
      <c r="L77" s="30"/>
      <c r="M77" s="30"/>
      <c r="N77" s="30"/>
      <c r="O77" s="30"/>
      <c r="P77" s="30"/>
      <c r="Q77" s="30"/>
      <c r="R77" s="30"/>
      <c r="S77" s="30"/>
      <c r="T77" s="33"/>
      <c r="U77" s="33"/>
      <c r="V77" s="30"/>
      <c r="W77" s="30"/>
      <c r="X77" s="30"/>
      <c r="Y77" s="30"/>
      <c r="Z77" s="30"/>
      <c r="AA77" s="30"/>
      <c r="AB77" s="30"/>
      <c r="AC77" s="30"/>
      <c r="AD77" s="30"/>
      <c r="AE77" s="33"/>
      <c r="AF77" s="132"/>
      <c r="AG77" s="132"/>
    </row>
    <row r="78" spans="1:33" s="21" customFormat="1" x14ac:dyDescent="0.2">
      <c r="A78" s="200"/>
      <c r="B78" s="39"/>
      <c r="C78" s="39"/>
      <c r="D78" s="39"/>
      <c r="E78" s="39"/>
      <c r="F78" s="128"/>
      <c r="G78" s="23"/>
      <c r="H78" s="20"/>
      <c r="I78" s="20"/>
      <c r="J78" s="32"/>
      <c r="K78" s="32"/>
      <c r="L78" s="30"/>
      <c r="M78" s="30"/>
      <c r="N78" s="30"/>
      <c r="O78" s="30"/>
      <c r="P78" s="30"/>
      <c r="Q78" s="30"/>
      <c r="R78" s="30"/>
      <c r="S78" s="30"/>
      <c r="T78" s="33"/>
      <c r="U78" s="33"/>
      <c r="V78" s="30"/>
      <c r="W78" s="30"/>
      <c r="X78" s="30"/>
      <c r="Y78" s="30"/>
      <c r="Z78" s="30"/>
      <c r="AA78" s="30"/>
      <c r="AB78" s="30"/>
      <c r="AC78" s="30"/>
      <c r="AD78" s="30"/>
      <c r="AE78" s="33"/>
      <c r="AF78" s="132"/>
      <c r="AG78" s="132"/>
    </row>
    <row r="79" spans="1:33" s="21" customFormat="1" x14ac:dyDescent="0.2">
      <c r="A79" s="199"/>
      <c r="B79" s="153"/>
      <c r="C79" s="154"/>
      <c r="D79" s="150"/>
      <c r="E79" s="39"/>
      <c r="F79" s="128"/>
      <c r="G79" s="23"/>
      <c r="H79" s="20"/>
      <c r="I79" s="20"/>
      <c r="J79" s="34"/>
      <c r="K79" s="34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4"/>
      <c r="Z79" s="34"/>
      <c r="AA79" s="34"/>
      <c r="AB79" s="33"/>
      <c r="AC79" s="33"/>
      <c r="AD79" s="33"/>
      <c r="AE79" s="34"/>
      <c r="AF79" s="132"/>
      <c r="AG79" s="132"/>
    </row>
    <row r="80" spans="1:33" s="21" customFormat="1" x14ac:dyDescent="0.2">
      <c r="A80" s="7"/>
      <c r="B80" s="153"/>
      <c r="C80" s="154"/>
      <c r="D80" s="150"/>
      <c r="E80" s="566"/>
      <c r="F80" s="596"/>
      <c r="G80" s="67" t="s">
        <v>184</v>
      </c>
      <c r="H80" s="22"/>
      <c r="I80" s="22"/>
      <c r="J80" s="34"/>
      <c r="K80" s="34"/>
      <c r="L80" s="28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3"/>
      <c r="Y80" s="34"/>
      <c r="Z80" s="34"/>
      <c r="AA80" s="34"/>
      <c r="AB80" s="34"/>
      <c r="AC80" s="34"/>
      <c r="AD80" s="34"/>
      <c r="AE80" s="34"/>
      <c r="AF80" s="132"/>
      <c r="AG80" s="132"/>
    </row>
    <row r="81" spans="1:33" s="21" customFormat="1" x14ac:dyDescent="0.2">
      <c r="A81" s="7"/>
      <c r="B81" s="155"/>
      <c r="C81" s="155"/>
      <c r="D81" s="155"/>
      <c r="E81" s="155"/>
      <c r="F81" s="155"/>
      <c r="G81" s="20"/>
      <c r="H81" s="20"/>
      <c r="I81" s="20"/>
      <c r="J81" s="6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132"/>
      <c r="AG81" s="132"/>
    </row>
    <row r="82" spans="1:33" s="21" customFormat="1" x14ac:dyDescent="0.2">
      <c r="A82" s="7"/>
      <c r="B82" s="3"/>
      <c r="C82" s="4"/>
      <c r="D82" s="5"/>
      <c r="E82" s="155"/>
      <c r="F82" s="155"/>
      <c r="G82" s="20"/>
      <c r="H82" s="20"/>
      <c r="I82" s="20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132"/>
      <c r="AG82" s="132"/>
    </row>
    <row r="83" spans="1:33" s="21" customFormat="1" x14ac:dyDescent="0.2">
      <c r="A83" s="7"/>
      <c r="B83" s="3"/>
      <c r="C83" s="154"/>
      <c r="D83" s="157"/>
      <c r="E83" s="155"/>
      <c r="F83" s="155"/>
      <c r="G83" s="20"/>
      <c r="H83" s="20"/>
      <c r="I83" s="20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132"/>
      <c r="AG83" s="132"/>
    </row>
    <row r="84" spans="1:33" s="21" customFormat="1" x14ac:dyDescent="0.2">
      <c r="A84" s="7"/>
      <c r="B84" s="155"/>
      <c r="C84" s="154"/>
      <c r="D84" s="157"/>
      <c r="E84" s="157"/>
      <c r="F84" s="155"/>
      <c r="G84" s="20"/>
      <c r="H84" s="20"/>
      <c r="I84" s="20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132"/>
      <c r="AG84" s="132"/>
    </row>
    <row r="85" spans="1:33" s="21" customFormat="1" x14ac:dyDescent="0.2">
      <c r="A85" s="7"/>
      <c r="B85" s="155"/>
      <c r="C85" s="39"/>
      <c r="D85" s="154"/>
      <c r="E85" s="154"/>
      <c r="F85" s="155"/>
      <c r="G85" s="20"/>
      <c r="H85" s="20"/>
      <c r="I85" s="20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132"/>
      <c r="AG85" s="132"/>
    </row>
    <row r="86" spans="1:33" s="21" customFormat="1" x14ac:dyDescent="0.2">
      <c r="A86" s="7"/>
      <c r="B86" s="155"/>
      <c r="C86" s="154"/>
      <c r="D86" s="39"/>
      <c r="E86" s="154"/>
      <c r="F86" s="155"/>
      <c r="G86" s="20"/>
      <c r="H86" s="20"/>
      <c r="I86" s="20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132"/>
      <c r="AG86" s="132"/>
    </row>
    <row r="87" spans="1:33" s="21" customFormat="1" x14ac:dyDescent="0.2">
      <c r="A87" s="7"/>
      <c r="B87" s="155"/>
      <c r="C87" s="39"/>
      <c r="D87" s="158"/>
      <c r="E87" s="154"/>
      <c r="F87" s="155"/>
      <c r="G87" s="20"/>
      <c r="H87" s="20"/>
      <c r="I87" s="20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132"/>
      <c r="AG87" s="132"/>
    </row>
    <row r="88" spans="1:33" s="21" customFormat="1" x14ac:dyDescent="0.2">
      <c r="A88" s="7"/>
      <c r="B88" s="155"/>
      <c r="C88" s="39"/>
      <c r="D88" s="158"/>
      <c r="E88" s="154"/>
      <c r="F88" s="155"/>
      <c r="G88" s="20"/>
      <c r="H88" s="20"/>
      <c r="I88" s="20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132"/>
      <c r="AG88" s="132"/>
    </row>
    <row r="89" spans="1:33" s="21" customFormat="1" x14ac:dyDescent="0.2">
      <c r="A89" s="7"/>
      <c r="B89" s="155"/>
      <c r="C89" s="154"/>
      <c r="D89" s="39"/>
      <c r="E89" s="154"/>
      <c r="F89" s="155"/>
      <c r="G89" s="20"/>
      <c r="H89" s="20"/>
      <c r="I89" s="20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132"/>
      <c r="AG89" s="132"/>
    </row>
    <row r="90" spans="1:33" s="21" customFormat="1" x14ac:dyDescent="0.2">
      <c r="A90" s="7"/>
      <c r="B90" s="155"/>
      <c r="C90" s="154"/>
      <c r="D90" s="154"/>
      <c r="E90" s="154"/>
      <c r="F90" s="154"/>
      <c r="G90" s="20"/>
      <c r="H90" s="20"/>
      <c r="I90" s="20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132"/>
      <c r="AG90" s="132"/>
    </row>
    <row r="91" spans="1:33" s="21" customFormat="1" x14ac:dyDescent="0.2">
      <c r="A91" s="7"/>
      <c r="B91" s="155"/>
      <c r="C91" s="39"/>
      <c r="D91" s="525"/>
      <c r="E91" s="526"/>
      <c r="F91" s="526"/>
      <c r="G91" s="20"/>
      <c r="H91" s="20"/>
      <c r="I91" s="20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132"/>
      <c r="AG91" s="132"/>
    </row>
    <row r="92" spans="1:33" s="21" customFormat="1" x14ac:dyDescent="0.2">
      <c r="A92" s="7"/>
      <c r="B92" s="155"/>
      <c r="C92" s="154"/>
      <c r="D92" s="158"/>
      <c r="E92" s="154"/>
      <c r="F92" s="154"/>
      <c r="G92" s="20"/>
      <c r="H92" s="20"/>
      <c r="I92" s="20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132"/>
      <c r="AG92" s="132"/>
    </row>
    <row r="93" spans="1:33" s="21" customFormat="1" x14ac:dyDescent="0.2">
      <c r="A93" s="7"/>
      <c r="B93" s="155"/>
      <c r="C93" s="154"/>
      <c r="D93" s="158"/>
      <c r="E93" s="154"/>
      <c r="F93" s="154"/>
      <c r="G93" s="20"/>
      <c r="H93" s="20"/>
      <c r="I93" s="20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132"/>
      <c r="AG93" s="132"/>
    </row>
    <row r="94" spans="1:33" s="21" customFormat="1" x14ac:dyDescent="0.2">
      <c r="A94" s="7"/>
      <c r="B94" s="3"/>
      <c r="C94" s="4"/>
      <c r="D94" s="157"/>
      <c r="E94" s="154"/>
      <c r="F94" s="154"/>
      <c r="G94" s="20"/>
      <c r="H94" s="20"/>
      <c r="I94" s="20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132"/>
      <c r="AG94" s="132"/>
    </row>
    <row r="95" spans="1:33" s="21" customFormat="1" x14ac:dyDescent="0.2">
      <c r="A95" s="7"/>
      <c r="B95" s="155"/>
      <c r="C95" s="154"/>
      <c r="D95" s="154"/>
      <c r="E95" s="154"/>
      <c r="F95" s="154"/>
      <c r="G95" s="20"/>
      <c r="H95" s="20"/>
      <c r="I95" s="20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132"/>
      <c r="AG95" s="132"/>
    </row>
    <row r="96" spans="1:33" s="21" customFormat="1" x14ac:dyDescent="0.2">
      <c r="A96" s="7"/>
      <c r="B96" s="155"/>
      <c r="C96" s="154"/>
      <c r="D96" s="163"/>
      <c r="E96" s="154"/>
      <c r="F96" s="154"/>
      <c r="G96" s="20"/>
      <c r="H96" s="20"/>
      <c r="I96" s="20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132"/>
      <c r="AG96" s="132"/>
    </row>
    <row r="97" spans="1:33" s="21" customFormat="1" x14ac:dyDescent="0.2">
      <c r="A97" s="7"/>
      <c r="B97" s="155"/>
      <c r="C97" s="154"/>
      <c r="D97" s="164"/>
      <c r="E97" s="154"/>
      <c r="F97" s="154"/>
      <c r="G97" s="20"/>
      <c r="H97" s="20"/>
      <c r="I97" s="20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132"/>
      <c r="AG97" s="132"/>
    </row>
    <row r="98" spans="1:33" s="21" customFormat="1" x14ac:dyDescent="0.2">
      <c r="A98" s="7"/>
      <c r="B98" s="155"/>
      <c r="C98" s="154"/>
      <c r="D98" s="164"/>
      <c r="E98" s="154"/>
      <c r="F98" s="154"/>
      <c r="G98" s="20"/>
      <c r="H98" s="20"/>
      <c r="I98" s="20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132"/>
      <c r="AG98" s="132"/>
    </row>
    <row r="99" spans="1:33" s="21" customFormat="1" x14ac:dyDescent="0.2">
      <c r="A99" s="7"/>
      <c r="B99" s="155"/>
      <c r="C99" s="154"/>
      <c r="D99" s="163"/>
      <c r="E99" s="154"/>
      <c r="F99" s="154"/>
      <c r="G99" s="20"/>
      <c r="H99" s="20"/>
      <c r="I99" s="20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132"/>
      <c r="AG99" s="132"/>
    </row>
    <row r="100" spans="1:33" s="21" customFormat="1" x14ac:dyDescent="0.2">
      <c r="A100" s="7"/>
      <c r="B100" s="155"/>
      <c r="C100" s="154"/>
      <c r="D100" s="164"/>
      <c r="E100" s="154"/>
      <c r="F100" s="154"/>
      <c r="G100" s="20"/>
      <c r="H100" s="20"/>
      <c r="I100" s="20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132"/>
      <c r="AG100" s="132"/>
    </row>
    <row r="101" spans="1:33" s="21" customFormat="1" x14ac:dyDescent="0.2">
      <c r="A101" s="7"/>
      <c r="B101" s="155"/>
      <c r="C101" s="154"/>
      <c r="D101" s="164"/>
      <c r="E101" s="154"/>
      <c r="F101" s="154"/>
      <c r="G101" s="20"/>
      <c r="H101" s="20"/>
      <c r="I101" s="20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132"/>
      <c r="AG101" s="132"/>
    </row>
    <row r="102" spans="1:33" s="21" customFormat="1" x14ac:dyDescent="0.2">
      <c r="A102" s="7"/>
      <c r="B102" s="155"/>
      <c r="C102" s="154"/>
      <c r="D102" s="154"/>
      <c r="E102" s="154"/>
      <c r="F102" s="154"/>
      <c r="G102" s="20"/>
      <c r="H102" s="20"/>
      <c r="I102" s="20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132"/>
      <c r="AG102" s="132"/>
    </row>
    <row r="103" spans="1:33" s="21" customFormat="1" x14ac:dyDescent="0.2">
      <c r="A103" s="7"/>
      <c r="B103" s="155"/>
      <c r="C103" s="39"/>
      <c r="D103" s="158"/>
      <c r="E103" s="154"/>
      <c r="F103" s="154"/>
      <c r="G103" s="20"/>
      <c r="H103" s="20"/>
      <c r="I103" s="20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132"/>
      <c r="AG103" s="132"/>
    </row>
    <row r="104" spans="1:33" s="21" customFormat="1" x14ac:dyDescent="0.2">
      <c r="A104" s="7"/>
      <c r="B104" s="155"/>
      <c r="C104" s="39"/>
      <c r="D104" s="158"/>
      <c r="E104" s="154"/>
      <c r="F104" s="154"/>
      <c r="G104" s="20"/>
      <c r="H104" s="20"/>
      <c r="I104" s="20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132"/>
      <c r="AG104" s="132"/>
    </row>
    <row r="105" spans="1:33" s="21" customFormat="1" x14ac:dyDescent="0.2">
      <c r="A105" s="7"/>
      <c r="B105" s="155"/>
      <c r="C105" s="154"/>
      <c r="D105" s="154"/>
      <c r="E105" s="154"/>
      <c r="F105" s="154"/>
      <c r="G105" s="20"/>
      <c r="H105" s="20"/>
      <c r="I105" s="20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132"/>
      <c r="AG105" s="132"/>
    </row>
    <row r="106" spans="1:33" s="21" customFormat="1" x14ac:dyDescent="0.2">
      <c r="A106" s="7"/>
      <c r="B106" s="155"/>
      <c r="C106" s="39"/>
      <c r="D106" s="525"/>
      <c r="E106" s="526"/>
      <c r="F106" s="526"/>
      <c r="G106" s="20"/>
      <c r="H106" s="20"/>
      <c r="I106" s="20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132"/>
      <c r="AG106" s="132"/>
    </row>
    <row r="107" spans="1:33" s="21" customFormat="1" x14ac:dyDescent="0.2">
      <c r="A107" s="7"/>
      <c r="B107" s="155"/>
      <c r="C107" s="154"/>
      <c r="D107" s="158"/>
      <c r="E107" s="154"/>
      <c r="F107" s="154"/>
      <c r="G107" s="20"/>
      <c r="H107" s="20"/>
      <c r="I107" s="20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132"/>
      <c r="AG107" s="132"/>
    </row>
    <row r="108" spans="1:33" s="21" customFormat="1" x14ac:dyDescent="0.2">
      <c r="A108" s="7"/>
      <c r="B108" s="155"/>
      <c r="C108" s="154"/>
      <c r="D108" s="164"/>
      <c r="E108" s="154"/>
      <c r="F108" s="154"/>
      <c r="G108" s="20"/>
      <c r="H108" s="20"/>
      <c r="I108" s="20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132"/>
      <c r="AG108" s="132"/>
    </row>
    <row r="109" spans="1:33" s="21" customFormat="1" x14ac:dyDescent="0.2">
      <c r="A109" s="7"/>
      <c r="B109" s="155"/>
      <c r="C109" s="154"/>
      <c r="D109" s="164"/>
      <c r="E109" s="154"/>
      <c r="F109" s="154"/>
      <c r="G109" s="20"/>
      <c r="H109" s="20"/>
      <c r="I109" s="20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132"/>
      <c r="AG109" s="132"/>
    </row>
    <row r="110" spans="1:33" s="21" customFormat="1" x14ac:dyDescent="0.2">
      <c r="A110" s="7"/>
      <c r="B110" s="155"/>
      <c r="C110" s="154"/>
      <c r="D110" s="158"/>
      <c r="E110" s="154"/>
      <c r="F110" s="154"/>
      <c r="G110" s="20"/>
      <c r="H110" s="20"/>
      <c r="I110" s="20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132"/>
      <c r="AG110" s="132"/>
    </row>
    <row r="111" spans="1:33" s="21" customFormat="1" x14ac:dyDescent="0.2">
      <c r="A111" s="7"/>
      <c r="B111" s="155"/>
      <c r="C111" s="154"/>
      <c r="D111" s="164"/>
      <c r="E111" s="154"/>
      <c r="F111" s="154"/>
      <c r="G111" s="20"/>
      <c r="H111" s="20"/>
      <c r="I111" s="20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132"/>
      <c r="AG111" s="132"/>
    </row>
    <row r="112" spans="1:33" s="21" customFormat="1" x14ac:dyDescent="0.2">
      <c r="A112" s="7"/>
      <c r="B112" s="155"/>
      <c r="C112" s="154"/>
      <c r="D112" s="164"/>
      <c r="E112" s="154"/>
      <c r="F112" s="154"/>
      <c r="G112" s="20"/>
      <c r="H112" s="20"/>
      <c r="I112" s="20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132"/>
      <c r="AG112" s="132"/>
    </row>
    <row r="113" spans="1:33" s="21" customFormat="1" x14ac:dyDescent="0.2">
      <c r="A113" s="7"/>
      <c r="B113" s="3"/>
      <c r="C113" s="4"/>
      <c r="D113" s="157"/>
      <c r="E113" s="154"/>
      <c r="F113" s="154"/>
      <c r="G113" s="20"/>
      <c r="H113" s="20"/>
      <c r="I113" s="20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132"/>
      <c r="AG113" s="132"/>
    </row>
    <row r="114" spans="1:33" s="21" customFormat="1" x14ac:dyDescent="0.2">
      <c r="A114" s="7"/>
      <c r="B114" s="155"/>
      <c r="C114" s="154"/>
      <c r="D114" s="157"/>
      <c r="E114" s="154"/>
      <c r="F114" s="154"/>
      <c r="G114" s="20"/>
      <c r="H114" s="20"/>
      <c r="I114" s="20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132"/>
      <c r="AG114" s="132"/>
    </row>
    <row r="115" spans="1:33" s="21" customFormat="1" x14ac:dyDescent="0.2">
      <c r="A115" s="7"/>
      <c r="B115" s="155"/>
      <c r="C115" s="154"/>
      <c r="D115" s="157"/>
      <c r="E115" s="154"/>
      <c r="F115" s="154"/>
      <c r="G115" s="20"/>
      <c r="H115" s="20"/>
      <c r="I115" s="20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132"/>
      <c r="AG115" s="132"/>
    </row>
    <row r="116" spans="1:33" s="21" customFormat="1" x14ac:dyDescent="0.2">
      <c r="A116" s="7"/>
      <c r="B116" s="155"/>
      <c r="C116" s="154"/>
      <c r="D116" s="157"/>
      <c r="E116" s="154"/>
      <c r="F116" s="154"/>
      <c r="G116" s="20"/>
      <c r="H116" s="20"/>
      <c r="I116" s="20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132"/>
      <c r="AG116" s="132"/>
    </row>
    <row r="117" spans="1:33" s="21" customFormat="1" x14ac:dyDescent="0.2">
      <c r="A117" s="7"/>
      <c r="B117" s="155"/>
      <c r="C117" s="39"/>
      <c r="D117" s="525"/>
      <c r="E117" s="526"/>
      <c r="F117" s="526"/>
      <c r="G117" s="20"/>
      <c r="H117" s="20"/>
      <c r="I117" s="20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132"/>
      <c r="AG117" s="132"/>
    </row>
    <row r="118" spans="1:33" s="21" customFormat="1" x14ac:dyDescent="0.2">
      <c r="A118" s="7"/>
      <c r="B118" s="155"/>
      <c r="C118" s="154"/>
      <c r="D118" s="158"/>
      <c r="E118" s="154"/>
      <c r="F118" s="126"/>
      <c r="G118" s="20"/>
      <c r="H118" s="20"/>
      <c r="I118" s="20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132"/>
      <c r="AG118" s="132"/>
    </row>
    <row r="119" spans="1:33" s="21" customFormat="1" x14ac:dyDescent="0.2">
      <c r="A119" s="7"/>
      <c r="B119" s="155"/>
      <c r="C119" s="154"/>
      <c r="D119" s="158"/>
      <c r="E119" s="154"/>
      <c r="F119" s="126"/>
      <c r="G119" s="20"/>
      <c r="H119" s="20"/>
      <c r="I119" s="20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132"/>
      <c r="AG119" s="132"/>
    </row>
    <row r="120" spans="1:33" s="21" customFormat="1" x14ac:dyDescent="0.2">
      <c r="A120" s="7"/>
      <c r="B120" s="6"/>
      <c r="C120" s="7"/>
      <c r="D120" s="154"/>
      <c r="E120" s="154"/>
      <c r="F120" s="154"/>
      <c r="G120" s="20"/>
      <c r="H120" s="20"/>
      <c r="I120" s="20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132"/>
      <c r="AG120" s="132"/>
    </row>
    <row r="121" spans="1:33" s="21" customFormat="1" x14ac:dyDescent="0.2">
      <c r="A121" s="7"/>
      <c r="B121" s="153"/>
      <c r="C121" s="154"/>
      <c r="D121" s="154"/>
      <c r="E121" s="154"/>
      <c r="F121" s="154"/>
      <c r="G121" s="20"/>
      <c r="H121" s="20"/>
      <c r="I121" s="20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132"/>
      <c r="AG121" s="132"/>
    </row>
    <row r="122" spans="1:33" s="21" customFormat="1" x14ac:dyDescent="0.2">
      <c r="A122" s="7"/>
      <c r="B122" s="153"/>
      <c r="C122" s="154"/>
      <c r="D122" s="158"/>
      <c r="E122" s="154"/>
      <c r="F122" s="154"/>
      <c r="G122" s="20"/>
      <c r="H122" s="20"/>
      <c r="I122" s="20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132"/>
      <c r="AG122" s="132"/>
    </row>
    <row r="123" spans="1:33" s="21" customFormat="1" x14ac:dyDescent="0.2">
      <c r="A123" s="7"/>
      <c r="B123" s="153"/>
      <c r="C123" s="154"/>
      <c r="D123" s="158"/>
      <c r="E123" s="154"/>
      <c r="F123" s="154"/>
      <c r="G123" s="20"/>
      <c r="H123" s="20"/>
      <c r="I123" s="20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132"/>
      <c r="AG123" s="132"/>
    </row>
    <row r="124" spans="1:33" s="21" customFormat="1" x14ac:dyDescent="0.2">
      <c r="A124" s="7"/>
      <c r="B124" s="153"/>
      <c r="C124" s="154"/>
      <c r="D124" s="150"/>
      <c r="E124" s="566"/>
      <c r="F124" s="566"/>
      <c r="G124" s="20"/>
      <c r="H124" s="20"/>
      <c r="I124" s="20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132"/>
      <c r="AG124" s="132"/>
    </row>
    <row r="125" spans="1:33" x14ac:dyDescent="0.2">
      <c r="A125" s="7"/>
      <c r="B125" s="153"/>
      <c r="C125" s="154"/>
      <c r="D125" s="39"/>
      <c r="E125" s="39"/>
      <c r="F125" s="39"/>
      <c r="G125" s="20"/>
      <c r="H125" s="20"/>
      <c r="I125" s="20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122"/>
      <c r="AF125" s="123"/>
      <c r="AG125" s="123"/>
    </row>
    <row r="126" spans="1:33" x14ac:dyDescent="0.2">
      <c r="A126" s="7"/>
      <c r="B126" s="153"/>
      <c r="C126" s="154"/>
      <c r="D126" s="150"/>
      <c r="E126" s="39"/>
      <c r="F126" s="39"/>
      <c r="G126" s="20"/>
      <c r="H126" s="20"/>
      <c r="I126" s="20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122"/>
      <c r="AF126" s="123"/>
      <c r="AG126" s="123"/>
    </row>
    <row r="127" spans="1:33" x14ac:dyDescent="0.2">
      <c r="A127" s="7"/>
      <c r="B127" s="153"/>
      <c r="C127" s="154"/>
      <c r="D127" s="150"/>
      <c r="E127" s="39"/>
      <c r="F127" s="39"/>
      <c r="G127" s="20"/>
      <c r="H127" s="20"/>
      <c r="I127" s="20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122"/>
      <c r="AF127" s="123"/>
      <c r="AG127" s="123"/>
    </row>
    <row r="128" spans="1:33" x14ac:dyDescent="0.2">
      <c r="A128" s="7"/>
      <c r="B128" s="153"/>
      <c r="C128" s="154"/>
      <c r="D128" s="150"/>
      <c r="E128" s="566"/>
      <c r="F128" s="566"/>
      <c r="G128" s="20"/>
      <c r="H128" s="20"/>
      <c r="I128" s="20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122"/>
      <c r="AF128" s="123"/>
      <c r="AG128" s="123"/>
    </row>
    <row r="129" spans="1:33" x14ac:dyDescent="0.2">
      <c r="A129" s="154"/>
      <c r="B129" s="565"/>
      <c r="C129" s="565"/>
      <c r="D129" s="565"/>
      <c r="E129" s="565"/>
      <c r="F129" s="565"/>
      <c r="G129" s="20"/>
      <c r="H129" s="20"/>
      <c r="I129" s="20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122"/>
      <c r="AF129" s="123"/>
      <c r="AG129" s="123"/>
    </row>
    <row r="130" spans="1:33" x14ac:dyDescent="0.2">
      <c r="A130" s="21"/>
      <c r="B130" s="21"/>
      <c r="C130" s="21"/>
      <c r="D130" s="21"/>
      <c r="E130" s="21"/>
      <c r="F130" s="21"/>
      <c r="G130" s="20"/>
      <c r="H130" s="20"/>
      <c r="I130" s="20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 t="s">
        <v>184</v>
      </c>
      <c r="W130" s="34"/>
      <c r="X130" s="34"/>
      <c r="Y130" s="34"/>
      <c r="Z130" s="34"/>
      <c r="AA130" s="34"/>
      <c r="AB130" s="34"/>
      <c r="AC130" s="34"/>
      <c r="AD130" s="34"/>
      <c r="AE130" s="122"/>
      <c r="AF130" s="123"/>
      <c r="AG130" s="123"/>
    </row>
    <row r="131" spans="1:33" x14ac:dyDescent="0.2">
      <c r="A131" s="21"/>
      <c r="B131" s="21"/>
      <c r="C131" s="21"/>
      <c r="D131" s="21"/>
      <c r="E131" s="21"/>
      <c r="F131" s="21"/>
      <c r="G131" s="20"/>
      <c r="H131" s="20"/>
      <c r="I131" s="20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</row>
    <row r="132" spans="1:33" x14ac:dyDescent="0.2">
      <c r="A132" s="21"/>
      <c r="B132" s="21"/>
      <c r="C132" s="21"/>
      <c r="D132" s="21"/>
      <c r="E132" s="21"/>
      <c r="F132" s="21"/>
      <c r="G132" s="20"/>
      <c r="H132" s="20"/>
      <c r="I132" s="20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</row>
    <row r="133" spans="1:33" x14ac:dyDescent="0.2">
      <c r="A133" s="21"/>
      <c r="B133" s="21"/>
      <c r="C133" s="21"/>
      <c r="D133" s="21"/>
      <c r="E133" s="21"/>
      <c r="F133" s="21"/>
      <c r="G133" s="20"/>
      <c r="H133" s="20"/>
      <c r="I133" s="20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</row>
    <row r="134" spans="1:33" x14ac:dyDescent="0.2">
      <c r="A134" s="21"/>
      <c r="B134" s="21"/>
      <c r="C134" s="21"/>
      <c r="D134" s="21"/>
      <c r="E134" s="21"/>
      <c r="F134" s="21"/>
      <c r="G134" s="20"/>
      <c r="H134" s="20"/>
      <c r="I134" s="20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</row>
    <row r="135" spans="1:33" x14ac:dyDescent="0.2">
      <c r="A135" s="21"/>
      <c r="B135" s="21"/>
      <c r="C135" s="21"/>
      <c r="D135" s="21"/>
      <c r="E135" s="21"/>
      <c r="F135" s="21"/>
      <c r="G135" s="20"/>
      <c r="H135" s="20"/>
      <c r="I135" s="20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</row>
    <row r="136" spans="1:33" x14ac:dyDescent="0.2">
      <c r="A136" s="21"/>
      <c r="B136" s="21"/>
      <c r="C136" s="21"/>
      <c r="D136" s="21"/>
      <c r="E136" s="21"/>
      <c r="F136" s="21"/>
      <c r="G136" s="20"/>
      <c r="H136" s="20"/>
      <c r="I136" s="20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</row>
    <row r="137" spans="1:33" x14ac:dyDescent="0.2">
      <c r="A137" s="21"/>
      <c r="B137" s="21"/>
      <c r="C137" s="21"/>
      <c r="D137" s="21"/>
      <c r="E137" s="21"/>
      <c r="F137" s="21"/>
      <c r="G137" s="20"/>
      <c r="H137" s="20"/>
      <c r="I137" s="20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</row>
    <row r="138" spans="1:33" x14ac:dyDescent="0.2">
      <c r="A138" s="21"/>
      <c r="B138" s="21"/>
      <c r="C138" s="21"/>
      <c r="D138" s="21"/>
      <c r="E138" s="21"/>
      <c r="F138" s="21"/>
      <c r="G138" s="20"/>
      <c r="H138" s="20"/>
      <c r="I138" s="20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</row>
    <row r="139" spans="1:33" x14ac:dyDescent="0.2">
      <c r="A139" s="21"/>
      <c r="B139" s="21"/>
      <c r="C139" s="21"/>
      <c r="D139" s="21"/>
      <c r="E139" s="21"/>
      <c r="F139" s="21"/>
      <c r="G139" s="20"/>
      <c r="H139" s="20"/>
      <c r="I139" s="20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</row>
    <row r="140" spans="1:33" x14ac:dyDescent="0.2">
      <c r="A140" s="21"/>
      <c r="B140" s="21"/>
      <c r="C140" s="21"/>
      <c r="D140" s="21"/>
      <c r="E140" s="21"/>
      <c r="F140" s="21"/>
      <c r="G140" s="20"/>
      <c r="H140" s="20"/>
      <c r="I140" s="20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</row>
    <row r="141" spans="1:33" x14ac:dyDescent="0.2">
      <c r="A141" s="21"/>
      <c r="B141" s="21"/>
      <c r="C141" s="21"/>
      <c r="D141" s="21"/>
      <c r="E141" s="21"/>
      <c r="F141" s="21"/>
      <c r="G141" s="20"/>
      <c r="H141" s="20"/>
      <c r="I141" s="20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</row>
    <row r="142" spans="1:33" x14ac:dyDescent="0.2">
      <c r="A142" s="21"/>
      <c r="B142" s="21"/>
      <c r="C142" s="21"/>
      <c r="D142" s="21"/>
      <c r="E142" s="21"/>
      <c r="F142" s="21"/>
      <c r="G142" s="20"/>
      <c r="H142" s="20"/>
      <c r="I142" s="20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</row>
    <row r="143" spans="1:33" x14ac:dyDescent="0.2">
      <c r="A143" s="21"/>
      <c r="B143" s="21"/>
      <c r="C143" s="21"/>
      <c r="D143" s="21"/>
      <c r="E143" s="21"/>
      <c r="F143" s="21"/>
      <c r="G143" s="20"/>
      <c r="H143" s="20"/>
      <c r="I143" s="20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</row>
    <row r="144" spans="1:33" x14ac:dyDescent="0.2">
      <c r="A144" s="21"/>
      <c r="B144" s="21"/>
      <c r="C144" s="21"/>
      <c r="D144" s="21"/>
      <c r="E144" s="21"/>
      <c r="F144" s="21"/>
      <c r="G144" s="20"/>
      <c r="H144" s="20"/>
      <c r="I144" s="20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</row>
    <row r="145" spans="1:30" x14ac:dyDescent="0.2">
      <c r="A145" s="21"/>
      <c r="B145" s="21"/>
      <c r="C145" s="21"/>
      <c r="D145" s="21"/>
      <c r="E145" s="21"/>
      <c r="F145" s="21"/>
      <c r="G145" s="20"/>
      <c r="H145" s="20"/>
      <c r="I145" s="20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</row>
    <row r="146" spans="1:30" x14ac:dyDescent="0.2">
      <c r="A146" s="21"/>
      <c r="B146" s="21"/>
      <c r="C146" s="21"/>
      <c r="D146" s="21"/>
      <c r="E146" s="21"/>
      <c r="F146" s="21"/>
      <c r="G146" s="20"/>
      <c r="H146" s="20"/>
      <c r="I146" s="20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</row>
    <row r="147" spans="1:30" x14ac:dyDescent="0.2">
      <c r="A147" s="21"/>
      <c r="B147" s="21"/>
      <c r="C147" s="21"/>
      <c r="D147" s="21"/>
      <c r="E147" s="21"/>
      <c r="F147" s="21"/>
      <c r="G147" s="20"/>
      <c r="H147" s="20"/>
      <c r="I147" s="20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</row>
    <row r="148" spans="1:30" x14ac:dyDescent="0.2">
      <c r="A148" s="21"/>
      <c r="B148" s="21"/>
      <c r="C148" s="21"/>
      <c r="D148" s="21"/>
      <c r="E148" s="21"/>
      <c r="F148" s="21"/>
      <c r="G148" s="20"/>
      <c r="H148" s="20"/>
      <c r="I148" s="20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</row>
    <row r="149" spans="1:30" x14ac:dyDescent="0.2">
      <c r="A149" s="21"/>
      <c r="B149" s="21"/>
      <c r="C149" s="21"/>
      <c r="D149" s="21"/>
      <c r="E149" s="21"/>
      <c r="F149" s="21"/>
      <c r="G149" s="20"/>
      <c r="H149" s="20"/>
      <c r="I149" s="20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</row>
    <row r="150" spans="1:30" x14ac:dyDescent="0.2">
      <c r="A150" s="21"/>
      <c r="B150" s="21"/>
      <c r="C150" s="21"/>
      <c r="D150" s="21"/>
      <c r="E150" s="21"/>
      <c r="F150" s="21"/>
      <c r="G150" s="20"/>
      <c r="H150" s="20"/>
      <c r="I150" s="20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</row>
    <row r="151" spans="1:30" x14ac:dyDescent="0.2">
      <c r="A151" s="21"/>
      <c r="B151" s="21"/>
      <c r="C151" s="21"/>
      <c r="D151" s="21"/>
      <c r="E151" s="21"/>
      <c r="F151" s="21"/>
      <c r="G151" s="20"/>
      <c r="H151" s="20"/>
      <c r="I151" s="20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</row>
    <row r="152" spans="1:30" x14ac:dyDescent="0.2">
      <c r="A152" s="21"/>
      <c r="B152" s="21"/>
      <c r="C152" s="21"/>
      <c r="D152" s="21"/>
      <c r="E152" s="21"/>
      <c r="F152" s="21"/>
      <c r="G152" s="20"/>
      <c r="H152" s="20"/>
      <c r="I152" s="20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</row>
    <row r="153" spans="1:30" x14ac:dyDescent="0.2">
      <c r="A153" s="21"/>
      <c r="B153" s="21"/>
      <c r="C153" s="21"/>
      <c r="D153" s="21"/>
      <c r="E153" s="21"/>
      <c r="F153" s="21"/>
      <c r="G153" s="20"/>
      <c r="H153" s="20"/>
      <c r="I153" s="20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</row>
    <row r="154" spans="1:30" x14ac:dyDescent="0.2">
      <c r="A154" s="21"/>
      <c r="B154" s="21"/>
      <c r="C154" s="21"/>
      <c r="D154" s="21"/>
      <c r="E154" s="21"/>
      <c r="F154" s="21"/>
      <c r="G154" s="20"/>
      <c r="H154" s="20"/>
      <c r="I154" s="20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</row>
    <row r="155" spans="1:30" x14ac:dyDescent="0.2">
      <c r="A155" s="21"/>
      <c r="B155" s="21"/>
      <c r="C155" s="21"/>
      <c r="D155" s="21"/>
      <c r="E155" s="21"/>
      <c r="F155" s="21"/>
      <c r="G155" s="20"/>
      <c r="H155" s="20"/>
      <c r="I155" s="20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</row>
    <row r="156" spans="1:30" x14ac:dyDescent="0.2">
      <c r="A156" s="21"/>
      <c r="B156" s="21"/>
      <c r="C156" s="21"/>
      <c r="D156" s="21"/>
      <c r="E156" s="21"/>
      <c r="F156" s="21"/>
      <c r="G156" s="20"/>
      <c r="H156" s="20"/>
      <c r="I156" s="20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</row>
    <row r="157" spans="1:30" x14ac:dyDescent="0.2">
      <c r="A157" s="21"/>
      <c r="B157" s="21"/>
      <c r="C157" s="21"/>
      <c r="D157" s="21"/>
      <c r="E157" s="21"/>
      <c r="F157" s="21"/>
      <c r="G157" s="20"/>
      <c r="H157" s="20"/>
      <c r="I157" s="20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</row>
    <row r="158" spans="1:30" x14ac:dyDescent="0.2">
      <c r="A158" s="21"/>
      <c r="B158" s="21"/>
      <c r="C158" s="21"/>
      <c r="D158" s="21"/>
      <c r="E158" s="21"/>
      <c r="F158" s="21"/>
      <c r="G158" s="20"/>
      <c r="H158" s="20"/>
      <c r="I158" s="20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</row>
    <row r="159" spans="1:30" x14ac:dyDescent="0.2">
      <c r="A159" s="21"/>
      <c r="B159" s="21"/>
      <c r="C159" s="21"/>
      <c r="D159" s="21"/>
      <c r="E159" s="21"/>
      <c r="F159" s="21"/>
      <c r="G159" s="20"/>
      <c r="H159" s="20"/>
      <c r="I159" s="20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</row>
    <row r="160" spans="1:30" x14ac:dyDescent="0.2">
      <c r="A160" s="21"/>
      <c r="B160" s="21"/>
      <c r="C160" s="21"/>
      <c r="D160" s="21"/>
      <c r="E160" s="21"/>
      <c r="F160" s="21"/>
      <c r="G160" s="20"/>
      <c r="H160" s="20"/>
      <c r="I160" s="20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</row>
    <row r="161" spans="1:30" x14ac:dyDescent="0.2">
      <c r="A161" s="21"/>
      <c r="B161" s="21"/>
      <c r="C161" s="21"/>
      <c r="D161" s="21"/>
      <c r="E161" s="21"/>
      <c r="F161" s="21"/>
      <c r="G161" s="20"/>
      <c r="H161" s="20"/>
      <c r="I161" s="20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</row>
    <row r="162" spans="1:30" x14ac:dyDescent="0.2">
      <c r="A162" s="21"/>
      <c r="B162" s="21"/>
      <c r="C162" s="21"/>
      <c r="D162" s="21"/>
      <c r="E162" s="21"/>
      <c r="F162" s="21"/>
      <c r="G162" s="20"/>
      <c r="H162" s="20"/>
      <c r="I162" s="20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</row>
    <row r="163" spans="1:30" x14ac:dyDescent="0.2">
      <c r="A163" s="21"/>
      <c r="B163" s="21"/>
      <c r="C163" s="21"/>
      <c r="D163" s="21"/>
      <c r="E163" s="21"/>
      <c r="F163" s="21"/>
      <c r="G163" s="20"/>
      <c r="H163" s="20"/>
      <c r="I163" s="20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</row>
    <row r="164" spans="1:30" x14ac:dyDescent="0.2">
      <c r="A164" s="21"/>
      <c r="B164" s="21"/>
      <c r="C164" s="21"/>
      <c r="D164" s="21"/>
      <c r="E164" s="21"/>
      <c r="F164" s="21"/>
      <c r="G164" s="20"/>
      <c r="H164" s="20"/>
      <c r="I164" s="20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</row>
    <row r="165" spans="1:30" x14ac:dyDescent="0.2">
      <c r="A165" s="21"/>
      <c r="B165" s="21"/>
      <c r="C165" s="21"/>
      <c r="D165" s="21"/>
      <c r="E165" s="21"/>
      <c r="F165" s="21"/>
      <c r="G165" s="20"/>
      <c r="H165" s="20"/>
      <c r="I165" s="20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</row>
    <row r="166" spans="1:30" x14ac:dyDescent="0.2">
      <c r="A166" s="21"/>
      <c r="B166" s="21"/>
      <c r="C166" s="21"/>
      <c r="D166" s="21"/>
      <c r="E166" s="21"/>
      <c r="F166" s="21"/>
      <c r="G166" s="20"/>
      <c r="H166" s="20"/>
      <c r="I166" s="20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</row>
    <row r="167" spans="1:30" x14ac:dyDescent="0.2">
      <c r="A167" s="21"/>
      <c r="B167" s="21"/>
      <c r="C167" s="21"/>
      <c r="D167" s="21"/>
      <c r="E167" s="21"/>
      <c r="F167" s="21"/>
      <c r="G167" s="20"/>
      <c r="H167" s="20"/>
      <c r="I167" s="20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</row>
    <row r="168" spans="1:30" x14ac:dyDescent="0.2">
      <c r="A168" s="21"/>
      <c r="B168" s="21"/>
      <c r="C168" s="21"/>
      <c r="D168" s="21"/>
      <c r="E168" s="21"/>
      <c r="F168" s="21"/>
      <c r="G168" s="20"/>
      <c r="H168" s="20"/>
      <c r="I168" s="20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</row>
    <row r="169" spans="1:30" x14ac:dyDescent="0.2">
      <c r="A169" s="21"/>
      <c r="B169" s="21"/>
      <c r="C169" s="21"/>
      <c r="D169" s="21"/>
      <c r="E169" s="21"/>
      <c r="F169" s="21"/>
      <c r="G169" s="20"/>
      <c r="H169" s="20"/>
      <c r="I169" s="20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</row>
    <row r="170" spans="1:30" x14ac:dyDescent="0.2">
      <c r="A170" s="21"/>
      <c r="B170" s="21"/>
      <c r="C170" s="21"/>
      <c r="D170" s="21"/>
      <c r="E170" s="21"/>
      <c r="F170" s="21"/>
      <c r="G170" s="20"/>
      <c r="H170" s="20"/>
      <c r="I170" s="20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</row>
    <row r="171" spans="1:30" x14ac:dyDescent="0.2">
      <c r="A171" s="21"/>
      <c r="B171" s="21"/>
      <c r="C171" s="21"/>
      <c r="D171" s="21"/>
      <c r="E171" s="21"/>
      <c r="F171" s="21"/>
      <c r="G171" s="20"/>
      <c r="H171" s="20"/>
      <c r="I171" s="20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</row>
    <row r="172" spans="1:30" x14ac:dyDescent="0.2">
      <c r="A172" s="21"/>
      <c r="B172" s="21"/>
      <c r="C172" s="21"/>
      <c r="D172" s="21"/>
      <c r="E172" s="21"/>
      <c r="F172" s="21"/>
      <c r="G172" s="20"/>
      <c r="H172" s="20"/>
      <c r="I172" s="20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</row>
    <row r="173" spans="1:30" x14ac:dyDescent="0.2">
      <c r="A173" s="21"/>
      <c r="B173" s="21"/>
      <c r="C173" s="21"/>
      <c r="D173" s="21"/>
      <c r="E173" s="21"/>
      <c r="F173" s="21"/>
      <c r="G173" s="20"/>
      <c r="H173" s="20"/>
      <c r="I173" s="20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</row>
    <row r="174" spans="1:30" x14ac:dyDescent="0.2">
      <c r="A174" s="21"/>
      <c r="B174" s="21"/>
      <c r="C174" s="21"/>
      <c r="D174" s="21"/>
      <c r="E174" s="21"/>
      <c r="F174" s="21"/>
      <c r="G174" s="20"/>
      <c r="H174" s="20"/>
      <c r="I174" s="20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</row>
    <row r="175" spans="1:30" x14ac:dyDescent="0.2">
      <c r="A175" s="21"/>
      <c r="B175" s="21"/>
      <c r="C175" s="21"/>
      <c r="D175" s="21"/>
      <c r="E175" s="21"/>
      <c r="F175" s="21"/>
      <c r="G175" s="20"/>
      <c r="H175" s="20"/>
      <c r="I175" s="20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</row>
    <row r="176" spans="1:30" x14ac:dyDescent="0.2">
      <c r="A176" s="21"/>
      <c r="B176" s="21"/>
      <c r="C176" s="21"/>
      <c r="D176" s="21"/>
      <c r="E176" s="21"/>
      <c r="F176" s="21"/>
      <c r="G176" s="20"/>
      <c r="H176" s="20"/>
      <c r="I176" s="20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</row>
    <row r="177" spans="1:30" x14ac:dyDescent="0.2">
      <c r="A177" s="21"/>
      <c r="B177" s="21"/>
      <c r="C177" s="21"/>
      <c r="D177" s="21"/>
      <c r="E177" s="21"/>
      <c r="F177" s="21"/>
      <c r="G177" s="20"/>
      <c r="H177" s="20"/>
      <c r="I177" s="20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</row>
    <row r="178" spans="1:30" x14ac:dyDescent="0.2">
      <c r="A178" s="21"/>
      <c r="B178" s="21"/>
      <c r="C178" s="21"/>
      <c r="D178" s="21"/>
      <c r="E178" s="21"/>
      <c r="F178" s="21"/>
      <c r="G178" s="20"/>
      <c r="H178" s="20"/>
      <c r="I178" s="20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</row>
    <row r="179" spans="1:30" x14ac:dyDescent="0.2">
      <c r="A179" s="21"/>
      <c r="B179" s="21"/>
      <c r="C179" s="21"/>
      <c r="D179" s="21"/>
      <c r="E179" s="21"/>
      <c r="F179" s="21"/>
      <c r="G179" s="20"/>
      <c r="H179" s="20"/>
      <c r="I179" s="20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</row>
    <row r="180" spans="1:30" x14ac:dyDescent="0.2">
      <c r="A180" s="21"/>
      <c r="B180" s="21"/>
      <c r="C180" s="21"/>
      <c r="D180" s="21"/>
      <c r="E180" s="21"/>
      <c r="F180" s="21"/>
      <c r="G180" s="20"/>
      <c r="H180" s="20"/>
      <c r="I180" s="20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</row>
    <row r="181" spans="1:30" x14ac:dyDescent="0.2">
      <c r="A181" s="21"/>
      <c r="B181" s="21"/>
      <c r="C181" s="21"/>
      <c r="D181" s="21"/>
      <c r="E181" s="21"/>
      <c r="F181" s="21"/>
      <c r="G181" s="20"/>
      <c r="H181" s="20"/>
      <c r="I181" s="20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</row>
    <row r="182" spans="1:30" x14ac:dyDescent="0.2">
      <c r="A182" s="21"/>
      <c r="B182" s="21"/>
      <c r="C182" s="21"/>
      <c r="D182" s="21"/>
      <c r="E182" s="21"/>
      <c r="F182" s="21"/>
      <c r="G182" s="20"/>
      <c r="H182" s="20"/>
      <c r="I182" s="20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</row>
    <row r="183" spans="1:30" x14ac:dyDescent="0.2">
      <c r="A183" s="21"/>
      <c r="B183" s="21"/>
      <c r="C183" s="21"/>
      <c r="D183" s="21"/>
      <c r="E183" s="21"/>
      <c r="F183" s="21"/>
      <c r="G183" s="20"/>
      <c r="H183" s="20"/>
      <c r="I183" s="20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</row>
    <row r="184" spans="1:30" x14ac:dyDescent="0.2">
      <c r="A184" s="21"/>
      <c r="B184" s="21"/>
      <c r="C184" s="21"/>
      <c r="D184" s="21"/>
      <c r="E184" s="21"/>
      <c r="F184" s="21"/>
      <c r="G184" s="20"/>
      <c r="H184" s="20"/>
      <c r="I184" s="20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</row>
    <row r="185" spans="1:30" x14ac:dyDescent="0.2">
      <c r="A185" s="21"/>
      <c r="B185" s="21"/>
      <c r="C185" s="21"/>
      <c r="D185" s="21"/>
      <c r="E185" s="21"/>
      <c r="F185" s="21"/>
      <c r="G185" s="20"/>
      <c r="H185" s="20"/>
      <c r="I185" s="20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</row>
    <row r="186" spans="1:30" x14ac:dyDescent="0.2">
      <c r="A186" s="21"/>
      <c r="B186" s="21"/>
      <c r="C186" s="21"/>
      <c r="D186" s="21"/>
      <c r="E186" s="21"/>
      <c r="F186" s="21"/>
      <c r="G186" s="20"/>
      <c r="H186" s="20"/>
      <c r="I186" s="20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</row>
    <row r="187" spans="1:30" x14ac:dyDescent="0.2">
      <c r="A187" s="21"/>
      <c r="B187" s="21"/>
      <c r="C187" s="21"/>
      <c r="D187" s="21"/>
      <c r="E187" s="21"/>
      <c r="F187" s="21"/>
      <c r="G187" s="20"/>
      <c r="H187" s="20"/>
      <c r="I187" s="20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</row>
    <row r="188" spans="1:30" x14ac:dyDescent="0.2">
      <c r="A188" s="21"/>
      <c r="B188" s="21"/>
      <c r="C188" s="21"/>
      <c r="D188" s="21"/>
      <c r="E188" s="21"/>
      <c r="F188" s="21"/>
      <c r="G188" s="20"/>
      <c r="H188" s="20"/>
      <c r="I188" s="20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</row>
    <row r="189" spans="1:30" x14ac:dyDescent="0.2">
      <c r="A189" s="21"/>
      <c r="B189" s="21"/>
      <c r="C189" s="21"/>
      <c r="D189" s="21"/>
      <c r="E189" s="21"/>
      <c r="F189" s="21"/>
      <c r="G189" s="20"/>
      <c r="H189" s="20"/>
      <c r="I189" s="20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</row>
    <row r="190" spans="1:30" x14ac:dyDescent="0.2">
      <c r="A190" s="21"/>
      <c r="B190" s="21"/>
      <c r="C190" s="21"/>
      <c r="D190" s="21"/>
      <c r="E190" s="21"/>
      <c r="F190" s="21"/>
      <c r="G190" s="20"/>
      <c r="H190" s="20"/>
      <c r="I190" s="20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</row>
    <row r="191" spans="1:30" x14ac:dyDescent="0.2">
      <c r="A191" s="21"/>
      <c r="B191" s="21"/>
      <c r="C191" s="21"/>
      <c r="D191" s="21"/>
      <c r="E191" s="21"/>
      <c r="F191" s="21"/>
      <c r="G191" s="20"/>
      <c r="H191" s="20"/>
      <c r="I191" s="20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</row>
    <row r="192" spans="1:30" x14ac:dyDescent="0.2">
      <c r="A192" s="21"/>
      <c r="B192" s="21"/>
      <c r="C192" s="21"/>
      <c r="D192" s="21"/>
      <c r="E192" s="21"/>
      <c r="F192" s="21"/>
      <c r="G192" s="20"/>
      <c r="H192" s="20"/>
      <c r="I192" s="20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</row>
    <row r="193" spans="1:30" x14ac:dyDescent="0.2">
      <c r="A193" s="21"/>
      <c r="B193" s="21"/>
      <c r="C193" s="21"/>
      <c r="D193" s="21"/>
      <c r="E193" s="21"/>
      <c r="F193" s="21"/>
      <c r="G193" s="20"/>
      <c r="H193" s="20"/>
      <c r="I193" s="20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</row>
    <row r="194" spans="1:30" x14ac:dyDescent="0.2">
      <c r="A194" s="21"/>
      <c r="B194" s="21"/>
      <c r="C194" s="21"/>
      <c r="D194" s="21"/>
      <c r="E194" s="21"/>
      <c r="F194" s="21"/>
      <c r="G194" s="20"/>
      <c r="H194" s="20"/>
      <c r="I194" s="20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</row>
    <row r="195" spans="1:30" x14ac:dyDescent="0.2">
      <c r="A195" s="21"/>
      <c r="B195" s="21"/>
      <c r="C195" s="21"/>
      <c r="D195" s="21"/>
      <c r="E195" s="21"/>
      <c r="F195" s="21"/>
      <c r="G195" s="20"/>
      <c r="H195" s="20"/>
      <c r="I195" s="20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</row>
    <row r="196" spans="1:30" x14ac:dyDescent="0.2">
      <c r="A196" s="21"/>
      <c r="B196" s="21"/>
      <c r="C196" s="21"/>
      <c r="D196" s="21"/>
      <c r="E196" s="21"/>
      <c r="F196" s="21"/>
      <c r="G196" s="20"/>
      <c r="H196" s="20"/>
      <c r="I196" s="20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</row>
    <row r="197" spans="1:30" x14ac:dyDescent="0.2">
      <c r="A197" s="21"/>
      <c r="B197" s="21"/>
      <c r="C197" s="21"/>
      <c r="D197" s="21"/>
      <c r="E197" s="21"/>
      <c r="F197" s="21"/>
      <c r="G197" s="20"/>
      <c r="H197" s="20"/>
      <c r="I197" s="20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</row>
    <row r="198" spans="1:30" x14ac:dyDescent="0.2">
      <c r="A198" s="21"/>
      <c r="B198" s="21"/>
      <c r="C198" s="21"/>
      <c r="D198" s="21"/>
      <c r="E198" s="21"/>
      <c r="F198" s="21"/>
      <c r="G198" s="20"/>
      <c r="H198" s="20"/>
      <c r="I198" s="20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</row>
    <row r="199" spans="1:30" x14ac:dyDescent="0.2">
      <c r="A199" s="21"/>
      <c r="B199" s="21"/>
      <c r="C199" s="21"/>
      <c r="D199" s="21"/>
      <c r="E199" s="21"/>
      <c r="F199" s="21"/>
      <c r="G199" s="20"/>
      <c r="H199" s="20"/>
      <c r="I199" s="20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</row>
    <row r="200" spans="1:30" x14ac:dyDescent="0.2">
      <c r="A200" s="21"/>
      <c r="B200" s="21"/>
      <c r="C200" s="21"/>
      <c r="D200" s="21"/>
      <c r="E200" s="21"/>
      <c r="F200" s="21"/>
      <c r="G200" s="20"/>
      <c r="H200" s="20"/>
      <c r="I200" s="20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</row>
    <row r="201" spans="1:30" x14ac:dyDescent="0.2">
      <c r="A201" s="21"/>
      <c r="B201" s="21"/>
      <c r="C201" s="21"/>
      <c r="D201" s="21"/>
      <c r="E201" s="21"/>
      <c r="F201" s="21"/>
      <c r="G201" s="20"/>
      <c r="H201" s="20"/>
      <c r="I201" s="20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</row>
    <row r="202" spans="1:30" x14ac:dyDescent="0.2">
      <c r="A202" s="21"/>
      <c r="B202" s="21"/>
      <c r="C202" s="21"/>
      <c r="D202" s="21"/>
      <c r="E202" s="21"/>
      <c r="F202" s="21"/>
      <c r="G202" s="20"/>
      <c r="H202" s="20"/>
      <c r="I202" s="20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</row>
    <row r="203" spans="1:30" x14ac:dyDescent="0.2">
      <c r="A203" s="21"/>
      <c r="B203" s="21"/>
      <c r="C203" s="21"/>
      <c r="D203" s="21"/>
      <c r="E203" s="21"/>
      <c r="F203" s="21"/>
      <c r="G203" s="20"/>
      <c r="H203" s="20"/>
      <c r="I203" s="20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</row>
    <row r="204" spans="1:30" x14ac:dyDescent="0.2">
      <c r="A204" s="21"/>
      <c r="B204" s="21"/>
      <c r="C204" s="21"/>
      <c r="D204" s="21"/>
      <c r="E204" s="21"/>
      <c r="F204" s="21"/>
      <c r="G204" s="20"/>
      <c r="H204" s="20"/>
      <c r="I204" s="20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</row>
    <row r="205" spans="1:30" x14ac:dyDescent="0.2">
      <c r="A205" s="21"/>
      <c r="B205" s="21"/>
      <c r="C205" s="21"/>
      <c r="D205" s="21"/>
      <c r="E205" s="21"/>
      <c r="F205" s="21"/>
      <c r="G205" s="20"/>
      <c r="H205" s="20"/>
      <c r="I205" s="20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</row>
    <row r="206" spans="1:30" x14ac:dyDescent="0.2">
      <c r="A206" s="21"/>
      <c r="B206" s="21"/>
      <c r="C206" s="21"/>
      <c r="D206" s="21"/>
      <c r="E206" s="21"/>
      <c r="F206" s="21"/>
      <c r="G206" s="20"/>
      <c r="H206" s="20"/>
      <c r="I206" s="20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</row>
    <row r="207" spans="1:30" x14ac:dyDescent="0.2">
      <c r="A207" s="21"/>
      <c r="B207" s="21"/>
      <c r="C207" s="21"/>
      <c r="D207" s="21"/>
      <c r="E207" s="21"/>
      <c r="F207" s="21"/>
      <c r="G207" s="20"/>
      <c r="H207" s="20"/>
      <c r="I207" s="20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</row>
    <row r="208" spans="1:30" x14ac:dyDescent="0.2">
      <c r="A208" s="21"/>
      <c r="B208" s="21"/>
      <c r="C208" s="21"/>
      <c r="D208" s="21"/>
      <c r="E208" s="21"/>
      <c r="F208" s="21"/>
      <c r="G208" s="20"/>
      <c r="H208" s="20"/>
      <c r="I208" s="20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</row>
    <row r="209" spans="1:30" x14ac:dyDescent="0.2">
      <c r="A209" s="21"/>
      <c r="B209" s="21"/>
      <c r="C209" s="21"/>
      <c r="D209" s="21"/>
      <c r="E209" s="21"/>
      <c r="F209" s="21"/>
      <c r="G209" s="20"/>
      <c r="H209" s="20"/>
      <c r="I209" s="20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</row>
    <row r="210" spans="1:30" x14ac:dyDescent="0.2">
      <c r="A210" s="21"/>
      <c r="B210" s="21"/>
      <c r="C210" s="21"/>
      <c r="D210" s="21"/>
      <c r="E210" s="21"/>
      <c r="F210" s="21"/>
      <c r="G210" s="20"/>
      <c r="H210" s="20"/>
      <c r="I210" s="20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</row>
    <row r="211" spans="1:30" x14ac:dyDescent="0.2">
      <c r="A211" s="21"/>
      <c r="B211" s="21"/>
      <c r="C211" s="21"/>
      <c r="D211" s="21"/>
      <c r="E211" s="21"/>
      <c r="F211" s="21"/>
      <c r="G211" s="20"/>
      <c r="H211" s="20"/>
      <c r="I211" s="20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</row>
    <row r="212" spans="1:30" x14ac:dyDescent="0.2">
      <c r="A212" s="21"/>
      <c r="B212" s="21"/>
      <c r="C212" s="21"/>
      <c r="D212" s="21"/>
      <c r="E212" s="21"/>
      <c r="F212" s="21"/>
      <c r="G212" s="20"/>
      <c r="H212" s="20"/>
      <c r="I212" s="20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</row>
    <row r="213" spans="1:30" x14ac:dyDescent="0.2">
      <c r="A213" s="21"/>
      <c r="B213" s="21"/>
      <c r="C213" s="21"/>
      <c r="D213" s="21"/>
      <c r="E213" s="21"/>
      <c r="F213" s="21"/>
      <c r="G213" s="20"/>
      <c r="H213" s="20"/>
      <c r="I213" s="20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</row>
    <row r="214" spans="1:30" x14ac:dyDescent="0.2">
      <c r="A214" s="21"/>
      <c r="B214" s="21"/>
      <c r="C214" s="21"/>
      <c r="D214" s="21"/>
      <c r="E214" s="21"/>
      <c r="F214" s="21"/>
      <c r="G214" s="20"/>
      <c r="H214" s="20"/>
      <c r="I214" s="20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</row>
    <row r="215" spans="1:30" x14ac:dyDescent="0.2">
      <c r="A215" s="21"/>
      <c r="B215" s="21"/>
      <c r="C215" s="21"/>
      <c r="D215" s="21"/>
      <c r="E215" s="21"/>
      <c r="F215" s="21"/>
      <c r="G215" s="20"/>
      <c r="H215" s="20"/>
      <c r="I215" s="20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</row>
    <row r="216" spans="1:30" x14ac:dyDescent="0.2">
      <c r="A216" s="21"/>
      <c r="B216" s="21"/>
      <c r="C216" s="21"/>
      <c r="D216" s="21"/>
      <c r="E216" s="21"/>
      <c r="F216" s="21"/>
      <c r="G216" s="20"/>
      <c r="H216" s="20"/>
      <c r="I216" s="20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</row>
    <row r="217" spans="1:30" x14ac:dyDescent="0.2">
      <c r="A217" s="21"/>
      <c r="B217" s="21"/>
      <c r="C217" s="21"/>
      <c r="D217" s="21"/>
      <c r="E217" s="21"/>
      <c r="F217" s="21"/>
      <c r="G217" s="20"/>
      <c r="H217" s="20"/>
      <c r="I217" s="20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</row>
    <row r="218" spans="1:30" x14ac:dyDescent="0.2">
      <c r="A218" s="21"/>
      <c r="B218" s="21"/>
      <c r="C218" s="21"/>
      <c r="D218" s="21"/>
      <c r="E218" s="21"/>
      <c r="F218" s="21"/>
      <c r="G218" s="20"/>
      <c r="H218" s="20"/>
      <c r="I218" s="20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</row>
    <row r="219" spans="1:30" x14ac:dyDescent="0.2">
      <c r="A219" s="21"/>
      <c r="B219" s="21"/>
      <c r="C219" s="21"/>
      <c r="D219" s="21"/>
      <c r="E219" s="21"/>
      <c r="F219" s="21"/>
      <c r="G219" s="20"/>
      <c r="H219" s="20"/>
      <c r="I219" s="20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</row>
    <row r="220" spans="1:30" x14ac:dyDescent="0.2">
      <c r="A220" s="21"/>
      <c r="B220" s="21"/>
      <c r="C220" s="21"/>
      <c r="D220" s="21"/>
      <c r="E220" s="21"/>
      <c r="F220" s="21"/>
      <c r="G220" s="20"/>
      <c r="H220" s="20"/>
      <c r="I220" s="20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</row>
    <row r="221" spans="1:30" x14ac:dyDescent="0.2">
      <c r="A221" s="21"/>
      <c r="B221" s="21"/>
      <c r="C221" s="21"/>
      <c r="D221" s="21"/>
      <c r="E221" s="21"/>
      <c r="F221" s="21"/>
      <c r="G221" s="20"/>
      <c r="H221" s="20"/>
      <c r="I221" s="20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</row>
    <row r="222" spans="1:30" x14ac:dyDescent="0.2">
      <c r="A222" s="21"/>
      <c r="B222" s="21"/>
      <c r="C222" s="21"/>
      <c r="D222" s="21"/>
      <c r="E222" s="21"/>
      <c r="F222" s="21"/>
      <c r="G222" s="20"/>
      <c r="H222" s="20"/>
      <c r="I222" s="20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</row>
    <row r="223" spans="1:30" x14ac:dyDescent="0.2">
      <c r="A223" s="21"/>
      <c r="B223" s="21"/>
      <c r="C223" s="21"/>
      <c r="D223" s="21"/>
      <c r="E223" s="21"/>
      <c r="F223" s="21"/>
      <c r="G223" s="20"/>
      <c r="H223" s="20"/>
      <c r="I223" s="20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</row>
    <row r="224" spans="1:30" x14ac:dyDescent="0.2">
      <c r="A224" s="21"/>
      <c r="B224" s="21"/>
      <c r="C224" s="21"/>
      <c r="D224" s="21"/>
      <c r="E224" s="21"/>
      <c r="F224" s="21"/>
      <c r="G224" s="20"/>
      <c r="H224" s="20"/>
      <c r="I224" s="20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</row>
    <row r="225" spans="1:30" x14ac:dyDescent="0.2">
      <c r="A225" s="21"/>
      <c r="B225" s="21"/>
      <c r="C225" s="21"/>
      <c r="D225" s="21"/>
      <c r="E225" s="21"/>
      <c r="F225" s="21"/>
      <c r="G225" s="20"/>
      <c r="H225" s="20"/>
      <c r="I225" s="20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</row>
    <row r="226" spans="1:30" x14ac:dyDescent="0.2">
      <c r="A226" s="21"/>
      <c r="B226" s="21"/>
      <c r="C226" s="21"/>
      <c r="D226" s="21"/>
      <c r="E226" s="21"/>
      <c r="F226" s="21"/>
      <c r="G226" s="20"/>
      <c r="H226" s="20"/>
      <c r="I226" s="20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</row>
    <row r="227" spans="1:30" x14ac:dyDescent="0.2">
      <c r="A227" s="21"/>
      <c r="B227" s="21"/>
      <c r="C227" s="21"/>
      <c r="D227" s="21"/>
      <c r="E227" s="21"/>
      <c r="F227" s="21"/>
      <c r="G227" s="20"/>
      <c r="H227" s="20"/>
      <c r="I227" s="20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</row>
    <row r="228" spans="1:30" x14ac:dyDescent="0.2">
      <c r="A228" s="21"/>
      <c r="B228" s="21"/>
      <c r="C228" s="21"/>
      <c r="D228" s="21"/>
      <c r="E228" s="21"/>
      <c r="F228" s="21"/>
      <c r="G228" s="20"/>
      <c r="H228" s="20"/>
      <c r="I228" s="20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</row>
    <row r="229" spans="1:30" x14ac:dyDescent="0.2">
      <c r="A229" s="21"/>
      <c r="B229" s="21"/>
      <c r="C229" s="21"/>
      <c r="D229" s="21"/>
      <c r="E229" s="21"/>
      <c r="F229" s="21"/>
      <c r="G229" s="20"/>
      <c r="H229" s="20"/>
      <c r="I229" s="20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</row>
    <row r="230" spans="1:30" x14ac:dyDescent="0.2">
      <c r="A230" s="21"/>
      <c r="B230" s="21"/>
      <c r="C230" s="21"/>
      <c r="D230" s="21"/>
      <c r="E230" s="21"/>
      <c r="F230" s="21"/>
      <c r="G230" s="20"/>
      <c r="H230" s="20"/>
      <c r="I230" s="20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</row>
    <row r="231" spans="1:30" x14ac:dyDescent="0.2">
      <c r="A231" s="21"/>
      <c r="B231" s="21"/>
      <c r="C231" s="21"/>
      <c r="D231" s="21"/>
      <c r="E231" s="21"/>
      <c r="F231" s="21"/>
      <c r="G231" s="20"/>
      <c r="H231" s="20"/>
      <c r="I231" s="20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</row>
    <row r="232" spans="1:30" x14ac:dyDescent="0.2">
      <c r="A232" s="21"/>
      <c r="B232" s="21"/>
      <c r="C232" s="21"/>
      <c r="D232" s="21"/>
      <c r="E232" s="21"/>
      <c r="F232" s="21"/>
      <c r="G232" s="20"/>
      <c r="H232" s="20"/>
      <c r="I232" s="20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</row>
    <row r="233" spans="1:30" x14ac:dyDescent="0.2">
      <c r="A233" s="21"/>
      <c r="B233" s="21"/>
      <c r="C233" s="21"/>
      <c r="D233" s="21"/>
      <c r="E233" s="21"/>
      <c r="F233" s="21"/>
      <c r="G233" s="20"/>
      <c r="H233" s="20"/>
      <c r="I233" s="20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</row>
    <row r="234" spans="1:30" x14ac:dyDescent="0.2">
      <c r="A234" s="21"/>
      <c r="B234" s="21"/>
      <c r="C234" s="21"/>
      <c r="D234" s="21"/>
      <c r="E234" s="21"/>
      <c r="F234" s="21"/>
      <c r="G234" s="20"/>
      <c r="H234" s="20"/>
      <c r="I234" s="20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</row>
    <row r="235" spans="1:30" x14ac:dyDescent="0.2">
      <c r="A235" s="21"/>
      <c r="B235" s="21"/>
      <c r="C235" s="21"/>
      <c r="D235" s="21"/>
      <c r="E235" s="21"/>
      <c r="F235" s="21"/>
      <c r="G235" s="20"/>
      <c r="H235" s="20"/>
      <c r="I235" s="20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</row>
    <row r="236" spans="1:30" x14ac:dyDescent="0.2">
      <c r="A236" s="21"/>
      <c r="B236" s="21"/>
      <c r="C236" s="21"/>
      <c r="D236" s="21"/>
      <c r="E236" s="21"/>
      <c r="F236" s="21"/>
      <c r="G236" s="20"/>
      <c r="H236" s="20"/>
      <c r="I236" s="20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</row>
    <row r="237" spans="1:30" x14ac:dyDescent="0.2">
      <c r="A237" s="21"/>
      <c r="B237" s="21"/>
      <c r="C237" s="21"/>
      <c r="D237" s="21"/>
      <c r="E237" s="21"/>
      <c r="F237" s="21"/>
      <c r="G237" s="20"/>
      <c r="H237" s="20"/>
      <c r="I237" s="20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</row>
    <row r="238" spans="1:30" x14ac:dyDescent="0.2">
      <c r="A238" s="21"/>
      <c r="B238" s="21"/>
      <c r="C238" s="21"/>
      <c r="D238" s="21"/>
      <c r="E238" s="21"/>
      <c r="F238" s="21"/>
      <c r="G238" s="20"/>
      <c r="H238" s="20"/>
      <c r="I238" s="20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</row>
    <row r="239" spans="1:30" x14ac:dyDescent="0.2">
      <c r="A239" s="21"/>
      <c r="B239" s="21"/>
      <c r="C239" s="21"/>
      <c r="D239" s="21"/>
      <c r="E239" s="21"/>
      <c r="F239" s="21"/>
      <c r="G239" s="20"/>
      <c r="H239" s="20"/>
      <c r="I239" s="20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</row>
    <row r="240" spans="1:30" x14ac:dyDescent="0.2">
      <c r="A240" s="21"/>
      <c r="B240" s="21"/>
      <c r="C240" s="21"/>
      <c r="D240" s="21"/>
      <c r="E240" s="21"/>
      <c r="F240" s="21"/>
      <c r="G240" s="20"/>
      <c r="H240" s="20"/>
      <c r="I240" s="20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</row>
    <row r="241" spans="1:30" x14ac:dyDescent="0.2">
      <c r="A241" s="21"/>
      <c r="B241" s="21"/>
      <c r="C241" s="21"/>
      <c r="D241" s="21"/>
      <c r="E241" s="21"/>
      <c r="F241" s="21"/>
      <c r="G241" s="20"/>
      <c r="H241" s="20"/>
      <c r="I241" s="20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</row>
    <row r="242" spans="1:30" x14ac:dyDescent="0.2">
      <c r="A242" s="21"/>
      <c r="B242" s="21"/>
      <c r="C242" s="21"/>
      <c r="D242" s="21"/>
      <c r="E242" s="21"/>
      <c r="F242" s="21"/>
      <c r="G242" s="20"/>
      <c r="H242" s="20"/>
      <c r="I242" s="20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</row>
    <row r="243" spans="1:30" x14ac:dyDescent="0.2">
      <c r="A243" s="21"/>
      <c r="B243" s="21"/>
      <c r="C243" s="21"/>
      <c r="D243" s="21"/>
      <c r="E243" s="21"/>
      <c r="F243" s="21"/>
      <c r="G243" s="20"/>
      <c r="H243" s="20"/>
      <c r="I243" s="20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</row>
    <row r="244" spans="1:30" x14ac:dyDescent="0.2">
      <c r="A244" s="21"/>
      <c r="B244" s="21"/>
      <c r="C244" s="21"/>
      <c r="D244" s="21"/>
      <c r="E244" s="21"/>
      <c r="F244" s="21"/>
      <c r="G244" s="20"/>
      <c r="H244" s="20"/>
      <c r="I244" s="20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</row>
    <row r="245" spans="1:30" x14ac:dyDescent="0.2">
      <c r="A245" s="21"/>
      <c r="B245" s="21"/>
      <c r="C245" s="21"/>
      <c r="D245" s="21"/>
      <c r="E245" s="21"/>
      <c r="F245" s="21"/>
      <c r="G245" s="20"/>
      <c r="H245" s="20"/>
      <c r="I245" s="20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</row>
    <row r="246" spans="1:30" x14ac:dyDescent="0.2">
      <c r="A246" s="21"/>
      <c r="B246" s="21"/>
      <c r="C246" s="21"/>
      <c r="D246" s="21"/>
      <c r="E246" s="21"/>
      <c r="F246" s="21"/>
      <c r="G246" s="20"/>
      <c r="H246" s="20"/>
      <c r="I246" s="20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</row>
    <row r="247" spans="1:30" x14ac:dyDescent="0.2">
      <c r="A247" s="21"/>
      <c r="B247" s="21"/>
      <c r="C247" s="21"/>
      <c r="D247" s="21"/>
      <c r="E247" s="21"/>
      <c r="F247" s="21"/>
      <c r="G247" s="20"/>
      <c r="H247" s="20"/>
      <c r="I247" s="20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</row>
    <row r="248" spans="1:30" x14ac:dyDescent="0.2">
      <c r="A248" s="21"/>
      <c r="B248" s="21"/>
      <c r="C248" s="21"/>
      <c r="D248" s="21"/>
      <c r="E248" s="21"/>
      <c r="F248" s="21"/>
      <c r="G248" s="20"/>
      <c r="H248" s="20"/>
      <c r="I248" s="20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</row>
    <row r="249" spans="1:30" x14ac:dyDescent="0.2">
      <c r="A249" s="21"/>
      <c r="B249" s="21"/>
      <c r="C249" s="21"/>
      <c r="D249" s="21"/>
      <c r="E249" s="21"/>
      <c r="F249" s="21"/>
      <c r="G249" s="20"/>
      <c r="H249" s="20"/>
      <c r="I249" s="20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</row>
    <row r="250" spans="1:30" x14ac:dyDescent="0.2">
      <c r="A250" s="21"/>
      <c r="B250" s="21"/>
      <c r="C250" s="21"/>
      <c r="D250" s="21"/>
      <c r="E250" s="21"/>
      <c r="F250" s="21"/>
      <c r="G250" s="20"/>
      <c r="H250" s="20"/>
      <c r="I250" s="20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</row>
    <row r="251" spans="1:30" x14ac:dyDescent="0.2">
      <c r="A251" s="21"/>
      <c r="B251" s="21"/>
      <c r="C251" s="21"/>
      <c r="D251" s="21"/>
      <c r="E251" s="21"/>
      <c r="F251" s="21"/>
      <c r="G251" s="20"/>
      <c r="H251" s="20"/>
      <c r="I251" s="20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</row>
    <row r="252" spans="1:30" x14ac:dyDescent="0.2">
      <c r="A252" s="21"/>
      <c r="B252" s="21"/>
      <c r="C252" s="21"/>
      <c r="D252" s="21"/>
      <c r="E252" s="21"/>
      <c r="F252" s="21"/>
      <c r="G252" s="20"/>
      <c r="H252" s="20"/>
      <c r="I252" s="20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</row>
    <row r="253" spans="1:30" x14ac:dyDescent="0.2">
      <c r="A253" s="21"/>
      <c r="B253" s="21"/>
      <c r="C253" s="21"/>
      <c r="D253" s="21"/>
      <c r="E253" s="21"/>
      <c r="F253" s="21"/>
      <c r="G253" s="20"/>
      <c r="H253" s="20"/>
      <c r="I253" s="20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</row>
    <row r="254" spans="1:30" x14ac:dyDescent="0.2">
      <c r="A254" s="21"/>
      <c r="B254" s="21"/>
      <c r="C254" s="21"/>
      <c r="D254" s="21"/>
      <c r="E254" s="21"/>
      <c r="F254" s="21"/>
      <c r="G254" s="20"/>
      <c r="H254" s="20"/>
      <c r="I254" s="20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</row>
    <row r="255" spans="1:30" x14ac:dyDescent="0.2">
      <c r="A255" s="21"/>
      <c r="B255" s="21"/>
      <c r="C255" s="21"/>
      <c r="D255" s="21"/>
      <c r="E255" s="21"/>
      <c r="F255" s="21"/>
      <c r="G255" s="20"/>
      <c r="H255" s="20"/>
      <c r="I255" s="20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</row>
  </sheetData>
  <sheetProtection password="B444" sheet="1" objects="1" scenarios="1" selectLockedCells="1"/>
  <mergeCells count="32">
    <mergeCell ref="A1:AD1"/>
    <mergeCell ref="AB7:AB9"/>
    <mergeCell ref="Z7:Z9"/>
    <mergeCell ref="X7:X9"/>
    <mergeCell ref="V7:V9"/>
    <mergeCell ref="L7:T7"/>
    <mergeCell ref="N8:N9"/>
    <mergeCell ref="P8:P9"/>
    <mergeCell ref="AD7:AD9"/>
    <mergeCell ref="T8:T9"/>
    <mergeCell ref="C53:D53"/>
    <mergeCell ref="D50:E50"/>
    <mergeCell ref="L8:L9"/>
    <mergeCell ref="A4:AD4"/>
    <mergeCell ref="R8:R9"/>
    <mergeCell ref="J7:J9"/>
    <mergeCell ref="C43:D43"/>
    <mergeCell ref="D44:F44"/>
    <mergeCell ref="H6:H9"/>
    <mergeCell ref="E124:F124"/>
    <mergeCell ref="B129:F129"/>
    <mergeCell ref="E80:F80"/>
    <mergeCell ref="D91:F91"/>
    <mergeCell ref="D106:F106"/>
    <mergeCell ref="D117:F117"/>
    <mergeCell ref="E128:F128"/>
    <mergeCell ref="A2:AD2"/>
    <mergeCell ref="A6:F9"/>
    <mergeCell ref="I6:I9"/>
    <mergeCell ref="D51:F51"/>
    <mergeCell ref="D45:F45"/>
    <mergeCell ref="G6:G9"/>
  </mergeCells>
  <phoneticPr fontId="0" type="noConversion"/>
  <dataValidations count="1">
    <dataValidation type="decimal" operator="lessThan" allowBlank="1" showInputMessage="1" showErrorMessage="1" sqref="J10:FN587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6b1&amp;8&amp;U
&amp;P of &amp;N&amp;C&amp;"Arial,Bold"&amp;8 MAXIMUM SAVINGS BANK, INC.  [ 03-070011 ]
 As of: June 30, 2019</oddHeader>
  </headerFooter>
  <drawing r:id="rId2"/>
  <legacyDrawing r:id="rId3"/>
  <controls>
    <mc:AlternateContent xmlns:mc="http://schemas.openxmlformats.org/markup-compatibility/2006">
      <mc:Choice Requires="x14">
        <control shapeId="9218" r:id="rId4" name="Label2">
          <controlPr defaultSize="0" autoLine="0" r:id="rId5">
            <anchor moveWithCells="1">
              <from>
                <xdr:col>7</xdr:col>
                <xdr:colOff>266700</xdr:colOff>
                <xdr:row>17</xdr:row>
                <xdr:rowOff>28575</xdr:rowOff>
              </from>
              <to>
                <xdr:col>7</xdr:col>
                <xdr:colOff>666750</xdr:colOff>
                <xdr:row>18</xdr:row>
                <xdr:rowOff>28575</xdr:rowOff>
              </to>
            </anchor>
          </controlPr>
        </control>
      </mc:Choice>
      <mc:Fallback>
        <control shapeId="9218" r:id="rId4" name="Label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U255"/>
  <sheetViews>
    <sheetView zoomScale="75" zoomScaleNormal="90" zoomScaleSheetLayoutView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4" sqref="I14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25.42578125" style="1" customWidth="1"/>
    <col min="6" max="6" width="21.42578125" style="1" hidden="1" customWidth="1"/>
    <col min="7" max="7" width="18.7109375" style="9" customWidth="1"/>
    <col min="8" max="8" width="10.42578125" style="9" customWidth="1"/>
    <col min="9" max="30" width="20.7109375" style="1" customWidth="1"/>
    <col min="31" max="170" width="25.7109375" style="1" customWidth="1"/>
    <col min="171" max="16384" width="9.140625" style="1"/>
  </cols>
  <sheetData>
    <row r="1" spans="1:33" ht="12.75" x14ac:dyDescent="0.2">
      <c r="A1" s="512" t="s">
        <v>519</v>
      </c>
      <c r="B1" s="512"/>
      <c r="C1" s="512"/>
      <c r="D1" s="512"/>
      <c r="E1" s="512"/>
      <c r="F1" s="512"/>
      <c r="G1" s="512"/>
      <c r="H1" s="512"/>
      <c r="I1" s="512"/>
      <c r="J1" s="512"/>
      <c r="K1" s="512"/>
      <c r="L1" s="512"/>
      <c r="M1" s="512"/>
      <c r="N1" s="512"/>
      <c r="O1" s="512"/>
      <c r="P1" s="512"/>
      <c r="Q1" s="512"/>
      <c r="R1" s="512"/>
      <c r="S1" s="512"/>
      <c r="T1" s="512"/>
      <c r="U1" s="512"/>
      <c r="V1" s="512"/>
      <c r="W1" s="512"/>
      <c r="X1" s="512"/>
      <c r="Y1" s="512"/>
      <c r="Z1" s="512"/>
      <c r="AA1" s="512"/>
      <c r="AB1" s="512"/>
      <c r="AC1" s="512"/>
      <c r="AD1" s="512"/>
    </row>
    <row r="2" spans="1:33" ht="12.75" customHeight="1" x14ac:dyDescent="0.2">
      <c r="A2" s="512" t="s">
        <v>325</v>
      </c>
      <c r="B2" s="512"/>
      <c r="C2" s="512"/>
      <c r="D2" s="512"/>
      <c r="E2" s="512"/>
      <c r="F2" s="512"/>
      <c r="G2" s="512"/>
      <c r="H2" s="512"/>
      <c r="I2" s="512"/>
      <c r="J2" s="512"/>
      <c r="K2" s="512"/>
      <c r="L2" s="512"/>
      <c r="M2" s="512"/>
      <c r="N2" s="512"/>
      <c r="O2" s="512"/>
      <c r="P2" s="512"/>
      <c r="Q2" s="512"/>
      <c r="R2" s="512"/>
      <c r="S2" s="512"/>
      <c r="T2" s="512"/>
      <c r="U2" s="512"/>
      <c r="V2" s="512"/>
      <c r="W2" s="512"/>
      <c r="X2" s="512"/>
      <c r="Y2" s="512"/>
      <c r="Z2" s="512"/>
      <c r="AA2" s="512"/>
      <c r="AB2" s="512"/>
      <c r="AC2" s="512"/>
      <c r="AD2" s="512"/>
    </row>
    <row r="3" spans="1:33" ht="12.75" customHeight="1" x14ac:dyDescent="0.2">
      <c r="A3" s="512" t="s">
        <v>4</v>
      </c>
      <c r="B3" s="512"/>
      <c r="C3" s="512"/>
      <c r="D3" s="512"/>
      <c r="E3" s="512"/>
      <c r="F3" s="512"/>
      <c r="G3" s="512"/>
      <c r="H3" s="512"/>
      <c r="I3" s="512"/>
      <c r="J3" s="512"/>
      <c r="K3" s="512"/>
      <c r="L3" s="512"/>
      <c r="M3" s="512"/>
      <c r="N3" s="512"/>
      <c r="O3" s="512"/>
      <c r="P3" s="512"/>
      <c r="Q3" s="512"/>
      <c r="R3" s="512"/>
      <c r="S3" s="512"/>
      <c r="T3" s="512"/>
      <c r="U3" s="512"/>
      <c r="V3" s="512"/>
      <c r="W3" s="512"/>
      <c r="X3" s="512"/>
      <c r="Y3" s="512"/>
      <c r="Z3" s="512"/>
      <c r="AA3" s="512"/>
      <c r="AB3" s="512"/>
      <c r="AC3" s="512"/>
      <c r="AD3" s="512"/>
    </row>
    <row r="4" spans="1:33" ht="12.75" customHeight="1" x14ac:dyDescent="0.2">
      <c r="A4" s="217"/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  <c r="S4" s="217"/>
      <c r="T4" s="217"/>
      <c r="U4" s="217"/>
      <c r="V4" s="217"/>
      <c r="W4" s="217"/>
      <c r="X4" s="217"/>
      <c r="Y4" s="217"/>
      <c r="Z4" s="217"/>
      <c r="AA4" s="217"/>
      <c r="AB4" s="217"/>
      <c r="AC4" s="217"/>
      <c r="AD4" s="217"/>
    </row>
    <row r="5" spans="1:33" s="118" customFormat="1" ht="14.25" customHeight="1" x14ac:dyDescent="0.2">
      <c r="A5" s="504" t="s">
        <v>0</v>
      </c>
      <c r="B5" s="505"/>
      <c r="C5" s="505"/>
      <c r="D5" s="505"/>
      <c r="E5" s="505"/>
      <c r="F5" s="506"/>
      <c r="G5" s="496" t="s">
        <v>2</v>
      </c>
      <c r="H5" s="493" t="s">
        <v>414</v>
      </c>
      <c r="I5" s="518" t="s">
        <v>309</v>
      </c>
      <c r="J5" s="521"/>
      <c r="K5" s="518" t="s">
        <v>310</v>
      </c>
      <c r="L5" s="521"/>
      <c r="M5" s="580" t="s">
        <v>311</v>
      </c>
      <c r="N5" s="582"/>
      <c r="O5" s="580" t="s">
        <v>312</v>
      </c>
      <c r="P5" s="582"/>
      <c r="Q5" s="580" t="s">
        <v>313</v>
      </c>
      <c r="R5" s="582"/>
      <c r="S5" s="580" t="s">
        <v>314</v>
      </c>
      <c r="T5" s="582"/>
      <c r="U5" s="580" t="s">
        <v>315</v>
      </c>
      <c r="V5" s="582"/>
      <c r="W5" s="580" t="s">
        <v>316</v>
      </c>
      <c r="X5" s="582"/>
      <c r="Y5" s="580" t="s">
        <v>317</v>
      </c>
      <c r="Z5" s="582"/>
      <c r="AA5" s="580" t="s">
        <v>318</v>
      </c>
      <c r="AB5" s="582"/>
      <c r="AC5" s="580" t="s">
        <v>307</v>
      </c>
      <c r="AD5" s="582"/>
    </row>
    <row r="6" spans="1:33" s="11" customFormat="1" ht="12.75" customHeight="1" x14ac:dyDescent="0.2">
      <c r="A6" s="507"/>
      <c r="B6" s="508"/>
      <c r="C6" s="508"/>
      <c r="D6" s="508"/>
      <c r="E6" s="508"/>
      <c r="F6" s="509"/>
      <c r="G6" s="497"/>
      <c r="H6" s="494"/>
      <c r="I6" s="592" t="s">
        <v>755</v>
      </c>
      <c r="J6" s="600"/>
      <c r="K6" s="518" t="s">
        <v>324</v>
      </c>
      <c r="L6" s="533"/>
      <c r="M6" s="533"/>
      <c r="N6" s="533"/>
      <c r="O6" s="533"/>
      <c r="P6" s="533"/>
      <c r="Q6" s="533"/>
      <c r="R6" s="533"/>
      <c r="S6" s="533"/>
      <c r="T6" s="521"/>
      <c r="U6" s="592" t="s">
        <v>319</v>
      </c>
      <c r="V6" s="600"/>
      <c r="W6" s="592" t="s">
        <v>320</v>
      </c>
      <c r="X6" s="600"/>
      <c r="Y6" s="592" t="s">
        <v>321</v>
      </c>
      <c r="Z6" s="600"/>
      <c r="AA6" s="592" t="s">
        <v>390</v>
      </c>
      <c r="AB6" s="600"/>
      <c r="AC6" s="592" t="s">
        <v>328</v>
      </c>
      <c r="AD6" s="600"/>
    </row>
    <row r="7" spans="1:33" s="11" customFormat="1" ht="12.75" customHeight="1" x14ac:dyDescent="0.2">
      <c r="A7" s="507"/>
      <c r="B7" s="508"/>
      <c r="C7" s="508"/>
      <c r="D7" s="508"/>
      <c r="E7" s="508"/>
      <c r="F7" s="509"/>
      <c r="G7" s="497"/>
      <c r="H7" s="494"/>
      <c r="I7" s="593"/>
      <c r="J7" s="601"/>
      <c r="K7" s="504" t="s">
        <v>779</v>
      </c>
      <c r="L7" s="506"/>
      <c r="M7" s="504" t="s">
        <v>780</v>
      </c>
      <c r="N7" s="506"/>
      <c r="O7" s="504" t="s">
        <v>781</v>
      </c>
      <c r="P7" s="506"/>
      <c r="Q7" s="504" t="s">
        <v>782</v>
      </c>
      <c r="R7" s="506"/>
      <c r="S7" s="504" t="s">
        <v>308</v>
      </c>
      <c r="T7" s="506"/>
      <c r="U7" s="593"/>
      <c r="V7" s="601"/>
      <c r="W7" s="593"/>
      <c r="X7" s="601"/>
      <c r="Y7" s="593"/>
      <c r="Z7" s="601"/>
      <c r="AA7" s="593"/>
      <c r="AB7" s="601"/>
      <c r="AC7" s="593"/>
      <c r="AD7" s="601"/>
    </row>
    <row r="8" spans="1:33" s="2" customFormat="1" ht="12.75" customHeight="1" x14ac:dyDescent="0.2">
      <c r="A8" s="507"/>
      <c r="B8" s="508"/>
      <c r="C8" s="508"/>
      <c r="D8" s="508"/>
      <c r="E8" s="508"/>
      <c r="F8" s="509"/>
      <c r="G8" s="497"/>
      <c r="H8" s="494"/>
      <c r="I8" s="593"/>
      <c r="J8" s="601"/>
      <c r="K8" s="491"/>
      <c r="L8" s="492"/>
      <c r="M8" s="491"/>
      <c r="N8" s="492"/>
      <c r="O8" s="491"/>
      <c r="P8" s="492"/>
      <c r="Q8" s="491"/>
      <c r="R8" s="492"/>
      <c r="S8" s="491"/>
      <c r="T8" s="492"/>
      <c r="U8" s="594"/>
      <c r="V8" s="602"/>
      <c r="W8" s="594"/>
      <c r="X8" s="602"/>
      <c r="Y8" s="594"/>
      <c r="Z8" s="602"/>
      <c r="AA8" s="594"/>
      <c r="AB8" s="602"/>
      <c r="AC8" s="594"/>
      <c r="AD8" s="602"/>
    </row>
    <row r="9" spans="1:33" s="2" customFormat="1" x14ac:dyDescent="0.2">
      <c r="A9" s="507"/>
      <c r="B9" s="508"/>
      <c r="C9" s="508"/>
      <c r="D9" s="508"/>
      <c r="E9" s="508"/>
      <c r="F9" s="509"/>
      <c r="G9" s="498"/>
      <c r="H9" s="495"/>
      <c r="I9" s="37" t="s">
        <v>5</v>
      </c>
      <c r="J9" s="37" t="s">
        <v>6</v>
      </c>
      <c r="K9" s="37" t="s">
        <v>5</v>
      </c>
      <c r="L9" s="37" t="s">
        <v>6</v>
      </c>
      <c r="M9" s="37" t="s">
        <v>5</v>
      </c>
      <c r="N9" s="37" t="s">
        <v>6</v>
      </c>
      <c r="O9" s="37" t="s">
        <v>5</v>
      </c>
      <c r="P9" s="37" t="s">
        <v>6</v>
      </c>
      <c r="Q9" s="37" t="s">
        <v>5</v>
      </c>
      <c r="R9" s="37" t="s">
        <v>6</v>
      </c>
      <c r="S9" s="37" t="s">
        <v>5</v>
      </c>
      <c r="T9" s="37" t="s">
        <v>6</v>
      </c>
      <c r="U9" s="37" t="s">
        <v>5</v>
      </c>
      <c r="V9" s="37" t="s">
        <v>6</v>
      </c>
      <c r="W9" s="37" t="s">
        <v>5</v>
      </c>
      <c r="X9" s="37" t="s">
        <v>6</v>
      </c>
      <c r="Y9" s="37" t="s">
        <v>5</v>
      </c>
      <c r="Z9" s="37" t="s">
        <v>6</v>
      </c>
      <c r="AA9" s="37" t="s">
        <v>5</v>
      </c>
      <c r="AB9" s="37" t="s">
        <v>6</v>
      </c>
      <c r="AC9" s="37" t="s">
        <v>5</v>
      </c>
      <c r="AD9" s="37" t="s">
        <v>6</v>
      </c>
    </row>
    <row r="10" spans="1:33" x14ac:dyDescent="0.2">
      <c r="A10" s="377" t="s">
        <v>185</v>
      </c>
      <c r="B10" s="378"/>
      <c r="C10" s="378"/>
      <c r="D10" s="378"/>
      <c r="E10" s="378"/>
      <c r="F10" s="379"/>
      <c r="G10" s="458" t="s">
        <v>520</v>
      </c>
      <c r="H10" s="18"/>
      <c r="I10" s="78">
        <f t="shared" ref="I10:AB10" si="0">SUM(I11,I33,I40)</f>
        <v>0</v>
      </c>
      <c r="J10" s="78">
        <f t="shared" si="0"/>
        <v>0</v>
      </c>
      <c r="K10" s="78">
        <f t="shared" si="0"/>
        <v>0</v>
      </c>
      <c r="L10" s="78">
        <f t="shared" si="0"/>
        <v>0</v>
      </c>
      <c r="M10" s="78">
        <f t="shared" si="0"/>
        <v>0</v>
      </c>
      <c r="N10" s="78">
        <f t="shared" si="0"/>
        <v>0</v>
      </c>
      <c r="O10" s="78">
        <f t="shared" si="0"/>
        <v>0</v>
      </c>
      <c r="P10" s="78">
        <f t="shared" si="0"/>
        <v>0</v>
      </c>
      <c r="Q10" s="78">
        <f t="shared" si="0"/>
        <v>0</v>
      </c>
      <c r="R10" s="78">
        <f t="shared" si="0"/>
        <v>0</v>
      </c>
      <c r="S10" s="78">
        <f t="shared" si="0"/>
        <v>0</v>
      </c>
      <c r="T10" s="78">
        <f t="shared" si="0"/>
        <v>0</v>
      </c>
      <c r="U10" s="78">
        <f t="shared" si="0"/>
        <v>0</v>
      </c>
      <c r="V10" s="78">
        <f t="shared" si="0"/>
        <v>0</v>
      </c>
      <c r="W10" s="78">
        <f t="shared" si="0"/>
        <v>0</v>
      </c>
      <c r="X10" s="78">
        <f t="shared" si="0"/>
        <v>0</v>
      </c>
      <c r="Y10" s="78">
        <f t="shared" si="0"/>
        <v>0</v>
      </c>
      <c r="Z10" s="78">
        <f t="shared" si="0"/>
        <v>0</v>
      </c>
      <c r="AA10" s="78">
        <f t="shared" si="0"/>
        <v>0</v>
      </c>
      <c r="AB10" s="78">
        <f t="shared" si="0"/>
        <v>0</v>
      </c>
      <c r="AC10" s="78">
        <f t="shared" ref="AC10:AD16" si="1">(I10+K10+M10+O10+Q10+S10+U10) - (W10+Y10)</f>
        <v>0</v>
      </c>
      <c r="AD10" s="78">
        <f t="shared" si="1"/>
        <v>0</v>
      </c>
      <c r="AE10" s="122"/>
      <c r="AF10" s="123"/>
      <c r="AG10" s="123"/>
    </row>
    <row r="11" spans="1:33" x14ac:dyDescent="0.2">
      <c r="A11" s="380" t="s">
        <v>186</v>
      </c>
      <c r="B11" s="381" t="s">
        <v>187</v>
      </c>
      <c r="C11" s="355"/>
      <c r="D11" s="355"/>
      <c r="E11" s="382"/>
      <c r="F11" s="383"/>
      <c r="G11" s="458" t="s">
        <v>521</v>
      </c>
      <c r="H11" s="18"/>
      <c r="I11" s="78">
        <f t="shared" ref="I11:AB11" si="2">SUM(I12,I24,I25,I28)</f>
        <v>0</v>
      </c>
      <c r="J11" s="78">
        <f t="shared" si="2"/>
        <v>0</v>
      </c>
      <c r="K11" s="78">
        <f t="shared" si="2"/>
        <v>0</v>
      </c>
      <c r="L11" s="78">
        <f t="shared" si="2"/>
        <v>0</v>
      </c>
      <c r="M11" s="78">
        <f t="shared" si="2"/>
        <v>0</v>
      </c>
      <c r="N11" s="78">
        <f t="shared" si="2"/>
        <v>0</v>
      </c>
      <c r="O11" s="78">
        <f t="shared" si="2"/>
        <v>0</v>
      </c>
      <c r="P11" s="78">
        <f t="shared" si="2"/>
        <v>0</v>
      </c>
      <c r="Q11" s="78">
        <f t="shared" si="2"/>
        <v>0</v>
      </c>
      <c r="R11" s="78">
        <f t="shared" si="2"/>
        <v>0</v>
      </c>
      <c r="S11" s="78">
        <f t="shared" si="2"/>
        <v>0</v>
      </c>
      <c r="T11" s="78">
        <f t="shared" si="2"/>
        <v>0</v>
      </c>
      <c r="U11" s="78">
        <f t="shared" si="2"/>
        <v>0</v>
      </c>
      <c r="V11" s="78">
        <f t="shared" si="2"/>
        <v>0</v>
      </c>
      <c r="W11" s="78">
        <f t="shared" si="2"/>
        <v>0</v>
      </c>
      <c r="X11" s="78">
        <f t="shared" si="2"/>
        <v>0</v>
      </c>
      <c r="Y11" s="78">
        <f t="shared" si="2"/>
        <v>0</v>
      </c>
      <c r="Z11" s="78">
        <f t="shared" si="2"/>
        <v>0</v>
      </c>
      <c r="AA11" s="78">
        <f t="shared" si="2"/>
        <v>0</v>
      </c>
      <c r="AB11" s="78">
        <f t="shared" si="2"/>
        <v>0</v>
      </c>
      <c r="AC11" s="78">
        <f t="shared" si="1"/>
        <v>0</v>
      </c>
      <c r="AD11" s="78">
        <f t="shared" si="1"/>
        <v>0</v>
      </c>
      <c r="AE11" s="122"/>
      <c r="AF11" s="123"/>
      <c r="AG11" s="123"/>
    </row>
    <row r="12" spans="1:33" x14ac:dyDescent="0.2">
      <c r="A12" s="384"/>
      <c r="B12" s="385" t="s">
        <v>188</v>
      </c>
      <c r="C12" s="385" t="s">
        <v>823</v>
      </c>
      <c r="D12" s="385"/>
      <c r="E12" s="385"/>
      <c r="F12" s="383"/>
      <c r="G12" s="458" t="s">
        <v>522</v>
      </c>
      <c r="H12" s="18"/>
      <c r="I12" s="78">
        <f t="shared" ref="I12:AB12" si="3">SUM(I13,I19,I20)</f>
        <v>0</v>
      </c>
      <c r="J12" s="78">
        <f t="shared" si="3"/>
        <v>0</v>
      </c>
      <c r="K12" s="78">
        <f t="shared" si="3"/>
        <v>0</v>
      </c>
      <c r="L12" s="78">
        <f t="shared" si="3"/>
        <v>0</v>
      </c>
      <c r="M12" s="78">
        <f t="shared" si="3"/>
        <v>0</v>
      </c>
      <c r="N12" s="78">
        <f t="shared" si="3"/>
        <v>0</v>
      </c>
      <c r="O12" s="78">
        <f t="shared" si="3"/>
        <v>0</v>
      </c>
      <c r="P12" s="78">
        <f t="shared" si="3"/>
        <v>0</v>
      </c>
      <c r="Q12" s="78">
        <f t="shared" si="3"/>
        <v>0</v>
      </c>
      <c r="R12" s="78">
        <f t="shared" si="3"/>
        <v>0</v>
      </c>
      <c r="S12" s="78">
        <f t="shared" si="3"/>
        <v>0</v>
      </c>
      <c r="T12" s="78">
        <f t="shared" si="3"/>
        <v>0</v>
      </c>
      <c r="U12" s="78">
        <f t="shared" si="3"/>
        <v>0</v>
      </c>
      <c r="V12" s="78">
        <f t="shared" si="3"/>
        <v>0</v>
      </c>
      <c r="W12" s="78">
        <f t="shared" si="3"/>
        <v>0</v>
      </c>
      <c r="X12" s="78">
        <f t="shared" si="3"/>
        <v>0</v>
      </c>
      <c r="Y12" s="78">
        <f t="shared" si="3"/>
        <v>0</v>
      </c>
      <c r="Z12" s="78">
        <f t="shared" si="3"/>
        <v>0</v>
      </c>
      <c r="AA12" s="78">
        <f t="shared" si="3"/>
        <v>0</v>
      </c>
      <c r="AB12" s="78">
        <f t="shared" si="3"/>
        <v>0</v>
      </c>
      <c r="AC12" s="78">
        <f t="shared" si="1"/>
        <v>0</v>
      </c>
      <c r="AD12" s="78">
        <f t="shared" si="1"/>
        <v>0</v>
      </c>
      <c r="AE12" s="122"/>
      <c r="AF12" s="123"/>
      <c r="AG12" s="123"/>
    </row>
    <row r="13" spans="1:33" x14ac:dyDescent="0.2">
      <c r="A13" s="386"/>
      <c r="B13" s="355"/>
      <c r="C13" s="387" t="s">
        <v>19</v>
      </c>
      <c r="D13" s="355" t="s">
        <v>189</v>
      </c>
      <c r="E13" s="382"/>
      <c r="F13" s="383"/>
      <c r="G13" s="458" t="s">
        <v>523</v>
      </c>
      <c r="H13" s="18"/>
      <c r="I13" s="78">
        <f>I14+I15+I16</f>
        <v>0</v>
      </c>
      <c r="J13" s="78">
        <f t="shared" ref="J13:AB13" si="4">J14+J15+J16</f>
        <v>0</v>
      </c>
      <c r="K13" s="78">
        <f t="shared" si="4"/>
        <v>0</v>
      </c>
      <c r="L13" s="78">
        <f t="shared" si="4"/>
        <v>0</v>
      </c>
      <c r="M13" s="78">
        <f t="shared" si="4"/>
        <v>0</v>
      </c>
      <c r="N13" s="78">
        <f t="shared" si="4"/>
        <v>0</v>
      </c>
      <c r="O13" s="78">
        <f t="shared" si="4"/>
        <v>0</v>
      </c>
      <c r="P13" s="78">
        <f t="shared" si="4"/>
        <v>0</v>
      </c>
      <c r="Q13" s="78">
        <f t="shared" si="4"/>
        <v>0</v>
      </c>
      <c r="R13" s="78">
        <f t="shared" si="4"/>
        <v>0</v>
      </c>
      <c r="S13" s="78">
        <f t="shared" si="4"/>
        <v>0</v>
      </c>
      <c r="T13" s="78">
        <f t="shared" si="4"/>
        <v>0</v>
      </c>
      <c r="U13" s="78">
        <f t="shared" si="4"/>
        <v>0</v>
      </c>
      <c r="V13" s="78">
        <f t="shared" si="4"/>
        <v>0</v>
      </c>
      <c r="W13" s="78">
        <f t="shared" si="4"/>
        <v>0</v>
      </c>
      <c r="X13" s="78">
        <f t="shared" si="4"/>
        <v>0</v>
      </c>
      <c r="Y13" s="78">
        <f t="shared" si="4"/>
        <v>0</v>
      </c>
      <c r="Z13" s="78">
        <f t="shared" si="4"/>
        <v>0</v>
      </c>
      <c r="AA13" s="78">
        <f t="shared" si="4"/>
        <v>0</v>
      </c>
      <c r="AB13" s="78">
        <f t="shared" si="4"/>
        <v>0</v>
      </c>
      <c r="AC13" s="78">
        <f t="shared" si="1"/>
        <v>0</v>
      </c>
      <c r="AD13" s="78">
        <f t="shared" si="1"/>
        <v>0</v>
      </c>
      <c r="AE13" s="122"/>
      <c r="AF13" s="123"/>
      <c r="AG13" s="123"/>
    </row>
    <row r="14" spans="1:33" x14ac:dyDescent="0.2">
      <c r="A14" s="408"/>
      <c r="B14" s="392"/>
      <c r="C14" s="409"/>
      <c r="D14" s="355" t="s">
        <v>11</v>
      </c>
      <c r="E14" s="355" t="s">
        <v>789</v>
      </c>
      <c r="F14" s="383"/>
      <c r="G14" s="458" t="s">
        <v>817</v>
      </c>
      <c r="H14" s="18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78">
        <f t="shared" si="1"/>
        <v>0</v>
      </c>
      <c r="AD14" s="78">
        <f t="shared" si="1"/>
        <v>0</v>
      </c>
      <c r="AE14" s="122"/>
      <c r="AF14" s="123"/>
      <c r="AG14" s="123"/>
    </row>
    <row r="15" spans="1:33" x14ac:dyDescent="0.2">
      <c r="A15" s="386"/>
      <c r="B15" s="355"/>
      <c r="C15" s="387"/>
      <c r="D15" s="355" t="s">
        <v>15</v>
      </c>
      <c r="E15" s="355" t="s">
        <v>790</v>
      </c>
      <c r="F15" s="383"/>
      <c r="G15" s="458" t="s">
        <v>818</v>
      </c>
      <c r="H15" s="18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78">
        <f t="shared" si="1"/>
        <v>0</v>
      </c>
      <c r="AD15" s="78">
        <f t="shared" si="1"/>
        <v>0</v>
      </c>
      <c r="AE15" s="122"/>
      <c r="AF15" s="123"/>
      <c r="AG15" s="123"/>
    </row>
    <row r="16" spans="1:33" x14ac:dyDescent="0.2">
      <c r="A16" s="386"/>
      <c r="B16" s="355"/>
      <c r="C16" s="387"/>
      <c r="D16" s="355" t="s">
        <v>25</v>
      </c>
      <c r="E16" s="355" t="s">
        <v>791</v>
      </c>
      <c r="F16" s="383"/>
      <c r="G16" s="458" t="s">
        <v>819</v>
      </c>
      <c r="H16" s="85" t="s">
        <v>751</v>
      </c>
      <c r="I16" s="78">
        <f t="shared" ref="I16:AB16" si="5">SUM(I17:I18)</f>
        <v>0</v>
      </c>
      <c r="J16" s="78">
        <f t="shared" si="5"/>
        <v>0</v>
      </c>
      <c r="K16" s="78">
        <f t="shared" si="5"/>
        <v>0</v>
      </c>
      <c r="L16" s="78">
        <f t="shared" si="5"/>
        <v>0</v>
      </c>
      <c r="M16" s="78">
        <f t="shared" si="5"/>
        <v>0</v>
      </c>
      <c r="N16" s="78">
        <f t="shared" si="5"/>
        <v>0</v>
      </c>
      <c r="O16" s="78">
        <f t="shared" si="5"/>
        <v>0</v>
      </c>
      <c r="P16" s="78">
        <f t="shared" si="5"/>
        <v>0</v>
      </c>
      <c r="Q16" s="78">
        <f t="shared" si="5"/>
        <v>0</v>
      </c>
      <c r="R16" s="78">
        <f t="shared" si="5"/>
        <v>0</v>
      </c>
      <c r="S16" s="78">
        <f t="shared" si="5"/>
        <v>0</v>
      </c>
      <c r="T16" s="78">
        <f t="shared" si="5"/>
        <v>0</v>
      </c>
      <c r="U16" s="78">
        <f t="shared" si="5"/>
        <v>0</v>
      </c>
      <c r="V16" s="78">
        <f t="shared" si="5"/>
        <v>0</v>
      </c>
      <c r="W16" s="78">
        <f t="shared" si="5"/>
        <v>0</v>
      </c>
      <c r="X16" s="78">
        <f t="shared" si="5"/>
        <v>0</v>
      </c>
      <c r="Y16" s="78">
        <f t="shared" si="5"/>
        <v>0</v>
      </c>
      <c r="Z16" s="78">
        <f t="shared" si="5"/>
        <v>0</v>
      </c>
      <c r="AA16" s="78">
        <f t="shared" si="5"/>
        <v>0</v>
      </c>
      <c r="AB16" s="78">
        <f t="shared" si="5"/>
        <v>0</v>
      </c>
      <c r="AC16" s="78">
        <f t="shared" si="1"/>
        <v>0</v>
      </c>
      <c r="AD16" s="78">
        <f t="shared" si="1"/>
        <v>0</v>
      </c>
      <c r="AE16" s="122"/>
      <c r="AF16" s="123"/>
      <c r="AG16" s="123"/>
    </row>
    <row r="17" spans="1:33" x14ac:dyDescent="0.2">
      <c r="A17" s="129"/>
      <c r="B17" s="124"/>
      <c r="C17" s="149"/>
      <c r="D17" s="124"/>
      <c r="E17" s="310"/>
      <c r="F17" s="290"/>
      <c r="G17" s="458"/>
      <c r="H17" s="91">
        <v>1</v>
      </c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78">
        <f>(I17+K17+M17+O17+Q17+S17+U17) - (W17+Y17)</f>
        <v>0</v>
      </c>
      <c r="AD17" s="78">
        <f>(J17+L17+N17+P17+R17+T17+V17) - (X17+Z17)</f>
        <v>0</v>
      </c>
      <c r="AE17" s="122"/>
      <c r="AF17" s="123"/>
      <c r="AG17" s="123"/>
    </row>
    <row r="18" spans="1:33" x14ac:dyDescent="0.2">
      <c r="A18" s="386"/>
      <c r="B18" s="355"/>
      <c r="C18" s="387"/>
      <c r="D18" s="355"/>
      <c r="E18" s="355"/>
      <c r="F18" s="383"/>
      <c r="G18" s="458"/>
      <c r="H18" s="239" t="str">
        <f>CHAR(132)</f>
        <v>„</v>
      </c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78"/>
      <c r="AD18" s="78"/>
      <c r="AE18" s="122"/>
      <c r="AF18" s="123"/>
      <c r="AG18" s="123"/>
    </row>
    <row r="19" spans="1:33" x14ac:dyDescent="0.2">
      <c r="A19" s="384"/>
      <c r="B19" s="385"/>
      <c r="C19" s="390" t="s">
        <v>21</v>
      </c>
      <c r="D19" s="385" t="s">
        <v>326</v>
      </c>
      <c r="E19" s="385"/>
      <c r="F19" s="383"/>
      <c r="G19" s="458" t="s">
        <v>524</v>
      </c>
      <c r="H19" s="18"/>
      <c r="I19" s="60"/>
      <c r="J19" s="60"/>
      <c r="K19" s="60"/>
      <c r="L19" s="60"/>
      <c r="M19" s="60"/>
      <c r="N19" s="60"/>
      <c r="O19" s="60"/>
      <c r="P19" s="60"/>
      <c r="Q19" s="60"/>
      <c r="R19" s="60"/>
      <c r="S19" s="60"/>
      <c r="T19" s="60"/>
      <c r="U19" s="60"/>
      <c r="V19" s="60"/>
      <c r="W19" s="60"/>
      <c r="X19" s="60"/>
      <c r="Y19" s="60"/>
      <c r="Z19" s="60"/>
      <c r="AA19" s="60"/>
      <c r="AB19" s="60"/>
      <c r="AC19" s="295"/>
      <c r="AD19" s="295"/>
      <c r="AE19" s="122"/>
      <c r="AF19" s="123"/>
      <c r="AG19" s="123"/>
    </row>
    <row r="20" spans="1:33" x14ac:dyDescent="0.2">
      <c r="A20" s="386"/>
      <c r="B20" s="355"/>
      <c r="C20" s="387" t="s">
        <v>60</v>
      </c>
      <c r="D20" s="355" t="s">
        <v>191</v>
      </c>
      <c r="E20" s="382"/>
      <c r="F20" s="383"/>
      <c r="G20" s="458" t="s">
        <v>525</v>
      </c>
      <c r="H20" s="18"/>
      <c r="I20" s="78">
        <f t="shared" ref="I20:AB20" si="6">SUM(I21,I22,I23)</f>
        <v>0</v>
      </c>
      <c r="J20" s="78">
        <f t="shared" si="6"/>
        <v>0</v>
      </c>
      <c r="K20" s="78">
        <f t="shared" si="6"/>
        <v>0</v>
      </c>
      <c r="L20" s="78">
        <f t="shared" si="6"/>
        <v>0</v>
      </c>
      <c r="M20" s="78">
        <f t="shared" si="6"/>
        <v>0</v>
      </c>
      <c r="N20" s="78">
        <f t="shared" si="6"/>
        <v>0</v>
      </c>
      <c r="O20" s="78">
        <f t="shared" si="6"/>
        <v>0</v>
      </c>
      <c r="P20" s="78">
        <f t="shared" si="6"/>
        <v>0</v>
      </c>
      <c r="Q20" s="78">
        <f t="shared" si="6"/>
        <v>0</v>
      </c>
      <c r="R20" s="78">
        <f t="shared" si="6"/>
        <v>0</v>
      </c>
      <c r="S20" s="78">
        <f t="shared" si="6"/>
        <v>0</v>
      </c>
      <c r="T20" s="78">
        <f t="shared" si="6"/>
        <v>0</v>
      </c>
      <c r="U20" s="78">
        <f t="shared" si="6"/>
        <v>0</v>
      </c>
      <c r="V20" s="78">
        <f t="shared" si="6"/>
        <v>0</v>
      </c>
      <c r="W20" s="78">
        <f t="shared" si="6"/>
        <v>0</v>
      </c>
      <c r="X20" s="78">
        <f t="shared" si="6"/>
        <v>0</v>
      </c>
      <c r="Y20" s="78">
        <f t="shared" si="6"/>
        <v>0</v>
      </c>
      <c r="Z20" s="78">
        <f t="shared" si="6"/>
        <v>0</v>
      </c>
      <c r="AA20" s="78">
        <f t="shared" si="6"/>
        <v>0</v>
      </c>
      <c r="AB20" s="78">
        <f t="shared" si="6"/>
        <v>0</v>
      </c>
      <c r="AC20" s="78">
        <f t="shared" ref="AC20:AC55" si="7">(I20+K20+M20+O20+Q20+S20+U20) - (W20+Y20)</f>
        <v>0</v>
      </c>
      <c r="AD20" s="78">
        <f t="shared" ref="AD20:AD55" si="8">(J20+L20+N20+P20+R20+T20+V20) - (X20+Z20)</f>
        <v>0</v>
      </c>
      <c r="AE20" s="122"/>
      <c r="AF20" s="123"/>
      <c r="AG20" s="123"/>
    </row>
    <row r="21" spans="1:33" x14ac:dyDescent="0.2">
      <c r="A21" s="384"/>
      <c r="B21" s="385"/>
      <c r="C21" s="390"/>
      <c r="D21" s="385" t="s">
        <v>561</v>
      </c>
      <c r="E21" s="385" t="s">
        <v>192</v>
      </c>
      <c r="F21" s="383"/>
      <c r="G21" s="458" t="s">
        <v>526</v>
      </c>
      <c r="H21" s="18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78">
        <f t="shared" si="7"/>
        <v>0</v>
      </c>
      <c r="AD21" s="78">
        <f t="shared" si="8"/>
        <v>0</v>
      </c>
      <c r="AE21" s="122"/>
      <c r="AF21" s="123"/>
      <c r="AG21" s="123"/>
    </row>
    <row r="22" spans="1:33" x14ac:dyDescent="0.2">
      <c r="A22" s="386"/>
      <c r="B22" s="355"/>
      <c r="C22" s="355"/>
      <c r="D22" s="355" t="s">
        <v>562</v>
      </c>
      <c r="E22" s="382" t="s">
        <v>527</v>
      </c>
      <c r="F22" s="383"/>
      <c r="G22" s="458" t="s">
        <v>528</v>
      </c>
      <c r="H22" s="18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78">
        <f t="shared" si="7"/>
        <v>0</v>
      </c>
      <c r="AD22" s="78">
        <f t="shared" si="8"/>
        <v>0</v>
      </c>
      <c r="AE22" s="122"/>
      <c r="AF22" s="123"/>
      <c r="AG22" s="123"/>
    </row>
    <row r="23" spans="1:33" x14ac:dyDescent="0.2">
      <c r="A23" s="384"/>
      <c r="B23" s="385"/>
      <c r="C23" s="385"/>
      <c r="D23" s="385" t="s">
        <v>563</v>
      </c>
      <c r="E23" s="385" t="s">
        <v>194</v>
      </c>
      <c r="F23" s="383"/>
      <c r="G23" s="458" t="s">
        <v>529</v>
      </c>
      <c r="H23" s="18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78">
        <f t="shared" si="7"/>
        <v>0</v>
      </c>
      <c r="AD23" s="78">
        <f t="shared" si="8"/>
        <v>0</v>
      </c>
      <c r="AE23" s="122"/>
      <c r="AF23" s="123"/>
      <c r="AG23" s="123"/>
    </row>
    <row r="24" spans="1:33" x14ac:dyDescent="0.2">
      <c r="A24" s="386"/>
      <c r="B24" s="355" t="s">
        <v>195</v>
      </c>
      <c r="C24" s="355" t="s">
        <v>196</v>
      </c>
      <c r="D24" s="355"/>
      <c r="E24" s="382"/>
      <c r="F24" s="383"/>
      <c r="G24" s="458" t="s">
        <v>530</v>
      </c>
      <c r="H24" s="18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78">
        <f t="shared" si="7"/>
        <v>0</v>
      </c>
      <c r="AD24" s="78">
        <f t="shared" si="8"/>
        <v>0</v>
      </c>
      <c r="AE24" s="122"/>
      <c r="AF24" s="123"/>
      <c r="AG24" s="123"/>
    </row>
    <row r="25" spans="1:33" x14ac:dyDescent="0.2">
      <c r="A25" s="384"/>
      <c r="B25" s="385" t="s">
        <v>197</v>
      </c>
      <c r="C25" s="385" t="s">
        <v>198</v>
      </c>
      <c r="D25" s="385"/>
      <c r="E25" s="385"/>
      <c r="F25" s="383"/>
      <c r="G25" s="458" t="s">
        <v>531</v>
      </c>
      <c r="H25" s="18"/>
      <c r="I25" s="78">
        <f t="shared" ref="I25:AB25" si="9">SUM(I26,I27)</f>
        <v>0</v>
      </c>
      <c r="J25" s="78">
        <f t="shared" si="9"/>
        <v>0</v>
      </c>
      <c r="K25" s="78">
        <f t="shared" si="9"/>
        <v>0</v>
      </c>
      <c r="L25" s="78">
        <f t="shared" si="9"/>
        <v>0</v>
      </c>
      <c r="M25" s="78">
        <f t="shared" si="9"/>
        <v>0</v>
      </c>
      <c r="N25" s="78">
        <f t="shared" si="9"/>
        <v>0</v>
      </c>
      <c r="O25" s="78">
        <f t="shared" si="9"/>
        <v>0</v>
      </c>
      <c r="P25" s="78">
        <f t="shared" si="9"/>
        <v>0</v>
      </c>
      <c r="Q25" s="78">
        <f t="shared" si="9"/>
        <v>0</v>
      </c>
      <c r="R25" s="78">
        <f t="shared" si="9"/>
        <v>0</v>
      </c>
      <c r="S25" s="78">
        <f t="shared" si="9"/>
        <v>0</v>
      </c>
      <c r="T25" s="78">
        <f t="shared" si="9"/>
        <v>0</v>
      </c>
      <c r="U25" s="78">
        <f t="shared" si="9"/>
        <v>0</v>
      </c>
      <c r="V25" s="78">
        <f t="shared" si="9"/>
        <v>0</v>
      </c>
      <c r="W25" s="78">
        <f t="shared" si="9"/>
        <v>0</v>
      </c>
      <c r="X25" s="78">
        <f t="shared" si="9"/>
        <v>0</v>
      </c>
      <c r="Y25" s="78">
        <f t="shared" si="9"/>
        <v>0</v>
      </c>
      <c r="Z25" s="78">
        <f t="shared" si="9"/>
        <v>0</v>
      </c>
      <c r="AA25" s="78">
        <f t="shared" si="9"/>
        <v>0</v>
      </c>
      <c r="AB25" s="78">
        <f t="shared" si="9"/>
        <v>0</v>
      </c>
      <c r="AC25" s="78">
        <f t="shared" si="7"/>
        <v>0</v>
      </c>
      <c r="AD25" s="78">
        <f t="shared" si="8"/>
        <v>0</v>
      </c>
      <c r="AE25" s="122"/>
      <c r="AF25" s="123"/>
      <c r="AG25" s="123"/>
    </row>
    <row r="26" spans="1:33" x14ac:dyDescent="0.2">
      <c r="A26" s="386"/>
      <c r="B26" s="355"/>
      <c r="C26" s="387" t="s">
        <v>19</v>
      </c>
      <c r="D26" s="355" t="s">
        <v>199</v>
      </c>
      <c r="E26" s="382"/>
      <c r="F26" s="383"/>
      <c r="G26" s="458" t="s">
        <v>532</v>
      </c>
      <c r="H26" s="18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78">
        <f t="shared" si="7"/>
        <v>0</v>
      </c>
      <c r="AD26" s="78">
        <f t="shared" si="8"/>
        <v>0</v>
      </c>
      <c r="AE26" s="122"/>
      <c r="AF26" s="123"/>
      <c r="AG26" s="123"/>
    </row>
    <row r="27" spans="1:33" x14ac:dyDescent="0.2">
      <c r="A27" s="384"/>
      <c r="B27" s="385"/>
      <c r="C27" s="390" t="s">
        <v>21</v>
      </c>
      <c r="D27" s="391" t="s">
        <v>200</v>
      </c>
      <c r="E27" s="385"/>
      <c r="F27" s="383"/>
      <c r="G27" s="458" t="s">
        <v>533</v>
      </c>
      <c r="H27" s="18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78">
        <f t="shared" si="7"/>
        <v>0</v>
      </c>
      <c r="AD27" s="78">
        <f t="shared" si="8"/>
        <v>0</v>
      </c>
      <c r="AE27" s="122"/>
      <c r="AF27" s="123"/>
      <c r="AG27" s="123"/>
    </row>
    <row r="28" spans="1:33" x14ac:dyDescent="0.2">
      <c r="A28" s="386"/>
      <c r="B28" s="355" t="s">
        <v>201</v>
      </c>
      <c r="C28" s="355" t="s">
        <v>202</v>
      </c>
      <c r="D28" s="355"/>
      <c r="E28" s="382"/>
      <c r="F28" s="383"/>
      <c r="G28" s="458" t="s">
        <v>534</v>
      </c>
      <c r="H28" s="18"/>
      <c r="I28" s="78">
        <f t="shared" ref="I28:AB28" si="10">SUM(I29,I32)</f>
        <v>0</v>
      </c>
      <c r="J28" s="78">
        <f t="shared" si="10"/>
        <v>0</v>
      </c>
      <c r="K28" s="78">
        <f t="shared" si="10"/>
        <v>0</v>
      </c>
      <c r="L28" s="78">
        <f t="shared" si="10"/>
        <v>0</v>
      </c>
      <c r="M28" s="78">
        <f t="shared" si="10"/>
        <v>0</v>
      </c>
      <c r="N28" s="78">
        <f t="shared" si="10"/>
        <v>0</v>
      </c>
      <c r="O28" s="78">
        <f t="shared" si="10"/>
        <v>0</v>
      </c>
      <c r="P28" s="78">
        <f t="shared" si="10"/>
        <v>0</v>
      </c>
      <c r="Q28" s="78">
        <f t="shared" si="10"/>
        <v>0</v>
      </c>
      <c r="R28" s="78">
        <f t="shared" si="10"/>
        <v>0</v>
      </c>
      <c r="S28" s="78">
        <f t="shared" si="10"/>
        <v>0</v>
      </c>
      <c r="T28" s="78">
        <f t="shared" si="10"/>
        <v>0</v>
      </c>
      <c r="U28" s="78">
        <f t="shared" si="10"/>
        <v>0</v>
      </c>
      <c r="V28" s="78">
        <f t="shared" si="10"/>
        <v>0</v>
      </c>
      <c r="W28" s="78">
        <f t="shared" si="10"/>
        <v>0</v>
      </c>
      <c r="X28" s="78">
        <f t="shared" si="10"/>
        <v>0</v>
      </c>
      <c r="Y28" s="78">
        <f t="shared" si="10"/>
        <v>0</v>
      </c>
      <c r="Z28" s="78">
        <f t="shared" si="10"/>
        <v>0</v>
      </c>
      <c r="AA28" s="78">
        <f t="shared" si="10"/>
        <v>0</v>
      </c>
      <c r="AB28" s="78">
        <f t="shared" si="10"/>
        <v>0</v>
      </c>
      <c r="AC28" s="78">
        <f t="shared" si="7"/>
        <v>0</v>
      </c>
      <c r="AD28" s="78">
        <f t="shared" si="8"/>
        <v>0</v>
      </c>
      <c r="AE28" s="122"/>
      <c r="AF28" s="123"/>
      <c r="AG28" s="123"/>
    </row>
    <row r="29" spans="1:33" x14ac:dyDescent="0.2">
      <c r="A29" s="386"/>
      <c r="B29" s="355"/>
      <c r="C29" s="387" t="s">
        <v>19</v>
      </c>
      <c r="D29" s="355" t="s">
        <v>327</v>
      </c>
      <c r="E29" s="385"/>
      <c r="F29" s="383"/>
      <c r="G29" s="458" t="s">
        <v>535</v>
      </c>
      <c r="H29" s="18"/>
      <c r="I29" s="78">
        <f>I30+I31</f>
        <v>0</v>
      </c>
      <c r="J29" s="78">
        <f t="shared" ref="J29:AB29" si="11">J30+J31</f>
        <v>0</v>
      </c>
      <c r="K29" s="78">
        <f t="shared" si="11"/>
        <v>0</v>
      </c>
      <c r="L29" s="78">
        <f t="shared" si="11"/>
        <v>0</v>
      </c>
      <c r="M29" s="78">
        <f t="shared" si="11"/>
        <v>0</v>
      </c>
      <c r="N29" s="78">
        <f t="shared" si="11"/>
        <v>0</v>
      </c>
      <c r="O29" s="78">
        <f t="shared" si="11"/>
        <v>0</v>
      </c>
      <c r="P29" s="78">
        <f t="shared" si="11"/>
        <v>0</v>
      </c>
      <c r="Q29" s="78">
        <f t="shared" si="11"/>
        <v>0</v>
      </c>
      <c r="R29" s="78">
        <f t="shared" si="11"/>
        <v>0</v>
      </c>
      <c r="S29" s="78">
        <f t="shared" si="11"/>
        <v>0</v>
      </c>
      <c r="T29" s="78">
        <f t="shared" si="11"/>
        <v>0</v>
      </c>
      <c r="U29" s="78">
        <f t="shared" si="11"/>
        <v>0</v>
      </c>
      <c r="V29" s="78">
        <f t="shared" si="11"/>
        <v>0</v>
      </c>
      <c r="W29" s="78">
        <f t="shared" si="11"/>
        <v>0</v>
      </c>
      <c r="X29" s="78">
        <f t="shared" si="11"/>
        <v>0</v>
      </c>
      <c r="Y29" s="78">
        <f t="shared" si="11"/>
        <v>0</v>
      </c>
      <c r="Z29" s="78">
        <f t="shared" si="11"/>
        <v>0</v>
      </c>
      <c r="AA29" s="78">
        <f t="shared" si="11"/>
        <v>0</v>
      </c>
      <c r="AB29" s="78">
        <f t="shared" si="11"/>
        <v>0</v>
      </c>
      <c r="AC29" s="78">
        <f t="shared" si="7"/>
        <v>0</v>
      </c>
      <c r="AD29" s="78">
        <f t="shared" si="8"/>
        <v>0</v>
      </c>
      <c r="AE29" s="122"/>
      <c r="AF29" s="123"/>
      <c r="AG29" s="123"/>
    </row>
    <row r="30" spans="1:33" x14ac:dyDescent="0.2">
      <c r="A30" s="386"/>
      <c r="B30" s="355"/>
      <c r="C30" s="387"/>
      <c r="D30" s="355" t="s">
        <v>11</v>
      </c>
      <c r="E30" s="355" t="s">
        <v>792</v>
      </c>
      <c r="F30" s="382"/>
      <c r="G30" s="458" t="s">
        <v>820</v>
      </c>
      <c r="H30" s="18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78">
        <f t="shared" si="7"/>
        <v>0</v>
      </c>
      <c r="AD30" s="78">
        <f t="shared" si="8"/>
        <v>0</v>
      </c>
      <c r="AE30" s="122"/>
      <c r="AF30" s="123"/>
      <c r="AG30" s="123"/>
    </row>
    <row r="31" spans="1:33" x14ac:dyDescent="0.2">
      <c r="A31" s="384"/>
      <c r="B31" s="385"/>
      <c r="C31" s="390"/>
      <c r="D31" s="392" t="s">
        <v>15</v>
      </c>
      <c r="E31" s="355" t="s">
        <v>793</v>
      </c>
      <c r="F31" s="382"/>
      <c r="G31" s="458" t="s">
        <v>821</v>
      </c>
      <c r="H31" s="18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78">
        <f t="shared" si="7"/>
        <v>0</v>
      </c>
      <c r="AD31" s="78">
        <f t="shared" si="8"/>
        <v>0</v>
      </c>
      <c r="AE31" s="122"/>
      <c r="AF31" s="123"/>
      <c r="AG31" s="123"/>
    </row>
    <row r="32" spans="1:33" x14ac:dyDescent="0.2">
      <c r="A32" s="386"/>
      <c r="B32" s="355"/>
      <c r="C32" s="387" t="s">
        <v>21</v>
      </c>
      <c r="D32" s="355" t="s">
        <v>194</v>
      </c>
      <c r="E32" s="382"/>
      <c r="F32" s="383"/>
      <c r="G32" s="458" t="s">
        <v>536</v>
      </c>
      <c r="H32" s="18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78">
        <f t="shared" si="7"/>
        <v>0</v>
      </c>
      <c r="AD32" s="78">
        <f t="shared" si="8"/>
        <v>0</v>
      </c>
      <c r="AE32" s="122"/>
      <c r="AF32" s="123"/>
      <c r="AG32" s="123"/>
    </row>
    <row r="33" spans="1:255" x14ac:dyDescent="0.2">
      <c r="A33" s="393" t="s">
        <v>33</v>
      </c>
      <c r="B33" s="394" t="s">
        <v>204</v>
      </c>
      <c r="C33" s="385"/>
      <c r="D33" s="385"/>
      <c r="E33" s="385"/>
      <c r="F33" s="383"/>
      <c r="G33" s="458" t="s">
        <v>537</v>
      </c>
      <c r="H33" s="18"/>
      <c r="I33" s="77">
        <f t="shared" ref="I33:AB33" si="12">SUM(I34,I35,I36,I39)</f>
        <v>0</v>
      </c>
      <c r="J33" s="77">
        <f t="shared" si="12"/>
        <v>0</v>
      </c>
      <c r="K33" s="77">
        <f t="shared" si="12"/>
        <v>0</v>
      </c>
      <c r="L33" s="77">
        <f t="shared" si="12"/>
        <v>0</v>
      </c>
      <c r="M33" s="77">
        <f t="shared" si="12"/>
        <v>0</v>
      </c>
      <c r="N33" s="77">
        <f t="shared" si="12"/>
        <v>0</v>
      </c>
      <c r="O33" s="77">
        <f t="shared" si="12"/>
        <v>0</v>
      </c>
      <c r="P33" s="77">
        <f t="shared" si="12"/>
        <v>0</v>
      </c>
      <c r="Q33" s="77">
        <f t="shared" si="12"/>
        <v>0</v>
      </c>
      <c r="R33" s="77">
        <f t="shared" si="12"/>
        <v>0</v>
      </c>
      <c r="S33" s="77">
        <f t="shared" si="12"/>
        <v>0</v>
      </c>
      <c r="T33" s="77">
        <f t="shared" si="12"/>
        <v>0</v>
      </c>
      <c r="U33" s="77">
        <f t="shared" si="12"/>
        <v>0</v>
      </c>
      <c r="V33" s="77">
        <f t="shared" si="12"/>
        <v>0</v>
      </c>
      <c r="W33" s="77">
        <f t="shared" si="12"/>
        <v>0</v>
      </c>
      <c r="X33" s="77">
        <f t="shared" si="12"/>
        <v>0</v>
      </c>
      <c r="Y33" s="77">
        <f t="shared" si="12"/>
        <v>0</v>
      </c>
      <c r="Z33" s="77">
        <f t="shared" si="12"/>
        <v>0</v>
      </c>
      <c r="AA33" s="77">
        <f t="shared" si="12"/>
        <v>0</v>
      </c>
      <c r="AB33" s="77">
        <f t="shared" si="12"/>
        <v>0</v>
      </c>
      <c r="AC33" s="78">
        <f t="shared" si="7"/>
        <v>0</v>
      </c>
      <c r="AD33" s="78">
        <f t="shared" si="8"/>
        <v>0</v>
      </c>
      <c r="AE33" s="122"/>
      <c r="AF33" s="123"/>
      <c r="AG33" s="123"/>
    </row>
    <row r="34" spans="1:255" x14ac:dyDescent="0.2">
      <c r="A34" s="386"/>
      <c r="B34" s="355" t="s">
        <v>188</v>
      </c>
      <c r="C34" s="355" t="s">
        <v>205</v>
      </c>
      <c r="D34" s="355"/>
      <c r="E34" s="382"/>
      <c r="F34" s="383"/>
      <c r="G34" s="458" t="s">
        <v>538</v>
      </c>
      <c r="H34" s="18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78">
        <f t="shared" si="7"/>
        <v>0</v>
      </c>
      <c r="AD34" s="78">
        <f t="shared" si="8"/>
        <v>0</v>
      </c>
      <c r="AE34" s="122"/>
      <c r="AF34" s="123"/>
      <c r="AG34" s="123"/>
    </row>
    <row r="35" spans="1:255" x14ac:dyDescent="0.2">
      <c r="A35" s="384"/>
      <c r="B35" s="385" t="s">
        <v>195</v>
      </c>
      <c r="C35" s="385" t="s">
        <v>306</v>
      </c>
      <c r="D35" s="385"/>
      <c r="E35" s="385"/>
      <c r="F35" s="383"/>
      <c r="G35" s="458" t="s">
        <v>539</v>
      </c>
      <c r="H35" s="18"/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78">
        <f t="shared" si="7"/>
        <v>0</v>
      </c>
      <c r="AD35" s="78">
        <f t="shared" si="8"/>
        <v>0</v>
      </c>
      <c r="AE35" s="122"/>
      <c r="AF35" s="123"/>
      <c r="AG35" s="123"/>
    </row>
    <row r="36" spans="1:255" x14ac:dyDescent="0.2">
      <c r="A36" s="386"/>
      <c r="B36" s="355" t="s">
        <v>197</v>
      </c>
      <c r="C36" s="355" t="s">
        <v>198</v>
      </c>
      <c r="D36" s="355"/>
      <c r="E36" s="382"/>
      <c r="F36" s="383"/>
      <c r="G36" s="458" t="s">
        <v>540</v>
      </c>
      <c r="H36" s="18"/>
      <c r="I36" s="77">
        <f t="shared" ref="I36:AB36" si="13">SUM(I37,I38)</f>
        <v>0</v>
      </c>
      <c r="J36" s="77">
        <f t="shared" si="13"/>
        <v>0</v>
      </c>
      <c r="K36" s="77">
        <f t="shared" si="13"/>
        <v>0</v>
      </c>
      <c r="L36" s="77">
        <f t="shared" si="13"/>
        <v>0</v>
      </c>
      <c r="M36" s="77">
        <f t="shared" si="13"/>
        <v>0</v>
      </c>
      <c r="N36" s="77">
        <f t="shared" si="13"/>
        <v>0</v>
      </c>
      <c r="O36" s="77">
        <f t="shared" si="13"/>
        <v>0</v>
      </c>
      <c r="P36" s="77">
        <f t="shared" si="13"/>
        <v>0</v>
      </c>
      <c r="Q36" s="77">
        <f t="shared" si="13"/>
        <v>0</v>
      </c>
      <c r="R36" s="77">
        <f t="shared" si="13"/>
        <v>0</v>
      </c>
      <c r="S36" s="77">
        <f t="shared" si="13"/>
        <v>0</v>
      </c>
      <c r="T36" s="77">
        <f t="shared" si="13"/>
        <v>0</v>
      </c>
      <c r="U36" s="77">
        <f t="shared" si="13"/>
        <v>0</v>
      </c>
      <c r="V36" s="77">
        <f t="shared" si="13"/>
        <v>0</v>
      </c>
      <c r="W36" s="77">
        <f t="shared" si="13"/>
        <v>0</v>
      </c>
      <c r="X36" s="77">
        <f t="shared" si="13"/>
        <v>0</v>
      </c>
      <c r="Y36" s="77">
        <f t="shared" si="13"/>
        <v>0</v>
      </c>
      <c r="Z36" s="77">
        <f t="shared" si="13"/>
        <v>0</v>
      </c>
      <c r="AA36" s="77">
        <f t="shared" si="13"/>
        <v>0</v>
      </c>
      <c r="AB36" s="77">
        <f t="shared" si="13"/>
        <v>0</v>
      </c>
      <c r="AC36" s="78">
        <f t="shared" si="7"/>
        <v>0</v>
      </c>
      <c r="AD36" s="78">
        <f t="shared" si="8"/>
        <v>0</v>
      </c>
      <c r="AE36" s="122"/>
      <c r="AF36" s="123"/>
      <c r="AG36" s="123"/>
    </row>
    <row r="37" spans="1:255" x14ac:dyDescent="0.2">
      <c r="A37" s="384"/>
      <c r="B37" s="385"/>
      <c r="C37" s="390" t="s">
        <v>19</v>
      </c>
      <c r="D37" s="385" t="s">
        <v>207</v>
      </c>
      <c r="E37" s="385"/>
      <c r="F37" s="383"/>
      <c r="G37" s="458" t="s">
        <v>541</v>
      </c>
      <c r="H37" s="18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2"/>
      <c r="AA37" s="62"/>
      <c r="AB37" s="62"/>
      <c r="AC37" s="78">
        <f t="shared" si="7"/>
        <v>0</v>
      </c>
      <c r="AD37" s="78">
        <f t="shared" si="8"/>
        <v>0</v>
      </c>
      <c r="AE37" s="122"/>
      <c r="AF37" s="123"/>
      <c r="AG37" s="123"/>
    </row>
    <row r="38" spans="1:255" x14ac:dyDescent="0.2">
      <c r="A38" s="386"/>
      <c r="B38" s="355"/>
      <c r="C38" s="387" t="s">
        <v>21</v>
      </c>
      <c r="D38" s="395" t="s">
        <v>200</v>
      </c>
      <c r="E38" s="382"/>
      <c r="F38" s="383"/>
      <c r="G38" s="458" t="s">
        <v>542</v>
      </c>
      <c r="H38" s="18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78">
        <f t="shared" si="7"/>
        <v>0</v>
      </c>
      <c r="AD38" s="78">
        <f t="shared" si="8"/>
        <v>0</v>
      </c>
      <c r="AE38" s="122"/>
      <c r="AF38" s="123"/>
      <c r="AG38" s="123"/>
    </row>
    <row r="39" spans="1:255" s="16" customFormat="1" x14ac:dyDescent="0.2">
      <c r="A39" s="384"/>
      <c r="B39" s="385" t="s">
        <v>201</v>
      </c>
      <c r="C39" s="385" t="s">
        <v>208</v>
      </c>
      <c r="D39" s="385"/>
      <c r="E39" s="385"/>
      <c r="F39" s="383"/>
      <c r="G39" s="458" t="s">
        <v>543</v>
      </c>
      <c r="H39" s="18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78">
        <f t="shared" si="7"/>
        <v>0</v>
      </c>
      <c r="AD39" s="78">
        <f t="shared" si="8"/>
        <v>0</v>
      </c>
      <c r="AE39" s="34"/>
      <c r="AF39" s="132"/>
      <c r="AG39" s="132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</row>
    <row r="40" spans="1:255" s="21" customFormat="1" x14ac:dyDescent="0.2">
      <c r="A40" s="397" t="s">
        <v>48</v>
      </c>
      <c r="B40" s="381" t="s">
        <v>209</v>
      </c>
      <c r="C40" s="395"/>
      <c r="D40" s="355"/>
      <c r="E40" s="382"/>
      <c r="F40" s="383"/>
      <c r="G40" s="458" t="s">
        <v>544</v>
      </c>
      <c r="H40" s="18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62"/>
      <c r="Y40" s="62"/>
      <c r="Z40" s="62"/>
      <c r="AA40" s="62"/>
      <c r="AB40" s="62"/>
      <c r="AC40" s="78">
        <f t="shared" si="7"/>
        <v>0</v>
      </c>
      <c r="AD40" s="78">
        <f t="shared" si="8"/>
        <v>0</v>
      </c>
      <c r="AE40" s="34"/>
      <c r="AF40" s="132"/>
      <c r="AG40" s="132"/>
    </row>
    <row r="41" spans="1:255" s="21" customFormat="1" x14ac:dyDescent="0.2">
      <c r="A41" s="398" t="s">
        <v>211</v>
      </c>
      <c r="B41" s="385"/>
      <c r="C41" s="391"/>
      <c r="D41" s="385"/>
      <c r="E41" s="401"/>
      <c r="F41" s="399"/>
      <c r="G41" s="458" t="s">
        <v>545</v>
      </c>
      <c r="H41" s="18"/>
      <c r="I41" s="77">
        <f t="shared" ref="I41:AB41" si="14">SUM(I42,I52)</f>
        <v>0</v>
      </c>
      <c r="J41" s="77">
        <f t="shared" si="14"/>
        <v>0</v>
      </c>
      <c r="K41" s="295"/>
      <c r="L41" s="295"/>
      <c r="M41" s="295"/>
      <c r="N41" s="295"/>
      <c r="O41" s="295"/>
      <c r="P41" s="295"/>
      <c r="Q41" s="295"/>
      <c r="R41" s="295"/>
      <c r="S41" s="295"/>
      <c r="T41" s="295"/>
      <c r="U41" s="77">
        <f t="shared" si="14"/>
        <v>0</v>
      </c>
      <c r="V41" s="77">
        <f t="shared" si="14"/>
        <v>0</v>
      </c>
      <c r="W41" s="77">
        <f t="shared" si="14"/>
        <v>0</v>
      </c>
      <c r="X41" s="77">
        <f t="shared" si="14"/>
        <v>0</v>
      </c>
      <c r="Y41" s="77">
        <f t="shared" si="14"/>
        <v>0</v>
      </c>
      <c r="Z41" s="77">
        <f t="shared" si="14"/>
        <v>0</v>
      </c>
      <c r="AA41" s="77">
        <f t="shared" si="14"/>
        <v>0</v>
      </c>
      <c r="AB41" s="77">
        <f t="shared" si="14"/>
        <v>0</v>
      </c>
      <c r="AC41" s="78">
        <f t="shared" si="7"/>
        <v>0</v>
      </c>
      <c r="AD41" s="78">
        <f t="shared" si="8"/>
        <v>0</v>
      </c>
      <c r="AE41" s="34"/>
      <c r="AF41" s="132"/>
      <c r="AG41" s="132"/>
    </row>
    <row r="42" spans="1:255" s="21" customFormat="1" x14ac:dyDescent="0.2">
      <c r="A42" s="380" t="s">
        <v>186</v>
      </c>
      <c r="B42" s="381" t="s">
        <v>187</v>
      </c>
      <c r="C42" s="395"/>
      <c r="D42" s="355"/>
      <c r="E42" s="403"/>
      <c r="F42" s="400"/>
      <c r="G42" s="458" t="s">
        <v>546</v>
      </c>
      <c r="H42" s="18"/>
      <c r="I42" s="77">
        <f>SUM(I43,I46,I49)</f>
        <v>0</v>
      </c>
      <c r="J42" s="77">
        <f>SUM(J43,J46,J49)</f>
        <v>0</v>
      </c>
      <c r="K42" s="295"/>
      <c r="L42" s="295"/>
      <c r="M42" s="295"/>
      <c r="N42" s="295"/>
      <c r="O42" s="295"/>
      <c r="P42" s="295"/>
      <c r="Q42" s="295"/>
      <c r="R42" s="295"/>
      <c r="S42" s="295"/>
      <c r="T42" s="295"/>
      <c r="U42" s="77">
        <f t="shared" ref="U42:AB42" si="15">SUM(U43,U46,U49)</f>
        <v>0</v>
      </c>
      <c r="V42" s="77">
        <f t="shared" si="15"/>
        <v>0</v>
      </c>
      <c r="W42" s="77">
        <f t="shared" si="15"/>
        <v>0</v>
      </c>
      <c r="X42" s="77">
        <f t="shared" si="15"/>
        <v>0</v>
      </c>
      <c r="Y42" s="77">
        <f t="shared" si="15"/>
        <v>0</v>
      </c>
      <c r="Z42" s="77">
        <f t="shared" si="15"/>
        <v>0</v>
      </c>
      <c r="AA42" s="77">
        <f t="shared" si="15"/>
        <v>0</v>
      </c>
      <c r="AB42" s="77">
        <f t="shared" si="15"/>
        <v>0</v>
      </c>
      <c r="AC42" s="78">
        <f t="shared" si="7"/>
        <v>0</v>
      </c>
      <c r="AD42" s="78">
        <f t="shared" si="8"/>
        <v>0</v>
      </c>
      <c r="AE42" s="34"/>
      <c r="AF42" s="132"/>
      <c r="AG42" s="132"/>
    </row>
    <row r="43" spans="1:255" s="21" customFormat="1" x14ac:dyDescent="0.2">
      <c r="A43" s="393"/>
      <c r="B43" s="385" t="s">
        <v>188</v>
      </c>
      <c r="C43" s="599" t="s">
        <v>212</v>
      </c>
      <c r="D43" s="599"/>
      <c r="E43" s="401"/>
      <c r="F43" s="399"/>
      <c r="G43" s="458" t="s">
        <v>547</v>
      </c>
      <c r="H43" s="18"/>
      <c r="I43" s="77">
        <f>SUM(I44,I45)</f>
        <v>0</v>
      </c>
      <c r="J43" s="77">
        <f>SUM(J44,J45)</f>
        <v>0</v>
      </c>
      <c r="K43" s="295"/>
      <c r="L43" s="295"/>
      <c r="M43" s="295"/>
      <c r="N43" s="295"/>
      <c r="O43" s="295"/>
      <c r="P43" s="295"/>
      <c r="Q43" s="295"/>
      <c r="R43" s="295"/>
      <c r="S43" s="295"/>
      <c r="T43" s="295"/>
      <c r="U43" s="77">
        <f t="shared" ref="U43:AB43" si="16">SUM(U44,U45)</f>
        <v>0</v>
      </c>
      <c r="V43" s="77">
        <f t="shared" si="16"/>
        <v>0</v>
      </c>
      <c r="W43" s="77">
        <f t="shared" si="16"/>
        <v>0</v>
      </c>
      <c r="X43" s="77">
        <f t="shared" si="16"/>
        <v>0</v>
      </c>
      <c r="Y43" s="77">
        <f t="shared" si="16"/>
        <v>0</v>
      </c>
      <c r="Z43" s="77">
        <f t="shared" si="16"/>
        <v>0</v>
      </c>
      <c r="AA43" s="77">
        <f t="shared" si="16"/>
        <v>0</v>
      </c>
      <c r="AB43" s="77">
        <f t="shared" si="16"/>
        <v>0</v>
      </c>
      <c r="AC43" s="78">
        <f t="shared" si="7"/>
        <v>0</v>
      </c>
      <c r="AD43" s="78">
        <f t="shared" si="8"/>
        <v>0</v>
      </c>
      <c r="AE43" s="34"/>
      <c r="AF43" s="132"/>
      <c r="AG43" s="132"/>
    </row>
    <row r="44" spans="1:255" s="21" customFormat="1" x14ac:dyDescent="0.2">
      <c r="A44" s="380"/>
      <c r="B44" s="355"/>
      <c r="C44" s="402" t="s">
        <v>19</v>
      </c>
      <c r="D44" s="578" t="s">
        <v>213</v>
      </c>
      <c r="E44" s="578"/>
      <c r="F44" s="579"/>
      <c r="G44" s="458" t="s">
        <v>548</v>
      </c>
      <c r="H44" s="18"/>
      <c r="I44" s="62"/>
      <c r="J44" s="62"/>
      <c r="K44" s="60"/>
      <c r="L44" s="60"/>
      <c r="M44" s="60"/>
      <c r="N44" s="60"/>
      <c r="O44" s="60"/>
      <c r="P44" s="60"/>
      <c r="Q44" s="60"/>
      <c r="R44" s="60"/>
      <c r="S44" s="60"/>
      <c r="T44" s="60"/>
      <c r="U44" s="62"/>
      <c r="V44" s="62"/>
      <c r="W44" s="62"/>
      <c r="X44" s="62"/>
      <c r="Y44" s="62"/>
      <c r="Z44" s="62"/>
      <c r="AA44" s="62"/>
      <c r="AB44" s="62"/>
      <c r="AC44" s="78">
        <f t="shared" si="7"/>
        <v>0</v>
      </c>
      <c r="AD44" s="78">
        <f t="shared" si="8"/>
        <v>0</v>
      </c>
      <c r="AE44" s="34"/>
      <c r="AF44" s="132"/>
      <c r="AG44" s="132"/>
    </row>
    <row r="45" spans="1:255" s="21" customFormat="1" x14ac:dyDescent="0.2">
      <c r="A45" s="393"/>
      <c r="B45" s="385"/>
      <c r="C45" s="404" t="s">
        <v>21</v>
      </c>
      <c r="D45" s="590" t="s">
        <v>194</v>
      </c>
      <c r="E45" s="590"/>
      <c r="F45" s="591"/>
      <c r="G45" s="458" t="s">
        <v>549</v>
      </c>
      <c r="H45" s="18"/>
      <c r="I45" s="62"/>
      <c r="J45" s="62"/>
      <c r="K45" s="60"/>
      <c r="L45" s="60"/>
      <c r="M45" s="60"/>
      <c r="N45" s="60"/>
      <c r="O45" s="60"/>
      <c r="P45" s="60"/>
      <c r="Q45" s="60"/>
      <c r="R45" s="60"/>
      <c r="S45" s="60"/>
      <c r="T45" s="60"/>
      <c r="U45" s="62"/>
      <c r="V45" s="62"/>
      <c r="W45" s="62"/>
      <c r="X45" s="62"/>
      <c r="Y45" s="62"/>
      <c r="Z45" s="62"/>
      <c r="AA45" s="62"/>
      <c r="AB45" s="62"/>
      <c r="AC45" s="78">
        <f t="shared" si="7"/>
        <v>0</v>
      </c>
      <c r="AD45" s="78">
        <f t="shared" si="8"/>
        <v>0</v>
      </c>
      <c r="AE45" s="34"/>
      <c r="AF45" s="132"/>
      <c r="AG45" s="132"/>
    </row>
    <row r="46" spans="1:255" s="21" customFormat="1" x14ac:dyDescent="0.2">
      <c r="A46" s="380"/>
      <c r="B46" s="355" t="s">
        <v>195</v>
      </c>
      <c r="C46" s="395" t="s">
        <v>198</v>
      </c>
      <c r="D46" s="355"/>
      <c r="E46" s="382"/>
      <c r="F46" s="383"/>
      <c r="G46" s="458" t="s">
        <v>550</v>
      </c>
      <c r="H46" s="18"/>
      <c r="I46" s="77">
        <f>SUM(I47,I48)</f>
        <v>0</v>
      </c>
      <c r="J46" s="77">
        <f>SUM(J47,J48)</f>
        <v>0</v>
      </c>
      <c r="K46" s="295"/>
      <c r="L46" s="295"/>
      <c r="M46" s="295"/>
      <c r="N46" s="295"/>
      <c r="O46" s="295"/>
      <c r="P46" s="295"/>
      <c r="Q46" s="295"/>
      <c r="R46" s="295"/>
      <c r="S46" s="295"/>
      <c r="T46" s="295"/>
      <c r="U46" s="77">
        <f t="shared" ref="U46:AB46" si="17">SUM(U47,U48)</f>
        <v>0</v>
      </c>
      <c r="V46" s="77">
        <f t="shared" si="17"/>
        <v>0</v>
      </c>
      <c r="W46" s="77">
        <f t="shared" si="17"/>
        <v>0</v>
      </c>
      <c r="X46" s="77">
        <f t="shared" si="17"/>
        <v>0</v>
      </c>
      <c r="Y46" s="77">
        <f t="shared" si="17"/>
        <v>0</v>
      </c>
      <c r="Z46" s="77">
        <f t="shared" si="17"/>
        <v>0</v>
      </c>
      <c r="AA46" s="77">
        <f t="shared" si="17"/>
        <v>0</v>
      </c>
      <c r="AB46" s="77">
        <f t="shared" si="17"/>
        <v>0</v>
      </c>
      <c r="AC46" s="78">
        <f t="shared" si="7"/>
        <v>0</v>
      </c>
      <c r="AD46" s="78">
        <f t="shared" si="8"/>
        <v>0</v>
      </c>
      <c r="AE46" s="34"/>
      <c r="AF46" s="132"/>
      <c r="AG46" s="132"/>
    </row>
    <row r="47" spans="1:255" s="21" customFormat="1" x14ac:dyDescent="0.2">
      <c r="A47" s="393"/>
      <c r="B47" s="385"/>
      <c r="C47" s="390" t="s">
        <v>19</v>
      </c>
      <c r="D47" s="385" t="s">
        <v>199</v>
      </c>
      <c r="E47" s="385"/>
      <c r="F47" s="383"/>
      <c r="G47" s="458" t="s">
        <v>551</v>
      </c>
      <c r="H47" s="18"/>
      <c r="I47" s="62"/>
      <c r="J47" s="62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2"/>
      <c r="V47" s="62"/>
      <c r="W47" s="62"/>
      <c r="X47" s="62"/>
      <c r="Y47" s="62"/>
      <c r="Z47" s="62"/>
      <c r="AA47" s="62"/>
      <c r="AB47" s="62"/>
      <c r="AC47" s="78">
        <f t="shared" si="7"/>
        <v>0</v>
      </c>
      <c r="AD47" s="78">
        <f t="shared" si="8"/>
        <v>0</v>
      </c>
      <c r="AE47" s="34"/>
      <c r="AF47" s="132"/>
      <c r="AG47" s="132"/>
    </row>
    <row r="48" spans="1:255" s="21" customFormat="1" x14ac:dyDescent="0.2">
      <c r="A48" s="380"/>
      <c r="B48" s="355"/>
      <c r="C48" s="405" t="s">
        <v>21</v>
      </c>
      <c r="D48" s="355" t="s">
        <v>200</v>
      </c>
      <c r="E48" s="382"/>
      <c r="F48" s="383"/>
      <c r="G48" s="458" t="s">
        <v>552</v>
      </c>
      <c r="H48" s="18"/>
      <c r="I48" s="62"/>
      <c r="J48" s="62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2"/>
      <c r="V48" s="62"/>
      <c r="W48" s="62"/>
      <c r="X48" s="62"/>
      <c r="Y48" s="62"/>
      <c r="Z48" s="62"/>
      <c r="AA48" s="62"/>
      <c r="AB48" s="62"/>
      <c r="AC48" s="78">
        <f t="shared" si="7"/>
        <v>0</v>
      </c>
      <c r="AD48" s="78">
        <f t="shared" si="8"/>
        <v>0</v>
      </c>
      <c r="AE48" s="34"/>
      <c r="AF48" s="132"/>
      <c r="AG48" s="132"/>
    </row>
    <row r="49" spans="1:33" s="21" customFormat="1" x14ac:dyDescent="0.2">
      <c r="A49" s="393"/>
      <c r="B49" s="385" t="s">
        <v>197</v>
      </c>
      <c r="C49" s="391" t="s">
        <v>202</v>
      </c>
      <c r="D49" s="385"/>
      <c r="E49" s="385"/>
      <c r="F49" s="383"/>
      <c r="G49" s="458" t="s">
        <v>553</v>
      </c>
      <c r="H49" s="18"/>
      <c r="I49" s="77">
        <f>SUM(I50,I51)</f>
        <v>0</v>
      </c>
      <c r="J49" s="77">
        <f>SUM(J50,J51)</f>
        <v>0</v>
      </c>
      <c r="K49" s="295"/>
      <c r="L49" s="295"/>
      <c r="M49" s="295"/>
      <c r="N49" s="295"/>
      <c r="O49" s="295"/>
      <c r="P49" s="295"/>
      <c r="Q49" s="295"/>
      <c r="R49" s="295"/>
      <c r="S49" s="295"/>
      <c r="T49" s="295"/>
      <c r="U49" s="77">
        <f t="shared" ref="U49:AB49" si="18">SUM(U50,U51)</f>
        <v>0</v>
      </c>
      <c r="V49" s="77">
        <f t="shared" si="18"/>
        <v>0</v>
      </c>
      <c r="W49" s="77">
        <f t="shared" si="18"/>
        <v>0</v>
      </c>
      <c r="X49" s="77">
        <f t="shared" si="18"/>
        <v>0</v>
      </c>
      <c r="Y49" s="77">
        <f t="shared" si="18"/>
        <v>0</v>
      </c>
      <c r="Z49" s="77">
        <f t="shared" si="18"/>
        <v>0</v>
      </c>
      <c r="AA49" s="77">
        <f t="shared" si="18"/>
        <v>0</v>
      </c>
      <c r="AB49" s="77">
        <f t="shared" si="18"/>
        <v>0</v>
      </c>
      <c r="AC49" s="78">
        <f t="shared" si="7"/>
        <v>0</v>
      </c>
      <c r="AD49" s="78">
        <f t="shared" si="8"/>
        <v>0</v>
      </c>
      <c r="AE49" s="34"/>
      <c r="AF49" s="132"/>
      <c r="AG49" s="132"/>
    </row>
    <row r="50" spans="1:33" s="21" customFormat="1" x14ac:dyDescent="0.2">
      <c r="A50" s="380"/>
      <c r="B50" s="355"/>
      <c r="C50" s="402" t="s">
        <v>19</v>
      </c>
      <c r="D50" s="578" t="s">
        <v>203</v>
      </c>
      <c r="E50" s="579"/>
      <c r="F50" s="399"/>
      <c r="G50" s="458" t="s">
        <v>554</v>
      </c>
      <c r="H50" s="18"/>
      <c r="I50" s="62"/>
      <c r="J50" s="62"/>
      <c r="K50" s="60"/>
      <c r="L50" s="60"/>
      <c r="M50" s="60"/>
      <c r="N50" s="60"/>
      <c r="O50" s="60"/>
      <c r="P50" s="60"/>
      <c r="Q50" s="60"/>
      <c r="R50" s="60"/>
      <c r="S50" s="60"/>
      <c r="T50" s="60"/>
      <c r="U50" s="62"/>
      <c r="V50" s="62"/>
      <c r="W50" s="62"/>
      <c r="X50" s="62"/>
      <c r="Y50" s="62"/>
      <c r="Z50" s="62"/>
      <c r="AA50" s="62"/>
      <c r="AB50" s="62"/>
      <c r="AC50" s="78">
        <f t="shared" si="7"/>
        <v>0</v>
      </c>
      <c r="AD50" s="78">
        <f t="shared" si="8"/>
        <v>0</v>
      </c>
      <c r="AE50" s="34"/>
      <c r="AF50" s="132"/>
      <c r="AG50" s="132"/>
    </row>
    <row r="51" spans="1:33" s="21" customFormat="1" x14ac:dyDescent="0.2">
      <c r="A51" s="393"/>
      <c r="B51" s="385"/>
      <c r="C51" s="404" t="s">
        <v>21</v>
      </c>
      <c r="D51" s="590" t="s">
        <v>194</v>
      </c>
      <c r="E51" s="590"/>
      <c r="F51" s="591"/>
      <c r="G51" s="458" t="s">
        <v>555</v>
      </c>
      <c r="H51" s="18"/>
      <c r="I51" s="62"/>
      <c r="J51" s="62"/>
      <c r="K51" s="60"/>
      <c r="L51" s="60"/>
      <c r="M51" s="60"/>
      <c r="N51" s="60"/>
      <c r="O51" s="60"/>
      <c r="P51" s="60"/>
      <c r="Q51" s="60"/>
      <c r="R51" s="60"/>
      <c r="S51" s="60"/>
      <c r="T51" s="60"/>
      <c r="U51" s="62"/>
      <c r="V51" s="62"/>
      <c r="W51" s="62"/>
      <c r="X51" s="62"/>
      <c r="Y51" s="62"/>
      <c r="Z51" s="62"/>
      <c r="AA51" s="62"/>
      <c r="AB51" s="62"/>
      <c r="AC51" s="78">
        <f t="shared" si="7"/>
        <v>0</v>
      </c>
      <c r="AD51" s="78">
        <f t="shared" si="8"/>
        <v>0</v>
      </c>
      <c r="AE51" s="34"/>
      <c r="AF51" s="132"/>
      <c r="AG51" s="132"/>
    </row>
    <row r="52" spans="1:33" s="21" customFormat="1" x14ac:dyDescent="0.2">
      <c r="A52" s="380" t="s">
        <v>214</v>
      </c>
      <c r="B52" s="381" t="s">
        <v>204</v>
      </c>
      <c r="C52" s="395"/>
      <c r="D52" s="355"/>
      <c r="E52" s="382"/>
      <c r="F52" s="383"/>
      <c r="G52" s="467" t="s">
        <v>556</v>
      </c>
      <c r="H52" s="75"/>
      <c r="I52" s="77">
        <f>SUM(I53,I54)</f>
        <v>0</v>
      </c>
      <c r="J52" s="77">
        <f>SUM(J53,J54)</f>
        <v>0</v>
      </c>
      <c r="K52" s="295"/>
      <c r="L52" s="295"/>
      <c r="M52" s="295"/>
      <c r="N52" s="295"/>
      <c r="O52" s="295"/>
      <c r="P52" s="295"/>
      <c r="Q52" s="295"/>
      <c r="R52" s="295"/>
      <c r="S52" s="295"/>
      <c r="T52" s="295"/>
      <c r="U52" s="77">
        <f t="shared" ref="U52:AB52" si="19">SUM(U53,U54)</f>
        <v>0</v>
      </c>
      <c r="V52" s="77">
        <f t="shared" si="19"/>
        <v>0</v>
      </c>
      <c r="W52" s="77">
        <f t="shared" si="19"/>
        <v>0</v>
      </c>
      <c r="X52" s="77">
        <f t="shared" si="19"/>
        <v>0</v>
      </c>
      <c r="Y52" s="77">
        <f t="shared" si="19"/>
        <v>0</v>
      </c>
      <c r="Z52" s="77">
        <f t="shared" si="19"/>
        <v>0</v>
      </c>
      <c r="AA52" s="77">
        <f t="shared" si="19"/>
        <v>0</v>
      </c>
      <c r="AB52" s="77">
        <f t="shared" si="19"/>
        <v>0</v>
      </c>
      <c r="AC52" s="78">
        <f t="shared" si="7"/>
        <v>0</v>
      </c>
      <c r="AD52" s="78">
        <f t="shared" si="8"/>
        <v>0</v>
      </c>
      <c r="AE52" s="34"/>
      <c r="AF52" s="132"/>
      <c r="AG52" s="132"/>
    </row>
    <row r="53" spans="1:33" s="21" customFormat="1" x14ac:dyDescent="0.2">
      <c r="A53" s="393"/>
      <c r="B53" s="385" t="s">
        <v>188</v>
      </c>
      <c r="C53" s="595" t="s">
        <v>198</v>
      </c>
      <c r="D53" s="595"/>
      <c r="E53" s="385"/>
      <c r="F53" s="383"/>
      <c r="G53" s="467" t="s">
        <v>557</v>
      </c>
      <c r="H53" s="75"/>
      <c r="I53" s="62"/>
      <c r="J53" s="62"/>
      <c r="K53" s="60"/>
      <c r="L53" s="60"/>
      <c r="M53" s="60"/>
      <c r="N53" s="60"/>
      <c r="O53" s="60"/>
      <c r="P53" s="60"/>
      <c r="Q53" s="60"/>
      <c r="R53" s="60"/>
      <c r="S53" s="60"/>
      <c r="T53" s="60"/>
      <c r="U53" s="62"/>
      <c r="V53" s="62"/>
      <c r="W53" s="62"/>
      <c r="X53" s="62"/>
      <c r="Y53" s="62"/>
      <c r="Z53" s="62"/>
      <c r="AA53" s="62"/>
      <c r="AB53" s="62"/>
      <c r="AC53" s="78">
        <f t="shared" si="7"/>
        <v>0</v>
      </c>
      <c r="AD53" s="78">
        <f t="shared" si="8"/>
        <v>0</v>
      </c>
      <c r="AE53" s="34"/>
      <c r="AF53" s="132"/>
      <c r="AG53" s="132"/>
    </row>
    <row r="54" spans="1:33" s="21" customFormat="1" x14ac:dyDescent="0.2">
      <c r="A54" s="380"/>
      <c r="B54" s="355" t="s">
        <v>195</v>
      </c>
      <c r="C54" s="395" t="s">
        <v>208</v>
      </c>
      <c r="D54" s="395"/>
      <c r="E54" s="382"/>
      <c r="F54" s="383"/>
      <c r="G54" s="467" t="s">
        <v>558</v>
      </c>
      <c r="H54" s="75"/>
      <c r="I54" s="62"/>
      <c r="J54" s="62"/>
      <c r="K54" s="60"/>
      <c r="L54" s="60"/>
      <c r="M54" s="60"/>
      <c r="N54" s="60"/>
      <c r="O54" s="60"/>
      <c r="P54" s="60"/>
      <c r="Q54" s="60"/>
      <c r="R54" s="60"/>
      <c r="S54" s="60"/>
      <c r="T54" s="60"/>
      <c r="U54" s="62"/>
      <c r="V54" s="62"/>
      <c r="W54" s="62"/>
      <c r="X54" s="62"/>
      <c r="Y54" s="62"/>
      <c r="Z54" s="62"/>
      <c r="AA54" s="62"/>
      <c r="AB54" s="62"/>
      <c r="AC54" s="78">
        <f t="shared" si="7"/>
        <v>0</v>
      </c>
      <c r="AD54" s="78">
        <f t="shared" si="8"/>
        <v>0</v>
      </c>
      <c r="AE54" s="34"/>
      <c r="AF54" s="132"/>
      <c r="AG54" s="132"/>
    </row>
    <row r="55" spans="1:33" s="19" customFormat="1" x14ac:dyDescent="0.2">
      <c r="A55" s="407" t="s">
        <v>559</v>
      </c>
      <c r="B55" s="392"/>
      <c r="C55" s="392"/>
      <c r="D55" s="392"/>
      <c r="E55" s="392"/>
      <c r="F55" s="388"/>
      <c r="G55" s="458" t="s">
        <v>560</v>
      </c>
      <c r="H55" s="18"/>
      <c r="I55" s="77">
        <f t="shared" ref="I55:AB55" si="20">SUM(I10,I41)</f>
        <v>0</v>
      </c>
      <c r="J55" s="77">
        <f t="shared" si="20"/>
        <v>0</v>
      </c>
      <c r="K55" s="77">
        <f t="shared" si="20"/>
        <v>0</v>
      </c>
      <c r="L55" s="77">
        <f t="shared" si="20"/>
        <v>0</v>
      </c>
      <c r="M55" s="77">
        <f t="shared" si="20"/>
        <v>0</v>
      </c>
      <c r="N55" s="77">
        <f t="shared" si="20"/>
        <v>0</v>
      </c>
      <c r="O55" s="77">
        <f t="shared" si="20"/>
        <v>0</v>
      </c>
      <c r="P55" s="77">
        <f t="shared" si="20"/>
        <v>0</v>
      </c>
      <c r="Q55" s="77">
        <f t="shared" si="20"/>
        <v>0</v>
      </c>
      <c r="R55" s="77">
        <f t="shared" si="20"/>
        <v>0</v>
      </c>
      <c r="S55" s="77">
        <f t="shared" si="20"/>
        <v>0</v>
      </c>
      <c r="T55" s="77">
        <f t="shared" si="20"/>
        <v>0</v>
      </c>
      <c r="U55" s="77">
        <f t="shared" si="20"/>
        <v>0</v>
      </c>
      <c r="V55" s="77">
        <f t="shared" si="20"/>
        <v>0</v>
      </c>
      <c r="W55" s="77">
        <f t="shared" si="20"/>
        <v>0</v>
      </c>
      <c r="X55" s="77">
        <f t="shared" si="20"/>
        <v>0</v>
      </c>
      <c r="Y55" s="77">
        <f t="shared" si="20"/>
        <v>0</v>
      </c>
      <c r="Z55" s="77">
        <f t="shared" si="20"/>
        <v>0</v>
      </c>
      <c r="AA55" s="77">
        <f t="shared" si="20"/>
        <v>0</v>
      </c>
      <c r="AB55" s="77">
        <f t="shared" si="20"/>
        <v>0</v>
      </c>
      <c r="AC55" s="78">
        <f t="shared" si="7"/>
        <v>0</v>
      </c>
      <c r="AD55" s="78">
        <f t="shared" si="8"/>
        <v>0</v>
      </c>
      <c r="AE55" s="133"/>
      <c r="AF55" s="134"/>
      <c r="AG55" s="134"/>
    </row>
    <row r="56" spans="1:33" s="21" customFormat="1" x14ac:dyDescent="0.2">
      <c r="A56" s="166"/>
      <c r="B56" s="14"/>
      <c r="C56" s="131"/>
      <c r="D56" s="39"/>
      <c r="E56" s="39"/>
      <c r="F56" s="128"/>
      <c r="G56" s="52" t="s">
        <v>184</v>
      </c>
      <c r="H56" s="20"/>
      <c r="I56" s="32"/>
      <c r="J56" s="32"/>
      <c r="K56" s="30"/>
      <c r="L56" s="30"/>
      <c r="M56" s="30"/>
      <c r="N56" s="30"/>
      <c r="O56" s="30"/>
      <c r="P56" s="30"/>
      <c r="Q56" s="30"/>
      <c r="R56" s="30"/>
      <c r="S56" s="33"/>
      <c r="T56" s="33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3"/>
      <c r="AF56" s="132"/>
      <c r="AG56" s="132"/>
    </row>
    <row r="57" spans="1:33" s="21" customFormat="1" x14ac:dyDescent="0.2">
      <c r="A57" s="166"/>
      <c r="B57" s="39"/>
      <c r="C57" s="39"/>
      <c r="D57" s="39"/>
      <c r="E57" s="39"/>
      <c r="F57" s="128"/>
      <c r="G57" s="23"/>
      <c r="H57" s="20"/>
      <c r="I57" s="32"/>
      <c r="J57" s="32"/>
      <c r="K57" s="30"/>
      <c r="L57" s="30"/>
      <c r="M57" s="30"/>
      <c r="N57" s="30"/>
      <c r="O57" s="30"/>
      <c r="P57" s="30"/>
      <c r="Q57" s="30"/>
      <c r="R57" s="30"/>
      <c r="S57" s="33"/>
      <c r="T57" s="33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3"/>
      <c r="AF57" s="132"/>
      <c r="AG57" s="132"/>
    </row>
    <row r="58" spans="1:33" s="21" customFormat="1" x14ac:dyDescent="0.2">
      <c r="A58" s="166"/>
      <c r="B58" s="14"/>
      <c r="C58" s="39"/>
      <c r="D58" s="39"/>
      <c r="E58" s="39"/>
      <c r="F58" s="128"/>
      <c r="G58" s="23"/>
      <c r="H58" s="20"/>
      <c r="I58" s="32"/>
      <c r="J58" s="32"/>
      <c r="K58" s="30"/>
      <c r="L58" s="30"/>
      <c r="M58" s="30"/>
      <c r="N58" s="30"/>
      <c r="O58" s="30"/>
      <c r="P58" s="30"/>
      <c r="Q58" s="30"/>
      <c r="R58" s="30"/>
      <c r="S58" s="33"/>
      <c r="T58" s="33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3"/>
      <c r="AF58" s="132"/>
      <c r="AG58" s="132"/>
    </row>
    <row r="59" spans="1:33" s="21" customFormat="1" x14ac:dyDescent="0.2">
      <c r="A59" s="24"/>
      <c r="B59" s="39"/>
      <c r="C59" s="39"/>
      <c r="D59" s="39"/>
      <c r="E59" s="39"/>
      <c r="F59" s="128"/>
      <c r="G59" s="23"/>
      <c r="H59" s="20"/>
      <c r="I59" s="32"/>
      <c r="J59" s="32"/>
      <c r="K59" s="30"/>
      <c r="L59" s="30"/>
      <c r="M59" s="30"/>
      <c r="N59" s="30"/>
      <c r="O59" s="30"/>
      <c r="P59" s="30"/>
      <c r="Q59" s="30"/>
      <c r="R59" s="30"/>
      <c r="S59" s="33"/>
      <c r="T59" s="33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3"/>
      <c r="AF59" s="132"/>
      <c r="AG59" s="132"/>
    </row>
    <row r="60" spans="1:33" s="21" customFormat="1" x14ac:dyDescent="0.2">
      <c r="A60" s="166"/>
      <c r="B60" s="39"/>
      <c r="C60" s="39"/>
      <c r="D60" s="39"/>
      <c r="E60" s="39"/>
      <c r="F60" s="128"/>
      <c r="G60" s="23"/>
      <c r="H60" s="20"/>
      <c r="I60" s="32"/>
      <c r="J60" s="32"/>
      <c r="K60" s="30"/>
      <c r="L60" s="30"/>
      <c r="M60" s="30"/>
      <c r="N60" s="30"/>
      <c r="O60" s="30"/>
      <c r="P60" s="30"/>
      <c r="Q60" s="30"/>
      <c r="R60" s="30"/>
      <c r="S60" s="33"/>
      <c r="T60" s="33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3"/>
      <c r="AF60" s="132"/>
      <c r="AG60" s="132"/>
    </row>
    <row r="61" spans="1:33" s="21" customFormat="1" x14ac:dyDescent="0.2">
      <c r="A61" s="166"/>
      <c r="B61" s="39"/>
      <c r="C61" s="39"/>
      <c r="D61" s="39"/>
      <c r="E61" s="39"/>
      <c r="F61" s="128"/>
      <c r="G61" s="23"/>
      <c r="H61" s="20"/>
      <c r="I61" s="32"/>
      <c r="J61" s="32"/>
      <c r="K61" s="30"/>
      <c r="L61" s="30"/>
      <c r="M61" s="30"/>
      <c r="N61" s="30"/>
      <c r="O61" s="30"/>
      <c r="P61" s="30"/>
      <c r="Q61" s="30"/>
      <c r="R61" s="30"/>
      <c r="S61" s="33"/>
      <c r="T61" s="33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3"/>
      <c r="AF61" s="132"/>
      <c r="AG61" s="132"/>
    </row>
    <row r="62" spans="1:33" s="21" customFormat="1" x14ac:dyDescent="0.2">
      <c r="A62" s="166"/>
      <c r="B62" s="39"/>
      <c r="C62" s="39"/>
      <c r="D62" s="39"/>
      <c r="E62" s="39"/>
      <c r="F62" s="128"/>
      <c r="G62" s="23"/>
      <c r="H62" s="20"/>
      <c r="I62" s="32"/>
      <c r="J62" s="32"/>
      <c r="K62" s="30"/>
      <c r="L62" s="30"/>
      <c r="M62" s="30"/>
      <c r="N62" s="30"/>
      <c r="O62" s="30"/>
      <c r="P62" s="30"/>
      <c r="Q62" s="30"/>
      <c r="R62" s="30"/>
      <c r="S62" s="33"/>
      <c r="T62" s="33"/>
      <c r="U62" s="30"/>
      <c r="V62" s="30"/>
      <c r="W62" s="30"/>
      <c r="X62" s="30"/>
      <c r="Y62" s="30"/>
      <c r="Z62" s="30"/>
      <c r="AA62" s="30"/>
      <c r="AB62" s="30"/>
      <c r="AC62" s="30"/>
      <c r="AD62" s="30"/>
      <c r="AE62" s="33"/>
      <c r="AF62" s="132"/>
      <c r="AG62" s="132"/>
    </row>
    <row r="63" spans="1:33" s="21" customFormat="1" x14ac:dyDescent="0.2">
      <c r="A63" s="166"/>
      <c r="B63" s="39"/>
      <c r="C63" s="39"/>
      <c r="D63" s="39"/>
      <c r="E63" s="39"/>
      <c r="F63" s="128"/>
      <c r="G63" s="23"/>
      <c r="H63" s="20"/>
      <c r="I63" s="32"/>
      <c r="J63" s="32"/>
      <c r="K63" s="30"/>
      <c r="L63" s="30"/>
      <c r="M63" s="30"/>
      <c r="N63" s="30"/>
      <c r="O63" s="30"/>
      <c r="P63" s="30"/>
      <c r="Q63" s="30"/>
      <c r="R63" s="30"/>
      <c r="S63" s="33"/>
      <c r="T63" s="33"/>
      <c r="U63" s="30"/>
      <c r="V63" s="30"/>
      <c r="W63" s="30"/>
      <c r="X63" s="30"/>
      <c r="Y63" s="30"/>
      <c r="Z63" s="30"/>
      <c r="AA63" s="30"/>
      <c r="AB63" s="30"/>
      <c r="AC63" s="30"/>
      <c r="AD63" s="30"/>
      <c r="AE63" s="33"/>
      <c r="AF63" s="132"/>
      <c r="AG63" s="132"/>
    </row>
    <row r="64" spans="1:33" s="21" customFormat="1" x14ac:dyDescent="0.2">
      <c r="A64" s="151"/>
      <c r="B64" s="212"/>
      <c r="C64" s="212"/>
      <c r="D64" s="212"/>
      <c r="E64" s="212"/>
      <c r="F64" s="213"/>
      <c r="G64" s="23"/>
      <c r="H64" s="20"/>
      <c r="I64" s="32"/>
      <c r="J64" s="32"/>
      <c r="K64" s="30"/>
      <c r="L64" s="30"/>
      <c r="M64" s="30"/>
      <c r="N64" s="30"/>
      <c r="O64" s="30"/>
      <c r="P64" s="30"/>
      <c r="Q64" s="30"/>
      <c r="R64" s="30"/>
      <c r="S64" s="33"/>
      <c r="T64" s="33"/>
      <c r="U64" s="30"/>
      <c r="V64" s="30"/>
      <c r="W64" s="30"/>
      <c r="X64" s="30"/>
      <c r="Y64" s="30"/>
      <c r="Z64" s="30"/>
      <c r="AA64" s="30"/>
      <c r="AB64" s="30"/>
      <c r="AC64" s="30"/>
      <c r="AD64" s="30"/>
      <c r="AE64" s="33"/>
      <c r="AF64" s="132"/>
      <c r="AG64" s="132"/>
    </row>
    <row r="65" spans="1:33" s="21" customFormat="1" x14ac:dyDescent="0.2">
      <c r="A65" s="151"/>
      <c r="B65" s="212"/>
      <c r="C65" s="212"/>
      <c r="D65" s="212"/>
      <c r="E65" s="212"/>
      <c r="F65" s="213"/>
      <c r="G65" s="23"/>
      <c r="H65" s="20"/>
      <c r="I65" s="32"/>
      <c r="J65" s="32"/>
      <c r="K65" s="30"/>
      <c r="L65" s="30"/>
      <c r="M65" s="30"/>
      <c r="N65" s="30"/>
      <c r="O65" s="30"/>
      <c r="P65" s="30"/>
      <c r="Q65" s="30"/>
      <c r="R65" s="30"/>
      <c r="S65" s="33"/>
      <c r="T65" s="33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3"/>
      <c r="AF65" s="132"/>
      <c r="AG65" s="132"/>
    </row>
    <row r="66" spans="1:33" s="21" customFormat="1" x14ac:dyDescent="0.2">
      <c r="A66" s="151"/>
      <c r="B66" s="212"/>
      <c r="C66" s="212"/>
      <c r="D66" s="144"/>
      <c r="E66" s="144"/>
      <c r="F66" s="145"/>
      <c r="G66" s="23"/>
      <c r="H66" s="20"/>
      <c r="I66" s="32"/>
      <c r="J66" s="32"/>
      <c r="K66" s="30"/>
      <c r="L66" s="30"/>
      <c r="M66" s="30"/>
      <c r="N66" s="30"/>
      <c r="O66" s="30"/>
      <c r="P66" s="30"/>
      <c r="Q66" s="30"/>
      <c r="R66" s="30"/>
      <c r="S66" s="33"/>
      <c r="T66" s="33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3"/>
      <c r="AF66" s="132"/>
      <c r="AG66" s="132"/>
    </row>
    <row r="67" spans="1:33" s="21" customFormat="1" x14ac:dyDescent="0.2">
      <c r="A67" s="151"/>
      <c r="B67" s="39"/>
      <c r="C67" s="39"/>
      <c r="D67" s="39"/>
      <c r="E67" s="39"/>
      <c r="F67" s="128"/>
      <c r="G67" s="23"/>
      <c r="H67" s="20"/>
      <c r="I67" s="32"/>
      <c r="J67" s="32"/>
      <c r="K67" s="30"/>
      <c r="L67" s="30"/>
      <c r="M67" s="30"/>
      <c r="N67" s="30"/>
      <c r="O67" s="30"/>
      <c r="P67" s="30"/>
      <c r="Q67" s="30"/>
      <c r="R67" s="30"/>
      <c r="S67" s="33"/>
      <c r="T67" s="33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3"/>
      <c r="AF67" s="132"/>
      <c r="AG67" s="132"/>
    </row>
    <row r="68" spans="1:33" s="21" customFormat="1" x14ac:dyDescent="0.2">
      <c r="A68" s="127"/>
      <c r="B68" s="39"/>
      <c r="C68" s="39"/>
      <c r="D68" s="39"/>
      <c r="E68" s="39"/>
      <c r="F68" s="128"/>
      <c r="G68" s="23"/>
      <c r="H68" s="20"/>
      <c r="I68" s="32"/>
      <c r="J68" s="32"/>
      <c r="K68" s="30"/>
      <c r="L68" s="30"/>
      <c r="M68" s="30"/>
      <c r="N68" s="30"/>
      <c r="O68" s="30"/>
      <c r="P68" s="30"/>
      <c r="Q68" s="30"/>
      <c r="R68" s="30"/>
      <c r="S68" s="33"/>
      <c r="T68" s="33"/>
      <c r="U68" s="30"/>
      <c r="V68" s="30"/>
      <c r="W68" s="30"/>
      <c r="X68" s="30"/>
      <c r="Y68" s="30"/>
      <c r="Z68" s="30"/>
      <c r="AA68" s="30"/>
      <c r="AB68" s="30"/>
      <c r="AC68" s="30"/>
      <c r="AD68" s="30"/>
      <c r="AE68" s="33"/>
      <c r="AF68" s="132"/>
      <c r="AG68" s="132"/>
    </row>
    <row r="69" spans="1:33" s="21" customFormat="1" x14ac:dyDescent="0.2">
      <c r="A69" s="127"/>
      <c r="B69" s="39"/>
      <c r="C69" s="39"/>
      <c r="D69" s="39"/>
      <c r="E69" s="39"/>
      <c r="F69" s="128"/>
      <c r="G69" s="23"/>
      <c r="H69" s="20"/>
      <c r="I69" s="32"/>
      <c r="J69" s="32"/>
      <c r="K69" s="30"/>
      <c r="L69" s="30"/>
      <c r="M69" s="30"/>
      <c r="N69" s="30"/>
      <c r="O69" s="30"/>
      <c r="P69" s="30"/>
      <c r="Q69" s="30"/>
      <c r="R69" s="30"/>
      <c r="S69" s="33"/>
      <c r="T69" s="33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3"/>
      <c r="AF69" s="132"/>
      <c r="AG69" s="132"/>
    </row>
    <row r="70" spans="1:33" s="21" customFormat="1" x14ac:dyDescent="0.2">
      <c r="A70" s="127"/>
      <c r="B70" s="39"/>
      <c r="C70" s="39"/>
      <c r="D70" s="39"/>
      <c r="E70" s="39"/>
      <c r="F70" s="128"/>
      <c r="G70" s="23"/>
      <c r="H70" s="20"/>
      <c r="I70" s="32"/>
      <c r="J70" s="32"/>
      <c r="K70" s="30"/>
      <c r="L70" s="30"/>
      <c r="M70" s="30"/>
      <c r="N70" s="30"/>
      <c r="O70" s="30"/>
      <c r="P70" s="30"/>
      <c r="Q70" s="30"/>
      <c r="R70" s="30"/>
      <c r="S70" s="33"/>
      <c r="T70" s="33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3"/>
      <c r="AF70" s="132"/>
      <c r="AG70" s="132"/>
    </row>
    <row r="71" spans="1:33" s="21" customFormat="1" x14ac:dyDescent="0.2">
      <c r="A71" s="127"/>
      <c r="B71" s="39"/>
      <c r="C71" s="150"/>
      <c r="D71" s="39"/>
      <c r="E71" s="39"/>
      <c r="F71" s="128"/>
      <c r="G71" s="23"/>
      <c r="H71" s="20"/>
      <c r="I71" s="32"/>
      <c r="J71" s="32"/>
      <c r="K71" s="30"/>
      <c r="L71" s="30"/>
      <c r="M71" s="30"/>
      <c r="N71" s="30"/>
      <c r="O71" s="30"/>
      <c r="P71" s="30"/>
      <c r="Q71" s="30"/>
      <c r="R71" s="30"/>
      <c r="S71" s="33"/>
      <c r="T71" s="33"/>
      <c r="U71" s="30"/>
      <c r="V71" s="30"/>
      <c r="W71" s="30"/>
      <c r="X71" s="30"/>
      <c r="Y71" s="30"/>
      <c r="Z71" s="30"/>
      <c r="AA71" s="30"/>
      <c r="AB71" s="30"/>
      <c r="AC71" s="30"/>
      <c r="AD71" s="30"/>
      <c r="AE71" s="33"/>
      <c r="AF71" s="132"/>
      <c r="AG71" s="132"/>
    </row>
    <row r="72" spans="1:33" s="21" customFormat="1" x14ac:dyDescent="0.2">
      <c r="A72" s="127"/>
      <c r="B72" s="39"/>
      <c r="C72" s="150"/>
      <c r="D72" s="39"/>
      <c r="E72" s="39"/>
      <c r="F72" s="128"/>
      <c r="G72" s="23"/>
      <c r="H72" s="20"/>
      <c r="I72" s="32"/>
      <c r="J72" s="32"/>
      <c r="K72" s="30"/>
      <c r="L72" s="30"/>
      <c r="M72" s="30"/>
      <c r="N72" s="30"/>
      <c r="O72" s="30"/>
      <c r="P72" s="30"/>
      <c r="Q72" s="30"/>
      <c r="R72" s="30"/>
      <c r="S72" s="33"/>
      <c r="T72" s="33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3"/>
      <c r="AF72" s="132"/>
      <c r="AG72" s="132"/>
    </row>
    <row r="73" spans="1:33" s="21" customFormat="1" x14ac:dyDescent="0.2">
      <c r="A73" s="143"/>
      <c r="B73" s="39"/>
      <c r="C73" s="39"/>
      <c r="D73" s="39"/>
      <c r="E73" s="39"/>
      <c r="F73" s="128"/>
      <c r="G73" s="23"/>
      <c r="H73" s="20"/>
      <c r="I73" s="32"/>
      <c r="J73" s="32"/>
      <c r="K73" s="30"/>
      <c r="L73" s="30"/>
      <c r="M73" s="30"/>
      <c r="N73" s="30"/>
      <c r="O73" s="30"/>
      <c r="P73" s="30"/>
      <c r="Q73" s="30"/>
      <c r="R73" s="30"/>
      <c r="S73" s="33"/>
      <c r="T73" s="33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3"/>
      <c r="AF73" s="132"/>
      <c r="AG73" s="132"/>
    </row>
    <row r="74" spans="1:33" s="21" customFormat="1" x14ac:dyDescent="0.2">
      <c r="A74" s="127"/>
      <c r="B74" s="39"/>
      <c r="C74" s="39"/>
      <c r="D74" s="39"/>
      <c r="E74" s="39"/>
      <c r="F74" s="128"/>
      <c r="G74" s="23"/>
      <c r="H74" s="20"/>
      <c r="I74" s="32"/>
      <c r="J74" s="32"/>
      <c r="K74" s="30"/>
      <c r="L74" s="30"/>
      <c r="M74" s="30"/>
      <c r="N74" s="30"/>
      <c r="O74" s="30"/>
      <c r="P74" s="30"/>
      <c r="Q74" s="30"/>
      <c r="R74" s="30"/>
      <c r="S74" s="33"/>
      <c r="T74" s="33"/>
      <c r="U74" s="30"/>
      <c r="V74" s="30"/>
      <c r="W74" s="30"/>
      <c r="X74" s="30"/>
      <c r="Y74" s="30"/>
      <c r="Z74" s="30"/>
      <c r="AA74" s="30"/>
      <c r="AB74" s="30"/>
      <c r="AC74" s="30"/>
      <c r="AD74" s="30"/>
      <c r="AE74" s="33"/>
      <c r="AF74" s="132"/>
      <c r="AG74" s="132"/>
    </row>
    <row r="75" spans="1:33" s="21" customFormat="1" x14ac:dyDescent="0.2">
      <c r="A75" s="127"/>
      <c r="B75" s="39"/>
      <c r="C75" s="39"/>
      <c r="D75" s="39"/>
      <c r="E75" s="39"/>
      <c r="F75" s="128"/>
      <c r="G75" s="23"/>
      <c r="H75" s="20"/>
      <c r="I75" s="32"/>
      <c r="J75" s="32"/>
      <c r="K75" s="30"/>
      <c r="L75" s="30"/>
      <c r="M75" s="30"/>
      <c r="N75" s="30"/>
      <c r="O75" s="30"/>
      <c r="P75" s="30"/>
      <c r="Q75" s="30"/>
      <c r="R75" s="30"/>
      <c r="S75" s="33"/>
      <c r="T75" s="33"/>
      <c r="U75" s="30"/>
      <c r="V75" s="30"/>
      <c r="W75" s="30"/>
      <c r="X75" s="30"/>
      <c r="Y75" s="30"/>
      <c r="Z75" s="30"/>
      <c r="AA75" s="30"/>
      <c r="AB75" s="30"/>
      <c r="AC75" s="30"/>
      <c r="AD75" s="30"/>
      <c r="AE75" s="33"/>
      <c r="AF75" s="132"/>
      <c r="AG75" s="132"/>
    </row>
    <row r="76" spans="1:33" s="21" customFormat="1" x14ac:dyDescent="0.2">
      <c r="A76" s="143"/>
      <c r="B76" s="39"/>
      <c r="C76" s="39"/>
      <c r="D76" s="39"/>
      <c r="E76" s="39"/>
      <c r="F76" s="128"/>
      <c r="G76" s="23"/>
      <c r="H76" s="20"/>
      <c r="I76" s="32"/>
      <c r="J76" s="32"/>
      <c r="K76" s="30"/>
      <c r="L76" s="30"/>
      <c r="M76" s="30"/>
      <c r="N76" s="30"/>
      <c r="O76" s="30"/>
      <c r="P76" s="30"/>
      <c r="Q76" s="30"/>
      <c r="R76" s="30"/>
      <c r="S76" s="33"/>
      <c r="T76" s="33"/>
      <c r="U76" s="30"/>
      <c r="V76" s="30"/>
      <c r="W76" s="30"/>
      <c r="X76" s="30"/>
      <c r="Y76" s="30"/>
      <c r="Z76" s="30"/>
      <c r="AA76" s="30"/>
      <c r="AB76" s="30"/>
      <c r="AC76" s="30"/>
      <c r="AD76" s="30"/>
      <c r="AE76" s="33"/>
      <c r="AF76" s="132"/>
      <c r="AG76" s="132"/>
    </row>
    <row r="77" spans="1:33" s="21" customFormat="1" x14ac:dyDescent="0.2">
      <c r="A77" s="143"/>
      <c r="B77" s="39"/>
      <c r="C77" s="39"/>
      <c r="D77" s="39"/>
      <c r="E77" s="39"/>
      <c r="F77" s="128"/>
      <c r="G77" s="23" t="s">
        <v>261</v>
      </c>
      <c r="H77" s="20"/>
      <c r="I77" s="32"/>
      <c r="J77" s="32"/>
      <c r="K77" s="30"/>
      <c r="L77" s="30"/>
      <c r="M77" s="30"/>
      <c r="N77" s="30"/>
      <c r="O77" s="30"/>
      <c r="P77" s="30"/>
      <c r="Q77" s="30"/>
      <c r="R77" s="30"/>
      <c r="S77" s="33"/>
      <c r="T77" s="33"/>
      <c r="U77" s="30"/>
      <c r="V77" s="30"/>
      <c r="W77" s="30"/>
      <c r="X77" s="30"/>
      <c r="Y77" s="30"/>
      <c r="Z77" s="30"/>
      <c r="AA77" s="30"/>
      <c r="AB77" s="30"/>
      <c r="AC77" s="30"/>
      <c r="AD77" s="30"/>
      <c r="AE77" s="33"/>
      <c r="AF77" s="132"/>
      <c r="AG77" s="132"/>
    </row>
    <row r="78" spans="1:33" s="21" customFormat="1" x14ac:dyDescent="0.2">
      <c r="A78" s="200"/>
      <c r="B78" s="39"/>
      <c r="C78" s="39"/>
      <c r="D78" s="39"/>
      <c r="E78" s="39"/>
      <c r="F78" s="128"/>
      <c r="G78" s="23"/>
      <c r="H78" s="20"/>
      <c r="I78" s="32"/>
      <c r="J78" s="32"/>
      <c r="K78" s="30"/>
      <c r="L78" s="30"/>
      <c r="M78" s="30"/>
      <c r="N78" s="30"/>
      <c r="O78" s="30"/>
      <c r="P78" s="30"/>
      <c r="Q78" s="30"/>
      <c r="R78" s="30"/>
      <c r="S78" s="33"/>
      <c r="T78" s="33"/>
      <c r="U78" s="30"/>
      <c r="V78" s="30"/>
      <c r="W78" s="30"/>
      <c r="X78" s="30"/>
      <c r="Y78" s="30"/>
      <c r="Z78" s="30"/>
      <c r="AA78" s="30"/>
      <c r="AB78" s="30"/>
      <c r="AC78" s="30"/>
      <c r="AD78" s="30"/>
      <c r="AE78" s="33"/>
      <c r="AF78" s="132"/>
      <c r="AG78" s="132"/>
    </row>
    <row r="79" spans="1:33" s="21" customFormat="1" x14ac:dyDescent="0.2">
      <c r="A79" s="199"/>
      <c r="B79" s="153"/>
      <c r="C79" s="154"/>
      <c r="D79" s="150"/>
      <c r="E79" s="39"/>
      <c r="F79" s="128"/>
      <c r="G79" s="23"/>
      <c r="H79" s="20"/>
      <c r="I79" s="34"/>
      <c r="J79" s="34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4"/>
      <c r="Y79" s="34"/>
      <c r="Z79" s="34"/>
      <c r="AA79" s="33"/>
      <c r="AB79" s="33"/>
      <c r="AC79" s="33"/>
      <c r="AD79" s="33"/>
      <c r="AE79" s="34"/>
      <c r="AF79" s="132"/>
      <c r="AG79" s="132"/>
    </row>
    <row r="80" spans="1:33" s="21" customFormat="1" x14ac:dyDescent="0.2">
      <c r="A80" s="7"/>
      <c r="B80" s="153"/>
      <c r="C80" s="154"/>
      <c r="D80" s="150"/>
      <c r="E80" s="566"/>
      <c r="F80" s="596"/>
      <c r="G80" s="67" t="s">
        <v>184</v>
      </c>
      <c r="H80" s="22"/>
      <c r="I80" s="34"/>
      <c r="J80" s="34"/>
      <c r="K80" s="28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3"/>
      <c r="X80" s="34"/>
      <c r="Y80" s="34"/>
      <c r="Z80" s="34"/>
      <c r="AA80" s="34"/>
      <c r="AB80" s="34"/>
      <c r="AC80" s="34"/>
      <c r="AD80" s="34"/>
      <c r="AE80" s="34"/>
      <c r="AF80" s="132"/>
      <c r="AG80" s="132"/>
    </row>
    <row r="81" spans="1:33" s="21" customFormat="1" x14ac:dyDescent="0.2">
      <c r="A81" s="7"/>
      <c r="B81" s="155"/>
      <c r="C81" s="155"/>
      <c r="D81" s="155"/>
      <c r="E81" s="155"/>
      <c r="F81" s="155"/>
      <c r="G81" s="20"/>
      <c r="H81" s="20"/>
      <c r="I81" s="6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132"/>
      <c r="AG81" s="132"/>
    </row>
    <row r="82" spans="1:33" s="21" customFormat="1" x14ac:dyDescent="0.2">
      <c r="A82" s="7"/>
      <c r="B82" s="3"/>
      <c r="C82" s="4"/>
      <c r="D82" s="5"/>
      <c r="E82" s="155"/>
      <c r="F82" s="155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132"/>
      <c r="AG82" s="132"/>
    </row>
    <row r="83" spans="1:33" s="21" customFormat="1" x14ac:dyDescent="0.2">
      <c r="A83" s="7"/>
      <c r="B83" s="3"/>
      <c r="C83" s="154"/>
      <c r="D83" s="157"/>
      <c r="E83" s="155"/>
      <c r="F83" s="155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132"/>
      <c r="AG83" s="132"/>
    </row>
    <row r="84" spans="1:33" s="21" customFormat="1" x14ac:dyDescent="0.2">
      <c r="A84" s="7"/>
      <c r="B84" s="155"/>
      <c r="C84" s="154"/>
      <c r="D84" s="157"/>
      <c r="E84" s="157"/>
      <c r="F84" s="155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132"/>
      <c r="AG84" s="132"/>
    </row>
    <row r="85" spans="1:33" s="21" customFormat="1" x14ac:dyDescent="0.2">
      <c r="A85" s="7"/>
      <c r="B85" s="155"/>
      <c r="C85" s="39"/>
      <c r="D85" s="154"/>
      <c r="E85" s="154"/>
      <c r="F85" s="155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132"/>
      <c r="AG85" s="132"/>
    </row>
    <row r="86" spans="1:33" s="21" customFormat="1" x14ac:dyDescent="0.2">
      <c r="A86" s="7"/>
      <c r="B86" s="155"/>
      <c r="C86" s="154"/>
      <c r="D86" s="39"/>
      <c r="E86" s="154"/>
      <c r="F86" s="155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132"/>
      <c r="AG86" s="132"/>
    </row>
    <row r="87" spans="1:33" s="21" customFormat="1" x14ac:dyDescent="0.2">
      <c r="A87" s="7"/>
      <c r="B87" s="155"/>
      <c r="C87" s="39"/>
      <c r="D87" s="158"/>
      <c r="E87" s="154"/>
      <c r="F87" s="155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132"/>
      <c r="AG87" s="132"/>
    </row>
    <row r="88" spans="1:33" s="21" customFormat="1" x14ac:dyDescent="0.2">
      <c r="A88" s="7"/>
      <c r="B88" s="155"/>
      <c r="C88" s="39"/>
      <c r="D88" s="158"/>
      <c r="E88" s="154"/>
      <c r="F88" s="155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132"/>
      <c r="AG88" s="132"/>
    </row>
    <row r="89" spans="1:33" s="21" customFormat="1" x14ac:dyDescent="0.2">
      <c r="A89" s="7"/>
      <c r="B89" s="155"/>
      <c r="C89" s="154"/>
      <c r="D89" s="39"/>
      <c r="E89" s="154"/>
      <c r="F89" s="155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132"/>
      <c r="AG89" s="132"/>
    </row>
    <row r="90" spans="1:33" s="21" customFormat="1" x14ac:dyDescent="0.2">
      <c r="A90" s="7"/>
      <c r="B90" s="155"/>
      <c r="C90" s="154"/>
      <c r="D90" s="154"/>
      <c r="E90" s="154"/>
      <c r="F90" s="154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132"/>
      <c r="AG90" s="132"/>
    </row>
    <row r="91" spans="1:33" s="21" customFormat="1" x14ac:dyDescent="0.2">
      <c r="A91" s="7"/>
      <c r="B91" s="155"/>
      <c r="C91" s="39"/>
      <c r="D91" s="525"/>
      <c r="E91" s="526"/>
      <c r="F91" s="526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132"/>
      <c r="AG91" s="132"/>
    </row>
    <row r="92" spans="1:33" s="21" customFormat="1" x14ac:dyDescent="0.2">
      <c r="A92" s="7"/>
      <c r="B92" s="155"/>
      <c r="C92" s="154"/>
      <c r="D92" s="158"/>
      <c r="E92" s="154"/>
      <c r="F92" s="154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132"/>
      <c r="AG92" s="132"/>
    </row>
    <row r="93" spans="1:33" s="21" customFormat="1" x14ac:dyDescent="0.2">
      <c r="A93" s="7"/>
      <c r="B93" s="155"/>
      <c r="C93" s="154"/>
      <c r="D93" s="158"/>
      <c r="E93" s="154"/>
      <c r="F93" s="154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132"/>
      <c r="AG93" s="132"/>
    </row>
    <row r="94" spans="1:33" s="21" customFormat="1" x14ac:dyDescent="0.2">
      <c r="A94" s="7"/>
      <c r="B94" s="3"/>
      <c r="C94" s="4"/>
      <c r="D94" s="157"/>
      <c r="E94" s="154"/>
      <c r="F94" s="154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132"/>
      <c r="AG94" s="132"/>
    </row>
    <row r="95" spans="1:33" s="21" customFormat="1" x14ac:dyDescent="0.2">
      <c r="A95" s="7"/>
      <c r="B95" s="155"/>
      <c r="C95" s="154"/>
      <c r="D95" s="154"/>
      <c r="E95" s="154"/>
      <c r="F95" s="154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132"/>
      <c r="AG95" s="132"/>
    </row>
    <row r="96" spans="1:33" s="21" customFormat="1" x14ac:dyDescent="0.2">
      <c r="A96" s="7"/>
      <c r="B96" s="155"/>
      <c r="C96" s="154"/>
      <c r="D96" s="163"/>
      <c r="E96" s="154"/>
      <c r="F96" s="154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132"/>
      <c r="AG96" s="132"/>
    </row>
    <row r="97" spans="1:33" s="21" customFormat="1" x14ac:dyDescent="0.2">
      <c r="A97" s="7"/>
      <c r="B97" s="155"/>
      <c r="C97" s="154"/>
      <c r="D97" s="164"/>
      <c r="E97" s="154"/>
      <c r="F97" s="154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132"/>
      <c r="AG97" s="132"/>
    </row>
    <row r="98" spans="1:33" s="21" customFormat="1" x14ac:dyDescent="0.2">
      <c r="A98" s="7"/>
      <c r="B98" s="155"/>
      <c r="C98" s="154"/>
      <c r="D98" s="164"/>
      <c r="E98" s="154"/>
      <c r="F98" s="154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132"/>
      <c r="AG98" s="132"/>
    </row>
    <row r="99" spans="1:33" s="21" customFormat="1" x14ac:dyDescent="0.2">
      <c r="A99" s="7"/>
      <c r="B99" s="155"/>
      <c r="C99" s="154"/>
      <c r="D99" s="163"/>
      <c r="E99" s="154"/>
      <c r="F99" s="154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132"/>
      <c r="AG99" s="132"/>
    </row>
    <row r="100" spans="1:33" s="21" customFormat="1" x14ac:dyDescent="0.2">
      <c r="A100" s="7"/>
      <c r="B100" s="155"/>
      <c r="C100" s="154"/>
      <c r="D100" s="164"/>
      <c r="E100" s="154"/>
      <c r="F100" s="154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132"/>
      <c r="AG100" s="132"/>
    </row>
    <row r="101" spans="1:33" s="21" customFormat="1" x14ac:dyDescent="0.2">
      <c r="A101" s="7"/>
      <c r="B101" s="155"/>
      <c r="C101" s="154"/>
      <c r="D101" s="164"/>
      <c r="E101" s="154"/>
      <c r="F101" s="154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132"/>
      <c r="AG101" s="132"/>
    </row>
    <row r="102" spans="1:33" s="21" customFormat="1" x14ac:dyDescent="0.2">
      <c r="A102" s="7"/>
      <c r="B102" s="155"/>
      <c r="C102" s="154"/>
      <c r="D102" s="154"/>
      <c r="E102" s="154"/>
      <c r="F102" s="154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132"/>
      <c r="AG102" s="132"/>
    </row>
    <row r="103" spans="1:33" s="21" customFormat="1" x14ac:dyDescent="0.2">
      <c r="A103" s="7"/>
      <c r="B103" s="155"/>
      <c r="C103" s="39"/>
      <c r="D103" s="158"/>
      <c r="E103" s="154"/>
      <c r="F103" s="154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132"/>
      <c r="AG103" s="132"/>
    </row>
    <row r="104" spans="1:33" s="21" customFormat="1" x14ac:dyDescent="0.2">
      <c r="A104" s="7"/>
      <c r="B104" s="155"/>
      <c r="C104" s="39"/>
      <c r="D104" s="158"/>
      <c r="E104" s="154"/>
      <c r="F104" s="154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132"/>
      <c r="AG104" s="132"/>
    </row>
    <row r="105" spans="1:33" s="21" customFormat="1" x14ac:dyDescent="0.2">
      <c r="A105" s="7"/>
      <c r="B105" s="155"/>
      <c r="C105" s="154"/>
      <c r="D105" s="154"/>
      <c r="E105" s="154"/>
      <c r="F105" s="154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132"/>
      <c r="AG105" s="132"/>
    </row>
    <row r="106" spans="1:33" s="21" customFormat="1" x14ac:dyDescent="0.2">
      <c r="A106" s="7"/>
      <c r="B106" s="155"/>
      <c r="C106" s="39"/>
      <c r="D106" s="525"/>
      <c r="E106" s="526"/>
      <c r="F106" s="526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132"/>
      <c r="AG106" s="132"/>
    </row>
    <row r="107" spans="1:33" s="21" customFormat="1" x14ac:dyDescent="0.2">
      <c r="A107" s="7"/>
      <c r="B107" s="155"/>
      <c r="C107" s="154"/>
      <c r="D107" s="158"/>
      <c r="E107" s="154"/>
      <c r="F107" s="154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132"/>
      <c r="AG107" s="132"/>
    </row>
    <row r="108" spans="1:33" s="21" customFormat="1" x14ac:dyDescent="0.2">
      <c r="A108" s="7"/>
      <c r="B108" s="155"/>
      <c r="C108" s="154"/>
      <c r="D108" s="164"/>
      <c r="E108" s="154"/>
      <c r="F108" s="154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132"/>
      <c r="AG108" s="132"/>
    </row>
    <row r="109" spans="1:33" s="21" customFormat="1" x14ac:dyDescent="0.2">
      <c r="A109" s="7"/>
      <c r="B109" s="155"/>
      <c r="C109" s="154"/>
      <c r="D109" s="164"/>
      <c r="E109" s="154"/>
      <c r="F109" s="154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132"/>
      <c r="AG109" s="132"/>
    </row>
    <row r="110" spans="1:33" s="21" customFormat="1" x14ac:dyDescent="0.2">
      <c r="A110" s="7"/>
      <c r="B110" s="155"/>
      <c r="C110" s="154"/>
      <c r="D110" s="158"/>
      <c r="E110" s="154"/>
      <c r="F110" s="154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132"/>
      <c r="AG110" s="132"/>
    </row>
    <row r="111" spans="1:33" s="21" customFormat="1" x14ac:dyDescent="0.2">
      <c r="A111" s="7"/>
      <c r="B111" s="155"/>
      <c r="C111" s="154"/>
      <c r="D111" s="164"/>
      <c r="E111" s="154"/>
      <c r="F111" s="154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132"/>
      <c r="AG111" s="132"/>
    </row>
    <row r="112" spans="1:33" s="21" customFormat="1" x14ac:dyDescent="0.2">
      <c r="A112" s="7"/>
      <c r="B112" s="155"/>
      <c r="C112" s="154"/>
      <c r="D112" s="164"/>
      <c r="E112" s="154"/>
      <c r="F112" s="154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132"/>
      <c r="AG112" s="132"/>
    </row>
    <row r="113" spans="1:33" s="21" customFormat="1" x14ac:dyDescent="0.2">
      <c r="A113" s="7"/>
      <c r="B113" s="3"/>
      <c r="C113" s="4"/>
      <c r="D113" s="157"/>
      <c r="E113" s="154"/>
      <c r="F113" s="154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132"/>
      <c r="AG113" s="132"/>
    </row>
    <row r="114" spans="1:33" s="21" customFormat="1" x14ac:dyDescent="0.2">
      <c r="A114" s="7"/>
      <c r="B114" s="155"/>
      <c r="C114" s="154"/>
      <c r="D114" s="157"/>
      <c r="E114" s="154"/>
      <c r="F114" s="154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132"/>
      <c r="AG114" s="132"/>
    </row>
    <row r="115" spans="1:33" s="21" customFormat="1" x14ac:dyDescent="0.2">
      <c r="A115" s="7"/>
      <c r="B115" s="155"/>
      <c r="C115" s="154"/>
      <c r="D115" s="157"/>
      <c r="E115" s="154"/>
      <c r="F115" s="154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132"/>
      <c r="AG115" s="132"/>
    </row>
    <row r="116" spans="1:33" s="21" customFormat="1" x14ac:dyDescent="0.2">
      <c r="A116" s="7"/>
      <c r="B116" s="155"/>
      <c r="C116" s="154"/>
      <c r="D116" s="157"/>
      <c r="E116" s="154"/>
      <c r="F116" s="154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132"/>
      <c r="AG116" s="132"/>
    </row>
    <row r="117" spans="1:33" s="21" customFormat="1" x14ac:dyDescent="0.2">
      <c r="A117" s="7"/>
      <c r="B117" s="155"/>
      <c r="C117" s="39"/>
      <c r="D117" s="525"/>
      <c r="E117" s="526"/>
      <c r="F117" s="526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132"/>
      <c r="AG117" s="132"/>
    </row>
    <row r="118" spans="1:33" s="21" customFormat="1" x14ac:dyDescent="0.2">
      <c r="A118" s="7"/>
      <c r="B118" s="155"/>
      <c r="C118" s="154"/>
      <c r="D118" s="158"/>
      <c r="E118" s="154"/>
      <c r="F118" s="126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132"/>
      <c r="AG118" s="132"/>
    </row>
    <row r="119" spans="1:33" s="21" customFormat="1" x14ac:dyDescent="0.2">
      <c r="A119" s="7"/>
      <c r="B119" s="155"/>
      <c r="C119" s="154"/>
      <c r="D119" s="158"/>
      <c r="E119" s="154"/>
      <c r="F119" s="126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132"/>
      <c r="AG119" s="132"/>
    </row>
    <row r="120" spans="1:33" s="21" customFormat="1" x14ac:dyDescent="0.2">
      <c r="A120" s="7"/>
      <c r="B120" s="6"/>
      <c r="C120" s="7"/>
      <c r="D120" s="154"/>
      <c r="E120" s="154"/>
      <c r="F120" s="154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132"/>
      <c r="AG120" s="132"/>
    </row>
    <row r="121" spans="1:33" s="21" customFormat="1" x14ac:dyDescent="0.2">
      <c r="A121" s="7"/>
      <c r="B121" s="153"/>
      <c r="C121" s="154"/>
      <c r="D121" s="154"/>
      <c r="E121" s="154"/>
      <c r="F121" s="154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132"/>
      <c r="AG121" s="132"/>
    </row>
    <row r="122" spans="1:33" s="21" customFormat="1" x14ac:dyDescent="0.2">
      <c r="A122" s="7"/>
      <c r="B122" s="153"/>
      <c r="C122" s="154"/>
      <c r="D122" s="158"/>
      <c r="E122" s="154"/>
      <c r="F122" s="154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132"/>
      <c r="AG122" s="132"/>
    </row>
    <row r="123" spans="1:33" s="21" customFormat="1" x14ac:dyDescent="0.2">
      <c r="A123" s="7"/>
      <c r="B123" s="153"/>
      <c r="C123" s="154"/>
      <c r="D123" s="158"/>
      <c r="E123" s="154"/>
      <c r="F123" s="154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132"/>
      <c r="AG123" s="132"/>
    </row>
    <row r="124" spans="1:33" s="21" customFormat="1" x14ac:dyDescent="0.2">
      <c r="A124" s="7"/>
      <c r="B124" s="153"/>
      <c r="C124" s="154"/>
      <c r="D124" s="150"/>
      <c r="E124" s="566"/>
      <c r="F124" s="566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132"/>
      <c r="AG124" s="132"/>
    </row>
    <row r="125" spans="1:33" x14ac:dyDescent="0.2">
      <c r="A125" s="7"/>
      <c r="B125" s="153"/>
      <c r="C125" s="154"/>
      <c r="D125" s="39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122"/>
      <c r="AF125" s="123"/>
      <c r="AG125" s="123"/>
    </row>
    <row r="126" spans="1:33" x14ac:dyDescent="0.2">
      <c r="A126" s="7"/>
      <c r="B126" s="153"/>
      <c r="C126" s="154"/>
      <c r="D126" s="150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122"/>
      <c r="AF126" s="123"/>
      <c r="AG126" s="123"/>
    </row>
    <row r="127" spans="1:33" x14ac:dyDescent="0.2">
      <c r="A127" s="7"/>
      <c r="B127" s="153"/>
      <c r="C127" s="154"/>
      <c r="D127" s="150"/>
      <c r="E127" s="39"/>
      <c r="F127" s="39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122"/>
      <c r="AF127" s="123"/>
      <c r="AG127" s="123"/>
    </row>
    <row r="128" spans="1:33" x14ac:dyDescent="0.2">
      <c r="A128" s="7"/>
      <c r="B128" s="153"/>
      <c r="C128" s="154"/>
      <c r="D128" s="150"/>
      <c r="E128" s="566"/>
      <c r="F128" s="566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122"/>
      <c r="AF128" s="123"/>
      <c r="AG128" s="123"/>
    </row>
    <row r="129" spans="1:33" x14ac:dyDescent="0.2">
      <c r="A129" s="154"/>
      <c r="B129" s="565"/>
      <c r="C129" s="565"/>
      <c r="D129" s="565"/>
      <c r="E129" s="565"/>
      <c r="F129" s="565"/>
      <c r="G129" s="20"/>
      <c r="H129" s="20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122"/>
      <c r="AF129" s="123"/>
      <c r="AG129" s="123"/>
    </row>
    <row r="130" spans="1:33" x14ac:dyDescent="0.2">
      <c r="A130" s="21"/>
      <c r="B130" s="21"/>
      <c r="C130" s="21"/>
      <c r="D130" s="21"/>
      <c r="E130" s="21"/>
      <c r="F130" s="21"/>
      <c r="G130" s="20"/>
      <c r="H130" s="20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 t="s">
        <v>184</v>
      </c>
      <c r="V130" s="34"/>
      <c r="W130" s="34"/>
      <c r="X130" s="34"/>
      <c r="Y130" s="34"/>
      <c r="Z130" s="34"/>
      <c r="AA130" s="34"/>
      <c r="AB130" s="34"/>
      <c r="AC130" s="34"/>
      <c r="AD130" s="34"/>
      <c r="AE130" s="122"/>
      <c r="AF130" s="123"/>
      <c r="AG130" s="123"/>
    </row>
    <row r="131" spans="1:33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</row>
    <row r="132" spans="1:33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</row>
    <row r="133" spans="1:33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</row>
    <row r="134" spans="1:33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</row>
    <row r="135" spans="1:33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</row>
    <row r="136" spans="1:33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</row>
    <row r="137" spans="1:33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</row>
    <row r="138" spans="1:33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</row>
    <row r="139" spans="1:33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</row>
    <row r="140" spans="1:33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</row>
    <row r="141" spans="1:33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</row>
    <row r="142" spans="1:33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</row>
    <row r="143" spans="1:33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</row>
    <row r="144" spans="1:33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</row>
    <row r="145" spans="1:30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</row>
    <row r="146" spans="1:30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</row>
    <row r="147" spans="1:30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</row>
    <row r="148" spans="1:30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</row>
    <row r="149" spans="1:30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</row>
    <row r="150" spans="1:30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</row>
    <row r="151" spans="1:30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</row>
    <row r="152" spans="1:30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</row>
    <row r="153" spans="1:30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</row>
    <row r="154" spans="1:30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</row>
    <row r="155" spans="1:30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</row>
    <row r="156" spans="1:30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</row>
    <row r="157" spans="1:30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</row>
    <row r="158" spans="1:30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</row>
    <row r="159" spans="1:30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</row>
    <row r="160" spans="1:30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</row>
    <row r="161" spans="1:30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</row>
    <row r="162" spans="1:30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</row>
    <row r="163" spans="1:30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</row>
    <row r="164" spans="1:30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</row>
    <row r="165" spans="1:30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</row>
    <row r="166" spans="1:30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</row>
    <row r="167" spans="1:30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</row>
    <row r="168" spans="1:30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</row>
    <row r="169" spans="1:30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</row>
    <row r="170" spans="1:30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</row>
    <row r="171" spans="1:30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</row>
    <row r="172" spans="1:30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</row>
    <row r="173" spans="1:30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</row>
    <row r="174" spans="1:30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</row>
    <row r="175" spans="1:30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</row>
    <row r="176" spans="1:30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</row>
    <row r="177" spans="1:30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</row>
    <row r="178" spans="1:30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</row>
    <row r="179" spans="1:30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</row>
    <row r="180" spans="1:30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</row>
    <row r="181" spans="1:30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</row>
    <row r="182" spans="1:30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</row>
    <row r="183" spans="1:30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</row>
    <row r="184" spans="1:30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</row>
    <row r="185" spans="1:30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</row>
    <row r="186" spans="1:30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</row>
    <row r="187" spans="1:30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</row>
    <row r="188" spans="1:30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</row>
    <row r="189" spans="1:30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</row>
    <row r="190" spans="1:30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</row>
    <row r="191" spans="1:30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</row>
    <row r="192" spans="1:30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</row>
    <row r="193" spans="1:30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</row>
    <row r="194" spans="1:30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</row>
    <row r="195" spans="1:30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</row>
    <row r="196" spans="1:30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</row>
    <row r="197" spans="1:30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</row>
    <row r="198" spans="1:30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</row>
    <row r="199" spans="1:30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</row>
    <row r="200" spans="1:30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</row>
    <row r="201" spans="1:30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</row>
    <row r="202" spans="1:30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</row>
    <row r="203" spans="1:30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</row>
    <row r="204" spans="1:30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</row>
    <row r="205" spans="1:30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</row>
    <row r="206" spans="1:30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</row>
    <row r="207" spans="1:30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</row>
    <row r="208" spans="1:30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</row>
    <row r="209" spans="1:30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</row>
    <row r="210" spans="1:30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</row>
    <row r="211" spans="1:30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</row>
    <row r="212" spans="1:30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</row>
    <row r="213" spans="1:30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</row>
    <row r="214" spans="1:30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</row>
    <row r="215" spans="1:30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</row>
    <row r="216" spans="1:30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</row>
    <row r="217" spans="1:30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</row>
    <row r="218" spans="1:30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</row>
    <row r="219" spans="1:30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</row>
    <row r="220" spans="1:30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</row>
    <row r="221" spans="1:30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</row>
    <row r="222" spans="1:30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</row>
    <row r="223" spans="1:30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</row>
    <row r="224" spans="1:30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</row>
    <row r="225" spans="1:30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</row>
    <row r="226" spans="1:30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</row>
    <row r="227" spans="1:30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</row>
    <row r="228" spans="1:30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</row>
    <row r="229" spans="1:30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</row>
    <row r="230" spans="1:30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</row>
    <row r="231" spans="1:30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</row>
    <row r="232" spans="1:30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</row>
    <row r="233" spans="1:30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</row>
    <row r="234" spans="1:30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</row>
    <row r="235" spans="1:30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</row>
    <row r="236" spans="1:30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</row>
    <row r="237" spans="1:30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</row>
    <row r="238" spans="1:30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</row>
    <row r="239" spans="1:30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</row>
    <row r="240" spans="1:30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</row>
    <row r="241" spans="1:30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</row>
    <row r="242" spans="1:30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</row>
    <row r="243" spans="1:30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</row>
    <row r="244" spans="1:30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</row>
    <row r="245" spans="1:30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</row>
    <row r="246" spans="1:30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</row>
    <row r="247" spans="1:30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</row>
    <row r="248" spans="1:30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</row>
    <row r="249" spans="1:30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</row>
    <row r="250" spans="1:30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</row>
    <row r="251" spans="1:30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</row>
    <row r="252" spans="1:30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</row>
    <row r="253" spans="1:30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</row>
    <row r="254" spans="1:30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</row>
    <row r="255" spans="1:30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</row>
  </sheetData>
  <sheetProtection password="B244" sheet="1" objects="1" scenarios="1" selectLockedCells="1"/>
  <mergeCells count="42">
    <mergeCell ref="D45:F45"/>
    <mergeCell ref="Q5:R5"/>
    <mergeCell ref="S5:T5"/>
    <mergeCell ref="M7:N8"/>
    <mergeCell ref="D44:F44"/>
    <mergeCell ref="C43:D43"/>
    <mergeCell ref="W6:X8"/>
    <mergeCell ref="O7:P8"/>
    <mergeCell ref="K6:T6"/>
    <mergeCell ref="W5:X5"/>
    <mergeCell ref="G5:G9"/>
    <mergeCell ref="M5:N5"/>
    <mergeCell ref="AA5:AB5"/>
    <mergeCell ref="C53:D53"/>
    <mergeCell ref="Q7:R8"/>
    <mergeCell ref="K7:L8"/>
    <mergeCell ref="S7:T8"/>
    <mergeCell ref="D50:E50"/>
    <mergeCell ref="H5:H9"/>
    <mergeCell ref="D51:F51"/>
    <mergeCell ref="A5:F9"/>
    <mergeCell ref="I5:J5"/>
    <mergeCell ref="A1:AD1"/>
    <mergeCell ref="A2:AD2"/>
    <mergeCell ref="AC6:AD8"/>
    <mergeCell ref="A3:AD3"/>
    <mergeCell ref="Y6:Z8"/>
    <mergeCell ref="O5:P5"/>
    <mergeCell ref="K5:L5"/>
    <mergeCell ref="U5:V5"/>
    <mergeCell ref="AA6:AB8"/>
    <mergeCell ref="Y5:Z5"/>
    <mergeCell ref="AC5:AD5"/>
    <mergeCell ref="I6:J8"/>
    <mergeCell ref="B129:F129"/>
    <mergeCell ref="E80:F80"/>
    <mergeCell ref="D91:F91"/>
    <mergeCell ref="D106:F106"/>
    <mergeCell ref="D117:F117"/>
    <mergeCell ref="E124:F124"/>
    <mergeCell ref="E128:F128"/>
    <mergeCell ref="U6:V8"/>
  </mergeCells>
  <phoneticPr fontId="0" type="noConversion"/>
  <dataValidations count="1">
    <dataValidation type="decimal" operator="lessThan" allowBlank="1" showInputMessage="1" showErrorMessage="1" sqref="I10:FN587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6b2&amp;8&amp;U
&amp;P of &amp;N&amp;C&amp;"Arial,Bold"&amp;8 MAXIMUM SAVINGS BANK, INC.  [ 03-070011 ]
 As of: June 30, 2019</oddHeader>
  </headerFooter>
  <drawing r:id="rId2"/>
  <legacyDrawing r:id="rId3"/>
  <controls>
    <mc:AlternateContent xmlns:mc="http://schemas.openxmlformats.org/markup-compatibility/2006">
      <mc:Choice Requires="x14">
        <control shapeId="10241" r:id="rId4" name="Label1">
          <controlPr defaultSize="0" autoLine="0" r:id="rId5">
            <anchor moveWithCells="1">
              <from>
                <xdr:col>7</xdr:col>
                <xdr:colOff>238125</xdr:colOff>
                <xdr:row>17</xdr:row>
                <xdr:rowOff>28575</xdr:rowOff>
              </from>
              <to>
                <xdr:col>7</xdr:col>
                <xdr:colOff>647700</xdr:colOff>
                <xdr:row>18</xdr:row>
                <xdr:rowOff>28575</xdr:rowOff>
              </to>
            </anchor>
          </controlPr>
        </control>
      </mc:Choice>
      <mc:Fallback>
        <control shapeId="10241" r:id="rId4" name="Label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U255"/>
  <sheetViews>
    <sheetView zoomScale="75" zoomScaleNormal="90" zoomScaleSheetLayoutView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4" sqref="I14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25.7109375" style="1" customWidth="1"/>
    <col min="6" max="6" width="21.42578125" style="1" hidden="1" customWidth="1"/>
    <col min="7" max="7" width="17.85546875" style="9" customWidth="1"/>
    <col min="8" max="8" width="9.85546875" style="9" customWidth="1"/>
    <col min="9" max="30" width="20.7109375" style="1" customWidth="1"/>
    <col min="31" max="170" width="25.7109375" style="1" customWidth="1"/>
    <col min="171" max="16384" width="9.140625" style="1"/>
  </cols>
  <sheetData>
    <row r="1" spans="1:33" s="165" customFormat="1" ht="12.75" x14ac:dyDescent="0.2">
      <c r="A1" s="512" t="s">
        <v>519</v>
      </c>
      <c r="B1" s="512"/>
      <c r="C1" s="512"/>
      <c r="D1" s="512"/>
      <c r="E1" s="512"/>
      <c r="F1" s="512"/>
      <c r="G1" s="512"/>
      <c r="H1" s="512"/>
      <c r="I1" s="512"/>
      <c r="J1" s="512"/>
      <c r="K1" s="512"/>
      <c r="L1" s="512"/>
      <c r="M1" s="512"/>
      <c r="N1" s="512"/>
      <c r="O1" s="512"/>
      <c r="P1" s="512"/>
      <c r="Q1" s="512"/>
      <c r="R1" s="512"/>
      <c r="S1" s="512"/>
      <c r="T1" s="512"/>
      <c r="U1" s="512"/>
      <c r="V1" s="512"/>
      <c r="W1" s="512"/>
      <c r="X1" s="512"/>
      <c r="Y1" s="512"/>
      <c r="Z1" s="512"/>
      <c r="AA1" s="512"/>
      <c r="AB1" s="512"/>
      <c r="AC1" s="512"/>
      <c r="AD1" s="512"/>
    </row>
    <row r="2" spans="1:33" s="165" customFormat="1" ht="12.75" customHeight="1" x14ac:dyDescent="0.2">
      <c r="A2" s="512" t="s">
        <v>325</v>
      </c>
      <c r="B2" s="512"/>
      <c r="C2" s="512"/>
      <c r="D2" s="512"/>
      <c r="E2" s="512"/>
      <c r="F2" s="512"/>
      <c r="G2" s="512"/>
      <c r="H2" s="512"/>
      <c r="I2" s="512"/>
      <c r="J2" s="512"/>
      <c r="K2" s="512"/>
      <c r="L2" s="512"/>
      <c r="M2" s="512"/>
      <c r="N2" s="512"/>
      <c r="O2" s="512"/>
      <c r="P2" s="512"/>
      <c r="Q2" s="512"/>
      <c r="R2" s="512"/>
      <c r="S2" s="512"/>
      <c r="T2" s="512"/>
      <c r="U2" s="512"/>
      <c r="V2" s="512"/>
      <c r="W2" s="512"/>
      <c r="X2" s="512"/>
      <c r="Y2" s="512"/>
      <c r="Z2" s="512"/>
      <c r="AA2" s="512"/>
      <c r="AB2" s="512"/>
      <c r="AC2" s="512"/>
      <c r="AD2" s="512"/>
    </row>
    <row r="3" spans="1:33" s="165" customFormat="1" ht="12.75" customHeight="1" x14ac:dyDescent="0.2">
      <c r="A3" s="512" t="s">
        <v>7</v>
      </c>
      <c r="B3" s="512"/>
      <c r="C3" s="512"/>
      <c r="D3" s="512"/>
      <c r="E3" s="512"/>
      <c r="F3" s="512"/>
      <c r="G3" s="512"/>
      <c r="H3" s="512"/>
      <c r="I3" s="512"/>
      <c r="J3" s="512"/>
      <c r="K3" s="512"/>
      <c r="L3" s="512"/>
      <c r="M3" s="512"/>
      <c r="N3" s="512"/>
      <c r="O3" s="512"/>
      <c r="P3" s="512"/>
      <c r="Q3" s="512"/>
      <c r="R3" s="512"/>
      <c r="S3" s="512"/>
      <c r="T3" s="512"/>
      <c r="U3" s="512"/>
      <c r="V3" s="512"/>
      <c r="W3" s="512"/>
      <c r="X3" s="512"/>
      <c r="Y3" s="512"/>
      <c r="Z3" s="512"/>
      <c r="AA3" s="512"/>
      <c r="AB3" s="512"/>
      <c r="AC3" s="512"/>
      <c r="AD3" s="512"/>
    </row>
    <row r="4" spans="1:33" ht="12.75" customHeight="1" x14ac:dyDescent="0.2">
      <c r="A4" s="217"/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  <c r="S4" s="217"/>
      <c r="T4" s="217"/>
      <c r="U4" s="217"/>
      <c r="V4" s="217"/>
      <c r="W4" s="217"/>
      <c r="X4" s="217"/>
      <c r="Y4" s="217"/>
      <c r="Z4" s="217"/>
      <c r="AA4" s="217"/>
      <c r="AB4" s="217"/>
      <c r="AC4" s="217"/>
      <c r="AD4" s="217"/>
    </row>
    <row r="5" spans="1:33" s="118" customFormat="1" ht="14.25" customHeight="1" x14ac:dyDescent="0.2">
      <c r="A5" s="504" t="s">
        <v>0</v>
      </c>
      <c r="B5" s="505"/>
      <c r="C5" s="505"/>
      <c r="D5" s="505"/>
      <c r="E5" s="505"/>
      <c r="F5" s="506"/>
      <c r="G5" s="496" t="s">
        <v>2</v>
      </c>
      <c r="H5" s="493" t="s">
        <v>414</v>
      </c>
      <c r="I5" s="518" t="s">
        <v>309</v>
      </c>
      <c r="J5" s="521"/>
      <c r="K5" s="518" t="s">
        <v>310</v>
      </c>
      <c r="L5" s="521"/>
      <c r="M5" s="580" t="s">
        <v>311</v>
      </c>
      <c r="N5" s="582"/>
      <c r="O5" s="580" t="s">
        <v>312</v>
      </c>
      <c r="P5" s="582"/>
      <c r="Q5" s="580" t="s">
        <v>313</v>
      </c>
      <c r="R5" s="582"/>
      <c r="S5" s="580" t="s">
        <v>314</v>
      </c>
      <c r="T5" s="582"/>
      <c r="U5" s="580" t="s">
        <v>315</v>
      </c>
      <c r="V5" s="582"/>
      <c r="W5" s="580" t="s">
        <v>316</v>
      </c>
      <c r="X5" s="582"/>
      <c r="Y5" s="580" t="s">
        <v>317</v>
      </c>
      <c r="Z5" s="582"/>
      <c r="AA5" s="580" t="s">
        <v>318</v>
      </c>
      <c r="AB5" s="582"/>
      <c r="AC5" s="580" t="s">
        <v>307</v>
      </c>
      <c r="AD5" s="582"/>
    </row>
    <row r="6" spans="1:33" s="11" customFormat="1" ht="12.75" customHeight="1" x14ac:dyDescent="0.2">
      <c r="A6" s="507"/>
      <c r="B6" s="508"/>
      <c r="C6" s="508"/>
      <c r="D6" s="508"/>
      <c r="E6" s="508"/>
      <c r="F6" s="509"/>
      <c r="G6" s="497"/>
      <c r="H6" s="494"/>
      <c r="I6" s="592" t="s">
        <v>755</v>
      </c>
      <c r="J6" s="600"/>
      <c r="K6" s="518" t="s">
        <v>324</v>
      </c>
      <c r="L6" s="533"/>
      <c r="M6" s="533"/>
      <c r="N6" s="533"/>
      <c r="O6" s="533"/>
      <c r="P6" s="533"/>
      <c r="Q6" s="533"/>
      <c r="R6" s="533"/>
      <c r="S6" s="533"/>
      <c r="T6" s="521"/>
      <c r="U6" s="592" t="s">
        <v>319</v>
      </c>
      <c r="V6" s="600"/>
      <c r="W6" s="592" t="s">
        <v>320</v>
      </c>
      <c r="X6" s="600"/>
      <c r="Y6" s="592" t="s">
        <v>321</v>
      </c>
      <c r="Z6" s="600"/>
      <c r="AA6" s="592" t="s">
        <v>390</v>
      </c>
      <c r="AB6" s="600"/>
      <c r="AC6" s="592" t="s">
        <v>328</v>
      </c>
      <c r="AD6" s="600"/>
    </row>
    <row r="7" spans="1:33" s="11" customFormat="1" ht="12.75" customHeight="1" x14ac:dyDescent="0.2">
      <c r="A7" s="507"/>
      <c r="B7" s="508"/>
      <c r="C7" s="508"/>
      <c r="D7" s="508"/>
      <c r="E7" s="508"/>
      <c r="F7" s="509"/>
      <c r="G7" s="497"/>
      <c r="H7" s="494"/>
      <c r="I7" s="593"/>
      <c r="J7" s="601"/>
      <c r="K7" s="504" t="s">
        <v>779</v>
      </c>
      <c r="L7" s="506"/>
      <c r="M7" s="504" t="s">
        <v>780</v>
      </c>
      <c r="N7" s="506"/>
      <c r="O7" s="504" t="s">
        <v>781</v>
      </c>
      <c r="P7" s="506"/>
      <c r="Q7" s="504" t="s">
        <v>782</v>
      </c>
      <c r="R7" s="506"/>
      <c r="S7" s="504" t="s">
        <v>308</v>
      </c>
      <c r="T7" s="506"/>
      <c r="U7" s="593"/>
      <c r="V7" s="601"/>
      <c r="W7" s="593"/>
      <c r="X7" s="601"/>
      <c r="Y7" s="593"/>
      <c r="Z7" s="601"/>
      <c r="AA7" s="593"/>
      <c r="AB7" s="601"/>
      <c r="AC7" s="593"/>
      <c r="AD7" s="601"/>
    </row>
    <row r="8" spans="1:33" s="2" customFormat="1" ht="12.75" customHeight="1" x14ac:dyDescent="0.2">
      <c r="A8" s="507"/>
      <c r="B8" s="508"/>
      <c r="C8" s="508"/>
      <c r="D8" s="508"/>
      <c r="E8" s="508"/>
      <c r="F8" s="509"/>
      <c r="G8" s="497"/>
      <c r="H8" s="494"/>
      <c r="I8" s="593"/>
      <c r="J8" s="601"/>
      <c r="K8" s="491"/>
      <c r="L8" s="492"/>
      <c r="M8" s="491"/>
      <c r="N8" s="492"/>
      <c r="O8" s="491"/>
      <c r="P8" s="492"/>
      <c r="Q8" s="491"/>
      <c r="R8" s="492"/>
      <c r="S8" s="491"/>
      <c r="T8" s="492"/>
      <c r="U8" s="594"/>
      <c r="V8" s="602"/>
      <c r="W8" s="594"/>
      <c r="X8" s="602"/>
      <c r="Y8" s="594"/>
      <c r="Z8" s="602"/>
      <c r="AA8" s="594"/>
      <c r="AB8" s="602"/>
      <c r="AC8" s="594"/>
      <c r="AD8" s="602"/>
    </row>
    <row r="9" spans="1:33" s="2" customFormat="1" x14ac:dyDescent="0.2">
      <c r="A9" s="507"/>
      <c r="B9" s="508"/>
      <c r="C9" s="508"/>
      <c r="D9" s="508"/>
      <c r="E9" s="508"/>
      <c r="F9" s="509"/>
      <c r="G9" s="498"/>
      <c r="H9" s="495"/>
      <c r="I9" s="37" t="s">
        <v>5</v>
      </c>
      <c r="J9" s="37" t="s">
        <v>6</v>
      </c>
      <c r="K9" s="37" t="s">
        <v>5</v>
      </c>
      <c r="L9" s="37" t="s">
        <v>6</v>
      </c>
      <c r="M9" s="37" t="s">
        <v>5</v>
      </c>
      <c r="N9" s="37" t="s">
        <v>6</v>
      </c>
      <c r="O9" s="37" t="s">
        <v>5</v>
      </c>
      <c r="P9" s="37" t="s">
        <v>6</v>
      </c>
      <c r="Q9" s="37" t="s">
        <v>5</v>
      </c>
      <c r="R9" s="37" t="s">
        <v>6</v>
      </c>
      <c r="S9" s="37" t="s">
        <v>5</v>
      </c>
      <c r="T9" s="37" t="s">
        <v>6</v>
      </c>
      <c r="U9" s="37" t="s">
        <v>5</v>
      </c>
      <c r="V9" s="37" t="s">
        <v>6</v>
      </c>
      <c r="W9" s="37" t="s">
        <v>5</v>
      </c>
      <c r="X9" s="37" t="s">
        <v>6</v>
      </c>
      <c r="Y9" s="37" t="s">
        <v>5</v>
      </c>
      <c r="Z9" s="37" t="s">
        <v>6</v>
      </c>
      <c r="AA9" s="37" t="s">
        <v>5</v>
      </c>
      <c r="AB9" s="37" t="s">
        <v>6</v>
      </c>
      <c r="AC9" s="37" t="s">
        <v>5</v>
      </c>
      <c r="AD9" s="37" t="s">
        <v>6</v>
      </c>
    </row>
    <row r="10" spans="1:33" x14ac:dyDescent="0.2">
      <c r="A10" s="325" t="s">
        <v>185</v>
      </c>
      <c r="B10" s="326"/>
      <c r="C10" s="326"/>
      <c r="D10" s="326"/>
      <c r="E10" s="326"/>
      <c r="F10" s="328"/>
      <c r="G10" s="457" t="s">
        <v>520</v>
      </c>
      <c r="H10" s="18"/>
      <c r="I10" s="78">
        <f t="shared" ref="I10:AB10" si="0">SUM(I11,I33,I40)</f>
        <v>0</v>
      </c>
      <c r="J10" s="78">
        <f t="shared" si="0"/>
        <v>0</v>
      </c>
      <c r="K10" s="78">
        <f t="shared" si="0"/>
        <v>0</v>
      </c>
      <c r="L10" s="78">
        <f t="shared" si="0"/>
        <v>0</v>
      </c>
      <c r="M10" s="78">
        <f t="shared" si="0"/>
        <v>0</v>
      </c>
      <c r="N10" s="78">
        <f t="shared" si="0"/>
        <v>0</v>
      </c>
      <c r="O10" s="78">
        <f t="shared" si="0"/>
        <v>0</v>
      </c>
      <c r="P10" s="78">
        <f t="shared" si="0"/>
        <v>0</v>
      </c>
      <c r="Q10" s="78">
        <f t="shared" si="0"/>
        <v>0</v>
      </c>
      <c r="R10" s="78">
        <f t="shared" si="0"/>
        <v>0</v>
      </c>
      <c r="S10" s="78">
        <f t="shared" si="0"/>
        <v>0</v>
      </c>
      <c r="T10" s="78">
        <f t="shared" si="0"/>
        <v>0</v>
      </c>
      <c r="U10" s="78">
        <f t="shared" si="0"/>
        <v>0</v>
      </c>
      <c r="V10" s="78">
        <f t="shared" si="0"/>
        <v>0</v>
      </c>
      <c r="W10" s="78">
        <f t="shared" si="0"/>
        <v>0</v>
      </c>
      <c r="X10" s="78">
        <f t="shared" si="0"/>
        <v>0</v>
      </c>
      <c r="Y10" s="78">
        <f t="shared" si="0"/>
        <v>0</v>
      </c>
      <c r="Z10" s="78">
        <f t="shared" si="0"/>
        <v>0</v>
      </c>
      <c r="AA10" s="78">
        <f t="shared" si="0"/>
        <v>0</v>
      </c>
      <c r="AB10" s="78">
        <f t="shared" si="0"/>
        <v>0</v>
      </c>
      <c r="AC10" s="78">
        <f t="shared" ref="AC10:AD16" si="1">(I10+K10+M10+O10+Q10+S10+U10) - (W10+Y10)</f>
        <v>0</v>
      </c>
      <c r="AD10" s="78">
        <f t="shared" si="1"/>
        <v>0</v>
      </c>
      <c r="AE10" s="122"/>
      <c r="AF10" s="123"/>
      <c r="AG10" s="123"/>
    </row>
    <row r="11" spans="1:33" x14ac:dyDescent="0.2">
      <c r="A11" s="330" t="s">
        <v>186</v>
      </c>
      <c r="B11" s="331" t="s">
        <v>187</v>
      </c>
      <c r="C11" s="252"/>
      <c r="D11" s="252"/>
      <c r="E11" s="313"/>
      <c r="F11" s="334"/>
      <c r="G11" s="457" t="s">
        <v>521</v>
      </c>
      <c r="H11" s="18"/>
      <c r="I11" s="78">
        <f t="shared" ref="I11:AB11" si="2">SUM(I12,I24,I25,I28)</f>
        <v>0</v>
      </c>
      <c r="J11" s="78">
        <f t="shared" si="2"/>
        <v>0</v>
      </c>
      <c r="K11" s="78">
        <f t="shared" si="2"/>
        <v>0</v>
      </c>
      <c r="L11" s="78">
        <f t="shared" si="2"/>
        <v>0</v>
      </c>
      <c r="M11" s="78">
        <f t="shared" si="2"/>
        <v>0</v>
      </c>
      <c r="N11" s="78">
        <f t="shared" si="2"/>
        <v>0</v>
      </c>
      <c r="O11" s="78">
        <f t="shared" si="2"/>
        <v>0</v>
      </c>
      <c r="P11" s="78">
        <f t="shared" si="2"/>
        <v>0</v>
      </c>
      <c r="Q11" s="78">
        <f t="shared" si="2"/>
        <v>0</v>
      </c>
      <c r="R11" s="78">
        <f t="shared" si="2"/>
        <v>0</v>
      </c>
      <c r="S11" s="78">
        <f t="shared" si="2"/>
        <v>0</v>
      </c>
      <c r="T11" s="78">
        <f t="shared" si="2"/>
        <v>0</v>
      </c>
      <c r="U11" s="78">
        <f t="shared" si="2"/>
        <v>0</v>
      </c>
      <c r="V11" s="78">
        <f t="shared" si="2"/>
        <v>0</v>
      </c>
      <c r="W11" s="78">
        <f t="shared" si="2"/>
        <v>0</v>
      </c>
      <c r="X11" s="78">
        <f t="shared" si="2"/>
        <v>0</v>
      </c>
      <c r="Y11" s="78">
        <f t="shared" si="2"/>
        <v>0</v>
      </c>
      <c r="Z11" s="78">
        <f t="shared" si="2"/>
        <v>0</v>
      </c>
      <c r="AA11" s="78">
        <f t="shared" si="2"/>
        <v>0</v>
      </c>
      <c r="AB11" s="78">
        <f t="shared" si="2"/>
        <v>0</v>
      </c>
      <c r="AC11" s="78">
        <f t="shared" si="1"/>
        <v>0</v>
      </c>
      <c r="AD11" s="78">
        <f t="shared" si="1"/>
        <v>0</v>
      </c>
      <c r="AE11" s="122"/>
      <c r="AF11" s="123"/>
      <c r="AG11" s="123"/>
    </row>
    <row r="12" spans="1:33" x14ac:dyDescent="0.2">
      <c r="A12" s="332"/>
      <c r="B12" s="333" t="s">
        <v>188</v>
      </c>
      <c r="C12" s="333" t="s">
        <v>788</v>
      </c>
      <c r="D12" s="333"/>
      <c r="E12" s="333"/>
      <c r="F12" s="334"/>
      <c r="G12" s="457" t="s">
        <v>522</v>
      </c>
      <c r="H12" s="18"/>
      <c r="I12" s="78">
        <f t="shared" ref="I12:AB12" si="3">SUM(I13,I19,I20)</f>
        <v>0</v>
      </c>
      <c r="J12" s="78">
        <f t="shared" si="3"/>
        <v>0</v>
      </c>
      <c r="K12" s="78">
        <f t="shared" si="3"/>
        <v>0</v>
      </c>
      <c r="L12" s="78">
        <f t="shared" si="3"/>
        <v>0</v>
      </c>
      <c r="M12" s="78">
        <f t="shared" si="3"/>
        <v>0</v>
      </c>
      <c r="N12" s="78">
        <f t="shared" si="3"/>
        <v>0</v>
      </c>
      <c r="O12" s="78">
        <f t="shared" si="3"/>
        <v>0</v>
      </c>
      <c r="P12" s="78">
        <f t="shared" si="3"/>
        <v>0</v>
      </c>
      <c r="Q12" s="78">
        <f t="shared" si="3"/>
        <v>0</v>
      </c>
      <c r="R12" s="78">
        <f t="shared" si="3"/>
        <v>0</v>
      </c>
      <c r="S12" s="78">
        <f t="shared" si="3"/>
        <v>0</v>
      </c>
      <c r="T12" s="78">
        <f t="shared" si="3"/>
        <v>0</v>
      </c>
      <c r="U12" s="78">
        <f t="shared" si="3"/>
        <v>0</v>
      </c>
      <c r="V12" s="78">
        <f t="shared" si="3"/>
        <v>0</v>
      </c>
      <c r="W12" s="78">
        <f t="shared" si="3"/>
        <v>0</v>
      </c>
      <c r="X12" s="78">
        <f t="shared" si="3"/>
        <v>0</v>
      </c>
      <c r="Y12" s="78">
        <f t="shared" si="3"/>
        <v>0</v>
      </c>
      <c r="Z12" s="78">
        <f t="shared" si="3"/>
        <v>0</v>
      </c>
      <c r="AA12" s="78">
        <f t="shared" si="3"/>
        <v>0</v>
      </c>
      <c r="AB12" s="78">
        <f t="shared" si="3"/>
        <v>0</v>
      </c>
      <c r="AC12" s="78">
        <f t="shared" si="1"/>
        <v>0</v>
      </c>
      <c r="AD12" s="78">
        <f t="shared" si="1"/>
        <v>0</v>
      </c>
      <c r="AE12" s="122"/>
      <c r="AF12" s="123"/>
      <c r="AG12" s="123"/>
    </row>
    <row r="13" spans="1:33" x14ac:dyDescent="0.2">
      <c r="A13" s="251"/>
      <c r="B13" s="252"/>
      <c r="C13" s="349" t="s">
        <v>19</v>
      </c>
      <c r="D13" s="252" t="s">
        <v>189</v>
      </c>
      <c r="E13" s="313"/>
      <c r="F13" s="334"/>
      <c r="G13" s="457" t="s">
        <v>523</v>
      </c>
      <c r="H13" s="18"/>
      <c r="I13" s="78">
        <f>I14+I15+I16</f>
        <v>0</v>
      </c>
      <c r="J13" s="78">
        <f t="shared" ref="J13:AB13" si="4">J14+J15+J16</f>
        <v>0</v>
      </c>
      <c r="K13" s="78">
        <f t="shared" si="4"/>
        <v>0</v>
      </c>
      <c r="L13" s="78">
        <f t="shared" si="4"/>
        <v>0</v>
      </c>
      <c r="M13" s="78">
        <f t="shared" si="4"/>
        <v>0</v>
      </c>
      <c r="N13" s="78">
        <f t="shared" si="4"/>
        <v>0</v>
      </c>
      <c r="O13" s="78">
        <f t="shared" si="4"/>
        <v>0</v>
      </c>
      <c r="P13" s="78">
        <f t="shared" si="4"/>
        <v>0</v>
      </c>
      <c r="Q13" s="78">
        <f t="shared" si="4"/>
        <v>0</v>
      </c>
      <c r="R13" s="78">
        <f t="shared" si="4"/>
        <v>0</v>
      </c>
      <c r="S13" s="78">
        <f t="shared" si="4"/>
        <v>0</v>
      </c>
      <c r="T13" s="78">
        <f t="shared" si="4"/>
        <v>0</v>
      </c>
      <c r="U13" s="78">
        <f t="shared" si="4"/>
        <v>0</v>
      </c>
      <c r="V13" s="78">
        <f t="shared" si="4"/>
        <v>0</v>
      </c>
      <c r="W13" s="78">
        <f t="shared" si="4"/>
        <v>0</v>
      </c>
      <c r="X13" s="78">
        <f t="shared" si="4"/>
        <v>0</v>
      </c>
      <c r="Y13" s="78">
        <f t="shared" si="4"/>
        <v>0</v>
      </c>
      <c r="Z13" s="78">
        <f t="shared" si="4"/>
        <v>0</v>
      </c>
      <c r="AA13" s="78">
        <f t="shared" si="4"/>
        <v>0</v>
      </c>
      <c r="AB13" s="78">
        <f t="shared" si="4"/>
        <v>0</v>
      </c>
      <c r="AC13" s="78">
        <f t="shared" si="1"/>
        <v>0</v>
      </c>
      <c r="AD13" s="78">
        <f t="shared" si="1"/>
        <v>0</v>
      </c>
      <c r="AE13" s="122"/>
      <c r="AF13" s="123"/>
      <c r="AG13" s="123"/>
    </row>
    <row r="14" spans="1:33" x14ac:dyDescent="0.2">
      <c r="A14" s="251"/>
      <c r="B14" s="252"/>
      <c r="C14" s="349"/>
      <c r="D14" s="252" t="s">
        <v>11</v>
      </c>
      <c r="E14" s="252" t="s">
        <v>789</v>
      </c>
      <c r="F14" s="313"/>
      <c r="G14" s="457" t="s">
        <v>817</v>
      </c>
      <c r="H14" s="18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78">
        <f t="shared" si="1"/>
        <v>0</v>
      </c>
      <c r="AD14" s="78">
        <f t="shared" si="1"/>
        <v>0</v>
      </c>
      <c r="AE14" s="122"/>
      <c r="AF14" s="123"/>
      <c r="AG14" s="123"/>
    </row>
    <row r="15" spans="1:33" x14ac:dyDescent="0.2">
      <c r="A15" s="251"/>
      <c r="B15" s="252"/>
      <c r="C15" s="349"/>
      <c r="D15" s="252" t="s">
        <v>15</v>
      </c>
      <c r="E15" s="336" t="s">
        <v>790</v>
      </c>
      <c r="F15" s="337"/>
      <c r="G15" s="457" t="s">
        <v>818</v>
      </c>
      <c r="H15" s="18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78">
        <f t="shared" si="1"/>
        <v>0</v>
      </c>
      <c r="AD15" s="78">
        <f t="shared" si="1"/>
        <v>0</v>
      </c>
      <c r="AE15" s="122"/>
      <c r="AF15" s="123"/>
      <c r="AG15" s="123"/>
    </row>
    <row r="16" spans="1:33" x14ac:dyDescent="0.2">
      <c r="A16" s="251"/>
      <c r="B16" s="252"/>
      <c r="C16" s="349"/>
      <c r="D16" s="252" t="s">
        <v>25</v>
      </c>
      <c r="E16" s="252" t="s">
        <v>791</v>
      </c>
      <c r="F16" s="337"/>
      <c r="G16" s="457" t="s">
        <v>819</v>
      </c>
      <c r="H16" s="85" t="s">
        <v>751</v>
      </c>
      <c r="I16" s="78">
        <f t="shared" ref="I16:AB16" si="5">SUM(I17:I18)</f>
        <v>0</v>
      </c>
      <c r="J16" s="78">
        <f t="shared" si="5"/>
        <v>0</v>
      </c>
      <c r="K16" s="78">
        <f t="shared" si="5"/>
        <v>0</v>
      </c>
      <c r="L16" s="78">
        <f t="shared" si="5"/>
        <v>0</v>
      </c>
      <c r="M16" s="78">
        <f t="shared" si="5"/>
        <v>0</v>
      </c>
      <c r="N16" s="78">
        <f t="shared" si="5"/>
        <v>0</v>
      </c>
      <c r="O16" s="78">
        <f t="shared" si="5"/>
        <v>0</v>
      </c>
      <c r="P16" s="78">
        <f t="shared" si="5"/>
        <v>0</v>
      </c>
      <c r="Q16" s="78">
        <f t="shared" si="5"/>
        <v>0</v>
      </c>
      <c r="R16" s="78">
        <f t="shared" si="5"/>
        <v>0</v>
      </c>
      <c r="S16" s="78">
        <f t="shared" si="5"/>
        <v>0</v>
      </c>
      <c r="T16" s="78">
        <f t="shared" si="5"/>
        <v>0</v>
      </c>
      <c r="U16" s="78">
        <f t="shared" si="5"/>
        <v>0</v>
      </c>
      <c r="V16" s="78">
        <f t="shared" si="5"/>
        <v>0</v>
      </c>
      <c r="W16" s="78">
        <f t="shared" si="5"/>
        <v>0</v>
      </c>
      <c r="X16" s="78">
        <f t="shared" si="5"/>
        <v>0</v>
      </c>
      <c r="Y16" s="78">
        <f t="shared" si="5"/>
        <v>0</v>
      </c>
      <c r="Z16" s="78">
        <f t="shared" si="5"/>
        <v>0</v>
      </c>
      <c r="AA16" s="78">
        <f t="shared" si="5"/>
        <v>0</v>
      </c>
      <c r="AB16" s="78">
        <f t="shared" si="5"/>
        <v>0</v>
      </c>
      <c r="AC16" s="78">
        <f t="shared" si="1"/>
        <v>0</v>
      </c>
      <c r="AD16" s="78">
        <f t="shared" si="1"/>
        <v>0</v>
      </c>
      <c r="AE16" s="122"/>
      <c r="AF16" s="123"/>
      <c r="AG16" s="123"/>
    </row>
    <row r="17" spans="1:33" x14ac:dyDescent="0.2">
      <c r="A17" s="129"/>
      <c r="B17" s="124"/>
      <c r="C17" s="149"/>
      <c r="D17" s="124"/>
      <c r="E17" s="310"/>
      <c r="F17" s="128"/>
      <c r="G17" s="458"/>
      <c r="H17" s="91">
        <v>1</v>
      </c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78">
        <f>(I17+K17+M17+O17+Q17+S17+U17) - (W17+Y17)</f>
        <v>0</v>
      </c>
      <c r="AD17" s="78">
        <f>(J17+L17+N17+P17+R17+T17+V17) - (X17+Z17)</f>
        <v>0</v>
      </c>
      <c r="AE17" s="122"/>
      <c r="AF17" s="123"/>
      <c r="AG17" s="123"/>
    </row>
    <row r="18" spans="1:33" x14ac:dyDescent="0.2">
      <c r="A18" s="386"/>
      <c r="B18" s="355"/>
      <c r="C18" s="387"/>
      <c r="D18" s="355"/>
      <c r="E18" s="355"/>
      <c r="F18" s="383"/>
      <c r="G18" s="458"/>
      <c r="H18" s="239" t="str">
        <f>CHAR(132)</f>
        <v>„</v>
      </c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78"/>
      <c r="AD18" s="78"/>
      <c r="AE18" s="122"/>
      <c r="AF18" s="123"/>
      <c r="AG18" s="123"/>
    </row>
    <row r="19" spans="1:33" x14ac:dyDescent="0.2">
      <c r="A19" s="384"/>
      <c r="B19" s="385"/>
      <c r="C19" s="390" t="s">
        <v>21</v>
      </c>
      <c r="D19" s="385" t="s">
        <v>326</v>
      </c>
      <c r="E19" s="385"/>
      <c r="F19" s="383"/>
      <c r="G19" s="458" t="s">
        <v>524</v>
      </c>
      <c r="H19" s="18"/>
      <c r="I19" s="60"/>
      <c r="J19" s="60"/>
      <c r="K19" s="60"/>
      <c r="L19" s="60"/>
      <c r="M19" s="60"/>
      <c r="N19" s="60"/>
      <c r="O19" s="60"/>
      <c r="P19" s="60"/>
      <c r="Q19" s="60"/>
      <c r="R19" s="60"/>
      <c r="S19" s="60"/>
      <c r="T19" s="60"/>
      <c r="U19" s="60"/>
      <c r="V19" s="60"/>
      <c r="W19" s="60"/>
      <c r="X19" s="60"/>
      <c r="Y19" s="60"/>
      <c r="Z19" s="60"/>
      <c r="AA19" s="60"/>
      <c r="AB19" s="60"/>
      <c r="AC19" s="295"/>
      <c r="AD19" s="295"/>
      <c r="AE19" s="122"/>
      <c r="AF19" s="123"/>
      <c r="AG19" s="123"/>
    </row>
    <row r="20" spans="1:33" x14ac:dyDescent="0.2">
      <c r="A20" s="386"/>
      <c r="B20" s="355"/>
      <c r="C20" s="387" t="s">
        <v>60</v>
      </c>
      <c r="D20" s="355" t="s">
        <v>191</v>
      </c>
      <c r="E20" s="382"/>
      <c r="F20" s="383"/>
      <c r="G20" s="458" t="s">
        <v>525</v>
      </c>
      <c r="H20" s="18"/>
      <c r="I20" s="78">
        <f t="shared" ref="I20:AB20" si="6">SUM(I21,I22,I23)</f>
        <v>0</v>
      </c>
      <c r="J20" s="78">
        <f t="shared" si="6"/>
        <v>0</v>
      </c>
      <c r="K20" s="78">
        <f t="shared" si="6"/>
        <v>0</v>
      </c>
      <c r="L20" s="78">
        <f t="shared" si="6"/>
        <v>0</v>
      </c>
      <c r="M20" s="78">
        <f t="shared" si="6"/>
        <v>0</v>
      </c>
      <c r="N20" s="78">
        <f t="shared" si="6"/>
        <v>0</v>
      </c>
      <c r="O20" s="78">
        <f t="shared" si="6"/>
        <v>0</v>
      </c>
      <c r="P20" s="78">
        <f t="shared" si="6"/>
        <v>0</v>
      </c>
      <c r="Q20" s="78">
        <f t="shared" si="6"/>
        <v>0</v>
      </c>
      <c r="R20" s="78">
        <f t="shared" si="6"/>
        <v>0</v>
      </c>
      <c r="S20" s="78">
        <f t="shared" si="6"/>
        <v>0</v>
      </c>
      <c r="T20" s="78">
        <f t="shared" si="6"/>
        <v>0</v>
      </c>
      <c r="U20" s="78">
        <f t="shared" si="6"/>
        <v>0</v>
      </c>
      <c r="V20" s="78">
        <f t="shared" si="6"/>
        <v>0</v>
      </c>
      <c r="W20" s="78">
        <f t="shared" si="6"/>
        <v>0</v>
      </c>
      <c r="X20" s="78">
        <f t="shared" si="6"/>
        <v>0</v>
      </c>
      <c r="Y20" s="78">
        <f t="shared" si="6"/>
        <v>0</v>
      </c>
      <c r="Z20" s="78">
        <f t="shared" si="6"/>
        <v>0</v>
      </c>
      <c r="AA20" s="78">
        <f t="shared" si="6"/>
        <v>0</v>
      </c>
      <c r="AB20" s="78">
        <f t="shared" si="6"/>
        <v>0</v>
      </c>
      <c r="AC20" s="78">
        <f t="shared" ref="AC20:AC40" si="7">(I20+K20+M20+O20+Q20+S20+U20) - (W20+Y20)</f>
        <v>0</v>
      </c>
      <c r="AD20" s="78">
        <f t="shared" ref="AD20:AD40" si="8">(J20+L20+N20+P20+R20+T20+V20) - (X20+Z20)</f>
        <v>0</v>
      </c>
      <c r="AE20" s="122"/>
      <c r="AF20" s="123"/>
      <c r="AG20" s="123"/>
    </row>
    <row r="21" spans="1:33" x14ac:dyDescent="0.2">
      <c r="A21" s="384"/>
      <c r="B21" s="385"/>
      <c r="C21" s="390"/>
      <c r="D21" s="385" t="s">
        <v>561</v>
      </c>
      <c r="E21" s="385" t="s">
        <v>192</v>
      </c>
      <c r="F21" s="383"/>
      <c r="G21" s="458" t="s">
        <v>526</v>
      </c>
      <c r="H21" s="18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78">
        <f t="shared" si="7"/>
        <v>0</v>
      </c>
      <c r="AD21" s="78">
        <f t="shared" si="8"/>
        <v>0</v>
      </c>
      <c r="AE21" s="122"/>
      <c r="AF21" s="123"/>
      <c r="AG21" s="123"/>
    </row>
    <row r="22" spans="1:33" x14ac:dyDescent="0.2">
      <c r="A22" s="386"/>
      <c r="B22" s="355"/>
      <c r="C22" s="355"/>
      <c r="D22" s="355" t="s">
        <v>562</v>
      </c>
      <c r="E22" s="382" t="s">
        <v>527</v>
      </c>
      <c r="F22" s="383"/>
      <c r="G22" s="458" t="s">
        <v>528</v>
      </c>
      <c r="H22" s="18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78">
        <f t="shared" si="7"/>
        <v>0</v>
      </c>
      <c r="AD22" s="78">
        <f t="shared" si="8"/>
        <v>0</v>
      </c>
      <c r="AE22" s="122"/>
      <c r="AF22" s="123"/>
      <c r="AG22" s="123"/>
    </row>
    <row r="23" spans="1:33" x14ac:dyDescent="0.2">
      <c r="A23" s="384"/>
      <c r="B23" s="385"/>
      <c r="C23" s="385"/>
      <c r="D23" s="385" t="s">
        <v>563</v>
      </c>
      <c r="E23" s="385" t="s">
        <v>194</v>
      </c>
      <c r="F23" s="383"/>
      <c r="G23" s="458" t="s">
        <v>529</v>
      </c>
      <c r="H23" s="18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78">
        <f t="shared" si="7"/>
        <v>0</v>
      </c>
      <c r="AD23" s="78">
        <f t="shared" si="8"/>
        <v>0</v>
      </c>
      <c r="AE23" s="122"/>
      <c r="AF23" s="123"/>
      <c r="AG23" s="123"/>
    </row>
    <row r="24" spans="1:33" x14ac:dyDescent="0.2">
      <c r="A24" s="386"/>
      <c r="B24" s="355" t="s">
        <v>195</v>
      </c>
      <c r="C24" s="355" t="s">
        <v>196</v>
      </c>
      <c r="D24" s="355"/>
      <c r="E24" s="382"/>
      <c r="F24" s="383"/>
      <c r="G24" s="458" t="s">
        <v>530</v>
      </c>
      <c r="H24" s="18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78">
        <f t="shared" si="7"/>
        <v>0</v>
      </c>
      <c r="AD24" s="78">
        <f t="shared" si="8"/>
        <v>0</v>
      </c>
      <c r="AE24" s="122"/>
      <c r="AF24" s="123"/>
      <c r="AG24" s="123"/>
    </row>
    <row r="25" spans="1:33" x14ac:dyDescent="0.2">
      <c r="A25" s="384"/>
      <c r="B25" s="385" t="s">
        <v>197</v>
      </c>
      <c r="C25" s="385" t="s">
        <v>198</v>
      </c>
      <c r="D25" s="385"/>
      <c r="E25" s="385"/>
      <c r="F25" s="383"/>
      <c r="G25" s="458" t="s">
        <v>531</v>
      </c>
      <c r="H25" s="18"/>
      <c r="I25" s="78">
        <f t="shared" ref="I25:AB25" si="9">SUM(I26,I27)</f>
        <v>0</v>
      </c>
      <c r="J25" s="78">
        <f t="shared" si="9"/>
        <v>0</v>
      </c>
      <c r="K25" s="78">
        <f t="shared" si="9"/>
        <v>0</v>
      </c>
      <c r="L25" s="78">
        <f t="shared" si="9"/>
        <v>0</v>
      </c>
      <c r="M25" s="78">
        <f t="shared" si="9"/>
        <v>0</v>
      </c>
      <c r="N25" s="78">
        <f t="shared" si="9"/>
        <v>0</v>
      </c>
      <c r="O25" s="78">
        <f t="shared" si="9"/>
        <v>0</v>
      </c>
      <c r="P25" s="78">
        <f t="shared" si="9"/>
        <v>0</v>
      </c>
      <c r="Q25" s="78">
        <f t="shared" si="9"/>
        <v>0</v>
      </c>
      <c r="R25" s="78">
        <f t="shared" si="9"/>
        <v>0</v>
      </c>
      <c r="S25" s="78">
        <f t="shared" si="9"/>
        <v>0</v>
      </c>
      <c r="T25" s="78">
        <f t="shared" si="9"/>
        <v>0</v>
      </c>
      <c r="U25" s="78">
        <f t="shared" si="9"/>
        <v>0</v>
      </c>
      <c r="V25" s="78">
        <f t="shared" si="9"/>
        <v>0</v>
      </c>
      <c r="W25" s="78">
        <f t="shared" si="9"/>
        <v>0</v>
      </c>
      <c r="X25" s="78">
        <f t="shared" si="9"/>
        <v>0</v>
      </c>
      <c r="Y25" s="78">
        <f t="shared" si="9"/>
        <v>0</v>
      </c>
      <c r="Z25" s="78">
        <f t="shared" si="9"/>
        <v>0</v>
      </c>
      <c r="AA25" s="78">
        <f t="shared" si="9"/>
        <v>0</v>
      </c>
      <c r="AB25" s="78">
        <f t="shared" si="9"/>
        <v>0</v>
      </c>
      <c r="AC25" s="78">
        <f t="shared" si="7"/>
        <v>0</v>
      </c>
      <c r="AD25" s="78">
        <f t="shared" si="8"/>
        <v>0</v>
      </c>
      <c r="AE25" s="122"/>
      <c r="AF25" s="123"/>
      <c r="AG25" s="123"/>
    </row>
    <row r="26" spans="1:33" x14ac:dyDescent="0.2">
      <c r="A26" s="386"/>
      <c r="B26" s="355"/>
      <c r="C26" s="387" t="s">
        <v>19</v>
      </c>
      <c r="D26" s="355" t="s">
        <v>199</v>
      </c>
      <c r="E26" s="382"/>
      <c r="F26" s="383"/>
      <c r="G26" s="458" t="s">
        <v>532</v>
      </c>
      <c r="H26" s="18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78">
        <f t="shared" si="7"/>
        <v>0</v>
      </c>
      <c r="AD26" s="78">
        <f t="shared" si="8"/>
        <v>0</v>
      </c>
      <c r="AE26" s="122"/>
      <c r="AF26" s="123"/>
      <c r="AG26" s="123"/>
    </row>
    <row r="27" spans="1:33" x14ac:dyDescent="0.2">
      <c r="A27" s="384"/>
      <c r="B27" s="385"/>
      <c r="C27" s="390" t="s">
        <v>21</v>
      </c>
      <c r="D27" s="391" t="s">
        <v>200</v>
      </c>
      <c r="E27" s="385"/>
      <c r="F27" s="383"/>
      <c r="G27" s="458" t="s">
        <v>533</v>
      </c>
      <c r="H27" s="18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78">
        <f t="shared" si="7"/>
        <v>0</v>
      </c>
      <c r="AD27" s="78">
        <f t="shared" si="8"/>
        <v>0</v>
      </c>
      <c r="AE27" s="122"/>
      <c r="AF27" s="123"/>
      <c r="AG27" s="123"/>
    </row>
    <row r="28" spans="1:33" x14ac:dyDescent="0.2">
      <c r="A28" s="386"/>
      <c r="B28" s="355" t="s">
        <v>201</v>
      </c>
      <c r="C28" s="355" t="s">
        <v>202</v>
      </c>
      <c r="D28" s="355"/>
      <c r="E28" s="382"/>
      <c r="F28" s="383"/>
      <c r="G28" s="458" t="s">
        <v>534</v>
      </c>
      <c r="H28" s="18"/>
      <c r="I28" s="78">
        <f t="shared" ref="I28:AB28" si="10">SUM(I29,I32)</f>
        <v>0</v>
      </c>
      <c r="J28" s="78">
        <f t="shared" si="10"/>
        <v>0</v>
      </c>
      <c r="K28" s="78">
        <f t="shared" si="10"/>
        <v>0</v>
      </c>
      <c r="L28" s="78">
        <f t="shared" si="10"/>
        <v>0</v>
      </c>
      <c r="M28" s="78">
        <f t="shared" si="10"/>
        <v>0</v>
      </c>
      <c r="N28" s="78">
        <f t="shared" si="10"/>
        <v>0</v>
      </c>
      <c r="O28" s="78">
        <f t="shared" si="10"/>
        <v>0</v>
      </c>
      <c r="P28" s="78">
        <f t="shared" si="10"/>
        <v>0</v>
      </c>
      <c r="Q28" s="78">
        <f t="shared" si="10"/>
        <v>0</v>
      </c>
      <c r="R28" s="78">
        <f t="shared" si="10"/>
        <v>0</v>
      </c>
      <c r="S28" s="78">
        <f t="shared" si="10"/>
        <v>0</v>
      </c>
      <c r="T28" s="78">
        <f t="shared" si="10"/>
        <v>0</v>
      </c>
      <c r="U28" s="78">
        <f t="shared" si="10"/>
        <v>0</v>
      </c>
      <c r="V28" s="78">
        <f t="shared" si="10"/>
        <v>0</v>
      </c>
      <c r="W28" s="78">
        <f t="shared" si="10"/>
        <v>0</v>
      </c>
      <c r="X28" s="78">
        <f t="shared" si="10"/>
        <v>0</v>
      </c>
      <c r="Y28" s="78">
        <f t="shared" si="10"/>
        <v>0</v>
      </c>
      <c r="Z28" s="78">
        <f t="shared" si="10"/>
        <v>0</v>
      </c>
      <c r="AA28" s="78">
        <f t="shared" si="10"/>
        <v>0</v>
      </c>
      <c r="AB28" s="78">
        <f t="shared" si="10"/>
        <v>0</v>
      </c>
      <c r="AC28" s="78">
        <f t="shared" si="7"/>
        <v>0</v>
      </c>
      <c r="AD28" s="78">
        <f t="shared" si="8"/>
        <v>0</v>
      </c>
      <c r="AE28" s="122"/>
      <c r="AF28" s="123"/>
      <c r="AG28" s="123"/>
    </row>
    <row r="29" spans="1:33" x14ac:dyDescent="0.2">
      <c r="A29" s="386"/>
      <c r="B29" s="355"/>
      <c r="C29" s="387" t="s">
        <v>19</v>
      </c>
      <c r="D29" s="355" t="s">
        <v>327</v>
      </c>
      <c r="E29" s="385"/>
      <c r="F29" s="383"/>
      <c r="G29" s="458" t="s">
        <v>535</v>
      </c>
      <c r="H29" s="18"/>
      <c r="I29" s="78">
        <f>I30+I31</f>
        <v>0</v>
      </c>
      <c r="J29" s="78">
        <f t="shared" ref="J29:AB29" si="11">J30+J31</f>
        <v>0</v>
      </c>
      <c r="K29" s="78">
        <f t="shared" si="11"/>
        <v>0</v>
      </c>
      <c r="L29" s="78">
        <f t="shared" si="11"/>
        <v>0</v>
      </c>
      <c r="M29" s="78">
        <f t="shared" si="11"/>
        <v>0</v>
      </c>
      <c r="N29" s="78">
        <f t="shared" si="11"/>
        <v>0</v>
      </c>
      <c r="O29" s="78">
        <f t="shared" si="11"/>
        <v>0</v>
      </c>
      <c r="P29" s="78">
        <f t="shared" si="11"/>
        <v>0</v>
      </c>
      <c r="Q29" s="78">
        <f t="shared" si="11"/>
        <v>0</v>
      </c>
      <c r="R29" s="78">
        <f t="shared" si="11"/>
        <v>0</v>
      </c>
      <c r="S29" s="78">
        <f t="shared" si="11"/>
        <v>0</v>
      </c>
      <c r="T29" s="78">
        <f t="shared" si="11"/>
        <v>0</v>
      </c>
      <c r="U29" s="78">
        <f t="shared" si="11"/>
        <v>0</v>
      </c>
      <c r="V29" s="78">
        <f t="shared" si="11"/>
        <v>0</v>
      </c>
      <c r="W29" s="78">
        <f t="shared" si="11"/>
        <v>0</v>
      </c>
      <c r="X29" s="78">
        <f t="shared" si="11"/>
        <v>0</v>
      </c>
      <c r="Y29" s="78">
        <f t="shared" si="11"/>
        <v>0</v>
      </c>
      <c r="Z29" s="78">
        <f t="shared" si="11"/>
        <v>0</v>
      </c>
      <c r="AA29" s="78">
        <f t="shared" si="11"/>
        <v>0</v>
      </c>
      <c r="AB29" s="78">
        <f t="shared" si="11"/>
        <v>0</v>
      </c>
      <c r="AC29" s="78">
        <f t="shared" si="7"/>
        <v>0</v>
      </c>
      <c r="AD29" s="78">
        <f t="shared" si="8"/>
        <v>0</v>
      </c>
      <c r="AE29" s="122"/>
      <c r="AF29" s="123"/>
      <c r="AG29" s="123"/>
    </row>
    <row r="30" spans="1:33" x14ac:dyDescent="0.2">
      <c r="A30" s="386"/>
      <c r="B30" s="355"/>
      <c r="C30" s="387"/>
      <c r="D30" s="355" t="s">
        <v>11</v>
      </c>
      <c r="E30" s="355" t="s">
        <v>792</v>
      </c>
      <c r="F30" s="382"/>
      <c r="G30" s="458" t="s">
        <v>820</v>
      </c>
      <c r="H30" s="18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78">
        <f t="shared" si="7"/>
        <v>0</v>
      </c>
      <c r="AD30" s="78">
        <f t="shared" si="8"/>
        <v>0</v>
      </c>
      <c r="AE30" s="122"/>
      <c r="AF30" s="123"/>
      <c r="AG30" s="123"/>
    </row>
    <row r="31" spans="1:33" x14ac:dyDescent="0.2">
      <c r="A31" s="384"/>
      <c r="B31" s="385"/>
      <c r="C31" s="390"/>
      <c r="D31" s="392" t="s">
        <v>15</v>
      </c>
      <c r="E31" s="392" t="s">
        <v>793</v>
      </c>
      <c r="F31" s="382"/>
      <c r="G31" s="458" t="s">
        <v>821</v>
      </c>
      <c r="H31" s="18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78">
        <f t="shared" si="7"/>
        <v>0</v>
      </c>
      <c r="AD31" s="78">
        <f t="shared" si="8"/>
        <v>0</v>
      </c>
      <c r="AE31" s="122"/>
      <c r="AF31" s="123"/>
      <c r="AG31" s="123"/>
    </row>
    <row r="32" spans="1:33" x14ac:dyDescent="0.2">
      <c r="A32" s="386"/>
      <c r="B32" s="355"/>
      <c r="C32" s="387" t="s">
        <v>21</v>
      </c>
      <c r="D32" s="355" t="s">
        <v>194</v>
      </c>
      <c r="E32" s="382"/>
      <c r="F32" s="383"/>
      <c r="G32" s="458" t="s">
        <v>536</v>
      </c>
      <c r="H32" s="18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78">
        <f t="shared" si="7"/>
        <v>0</v>
      </c>
      <c r="AD32" s="78">
        <f t="shared" si="8"/>
        <v>0</v>
      </c>
      <c r="AE32" s="122"/>
      <c r="AF32" s="123"/>
      <c r="AG32" s="123"/>
    </row>
    <row r="33" spans="1:255" x14ac:dyDescent="0.2">
      <c r="A33" s="393" t="s">
        <v>33</v>
      </c>
      <c r="B33" s="394" t="s">
        <v>204</v>
      </c>
      <c r="C33" s="385"/>
      <c r="D33" s="385"/>
      <c r="E33" s="385"/>
      <c r="F33" s="383"/>
      <c r="G33" s="458" t="s">
        <v>537</v>
      </c>
      <c r="H33" s="18"/>
      <c r="I33" s="77">
        <f t="shared" ref="I33:AB33" si="12">SUM(I34,I35,I36,I39)</f>
        <v>0</v>
      </c>
      <c r="J33" s="77">
        <f t="shared" si="12"/>
        <v>0</v>
      </c>
      <c r="K33" s="77">
        <f t="shared" si="12"/>
        <v>0</v>
      </c>
      <c r="L33" s="77">
        <f t="shared" si="12"/>
        <v>0</v>
      </c>
      <c r="M33" s="77">
        <f t="shared" si="12"/>
        <v>0</v>
      </c>
      <c r="N33" s="77">
        <f t="shared" si="12"/>
        <v>0</v>
      </c>
      <c r="O33" s="77">
        <f t="shared" si="12"/>
        <v>0</v>
      </c>
      <c r="P33" s="77">
        <f t="shared" si="12"/>
        <v>0</v>
      </c>
      <c r="Q33" s="77">
        <f t="shared" si="12"/>
        <v>0</v>
      </c>
      <c r="R33" s="77">
        <f t="shared" si="12"/>
        <v>0</v>
      </c>
      <c r="S33" s="77">
        <f t="shared" si="12"/>
        <v>0</v>
      </c>
      <c r="T33" s="77">
        <f t="shared" si="12"/>
        <v>0</v>
      </c>
      <c r="U33" s="77">
        <f t="shared" si="12"/>
        <v>0</v>
      </c>
      <c r="V33" s="77">
        <f t="shared" si="12"/>
        <v>0</v>
      </c>
      <c r="W33" s="77">
        <f t="shared" si="12"/>
        <v>0</v>
      </c>
      <c r="X33" s="77">
        <f t="shared" si="12"/>
        <v>0</v>
      </c>
      <c r="Y33" s="77">
        <f t="shared" si="12"/>
        <v>0</v>
      </c>
      <c r="Z33" s="77">
        <f t="shared" si="12"/>
        <v>0</v>
      </c>
      <c r="AA33" s="77">
        <f t="shared" si="12"/>
        <v>0</v>
      </c>
      <c r="AB33" s="77">
        <f t="shared" si="12"/>
        <v>0</v>
      </c>
      <c r="AC33" s="78">
        <f t="shared" si="7"/>
        <v>0</v>
      </c>
      <c r="AD33" s="78">
        <f t="shared" si="8"/>
        <v>0</v>
      </c>
      <c r="AE33" s="122"/>
      <c r="AF33" s="123"/>
      <c r="AG33" s="123"/>
    </row>
    <row r="34" spans="1:255" x14ac:dyDescent="0.2">
      <c r="A34" s="386"/>
      <c r="B34" s="355" t="s">
        <v>188</v>
      </c>
      <c r="C34" s="355" t="s">
        <v>205</v>
      </c>
      <c r="D34" s="355"/>
      <c r="E34" s="382"/>
      <c r="F34" s="383"/>
      <c r="G34" s="458" t="s">
        <v>538</v>
      </c>
      <c r="H34" s="18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78">
        <f t="shared" si="7"/>
        <v>0</v>
      </c>
      <c r="AD34" s="78">
        <f t="shared" si="8"/>
        <v>0</v>
      </c>
      <c r="AE34" s="122"/>
      <c r="AF34" s="123"/>
      <c r="AG34" s="123"/>
    </row>
    <row r="35" spans="1:255" x14ac:dyDescent="0.2">
      <c r="A35" s="384"/>
      <c r="B35" s="385" t="s">
        <v>195</v>
      </c>
      <c r="C35" s="385" t="s">
        <v>306</v>
      </c>
      <c r="D35" s="385"/>
      <c r="E35" s="385"/>
      <c r="F35" s="383"/>
      <c r="G35" s="458" t="s">
        <v>539</v>
      </c>
      <c r="H35" s="18"/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78">
        <f t="shared" si="7"/>
        <v>0</v>
      </c>
      <c r="AD35" s="78">
        <f t="shared" si="8"/>
        <v>0</v>
      </c>
      <c r="AE35" s="122"/>
      <c r="AF35" s="123"/>
      <c r="AG35" s="123"/>
    </row>
    <row r="36" spans="1:255" x14ac:dyDescent="0.2">
      <c r="A36" s="386"/>
      <c r="B36" s="355" t="s">
        <v>197</v>
      </c>
      <c r="C36" s="355" t="s">
        <v>198</v>
      </c>
      <c r="D36" s="355"/>
      <c r="E36" s="382"/>
      <c r="F36" s="383"/>
      <c r="G36" s="458" t="s">
        <v>540</v>
      </c>
      <c r="H36" s="18"/>
      <c r="I36" s="77">
        <f t="shared" ref="I36:AB36" si="13">SUM(I37,I38)</f>
        <v>0</v>
      </c>
      <c r="J36" s="77">
        <f t="shared" si="13"/>
        <v>0</v>
      </c>
      <c r="K36" s="77">
        <f t="shared" si="13"/>
        <v>0</v>
      </c>
      <c r="L36" s="77">
        <f t="shared" si="13"/>
        <v>0</v>
      </c>
      <c r="M36" s="77">
        <f t="shared" si="13"/>
        <v>0</v>
      </c>
      <c r="N36" s="77">
        <f t="shared" si="13"/>
        <v>0</v>
      </c>
      <c r="O36" s="77">
        <f t="shared" si="13"/>
        <v>0</v>
      </c>
      <c r="P36" s="77">
        <f t="shared" si="13"/>
        <v>0</v>
      </c>
      <c r="Q36" s="77">
        <f t="shared" si="13"/>
        <v>0</v>
      </c>
      <c r="R36" s="77">
        <f t="shared" si="13"/>
        <v>0</v>
      </c>
      <c r="S36" s="77">
        <f t="shared" si="13"/>
        <v>0</v>
      </c>
      <c r="T36" s="77">
        <f t="shared" si="13"/>
        <v>0</v>
      </c>
      <c r="U36" s="77">
        <f t="shared" si="13"/>
        <v>0</v>
      </c>
      <c r="V36" s="77">
        <f t="shared" si="13"/>
        <v>0</v>
      </c>
      <c r="W36" s="77">
        <f t="shared" si="13"/>
        <v>0</v>
      </c>
      <c r="X36" s="77">
        <f t="shared" si="13"/>
        <v>0</v>
      </c>
      <c r="Y36" s="77">
        <f t="shared" si="13"/>
        <v>0</v>
      </c>
      <c r="Z36" s="77">
        <f t="shared" si="13"/>
        <v>0</v>
      </c>
      <c r="AA36" s="77">
        <f t="shared" si="13"/>
        <v>0</v>
      </c>
      <c r="AB36" s="77">
        <f t="shared" si="13"/>
        <v>0</v>
      </c>
      <c r="AC36" s="78">
        <f t="shared" si="7"/>
        <v>0</v>
      </c>
      <c r="AD36" s="78">
        <f t="shared" si="8"/>
        <v>0</v>
      </c>
      <c r="AE36" s="122"/>
      <c r="AF36" s="123"/>
      <c r="AG36" s="123"/>
    </row>
    <row r="37" spans="1:255" x14ac:dyDescent="0.2">
      <c r="A37" s="384"/>
      <c r="B37" s="385"/>
      <c r="C37" s="390" t="s">
        <v>19</v>
      </c>
      <c r="D37" s="385" t="s">
        <v>207</v>
      </c>
      <c r="E37" s="385"/>
      <c r="F37" s="383"/>
      <c r="G37" s="458" t="s">
        <v>541</v>
      </c>
      <c r="H37" s="18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2"/>
      <c r="AA37" s="62"/>
      <c r="AB37" s="62"/>
      <c r="AC37" s="78">
        <f t="shared" si="7"/>
        <v>0</v>
      </c>
      <c r="AD37" s="78">
        <f t="shared" si="8"/>
        <v>0</v>
      </c>
      <c r="AE37" s="122"/>
      <c r="AF37" s="123"/>
      <c r="AG37" s="123"/>
    </row>
    <row r="38" spans="1:255" x14ac:dyDescent="0.2">
      <c r="A38" s="386"/>
      <c r="B38" s="355"/>
      <c r="C38" s="387" t="s">
        <v>21</v>
      </c>
      <c r="D38" s="395" t="s">
        <v>200</v>
      </c>
      <c r="E38" s="382"/>
      <c r="F38" s="383"/>
      <c r="G38" s="458" t="s">
        <v>542</v>
      </c>
      <c r="H38" s="18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78">
        <f t="shared" si="7"/>
        <v>0</v>
      </c>
      <c r="AD38" s="78">
        <f t="shared" si="8"/>
        <v>0</v>
      </c>
      <c r="AE38" s="122"/>
      <c r="AF38" s="123"/>
      <c r="AG38" s="123"/>
    </row>
    <row r="39" spans="1:255" s="16" customFormat="1" x14ac:dyDescent="0.2">
      <c r="A39" s="384"/>
      <c r="B39" s="385" t="s">
        <v>201</v>
      </c>
      <c r="C39" s="385" t="s">
        <v>208</v>
      </c>
      <c r="D39" s="385"/>
      <c r="E39" s="385"/>
      <c r="F39" s="383"/>
      <c r="G39" s="458" t="s">
        <v>543</v>
      </c>
      <c r="H39" s="18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78">
        <f t="shared" si="7"/>
        <v>0</v>
      </c>
      <c r="AD39" s="78">
        <f t="shared" si="8"/>
        <v>0</v>
      </c>
      <c r="AE39" s="34"/>
      <c r="AF39" s="132"/>
      <c r="AG39" s="132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</row>
    <row r="40" spans="1:255" s="21" customFormat="1" x14ac:dyDescent="0.2">
      <c r="A40" s="397" t="s">
        <v>48</v>
      </c>
      <c r="B40" s="381" t="s">
        <v>209</v>
      </c>
      <c r="C40" s="395"/>
      <c r="D40" s="355"/>
      <c r="E40" s="382"/>
      <c r="F40" s="383"/>
      <c r="G40" s="458" t="s">
        <v>544</v>
      </c>
      <c r="H40" s="18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62"/>
      <c r="Y40" s="62"/>
      <c r="Z40" s="62"/>
      <c r="AA40" s="62"/>
      <c r="AB40" s="62"/>
      <c r="AC40" s="78">
        <f t="shared" si="7"/>
        <v>0</v>
      </c>
      <c r="AD40" s="78">
        <f t="shared" si="8"/>
        <v>0</v>
      </c>
      <c r="AE40" s="33"/>
      <c r="AF40" s="132"/>
      <c r="AG40" s="132"/>
    </row>
    <row r="41" spans="1:255" s="21" customFormat="1" x14ac:dyDescent="0.2">
      <c r="A41" s="398" t="s">
        <v>211</v>
      </c>
      <c r="B41" s="385"/>
      <c r="C41" s="391"/>
      <c r="D41" s="385"/>
      <c r="E41" s="401"/>
      <c r="F41" s="399"/>
      <c r="G41" s="458" t="s">
        <v>545</v>
      </c>
      <c r="H41" s="18"/>
      <c r="I41" s="60"/>
      <c r="J41" s="60"/>
      <c r="K41" s="60"/>
      <c r="L41" s="60"/>
      <c r="M41" s="60"/>
      <c r="N41" s="60"/>
      <c r="O41" s="60"/>
      <c r="P41" s="60"/>
      <c r="Q41" s="60"/>
      <c r="R41" s="60"/>
      <c r="S41" s="60"/>
      <c r="T41" s="60"/>
      <c r="U41" s="60"/>
      <c r="V41" s="60"/>
      <c r="W41" s="60"/>
      <c r="X41" s="60"/>
      <c r="Y41" s="60"/>
      <c r="Z41" s="60"/>
      <c r="AA41" s="60"/>
      <c r="AB41" s="60"/>
      <c r="AC41" s="295"/>
      <c r="AD41" s="295"/>
      <c r="AE41" s="33"/>
      <c r="AF41" s="132"/>
      <c r="AG41" s="132"/>
    </row>
    <row r="42" spans="1:255" s="21" customFormat="1" x14ac:dyDescent="0.2">
      <c r="A42" s="380" t="s">
        <v>186</v>
      </c>
      <c r="B42" s="381" t="s">
        <v>187</v>
      </c>
      <c r="C42" s="395"/>
      <c r="D42" s="355"/>
      <c r="E42" s="403"/>
      <c r="F42" s="400"/>
      <c r="G42" s="458" t="s">
        <v>546</v>
      </c>
      <c r="H42" s="18"/>
      <c r="I42" s="60"/>
      <c r="J42" s="60"/>
      <c r="K42" s="60"/>
      <c r="L42" s="60"/>
      <c r="M42" s="60"/>
      <c r="N42" s="60"/>
      <c r="O42" s="60"/>
      <c r="P42" s="60"/>
      <c r="Q42" s="60"/>
      <c r="R42" s="60"/>
      <c r="S42" s="60"/>
      <c r="T42" s="60"/>
      <c r="U42" s="60"/>
      <c r="V42" s="60"/>
      <c r="W42" s="60"/>
      <c r="X42" s="60"/>
      <c r="Y42" s="60"/>
      <c r="Z42" s="60"/>
      <c r="AA42" s="60"/>
      <c r="AB42" s="60"/>
      <c r="AC42" s="295"/>
      <c r="AD42" s="295"/>
      <c r="AE42" s="33"/>
      <c r="AF42" s="132"/>
      <c r="AG42" s="132"/>
    </row>
    <row r="43" spans="1:255" s="21" customFormat="1" x14ac:dyDescent="0.2">
      <c r="A43" s="393"/>
      <c r="B43" s="385" t="s">
        <v>188</v>
      </c>
      <c r="C43" s="599" t="s">
        <v>212</v>
      </c>
      <c r="D43" s="599"/>
      <c r="E43" s="401"/>
      <c r="F43" s="399"/>
      <c r="G43" s="458" t="s">
        <v>547</v>
      </c>
      <c r="H43" s="18"/>
      <c r="I43" s="60"/>
      <c r="J43" s="60"/>
      <c r="K43" s="60"/>
      <c r="L43" s="60"/>
      <c r="M43" s="60"/>
      <c r="N43" s="60"/>
      <c r="O43" s="60"/>
      <c r="P43" s="60"/>
      <c r="Q43" s="60"/>
      <c r="R43" s="60"/>
      <c r="S43" s="60"/>
      <c r="T43" s="60"/>
      <c r="U43" s="60"/>
      <c r="V43" s="60"/>
      <c r="W43" s="60"/>
      <c r="X43" s="60"/>
      <c r="Y43" s="60"/>
      <c r="Z43" s="60"/>
      <c r="AA43" s="60"/>
      <c r="AB43" s="60"/>
      <c r="AC43" s="295"/>
      <c r="AD43" s="295"/>
      <c r="AE43" s="33"/>
      <c r="AF43" s="132"/>
      <c r="AG43" s="132"/>
    </row>
    <row r="44" spans="1:255" s="21" customFormat="1" x14ac:dyDescent="0.2">
      <c r="A44" s="380"/>
      <c r="B44" s="355"/>
      <c r="C44" s="402" t="s">
        <v>19</v>
      </c>
      <c r="D44" s="578" t="s">
        <v>213</v>
      </c>
      <c r="E44" s="578"/>
      <c r="F44" s="579"/>
      <c r="G44" s="458" t="s">
        <v>548</v>
      </c>
      <c r="H44" s="18"/>
      <c r="I44" s="60"/>
      <c r="J44" s="60"/>
      <c r="K44" s="60"/>
      <c r="L44" s="60"/>
      <c r="M44" s="60"/>
      <c r="N44" s="60"/>
      <c r="O44" s="60"/>
      <c r="P44" s="60"/>
      <c r="Q44" s="60"/>
      <c r="R44" s="60"/>
      <c r="S44" s="60"/>
      <c r="T44" s="60"/>
      <c r="U44" s="60"/>
      <c r="V44" s="60"/>
      <c r="W44" s="60"/>
      <c r="X44" s="60"/>
      <c r="Y44" s="60"/>
      <c r="Z44" s="60"/>
      <c r="AA44" s="60"/>
      <c r="AB44" s="60"/>
      <c r="AC44" s="295"/>
      <c r="AD44" s="295"/>
      <c r="AE44" s="33"/>
      <c r="AF44" s="132"/>
      <c r="AG44" s="132"/>
    </row>
    <row r="45" spans="1:255" s="21" customFormat="1" x14ac:dyDescent="0.2">
      <c r="A45" s="393"/>
      <c r="B45" s="385"/>
      <c r="C45" s="404" t="s">
        <v>21</v>
      </c>
      <c r="D45" s="590" t="s">
        <v>194</v>
      </c>
      <c r="E45" s="590"/>
      <c r="F45" s="591"/>
      <c r="G45" s="458" t="s">
        <v>549</v>
      </c>
      <c r="H45" s="18"/>
      <c r="I45" s="60"/>
      <c r="J45" s="60"/>
      <c r="K45" s="60"/>
      <c r="L45" s="60"/>
      <c r="M45" s="60"/>
      <c r="N45" s="60"/>
      <c r="O45" s="60"/>
      <c r="P45" s="60"/>
      <c r="Q45" s="60"/>
      <c r="R45" s="60"/>
      <c r="S45" s="60"/>
      <c r="T45" s="60"/>
      <c r="U45" s="60"/>
      <c r="V45" s="60"/>
      <c r="W45" s="60"/>
      <c r="X45" s="60"/>
      <c r="Y45" s="60"/>
      <c r="Z45" s="60"/>
      <c r="AA45" s="60"/>
      <c r="AB45" s="60"/>
      <c r="AC45" s="295"/>
      <c r="AD45" s="295"/>
      <c r="AE45" s="33"/>
      <c r="AF45" s="132"/>
      <c r="AG45" s="132"/>
    </row>
    <row r="46" spans="1:255" s="21" customFormat="1" x14ac:dyDescent="0.2">
      <c r="A46" s="380"/>
      <c r="B46" s="355" t="s">
        <v>195</v>
      </c>
      <c r="C46" s="395" t="s">
        <v>198</v>
      </c>
      <c r="D46" s="355"/>
      <c r="E46" s="382"/>
      <c r="F46" s="383"/>
      <c r="G46" s="458" t="s">
        <v>550</v>
      </c>
      <c r="H46" s="18"/>
      <c r="I46" s="60"/>
      <c r="J46" s="60"/>
      <c r="K46" s="60"/>
      <c r="L46" s="60"/>
      <c r="M46" s="60"/>
      <c r="N46" s="60"/>
      <c r="O46" s="60"/>
      <c r="P46" s="60"/>
      <c r="Q46" s="60"/>
      <c r="R46" s="60"/>
      <c r="S46" s="60"/>
      <c r="T46" s="60"/>
      <c r="U46" s="60"/>
      <c r="V46" s="60"/>
      <c r="W46" s="60"/>
      <c r="X46" s="60"/>
      <c r="Y46" s="60"/>
      <c r="Z46" s="60"/>
      <c r="AA46" s="60"/>
      <c r="AB46" s="60"/>
      <c r="AC46" s="295"/>
      <c r="AD46" s="295"/>
      <c r="AE46" s="33"/>
      <c r="AF46" s="132"/>
      <c r="AG46" s="132"/>
    </row>
    <row r="47" spans="1:255" s="21" customFormat="1" x14ac:dyDescent="0.2">
      <c r="A47" s="393"/>
      <c r="B47" s="385"/>
      <c r="C47" s="390" t="s">
        <v>19</v>
      </c>
      <c r="D47" s="385" t="s">
        <v>199</v>
      </c>
      <c r="E47" s="385"/>
      <c r="F47" s="383"/>
      <c r="G47" s="458" t="s">
        <v>551</v>
      </c>
      <c r="H47" s="18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  <c r="X47" s="60"/>
      <c r="Y47" s="60"/>
      <c r="Z47" s="60"/>
      <c r="AA47" s="60"/>
      <c r="AB47" s="60"/>
      <c r="AC47" s="295"/>
      <c r="AD47" s="295"/>
      <c r="AE47" s="33"/>
      <c r="AF47" s="132"/>
      <c r="AG47" s="132"/>
    </row>
    <row r="48" spans="1:255" s="21" customFormat="1" x14ac:dyDescent="0.2">
      <c r="A48" s="380"/>
      <c r="B48" s="355"/>
      <c r="C48" s="405" t="s">
        <v>21</v>
      </c>
      <c r="D48" s="355" t="s">
        <v>200</v>
      </c>
      <c r="E48" s="382"/>
      <c r="F48" s="383"/>
      <c r="G48" s="458" t="s">
        <v>552</v>
      </c>
      <c r="H48" s="18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  <c r="X48" s="60"/>
      <c r="Y48" s="60"/>
      <c r="Z48" s="60"/>
      <c r="AA48" s="60"/>
      <c r="AB48" s="60"/>
      <c r="AC48" s="295"/>
      <c r="AD48" s="295"/>
      <c r="AE48" s="33"/>
      <c r="AF48" s="132"/>
      <c r="AG48" s="132"/>
    </row>
    <row r="49" spans="1:33" s="21" customFormat="1" x14ac:dyDescent="0.2">
      <c r="A49" s="393"/>
      <c r="B49" s="385" t="s">
        <v>197</v>
      </c>
      <c r="C49" s="391" t="s">
        <v>202</v>
      </c>
      <c r="D49" s="385"/>
      <c r="E49" s="385"/>
      <c r="F49" s="383"/>
      <c r="G49" s="458" t="s">
        <v>553</v>
      </c>
      <c r="H49" s="18"/>
      <c r="I49" s="60"/>
      <c r="J49" s="60"/>
      <c r="K49" s="60"/>
      <c r="L49" s="60"/>
      <c r="M49" s="60"/>
      <c r="N49" s="60"/>
      <c r="O49" s="60"/>
      <c r="P49" s="60"/>
      <c r="Q49" s="60"/>
      <c r="R49" s="60"/>
      <c r="S49" s="60"/>
      <c r="T49" s="60"/>
      <c r="U49" s="60"/>
      <c r="V49" s="60"/>
      <c r="W49" s="60"/>
      <c r="X49" s="60"/>
      <c r="Y49" s="60"/>
      <c r="Z49" s="60"/>
      <c r="AA49" s="60"/>
      <c r="AB49" s="60"/>
      <c r="AC49" s="295"/>
      <c r="AD49" s="295"/>
      <c r="AE49" s="33"/>
      <c r="AF49" s="132"/>
      <c r="AG49" s="132"/>
    </row>
    <row r="50" spans="1:33" s="21" customFormat="1" x14ac:dyDescent="0.2">
      <c r="A50" s="380"/>
      <c r="B50" s="355"/>
      <c r="C50" s="402" t="s">
        <v>19</v>
      </c>
      <c r="D50" s="578" t="s">
        <v>203</v>
      </c>
      <c r="E50" s="579"/>
      <c r="F50" s="399"/>
      <c r="G50" s="458" t="s">
        <v>554</v>
      </c>
      <c r="H50" s="18"/>
      <c r="I50" s="60"/>
      <c r="J50" s="60"/>
      <c r="K50" s="60"/>
      <c r="L50" s="60"/>
      <c r="M50" s="60"/>
      <c r="N50" s="60"/>
      <c r="O50" s="60"/>
      <c r="P50" s="60"/>
      <c r="Q50" s="60"/>
      <c r="R50" s="60"/>
      <c r="S50" s="60"/>
      <c r="T50" s="60"/>
      <c r="U50" s="60"/>
      <c r="V50" s="60"/>
      <c r="W50" s="60"/>
      <c r="X50" s="60"/>
      <c r="Y50" s="60"/>
      <c r="Z50" s="60"/>
      <c r="AA50" s="60"/>
      <c r="AB50" s="60"/>
      <c r="AC50" s="295"/>
      <c r="AD50" s="295"/>
      <c r="AE50" s="33"/>
      <c r="AF50" s="132"/>
      <c r="AG50" s="132"/>
    </row>
    <row r="51" spans="1:33" s="21" customFormat="1" x14ac:dyDescent="0.2">
      <c r="A51" s="393"/>
      <c r="B51" s="385"/>
      <c r="C51" s="404" t="s">
        <v>21</v>
      </c>
      <c r="D51" s="590" t="s">
        <v>194</v>
      </c>
      <c r="E51" s="590"/>
      <c r="F51" s="591"/>
      <c r="G51" s="458" t="s">
        <v>555</v>
      </c>
      <c r="H51" s="18"/>
      <c r="I51" s="60"/>
      <c r="J51" s="60"/>
      <c r="K51" s="60"/>
      <c r="L51" s="60"/>
      <c r="M51" s="60"/>
      <c r="N51" s="60"/>
      <c r="O51" s="60"/>
      <c r="P51" s="60"/>
      <c r="Q51" s="60"/>
      <c r="R51" s="60"/>
      <c r="S51" s="60"/>
      <c r="T51" s="60"/>
      <c r="U51" s="60"/>
      <c r="V51" s="60"/>
      <c r="W51" s="60"/>
      <c r="X51" s="60"/>
      <c r="Y51" s="60"/>
      <c r="Z51" s="60"/>
      <c r="AA51" s="60"/>
      <c r="AB51" s="60"/>
      <c r="AC51" s="295"/>
      <c r="AD51" s="295"/>
      <c r="AE51" s="33"/>
      <c r="AF51" s="132"/>
      <c r="AG51" s="132"/>
    </row>
    <row r="52" spans="1:33" s="21" customFormat="1" x14ac:dyDescent="0.2">
      <c r="A52" s="380" t="s">
        <v>214</v>
      </c>
      <c r="B52" s="381" t="s">
        <v>204</v>
      </c>
      <c r="C52" s="395"/>
      <c r="D52" s="355"/>
      <c r="E52" s="382"/>
      <c r="F52" s="383"/>
      <c r="G52" s="467" t="s">
        <v>556</v>
      </c>
      <c r="H52" s="75"/>
      <c r="I52" s="60"/>
      <c r="J52" s="60"/>
      <c r="K52" s="60"/>
      <c r="L52" s="60"/>
      <c r="M52" s="60"/>
      <c r="N52" s="60"/>
      <c r="O52" s="60"/>
      <c r="P52" s="60"/>
      <c r="Q52" s="60"/>
      <c r="R52" s="60"/>
      <c r="S52" s="60"/>
      <c r="T52" s="60"/>
      <c r="U52" s="60"/>
      <c r="V52" s="60"/>
      <c r="W52" s="60"/>
      <c r="X52" s="60"/>
      <c r="Y52" s="60"/>
      <c r="Z52" s="60"/>
      <c r="AA52" s="60"/>
      <c r="AB52" s="60"/>
      <c r="AC52" s="295"/>
      <c r="AD52" s="295"/>
      <c r="AE52" s="33"/>
      <c r="AF52" s="132"/>
      <c r="AG52" s="132"/>
    </row>
    <row r="53" spans="1:33" s="21" customFormat="1" x14ac:dyDescent="0.2">
      <c r="A53" s="393"/>
      <c r="B53" s="385" t="s">
        <v>188</v>
      </c>
      <c r="C53" s="595" t="s">
        <v>198</v>
      </c>
      <c r="D53" s="595"/>
      <c r="E53" s="385"/>
      <c r="F53" s="383"/>
      <c r="G53" s="467" t="s">
        <v>557</v>
      </c>
      <c r="H53" s="75"/>
      <c r="I53" s="60"/>
      <c r="J53" s="60"/>
      <c r="K53" s="60"/>
      <c r="L53" s="60"/>
      <c r="M53" s="60"/>
      <c r="N53" s="60"/>
      <c r="O53" s="60"/>
      <c r="P53" s="60"/>
      <c r="Q53" s="60"/>
      <c r="R53" s="60"/>
      <c r="S53" s="60"/>
      <c r="T53" s="60"/>
      <c r="U53" s="60"/>
      <c r="V53" s="60"/>
      <c r="W53" s="60"/>
      <c r="X53" s="60"/>
      <c r="Y53" s="60"/>
      <c r="Z53" s="60"/>
      <c r="AA53" s="60"/>
      <c r="AB53" s="60"/>
      <c r="AC53" s="295"/>
      <c r="AD53" s="295"/>
      <c r="AE53" s="33"/>
      <c r="AF53" s="132"/>
      <c r="AG53" s="132"/>
    </row>
    <row r="54" spans="1:33" s="21" customFormat="1" x14ac:dyDescent="0.2">
      <c r="A54" s="380"/>
      <c r="B54" s="355" t="s">
        <v>195</v>
      </c>
      <c r="C54" s="395" t="s">
        <v>208</v>
      </c>
      <c r="D54" s="395"/>
      <c r="E54" s="382"/>
      <c r="F54" s="383"/>
      <c r="G54" s="467" t="s">
        <v>558</v>
      </c>
      <c r="H54" s="75"/>
      <c r="I54" s="60"/>
      <c r="J54" s="60"/>
      <c r="K54" s="60"/>
      <c r="L54" s="60"/>
      <c r="M54" s="60"/>
      <c r="N54" s="60"/>
      <c r="O54" s="60"/>
      <c r="P54" s="60"/>
      <c r="Q54" s="60"/>
      <c r="R54" s="60"/>
      <c r="S54" s="60"/>
      <c r="T54" s="60"/>
      <c r="U54" s="60"/>
      <c r="V54" s="60"/>
      <c r="W54" s="60"/>
      <c r="X54" s="60"/>
      <c r="Y54" s="60"/>
      <c r="Z54" s="60"/>
      <c r="AA54" s="60"/>
      <c r="AB54" s="60"/>
      <c r="AC54" s="295"/>
      <c r="AD54" s="295"/>
      <c r="AE54" s="33"/>
      <c r="AF54" s="132"/>
      <c r="AG54" s="132"/>
    </row>
    <row r="55" spans="1:33" s="19" customFormat="1" x14ac:dyDescent="0.2">
      <c r="A55" s="407" t="s">
        <v>559</v>
      </c>
      <c r="B55" s="392"/>
      <c r="C55" s="392"/>
      <c r="D55" s="392"/>
      <c r="E55" s="392"/>
      <c r="F55" s="388"/>
      <c r="G55" s="458" t="s">
        <v>560</v>
      </c>
      <c r="H55" s="18"/>
      <c r="I55" s="77">
        <f t="shared" ref="I55:AB55" si="14">SUM(I10,I41)</f>
        <v>0</v>
      </c>
      <c r="J55" s="77">
        <f t="shared" si="14"/>
        <v>0</v>
      </c>
      <c r="K55" s="77">
        <f t="shared" si="14"/>
        <v>0</v>
      </c>
      <c r="L55" s="77">
        <f t="shared" si="14"/>
        <v>0</v>
      </c>
      <c r="M55" s="77">
        <f t="shared" si="14"/>
        <v>0</v>
      </c>
      <c r="N55" s="77">
        <f t="shared" si="14"/>
        <v>0</v>
      </c>
      <c r="O55" s="77">
        <f t="shared" si="14"/>
        <v>0</v>
      </c>
      <c r="P55" s="77">
        <f t="shared" si="14"/>
        <v>0</v>
      </c>
      <c r="Q55" s="77">
        <f t="shared" si="14"/>
        <v>0</v>
      </c>
      <c r="R55" s="77">
        <f t="shared" si="14"/>
        <v>0</v>
      </c>
      <c r="S55" s="77">
        <f t="shared" si="14"/>
        <v>0</v>
      </c>
      <c r="T55" s="77">
        <f t="shared" si="14"/>
        <v>0</v>
      </c>
      <c r="U55" s="77">
        <f t="shared" si="14"/>
        <v>0</v>
      </c>
      <c r="V55" s="77">
        <f t="shared" si="14"/>
        <v>0</v>
      </c>
      <c r="W55" s="77">
        <f t="shared" si="14"/>
        <v>0</v>
      </c>
      <c r="X55" s="77">
        <f t="shared" si="14"/>
        <v>0</v>
      </c>
      <c r="Y55" s="77">
        <f t="shared" si="14"/>
        <v>0</v>
      </c>
      <c r="Z55" s="77">
        <f t="shared" si="14"/>
        <v>0</v>
      </c>
      <c r="AA55" s="77">
        <f t="shared" si="14"/>
        <v>0</v>
      </c>
      <c r="AB55" s="77">
        <f t="shared" si="14"/>
        <v>0</v>
      </c>
      <c r="AC55" s="78">
        <f>(I55+K55+M55+O55+Q55+S55+U55) - (W55+Y55)</f>
        <v>0</v>
      </c>
      <c r="AD55" s="78">
        <f>(J55+L55+N55+P55+R55+T55+V55) - (X55+Z55)</f>
        <v>0</v>
      </c>
      <c r="AE55" s="211"/>
      <c r="AF55" s="134"/>
      <c r="AG55" s="134"/>
    </row>
    <row r="56" spans="1:33" s="21" customFormat="1" x14ac:dyDescent="0.2">
      <c r="A56" s="166"/>
      <c r="B56" s="14"/>
      <c r="C56" s="131"/>
      <c r="D56" s="39"/>
      <c r="E56" s="39"/>
      <c r="F56" s="128"/>
      <c r="G56" s="52" t="s">
        <v>184</v>
      </c>
      <c r="H56" s="20"/>
      <c r="I56" s="32"/>
      <c r="J56" s="32"/>
      <c r="K56" s="30"/>
      <c r="L56" s="30"/>
      <c r="M56" s="30"/>
      <c r="N56" s="30"/>
      <c r="O56" s="30"/>
      <c r="P56" s="30"/>
      <c r="Q56" s="30"/>
      <c r="R56" s="30"/>
      <c r="S56" s="33"/>
      <c r="T56" s="33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3"/>
      <c r="AF56" s="132"/>
      <c r="AG56" s="132"/>
    </row>
    <row r="57" spans="1:33" s="21" customFormat="1" x14ac:dyDescent="0.2">
      <c r="A57" s="166"/>
      <c r="B57" s="39"/>
      <c r="C57" s="39"/>
      <c r="D57" s="39"/>
      <c r="E57" s="39"/>
      <c r="F57" s="128"/>
      <c r="G57" s="23"/>
      <c r="H57" s="20"/>
      <c r="I57" s="32"/>
      <c r="J57" s="32"/>
      <c r="K57" s="30"/>
      <c r="L57" s="30"/>
      <c r="M57" s="30"/>
      <c r="N57" s="30"/>
      <c r="O57" s="30"/>
      <c r="P57" s="30"/>
      <c r="Q57" s="30"/>
      <c r="R57" s="30"/>
      <c r="S57" s="33"/>
      <c r="T57" s="33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3"/>
      <c r="AF57" s="132"/>
      <c r="AG57" s="132"/>
    </row>
    <row r="58" spans="1:33" s="21" customFormat="1" x14ac:dyDescent="0.2">
      <c r="A58" s="166"/>
      <c r="B58" s="14"/>
      <c r="C58" s="39"/>
      <c r="D58" s="39"/>
      <c r="E58" s="39"/>
      <c r="F58" s="128"/>
      <c r="G58" s="23"/>
      <c r="H58" s="20"/>
      <c r="I58" s="32"/>
      <c r="J58" s="32"/>
      <c r="K58" s="30"/>
      <c r="L58" s="30"/>
      <c r="M58" s="30"/>
      <c r="N58" s="30"/>
      <c r="O58" s="30"/>
      <c r="P58" s="30"/>
      <c r="Q58" s="30"/>
      <c r="R58" s="30"/>
      <c r="S58" s="33"/>
      <c r="T58" s="33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3"/>
      <c r="AF58" s="132"/>
      <c r="AG58" s="132"/>
    </row>
    <row r="59" spans="1:33" s="21" customFormat="1" x14ac:dyDescent="0.2">
      <c r="A59" s="24"/>
      <c r="B59" s="39"/>
      <c r="C59" s="39"/>
      <c r="D59" s="39"/>
      <c r="E59" s="39"/>
      <c r="F59" s="128"/>
      <c r="G59" s="23"/>
      <c r="H59" s="20"/>
      <c r="I59" s="32"/>
      <c r="J59" s="32"/>
      <c r="K59" s="30"/>
      <c r="L59" s="30"/>
      <c r="M59" s="30"/>
      <c r="N59" s="30"/>
      <c r="O59" s="30"/>
      <c r="P59" s="30"/>
      <c r="Q59" s="30"/>
      <c r="R59" s="30"/>
      <c r="S59" s="33"/>
      <c r="T59" s="33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3"/>
      <c r="AF59" s="132"/>
      <c r="AG59" s="132"/>
    </row>
    <row r="60" spans="1:33" s="21" customFormat="1" x14ac:dyDescent="0.2">
      <c r="A60" s="166"/>
      <c r="B60" s="39"/>
      <c r="C60" s="39"/>
      <c r="D60" s="39"/>
      <c r="E60" s="39"/>
      <c r="F60" s="128"/>
      <c r="G60" s="23"/>
      <c r="H60" s="20"/>
      <c r="I60" s="32"/>
      <c r="J60" s="32"/>
      <c r="K60" s="30"/>
      <c r="L60" s="30"/>
      <c r="M60" s="30"/>
      <c r="N60" s="30"/>
      <c r="O60" s="30"/>
      <c r="P60" s="30"/>
      <c r="Q60" s="30"/>
      <c r="R60" s="30"/>
      <c r="S60" s="33"/>
      <c r="T60" s="33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3"/>
      <c r="AF60" s="132"/>
      <c r="AG60" s="132"/>
    </row>
    <row r="61" spans="1:33" s="21" customFormat="1" x14ac:dyDescent="0.2">
      <c r="A61" s="166"/>
      <c r="B61" s="39"/>
      <c r="C61" s="39"/>
      <c r="D61" s="39"/>
      <c r="E61" s="39"/>
      <c r="F61" s="128"/>
      <c r="G61" s="23"/>
      <c r="H61" s="20"/>
      <c r="I61" s="32"/>
      <c r="J61" s="32"/>
      <c r="K61" s="30"/>
      <c r="L61" s="30"/>
      <c r="M61" s="30"/>
      <c r="N61" s="30"/>
      <c r="O61" s="30"/>
      <c r="P61" s="30"/>
      <c r="Q61" s="30"/>
      <c r="R61" s="30"/>
      <c r="S61" s="33"/>
      <c r="T61" s="33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3"/>
      <c r="AF61" s="132"/>
      <c r="AG61" s="132"/>
    </row>
    <row r="62" spans="1:33" s="21" customFormat="1" x14ac:dyDescent="0.2">
      <c r="A62" s="166"/>
      <c r="B62" s="39"/>
      <c r="C62" s="39"/>
      <c r="D62" s="39"/>
      <c r="E62" s="39"/>
      <c r="F62" s="128"/>
      <c r="G62" s="23"/>
      <c r="H62" s="20"/>
      <c r="I62" s="32"/>
      <c r="J62" s="32"/>
      <c r="K62" s="30"/>
      <c r="L62" s="30"/>
      <c r="M62" s="30"/>
      <c r="N62" s="30"/>
      <c r="O62" s="30"/>
      <c r="P62" s="30"/>
      <c r="Q62" s="30"/>
      <c r="R62" s="30"/>
      <c r="S62" s="33"/>
      <c r="T62" s="33"/>
      <c r="U62" s="30"/>
      <c r="V62" s="30"/>
      <c r="W62" s="30"/>
      <c r="X62" s="30"/>
      <c r="Y62" s="30"/>
      <c r="Z62" s="30"/>
      <c r="AA62" s="30"/>
      <c r="AB62" s="30"/>
      <c r="AC62" s="30"/>
      <c r="AD62" s="30"/>
      <c r="AE62" s="33"/>
      <c r="AF62" s="132"/>
      <c r="AG62" s="132"/>
    </row>
    <row r="63" spans="1:33" s="21" customFormat="1" x14ac:dyDescent="0.2">
      <c r="A63" s="166"/>
      <c r="B63" s="39"/>
      <c r="C63" s="39"/>
      <c r="D63" s="39"/>
      <c r="E63" s="39"/>
      <c r="F63" s="128"/>
      <c r="G63" s="23"/>
      <c r="H63" s="20"/>
      <c r="I63" s="32"/>
      <c r="J63" s="32"/>
      <c r="K63" s="30"/>
      <c r="L63" s="30"/>
      <c r="M63" s="30"/>
      <c r="N63" s="30"/>
      <c r="O63" s="30"/>
      <c r="P63" s="30"/>
      <c r="Q63" s="30"/>
      <c r="R63" s="30"/>
      <c r="S63" s="33"/>
      <c r="T63" s="33"/>
      <c r="U63" s="30"/>
      <c r="V63" s="30"/>
      <c r="W63" s="30"/>
      <c r="X63" s="30"/>
      <c r="Y63" s="30"/>
      <c r="Z63" s="30"/>
      <c r="AA63" s="30"/>
      <c r="AB63" s="30"/>
      <c r="AC63" s="30"/>
      <c r="AD63" s="30"/>
      <c r="AE63" s="33"/>
      <c r="AF63" s="132"/>
      <c r="AG63" s="132"/>
    </row>
    <row r="64" spans="1:33" s="21" customFormat="1" x14ac:dyDescent="0.2">
      <c r="A64" s="151"/>
      <c r="B64" s="212"/>
      <c r="C64" s="212"/>
      <c r="D64" s="212"/>
      <c r="E64" s="212"/>
      <c r="F64" s="213"/>
      <c r="G64" s="23"/>
      <c r="H64" s="20"/>
      <c r="I64" s="32"/>
      <c r="J64" s="32"/>
      <c r="K64" s="30"/>
      <c r="L64" s="30"/>
      <c r="M64" s="30"/>
      <c r="N64" s="30"/>
      <c r="O64" s="30"/>
      <c r="P64" s="30"/>
      <c r="Q64" s="30"/>
      <c r="R64" s="30"/>
      <c r="S64" s="33"/>
      <c r="T64" s="33"/>
      <c r="U64" s="30"/>
      <c r="V64" s="30"/>
      <c r="W64" s="30"/>
      <c r="X64" s="30"/>
      <c r="Y64" s="30"/>
      <c r="Z64" s="30"/>
      <c r="AA64" s="30"/>
      <c r="AB64" s="30"/>
      <c r="AC64" s="30"/>
      <c r="AD64" s="30"/>
      <c r="AE64" s="33"/>
      <c r="AF64" s="132"/>
      <c r="AG64" s="132"/>
    </row>
    <row r="65" spans="1:33" s="21" customFormat="1" x14ac:dyDescent="0.2">
      <c r="A65" s="151"/>
      <c r="B65" s="212"/>
      <c r="C65" s="212"/>
      <c r="D65" s="212"/>
      <c r="E65" s="212"/>
      <c r="F65" s="213"/>
      <c r="G65" s="23"/>
      <c r="H65" s="20"/>
      <c r="I65" s="32"/>
      <c r="J65" s="32"/>
      <c r="K65" s="30"/>
      <c r="L65" s="30"/>
      <c r="M65" s="30"/>
      <c r="N65" s="30"/>
      <c r="O65" s="30"/>
      <c r="P65" s="30"/>
      <c r="Q65" s="30"/>
      <c r="R65" s="30"/>
      <c r="S65" s="33"/>
      <c r="T65" s="33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3"/>
      <c r="AF65" s="132"/>
      <c r="AG65" s="132"/>
    </row>
    <row r="66" spans="1:33" s="21" customFormat="1" x14ac:dyDescent="0.2">
      <c r="A66" s="151"/>
      <c r="B66" s="212"/>
      <c r="C66" s="212"/>
      <c r="D66" s="144"/>
      <c r="E66" s="144"/>
      <c r="F66" s="145"/>
      <c r="G66" s="23"/>
      <c r="H66" s="20"/>
      <c r="I66" s="32"/>
      <c r="J66" s="32"/>
      <c r="K66" s="30"/>
      <c r="L66" s="30"/>
      <c r="M66" s="30"/>
      <c r="N66" s="30"/>
      <c r="O66" s="30"/>
      <c r="P66" s="30"/>
      <c r="Q66" s="30"/>
      <c r="R66" s="30"/>
      <c r="S66" s="33"/>
      <c r="T66" s="33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3"/>
      <c r="AF66" s="132"/>
      <c r="AG66" s="132"/>
    </row>
    <row r="67" spans="1:33" s="21" customFormat="1" x14ac:dyDescent="0.2">
      <c r="A67" s="151"/>
      <c r="B67" s="39"/>
      <c r="C67" s="39"/>
      <c r="D67" s="39"/>
      <c r="E67" s="39"/>
      <c r="F67" s="128"/>
      <c r="G67" s="23"/>
      <c r="H67" s="20"/>
      <c r="I67" s="32"/>
      <c r="J67" s="32"/>
      <c r="K67" s="30"/>
      <c r="L67" s="30"/>
      <c r="M67" s="30"/>
      <c r="N67" s="30"/>
      <c r="O67" s="30"/>
      <c r="P67" s="30"/>
      <c r="Q67" s="30"/>
      <c r="R67" s="30"/>
      <c r="S67" s="33"/>
      <c r="T67" s="33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3"/>
      <c r="AF67" s="132"/>
      <c r="AG67" s="132"/>
    </row>
    <row r="68" spans="1:33" s="21" customFormat="1" x14ac:dyDescent="0.2">
      <c r="A68" s="127"/>
      <c r="B68" s="39"/>
      <c r="C68" s="39"/>
      <c r="D68" s="39"/>
      <c r="E68" s="39"/>
      <c r="F68" s="128"/>
      <c r="G68" s="23"/>
      <c r="H68" s="20"/>
      <c r="I68" s="32"/>
      <c r="J68" s="32"/>
      <c r="K68" s="30"/>
      <c r="L68" s="30"/>
      <c r="M68" s="30"/>
      <c r="N68" s="30"/>
      <c r="O68" s="30"/>
      <c r="P68" s="30"/>
      <c r="Q68" s="30"/>
      <c r="R68" s="30"/>
      <c r="S68" s="33"/>
      <c r="T68" s="33"/>
      <c r="U68" s="30"/>
      <c r="V68" s="30"/>
      <c r="W68" s="30"/>
      <c r="X68" s="30"/>
      <c r="Y68" s="30"/>
      <c r="Z68" s="30"/>
      <c r="AA68" s="30"/>
      <c r="AB68" s="30"/>
      <c r="AC68" s="30"/>
      <c r="AD68" s="30"/>
      <c r="AE68" s="33"/>
      <c r="AF68" s="132"/>
      <c r="AG68" s="132"/>
    </row>
    <row r="69" spans="1:33" s="21" customFormat="1" x14ac:dyDescent="0.2">
      <c r="A69" s="127"/>
      <c r="B69" s="39"/>
      <c r="C69" s="39"/>
      <c r="D69" s="39"/>
      <c r="E69" s="39"/>
      <c r="F69" s="128"/>
      <c r="G69" s="23"/>
      <c r="H69" s="20"/>
      <c r="I69" s="32"/>
      <c r="J69" s="32"/>
      <c r="K69" s="30"/>
      <c r="L69" s="30"/>
      <c r="M69" s="30"/>
      <c r="N69" s="30"/>
      <c r="O69" s="30"/>
      <c r="P69" s="30"/>
      <c r="Q69" s="30"/>
      <c r="R69" s="30"/>
      <c r="S69" s="33"/>
      <c r="T69" s="33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3"/>
      <c r="AF69" s="132"/>
      <c r="AG69" s="132"/>
    </row>
    <row r="70" spans="1:33" s="21" customFormat="1" x14ac:dyDescent="0.2">
      <c r="A70" s="127"/>
      <c r="B70" s="39"/>
      <c r="C70" s="39"/>
      <c r="D70" s="39"/>
      <c r="E70" s="39"/>
      <c r="F70" s="128"/>
      <c r="G70" s="23"/>
      <c r="H70" s="20"/>
      <c r="I70" s="32"/>
      <c r="J70" s="32"/>
      <c r="K70" s="30"/>
      <c r="L70" s="30"/>
      <c r="M70" s="30"/>
      <c r="N70" s="30"/>
      <c r="O70" s="30"/>
      <c r="P70" s="30"/>
      <c r="Q70" s="30"/>
      <c r="R70" s="30"/>
      <c r="S70" s="33"/>
      <c r="T70" s="33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3"/>
      <c r="AF70" s="132"/>
      <c r="AG70" s="132"/>
    </row>
    <row r="71" spans="1:33" s="21" customFormat="1" x14ac:dyDescent="0.2">
      <c r="A71" s="127"/>
      <c r="B71" s="39"/>
      <c r="C71" s="150"/>
      <c r="D71" s="39"/>
      <c r="E71" s="39"/>
      <c r="F71" s="128"/>
      <c r="G71" s="23"/>
      <c r="H71" s="20"/>
      <c r="I71" s="32"/>
      <c r="J71" s="32"/>
      <c r="K71" s="30"/>
      <c r="L71" s="30"/>
      <c r="M71" s="30"/>
      <c r="N71" s="30"/>
      <c r="O71" s="30"/>
      <c r="P71" s="30"/>
      <c r="Q71" s="30"/>
      <c r="R71" s="30"/>
      <c r="S71" s="33"/>
      <c r="T71" s="33"/>
      <c r="U71" s="30"/>
      <c r="V71" s="30"/>
      <c r="W71" s="30"/>
      <c r="X71" s="30"/>
      <c r="Y71" s="30"/>
      <c r="Z71" s="30"/>
      <c r="AA71" s="30"/>
      <c r="AB71" s="30"/>
      <c r="AC71" s="30"/>
      <c r="AD71" s="30"/>
      <c r="AE71" s="33"/>
      <c r="AF71" s="132"/>
      <c r="AG71" s="132"/>
    </row>
    <row r="72" spans="1:33" s="21" customFormat="1" x14ac:dyDescent="0.2">
      <c r="A72" s="127"/>
      <c r="B72" s="39"/>
      <c r="C72" s="150"/>
      <c r="D72" s="39"/>
      <c r="E72" s="39"/>
      <c r="F72" s="128"/>
      <c r="G72" s="23"/>
      <c r="H72" s="20"/>
      <c r="I72" s="32"/>
      <c r="J72" s="32"/>
      <c r="K72" s="30"/>
      <c r="L72" s="30"/>
      <c r="M72" s="30"/>
      <c r="N72" s="30"/>
      <c r="O72" s="30"/>
      <c r="P72" s="30"/>
      <c r="Q72" s="30"/>
      <c r="R72" s="30"/>
      <c r="S72" s="33"/>
      <c r="T72" s="33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3"/>
      <c r="AF72" s="132"/>
      <c r="AG72" s="132"/>
    </row>
    <row r="73" spans="1:33" s="21" customFormat="1" x14ac:dyDescent="0.2">
      <c r="A73" s="143"/>
      <c r="B73" s="39"/>
      <c r="C73" s="39"/>
      <c r="D73" s="39"/>
      <c r="E73" s="39"/>
      <c r="F73" s="128"/>
      <c r="G73" s="23"/>
      <c r="H73" s="20"/>
      <c r="I73" s="32"/>
      <c r="J73" s="32"/>
      <c r="K73" s="30"/>
      <c r="L73" s="30"/>
      <c r="M73" s="30"/>
      <c r="N73" s="30"/>
      <c r="O73" s="30"/>
      <c r="P73" s="30"/>
      <c r="Q73" s="30"/>
      <c r="R73" s="30"/>
      <c r="S73" s="33"/>
      <c r="T73" s="33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3"/>
      <c r="AF73" s="132"/>
      <c r="AG73" s="132"/>
    </row>
    <row r="74" spans="1:33" s="21" customFormat="1" x14ac:dyDescent="0.2">
      <c r="A74" s="127"/>
      <c r="B74" s="39"/>
      <c r="C74" s="39"/>
      <c r="D74" s="39"/>
      <c r="E74" s="39"/>
      <c r="F74" s="128"/>
      <c r="G74" s="23"/>
      <c r="H74" s="20"/>
      <c r="I74" s="32"/>
      <c r="J74" s="32"/>
      <c r="K74" s="30"/>
      <c r="L74" s="30"/>
      <c r="M74" s="30"/>
      <c r="N74" s="30"/>
      <c r="O74" s="30"/>
      <c r="P74" s="30"/>
      <c r="Q74" s="30"/>
      <c r="R74" s="30"/>
      <c r="S74" s="33"/>
      <c r="T74" s="33"/>
      <c r="U74" s="30"/>
      <c r="V74" s="30"/>
      <c r="W74" s="30"/>
      <c r="X74" s="30"/>
      <c r="Y74" s="30"/>
      <c r="Z74" s="30"/>
      <c r="AA74" s="30"/>
      <c r="AB74" s="30"/>
      <c r="AC74" s="30"/>
      <c r="AD74" s="30"/>
      <c r="AE74" s="33"/>
      <c r="AF74" s="132"/>
      <c r="AG74" s="132"/>
    </row>
    <row r="75" spans="1:33" s="21" customFormat="1" x14ac:dyDescent="0.2">
      <c r="A75" s="127"/>
      <c r="B75" s="39"/>
      <c r="C75" s="39"/>
      <c r="D75" s="39"/>
      <c r="E75" s="39"/>
      <c r="F75" s="128"/>
      <c r="G75" s="23"/>
      <c r="H75" s="20"/>
      <c r="I75" s="32"/>
      <c r="J75" s="32"/>
      <c r="K75" s="30"/>
      <c r="L75" s="30"/>
      <c r="M75" s="30"/>
      <c r="N75" s="30"/>
      <c r="O75" s="30"/>
      <c r="P75" s="30"/>
      <c r="Q75" s="30"/>
      <c r="R75" s="30"/>
      <c r="S75" s="33"/>
      <c r="T75" s="33"/>
      <c r="U75" s="30"/>
      <c r="V75" s="30"/>
      <c r="W75" s="30"/>
      <c r="X75" s="30"/>
      <c r="Y75" s="30"/>
      <c r="Z75" s="30"/>
      <c r="AA75" s="30"/>
      <c r="AB75" s="30"/>
      <c r="AC75" s="30"/>
      <c r="AD75" s="30"/>
      <c r="AE75" s="33"/>
      <c r="AF75" s="132"/>
      <c r="AG75" s="132"/>
    </row>
    <row r="76" spans="1:33" s="21" customFormat="1" x14ac:dyDescent="0.2">
      <c r="A76" s="143"/>
      <c r="B76" s="39"/>
      <c r="C76" s="39"/>
      <c r="D76" s="39"/>
      <c r="E76" s="39"/>
      <c r="F76" s="128"/>
      <c r="G76" s="23"/>
      <c r="H76" s="20"/>
      <c r="I76" s="32"/>
      <c r="J76" s="32"/>
      <c r="K76" s="30"/>
      <c r="L76" s="30"/>
      <c r="M76" s="30"/>
      <c r="N76" s="30"/>
      <c r="O76" s="30"/>
      <c r="P76" s="30"/>
      <c r="Q76" s="30"/>
      <c r="R76" s="30"/>
      <c r="S76" s="33"/>
      <c r="T76" s="33"/>
      <c r="U76" s="30"/>
      <c r="V76" s="30"/>
      <c r="W76" s="30"/>
      <c r="X76" s="30"/>
      <c r="Y76" s="30"/>
      <c r="Z76" s="30"/>
      <c r="AA76" s="30"/>
      <c r="AB76" s="30"/>
      <c r="AC76" s="30"/>
      <c r="AD76" s="30"/>
      <c r="AE76" s="33"/>
      <c r="AF76" s="132"/>
      <c r="AG76" s="132"/>
    </row>
    <row r="77" spans="1:33" s="21" customFormat="1" x14ac:dyDescent="0.2">
      <c r="A77" s="143"/>
      <c r="B77" s="39"/>
      <c r="C77" s="39"/>
      <c r="D77" s="39"/>
      <c r="E77" s="39"/>
      <c r="F77" s="128"/>
      <c r="G77" s="23" t="s">
        <v>261</v>
      </c>
      <c r="H77" s="20"/>
      <c r="I77" s="32"/>
      <c r="J77" s="32"/>
      <c r="K77" s="30"/>
      <c r="L77" s="30"/>
      <c r="M77" s="30"/>
      <c r="N77" s="30"/>
      <c r="O77" s="30"/>
      <c r="P77" s="30"/>
      <c r="Q77" s="30"/>
      <c r="R77" s="30"/>
      <c r="S77" s="33"/>
      <c r="T77" s="33"/>
      <c r="U77" s="30"/>
      <c r="V77" s="30"/>
      <c r="W77" s="30"/>
      <c r="X77" s="30"/>
      <c r="Y77" s="30"/>
      <c r="Z77" s="30"/>
      <c r="AA77" s="30"/>
      <c r="AB77" s="30"/>
      <c r="AC77" s="30"/>
      <c r="AD77" s="30"/>
      <c r="AE77" s="33"/>
      <c r="AF77" s="132"/>
      <c r="AG77" s="132"/>
    </row>
    <row r="78" spans="1:33" s="21" customFormat="1" x14ac:dyDescent="0.2">
      <c r="A78" s="200"/>
      <c r="B78" s="39"/>
      <c r="C78" s="39"/>
      <c r="D78" s="39"/>
      <c r="E78" s="39"/>
      <c r="F78" s="128"/>
      <c r="G78" s="23"/>
      <c r="H78" s="20"/>
      <c r="I78" s="32"/>
      <c r="J78" s="32"/>
      <c r="K78" s="30"/>
      <c r="L78" s="30"/>
      <c r="M78" s="30"/>
      <c r="N78" s="30"/>
      <c r="O78" s="30"/>
      <c r="P78" s="30"/>
      <c r="Q78" s="30"/>
      <c r="R78" s="30"/>
      <c r="S78" s="33"/>
      <c r="T78" s="33"/>
      <c r="U78" s="30"/>
      <c r="V78" s="30"/>
      <c r="W78" s="30"/>
      <c r="X78" s="30"/>
      <c r="Y78" s="30"/>
      <c r="Z78" s="30"/>
      <c r="AA78" s="30"/>
      <c r="AB78" s="30"/>
      <c r="AC78" s="30"/>
      <c r="AD78" s="30"/>
      <c r="AE78" s="33"/>
      <c r="AF78" s="132"/>
      <c r="AG78" s="132"/>
    </row>
    <row r="79" spans="1:33" s="21" customFormat="1" x14ac:dyDescent="0.2">
      <c r="A79" s="199"/>
      <c r="B79" s="153"/>
      <c r="C79" s="154"/>
      <c r="D79" s="150"/>
      <c r="E79" s="39"/>
      <c r="F79" s="128"/>
      <c r="G79" s="23"/>
      <c r="H79" s="20"/>
      <c r="I79" s="34"/>
      <c r="J79" s="34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4"/>
      <c r="Y79" s="34"/>
      <c r="Z79" s="34"/>
      <c r="AA79" s="33"/>
      <c r="AB79" s="33"/>
      <c r="AC79" s="33"/>
      <c r="AD79" s="33"/>
      <c r="AE79" s="34"/>
      <c r="AF79" s="132"/>
      <c r="AG79" s="132"/>
    </row>
    <row r="80" spans="1:33" s="21" customFormat="1" x14ac:dyDescent="0.2">
      <c r="A80" s="7"/>
      <c r="B80" s="153"/>
      <c r="C80" s="154"/>
      <c r="D80" s="150"/>
      <c r="E80" s="566"/>
      <c r="F80" s="596"/>
      <c r="G80" s="67" t="s">
        <v>184</v>
      </c>
      <c r="H80" s="22"/>
      <c r="I80" s="34"/>
      <c r="J80" s="34"/>
      <c r="K80" s="28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3"/>
      <c r="X80" s="34"/>
      <c r="Y80" s="34"/>
      <c r="Z80" s="34"/>
      <c r="AA80" s="34"/>
      <c r="AB80" s="34"/>
      <c r="AC80" s="34"/>
      <c r="AD80" s="34"/>
      <c r="AE80" s="34"/>
      <c r="AF80" s="132"/>
      <c r="AG80" s="132"/>
    </row>
    <row r="81" spans="1:33" s="21" customFormat="1" x14ac:dyDescent="0.2">
      <c r="A81" s="7"/>
      <c r="B81" s="155"/>
      <c r="C81" s="155"/>
      <c r="D81" s="155"/>
      <c r="E81" s="155"/>
      <c r="F81" s="155"/>
      <c r="G81" s="20"/>
      <c r="H81" s="20"/>
      <c r="I81" s="6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132"/>
      <c r="AG81" s="132"/>
    </row>
    <row r="82" spans="1:33" s="21" customFormat="1" x14ac:dyDescent="0.2">
      <c r="A82" s="7"/>
      <c r="B82" s="3"/>
      <c r="C82" s="4"/>
      <c r="D82" s="5"/>
      <c r="E82" s="155"/>
      <c r="F82" s="155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132"/>
      <c r="AG82" s="132"/>
    </row>
    <row r="83" spans="1:33" s="21" customFormat="1" x14ac:dyDescent="0.2">
      <c r="A83" s="7"/>
      <c r="B83" s="3"/>
      <c r="C83" s="154"/>
      <c r="D83" s="157"/>
      <c r="E83" s="155"/>
      <c r="F83" s="155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132"/>
      <c r="AG83" s="132"/>
    </row>
    <row r="84" spans="1:33" s="21" customFormat="1" x14ac:dyDescent="0.2">
      <c r="A84" s="7"/>
      <c r="B84" s="155"/>
      <c r="C84" s="154"/>
      <c r="D84" s="157"/>
      <c r="E84" s="157"/>
      <c r="F84" s="155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132"/>
      <c r="AG84" s="132"/>
    </row>
    <row r="85" spans="1:33" s="21" customFormat="1" x14ac:dyDescent="0.2">
      <c r="A85" s="7"/>
      <c r="B85" s="155"/>
      <c r="C85" s="39"/>
      <c r="D85" s="154"/>
      <c r="E85" s="154"/>
      <c r="F85" s="155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132"/>
      <c r="AG85" s="132"/>
    </row>
    <row r="86" spans="1:33" s="21" customFormat="1" x14ac:dyDescent="0.2">
      <c r="A86" s="7"/>
      <c r="B86" s="155"/>
      <c r="C86" s="154"/>
      <c r="D86" s="39"/>
      <c r="E86" s="154"/>
      <c r="F86" s="155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132"/>
      <c r="AG86" s="132"/>
    </row>
    <row r="87" spans="1:33" s="21" customFormat="1" x14ac:dyDescent="0.2">
      <c r="A87" s="7"/>
      <c r="B87" s="155"/>
      <c r="C87" s="39"/>
      <c r="D87" s="158"/>
      <c r="E87" s="154"/>
      <c r="F87" s="155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132"/>
      <c r="AG87" s="132"/>
    </row>
    <row r="88" spans="1:33" s="21" customFormat="1" x14ac:dyDescent="0.2">
      <c r="A88" s="7"/>
      <c r="B88" s="155"/>
      <c r="C88" s="39"/>
      <c r="D88" s="158"/>
      <c r="E88" s="154"/>
      <c r="F88" s="155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132"/>
      <c r="AG88" s="132"/>
    </row>
    <row r="89" spans="1:33" s="21" customFormat="1" x14ac:dyDescent="0.2">
      <c r="A89" s="7"/>
      <c r="B89" s="155"/>
      <c r="C89" s="154"/>
      <c r="D89" s="39"/>
      <c r="E89" s="154"/>
      <c r="F89" s="155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132"/>
      <c r="AG89" s="132"/>
    </row>
    <row r="90" spans="1:33" s="21" customFormat="1" x14ac:dyDescent="0.2">
      <c r="A90" s="7"/>
      <c r="B90" s="155"/>
      <c r="C90" s="154"/>
      <c r="D90" s="154"/>
      <c r="E90" s="154"/>
      <c r="F90" s="154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132"/>
      <c r="AG90" s="132"/>
    </row>
    <row r="91" spans="1:33" s="21" customFormat="1" x14ac:dyDescent="0.2">
      <c r="A91" s="7"/>
      <c r="B91" s="155"/>
      <c r="C91" s="39"/>
      <c r="D91" s="525"/>
      <c r="E91" s="526"/>
      <c r="F91" s="526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132"/>
      <c r="AG91" s="132"/>
    </row>
    <row r="92" spans="1:33" s="21" customFormat="1" x14ac:dyDescent="0.2">
      <c r="A92" s="7"/>
      <c r="B92" s="155"/>
      <c r="C92" s="154"/>
      <c r="D92" s="158"/>
      <c r="E92" s="154"/>
      <c r="F92" s="154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132"/>
      <c r="AG92" s="132"/>
    </row>
    <row r="93" spans="1:33" s="21" customFormat="1" x14ac:dyDescent="0.2">
      <c r="A93" s="7"/>
      <c r="B93" s="155"/>
      <c r="C93" s="154"/>
      <c r="D93" s="158"/>
      <c r="E93" s="154"/>
      <c r="F93" s="154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132"/>
      <c r="AG93" s="132"/>
    </row>
    <row r="94" spans="1:33" s="21" customFormat="1" x14ac:dyDescent="0.2">
      <c r="A94" s="7"/>
      <c r="B94" s="3"/>
      <c r="C94" s="4"/>
      <c r="D94" s="157"/>
      <c r="E94" s="154"/>
      <c r="F94" s="154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132"/>
      <c r="AG94" s="132"/>
    </row>
    <row r="95" spans="1:33" s="21" customFormat="1" x14ac:dyDescent="0.2">
      <c r="A95" s="7"/>
      <c r="B95" s="155"/>
      <c r="C95" s="154"/>
      <c r="D95" s="154"/>
      <c r="E95" s="154"/>
      <c r="F95" s="154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132"/>
      <c r="AG95" s="132"/>
    </row>
    <row r="96" spans="1:33" s="21" customFormat="1" x14ac:dyDescent="0.2">
      <c r="A96" s="7"/>
      <c r="B96" s="155"/>
      <c r="C96" s="154"/>
      <c r="D96" s="163"/>
      <c r="E96" s="154"/>
      <c r="F96" s="154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132"/>
      <c r="AG96" s="132"/>
    </row>
    <row r="97" spans="1:33" s="21" customFormat="1" x14ac:dyDescent="0.2">
      <c r="A97" s="7"/>
      <c r="B97" s="155"/>
      <c r="C97" s="154"/>
      <c r="D97" s="164"/>
      <c r="E97" s="154"/>
      <c r="F97" s="154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132"/>
      <c r="AG97" s="132"/>
    </row>
    <row r="98" spans="1:33" s="21" customFormat="1" x14ac:dyDescent="0.2">
      <c r="A98" s="7"/>
      <c r="B98" s="155"/>
      <c r="C98" s="154"/>
      <c r="D98" s="164"/>
      <c r="E98" s="154"/>
      <c r="F98" s="154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132"/>
      <c r="AG98" s="132"/>
    </row>
    <row r="99" spans="1:33" s="21" customFormat="1" x14ac:dyDescent="0.2">
      <c r="A99" s="7"/>
      <c r="B99" s="155"/>
      <c r="C99" s="154"/>
      <c r="D99" s="163"/>
      <c r="E99" s="154"/>
      <c r="F99" s="154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132"/>
      <c r="AG99" s="132"/>
    </row>
    <row r="100" spans="1:33" s="21" customFormat="1" x14ac:dyDescent="0.2">
      <c r="A100" s="7"/>
      <c r="B100" s="155"/>
      <c r="C100" s="154"/>
      <c r="D100" s="164"/>
      <c r="E100" s="154"/>
      <c r="F100" s="154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132"/>
      <c r="AG100" s="132"/>
    </row>
    <row r="101" spans="1:33" s="21" customFormat="1" x14ac:dyDescent="0.2">
      <c r="A101" s="7"/>
      <c r="B101" s="155"/>
      <c r="C101" s="154"/>
      <c r="D101" s="164"/>
      <c r="E101" s="154"/>
      <c r="F101" s="154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132"/>
      <c r="AG101" s="132"/>
    </row>
    <row r="102" spans="1:33" s="21" customFormat="1" x14ac:dyDescent="0.2">
      <c r="A102" s="7"/>
      <c r="B102" s="155"/>
      <c r="C102" s="154"/>
      <c r="D102" s="154"/>
      <c r="E102" s="154"/>
      <c r="F102" s="154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132"/>
      <c r="AG102" s="132"/>
    </row>
    <row r="103" spans="1:33" s="21" customFormat="1" x14ac:dyDescent="0.2">
      <c r="A103" s="7"/>
      <c r="B103" s="155"/>
      <c r="C103" s="39"/>
      <c r="D103" s="158"/>
      <c r="E103" s="154"/>
      <c r="F103" s="154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132"/>
      <c r="AG103" s="132"/>
    </row>
    <row r="104" spans="1:33" s="21" customFormat="1" x14ac:dyDescent="0.2">
      <c r="A104" s="7"/>
      <c r="B104" s="155"/>
      <c r="C104" s="39"/>
      <c r="D104" s="158"/>
      <c r="E104" s="154"/>
      <c r="F104" s="154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132"/>
      <c r="AG104" s="132"/>
    </row>
    <row r="105" spans="1:33" s="21" customFormat="1" x14ac:dyDescent="0.2">
      <c r="A105" s="7"/>
      <c r="B105" s="155"/>
      <c r="C105" s="154"/>
      <c r="D105" s="154"/>
      <c r="E105" s="154"/>
      <c r="F105" s="154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132"/>
      <c r="AG105" s="132"/>
    </row>
    <row r="106" spans="1:33" s="21" customFormat="1" x14ac:dyDescent="0.2">
      <c r="A106" s="7"/>
      <c r="B106" s="155"/>
      <c r="C106" s="39"/>
      <c r="D106" s="525"/>
      <c r="E106" s="526"/>
      <c r="F106" s="526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132"/>
      <c r="AG106" s="132"/>
    </row>
    <row r="107" spans="1:33" s="21" customFormat="1" x14ac:dyDescent="0.2">
      <c r="A107" s="7"/>
      <c r="B107" s="155"/>
      <c r="C107" s="154"/>
      <c r="D107" s="158"/>
      <c r="E107" s="154"/>
      <c r="F107" s="154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132"/>
      <c r="AG107" s="132"/>
    </row>
    <row r="108" spans="1:33" s="21" customFormat="1" x14ac:dyDescent="0.2">
      <c r="A108" s="7"/>
      <c r="B108" s="155"/>
      <c r="C108" s="154"/>
      <c r="D108" s="164"/>
      <c r="E108" s="154"/>
      <c r="F108" s="154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132"/>
      <c r="AG108" s="132"/>
    </row>
    <row r="109" spans="1:33" s="21" customFormat="1" x14ac:dyDescent="0.2">
      <c r="A109" s="7"/>
      <c r="B109" s="155"/>
      <c r="C109" s="154"/>
      <c r="D109" s="164"/>
      <c r="E109" s="154"/>
      <c r="F109" s="154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132"/>
      <c r="AG109" s="132"/>
    </row>
    <row r="110" spans="1:33" s="21" customFormat="1" x14ac:dyDescent="0.2">
      <c r="A110" s="7"/>
      <c r="B110" s="155"/>
      <c r="C110" s="154"/>
      <c r="D110" s="158"/>
      <c r="E110" s="154"/>
      <c r="F110" s="154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132"/>
      <c r="AG110" s="132"/>
    </row>
    <row r="111" spans="1:33" s="21" customFormat="1" x14ac:dyDescent="0.2">
      <c r="A111" s="7"/>
      <c r="B111" s="155"/>
      <c r="C111" s="154"/>
      <c r="D111" s="164"/>
      <c r="E111" s="154"/>
      <c r="F111" s="154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132"/>
      <c r="AG111" s="132"/>
    </row>
    <row r="112" spans="1:33" s="21" customFormat="1" x14ac:dyDescent="0.2">
      <c r="A112" s="7"/>
      <c r="B112" s="155"/>
      <c r="C112" s="154"/>
      <c r="D112" s="164"/>
      <c r="E112" s="154"/>
      <c r="F112" s="154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132"/>
      <c r="AG112" s="132"/>
    </row>
    <row r="113" spans="1:33" s="21" customFormat="1" x14ac:dyDescent="0.2">
      <c r="A113" s="7"/>
      <c r="B113" s="3"/>
      <c r="C113" s="4"/>
      <c r="D113" s="157"/>
      <c r="E113" s="154"/>
      <c r="F113" s="154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132"/>
      <c r="AG113" s="132"/>
    </row>
    <row r="114" spans="1:33" s="21" customFormat="1" x14ac:dyDescent="0.2">
      <c r="A114" s="7"/>
      <c r="B114" s="155"/>
      <c r="C114" s="154"/>
      <c r="D114" s="157"/>
      <c r="E114" s="154"/>
      <c r="F114" s="154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132"/>
      <c r="AG114" s="132"/>
    </row>
    <row r="115" spans="1:33" s="21" customFormat="1" x14ac:dyDescent="0.2">
      <c r="A115" s="7"/>
      <c r="B115" s="155"/>
      <c r="C115" s="154"/>
      <c r="D115" s="157"/>
      <c r="E115" s="154"/>
      <c r="F115" s="154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132"/>
      <c r="AG115" s="132"/>
    </row>
    <row r="116" spans="1:33" s="21" customFormat="1" x14ac:dyDescent="0.2">
      <c r="A116" s="7"/>
      <c r="B116" s="155"/>
      <c r="C116" s="154"/>
      <c r="D116" s="157"/>
      <c r="E116" s="154"/>
      <c r="F116" s="154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132"/>
      <c r="AG116" s="132"/>
    </row>
    <row r="117" spans="1:33" s="21" customFormat="1" x14ac:dyDescent="0.2">
      <c r="A117" s="7"/>
      <c r="B117" s="155"/>
      <c r="C117" s="39"/>
      <c r="D117" s="525"/>
      <c r="E117" s="526"/>
      <c r="F117" s="526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132"/>
      <c r="AG117" s="132"/>
    </row>
    <row r="118" spans="1:33" s="21" customFormat="1" x14ac:dyDescent="0.2">
      <c r="A118" s="7"/>
      <c r="B118" s="155"/>
      <c r="C118" s="154"/>
      <c r="D118" s="158"/>
      <c r="E118" s="154"/>
      <c r="F118" s="126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132"/>
      <c r="AG118" s="132"/>
    </row>
    <row r="119" spans="1:33" s="21" customFormat="1" x14ac:dyDescent="0.2">
      <c r="A119" s="7"/>
      <c r="B119" s="155"/>
      <c r="C119" s="154"/>
      <c r="D119" s="158"/>
      <c r="E119" s="154"/>
      <c r="F119" s="126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132"/>
      <c r="AG119" s="132"/>
    </row>
    <row r="120" spans="1:33" s="21" customFormat="1" x14ac:dyDescent="0.2">
      <c r="A120" s="7"/>
      <c r="B120" s="6"/>
      <c r="C120" s="7"/>
      <c r="D120" s="154"/>
      <c r="E120" s="154"/>
      <c r="F120" s="154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132"/>
      <c r="AG120" s="132"/>
    </row>
    <row r="121" spans="1:33" s="21" customFormat="1" x14ac:dyDescent="0.2">
      <c r="A121" s="7"/>
      <c r="B121" s="153"/>
      <c r="C121" s="154"/>
      <c r="D121" s="154"/>
      <c r="E121" s="154"/>
      <c r="F121" s="154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132"/>
      <c r="AG121" s="132"/>
    </row>
    <row r="122" spans="1:33" s="21" customFormat="1" x14ac:dyDescent="0.2">
      <c r="A122" s="7"/>
      <c r="B122" s="153"/>
      <c r="C122" s="154"/>
      <c r="D122" s="158"/>
      <c r="E122" s="154"/>
      <c r="F122" s="154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132"/>
      <c r="AG122" s="132"/>
    </row>
    <row r="123" spans="1:33" s="21" customFormat="1" x14ac:dyDescent="0.2">
      <c r="A123" s="7"/>
      <c r="B123" s="153"/>
      <c r="C123" s="154"/>
      <c r="D123" s="158"/>
      <c r="E123" s="154"/>
      <c r="F123" s="154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132"/>
      <c r="AG123" s="132"/>
    </row>
    <row r="124" spans="1:33" s="21" customFormat="1" x14ac:dyDescent="0.2">
      <c r="A124" s="7"/>
      <c r="B124" s="153"/>
      <c r="C124" s="154"/>
      <c r="D124" s="150"/>
      <c r="E124" s="566"/>
      <c r="F124" s="566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132"/>
      <c r="AG124" s="132"/>
    </row>
    <row r="125" spans="1:33" x14ac:dyDescent="0.2">
      <c r="A125" s="7"/>
      <c r="B125" s="153"/>
      <c r="C125" s="154"/>
      <c r="D125" s="39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122"/>
      <c r="AF125" s="123"/>
      <c r="AG125" s="123"/>
    </row>
    <row r="126" spans="1:33" x14ac:dyDescent="0.2">
      <c r="A126" s="7"/>
      <c r="B126" s="153"/>
      <c r="C126" s="154"/>
      <c r="D126" s="150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122"/>
      <c r="AF126" s="123"/>
      <c r="AG126" s="123"/>
    </row>
    <row r="127" spans="1:33" x14ac:dyDescent="0.2">
      <c r="A127" s="7"/>
      <c r="B127" s="153"/>
      <c r="C127" s="154"/>
      <c r="D127" s="150"/>
      <c r="E127" s="39"/>
      <c r="F127" s="39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122"/>
      <c r="AF127" s="123"/>
      <c r="AG127" s="123"/>
    </row>
    <row r="128" spans="1:33" x14ac:dyDescent="0.2">
      <c r="A128" s="7"/>
      <c r="B128" s="153"/>
      <c r="C128" s="154"/>
      <c r="D128" s="150"/>
      <c r="E128" s="566"/>
      <c r="F128" s="566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122"/>
      <c r="AF128" s="123"/>
      <c r="AG128" s="123"/>
    </row>
    <row r="129" spans="1:33" x14ac:dyDescent="0.2">
      <c r="A129" s="154"/>
      <c r="B129" s="565"/>
      <c r="C129" s="565"/>
      <c r="D129" s="565"/>
      <c r="E129" s="565"/>
      <c r="F129" s="565"/>
      <c r="G129" s="20"/>
      <c r="H129" s="20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122"/>
      <c r="AF129" s="123"/>
      <c r="AG129" s="123"/>
    </row>
    <row r="130" spans="1:33" x14ac:dyDescent="0.2">
      <c r="A130" s="21"/>
      <c r="B130" s="21"/>
      <c r="C130" s="21"/>
      <c r="D130" s="21"/>
      <c r="E130" s="21"/>
      <c r="F130" s="21"/>
      <c r="G130" s="20"/>
      <c r="H130" s="20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 t="s">
        <v>184</v>
      </c>
      <c r="V130" s="34"/>
      <c r="W130" s="34"/>
      <c r="X130" s="34"/>
      <c r="Y130" s="34"/>
      <c r="Z130" s="34"/>
      <c r="AA130" s="34"/>
      <c r="AB130" s="34"/>
      <c r="AC130" s="34"/>
      <c r="AD130" s="34"/>
      <c r="AE130" s="122"/>
      <c r="AF130" s="123"/>
      <c r="AG130" s="123"/>
    </row>
    <row r="131" spans="1:33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</row>
    <row r="132" spans="1:33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</row>
    <row r="133" spans="1:33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</row>
    <row r="134" spans="1:33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</row>
    <row r="135" spans="1:33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</row>
    <row r="136" spans="1:33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</row>
    <row r="137" spans="1:33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</row>
    <row r="138" spans="1:33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</row>
    <row r="139" spans="1:33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</row>
    <row r="140" spans="1:33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</row>
    <row r="141" spans="1:33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</row>
    <row r="142" spans="1:33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</row>
    <row r="143" spans="1:33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</row>
    <row r="144" spans="1:33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</row>
    <row r="145" spans="1:30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</row>
    <row r="146" spans="1:30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</row>
    <row r="147" spans="1:30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</row>
    <row r="148" spans="1:30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</row>
    <row r="149" spans="1:30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</row>
    <row r="150" spans="1:30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</row>
    <row r="151" spans="1:30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</row>
    <row r="152" spans="1:30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</row>
    <row r="153" spans="1:30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</row>
    <row r="154" spans="1:30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</row>
    <row r="155" spans="1:30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</row>
    <row r="156" spans="1:30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</row>
    <row r="157" spans="1:30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</row>
    <row r="158" spans="1:30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</row>
    <row r="159" spans="1:30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</row>
    <row r="160" spans="1:30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</row>
    <row r="161" spans="1:30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</row>
    <row r="162" spans="1:30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</row>
    <row r="163" spans="1:30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</row>
    <row r="164" spans="1:30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</row>
    <row r="165" spans="1:30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</row>
    <row r="166" spans="1:30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</row>
    <row r="167" spans="1:30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</row>
    <row r="168" spans="1:30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</row>
    <row r="169" spans="1:30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</row>
    <row r="170" spans="1:30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</row>
    <row r="171" spans="1:30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</row>
    <row r="172" spans="1:30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</row>
    <row r="173" spans="1:30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</row>
    <row r="174" spans="1:30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</row>
    <row r="175" spans="1:30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</row>
    <row r="176" spans="1:30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</row>
    <row r="177" spans="1:30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</row>
    <row r="178" spans="1:30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</row>
    <row r="179" spans="1:30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</row>
    <row r="180" spans="1:30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</row>
    <row r="181" spans="1:30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</row>
    <row r="182" spans="1:30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</row>
    <row r="183" spans="1:30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</row>
    <row r="184" spans="1:30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</row>
    <row r="185" spans="1:30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</row>
    <row r="186" spans="1:30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</row>
    <row r="187" spans="1:30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</row>
    <row r="188" spans="1:30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</row>
    <row r="189" spans="1:30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</row>
    <row r="190" spans="1:30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</row>
    <row r="191" spans="1:30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</row>
    <row r="192" spans="1:30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</row>
    <row r="193" spans="1:30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</row>
    <row r="194" spans="1:30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</row>
    <row r="195" spans="1:30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</row>
    <row r="196" spans="1:30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</row>
    <row r="197" spans="1:30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</row>
    <row r="198" spans="1:30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</row>
    <row r="199" spans="1:30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</row>
    <row r="200" spans="1:30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</row>
    <row r="201" spans="1:30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</row>
    <row r="202" spans="1:30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</row>
    <row r="203" spans="1:30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</row>
    <row r="204" spans="1:30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</row>
    <row r="205" spans="1:30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</row>
    <row r="206" spans="1:30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</row>
    <row r="207" spans="1:30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</row>
    <row r="208" spans="1:30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</row>
    <row r="209" spans="1:30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</row>
    <row r="210" spans="1:30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</row>
    <row r="211" spans="1:30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</row>
    <row r="212" spans="1:30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</row>
    <row r="213" spans="1:30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</row>
    <row r="214" spans="1:30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</row>
    <row r="215" spans="1:30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</row>
    <row r="216" spans="1:30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</row>
    <row r="217" spans="1:30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</row>
    <row r="218" spans="1:30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</row>
    <row r="219" spans="1:30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</row>
    <row r="220" spans="1:30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</row>
    <row r="221" spans="1:30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</row>
    <row r="222" spans="1:30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</row>
    <row r="223" spans="1:30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</row>
    <row r="224" spans="1:30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</row>
    <row r="225" spans="1:30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</row>
    <row r="226" spans="1:30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</row>
    <row r="227" spans="1:30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</row>
    <row r="228" spans="1:30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</row>
    <row r="229" spans="1:30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</row>
    <row r="230" spans="1:30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</row>
    <row r="231" spans="1:30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</row>
    <row r="232" spans="1:30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</row>
    <row r="233" spans="1:30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</row>
    <row r="234" spans="1:30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</row>
    <row r="235" spans="1:30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</row>
    <row r="236" spans="1:30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</row>
    <row r="237" spans="1:30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</row>
    <row r="238" spans="1:30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</row>
    <row r="239" spans="1:30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</row>
    <row r="240" spans="1:30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</row>
    <row r="241" spans="1:30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</row>
    <row r="242" spans="1:30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</row>
    <row r="243" spans="1:30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</row>
    <row r="244" spans="1:30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</row>
    <row r="245" spans="1:30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</row>
    <row r="246" spans="1:30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</row>
    <row r="247" spans="1:30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</row>
    <row r="248" spans="1:30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</row>
    <row r="249" spans="1:30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</row>
    <row r="250" spans="1:30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</row>
    <row r="251" spans="1:30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</row>
    <row r="252" spans="1:30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</row>
    <row r="253" spans="1:30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</row>
    <row r="254" spans="1:30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</row>
    <row r="255" spans="1:30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</row>
  </sheetData>
  <sheetProtection password="B044" sheet="1" objects="1" scenarios="1" selectLockedCells="1"/>
  <mergeCells count="42">
    <mergeCell ref="H5:H9"/>
    <mergeCell ref="AC6:AD8"/>
    <mergeCell ref="A3:AD3"/>
    <mergeCell ref="Y6:Z8"/>
    <mergeCell ref="AA6:AB8"/>
    <mergeCell ref="U6:V8"/>
    <mergeCell ref="W6:X8"/>
    <mergeCell ref="AC5:AD5"/>
    <mergeCell ref="I6:J8"/>
    <mergeCell ref="K6:T6"/>
    <mergeCell ref="K7:L8"/>
    <mergeCell ref="M7:N8"/>
    <mergeCell ref="O7:P8"/>
    <mergeCell ref="U5:V5"/>
    <mergeCell ref="Q7:R8"/>
    <mergeCell ref="S7:T8"/>
    <mergeCell ref="W5:X5"/>
    <mergeCell ref="B129:F129"/>
    <mergeCell ref="E80:F80"/>
    <mergeCell ref="D91:F91"/>
    <mergeCell ref="D106:F106"/>
    <mergeCell ref="D117:F117"/>
    <mergeCell ref="E124:F124"/>
    <mergeCell ref="E128:F128"/>
    <mergeCell ref="I5:J5"/>
    <mergeCell ref="C53:D53"/>
    <mergeCell ref="A1:AD1"/>
    <mergeCell ref="A2:AD2"/>
    <mergeCell ref="D51:F51"/>
    <mergeCell ref="Y5:Z5"/>
    <mergeCell ref="AA5:AB5"/>
    <mergeCell ref="M5:N5"/>
    <mergeCell ref="O5:P5"/>
    <mergeCell ref="Q5:R5"/>
    <mergeCell ref="S5:T5"/>
    <mergeCell ref="K5:L5"/>
    <mergeCell ref="G5:G9"/>
    <mergeCell ref="A5:F9"/>
    <mergeCell ref="D50:E50"/>
    <mergeCell ref="C43:D43"/>
    <mergeCell ref="D44:F44"/>
    <mergeCell ref="D45:F45"/>
  </mergeCells>
  <phoneticPr fontId="0" type="noConversion"/>
  <dataValidations count="1">
    <dataValidation type="decimal" operator="lessThan" allowBlank="1" showInputMessage="1" showErrorMessage="1" sqref="I10:FN587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6b3&amp;8&amp;U
&amp;P of &amp;N&amp;C&amp;"Arial,Bold"&amp;8 MAXIMUM SAVINGS BANK, INC.  [ 03-070011 ]
 As of: June 30, 2019</oddHeader>
  </headerFooter>
  <drawing r:id="rId2"/>
  <legacyDrawing r:id="rId3"/>
  <controls>
    <mc:AlternateContent xmlns:mc="http://schemas.openxmlformats.org/markup-compatibility/2006">
      <mc:Choice Requires="x14">
        <control shapeId="11265" r:id="rId4" name="Label1">
          <controlPr defaultSize="0" autoLine="0" r:id="rId5">
            <anchor moveWithCells="1">
              <from>
                <xdr:col>7</xdr:col>
                <xdr:colOff>238125</xdr:colOff>
                <xdr:row>17</xdr:row>
                <xdr:rowOff>28575</xdr:rowOff>
              </from>
              <to>
                <xdr:col>7</xdr:col>
                <xdr:colOff>647700</xdr:colOff>
                <xdr:row>18</xdr:row>
                <xdr:rowOff>28575</xdr:rowOff>
              </to>
            </anchor>
          </controlPr>
        </control>
      </mc:Choice>
      <mc:Fallback>
        <control shapeId="11265" r:id="rId4" name="Label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1:IU255"/>
  <sheetViews>
    <sheetView zoomScale="75" zoomScaleNormal="90" zoomScaleSheetLayoutView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4" sqref="I14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26.5703125" style="1" customWidth="1"/>
    <col min="6" max="6" width="21.42578125" style="1" hidden="1" customWidth="1"/>
    <col min="7" max="7" width="17.85546875" style="9" customWidth="1"/>
    <col min="8" max="8" width="9.85546875" style="9" customWidth="1"/>
    <col min="9" max="30" width="20.7109375" style="1" customWidth="1"/>
    <col min="31" max="170" width="25.7109375" style="1" customWidth="1"/>
    <col min="171" max="16384" width="9.140625" style="1"/>
  </cols>
  <sheetData>
    <row r="1" spans="1:33" s="165" customFormat="1" ht="12.75" x14ac:dyDescent="0.2">
      <c r="A1" s="512" t="s">
        <v>519</v>
      </c>
      <c r="B1" s="512"/>
      <c r="C1" s="512"/>
      <c r="D1" s="512"/>
      <c r="E1" s="512"/>
      <c r="F1" s="512"/>
      <c r="G1" s="512"/>
      <c r="H1" s="512"/>
      <c r="I1" s="512"/>
      <c r="J1" s="512"/>
      <c r="K1" s="512"/>
      <c r="L1" s="512"/>
      <c r="M1" s="512"/>
      <c r="N1" s="512"/>
      <c r="O1" s="512"/>
      <c r="P1" s="512"/>
      <c r="Q1" s="512"/>
      <c r="R1" s="512"/>
      <c r="S1" s="512"/>
      <c r="T1" s="512"/>
      <c r="U1" s="512"/>
      <c r="V1" s="512"/>
      <c r="W1" s="512"/>
      <c r="X1" s="512"/>
      <c r="Y1" s="512"/>
      <c r="Z1" s="512"/>
      <c r="AA1" s="512"/>
      <c r="AB1" s="512"/>
      <c r="AC1" s="512"/>
      <c r="AD1" s="512"/>
    </row>
    <row r="2" spans="1:33" s="165" customFormat="1" ht="12.75" customHeight="1" x14ac:dyDescent="0.2">
      <c r="A2" s="512" t="s">
        <v>325</v>
      </c>
      <c r="B2" s="512"/>
      <c r="C2" s="512"/>
      <c r="D2" s="512"/>
      <c r="E2" s="512"/>
      <c r="F2" s="512"/>
      <c r="G2" s="512"/>
      <c r="H2" s="512"/>
      <c r="I2" s="512"/>
      <c r="J2" s="512"/>
      <c r="K2" s="512"/>
      <c r="L2" s="512"/>
      <c r="M2" s="512"/>
      <c r="N2" s="512"/>
      <c r="O2" s="512"/>
      <c r="P2" s="512"/>
      <c r="Q2" s="512"/>
      <c r="R2" s="512"/>
      <c r="S2" s="512"/>
      <c r="T2" s="512"/>
      <c r="U2" s="512"/>
      <c r="V2" s="512"/>
      <c r="W2" s="512"/>
      <c r="X2" s="512"/>
      <c r="Y2" s="512"/>
      <c r="Z2" s="512"/>
      <c r="AA2" s="512"/>
      <c r="AB2" s="512"/>
      <c r="AC2" s="512"/>
      <c r="AD2" s="512"/>
    </row>
    <row r="3" spans="1:33" s="165" customFormat="1" ht="12.75" customHeight="1" x14ac:dyDescent="0.2">
      <c r="A3" s="512" t="s">
        <v>391</v>
      </c>
      <c r="B3" s="512"/>
      <c r="C3" s="512"/>
      <c r="D3" s="512"/>
      <c r="E3" s="512"/>
      <c r="F3" s="512"/>
      <c r="G3" s="512"/>
      <c r="H3" s="512"/>
      <c r="I3" s="512"/>
      <c r="J3" s="512"/>
      <c r="K3" s="512"/>
      <c r="L3" s="512"/>
      <c r="M3" s="512"/>
      <c r="N3" s="512"/>
      <c r="O3" s="512"/>
      <c r="P3" s="512"/>
      <c r="Q3" s="512"/>
      <c r="R3" s="512"/>
      <c r="S3" s="512"/>
      <c r="T3" s="512"/>
      <c r="U3" s="512"/>
      <c r="V3" s="512"/>
      <c r="W3" s="512"/>
      <c r="X3" s="512"/>
      <c r="Y3" s="512"/>
      <c r="Z3" s="512"/>
      <c r="AA3" s="512"/>
      <c r="AB3" s="512"/>
      <c r="AC3" s="512"/>
      <c r="AD3" s="512"/>
    </row>
    <row r="4" spans="1:33" ht="12.75" customHeight="1" x14ac:dyDescent="0.2">
      <c r="A4" s="217"/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  <c r="S4" s="217"/>
      <c r="T4" s="217"/>
      <c r="U4" s="217"/>
      <c r="V4" s="217"/>
      <c r="W4" s="217"/>
      <c r="X4" s="217"/>
      <c r="Y4" s="217"/>
      <c r="Z4" s="217"/>
      <c r="AA4" s="217"/>
      <c r="AB4" s="217"/>
      <c r="AC4" s="217"/>
      <c r="AD4" s="217"/>
    </row>
    <row r="5" spans="1:33" s="118" customFormat="1" ht="14.25" customHeight="1" x14ac:dyDescent="0.2">
      <c r="A5" s="504" t="s">
        <v>0</v>
      </c>
      <c r="B5" s="505"/>
      <c r="C5" s="505"/>
      <c r="D5" s="505"/>
      <c r="E5" s="505"/>
      <c r="F5" s="506"/>
      <c r="G5" s="496" t="s">
        <v>2</v>
      </c>
      <c r="H5" s="493" t="s">
        <v>414</v>
      </c>
      <c r="I5" s="518" t="s">
        <v>309</v>
      </c>
      <c r="J5" s="521"/>
      <c r="K5" s="518" t="s">
        <v>310</v>
      </c>
      <c r="L5" s="521"/>
      <c r="M5" s="580" t="s">
        <v>311</v>
      </c>
      <c r="N5" s="582"/>
      <c r="O5" s="580" t="s">
        <v>312</v>
      </c>
      <c r="P5" s="582"/>
      <c r="Q5" s="580" t="s">
        <v>313</v>
      </c>
      <c r="R5" s="582"/>
      <c r="S5" s="580" t="s">
        <v>314</v>
      </c>
      <c r="T5" s="582"/>
      <c r="U5" s="580" t="s">
        <v>315</v>
      </c>
      <c r="V5" s="582"/>
      <c r="W5" s="580" t="s">
        <v>316</v>
      </c>
      <c r="X5" s="582"/>
      <c r="Y5" s="580" t="s">
        <v>317</v>
      </c>
      <c r="Z5" s="582"/>
      <c r="AA5" s="580" t="s">
        <v>318</v>
      </c>
      <c r="AB5" s="582"/>
      <c r="AC5" s="580" t="s">
        <v>307</v>
      </c>
      <c r="AD5" s="582"/>
    </row>
    <row r="6" spans="1:33" s="11" customFormat="1" ht="12.75" customHeight="1" x14ac:dyDescent="0.2">
      <c r="A6" s="507"/>
      <c r="B6" s="508"/>
      <c r="C6" s="508"/>
      <c r="D6" s="508"/>
      <c r="E6" s="508"/>
      <c r="F6" s="509"/>
      <c r="G6" s="497"/>
      <c r="H6" s="494"/>
      <c r="I6" s="592" t="s">
        <v>755</v>
      </c>
      <c r="J6" s="600"/>
      <c r="K6" s="518" t="s">
        <v>324</v>
      </c>
      <c r="L6" s="533"/>
      <c r="M6" s="533"/>
      <c r="N6" s="533"/>
      <c r="O6" s="533"/>
      <c r="P6" s="533"/>
      <c r="Q6" s="533"/>
      <c r="R6" s="533"/>
      <c r="S6" s="533"/>
      <c r="T6" s="521"/>
      <c r="U6" s="592" t="s">
        <v>319</v>
      </c>
      <c r="V6" s="600"/>
      <c r="W6" s="592" t="s">
        <v>320</v>
      </c>
      <c r="X6" s="600"/>
      <c r="Y6" s="592" t="s">
        <v>321</v>
      </c>
      <c r="Z6" s="600"/>
      <c r="AA6" s="592" t="s">
        <v>390</v>
      </c>
      <c r="AB6" s="600"/>
      <c r="AC6" s="592" t="s">
        <v>328</v>
      </c>
      <c r="AD6" s="600"/>
    </row>
    <row r="7" spans="1:33" s="11" customFormat="1" ht="12.75" customHeight="1" x14ac:dyDescent="0.2">
      <c r="A7" s="507"/>
      <c r="B7" s="508"/>
      <c r="C7" s="508"/>
      <c r="D7" s="508"/>
      <c r="E7" s="508"/>
      <c r="F7" s="509"/>
      <c r="G7" s="497"/>
      <c r="H7" s="494"/>
      <c r="I7" s="593"/>
      <c r="J7" s="601"/>
      <c r="K7" s="504" t="s">
        <v>779</v>
      </c>
      <c r="L7" s="506"/>
      <c r="M7" s="504" t="s">
        <v>780</v>
      </c>
      <c r="N7" s="506"/>
      <c r="O7" s="504" t="s">
        <v>781</v>
      </c>
      <c r="P7" s="506"/>
      <c r="Q7" s="504" t="s">
        <v>782</v>
      </c>
      <c r="R7" s="506"/>
      <c r="S7" s="504" t="s">
        <v>308</v>
      </c>
      <c r="T7" s="506"/>
      <c r="U7" s="593"/>
      <c r="V7" s="601"/>
      <c r="W7" s="593"/>
      <c r="X7" s="601"/>
      <c r="Y7" s="593"/>
      <c r="Z7" s="601"/>
      <c r="AA7" s="593"/>
      <c r="AB7" s="601"/>
      <c r="AC7" s="593"/>
      <c r="AD7" s="601"/>
    </row>
    <row r="8" spans="1:33" s="2" customFormat="1" ht="12.75" customHeight="1" x14ac:dyDescent="0.2">
      <c r="A8" s="507"/>
      <c r="B8" s="508"/>
      <c r="C8" s="508"/>
      <c r="D8" s="508"/>
      <c r="E8" s="508"/>
      <c r="F8" s="509"/>
      <c r="G8" s="497"/>
      <c r="H8" s="494"/>
      <c r="I8" s="593"/>
      <c r="J8" s="601"/>
      <c r="K8" s="491"/>
      <c r="L8" s="492"/>
      <c r="M8" s="491"/>
      <c r="N8" s="492"/>
      <c r="O8" s="491"/>
      <c r="P8" s="492"/>
      <c r="Q8" s="491"/>
      <c r="R8" s="492"/>
      <c r="S8" s="491"/>
      <c r="T8" s="492"/>
      <c r="U8" s="594"/>
      <c r="V8" s="602"/>
      <c r="W8" s="594"/>
      <c r="X8" s="602"/>
      <c r="Y8" s="594"/>
      <c r="Z8" s="602"/>
      <c r="AA8" s="594"/>
      <c r="AB8" s="602"/>
      <c r="AC8" s="594"/>
      <c r="AD8" s="602"/>
    </row>
    <row r="9" spans="1:33" s="2" customFormat="1" x14ac:dyDescent="0.2">
      <c r="A9" s="507"/>
      <c r="B9" s="508"/>
      <c r="C9" s="508"/>
      <c r="D9" s="508"/>
      <c r="E9" s="508"/>
      <c r="F9" s="509"/>
      <c r="G9" s="498"/>
      <c r="H9" s="495"/>
      <c r="I9" s="37" t="s">
        <v>5</v>
      </c>
      <c r="J9" s="37" t="s">
        <v>6</v>
      </c>
      <c r="K9" s="37" t="s">
        <v>5</v>
      </c>
      <c r="L9" s="37" t="s">
        <v>6</v>
      </c>
      <c r="M9" s="37" t="s">
        <v>5</v>
      </c>
      <c r="N9" s="37" t="s">
        <v>6</v>
      </c>
      <c r="O9" s="37" t="s">
        <v>5</v>
      </c>
      <c r="P9" s="37" t="s">
        <v>6</v>
      </c>
      <c r="Q9" s="37" t="s">
        <v>5</v>
      </c>
      <c r="R9" s="37" t="s">
        <v>6</v>
      </c>
      <c r="S9" s="37" t="s">
        <v>5</v>
      </c>
      <c r="T9" s="37" t="s">
        <v>6</v>
      </c>
      <c r="U9" s="37" t="s">
        <v>5</v>
      </c>
      <c r="V9" s="37" t="s">
        <v>6</v>
      </c>
      <c r="W9" s="37" t="s">
        <v>5</v>
      </c>
      <c r="X9" s="37" t="s">
        <v>6</v>
      </c>
      <c r="Y9" s="37" t="s">
        <v>5</v>
      </c>
      <c r="Z9" s="37" t="s">
        <v>6</v>
      </c>
      <c r="AA9" s="37" t="s">
        <v>5</v>
      </c>
      <c r="AB9" s="37" t="s">
        <v>6</v>
      </c>
      <c r="AC9" s="37" t="s">
        <v>5</v>
      </c>
      <c r="AD9" s="37" t="s">
        <v>6</v>
      </c>
    </row>
    <row r="10" spans="1:33" x14ac:dyDescent="0.2">
      <c r="A10" s="377" t="s">
        <v>185</v>
      </c>
      <c r="B10" s="378"/>
      <c r="C10" s="378"/>
      <c r="D10" s="378"/>
      <c r="E10" s="378"/>
      <c r="F10" s="379"/>
      <c r="G10" s="458" t="s">
        <v>520</v>
      </c>
      <c r="H10" s="18"/>
      <c r="I10" s="78">
        <f t="shared" ref="I10:AB10" si="0">SUM(I11,I33,I40)</f>
        <v>0</v>
      </c>
      <c r="J10" s="78">
        <f t="shared" si="0"/>
        <v>0</v>
      </c>
      <c r="K10" s="78">
        <f t="shared" si="0"/>
        <v>0</v>
      </c>
      <c r="L10" s="78">
        <f t="shared" si="0"/>
        <v>0</v>
      </c>
      <c r="M10" s="78">
        <f t="shared" si="0"/>
        <v>0</v>
      </c>
      <c r="N10" s="78">
        <f t="shared" si="0"/>
        <v>0</v>
      </c>
      <c r="O10" s="78">
        <f t="shared" si="0"/>
        <v>0</v>
      </c>
      <c r="P10" s="78">
        <f t="shared" si="0"/>
        <v>0</v>
      </c>
      <c r="Q10" s="78">
        <f t="shared" si="0"/>
        <v>0</v>
      </c>
      <c r="R10" s="78">
        <f t="shared" si="0"/>
        <v>0</v>
      </c>
      <c r="S10" s="78">
        <f t="shared" si="0"/>
        <v>0</v>
      </c>
      <c r="T10" s="78">
        <f t="shared" si="0"/>
        <v>0</v>
      </c>
      <c r="U10" s="78">
        <f t="shared" si="0"/>
        <v>0</v>
      </c>
      <c r="V10" s="78">
        <f t="shared" si="0"/>
        <v>0</v>
      </c>
      <c r="W10" s="78">
        <f t="shared" si="0"/>
        <v>0</v>
      </c>
      <c r="X10" s="78">
        <f t="shared" si="0"/>
        <v>0</v>
      </c>
      <c r="Y10" s="78">
        <f t="shared" si="0"/>
        <v>0</v>
      </c>
      <c r="Z10" s="78">
        <f t="shared" si="0"/>
        <v>0</v>
      </c>
      <c r="AA10" s="78">
        <f t="shared" si="0"/>
        <v>0</v>
      </c>
      <c r="AB10" s="78">
        <f t="shared" si="0"/>
        <v>0</v>
      </c>
      <c r="AC10" s="78">
        <f t="shared" ref="AC10:AD32" si="1">(I10+K10+M10+O10+Q10+S10+U10) - (W10+Y10)</f>
        <v>0</v>
      </c>
      <c r="AD10" s="78">
        <f t="shared" si="1"/>
        <v>0</v>
      </c>
      <c r="AE10" s="122"/>
      <c r="AF10" s="123"/>
      <c r="AG10" s="123"/>
    </row>
    <row r="11" spans="1:33" x14ac:dyDescent="0.2">
      <c r="A11" s="380" t="s">
        <v>186</v>
      </c>
      <c r="B11" s="381" t="s">
        <v>187</v>
      </c>
      <c r="C11" s="355"/>
      <c r="D11" s="355"/>
      <c r="E11" s="382"/>
      <c r="F11" s="383"/>
      <c r="G11" s="458" t="s">
        <v>521</v>
      </c>
      <c r="H11" s="18"/>
      <c r="I11" s="78">
        <f t="shared" ref="I11:AB11" si="2">SUM(I12,I24,I25,I28)</f>
        <v>0</v>
      </c>
      <c r="J11" s="78">
        <f t="shared" si="2"/>
        <v>0</v>
      </c>
      <c r="K11" s="78">
        <f t="shared" si="2"/>
        <v>0</v>
      </c>
      <c r="L11" s="78">
        <f t="shared" si="2"/>
        <v>0</v>
      </c>
      <c r="M11" s="78">
        <f t="shared" si="2"/>
        <v>0</v>
      </c>
      <c r="N11" s="78">
        <f t="shared" si="2"/>
        <v>0</v>
      </c>
      <c r="O11" s="78">
        <f t="shared" si="2"/>
        <v>0</v>
      </c>
      <c r="P11" s="78">
        <f t="shared" si="2"/>
        <v>0</v>
      </c>
      <c r="Q11" s="78">
        <f t="shared" si="2"/>
        <v>0</v>
      </c>
      <c r="R11" s="78">
        <f t="shared" si="2"/>
        <v>0</v>
      </c>
      <c r="S11" s="78">
        <f t="shared" si="2"/>
        <v>0</v>
      </c>
      <c r="T11" s="78">
        <f t="shared" si="2"/>
        <v>0</v>
      </c>
      <c r="U11" s="78">
        <f t="shared" si="2"/>
        <v>0</v>
      </c>
      <c r="V11" s="78">
        <f t="shared" si="2"/>
        <v>0</v>
      </c>
      <c r="W11" s="78">
        <f t="shared" si="2"/>
        <v>0</v>
      </c>
      <c r="X11" s="78">
        <f t="shared" si="2"/>
        <v>0</v>
      </c>
      <c r="Y11" s="78">
        <f t="shared" si="2"/>
        <v>0</v>
      </c>
      <c r="Z11" s="78">
        <f t="shared" si="2"/>
        <v>0</v>
      </c>
      <c r="AA11" s="78">
        <f t="shared" si="2"/>
        <v>0</v>
      </c>
      <c r="AB11" s="78">
        <f t="shared" si="2"/>
        <v>0</v>
      </c>
      <c r="AC11" s="78">
        <f t="shared" si="1"/>
        <v>0</v>
      </c>
      <c r="AD11" s="78">
        <f t="shared" si="1"/>
        <v>0</v>
      </c>
      <c r="AE11" s="122"/>
      <c r="AF11" s="123"/>
      <c r="AG11" s="123"/>
    </row>
    <row r="12" spans="1:33" x14ac:dyDescent="0.2">
      <c r="A12" s="384"/>
      <c r="B12" s="385" t="s">
        <v>188</v>
      </c>
      <c r="C12" s="385" t="s">
        <v>823</v>
      </c>
      <c r="D12" s="385"/>
      <c r="E12" s="385"/>
      <c r="F12" s="383"/>
      <c r="G12" s="458" t="s">
        <v>522</v>
      </c>
      <c r="H12" s="18"/>
      <c r="I12" s="78">
        <f t="shared" ref="I12:AB12" si="3">SUM(I13,I19,I20)</f>
        <v>0</v>
      </c>
      <c r="J12" s="78">
        <f t="shared" si="3"/>
        <v>0</v>
      </c>
      <c r="K12" s="78">
        <f t="shared" si="3"/>
        <v>0</v>
      </c>
      <c r="L12" s="78">
        <f t="shared" si="3"/>
        <v>0</v>
      </c>
      <c r="M12" s="78">
        <f t="shared" si="3"/>
        <v>0</v>
      </c>
      <c r="N12" s="78">
        <f t="shared" si="3"/>
        <v>0</v>
      </c>
      <c r="O12" s="78">
        <f t="shared" si="3"/>
        <v>0</v>
      </c>
      <c r="P12" s="78">
        <f t="shared" si="3"/>
        <v>0</v>
      </c>
      <c r="Q12" s="78">
        <f t="shared" si="3"/>
        <v>0</v>
      </c>
      <c r="R12" s="78">
        <f t="shared" si="3"/>
        <v>0</v>
      </c>
      <c r="S12" s="78">
        <f t="shared" si="3"/>
        <v>0</v>
      </c>
      <c r="T12" s="78">
        <f t="shared" si="3"/>
        <v>0</v>
      </c>
      <c r="U12" s="78">
        <f t="shared" si="3"/>
        <v>0</v>
      </c>
      <c r="V12" s="78">
        <f t="shared" si="3"/>
        <v>0</v>
      </c>
      <c r="W12" s="78">
        <f t="shared" si="3"/>
        <v>0</v>
      </c>
      <c r="X12" s="78">
        <f t="shared" si="3"/>
        <v>0</v>
      </c>
      <c r="Y12" s="78">
        <f t="shared" si="3"/>
        <v>0</v>
      </c>
      <c r="Z12" s="78">
        <f t="shared" si="3"/>
        <v>0</v>
      </c>
      <c r="AA12" s="78">
        <f t="shared" si="3"/>
        <v>0</v>
      </c>
      <c r="AB12" s="78">
        <f t="shared" si="3"/>
        <v>0</v>
      </c>
      <c r="AC12" s="78">
        <f t="shared" si="1"/>
        <v>0</v>
      </c>
      <c r="AD12" s="78">
        <f t="shared" si="1"/>
        <v>0</v>
      </c>
      <c r="AE12" s="122"/>
      <c r="AF12" s="123"/>
      <c r="AG12" s="123"/>
    </row>
    <row r="13" spans="1:33" x14ac:dyDescent="0.2">
      <c r="A13" s="386"/>
      <c r="B13" s="355"/>
      <c r="C13" s="387" t="s">
        <v>19</v>
      </c>
      <c r="D13" s="355" t="s">
        <v>189</v>
      </c>
      <c r="E13" s="382"/>
      <c r="F13" s="383"/>
      <c r="G13" s="458" t="s">
        <v>523</v>
      </c>
      <c r="H13" s="18"/>
      <c r="I13" s="78">
        <f>I14+I15+I16</f>
        <v>0</v>
      </c>
      <c r="J13" s="78">
        <f t="shared" ref="J13:AB13" si="4">J14+J15+J16</f>
        <v>0</v>
      </c>
      <c r="K13" s="78">
        <f t="shared" si="4"/>
        <v>0</v>
      </c>
      <c r="L13" s="78">
        <f t="shared" si="4"/>
        <v>0</v>
      </c>
      <c r="M13" s="78">
        <f t="shared" si="4"/>
        <v>0</v>
      </c>
      <c r="N13" s="78">
        <f t="shared" si="4"/>
        <v>0</v>
      </c>
      <c r="O13" s="78">
        <f t="shared" si="4"/>
        <v>0</v>
      </c>
      <c r="P13" s="78">
        <f t="shared" si="4"/>
        <v>0</v>
      </c>
      <c r="Q13" s="78">
        <f t="shared" si="4"/>
        <v>0</v>
      </c>
      <c r="R13" s="78">
        <f t="shared" si="4"/>
        <v>0</v>
      </c>
      <c r="S13" s="78">
        <f t="shared" si="4"/>
        <v>0</v>
      </c>
      <c r="T13" s="78">
        <f t="shared" si="4"/>
        <v>0</v>
      </c>
      <c r="U13" s="78">
        <f t="shared" si="4"/>
        <v>0</v>
      </c>
      <c r="V13" s="78">
        <f t="shared" si="4"/>
        <v>0</v>
      </c>
      <c r="W13" s="78">
        <f t="shared" si="4"/>
        <v>0</v>
      </c>
      <c r="X13" s="78">
        <f t="shared" si="4"/>
        <v>0</v>
      </c>
      <c r="Y13" s="78">
        <f t="shared" si="4"/>
        <v>0</v>
      </c>
      <c r="Z13" s="78">
        <f t="shared" si="4"/>
        <v>0</v>
      </c>
      <c r="AA13" s="78">
        <f t="shared" si="4"/>
        <v>0</v>
      </c>
      <c r="AB13" s="78">
        <f t="shared" si="4"/>
        <v>0</v>
      </c>
      <c r="AC13" s="78">
        <f t="shared" si="1"/>
        <v>0</v>
      </c>
      <c r="AD13" s="78">
        <f t="shared" si="1"/>
        <v>0</v>
      </c>
      <c r="AE13" s="122"/>
      <c r="AF13" s="123"/>
      <c r="AG13" s="123"/>
    </row>
    <row r="14" spans="1:33" x14ac:dyDescent="0.2">
      <c r="A14" s="386"/>
      <c r="B14" s="355"/>
      <c r="C14" s="387"/>
      <c r="D14" s="355" t="s">
        <v>11</v>
      </c>
      <c r="E14" s="355" t="s">
        <v>789</v>
      </c>
      <c r="F14" s="382"/>
      <c r="G14" s="458" t="s">
        <v>817</v>
      </c>
      <c r="H14" s="18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78">
        <f t="shared" si="1"/>
        <v>0</v>
      </c>
      <c r="AD14" s="78">
        <f t="shared" si="1"/>
        <v>0</v>
      </c>
      <c r="AE14" s="122"/>
      <c r="AF14" s="123"/>
      <c r="AG14" s="123"/>
    </row>
    <row r="15" spans="1:33" x14ac:dyDescent="0.2">
      <c r="A15" s="386"/>
      <c r="B15" s="355"/>
      <c r="C15" s="387"/>
      <c r="D15" s="355" t="s">
        <v>15</v>
      </c>
      <c r="E15" s="392" t="s">
        <v>790</v>
      </c>
      <c r="F15" s="388"/>
      <c r="G15" s="458" t="s">
        <v>818</v>
      </c>
      <c r="H15" s="18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78">
        <f t="shared" si="1"/>
        <v>0</v>
      </c>
      <c r="AD15" s="78">
        <f t="shared" si="1"/>
        <v>0</v>
      </c>
      <c r="AE15" s="122"/>
      <c r="AF15" s="123"/>
      <c r="AG15" s="123"/>
    </row>
    <row r="16" spans="1:33" x14ac:dyDescent="0.2">
      <c r="A16" s="386"/>
      <c r="B16" s="355"/>
      <c r="C16" s="387"/>
      <c r="D16" s="355" t="s">
        <v>25</v>
      </c>
      <c r="E16" s="355" t="s">
        <v>791</v>
      </c>
      <c r="F16" s="388"/>
      <c r="G16" s="458" t="s">
        <v>819</v>
      </c>
      <c r="H16" s="85" t="s">
        <v>751</v>
      </c>
      <c r="I16" s="78">
        <f t="shared" ref="I16:AB16" si="5">SUM(I17:I18)</f>
        <v>0</v>
      </c>
      <c r="J16" s="78">
        <f t="shared" si="5"/>
        <v>0</v>
      </c>
      <c r="K16" s="78">
        <f t="shared" si="5"/>
        <v>0</v>
      </c>
      <c r="L16" s="78">
        <f t="shared" si="5"/>
        <v>0</v>
      </c>
      <c r="M16" s="78">
        <f t="shared" si="5"/>
        <v>0</v>
      </c>
      <c r="N16" s="78">
        <f t="shared" si="5"/>
        <v>0</v>
      </c>
      <c r="O16" s="78">
        <f t="shared" si="5"/>
        <v>0</v>
      </c>
      <c r="P16" s="78">
        <f t="shared" si="5"/>
        <v>0</v>
      </c>
      <c r="Q16" s="78">
        <f t="shared" si="5"/>
        <v>0</v>
      </c>
      <c r="R16" s="78">
        <f t="shared" si="5"/>
        <v>0</v>
      </c>
      <c r="S16" s="78">
        <f t="shared" si="5"/>
        <v>0</v>
      </c>
      <c r="T16" s="78">
        <f t="shared" si="5"/>
        <v>0</v>
      </c>
      <c r="U16" s="78">
        <f t="shared" si="5"/>
        <v>0</v>
      </c>
      <c r="V16" s="78">
        <f t="shared" si="5"/>
        <v>0</v>
      </c>
      <c r="W16" s="78">
        <f t="shared" si="5"/>
        <v>0</v>
      </c>
      <c r="X16" s="78">
        <f t="shared" si="5"/>
        <v>0</v>
      </c>
      <c r="Y16" s="78">
        <f t="shared" si="5"/>
        <v>0</v>
      </c>
      <c r="Z16" s="78">
        <f t="shared" si="5"/>
        <v>0</v>
      </c>
      <c r="AA16" s="78">
        <f t="shared" si="5"/>
        <v>0</v>
      </c>
      <c r="AB16" s="78">
        <f t="shared" si="5"/>
        <v>0</v>
      </c>
      <c r="AC16" s="78">
        <f t="shared" si="1"/>
        <v>0</v>
      </c>
      <c r="AD16" s="78">
        <f t="shared" si="1"/>
        <v>0</v>
      </c>
      <c r="AE16" s="122"/>
      <c r="AF16" s="123"/>
      <c r="AG16" s="123"/>
    </row>
    <row r="17" spans="1:33" x14ac:dyDescent="0.2">
      <c r="A17" s="129"/>
      <c r="B17" s="124"/>
      <c r="C17" s="149"/>
      <c r="D17" s="124"/>
      <c r="E17" s="310"/>
      <c r="F17" s="128"/>
      <c r="G17" s="458"/>
      <c r="H17" s="91">
        <v>1</v>
      </c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78">
        <f>(I17+K17+M17+O17+Q17+S17+U17) - (W17+Y17)</f>
        <v>0</v>
      </c>
      <c r="AD17" s="78">
        <f>(J17+L17+N17+P17+R17+T17+V17) - (X17+Z17)</f>
        <v>0</v>
      </c>
      <c r="AE17" s="122"/>
      <c r="AF17" s="123"/>
      <c r="AG17" s="123"/>
    </row>
    <row r="18" spans="1:33" x14ac:dyDescent="0.2">
      <c r="A18" s="386"/>
      <c r="B18" s="355"/>
      <c r="C18" s="387"/>
      <c r="D18" s="355"/>
      <c r="E18" s="355"/>
      <c r="F18" s="383"/>
      <c r="G18" s="458"/>
      <c r="H18" s="239" t="str">
        <f>CHAR(132)</f>
        <v>„</v>
      </c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78"/>
      <c r="AD18" s="78"/>
      <c r="AE18" s="122"/>
      <c r="AF18" s="123"/>
      <c r="AG18" s="123"/>
    </row>
    <row r="19" spans="1:33" x14ac:dyDescent="0.2">
      <c r="A19" s="384"/>
      <c r="B19" s="385"/>
      <c r="C19" s="390" t="s">
        <v>21</v>
      </c>
      <c r="D19" s="385" t="s">
        <v>326</v>
      </c>
      <c r="E19" s="385"/>
      <c r="F19" s="383"/>
      <c r="G19" s="458" t="s">
        <v>524</v>
      </c>
      <c r="H19" s="18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78">
        <f t="shared" si="1"/>
        <v>0</v>
      </c>
      <c r="AD19" s="78">
        <f t="shared" si="1"/>
        <v>0</v>
      </c>
      <c r="AE19" s="122"/>
      <c r="AF19" s="123"/>
      <c r="AG19" s="123"/>
    </row>
    <row r="20" spans="1:33" x14ac:dyDescent="0.2">
      <c r="A20" s="386"/>
      <c r="B20" s="355"/>
      <c r="C20" s="387" t="s">
        <v>60</v>
      </c>
      <c r="D20" s="355" t="s">
        <v>191</v>
      </c>
      <c r="E20" s="382"/>
      <c r="F20" s="383"/>
      <c r="G20" s="458" t="s">
        <v>525</v>
      </c>
      <c r="H20" s="18"/>
      <c r="I20" s="78">
        <f t="shared" ref="I20:AB20" si="6">SUM(I21,I22,I23)</f>
        <v>0</v>
      </c>
      <c r="J20" s="78">
        <f t="shared" si="6"/>
        <v>0</v>
      </c>
      <c r="K20" s="78">
        <f t="shared" si="6"/>
        <v>0</v>
      </c>
      <c r="L20" s="78">
        <f t="shared" si="6"/>
        <v>0</v>
      </c>
      <c r="M20" s="78">
        <f t="shared" si="6"/>
        <v>0</v>
      </c>
      <c r="N20" s="78">
        <f t="shared" si="6"/>
        <v>0</v>
      </c>
      <c r="O20" s="78">
        <f t="shared" si="6"/>
        <v>0</v>
      </c>
      <c r="P20" s="78">
        <f t="shared" si="6"/>
        <v>0</v>
      </c>
      <c r="Q20" s="78">
        <f t="shared" si="6"/>
        <v>0</v>
      </c>
      <c r="R20" s="78">
        <f t="shared" si="6"/>
        <v>0</v>
      </c>
      <c r="S20" s="78">
        <f t="shared" si="6"/>
        <v>0</v>
      </c>
      <c r="T20" s="78">
        <f t="shared" si="6"/>
        <v>0</v>
      </c>
      <c r="U20" s="78">
        <f t="shared" si="6"/>
        <v>0</v>
      </c>
      <c r="V20" s="78">
        <f t="shared" si="6"/>
        <v>0</v>
      </c>
      <c r="W20" s="78">
        <f t="shared" si="6"/>
        <v>0</v>
      </c>
      <c r="X20" s="78">
        <f t="shared" si="6"/>
        <v>0</v>
      </c>
      <c r="Y20" s="78">
        <f t="shared" si="6"/>
        <v>0</v>
      </c>
      <c r="Z20" s="78">
        <f t="shared" si="6"/>
        <v>0</v>
      </c>
      <c r="AA20" s="78">
        <f t="shared" si="6"/>
        <v>0</v>
      </c>
      <c r="AB20" s="78">
        <f t="shared" si="6"/>
        <v>0</v>
      </c>
      <c r="AC20" s="78">
        <f t="shared" si="1"/>
        <v>0</v>
      </c>
      <c r="AD20" s="78">
        <f t="shared" si="1"/>
        <v>0</v>
      </c>
      <c r="AE20" s="122"/>
      <c r="AF20" s="123"/>
      <c r="AG20" s="123"/>
    </row>
    <row r="21" spans="1:33" x14ac:dyDescent="0.2">
      <c r="A21" s="384"/>
      <c r="B21" s="385"/>
      <c r="C21" s="390"/>
      <c r="D21" s="385" t="s">
        <v>561</v>
      </c>
      <c r="E21" s="385" t="s">
        <v>192</v>
      </c>
      <c r="F21" s="383"/>
      <c r="G21" s="458" t="s">
        <v>526</v>
      </c>
      <c r="H21" s="18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78">
        <f t="shared" si="1"/>
        <v>0</v>
      </c>
      <c r="AD21" s="78">
        <f t="shared" si="1"/>
        <v>0</v>
      </c>
      <c r="AE21" s="122"/>
      <c r="AF21" s="123"/>
      <c r="AG21" s="123"/>
    </row>
    <row r="22" spans="1:33" x14ac:dyDescent="0.2">
      <c r="A22" s="386"/>
      <c r="B22" s="355"/>
      <c r="C22" s="355"/>
      <c r="D22" s="355" t="s">
        <v>562</v>
      </c>
      <c r="E22" s="382" t="s">
        <v>527</v>
      </c>
      <c r="F22" s="383"/>
      <c r="G22" s="458" t="s">
        <v>528</v>
      </c>
      <c r="H22" s="18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78">
        <f t="shared" si="1"/>
        <v>0</v>
      </c>
      <c r="AD22" s="78">
        <f t="shared" si="1"/>
        <v>0</v>
      </c>
      <c r="AE22" s="122"/>
      <c r="AF22" s="123"/>
      <c r="AG22" s="123"/>
    </row>
    <row r="23" spans="1:33" x14ac:dyDescent="0.2">
      <c r="A23" s="384"/>
      <c r="B23" s="385"/>
      <c r="C23" s="385"/>
      <c r="D23" s="385" t="s">
        <v>563</v>
      </c>
      <c r="E23" s="385" t="s">
        <v>194</v>
      </c>
      <c r="F23" s="383"/>
      <c r="G23" s="458" t="s">
        <v>529</v>
      </c>
      <c r="H23" s="18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78">
        <f t="shared" si="1"/>
        <v>0</v>
      </c>
      <c r="AD23" s="78">
        <f t="shared" si="1"/>
        <v>0</v>
      </c>
      <c r="AE23" s="122"/>
      <c r="AF23" s="123"/>
      <c r="AG23" s="123"/>
    </row>
    <row r="24" spans="1:33" x14ac:dyDescent="0.2">
      <c r="A24" s="386"/>
      <c r="B24" s="355" t="s">
        <v>195</v>
      </c>
      <c r="C24" s="355" t="s">
        <v>196</v>
      </c>
      <c r="D24" s="355"/>
      <c r="E24" s="382"/>
      <c r="F24" s="383"/>
      <c r="G24" s="458" t="s">
        <v>530</v>
      </c>
      <c r="H24" s="18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78">
        <f t="shared" si="1"/>
        <v>0</v>
      </c>
      <c r="AD24" s="78">
        <f t="shared" si="1"/>
        <v>0</v>
      </c>
      <c r="AE24" s="122"/>
      <c r="AF24" s="123"/>
      <c r="AG24" s="123"/>
    </row>
    <row r="25" spans="1:33" x14ac:dyDescent="0.2">
      <c r="A25" s="384"/>
      <c r="B25" s="385" t="s">
        <v>197</v>
      </c>
      <c r="C25" s="385" t="s">
        <v>198</v>
      </c>
      <c r="D25" s="385"/>
      <c r="E25" s="385"/>
      <c r="F25" s="383"/>
      <c r="G25" s="458" t="s">
        <v>531</v>
      </c>
      <c r="H25" s="18"/>
      <c r="I25" s="78">
        <f t="shared" ref="I25:AB25" si="7">SUM(I26,I27)</f>
        <v>0</v>
      </c>
      <c r="J25" s="78">
        <f t="shared" si="7"/>
        <v>0</v>
      </c>
      <c r="K25" s="78">
        <f t="shared" si="7"/>
        <v>0</v>
      </c>
      <c r="L25" s="78">
        <f t="shared" si="7"/>
        <v>0</v>
      </c>
      <c r="M25" s="78">
        <f t="shared" si="7"/>
        <v>0</v>
      </c>
      <c r="N25" s="78">
        <f t="shared" si="7"/>
        <v>0</v>
      </c>
      <c r="O25" s="78">
        <f t="shared" si="7"/>
        <v>0</v>
      </c>
      <c r="P25" s="78">
        <f t="shared" si="7"/>
        <v>0</v>
      </c>
      <c r="Q25" s="78">
        <f t="shared" si="7"/>
        <v>0</v>
      </c>
      <c r="R25" s="78">
        <f t="shared" si="7"/>
        <v>0</v>
      </c>
      <c r="S25" s="78">
        <f t="shared" si="7"/>
        <v>0</v>
      </c>
      <c r="T25" s="78">
        <f t="shared" si="7"/>
        <v>0</v>
      </c>
      <c r="U25" s="78">
        <f t="shared" si="7"/>
        <v>0</v>
      </c>
      <c r="V25" s="78">
        <f t="shared" si="7"/>
        <v>0</v>
      </c>
      <c r="W25" s="78">
        <f t="shared" si="7"/>
        <v>0</v>
      </c>
      <c r="X25" s="78">
        <f t="shared" si="7"/>
        <v>0</v>
      </c>
      <c r="Y25" s="78">
        <f t="shared" si="7"/>
        <v>0</v>
      </c>
      <c r="Z25" s="78">
        <f t="shared" si="7"/>
        <v>0</v>
      </c>
      <c r="AA25" s="78">
        <f t="shared" si="7"/>
        <v>0</v>
      </c>
      <c r="AB25" s="78">
        <f t="shared" si="7"/>
        <v>0</v>
      </c>
      <c r="AC25" s="78">
        <f t="shared" si="1"/>
        <v>0</v>
      </c>
      <c r="AD25" s="78">
        <f t="shared" si="1"/>
        <v>0</v>
      </c>
      <c r="AE25" s="122"/>
      <c r="AF25" s="123"/>
      <c r="AG25" s="123"/>
    </row>
    <row r="26" spans="1:33" x14ac:dyDescent="0.2">
      <c r="A26" s="386"/>
      <c r="B26" s="355"/>
      <c r="C26" s="387" t="s">
        <v>19</v>
      </c>
      <c r="D26" s="355" t="s">
        <v>199</v>
      </c>
      <c r="E26" s="382"/>
      <c r="F26" s="383"/>
      <c r="G26" s="458" t="s">
        <v>532</v>
      </c>
      <c r="H26" s="18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78">
        <f t="shared" si="1"/>
        <v>0</v>
      </c>
      <c r="AD26" s="78">
        <f t="shared" si="1"/>
        <v>0</v>
      </c>
      <c r="AE26" s="122"/>
      <c r="AF26" s="123"/>
      <c r="AG26" s="123"/>
    </row>
    <row r="27" spans="1:33" x14ac:dyDescent="0.2">
      <c r="A27" s="384"/>
      <c r="B27" s="385"/>
      <c r="C27" s="390" t="s">
        <v>21</v>
      </c>
      <c r="D27" s="391" t="s">
        <v>200</v>
      </c>
      <c r="E27" s="385"/>
      <c r="F27" s="383"/>
      <c r="G27" s="458" t="s">
        <v>533</v>
      </c>
      <c r="H27" s="18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78">
        <f t="shared" si="1"/>
        <v>0</v>
      </c>
      <c r="AD27" s="78">
        <f t="shared" si="1"/>
        <v>0</v>
      </c>
      <c r="AE27" s="122"/>
      <c r="AF27" s="123"/>
      <c r="AG27" s="123"/>
    </row>
    <row r="28" spans="1:33" x14ac:dyDescent="0.2">
      <c r="A28" s="386"/>
      <c r="B28" s="355" t="s">
        <v>201</v>
      </c>
      <c r="C28" s="355" t="s">
        <v>202</v>
      </c>
      <c r="D28" s="355"/>
      <c r="E28" s="382"/>
      <c r="F28" s="383"/>
      <c r="G28" s="458" t="s">
        <v>534</v>
      </c>
      <c r="H28" s="18"/>
      <c r="I28" s="78">
        <f t="shared" ref="I28:AB28" si="8">SUM(I29,I32)</f>
        <v>0</v>
      </c>
      <c r="J28" s="78">
        <f t="shared" si="8"/>
        <v>0</v>
      </c>
      <c r="K28" s="78">
        <f t="shared" si="8"/>
        <v>0</v>
      </c>
      <c r="L28" s="78">
        <f t="shared" si="8"/>
        <v>0</v>
      </c>
      <c r="M28" s="78">
        <f t="shared" si="8"/>
        <v>0</v>
      </c>
      <c r="N28" s="78">
        <f t="shared" si="8"/>
        <v>0</v>
      </c>
      <c r="O28" s="78">
        <f t="shared" si="8"/>
        <v>0</v>
      </c>
      <c r="P28" s="78">
        <f t="shared" si="8"/>
        <v>0</v>
      </c>
      <c r="Q28" s="78">
        <f t="shared" si="8"/>
        <v>0</v>
      </c>
      <c r="R28" s="78">
        <f t="shared" si="8"/>
        <v>0</v>
      </c>
      <c r="S28" s="78">
        <f t="shared" si="8"/>
        <v>0</v>
      </c>
      <c r="T28" s="78">
        <f t="shared" si="8"/>
        <v>0</v>
      </c>
      <c r="U28" s="78">
        <f t="shared" si="8"/>
        <v>0</v>
      </c>
      <c r="V28" s="78">
        <f t="shared" si="8"/>
        <v>0</v>
      </c>
      <c r="W28" s="78">
        <f t="shared" si="8"/>
        <v>0</v>
      </c>
      <c r="X28" s="78">
        <f t="shared" si="8"/>
        <v>0</v>
      </c>
      <c r="Y28" s="78">
        <f t="shared" si="8"/>
        <v>0</v>
      </c>
      <c r="Z28" s="78">
        <f t="shared" si="8"/>
        <v>0</v>
      </c>
      <c r="AA28" s="78">
        <f t="shared" si="8"/>
        <v>0</v>
      </c>
      <c r="AB28" s="78">
        <f t="shared" si="8"/>
        <v>0</v>
      </c>
      <c r="AC28" s="78">
        <f t="shared" si="1"/>
        <v>0</v>
      </c>
      <c r="AD28" s="78">
        <f t="shared" si="1"/>
        <v>0</v>
      </c>
      <c r="AE28" s="122"/>
      <c r="AF28" s="123"/>
      <c r="AG28" s="123"/>
    </row>
    <row r="29" spans="1:33" x14ac:dyDescent="0.2">
      <c r="A29" s="386"/>
      <c r="B29" s="355"/>
      <c r="C29" s="387" t="s">
        <v>19</v>
      </c>
      <c r="D29" s="385" t="s">
        <v>327</v>
      </c>
      <c r="E29" s="385"/>
      <c r="F29" s="383"/>
      <c r="G29" s="458" t="s">
        <v>535</v>
      </c>
      <c r="H29" s="18"/>
      <c r="I29" s="78">
        <f>I30+I31</f>
        <v>0</v>
      </c>
      <c r="J29" s="78">
        <f t="shared" ref="J29:AB29" si="9">J30+J31</f>
        <v>0</v>
      </c>
      <c r="K29" s="78">
        <f t="shared" si="9"/>
        <v>0</v>
      </c>
      <c r="L29" s="78">
        <f t="shared" si="9"/>
        <v>0</v>
      </c>
      <c r="M29" s="78">
        <f t="shared" si="9"/>
        <v>0</v>
      </c>
      <c r="N29" s="78">
        <f t="shared" si="9"/>
        <v>0</v>
      </c>
      <c r="O29" s="78">
        <f t="shared" si="9"/>
        <v>0</v>
      </c>
      <c r="P29" s="78">
        <f t="shared" si="9"/>
        <v>0</v>
      </c>
      <c r="Q29" s="78">
        <f t="shared" si="9"/>
        <v>0</v>
      </c>
      <c r="R29" s="78">
        <f t="shared" si="9"/>
        <v>0</v>
      </c>
      <c r="S29" s="78">
        <f t="shared" si="9"/>
        <v>0</v>
      </c>
      <c r="T29" s="78">
        <f t="shared" si="9"/>
        <v>0</v>
      </c>
      <c r="U29" s="78">
        <f t="shared" si="9"/>
        <v>0</v>
      </c>
      <c r="V29" s="78">
        <f t="shared" si="9"/>
        <v>0</v>
      </c>
      <c r="W29" s="78">
        <f t="shared" si="9"/>
        <v>0</v>
      </c>
      <c r="X29" s="78">
        <f t="shared" si="9"/>
        <v>0</v>
      </c>
      <c r="Y29" s="78">
        <f t="shared" si="9"/>
        <v>0</v>
      </c>
      <c r="Z29" s="78">
        <f t="shared" si="9"/>
        <v>0</v>
      </c>
      <c r="AA29" s="78">
        <f t="shared" si="9"/>
        <v>0</v>
      </c>
      <c r="AB29" s="78">
        <f t="shared" si="9"/>
        <v>0</v>
      </c>
      <c r="AC29" s="78">
        <f t="shared" si="1"/>
        <v>0</v>
      </c>
      <c r="AD29" s="78">
        <f t="shared" si="1"/>
        <v>0</v>
      </c>
      <c r="AE29" s="122"/>
      <c r="AF29" s="123"/>
      <c r="AG29" s="123"/>
    </row>
    <row r="30" spans="1:33" x14ac:dyDescent="0.2">
      <c r="A30" s="386"/>
      <c r="B30" s="355"/>
      <c r="C30" s="387"/>
      <c r="D30" s="355" t="s">
        <v>11</v>
      </c>
      <c r="E30" s="355" t="s">
        <v>792</v>
      </c>
      <c r="F30" s="382"/>
      <c r="G30" s="458" t="s">
        <v>820</v>
      </c>
      <c r="H30" s="18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78">
        <f t="shared" si="1"/>
        <v>0</v>
      </c>
      <c r="AD30" s="78">
        <f t="shared" si="1"/>
        <v>0</v>
      </c>
      <c r="AE30" s="122"/>
      <c r="AF30" s="123"/>
      <c r="AG30" s="123"/>
    </row>
    <row r="31" spans="1:33" x14ac:dyDescent="0.2">
      <c r="A31" s="384"/>
      <c r="B31" s="385"/>
      <c r="C31" s="390"/>
      <c r="D31" s="392" t="s">
        <v>15</v>
      </c>
      <c r="E31" s="355" t="s">
        <v>793</v>
      </c>
      <c r="F31" s="382"/>
      <c r="G31" s="458" t="s">
        <v>821</v>
      </c>
      <c r="H31" s="18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78">
        <f t="shared" si="1"/>
        <v>0</v>
      </c>
      <c r="AD31" s="78">
        <f t="shared" si="1"/>
        <v>0</v>
      </c>
      <c r="AE31" s="122"/>
      <c r="AF31" s="123"/>
      <c r="AG31" s="123"/>
    </row>
    <row r="32" spans="1:33" x14ac:dyDescent="0.2">
      <c r="A32" s="386"/>
      <c r="B32" s="355"/>
      <c r="C32" s="387" t="s">
        <v>21</v>
      </c>
      <c r="D32" s="355" t="s">
        <v>194</v>
      </c>
      <c r="E32" s="382"/>
      <c r="F32" s="383"/>
      <c r="G32" s="458" t="s">
        <v>536</v>
      </c>
      <c r="H32" s="18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78">
        <f t="shared" si="1"/>
        <v>0</v>
      </c>
      <c r="AD32" s="78">
        <f t="shared" si="1"/>
        <v>0</v>
      </c>
      <c r="AE32" s="122"/>
      <c r="AF32" s="123"/>
      <c r="AG32" s="123"/>
    </row>
    <row r="33" spans="1:255" x14ac:dyDescent="0.2">
      <c r="A33" s="393" t="s">
        <v>33</v>
      </c>
      <c r="B33" s="394" t="s">
        <v>204</v>
      </c>
      <c r="C33" s="385"/>
      <c r="D33" s="385"/>
      <c r="E33" s="385"/>
      <c r="F33" s="383"/>
      <c r="G33" s="458" t="s">
        <v>537</v>
      </c>
      <c r="H33" s="18"/>
      <c r="I33" s="77">
        <f t="shared" ref="I33:AB33" si="10">SUM(I34,I35,I36,I39)</f>
        <v>0</v>
      </c>
      <c r="J33" s="77">
        <f t="shared" si="10"/>
        <v>0</v>
      </c>
      <c r="K33" s="77">
        <f t="shared" si="10"/>
        <v>0</v>
      </c>
      <c r="L33" s="77">
        <f t="shared" si="10"/>
        <v>0</v>
      </c>
      <c r="M33" s="77">
        <f t="shared" si="10"/>
        <v>0</v>
      </c>
      <c r="N33" s="77">
        <f t="shared" si="10"/>
        <v>0</v>
      </c>
      <c r="O33" s="77">
        <f t="shared" si="10"/>
        <v>0</v>
      </c>
      <c r="P33" s="77">
        <f t="shared" si="10"/>
        <v>0</v>
      </c>
      <c r="Q33" s="77">
        <f t="shared" si="10"/>
        <v>0</v>
      </c>
      <c r="R33" s="77">
        <f t="shared" si="10"/>
        <v>0</v>
      </c>
      <c r="S33" s="77">
        <f t="shared" si="10"/>
        <v>0</v>
      </c>
      <c r="T33" s="77">
        <f t="shared" si="10"/>
        <v>0</v>
      </c>
      <c r="U33" s="77">
        <f t="shared" si="10"/>
        <v>0</v>
      </c>
      <c r="V33" s="77">
        <f t="shared" si="10"/>
        <v>0</v>
      </c>
      <c r="W33" s="77">
        <f t="shared" si="10"/>
        <v>0</v>
      </c>
      <c r="X33" s="77">
        <f t="shared" si="10"/>
        <v>0</v>
      </c>
      <c r="Y33" s="77">
        <f t="shared" si="10"/>
        <v>0</v>
      </c>
      <c r="Z33" s="77">
        <f t="shared" si="10"/>
        <v>0</v>
      </c>
      <c r="AA33" s="77">
        <f t="shared" si="10"/>
        <v>0</v>
      </c>
      <c r="AB33" s="77">
        <f t="shared" si="10"/>
        <v>0</v>
      </c>
      <c r="AC33" s="78">
        <f t="shared" ref="AC33:AD55" si="11">(I33+K33+M33+O33+Q33+S33+U33) - (W33+Y33)</f>
        <v>0</v>
      </c>
      <c r="AD33" s="78">
        <f t="shared" si="11"/>
        <v>0</v>
      </c>
      <c r="AE33" s="122"/>
      <c r="AF33" s="123"/>
      <c r="AG33" s="123"/>
    </row>
    <row r="34" spans="1:255" x14ac:dyDescent="0.2">
      <c r="A34" s="386"/>
      <c r="B34" s="355" t="s">
        <v>188</v>
      </c>
      <c r="C34" s="355" t="s">
        <v>205</v>
      </c>
      <c r="D34" s="355"/>
      <c r="E34" s="382"/>
      <c r="F34" s="383"/>
      <c r="G34" s="458" t="s">
        <v>538</v>
      </c>
      <c r="H34" s="18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78">
        <f t="shared" si="11"/>
        <v>0</v>
      </c>
      <c r="AD34" s="78">
        <f t="shared" si="11"/>
        <v>0</v>
      </c>
      <c r="AE34" s="122"/>
      <c r="AF34" s="123"/>
      <c r="AG34" s="123"/>
    </row>
    <row r="35" spans="1:255" x14ac:dyDescent="0.2">
      <c r="A35" s="384"/>
      <c r="B35" s="385" t="s">
        <v>195</v>
      </c>
      <c r="C35" s="385" t="s">
        <v>306</v>
      </c>
      <c r="D35" s="385"/>
      <c r="E35" s="385"/>
      <c r="F35" s="383"/>
      <c r="G35" s="458" t="s">
        <v>539</v>
      </c>
      <c r="H35" s="18"/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78">
        <f t="shared" si="11"/>
        <v>0</v>
      </c>
      <c r="AD35" s="78">
        <f t="shared" si="11"/>
        <v>0</v>
      </c>
      <c r="AE35" s="122"/>
      <c r="AF35" s="123"/>
      <c r="AG35" s="123"/>
    </row>
    <row r="36" spans="1:255" x14ac:dyDescent="0.2">
      <c r="A36" s="386"/>
      <c r="B36" s="355" t="s">
        <v>197</v>
      </c>
      <c r="C36" s="355" t="s">
        <v>198</v>
      </c>
      <c r="D36" s="355"/>
      <c r="E36" s="382"/>
      <c r="F36" s="383"/>
      <c r="G36" s="458" t="s">
        <v>540</v>
      </c>
      <c r="H36" s="18"/>
      <c r="I36" s="77">
        <f t="shared" ref="I36:AB36" si="12">SUM(I37,I38)</f>
        <v>0</v>
      </c>
      <c r="J36" s="77">
        <f t="shared" si="12"/>
        <v>0</v>
      </c>
      <c r="K36" s="77">
        <f t="shared" si="12"/>
        <v>0</v>
      </c>
      <c r="L36" s="77">
        <f t="shared" si="12"/>
        <v>0</v>
      </c>
      <c r="M36" s="77">
        <f t="shared" si="12"/>
        <v>0</v>
      </c>
      <c r="N36" s="77">
        <f t="shared" si="12"/>
        <v>0</v>
      </c>
      <c r="O36" s="77">
        <f t="shared" si="12"/>
        <v>0</v>
      </c>
      <c r="P36" s="77">
        <f t="shared" si="12"/>
        <v>0</v>
      </c>
      <c r="Q36" s="77">
        <f t="shared" si="12"/>
        <v>0</v>
      </c>
      <c r="R36" s="77">
        <f t="shared" si="12"/>
        <v>0</v>
      </c>
      <c r="S36" s="77">
        <f t="shared" si="12"/>
        <v>0</v>
      </c>
      <c r="T36" s="77">
        <f t="shared" si="12"/>
        <v>0</v>
      </c>
      <c r="U36" s="77">
        <f t="shared" si="12"/>
        <v>0</v>
      </c>
      <c r="V36" s="77">
        <f t="shared" si="12"/>
        <v>0</v>
      </c>
      <c r="W36" s="77">
        <f t="shared" si="12"/>
        <v>0</v>
      </c>
      <c r="X36" s="77">
        <f t="shared" si="12"/>
        <v>0</v>
      </c>
      <c r="Y36" s="77">
        <f t="shared" si="12"/>
        <v>0</v>
      </c>
      <c r="Z36" s="77">
        <f t="shared" si="12"/>
        <v>0</v>
      </c>
      <c r="AA36" s="77">
        <f t="shared" si="12"/>
        <v>0</v>
      </c>
      <c r="AB36" s="77">
        <f t="shared" si="12"/>
        <v>0</v>
      </c>
      <c r="AC36" s="78">
        <f t="shared" si="11"/>
        <v>0</v>
      </c>
      <c r="AD36" s="78">
        <f t="shared" si="11"/>
        <v>0</v>
      </c>
      <c r="AE36" s="122"/>
      <c r="AF36" s="123"/>
      <c r="AG36" s="123"/>
    </row>
    <row r="37" spans="1:255" x14ac:dyDescent="0.2">
      <c r="A37" s="384"/>
      <c r="B37" s="385"/>
      <c r="C37" s="390" t="s">
        <v>19</v>
      </c>
      <c r="D37" s="385" t="s">
        <v>207</v>
      </c>
      <c r="E37" s="385"/>
      <c r="F37" s="383"/>
      <c r="G37" s="458" t="s">
        <v>541</v>
      </c>
      <c r="H37" s="18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2"/>
      <c r="AA37" s="62"/>
      <c r="AB37" s="62"/>
      <c r="AC37" s="78">
        <f t="shared" si="11"/>
        <v>0</v>
      </c>
      <c r="AD37" s="78">
        <f t="shared" si="11"/>
        <v>0</v>
      </c>
      <c r="AE37" s="122"/>
      <c r="AF37" s="123"/>
      <c r="AG37" s="123"/>
    </row>
    <row r="38" spans="1:255" x14ac:dyDescent="0.2">
      <c r="A38" s="386"/>
      <c r="B38" s="355"/>
      <c r="C38" s="387" t="s">
        <v>21</v>
      </c>
      <c r="D38" s="395" t="s">
        <v>200</v>
      </c>
      <c r="E38" s="382"/>
      <c r="F38" s="383"/>
      <c r="G38" s="458" t="s">
        <v>542</v>
      </c>
      <c r="H38" s="18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78">
        <f t="shared" si="11"/>
        <v>0</v>
      </c>
      <c r="AD38" s="78">
        <f t="shared" si="11"/>
        <v>0</v>
      </c>
      <c r="AE38" s="122"/>
      <c r="AF38" s="123"/>
      <c r="AG38" s="123"/>
    </row>
    <row r="39" spans="1:255" s="16" customFormat="1" x14ac:dyDescent="0.2">
      <c r="A39" s="384"/>
      <c r="B39" s="385" t="s">
        <v>201</v>
      </c>
      <c r="C39" s="385" t="s">
        <v>208</v>
      </c>
      <c r="D39" s="385"/>
      <c r="E39" s="385"/>
      <c r="F39" s="383"/>
      <c r="G39" s="458" t="s">
        <v>543</v>
      </c>
      <c r="H39" s="18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78">
        <f t="shared" si="11"/>
        <v>0</v>
      </c>
      <c r="AD39" s="78">
        <f t="shared" si="11"/>
        <v>0</v>
      </c>
      <c r="AE39" s="34"/>
      <c r="AF39" s="132"/>
      <c r="AG39" s="132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</row>
    <row r="40" spans="1:255" s="21" customFormat="1" x14ac:dyDescent="0.2">
      <c r="A40" s="397" t="s">
        <v>48</v>
      </c>
      <c r="B40" s="381" t="s">
        <v>209</v>
      </c>
      <c r="C40" s="395"/>
      <c r="D40" s="355"/>
      <c r="E40" s="382"/>
      <c r="F40" s="383"/>
      <c r="G40" s="458" t="s">
        <v>544</v>
      </c>
      <c r="H40" s="18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62"/>
      <c r="Y40" s="62"/>
      <c r="Z40" s="62"/>
      <c r="AA40" s="62"/>
      <c r="AB40" s="62"/>
      <c r="AC40" s="78">
        <f t="shared" si="11"/>
        <v>0</v>
      </c>
      <c r="AD40" s="78">
        <f t="shared" si="11"/>
        <v>0</v>
      </c>
      <c r="AE40" s="33"/>
      <c r="AF40" s="132"/>
      <c r="AG40" s="132"/>
    </row>
    <row r="41" spans="1:255" s="21" customFormat="1" x14ac:dyDescent="0.2">
      <c r="A41" s="398" t="s">
        <v>211</v>
      </c>
      <c r="B41" s="385"/>
      <c r="C41" s="391"/>
      <c r="D41" s="385"/>
      <c r="E41" s="401"/>
      <c r="F41" s="399"/>
      <c r="G41" s="458" t="s">
        <v>545</v>
      </c>
      <c r="H41" s="18"/>
      <c r="I41" s="77">
        <f t="shared" ref="I41:AB41" si="13">SUM(I42,I52)</f>
        <v>0</v>
      </c>
      <c r="J41" s="77">
        <f t="shared" si="13"/>
        <v>0</v>
      </c>
      <c r="K41" s="295"/>
      <c r="L41" s="295"/>
      <c r="M41" s="295"/>
      <c r="N41" s="295"/>
      <c r="O41" s="295"/>
      <c r="P41" s="295"/>
      <c r="Q41" s="295"/>
      <c r="R41" s="295"/>
      <c r="S41" s="295"/>
      <c r="T41" s="295"/>
      <c r="U41" s="77">
        <f t="shared" si="13"/>
        <v>0</v>
      </c>
      <c r="V41" s="77">
        <f t="shared" si="13"/>
        <v>0</v>
      </c>
      <c r="W41" s="77">
        <f t="shared" si="13"/>
        <v>0</v>
      </c>
      <c r="X41" s="77">
        <f t="shared" si="13"/>
        <v>0</v>
      </c>
      <c r="Y41" s="77">
        <f t="shared" si="13"/>
        <v>0</v>
      </c>
      <c r="Z41" s="77">
        <f t="shared" si="13"/>
        <v>0</v>
      </c>
      <c r="AA41" s="77">
        <f t="shared" si="13"/>
        <v>0</v>
      </c>
      <c r="AB41" s="77">
        <f t="shared" si="13"/>
        <v>0</v>
      </c>
      <c r="AC41" s="78">
        <f t="shared" si="11"/>
        <v>0</v>
      </c>
      <c r="AD41" s="78">
        <f t="shared" si="11"/>
        <v>0</v>
      </c>
      <c r="AE41" s="33"/>
      <c r="AF41" s="132"/>
      <c r="AG41" s="132"/>
    </row>
    <row r="42" spans="1:255" s="21" customFormat="1" x14ac:dyDescent="0.2">
      <c r="A42" s="380" t="s">
        <v>186</v>
      </c>
      <c r="B42" s="381" t="s">
        <v>187</v>
      </c>
      <c r="C42" s="395"/>
      <c r="D42" s="355"/>
      <c r="E42" s="403"/>
      <c r="F42" s="400"/>
      <c r="G42" s="458" t="s">
        <v>546</v>
      </c>
      <c r="H42" s="18"/>
      <c r="I42" s="77">
        <f t="shared" ref="I42:AB42" si="14">I43+I46+I49</f>
        <v>0</v>
      </c>
      <c r="J42" s="77">
        <f t="shared" si="14"/>
        <v>0</v>
      </c>
      <c r="K42" s="295"/>
      <c r="L42" s="295"/>
      <c r="M42" s="295"/>
      <c r="N42" s="295"/>
      <c r="O42" s="295"/>
      <c r="P42" s="295"/>
      <c r="Q42" s="295"/>
      <c r="R42" s="295"/>
      <c r="S42" s="295"/>
      <c r="T42" s="295"/>
      <c r="U42" s="77">
        <f t="shared" si="14"/>
        <v>0</v>
      </c>
      <c r="V42" s="77">
        <f t="shared" si="14"/>
        <v>0</v>
      </c>
      <c r="W42" s="77">
        <f t="shared" si="14"/>
        <v>0</v>
      </c>
      <c r="X42" s="77">
        <f t="shared" si="14"/>
        <v>0</v>
      </c>
      <c r="Y42" s="77">
        <f t="shared" si="14"/>
        <v>0</v>
      </c>
      <c r="Z42" s="77">
        <f t="shared" si="14"/>
        <v>0</v>
      </c>
      <c r="AA42" s="77">
        <f t="shared" si="14"/>
        <v>0</v>
      </c>
      <c r="AB42" s="77">
        <f t="shared" si="14"/>
        <v>0</v>
      </c>
      <c r="AC42" s="78">
        <f t="shared" si="11"/>
        <v>0</v>
      </c>
      <c r="AD42" s="78">
        <f t="shared" si="11"/>
        <v>0</v>
      </c>
      <c r="AE42" s="33"/>
      <c r="AF42" s="132"/>
      <c r="AG42" s="132"/>
    </row>
    <row r="43" spans="1:255" s="21" customFormat="1" x14ac:dyDescent="0.2">
      <c r="A43" s="393"/>
      <c r="B43" s="385" t="s">
        <v>188</v>
      </c>
      <c r="C43" s="599" t="s">
        <v>212</v>
      </c>
      <c r="D43" s="599"/>
      <c r="E43" s="401"/>
      <c r="F43" s="399"/>
      <c r="G43" s="458" t="s">
        <v>547</v>
      </c>
      <c r="H43" s="18"/>
      <c r="I43" s="77">
        <f t="shared" ref="I43:AB43" si="15">I44+I45</f>
        <v>0</v>
      </c>
      <c r="J43" s="77">
        <f t="shared" si="15"/>
        <v>0</v>
      </c>
      <c r="K43" s="295"/>
      <c r="L43" s="295"/>
      <c r="M43" s="295"/>
      <c r="N43" s="295"/>
      <c r="O43" s="295"/>
      <c r="P43" s="295"/>
      <c r="Q43" s="295"/>
      <c r="R43" s="295"/>
      <c r="S43" s="295"/>
      <c r="T43" s="295"/>
      <c r="U43" s="77">
        <f t="shared" si="15"/>
        <v>0</v>
      </c>
      <c r="V43" s="77">
        <f t="shared" si="15"/>
        <v>0</v>
      </c>
      <c r="W43" s="77">
        <f t="shared" si="15"/>
        <v>0</v>
      </c>
      <c r="X43" s="77">
        <f t="shared" si="15"/>
        <v>0</v>
      </c>
      <c r="Y43" s="77">
        <f t="shared" si="15"/>
        <v>0</v>
      </c>
      <c r="Z43" s="77">
        <f t="shared" si="15"/>
        <v>0</v>
      </c>
      <c r="AA43" s="77">
        <f t="shared" si="15"/>
        <v>0</v>
      </c>
      <c r="AB43" s="77">
        <f t="shared" si="15"/>
        <v>0</v>
      </c>
      <c r="AC43" s="78">
        <f t="shared" si="11"/>
        <v>0</v>
      </c>
      <c r="AD43" s="78">
        <f t="shared" si="11"/>
        <v>0</v>
      </c>
      <c r="AE43" s="33"/>
      <c r="AF43" s="132"/>
      <c r="AG43" s="132"/>
    </row>
    <row r="44" spans="1:255" s="21" customFormat="1" x14ac:dyDescent="0.2">
      <c r="A44" s="380"/>
      <c r="B44" s="355"/>
      <c r="C44" s="402" t="s">
        <v>19</v>
      </c>
      <c r="D44" s="578" t="s">
        <v>213</v>
      </c>
      <c r="E44" s="578"/>
      <c r="F44" s="579"/>
      <c r="G44" s="458" t="s">
        <v>548</v>
      </c>
      <c r="H44" s="18"/>
      <c r="I44" s="62"/>
      <c r="J44" s="62"/>
      <c r="K44" s="293"/>
      <c r="L44" s="293"/>
      <c r="M44" s="293"/>
      <c r="N44" s="293"/>
      <c r="O44" s="293"/>
      <c r="P44" s="293"/>
      <c r="Q44" s="293"/>
      <c r="R44" s="293"/>
      <c r="S44" s="293"/>
      <c r="T44" s="293"/>
      <c r="U44" s="62"/>
      <c r="V44" s="62"/>
      <c r="W44" s="62"/>
      <c r="X44" s="62"/>
      <c r="Y44" s="62"/>
      <c r="Z44" s="62"/>
      <c r="AA44" s="62"/>
      <c r="AB44" s="62"/>
      <c r="AC44" s="78">
        <f t="shared" si="11"/>
        <v>0</v>
      </c>
      <c r="AD44" s="78">
        <f t="shared" si="11"/>
        <v>0</v>
      </c>
      <c r="AE44" s="33"/>
      <c r="AF44" s="132"/>
      <c r="AG44" s="132"/>
    </row>
    <row r="45" spans="1:255" s="21" customFormat="1" x14ac:dyDescent="0.2">
      <c r="A45" s="393"/>
      <c r="B45" s="385"/>
      <c r="C45" s="404" t="s">
        <v>21</v>
      </c>
      <c r="D45" s="590" t="s">
        <v>194</v>
      </c>
      <c r="E45" s="590"/>
      <c r="F45" s="591"/>
      <c r="G45" s="458" t="s">
        <v>549</v>
      </c>
      <c r="H45" s="18"/>
      <c r="I45" s="62"/>
      <c r="J45" s="62"/>
      <c r="K45" s="293"/>
      <c r="L45" s="293"/>
      <c r="M45" s="293"/>
      <c r="N45" s="293"/>
      <c r="O45" s="293"/>
      <c r="P45" s="293"/>
      <c r="Q45" s="293"/>
      <c r="R45" s="293"/>
      <c r="S45" s="293"/>
      <c r="T45" s="293"/>
      <c r="U45" s="62"/>
      <c r="V45" s="62"/>
      <c r="W45" s="62"/>
      <c r="X45" s="62"/>
      <c r="Y45" s="62"/>
      <c r="Z45" s="62"/>
      <c r="AA45" s="62"/>
      <c r="AB45" s="62"/>
      <c r="AC45" s="78">
        <f t="shared" si="11"/>
        <v>0</v>
      </c>
      <c r="AD45" s="78">
        <f t="shared" si="11"/>
        <v>0</v>
      </c>
      <c r="AE45" s="33"/>
      <c r="AF45" s="132"/>
      <c r="AG45" s="132"/>
    </row>
    <row r="46" spans="1:255" s="21" customFormat="1" x14ac:dyDescent="0.2">
      <c r="A46" s="380"/>
      <c r="B46" s="355" t="s">
        <v>195</v>
      </c>
      <c r="C46" s="395" t="s">
        <v>198</v>
      </c>
      <c r="D46" s="355"/>
      <c r="E46" s="382"/>
      <c r="F46" s="383"/>
      <c r="G46" s="458" t="s">
        <v>550</v>
      </c>
      <c r="H46" s="18"/>
      <c r="I46" s="77">
        <f t="shared" ref="I46:AB46" si="16">I47+I48</f>
        <v>0</v>
      </c>
      <c r="J46" s="77">
        <f t="shared" si="16"/>
        <v>0</v>
      </c>
      <c r="K46" s="295"/>
      <c r="L46" s="295"/>
      <c r="M46" s="295"/>
      <c r="N46" s="295"/>
      <c r="O46" s="295"/>
      <c r="P46" s="295"/>
      <c r="Q46" s="295"/>
      <c r="R46" s="295"/>
      <c r="S46" s="295"/>
      <c r="T46" s="295"/>
      <c r="U46" s="77">
        <f t="shared" si="16"/>
        <v>0</v>
      </c>
      <c r="V46" s="77">
        <f t="shared" si="16"/>
        <v>0</v>
      </c>
      <c r="W46" s="77">
        <f t="shared" si="16"/>
        <v>0</v>
      </c>
      <c r="X46" s="77">
        <f t="shared" si="16"/>
        <v>0</v>
      </c>
      <c r="Y46" s="77">
        <f t="shared" si="16"/>
        <v>0</v>
      </c>
      <c r="Z46" s="77">
        <f t="shared" si="16"/>
        <v>0</v>
      </c>
      <c r="AA46" s="77">
        <f t="shared" si="16"/>
        <v>0</v>
      </c>
      <c r="AB46" s="77">
        <f t="shared" si="16"/>
        <v>0</v>
      </c>
      <c r="AC46" s="78">
        <f t="shared" si="11"/>
        <v>0</v>
      </c>
      <c r="AD46" s="78">
        <f t="shared" si="11"/>
        <v>0</v>
      </c>
      <c r="AE46" s="33"/>
      <c r="AF46" s="132"/>
      <c r="AG46" s="132"/>
    </row>
    <row r="47" spans="1:255" s="21" customFormat="1" x14ac:dyDescent="0.2">
      <c r="A47" s="393"/>
      <c r="B47" s="385"/>
      <c r="C47" s="390" t="s">
        <v>19</v>
      </c>
      <c r="D47" s="385" t="s">
        <v>199</v>
      </c>
      <c r="E47" s="385"/>
      <c r="F47" s="383"/>
      <c r="G47" s="458" t="s">
        <v>551</v>
      </c>
      <c r="H47" s="18"/>
      <c r="I47" s="62"/>
      <c r="J47" s="62"/>
      <c r="K47" s="293"/>
      <c r="L47" s="293"/>
      <c r="M47" s="293"/>
      <c r="N47" s="293"/>
      <c r="O47" s="293"/>
      <c r="P47" s="293"/>
      <c r="Q47" s="293"/>
      <c r="R47" s="293"/>
      <c r="S47" s="293"/>
      <c r="T47" s="293"/>
      <c r="U47" s="62"/>
      <c r="V47" s="62"/>
      <c r="W47" s="62"/>
      <c r="X47" s="62"/>
      <c r="Y47" s="62"/>
      <c r="Z47" s="62"/>
      <c r="AA47" s="62"/>
      <c r="AB47" s="62"/>
      <c r="AC47" s="78">
        <f t="shared" si="11"/>
        <v>0</v>
      </c>
      <c r="AD47" s="78">
        <f t="shared" si="11"/>
        <v>0</v>
      </c>
      <c r="AE47" s="33"/>
      <c r="AF47" s="132"/>
      <c r="AG47" s="132"/>
    </row>
    <row r="48" spans="1:255" s="21" customFormat="1" x14ac:dyDescent="0.2">
      <c r="A48" s="380"/>
      <c r="B48" s="355"/>
      <c r="C48" s="405" t="s">
        <v>21</v>
      </c>
      <c r="D48" s="355" t="s">
        <v>200</v>
      </c>
      <c r="E48" s="382"/>
      <c r="F48" s="383"/>
      <c r="G48" s="458" t="s">
        <v>552</v>
      </c>
      <c r="H48" s="18"/>
      <c r="I48" s="62"/>
      <c r="J48" s="62"/>
      <c r="K48" s="293"/>
      <c r="L48" s="293"/>
      <c r="M48" s="293"/>
      <c r="N48" s="293"/>
      <c r="O48" s="293"/>
      <c r="P48" s="293"/>
      <c r="Q48" s="293"/>
      <c r="R48" s="293"/>
      <c r="S48" s="293"/>
      <c r="T48" s="293"/>
      <c r="U48" s="62"/>
      <c r="V48" s="62"/>
      <c r="W48" s="62"/>
      <c r="X48" s="62"/>
      <c r="Y48" s="62"/>
      <c r="Z48" s="62"/>
      <c r="AA48" s="62"/>
      <c r="AB48" s="62"/>
      <c r="AC48" s="78">
        <f t="shared" si="11"/>
        <v>0</v>
      </c>
      <c r="AD48" s="78">
        <f t="shared" si="11"/>
        <v>0</v>
      </c>
      <c r="AE48" s="33"/>
      <c r="AF48" s="132"/>
      <c r="AG48" s="132"/>
    </row>
    <row r="49" spans="1:33" s="21" customFormat="1" x14ac:dyDescent="0.2">
      <c r="A49" s="393"/>
      <c r="B49" s="385" t="s">
        <v>197</v>
      </c>
      <c r="C49" s="391" t="s">
        <v>202</v>
      </c>
      <c r="D49" s="385"/>
      <c r="E49" s="385"/>
      <c r="F49" s="383"/>
      <c r="G49" s="458" t="s">
        <v>553</v>
      </c>
      <c r="H49" s="18"/>
      <c r="I49" s="77">
        <f t="shared" ref="I49:AB49" si="17">I50+I51</f>
        <v>0</v>
      </c>
      <c r="J49" s="77">
        <f t="shared" si="17"/>
        <v>0</v>
      </c>
      <c r="K49" s="295"/>
      <c r="L49" s="295"/>
      <c r="M49" s="295"/>
      <c r="N49" s="295"/>
      <c r="O49" s="295"/>
      <c r="P49" s="295"/>
      <c r="Q49" s="295"/>
      <c r="R49" s="295"/>
      <c r="S49" s="295"/>
      <c r="T49" s="295"/>
      <c r="U49" s="77">
        <f t="shared" si="17"/>
        <v>0</v>
      </c>
      <c r="V49" s="77">
        <f t="shared" si="17"/>
        <v>0</v>
      </c>
      <c r="W49" s="77">
        <f t="shared" si="17"/>
        <v>0</v>
      </c>
      <c r="X49" s="77">
        <f t="shared" si="17"/>
        <v>0</v>
      </c>
      <c r="Y49" s="77">
        <f t="shared" si="17"/>
        <v>0</v>
      </c>
      <c r="Z49" s="77">
        <f t="shared" si="17"/>
        <v>0</v>
      </c>
      <c r="AA49" s="77">
        <f t="shared" si="17"/>
        <v>0</v>
      </c>
      <c r="AB49" s="77">
        <f t="shared" si="17"/>
        <v>0</v>
      </c>
      <c r="AC49" s="78">
        <f t="shared" si="11"/>
        <v>0</v>
      </c>
      <c r="AD49" s="78">
        <f t="shared" si="11"/>
        <v>0</v>
      </c>
      <c r="AE49" s="33"/>
      <c r="AF49" s="132"/>
      <c r="AG49" s="132"/>
    </row>
    <row r="50" spans="1:33" s="21" customFormat="1" x14ac:dyDescent="0.2">
      <c r="A50" s="380"/>
      <c r="B50" s="355"/>
      <c r="C50" s="402" t="s">
        <v>19</v>
      </c>
      <c r="D50" s="578" t="s">
        <v>203</v>
      </c>
      <c r="E50" s="579"/>
      <c r="F50" s="399"/>
      <c r="G50" s="458" t="s">
        <v>554</v>
      </c>
      <c r="H50" s="18"/>
      <c r="I50" s="62"/>
      <c r="J50" s="62"/>
      <c r="K50" s="293"/>
      <c r="L50" s="293"/>
      <c r="M50" s="293"/>
      <c r="N50" s="293"/>
      <c r="O50" s="293"/>
      <c r="P50" s="293"/>
      <c r="Q50" s="293"/>
      <c r="R50" s="293"/>
      <c r="S50" s="293"/>
      <c r="T50" s="293"/>
      <c r="U50" s="62"/>
      <c r="V50" s="62"/>
      <c r="W50" s="62"/>
      <c r="X50" s="62"/>
      <c r="Y50" s="62"/>
      <c r="Z50" s="62"/>
      <c r="AA50" s="62"/>
      <c r="AB50" s="62"/>
      <c r="AC50" s="78">
        <f t="shared" si="11"/>
        <v>0</v>
      </c>
      <c r="AD50" s="78">
        <f t="shared" si="11"/>
        <v>0</v>
      </c>
      <c r="AE50" s="33"/>
      <c r="AF50" s="132"/>
      <c r="AG50" s="132"/>
    </row>
    <row r="51" spans="1:33" s="21" customFormat="1" x14ac:dyDescent="0.2">
      <c r="A51" s="393"/>
      <c r="B51" s="385"/>
      <c r="C51" s="404" t="s">
        <v>21</v>
      </c>
      <c r="D51" s="590" t="s">
        <v>194</v>
      </c>
      <c r="E51" s="590"/>
      <c r="F51" s="591"/>
      <c r="G51" s="458" t="s">
        <v>555</v>
      </c>
      <c r="H51" s="18"/>
      <c r="I51" s="62"/>
      <c r="J51" s="62"/>
      <c r="K51" s="293"/>
      <c r="L51" s="293"/>
      <c r="M51" s="293"/>
      <c r="N51" s="293"/>
      <c r="O51" s="293"/>
      <c r="P51" s="293"/>
      <c r="Q51" s="293"/>
      <c r="R51" s="293"/>
      <c r="S51" s="293"/>
      <c r="T51" s="293"/>
      <c r="U51" s="62"/>
      <c r="V51" s="62"/>
      <c r="W51" s="62"/>
      <c r="X51" s="62"/>
      <c r="Y51" s="62"/>
      <c r="Z51" s="62"/>
      <c r="AA51" s="62"/>
      <c r="AB51" s="62"/>
      <c r="AC51" s="78">
        <f t="shared" si="11"/>
        <v>0</v>
      </c>
      <c r="AD51" s="78">
        <f t="shared" si="11"/>
        <v>0</v>
      </c>
      <c r="AE51" s="33"/>
      <c r="AF51" s="132"/>
      <c r="AG51" s="132"/>
    </row>
    <row r="52" spans="1:33" s="21" customFormat="1" x14ac:dyDescent="0.2">
      <c r="A52" s="380" t="s">
        <v>214</v>
      </c>
      <c r="B52" s="381" t="s">
        <v>204</v>
      </c>
      <c r="C52" s="395"/>
      <c r="D52" s="355"/>
      <c r="E52" s="382"/>
      <c r="F52" s="383"/>
      <c r="G52" s="467" t="s">
        <v>556</v>
      </c>
      <c r="H52" s="75"/>
      <c r="I52" s="77">
        <f t="shared" ref="I52:AB52" si="18">I53+I54</f>
        <v>0</v>
      </c>
      <c r="J52" s="77">
        <f t="shared" si="18"/>
        <v>0</v>
      </c>
      <c r="K52" s="295"/>
      <c r="L52" s="295"/>
      <c r="M52" s="295"/>
      <c r="N52" s="295"/>
      <c r="O52" s="295"/>
      <c r="P52" s="295"/>
      <c r="Q52" s="295"/>
      <c r="R52" s="295"/>
      <c r="S52" s="295"/>
      <c r="T52" s="295"/>
      <c r="U52" s="77">
        <f t="shared" si="18"/>
        <v>0</v>
      </c>
      <c r="V52" s="77">
        <f t="shared" si="18"/>
        <v>0</v>
      </c>
      <c r="W52" s="77">
        <f t="shared" si="18"/>
        <v>0</v>
      </c>
      <c r="X52" s="77">
        <f t="shared" si="18"/>
        <v>0</v>
      </c>
      <c r="Y52" s="77">
        <f t="shared" si="18"/>
        <v>0</v>
      </c>
      <c r="Z52" s="77">
        <f t="shared" si="18"/>
        <v>0</v>
      </c>
      <c r="AA52" s="77">
        <f t="shared" si="18"/>
        <v>0</v>
      </c>
      <c r="AB52" s="77">
        <f t="shared" si="18"/>
        <v>0</v>
      </c>
      <c r="AC52" s="78">
        <f t="shared" si="11"/>
        <v>0</v>
      </c>
      <c r="AD52" s="78">
        <f t="shared" si="11"/>
        <v>0</v>
      </c>
      <c r="AE52" s="33"/>
      <c r="AF52" s="132"/>
      <c r="AG52" s="132"/>
    </row>
    <row r="53" spans="1:33" s="21" customFormat="1" x14ac:dyDescent="0.2">
      <c r="A53" s="393"/>
      <c r="B53" s="385" t="s">
        <v>188</v>
      </c>
      <c r="C53" s="595" t="s">
        <v>198</v>
      </c>
      <c r="D53" s="595"/>
      <c r="E53" s="385"/>
      <c r="F53" s="383"/>
      <c r="G53" s="467" t="s">
        <v>557</v>
      </c>
      <c r="H53" s="75"/>
      <c r="I53" s="62"/>
      <c r="J53" s="62"/>
      <c r="K53" s="293"/>
      <c r="L53" s="293"/>
      <c r="M53" s="293"/>
      <c r="N53" s="293"/>
      <c r="O53" s="293"/>
      <c r="P53" s="293"/>
      <c r="Q53" s="293"/>
      <c r="R53" s="293"/>
      <c r="S53" s="293"/>
      <c r="T53" s="293"/>
      <c r="U53" s="62"/>
      <c r="V53" s="62"/>
      <c r="W53" s="62"/>
      <c r="X53" s="62"/>
      <c r="Y53" s="62"/>
      <c r="Z53" s="62"/>
      <c r="AA53" s="62"/>
      <c r="AB53" s="62"/>
      <c r="AC53" s="78">
        <f t="shared" si="11"/>
        <v>0</v>
      </c>
      <c r="AD53" s="78">
        <f t="shared" si="11"/>
        <v>0</v>
      </c>
      <c r="AE53" s="33"/>
      <c r="AF53" s="132"/>
      <c r="AG53" s="132"/>
    </row>
    <row r="54" spans="1:33" s="21" customFormat="1" x14ac:dyDescent="0.2">
      <c r="A54" s="380"/>
      <c r="B54" s="355" t="s">
        <v>195</v>
      </c>
      <c r="C54" s="395" t="s">
        <v>208</v>
      </c>
      <c r="D54" s="395"/>
      <c r="E54" s="382"/>
      <c r="F54" s="383"/>
      <c r="G54" s="467" t="s">
        <v>558</v>
      </c>
      <c r="H54" s="75"/>
      <c r="I54" s="62"/>
      <c r="J54" s="62"/>
      <c r="K54" s="293"/>
      <c r="L54" s="293"/>
      <c r="M54" s="293"/>
      <c r="N54" s="293"/>
      <c r="O54" s="293"/>
      <c r="P54" s="293"/>
      <c r="Q54" s="293"/>
      <c r="R54" s="293"/>
      <c r="S54" s="293"/>
      <c r="T54" s="293"/>
      <c r="U54" s="62"/>
      <c r="V54" s="62"/>
      <c r="W54" s="62"/>
      <c r="X54" s="62"/>
      <c r="Y54" s="62"/>
      <c r="Z54" s="62"/>
      <c r="AA54" s="62"/>
      <c r="AB54" s="62"/>
      <c r="AC54" s="78">
        <f t="shared" si="11"/>
        <v>0</v>
      </c>
      <c r="AD54" s="78">
        <f t="shared" si="11"/>
        <v>0</v>
      </c>
      <c r="AE54" s="33"/>
      <c r="AF54" s="132"/>
      <c r="AG54" s="132"/>
    </row>
    <row r="55" spans="1:33" s="19" customFormat="1" x14ac:dyDescent="0.2">
      <c r="A55" s="407" t="s">
        <v>559</v>
      </c>
      <c r="B55" s="392"/>
      <c r="C55" s="392"/>
      <c r="D55" s="392"/>
      <c r="E55" s="392"/>
      <c r="F55" s="388"/>
      <c r="G55" s="458" t="s">
        <v>560</v>
      </c>
      <c r="H55" s="18"/>
      <c r="I55" s="77">
        <f t="shared" ref="I55:AB55" si="19">SUM(I10,I41)</f>
        <v>0</v>
      </c>
      <c r="J55" s="77">
        <f t="shared" si="19"/>
        <v>0</v>
      </c>
      <c r="K55" s="77">
        <f t="shared" si="19"/>
        <v>0</v>
      </c>
      <c r="L55" s="77">
        <f t="shared" si="19"/>
        <v>0</v>
      </c>
      <c r="M55" s="77">
        <f t="shared" si="19"/>
        <v>0</v>
      </c>
      <c r="N55" s="77">
        <f t="shared" si="19"/>
        <v>0</v>
      </c>
      <c r="O55" s="77">
        <f t="shared" si="19"/>
        <v>0</v>
      </c>
      <c r="P55" s="77">
        <f t="shared" si="19"/>
        <v>0</v>
      </c>
      <c r="Q55" s="77">
        <f t="shared" si="19"/>
        <v>0</v>
      </c>
      <c r="R55" s="77">
        <f t="shared" si="19"/>
        <v>0</v>
      </c>
      <c r="S55" s="77">
        <f t="shared" si="19"/>
        <v>0</v>
      </c>
      <c r="T55" s="77">
        <f t="shared" si="19"/>
        <v>0</v>
      </c>
      <c r="U55" s="77">
        <f t="shared" si="19"/>
        <v>0</v>
      </c>
      <c r="V55" s="77">
        <f t="shared" si="19"/>
        <v>0</v>
      </c>
      <c r="W55" s="77">
        <f t="shared" si="19"/>
        <v>0</v>
      </c>
      <c r="X55" s="77">
        <f t="shared" si="19"/>
        <v>0</v>
      </c>
      <c r="Y55" s="77">
        <f t="shared" si="19"/>
        <v>0</v>
      </c>
      <c r="Z55" s="77">
        <f t="shared" si="19"/>
        <v>0</v>
      </c>
      <c r="AA55" s="77">
        <f t="shared" si="19"/>
        <v>0</v>
      </c>
      <c r="AB55" s="77">
        <f t="shared" si="19"/>
        <v>0</v>
      </c>
      <c r="AC55" s="78">
        <f t="shared" si="11"/>
        <v>0</v>
      </c>
      <c r="AD55" s="78">
        <f t="shared" si="11"/>
        <v>0</v>
      </c>
      <c r="AE55" s="211"/>
      <c r="AF55" s="134"/>
      <c r="AG55" s="134"/>
    </row>
    <row r="56" spans="1:33" s="21" customFormat="1" x14ac:dyDescent="0.2">
      <c r="A56" s="166"/>
      <c r="B56" s="14"/>
      <c r="C56" s="131"/>
      <c r="D56" s="39"/>
      <c r="E56" s="39"/>
      <c r="F56" s="128"/>
      <c r="G56" s="52" t="s">
        <v>184</v>
      </c>
      <c r="H56" s="20"/>
      <c r="I56" s="32"/>
      <c r="J56" s="32"/>
      <c r="K56" s="30"/>
      <c r="L56" s="30"/>
      <c r="M56" s="30"/>
      <c r="N56" s="30"/>
      <c r="O56" s="30"/>
      <c r="P56" s="30"/>
      <c r="Q56" s="30"/>
      <c r="R56" s="30"/>
      <c r="S56" s="33"/>
      <c r="T56" s="33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3"/>
      <c r="AF56" s="132"/>
      <c r="AG56" s="132"/>
    </row>
    <row r="57" spans="1:33" s="21" customFormat="1" x14ac:dyDescent="0.2">
      <c r="A57" s="166"/>
      <c r="B57" s="39"/>
      <c r="C57" s="39"/>
      <c r="D57" s="39"/>
      <c r="E57" s="39"/>
      <c r="F57" s="128"/>
      <c r="G57" s="23"/>
      <c r="H57" s="20"/>
      <c r="I57" s="32"/>
      <c r="J57" s="32"/>
      <c r="K57" s="30"/>
      <c r="L57" s="30"/>
      <c r="M57" s="30"/>
      <c r="N57" s="30"/>
      <c r="O57" s="30"/>
      <c r="P57" s="30"/>
      <c r="Q57" s="30"/>
      <c r="R57" s="30"/>
      <c r="S57" s="33"/>
      <c r="T57" s="33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3"/>
      <c r="AF57" s="132"/>
      <c r="AG57" s="132"/>
    </row>
    <row r="58" spans="1:33" s="21" customFormat="1" x14ac:dyDescent="0.2">
      <c r="A58" s="166"/>
      <c r="B58" s="14"/>
      <c r="C58" s="39"/>
      <c r="D58" s="39"/>
      <c r="E58" s="39"/>
      <c r="F58" s="128"/>
      <c r="G58" s="23"/>
      <c r="H58" s="20"/>
      <c r="I58" s="32"/>
      <c r="J58" s="32"/>
      <c r="K58" s="30"/>
      <c r="L58" s="30"/>
      <c r="M58" s="30"/>
      <c r="N58" s="30"/>
      <c r="O58" s="30"/>
      <c r="P58" s="30"/>
      <c r="Q58" s="30"/>
      <c r="R58" s="30"/>
      <c r="S58" s="33"/>
      <c r="T58" s="33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3"/>
      <c r="AF58" s="132"/>
      <c r="AG58" s="132"/>
    </row>
    <row r="59" spans="1:33" s="21" customFormat="1" x14ac:dyDescent="0.2">
      <c r="A59" s="24"/>
      <c r="B59" s="39"/>
      <c r="C59" s="39"/>
      <c r="D59" s="39"/>
      <c r="E59" s="39"/>
      <c r="F59" s="128"/>
      <c r="G59" s="23"/>
      <c r="H59" s="20"/>
      <c r="I59" s="32"/>
      <c r="J59" s="32"/>
      <c r="K59" s="30"/>
      <c r="L59" s="30"/>
      <c r="M59" s="30"/>
      <c r="N59" s="30"/>
      <c r="O59" s="30"/>
      <c r="P59" s="30"/>
      <c r="Q59" s="30"/>
      <c r="R59" s="30"/>
      <c r="S59" s="33"/>
      <c r="T59" s="33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3"/>
      <c r="AF59" s="132"/>
      <c r="AG59" s="132"/>
    </row>
    <row r="60" spans="1:33" s="21" customFormat="1" x14ac:dyDescent="0.2">
      <c r="A60" s="166"/>
      <c r="B60" s="39"/>
      <c r="C60" s="39"/>
      <c r="D60" s="39"/>
      <c r="E60" s="39"/>
      <c r="F60" s="128"/>
      <c r="G60" s="23"/>
      <c r="H60" s="20"/>
      <c r="I60" s="32"/>
      <c r="J60" s="32"/>
      <c r="K60" s="30"/>
      <c r="L60" s="30"/>
      <c r="M60" s="30"/>
      <c r="N60" s="30"/>
      <c r="O60" s="30"/>
      <c r="P60" s="30"/>
      <c r="Q60" s="30"/>
      <c r="R60" s="30"/>
      <c r="S60" s="33"/>
      <c r="T60" s="33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3"/>
      <c r="AF60" s="132"/>
      <c r="AG60" s="132"/>
    </row>
    <row r="61" spans="1:33" s="21" customFormat="1" x14ac:dyDescent="0.2">
      <c r="A61" s="166"/>
      <c r="B61" s="39"/>
      <c r="C61" s="39"/>
      <c r="D61" s="39"/>
      <c r="E61" s="39"/>
      <c r="F61" s="128"/>
      <c r="G61" s="23"/>
      <c r="H61" s="20"/>
      <c r="I61" s="32"/>
      <c r="J61" s="32"/>
      <c r="K61" s="30"/>
      <c r="L61" s="30"/>
      <c r="M61" s="30"/>
      <c r="N61" s="30"/>
      <c r="O61" s="30"/>
      <c r="P61" s="30"/>
      <c r="Q61" s="30"/>
      <c r="R61" s="30"/>
      <c r="S61" s="33"/>
      <c r="T61" s="33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3"/>
      <c r="AF61" s="132"/>
      <c r="AG61" s="132"/>
    </row>
    <row r="62" spans="1:33" s="21" customFormat="1" x14ac:dyDescent="0.2">
      <c r="A62" s="166"/>
      <c r="B62" s="39"/>
      <c r="C62" s="39"/>
      <c r="D62" s="39"/>
      <c r="E62" s="39"/>
      <c r="F62" s="128"/>
      <c r="G62" s="23"/>
      <c r="H62" s="20"/>
      <c r="I62" s="32"/>
      <c r="J62" s="32"/>
      <c r="K62" s="30"/>
      <c r="L62" s="30"/>
      <c r="M62" s="30"/>
      <c r="N62" s="30"/>
      <c r="O62" s="30"/>
      <c r="P62" s="30"/>
      <c r="Q62" s="30"/>
      <c r="R62" s="30"/>
      <c r="S62" s="33"/>
      <c r="T62" s="33"/>
      <c r="U62" s="30"/>
      <c r="V62" s="30"/>
      <c r="W62" s="30"/>
      <c r="X62" s="30"/>
      <c r="Y62" s="30"/>
      <c r="Z62" s="30"/>
      <c r="AA62" s="30"/>
      <c r="AB62" s="30"/>
      <c r="AC62" s="30"/>
      <c r="AD62" s="30"/>
      <c r="AE62" s="33"/>
      <c r="AF62" s="132"/>
      <c r="AG62" s="132"/>
    </row>
    <row r="63" spans="1:33" s="21" customFormat="1" x14ac:dyDescent="0.2">
      <c r="A63" s="166"/>
      <c r="B63" s="39"/>
      <c r="C63" s="39"/>
      <c r="D63" s="39"/>
      <c r="E63" s="39"/>
      <c r="F63" s="128"/>
      <c r="G63" s="23"/>
      <c r="H63" s="20"/>
      <c r="I63" s="32"/>
      <c r="J63" s="32"/>
      <c r="K63" s="30"/>
      <c r="L63" s="30"/>
      <c r="M63" s="30"/>
      <c r="N63" s="30"/>
      <c r="O63" s="30"/>
      <c r="P63" s="30"/>
      <c r="Q63" s="30"/>
      <c r="R63" s="30"/>
      <c r="S63" s="33"/>
      <c r="T63" s="33"/>
      <c r="U63" s="30"/>
      <c r="V63" s="30"/>
      <c r="W63" s="30"/>
      <c r="X63" s="30"/>
      <c r="Y63" s="30"/>
      <c r="Z63" s="30"/>
      <c r="AA63" s="30"/>
      <c r="AB63" s="30"/>
      <c r="AC63" s="30"/>
      <c r="AD63" s="30"/>
      <c r="AE63" s="33"/>
      <c r="AF63" s="132"/>
      <c r="AG63" s="132"/>
    </row>
    <row r="64" spans="1:33" s="21" customFormat="1" x14ac:dyDescent="0.2">
      <c r="A64" s="151"/>
      <c r="B64" s="212"/>
      <c r="C64" s="212"/>
      <c r="D64" s="212"/>
      <c r="E64" s="212"/>
      <c r="F64" s="213"/>
      <c r="G64" s="23"/>
      <c r="H64" s="20"/>
      <c r="I64" s="32"/>
      <c r="J64" s="32"/>
      <c r="K64" s="30"/>
      <c r="L64" s="30"/>
      <c r="M64" s="30"/>
      <c r="N64" s="30"/>
      <c r="O64" s="30"/>
      <c r="P64" s="30"/>
      <c r="Q64" s="30"/>
      <c r="R64" s="30"/>
      <c r="S64" s="33"/>
      <c r="T64" s="33"/>
      <c r="U64" s="30"/>
      <c r="V64" s="30"/>
      <c r="W64" s="30"/>
      <c r="X64" s="30"/>
      <c r="Y64" s="30"/>
      <c r="Z64" s="30"/>
      <c r="AA64" s="30"/>
      <c r="AB64" s="30"/>
      <c r="AC64" s="30"/>
      <c r="AD64" s="30"/>
      <c r="AE64" s="33"/>
      <c r="AF64" s="132"/>
      <c r="AG64" s="132"/>
    </row>
    <row r="65" spans="1:33" s="21" customFormat="1" x14ac:dyDescent="0.2">
      <c r="A65" s="151"/>
      <c r="B65" s="212"/>
      <c r="C65" s="212"/>
      <c r="D65" s="212"/>
      <c r="E65" s="212"/>
      <c r="F65" s="213"/>
      <c r="G65" s="23"/>
      <c r="H65" s="20"/>
      <c r="I65" s="32"/>
      <c r="J65" s="32"/>
      <c r="K65" s="30"/>
      <c r="L65" s="30"/>
      <c r="M65" s="30"/>
      <c r="N65" s="30"/>
      <c r="O65" s="30"/>
      <c r="P65" s="30"/>
      <c r="Q65" s="30"/>
      <c r="R65" s="30"/>
      <c r="S65" s="33"/>
      <c r="T65" s="33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3"/>
      <c r="AF65" s="132"/>
      <c r="AG65" s="132"/>
    </row>
    <row r="66" spans="1:33" s="21" customFormat="1" x14ac:dyDescent="0.2">
      <c r="A66" s="151"/>
      <c r="B66" s="212"/>
      <c r="C66" s="212"/>
      <c r="D66" s="144"/>
      <c r="E66" s="144"/>
      <c r="F66" s="145"/>
      <c r="G66" s="23"/>
      <c r="H66" s="20"/>
      <c r="I66" s="32"/>
      <c r="J66" s="32"/>
      <c r="K66" s="30"/>
      <c r="L66" s="30"/>
      <c r="M66" s="30"/>
      <c r="N66" s="30"/>
      <c r="O66" s="30"/>
      <c r="P66" s="30"/>
      <c r="Q66" s="30"/>
      <c r="R66" s="30"/>
      <c r="S66" s="33"/>
      <c r="T66" s="33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3"/>
      <c r="AF66" s="132"/>
      <c r="AG66" s="132"/>
    </row>
    <row r="67" spans="1:33" s="21" customFormat="1" x14ac:dyDescent="0.2">
      <c r="A67" s="151"/>
      <c r="B67" s="39"/>
      <c r="C67" s="39"/>
      <c r="D67" s="39"/>
      <c r="E67" s="39"/>
      <c r="F67" s="128"/>
      <c r="G67" s="23"/>
      <c r="H67" s="20"/>
      <c r="I67" s="32"/>
      <c r="J67" s="32"/>
      <c r="K67" s="30"/>
      <c r="L67" s="30"/>
      <c r="M67" s="30"/>
      <c r="N67" s="30"/>
      <c r="O67" s="30"/>
      <c r="P67" s="30"/>
      <c r="Q67" s="30"/>
      <c r="R67" s="30"/>
      <c r="S67" s="33"/>
      <c r="T67" s="33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3"/>
      <c r="AF67" s="132"/>
      <c r="AG67" s="132"/>
    </row>
    <row r="68" spans="1:33" s="21" customFormat="1" x14ac:dyDescent="0.2">
      <c r="A68" s="127"/>
      <c r="B68" s="39"/>
      <c r="C68" s="39"/>
      <c r="D68" s="39"/>
      <c r="E68" s="39"/>
      <c r="F68" s="128"/>
      <c r="G68" s="23"/>
      <c r="H68" s="20"/>
      <c r="I68" s="32"/>
      <c r="J68" s="32"/>
      <c r="K68" s="30"/>
      <c r="L68" s="30"/>
      <c r="M68" s="30"/>
      <c r="N68" s="30"/>
      <c r="O68" s="30"/>
      <c r="P68" s="30"/>
      <c r="Q68" s="30"/>
      <c r="R68" s="30"/>
      <c r="S68" s="33"/>
      <c r="T68" s="33"/>
      <c r="U68" s="30"/>
      <c r="V68" s="30"/>
      <c r="W68" s="30"/>
      <c r="X68" s="30"/>
      <c r="Y68" s="30"/>
      <c r="Z68" s="30"/>
      <c r="AA68" s="30"/>
      <c r="AB68" s="30"/>
      <c r="AC68" s="30"/>
      <c r="AD68" s="30"/>
      <c r="AE68" s="33"/>
      <c r="AF68" s="132"/>
      <c r="AG68" s="132"/>
    </row>
    <row r="69" spans="1:33" s="21" customFormat="1" x14ac:dyDescent="0.2">
      <c r="A69" s="127"/>
      <c r="B69" s="39"/>
      <c r="C69" s="39"/>
      <c r="D69" s="39"/>
      <c r="E69" s="39"/>
      <c r="F69" s="128"/>
      <c r="G69" s="23"/>
      <c r="H69" s="20"/>
      <c r="I69" s="32"/>
      <c r="J69" s="32"/>
      <c r="K69" s="30"/>
      <c r="L69" s="30"/>
      <c r="M69" s="30"/>
      <c r="N69" s="30"/>
      <c r="O69" s="30"/>
      <c r="P69" s="30"/>
      <c r="Q69" s="30"/>
      <c r="R69" s="30"/>
      <c r="S69" s="33"/>
      <c r="T69" s="33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3"/>
      <c r="AF69" s="132"/>
      <c r="AG69" s="132"/>
    </row>
    <row r="70" spans="1:33" s="21" customFormat="1" x14ac:dyDescent="0.2">
      <c r="A70" s="127"/>
      <c r="B70" s="39"/>
      <c r="C70" s="39"/>
      <c r="D70" s="39"/>
      <c r="E70" s="39"/>
      <c r="F70" s="128"/>
      <c r="G70" s="23"/>
      <c r="H70" s="20"/>
      <c r="I70" s="32"/>
      <c r="J70" s="32"/>
      <c r="K70" s="30"/>
      <c r="L70" s="30"/>
      <c r="M70" s="30"/>
      <c r="N70" s="30"/>
      <c r="O70" s="30"/>
      <c r="P70" s="30"/>
      <c r="Q70" s="30"/>
      <c r="R70" s="30"/>
      <c r="S70" s="33"/>
      <c r="T70" s="33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3"/>
      <c r="AF70" s="132"/>
      <c r="AG70" s="132"/>
    </row>
    <row r="71" spans="1:33" s="21" customFormat="1" x14ac:dyDescent="0.2">
      <c r="A71" s="127"/>
      <c r="B71" s="39"/>
      <c r="C71" s="150"/>
      <c r="D71" s="39"/>
      <c r="E71" s="39"/>
      <c r="F71" s="128"/>
      <c r="G71" s="23"/>
      <c r="H71" s="20"/>
      <c r="I71" s="32"/>
      <c r="J71" s="32"/>
      <c r="K71" s="30"/>
      <c r="L71" s="30"/>
      <c r="M71" s="30"/>
      <c r="N71" s="30"/>
      <c r="O71" s="30"/>
      <c r="P71" s="30"/>
      <c r="Q71" s="30"/>
      <c r="R71" s="30"/>
      <c r="S71" s="33"/>
      <c r="T71" s="33"/>
      <c r="U71" s="30"/>
      <c r="V71" s="30"/>
      <c r="W71" s="30"/>
      <c r="X71" s="30"/>
      <c r="Y71" s="30"/>
      <c r="Z71" s="30"/>
      <c r="AA71" s="30"/>
      <c r="AB71" s="30"/>
      <c r="AC71" s="30"/>
      <c r="AD71" s="30"/>
      <c r="AE71" s="33"/>
      <c r="AF71" s="132"/>
      <c r="AG71" s="132"/>
    </row>
    <row r="72" spans="1:33" s="21" customFormat="1" x14ac:dyDescent="0.2">
      <c r="A72" s="127"/>
      <c r="B72" s="39"/>
      <c r="C72" s="150"/>
      <c r="D72" s="39"/>
      <c r="E72" s="39"/>
      <c r="F72" s="128"/>
      <c r="G72" s="23"/>
      <c r="H72" s="20"/>
      <c r="I72" s="32"/>
      <c r="J72" s="32"/>
      <c r="K72" s="30"/>
      <c r="L72" s="30"/>
      <c r="M72" s="30"/>
      <c r="N72" s="30"/>
      <c r="O72" s="30"/>
      <c r="P72" s="30"/>
      <c r="Q72" s="30"/>
      <c r="R72" s="30"/>
      <c r="S72" s="33"/>
      <c r="T72" s="33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3"/>
      <c r="AF72" s="132"/>
      <c r="AG72" s="132"/>
    </row>
    <row r="73" spans="1:33" s="21" customFormat="1" x14ac:dyDescent="0.2">
      <c r="A73" s="143"/>
      <c r="B73" s="39"/>
      <c r="C73" s="39"/>
      <c r="D73" s="39"/>
      <c r="E73" s="39"/>
      <c r="F73" s="128"/>
      <c r="G73" s="23"/>
      <c r="H73" s="20"/>
      <c r="I73" s="32"/>
      <c r="J73" s="32"/>
      <c r="K73" s="30"/>
      <c r="L73" s="30"/>
      <c r="M73" s="30"/>
      <c r="N73" s="30"/>
      <c r="O73" s="30"/>
      <c r="P73" s="30"/>
      <c r="Q73" s="30"/>
      <c r="R73" s="30"/>
      <c r="S73" s="33"/>
      <c r="T73" s="33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3"/>
      <c r="AF73" s="132"/>
      <c r="AG73" s="132"/>
    </row>
    <row r="74" spans="1:33" s="21" customFormat="1" x14ac:dyDescent="0.2">
      <c r="A74" s="127"/>
      <c r="B74" s="39"/>
      <c r="C74" s="39"/>
      <c r="D74" s="39"/>
      <c r="E74" s="39"/>
      <c r="F74" s="128"/>
      <c r="G74" s="23"/>
      <c r="H74" s="20"/>
      <c r="I74" s="32"/>
      <c r="J74" s="32"/>
      <c r="K74" s="30"/>
      <c r="L74" s="30"/>
      <c r="M74" s="30"/>
      <c r="N74" s="30"/>
      <c r="O74" s="30"/>
      <c r="P74" s="30"/>
      <c r="Q74" s="30"/>
      <c r="R74" s="30"/>
      <c r="S74" s="33"/>
      <c r="T74" s="33"/>
      <c r="U74" s="30"/>
      <c r="V74" s="30"/>
      <c r="W74" s="30"/>
      <c r="X74" s="30"/>
      <c r="Y74" s="30"/>
      <c r="Z74" s="30"/>
      <c r="AA74" s="30"/>
      <c r="AB74" s="30"/>
      <c r="AC74" s="30"/>
      <c r="AD74" s="30"/>
      <c r="AE74" s="33"/>
      <c r="AF74" s="132"/>
      <c r="AG74" s="132"/>
    </row>
    <row r="75" spans="1:33" s="21" customFormat="1" x14ac:dyDescent="0.2">
      <c r="A75" s="127"/>
      <c r="B75" s="39"/>
      <c r="C75" s="39"/>
      <c r="D75" s="39"/>
      <c r="E75" s="39"/>
      <c r="F75" s="128"/>
      <c r="G75" s="23"/>
      <c r="H75" s="20"/>
      <c r="I75" s="32"/>
      <c r="J75" s="32"/>
      <c r="K75" s="30"/>
      <c r="L75" s="30"/>
      <c r="M75" s="30"/>
      <c r="N75" s="30"/>
      <c r="O75" s="30"/>
      <c r="P75" s="30"/>
      <c r="Q75" s="30"/>
      <c r="R75" s="30"/>
      <c r="S75" s="33"/>
      <c r="T75" s="33"/>
      <c r="U75" s="30"/>
      <c r="V75" s="30"/>
      <c r="W75" s="30"/>
      <c r="X75" s="30"/>
      <c r="Y75" s="30"/>
      <c r="Z75" s="30"/>
      <c r="AA75" s="30"/>
      <c r="AB75" s="30"/>
      <c r="AC75" s="30"/>
      <c r="AD75" s="30"/>
      <c r="AE75" s="33"/>
      <c r="AF75" s="132"/>
      <c r="AG75" s="132"/>
    </row>
    <row r="76" spans="1:33" s="21" customFormat="1" x14ac:dyDescent="0.2">
      <c r="A76" s="143"/>
      <c r="B76" s="39"/>
      <c r="C76" s="39"/>
      <c r="D76" s="39"/>
      <c r="E76" s="39"/>
      <c r="F76" s="128"/>
      <c r="G76" s="23"/>
      <c r="H76" s="20"/>
      <c r="I76" s="32"/>
      <c r="J76" s="32"/>
      <c r="K76" s="30"/>
      <c r="L76" s="30"/>
      <c r="M76" s="30"/>
      <c r="N76" s="30"/>
      <c r="O76" s="30"/>
      <c r="P76" s="30"/>
      <c r="Q76" s="30"/>
      <c r="R76" s="30"/>
      <c r="S76" s="33"/>
      <c r="T76" s="33"/>
      <c r="U76" s="30"/>
      <c r="V76" s="30"/>
      <c r="W76" s="30"/>
      <c r="X76" s="30"/>
      <c r="Y76" s="30"/>
      <c r="Z76" s="30"/>
      <c r="AA76" s="30"/>
      <c r="AB76" s="30"/>
      <c r="AC76" s="30"/>
      <c r="AD76" s="30"/>
      <c r="AE76" s="33"/>
      <c r="AF76" s="132"/>
      <c r="AG76" s="132"/>
    </row>
    <row r="77" spans="1:33" s="21" customFormat="1" x14ac:dyDescent="0.2">
      <c r="A77" s="143"/>
      <c r="B77" s="39"/>
      <c r="C77" s="39"/>
      <c r="D77" s="39"/>
      <c r="E77" s="39"/>
      <c r="F77" s="128"/>
      <c r="G77" s="23" t="s">
        <v>261</v>
      </c>
      <c r="H77" s="20"/>
      <c r="I77" s="32"/>
      <c r="J77" s="32"/>
      <c r="K77" s="30"/>
      <c r="L77" s="30"/>
      <c r="M77" s="30"/>
      <c r="N77" s="30"/>
      <c r="O77" s="30"/>
      <c r="P77" s="30"/>
      <c r="Q77" s="30"/>
      <c r="R77" s="30"/>
      <c r="S77" s="33"/>
      <c r="T77" s="33"/>
      <c r="U77" s="30"/>
      <c r="V77" s="30"/>
      <c r="W77" s="30"/>
      <c r="X77" s="30"/>
      <c r="Y77" s="30"/>
      <c r="Z77" s="30"/>
      <c r="AA77" s="30"/>
      <c r="AB77" s="30"/>
      <c r="AC77" s="30"/>
      <c r="AD77" s="30"/>
      <c r="AE77" s="33"/>
      <c r="AF77" s="132"/>
      <c r="AG77" s="132"/>
    </row>
    <row r="78" spans="1:33" s="21" customFormat="1" x14ac:dyDescent="0.2">
      <c r="A78" s="200"/>
      <c r="B78" s="39"/>
      <c r="C78" s="39"/>
      <c r="D78" s="39"/>
      <c r="E78" s="39"/>
      <c r="F78" s="128"/>
      <c r="G78" s="23"/>
      <c r="H78" s="20"/>
      <c r="I78" s="32"/>
      <c r="J78" s="32"/>
      <c r="K78" s="30"/>
      <c r="L78" s="30"/>
      <c r="M78" s="30"/>
      <c r="N78" s="30"/>
      <c r="O78" s="30"/>
      <c r="P78" s="30"/>
      <c r="Q78" s="30"/>
      <c r="R78" s="30"/>
      <c r="S78" s="33"/>
      <c r="T78" s="33"/>
      <c r="U78" s="30"/>
      <c r="V78" s="30"/>
      <c r="W78" s="30"/>
      <c r="X78" s="30"/>
      <c r="Y78" s="30"/>
      <c r="Z78" s="30"/>
      <c r="AA78" s="30"/>
      <c r="AB78" s="30"/>
      <c r="AC78" s="30"/>
      <c r="AD78" s="30"/>
      <c r="AE78" s="33"/>
      <c r="AF78" s="132"/>
      <c r="AG78" s="132"/>
    </row>
    <row r="79" spans="1:33" s="21" customFormat="1" x14ac:dyDescent="0.2">
      <c r="A79" s="199"/>
      <c r="B79" s="153"/>
      <c r="C79" s="154"/>
      <c r="D79" s="150"/>
      <c r="E79" s="39"/>
      <c r="F79" s="128"/>
      <c r="G79" s="23"/>
      <c r="H79" s="20"/>
      <c r="I79" s="34"/>
      <c r="J79" s="34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4"/>
      <c r="Y79" s="34"/>
      <c r="Z79" s="34"/>
      <c r="AA79" s="33"/>
      <c r="AB79" s="33"/>
      <c r="AC79" s="33"/>
      <c r="AD79" s="33"/>
      <c r="AE79" s="34"/>
      <c r="AF79" s="132"/>
      <c r="AG79" s="132"/>
    </row>
    <row r="80" spans="1:33" s="21" customFormat="1" x14ac:dyDescent="0.2">
      <c r="A80" s="7"/>
      <c r="B80" s="153"/>
      <c r="C80" s="154"/>
      <c r="D80" s="150"/>
      <c r="E80" s="566"/>
      <c r="F80" s="596"/>
      <c r="G80" s="67" t="s">
        <v>184</v>
      </c>
      <c r="H80" s="22"/>
      <c r="I80" s="34"/>
      <c r="J80" s="34"/>
      <c r="K80" s="28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3"/>
      <c r="X80" s="34"/>
      <c r="Y80" s="34"/>
      <c r="Z80" s="34"/>
      <c r="AA80" s="34"/>
      <c r="AB80" s="34"/>
      <c r="AC80" s="34"/>
      <c r="AD80" s="34"/>
      <c r="AE80" s="34"/>
      <c r="AF80" s="132"/>
      <c r="AG80" s="132"/>
    </row>
    <row r="81" spans="1:33" s="21" customFormat="1" x14ac:dyDescent="0.2">
      <c r="A81" s="7"/>
      <c r="B81" s="155"/>
      <c r="C81" s="155"/>
      <c r="D81" s="155"/>
      <c r="E81" s="155"/>
      <c r="F81" s="155"/>
      <c r="G81" s="20"/>
      <c r="H81" s="20"/>
      <c r="I81" s="6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132"/>
      <c r="AG81" s="132"/>
    </row>
    <row r="82" spans="1:33" s="21" customFormat="1" x14ac:dyDescent="0.2">
      <c r="A82" s="7"/>
      <c r="B82" s="3"/>
      <c r="C82" s="4"/>
      <c r="D82" s="5"/>
      <c r="E82" s="155"/>
      <c r="F82" s="155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132"/>
      <c r="AG82" s="132"/>
    </row>
    <row r="83" spans="1:33" s="21" customFormat="1" x14ac:dyDescent="0.2">
      <c r="A83" s="7"/>
      <c r="B83" s="3"/>
      <c r="C83" s="154"/>
      <c r="D83" s="157"/>
      <c r="E83" s="155"/>
      <c r="F83" s="155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132"/>
      <c r="AG83" s="132"/>
    </row>
    <row r="84" spans="1:33" s="21" customFormat="1" x14ac:dyDescent="0.2">
      <c r="A84" s="7"/>
      <c r="B84" s="155"/>
      <c r="C84" s="154"/>
      <c r="D84" s="157"/>
      <c r="E84" s="157"/>
      <c r="F84" s="155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132"/>
      <c r="AG84" s="132"/>
    </row>
    <row r="85" spans="1:33" s="21" customFormat="1" x14ac:dyDescent="0.2">
      <c r="A85" s="7"/>
      <c r="B85" s="155"/>
      <c r="C85" s="39"/>
      <c r="D85" s="154"/>
      <c r="E85" s="154"/>
      <c r="F85" s="155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132"/>
      <c r="AG85" s="132"/>
    </row>
    <row r="86" spans="1:33" s="21" customFormat="1" x14ac:dyDescent="0.2">
      <c r="A86" s="7"/>
      <c r="B86" s="155"/>
      <c r="C86" s="154"/>
      <c r="D86" s="39"/>
      <c r="E86" s="154"/>
      <c r="F86" s="155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132"/>
      <c r="AG86" s="132"/>
    </row>
    <row r="87" spans="1:33" s="21" customFormat="1" x14ac:dyDescent="0.2">
      <c r="A87" s="7"/>
      <c r="B87" s="155"/>
      <c r="C87" s="39"/>
      <c r="D87" s="158"/>
      <c r="E87" s="154"/>
      <c r="F87" s="155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132"/>
      <c r="AG87" s="132"/>
    </row>
    <row r="88" spans="1:33" s="21" customFormat="1" x14ac:dyDescent="0.2">
      <c r="A88" s="7"/>
      <c r="B88" s="155"/>
      <c r="C88" s="39"/>
      <c r="D88" s="158"/>
      <c r="E88" s="154"/>
      <c r="F88" s="155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132"/>
      <c r="AG88" s="132"/>
    </row>
    <row r="89" spans="1:33" s="21" customFormat="1" x14ac:dyDescent="0.2">
      <c r="A89" s="7"/>
      <c r="B89" s="155"/>
      <c r="C89" s="154"/>
      <c r="D89" s="39"/>
      <c r="E89" s="154"/>
      <c r="F89" s="155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132"/>
      <c r="AG89" s="132"/>
    </row>
    <row r="90" spans="1:33" s="21" customFormat="1" x14ac:dyDescent="0.2">
      <c r="A90" s="7"/>
      <c r="B90" s="155"/>
      <c r="C90" s="154"/>
      <c r="D90" s="154"/>
      <c r="E90" s="154"/>
      <c r="F90" s="154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132"/>
      <c r="AG90" s="132"/>
    </row>
    <row r="91" spans="1:33" s="21" customFormat="1" x14ac:dyDescent="0.2">
      <c r="A91" s="7"/>
      <c r="B91" s="155"/>
      <c r="C91" s="39"/>
      <c r="D91" s="525"/>
      <c r="E91" s="526"/>
      <c r="F91" s="526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132"/>
      <c r="AG91" s="132"/>
    </row>
    <row r="92" spans="1:33" s="21" customFormat="1" x14ac:dyDescent="0.2">
      <c r="A92" s="7"/>
      <c r="B92" s="155"/>
      <c r="C92" s="154"/>
      <c r="D92" s="158"/>
      <c r="E92" s="154"/>
      <c r="F92" s="154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132"/>
      <c r="AG92" s="132"/>
    </row>
    <row r="93" spans="1:33" s="21" customFormat="1" x14ac:dyDescent="0.2">
      <c r="A93" s="7"/>
      <c r="B93" s="155"/>
      <c r="C93" s="154"/>
      <c r="D93" s="158"/>
      <c r="E93" s="154"/>
      <c r="F93" s="154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132"/>
      <c r="AG93" s="132"/>
    </row>
    <row r="94" spans="1:33" s="21" customFormat="1" x14ac:dyDescent="0.2">
      <c r="A94" s="7"/>
      <c r="B94" s="3"/>
      <c r="C94" s="4"/>
      <c r="D94" s="157"/>
      <c r="E94" s="154"/>
      <c r="F94" s="154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132"/>
      <c r="AG94" s="132"/>
    </row>
    <row r="95" spans="1:33" s="21" customFormat="1" x14ac:dyDescent="0.2">
      <c r="A95" s="7"/>
      <c r="B95" s="155"/>
      <c r="C95" s="154"/>
      <c r="D95" s="154"/>
      <c r="E95" s="154"/>
      <c r="F95" s="154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132"/>
      <c r="AG95" s="132"/>
    </row>
    <row r="96" spans="1:33" s="21" customFormat="1" x14ac:dyDescent="0.2">
      <c r="A96" s="7"/>
      <c r="B96" s="155"/>
      <c r="C96" s="154"/>
      <c r="D96" s="163"/>
      <c r="E96" s="154"/>
      <c r="F96" s="154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132"/>
      <c r="AG96" s="132"/>
    </row>
    <row r="97" spans="1:33" s="21" customFormat="1" x14ac:dyDescent="0.2">
      <c r="A97" s="7"/>
      <c r="B97" s="155"/>
      <c r="C97" s="154"/>
      <c r="D97" s="164"/>
      <c r="E97" s="154"/>
      <c r="F97" s="154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132"/>
      <c r="AG97" s="132"/>
    </row>
    <row r="98" spans="1:33" s="21" customFormat="1" x14ac:dyDescent="0.2">
      <c r="A98" s="7"/>
      <c r="B98" s="155"/>
      <c r="C98" s="154"/>
      <c r="D98" s="164"/>
      <c r="E98" s="154"/>
      <c r="F98" s="154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132"/>
      <c r="AG98" s="132"/>
    </row>
    <row r="99" spans="1:33" s="21" customFormat="1" x14ac:dyDescent="0.2">
      <c r="A99" s="7"/>
      <c r="B99" s="155"/>
      <c r="C99" s="154"/>
      <c r="D99" s="163"/>
      <c r="E99" s="154"/>
      <c r="F99" s="154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132"/>
      <c r="AG99" s="132"/>
    </row>
    <row r="100" spans="1:33" s="21" customFormat="1" x14ac:dyDescent="0.2">
      <c r="A100" s="7"/>
      <c r="B100" s="155"/>
      <c r="C100" s="154"/>
      <c r="D100" s="164"/>
      <c r="E100" s="154"/>
      <c r="F100" s="154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132"/>
      <c r="AG100" s="132"/>
    </row>
    <row r="101" spans="1:33" s="21" customFormat="1" x14ac:dyDescent="0.2">
      <c r="A101" s="7"/>
      <c r="B101" s="155"/>
      <c r="C101" s="154"/>
      <c r="D101" s="164"/>
      <c r="E101" s="154"/>
      <c r="F101" s="154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132"/>
      <c r="AG101" s="132"/>
    </row>
    <row r="102" spans="1:33" s="21" customFormat="1" x14ac:dyDescent="0.2">
      <c r="A102" s="7"/>
      <c r="B102" s="155"/>
      <c r="C102" s="154"/>
      <c r="D102" s="154"/>
      <c r="E102" s="154"/>
      <c r="F102" s="154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132"/>
      <c r="AG102" s="132"/>
    </row>
    <row r="103" spans="1:33" s="21" customFormat="1" x14ac:dyDescent="0.2">
      <c r="A103" s="7"/>
      <c r="B103" s="155"/>
      <c r="C103" s="39"/>
      <c r="D103" s="158"/>
      <c r="E103" s="154"/>
      <c r="F103" s="154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132"/>
      <c r="AG103" s="132"/>
    </row>
    <row r="104" spans="1:33" s="21" customFormat="1" x14ac:dyDescent="0.2">
      <c r="A104" s="7"/>
      <c r="B104" s="155"/>
      <c r="C104" s="39"/>
      <c r="D104" s="158"/>
      <c r="E104" s="154"/>
      <c r="F104" s="154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132"/>
      <c r="AG104" s="132"/>
    </row>
    <row r="105" spans="1:33" s="21" customFormat="1" x14ac:dyDescent="0.2">
      <c r="A105" s="7"/>
      <c r="B105" s="155"/>
      <c r="C105" s="154"/>
      <c r="D105" s="154"/>
      <c r="E105" s="154"/>
      <c r="F105" s="154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132"/>
      <c r="AG105" s="132"/>
    </row>
    <row r="106" spans="1:33" s="21" customFormat="1" x14ac:dyDescent="0.2">
      <c r="A106" s="7"/>
      <c r="B106" s="155"/>
      <c r="C106" s="39"/>
      <c r="D106" s="525"/>
      <c r="E106" s="526"/>
      <c r="F106" s="526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132"/>
      <c r="AG106" s="132"/>
    </row>
    <row r="107" spans="1:33" s="21" customFormat="1" x14ac:dyDescent="0.2">
      <c r="A107" s="7"/>
      <c r="B107" s="155"/>
      <c r="C107" s="154"/>
      <c r="D107" s="158"/>
      <c r="E107" s="154"/>
      <c r="F107" s="154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132"/>
      <c r="AG107" s="132"/>
    </row>
    <row r="108" spans="1:33" s="21" customFormat="1" x14ac:dyDescent="0.2">
      <c r="A108" s="7"/>
      <c r="B108" s="155"/>
      <c r="C108" s="154"/>
      <c r="D108" s="164"/>
      <c r="E108" s="154"/>
      <c r="F108" s="154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132"/>
      <c r="AG108" s="132"/>
    </row>
    <row r="109" spans="1:33" s="21" customFormat="1" x14ac:dyDescent="0.2">
      <c r="A109" s="7"/>
      <c r="B109" s="155"/>
      <c r="C109" s="154"/>
      <c r="D109" s="164"/>
      <c r="E109" s="154"/>
      <c r="F109" s="154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132"/>
      <c r="AG109" s="132"/>
    </row>
    <row r="110" spans="1:33" s="21" customFormat="1" x14ac:dyDescent="0.2">
      <c r="A110" s="7"/>
      <c r="B110" s="155"/>
      <c r="C110" s="154"/>
      <c r="D110" s="158"/>
      <c r="E110" s="154"/>
      <c r="F110" s="154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132"/>
      <c r="AG110" s="132"/>
    </row>
    <row r="111" spans="1:33" s="21" customFormat="1" x14ac:dyDescent="0.2">
      <c r="A111" s="7"/>
      <c r="B111" s="155"/>
      <c r="C111" s="154"/>
      <c r="D111" s="164"/>
      <c r="E111" s="154"/>
      <c r="F111" s="154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132"/>
      <c r="AG111" s="132"/>
    </row>
    <row r="112" spans="1:33" s="21" customFormat="1" x14ac:dyDescent="0.2">
      <c r="A112" s="7"/>
      <c r="B112" s="155"/>
      <c r="C112" s="154"/>
      <c r="D112" s="164"/>
      <c r="E112" s="154"/>
      <c r="F112" s="154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132"/>
      <c r="AG112" s="132"/>
    </row>
    <row r="113" spans="1:33" s="21" customFormat="1" x14ac:dyDescent="0.2">
      <c r="A113" s="7"/>
      <c r="B113" s="3"/>
      <c r="C113" s="4"/>
      <c r="D113" s="157"/>
      <c r="E113" s="154"/>
      <c r="F113" s="154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132"/>
      <c r="AG113" s="132"/>
    </row>
    <row r="114" spans="1:33" s="21" customFormat="1" x14ac:dyDescent="0.2">
      <c r="A114" s="7"/>
      <c r="B114" s="155"/>
      <c r="C114" s="154"/>
      <c r="D114" s="157"/>
      <c r="E114" s="154"/>
      <c r="F114" s="154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132"/>
      <c r="AG114" s="132"/>
    </row>
    <row r="115" spans="1:33" s="21" customFormat="1" x14ac:dyDescent="0.2">
      <c r="A115" s="7"/>
      <c r="B115" s="155"/>
      <c r="C115" s="154"/>
      <c r="D115" s="157"/>
      <c r="E115" s="154"/>
      <c r="F115" s="154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132"/>
      <c r="AG115" s="132"/>
    </row>
    <row r="116" spans="1:33" s="21" customFormat="1" x14ac:dyDescent="0.2">
      <c r="A116" s="7"/>
      <c r="B116" s="155"/>
      <c r="C116" s="154"/>
      <c r="D116" s="157"/>
      <c r="E116" s="154"/>
      <c r="F116" s="154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132"/>
      <c r="AG116" s="132"/>
    </row>
    <row r="117" spans="1:33" s="21" customFormat="1" x14ac:dyDescent="0.2">
      <c r="A117" s="7"/>
      <c r="B117" s="155"/>
      <c r="C117" s="39"/>
      <c r="D117" s="525"/>
      <c r="E117" s="526"/>
      <c r="F117" s="526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132"/>
      <c r="AG117" s="132"/>
    </row>
    <row r="118" spans="1:33" s="21" customFormat="1" x14ac:dyDescent="0.2">
      <c r="A118" s="7"/>
      <c r="B118" s="155"/>
      <c r="C118" s="154"/>
      <c r="D118" s="158"/>
      <c r="E118" s="154"/>
      <c r="F118" s="126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132"/>
      <c r="AG118" s="132"/>
    </row>
    <row r="119" spans="1:33" s="21" customFormat="1" x14ac:dyDescent="0.2">
      <c r="A119" s="7"/>
      <c r="B119" s="155"/>
      <c r="C119" s="154"/>
      <c r="D119" s="158"/>
      <c r="E119" s="154"/>
      <c r="F119" s="126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132"/>
      <c r="AG119" s="132"/>
    </row>
    <row r="120" spans="1:33" s="21" customFormat="1" x14ac:dyDescent="0.2">
      <c r="A120" s="7"/>
      <c r="B120" s="6"/>
      <c r="C120" s="7"/>
      <c r="D120" s="154"/>
      <c r="E120" s="154"/>
      <c r="F120" s="154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132"/>
      <c r="AG120" s="132"/>
    </row>
    <row r="121" spans="1:33" s="21" customFormat="1" x14ac:dyDescent="0.2">
      <c r="A121" s="7"/>
      <c r="B121" s="153"/>
      <c r="C121" s="154"/>
      <c r="D121" s="154"/>
      <c r="E121" s="154"/>
      <c r="F121" s="154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132"/>
      <c r="AG121" s="132"/>
    </row>
    <row r="122" spans="1:33" s="21" customFormat="1" x14ac:dyDescent="0.2">
      <c r="A122" s="7"/>
      <c r="B122" s="153"/>
      <c r="C122" s="154"/>
      <c r="D122" s="158"/>
      <c r="E122" s="154"/>
      <c r="F122" s="154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132"/>
      <c r="AG122" s="132"/>
    </row>
    <row r="123" spans="1:33" s="21" customFormat="1" x14ac:dyDescent="0.2">
      <c r="A123" s="7"/>
      <c r="B123" s="153"/>
      <c r="C123" s="154"/>
      <c r="D123" s="158"/>
      <c r="E123" s="154"/>
      <c r="F123" s="154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132"/>
      <c r="AG123" s="132"/>
    </row>
    <row r="124" spans="1:33" s="21" customFormat="1" x14ac:dyDescent="0.2">
      <c r="A124" s="7"/>
      <c r="B124" s="153"/>
      <c r="C124" s="154"/>
      <c r="D124" s="150"/>
      <c r="E124" s="566"/>
      <c r="F124" s="566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132"/>
      <c r="AG124" s="132"/>
    </row>
    <row r="125" spans="1:33" x14ac:dyDescent="0.2">
      <c r="A125" s="7"/>
      <c r="B125" s="153"/>
      <c r="C125" s="154"/>
      <c r="D125" s="39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122"/>
      <c r="AF125" s="123"/>
      <c r="AG125" s="123"/>
    </row>
    <row r="126" spans="1:33" x14ac:dyDescent="0.2">
      <c r="A126" s="7"/>
      <c r="B126" s="153"/>
      <c r="C126" s="154"/>
      <c r="D126" s="150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122"/>
      <c r="AF126" s="123"/>
      <c r="AG126" s="123"/>
    </row>
    <row r="127" spans="1:33" x14ac:dyDescent="0.2">
      <c r="A127" s="7"/>
      <c r="B127" s="153"/>
      <c r="C127" s="154"/>
      <c r="D127" s="150"/>
      <c r="E127" s="39"/>
      <c r="F127" s="39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122"/>
      <c r="AF127" s="123"/>
      <c r="AG127" s="123"/>
    </row>
    <row r="128" spans="1:33" x14ac:dyDescent="0.2">
      <c r="A128" s="7"/>
      <c r="B128" s="153"/>
      <c r="C128" s="154"/>
      <c r="D128" s="150"/>
      <c r="E128" s="566"/>
      <c r="F128" s="566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122"/>
      <c r="AF128" s="123"/>
      <c r="AG128" s="123"/>
    </row>
    <row r="129" spans="1:33" x14ac:dyDescent="0.2">
      <c r="A129" s="154"/>
      <c r="B129" s="565"/>
      <c r="C129" s="565"/>
      <c r="D129" s="565"/>
      <c r="E129" s="565"/>
      <c r="F129" s="565"/>
      <c r="G129" s="20"/>
      <c r="H129" s="20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122"/>
      <c r="AF129" s="123"/>
      <c r="AG129" s="123"/>
    </row>
    <row r="130" spans="1:33" x14ac:dyDescent="0.2">
      <c r="A130" s="21"/>
      <c r="B130" s="21"/>
      <c r="C130" s="21"/>
      <c r="D130" s="21"/>
      <c r="E130" s="21"/>
      <c r="F130" s="21"/>
      <c r="G130" s="20"/>
      <c r="H130" s="20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 t="s">
        <v>184</v>
      </c>
      <c r="V130" s="34"/>
      <c r="W130" s="34"/>
      <c r="X130" s="34"/>
      <c r="Y130" s="34"/>
      <c r="Z130" s="34"/>
      <c r="AA130" s="34"/>
      <c r="AB130" s="34"/>
      <c r="AC130" s="34"/>
      <c r="AD130" s="34"/>
      <c r="AE130" s="122"/>
      <c r="AF130" s="123"/>
      <c r="AG130" s="123"/>
    </row>
    <row r="131" spans="1:33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</row>
    <row r="132" spans="1:33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</row>
    <row r="133" spans="1:33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</row>
    <row r="134" spans="1:33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</row>
    <row r="135" spans="1:33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</row>
    <row r="136" spans="1:33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</row>
    <row r="137" spans="1:33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</row>
    <row r="138" spans="1:33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</row>
    <row r="139" spans="1:33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</row>
    <row r="140" spans="1:33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</row>
    <row r="141" spans="1:33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</row>
    <row r="142" spans="1:33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</row>
    <row r="143" spans="1:33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</row>
    <row r="144" spans="1:33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</row>
    <row r="145" spans="1:30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</row>
    <row r="146" spans="1:30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</row>
    <row r="147" spans="1:30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</row>
    <row r="148" spans="1:30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</row>
    <row r="149" spans="1:30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</row>
    <row r="150" spans="1:30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</row>
    <row r="151" spans="1:30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</row>
    <row r="152" spans="1:30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</row>
    <row r="153" spans="1:30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</row>
    <row r="154" spans="1:30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</row>
    <row r="155" spans="1:30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</row>
    <row r="156" spans="1:30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</row>
    <row r="157" spans="1:30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</row>
    <row r="158" spans="1:30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</row>
    <row r="159" spans="1:30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</row>
    <row r="160" spans="1:30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</row>
    <row r="161" spans="1:30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</row>
    <row r="162" spans="1:30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</row>
    <row r="163" spans="1:30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</row>
    <row r="164" spans="1:30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</row>
    <row r="165" spans="1:30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</row>
    <row r="166" spans="1:30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</row>
    <row r="167" spans="1:30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</row>
    <row r="168" spans="1:30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</row>
    <row r="169" spans="1:30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</row>
    <row r="170" spans="1:30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</row>
    <row r="171" spans="1:30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</row>
    <row r="172" spans="1:30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</row>
    <row r="173" spans="1:30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</row>
    <row r="174" spans="1:30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</row>
    <row r="175" spans="1:30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</row>
    <row r="176" spans="1:30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</row>
    <row r="177" spans="1:30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</row>
    <row r="178" spans="1:30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</row>
    <row r="179" spans="1:30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</row>
    <row r="180" spans="1:30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</row>
    <row r="181" spans="1:30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</row>
    <row r="182" spans="1:30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</row>
    <row r="183" spans="1:30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</row>
    <row r="184" spans="1:30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</row>
    <row r="185" spans="1:30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</row>
    <row r="186" spans="1:30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</row>
    <row r="187" spans="1:30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</row>
    <row r="188" spans="1:30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</row>
    <row r="189" spans="1:30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</row>
    <row r="190" spans="1:30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</row>
    <row r="191" spans="1:30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</row>
    <row r="192" spans="1:30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</row>
    <row r="193" spans="1:30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</row>
    <row r="194" spans="1:30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</row>
    <row r="195" spans="1:30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</row>
    <row r="196" spans="1:30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</row>
    <row r="197" spans="1:30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</row>
    <row r="198" spans="1:30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</row>
    <row r="199" spans="1:30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</row>
    <row r="200" spans="1:30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</row>
    <row r="201" spans="1:30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</row>
    <row r="202" spans="1:30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</row>
    <row r="203" spans="1:30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</row>
    <row r="204" spans="1:30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</row>
    <row r="205" spans="1:30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</row>
    <row r="206" spans="1:30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</row>
    <row r="207" spans="1:30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</row>
    <row r="208" spans="1:30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</row>
    <row r="209" spans="1:30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</row>
    <row r="210" spans="1:30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</row>
    <row r="211" spans="1:30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</row>
    <row r="212" spans="1:30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</row>
    <row r="213" spans="1:30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</row>
    <row r="214" spans="1:30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</row>
    <row r="215" spans="1:30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</row>
    <row r="216" spans="1:30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</row>
    <row r="217" spans="1:30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</row>
    <row r="218" spans="1:30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</row>
    <row r="219" spans="1:30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</row>
    <row r="220" spans="1:30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</row>
    <row r="221" spans="1:30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</row>
    <row r="222" spans="1:30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</row>
    <row r="223" spans="1:30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</row>
    <row r="224" spans="1:30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</row>
    <row r="225" spans="1:30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</row>
    <row r="226" spans="1:30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</row>
    <row r="227" spans="1:30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</row>
    <row r="228" spans="1:30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</row>
    <row r="229" spans="1:30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</row>
    <row r="230" spans="1:30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</row>
    <row r="231" spans="1:30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</row>
    <row r="232" spans="1:30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</row>
    <row r="233" spans="1:30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</row>
    <row r="234" spans="1:30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</row>
    <row r="235" spans="1:30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</row>
    <row r="236" spans="1:30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</row>
    <row r="237" spans="1:30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</row>
    <row r="238" spans="1:30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</row>
    <row r="239" spans="1:30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</row>
    <row r="240" spans="1:30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</row>
    <row r="241" spans="1:30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</row>
    <row r="242" spans="1:30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</row>
    <row r="243" spans="1:30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</row>
    <row r="244" spans="1:30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</row>
    <row r="245" spans="1:30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</row>
    <row r="246" spans="1:30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</row>
    <row r="247" spans="1:30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</row>
    <row r="248" spans="1:30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</row>
    <row r="249" spans="1:30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</row>
    <row r="250" spans="1:30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</row>
    <row r="251" spans="1:30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</row>
    <row r="252" spans="1:30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</row>
    <row r="253" spans="1:30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</row>
    <row r="254" spans="1:30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</row>
    <row r="255" spans="1:30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</row>
  </sheetData>
  <sheetProtection password="BE44" sheet="1" objects="1" scenarios="1" selectLockedCells="1"/>
  <mergeCells count="42">
    <mergeCell ref="D45:F45"/>
    <mergeCell ref="Q5:R5"/>
    <mergeCell ref="S5:T5"/>
    <mergeCell ref="M7:N8"/>
    <mergeCell ref="D44:F44"/>
    <mergeCell ref="C43:D43"/>
    <mergeCell ref="W6:X8"/>
    <mergeCell ref="O7:P8"/>
    <mergeCell ref="K6:T6"/>
    <mergeCell ref="W5:X5"/>
    <mergeCell ref="G5:G9"/>
    <mergeCell ref="M5:N5"/>
    <mergeCell ref="AA5:AB5"/>
    <mergeCell ref="C53:D53"/>
    <mergeCell ref="Q7:R8"/>
    <mergeCell ref="K7:L8"/>
    <mergeCell ref="S7:T8"/>
    <mergeCell ref="D50:E50"/>
    <mergeCell ref="H5:H9"/>
    <mergeCell ref="D51:F51"/>
    <mergeCell ref="A5:F9"/>
    <mergeCell ref="I5:J5"/>
    <mergeCell ref="A1:AD1"/>
    <mergeCell ref="A2:AD2"/>
    <mergeCell ref="AC6:AD8"/>
    <mergeCell ref="A3:AD3"/>
    <mergeCell ref="Y6:Z8"/>
    <mergeCell ref="O5:P5"/>
    <mergeCell ref="K5:L5"/>
    <mergeCell ref="U5:V5"/>
    <mergeCell ref="AA6:AB8"/>
    <mergeCell ref="Y5:Z5"/>
    <mergeCell ref="AC5:AD5"/>
    <mergeCell ref="I6:J8"/>
    <mergeCell ref="B129:F129"/>
    <mergeCell ref="E80:F80"/>
    <mergeCell ref="D91:F91"/>
    <mergeCell ref="D106:F106"/>
    <mergeCell ref="D117:F117"/>
    <mergeCell ref="E124:F124"/>
    <mergeCell ref="E128:F128"/>
    <mergeCell ref="U6:V8"/>
  </mergeCells>
  <phoneticPr fontId="0" type="noConversion"/>
  <dataValidations count="1">
    <dataValidation type="decimal" operator="lessThan" allowBlank="1" showInputMessage="1" showErrorMessage="1" sqref="I10:FN587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6b4&amp;8&amp;U
&amp;P of &amp;N&amp;C&amp;"Arial,Bold"&amp;8 ALLIED BANKING CORP  [ 02-000000 ]
 As of: January 31, 2008</oddHeader>
  </headerFooter>
  <drawing r:id="rId2"/>
  <legacyDrawing r:id="rId3"/>
  <controls>
    <mc:AlternateContent xmlns:mc="http://schemas.openxmlformats.org/markup-compatibility/2006">
      <mc:Choice Requires="x14">
        <control shapeId="12289" r:id="rId4" name="Label1">
          <controlPr defaultSize="0" autoLine="0" r:id="rId5">
            <anchor moveWithCells="1">
              <from>
                <xdr:col>7</xdr:col>
                <xdr:colOff>238125</xdr:colOff>
                <xdr:row>17</xdr:row>
                <xdr:rowOff>28575</xdr:rowOff>
              </from>
              <to>
                <xdr:col>7</xdr:col>
                <xdr:colOff>647700</xdr:colOff>
                <xdr:row>18</xdr:row>
                <xdr:rowOff>28575</xdr:rowOff>
              </to>
            </anchor>
          </controlPr>
        </control>
      </mc:Choice>
      <mc:Fallback>
        <control shapeId="12289" r:id="rId4" name="Label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N68"/>
  <sheetViews>
    <sheetView zoomScale="75" zoomScaleNormal="75" zoomScaleSheetLayoutView="50" workbookViewId="0">
      <pane xSplit="8" ySplit="9" topLeftCell="I14" activePane="bottomRight" state="frozen"/>
      <selection pane="topRight" activeCell="I1" sqref="I1"/>
      <selection pane="bottomLeft" activeCell="A10" sqref="A10"/>
      <selection pane="bottomRight" activeCell="I14" sqref="I14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52.85546875" style="1" customWidth="1"/>
    <col min="6" max="6" width="50.140625" style="1" hidden="1" customWidth="1"/>
    <col min="7" max="7" width="17.5703125" style="9" customWidth="1"/>
    <col min="8" max="8" width="10.7109375" style="9" customWidth="1"/>
    <col min="9" max="13" width="19.7109375" style="1" customWidth="1"/>
    <col min="14" max="15" width="19.7109375" style="1" hidden="1" customWidth="1"/>
    <col min="16" max="21" width="19.7109375" style="1" customWidth="1"/>
    <col min="22" max="23" width="19.7109375" style="1" hidden="1" customWidth="1"/>
    <col min="24" max="29" width="19.7109375" style="1" customWidth="1"/>
    <col min="30" max="31" width="19.7109375" style="1" hidden="1" customWidth="1"/>
    <col min="32" max="37" width="19.7109375" style="1" customWidth="1"/>
    <col min="38" max="39" width="19.7109375" style="1" hidden="1" customWidth="1"/>
    <col min="40" max="40" width="19.7109375" style="1" customWidth="1"/>
    <col min="41" max="16384" width="9.140625" style="1"/>
  </cols>
  <sheetData>
    <row r="1" spans="1:40" ht="12.75" x14ac:dyDescent="0.2">
      <c r="A1" s="512" t="s">
        <v>329</v>
      </c>
      <c r="B1" s="512"/>
      <c r="C1" s="512"/>
      <c r="D1" s="512"/>
      <c r="E1" s="512"/>
      <c r="F1" s="512"/>
      <c r="G1" s="512"/>
      <c r="H1" s="512"/>
      <c r="I1" s="512"/>
      <c r="J1" s="512"/>
      <c r="K1" s="512"/>
      <c r="L1" s="512"/>
      <c r="M1" s="512"/>
      <c r="N1" s="512"/>
      <c r="O1" s="512"/>
      <c r="P1" s="512"/>
      <c r="Q1" s="512"/>
      <c r="R1" s="512"/>
      <c r="S1" s="512"/>
      <c r="T1" s="512"/>
      <c r="U1" s="512"/>
      <c r="V1" s="512"/>
      <c r="W1" s="512"/>
      <c r="X1" s="512"/>
      <c r="Y1" s="512"/>
      <c r="Z1" s="512"/>
      <c r="AA1" s="512"/>
      <c r="AB1" s="512"/>
      <c r="AC1" s="512"/>
      <c r="AD1" s="512"/>
      <c r="AE1" s="512"/>
      <c r="AF1" s="512"/>
      <c r="AG1" s="512"/>
      <c r="AH1" s="512"/>
      <c r="AI1" s="512"/>
      <c r="AJ1" s="512"/>
      <c r="AK1" s="512"/>
      <c r="AL1" s="512"/>
      <c r="AM1" s="512"/>
      <c r="AN1" s="512"/>
    </row>
    <row r="2" spans="1:40" hidden="1" x14ac:dyDescent="0.2"/>
    <row r="3" spans="1:40" hidden="1" x14ac:dyDescent="0.2"/>
    <row r="4" spans="1:40" hidden="1" x14ac:dyDescent="0.2"/>
    <row r="6" spans="1:40" hidden="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</row>
    <row r="7" spans="1:40" x14ac:dyDescent="0.2">
      <c r="A7" s="504" t="s">
        <v>0</v>
      </c>
      <c r="B7" s="505"/>
      <c r="C7" s="505"/>
      <c r="D7" s="505"/>
      <c r="E7" s="505"/>
      <c r="F7" s="506"/>
      <c r="G7" s="603" t="s">
        <v>2</v>
      </c>
      <c r="H7" s="493" t="s">
        <v>414</v>
      </c>
      <c r="I7" s="518" t="s">
        <v>354</v>
      </c>
      <c r="J7" s="533"/>
      <c r="K7" s="533"/>
      <c r="L7" s="533"/>
      <c r="M7" s="533"/>
      <c r="N7" s="533"/>
      <c r="O7" s="533"/>
      <c r="P7" s="521"/>
      <c r="Q7" s="518" t="s">
        <v>564</v>
      </c>
      <c r="R7" s="533"/>
      <c r="S7" s="533"/>
      <c r="T7" s="533"/>
      <c r="U7" s="533"/>
      <c r="V7" s="533"/>
      <c r="W7" s="533"/>
      <c r="X7" s="521"/>
      <c r="Y7" s="518" t="s">
        <v>395</v>
      </c>
      <c r="Z7" s="533"/>
      <c r="AA7" s="533"/>
      <c r="AB7" s="533"/>
      <c r="AC7" s="533"/>
      <c r="AD7" s="533"/>
      <c r="AE7" s="533"/>
      <c r="AF7" s="521"/>
      <c r="AG7" s="518" t="s">
        <v>396</v>
      </c>
      <c r="AH7" s="533"/>
      <c r="AI7" s="533"/>
      <c r="AJ7" s="533"/>
      <c r="AK7" s="533"/>
      <c r="AL7" s="533"/>
      <c r="AM7" s="533"/>
      <c r="AN7" s="521"/>
    </row>
    <row r="8" spans="1:40" x14ac:dyDescent="0.2">
      <c r="A8" s="507"/>
      <c r="B8" s="508"/>
      <c r="C8" s="508"/>
      <c r="D8" s="508"/>
      <c r="E8" s="508"/>
      <c r="F8" s="509"/>
      <c r="G8" s="604"/>
      <c r="H8" s="494"/>
      <c r="I8" s="497" t="s">
        <v>3</v>
      </c>
      <c r="J8" s="491" t="s">
        <v>4</v>
      </c>
      <c r="K8" s="492"/>
      <c r="L8" s="491" t="s">
        <v>7</v>
      </c>
      <c r="M8" s="492"/>
      <c r="N8" s="491" t="s">
        <v>391</v>
      </c>
      <c r="O8" s="492"/>
      <c r="P8" s="497" t="s">
        <v>68</v>
      </c>
      <c r="Q8" s="497" t="s">
        <v>3</v>
      </c>
      <c r="R8" s="491" t="s">
        <v>4</v>
      </c>
      <c r="S8" s="492"/>
      <c r="T8" s="491" t="s">
        <v>7</v>
      </c>
      <c r="U8" s="492"/>
      <c r="V8" s="491" t="s">
        <v>391</v>
      </c>
      <c r="W8" s="492"/>
      <c r="X8" s="497" t="s">
        <v>68</v>
      </c>
      <c r="Y8" s="497" t="s">
        <v>3</v>
      </c>
      <c r="Z8" s="491" t="s">
        <v>4</v>
      </c>
      <c r="AA8" s="492"/>
      <c r="AB8" s="491" t="s">
        <v>7</v>
      </c>
      <c r="AC8" s="492"/>
      <c r="AD8" s="491" t="s">
        <v>391</v>
      </c>
      <c r="AE8" s="492"/>
      <c r="AF8" s="497" t="s">
        <v>68</v>
      </c>
      <c r="AG8" s="497" t="s">
        <v>3</v>
      </c>
      <c r="AH8" s="491" t="s">
        <v>4</v>
      </c>
      <c r="AI8" s="492"/>
      <c r="AJ8" s="491" t="s">
        <v>7</v>
      </c>
      <c r="AK8" s="492"/>
      <c r="AL8" s="491" t="s">
        <v>391</v>
      </c>
      <c r="AM8" s="492"/>
      <c r="AN8" s="497" t="s">
        <v>68</v>
      </c>
    </row>
    <row r="9" spans="1:40" x14ac:dyDescent="0.2">
      <c r="A9" s="507"/>
      <c r="B9" s="508"/>
      <c r="C9" s="508"/>
      <c r="D9" s="508"/>
      <c r="E9" s="508"/>
      <c r="F9" s="509"/>
      <c r="G9" s="605"/>
      <c r="H9" s="495"/>
      <c r="I9" s="498"/>
      <c r="J9" s="8" t="s">
        <v>5</v>
      </c>
      <c r="K9" s="8" t="s">
        <v>6</v>
      </c>
      <c r="L9" s="8" t="s">
        <v>5</v>
      </c>
      <c r="M9" s="10" t="s">
        <v>6</v>
      </c>
      <c r="N9" s="8" t="s">
        <v>5</v>
      </c>
      <c r="O9" s="10" t="s">
        <v>6</v>
      </c>
      <c r="P9" s="498"/>
      <c r="Q9" s="498"/>
      <c r="R9" s="8" t="s">
        <v>5</v>
      </c>
      <c r="S9" s="8" t="s">
        <v>6</v>
      </c>
      <c r="T9" s="8" t="s">
        <v>5</v>
      </c>
      <c r="U9" s="10" t="s">
        <v>6</v>
      </c>
      <c r="V9" s="8" t="s">
        <v>5</v>
      </c>
      <c r="W9" s="10" t="s">
        <v>6</v>
      </c>
      <c r="X9" s="498"/>
      <c r="Y9" s="498"/>
      <c r="Z9" s="8" t="s">
        <v>5</v>
      </c>
      <c r="AA9" s="8" t="s">
        <v>6</v>
      </c>
      <c r="AB9" s="8" t="s">
        <v>5</v>
      </c>
      <c r="AC9" s="10" t="s">
        <v>6</v>
      </c>
      <c r="AD9" s="8" t="s">
        <v>5</v>
      </c>
      <c r="AE9" s="10" t="s">
        <v>6</v>
      </c>
      <c r="AF9" s="498"/>
      <c r="AG9" s="498"/>
      <c r="AH9" s="8" t="s">
        <v>5</v>
      </c>
      <c r="AI9" s="8" t="s">
        <v>6</v>
      </c>
      <c r="AJ9" s="8" t="s">
        <v>5</v>
      </c>
      <c r="AK9" s="10" t="s">
        <v>6</v>
      </c>
      <c r="AL9" s="8" t="s">
        <v>5</v>
      </c>
      <c r="AM9" s="10" t="s">
        <v>6</v>
      </c>
      <c r="AN9" s="498"/>
    </row>
    <row r="10" spans="1:40" x14ac:dyDescent="0.2">
      <c r="A10" s="117" t="s">
        <v>185</v>
      </c>
      <c r="B10" s="124"/>
      <c r="C10" s="124"/>
      <c r="D10" s="124"/>
      <c r="E10" s="125"/>
      <c r="F10" s="121"/>
      <c r="G10" s="108"/>
      <c r="H10" s="18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</row>
    <row r="11" spans="1:40" x14ac:dyDescent="0.2">
      <c r="A11" s="113" t="s">
        <v>186</v>
      </c>
      <c r="B11" s="14" t="s">
        <v>187</v>
      </c>
      <c r="C11" s="39"/>
      <c r="D11" s="39"/>
      <c r="E11" s="39"/>
      <c r="F11" s="128"/>
      <c r="G11" s="457" t="s">
        <v>330</v>
      </c>
      <c r="H11" s="18"/>
      <c r="I11" s="78">
        <f t="shared" ref="I11:O11" si="0">SUM(I12,I24,I25,I28)</f>
        <v>0</v>
      </c>
      <c r="J11" s="78">
        <f t="shared" si="0"/>
        <v>0</v>
      </c>
      <c r="K11" s="78">
        <f t="shared" si="0"/>
        <v>0</v>
      </c>
      <c r="L11" s="78">
        <f t="shared" si="0"/>
        <v>0</v>
      </c>
      <c r="M11" s="78">
        <f t="shared" si="0"/>
        <v>0</v>
      </c>
      <c r="N11" s="78">
        <f t="shared" si="0"/>
        <v>0</v>
      </c>
      <c r="O11" s="78">
        <f t="shared" si="0"/>
        <v>0</v>
      </c>
      <c r="P11" s="78">
        <f t="shared" ref="P11:P40" si="1">SUM(I11,K11,M11,O11)</f>
        <v>0</v>
      </c>
      <c r="Q11" s="78">
        <f t="shared" ref="Q11:W11" si="2">SUM(Q12,Q24,Q25,Q28)</f>
        <v>0</v>
      </c>
      <c r="R11" s="78">
        <f t="shared" si="2"/>
        <v>0</v>
      </c>
      <c r="S11" s="78">
        <f t="shared" si="2"/>
        <v>0</v>
      </c>
      <c r="T11" s="78">
        <f t="shared" si="2"/>
        <v>0</v>
      </c>
      <c r="U11" s="78">
        <f t="shared" si="2"/>
        <v>0</v>
      </c>
      <c r="V11" s="78">
        <f t="shared" si="2"/>
        <v>0</v>
      </c>
      <c r="W11" s="78">
        <f t="shared" si="2"/>
        <v>0</v>
      </c>
      <c r="X11" s="78">
        <f t="shared" ref="X11:X40" si="3">SUM(Q11,S11,U11,W11)</f>
        <v>0</v>
      </c>
      <c r="Y11" s="78">
        <f t="shared" ref="Y11:AE11" si="4">SUM(Y12,Y24,Y25,Y28)</f>
        <v>0</v>
      </c>
      <c r="Z11" s="78">
        <f t="shared" si="4"/>
        <v>0</v>
      </c>
      <c r="AA11" s="78">
        <f t="shared" si="4"/>
        <v>0</v>
      </c>
      <c r="AB11" s="78">
        <f t="shared" si="4"/>
        <v>0</v>
      </c>
      <c r="AC11" s="78">
        <f t="shared" si="4"/>
        <v>0</v>
      </c>
      <c r="AD11" s="78">
        <f t="shared" si="4"/>
        <v>0</v>
      </c>
      <c r="AE11" s="78">
        <f t="shared" si="4"/>
        <v>0</v>
      </c>
      <c r="AF11" s="78">
        <f t="shared" ref="AF11:AF40" si="5">SUM(Y11,AA11,AC11,AE11)</f>
        <v>0</v>
      </c>
      <c r="AG11" s="78">
        <f t="shared" ref="AG11:AG32" si="6">(I11+Q11) - Y11</f>
        <v>0</v>
      </c>
      <c r="AH11" s="78">
        <f t="shared" ref="AH11:AH32" si="7">(J11+R11) - Z11</f>
        <v>0</v>
      </c>
      <c r="AI11" s="78">
        <f t="shared" ref="AI11:AI32" si="8">(K11+S11) - AA11</f>
        <v>0</v>
      </c>
      <c r="AJ11" s="78">
        <f t="shared" ref="AJ11:AJ32" si="9">(L11+T11) - AB11</f>
        <v>0</v>
      </c>
      <c r="AK11" s="78">
        <f t="shared" ref="AK11:AK32" si="10">(M11+U11) - AC11</f>
        <v>0</v>
      </c>
      <c r="AL11" s="78">
        <f>(N11+V11) - AD11</f>
        <v>0</v>
      </c>
      <c r="AM11" s="78">
        <f>(O11+W11) - AE11</f>
        <v>0</v>
      </c>
      <c r="AN11" s="78">
        <f t="shared" ref="AN11:AN40" si="11">(P11+X11) - AF11</f>
        <v>0</v>
      </c>
    </row>
    <row r="12" spans="1:40" x14ac:dyDescent="0.2">
      <c r="A12" s="129"/>
      <c r="B12" s="124" t="s">
        <v>188</v>
      </c>
      <c r="C12" s="124" t="s">
        <v>823</v>
      </c>
      <c r="D12" s="124"/>
      <c r="E12" s="125"/>
      <c r="F12" s="128"/>
      <c r="G12" s="457" t="s">
        <v>331</v>
      </c>
      <c r="H12" s="18"/>
      <c r="I12" s="78">
        <f t="shared" ref="I12:O12" si="12">I13+I19+I20</f>
        <v>0</v>
      </c>
      <c r="J12" s="78">
        <f t="shared" si="12"/>
        <v>0</v>
      </c>
      <c r="K12" s="78">
        <f t="shared" si="12"/>
        <v>0</v>
      </c>
      <c r="L12" s="78">
        <f t="shared" si="12"/>
        <v>0</v>
      </c>
      <c r="M12" s="78">
        <f t="shared" si="12"/>
        <v>0</v>
      </c>
      <c r="N12" s="78">
        <f t="shared" si="12"/>
        <v>0</v>
      </c>
      <c r="O12" s="78">
        <f t="shared" si="12"/>
        <v>0</v>
      </c>
      <c r="P12" s="78">
        <f t="shared" si="1"/>
        <v>0</v>
      </c>
      <c r="Q12" s="78">
        <f t="shared" ref="Q12:W12" si="13">Q13+Q19+Q20</f>
        <v>0</v>
      </c>
      <c r="R12" s="78">
        <f t="shared" si="13"/>
        <v>0</v>
      </c>
      <c r="S12" s="78">
        <f t="shared" si="13"/>
        <v>0</v>
      </c>
      <c r="T12" s="78">
        <f t="shared" si="13"/>
        <v>0</v>
      </c>
      <c r="U12" s="78">
        <f t="shared" si="13"/>
        <v>0</v>
      </c>
      <c r="V12" s="78">
        <f t="shared" si="13"/>
        <v>0</v>
      </c>
      <c r="W12" s="78">
        <f t="shared" si="13"/>
        <v>0</v>
      </c>
      <c r="X12" s="78">
        <f t="shared" si="3"/>
        <v>0</v>
      </c>
      <c r="Y12" s="78">
        <f t="shared" ref="Y12:AE12" si="14">Y13+Y19+Y20</f>
        <v>0</v>
      </c>
      <c r="Z12" s="78">
        <f t="shared" si="14"/>
        <v>0</v>
      </c>
      <c r="AA12" s="78">
        <f t="shared" si="14"/>
        <v>0</v>
      </c>
      <c r="AB12" s="78">
        <f t="shared" si="14"/>
        <v>0</v>
      </c>
      <c r="AC12" s="78">
        <f t="shared" si="14"/>
        <v>0</v>
      </c>
      <c r="AD12" s="78">
        <f t="shared" si="14"/>
        <v>0</v>
      </c>
      <c r="AE12" s="78">
        <f t="shared" si="14"/>
        <v>0</v>
      </c>
      <c r="AF12" s="78">
        <f t="shared" si="5"/>
        <v>0</v>
      </c>
      <c r="AG12" s="78">
        <f t="shared" si="6"/>
        <v>0</v>
      </c>
      <c r="AH12" s="78">
        <f t="shared" si="7"/>
        <v>0</v>
      </c>
      <c r="AI12" s="78">
        <f t="shared" si="8"/>
        <v>0</v>
      </c>
      <c r="AJ12" s="78">
        <f t="shared" si="9"/>
        <v>0</v>
      </c>
      <c r="AK12" s="78">
        <f t="shared" si="10"/>
        <v>0</v>
      </c>
      <c r="AL12" s="78">
        <f t="shared" ref="AL12:AL40" si="15">(N12+V12) - AD12</f>
        <v>0</v>
      </c>
      <c r="AM12" s="78">
        <f t="shared" ref="AM12:AM40" si="16">(O12+W12) - AE12</f>
        <v>0</v>
      </c>
      <c r="AN12" s="78">
        <f t="shared" si="11"/>
        <v>0</v>
      </c>
    </row>
    <row r="13" spans="1:40" x14ac:dyDescent="0.2">
      <c r="A13" s="129"/>
      <c r="B13" s="124"/>
      <c r="C13" s="130">
        <v>-1</v>
      </c>
      <c r="D13" s="124" t="s">
        <v>189</v>
      </c>
      <c r="E13" s="124"/>
      <c r="F13" s="128"/>
      <c r="G13" s="457" t="s">
        <v>332</v>
      </c>
      <c r="H13" s="18"/>
      <c r="I13" s="78">
        <f>I14+I15+I16</f>
        <v>0</v>
      </c>
      <c r="J13" s="78">
        <f t="shared" ref="J13:O13" si="17">J14+J15+J16</f>
        <v>0</v>
      </c>
      <c r="K13" s="78">
        <f t="shared" si="17"/>
        <v>0</v>
      </c>
      <c r="L13" s="78">
        <f t="shared" si="17"/>
        <v>0</v>
      </c>
      <c r="M13" s="78">
        <f t="shared" si="17"/>
        <v>0</v>
      </c>
      <c r="N13" s="78">
        <f t="shared" si="17"/>
        <v>0</v>
      </c>
      <c r="O13" s="78">
        <f t="shared" si="17"/>
        <v>0</v>
      </c>
      <c r="P13" s="78">
        <f t="shared" si="1"/>
        <v>0</v>
      </c>
      <c r="Q13" s="78">
        <f>Q14+Q15+Q16</f>
        <v>0</v>
      </c>
      <c r="R13" s="78">
        <f t="shared" ref="R13:W13" si="18">R14+R15+R16</f>
        <v>0</v>
      </c>
      <c r="S13" s="78">
        <f t="shared" si="18"/>
        <v>0</v>
      </c>
      <c r="T13" s="78">
        <f t="shared" si="18"/>
        <v>0</v>
      </c>
      <c r="U13" s="78">
        <f t="shared" si="18"/>
        <v>0</v>
      </c>
      <c r="V13" s="78">
        <f t="shared" si="18"/>
        <v>0</v>
      </c>
      <c r="W13" s="78">
        <f t="shared" si="18"/>
        <v>0</v>
      </c>
      <c r="X13" s="78">
        <f t="shared" si="3"/>
        <v>0</v>
      </c>
      <c r="Y13" s="78">
        <f>Y14+Y15+Y16</f>
        <v>0</v>
      </c>
      <c r="Z13" s="78">
        <f t="shared" ref="Z13:AE13" si="19">Z14+Z15+Z16</f>
        <v>0</v>
      </c>
      <c r="AA13" s="78">
        <f t="shared" si="19"/>
        <v>0</v>
      </c>
      <c r="AB13" s="78">
        <f t="shared" si="19"/>
        <v>0</v>
      </c>
      <c r="AC13" s="78">
        <f t="shared" si="19"/>
        <v>0</v>
      </c>
      <c r="AD13" s="78">
        <f t="shared" si="19"/>
        <v>0</v>
      </c>
      <c r="AE13" s="78">
        <f t="shared" si="19"/>
        <v>0</v>
      </c>
      <c r="AF13" s="78">
        <f t="shared" si="5"/>
        <v>0</v>
      </c>
      <c r="AG13" s="78">
        <f t="shared" si="6"/>
        <v>0</v>
      </c>
      <c r="AH13" s="78">
        <f t="shared" si="7"/>
        <v>0</v>
      </c>
      <c r="AI13" s="78">
        <f t="shared" si="8"/>
        <v>0</v>
      </c>
      <c r="AJ13" s="78">
        <f t="shared" si="9"/>
        <v>0</v>
      </c>
      <c r="AK13" s="78">
        <f t="shared" si="10"/>
        <v>0</v>
      </c>
      <c r="AL13" s="78">
        <f t="shared" si="15"/>
        <v>0</v>
      </c>
      <c r="AM13" s="78">
        <f t="shared" si="16"/>
        <v>0</v>
      </c>
      <c r="AN13" s="78">
        <f t="shared" si="11"/>
        <v>0</v>
      </c>
    </row>
    <row r="14" spans="1:40" x14ac:dyDescent="0.2">
      <c r="A14" s="129"/>
      <c r="B14" s="124"/>
      <c r="C14" s="130"/>
      <c r="D14" s="196" t="s">
        <v>11</v>
      </c>
      <c r="E14" s="196" t="s">
        <v>789</v>
      </c>
      <c r="F14" s="125"/>
      <c r="G14" s="457" t="s">
        <v>824</v>
      </c>
      <c r="H14" s="18"/>
      <c r="I14" s="61"/>
      <c r="J14" s="61"/>
      <c r="K14" s="61"/>
      <c r="L14" s="61"/>
      <c r="M14" s="61"/>
      <c r="N14" s="61"/>
      <c r="O14" s="61"/>
      <c r="P14" s="78">
        <f t="shared" si="1"/>
        <v>0</v>
      </c>
      <c r="Q14" s="61"/>
      <c r="R14" s="61"/>
      <c r="S14" s="61"/>
      <c r="T14" s="61"/>
      <c r="U14" s="61"/>
      <c r="V14" s="61"/>
      <c r="W14" s="61"/>
      <c r="X14" s="78">
        <f t="shared" si="3"/>
        <v>0</v>
      </c>
      <c r="Y14" s="61"/>
      <c r="Z14" s="61"/>
      <c r="AA14" s="61"/>
      <c r="AB14" s="61"/>
      <c r="AC14" s="61"/>
      <c r="AD14" s="61"/>
      <c r="AE14" s="61"/>
      <c r="AF14" s="78">
        <f t="shared" si="5"/>
        <v>0</v>
      </c>
      <c r="AG14" s="78">
        <f t="shared" si="6"/>
        <v>0</v>
      </c>
      <c r="AH14" s="78">
        <f t="shared" si="7"/>
        <v>0</v>
      </c>
      <c r="AI14" s="78">
        <f t="shared" si="8"/>
        <v>0</v>
      </c>
      <c r="AJ14" s="78">
        <f t="shared" si="9"/>
        <v>0</v>
      </c>
      <c r="AK14" s="78">
        <f t="shared" si="10"/>
        <v>0</v>
      </c>
      <c r="AL14" s="78">
        <f t="shared" si="15"/>
        <v>0</v>
      </c>
      <c r="AM14" s="78">
        <f t="shared" si="16"/>
        <v>0</v>
      </c>
      <c r="AN14" s="78">
        <f t="shared" si="11"/>
        <v>0</v>
      </c>
    </row>
    <row r="15" spans="1:40" x14ac:dyDescent="0.2">
      <c r="A15" s="129"/>
      <c r="B15" s="124"/>
      <c r="C15" s="130"/>
      <c r="D15" s="124" t="s">
        <v>15</v>
      </c>
      <c r="E15" s="196" t="s">
        <v>790</v>
      </c>
      <c r="F15" s="197"/>
      <c r="G15" s="457" t="s">
        <v>825</v>
      </c>
      <c r="H15" s="18"/>
      <c r="I15" s="61"/>
      <c r="J15" s="61"/>
      <c r="K15" s="61"/>
      <c r="L15" s="61"/>
      <c r="M15" s="61"/>
      <c r="N15" s="61"/>
      <c r="O15" s="61"/>
      <c r="P15" s="78">
        <f t="shared" si="1"/>
        <v>0</v>
      </c>
      <c r="Q15" s="61"/>
      <c r="R15" s="61"/>
      <c r="S15" s="61"/>
      <c r="T15" s="61"/>
      <c r="U15" s="61"/>
      <c r="V15" s="61"/>
      <c r="W15" s="61"/>
      <c r="X15" s="78">
        <f t="shared" si="3"/>
        <v>0</v>
      </c>
      <c r="Y15" s="61"/>
      <c r="Z15" s="61"/>
      <c r="AA15" s="61"/>
      <c r="AB15" s="61"/>
      <c r="AC15" s="61"/>
      <c r="AD15" s="61"/>
      <c r="AE15" s="61"/>
      <c r="AF15" s="78">
        <f t="shared" si="5"/>
        <v>0</v>
      </c>
      <c r="AG15" s="78">
        <f t="shared" si="6"/>
        <v>0</v>
      </c>
      <c r="AH15" s="78">
        <f t="shared" si="7"/>
        <v>0</v>
      </c>
      <c r="AI15" s="78">
        <f t="shared" si="8"/>
        <v>0</v>
      </c>
      <c r="AJ15" s="78">
        <f t="shared" si="9"/>
        <v>0</v>
      </c>
      <c r="AK15" s="78">
        <f t="shared" si="10"/>
        <v>0</v>
      </c>
      <c r="AL15" s="78">
        <f t="shared" si="15"/>
        <v>0</v>
      </c>
      <c r="AM15" s="78">
        <f t="shared" si="16"/>
        <v>0</v>
      </c>
      <c r="AN15" s="78">
        <f t="shared" si="11"/>
        <v>0</v>
      </c>
    </row>
    <row r="16" spans="1:40" x14ac:dyDescent="0.2">
      <c r="A16" s="129"/>
      <c r="B16" s="124"/>
      <c r="C16" s="130"/>
      <c r="D16" s="124" t="s">
        <v>25</v>
      </c>
      <c r="E16" s="196" t="s">
        <v>791</v>
      </c>
      <c r="F16" s="197"/>
      <c r="G16" s="457" t="s">
        <v>826</v>
      </c>
      <c r="H16" s="85" t="s">
        <v>751</v>
      </c>
      <c r="I16" s="78">
        <f>SUM(I17:I18)</f>
        <v>0</v>
      </c>
      <c r="J16" s="78">
        <f t="shared" ref="J16:Q16" si="20">SUM(J17:J18)</f>
        <v>0</v>
      </c>
      <c r="K16" s="78">
        <f t="shared" si="20"/>
        <v>0</v>
      </c>
      <c r="L16" s="78">
        <f t="shared" si="20"/>
        <v>0</v>
      </c>
      <c r="M16" s="78">
        <f t="shared" si="20"/>
        <v>0</v>
      </c>
      <c r="N16" s="78">
        <f t="shared" si="20"/>
        <v>0</v>
      </c>
      <c r="O16" s="78">
        <f t="shared" si="20"/>
        <v>0</v>
      </c>
      <c r="P16" s="78">
        <f t="shared" si="1"/>
        <v>0</v>
      </c>
      <c r="Q16" s="78">
        <f t="shared" si="20"/>
        <v>0</v>
      </c>
      <c r="R16" s="78">
        <f t="shared" ref="R16:W16" si="21">SUM(R17:R18)</f>
        <v>0</v>
      </c>
      <c r="S16" s="78">
        <f t="shared" si="21"/>
        <v>0</v>
      </c>
      <c r="T16" s="78">
        <f t="shared" si="21"/>
        <v>0</v>
      </c>
      <c r="U16" s="78">
        <f t="shared" si="21"/>
        <v>0</v>
      </c>
      <c r="V16" s="78">
        <f t="shared" si="21"/>
        <v>0</v>
      </c>
      <c r="W16" s="78">
        <f t="shared" si="21"/>
        <v>0</v>
      </c>
      <c r="X16" s="78">
        <f t="shared" si="3"/>
        <v>0</v>
      </c>
      <c r="Y16" s="78">
        <f t="shared" ref="Y16:AE16" si="22">SUM(Y17:Y18)</f>
        <v>0</v>
      </c>
      <c r="Z16" s="78">
        <f t="shared" si="22"/>
        <v>0</v>
      </c>
      <c r="AA16" s="78">
        <f t="shared" si="22"/>
        <v>0</v>
      </c>
      <c r="AB16" s="78">
        <f t="shared" si="22"/>
        <v>0</v>
      </c>
      <c r="AC16" s="78">
        <f t="shared" si="22"/>
        <v>0</v>
      </c>
      <c r="AD16" s="78">
        <f t="shared" si="22"/>
        <v>0</v>
      </c>
      <c r="AE16" s="78">
        <f t="shared" si="22"/>
        <v>0</v>
      </c>
      <c r="AF16" s="78">
        <f t="shared" si="5"/>
        <v>0</v>
      </c>
      <c r="AG16" s="78">
        <f t="shared" si="6"/>
        <v>0</v>
      </c>
      <c r="AH16" s="78">
        <f t="shared" si="7"/>
        <v>0</v>
      </c>
      <c r="AI16" s="78">
        <f t="shared" si="8"/>
        <v>0</v>
      </c>
      <c r="AJ16" s="78">
        <f t="shared" si="9"/>
        <v>0</v>
      </c>
      <c r="AK16" s="78">
        <f t="shared" si="10"/>
        <v>0</v>
      </c>
      <c r="AL16" s="78">
        <f t="shared" si="15"/>
        <v>0</v>
      </c>
      <c r="AM16" s="78">
        <f t="shared" si="16"/>
        <v>0</v>
      </c>
      <c r="AN16" s="78">
        <f t="shared" si="11"/>
        <v>0</v>
      </c>
    </row>
    <row r="17" spans="1:40" x14ac:dyDescent="0.2">
      <c r="A17" s="279"/>
      <c r="B17" s="196"/>
      <c r="C17" s="195"/>
      <c r="D17" s="196"/>
      <c r="E17" s="318"/>
      <c r="F17" s="128"/>
      <c r="G17" s="457"/>
      <c r="H17" s="91">
        <v>1</v>
      </c>
      <c r="I17" s="61"/>
      <c r="J17" s="61"/>
      <c r="K17" s="61"/>
      <c r="L17" s="61"/>
      <c r="M17" s="61"/>
      <c r="N17" s="61"/>
      <c r="O17" s="61"/>
      <c r="P17" s="78">
        <f t="shared" si="1"/>
        <v>0</v>
      </c>
      <c r="Q17" s="61"/>
      <c r="R17" s="61"/>
      <c r="S17" s="61"/>
      <c r="T17" s="61"/>
      <c r="U17" s="61"/>
      <c r="V17" s="61"/>
      <c r="W17" s="61"/>
      <c r="X17" s="78">
        <f t="shared" si="3"/>
        <v>0</v>
      </c>
      <c r="Y17" s="61"/>
      <c r="Z17" s="61"/>
      <c r="AA17" s="61"/>
      <c r="AB17" s="61"/>
      <c r="AC17" s="61"/>
      <c r="AD17" s="61"/>
      <c r="AE17" s="61"/>
      <c r="AF17" s="78">
        <f t="shared" si="5"/>
        <v>0</v>
      </c>
      <c r="AG17" s="78">
        <f t="shared" ref="AG17:AN17" si="23">(I17+Q17) - Y17</f>
        <v>0</v>
      </c>
      <c r="AH17" s="78">
        <f t="shared" si="23"/>
        <v>0</v>
      </c>
      <c r="AI17" s="78">
        <f t="shared" si="23"/>
        <v>0</v>
      </c>
      <c r="AJ17" s="78">
        <f t="shared" si="23"/>
        <v>0</v>
      </c>
      <c r="AK17" s="78">
        <f t="shared" si="23"/>
        <v>0</v>
      </c>
      <c r="AL17" s="78">
        <f t="shared" si="23"/>
        <v>0</v>
      </c>
      <c r="AM17" s="78">
        <f t="shared" si="23"/>
        <v>0</v>
      </c>
      <c r="AN17" s="78">
        <f t="shared" si="23"/>
        <v>0</v>
      </c>
    </row>
    <row r="18" spans="1:40" x14ac:dyDescent="0.2">
      <c r="A18" s="127"/>
      <c r="B18" s="39"/>
      <c r="C18" s="131"/>
      <c r="D18" s="196"/>
      <c r="E18" s="196"/>
      <c r="F18" s="128"/>
      <c r="G18" s="457"/>
      <c r="H18" s="239" t="str">
        <f>CHAR(132)</f>
        <v>„</v>
      </c>
      <c r="I18" s="109"/>
      <c r="J18" s="109"/>
      <c r="K18" s="109"/>
      <c r="L18" s="109"/>
      <c r="M18" s="109"/>
      <c r="N18" s="109"/>
      <c r="O18" s="109"/>
      <c r="P18" s="73"/>
      <c r="Q18" s="109"/>
      <c r="R18" s="109"/>
      <c r="S18" s="109"/>
      <c r="T18" s="109"/>
      <c r="U18" s="109"/>
      <c r="V18" s="109"/>
      <c r="W18" s="109"/>
      <c r="X18" s="73"/>
      <c r="Y18" s="109"/>
      <c r="Z18" s="109"/>
      <c r="AA18" s="109"/>
      <c r="AB18" s="109"/>
      <c r="AC18" s="109"/>
      <c r="AD18" s="109"/>
      <c r="AE18" s="109"/>
      <c r="AF18" s="78"/>
      <c r="AG18" s="78"/>
      <c r="AH18" s="78"/>
      <c r="AI18" s="78"/>
      <c r="AJ18" s="78"/>
      <c r="AK18" s="78"/>
      <c r="AL18" s="78"/>
      <c r="AM18" s="78"/>
      <c r="AN18" s="78"/>
    </row>
    <row r="19" spans="1:40" x14ac:dyDescent="0.2">
      <c r="A19" s="129"/>
      <c r="B19" s="124"/>
      <c r="C19" s="130">
        <f>C13-1</f>
        <v>-2</v>
      </c>
      <c r="D19" s="124" t="s">
        <v>190</v>
      </c>
      <c r="E19" s="125"/>
      <c r="F19" s="128"/>
      <c r="G19" s="457" t="s">
        <v>333</v>
      </c>
      <c r="H19" s="18"/>
      <c r="I19" s="61"/>
      <c r="J19" s="79"/>
      <c r="K19" s="79"/>
      <c r="L19" s="79"/>
      <c r="M19" s="79"/>
      <c r="N19" s="82"/>
      <c r="O19" s="82"/>
      <c r="P19" s="78">
        <f t="shared" si="1"/>
        <v>0</v>
      </c>
      <c r="Q19" s="61"/>
      <c r="R19" s="79"/>
      <c r="S19" s="79"/>
      <c r="T19" s="79"/>
      <c r="U19" s="79"/>
      <c r="V19" s="82"/>
      <c r="W19" s="82"/>
      <c r="X19" s="78">
        <f t="shared" si="3"/>
        <v>0</v>
      </c>
      <c r="Y19" s="61"/>
      <c r="Z19" s="79"/>
      <c r="AA19" s="79"/>
      <c r="AB19" s="79"/>
      <c r="AC19" s="79"/>
      <c r="AD19" s="82"/>
      <c r="AE19" s="82"/>
      <c r="AF19" s="78">
        <f t="shared" si="5"/>
        <v>0</v>
      </c>
      <c r="AG19" s="78">
        <f t="shared" si="6"/>
        <v>0</v>
      </c>
      <c r="AH19" s="371"/>
      <c r="AI19" s="371"/>
      <c r="AJ19" s="371"/>
      <c r="AK19" s="371"/>
      <c r="AL19" s="78">
        <f t="shared" si="15"/>
        <v>0</v>
      </c>
      <c r="AM19" s="78">
        <f t="shared" si="16"/>
        <v>0</v>
      </c>
      <c r="AN19" s="78">
        <f t="shared" si="11"/>
        <v>0</v>
      </c>
    </row>
    <row r="20" spans="1:40" x14ac:dyDescent="0.2">
      <c r="A20" s="127"/>
      <c r="B20" s="39"/>
      <c r="C20" s="131">
        <f>C19-1</f>
        <v>-3</v>
      </c>
      <c r="D20" s="39" t="s">
        <v>191</v>
      </c>
      <c r="E20" s="39"/>
      <c r="F20" s="128"/>
      <c r="G20" s="457" t="s">
        <v>334</v>
      </c>
      <c r="H20" s="18"/>
      <c r="I20" s="78">
        <f t="shared" ref="I20:O20" si="24">SUM(I21,I22,I23)</f>
        <v>0</v>
      </c>
      <c r="J20" s="78">
        <f t="shared" si="24"/>
        <v>0</v>
      </c>
      <c r="K20" s="78">
        <f t="shared" si="24"/>
        <v>0</v>
      </c>
      <c r="L20" s="78">
        <f t="shared" si="24"/>
        <v>0</v>
      </c>
      <c r="M20" s="78">
        <f t="shared" si="24"/>
        <v>0</v>
      </c>
      <c r="N20" s="78">
        <f t="shared" si="24"/>
        <v>0</v>
      </c>
      <c r="O20" s="78">
        <f t="shared" si="24"/>
        <v>0</v>
      </c>
      <c r="P20" s="78">
        <f t="shared" si="1"/>
        <v>0</v>
      </c>
      <c r="Q20" s="78">
        <f t="shared" ref="Q20:W20" si="25">SUM(Q21,Q22,Q23)</f>
        <v>0</v>
      </c>
      <c r="R20" s="78">
        <f t="shared" si="25"/>
        <v>0</v>
      </c>
      <c r="S20" s="78">
        <f t="shared" si="25"/>
        <v>0</v>
      </c>
      <c r="T20" s="78">
        <f t="shared" si="25"/>
        <v>0</v>
      </c>
      <c r="U20" s="78">
        <f t="shared" si="25"/>
        <v>0</v>
      </c>
      <c r="V20" s="78">
        <f t="shared" si="25"/>
        <v>0</v>
      </c>
      <c r="W20" s="78">
        <f t="shared" si="25"/>
        <v>0</v>
      </c>
      <c r="X20" s="78">
        <f t="shared" si="3"/>
        <v>0</v>
      </c>
      <c r="Y20" s="78">
        <f t="shared" ref="Y20:AE20" si="26">SUM(Y21,Y22,Y23)</f>
        <v>0</v>
      </c>
      <c r="Z20" s="78">
        <f t="shared" si="26"/>
        <v>0</v>
      </c>
      <c r="AA20" s="78">
        <f t="shared" si="26"/>
        <v>0</v>
      </c>
      <c r="AB20" s="78">
        <f t="shared" si="26"/>
        <v>0</v>
      </c>
      <c r="AC20" s="78">
        <f t="shared" si="26"/>
        <v>0</v>
      </c>
      <c r="AD20" s="78">
        <f t="shared" si="26"/>
        <v>0</v>
      </c>
      <c r="AE20" s="78">
        <f t="shared" si="26"/>
        <v>0</v>
      </c>
      <c r="AF20" s="78">
        <f t="shared" si="5"/>
        <v>0</v>
      </c>
      <c r="AG20" s="78">
        <f t="shared" si="6"/>
        <v>0</v>
      </c>
      <c r="AH20" s="78">
        <f t="shared" si="7"/>
        <v>0</v>
      </c>
      <c r="AI20" s="78">
        <f t="shared" si="8"/>
        <v>0</v>
      </c>
      <c r="AJ20" s="78">
        <f t="shared" si="9"/>
        <v>0</v>
      </c>
      <c r="AK20" s="78">
        <f t="shared" si="10"/>
        <v>0</v>
      </c>
      <c r="AL20" s="78">
        <f t="shared" si="15"/>
        <v>0</v>
      </c>
      <c r="AM20" s="78">
        <f t="shared" si="16"/>
        <v>0</v>
      </c>
      <c r="AN20" s="78">
        <f t="shared" si="11"/>
        <v>0</v>
      </c>
    </row>
    <row r="21" spans="1:40" x14ac:dyDescent="0.2">
      <c r="A21" s="129"/>
      <c r="B21" s="124"/>
      <c r="C21" s="130"/>
      <c r="D21" s="124" t="s">
        <v>11</v>
      </c>
      <c r="E21" s="125" t="s">
        <v>192</v>
      </c>
      <c r="F21" s="128"/>
      <c r="G21" s="457" t="s">
        <v>335</v>
      </c>
      <c r="H21" s="18"/>
      <c r="I21" s="61"/>
      <c r="J21" s="61"/>
      <c r="K21" s="61"/>
      <c r="L21" s="61"/>
      <c r="M21" s="61"/>
      <c r="N21" s="61"/>
      <c r="O21" s="61"/>
      <c r="P21" s="78">
        <f t="shared" si="1"/>
        <v>0</v>
      </c>
      <c r="Q21" s="61"/>
      <c r="R21" s="61"/>
      <c r="S21" s="61"/>
      <c r="T21" s="61"/>
      <c r="U21" s="61"/>
      <c r="V21" s="61"/>
      <c r="W21" s="61"/>
      <c r="X21" s="78">
        <f t="shared" si="3"/>
        <v>0</v>
      </c>
      <c r="Y21" s="61"/>
      <c r="Z21" s="61"/>
      <c r="AA21" s="61"/>
      <c r="AB21" s="61"/>
      <c r="AC21" s="61"/>
      <c r="AD21" s="61"/>
      <c r="AE21" s="61"/>
      <c r="AF21" s="78">
        <f t="shared" si="5"/>
        <v>0</v>
      </c>
      <c r="AG21" s="78">
        <f t="shared" si="6"/>
        <v>0</v>
      </c>
      <c r="AH21" s="78">
        <f t="shared" si="7"/>
        <v>0</v>
      </c>
      <c r="AI21" s="78">
        <f t="shared" si="8"/>
        <v>0</v>
      </c>
      <c r="AJ21" s="78">
        <f t="shared" si="9"/>
        <v>0</v>
      </c>
      <c r="AK21" s="78">
        <f t="shared" si="10"/>
        <v>0</v>
      </c>
      <c r="AL21" s="78">
        <f t="shared" si="15"/>
        <v>0</v>
      </c>
      <c r="AM21" s="78">
        <f t="shared" si="16"/>
        <v>0</v>
      </c>
      <c r="AN21" s="78">
        <f t="shared" si="11"/>
        <v>0</v>
      </c>
    </row>
    <row r="22" spans="1:40" x14ac:dyDescent="0.2">
      <c r="A22" s="127"/>
      <c r="B22" s="39"/>
      <c r="C22" s="131"/>
      <c r="D22" s="39" t="s">
        <v>15</v>
      </c>
      <c r="E22" s="39" t="s">
        <v>203</v>
      </c>
      <c r="F22" s="128"/>
      <c r="G22" s="457" t="s">
        <v>336</v>
      </c>
      <c r="H22" s="18"/>
      <c r="I22" s="61"/>
      <c r="J22" s="61"/>
      <c r="K22" s="61"/>
      <c r="L22" s="61"/>
      <c r="M22" s="61"/>
      <c r="N22" s="61"/>
      <c r="O22" s="61"/>
      <c r="P22" s="78">
        <f t="shared" si="1"/>
        <v>0</v>
      </c>
      <c r="Q22" s="61"/>
      <c r="R22" s="61"/>
      <c r="S22" s="61"/>
      <c r="T22" s="61"/>
      <c r="U22" s="61"/>
      <c r="V22" s="61"/>
      <c r="W22" s="61"/>
      <c r="X22" s="78">
        <f t="shared" si="3"/>
        <v>0</v>
      </c>
      <c r="Y22" s="61"/>
      <c r="Z22" s="61"/>
      <c r="AA22" s="61"/>
      <c r="AB22" s="61"/>
      <c r="AC22" s="61"/>
      <c r="AD22" s="61"/>
      <c r="AE22" s="61"/>
      <c r="AF22" s="78">
        <f t="shared" si="5"/>
        <v>0</v>
      </c>
      <c r="AG22" s="78">
        <f t="shared" si="6"/>
        <v>0</v>
      </c>
      <c r="AH22" s="78">
        <f t="shared" si="7"/>
        <v>0</v>
      </c>
      <c r="AI22" s="78">
        <f t="shared" si="8"/>
        <v>0</v>
      </c>
      <c r="AJ22" s="78">
        <f t="shared" si="9"/>
        <v>0</v>
      </c>
      <c r="AK22" s="78">
        <f t="shared" si="10"/>
        <v>0</v>
      </c>
      <c r="AL22" s="78">
        <f t="shared" si="15"/>
        <v>0</v>
      </c>
      <c r="AM22" s="78">
        <f t="shared" si="16"/>
        <v>0</v>
      </c>
      <c r="AN22" s="78">
        <f t="shared" si="11"/>
        <v>0</v>
      </c>
    </row>
    <row r="23" spans="1:40" x14ac:dyDescent="0.2">
      <c r="A23" s="129"/>
      <c r="B23" s="124"/>
      <c r="C23" s="130"/>
      <c r="D23" s="124" t="s">
        <v>25</v>
      </c>
      <c r="E23" s="125" t="s">
        <v>194</v>
      </c>
      <c r="F23" s="128"/>
      <c r="G23" s="457" t="s">
        <v>337</v>
      </c>
      <c r="H23" s="18"/>
      <c r="I23" s="61"/>
      <c r="J23" s="61"/>
      <c r="K23" s="61"/>
      <c r="L23" s="61"/>
      <c r="M23" s="61"/>
      <c r="N23" s="61"/>
      <c r="O23" s="61"/>
      <c r="P23" s="78">
        <f t="shared" si="1"/>
        <v>0</v>
      </c>
      <c r="Q23" s="61"/>
      <c r="R23" s="61"/>
      <c r="S23" s="61"/>
      <c r="T23" s="61"/>
      <c r="U23" s="61"/>
      <c r="V23" s="61"/>
      <c r="W23" s="61"/>
      <c r="X23" s="78">
        <f t="shared" si="3"/>
        <v>0</v>
      </c>
      <c r="Y23" s="61"/>
      <c r="Z23" s="61"/>
      <c r="AA23" s="61"/>
      <c r="AB23" s="61"/>
      <c r="AC23" s="61"/>
      <c r="AD23" s="61"/>
      <c r="AE23" s="61"/>
      <c r="AF23" s="78">
        <f t="shared" si="5"/>
        <v>0</v>
      </c>
      <c r="AG23" s="78">
        <f t="shared" si="6"/>
        <v>0</v>
      </c>
      <c r="AH23" s="78">
        <f t="shared" si="7"/>
        <v>0</v>
      </c>
      <c r="AI23" s="78">
        <f t="shared" si="8"/>
        <v>0</v>
      </c>
      <c r="AJ23" s="78">
        <f t="shared" si="9"/>
        <v>0</v>
      </c>
      <c r="AK23" s="78">
        <f t="shared" si="10"/>
        <v>0</v>
      </c>
      <c r="AL23" s="78">
        <f t="shared" si="15"/>
        <v>0</v>
      </c>
      <c r="AM23" s="78">
        <f t="shared" si="16"/>
        <v>0</v>
      </c>
      <c r="AN23" s="78">
        <f t="shared" si="11"/>
        <v>0</v>
      </c>
    </row>
    <row r="24" spans="1:40" x14ac:dyDescent="0.2">
      <c r="A24" s="127"/>
      <c r="B24" s="39" t="s">
        <v>195</v>
      </c>
      <c r="C24" s="131" t="s">
        <v>196</v>
      </c>
      <c r="D24" s="39"/>
      <c r="E24" s="39"/>
      <c r="F24" s="128"/>
      <c r="G24" s="457" t="s">
        <v>338</v>
      </c>
      <c r="H24" s="18"/>
      <c r="I24" s="61"/>
      <c r="J24" s="61"/>
      <c r="K24" s="61"/>
      <c r="L24" s="61"/>
      <c r="M24" s="61"/>
      <c r="N24" s="61"/>
      <c r="O24" s="61"/>
      <c r="P24" s="78">
        <f t="shared" si="1"/>
        <v>0</v>
      </c>
      <c r="Q24" s="61"/>
      <c r="R24" s="61"/>
      <c r="S24" s="61"/>
      <c r="T24" s="61"/>
      <c r="U24" s="61"/>
      <c r="V24" s="61"/>
      <c r="W24" s="61"/>
      <c r="X24" s="78">
        <f t="shared" si="3"/>
        <v>0</v>
      </c>
      <c r="Y24" s="61"/>
      <c r="Z24" s="61"/>
      <c r="AA24" s="61"/>
      <c r="AB24" s="61"/>
      <c r="AC24" s="61"/>
      <c r="AD24" s="61"/>
      <c r="AE24" s="61"/>
      <c r="AF24" s="78">
        <f t="shared" si="5"/>
        <v>0</v>
      </c>
      <c r="AG24" s="78">
        <f t="shared" si="6"/>
        <v>0</v>
      </c>
      <c r="AH24" s="78">
        <f t="shared" si="7"/>
        <v>0</v>
      </c>
      <c r="AI24" s="78">
        <f t="shared" si="8"/>
        <v>0</v>
      </c>
      <c r="AJ24" s="78">
        <f t="shared" si="9"/>
        <v>0</v>
      </c>
      <c r="AK24" s="78">
        <f t="shared" si="10"/>
        <v>0</v>
      </c>
      <c r="AL24" s="78">
        <f t="shared" si="15"/>
        <v>0</v>
      </c>
      <c r="AM24" s="78">
        <f t="shared" si="16"/>
        <v>0</v>
      </c>
      <c r="AN24" s="78">
        <f t="shared" si="11"/>
        <v>0</v>
      </c>
    </row>
    <row r="25" spans="1:40" x14ac:dyDescent="0.2">
      <c r="A25" s="129"/>
      <c r="B25" s="124" t="s">
        <v>197</v>
      </c>
      <c r="C25" s="124" t="s">
        <v>198</v>
      </c>
      <c r="D25" s="124"/>
      <c r="E25" s="125"/>
      <c r="F25" s="128"/>
      <c r="G25" s="457" t="s">
        <v>339</v>
      </c>
      <c r="H25" s="18"/>
      <c r="I25" s="78">
        <f t="shared" ref="I25:O25" si="27">SUM(I26,I27)</f>
        <v>0</v>
      </c>
      <c r="J25" s="78">
        <f t="shared" si="27"/>
        <v>0</v>
      </c>
      <c r="K25" s="78">
        <f t="shared" si="27"/>
        <v>0</v>
      </c>
      <c r="L25" s="78">
        <f t="shared" si="27"/>
        <v>0</v>
      </c>
      <c r="M25" s="78">
        <f t="shared" si="27"/>
        <v>0</v>
      </c>
      <c r="N25" s="78">
        <f t="shared" si="27"/>
        <v>0</v>
      </c>
      <c r="O25" s="78">
        <f t="shared" si="27"/>
        <v>0</v>
      </c>
      <c r="P25" s="78">
        <f t="shared" si="1"/>
        <v>0</v>
      </c>
      <c r="Q25" s="78">
        <f t="shared" ref="Q25:W25" si="28">SUM(Q26,Q27)</f>
        <v>0</v>
      </c>
      <c r="R25" s="78">
        <f t="shared" si="28"/>
        <v>0</v>
      </c>
      <c r="S25" s="78">
        <f t="shared" si="28"/>
        <v>0</v>
      </c>
      <c r="T25" s="78">
        <f t="shared" si="28"/>
        <v>0</v>
      </c>
      <c r="U25" s="78">
        <f t="shared" si="28"/>
        <v>0</v>
      </c>
      <c r="V25" s="78">
        <f t="shared" si="28"/>
        <v>0</v>
      </c>
      <c r="W25" s="78">
        <f t="shared" si="28"/>
        <v>0</v>
      </c>
      <c r="X25" s="78">
        <f t="shared" si="3"/>
        <v>0</v>
      </c>
      <c r="Y25" s="78">
        <f t="shared" ref="Y25:AE25" si="29">SUM(Y26,Y27)</f>
        <v>0</v>
      </c>
      <c r="Z25" s="78">
        <f t="shared" si="29"/>
        <v>0</v>
      </c>
      <c r="AA25" s="78">
        <f t="shared" si="29"/>
        <v>0</v>
      </c>
      <c r="AB25" s="78">
        <f t="shared" si="29"/>
        <v>0</v>
      </c>
      <c r="AC25" s="78">
        <f t="shared" si="29"/>
        <v>0</v>
      </c>
      <c r="AD25" s="78">
        <f t="shared" si="29"/>
        <v>0</v>
      </c>
      <c r="AE25" s="78">
        <f t="shared" si="29"/>
        <v>0</v>
      </c>
      <c r="AF25" s="78">
        <f t="shared" si="5"/>
        <v>0</v>
      </c>
      <c r="AG25" s="78">
        <f t="shared" si="6"/>
        <v>0</v>
      </c>
      <c r="AH25" s="78">
        <f t="shared" si="7"/>
        <v>0</v>
      </c>
      <c r="AI25" s="78">
        <f t="shared" si="8"/>
        <v>0</v>
      </c>
      <c r="AJ25" s="78">
        <f t="shared" si="9"/>
        <v>0</v>
      </c>
      <c r="AK25" s="78">
        <f t="shared" si="10"/>
        <v>0</v>
      </c>
      <c r="AL25" s="78">
        <f t="shared" si="15"/>
        <v>0</v>
      </c>
      <c r="AM25" s="78">
        <f t="shared" si="16"/>
        <v>0</v>
      </c>
      <c r="AN25" s="78">
        <f t="shared" si="11"/>
        <v>0</v>
      </c>
    </row>
    <row r="26" spans="1:40" x14ac:dyDescent="0.2">
      <c r="A26" s="127"/>
      <c r="B26" s="39"/>
      <c r="C26" s="131">
        <v>-1</v>
      </c>
      <c r="D26" s="39" t="s">
        <v>199</v>
      </c>
      <c r="E26" s="39"/>
      <c r="F26" s="128"/>
      <c r="G26" s="457" t="s">
        <v>340</v>
      </c>
      <c r="H26" s="18"/>
      <c r="I26" s="61"/>
      <c r="J26" s="61"/>
      <c r="K26" s="61"/>
      <c r="L26" s="61"/>
      <c r="M26" s="61"/>
      <c r="N26" s="61"/>
      <c r="O26" s="61"/>
      <c r="P26" s="78">
        <f t="shared" si="1"/>
        <v>0</v>
      </c>
      <c r="Q26" s="61"/>
      <c r="R26" s="61"/>
      <c r="S26" s="61"/>
      <c r="T26" s="61"/>
      <c r="U26" s="61"/>
      <c r="V26" s="61"/>
      <c r="W26" s="61"/>
      <c r="X26" s="78">
        <f t="shared" si="3"/>
        <v>0</v>
      </c>
      <c r="Y26" s="61"/>
      <c r="Z26" s="61"/>
      <c r="AA26" s="61"/>
      <c r="AB26" s="61"/>
      <c r="AC26" s="61"/>
      <c r="AD26" s="61"/>
      <c r="AE26" s="61"/>
      <c r="AF26" s="78">
        <f t="shared" si="5"/>
        <v>0</v>
      </c>
      <c r="AG26" s="78">
        <f t="shared" si="6"/>
        <v>0</v>
      </c>
      <c r="AH26" s="78">
        <f t="shared" si="7"/>
        <v>0</v>
      </c>
      <c r="AI26" s="78">
        <f t="shared" si="8"/>
        <v>0</v>
      </c>
      <c r="AJ26" s="78">
        <f t="shared" si="9"/>
        <v>0</v>
      </c>
      <c r="AK26" s="78">
        <f t="shared" si="10"/>
        <v>0</v>
      </c>
      <c r="AL26" s="78">
        <f t="shared" si="15"/>
        <v>0</v>
      </c>
      <c r="AM26" s="78">
        <f t="shared" si="16"/>
        <v>0</v>
      </c>
      <c r="AN26" s="78">
        <f t="shared" si="11"/>
        <v>0</v>
      </c>
    </row>
    <row r="27" spans="1:40" x14ac:dyDescent="0.2">
      <c r="A27" s="129"/>
      <c r="B27" s="124"/>
      <c r="C27" s="130">
        <f>C26-1</f>
        <v>-2</v>
      </c>
      <c r="D27" s="124" t="s">
        <v>200</v>
      </c>
      <c r="E27" s="125"/>
      <c r="F27" s="128"/>
      <c r="G27" s="457" t="s">
        <v>341</v>
      </c>
      <c r="H27" s="18"/>
      <c r="I27" s="61"/>
      <c r="J27" s="61"/>
      <c r="K27" s="61"/>
      <c r="L27" s="61"/>
      <c r="M27" s="61"/>
      <c r="N27" s="61"/>
      <c r="O27" s="61"/>
      <c r="P27" s="78">
        <f t="shared" si="1"/>
        <v>0</v>
      </c>
      <c r="Q27" s="61"/>
      <c r="R27" s="61"/>
      <c r="S27" s="61"/>
      <c r="T27" s="61"/>
      <c r="U27" s="61"/>
      <c r="V27" s="61"/>
      <c r="W27" s="61"/>
      <c r="X27" s="78">
        <f t="shared" si="3"/>
        <v>0</v>
      </c>
      <c r="Y27" s="61"/>
      <c r="Z27" s="61"/>
      <c r="AA27" s="61"/>
      <c r="AB27" s="61"/>
      <c r="AC27" s="61"/>
      <c r="AD27" s="61"/>
      <c r="AE27" s="61"/>
      <c r="AF27" s="78">
        <f t="shared" si="5"/>
        <v>0</v>
      </c>
      <c r="AG27" s="78">
        <f t="shared" si="6"/>
        <v>0</v>
      </c>
      <c r="AH27" s="78">
        <f t="shared" si="7"/>
        <v>0</v>
      </c>
      <c r="AI27" s="78">
        <f t="shared" si="8"/>
        <v>0</v>
      </c>
      <c r="AJ27" s="78">
        <f t="shared" si="9"/>
        <v>0</v>
      </c>
      <c r="AK27" s="78">
        <f t="shared" si="10"/>
        <v>0</v>
      </c>
      <c r="AL27" s="78">
        <f t="shared" si="15"/>
        <v>0</v>
      </c>
      <c r="AM27" s="78">
        <f t="shared" si="16"/>
        <v>0</v>
      </c>
      <c r="AN27" s="78">
        <f t="shared" si="11"/>
        <v>0</v>
      </c>
    </row>
    <row r="28" spans="1:40" x14ac:dyDescent="0.2">
      <c r="A28" s="127"/>
      <c r="B28" s="39" t="s">
        <v>201</v>
      </c>
      <c r="C28" s="39" t="s">
        <v>202</v>
      </c>
      <c r="D28" s="39"/>
      <c r="E28" s="39"/>
      <c r="F28" s="128"/>
      <c r="G28" s="457" t="s">
        <v>342</v>
      </c>
      <c r="H28" s="18"/>
      <c r="I28" s="78">
        <f t="shared" ref="I28:O28" si="30">SUM(I29,I32)</f>
        <v>0</v>
      </c>
      <c r="J28" s="78">
        <f t="shared" si="30"/>
        <v>0</v>
      </c>
      <c r="K28" s="78">
        <f t="shared" si="30"/>
        <v>0</v>
      </c>
      <c r="L28" s="78">
        <f t="shared" si="30"/>
        <v>0</v>
      </c>
      <c r="M28" s="78">
        <f t="shared" si="30"/>
        <v>0</v>
      </c>
      <c r="N28" s="78">
        <f t="shared" si="30"/>
        <v>0</v>
      </c>
      <c r="O28" s="78">
        <f t="shared" si="30"/>
        <v>0</v>
      </c>
      <c r="P28" s="78">
        <f t="shared" si="1"/>
        <v>0</v>
      </c>
      <c r="Q28" s="78">
        <f t="shared" ref="Q28:W28" si="31">SUM(Q29,Q32)</f>
        <v>0</v>
      </c>
      <c r="R28" s="78">
        <f t="shared" si="31"/>
        <v>0</v>
      </c>
      <c r="S28" s="78">
        <f t="shared" si="31"/>
        <v>0</v>
      </c>
      <c r="T28" s="78">
        <f t="shared" si="31"/>
        <v>0</v>
      </c>
      <c r="U28" s="78">
        <f t="shared" si="31"/>
        <v>0</v>
      </c>
      <c r="V28" s="78">
        <f t="shared" si="31"/>
        <v>0</v>
      </c>
      <c r="W28" s="78">
        <f t="shared" si="31"/>
        <v>0</v>
      </c>
      <c r="X28" s="78">
        <f t="shared" si="3"/>
        <v>0</v>
      </c>
      <c r="Y28" s="78">
        <f t="shared" ref="Y28:AE28" si="32">SUM(Y29,Y32)</f>
        <v>0</v>
      </c>
      <c r="Z28" s="78">
        <f t="shared" si="32"/>
        <v>0</v>
      </c>
      <c r="AA28" s="78">
        <f t="shared" si="32"/>
        <v>0</v>
      </c>
      <c r="AB28" s="78">
        <f t="shared" si="32"/>
        <v>0</v>
      </c>
      <c r="AC28" s="78">
        <f t="shared" si="32"/>
        <v>0</v>
      </c>
      <c r="AD28" s="78">
        <f t="shared" si="32"/>
        <v>0</v>
      </c>
      <c r="AE28" s="78">
        <f t="shared" si="32"/>
        <v>0</v>
      </c>
      <c r="AF28" s="78">
        <f t="shared" si="5"/>
        <v>0</v>
      </c>
      <c r="AG28" s="78">
        <f t="shared" si="6"/>
        <v>0</v>
      </c>
      <c r="AH28" s="78">
        <f t="shared" si="7"/>
        <v>0</v>
      </c>
      <c r="AI28" s="78">
        <f t="shared" si="8"/>
        <v>0</v>
      </c>
      <c r="AJ28" s="78">
        <f t="shared" si="9"/>
        <v>0</v>
      </c>
      <c r="AK28" s="78">
        <f t="shared" si="10"/>
        <v>0</v>
      </c>
      <c r="AL28" s="78">
        <f t="shared" si="15"/>
        <v>0</v>
      </c>
      <c r="AM28" s="78">
        <f t="shared" si="16"/>
        <v>0</v>
      </c>
      <c r="AN28" s="78">
        <f t="shared" si="11"/>
        <v>0</v>
      </c>
    </row>
    <row r="29" spans="1:40" x14ac:dyDescent="0.2">
      <c r="A29" s="129"/>
      <c r="B29" s="124"/>
      <c r="C29" s="130">
        <v>-1</v>
      </c>
      <c r="D29" s="124" t="s">
        <v>203</v>
      </c>
      <c r="E29" s="125"/>
      <c r="F29" s="128"/>
      <c r="G29" s="457" t="s">
        <v>343</v>
      </c>
      <c r="H29" s="18"/>
      <c r="I29" s="78">
        <f>I30+I31</f>
        <v>0</v>
      </c>
      <c r="J29" s="78">
        <f t="shared" ref="J29:O29" si="33">J30+J31</f>
        <v>0</v>
      </c>
      <c r="K29" s="78">
        <f t="shared" si="33"/>
        <v>0</v>
      </c>
      <c r="L29" s="78">
        <f t="shared" si="33"/>
        <v>0</v>
      </c>
      <c r="M29" s="78">
        <f t="shared" si="33"/>
        <v>0</v>
      </c>
      <c r="N29" s="78">
        <f t="shared" si="33"/>
        <v>0</v>
      </c>
      <c r="O29" s="78">
        <f t="shared" si="33"/>
        <v>0</v>
      </c>
      <c r="P29" s="78">
        <f t="shared" si="1"/>
        <v>0</v>
      </c>
      <c r="Q29" s="78">
        <f>Q30+Q31</f>
        <v>0</v>
      </c>
      <c r="R29" s="78">
        <f t="shared" ref="R29:W29" si="34">R30+R31</f>
        <v>0</v>
      </c>
      <c r="S29" s="78">
        <f t="shared" si="34"/>
        <v>0</v>
      </c>
      <c r="T29" s="78">
        <f t="shared" si="34"/>
        <v>0</v>
      </c>
      <c r="U29" s="78">
        <f t="shared" si="34"/>
        <v>0</v>
      </c>
      <c r="V29" s="78">
        <f t="shared" si="34"/>
        <v>0</v>
      </c>
      <c r="W29" s="78">
        <f t="shared" si="34"/>
        <v>0</v>
      </c>
      <c r="X29" s="78">
        <f t="shared" si="3"/>
        <v>0</v>
      </c>
      <c r="Y29" s="78">
        <f>Y30+Y31</f>
        <v>0</v>
      </c>
      <c r="Z29" s="78">
        <f t="shared" ref="Z29:AE29" si="35">Z30+Z31</f>
        <v>0</v>
      </c>
      <c r="AA29" s="78">
        <f t="shared" si="35"/>
        <v>0</v>
      </c>
      <c r="AB29" s="78">
        <f t="shared" si="35"/>
        <v>0</v>
      </c>
      <c r="AC29" s="78">
        <f t="shared" si="35"/>
        <v>0</v>
      </c>
      <c r="AD29" s="78">
        <f t="shared" si="35"/>
        <v>0</v>
      </c>
      <c r="AE29" s="78">
        <f t="shared" si="35"/>
        <v>0</v>
      </c>
      <c r="AF29" s="78">
        <f t="shared" si="5"/>
        <v>0</v>
      </c>
      <c r="AG29" s="78">
        <f t="shared" si="6"/>
        <v>0</v>
      </c>
      <c r="AH29" s="78">
        <f t="shared" si="7"/>
        <v>0</v>
      </c>
      <c r="AI29" s="78">
        <f t="shared" si="8"/>
        <v>0</v>
      </c>
      <c r="AJ29" s="78">
        <f t="shared" si="9"/>
        <v>0</v>
      </c>
      <c r="AK29" s="78">
        <f t="shared" si="10"/>
        <v>0</v>
      </c>
      <c r="AL29" s="78">
        <f t="shared" si="15"/>
        <v>0</v>
      </c>
      <c r="AM29" s="78">
        <f t="shared" si="16"/>
        <v>0</v>
      </c>
      <c r="AN29" s="78">
        <f t="shared" si="11"/>
        <v>0</v>
      </c>
    </row>
    <row r="30" spans="1:40" x14ac:dyDescent="0.2">
      <c r="A30" s="129"/>
      <c r="B30" s="124"/>
      <c r="C30" s="130"/>
      <c r="D30" s="124" t="s">
        <v>11</v>
      </c>
      <c r="E30" s="124" t="s">
        <v>792</v>
      </c>
      <c r="F30" s="125"/>
      <c r="G30" s="457" t="s">
        <v>827</v>
      </c>
      <c r="H30" s="18"/>
      <c r="I30" s="61"/>
      <c r="J30" s="61"/>
      <c r="K30" s="61"/>
      <c r="L30" s="61"/>
      <c r="M30" s="61"/>
      <c r="N30" s="61"/>
      <c r="O30" s="61"/>
      <c r="P30" s="78">
        <f t="shared" si="1"/>
        <v>0</v>
      </c>
      <c r="Q30" s="61"/>
      <c r="R30" s="61"/>
      <c r="S30" s="61"/>
      <c r="T30" s="61"/>
      <c r="U30" s="61"/>
      <c r="V30" s="61"/>
      <c r="W30" s="61"/>
      <c r="X30" s="78">
        <f t="shared" si="3"/>
        <v>0</v>
      </c>
      <c r="Y30" s="61"/>
      <c r="Z30" s="61"/>
      <c r="AA30" s="61"/>
      <c r="AB30" s="61"/>
      <c r="AC30" s="61"/>
      <c r="AD30" s="61"/>
      <c r="AE30" s="61"/>
      <c r="AF30" s="78">
        <f t="shared" si="5"/>
        <v>0</v>
      </c>
      <c r="AG30" s="78">
        <f t="shared" si="6"/>
        <v>0</v>
      </c>
      <c r="AH30" s="78">
        <f t="shared" si="7"/>
        <v>0</v>
      </c>
      <c r="AI30" s="78">
        <f t="shared" si="8"/>
        <v>0</v>
      </c>
      <c r="AJ30" s="78">
        <f t="shared" si="9"/>
        <v>0</v>
      </c>
      <c r="AK30" s="78">
        <f t="shared" si="10"/>
        <v>0</v>
      </c>
      <c r="AL30" s="78">
        <f t="shared" si="15"/>
        <v>0</v>
      </c>
      <c r="AM30" s="78">
        <f t="shared" si="16"/>
        <v>0</v>
      </c>
      <c r="AN30" s="78">
        <f t="shared" si="11"/>
        <v>0</v>
      </c>
    </row>
    <row r="31" spans="1:40" x14ac:dyDescent="0.2">
      <c r="A31" s="129"/>
      <c r="B31" s="124"/>
      <c r="C31" s="130"/>
      <c r="D31" s="124" t="s">
        <v>15</v>
      </c>
      <c r="E31" s="124" t="s">
        <v>793</v>
      </c>
      <c r="F31" s="125"/>
      <c r="G31" s="457" t="s">
        <v>828</v>
      </c>
      <c r="H31" s="18"/>
      <c r="I31" s="61"/>
      <c r="J31" s="61"/>
      <c r="K31" s="61"/>
      <c r="L31" s="61"/>
      <c r="M31" s="61"/>
      <c r="N31" s="61"/>
      <c r="O31" s="61"/>
      <c r="P31" s="78">
        <f t="shared" si="1"/>
        <v>0</v>
      </c>
      <c r="Q31" s="61"/>
      <c r="R31" s="61"/>
      <c r="S31" s="61"/>
      <c r="T31" s="61"/>
      <c r="U31" s="61"/>
      <c r="V31" s="61"/>
      <c r="W31" s="61"/>
      <c r="X31" s="78">
        <f t="shared" si="3"/>
        <v>0</v>
      </c>
      <c r="Y31" s="61"/>
      <c r="Z31" s="61"/>
      <c r="AA31" s="61"/>
      <c r="AB31" s="61"/>
      <c r="AC31" s="61"/>
      <c r="AD31" s="61"/>
      <c r="AE31" s="61"/>
      <c r="AF31" s="78">
        <f t="shared" si="5"/>
        <v>0</v>
      </c>
      <c r="AG31" s="78">
        <f t="shared" si="6"/>
        <v>0</v>
      </c>
      <c r="AH31" s="78">
        <f t="shared" si="7"/>
        <v>0</v>
      </c>
      <c r="AI31" s="78">
        <f t="shared" si="8"/>
        <v>0</v>
      </c>
      <c r="AJ31" s="78">
        <f t="shared" si="9"/>
        <v>0</v>
      </c>
      <c r="AK31" s="78">
        <f t="shared" si="10"/>
        <v>0</v>
      </c>
      <c r="AL31" s="78">
        <f t="shared" si="15"/>
        <v>0</v>
      </c>
      <c r="AM31" s="78">
        <f t="shared" si="16"/>
        <v>0</v>
      </c>
      <c r="AN31" s="78">
        <f t="shared" si="11"/>
        <v>0</v>
      </c>
    </row>
    <row r="32" spans="1:40" x14ac:dyDescent="0.2">
      <c r="A32" s="127"/>
      <c r="B32" s="39"/>
      <c r="C32" s="131">
        <f>C29-1</f>
        <v>-2</v>
      </c>
      <c r="D32" s="39" t="s">
        <v>194</v>
      </c>
      <c r="E32" s="39"/>
      <c r="F32" s="128"/>
      <c r="G32" s="457" t="s">
        <v>344</v>
      </c>
      <c r="H32" s="18"/>
      <c r="I32" s="61"/>
      <c r="J32" s="61"/>
      <c r="K32" s="61"/>
      <c r="L32" s="61"/>
      <c r="M32" s="61"/>
      <c r="N32" s="61"/>
      <c r="O32" s="61"/>
      <c r="P32" s="78">
        <f t="shared" si="1"/>
        <v>0</v>
      </c>
      <c r="Q32" s="61"/>
      <c r="R32" s="61"/>
      <c r="S32" s="61"/>
      <c r="T32" s="61"/>
      <c r="U32" s="61"/>
      <c r="V32" s="61"/>
      <c r="W32" s="61"/>
      <c r="X32" s="78">
        <f t="shared" si="3"/>
        <v>0</v>
      </c>
      <c r="Y32" s="61"/>
      <c r="Z32" s="61"/>
      <c r="AA32" s="61"/>
      <c r="AB32" s="61"/>
      <c r="AC32" s="61"/>
      <c r="AD32" s="61"/>
      <c r="AE32" s="61"/>
      <c r="AF32" s="78">
        <f t="shared" si="5"/>
        <v>0</v>
      </c>
      <c r="AG32" s="78">
        <f t="shared" si="6"/>
        <v>0</v>
      </c>
      <c r="AH32" s="78">
        <f t="shared" si="7"/>
        <v>0</v>
      </c>
      <c r="AI32" s="78">
        <f t="shared" si="8"/>
        <v>0</v>
      </c>
      <c r="AJ32" s="78">
        <f t="shared" si="9"/>
        <v>0</v>
      </c>
      <c r="AK32" s="78">
        <f t="shared" si="10"/>
        <v>0</v>
      </c>
      <c r="AL32" s="78">
        <f t="shared" si="15"/>
        <v>0</v>
      </c>
      <c r="AM32" s="78">
        <f t="shared" si="16"/>
        <v>0</v>
      </c>
      <c r="AN32" s="78">
        <f t="shared" si="11"/>
        <v>0</v>
      </c>
    </row>
    <row r="33" spans="1:40" x14ac:dyDescent="0.2">
      <c r="A33" s="116" t="s">
        <v>33</v>
      </c>
      <c r="B33" s="115" t="s">
        <v>204</v>
      </c>
      <c r="C33" s="124"/>
      <c r="D33" s="124"/>
      <c r="E33" s="125"/>
      <c r="F33" s="128"/>
      <c r="G33" s="457" t="s">
        <v>345</v>
      </c>
      <c r="H33" s="18"/>
      <c r="I33" s="60"/>
      <c r="J33" s="77">
        <f t="shared" ref="J33:O33" si="36">SUM(J34,J35,J36,J39)</f>
        <v>0</v>
      </c>
      <c r="K33" s="77">
        <f t="shared" si="36"/>
        <v>0</v>
      </c>
      <c r="L33" s="77">
        <f t="shared" si="36"/>
        <v>0</v>
      </c>
      <c r="M33" s="77">
        <f t="shared" si="36"/>
        <v>0</v>
      </c>
      <c r="N33" s="77">
        <f t="shared" si="36"/>
        <v>0</v>
      </c>
      <c r="O33" s="77">
        <f t="shared" si="36"/>
        <v>0</v>
      </c>
      <c r="P33" s="78">
        <f t="shared" si="1"/>
        <v>0</v>
      </c>
      <c r="Q33" s="295"/>
      <c r="R33" s="77">
        <f t="shared" ref="R33:W33" si="37">SUM(R34,R35,R36,R39)</f>
        <v>0</v>
      </c>
      <c r="S33" s="77">
        <f t="shared" si="37"/>
        <v>0</v>
      </c>
      <c r="T33" s="77">
        <f t="shared" si="37"/>
        <v>0</v>
      </c>
      <c r="U33" s="77">
        <f t="shared" si="37"/>
        <v>0</v>
      </c>
      <c r="V33" s="77">
        <f t="shared" si="37"/>
        <v>0</v>
      </c>
      <c r="W33" s="77">
        <f t="shared" si="37"/>
        <v>0</v>
      </c>
      <c r="X33" s="78">
        <f t="shared" si="3"/>
        <v>0</v>
      </c>
      <c r="Y33" s="295"/>
      <c r="Z33" s="77">
        <f t="shared" ref="Z33:AE33" si="38">SUM(Z34,Z35,Z36,Z39)</f>
        <v>0</v>
      </c>
      <c r="AA33" s="77">
        <f t="shared" si="38"/>
        <v>0</v>
      </c>
      <c r="AB33" s="77">
        <f t="shared" si="38"/>
        <v>0</v>
      </c>
      <c r="AC33" s="77">
        <f t="shared" si="38"/>
        <v>0</v>
      </c>
      <c r="AD33" s="77">
        <f t="shared" si="38"/>
        <v>0</v>
      </c>
      <c r="AE33" s="77">
        <f t="shared" si="38"/>
        <v>0</v>
      </c>
      <c r="AF33" s="78">
        <f t="shared" si="5"/>
        <v>0</v>
      </c>
      <c r="AG33" s="295"/>
      <c r="AH33" s="78">
        <f t="shared" ref="AH33:AK40" si="39">(J33+R33) - Z33</f>
        <v>0</v>
      </c>
      <c r="AI33" s="78">
        <f t="shared" si="39"/>
        <v>0</v>
      </c>
      <c r="AJ33" s="78">
        <f t="shared" si="39"/>
        <v>0</v>
      </c>
      <c r="AK33" s="78">
        <f t="shared" si="39"/>
        <v>0</v>
      </c>
      <c r="AL33" s="78">
        <f t="shared" si="15"/>
        <v>0</v>
      </c>
      <c r="AM33" s="78">
        <f t="shared" si="16"/>
        <v>0</v>
      </c>
      <c r="AN33" s="78">
        <f t="shared" si="11"/>
        <v>0</v>
      </c>
    </row>
    <row r="34" spans="1:40" x14ac:dyDescent="0.2">
      <c r="A34" s="127"/>
      <c r="B34" s="39" t="s">
        <v>188</v>
      </c>
      <c r="C34" s="39" t="s">
        <v>205</v>
      </c>
      <c r="D34" s="39"/>
      <c r="E34" s="39"/>
      <c r="F34" s="128"/>
      <c r="G34" s="457" t="s">
        <v>346</v>
      </c>
      <c r="H34" s="18"/>
      <c r="I34" s="60"/>
      <c r="J34" s="62"/>
      <c r="K34" s="62"/>
      <c r="L34" s="62"/>
      <c r="M34" s="62"/>
      <c r="N34" s="62"/>
      <c r="O34" s="62"/>
      <c r="P34" s="78">
        <f t="shared" si="1"/>
        <v>0</v>
      </c>
      <c r="Q34" s="60"/>
      <c r="R34" s="62"/>
      <c r="S34" s="62"/>
      <c r="T34" s="62"/>
      <c r="U34" s="62"/>
      <c r="V34" s="62"/>
      <c r="W34" s="62"/>
      <c r="X34" s="78">
        <f t="shared" si="3"/>
        <v>0</v>
      </c>
      <c r="Y34" s="60"/>
      <c r="Z34" s="62"/>
      <c r="AA34" s="62"/>
      <c r="AB34" s="62"/>
      <c r="AC34" s="62"/>
      <c r="AD34" s="62"/>
      <c r="AE34" s="62"/>
      <c r="AF34" s="78">
        <f t="shared" si="5"/>
        <v>0</v>
      </c>
      <c r="AG34" s="295"/>
      <c r="AH34" s="78">
        <f t="shared" si="39"/>
        <v>0</v>
      </c>
      <c r="AI34" s="78">
        <f t="shared" si="39"/>
        <v>0</v>
      </c>
      <c r="AJ34" s="78">
        <f t="shared" si="39"/>
        <v>0</v>
      </c>
      <c r="AK34" s="78">
        <f t="shared" si="39"/>
        <v>0</v>
      </c>
      <c r="AL34" s="78">
        <f t="shared" si="15"/>
        <v>0</v>
      </c>
      <c r="AM34" s="78">
        <f t="shared" si="16"/>
        <v>0</v>
      </c>
      <c r="AN34" s="78">
        <f t="shared" si="11"/>
        <v>0</v>
      </c>
    </row>
    <row r="35" spans="1:40" x14ac:dyDescent="0.2">
      <c r="A35" s="129"/>
      <c r="B35" s="124" t="s">
        <v>195</v>
      </c>
      <c r="C35" s="124" t="s">
        <v>206</v>
      </c>
      <c r="D35" s="124"/>
      <c r="E35" s="125"/>
      <c r="F35" s="128"/>
      <c r="G35" s="457" t="s">
        <v>347</v>
      </c>
      <c r="H35" s="18"/>
      <c r="I35" s="60"/>
      <c r="J35" s="62"/>
      <c r="K35" s="62"/>
      <c r="L35" s="62"/>
      <c r="M35" s="62"/>
      <c r="N35" s="62"/>
      <c r="O35" s="62"/>
      <c r="P35" s="78">
        <f t="shared" si="1"/>
        <v>0</v>
      </c>
      <c r="Q35" s="60"/>
      <c r="R35" s="62"/>
      <c r="S35" s="62"/>
      <c r="T35" s="62"/>
      <c r="U35" s="62"/>
      <c r="V35" s="62"/>
      <c r="W35" s="62"/>
      <c r="X35" s="78">
        <f t="shared" si="3"/>
        <v>0</v>
      </c>
      <c r="Y35" s="60"/>
      <c r="Z35" s="62"/>
      <c r="AA35" s="62"/>
      <c r="AB35" s="62"/>
      <c r="AC35" s="62"/>
      <c r="AD35" s="62"/>
      <c r="AE35" s="62"/>
      <c r="AF35" s="78">
        <f t="shared" si="5"/>
        <v>0</v>
      </c>
      <c r="AG35" s="295"/>
      <c r="AH35" s="78">
        <f t="shared" si="39"/>
        <v>0</v>
      </c>
      <c r="AI35" s="78">
        <f t="shared" si="39"/>
        <v>0</v>
      </c>
      <c r="AJ35" s="78">
        <f t="shared" si="39"/>
        <v>0</v>
      </c>
      <c r="AK35" s="78">
        <f t="shared" si="39"/>
        <v>0</v>
      </c>
      <c r="AL35" s="78">
        <f t="shared" si="15"/>
        <v>0</v>
      </c>
      <c r="AM35" s="78">
        <f t="shared" si="16"/>
        <v>0</v>
      </c>
      <c r="AN35" s="78">
        <f t="shared" si="11"/>
        <v>0</v>
      </c>
    </row>
    <row r="36" spans="1:40" x14ac:dyDescent="0.2">
      <c r="A36" s="127"/>
      <c r="B36" s="39" t="s">
        <v>197</v>
      </c>
      <c r="C36" s="39" t="s">
        <v>198</v>
      </c>
      <c r="D36" s="39"/>
      <c r="E36" s="39"/>
      <c r="F36" s="128"/>
      <c r="G36" s="457" t="s">
        <v>348</v>
      </c>
      <c r="H36" s="18"/>
      <c r="I36" s="60"/>
      <c r="J36" s="77">
        <f t="shared" ref="J36:O36" si="40">SUM(J37,J38)</f>
        <v>0</v>
      </c>
      <c r="K36" s="77">
        <f t="shared" si="40"/>
        <v>0</v>
      </c>
      <c r="L36" s="77">
        <f t="shared" si="40"/>
        <v>0</v>
      </c>
      <c r="M36" s="77">
        <f t="shared" si="40"/>
        <v>0</v>
      </c>
      <c r="N36" s="77">
        <f t="shared" si="40"/>
        <v>0</v>
      </c>
      <c r="O36" s="77">
        <f t="shared" si="40"/>
        <v>0</v>
      </c>
      <c r="P36" s="78">
        <f t="shared" si="1"/>
        <v>0</v>
      </c>
      <c r="Q36" s="295"/>
      <c r="R36" s="77">
        <f t="shared" ref="R36:W36" si="41">SUM(R37,R38)</f>
        <v>0</v>
      </c>
      <c r="S36" s="77">
        <f t="shared" si="41"/>
        <v>0</v>
      </c>
      <c r="T36" s="77">
        <f t="shared" si="41"/>
        <v>0</v>
      </c>
      <c r="U36" s="77">
        <f t="shared" si="41"/>
        <v>0</v>
      </c>
      <c r="V36" s="77">
        <f t="shared" si="41"/>
        <v>0</v>
      </c>
      <c r="W36" s="77">
        <f t="shared" si="41"/>
        <v>0</v>
      </c>
      <c r="X36" s="78">
        <f t="shared" si="3"/>
        <v>0</v>
      </c>
      <c r="Y36" s="295"/>
      <c r="Z36" s="77">
        <f t="shared" ref="Z36:AE36" si="42">SUM(Z37,Z38)</f>
        <v>0</v>
      </c>
      <c r="AA36" s="77">
        <f t="shared" si="42"/>
        <v>0</v>
      </c>
      <c r="AB36" s="77">
        <f t="shared" si="42"/>
        <v>0</v>
      </c>
      <c r="AC36" s="77">
        <f t="shared" si="42"/>
        <v>0</v>
      </c>
      <c r="AD36" s="77">
        <f t="shared" si="42"/>
        <v>0</v>
      </c>
      <c r="AE36" s="77">
        <f t="shared" si="42"/>
        <v>0</v>
      </c>
      <c r="AF36" s="78">
        <f t="shared" si="5"/>
        <v>0</v>
      </c>
      <c r="AG36" s="295"/>
      <c r="AH36" s="78">
        <f t="shared" si="39"/>
        <v>0</v>
      </c>
      <c r="AI36" s="78">
        <f t="shared" si="39"/>
        <v>0</v>
      </c>
      <c r="AJ36" s="78">
        <f t="shared" si="39"/>
        <v>0</v>
      </c>
      <c r="AK36" s="78">
        <f t="shared" si="39"/>
        <v>0</v>
      </c>
      <c r="AL36" s="78">
        <f t="shared" si="15"/>
        <v>0</v>
      </c>
      <c r="AM36" s="78">
        <f t="shared" si="16"/>
        <v>0</v>
      </c>
      <c r="AN36" s="78">
        <f t="shared" si="11"/>
        <v>0</v>
      </c>
    </row>
    <row r="37" spans="1:40" x14ac:dyDescent="0.2">
      <c r="A37" s="129"/>
      <c r="B37" s="124"/>
      <c r="C37" s="130">
        <v>-1</v>
      </c>
      <c r="D37" s="124" t="s">
        <v>207</v>
      </c>
      <c r="E37" s="125"/>
      <c r="F37" s="128"/>
      <c r="G37" s="457" t="s">
        <v>349</v>
      </c>
      <c r="H37" s="18"/>
      <c r="I37" s="60"/>
      <c r="J37" s="62"/>
      <c r="K37" s="62"/>
      <c r="L37" s="62"/>
      <c r="M37" s="62"/>
      <c r="N37" s="62"/>
      <c r="O37" s="62"/>
      <c r="P37" s="78">
        <f t="shared" si="1"/>
        <v>0</v>
      </c>
      <c r="Q37" s="60"/>
      <c r="R37" s="62"/>
      <c r="S37" s="62"/>
      <c r="T37" s="62"/>
      <c r="U37" s="62"/>
      <c r="V37" s="62"/>
      <c r="W37" s="62"/>
      <c r="X37" s="78">
        <f t="shared" si="3"/>
        <v>0</v>
      </c>
      <c r="Y37" s="60"/>
      <c r="Z37" s="62"/>
      <c r="AA37" s="62"/>
      <c r="AB37" s="62"/>
      <c r="AC37" s="62"/>
      <c r="AD37" s="62"/>
      <c r="AE37" s="62"/>
      <c r="AF37" s="78">
        <f t="shared" si="5"/>
        <v>0</v>
      </c>
      <c r="AG37" s="295"/>
      <c r="AH37" s="78">
        <f t="shared" si="39"/>
        <v>0</v>
      </c>
      <c r="AI37" s="78">
        <f t="shared" si="39"/>
        <v>0</v>
      </c>
      <c r="AJ37" s="78">
        <f t="shared" si="39"/>
        <v>0</v>
      </c>
      <c r="AK37" s="78">
        <f t="shared" si="39"/>
        <v>0</v>
      </c>
      <c r="AL37" s="78">
        <f t="shared" si="15"/>
        <v>0</v>
      </c>
      <c r="AM37" s="78">
        <f t="shared" si="16"/>
        <v>0</v>
      </c>
      <c r="AN37" s="78">
        <f t="shared" si="11"/>
        <v>0</v>
      </c>
    </row>
    <row r="38" spans="1:40" x14ac:dyDescent="0.2">
      <c r="A38" s="127"/>
      <c r="B38" s="39"/>
      <c r="C38" s="131">
        <f>C37-1</f>
        <v>-2</v>
      </c>
      <c r="D38" s="39" t="s">
        <v>200</v>
      </c>
      <c r="E38" s="39"/>
      <c r="F38" s="128"/>
      <c r="G38" s="457" t="s">
        <v>350</v>
      </c>
      <c r="H38" s="18"/>
      <c r="I38" s="60"/>
      <c r="J38" s="62"/>
      <c r="K38" s="62"/>
      <c r="L38" s="62"/>
      <c r="M38" s="62"/>
      <c r="N38" s="62"/>
      <c r="O38" s="62"/>
      <c r="P38" s="78">
        <f t="shared" si="1"/>
        <v>0</v>
      </c>
      <c r="Q38" s="60"/>
      <c r="R38" s="62"/>
      <c r="S38" s="62"/>
      <c r="T38" s="62"/>
      <c r="U38" s="62"/>
      <c r="V38" s="62"/>
      <c r="W38" s="62"/>
      <c r="X38" s="78">
        <f t="shared" si="3"/>
        <v>0</v>
      </c>
      <c r="Y38" s="60"/>
      <c r="Z38" s="62"/>
      <c r="AA38" s="62"/>
      <c r="AB38" s="62"/>
      <c r="AC38" s="62"/>
      <c r="AD38" s="62"/>
      <c r="AE38" s="62"/>
      <c r="AF38" s="78">
        <f t="shared" si="5"/>
        <v>0</v>
      </c>
      <c r="AG38" s="295"/>
      <c r="AH38" s="78">
        <f t="shared" si="39"/>
        <v>0</v>
      </c>
      <c r="AI38" s="78">
        <f t="shared" si="39"/>
        <v>0</v>
      </c>
      <c r="AJ38" s="78">
        <f t="shared" si="39"/>
        <v>0</v>
      </c>
      <c r="AK38" s="78">
        <f t="shared" si="39"/>
        <v>0</v>
      </c>
      <c r="AL38" s="78">
        <f t="shared" si="15"/>
        <v>0</v>
      </c>
      <c r="AM38" s="78">
        <f t="shared" si="16"/>
        <v>0</v>
      </c>
      <c r="AN38" s="78">
        <f t="shared" si="11"/>
        <v>0</v>
      </c>
    </row>
    <row r="39" spans="1:40" x14ac:dyDescent="0.2">
      <c r="A39" s="129"/>
      <c r="B39" s="124" t="s">
        <v>201</v>
      </c>
      <c r="C39" s="124" t="s">
        <v>208</v>
      </c>
      <c r="D39" s="124"/>
      <c r="E39" s="125"/>
      <c r="F39" s="128"/>
      <c r="G39" s="457" t="s">
        <v>351</v>
      </c>
      <c r="H39" s="18"/>
      <c r="I39" s="60"/>
      <c r="J39" s="62"/>
      <c r="K39" s="62"/>
      <c r="L39" s="62"/>
      <c r="M39" s="62"/>
      <c r="N39" s="62"/>
      <c r="O39" s="62"/>
      <c r="P39" s="78">
        <f t="shared" si="1"/>
        <v>0</v>
      </c>
      <c r="Q39" s="60"/>
      <c r="R39" s="62"/>
      <c r="S39" s="62"/>
      <c r="T39" s="62"/>
      <c r="U39" s="62"/>
      <c r="V39" s="62"/>
      <c r="W39" s="62"/>
      <c r="X39" s="78">
        <f t="shared" si="3"/>
        <v>0</v>
      </c>
      <c r="Y39" s="60"/>
      <c r="Z39" s="62"/>
      <c r="AA39" s="62"/>
      <c r="AB39" s="62"/>
      <c r="AC39" s="62"/>
      <c r="AD39" s="62"/>
      <c r="AE39" s="62"/>
      <c r="AF39" s="78">
        <f t="shared" si="5"/>
        <v>0</v>
      </c>
      <c r="AG39" s="295"/>
      <c r="AH39" s="78">
        <f t="shared" si="39"/>
        <v>0</v>
      </c>
      <c r="AI39" s="78">
        <f t="shared" si="39"/>
        <v>0</v>
      </c>
      <c r="AJ39" s="78">
        <f t="shared" si="39"/>
        <v>0</v>
      </c>
      <c r="AK39" s="78">
        <f t="shared" si="39"/>
        <v>0</v>
      </c>
      <c r="AL39" s="78">
        <f t="shared" si="15"/>
        <v>0</v>
      </c>
      <c r="AM39" s="78">
        <f t="shared" si="16"/>
        <v>0</v>
      </c>
      <c r="AN39" s="78">
        <f t="shared" si="11"/>
        <v>0</v>
      </c>
    </row>
    <row r="40" spans="1:40" x14ac:dyDescent="0.2">
      <c r="A40" s="112" t="s">
        <v>48</v>
      </c>
      <c r="B40" s="14" t="s">
        <v>209</v>
      </c>
      <c r="C40" s="131"/>
      <c r="D40" s="39"/>
      <c r="E40" s="39"/>
      <c r="F40" s="128"/>
      <c r="G40" s="457" t="s">
        <v>352</v>
      </c>
      <c r="H40" s="18"/>
      <c r="I40" s="62"/>
      <c r="J40" s="62"/>
      <c r="K40" s="62"/>
      <c r="L40" s="62"/>
      <c r="M40" s="62"/>
      <c r="N40" s="62"/>
      <c r="O40" s="62"/>
      <c r="P40" s="78">
        <f t="shared" si="1"/>
        <v>0</v>
      </c>
      <c r="Q40" s="62"/>
      <c r="R40" s="62"/>
      <c r="S40" s="62"/>
      <c r="T40" s="62"/>
      <c r="U40" s="62"/>
      <c r="V40" s="62"/>
      <c r="W40" s="62"/>
      <c r="X40" s="78">
        <f t="shared" si="3"/>
        <v>0</v>
      </c>
      <c r="Y40" s="62"/>
      <c r="Z40" s="62"/>
      <c r="AA40" s="62"/>
      <c r="AB40" s="62"/>
      <c r="AC40" s="62"/>
      <c r="AD40" s="62"/>
      <c r="AE40" s="62"/>
      <c r="AF40" s="78">
        <f t="shared" si="5"/>
        <v>0</v>
      </c>
      <c r="AG40" s="78">
        <f>(I40+Q40) - Y40</f>
        <v>0</v>
      </c>
      <c r="AH40" s="78">
        <f t="shared" si="39"/>
        <v>0</v>
      </c>
      <c r="AI40" s="78">
        <f t="shared" si="39"/>
        <v>0</v>
      </c>
      <c r="AJ40" s="78">
        <f t="shared" si="39"/>
        <v>0</v>
      </c>
      <c r="AK40" s="78">
        <f t="shared" si="39"/>
        <v>0</v>
      </c>
      <c r="AL40" s="78">
        <f t="shared" si="15"/>
        <v>0</v>
      </c>
      <c r="AM40" s="78">
        <f t="shared" si="16"/>
        <v>0</v>
      </c>
      <c r="AN40" s="78">
        <f t="shared" si="11"/>
        <v>0</v>
      </c>
    </row>
    <row r="41" spans="1:40" x14ac:dyDescent="0.2">
      <c r="A41" s="116" t="s">
        <v>392</v>
      </c>
      <c r="B41" s="115"/>
      <c r="C41" s="124"/>
      <c r="D41" s="124"/>
      <c r="E41" s="125"/>
      <c r="F41" s="128"/>
      <c r="G41" s="457" t="s">
        <v>353</v>
      </c>
      <c r="H41" s="18"/>
      <c r="I41" s="77">
        <f t="shared" ref="I41:AF41" si="43">SUM(I11,I33,I40)</f>
        <v>0</v>
      </c>
      <c r="J41" s="77">
        <f t="shared" si="43"/>
        <v>0</v>
      </c>
      <c r="K41" s="77">
        <f t="shared" si="43"/>
        <v>0</v>
      </c>
      <c r="L41" s="77">
        <f t="shared" si="43"/>
        <v>0</v>
      </c>
      <c r="M41" s="77">
        <f t="shared" si="43"/>
        <v>0</v>
      </c>
      <c r="N41" s="77">
        <f t="shared" si="43"/>
        <v>0</v>
      </c>
      <c r="O41" s="77">
        <f t="shared" si="43"/>
        <v>0</v>
      </c>
      <c r="P41" s="77">
        <f t="shared" si="43"/>
        <v>0</v>
      </c>
      <c r="Q41" s="77">
        <f t="shared" si="43"/>
        <v>0</v>
      </c>
      <c r="R41" s="77">
        <f t="shared" si="43"/>
        <v>0</v>
      </c>
      <c r="S41" s="77">
        <f t="shared" si="43"/>
        <v>0</v>
      </c>
      <c r="T41" s="77">
        <f t="shared" si="43"/>
        <v>0</v>
      </c>
      <c r="U41" s="77">
        <f t="shared" si="43"/>
        <v>0</v>
      </c>
      <c r="V41" s="77">
        <f t="shared" si="43"/>
        <v>0</v>
      </c>
      <c r="W41" s="77">
        <f t="shared" si="43"/>
        <v>0</v>
      </c>
      <c r="X41" s="77">
        <f t="shared" si="43"/>
        <v>0</v>
      </c>
      <c r="Y41" s="77">
        <f t="shared" si="43"/>
        <v>0</v>
      </c>
      <c r="Z41" s="77">
        <f t="shared" si="43"/>
        <v>0</v>
      </c>
      <c r="AA41" s="77">
        <f t="shared" si="43"/>
        <v>0</v>
      </c>
      <c r="AB41" s="77">
        <f t="shared" si="43"/>
        <v>0</v>
      </c>
      <c r="AC41" s="77">
        <f t="shared" si="43"/>
        <v>0</v>
      </c>
      <c r="AD41" s="77">
        <f t="shared" si="43"/>
        <v>0</v>
      </c>
      <c r="AE41" s="77">
        <f t="shared" si="43"/>
        <v>0</v>
      </c>
      <c r="AF41" s="77">
        <f t="shared" si="43"/>
        <v>0</v>
      </c>
      <c r="AG41" s="77">
        <f>SUM(AG11,AG33,AG40)</f>
        <v>0</v>
      </c>
      <c r="AH41" s="77">
        <f t="shared" ref="AH41:AN41" si="44">SUM(AH11,AH33,AH40)</f>
        <v>0</v>
      </c>
      <c r="AI41" s="77">
        <f t="shared" si="44"/>
        <v>0</v>
      </c>
      <c r="AJ41" s="77">
        <f t="shared" si="44"/>
        <v>0</v>
      </c>
      <c r="AK41" s="77">
        <f t="shared" si="44"/>
        <v>0</v>
      </c>
      <c r="AL41" s="77">
        <f t="shared" si="44"/>
        <v>0</v>
      </c>
      <c r="AM41" s="77">
        <f t="shared" si="44"/>
        <v>0</v>
      </c>
      <c r="AN41" s="77">
        <f t="shared" si="44"/>
        <v>0</v>
      </c>
    </row>
    <row r="42" spans="1:40" x14ac:dyDescent="0.2">
      <c r="A42" s="113" t="s">
        <v>215</v>
      </c>
      <c r="B42" s="39"/>
      <c r="C42" s="39"/>
      <c r="D42" s="39"/>
      <c r="E42" s="39"/>
      <c r="F42" s="128"/>
      <c r="G42" s="461"/>
      <c r="H42" s="18"/>
      <c r="I42" s="35"/>
      <c r="J42" s="35"/>
      <c r="K42" s="35"/>
      <c r="L42" s="35"/>
      <c r="M42" s="35"/>
      <c r="N42" s="35"/>
      <c r="O42" s="35"/>
      <c r="P42" s="78"/>
      <c r="Q42" s="35"/>
      <c r="R42" s="35"/>
      <c r="S42" s="35"/>
      <c r="T42" s="35"/>
      <c r="U42" s="35"/>
      <c r="V42" s="35"/>
      <c r="W42" s="35"/>
      <c r="X42" s="78"/>
      <c r="Y42" s="35"/>
      <c r="Z42" s="35"/>
      <c r="AA42" s="35"/>
      <c r="AB42" s="35"/>
      <c r="AC42" s="35"/>
      <c r="AD42" s="35"/>
      <c r="AE42" s="35"/>
      <c r="AF42" s="78"/>
      <c r="AG42" s="77"/>
      <c r="AH42" s="77"/>
      <c r="AI42" s="77"/>
      <c r="AJ42" s="77"/>
      <c r="AK42" s="77"/>
      <c r="AL42" s="77"/>
      <c r="AM42" s="78"/>
      <c r="AN42" s="78"/>
    </row>
    <row r="43" spans="1:40" x14ac:dyDescent="0.2">
      <c r="A43" s="129" t="s">
        <v>9</v>
      </c>
      <c r="B43" s="124" t="s">
        <v>216</v>
      </c>
      <c r="C43" s="124"/>
      <c r="D43" s="124"/>
      <c r="E43" s="125"/>
      <c r="F43" s="128"/>
      <c r="G43" s="457" t="s">
        <v>565</v>
      </c>
      <c r="H43" s="18"/>
      <c r="I43" s="77">
        <f>SUM(I44,I45,I46,I47)</f>
        <v>0</v>
      </c>
      <c r="J43" s="77">
        <f>SUM(J44,J45,J46,J47)</f>
        <v>0</v>
      </c>
      <c r="K43" s="77">
        <f>SUM(K44,K45,K46,K47)</f>
        <v>0</v>
      </c>
      <c r="L43" s="60"/>
      <c r="M43" s="60"/>
      <c r="N43" s="481">
        <f t="shared" ref="N43:S43" si="45">SUM(N44,N45,N46,N47)</f>
        <v>0</v>
      </c>
      <c r="O43" s="481">
        <f t="shared" si="45"/>
        <v>0</v>
      </c>
      <c r="P43" s="77">
        <f>SUM(I43,K43,M43,O43)</f>
        <v>0</v>
      </c>
      <c r="Q43" s="77">
        <f t="shared" si="45"/>
        <v>0</v>
      </c>
      <c r="R43" s="77">
        <f t="shared" si="45"/>
        <v>0</v>
      </c>
      <c r="S43" s="77">
        <f t="shared" si="45"/>
        <v>0</v>
      </c>
      <c r="T43" s="60"/>
      <c r="U43" s="60"/>
      <c r="V43" s="481">
        <f>SUM(V44,V45,V46,V47)</f>
        <v>0</v>
      </c>
      <c r="W43" s="481">
        <f>SUM(W44,W45,W46,W47)</f>
        <v>0</v>
      </c>
      <c r="X43" s="77">
        <f>SUM(Q43,S43,U43,W43)</f>
        <v>0</v>
      </c>
      <c r="Y43" s="77">
        <f>SUM(Y44,Y45,Y46,Y47)</f>
        <v>0</v>
      </c>
      <c r="Z43" s="77">
        <f>SUM(Z44,Z45,Z46,Z47)</f>
        <v>0</v>
      </c>
      <c r="AA43" s="77">
        <f>SUM(AA44,AA45,AA46,AA47)</f>
        <v>0</v>
      </c>
      <c r="AB43" s="60"/>
      <c r="AC43" s="60"/>
      <c r="AD43" s="481">
        <f>SUM(AD44,AD45,AD46,AD47)</f>
        <v>0</v>
      </c>
      <c r="AE43" s="481">
        <f>SUM(AE44,AE45,AE46,AE47)</f>
        <v>0</v>
      </c>
      <c r="AF43" s="77">
        <f>SUM(Y43,AA43,AC43,AE43)</f>
        <v>0</v>
      </c>
      <c r="AG43" s="77">
        <f>(I43+Q43) - Y43</f>
        <v>0</v>
      </c>
      <c r="AH43" s="78">
        <f>(J43+R43) - Z43</f>
        <v>0</v>
      </c>
      <c r="AI43" s="78">
        <f>(K43+S43) - AA43</f>
        <v>0</v>
      </c>
      <c r="AJ43" s="60"/>
      <c r="AK43" s="60"/>
      <c r="AL43" s="78">
        <f>(N43+V43) - AD43</f>
        <v>0</v>
      </c>
      <c r="AM43" s="78">
        <f>(O43+W43) - AE43</f>
        <v>0</v>
      </c>
      <c r="AN43" s="77">
        <f>(P43+X43) - AF43</f>
        <v>0</v>
      </c>
    </row>
    <row r="44" spans="1:40" x14ac:dyDescent="0.2">
      <c r="A44" s="127"/>
      <c r="B44" s="39" t="s">
        <v>217</v>
      </c>
      <c r="C44" s="39" t="s">
        <v>218</v>
      </c>
      <c r="D44" s="39"/>
      <c r="E44" s="39"/>
      <c r="F44" s="128"/>
      <c r="G44" s="457" t="s">
        <v>566</v>
      </c>
      <c r="H44" s="18"/>
      <c r="I44" s="62"/>
      <c r="J44" s="60"/>
      <c r="K44" s="60"/>
      <c r="L44" s="60"/>
      <c r="M44" s="60"/>
      <c r="N44" s="62"/>
      <c r="O44" s="62"/>
      <c r="P44" s="78">
        <f t="shared" ref="P44:P67" si="46">SUM(I44,K44,M44,O44)</f>
        <v>0</v>
      </c>
      <c r="Q44" s="62"/>
      <c r="R44" s="60"/>
      <c r="S44" s="60"/>
      <c r="T44" s="60"/>
      <c r="U44" s="60"/>
      <c r="V44" s="62"/>
      <c r="W44" s="62"/>
      <c r="X44" s="78">
        <f t="shared" ref="X44:X67" si="47">SUM(Q44,S44,U44,W44)</f>
        <v>0</v>
      </c>
      <c r="Y44" s="62"/>
      <c r="Z44" s="60"/>
      <c r="AA44" s="60"/>
      <c r="AB44" s="60"/>
      <c r="AC44" s="60"/>
      <c r="AD44" s="62"/>
      <c r="AE44" s="62"/>
      <c r="AF44" s="78">
        <f t="shared" ref="AF44:AF67" si="48">SUM(Y44,AA44,AC44,AE44)</f>
        <v>0</v>
      </c>
      <c r="AG44" s="78">
        <f t="shared" ref="AG44:AG67" si="49">(I44+Q44) - Y44</f>
        <v>0</v>
      </c>
      <c r="AH44" s="295"/>
      <c r="AI44" s="295"/>
      <c r="AJ44" s="295"/>
      <c r="AK44" s="295"/>
      <c r="AL44" s="78">
        <f t="shared" ref="AL44:AL67" si="50">(N44+V44) - AD44</f>
        <v>0</v>
      </c>
      <c r="AM44" s="78">
        <f t="shared" ref="AM44:AM67" si="51">(O44+W44) - AE44</f>
        <v>0</v>
      </c>
      <c r="AN44" s="78">
        <f t="shared" ref="AN44:AN67" si="52">(P44+X44) - AF44</f>
        <v>0</v>
      </c>
    </row>
    <row r="45" spans="1:40" x14ac:dyDescent="0.2">
      <c r="A45" s="129"/>
      <c r="B45" s="124" t="s">
        <v>219</v>
      </c>
      <c r="C45" s="124" t="s">
        <v>220</v>
      </c>
      <c r="D45" s="124"/>
      <c r="E45" s="125"/>
      <c r="F45" s="128"/>
      <c r="G45" s="457" t="s">
        <v>567</v>
      </c>
      <c r="H45" s="18"/>
      <c r="I45" s="62"/>
      <c r="J45" s="60"/>
      <c r="K45" s="60"/>
      <c r="L45" s="60"/>
      <c r="M45" s="60"/>
      <c r="N45" s="62"/>
      <c r="O45" s="62"/>
      <c r="P45" s="78">
        <f t="shared" si="46"/>
        <v>0</v>
      </c>
      <c r="Q45" s="62"/>
      <c r="R45" s="60"/>
      <c r="S45" s="60"/>
      <c r="T45" s="60"/>
      <c r="U45" s="60"/>
      <c r="V45" s="62"/>
      <c r="W45" s="62"/>
      <c r="X45" s="78">
        <f t="shared" si="47"/>
        <v>0</v>
      </c>
      <c r="Y45" s="62"/>
      <c r="Z45" s="60"/>
      <c r="AA45" s="60"/>
      <c r="AB45" s="60"/>
      <c r="AC45" s="60"/>
      <c r="AD45" s="62"/>
      <c r="AE45" s="62"/>
      <c r="AF45" s="78">
        <f t="shared" si="48"/>
        <v>0</v>
      </c>
      <c r="AG45" s="78">
        <f t="shared" si="49"/>
        <v>0</v>
      </c>
      <c r="AH45" s="295"/>
      <c r="AI45" s="295"/>
      <c r="AJ45" s="295"/>
      <c r="AK45" s="295"/>
      <c r="AL45" s="78">
        <f t="shared" si="50"/>
        <v>0</v>
      </c>
      <c r="AM45" s="78">
        <f t="shared" si="51"/>
        <v>0</v>
      </c>
      <c r="AN45" s="78">
        <f t="shared" si="52"/>
        <v>0</v>
      </c>
    </row>
    <row r="46" spans="1:40" x14ac:dyDescent="0.2">
      <c r="A46" s="127"/>
      <c r="B46" s="39" t="s">
        <v>197</v>
      </c>
      <c r="C46" s="39" t="s">
        <v>941</v>
      </c>
      <c r="D46" s="39"/>
      <c r="E46" s="39"/>
      <c r="F46" s="128"/>
      <c r="G46" s="457" t="s">
        <v>568</v>
      </c>
      <c r="H46" s="18"/>
      <c r="I46" s="62"/>
      <c r="J46" s="60"/>
      <c r="K46" s="60"/>
      <c r="L46" s="60"/>
      <c r="M46" s="60"/>
      <c r="N46" s="62"/>
      <c r="O46" s="62"/>
      <c r="P46" s="78">
        <f t="shared" si="46"/>
        <v>0</v>
      </c>
      <c r="Q46" s="62"/>
      <c r="R46" s="60"/>
      <c r="S46" s="60"/>
      <c r="T46" s="60"/>
      <c r="U46" s="60"/>
      <c r="V46" s="62"/>
      <c r="W46" s="62"/>
      <c r="X46" s="78">
        <f t="shared" si="47"/>
        <v>0</v>
      </c>
      <c r="Y46" s="62"/>
      <c r="Z46" s="60"/>
      <c r="AA46" s="60"/>
      <c r="AB46" s="60"/>
      <c r="AC46" s="60"/>
      <c r="AD46" s="62"/>
      <c r="AE46" s="62"/>
      <c r="AF46" s="78">
        <f t="shared" si="48"/>
        <v>0</v>
      </c>
      <c r="AG46" s="78">
        <f t="shared" si="49"/>
        <v>0</v>
      </c>
      <c r="AH46" s="295"/>
      <c r="AI46" s="295"/>
      <c r="AJ46" s="295"/>
      <c r="AK46" s="295"/>
      <c r="AL46" s="78">
        <f t="shared" si="50"/>
        <v>0</v>
      </c>
      <c r="AM46" s="78">
        <f t="shared" si="51"/>
        <v>0</v>
      </c>
      <c r="AN46" s="78">
        <f t="shared" si="52"/>
        <v>0</v>
      </c>
    </row>
    <row r="47" spans="1:40" ht="25.5" customHeight="1" x14ac:dyDescent="0.2">
      <c r="A47" s="129"/>
      <c r="B47" s="124" t="s">
        <v>201</v>
      </c>
      <c r="C47" s="501" t="s">
        <v>969</v>
      </c>
      <c r="D47" s="501"/>
      <c r="E47" s="501"/>
      <c r="F47" s="128"/>
      <c r="G47" s="484" t="s">
        <v>973</v>
      </c>
      <c r="H47" s="18"/>
      <c r="I47" s="62"/>
      <c r="J47" s="62"/>
      <c r="K47" s="62"/>
      <c r="L47" s="60"/>
      <c r="M47" s="60"/>
      <c r="N47" s="92"/>
      <c r="O47" s="92"/>
      <c r="P47" s="78">
        <f t="shared" si="46"/>
        <v>0</v>
      </c>
      <c r="Q47" s="62"/>
      <c r="R47" s="62"/>
      <c r="S47" s="62"/>
      <c r="T47" s="60"/>
      <c r="U47" s="60"/>
      <c r="V47" s="92"/>
      <c r="W47" s="92"/>
      <c r="X47" s="78">
        <f t="shared" si="47"/>
        <v>0</v>
      </c>
      <c r="Y47" s="62"/>
      <c r="Z47" s="62"/>
      <c r="AA47" s="62"/>
      <c r="AB47" s="60"/>
      <c r="AC47" s="60"/>
      <c r="AD47" s="92"/>
      <c r="AE47" s="92"/>
      <c r="AF47" s="78">
        <f t="shared" si="48"/>
        <v>0</v>
      </c>
      <c r="AG47" s="78">
        <f t="shared" si="49"/>
        <v>0</v>
      </c>
      <c r="AH47" s="78">
        <f>(J47+R47) - Z47</f>
        <v>0</v>
      </c>
      <c r="AI47" s="78">
        <f>(K47+S47) - AA47</f>
        <v>0</v>
      </c>
      <c r="AJ47" s="60"/>
      <c r="AK47" s="60"/>
      <c r="AL47" s="372">
        <f t="shared" si="50"/>
        <v>0</v>
      </c>
      <c r="AM47" s="372">
        <f t="shared" si="51"/>
        <v>0</v>
      </c>
      <c r="AN47" s="78">
        <f t="shared" si="52"/>
        <v>0</v>
      </c>
    </row>
    <row r="48" spans="1:40" x14ac:dyDescent="0.2">
      <c r="A48" s="146" t="s">
        <v>33</v>
      </c>
      <c r="B48" s="501" t="s">
        <v>221</v>
      </c>
      <c r="C48" s="501"/>
      <c r="D48" s="501"/>
      <c r="E48" s="501"/>
      <c r="F48" s="511"/>
      <c r="G48" s="457" t="s">
        <v>569</v>
      </c>
      <c r="H48" s="18"/>
      <c r="I48" s="62"/>
      <c r="J48" s="60"/>
      <c r="K48" s="60"/>
      <c r="L48" s="60"/>
      <c r="M48" s="60"/>
      <c r="N48" s="62"/>
      <c r="O48" s="62"/>
      <c r="P48" s="78">
        <f t="shared" si="46"/>
        <v>0</v>
      </c>
      <c r="Q48" s="62"/>
      <c r="R48" s="60"/>
      <c r="S48" s="60"/>
      <c r="T48" s="60"/>
      <c r="U48" s="60"/>
      <c r="V48" s="62"/>
      <c r="W48" s="62"/>
      <c r="X48" s="78">
        <f t="shared" si="47"/>
        <v>0</v>
      </c>
      <c r="Y48" s="62"/>
      <c r="Z48" s="60"/>
      <c r="AA48" s="60"/>
      <c r="AB48" s="60"/>
      <c r="AC48" s="60"/>
      <c r="AD48" s="62"/>
      <c r="AE48" s="62"/>
      <c r="AF48" s="78">
        <f t="shared" si="48"/>
        <v>0</v>
      </c>
      <c r="AG48" s="78">
        <f t="shared" si="49"/>
        <v>0</v>
      </c>
      <c r="AH48" s="295"/>
      <c r="AI48" s="295"/>
      <c r="AJ48" s="295"/>
      <c r="AK48" s="295"/>
      <c r="AL48" s="78">
        <f t="shared" si="50"/>
        <v>0</v>
      </c>
      <c r="AM48" s="78">
        <f t="shared" si="51"/>
        <v>0</v>
      </c>
      <c r="AN48" s="78">
        <f t="shared" si="52"/>
        <v>0</v>
      </c>
    </row>
    <row r="49" spans="1:40" x14ac:dyDescent="0.2">
      <c r="A49" s="143" t="s">
        <v>48</v>
      </c>
      <c r="B49" s="502" t="s">
        <v>222</v>
      </c>
      <c r="C49" s="502"/>
      <c r="D49" s="502"/>
      <c r="E49" s="502"/>
      <c r="F49" s="503"/>
      <c r="G49" s="457" t="s">
        <v>570</v>
      </c>
      <c r="H49" s="18"/>
      <c r="I49" s="62"/>
      <c r="J49" s="62"/>
      <c r="K49" s="62"/>
      <c r="L49" s="62"/>
      <c r="M49" s="62"/>
      <c r="N49" s="62"/>
      <c r="O49" s="62"/>
      <c r="P49" s="78">
        <f t="shared" si="46"/>
        <v>0</v>
      </c>
      <c r="Q49" s="62"/>
      <c r="R49" s="62"/>
      <c r="S49" s="62"/>
      <c r="T49" s="62"/>
      <c r="U49" s="62"/>
      <c r="V49" s="62"/>
      <c r="W49" s="62"/>
      <c r="X49" s="78">
        <f t="shared" si="47"/>
        <v>0</v>
      </c>
      <c r="Y49" s="62"/>
      <c r="Z49" s="62"/>
      <c r="AA49" s="62"/>
      <c r="AB49" s="62"/>
      <c r="AC49" s="62"/>
      <c r="AD49" s="62"/>
      <c r="AE49" s="62"/>
      <c r="AF49" s="78">
        <f t="shared" si="48"/>
        <v>0</v>
      </c>
      <c r="AG49" s="78">
        <f t="shared" si="49"/>
        <v>0</v>
      </c>
      <c r="AH49" s="78">
        <f>(J49+R49) - Z49</f>
        <v>0</v>
      </c>
      <c r="AI49" s="78">
        <f>(K49+S49) - AA49</f>
        <v>0</v>
      </c>
      <c r="AJ49" s="78">
        <f>(L49+T49) - AB49</f>
        <v>0</v>
      </c>
      <c r="AK49" s="78">
        <f>(M49+U49) - AC49</f>
        <v>0</v>
      </c>
      <c r="AL49" s="78">
        <f t="shared" si="50"/>
        <v>0</v>
      </c>
      <c r="AM49" s="78">
        <f t="shared" si="51"/>
        <v>0</v>
      </c>
      <c r="AN49" s="78">
        <f t="shared" si="52"/>
        <v>0</v>
      </c>
    </row>
    <row r="50" spans="1:40" x14ac:dyDescent="0.2">
      <c r="A50" s="146" t="s">
        <v>55</v>
      </c>
      <c r="B50" s="501" t="s">
        <v>223</v>
      </c>
      <c r="C50" s="501"/>
      <c r="D50" s="501"/>
      <c r="E50" s="148"/>
      <c r="F50" s="145"/>
      <c r="G50" s="457" t="s">
        <v>571</v>
      </c>
      <c r="H50" s="18"/>
      <c r="I50" s="62"/>
      <c r="J50" s="60"/>
      <c r="K50" s="60"/>
      <c r="L50" s="60"/>
      <c r="M50" s="60"/>
      <c r="N50" s="62"/>
      <c r="O50" s="62"/>
      <c r="P50" s="78">
        <f t="shared" si="46"/>
        <v>0</v>
      </c>
      <c r="Q50" s="62"/>
      <c r="R50" s="60"/>
      <c r="S50" s="60"/>
      <c r="T50" s="60"/>
      <c r="U50" s="60"/>
      <c r="V50" s="62"/>
      <c r="W50" s="62"/>
      <c r="X50" s="78">
        <f t="shared" si="47"/>
        <v>0</v>
      </c>
      <c r="Y50" s="62"/>
      <c r="Z50" s="60"/>
      <c r="AA50" s="60"/>
      <c r="AB50" s="60"/>
      <c r="AC50" s="60"/>
      <c r="AD50" s="62"/>
      <c r="AE50" s="62"/>
      <c r="AF50" s="78">
        <f t="shared" si="48"/>
        <v>0</v>
      </c>
      <c r="AG50" s="78">
        <f t="shared" si="49"/>
        <v>0</v>
      </c>
      <c r="AH50" s="295"/>
      <c r="AI50" s="295"/>
      <c r="AJ50" s="295"/>
      <c r="AK50" s="295"/>
      <c r="AL50" s="78">
        <f t="shared" si="50"/>
        <v>0</v>
      </c>
      <c r="AM50" s="78">
        <f t="shared" si="51"/>
        <v>0</v>
      </c>
      <c r="AN50" s="78">
        <f t="shared" si="52"/>
        <v>0</v>
      </c>
    </row>
    <row r="51" spans="1:40" x14ac:dyDescent="0.2">
      <c r="A51" s="143" t="s">
        <v>224</v>
      </c>
      <c r="B51" s="39" t="s">
        <v>225</v>
      </c>
      <c r="C51" s="39"/>
      <c r="D51" s="39"/>
      <c r="E51" s="39"/>
      <c r="F51" s="128"/>
      <c r="G51" s="457" t="s">
        <v>572</v>
      </c>
      <c r="H51" s="18"/>
      <c r="I51" s="77">
        <f t="shared" ref="I51:O51" si="53">SUM(I52,I53)</f>
        <v>0</v>
      </c>
      <c r="J51" s="77">
        <f t="shared" si="53"/>
        <v>0</v>
      </c>
      <c r="K51" s="77">
        <f t="shared" si="53"/>
        <v>0</v>
      </c>
      <c r="L51" s="77">
        <f t="shared" si="53"/>
        <v>0</v>
      </c>
      <c r="M51" s="77">
        <f t="shared" si="53"/>
        <v>0</v>
      </c>
      <c r="N51" s="77">
        <f t="shared" si="53"/>
        <v>0</v>
      </c>
      <c r="O51" s="77">
        <f t="shared" si="53"/>
        <v>0</v>
      </c>
      <c r="P51" s="78">
        <f t="shared" si="46"/>
        <v>0</v>
      </c>
      <c r="Q51" s="77">
        <f t="shared" ref="Q51:W51" si="54">SUM(Q52,Q53)</f>
        <v>0</v>
      </c>
      <c r="R51" s="77">
        <f t="shared" si="54"/>
        <v>0</v>
      </c>
      <c r="S51" s="77">
        <f t="shared" si="54"/>
        <v>0</v>
      </c>
      <c r="T51" s="77">
        <f t="shared" si="54"/>
        <v>0</v>
      </c>
      <c r="U51" s="77">
        <f t="shared" si="54"/>
        <v>0</v>
      </c>
      <c r="V51" s="77">
        <f t="shared" si="54"/>
        <v>0</v>
      </c>
      <c r="W51" s="77">
        <f t="shared" si="54"/>
        <v>0</v>
      </c>
      <c r="X51" s="78">
        <f t="shared" si="47"/>
        <v>0</v>
      </c>
      <c r="Y51" s="77">
        <f t="shared" ref="Y51:AE51" si="55">SUM(Y52,Y53)</f>
        <v>0</v>
      </c>
      <c r="Z51" s="77">
        <f t="shared" si="55"/>
        <v>0</v>
      </c>
      <c r="AA51" s="77">
        <f t="shared" si="55"/>
        <v>0</v>
      </c>
      <c r="AB51" s="77">
        <f t="shared" si="55"/>
        <v>0</v>
      </c>
      <c r="AC51" s="77">
        <f t="shared" si="55"/>
        <v>0</v>
      </c>
      <c r="AD51" s="77">
        <f t="shared" si="55"/>
        <v>0</v>
      </c>
      <c r="AE51" s="77">
        <f t="shared" si="55"/>
        <v>0</v>
      </c>
      <c r="AF51" s="78">
        <f t="shared" si="48"/>
        <v>0</v>
      </c>
      <c r="AG51" s="78">
        <f t="shared" si="49"/>
        <v>0</v>
      </c>
      <c r="AH51" s="78">
        <f t="shared" ref="AH51:AH59" si="56">(J51+R51) - Z51</f>
        <v>0</v>
      </c>
      <c r="AI51" s="78">
        <f t="shared" ref="AI51:AI59" si="57">(K51+S51) - AA51</f>
        <v>0</v>
      </c>
      <c r="AJ51" s="78">
        <f t="shared" ref="AJ51:AJ59" si="58">(L51+T51) - AB51</f>
        <v>0</v>
      </c>
      <c r="AK51" s="78">
        <f t="shared" ref="AK51:AK59" si="59">(M51+U51) - AC51</f>
        <v>0</v>
      </c>
      <c r="AL51" s="78">
        <f t="shared" si="50"/>
        <v>0</v>
      </c>
      <c r="AM51" s="78">
        <f t="shared" si="51"/>
        <v>0</v>
      </c>
      <c r="AN51" s="78">
        <f t="shared" si="52"/>
        <v>0</v>
      </c>
    </row>
    <row r="52" spans="1:40" x14ac:dyDescent="0.2">
      <c r="A52" s="129"/>
      <c r="B52" s="124" t="s">
        <v>188</v>
      </c>
      <c r="C52" s="124" t="s">
        <v>227</v>
      </c>
      <c r="D52" s="124"/>
      <c r="E52" s="125"/>
      <c r="F52" s="128"/>
      <c r="G52" s="457" t="s">
        <v>573</v>
      </c>
      <c r="H52" s="18"/>
      <c r="I52" s="62"/>
      <c r="J52" s="62"/>
      <c r="K52" s="62"/>
      <c r="L52" s="62"/>
      <c r="M52" s="62"/>
      <c r="N52" s="62"/>
      <c r="O52" s="62"/>
      <c r="P52" s="78">
        <f t="shared" si="46"/>
        <v>0</v>
      </c>
      <c r="Q52" s="62"/>
      <c r="R52" s="62"/>
      <c r="S52" s="62"/>
      <c r="T52" s="62"/>
      <c r="U52" s="62"/>
      <c r="V52" s="62"/>
      <c r="W52" s="62"/>
      <c r="X52" s="78">
        <f t="shared" si="47"/>
        <v>0</v>
      </c>
      <c r="Y52" s="62"/>
      <c r="Z52" s="62"/>
      <c r="AA52" s="62"/>
      <c r="AB52" s="62"/>
      <c r="AC52" s="62"/>
      <c r="AD52" s="62"/>
      <c r="AE52" s="62"/>
      <c r="AF52" s="78">
        <f t="shared" si="48"/>
        <v>0</v>
      </c>
      <c r="AG52" s="78">
        <f t="shared" si="49"/>
        <v>0</v>
      </c>
      <c r="AH52" s="78">
        <f t="shared" si="56"/>
        <v>0</v>
      </c>
      <c r="AI52" s="78">
        <f t="shared" si="57"/>
        <v>0</v>
      </c>
      <c r="AJ52" s="78">
        <f t="shared" si="58"/>
        <v>0</v>
      </c>
      <c r="AK52" s="78">
        <f t="shared" si="59"/>
        <v>0</v>
      </c>
      <c r="AL52" s="78">
        <f t="shared" si="50"/>
        <v>0</v>
      </c>
      <c r="AM52" s="78">
        <f t="shared" si="51"/>
        <v>0</v>
      </c>
      <c r="AN52" s="78">
        <f t="shared" si="52"/>
        <v>0</v>
      </c>
    </row>
    <row r="53" spans="1:40" x14ac:dyDescent="0.2">
      <c r="A53" s="127"/>
      <c r="B53" s="39" t="s">
        <v>195</v>
      </c>
      <c r="C53" s="39" t="s">
        <v>228</v>
      </c>
      <c r="D53" s="39"/>
      <c r="E53" s="39"/>
      <c r="F53" s="128"/>
      <c r="G53" s="457" t="s">
        <v>574</v>
      </c>
      <c r="H53" s="18"/>
      <c r="I53" s="77">
        <f t="shared" ref="I53:O53" si="60">SUM(I54,I55)</f>
        <v>0</v>
      </c>
      <c r="J53" s="77">
        <f t="shared" si="60"/>
        <v>0</v>
      </c>
      <c r="K53" s="77">
        <f t="shared" si="60"/>
        <v>0</v>
      </c>
      <c r="L53" s="77">
        <f t="shared" si="60"/>
        <v>0</v>
      </c>
      <c r="M53" s="77">
        <f t="shared" si="60"/>
        <v>0</v>
      </c>
      <c r="N53" s="77">
        <f t="shared" si="60"/>
        <v>0</v>
      </c>
      <c r="O53" s="77">
        <f t="shared" si="60"/>
        <v>0</v>
      </c>
      <c r="P53" s="78">
        <f t="shared" si="46"/>
        <v>0</v>
      </c>
      <c r="Q53" s="77">
        <f t="shared" ref="Q53:W53" si="61">SUM(Q54,Q55)</f>
        <v>0</v>
      </c>
      <c r="R53" s="77">
        <f t="shared" si="61"/>
        <v>0</v>
      </c>
      <c r="S53" s="77">
        <f t="shared" si="61"/>
        <v>0</v>
      </c>
      <c r="T53" s="77">
        <f t="shared" si="61"/>
        <v>0</v>
      </c>
      <c r="U53" s="77">
        <f t="shared" si="61"/>
        <v>0</v>
      </c>
      <c r="V53" s="77">
        <f t="shared" si="61"/>
        <v>0</v>
      </c>
      <c r="W53" s="77">
        <f t="shared" si="61"/>
        <v>0</v>
      </c>
      <c r="X53" s="78">
        <f t="shared" si="47"/>
        <v>0</v>
      </c>
      <c r="Y53" s="77">
        <f t="shared" ref="Y53:AE53" si="62">SUM(Y54,Y55)</f>
        <v>0</v>
      </c>
      <c r="Z53" s="77">
        <f t="shared" si="62"/>
        <v>0</v>
      </c>
      <c r="AA53" s="77">
        <f t="shared" si="62"/>
        <v>0</v>
      </c>
      <c r="AB53" s="77">
        <f t="shared" si="62"/>
        <v>0</v>
      </c>
      <c r="AC53" s="77">
        <f t="shared" si="62"/>
        <v>0</v>
      </c>
      <c r="AD53" s="77">
        <f t="shared" si="62"/>
        <v>0</v>
      </c>
      <c r="AE53" s="77">
        <f t="shared" si="62"/>
        <v>0</v>
      </c>
      <c r="AF53" s="78">
        <f t="shared" si="48"/>
        <v>0</v>
      </c>
      <c r="AG53" s="78">
        <f t="shared" si="49"/>
        <v>0</v>
      </c>
      <c r="AH53" s="78">
        <f t="shared" si="56"/>
        <v>0</v>
      </c>
      <c r="AI53" s="78">
        <f t="shared" si="57"/>
        <v>0</v>
      </c>
      <c r="AJ53" s="78">
        <f t="shared" si="58"/>
        <v>0</v>
      </c>
      <c r="AK53" s="78">
        <f t="shared" si="59"/>
        <v>0</v>
      </c>
      <c r="AL53" s="78">
        <f t="shared" si="50"/>
        <v>0</v>
      </c>
      <c r="AM53" s="78">
        <f t="shared" si="51"/>
        <v>0</v>
      </c>
      <c r="AN53" s="78">
        <f t="shared" si="52"/>
        <v>0</v>
      </c>
    </row>
    <row r="54" spans="1:40" x14ac:dyDescent="0.2">
      <c r="A54" s="129"/>
      <c r="B54" s="124"/>
      <c r="C54" s="149" t="s">
        <v>19</v>
      </c>
      <c r="D54" s="124" t="s">
        <v>229</v>
      </c>
      <c r="E54" s="125"/>
      <c r="F54" s="128"/>
      <c r="G54" s="457" t="s">
        <v>575</v>
      </c>
      <c r="H54" s="18"/>
      <c r="I54" s="62"/>
      <c r="J54" s="62"/>
      <c r="K54" s="62"/>
      <c r="L54" s="62"/>
      <c r="M54" s="62"/>
      <c r="N54" s="62"/>
      <c r="O54" s="62"/>
      <c r="P54" s="78">
        <f t="shared" si="46"/>
        <v>0</v>
      </c>
      <c r="Q54" s="62"/>
      <c r="R54" s="62"/>
      <c r="S54" s="62"/>
      <c r="T54" s="62"/>
      <c r="U54" s="62"/>
      <c r="V54" s="62"/>
      <c r="W54" s="62"/>
      <c r="X54" s="78">
        <f t="shared" si="47"/>
        <v>0</v>
      </c>
      <c r="Y54" s="62"/>
      <c r="Z54" s="62"/>
      <c r="AA54" s="62"/>
      <c r="AB54" s="62"/>
      <c r="AC54" s="62"/>
      <c r="AD54" s="62"/>
      <c r="AE54" s="62"/>
      <c r="AF54" s="78">
        <f t="shared" si="48"/>
        <v>0</v>
      </c>
      <c r="AG54" s="78">
        <f t="shared" si="49"/>
        <v>0</v>
      </c>
      <c r="AH54" s="78">
        <f t="shared" si="56"/>
        <v>0</v>
      </c>
      <c r="AI54" s="78">
        <f t="shared" si="57"/>
        <v>0</v>
      </c>
      <c r="AJ54" s="78">
        <f t="shared" si="58"/>
        <v>0</v>
      </c>
      <c r="AK54" s="78">
        <f t="shared" si="59"/>
        <v>0</v>
      </c>
      <c r="AL54" s="78">
        <f t="shared" si="50"/>
        <v>0</v>
      </c>
      <c r="AM54" s="78">
        <f t="shared" si="51"/>
        <v>0</v>
      </c>
      <c r="AN54" s="78">
        <f t="shared" si="52"/>
        <v>0</v>
      </c>
    </row>
    <row r="55" spans="1:40" x14ac:dyDescent="0.2">
      <c r="A55" s="127"/>
      <c r="B55" s="39"/>
      <c r="C55" s="150" t="s">
        <v>21</v>
      </c>
      <c r="D55" s="39" t="s">
        <v>228</v>
      </c>
      <c r="E55" s="39"/>
      <c r="F55" s="128"/>
      <c r="G55" s="457" t="s">
        <v>576</v>
      </c>
      <c r="H55" s="18"/>
      <c r="I55" s="62"/>
      <c r="J55" s="62"/>
      <c r="K55" s="62"/>
      <c r="L55" s="62"/>
      <c r="M55" s="62"/>
      <c r="N55" s="62"/>
      <c r="O55" s="62"/>
      <c r="P55" s="78">
        <f t="shared" si="46"/>
        <v>0</v>
      </c>
      <c r="Q55" s="62"/>
      <c r="R55" s="62"/>
      <c r="S55" s="62"/>
      <c r="T55" s="62"/>
      <c r="U55" s="62"/>
      <c r="V55" s="62"/>
      <c r="W55" s="62"/>
      <c r="X55" s="78">
        <f t="shared" si="47"/>
        <v>0</v>
      </c>
      <c r="Y55" s="62"/>
      <c r="Z55" s="62"/>
      <c r="AA55" s="62"/>
      <c r="AB55" s="62"/>
      <c r="AC55" s="62"/>
      <c r="AD55" s="62"/>
      <c r="AE55" s="62"/>
      <c r="AF55" s="78">
        <f t="shared" si="48"/>
        <v>0</v>
      </c>
      <c r="AG55" s="78">
        <f t="shared" si="49"/>
        <v>0</v>
      </c>
      <c r="AH55" s="78">
        <f t="shared" si="56"/>
        <v>0</v>
      </c>
      <c r="AI55" s="78">
        <f t="shared" si="57"/>
        <v>0</v>
      </c>
      <c r="AJ55" s="78">
        <f t="shared" si="58"/>
        <v>0</v>
      </c>
      <c r="AK55" s="78">
        <f t="shared" si="59"/>
        <v>0</v>
      </c>
      <c r="AL55" s="78">
        <f t="shared" si="50"/>
        <v>0</v>
      </c>
      <c r="AM55" s="78">
        <f t="shared" si="51"/>
        <v>0</v>
      </c>
      <c r="AN55" s="78">
        <f t="shared" si="52"/>
        <v>0</v>
      </c>
    </row>
    <row r="56" spans="1:40" x14ac:dyDescent="0.2">
      <c r="A56" s="146" t="s">
        <v>230</v>
      </c>
      <c r="B56" s="124" t="s">
        <v>231</v>
      </c>
      <c r="C56" s="124"/>
      <c r="D56" s="124"/>
      <c r="E56" s="125"/>
      <c r="F56" s="128"/>
      <c r="G56" s="457" t="s">
        <v>577</v>
      </c>
      <c r="H56" s="18"/>
      <c r="I56" s="77">
        <f t="shared" ref="I56:O56" si="63">SUM(I57,I58)</f>
        <v>0</v>
      </c>
      <c r="J56" s="77">
        <f t="shared" si="63"/>
        <v>0</v>
      </c>
      <c r="K56" s="77">
        <f t="shared" si="63"/>
        <v>0</v>
      </c>
      <c r="L56" s="77">
        <f t="shared" si="63"/>
        <v>0</v>
      </c>
      <c r="M56" s="77">
        <f t="shared" si="63"/>
        <v>0</v>
      </c>
      <c r="N56" s="77">
        <f t="shared" si="63"/>
        <v>0</v>
      </c>
      <c r="O56" s="77">
        <f t="shared" si="63"/>
        <v>0</v>
      </c>
      <c r="P56" s="78">
        <f t="shared" si="46"/>
        <v>0</v>
      </c>
      <c r="Q56" s="77">
        <f t="shared" ref="Q56:W56" si="64">SUM(Q57,Q58)</f>
        <v>0</v>
      </c>
      <c r="R56" s="77">
        <f t="shared" si="64"/>
        <v>0</v>
      </c>
      <c r="S56" s="77">
        <f t="shared" si="64"/>
        <v>0</v>
      </c>
      <c r="T56" s="77">
        <f t="shared" si="64"/>
        <v>0</v>
      </c>
      <c r="U56" s="77">
        <f t="shared" si="64"/>
        <v>0</v>
      </c>
      <c r="V56" s="77">
        <f t="shared" si="64"/>
        <v>0</v>
      </c>
      <c r="W56" s="77">
        <f t="shared" si="64"/>
        <v>0</v>
      </c>
      <c r="X56" s="78">
        <f t="shared" si="47"/>
        <v>0</v>
      </c>
      <c r="Y56" s="77">
        <f t="shared" ref="Y56:AE56" si="65">SUM(Y57,Y58)</f>
        <v>0</v>
      </c>
      <c r="Z56" s="77">
        <f t="shared" si="65"/>
        <v>0</v>
      </c>
      <c r="AA56" s="77">
        <f t="shared" si="65"/>
        <v>0</v>
      </c>
      <c r="AB56" s="77">
        <f t="shared" si="65"/>
        <v>0</v>
      </c>
      <c r="AC56" s="77">
        <f t="shared" si="65"/>
        <v>0</v>
      </c>
      <c r="AD56" s="77">
        <f t="shared" si="65"/>
        <v>0</v>
      </c>
      <c r="AE56" s="77">
        <f t="shared" si="65"/>
        <v>0</v>
      </c>
      <c r="AF56" s="78">
        <f t="shared" si="48"/>
        <v>0</v>
      </c>
      <c r="AG56" s="78">
        <f t="shared" si="49"/>
        <v>0</v>
      </c>
      <c r="AH56" s="78">
        <f t="shared" si="56"/>
        <v>0</v>
      </c>
      <c r="AI56" s="78">
        <f t="shared" si="57"/>
        <v>0</v>
      </c>
      <c r="AJ56" s="78">
        <f t="shared" si="58"/>
        <v>0</v>
      </c>
      <c r="AK56" s="78">
        <f t="shared" si="59"/>
        <v>0</v>
      </c>
      <c r="AL56" s="78">
        <f t="shared" si="50"/>
        <v>0</v>
      </c>
      <c r="AM56" s="78">
        <f t="shared" si="51"/>
        <v>0</v>
      </c>
      <c r="AN56" s="78">
        <f t="shared" si="52"/>
        <v>0</v>
      </c>
    </row>
    <row r="57" spans="1:40" x14ac:dyDescent="0.2">
      <c r="A57" s="127"/>
      <c r="B57" s="39" t="s">
        <v>188</v>
      </c>
      <c r="C57" s="39" t="s">
        <v>232</v>
      </c>
      <c r="D57" s="39"/>
      <c r="E57" s="39"/>
      <c r="F57" s="128"/>
      <c r="G57" s="457" t="s">
        <v>578</v>
      </c>
      <c r="H57" s="18"/>
      <c r="I57" s="62"/>
      <c r="J57" s="62"/>
      <c r="K57" s="62"/>
      <c r="L57" s="62"/>
      <c r="M57" s="62"/>
      <c r="N57" s="62"/>
      <c r="O57" s="62"/>
      <c r="P57" s="78">
        <f t="shared" si="46"/>
        <v>0</v>
      </c>
      <c r="Q57" s="62"/>
      <c r="R57" s="62"/>
      <c r="S57" s="62"/>
      <c r="T57" s="62"/>
      <c r="U57" s="62"/>
      <c r="V57" s="62"/>
      <c r="W57" s="62"/>
      <c r="X57" s="78">
        <f t="shared" si="47"/>
        <v>0</v>
      </c>
      <c r="Y57" s="62"/>
      <c r="Z57" s="62"/>
      <c r="AA57" s="62"/>
      <c r="AB57" s="62"/>
      <c r="AC57" s="62"/>
      <c r="AD57" s="62"/>
      <c r="AE57" s="62"/>
      <c r="AF57" s="78">
        <f t="shared" si="48"/>
        <v>0</v>
      </c>
      <c r="AG57" s="78">
        <f t="shared" si="49"/>
        <v>0</v>
      </c>
      <c r="AH57" s="78">
        <f t="shared" si="56"/>
        <v>0</v>
      </c>
      <c r="AI57" s="78">
        <f t="shared" si="57"/>
        <v>0</v>
      </c>
      <c r="AJ57" s="78">
        <f t="shared" si="58"/>
        <v>0</v>
      </c>
      <c r="AK57" s="78">
        <f t="shared" si="59"/>
        <v>0</v>
      </c>
      <c r="AL57" s="78">
        <f t="shared" si="50"/>
        <v>0</v>
      </c>
      <c r="AM57" s="78">
        <f t="shared" si="51"/>
        <v>0</v>
      </c>
      <c r="AN57" s="78">
        <f t="shared" si="52"/>
        <v>0</v>
      </c>
    </row>
    <row r="58" spans="1:40" x14ac:dyDescent="0.2">
      <c r="A58" s="129"/>
      <c r="B58" s="124" t="s">
        <v>195</v>
      </c>
      <c r="C58" s="124" t="s">
        <v>233</v>
      </c>
      <c r="D58" s="124"/>
      <c r="E58" s="125"/>
      <c r="F58" s="128"/>
      <c r="G58" s="457" t="s">
        <v>579</v>
      </c>
      <c r="H58" s="18"/>
      <c r="I58" s="62"/>
      <c r="J58" s="62"/>
      <c r="K58" s="62"/>
      <c r="L58" s="62"/>
      <c r="M58" s="62"/>
      <c r="N58" s="62"/>
      <c r="O58" s="62"/>
      <c r="P58" s="78">
        <f t="shared" si="46"/>
        <v>0</v>
      </c>
      <c r="Q58" s="62"/>
      <c r="R58" s="62"/>
      <c r="S58" s="62"/>
      <c r="T58" s="62"/>
      <c r="U58" s="62"/>
      <c r="V58" s="62"/>
      <c r="W58" s="62"/>
      <c r="X58" s="78">
        <f t="shared" si="47"/>
        <v>0</v>
      </c>
      <c r="Y58" s="62"/>
      <c r="Z58" s="62"/>
      <c r="AA58" s="62"/>
      <c r="AB58" s="62"/>
      <c r="AC58" s="62"/>
      <c r="AD58" s="62"/>
      <c r="AE58" s="62"/>
      <c r="AF58" s="78">
        <f t="shared" si="48"/>
        <v>0</v>
      </c>
      <c r="AG58" s="78">
        <f t="shared" si="49"/>
        <v>0</v>
      </c>
      <c r="AH58" s="78">
        <f t="shared" si="56"/>
        <v>0</v>
      </c>
      <c r="AI58" s="78">
        <f t="shared" si="57"/>
        <v>0</v>
      </c>
      <c r="AJ58" s="78">
        <f t="shared" si="58"/>
        <v>0</v>
      </c>
      <c r="AK58" s="78">
        <f t="shared" si="59"/>
        <v>0</v>
      </c>
      <c r="AL58" s="78">
        <f t="shared" si="50"/>
        <v>0</v>
      </c>
      <c r="AM58" s="78">
        <f t="shared" si="51"/>
        <v>0</v>
      </c>
      <c r="AN58" s="78">
        <f t="shared" si="52"/>
        <v>0</v>
      </c>
    </row>
    <row r="59" spans="1:40" x14ac:dyDescent="0.2">
      <c r="A59" s="143" t="s">
        <v>234</v>
      </c>
      <c r="B59" s="39" t="s">
        <v>235</v>
      </c>
      <c r="C59" s="39"/>
      <c r="D59" s="39"/>
      <c r="E59" s="39"/>
      <c r="F59" s="128"/>
      <c r="G59" s="457" t="s">
        <v>580</v>
      </c>
      <c r="H59" s="18"/>
      <c r="I59" s="62"/>
      <c r="J59" s="62"/>
      <c r="K59" s="62"/>
      <c r="L59" s="62"/>
      <c r="M59" s="62"/>
      <c r="N59" s="62"/>
      <c r="O59" s="62"/>
      <c r="P59" s="78">
        <f t="shared" si="46"/>
        <v>0</v>
      </c>
      <c r="Q59" s="62"/>
      <c r="R59" s="62"/>
      <c r="S59" s="62"/>
      <c r="T59" s="62"/>
      <c r="U59" s="62"/>
      <c r="V59" s="62"/>
      <c r="W59" s="62"/>
      <c r="X59" s="78">
        <f t="shared" si="47"/>
        <v>0</v>
      </c>
      <c r="Y59" s="62"/>
      <c r="Z59" s="62"/>
      <c r="AA59" s="62"/>
      <c r="AB59" s="62"/>
      <c r="AC59" s="62"/>
      <c r="AD59" s="62"/>
      <c r="AE59" s="62"/>
      <c r="AF59" s="78">
        <f t="shared" si="48"/>
        <v>0</v>
      </c>
      <c r="AG59" s="78">
        <f t="shared" si="49"/>
        <v>0</v>
      </c>
      <c r="AH59" s="78">
        <f t="shared" si="56"/>
        <v>0</v>
      </c>
      <c r="AI59" s="78">
        <f t="shared" si="57"/>
        <v>0</v>
      </c>
      <c r="AJ59" s="78">
        <f t="shared" si="58"/>
        <v>0</v>
      </c>
      <c r="AK59" s="78">
        <f t="shared" si="59"/>
        <v>0</v>
      </c>
      <c r="AL59" s="78">
        <f t="shared" si="50"/>
        <v>0</v>
      </c>
      <c r="AM59" s="78">
        <f t="shared" si="51"/>
        <v>0</v>
      </c>
      <c r="AN59" s="78">
        <f t="shared" si="52"/>
        <v>0</v>
      </c>
    </row>
    <row r="60" spans="1:40" x14ac:dyDescent="0.2">
      <c r="A60" s="146" t="s">
        <v>236</v>
      </c>
      <c r="B60" s="501" t="s">
        <v>581</v>
      </c>
      <c r="C60" s="501"/>
      <c r="D60" s="501"/>
      <c r="E60" s="501"/>
      <c r="F60" s="511"/>
      <c r="G60" s="457" t="s">
        <v>582</v>
      </c>
      <c r="H60" s="18"/>
      <c r="I60" s="62"/>
      <c r="J60" s="62"/>
      <c r="K60" s="62"/>
      <c r="L60" s="60"/>
      <c r="M60" s="60"/>
      <c r="N60" s="62"/>
      <c r="O60" s="62"/>
      <c r="P60" s="78">
        <f t="shared" si="46"/>
        <v>0</v>
      </c>
      <c r="Q60" s="62"/>
      <c r="R60" s="62"/>
      <c r="S60" s="62"/>
      <c r="T60" s="60"/>
      <c r="U60" s="60"/>
      <c r="V60" s="62"/>
      <c r="W60" s="62"/>
      <c r="X60" s="78">
        <f t="shared" si="47"/>
        <v>0</v>
      </c>
      <c r="Y60" s="62"/>
      <c r="Z60" s="62"/>
      <c r="AA60" s="62"/>
      <c r="AB60" s="60"/>
      <c r="AC60" s="60"/>
      <c r="AD60" s="62"/>
      <c r="AE60" s="62"/>
      <c r="AF60" s="78">
        <f t="shared" si="48"/>
        <v>0</v>
      </c>
      <c r="AG60" s="78">
        <f t="shared" si="49"/>
        <v>0</v>
      </c>
      <c r="AH60" s="78">
        <f t="shared" ref="AH60:AI67" si="66">(J60+R60) - Z60</f>
        <v>0</v>
      </c>
      <c r="AI60" s="78">
        <f t="shared" si="66"/>
        <v>0</v>
      </c>
      <c r="AJ60" s="295"/>
      <c r="AK60" s="295"/>
      <c r="AL60" s="78">
        <f t="shared" si="50"/>
        <v>0</v>
      </c>
      <c r="AM60" s="78">
        <f t="shared" si="51"/>
        <v>0</v>
      </c>
      <c r="AN60" s="78">
        <f t="shared" si="52"/>
        <v>0</v>
      </c>
    </row>
    <row r="61" spans="1:40" x14ac:dyDescent="0.2">
      <c r="A61" s="146" t="s">
        <v>583</v>
      </c>
      <c r="B61" s="124" t="s">
        <v>188</v>
      </c>
      <c r="C61" s="130" t="s">
        <v>587</v>
      </c>
      <c r="D61" s="124"/>
      <c r="E61" s="125"/>
      <c r="F61" s="128"/>
      <c r="G61" s="457" t="s">
        <v>588</v>
      </c>
      <c r="H61" s="18"/>
      <c r="I61" s="62"/>
      <c r="J61" s="62"/>
      <c r="K61" s="62"/>
      <c r="L61" s="62"/>
      <c r="M61" s="62"/>
      <c r="N61" s="62"/>
      <c r="O61" s="62"/>
      <c r="P61" s="78">
        <f t="shared" si="46"/>
        <v>0</v>
      </c>
      <c r="Q61" s="82"/>
      <c r="R61" s="82"/>
      <c r="S61" s="82"/>
      <c r="T61" s="82"/>
      <c r="U61" s="82"/>
      <c r="V61" s="82"/>
      <c r="W61" s="82"/>
      <c r="X61" s="78">
        <f t="shared" si="47"/>
        <v>0</v>
      </c>
      <c r="Y61" s="62"/>
      <c r="Z61" s="62"/>
      <c r="AA61" s="62"/>
      <c r="AB61" s="62"/>
      <c r="AC61" s="62"/>
      <c r="AD61" s="62"/>
      <c r="AE61" s="62"/>
      <c r="AF61" s="78">
        <f t="shared" si="48"/>
        <v>0</v>
      </c>
      <c r="AG61" s="78">
        <f t="shared" si="49"/>
        <v>0</v>
      </c>
      <c r="AH61" s="78">
        <f t="shared" si="66"/>
        <v>0</v>
      </c>
      <c r="AI61" s="78">
        <f t="shared" si="66"/>
        <v>0</v>
      </c>
      <c r="AJ61" s="78">
        <f t="shared" ref="AJ61:AK67" si="67">(L61+T61) - AB61</f>
        <v>0</v>
      </c>
      <c r="AK61" s="78">
        <f t="shared" si="67"/>
        <v>0</v>
      </c>
      <c r="AL61" s="78">
        <f t="shared" si="50"/>
        <v>0</v>
      </c>
      <c r="AM61" s="78">
        <f t="shared" si="51"/>
        <v>0</v>
      </c>
      <c r="AN61" s="78">
        <f t="shared" si="52"/>
        <v>0</v>
      </c>
    </row>
    <row r="62" spans="1:40" x14ac:dyDescent="0.2">
      <c r="A62" s="146"/>
      <c r="B62" s="124" t="s">
        <v>195</v>
      </c>
      <c r="C62" s="130" t="s">
        <v>589</v>
      </c>
      <c r="D62" s="124"/>
      <c r="E62" s="124"/>
      <c r="F62" s="128"/>
      <c r="G62" s="457" t="s">
        <v>590</v>
      </c>
      <c r="H62" s="18"/>
      <c r="I62" s="62"/>
      <c r="J62" s="62"/>
      <c r="K62" s="62"/>
      <c r="L62" s="62"/>
      <c r="M62" s="62"/>
      <c r="N62" s="62"/>
      <c r="O62" s="62"/>
      <c r="P62" s="78">
        <f t="shared" si="46"/>
        <v>0</v>
      </c>
      <c r="Q62" s="62"/>
      <c r="R62" s="62"/>
      <c r="S62" s="62"/>
      <c r="T62" s="62"/>
      <c r="U62" s="62"/>
      <c r="V62" s="62"/>
      <c r="W62" s="62"/>
      <c r="X62" s="78">
        <f t="shared" si="47"/>
        <v>0</v>
      </c>
      <c r="Y62" s="62"/>
      <c r="Z62" s="62"/>
      <c r="AA62" s="62"/>
      <c r="AB62" s="62"/>
      <c r="AC62" s="62"/>
      <c r="AD62" s="62"/>
      <c r="AE62" s="62"/>
      <c r="AF62" s="78">
        <f t="shared" si="48"/>
        <v>0</v>
      </c>
      <c r="AG62" s="78">
        <f t="shared" si="49"/>
        <v>0</v>
      </c>
      <c r="AH62" s="78">
        <f t="shared" si="66"/>
        <v>0</v>
      </c>
      <c r="AI62" s="78">
        <f t="shared" si="66"/>
        <v>0</v>
      </c>
      <c r="AJ62" s="78">
        <f t="shared" si="67"/>
        <v>0</v>
      </c>
      <c r="AK62" s="78">
        <f t="shared" si="67"/>
        <v>0</v>
      </c>
      <c r="AL62" s="78">
        <f t="shared" si="50"/>
        <v>0</v>
      </c>
      <c r="AM62" s="78">
        <f t="shared" si="51"/>
        <v>0</v>
      </c>
      <c r="AN62" s="78">
        <f t="shared" si="52"/>
        <v>0</v>
      </c>
    </row>
    <row r="63" spans="1:40" x14ac:dyDescent="0.2">
      <c r="A63" s="143" t="s">
        <v>586</v>
      </c>
      <c r="B63" s="39" t="s">
        <v>584</v>
      </c>
      <c r="C63" s="131"/>
      <c r="D63" s="39"/>
      <c r="E63" s="39"/>
      <c r="F63" s="128"/>
      <c r="G63" s="457" t="s">
        <v>585</v>
      </c>
      <c r="H63" s="18"/>
      <c r="I63" s="62"/>
      <c r="J63" s="62"/>
      <c r="K63" s="62"/>
      <c r="L63" s="62"/>
      <c r="M63" s="62"/>
      <c r="N63" s="62"/>
      <c r="O63" s="62"/>
      <c r="P63" s="78">
        <f t="shared" si="46"/>
        <v>0</v>
      </c>
      <c r="Q63" s="62"/>
      <c r="R63" s="62"/>
      <c r="S63" s="62"/>
      <c r="T63" s="62"/>
      <c r="U63" s="62"/>
      <c r="V63" s="62"/>
      <c r="W63" s="62"/>
      <c r="X63" s="78">
        <f t="shared" si="47"/>
        <v>0</v>
      </c>
      <c r="Y63" s="62"/>
      <c r="Z63" s="62"/>
      <c r="AA63" s="62"/>
      <c r="AB63" s="62"/>
      <c r="AC63" s="62"/>
      <c r="AD63" s="62"/>
      <c r="AE63" s="62"/>
      <c r="AF63" s="78">
        <f t="shared" si="48"/>
        <v>0</v>
      </c>
      <c r="AG63" s="78">
        <f t="shared" si="49"/>
        <v>0</v>
      </c>
      <c r="AH63" s="78">
        <f t="shared" si="66"/>
        <v>0</v>
      </c>
      <c r="AI63" s="78">
        <f t="shared" si="66"/>
        <v>0</v>
      </c>
      <c r="AJ63" s="78">
        <f t="shared" si="67"/>
        <v>0</v>
      </c>
      <c r="AK63" s="78">
        <f t="shared" si="67"/>
        <v>0</v>
      </c>
      <c r="AL63" s="78">
        <f t="shared" si="50"/>
        <v>0</v>
      </c>
      <c r="AM63" s="78">
        <f t="shared" si="51"/>
        <v>0</v>
      </c>
      <c r="AN63" s="78">
        <f t="shared" si="52"/>
        <v>0</v>
      </c>
    </row>
    <row r="64" spans="1:40" x14ac:dyDescent="0.2">
      <c r="A64" s="146" t="s">
        <v>591</v>
      </c>
      <c r="B64" s="124" t="s">
        <v>592</v>
      </c>
      <c r="C64" s="130"/>
      <c r="D64" s="124"/>
      <c r="E64" s="125"/>
      <c r="F64" s="128"/>
      <c r="G64" s="457" t="s">
        <v>593</v>
      </c>
      <c r="H64" s="18"/>
      <c r="I64" s="77">
        <f t="shared" ref="I64:O64" si="68">SUM(I65,I66,I67)</f>
        <v>0</v>
      </c>
      <c r="J64" s="77">
        <f t="shared" si="68"/>
        <v>0</v>
      </c>
      <c r="K64" s="77">
        <f t="shared" si="68"/>
        <v>0</v>
      </c>
      <c r="L64" s="77">
        <f t="shared" si="68"/>
        <v>0</v>
      </c>
      <c r="M64" s="77">
        <f t="shared" si="68"/>
        <v>0</v>
      </c>
      <c r="N64" s="77">
        <f t="shared" si="68"/>
        <v>0</v>
      </c>
      <c r="O64" s="77">
        <f t="shared" si="68"/>
        <v>0</v>
      </c>
      <c r="P64" s="78">
        <f t="shared" si="46"/>
        <v>0</v>
      </c>
      <c r="Q64" s="77">
        <f t="shared" ref="Q64:W64" si="69">SUM(Q65,Q66,Q67)</f>
        <v>0</v>
      </c>
      <c r="R64" s="77">
        <f t="shared" si="69"/>
        <v>0</v>
      </c>
      <c r="S64" s="77">
        <f t="shared" si="69"/>
        <v>0</v>
      </c>
      <c r="T64" s="77">
        <f t="shared" si="69"/>
        <v>0</v>
      </c>
      <c r="U64" s="77">
        <f t="shared" si="69"/>
        <v>0</v>
      </c>
      <c r="V64" s="77">
        <f t="shared" si="69"/>
        <v>0</v>
      </c>
      <c r="W64" s="77">
        <f t="shared" si="69"/>
        <v>0</v>
      </c>
      <c r="X64" s="78">
        <f t="shared" si="47"/>
        <v>0</v>
      </c>
      <c r="Y64" s="77">
        <f t="shared" ref="Y64:AE64" si="70">SUM(Y65,Y66,Y67)</f>
        <v>0</v>
      </c>
      <c r="Z64" s="77">
        <f t="shared" si="70"/>
        <v>0</v>
      </c>
      <c r="AA64" s="77">
        <f t="shared" si="70"/>
        <v>0</v>
      </c>
      <c r="AB64" s="77">
        <f t="shared" si="70"/>
        <v>0</v>
      </c>
      <c r="AC64" s="77">
        <f t="shared" si="70"/>
        <v>0</v>
      </c>
      <c r="AD64" s="77">
        <f t="shared" si="70"/>
        <v>0</v>
      </c>
      <c r="AE64" s="77">
        <f t="shared" si="70"/>
        <v>0</v>
      </c>
      <c r="AF64" s="78">
        <f t="shared" si="48"/>
        <v>0</v>
      </c>
      <c r="AG64" s="78">
        <f t="shared" si="49"/>
        <v>0</v>
      </c>
      <c r="AH64" s="78">
        <f t="shared" si="66"/>
        <v>0</v>
      </c>
      <c r="AI64" s="78">
        <f t="shared" si="66"/>
        <v>0</v>
      </c>
      <c r="AJ64" s="78">
        <f t="shared" si="67"/>
        <v>0</v>
      </c>
      <c r="AK64" s="78">
        <f t="shared" si="67"/>
        <v>0</v>
      </c>
      <c r="AL64" s="78">
        <f t="shared" si="50"/>
        <v>0</v>
      </c>
      <c r="AM64" s="78">
        <f t="shared" si="51"/>
        <v>0</v>
      </c>
      <c r="AN64" s="78">
        <f t="shared" si="52"/>
        <v>0</v>
      </c>
    </row>
    <row r="65" spans="1:40" x14ac:dyDescent="0.2">
      <c r="A65" s="143"/>
      <c r="B65" s="39" t="s">
        <v>188</v>
      </c>
      <c r="C65" s="131" t="s">
        <v>594</v>
      </c>
      <c r="D65" s="39"/>
      <c r="E65" s="39"/>
      <c r="F65" s="128"/>
      <c r="G65" s="457" t="s">
        <v>595</v>
      </c>
      <c r="H65" s="18"/>
      <c r="I65" s="62"/>
      <c r="J65" s="62"/>
      <c r="K65" s="62"/>
      <c r="L65" s="62"/>
      <c r="M65" s="62"/>
      <c r="N65" s="62"/>
      <c r="O65" s="62"/>
      <c r="P65" s="78">
        <f t="shared" si="46"/>
        <v>0</v>
      </c>
      <c r="Q65" s="62"/>
      <c r="R65" s="62"/>
      <c r="S65" s="62"/>
      <c r="T65" s="62"/>
      <c r="U65" s="62"/>
      <c r="V65" s="62"/>
      <c r="W65" s="62"/>
      <c r="X65" s="78">
        <f t="shared" si="47"/>
        <v>0</v>
      </c>
      <c r="Y65" s="62"/>
      <c r="Z65" s="62"/>
      <c r="AA65" s="62"/>
      <c r="AB65" s="62"/>
      <c r="AC65" s="62"/>
      <c r="AD65" s="62"/>
      <c r="AE65" s="62"/>
      <c r="AF65" s="78">
        <f t="shared" si="48"/>
        <v>0</v>
      </c>
      <c r="AG65" s="78">
        <f t="shared" si="49"/>
        <v>0</v>
      </c>
      <c r="AH65" s="78">
        <f t="shared" si="66"/>
        <v>0</v>
      </c>
      <c r="AI65" s="78">
        <f t="shared" si="66"/>
        <v>0</v>
      </c>
      <c r="AJ65" s="78">
        <f t="shared" si="67"/>
        <v>0</v>
      </c>
      <c r="AK65" s="78">
        <f t="shared" si="67"/>
        <v>0</v>
      </c>
      <c r="AL65" s="78">
        <f t="shared" si="50"/>
        <v>0</v>
      </c>
      <c r="AM65" s="78">
        <f t="shared" si="51"/>
        <v>0</v>
      </c>
      <c r="AN65" s="78">
        <f t="shared" si="52"/>
        <v>0</v>
      </c>
    </row>
    <row r="66" spans="1:40" x14ac:dyDescent="0.2">
      <c r="A66" s="146"/>
      <c r="B66" s="124" t="s">
        <v>195</v>
      </c>
      <c r="C66" s="124" t="s">
        <v>596</v>
      </c>
      <c r="D66" s="124"/>
      <c r="E66" s="125"/>
      <c r="F66" s="128"/>
      <c r="G66" s="457" t="s">
        <v>597</v>
      </c>
      <c r="H66" s="18"/>
      <c r="I66" s="62"/>
      <c r="J66" s="62"/>
      <c r="K66" s="62"/>
      <c r="L66" s="62"/>
      <c r="M66" s="62"/>
      <c r="N66" s="62"/>
      <c r="O66" s="62"/>
      <c r="P66" s="78">
        <f t="shared" si="46"/>
        <v>0</v>
      </c>
      <c r="Q66" s="62"/>
      <c r="R66" s="62"/>
      <c r="S66" s="62"/>
      <c r="T66" s="62"/>
      <c r="U66" s="62"/>
      <c r="V66" s="62"/>
      <c r="W66" s="62"/>
      <c r="X66" s="78">
        <f t="shared" si="47"/>
        <v>0</v>
      </c>
      <c r="Y66" s="62"/>
      <c r="Z66" s="62"/>
      <c r="AA66" s="62"/>
      <c r="AB66" s="62"/>
      <c r="AC66" s="62"/>
      <c r="AD66" s="62"/>
      <c r="AE66" s="62"/>
      <c r="AF66" s="78">
        <f t="shared" si="48"/>
        <v>0</v>
      </c>
      <c r="AG66" s="78">
        <f t="shared" si="49"/>
        <v>0</v>
      </c>
      <c r="AH66" s="78">
        <f t="shared" si="66"/>
        <v>0</v>
      </c>
      <c r="AI66" s="78">
        <f t="shared" si="66"/>
        <v>0</v>
      </c>
      <c r="AJ66" s="78">
        <f t="shared" si="67"/>
        <v>0</v>
      </c>
      <c r="AK66" s="78">
        <f t="shared" si="67"/>
        <v>0</v>
      </c>
      <c r="AL66" s="78">
        <f t="shared" si="50"/>
        <v>0</v>
      </c>
      <c r="AM66" s="78">
        <f t="shared" si="51"/>
        <v>0</v>
      </c>
      <c r="AN66" s="78">
        <f t="shared" si="52"/>
        <v>0</v>
      </c>
    </row>
    <row r="67" spans="1:40" s="16" customFormat="1" x14ac:dyDescent="0.2">
      <c r="A67" s="200"/>
      <c r="B67" s="196" t="s">
        <v>197</v>
      </c>
      <c r="C67" s="196" t="s">
        <v>598</v>
      </c>
      <c r="D67" s="196"/>
      <c r="E67" s="196"/>
      <c r="F67" s="197"/>
      <c r="G67" s="457" t="s">
        <v>599</v>
      </c>
      <c r="H67" s="18"/>
      <c r="I67" s="62"/>
      <c r="J67" s="62"/>
      <c r="K67" s="62"/>
      <c r="L67" s="62"/>
      <c r="M67" s="62"/>
      <c r="N67" s="62"/>
      <c r="O67" s="62"/>
      <c r="P67" s="78">
        <f t="shared" si="46"/>
        <v>0</v>
      </c>
      <c r="Q67" s="62"/>
      <c r="R67" s="62"/>
      <c r="S67" s="62"/>
      <c r="T67" s="62"/>
      <c r="U67" s="62"/>
      <c r="V67" s="62"/>
      <c r="W67" s="62"/>
      <c r="X67" s="78">
        <f t="shared" si="47"/>
        <v>0</v>
      </c>
      <c r="Y67" s="62"/>
      <c r="Z67" s="62"/>
      <c r="AA67" s="62"/>
      <c r="AB67" s="62"/>
      <c r="AC67" s="62"/>
      <c r="AD67" s="62"/>
      <c r="AE67" s="62"/>
      <c r="AF67" s="78">
        <f t="shared" si="48"/>
        <v>0</v>
      </c>
      <c r="AG67" s="78">
        <f t="shared" si="49"/>
        <v>0</v>
      </c>
      <c r="AH67" s="78">
        <f t="shared" si="66"/>
        <v>0</v>
      </c>
      <c r="AI67" s="78">
        <f t="shared" si="66"/>
        <v>0</v>
      </c>
      <c r="AJ67" s="78">
        <f t="shared" si="67"/>
        <v>0</v>
      </c>
      <c r="AK67" s="78">
        <f t="shared" si="67"/>
        <v>0</v>
      </c>
      <c r="AL67" s="78">
        <f t="shared" si="50"/>
        <v>0</v>
      </c>
      <c r="AM67" s="78">
        <f t="shared" si="51"/>
        <v>0</v>
      </c>
      <c r="AN67" s="78">
        <f t="shared" si="52"/>
        <v>0</v>
      </c>
    </row>
    <row r="68" spans="1:40" x14ac:dyDescent="0.2">
      <c r="G68" s="49" t="s">
        <v>184</v>
      </c>
    </row>
  </sheetData>
  <sheetProtection password="F0D6" sheet="1" objects="1" scenarios="1" selectLockedCells="1"/>
  <mergeCells count="33">
    <mergeCell ref="AN8:AN9"/>
    <mergeCell ref="AG8:AG9"/>
    <mergeCell ref="AH8:AI8"/>
    <mergeCell ref="AJ8:AK8"/>
    <mergeCell ref="AL8:AM8"/>
    <mergeCell ref="AF8:AF9"/>
    <mergeCell ref="Z8:AA8"/>
    <mergeCell ref="P8:P9"/>
    <mergeCell ref="Q8:Q9"/>
    <mergeCell ref="AB8:AC8"/>
    <mergeCell ref="J8:K8"/>
    <mergeCell ref="N8:O8"/>
    <mergeCell ref="T8:U8"/>
    <mergeCell ref="X8:X9"/>
    <mergeCell ref="Y8:Y9"/>
    <mergeCell ref="B60:F60"/>
    <mergeCell ref="A1:AN1"/>
    <mergeCell ref="I7:P7"/>
    <mergeCell ref="Q7:X7"/>
    <mergeCell ref="Y7:AF7"/>
    <mergeCell ref="AG7:AN7"/>
    <mergeCell ref="B49:F49"/>
    <mergeCell ref="H7:H9"/>
    <mergeCell ref="L8:M8"/>
    <mergeCell ref="AD8:AE8"/>
    <mergeCell ref="B50:D50"/>
    <mergeCell ref="R8:S8"/>
    <mergeCell ref="V8:W8"/>
    <mergeCell ref="B48:F48"/>
    <mergeCell ref="I8:I9"/>
    <mergeCell ref="G7:G9"/>
    <mergeCell ref="A7:F9"/>
    <mergeCell ref="C47:E47"/>
  </mergeCells>
  <phoneticPr fontId="0" type="noConversion"/>
  <dataValidations count="2">
    <dataValidation type="decimal" operator="lessThan" allowBlank="1" showInputMessage="1" showErrorMessage="1" sqref="AG68:AN196 J41:AN41 J10:AF40 AJ47:AK47 J42:AF196 I10:I196 AJ43:AK43">
      <formula1>1000000000000000</formula1>
    </dataValidation>
    <dataValidation operator="lessThan" allowBlank="1" showInputMessage="1" showErrorMessage="1" sqref="AG10:AN40 AL47:AN47 AG48:AN67 AG47:AI47 AG42:AN42 AG44:AN46 AG43:AI43 AL43:AN43"/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7&amp;8&amp;U
&amp;P of &amp;N&amp;C&amp;"Arial,Bold"&amp;8 MAXIMUM SAVINGS BANK, INC.  [ 03-070011 ]
 As of: June 30, 2019</oddHeader>
  </headerFooter>
  <drawing r:id="rId2"/>
  <legacyDrawing r:id="rId3"/>
  <controls>
    <mc:AlternateContent xmlns:mc="http://schemas.openxmlformats.org/markup-compatibility/2006">
      <mc:Choice Requires="x14">
        <control shapeId="13313" r:id="rId4" name="Label1">
          <controlPr defaultSize="0" autoLine="0" r:id="rId5">
            <anchor moveWithCells="1">
              <from>
                <xdr:col>7</xdr:col>
                <xdr:colOff>238125</xdr:colOff>
                <xdr:row>17</xdr:row>
                <xdr:rowOff>28575</xdr:rowOff>
              </from>
              <to>
                <xdr:col>7</xdr:col>
                <xdr:colOff>647700</xdr:colOff>
                <xdr:row>18</xdr:row>
                <xdr:rowOff>28575</xdr:rowOff>
              </to>
            </anchor>
          </controlPr>
        </control>
      </mc:Choice>
      <mc:Fallback>
        <control shapeId="13313" r:id="rId4" name="Label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F257"/>
  <sheetViews>
    <sheetView zoomScale="75" zoomScaleNormal="90" zoomScaleSheetLayoutView="5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3" sqref="I13"/>
    </sheetView>
  </sheetViews>
  <sheetFormatPr defaultRowHeight="11.25" x14ac:dyDescent="0.2"/>
  <cols>
    <col min="1" max="1" width="2.7109375" style="1" customWidth="1"/>
    <col min="2" max="2" width="3.5703125" style="1" customWidth="1"/>
    <col min="3" max="3" width="3" style="1" customWidth="1"/>
    <col min="4" max="4" width="33.140625" style="1" customWidth="1"/>
    <col min="5" max="5" width="3" style="1" hidden="1" customWidth="1"/>
    <col min="6" max="6" width="21.42578125" style="1" hidden="1" customWidth="1"/>
    <col min="7" max="7" width="17.28515625" style="9" customWidth="1"/>
    <col min="8" max="8" width="16.5703125" style="9" hidden="1" customWidth="1"/>
    <col min="9" max="13" width="20.7109375" style="1" customWidth="1"/>
    <col min="14" max="15" width="20.7109375" style="1" hidden="1" customWidth="1"/>
    <col min="16" max="16" width="20.7109375" style="1" customWidth="1"/>
    <col min="17" max="155" width="25.7109375" style="1" customWidth="1"/>
    <col min="156" max="16384" width="9.140625" style="1"/>
  </cols>
  <sheetData>
    <row r="1" spans="1:16" ht="12.75" x14ac:dyDescent="0.2">
      <c r="A1" s="512" t="s">
        <v>796</v>
      </c>
      <c r="B1" s="512"/>
      <c r="C1" s="512"/>
      <c r="D1" s="512"/>
      <c r="E1" s="512"/>
      <c r="F1" s="512"/>
      <c r="G1" s="512"/>
      <c r="H1" s="512"/>
      <c r="I1" s="512"/>
      <c r="J1" s="512"/>
      <c r="K1" s="512"/>
      <c r="L1" s="512"/>
      <c r="M1" s="512"/>
      <c r="N1" s="512"/>
      <c r="O1" s="512"/>
      <c r="P1" s="512"/>
    </row>
    <row r="2" spans="1:16" hidden="1" x14ac:dyDescent="0.2"/>
    <row r="3" spans="1:16" hidden="1" x14ac:dyDescent="0.2"/>
    <row r="4" spans="1:16" hidden="1" x14ac:dyDescent="0.2"/>
    <row r="6" spans="1:16" s="11" customFormat="1" ht="8.25" customHeight="1" x14ac:dyDescent="0.2">
      <c r="A6" s="504" t="s">
        <v>0</v>
      </c>
      <c r="B6" s="505"/>
      <c r="C6" s="505"/>
      <c r="D6" s="505"/>
      <c r="E6" s="505"/>
      <c r="F6" s="506"/>
      <c r="G6" s="496" t="s">
        <v>2</v>
      </c>
      <c r="H6" s="45"/>
      <c r="I6" s="505" t="s">
        <v>354</v>
      </c>
      <c r="J6" s="576"/>
      <c r="K6" s="576"/>
      <c r="L6" s="576"/>
      <c r="M6" s="576"/>
      <c r="N6" s="576"/>
      <c r="O6" s="576"/>
      <c r="P6" s="577"/>
    </row>
    <row r="7" spans="1:16" s="11" customFormat="1" x14ac:dyDescent="0.2">
      <c r="A7" s="507"/>
      <c r="B7" s="508"/>
      <c r="C7" s="508"/>
      <c r="D7" s="508"/>
      <c r="E7" s="508"/>
      <c r="F7" s="509"/>
      <c r="G7" s="497"/>
      <c r="I7" s="529"/>
      <c r="J7" s="529"/>
      <c r="K7" s="529"/>
      <c r="L7" s="529"/>
      <c r="M7" s="529"/>
      <c r="N7" s="529"/>
      <c r="O7" s="529"/>
      <c r="P7" s="530"/>
    </row>
    <row r="8" spans="1:16" s="2" customFormat="1" x14ac:dyDescent="0.2">
      <c r="A8" s="507"/>
      <c r="B8" s="508"/>
      <c r="C8" s="508"/>
      <c r="D8" s="508"/>
      <c r="E8" s="508"/>
      <c r="F8" s="509"/>
      <c r="G8" s="497"/>
      <c r="H8" s="47"/>
      <c r="I8" s="509" t="s">
        <v>3</v>
      </c>
      <c r="J8" s="491" t="s">
        <v>4</v>
      </c>
      <c r="K8" s="492"/>
      <c r="L8" s="491" t="s">
        <v>7</v>
      </c>
      <c r="M8" s="510"/>
      <c r="N8" s="518" t="s">
        <v>391</v>
      </c>
      <c r="O8" s="521"/>
      <c r="P8" s="497" t="s">
        <v>68</v>
      </c>
    </row>
    <row r="9" spans="1:16" s="2" customFormat="1" x14ac:dyDescent="0.2">
      <c r="A9" s="507"/>
      <c r="B9" s="508"/>
      <c r="C9" s="508"/>
      <c r="D9" s="508"/>
      <c r="E9" s="510"/>
      <c r="F9" s="492"/>
      <c r="G9" s="498"/>
      <c r="H9" s="44"/>
      <c r="I9" s="492"/>
      <c r="J9" s="8" t="s">
        <v>5</v>
      </c>
      <c r="K9" s="8" t="s">
        <v>6</v>
      </c>
      <c r="L9" s="8" t="s">
        <v>5</v>
      </c>
      <c r="M9" s="10" t="s">
        <v>6</v>
      </c>
      <c r="N9" s="8" t="s">
        <v>5</v>
      </c>
      <c r="O9" s="10" t="s">
        <v>6</v>
      </c>
      <c r="P9" s="498"/>
    </row>
    <row r="10" spans="1:16" x14ac:dyDescent="0.2">
      <c r="A10" s="325" t="s">
        <v>185</v>
      </c>
      <c r="B10" s="326"/>
      <c r="C10" s="326"/>
      <c r="D10" s="328"/>
      <c r="E10" s="313"/>
      <c r="F10" s="410"/>
      <c r="G10" s="108"/>
      <c r="H10" s="18"/>
      <c r="I10" s="29"/>
      <c r="J10" s="29"/>
      <c r="K10" s="29"/>
      <c r="L10" s="29"/>
      <c r="M10" s="29"/>
      <c r="N10" s="29"/>
      <c r="O10" s="29"/>
      <c r="P10" s="29"/>
    </row>
    <row r="11" spans="1:16" x14ac:dyDescent="0.2">
      <c r="A11" s="330" t="s">
        <v>186</v>
      </c>
      <c r="B11" s="331" t="s">
        <v>187</v>
      </c>
      <c r="C11" s="252"/>
      <c r="D11" s="313"/>
      <c r="E11" s="313"/>
      <c r="F11" s="410"/>
      <c r="G11" s="457" t="s">
        <v>330</v>
      </c>
      <c r="H11" s="18"/>
      <c r="I11" s="78">
        <f>SUM(I12,I18,I24,I29,I34,I39)</f>
        <v>0</v>
      </c>
      <c r="J11" s="78">
        <f t="shared" ref="J11:O11" si="0">SUM(J12,J18,J24,J29,J34,J39)</f>
        <v>0</v>
      </c>
      <c r="K11" s="78">
        <f t="shared" si="0"/>
        <v>0</v>
      </c>
      <c r="L11" s="78">
        <f t="shared" si="0"/>
        <v>0</v>
      </c>
      <c r="M11" s="78">
        <f t="shared" si="0"/>
        <v>0</v>
      </c>
      <c r="N11" s="78">
        <f t="shared" si="0"/>
        <v>0</v>
      </c>
      <c r="O11" s="78">
        <f t="shared" si="0"/>
        <v>0</v>
      </c>
      <c r="P11" s="78">
        <f>SUM(I11,K11,M11,O11)</f>
        <v>0</v>
      </c>
    </row>
    <row r="12" spans="1:16" x14ac:dyDescent="0.2">
      <c r="A12" s="332"/>
      <c r="B12" s="333" t="s">
        <v>188</v>
      </c>
      <c r="C12" s="333" t="s">
        <v>189</v>
      </c>
      <c r="D12" s="334"/>
      <c r="E12" s="313"/>
      <c r="F12" s="410"/>
      <c r="G12" s="457" t="s">
        <v>332</v>
      </c>
      <c r="H12" s="18"/>
      <c r="I12" s="78">
        <f t="shared" ref="I12:O12" si="1">SUM(I13,I14,I15,I16,I17)</f>
        <v>0</v>
      </c>
      <c r="J12" s="78">
        <f t="shared" si="1"/>
        <v>0</v>
      </c>
      <c r="K12" s="78">
        <f t="shared" si="1"/>
        <v>0</v>
      </c>
      <c r="L12" s="78">
        <f t="shared" si="1"/>
        <v>0</v>
      </c>
      <c r="M12" s="78">
        <f t="shared" si="1"/>
        <v>0</v>
      </c>
      <c r="N12" s="78">
        <f>SUM(N13,N14,N15,N16,N17)</f>
        <v>0</v>
      </c>
      <c r="O12" s="78">
        <f t="shared" si="1"/>
        <v>0</v>
      </c>
      <c r="P12" s="78">
        <f t="shared" ref="P12:P70" si="2">SUM(I12,K12,M12,O12)</f>
        <v>0</v>
      </c>
    </row>
    <row r="13" spans="1:16" x14ac:dyDescent="0.2">
      <c r="A13" s="251"/>
      <c r="B13" s="252"/>
      <c r="C13" s="311">
        <v>-1</v>
      </c>
      <c r="D13" s="313" t="s">
        <v>296</v>
      </c>
      <c r="E13" s="313"/>
      <c r="F13" s="410"/>
      <c r="G13" s="457" t="s">
        <v>357</v>
      </c>
      <c r="H13" s="18"/>
      <c r="I13" s="61"/>
      <c r="J13" s="61"/>
      <c r="K13" s="61"/>
      <c r="L13" s="61"/>
      <c r="M13" s="61"/>
      <c r="N13" s="61"/>
      <c r="O13" s="61"/>
      <c r="P13" s="78">
        <f t="shared" si="2"/>
        <v>0</v>
      </c>
    </row>
    <row r="14" spans="1:16" x14ac:dyDescent="0.2">
      <c r="A14" s="332"/>
      <c r="B14" s="333"/>
      <c r="C14" s="335">
        <f>C13-1</f>
        <v>-2</v>
      </c>
      <c r="D14" s="334" t="s">
        <v>297</v>
      </c>
      <c r="E14" s="313"/>
      <c r="F14" s="410"/>
      <c r="G14" s="457" t="s">
        <v>358</v>
      </c>
      <c r="H14" s="18"/>
      <c r="I14" s="61"/>
      <c r="J14" s="60"/>
      <c r="K14" s="60"/>
      <c r="L14" s="60"/>
      <c r="M14" s="60"/>
      <c r="N14" s="62"/>
      <c r="O14" s="62"/>
      <c r="P14" s="78">
        <f t="shared" si="2"/>
        <v>0</v>
      </c>
    </row>
    <row r="15" spans="1:16" x14ac:dyDescent="0.2">
      <c r="A15" s="251"/>
      <c r="B15" s="252"/>
      <c r="C15" s="311">
        <f>C14-1</f>
        <v>-3</v>
      </c>
      <c r="D15" s="313" t="s">
        <v>298</v>
      </c>
      <c r="E15" s="313"/>
      <c r="F15" s="410"/>
      <c r="G15" s="457" t="s">
        <v>359</v>
      </c>
      <c r="H15" s="18"/>
      <c r="I15" s="61"/>
      <c r="J15" s="61"/>
      <c r="K15" s="61"/>
      <c r="L15" s="61"/>
      <c r="M15" s="61"/>
      <c r="N15" s="61"/>
      <c r="O15" s="61"/>
      <c r="P15" s="78">
        <f t="shared" si="2"/>
        <v>0</v>
      </c>
    </row>
    <row r="16" spans="1:16" x14ac:dyDescent="0.2">
      <c r="A16" s="332"/>
      <c r="B16" s="333"/>
      <c r="C16" s="335">
        <f>C15-1</f>
        <v>-4</v>
      </c>
      <c r="D16" s="334" t="s">
        <v>299</v>
      </c>
      <c r="E16" s="313"/>
      <c r="F16" s="410"/>
      <c r="G16" s="457" t="s">
        <v>360</v>
      </c>
      <c r="H16" s="18"/>
      <c r="I16" s="61"/>
      <c r="J16" s="61"/>
      <c r="K16" s="61"/>
      <c r="L16" s="61"/>
      <c r="M16" s="61"/>
      <c r="N16" s="61"/>
      <c r="O16" s="61"/>
      <c r="P16" s="78">
        <f t="shared" si="2"/>
        <v>0</v>
      </c>
    </row>
    <row r="17" spans="1:16" x14ac:dyDescent="0.2">
      <c r="A17" s="251"/>
      <c r="B17" s="252"/>
      <c r="C17" s="311">
        <f>C16-1</f>
        <v>-5</v>
      </c>
      <c r="D17" s="313" t="s">
        <v>300</v>
      </c>
      <c r="E17" s="313"/>
      <c r="F17" s="410"/>
      <c r="G17" s="457" t="s">
        <v>361</v>
      </c>
      <c r="H17" s="18"/>
      <c r="I17" s="62"/>
      <c r="J17" s="62"/>
      <c r="K17" s="62"/>
      <c r="L17" s="62"/>
      <c r="M17" s="62"/>
      <c r="N17" s="62"/>
      <c r="O17" s="62"/>
      <c r="P17" s="77">
        <f t="shared" si="2"/>
        <v>0</v>
      </c>
    </row>
    <row r="18" spans="1:16" x14ac:dyDescent="0.2">
      <c r="A18" s="332"/>
      <c r="B18" s="333" t="s">
        <v>195</v>
      </c>
      <c r="C18" s="333" t="s">
        <v>326</v>
      </c>
      <c r="D18" s="334"/>
      <c r="E18" s="313"/>
      <c r="F18" s="410"/>
      <c r="G18" s="457" t="s">
        <v>333</v>
      </c>
      <c r="H18" s="18"/>
      <c r="I18" s="78">
        <f>SUM(I19,I20,I21,I22,I23)</f>
        <v>0</v>
      </c>
      <c r="J18" s="295"/>
      <c r="K18" s="295"/>
      <c r="L18" s="295"/>
      <c r="M18" s="295"/>
      <c r="N18" s="78">
        <f>SUM(N19,N20,N21,N22,N23)</f>
        <v>0</v>
      </c>
      <c r="O18" s="78">
        <f>SUM(O19,O20,O21,O22,O23)</f>
        <v>0</v>
      </c>
      <c r="P18" s="78">
        <f t="shared" si="2"/>
        <v>0</v>
      </c>
    </row>
    <row r="19" spans="1:16" x14ac:dyDescent="0.2">
      <c r="A19" s="251"/>
      <c r="B19" s="252"/>
      <c r="C19" s="311">
        <v>-1</v>
      </c>
      <c r="D19" s="313" t="s">
        <v>296</v>
      </c>
      <c r="E19" s="313"/>
      <c r="F19" s="410"/>
      <c r="G19" s="457" t="s">
        <v>872</v>
      </c>
      <c r="H19" s="18"/>
      <c r="I19" s="61"/>
      <c r="J19" s="303"/>
      <c r="K19" s="303"/>
      <c r="L19" s="303"/>
      <c r="M19" s="303"/>
      <c r="N19" s="61"/>
      <c r="O19" s="61"/>
      <c r="P19" s="78">
        <f t="shared" si="2"/>
        <v>0</v>
      </c>
    </row>
    <row r="20" spans="1:16" x14ac:dyDescent="0.2">
      <c r="A20" s="332"/>
      <c r="B20" s="333"/>
      <c r="C20" s="335">
        <f>C19-1</f>
        <v>-2</v>
      </c>
      <c r="D20" s="334" t="s">
        <v>297</v>
      </c>
      <c r="E20" s="313"/>
      <c r="F20" s="410"/>
      <c r="G20" s="457" t="s">
        <v>873</v>
      </c>
      <c r="H20" s="18"/>
      <c r="I20" s="61"/>
      <c r="J20" s="79"/>
      <c r="K20" s="79"/>
      <c r="L20" s="79"/>
      <c r="M20" s="79"/>
      <c r="N20" s="62"/>
      <c r="O20" s="62"/>
      <c r="P20" s="78">
        <f t="shared" si="2"/>
        <v>0</v>
      </c>
    </row>
    <row r="21" spans="1:16" x14ac:dyDescent="0.2">
      <c r="A21" s="251"/>
      <c r="B21" s="252"/>
      <c r="C21" s="311">
        <f>C20-1</f>
        <v>-3</v>
      </c>
      <c r="D21" s="313" t="s">
        <v>298</v>
      </c>
      <c r="E21" s="313"/>
      <c r="F21" s="410"/>
      <c r="G21" s="457" t="s">
        <v>874</v>
      </c>
      <c r="H21" s="18"/>
      <c r="I21" s="61"/>
      <c r="J21" s="303"/>
      <c r="K21" s="303"/>
      <c r="L21" s="303"/>
      <c r="M21" s="303"/>
      <c r="N21" s="61"/>
      <c r="O21" s="61"/>
      <c r="P21" s="78">
        <f t="shared" si="2"/>
        <v>0</v>
      </c>
    </row>
    <row r="22" spans="1:16" x14ac:dyDescent="0.2">
      <c r="A22" s="332"/>
      <c r="B22" s="333"/>
      <c r="C22" s="335">
        <f>C21-1</f>
        <v>-4</v>
      </c>
      <c r="D22" s="334" t="s">
        <v>299</v>
      </c>
      <c r="E22" s="313"/>
      <c r="F22" s="410"/>
      <c r="G22" s="457" t="s">
        <v>875</v>
      </c>
      <c r="H22" s="18"/>
      <c r="I22" s="61"/>
      <c r="J22" s="303"/>
      <c r="K22" s="303"/>
      <c r="L22" s="303"/>
      <c r="M22" s="303"/>
      <c r="N22" s="61"/>
      <c r="O22" s="61"/>
      <c r="P22" s="78">
        <f t="shared" si="2"/>
        <v>0</v>
      </c>
    </row>
    <row r="23" spans="1:16" x14ac:dyDescent="0.2">
      <c r="A23" s="251"/>
      <c r="B23" s="252"/>
      <c r="C23" s="311">
        <f>C22-1</f>
        <v>-5</v>
      </c>
      <c r="D23" s="313" t="s">
        <v>300</v>
      </c>
      <c r="E23" s="313"/>
      <c r="F23" s="410"/>
      <c r="G23" s="457" t="s">
        <v>876</v>
      </c>
      <c r="H23" s="18"/>
      <c r="I23" s="62"/>
      <c r="J23" s="79"/>
      <c r="K23" s="79"/>
      <c r="L23" s="79"/>
      <c r="M23" s="79"/>
      <c r="N23" s="62"/>
      <c r="O23" s="62"/>
      <c r="P23" s="77">
        <f t="shared" si="2"/>
        <v>0</v>
      </c>
    </row>
    <row r="24" spans="1:16" x14ac:dyDescent="0.2">
      <c r="A24" s="411"/>
      <c r="B24" s="311" t="s">
        <v>197</v>
      </c>
      <c r="C24" s="311" t="s">
        <v>837</v>
      </c>
      <c r="D24" s="311"/>
      <c r="E24" s="313"/>
      <c r="F24" s="410"/>
      <c r="G24" s="457" t="s">
        <v>334</v>
      </c>
      <c r="H24" s="18"/>
      <c r="I24" s="78">
        <f>SUM(I25,I26,I27,I28)</f>
        <v>0</v>
      </c>
      <c r="J24" s="78">
        <f t="shared" ref="J24:O24" si="3">SUM(J25,J26,J27,J28)</f>
        <v>0</v>
      </c>
      <c r="K24" s="78">
        <f t="shared" si="3"/>
        <v>0</v>
      </c>
      <c r="L24" s="78">
        <f t="shared" si="3"/>
        <v>0</v>
      </c>
      <c r="M24" s="78">
        <f t="shared" si="3"/>
        <v>0</v>
      </c>
      <c r="N24" s="78">
        <f t="shared" si="3"/>
        <v>0</v>
      </c>
      <c r="O24" s="78">
        <f t="shared" si="3"/>
        <v>0</v>
      </c>
      <c r="P24" s="77">
        <f t="shared" si="2"/>
        <v>0</v>
      </c>
    </row>
    <row r="25" spans="1:16" x14ac:dyDescent="0.2">
      <c r="A25" s="412"/>
      <c r="B25" s="311"/>
      <c r="C25" s="311">
        <v>-1</v>
      </c>
      <c r="D25" s="311" t="s">
        <v>296</v>
      </c>
      <c r="E25" s="313"/>
      <c r="F25" s="410"/>
      <c r="G25" s="457" t="s">
        <v>877</v>
      </c>
      <c r="H25" s="18"/>
      <c r="I25" s="62"/>
      <c r="J25" s="62"/>
      <c r="K25" s="62"/>
      <c r="L25" s="62"/>
      <c r="M25" s="62"/>
      <c r="N25" s="62"/>
      <c r="O25" s="62"/>
      <c r="P25" s="77">
        <f t="shared" si="2"/>
        <v>0</v>
      </c>
    </row>
    <row r="26" spans="1:16" x14ac:dyDescent="0.2">
      <c r="A26" s="412"/>
      <c r="B26" s="311"/>
      <c r="C26" s="311">
        <v>-2</v>
      </c>
      <c r="D26" s="311" t="s">
        <v>298</v>
      </c>
      <c r="E26" s="313"/>
      <c r="F26" s="410"/>
      <c r="G26" s="457" t="s">
        <v>878</v>
      </c>
      <c r="H26" s="18"/>
      <c r="I26" s="62"/>
      <c r="J26" s="62"/>
      <c r="K26" s="62"/>
      <c r="L26" s="62"/>
      <c r="M26" s="62"/>
      <c r="N26" s="62"/>
      <c r="O26" s="62"/>
      <c r="P26" s="77">
        <f t="shared" si="2"/>
        <v>0</v>
      </c>
    </row>
    <row r="27" spans="1:16" x14ac:dyDescent="0.2">
      <c r="A27" s="411"/>
      <c r="B27" s="311"/>
      <c r="C27" s="311">
        <v>-3</v>
      </c>
      <c r="D27" s="311" t="s">
        <v>299</v>
      </c>
      <c r="E27" s="313"/>
      <c r="F27" s="410"/>
      <c r="G27" s="457" t="s">
        <v>879</v>
      </c>
      <c r="H27" s="18"/>
      <c r="I27" s="62"/>
      <c r="J27" s="62"/>
      <c r="K27" s="62"/>
      <c r="L27" s="62"/>
      <c r="M27" s="62"/>
      <c r="N27" s="62"/>
      <c r="O27" s="62"/>
      <c r="P27" s="77">
        <f t="shared" si="2"/>
        <v>0</v>
      </c>
    </row>
    <row r="28" spans="1:16" x14ac:dyDescent="0.2">
      <c r="A28" s="412"/>
      <c r="B28" s="311"/>
      <c r="C28" s="311">
        <v>-4</v>
      </c>
      <c r="D28" s="311" t="s">
        <v>300</v>
      </c>
      <c r="E28" s="313"/>
      <c r="F28" s="410"/>
      <c r="G28" s="457" t="s">
        <v>880</v>
      </c>
      <c r="H28" s="18"/>
      <c r="I28" s="62"/>
      <c r="J28" s="62"/>
      <c r="K28" s="62"/>
      <c r="L28" s="62"/>
      <c r="M28" s="62"/>
      <c r="N28" s="62"/>
      <c r="O28" s="62"/>
      <c r="P28" s="77">
        <f t="shared" si="2"/>
        <v>0</v>
      </c>
    </row>
    <row r="29" spans="1:16" x14ac:dyDescent="0.2">
      <c r="A29" s="332"/>
      <c r="B29" s="252" t="s">
        <v>201</v>
      </c>
      <c r="C29" s="335" t="s">
        <v>196</v>
      </c>
      <c r="D29" s="334"/>
      <c r="E29" s="313"/>
      <c r="F29" s="410"/>
      <c r="G29" s="457" t="s">
        <v>338</v>
      </c>
      <c r="H29" s="18"/>
      <c r="I29" s="78">
        <f t="shared" ref="I29:O29" si="4">SUM(I30,I31,I32,I33)</f>
        <v>0</v>
      </c>
      <c r="J29" s="78">
        <f t="shared" si="4"/>
        <v>0</v>
      </c>
      <c r="K29" s="78">
        <f t="shared" si="4"/>
        <v>0</v>
      </c>
      <c r="L29" s="78">
        <f t="shared" si="4"/>
        <v>0</v>
      </c>
      <c r="M29" s="78">
        <f t="shared" si="4"/>
        <v>0</v>
      </c>
      <c r="N29" s="78">
        <f t="shared" si="4"/>
        <v>0</v>
      </c>
      <c r="O29" s="78">
        <f t="shared" si="4"/>
        <v>0</v>
      </c>
      <c r="P29" s="78">
        <f t="shared" si="2"/>
        <v>0</v>
      </c>
    </row>
    <row r="30" spans="1:16" x14ac:dyDescent="0.2">
      <c r="A30" s="251"/>
      <c r="B30" s="252"/>
      <c r="C30" s="311">
        <v>-1</v>
      </c>
      <c r="D30" s="313" t="s">
        <v>296</v>
      </c>
      <c r="E30" s="313"/>
      <c r="F30" s="410"/>
      <c r="G30" s="457" t="s">
        <v>362</v>
      </c>
      <c r="H30" s="18"/>
      <c r="I30" s="61"/>
      <c r="J30" s="61"/>
      <c r="K30" s="61"/>
      <c r="L30" s="61"/>
      <c r="M30" s="61"/>
      <c r="N30" s="61"/>
      <c r="O30" s="61"/>
      <c r="P30" s="78">
        <f t="shared" si="2"/>
        <v>0</v>
      </c>
    </row>
    <row r="31" spans="1:16" x14ac:dyDescent="0.2">
      <c r="A31" s="332"/>
      <c r="B31" s="333"/>
      <c r="C31" s="335">
        <f>C30-1</f>
        <v>-2</v>
      </c>
      <c r="D31" s="334" t="s">
        <v>298</v>
      </c>
      <c r="E31" s="313"/>
      <c r="F31" s="410"/>
      <c r="G31" s="457" t="s">
        <v>363</v>
      </c>
      <c r="H31" s="18"/>
      <c r="I31" s="62"/>
      <c r="J31" s="62"/>
      <c r="K31" s="62"/>
      <c r="L31" s="62"/>
      <c r="M31" s="62"/>
      <c r="N31" s="62"/>
      <c r="O31" s="62"/>
      <c r="P31" s="78">
        <f t="shared" si="2"/>
        <v>0</v>
      </c>
    </row>
    <row r="32" spans="1:16" x14ac:dyDescent="0.2">
      <c r="A32" s="251"/>
      <c r="B32" s="252"/>
      <c r="C32" s="311">
        <f>C31-1</f>
        <v>-3</v>
      </c>
      <c r="D32" s="313" t="s">
        <v>299</v>
      </c>
      <c r="E32" s="313"/>
      <c r="F32" s="410"/>
      <c r="G32" s="457" t="s">
        <v>364</v>
      </c>
      <c r="H32" s="18"/>
      <c r="I32" s="62"/>
      <c r="J32" s="62"/>
      <c r="K32" s="62"/>
      <c r="L32" s="62"/>
      <c r="M32" s="62"/>
      <c r="N32" s="62"/>
      <c r="O32" s="62"/>
      <c r="P32" s="78">
        <f t="shared" si="2"/>
        <v>0</v>
      </c>
    </row>
    <row r="33" spans="1:240" x14ac:dyDescent="0.2">
      <c r="A33" s="332"/>
      <c r="B33" s="333"/>
      <c r="C33" s="335">
        <f>C32-1</f>
        <v>-4</v>
      </c>
      <c r="D33" s="334" t="s">
        <v>300</v>
      </c>
      <c r="E33" s="313"/>
      <c r="F33" s="410"/>
      <c r="G33" s="457" t="s">
        <v>365</v>
      </c>
      <c r="H33" s="18"/>
      <c r="I33" s="74"/>
      <c r="J33" s="74"/>
      <c r="K33" s="74"/>
      <c r="L33" s="74"/>
      <c r="M33" s="74"/>
      <c r="N33" s="62"/>
      <c r="O33" s="62"/>
      <c r="P33" s="77">
        <f t="shared" si="2"/>
        <v>0</v>
      </c>
    </row>
    <row r="34" spans="1:240" x14ac:dyDescent="0.2">
      <c r="A34" s="251"/>
      <c r="B34" s="252" t="s">
        <v>305</v>
      </c>
      <c r="C34" s="252" t="s">
        <v>198</v>
      </c>
      <c r="D34" s="313"/>
      <c r="E34" s="313"/>
      <c r="F34" s="410"/>
      <c r="G34" s="457" t="s">
        <v>339</v>
      </c>
      <c r="H34" s="18"/>
      <c r="I34" s="77">
        <f t="shared" ref="I34:O34" si="5">SUM(I35,I36,I37,I38)</f>
        <v>0</v>
      </c>
      <c r="J34" s="77">
        <f t="shared" si="5"/>
        <v>0</v>
      </c>
      <c r="K34" s="77">
        <f t="shared" si="5"/>
        <v>0</v>
      </c>
      <c r="L34" s="77">
        <f t="shared" si="5"/>
        <v>0</v>
      </c>
      <c r="M34" s="77">
        <f t="shared" si="5"/>
        <v>0</v>
      </c>
      <c r="N34" s="77">
        <f t="shared" si="5"/>
        <v>0</v>
      </c>
      <c r="O34" s="77">
        <f t="shared" si="5"/>
        <v>0</v>
      </c>
      <c r="P34" s="78">
        <f t="shared" si="2"/>
        <v>0</v>
      </c>
    </row>
    <row r="35" spans="1:240" x14ac:dyDescent="0.2">
      <c r="A35" s="332"/>
      <c r="B35" s="333"/>
      <c r="C35" s="335">
        <v>-1</v>
      </c>
      <c r="D35" s="334" t="s">
        <v>301</v>
      </c>
      <c r="E35" s="313"/>
      <c r="F35" s="410"/>
      <c r="G35" s="457" t="s">
        <v>366</v>
      </c>
      <c r="H35" s="18"/>
      <c r="I35" s="62"/>
      <c r="J35" s="62"/>
      <c r="K35" s="62"/>
      <c r="L35" s="62"/>
      <c r="M35" s="62"/>
      <c r="N35" s="62"/>
      <c r="O35" s="62"/>
      <c r="P35" s="78">
        <f t="shared" si="2"/>
        <v>0</v>
      </c>
    </row>
    <row r="36" spans="1:240" x14ac:dyDescent="0.2">
      <c r="A36" s="251"/>
      <c r="B36" s="252"/>
      <c r="C36" s="311">
        <f>C35-1</f>
        <v>-2</v>
      </c>
      <c r="D36" s="313" t="s">
        <v>302</v>
      </c>
      <c r="E36" s="313"/>
      <c r="F36" s="410"/>
      <c r="G36" s="457" t="s">
        <v>367</v>
      </c>
      <c r="H36" s="18"/>
      <c r="I36" s="62"/>
      <c r="J36" s="62"/>
      <c r="K36" s="62"/>
      <c r="L36" s="62"/>
      <c r="M36" s="62"/>
      <c r="N36" s="62"/>
      <c r="O36" s="62"/>
      <c r="P36" s="78">
        <f t="shared" si="2"/>
        <v>0</v>
      </c>
    </row>
    <row r="37" spans="1:240" s="16" customFormat="1" x14ac:dyDescent="0.2">
      <c r="A37" s="332"/>
      <c r="B37" s="333"/>
      <c r="C37" s="335">
        <f>C36-1</f>
        <v>-3</v>
      </c>
      <c r="D37" s="334" t="s">
        <v>303</v>
      </c>
      <c r="E37" s="313"/>
      <c r="F37" s="410"/>
      <c r="G37" s="457" t="s">
        <v>368</v>
      </c>
      <c r="H37" s="18"/>
      <c r="I37" s="62"/>
      <c r="J37" s="62"/>
      <c r="K37" s="62"/>
      <c r="L37" s="62"/>
      <c r="M37" s="62"/>
      <c r="N37" s="62"/>
      <c r="O37" s="62"/>
      <c r="P37" s="78">
        <f t="shared" si="2"/>
        <v>0</v>
      </c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1"/>
      <c r="CD37" s="21"/>
      <c r="CE37" s="21"/>
      <c r="CF37" s="21"/>
      <c r="CG37" s="21"/>
      <c r="CH37" s="21"/>
      <c r="CI37" s="21"/>
      <c r="CJ37" s="21"/>
      <c r="CK37" s="21"/>
      <c r="CL37" s="21"/>
      <c r="CM37" s="21"/>
      <c r="CN37" s="21"/>
      <c r="CO37" s="21"/>
      <c r="CP37" s="21"/>
      <c r="CQ37" s="21"/>
      <c r="CR37" s="21"/>
      <c r="CS37" s="21"/>
      <c r="CT37" s="21"/>
      <c r="CU37" s="21"/>
      <c r="CV37" s="21"/>
      <c r="CW37" s="21"/>
      <c r="CX37" s="21"/>
      <c r="CY37" s="21"/>
      <c r="CZ37" s="21"/>
      <c r="DA37" s="21"/>
      <c r="DB37" s="21"/>
      <c r="DC37" s="21"/>
      <c r="DD37" s="21"/>
      <c r="DE37" s="21"/>
      <c r="DF37" s="21"/>
      <c r="DG37" s="21"/>
      <c r="DH37" s="21"/>
      <c r="DI37" s="21"/>
      <c r="DJ37" s="21"/>
      <c r="DK37" s="21"/>
      <c r="DL37" s="21"/>
      <c r="DM37" s="21"/>
      <c r="DN37" s="21"/>
      <c r="DO37" s="21"/>
      <c r="DP37" s="21"/>
      <c r="DQ37" s="21"/>
      <c r="DR37" s="21"/>
      <c r="DS37" s="21"/>
      <c r="DT37" s="21"/>
      <c r="DU37" s="21"/>
      <c r="DV37" s="21"/>
      <c r="DW37" s="21"/>
      <c r="DX37" s="21"/>
      <c r="DY37" s="21"/>
      <c r="DZ37" s="21"/>
      <c r="EA37" s="21"/>
      <c r="EB37" s="21"/>
      <c r="EC37" s="21"/>
      <c r="ED37" s="21"/>
      <c r="EE37" s="21"/>
      <c r="EF37" s="21"/>
      <c r="EG37" s="21"/>
      <c r="EH37" s="21"/>
      <c r="EI37" s="21"/>
      <c r="EJ37" s="21"/>
      <c r="EK37" s="21"/>
      <c r="EL37" s="21"/>
      <c r="EM37" s="21"/>
      <c r="EN37" s="21"/>
      <c r="EO37" s="21"/>
      <c r="EP37" s="21"/>
      <c r="EQ37" s="21"/>
      <c r="ER37" s="21"/>
      <c r="ES37" s="21"/>
      <c r="ET37" s="21"/>
      <c r="EU37" s="21"/>
      <c r="EV37" s="21"/>
      <c r="EW37" s="21"/>
      <c r="EX37" s="21"/>
      <c r="EY37" s="21"/>
      <c r="EZ37" s="21"/>
      <c r="FA37" s="21"/>
      <c r="FB37" s="21"/>
      <c r="FC37" s="21"/>
      <c r="FD37" s="21"/>
      <c r="FE37" s="21"/>
      <c r="FF37" s="21"/>
      <c r="FG37" s="21"/>
      <c r="FH37" s="21"/>
      <c r="FI37" s="21"/>
      <c r="FJ37" s="21"/>
      <c r="FK37" s="21"/>
      <c r="FL37" s="21"/>
      <c r="FM37" s="21"/>
      <c r="FN37" s="21"/>
      <c r="FO37" s="21"/>
      <c r="FP37" s="21"/>
      <c r="FQ37" s="21"/>
      <c r="FR37" s="21"/>
      <c r="FS37" s="21"/>
      <c r="FT37" s="21"/>
      <c r="FU37" s="21"/>
      <c r="FV37" s="21"/>
      <c r="FW37" s="21"/>
      <c r="FX37" s="21"/>
      <c r="FY37" s="21"/>
      <c r="FZ37" s="21"/>
      <c r="GA37" s="21"/>
      <c r="GB37" s="21"/>
      <c r="GC37" s="21"/>
      <c r="GD37" s="21"/>
      <c r="GE37" s="21"/>
      <c r="GF37" s="21"/>
      <c r="GG37" s="21"/>
      <c r="GH37" s="21"/>
      <c r="GI37" s="21"/>
      <c r="GJ37" s="21"/>
      <c r="GK37" s="21"/>
      <c r="GL37" s="21"/>
      <c r="GM37" s="21"/>
      <c r="GN37" s="21"/>
      <c r="GO37" s="21"/>
      <c r="GP37" s="21"/>
      <c r="GQ37" s="21"/>
      <c r="GR37" s="21"/>
      <c r="GS37" s="21"/>
      <c r="GT37" s="21"/>
      <c r="GU37" s="21"/>
      <c r="GV37" s="21"/>
      <c r="GW37" s="21"/>
      <c r="GX37" s="21"/>
      <c r="GY37" s="21"/>
      <c r="GZ37" s="21"/>
      <c r="HA37" s="21"/>
      <c r="HB37" s="21"/>
      <c r="HC37" s="21"/>
      <c r="HD37" s="21"/>
      <c r="HE37" s="21"/>
      <c r="HF37" s="21"/>
      <c r="HG37" s="21"/>
      <c r="HH37" s="21"/>
      <c r="HI37" s="21"/>
      <c r="HJ37" s="21"/>
      <c r="HK37" s="21"/>
      <c r="HL37" s="21"/>
      <c r="HM37" s="21"/>
      <c r="HN37" s="21"/>
      <c r="HO37" s="21"/>
      <c r="HP37" s="21"/>
      <c r="HQ37" s="21"/>
      <c r="HR37" s="21"/>
      <c r="HS37" s="21"/>
      <c r="HT37" s="21"/>
      <c r="HU37" s="21"/>
      <c r="HV37" s="21"/>
      <c r="HW37" s="21"/>
      <c r="HX37" s="21"/>
      <c r="HY37" s="21"/>
      <c r="HZ37" s="21"/>
      <c r="IA37" s="21"/>
      <c r="IB37" s="21"/>
      <c r="IC37" s="21"/>
      <c r="ID37" s="21"/>
      <c r="IE37" s="21"/>
      <c r="IF37" s="21"/>
    </row>
    <row r="38" spans="1:240" s="21" customFormat="1" x14ac:dyDescent="0.2">
      <c r="A38" s="251"/>
      <c r="B38" s="252"/>
      <c r="C38" s="311">
        <f>C37-1</f>
        <v>-4</v>
      </c>
      <c r="D38" s="313" t="s">
        <v>304</v>
      </c>
      <c r="E38" s="313"/>
      <c r="F38" s="410"/>
      <c r="G38" s="457" t="s">
        <v>369</v>
      </c>
      <c r="H38" s="18"/>
      <c r="I38" s="74"/>
      <c r="J38" s="74"/>
      <c r="K38" s="74"/>
      <c r="L38" s="74"/>
      <c r="M38" s="74"/>
      <c r="N38" s="62"/>
      <c r="O38" s="62"/>
      <c r="P38" s="77">
        <f t="shared" si="2"/>
        <v>0</v>
      </c>
    </row>
    <row r="39" spans="1:240" s="21" customFormat="1" x14ac:dyDescent="0.2">
      <c r="A39" s="332"/>
      <c r="B39" s="333" t="s">
        <v>867</v>
      </c>
      <c r="C39" s="333" t="s">
        <v>202</v>
      </c>
      <c r="D39" s="334"/>
      <c r="E39" s="313"/>
      <c r="F39" s="410"/>
      <c r="G39" s="457" t="s">
        <v>342</v>
      </c>
      <c r="H39" s="18"/>
      <c r="I39" s="77">
        <f t="shared" ref="I39:O39" si="6">SUM(I40,I41,I42,I43)</f>
        <v>0</v>
      </c>
      <c r="J39" s="77">
        <f t="shared" si="6"/>
        <v>0</v>
      </c>
      <c r="K39" s="77">
        <f t="shared" si="6"/>
        <v>0</v>
      </c>
      <c r="L39" s="77">
        <f t="shared" si="6"/>
        <v>0</v>
      </c>
      <c r="M39" s="77">
        <f t="shared" si="6"/>
        <v>0</v>
      </c>
      <c r="N39" s="77">
        <f t="shared" si="6"/>
        <v>0</v>
      </c>
      <c r="O39" s="77">
        <f t="shared" si="6"/>
        <v>0</v>
      </c>
      <c r="P39" s="78">
        <f t="shared" si="2"/>
        <v>0</v>
      </c>
    </row>
    <row r="40" spans="1:240" s="21" customFormat="1" x14ac:dyDescent="0.2">
      <c r="A40" s="251"/>
      <c r="B40" s="252"/>
      <c r="C40" s="311">
        <v>-1</v>
      </c>
      <c r="D40" s="313" t="s">
        <v>301</v>
      </c>
      <c r="E40" s="313"/>
      <c r="F40" s="410"/>
      <c r="G40" s="457" t="s">
        <v>370</v>
      </c>
      <c r="H40" s="18"/>
      <c r="I40" s="62"/>
      <c r="J40" s="62"/>
      <c r="K40" s="62"/>
      <c r="L40" s="62"/>
      <c r="M40" s="62"/>
      <c r="N40" s="62"/>
      <c r="O40" s="62"/>
      <c r="P40" s="78">
        <f t="shared" si="2"/>
        <v>0</v>
      </c>
    </row>
    <row r="41" spans="1:240" s="21" customFormat="1" x14ac:dyDescent="0.2">
      <c r="A41" s="332"/>
      <c r="B41" s="333"/>
      <c r="C41" s="335">
        <f>C40-1</f>
        <v>-2</v>
      </c>
      <c r="D41" s="334" t="s">
        <v>302</v>
      </c>
      <c r="E41" s="313"/>
      <c r="F41" s="410"/>
      <c r="G41" s="457" t="s">
        <v>371</v>
      </c>
      <c r="H41" s="18"/>
      <c r="I41" s="62"/>
      <c r="J41" s="62"/>
      <c r="K41" s="62"/>
      <c r="L41" s="62"/>
      <c r="M41" s="62"/>
      <c r="N41" s="62"/>
      <c r="O41" s="62"/>
      <c r="P41" s="78">
        <f t="shared" si="2"/>
        <v>0</v>
      </c>
    </row>
    <row r="42" spans="1:240" s="21" customFormat="1" x14ac:dyDescent="0.2">
      <c r="A42" s="251"/>
      <c r="B42" s="252"/>
      <c r="C42" s="311">
        <f>C41-1</f>
        <v>-3</v>
      </c>
      <c r="D42" s="313" t="s">
        <v>303</v>
      </c>
      <c r="E42" s="313"/>
      <c r="F42" s="410"/>
      <c r="G42" s="457" t="s">
        <v>372</v>
      </c>
      <c r="H42" s="18"/>
      <c r="I42" s="62"/>
      <c r="J42" s="62"/>
      <c r="K42" s="62"/>
      <c r="L42" s="62"/>
      <c r="M42" s="62"/>
      <c r="N42" s="62"/>
      <c r="O42" s="62"/>
      <c r="P42" s="78">
        <f t="shared" si="2"/>
        <v>0</v>
      </c>
    </row>
    <row r="43" spans="1:240" s="21" customFormat="1" x14ac:dyDescent="0.2">
      <c r="A43" s="332"/>
      <c r="B43" s="333"/>
      <c r="C43" s="335">
        <f>C42-1</f>
        <v>-4</v>
      </c>
      <c r="D43" s="334" t="s">
        <v>304</v>
      </c>
      <c r="E43" s="313"/>
      <c r="F43" s="410"/>
      <c r="G43" s="457" t="s">
        <v>373</v>
      </c>
      <c r="H43" s="18"/>
      <c r="I43" s="62"/>
      <c r="J43" s="62"/>
      <c r="K43" s="62"/>
      <c r="L43" s="62"/>
      <c r="M43" s="62"/>
      <c r="N43" s="62"/>
      <c r="O43" s="62"/>
      <c r="P43" s="77">
        <f t="shared" si="2"/>
        <v>0</v>
      </c>
    </row>
    <row r="44" spans="1:240" s="21" customFormat="1" x14ac:dyDescent="0.2">
      <c r="A44" s="330" t="s">
        <v>33</v>
      </c>
      <c r="B44" s="331" t="s">
        <v>204</v>
      </c>
      <c r="C44" s="252"/>
      <c r="D44" s="313"/>
      <c r="E44" s="313"/>
      <c r="F44" s="410"/>
      <c r="G44" s="457" t="s">
        <v>345</v>
      </c>
      <c r="H44" s="18"/>
      <c r="I44" s="60"/>
      <c r="J44" s="77">
        <f t="shared" ref="J44:O44" si="7">SUM(J45,J50,J55,J60)</f>
        <v>0</v>
      </c>
      <c r="K44" s="77">
        <f t="shared" si="7"/>
        <v>0</v>
      </c>
      <c r="L44" s="77">
        <f t="shared" si="7"/>
        <v>0</v>
      </c>
      <c r="M44" s="77">
        <f t="shared" si="7"/>
        <v>0</v>
      </c>
      <c r="N44" s="77">
        <f t="shared" si="7"/>
        <v>0</v>
      </c>
      <c r="O44" s="77">
        <f t="shared" si="7"/>
        <v>0</v>
      </c>
      <c r="P44" s="78">
        <f t="shared" si="2"/>
        <v>0</v>
      </c>
    </row>
    <row r="45" spans="1:240" s="21" customFormat="1" x14ac:dyDescent="0.2">
      <c r="A45" s="332"/>
      <c r="B45" s="333" t="s">
        <v>188</v>
      </c>
      <c r="C45" s="333" t="s">
        <v>205</v>
      </c>
      <c r="D45" s="334"/>
      <c r="E45" s="313"/>
      <c r="F45" s="410"/>
      <c r="G45" s="457" t="s">
        <v>346</v>
      </c>
      <c r="H45" s="18"/>
      <c r="I45" s="60"/>
      <c r="J45" s="77">
        <f t="shared" ref="J45:O45" si="8">SUM(J46,J47,J48,J49)</f>
        <v>0</v>
      </c>
      <c r="K45" s="77">
        <f t="shared" si="8"/>
        <v>0</v>
      </c>
      <c r="L45" s="77">
        <f t="shared" si="8"/>
        <v>0</v>
      </c>
      <c r="M45" s="77">
        <f t="shared" si="8"/>
        <v>0</v>
      </c>
      <c r="N45" s="77">
        <f t="shared" si="8"/>
        <v>0</v>
      </c>
      <c r="O45" s="77">
        <f t="shared" si="8"/>
        <v>0</v>
      </c>
      <c r="P45" s="78">
        <f t="shared" si="2"/>
        <v>0</v>
      </c>
    </row>
    <row r="46" spans="1:240" s="21" customFormat="1" x14ac:dyDescent="0.2">
      <c r="A46" s="251"/>
      <c r="B46" s="252"/>
      <c r="C46" s="311">
        <v>-1</v>
      </c>
      <c r="D46" s="313" t="s">
        <v>296</v>
      </c>
      <c r="E46" s="313"/>
      <c r="F46" s="410"/>
      <c r="G46" s="457" t="s">
        <v>374</v>
      </c>
      <c r="H46" s="18"/>
      <c r="I46" s="60"/>
      <c r="J46" s="62"/>
      <c r="K46" s="62"/>
      <c r="L46" s="62"/>
      <c r="M46" s="62"/>
      <c r="N46" s="62"/>
      <c r="O46" s="62"/>
      <c r="P46" s="78">
        <f t="shared" si="2"/>
        <v>0</v>
      </c>
    </row>
    <row r="47" spans="1:240" s="21" customFormat="1" x14ac:dyDescent="0.2">
      <c r="A47" s="332"/>
      <c r="B47" s="333"/>
      <c r="C47" s="413" t="s">
        <v>21</v>
      </c>
      <c r="D47" s="334" t="s">
        <v>298</v>
      </c>
      <c r="E47" s="313"/>
      <c r="F47" s="410"/>
      <c r="G47" s="457" t="s">
        <v>375</v>
      </c>
      <c r="H47" s="18"/>
      <c r="I47" s="60"/>
      <c r="J47" s="62"/>
      <c r="K47" s="62"/>
      <c r="L47" s="62"/>
      <c r="M47" s="62"/>
      <c r="N47" s="62"/>
      <c r="O47" s="62"/>
      <c r="P47" s="78">
        <f t="shared" si="2"/>
        <v>0</v>
      </c>
    </row>
    <row r="48" spans="1:240" s="21" customFormat="1" x14ac:dyDescent="0.2">
      <c r="A48" s="251"/>
      <c r="B48" s="252"/>
      <c r="C48" s="311">
        <f>C47-1</f>
        <v>-3</v>
      </c>
      <c r="D48" s="313" t="s">
        <v>299</v>
      </c>
      <c r="E48" s="313"/>
      <c r="F48" s="410"/>
      <c r="G48" s="457" t="s">
        <v>376</v>
      </c>
      <c r="H48" s="18"/>
      <c r="I48" s="60"/>
      <c r="J48" s="62"/>
      <c r="K48" s="62"/>
      <c r="L48" s="62"/>
      <c r="M48" s="62"/>
      <c r="N48" s="62"/>
      <c r="O48" s="62"/>
      <c r="P48" s="78">
        <f t="shared" si="2"/>
        <v>0</v>
      </c>
    </row>
    <row r="49" spans="1:16" s="21" customFormat="1" x14ac:dyDescent="0.2">
      <c r="A49" s="332"/>
      <c r="B49" s="333"/>
      <c r="C49" s="335">
        <f>C48-1</f>
        <v>-4</v>
      </c>
      <c r="D49" s="334" t="s">
        <v>300</v>
      </c>
      <c r="E49" s="313"/>
      <c r="F49" s="410"/>
      <c r="G49" s="457" t="s">
        <v>377</v>
      </c>
      <c r="H49" s="18"/>
      <c r="I49" s="60"/>
      <c r="J49" s="62"/>
      <c r="K49" s="62"/>
      <c r="L49" s="62"/>
      <c r="M49" s="62"/>
      <c r="N49" s="62"/>
      <c r="O49" s="62"/>
      <c r="P49" s="78">
        <f t="shared" si="2"/>
        <v>0</v>
      </c>
    </row>
    <row r="50" spans="1:16" s="21" customFormat="1" x14ac:dyDescent="0.2">
      <c r="A50" s="251"/>
      <c r="B50" s="252" t="s">
        <v>195</v>
      </c>
      <c r="C50" s="311" t="s">
        <v>306</v>
      </c>
      <c r="D50" s="313"/>
      <c r="E50" s="313"/>
      <c r="F50" s="410"/>
      <c r="G50" s="457" t="s">
        <v>347</v>
      </c>
      <c r="H50" s="18"/>
      <c r="I50" s="60"/>
      <c r="J50" s="77">
        <f t="shared" ref="J50:O50" si="9">SUM(J51,J52,J53,J54)</f>
        <v>0</v>
      </c>
      <c r="K50" s="77">
        <f t="shared" si="9"/>
        <v>0</v>
      </c>
      <c r="L50" s="77">
        <f t="shared" si="9"/>
        <v>0</v>
      </c>
      <c r="M50" s="77">
        <f t="shared" si="9"/>
        <v>0</v>
      </c>
      <c r="N50" s="77">
        <f t="shared" si="9"/>
        <v>0</v>
      </c>
      <c r="O50" s="77">
        <f t="shared" si="9"/>
        <v>0</v>
      </c>
      <c r="P50" s="78">
        <f t="shared" si="2"/>
        <v>0</v>
      </c>
    </row>
    <row r="51" spans="1:16" s="21" customFormat="1" x14ac:dyDescent="0.2">
      <c r="A51" s="332"/>
      <c r="B51" s="333"/>
      <c r="C51" s="335">
        <v>-1</v>
      </c>
      <c r="D51" s="334" t="s">
        <v>301</v>
      </c>
      <c r="E51" s="313"/>
      <c r="F51" s="410"/>
      <c r="G51" s="457" t="s">
        <v>378</v>
      </c>
      <c r="H51" s="18"/>
      <c r="I51" s="60"/>
      <c r="J51" s="62"/>
      <c r="K51" s="62"/>
      <c r="L51" s="62"/>
      <c r="M51" s="62"/>
      <c r="N51" s="62"/>
      <c r="O51" s="62"/>
      <c r="P51" s="78">
        <f t="shared" si="2"/>
        <v>0</v>
      </c>
    </row>
    <row r="52" spans="1:16" s="21" customFormat="1" x14ac:dyDescent="0.2">
      <c r="A52" s="251"/>
      <c r="B52" s="252"/>
      <c r="C52" s="311">
        <f>C51-1</f>
        <v>-2</v>
      </c>
      <c r="D52" s="313" t="s">
        <v>302</v>
      </c>
      <c r="E52" s="313"/>
      <c r="F52" s="410"/>
      <c r="G52" s="457" t="s">
        <v>379</v>
      </c>
      <c r="H52" s="18"/>
      <c r="I52" s="60"/>
      <c r="J52" s="62"/>
      <c r="K52" s="62"/>
      <c r="L52" s="62"/>
      <c r="M52" s="62"/>
      <c r="N52" s="62"/>
      <c r="O52" s="62"/>
      <c r="P52" s="78">
        <f t="shared" si="2"/>
        <v>0</v>
      </c>
    </row>
    <row r="53" spans="1:16" s="21" customFormat="1" x14ac:dyDescent="0.2">
      <c r="A53" s="332"/>
      <c r="B53" s="333"/>
      <c r="C53" s="335">
        <f>C52-1</f>
        <v>-3</v>
      </c>
      <c r="D53" s="334" t="s">
        <v>303</v>
      </c>
      <c r="E53" s="313"/>
      <c r="F53" s="410"/>
      <c r="G53" s="457" t="s">
        <v>380</v>
      </c>
      <c r="H53" s="18"/>
      <c r="I53" s="60"/>
      <c r="J53" s="62"/>
      <c r="K53" s="62"/>
      <c r="L53" s="62"/>
      <c r="M53" s="62"/>
      <c r="N53" s="62"/>
      <c r="O53" s="62"/>
      <c r="P53" s="78">
        <f t="shared" si="2"/>
        <v>0</v>
      </c>
    </row>
    <row r="54" spans="1:16" s="21" customFormat="1" x14ac:dyDescent="0.2">
      <c r="A54" s="251"/>
      <c r="B54" s="252"/>
      <c r="C54" s="311">
        <f>C53-1</f>
        <v>-4</v>
      </c>
      <c r="D54" s="313" t="s">
        <v>304</v>
      </c>
      <c r="E54" s="313"/>
      <c r="F54" s="410"/>
      <c r="G54" s="457" t="s">
        <v>381</v>
      </c>
      <c r="H54" s="18"/>
      <c r="I54" s="60"/>
      <c r="J54" s="74"/>
      <c r="K54" s="74"/>
      <c r="L54" s="74"/>
      <c r="M54" s="74"/>
      <c r="N54" s="62"/>
      <c r="O54" s="62"/>
      <c r="P54" s="77">
        <f t="shared" si="2"/>
        <v>0</v>
      </c>
    </row>
    <row r="55" spans="1:16" s="21" customFormat="1" x14ac:dyDescent="0.2">
      <c r="A55" s="332"/>
      <c r="B55" s="333" t="s">
        <v>197</v>
      </c>
      <c r="C55" s="333" t="s">
        <v>198</v>
      </c>
      <c r="D55" s="334"/>
      <c r="E55" s="313"/>
      <c r="F55" s="410"/>
      <c r="G55" s="457" t="s">
        <v>348</v>
      </c>
      <c r="H55" s="18"/>
      <c r="I55" s="60"/>
      <c r="J55" s="77">
        <f t="shared" ref="J55:O55" si="10">SUM(J56,J57,J58,J59)</f>
        <v>0</v>
      </c>
      <c r="K55" s="77">
        <f t="shared" si="10"/>
        <v>0</v>
      </c>
      <c r="L55" s="77">
        <f t="shared" si="10"/>
        <v>0</v>
      </c>
      <c r="M55" s="77">
        <f t="shared" si="10"/>
        <v>0</v>
      </c>
      <c r="N55" s="77">
        <f t="shared" si="10"/>
        <v>0</v>
      </c>
      <c r="O55" s="77">
        <f t="shared" si="10"/>
        <v>0</v>
      </c>
      <c r="P55" s="78">
        <f t="shared" si="2"/>
        <v>0</v>
      </c>
    </row>
    <row r="56" spans="1:16" s="21" customFormat="1" x14ac:dyDescent="0.2">
      <c r="A56" s="251"/>
      <c r="B56" s="252"/>
      <c r="C56" s="311">
        <v>-1</v>
      </c>
      <c r="D56" s="313" t="s">
        <v>301</v>
      </c>
      <c r="E56" s="313"/>
      <c r="F56" s="410"/>
      <c r="G56" s="457" t="s">
        <v>382</v>
      </c>
      <c r="H56" s="18"/>
      <c r="I56" s="60"/>
      <c r="J56" s="62"/>
      <c r="K56" s="62"/>
      <c r="L56" s="62"/>
      <c r="M56" s="62"/>
      <c r="N56" s="62"/>
      <c r="O56" s="62"/>
      <c r="P56" s="78">
        <f t="shared" si="2"/>
        <v>0</v>
      </c>
    </row>
    <row r="57" spans="1:16" s="21" customFormat="1" x14ac:dyDescent="0.2">
      <c r="A57" s="332"/>
      <c r="B57" s="333"/>
      <c r="C57" s="335">
        <f>C56-1</f>
        <v>-2</v>
      </c>
      <c r="D57" s="334" t="s">
        <v>302</v>
      </c>
      <c r="E57" s="313"/>
      <c r="F57" s="410"/>
      <c r="G57" s="457" t="s">
        <v>383</v>
      </c>
      <c r="H57" s="18"/>
      <c r="I57" s="60"/>
      <c r="J57" s="62"/>
      <c r="K57" s="62"/>
      <c r="L57" s="62"/>
      <c r="M57" s="62"/>
      <c r="N57" s="62"/>
      <c r="O57" s="62"/>
      <c r="P57" s="78">
        <f t="shared" si="2"/>
        <v>0</v>
      </c>
    </row>
    <row r="58" spans="1:16" s="21" customFormat="1" x14ac:dyDescent="0.2">
      <c r="A58" s="251"/>
      <c r="B58" s="252"/>
      <c r="C58" s="311">
        <f>C57-1</f>
        <v>-3</v>
      </c>
      <c r="D58" s="313" t="s">
        <v>303</v>
      </c>
      <c r="E58" s="313"/>
      <c r="F58" s="410"/>
      <c r="G58" s="457" t="s">
        <v>384</v>
      </c>
      <c r="H58" s="18"/>
      <c r="I58" s="60"/>
      <c r="J58" s="62"/>
      <c r="K58" s="62"/>
      <c r="L58" s="62"/>
      <c r="M58" s="62"/>
      <c r="N58" s="62"/>
      <c r="O58" s="62"/>
      <c r="P58" s="78">
        <f t="shared" si="2"/>
        <v>0</v>
      </c>
    </row>
    <row r="59" spans="1:16" s="21" customFormat="1" x14ac:dyDescent="0.2">
      <c r="A59" s="332"/>
      <c r="B59" s="333"/>
      <c r="C59" s="335">
        <f>C58-1</f>
        <v>-4</v>
      </c>
      <c r="D59" s="334" t="s">
        <v>304</v>
      </c>
      <c r="E59" s="313"/>
      <c r="F59" s="410"/>
      <c r="G59" s="457" t="s">
        <v>385</v>
      </c>
      <c r="H59" s="18"/>
      <c r="I59" s="60"/>
      <c r="J59" s="74"/>
      <c r="K59" s="74"/>
      <c r="L59" s="74"/>
      <c r="M59" s="74"/>
      <c r="N59" s="62"/>
      <c r="O59" s="62"/>
      <c r="P59" s="77">
        <f t="shared" si="2"/>
        <v>0</v>
      </c>
    </row>
    <row r="60" spans="1:16" s="21" customFormat="1" x14ac:dyDescent="0.2">
      <c r="A60" s="251"/>
      <c r="B60" s="252" t="s">
        <v>201</v>
      </c>
      <c r="C60" s="252" t="s">
        <v>208</v>
      </c>
      <c r="D60" s="313"/>
      <c r="E60" s="313"/>
      <c r="F60" s="410"/>
      <c r="G60" s="457" t="s">
        <v>351</v>
      </c>
      <c r="H60" s="18"/>
      <c r="I60" s="60"/>
      <c r="J60" s="77">
        <f t="shared" ref="J60:O60" si="11">SUM(J61,J62,J63,J64)</f>
        <v>0</v>
      </c>
      <c r="K60" s="77">
        <f t="shared" si="11"/>
        <v>0</v>
      </c>
      <c r="L60" s="77">
        <f t="shared" si="11"/>
        <v>0</v>
      </c>
      <c r="M60" s="77">
        <f t="shared" si="11"/>
        <v>0</v>
      </c>
      <c r="N60" s="77">
        <f t="shared" si="11"/>
        <v>0</v>
      </c>
      <c r="O60" s="77">
        <f t="shared" si="11"/>
        <v>0</v>
      </c>
      <c r="P60" s="78">
        <f t="shared" si="2"/>
        <v>0</v>
      </c>
    </row>
    <row r="61" spans="1:16" s="21" customFormat="1" x14ac:dyDescent="0.2">
      <c r="A61" s="332"/>
      <c r="B61" s="333"/>
      <c r="C61" s="335">
        <v>-1</v>
      </c>
      <c r="D61" s="334" t="s">
        <v>301</v>
      </c>
      <c r="E61" s="313"/>
      <c r="F61" s="410"/>
      <c r="G61" s="457" t="s">
        <v>386</v>
      </c>
      <c r="H61" s="18"/>
      <c r="I61" s="60"/>
      <c r="J61" s="62"/>
      <c r="K61" s="62"/>
      <c r="L61" s="62"/>
      <c r="M61" s="62"/>
      <c r="N61" s="62"/>
      <c r="O61" s="62"/>
      <c r="P61" s="78">
        <f t="shared" si="2"/>
        <v>0</v>
      </c>
    </row>
    <row r="62" spans="1:16" s="21" customFormat="1" x14ac:dyDescent="0.2">
      <c r="A62" s="251"/>
      <c r="B62" s="252"/>
      <c r="C62" s="311">
        <f>C61-1</f>
        <v>-2</v>
      </c>
      <c r="D62" s="313" t="s">
        <v>302</v>
      </c>
      <c r="E62" s="313"/>
      <c r="F62" s="410"/>
      <c r="G62" s="457" t="s">
        <v>387</v>
      </c>
      <c r="H62" s="18"/>
      <c r="I62" s="60"/>
      <c r="J62" s="62"/>
      <c r="K62" s="62"/>
      <c r="L62" s="62"/>
      <c r="M62" s="62"/>
      <c r="N62" s="62"/>
      <c r="O62" s="62"/>
      <c r="P62" s="78">
        <f t="shared" si="2"/>
        <v>0</v>
      </c>
    </row>
    <row r="63" spans="1:16" s="21" customFormat="1" x14ac:dyDescent="0.2">
      <c r="A63" s="251"/>
      <c r="B63" s="252"/>
      <c r="C63" s="311">
        <f>C62-1</f>
        <v>-3</v>
      </c>
      <c r="D63" s="313" t="s">
        <v>303</v>
      </c>
      <c r="E63" s="313"/>
      <c r="F63" s="410"/>
      <c r="G63" s="457" t="s">
        <v>388</v>
      </c>
      <c r="H63" s="18"/>
      <c r="I63" s="60"/>
      <c r="J63" s="62"/>
      <c r="K63" s="62"/>
      <c r="L63" s="62"/>
      <c r="M63" s="62"/>
      <c r="N63" s="62"/>
      <c r="O63" s="62"/>
      <c r="P63" s="78">
        <f t="shared" si="2"/>
        <v>0</v>
      </c>
    </row>
    <row r="64" spans="1:16" s="21" customFormat="1" x14ac:dyDescent="0.2">
      <c r="A64" s="251"/>
      <c r="B64" s="252"/>
      <c r="C64" s="311">
        <f>C63-1</f>
        <v>-4</v>
      </c>
      <c r="D64" s="313" t="s">
        <v>304</v>
      </c>
      <c r="E64" s="313"/>
      <c r="F64" s="410"/>
      <c r="G64" s="457" t="s">
        <v>389</v>
      </c>
      <c r="H64" s="18"/>
      <c r="I64" s="60"/>
      <c r="J64" s="74"/>
      <c r="K64" s="74"/>
      <c r="L64" s="74"/>
      <c r="M64" s="74"/>
      <c r="N64" s="62"/>
      <c r="O64" s="62"/>
      <c r="P64" s="77">
        <f t="shared" si="2"/>
        <v>0</v>
      </c>
    </row>
    <row r="65" spans="1:16" s="21" customFormat="1" x14ac:dyDescent="0.2">
      <c r="A65" s="414" t="s">
        <v>48</v>
      </c>
      <c r="B65" s="414" t="s">
        <v>209</v>
      </c>
      <c r="C65" s="414"/>
      <c r="D65" s="414"/>
      <c r="E65" s="311"/>
      <c r="F65" s="311"/>
      <c r="G65" s="468" t="s">
        <v>352</v>
      </c>
      <c r="H65" s="18"/>
      <c r="I65" s="77">
        <f t="shared" ref="I65:O65" si="12">SUM(I66,I67,I68,I69)</f>
        <v>0</v>
      </c>
      <c r="J65" s="77">
        <f t="shared" si="12"/>
        <v>0</v>
      </c>
      <c r="K65" s="77">
        <f t="shared" si="12"/>
        <v>0</v>
      </c>
      <c r="L65" s="77">
        <f t="shared" si="12"/>
        <v>0</v>
      </c>
      <c r="M65" s="77">
        <f t="shared" si="12"/>
        <v>0</v>
      </c>
      <c r="N65" s="77">
        <f t="shared" si="12"/>
        <v>0</v>
      </c>
      <c r="O65" s="77">
        <f t="shared" si="12"/>
        <v>0</v>
      </c>
      <c r="P65" s="77">
        <f t="shared" si="2"/>
        <v>0</v>
      </c>
    </row>
    <row r="66" spans="1:16" s="21" customFormat="1" x14ac:dyDescent="0.2">
      <c r="A66" s="311"/>
      <c r="B66" s="311"/>
      <c r="C66" s="311">
        <v>-1</v>
      </c>
      <c r="D66" s="311" t="s">
        <v>301</v>
      </c>
      <c r="E66" s="311"/>
      <c r="F66" s="311"/>
      <c r="G66" s="468" t="s">
        <v>881</v>
      </c>
      <c r="H66" s="18"/>
      <c r="I66" s="62"/>
      <c r="J66" s="62"/>
      <c r="K66" s="62"/>
      <c r="L66" s="62"/>
      <c r="M66" s="62"/>
      <c r="N66" s="62"/>
      <c r="O66" s="62"/>
      <c r="P66" s="77">
        <f t="shared" si="2"/>
        <v>0</v>
      </c>
    </row>
    <row r="67" spans="1:16" s="21" customFormat="1" x14ac:dyDescent="0.2">
      <c r="A67" s="311"/>
      <c r="B67" s="311"/>
      <c r="C67" s="311">
        <f>C66-1</f>
        <v>-2</v>
      </c>
      <c r="D67" s="311" t="s">
        <v>302</v>
      </c>
      <c r="E67" s="311"/>
      <c r="F67" s="311"/>
      <c r="G67" s="468" t="s">
        <v>882</v>
      </c>
      <c r="H67" s="18"/>
      <c r="I67" s="62"/>
      <c r="J67" s="62"/>
      <c r="K67" s="62"/>
      <c r="L67" s="62"/>
      <c r="M67" s="62"/>
      <c r="N67" s="62"/>
      <c r="O67" s="62"/>
      <c r="P67" s="77">
        <f t="shared" si="2"/>
        <v>0</v>
      </c>
    </row>
    <row r="68" spans="1:16" s="21" customFormat="1" x14ac:dyDescent="0.2">
      <c r="A68" s="311"/>
      <c r="B68" s="311"/>
      <c r="C68" s="311">
        <f>C67-1</f>
        <v>-3</v>
      </c>
      <c r="D68" s="311" t="s">
        <v>303</v>
      </c>
      <c r="E68" s="311"/>
      <c r="F68" s="311"/>
      <c r="G68" s="468" t="s">
        <v>883</v>
      </c>
      <c r="H68" s="18"/>
      <c r="I68" s="62"/>
      <c r="J68" s="62"/>
      <c r="K68" s="62"/>
      <c r="L68" s="62"/>
      <c r="M68" s="62"/>
      <c r="N68" s="62"/>
      <c r="O68" s="62"/>
      <c r="P68" s="77">
        <f t="shared" si="2"/>
        <v>0</v>
      </c>
    </row>
    <row r="69" spans="1:16" s="21" customFormat="1" x14ac:dyDescent="0.2">
      <c r="A69" s="311"/>
      <c r="B69" s="311"/>
      <c r="C69" s="311">
        <f>C68-1</f>
        <v>-4</v>
      </c>
      <c r="D69" s="311" t="s">
        <v>304</v>
      </c>
      <c r="E69" s="311"/>
      <c r="F69" s="311"/>
      <c r="G69" s="468" t="s">
        <v>884</v>
      </c>
      <c r="H69" s="18"/>
      <c r="I69" s="62"/>
      <c r="J69" s="62"/>
      <c r="K69" s="62"/>
      <c r="L69" s="62"/>
      <c r="M69" s="62"/>
      <c r="N69" s="62"/>
      <c r="O69" s="62"/>
      <c r="P69" s="77">
        <f t="shared" si="2"/>
        <v>0</v>
      </c>
    </row>
    <row r="70" spans="1:16" s="16" customFormat="1" x14ac:dyDescent="0.2">
      <c r="A70" s="365" t="s">
        <v>392</v>
      </c>
      <c r="B70" s="366"/>
      <c r="C70" s="336"/>
      <c r="D70" s="337"/>
      <c r="E70" s="313"/>
      <c r="F70" s="410"/>
      <c r="G70" s="457" t="s">
        <v>353</v>
      </c>
      <c r="H70" s="18"/>
      <c r="I70" s="77">
        <f>SUM(I11,I44,I65)</f>
        <v>0</v>
      </c>
      <c r="J70" s="77">
        <f t="shared" ref="J70:O70" si="13">SUM(J11,J44,J65)</f>
        <v>0</v>
      </c>
      <c r="K70" s="77">
        <f t="shared" si="13"/>
        <v>0</v>
      </c>
      <c r="L70" s="77">
        <f t="shared" si="13"/>
        <v>0</v>
      </c>
      <c r="M70" s="77">
        <f t="shared" si="13"/>
        <v>0</v>
      </c>
      <c r="N70" s="77">
        <f t="shared" si="13"/>
        <v>0</v>
      </c>
      <c r="O70" s="77">
        <f t="shared" si="13"/>
        <v>0</v>
      </c>
      <c r="P70" s="78">
        <f t="shared" si="2"/>
        <v>0</v>
      </c>
    </row>
    <row r="71" spans="1:16" s="21" customFormat="1" x14ac:dyDescent="0.2">
      <c r="A71" s="127"/>
      <c r="B71" s="39"/>
      <c r="C71" s="39"/>
      <c r="D71" s="39"/>
      <c r="E71" s="39"/>
      <c r="F71" s="39"/>
      <c r="G71" s="52" t="s">
        <v>184</v>
      </c>
      <c r="H71" s="20"/>
      <c r="I71" s="25"/>
      <c r="J71" s="25"/>
      <c r="K71" s="25"/>
      <c r="L71" s="25"/>
      <c r="M71" s="25"/>
      <c r="N71" s="25"/>
      <c r="O71" s="25"/>
      <c r="P71" s="26"/>
    </row>
    <row r="72" spans="1:16" s="21" customFormat="1" x14ac:dyDescent="0.2">
      <c r="A72" s="127"/>
      <c r="B72" s="39"/>
      <c r="C72" s="39"/>
      <c r="D72" s="39"/>
      <c r="E72" s="39"/>
      <c r="F72" s="39"/>
      <c r="G72" s="20"/>
      <c r="H72" s="20"/>
      <c r="I72" s="25"/>
      <c r="J72" s="25"/>
      <c r="K72" s="25"/>
      <c r="L72" s="25"/>
      <c r="M72" s="25"/>
      <c r="N72" s="25"/>
      <c r="O72" s="25"/>
      <c r="P72" s="26"/>
    </row>
    <row r="73" spans="1:16" s="21" customFormat="1" x14ac:dyDescent="0.2">
      <c r="A73" s="127"/>
      <c r="B73" s="39"/>
      <c r="C73" s="150"/>
      <c r="D73" s="39"/>
      <c r="E73" s="39"/>
      <c r="F73" s="39"/>
      <c r="G73" s="20"/>
      <c r="H73" s="20"/>
      <c r="I73" s="25"/>
      <c r="J73" s="25"/>
      <c r="K73" s="25"/>
      <c r="L73" s="25"/>
      <c r="M73" s="25"/>
      <c r="N73" s="25"/>
      <c r="O73" s="25"/>
      <c r="P73" s="26"/>
    </row>
    <row r="74" spans="1:16" s="21" customFormat="1" x14ac:dyDescent="0.2">
      <c r="A74" s="127"/>
      <c r="B74" s="39"/>
      <c r="C74" s="150"/>
      <c r="D74" s="39"/>
      <c r="E74" s="39"/>
      <c r="F74" s="39"/>
      <c r="G74" s="20"/>
      <c r="H74" s="20"/>
      <c r="I74" s="25"/>
      <c r="J74" s="25"/>
      <c r="K74" s="25"/>
      <c r="L74" s="25"/>
      <c r="M74" s="25"/>
      <c r="N74" s="25"/>
      <c r="O74" s="25"/>
      <c r="P74" s="26"/>
    </row>
    <row r="75" spans="1:16" s="21" customFormat="1" x14ac:dyDescent="0.2">
      <c r="A75" s="143"/>
      <c r="B75" s="39"/>
      <c r="C75" s="39"/>
      <c r="D75" s="39"/>
      <c r="E75" s="39"/>
      <c r="F75" s="39"/>
      <c r="G75" s="20"/>
      <c r="H75" s="20"/>
      <c r="I75" s="25"/>
      <c r="J75" s="25"/>
      <c r="K75" s="25"/>
      <c r="L75" s="25"/>
      <c r="M75" s="25"/>
      <c r="N75" s="25"/>
      <c r="O75" s="25"/>
      <c r="P75" s="26"/>
    </row>
    <row r="76" spans="1:16" s="21" customFormat="1" x14ac:dyDescent="0.2">
      <c r="A76" s="127"/>
      <c r="B76" s="39"/>
      <c r="C76" s="39"/>
      <c r="D76" s="39"/>
      <c r="E76" s="39"/>
      <c r="F76" s="39"/>
      <c r="G76" s="20"/>
      <c r="H76" s="20"/>
      <c r="I76" s="25"/>
      <c r="J76" s="25"/>
      <c r="K76" s="25"/>
      <c r="L76" s="25"/>
      <c r="M76" s="25"/>
      <c r="N76" s="25"/>
      <c r="O76" s="25"/>
      <c r="P76" s="26"/>
    </row>
    <row r="77" spans="1:16" s="21" customFormat="1" x14ac:dyDescent="0.2">
      <c r="A77" s="127"/>
      <c r="B77" s="39"/>
      <c r="C77" s="39"/>
      <c r="D77" s="39"/>
      <c r="E77" s="39"/>
      <c r="F77" s="39"/>
      <c r="G77" s="20"/>
      <c r="H77" s="20"/>
      <c r="I77" s="25"/>
      <c r="J77" s="25"/>
      <c r="K77" s="25"/>
      <c r="L77" s="25"/>
      <c r="M77" s="25"/>
      <c r="N77" s="25"/>
      <c r="O77" s="25"/>
      <c r="P77" s="26"/>
    </row>
    <row r="78" spans="1:16" s="21" customFormat="1" x14ac:dyDescent="0.2">
      <c r="A78" s="143"/>
      <c r="B78" s="39"/>
      <c r="C78" s="39"/>
      <c r="D78" s="39"/>
      <c r="E78" s="39"/>
      <c r="F78" s="39"/>
      <c r="G78" s="20"/>
      <c r="H78" s="20"/>
      <c r="I78" s="25"/>
      <c r="J78" s="25"/>
      <c r="K78" s="25"/>
      <c r="L78" s="25"/>
      <c r="M78" s="25"/>
      <c r="N78" s="25"/>
      <c r="O78" s="25"/>
      <c r="P78" s="26"/>
    </row>
    <row r="79" spans="1:16" s="21" customFormat="1" x14ac:dyDescent="0.2">
      <c r="A79" s="143"/>
      <c r="B79" s="39"/>
      <c r="C79" s="39"/>
      <c r="D79" s="39"/>
      <c r="E79" s="39"/>
      <c r="F79" s="39"/>
      <c r="G79" s="20" t="s">
        <v>261</v>
      </c>
      <c r="H79" s="20"/>
      <c r="I79" s="25"/>
      <c r="J79" s="25"/>
      <c r="K79" s="25"/>
      <c r="L79" s="25"/>
      <c r="M79" s="25"/>
      <c r="N79" s="25"/>
      <c r="O79" s="25"/>
      <c r="P79" s="26"/>
    </row>
    <row r="80" spans="1:16" s="21" customFormat="1" x14ac:dyDescent="0.2">
      <c r="A80" s="200"/>
      <c r="B80" s="39"/>
      <c r="C80" s="39"/>
      <c r="D80" s="39"/>
      <c r="E80" s="39"/>
      <c r="F80" s="39"/>
      <c r="G80" s="20"/>
      <c r="H80" s="20"/>
      <c r="I80" s="25"/>
      <c r="J80" s="25"/>
      <c r="K80" s="25"/>
      <c r="L80" s="25"/>
      <c r="M80" s="25"/>
      <c r="N80" s="25"/>
      <c r="O80" s="25"/>
      <c r="P80" s="26"/>
    </row>
    <row r="81" spans="1:16" s="21" customFormat="1" x14ac:dyDescent="0.2">
      <c r="A81" s="199"/>
      <c r="B81" s="153"/>
      <c r="C81" s="154"/>
      <c r="D81" s="150"/>
      <c r="E81" s="39"/>
      <c r="F81" s="39"/>
      <c r="G81" s="20"/>
      <c r="H81" s="20"/>
      <c r="I81" s="26"/>
      <c r="J81" s="26"/>
      <c r="K81" s="26"/>
      <c r="L81" s="26"/>
      <c r="M81" s="26"/>
      <c r="N81" s="26"/>
      <c r="O81" s="26"/>
      <c r="P81" s="26"/>
    </row>
    <row r="82" spans="1:16" s="21" customFormat="1" x14ac:dyDescent="0.2">
      <c r="A82" s="7"/>
      <c r="B82" s="153"/>
      <c r="C82" s="154"/>
      <c r="D82" s="150"/>
      <c r="E82" s="566"/>
      <c r="F82" s="566"/>
      <c r="G82" s="22"/>
      <c r="H82" s="22"/>
      <c r="I82" s="26"/>
      <c r="J82" s="26"/>
      <c r="K82" s="26"/>
      <c r="L82" s="26"/>
      <c r="M82" s="26"/>
      <c r="N82" s="26"/>
      <c r="O82" s="26"/>
      <c r="P82" s="26"/>
    </row>
    <row r="83" spans="1:16" s="21" customFormat="1" x14ac:dyDescent="0.2">
      <c r="A83" s="7"/>
      <c r="B83" s="155"/>
      <c r="C83" s="155"/>
      <c r="D83" s="155"/>
      <c r="E83" s="155"/>
      <c r="F83" s="155"/>
      <c r="G83" s="20"/>
      <c r="H83" s="20"/>
      <c r="I83" s="26"/>
      <c r="J83" s="26"/>
      <c r="K83" s="26"/>
      <c r="L83" s="26"/>
      <c r="M83" s="26"/>
      <c r="N83" s="26"/>
      <c r="O83" s="26"/>
      <c r="P83" s="26"/>
    </row>
    <row r="84" spans="1:16" s="21" customFormat="1" x14ac:dyDescent="0.2">
      <c r="A84" s="7"/>
      <c r="B84" s="3"/>
      <c r="C84" s="4"/>
      <c r="D84" s="5"/>
      <c r="E84" s="155"/>
      <c r="F84" s="155"/>
      <c r="G84" s="20"/>
      <c r="H84" s="20"/>
      <c r="I84" s="26"/>
      <c r="J84" s="26"/>
      <c r="K84" s="26"/>
      <c r="L84" s="26"/>
      <c r="M84" s="26"/>
      <c r="N84" s="26"/>
      <c r="O84" s="26"/>
      <c r="P84" s="26"/>
    </row>
    <row r="85" spans="1:16" s="21" customFormat="1" x14ac:dyDescent="0.2">
      <c r="A85" s="7"/>
      <c r="B85" s="3"/>
      <c r="C85" s="154"/>
      <c r="D85" s="157"/>
      <c r="E85" s="155"/>
      <c r="F85" s="155"/>
      <c r="G85" s="20"/>
      <c r="H85" s="20"/>
      <c r="I85" s="26"/>
      <c r="J85" s="26"/>
      <c r="K85" s="26"/>
      <c r="L85" s="26"/>
      <c r="M85" s="26"/>
      <c r="N85" s="26"/>
      <c r="O85" s="26"/>
      <c r="P85" s="26"/>
    </row>
    <row r="86" spans="1:16" s="21" customFormat="1" x14ac:dyDescent="0.2">
      <c r="A86" s="7"/>
      <c r="B86" s="155"/>
      <c r="C86" s="154"/>
      <c r="D86" s="157"/>
      <c r="E86" s="157"/>
      <c r="F86" s="155"/>
      <c r="G86" s="20"/>
      <c r="H86" s="20"/>
      <c r="I86" s="26"/>
      <c r="J86" s="26"/>
      <c r="K86" s="26"/>
      <c r="L86" s="26"/>
      <c r="M86" s="26"/>
      <c r="N86" s="26"/>
      <c r="O86" s="26"/>
      <c r="P86" s="26"/>
    </row>
    <row r="87" spans="1:16" s="21" customFormat="1" x14ac:dyDescent="0.2">
      <c r="A87" s="7"/>
      <c r="B87" s="155"/>
      <c r="C87" s="39"/>
      <c r="D87" s="154"/>
      <c r="E87" s="154"/>
      <c r="F87" s="155"/>
      <c r="G87" s="20"/>
      <c r="H87" s="20"/>
      <c r="I87" s="26"/>
      <c r="J87" s="26"/>
      <c r="K87" s="26"/>
      <c r="L87" s="26"/>
      <c r="M87" s="26"/>
      <c r="N87" s="26"/>
      <c r="O87" s="26"/>
      <c r="P87" s="26"/>
    </row>
    <row r="88" spans="1:16" s="21" customFormat="1" x14ac:dyDescent="0.2">
      <c r="A88" s="7"/>
      <c r="B88" s="155"/>
      <c r="C88" s="154"/>
      <c r="D88" s="39"/>
      <c r="E88" s="154"/>
      <c r="F88" s="155"/>
      <c r="G88" s="20"/>
      <c r="H88" s="20"/>
      <c r="I88" s="26"/>
      <c r="J88" s="26"/>
      <c r="K88" s="26"/>
      <c r="L88" s="26"/>
      <c r="M88" s="26"/>
      <c r="N88" s="26"/>
      <c r="O88" s="26"/>
      <c r="P88" s="26"/>
    </row>
    <row r="89" spans="1:16" s="21" customFormat="1" x14ac:dyDescent="0.2">
      <c r="A89" s="7"/>
      <c r="B89" s="155"/>
      <c r="C89" s="39"/>
      <c r="D89" s="158"/>
      <c r="E89" s="154"/>
      <c r="F89" s="155"/>
      <c r="G89" s="20"/>
      <c r="H89" s="20"/>
      <c r="I89" s="26"/>
      <c r="J89" s="26"/>
      <c r="K89" s="26"/>
      <c r="L89" s="26"/>
      <c r="M89" s="26"/>
      <c r="N89" s="26"/>
      <c r="O89" s="26"/>
      <c r="P89" s="26"/>
    </row>
    <row r="90" spans="1:16" s="21" customFormat="1" x14ac:dyDescent="0.2">
      <c r="A90" s="7"/>
      <c r="B90" s="155"/>
      <c r="C90" s="39"/>
      <c r="D90" s="158"/>
      <c r="E90" s="154"/>
      <c r="F90" s="155"/>
      <c r="G90" s="20"/>
      <c r="H90" s="20"/>
      <c r="I90" s="26"/>
      <c r="J90" s="26"/>
      <c r="K90" s="26"/>
      <c r="L90" s="26"/>
      <c r="M90" s="26"/>
      <c r="N90" s="26"/>
      <c r="O90" s="26"/>
      <c r="P90" s="26"/>
    </row>
    <row r="91" spans="1:16" s="21" customFormat="1" x14ac:dyDescent="0.2">
      <c r="A91" s="7"/>
      <c r="B91" s="155"/>
      <c r="C91" s="154"/>
      <c r="D91" s="39"/>
      <c r="E91" s="154"/>
      <c r="F91" s="155"/>
      <c r="G91" s="20"/>
      <c r="H91" s="20"/>
      <c r="I91" s="26"/>
      <c r="J91" s="26"/>
      <c r="K91" s="26"/>
      <c r="L91" s="26"/>
      <c r="M91" s="26"/>
      <c r="N91" s="26"/>
      <c r="O91" s="26"/>
      <c r="P91" s="26"/>
    </row>
    <row r="92" spans="1:16" s="21" customFormat="1" x14ac:dyDescent="0.2">
      <c r="A92" s="7"/>
      <c r="B92" s="155"/>
      <c r="C92" s="154"/>
      <c r="D92" s="154"/>
      <c r="E92" s="154"/>
      <c r="F92" s="154"/>
      <c r="G92" s="20"/>
      <c r="H92" s="20"/>
      <c r="I92" s="26"/>
      <c r="J92" s="26"/>
      <c r="K92" s="26"/>
      <c r="L92" s="26"/>
      <c r="M92" s="26"/>
      <c r="N92" s="26"/>
      <c r="O92" s="26"/>
      <c r="P92" s="26"/>
    </row>
    <row r="93" spans="1:16" s="21" customFormat="1" x14ac:dyDescent="0.2">
      <c r="A93" s="7"/>
      <c r="B93" s="155"/>
      <c r="C93" s="39"/>
      <c r="D93" s="525"/>
      <c r="E93" s="526"/>
      <c r="F93" s="526"/>
      <c r="G93" s="20"/>
      <c r="H93" s="20"/>
      <c r="I93" s="26"/>
      <c r="J93" s="26"/>
      <c r="K93" s="26"/>
      <c r="L93" s="26"/>
      <c r="M93" s="26"/>
      <c r="N93" s="26"/>
      <c r="O93" s="26"/>
      <c r="P93" s="26"/>
    </row>
    <row r="94" spans="1:16" s="21" customFormat="1" x14ac:dyDescent="0.2">
      <c r="A94" s="7"/>
      <c r="B94" s="155"/>
      <c r="C94" s="154"/>
      <c r="D94" s="158"/>
      <c r="E94" s="154"/>
      <c r="F94" s="154"/>
      <c r="G94" s="20"/>
      <c r="H94" s="20"/>
      <c r="I94" s="26"/>
      <c r="J94" s="26"/>
      <c r="K94" s="26"/>
      <c r="L94" s="26"/>
      <c r="M94" s="26"/>
      <c r="N94" s="26"/>
      <c r="O94" s="26"/>
      <c r="P94" s="26"/>
    </row>
    <row r="95" spans="1:16" s="21" customFormat="1" x14ac:dyDescent="0.2">
      <c r="A95" s="7"/>
      <c r="B95" s="155"/>
      <c r="C95" s="154"/>
      <c r="D95" s="158"/>
      <c r="E95" s="154"/>
      <c r="F95" s="154"/>
      <c r="G95" s="20"/>
      <c r="H95" s="20"/>
      <c r="I95" s="26"/>
      <c r="J95" s="26"/>
      <c r="K95" s="26"/>
      <c r="L95" s="26"/>
      <c r="M95" s="26"/>
      <c r="N95" s="26"/>
      <c r="O95" s="26"/>
      <c r="P95" s="26"/>
    </row>
    <row r="96" spans="1:16" s="21" customFormat="1" x14ac:dyDescent="0.2">
      <c r="A96" s="7"/>
      <c r="B96" s="3"/>
      <c r="C96" s="4"/>
      <c r="D96" s="157"/>
      <c r="E96" s="154"/>
      <c r="F96" s="154"/>
      <c r="G96" s="20"/>
      <c r="H96" s="20"/>
      <c r="I96" s="26"/>
      <c r="J96" s="26"/>
      <c r="K96" s="26"/>
      <c r="L96" s="26"/>
      <c r="M96" s="26"/>
      <c r="N96" s="26"/>
      <c r="O96" s="26"/>
      <c r="P96" s="26"/>
    </row>
    <row r="97" spans="1:16" s="21" customFormat="1" x14ac:dyDescent="0.2">
      <c r="A97" s="7"/>
      <c r="B97" s="155"/>
      <c r="C97" s="154"/>
      <c r="D97" s="154"/>
      <c r="E97" s="154"/>
      <c r="F97" s="154"/>
      <c r="G97" s="20"/>
      <c r="H97" s="20"/>
      <c r="I97" s="26"/>
      <c r="J97" s="26"/>
      <c r="K97" s="26"/>
      <c r="L97" s="26"/>
      <c r="M97" s="26"/>
      <c r="N97" s="26"/>
      <c r="O97" s="26"/>
      <c r="P97" s="26"/>
    </row>
    <row r="98" spans="1:16" s="21" customFormat="1" x14ac:dyDescent="0.2">
      <c r="A98" s="7"/>
      <c r="B98" s="155"/>
      <c r="C98" s="154"/>
      <c r="D98" s="163"/>
      <c r="E98" s="154"/>
      <c r="F98" s="154"/>
      <c r="G98" s="20"/>
      <c r="H98" s="20"/>
      <c r="I98" s="26"/>
      <c r="J98" s="26"/>
      <c r="K98" s="26"/>
      <c r="L98" s="26"/>
      <c r="M98" s="26"/>
      <c r="N98" s="26"/>
      <c r="O98" s="26"/>
      <c r="P98" s="26"/>
    </row>
    <row r="99" spans="1:16" s="21" customFormat="1" x14ac:dyDescent="0.2">
      <c r="A99" s="7"/>
      <c r="B99" s="155"/>
      <c r="C99" s="154"/>
      <c r="D99" s="164"/>
      <c r="E99" s="154"/>
      <c r="F99" s="154"/>
      <c r="G99" s="20"/>
      <c r="H99" s="20"/>
      <c r="I99" s="26"/>
      <c r="J99" s="26"/>
      <c r="K99" s="26"/>
      <c r="L99" s="26"/>
      <c r="M99" s="26"/>
      <c r="N99" s="26"/>
      <c r="O99" s="26"/>
      <c r="P99" s="26"/>
    </row>
    <row r="100" spans="1:16" s="21" customFormat="1" x14ac:dyDescent="0.2">
      <c r="A100" s="7"/>
      <c r="B100" s="155"/>
      <c r="C100" s="154"/>
      <c r="D100" s="164"/>
      <c r="E100" s="154"/>
      <c r="F100" s="154"/>
      <c r="G100" s="20"/>
      <c r="H100" s="20"/>
      <c r="I100" s="26"/>
      <c r="J100" s="26"/>
      <c r="K100" s="26"/>
      <c r="L100" s="26"/>
      <c r="M100" s="26"/>
      <c r="N100" s="26"/>
      <c r="O100" s="26"/>
      <c r="P100" s="26"/>
    </row>
    <row r="101" spans="1:16" s="21" customFormat="1" x14ac:dyDescent="0.2">
      <c r="A101" s="7"/>
      <c r="B101" s="155"/>
      <c r="C101" s="154"/>
      <c r="D101" s="163"/>
      <c r="E101" s="154"/>
      <c r="F101" s="154"/>
      <c r="G101" s="20"/>
      <c r="H101" s="20"/>
      <c r="I101" s="26"/>
      <c r="J101" s="26"/>
      <c r="K101" s="26"/>
      <c r="L101" s="26"/>
      <c r="M101" s="26"/>
      <c r="N101" s="26"/>
      <c r="O101" s="26"/>
      <c r="P101" s="26"/>
    </row>
    <row r="102" spans="1:16" s="21" customFormat="1" x14ac:dyDescent="0.2">
      <c r="A102" s="7"/>
      <c r="B102" s="155"/>
      <c r="C102" s="154"/>
      <c r="D102" s="164"/>
      <c r="E102" s="154"/>
      <c r="F102" s="154"/>
      <c r="G102" s="20"/>
      <c r="H102" s="20"/>
      <c r="I102" s="26"/>
      <c r="J102" s="26"/>
      <c r="K102" s="26"/>
      <c r="L102" s="26"/>
      <c r="M102" s="26"/>
      <c r="N102" s="26"/>
      <c r="O102" s="26"/>
      <c r="P102" s="26"/>
    </row>
    <row r="103" spans="1:16" s="21" customFormat="1" x14ac:dyDescent="0.2">
      <c r="A103" s="7"/>
      <c r="B103" s="155"/>
      <c r="C103" s="154"/>
      <c r="D103" s="164"/>
      <c r="E103" s="154"/>
      <c r="F103" s="154"/>
      <c r="G103" s="20"/>
      <c r="H103" s="20"/>
      <c r="I103" s="26"/>
      <c r="J103" s="26"/>
      <c r="K103" s="26"/>
      <c r="L103" s="26"/>
      <c r="M103" s="26"/>
      <c r="N103" s="26"/>
      <c r="O103" s="26"/>
      <c r="P103" s="26"/>
    </row>
    <row r="104" spans="1:16" s="21" customFormat="1" x14ac:dyDescent="0.2">
      <c r="A104" s="7"/>
      <c r="B104" s="155"/>
      <c r="C104" s="154"/>
      <c r="D104" s="154"/>
      <c r="E104" s="154"/>
      <c r="F104" s="154"/>
      <c r="G104" s="20"/>
      <c r="H104" s="20"/>
      <c r="I104" s="26"/>
      <c r="J104" s="26"/>
      <c r="K104" s="26"/>
      <c r="L104" s="26"/>
      <c r="M104" s="26"/>
      <c r="N104" s="26"/>
      <c r="O104" s="26"/>
      <c r="P104" s="26"/>
    </row>
    <row r="105" spans="1:16" s="21" customFormat="1" x14ac:dyDescent="0.2">
      <c r="A105" s="7"/>
      <c r="B105" s="155"/>
      <c r="C105" s="39"/>
      <c r="D105" s="158"/>
      <c r="E105" s="154"/>
      <c r="F105" s="154"/>
      <c r="G105" s="20"/>
      <c r="H105" s="20"/>
      <c r="I105" s="26"/>
      <c r="J105" s="26"/>
      <c r="K105" s="26"/>
      <c r="L105" s="26"/>
      <c r="M105" s="26"/>
      <c r="N105" s="26"/>
      <c r="O105" s="26"/>
      <c r="P105" s="26"/>
    </row>
    <row r="106" spans="1:16" s="21" customFormat="1" x14ac:dyDescent="0.2">
      <c r="A106" s="7"/>
      <c r="B106" s="155"/>
      <c r="C106" s="39"/>
      <c r="D106" s="158"/>
      <c r="E106" s="154"/>
      <c r="F106" s="154"/>
      <c r="G106" s="20"/>
      <c r="H106" s="20"/>
      <c r="I106" s="26"/>
      <c r="J106" s="26"/>
      <c r="K106" s="26"/>
      <c r="L106" s="26"/>
      <c r="M106" s="26"/>
      <c r="N106" s="26"/>
      <c r="O106" s="26"/>
      <c r="P106" s="26"/>
    </row>
    <row r="107" spans="1:16" s="21" customFormat="1" x14ac:dyDescent="0.2">
      <c r="A107" s="7"/>
      <c r="B107" s="155"/>
      <c r="C107" s="154"/>
      <c r="D107" s="154"/>
      <c r="E107" s="154"/>
      <c r="F107" s="154"/>
      <c r="G107" s="20"/>
      <c r="H107" s="20"/>
      <c r="I107" s="26"/>
      <c r="J107" s="26"/>
      <c r="K107" s="26"/>
      <c r="L107" s="26"/>
      <c r="M107" s="26"/>
      <c r="N107" s="26"/>
      <c r="O107" s="26"/>
      <c r="P107" s="26"/>
    </row>
    <row r="108" spans="1:16" s="21" customFormat="1" x14ac:dyDescent="0.2">
      <c r="A108" s="7"/>
      <c r="B108" s="155"/>
      <c r="C108" s="39"/>
      <c r="D108" s="525"/>
      <c r="E108" s="526"/>
      <c r="F108" s="526"/>
      <c r="G108" s="20"/>
      <c r="H108" s="20"/>
      <c r="I108" s="26"/>
      <c r="J108" s="26"/>
      <c r="K108" s="26"/>
      <c r="L108" s="26"/>
      <c r="M108" s="26"/>
      <c r="N108" s="26"/>
      <c r="O108" s="26"/>
      <c r="P108" s="26"/>
    </row>
    <row r="109" spans="1:16" s="21" customFormat="1" x14ac:dyDescent="0.2">
      <c r="A109" s="7"/>
      <c r="B109" s="155"/>
      <c r="C109" s="154"/>
      <c r="D109" s="158"/>
      <c r="E109" s="154"/>
      <c r="F109" s="154"/>
      <c r="G109" s="20"/>
      <c r="H109" s="20"/>
      <c r="I109" s="26"/>
      <c r="J109" s="26"/>
      <c r="K109" s="26"/>
      <c r="L109" s="26"/>
      <c r="M109" s="26"/>
      <c r="N109" s="26"/>
      <c r="O109" s="26"/>
      <c r="P109" s="26"/>
    </row>
    <row r="110" spans="1:16" s="21" customFormat="1" x14ac:dyDescent="0.2">
      <c r="A110" s="7"/>
      <c r="B110" s="155"/>
      <c r="C110" s="154"/>
      <c r="D110" s="164"/>
      <c r="E110" s="154"/>
      <c r="F110" s="154"/>
      <c r="G110" s="20"/>
      <c r="H110" s="20"/>
      <c r="I110" s="26"/>
      <c r="J110" s="26"/>
      <c r="K110" s="26"/>
      <c r="L110" s="26"/>
      <c r="M110" s="26"/>
      <c r="N110" s="26"/>
      <c r="O110" s="26"/>
      <c r="P110" s="26"/>
    </row>
    <row r="111" spans="1:16" s="21" customFormat="1" x14ac:dyDescent="0.2">
      <c r="A111" s="7"/>
      <c r="B111" s="155"/>
      <c r="C111" s="154"/>
      <c r="D111" s="164"/>
      <c r="E111" s="154"/>
      <c r="F111" s="154"/>
      <c r="G111" s="20"/>
      <c r="H111" s="20"/>
      <c r="I111" s="26"/>
      <c r="J111" s="26"/>
      <c r="K111" s="26"/>
      <c r="L111" s="26"/>
      <c r="M111" s="26"/>
      <c r="N111" s="26"/>
      <c r="O111" s="26"/>
      <c r="P111" s="26"/>
    </row>
    <row r="112" spans="1:16" s="21" customFormat="1" x14ac:dyDescent="0.2">
      <c r="A112" s="7"/>
      <c r="B112" s="155"/>
      <c r="C112" s="154"/>
      <c r="D112" s="158"/>
      <c r="E112" s="154"/>
      <c r="F112" s="154"/>
      <c r="G112" s="20"/>
      <c r="H112" s="20"/>
      <c r="I112" s="26"/>
      <c r="J112" s="26"/>
      <c r="K112" s="26"/>
      <c r="L112" s="26"/>
      <c r="M112" s="26"/>
      <c r="N112" s="26"/>
      <c r="O112" s="26"/>
      <c r="P112" s="26"/>
    </row>
    <row r="113" spans="1:16" s="21" customFormat="1" x14ac:dyDescent="0.2">
      <c r="A113" s="7"/>
      <c r="B113" s="155"/>
      <c r="C113" s="154"/>
      <c r="D113" s="164"/>
      <c r="E113" s="154"/>
      <c r="F113" s="154"/>
      <c r="G113" s="20"/>
      <c r="H113" s="20"/>
      <c r="I113" s="26"/>
      <c r="J113" s="26"/>
      <c r="K113" s="26"/>
      <c r="L113" s="26"/>
      <c r="M113" s="26"/>
      <c r="N113" s="26"/>
      <c r="O113" s="26"/>
      <c r="P113" s="26"/>
    </row>
    <row r="114" spans="1:16" s="21" customFormat="1" x14ac:dyDescent="0.2">
      <c r="A114" s="7"/>
      <c r="B114" s="155"/>
      <c r="C114" s="154"/>
      <c r="D114" s="164"/>
      <c r="E114" s="154"/>
      <c r="F114" s="154"/>
      <c r="G114" s="20"/>
      <c r="H114" s="20"/>
      <c r="I114" s="26"/>
      <c r="J114" s="26"/>
      <c r="K114" s="26"/>
      <c r="L114" s="26"/>
      <c r="M114" s="26"/>
      <c r="N114" s="26"/>
      <c r="O114" s="26"/>
      <c r="P114" s="26"/>
    </row>
    <row r="115" spans="1:16" s="21" customFormat="1" x14ac:dyDescent="0.2">
      <c r="A115" s="7"/>
      <c r="B115" s="3"/>
      <c r="C115" s="4"/>
      <c r="D115" s="157"/>
      <c r="E115" s="154"/>
      <c r="F115" s="154"/>
      <c r="G115" s="20"/>
      <c r="H115" s="20"/>
      <c r="I115" s="26"/>
      <c r="J115" s="26"/>
      <c r="K115" s="26"/>
      <c r="L115" s="26"/>
      <c r="M115" s="26"/>
      <c r="N115" s="26"/>
      <c r="O115" s="26"/>
      <c r="P115" s="26"/>
    </row>
    <row r="116" spans="1:16" s="21" customFormat="1" x14ac:dyDescent="0.2">
      <c r="A116" s="7"/>
      <c r="B116" s="155"/>
      <c r="C116" s="154"/>
      <c r="D116" s="157"/>
      <c r="E116" s="154"/>
      <c r="F116" s="154"/>
      <c r="G116" s="20"/>
      <c r="H116" s="20"/>
      <c r="I116" s="26"/>
      <c r="J116" s="26"/>
      <c r="K116" s="26"/>
      <c r="L116" s="26"/>
      <c r="M116" s="26"/>
      <c r="N116" s="26"/>
      <c r="O116" s="26"/>
      <c r="P116" s="26"/>
    </row>
    <row r="117" spans="1:16" s="21" customFormat="1" x14ac:dyDescent="0.2">
      <c r="A117" s="7"/>
      <c r="B117" s="155"/>
      <c r="C117" s="154"/>
      <c r="D117" s="157"/>
      <c r="E117" s="154"/>
      <c r="F117" s="154"/>
      <c r="G117" s="20"/>
      <c r="H117" s="20"/>
      <c r="I117" s="26"/>
      <c r="J117" s="26"/>
      <c r="K117" s="26"/>
      <c r="L117" s="26"/>
      <c r="M117" s="26"/>
      <c r="N117" s="26"/>
      <c r="O117" s="26"/>
      <c r="P117" s="26"/>
    </row>
    <row r="118" spans="1:16" s="21" customFormat="1" x14ac:dyDescent="0.2">
      <c r="A118" s="7"/>
      <c r="B118" s="155"/>
      <c r="C118" s="154"/>
      <c r="D118" s="157"/>
      <c r="E118" s="154"/>
      <c r="F118" s="154"/>
      <c r="G118" s="20"/>
      <c r="H118" s="20"/>
      <c r="I118" s="26"/>
      <c r="J118" s="26"/>
      <c r="K118" s="26"/>
      <c r="L118" s="26"/>
      <c r="M118" s="26"/>
      <c r="N118" s="26"/>
      <c r="O118" s="26"/>
      <c r="P118" s="26"/>
    </row>
    <row r="119" spans="1:16" s="21" customFormat="1" x14ac:dyDescent="0.2">
      <c r="A119" s="7"/>
      <c r="B119" s="155"/>
      <c r="C119" s="39"/>
      <c r="D119" s="525"/>
      <c r="E119" s="526"/>
      <c r="F119" s="526"/>
      <c r="G119" s="20"/>
      <c r="H119" s="20"/>
      <c r="I119" s="26"/>
      <c r="J119" s="26"/>
      <c r="K119" s="26"/>
      <c r="L119" s="26"/>
      <c r="M119" s="26"/>
      <c r="N119" s="26"/>
      <c r="O119" s="26"/>
      <c r="P119" s="26"/>
    </row>
    <row r="120" spans="1:16" s="21" customFormat="1" x14ac:dyDescent="0.2">
      <c r="A120" s="7"/>
      <c r="B120" s="155"/>
      <c r="C120" s="154"/>
      <c r="D120" s="158"/>
      <c r="E120" s="154"/>
      <c r="F120" s="126"/>
      <c r="G120" s="20"/>
      <c r="H120" s="20"/>
      <c r="I120" s="26"/>
      <c r="J120" s="26"/>
      <c r="K120" s="26"/>
      <c r="L120" s="26"/>
      <c r="M120" s="26"/>
      <c r="N120" s="26"/>
      <c r="O120" s="26"/>
      <c r="P120" s="26"/>
    </row>
    <row r="121" spans="1:16" s="21" customFormat="1" x14ac:dyDescent="0.2">
      <c r="A121" s="7"/>
      <c r="B121" s="155"/>
      <c r="C121" s="154"/>
      <c r="D121" s="158"/>
      <c r="E121" s="154"/>
      <c r="F121" s="126"/>
      <c r="G121" s="20"/>
      <c r="H121" s="20"/>
      <c r="I121" s="26"/>
      <c r="J121" s="26"/>
      <c r="K121" s="26"/>
      <c r="L121" s="26"/>
      <c r="M121" s="26"/>
      <c r="N121" s="26"/>
      <c r="O121" s="26"/>
      <c r="P121" s="26"/>
    </row>
    <row r="122" spans="1:16" s="21" customFormat="1" x14ac:dyDescent="0.2">
      <c r="A122" s="7"/>
      <c r="B122" s="6"/>
      <c r="C122" s="7"/>
      <c r="D122" s="154"/>
      <c r="E122" s="154"/>
      <c r="F122" s="154"/>
      <c r="G122" s="20"/>
      <c r="H122" s="20"/>
      <c r="I122" s="26"/>
      <c r="J122" s="26"/>
      <c r="K122" s="26"/>
      <c r="L122" s="26"/>
      <c r="M122" s="26"/>
      <c r="N122" s="26"/>
      <c r="O122" s="26"/>
      <c r="P122" s="26"/>
    </row>
    <row r="123" spans="1:16" s="21" customFormat="1" x14ac:dyDescent="0.2">
      <c r="A123" s="7"/>
      <c r="B123" s="153"/>
      <c r="C123" s="154"/>
      <c r="D123" s="154"/>
      <c r="E123" s="154"/>
      <c r="F123" s="154"/>
      <c r="G123" s="20"/>
      <c r="H123" s="20"/>
      <c r="I123" s="26"/>
      <c r="J123" s="26"/>
      <c r="K123" s="26"/>
      <c r="L123" s="26"/>
      <c r="M123" s="26"/>
      <c r="N123" s="26"/>
      <c r="O123" s="26"/>
      <c r="P123" s="26"/>
    </row>
    <row r="124" spans="1:16" s="21" customFormat="1" x14ac:dyDescent="0.2">
      <c r="A124" s="7"/>
      <c r="B124" s="153"/>
      <c r="C124" s="154"/>
      <c r="D124" s="158"/>
      <c r="E124" s="154"/>
      <c r="F124" s="154"/>
      <c r="G124" s="20"/>
      <c r="H124" s="20"/>
      <c r="I124" s="26"/>
      <c r="J124" s="26"/>
      <c r="K124" s="26"/>
      <c r="L124" s="26"/>
      <c r="M124" s="26"/>
      <c r="N124" s="26"/>
      <c r="O124" s="26"/>
      <c r="P124" s="26"/>
    </row>
    <row r="125" spans="1:16" s="21" customFormat="1" x14ac:dyDescent="0.2">
      <c r="A125" s="7"/>
      <c r="B125" s="153"/>
      <c r="C125" s="154"/>
      <c r="D125" s="158"/>
      <c r="E125" s="154"/>
      <c r="F125" s="154"/>
      <c r="G125" s="20"/>
      <c r="H125" s="20"/>
      <c r="I125" s="26"/>
      <c r="J125" s="26"/>
      <c r="K125" s="26"/>
      <c r="L125" s="26"/>
      <c r="M125" s="26"/>
      <c r="N125" s="26"/>
      <c r="O125" s="26"/>
      <c r="P125" s="26"/>
    </row>
    <row r="126" spans="1:16" s="21" customFormat="1" x14ac:dyDescent="0.2">
      <c r="A126" s="7"/>
      <c r="B126" s="153"/>
      <c r="C126" s="154"/>
      <c r="D126" s="150"/>
      <c r="E126" s="566"/>
      <c r="F126" s="566"/>
      <c r="G126" s="20"/>
      <c r="H126" s="20"/>
      <c r="I126" s="26"/>
      <c r="J126" s="26"/>
      <c r="K126" s="26"/>
      <c r="L126" s="26"/>
      <c r="M126" s="26"/>
      <c r="N126" s="26"/>
      <c r="O126" s="26"/>
      <c r="P126" s="26"/>
    </row>
    <row r="127" spans="1:16" x14ac:dyDescent="0.2">
      <c r="A127" s="7"/>
      <c r="B127" s="153"/>
      <c r="C127" s="154"/>
      <c r="D127" s="39"/>
      <c r="E127" s="39"/>
      <c r="F127" s="39"/>
      <c r="G127" s="20"/>
      <c r="H127" s="20"/>
      <c r="I127" s="26"/>
      <c r="J127" s="26"/>
      <c r="K127" s="26"/>
      <c r="L127" s="26"/>
      <c r="M127" s="26"/>
      <c r="N127" s="26"/>
      <c r="O127" s="26"/>
      <c r="P127" s="26"/>
    </row>
    <row r="128" spans="1:16" x14ac:dyDescent="0.2">
      <c r="A128" s="7"/>
      <c r="B128" s="153"/>
      <c r="C128" s="154"/>
      <c r="D128" s="150"/>
      <c r="E128" s="39"/>
      <c r="F128" s="39"/>
      <c r="G128" s="20"/>
      <c r="H128" s="20"/>
      <c r="I128" s="26"/>
      <c r="J128" s="26"/>
      <c r="K128" s="26"/>
      <c r="L128" s="26"/>
      <c r="M128" s="26"/>
      <c r="N128" s="26"/>
      <c r="O128" s="26"/>
      <c r="P128" s="26"/>
    </row>
    <row r="129" spans="1:16" x14ac:dyDescent="0.2">
      <c r="A129" s="7"/>
      <c r="B129" s="153"/>
      <c r="C129" s="154"/>
      <c r="D129" s="150"/>
      <c r="E129" s="39"/>
      <c r="F129" s="39"/>
      <c r="G129" s="20"/>
      <c r="H129" s="20"/>
      <c r="I129" s="26"/>
      <c r="J129" s="26"/>
      <c r="K129" s="26"/>
      <c r="L129" s="26"/>
      <c r="M129" s="26"/>
      <c r="N129" s="26"/>
      <c r="O129" s="26"/>
      <c r="P129" s="26"/>
    </row>
    <row r="130" spans="1:16" x14ac:dyDescent="0.2">
      <c r="A130" s="7"/>
      <c r="B130" s="153"/>
      <c r="C130" s="154"/>
      <c r="D130" s="150"/>
      <c r="E130" s="566"/>
      <c r="F130" s="566"/>
      <c r="G130" s="20"/>
      <c r="H130" s="20"/>
      <c r="I130" s="26"/>
      <c r="J130" s="26"/>
      <c r="K130" s="26"/>
      <c r="L130" s="26"/>
      <c r="M130" s="26"/>
      <c r="N130" s="26"/>
      <c r="O130" s="26"/>
      <c r="P130" s="26"/>
    </row>
    <row r="131" spans="1:16" x14ac:dyDescent="0.2">
      <c r="A131" s="154"/>
      <c r="B131" s="565"/>
      <c r="C131" s="565"/>
      <c r="D131" s="565"/>
      <c r="E131" s="565"/>
      <c r="F131" s="565"/>
      <c r="G131" s="20"/>
      <c r="H131" s="20"/>
      <c r="I131" s="26"/>
      <c r="J131" s="26"/>
      <c r="K131" s="26"/>
      <c r="L131" s="26"/>
      <c r="M131" s="26"/>
      <c r="N131" s="26"/>
      <c r="O131" s="26"/>
      <c r="P131" s="26"/>
    </row>
    <row r="132" spans="1:16" x14ac:dyDescent="0.2">
      <c r="A132" s="21"/>
      <c r="B132" s="21"/>
      <c r="C132" s="21"/>
      <c r="D132" s="21"/>
      <c r="E132" s="21"/>
      <c r="F132" s="21"/>
      <c r="G132" s="20"/>
      <c r="H132" s="20"/>
      <c r="I132" s="27"/>
      <c r="J132" s="26"/>
      <c r="K132" s="26"/>
      <c r="L132" s="26"/>
      <c r="M132" s="26"/>
      <c r="N132" s="26"/>
      <c r="O132" s="26"/>
      <c r="P132" s="26"/>
    </row>
    <row r="133" spans="1:16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</row>
    <row r="134" spans="1:16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</row>
    <row r="135" spans="1:16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</row>
    <row r="136" spans="1:16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</row>
    <row r="137" spans="1:16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</row>
    <row r="138" spans="1:16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</row>
    <row r="139" spans="1:16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</row>
    <row r="140" spans="1:16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</row>
    <row r="141" spans="1:16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</row>
    <row r="142" spans="1:16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</row>
    <row r="143" spans="1:16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</row>
    <row r="144" spans="1:16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</row>
    <row r="145" spans="1:16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</row>
    <row r="146" spans="1:16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</row>
    <row r="147" spans="1:16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</row>
    <row r="148" spans="1:16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</row>
    <row r="149" spans="1:16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</row>
    <row r="150" spans="1:16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</row>
    <row r="151" spans="1:16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</row>
    <row r="152" spans="1:16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</row>
    <row r="153" spans="1:16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</row>
    <row r="154" spans="1:16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</row>
    <row r="155" spans="1:16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</row>
    <row r="156" spans="1:16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</row>
    <row r="157" spans="1:16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</row>
    <row r="158" spans="1:16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</row>
    <row r="159" spans="1:16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</row>
    <row r="160" spans="1:16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</row>
    <row r="161" spans="1:16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</row>
    <row r="162" spans="1:16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</row>
    <row r="163" spans="1:16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</row>
    <row r="164" spans="1:16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</row>
    <row r="165" spans="1:16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</row>
    <row r="166" spans="1:16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</row>
    <row r="167" spans="1:16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</row>
    <row r="168" spans="1:16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</row>
    <row r="169" spans="1:16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</row>
    <row r="170" spans="1:16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</row>
    <row r="171" spans="1:16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</row>
    <row r="172" spans="1:16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</row>
    <row r="173" spans="1:16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</row>
    <row r="174" spans="1:16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</row>
    <row r="175" spans="1:16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</row>
    <row r="176" spans="1:16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</row>
    <row r="177" spans="1:16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</row>
    <row r="178" spans="1:16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</row>
    <row r="179" spans="1:16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</row>
    <row r="180" spans="1:16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</row>
    <row r="181" spans="1:16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</row>
    <row r="182" spans="1:16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</row>
    <row r="183" spans="1:16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</row>
    <row r="184" spans="1:16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</row>
    <row r="185" spans="1:16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</row>
    <row r="186" spans="1:16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</row>
    <row r="187" spans="1:16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</row>
    <row r="188" spans="1:16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</row>
    <row r="189" spans="1:16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</row>
    <row r="190" spans="1:16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</row>
    <row r="191" spans="1:16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</row>
    <row r="192" spans="1:16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</row>
    <row r="193" spans="1:16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</row>
    <row r="194" spans="1:16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</row>
    <row r="195" spans="1:16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</row>
    <row r="196" spans="1:16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</row>
    <row r="197" spans="1:16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</row>
    <row r="198" spans="1:16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</row>
    <row r="199" spans="1:16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</row>
    <row r="200" spans="1:16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</row>
    <row r="201" spans="1:16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</row>
    <row r="202" spans="1:16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</row>
    <row r="203" spans="1:16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</row>
    <row r="204" spans="1:16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</row>
    <row r="205" spans="1:16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</row>
    <row r="206" spans="1:16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</row>
    <row r="207" spans="1:16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</row>
    <row r="208" spans="1:16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</row>
    <row r="209" spans="1:16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</row>
    <row r="210" spans="1:16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</row>
    <row r="211" spans="1:16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</row>
    <row r="212" spans="1:16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</row>
    <row r="213" spans="1:16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</row>
    <row r="214" spans="1:16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</row>
    <row r="215" spans="1:16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</row>
    <row r="216" spans="1:16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</row>
    <row r="217" spans="1:16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</row>
    <row r="218" spans="1:16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</row>
    <row r="219" spans="1:16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</row>
    <row r="220" spans="1:16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</row>
    <row r="221" spans="1:16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</row>
    <row r="222" spans="1:16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</row>
    <row r="223" spans="1:16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</row>
    <row r="224" spans="1:16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</row>
    <row r="225" spans="1:16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</row>
    <row r="226" spans="1:16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</row>
    <row r="227" spans="1:16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</row>
    <row r="228" spans="1:16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</row>
    <row r="229" spans="1:16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</row>
    <row r="230" spans="1:16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</row>
    <row r="231" spans="1:16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</row>
    <row r="232" spans="1:16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</row>
    <row r="233" spans="1:16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</row>
    <row r="234" spans="1:16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</row>
    <row r="235" spans="1:16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</row>
    <row r="236" spans="1:16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</row>
    <row r="237" spans="1:16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</row>
    <row r="238" spans="1:16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</row>
    <row r="239" spans="1:16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</row>
    <row r="240" spans="1:16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</row>
    <row r="241" spans="1:16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</row>
    <row r="242" spans="1:16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</row>
    <row r="243" spans="1:16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</row>
    <row r="244" spans="1:16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</row>
    <row r="245" spans="1:16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</row>
    <row r="246" spans="1:16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</row>
    <row r="247" spans="1:16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</row>
    <row r="248" spans="1:16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</row>
    <row r="249" spans="1:16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</row>
    <row r="250" spans="1:16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</row>
    <row r="251" spans="1:16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</row>
    <row r="252" spans="1:16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</row>
    <row r="253" spans="1:16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</row>
    <row r="254" spans="1:16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</row>
    <row r="255" spans="1:16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</row>
    <row r="256" spans="1:16" x14ac:dyDescent="0.2">
      <c r="A256" s="21"/>
      <c r="B256" s="21"/>
      <c r="C256" s="21"/>
      <c r="D256" s="21"/>
      <c r="E256" s="21"/>
      <c r="F256" s="21"/>
      <c r="G256" s="20"/>
      <c r="H256" s="20"/>
      <c r="I256" s="21"/>
      <c r="J256" s="21"/>
      <c r="K256" s="21"/>
      <c r="L256" s="21"/>
      <c r="M256" s="21"/>
      <c r="N256" s="21"/>
      <c r="O256" s="21"/>
      <c r="P256" s="21"/>
    </row>
    <row r="257" spans="1:16" x14ac:dyDescent="0.2">
      <c r="A257" s="21"/>
      <c r="B257" s="21"/>
      <c r="C257" s="21"/>
      <c r="D257" s="21"/>
      <c r="E257" s="21"/>
      <c r="F257" s="21"/>
      <c r="G257" s="20"/>
      <c r="H257" s="20"/>
      <c r="I257" s="21"/>
      <c r="J257" s="21"/>
      <c r="K257" s="21"/>
      <c r="L257" s="21"/>
      <c r="M257" s="21"/>
      <c r="N257" s="21"/>
      <c r="O257" s="21"/>
      <c r="P257" s="21"/>
    </row>
  </sheetData>
  <sheetProtection password="EDD8" sheet="1" objects="1" scenarios="1" selectLockedCells="1"/>
  <mergeCells count="16">
    <mergeCell ref="A1:P1"/>
    <mergeCell ref="B131:F131"/>
    <mergeCell ref="P8:P9"/>
    <mergeCell ref="I8:I9"/>
    <mergeCell ref="E82:F82"/>
    <mergeCell ref="D93:F93"/>
    <mergeCell ref="D108:F108"/>
    <mergeCell ref="D119:F119"/>
    <mergeCell ref="N8:O8"/>
    <mergeCell ref="I6:P7"/>
    <mergeCell ref="E130:F130"/>
    <mergeCell ref="E126:F126"/>
    <mergeCell ref="L8:M8"/>
    <mergeCell ref="J8:K8"/>
    <mergeCell ref="A6:F9"/>
    <mergeCell ref="G6:G9"/>
  </mergeCells>
  <phoneticPr fontId="0" type="noConversion"/>
  <dataValidations count="2">
    <dataValidation type="decimal" operator="lessThan" allowBlank="1" showInputMessage="1" showErrorMessage="1" sqref="I10:EY589">
      <formula1>1000000000000000</formula1>
    </dataValidation>
    <dataValidation operator="lessThan" allowBlank="1" showInputMessage="1" showErrorMessage="1" sqref="A24:D28 A65:G69"/>
  </dataValidations>
  <printOptions horizontalCentered="1"/>
  <pageMargins left="0.25" right="0.25" top="1" bottom="0.5" header="0.5" footer="0.5"/>
  <pageSetup paperSize="9" scale="78" orientation="landscape" horizontalDpi="360" verticalDpi="360" r:id="rId1"/>
  <headerFooter alignWithMargins="0">
    <oddHeader>&amp;R&amp;"Arial,Bold"&amp;USchedule 7a&amp;8&amp;U
&amp;P of &amp;N&amp;C&amp;"Arial,Bold"&amp;8 MAXIMUM SAVINGS BANK, INC.  [ 03-070011 ]
 As of: June 30, 2019</oddHead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IJ254"/>
  <sheetViews>
    <sheetView zoomScale="75" zoomScaleNormal="50" zoomScaleSheetLayoutView="50" workbookViewId="0">
      <pane xSplit="8" ySplit="10" topLeftCell="I11" activePane="bottomRight" state="frozen"/>
      <selection pane="topRight" activeCell="I1" sqref="I1"/>
      <selection pane="bottomLeft" activeCell="A11" sqref="A11"/>
      <selection pane="bottomRight" sqref="A1:S1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26.140625" style="1" customWidth="1"/>
    <col min="6" max="6" width="21.42578125" style="1" hidden="1" customWidth="1"/>
    <col min="7" max="7" width="16.5703125" style="9" customWidth="1"/>
    <col min="8" max="8" width="10.28515625" style="9" hidden="1" customWidth="1"/>
    <col min="9" max="19" width="20.7109375" style="1" customWidth="1"/>
    <col min="20" max="159" width="25.7109375" style="1" customWidth="1"/>
    <col min="160" max="16384" width="9.140625" style="1"/>
  </cols>
  <sheetData>
    <row r="1" spans="1:22" s="165" customFormat="1" ht="12.75" x14ac:dyDescent="0.2">
      <c r="A1" s="512" t="s">
        <v>329</v>
      </c>
      <c r="B1" s="512"/>
      <c r="C1" s="512"/>
      <c r="D1" s="512"/>
      <c r="E1" s="512"/>
      <c r="F1" s="512"/>
      <c r="G1" s="512"/>
      <c r="H1" s="512"/>
      <c r="I1" s="512"/>
      <c r="J1" s="512"/>
      <c r="K1" s="512"/>
      <c r="L1" s="512"/>
      <c r="M1" s="512"/>
      <c r="N1" s="512"/>
      <c r="O1" s="512"/>
      <c r="P1" s="512"/>
      <c r="Q1" s="512"/>
      <c r="R1" s="512"/>
      <c r="S1" s="512"/>
    </row>
    <row r="2" spans="1:22" s="165" customFormat="1" ht="12.75" customHeight="1" x14ac:dyDescent="0.2">
      <c r="A2" s="512" t="s">
        <v>325</v>
      </c>
      <c r="B2" s="512"/>
      <c r="C2" s="512"/>
      <c r="D2" s="512"/>
      <c r="E2" s="512"/>
      <c r="F2" s="512"/>
      <c r="G2" s="512"/>
      <c r="H2" s="512"/>
      <c r="I2" s="512"/>
      <c r="J2" s="512"/>
      <c r="K2" s="512"/>
      <c r="L2" s="512"/>
      <c r="M2" s="512"/>
      <c r="N2" s="512"/>
      <c r="O2" s="512"/>
      <c r="P2" s="512"/>
      <c r="Q2" s="512"/>
      <c r="R2" s="512"/>
      <c r="S2" s="512"/>
    </row>
    <row r="3" spans="1:22" s="165" customFormat="1" ht="12.75" hidden="1" customHeight="1" x14ac:dyDescent="0.2">
      <c r="A3" s="512"/>
      <c r="B3" s="512"/>
      <c r="C3" s="512"/>
      <c r="D3" s="512"/>
      <c r="E3" s="512"/>
      <c r="F3" s="512"/>
      <c r="G3" s="512"/>
      <c r="H3" s="512"/>
      <c r="I3" s="512"/>
      <c r="J3" s="512"/>
      <c r="K3" s="512"/>
      <c r="L3" s="512"/>
      <c r="M3" s="512"/>
      <c r="N3" s="512"/>
      <c r="O3" s="512"/>
      <c r="P3" s="512"/>
      <c r="Q3" s="512"/>
      <c r="R3" s="512"/>
      <c r="S3" s="512"/>
    </row>
    <row r="4" spans="1:22" s="165" customFormat="1" ht="12.75" customHeight="1" x14ac:dyDescent="0.2">
      <c r="A4" s="512" t="s">
        <v>356</v>
      </c>
      <c r="B4" s="512"/>
      <c r="C4" s="512"/>
      <c r="D4" s="512"/>
      <c r="E4" s="512"/>
      <c r="F4" s="512"/>
      <c r="G4" s="512"/>
      <c r="H4" s="512"/>
      <c r="I4" s="512"/>
      <c r="J4" s="512"/>
      <c r="K4" s="512"/>
      <c r="L4" s="512"/>
      <c r="M4" s="512"/>
      <c r="N4" s="512"/>
      <c r="O4" s="512"/>
      <c r="P4" s="512"/>
      <c r="Q4" s="512"/>
      <c r="R4" s="512"/>
      <c r="S4" s="512"/>
    </row>
    <row r="5" spans="1:22" ht="12.75" customHeight="1" x14ac:dyDescent="0.2">
      <c r="A5" s="217"/>
      <c r="B5" s="217"/>
      <c r="C5" s="217"/>
      <c r="D5" s="217"/>
      <c r="E5" s="217"/>
      <c r="F5" s="217"/>
      <c r="G5" s="217"/>
      <c r="H5" s="217"/>
      <c r="I5" s="217"/>
      <c r="J5" s="217"/>
      <c r="K5" s="217"/>
      <c r="L5" s="217"/>
      <c r="M5" s="217"/>
      <c r="N5" s="217"/>
      <c r="O5" s="217"/>
      <c r="P5" s="217"/>
      <c r="Q5" s="217"/>
      <c r="R5" s="217"/>
      <c r="S5" s="217"/>
    </row>
    <row r="6" spans="1:22" s="118" customFormat="1" ht="14.25" customHeight="1" x14ac:dyDescent="0.2">
      <c r="A6" s="504" t="s">
        <v>0</v>
      </c>
      <c r="B6" s="505"/>
      <c r="C6" s="505"/>
      <c r="D6" s="505"/>
      <c r="E6" s="505"/>
      <c r="F6" s="506"/>
      <c r="G6" s="496" t="s">
        <v>2</v>
      </c>
      <c r="H6" s="493" t="s">
        <v>414</v>
      </c>
      <c r="I6" s="258" t="s">
        <v>309</v>
      </c>
      <c r="J6" s="258" t="s">
        <v>310</v>
      </c>
      <c r="K6" s="259" t="s">
        <v>311</v>
      </c>
      <c r="L6" s="259" t="s">
        <v>312</v>
      </c>
      <c r="M6" s="259" t="s">
        <v>313</v>
      </c>
      <c r="N6" s="259" t="s">
        <v>314</v>
      </c>
      <c r="O6" s="259" t="s">
        <v>315</v>
      </c>
      <c r="P6" s="259" t="s">
        <v>316</v>
      </c>
      <c r="Q6" s="259" t="s">
        <v>317</v>
      </c>
      <c r="R6" s="259" t="s">
        <v>318</v>
      </c>
      <c r="S6" s="259" t="s">
        <v>307</v>
      </c>
    </row>
    <row r="7" spans="1:22" s="11" customFormat="1" ht="12.75" customHeight="1" x14ac:dyDescent="0.2">
      <c r="A7" s="507"/>
      <c r="B7" s="508"/>
      <c r="C7" s="508"/>
      <c r="D7" s="508"/>
      <c r="E7" s="508"/>
      <c r="F7" s="509"/>
      <c r="G7" s="497"/>
      <c r="H7" s="494"/>
      <c r="I7" s="600" t="s">
        <v>755</v>
      </c>
      <c r="J7" s="533" t="s">
        <v>324</v>
      </c>
      <c r="K7" s="533"/>
      <c r="L7" s="533"/>
      <c r="M7" s="533"/>
      <c r="N7" s="521"/>
      <c r="O7" s="493" t="s">
        <v>319</v>
      </c>
      <c r="P7" s="493" t="s">
        <v>320</v>
      </c>
      <c r="Q7" s="493" t="s">
        <v>321</v>
      </c>
      <c r="R7" s="493" t="s">
        <v>390</v>
      </c>
      <c r="S7" s="592" t="s">
        <v>328</v>
      </c>
    </row>
    <row r="8" spans="1:22" s="11" customFormat="1" ht="12.75" customHeight="1" x14ac:dyDescent="0.2">
      <c r="A8" s="507"/>
      <c r="B8" s="508"/>
      <c r="C8" s="508"/>
      <c r="D8" s="508"/>
      <c r="E8" s="508"/>
      <c r="F8" s="509"/>
      <c r="G8" s="497"/>
      <c r="H8" s="494"/>
      <c r="I8" s="608"/>
      <c r="J8" s="493" t="s">
        <v>779</v>
      </c>
      <c r="K8" s="493" t="s">
        <v>780</v>
      </c>
      <c r="L8" s="493" t="s">
        <v>781</v>
      </c>
      <c r="M8" s="493" t="s">
        <v>782</v>
      </c>
      <c r="N8" s="493" t="s">
        <v>308</v>
      </c>
      <c r="O8" s="494"/>
      <c r="P8" s="494"/>
      <c r="Q8" s="494"/>
      <c r="R8" s="494"/>
      <c r="S8" s="610"/>
    </row>
    <row r="9" spans="1:22" s="2" customFormat="1" ht="12.75" customHeight="1" x14ac:dyDescent="0.2">
      <c r="A9" s="507"/>
      <c r="B9" s="508"/>
      <c r="C9" s="508"/>
      <c r="D9" s="508"/>
      <c r="E9" s="508"/>
      <c r="F9" s="509"/>
      <c r="G9" s="497"/>
      <c r="H9" s="494"/>
      <c r="I9" s="608"/>
      <c r="J9" s="494"/>
      <c r="K9" s="494"/>
      <c r="L9" s="494"/>
      <c r="M9" s="494"/>
      <c r="N9" s="494"/>
      <c r="O9" s="494"/>
      <c r="P9" s="494"/>
      <c r="Q9" s="494"/>
      <c r="R9" s="494"/>
      <c r="S9" s="610"/>
    </row>
    <row r="10" spans="1:22" s="2" customFormat="1" ht="37.5" customHeight="1" x14ac:dyDescent="0.2">
      <c r="A10" s="507"/>
      <c r="B10" s="508"/>
      <c r="C10" s="508"/>
      <c r="D10" s="508"/>
      <c r="E10" s="508"/>
      <c r="F10" s="492"/>
      <c r="G10" s="498"/>
      <c r="H10" s="495"/>
      <c r="I10" s="609"/>
      <c r="J10" s="495"/>
      <c r="K10" s="495"/>
      <c r="L10" s="495"/>
      <c r="M10" s="495"/>
      <c r="N10" s="495"/>
      <c r="O10" s="495"/>
      <c r="P10" s="495"/>
      <c r="Q10" s="495"/>
      <c r="R10" s="495"/>
      <c r="S10" s="611"/>
    </row>
    <row r="11" spans="1:22" x14ac:dyDescent="0.2">
      <c r="A11" s="415" t="s">
        <v>185</v>
      </c>
      <c r="B11" s="416"/>
      <c r="C11" s="416"/>
      <c r="D11" s="416"/>
      <c r="E11" s="417"/>
      <c r="F11" s="382"/>
      <c r="G11" s="320"/>
      <c r="H11" s="320"/>
      <c r="I11" s="78"/>
      <c r="J11" s="78"/>
      <c r="K11" s="78"/>
      <c r="L11" s="78"/>
      <c r="M11" s="78"/>
      <c r="N11" s="78"/>
      <c r="O11" s="78"/>
      <c r="P11" s="78"/>
      <c r="Q11" s="78"/>
      <c r="R11" s="78"/>
      <c r="S11" s="78"/>
      <c r="T11" s="122"/>
      <c r="U11" s="123"/>
      <c r="V11" s="123"/>
    </row>
    <row r="12" spans="1:22" x14ac:dyDescent="0.2">
      <c r="A12" s="353" t="s">
        <v>186</v>
      </c>
      <c r="B12" s="418" t="s">
        <v>187</v>
      </c>
      <c r="C12" s="354"/>
      <c r="D12" s="354"/>
      <c r="E12" s="419"/>
      <c r="F12" s="382"/>
      <c r="G12" s="458" t="s">
        <v>330</v>
      </c>
      <c r="H12" s="320"/>
      <c r="I12" s="78">
        <f>'7C1'!I11+'7C2'!J11+'7C3'!J11+'7C4'!J11</f>
        <v>0</v>
      </c>
      <c r="J12" s="78">
        <f>'7C1'!J11+'7C2'!L11+'7C3'!L11+'7C4'!L11</f>
        <v>0</v>
      </c>
      <c r="K12" s="78">
        <f>'7C1'!K11+'7C2'!N11+'7C3'!N11+'7C4'!N11</f>
        <v>0</v>
      </c>
      <c r="L12" s="78">
        <f>'7C1'!L11+'7C2'!P11+'7C3'!P11+'7C4'!P11</f>
        <v>0</v>
      </c>
      <c r="M12" s="78">
        <f>'7C1'!M11+'7C2'!R11+'7C3'!R11+'7C4'!R11</f>
        <v>0</v>
      </c>
      <c r="N12" s="78">
        <f>'7C1'!N11+'7C2'!T11+'7C3'!T11+'7C4'!T11</f>
        <v>0</v>
      </c>
      <c r="O12" s="78">
        <f>'7C1'!O11+'7C2'!V11+'7C3'!V11+'7C4'!V11</f>
        <v>0</v>
      </c>
      <c r="P12" s="78">
        <f>'7C1'!P11+'7C2'!X11+'7C3'!X11+'7C4'!X11</f>
        <v>0</v>
      </c>
      <c r="Q12" s="78">
        <f>'7C1'!Q11+'7C2'!Z11+'7C3'!Z11+'7C4'!Z11</f>
        <v>0</v>
      </c>
      <c r="R12" s="78">
        <f>'7C1'!R11+'7C2'!AB11+'7C3'!AB11+'7C4'!AB11</f>
        <v>0</v>
      </c>
      <c r="S12" s="78">
        <f>'7C1'!S11+'7C2'!AD11+'7C3'!AD11+'7C4'!AD11</f>
        <v>0</v>
      </c>
      <c r="T12" s="122"/>
      <c r="U12" s="123"/>
      <c r="V12" s="123"/>
    </row>
    <row r="13" spans="1:22" x14ac:dyDescent="0.2">
      <c r="A13" s="420"/>
      <c r="B13" s="421" t="s">
        <v>188</v>
      </c>
      <c r="C13" s="421" t="s">
        <v>788</v>
      </c>
      <c r="D13" s="421"/>
      <c r="E13" s="422"/>
      <c r="F13" s="382"/>
      <c r="G13" s="458" t="s">
        <v>331</v>
      </c>
      <c r="H13" s="320"/>
      <c r="I13" s="78">
        <f>'7C1'!I12+'7C2'!J12+'7C3'!J12+'7C4'!J12</f>
        <v>0</v>
      </c>
      <c r="J13" s="78">
        <f>'7C1'!J12+'7C2'!L12+'7C3'!L12+'7C4'!L12</f>
        <v>0</v>
      </c>
      <c r="K13" s="78">
        <f>'7C1'!K12+'7C2'!N12+'7C3'!N12+'7C4'!N12</f>
        <v>0</v>
      </c>
      <c r="L13" s="78">
        <f>'7C1'!L12+'7C2'!P12+'7C3'!P12+'7C4'!P12</f>
        <v>0</v>
      </c>
      <c r="M13" s="78">
        <f>'7C1'!M12+'7C2'!R12+'7C3'!R12+'7C4'!R12</f>
        <v>0</v>
      </c>
      <c r="N13" s="78">
        <f>'7C1'!N12+'7C2'!T12+'7C3'!T12+'7C4'!T12</f>
        <v>0</v>
      </c>
      <c r="O13" s="78">
        <f>'7C1'!O12+'7C2'!V12+'7C3'!V12+'7C4'!V12</f>
        <v>0</v>
      </c>
      <c r="P13" s="78">
        <f>'7C1'!P12+'7C2'!X12+'7C3'!X12+'7C4'!X12</f>
        <v>0</v>
      </c>
      <c r="Q13" s="78">
        <f>'7C1'!Q12+'7C2'!Z12+'7C3'!Z12+'7C4'!Z12</f>
        <v>0</v>
      </c>
      <c r="R13" s="78">
        <f>'7C1'!R12+'7C2'!AB12+'7C3'!AB12+'7C4'!AB12</f>
        <v>0</v>
      </c>
      <c r="S13" s="78">
        <f>'7C1'!S12+'7C2'!AD12+'7C3'!AD12+'7C4'!AD12</f>
        <v>0</v>
      </c>
      <c r="T13" s="122"/>
      <c r="U13" s="123"/>
      <c r="V13" s="123"/>
    </row>
    <row r="14" spans="1:22" x14ac:dyDescent="0.2">
      <c r="A14" s="423"/>
      <c r="B14" s="354"/>
      <c r="C14" s="387" t="s">
        <v>19</v>
      </c>
      <c r="D14" s="354" t="s">
        <v>189</v>
      </c>
      <c r="E14" s="419"/>
      <c r="F14" s="382"/>
      <c r="G14" s="458" t="s">
        <v>332</v>
      </c>
      <c r="H14" s="320"/>
      <c r="I14" s="78">
        <f>'7C1'!I13+'7C2'!J13+'7C3'!J13+'7C4'!J13</f>
        <v>0</v>
      </c>
      <c r="J14" s="78">
        <f>'7C1'!J13+'7C2'!L13+'7C3'!L13+'7C4'!L13</f>
        <v>0</v>
      </c>
      <c r="K14" s="78">
        <f>'7C1'!K13+'7C2'!N13+'7C3'!N13+'7C4'!N13</f>
        <v>0</v>
      </c>
      <c r="L14" s="78">
        <f>'7C1'!L13+'7C2'!P13+'7C3'!P13+'7C4'!P13</f>
        <v>0</v>
      </c>
      <c r="M14" s="78">
        <f>'7C1'!M13+'7C2'!R13+'7C3'!R13+'7C4'!R13</f>
        <v>0</v>
      </c>
      <c r="N14" s="78">
        <f>'7C1'!N13+'7C2'!T13+'7C3'!T13+'7C4'!T13</f>
        <v>0</v>
      </c>
      <c r="O14" s="78">
        <f>'7C1'!O13+'7C2'!V13+'7C3'!V13+'7C4'!V13</f>
        <v>0</v>
      </c>
      <c r="P14" s="78">
        <f>'7C1'!P13+'7C2'!X13+'7C3'!X13+'7C4'!X13</f>
        <v>0</v>
      </c>
      <c r="Q14" s="78">
        <f>'7C1'!Q13+'7C2'!Z13+'7C3'!Z13+'7C4'!Z13</f>
        <v>0</v>
      </c>
      <c r="R14" s="78">
        <f>'7C1'!R13+'7C2'!AB13+'7C3'!AB13+'7C4'!AB13</f>
        <v>0</v>
      </c>
      <c r="S14" s="78">
        <f>'7C1'!S13+'7C2'!AD13+'7C3'!AD13+'7C4'!AD13</f>
        <v>0</v>
      </c>
      <c r="T14" s="122"/>
      <c r="U14" s="123"/>
      <c r="V14" s="123"/>
    </row>
    <row r="15" spans="1:22" x14ac:dyDescent="0.2">
      <c r="A15" s="423"/>
      <c r="B15" s="354"/>
      <c r="C15" s="387"/>
      <c r="D15" s="355" t="s">
        <v>11</v>
      </c>
      <c r="E15" s="355" t="s">
        <v>789</v>
      </c>
      <c r="F15" s="382"/>
      <c r="G15" s="458" t="s">
        <v>824</v>
      </c>
      <c r="H15" s="320"/>
      <c r="I15" s="78">
        <f>'7C1'!I14+'7C2'!J14+'7C3'!J14+'7C4'!J14</f>
        <v>0</v>
      </c>
      <c r="J15" s="78">
        <f>'7C1'!J14+'7C2'!L14+'7C3'!L14+'7C4'!L14</f>
        <v>0</v>
      </c>
      <c r="K15" s="78">
        <f>'7C1'!K14+'7C2'!N14+'7C3'!N14+'7C4'!N14</f>
        <v>0</v>
      </c>
      <c r="L15" s="78">
        <f>'7C1'!L14+'7C2'!P14+'7C3'!P14+'7C4'!P14</f>
        <v>0</v>
      </c>
      <c r="M15" s="78">
        <f>'7C1'!M14+'7C2'!R14+'7C3'!R14+'7C4'!R14</f>
        <v>0</v>
      </c>
      <c r="N15" s="78">
        <f>'7C1'!N14+'7C2'!T14+'7C3'!T14+'7C4'!T14</f>
        <v>0</v>
      </c>
      <c r="O15" s="78">
        <f>'7C1'!O14+'7C2'!V14+'7C3'!V14+'7C4'!V14</f>
        <v>0</v>
      </c>
      <c r="P15" s="78">
        <f>'7C1'!P14+'7C2'!X14+'7C3'!X14+'7C4'!X14</f>
        <v>0</v>
      </c>
      <c r="Q15" s="78">
        <f>'7C1'!Q14+'7C2'!Z14+'7C3'!Z14+'7C4'!Z14</f>
        <v>0</v>
      </c>
      <c r="R15" s="78">
        <f>'7C1'!R14+'7C2'!AB14+'7C3'!AB14+'7C4'!AB14</f>
        <v>0</v>
      </c>
      <c r="S15" s="78">
        <f>'7C1'!S14+'7C2'!AD14+'7C3'!AD14+'7C4'!AD14</f>
        <v>0</v>
      </c>
      <c r="T15" s="122"/>
      <c r="U15" s="123"/>
      <c r="V15" s="123"/>
    </row>
    <row r="16" spans="1:22" x14ac:dyDescent="0.2">
      <c r="A16" s="423"/>
      <c r="B16" s="354"/>
      <c r="C16" s="387"/>
      <c r="D16" s="355" t="s">
        <v>15</v>
      </c>
      <c r="E16" s="392" t="s">
        <v>790</v>
      </c>
      <c r="F16" s="382"/>
      <c r="G16" s="458" t="s">
        <v>825</v>
      </c>
      <c r="H16" s="320"/>
      <c r="I16" s="78">
        <f>'7C1'!I15+'7C2'!J15+'7C3'!J15+'7C4'!J15</f>
        <v>0</v>
      </c>
      <c r="J16" s="78">
        <f>'7C1'!J15+'7C2'!L15+'7C3'!L15+'7C4'!L15</f>
        <v>0</v>
      </c>
      <c r="K16" s="78">
        <f>'7C1'!K15+'7C2'!N15+'7C3'!N15+'7C4'!N15</f>
        <v>0</v>
      </c>
      <c r="L16" s="78">
        <f>'7C1'!L15+'7C2'!P15+'7C3'!P15+'7C4'!P15</f>
        <v>0</v>
      </c>
      <c r="M16" s="78">
        <f>'7C1'!M15+'7C2'!R15+'7C3'!R15+'7C4'!R15</f>
        <v>0</v>
      </c>
      <c r="N16" s="78">
        <f>'7C1'!N15+'7C2'!T15+'7C3'!T15+'7C4'!T15</f>
        <v>0</v>
      </c>
      <c r="O16" s="78">
        <f>'7C1'!O15+'7C2'!V15+'7C3'!V15+'7C4'!V15</f>
        <v>0</v>
      </c>
      <c r="P16" s="78">
        <f>'7C1'!P15+'7C2'!X15+'7C3'!X15+'7C4'!X15</f>
        <v>0</v>
      </c>
      <c r="Q16" s="78">
        <f>'7C1'!Q15+'7C2'!Z15+'7C3'!Z15+'7C4'!Z15</f>
        <v>0</v>
      </c>
      <c r="R16" s="78">
        <f>'7C1'!R15+'7C2'!AB15+'7C3'!AB15+'7C4'!AB15</f>
        <v>0</v>
      </c>
      <c r="S16" s="78">
        <f>'7C1'!S15+'7C2'!AD15+'7C3'!AD15+'7C4'!AD15</f>
        <v>0</v>
      </c>
      <c r="T16" s="122"/>
      <c r="U16" s="123"/>
      <c r="V16" s="123"/>
    </row>
    <row r="17" spans="1:22" x14ac:dyDescent="0.2">
      <c r="A17" s="423"/>
      <c r="B17" s="354"/>
      <c r="C17" s="387"/>
      <c r="D17" s="355" t="s">
        <v>25</v>
      </c>
      <c r="E17" s="392" t="s">
        <v>791</v>
      </c>
      <c r="F17" s="382"/>
      <c r="G17" s="458" t="s">
        <v>826</v>
      </c>
      <c r="H17" s="389" t="s">
        <v>751</v>
      </c>
      <c r="I17" s="78">
        <f>'7C1'!I16+'7C2'!J16+'7C3'!J16+'7C4'!J16</f>
        <v>0</v>
      </c>
      <c r="J17" s="78">
        <f>'7C1'!J16+'7C2'!L16+'7C3'!L16+'7C4'!L16</f>
        <v>0</v>
      </c>
      <c r="K17" s="78">
        <f>'7C1'!K16+'7C2'!N16+'7C3'!N16+'7C4'!N16</f>
        <v>0</v>
      </c>
      <c r="L17" s="78">
        <f>'7C1'!L16+'7C2'!P16+'7C3'!P16+'7C4'!P16</f>
        <v>0</v>
      </c>
      <c r="M17" s="78">
        <f>'7C1'!M16+'7C2'!R16+'7C3'!R16+'7C4'!R16</f>
        <v>0</v>
      </c>
      <c r="N17" s="78">
        <f>'7C1'!N16+'7C2'!T16+'7C3'!T16+'7C4'!T16</f>
        <v>0</v>
      </c>
      <c r="O17" s="78">
        <f>'7C1'!O16+'7C2'!V16+'7C3'!V16+'7C4'!V16</f>
        <v>0</v>
      </c>
      <c r="P17" s="78">
        <f>'7C1'!P16+'7C2'!X16+'7C3'!X16+'7C4'!X16</f>
        <v>0</v>
      </c>
      <c r="Q17" s="78">
        <f>'7C1'!Q16+'7C2'!Z16+'7C3'!Z16+'7C4'!Z16</f>
        <v>0</v>
      </c>
      <c r="R17" s="78">
        <f>'7C1'!R16+'7C2'!AB16+'7C3'!AB16+'7C4'!AB16</f>
        <v>0</v>
      </c>
      <c r="S17" s="78">
        <f>'7C1'!S16+'7C2'!AD16+'7C3'!AD16+'7C4'!AD16</f>
        <v>0</v>
      </c>
      <c r="T17" s="122"/>
      <c r="U17" s="123"/>
      <c r="V17" s="123"/>
    </row>
    <row r="18" spans="1:22" x14ac:dyDescent="0.2">
      <c r="A18" s="384"/>
      <c r="B18" s="385"/>
      <c r="C18" s="390" t="s">
        <v>21</v>
      </c>
      <c r="D18" s="385" t="s">
        <v>326</v>
      </c>
      <c r="E18" s="383"/>
      <c r="F18" s="382"/>
      <c r="G18" s="458" t="s">
        <v>333</v>
      </c>
      <c r="H18" s="320"/>
      <c r="I18" s="78">
        <f>'7C1'!I19+'7C2'!J19+'7C3'!J19+'7C4'!J19</f>
        <v>0</v>
      </c>
      <c r="J18" s="78">
        <f>'7C1'!J19+'7C2'!L19+'7C3'!L19+'7C4'!L19</f>
        <v>0</v>
      </c>
      <c r="K18" s="78">
        <f>'7C1'!K19+'7C2'!N19+'7C3'!N19+'7C4'!N19</f>
        <v>0</v>
      </c>
      <c r="L18" s="78">
        <f>'7C1'!L19+'7C2'!P19+'7C3'!P19+'7C4'!P19</f>
        <v>0</v>
      </c>
      <c r="M18" s="78">
        <f>'7C1'!M19+'7C2'!R19+'7C3'!R19+'7C4'!R19</f>
        <v>0</v>
      </c>
      <c r="N18" s="78">
        <f>'7C1'!N19+'7C2'!T19+'7C3'!T19+'7C4'!T19</f>
        <v>0</v>
      </c>
      <c r="O18" s="78">
        <f>'7C1'!O19+'7C2'!V19+'7C3'!V19+'7C4'!V19</f>
        <v>0</v>
      </c>
      <c r="P18" s="78">
        <f>'7C1'!P19+'7C2'!X19+'7C3'!X19+'7C4'!X19</f>
        <v>0</v>
      </c>
      <c r="Q18" s="78">
        <f>'7C1'!Q19+'7C2'!Z19+'7C3'!Z19+'7C4'!Z19</f>
        <v>0</v>
      </c>
      <c r="R18" s="78">
        <f>'7C1'!R19+'7C2'!AB19+'7C3'!AB19+'7C4'!AB19</f>
        <v>0</v>
      </c>
      <c r="S18" s="78">
        <f>'7C1'!S19+'7C2'!AD19+'7C3'!AD19+'7C4'!AD19</f>
        <v>0</v>
      </c>
      <c r="T18" s="122"/>
      <c r="U18" s="123"/>
      <c r="V18" s="123"/>
    </row>
    <row r="19" spans="1:22" x14ac:dyDescent="0.2">
      <c r="A19" s="423"/>
      <c r="B19" s="354"/>
      <c r="C19" s="387" t="s">
        <v>60</v>
      </c>
      <c r="D19" s="354" t="s">
        <v>191</v>
      </c>
      <c r="E19" s="419"/>
      <c r="F19" s="382"/>
      <c r="G19" s="458" t="s">
        <v>334</v>
      </c>
      <c r="H19" s="320"/>
      <c r="I19" s="78">
        <f>'7C1'!I20+'7C2'!J20+'7C3'!J20+'7C4'!J20</f>
        <v>0</v>
      </c>
      <c r="J19" s="78">
        <f>'7C1'!J20+'7C2'!L20+'7C3'!L20+'7C4'!L20</f>
        <v>0</v>
      </c>
      <c r="K19" s="78">
        <f>'7C1'!K20+'7C2'!N20+'7C3'!N20+'7C4'!N20</f>
        <v>0</v>
      </c>
      <c r="L19" s="78">
        <f>'7C1'!L20+'7C2'!P20+'7C3'!P20+'7C4'!P20</f>
        <v>0</v>
      </c>
      <c r="M19" s="78">
        <f>'7C1'!M20+'7C2'!R20+'7C3'!R20+'7C4'!R20</f>
        <v>0</v>
      </c>
      <c r="N19" s="78">
        <f>'7C1'!N20+'7C2'!T20+'7C3'!T20+'7C4'!T20</f>
        <v>0</v>
      </c>
      <c r="O19" s="78">
        <f>'7C1'!O20+'7C2'!V20+'7C3'!V20+'7C4'!V20</f>
        <v>0</v>
      </c>
      <c r="P19" s="78">
        <f>'7C1'!P20+'7C2'!X20+'7C3'!X20+'7C4'!X20</f>
        <v>0</v>
      </c>
      <c r="Q19" s="78">
        <f>'7C1'!Q20+'7C2'!Z20+'7C3'!Z20+'7C4'!Z20</f>
        <v>0</v>
      </c>
      <c r="R19" s="78">
        <f>'7C1'!R20+'7C2'!AB20+'7C3'!AB20+'7C4'!AB20</f>
        <v>0</v>
      </c>
      <c r="S19" s="78">
        <f>'7C1'!S20+'7C2'!AD20+'7C3'!AD20+'7C4'!AD20</f>
        <v>0</v>
      </c>
      <c r="T19" s="122"/>
      <c r="U19" s="123"/>
      <c r="V19" s="123"/>
    </row>
    <row r="20" spans="1:22" x14ac:dyDescent="0.2">
      <c r="A20" s="420"/>
      <c r="B20" s="421"/>
      <c r="C20" s="390"/>
      <c r="D20" s="385" t="s">
        <v>11</v>
      </c>
      <c r="E20" s="383" t="s">
        <v>192</v>
      </c>
      <c r="F20" s="382"/>
      <c r="G20" s="458" t="s">
        <v>335</v>
      </c>
      <c r="H20" s="320"/>
      <c r="I20" s="78">
        <f>'7C1'!I21+'7C2'!J21+'7C3'!J21+'7C4'!J21</f>
        <v>0</v>
      </c>
      <c r="J20" s="78">
        <f>'7C1'!J21+'7C2'!L21+'7C3'!L21+'7C4'!L21</f>
        <v>0</v>
      </c>
      <c r="K20" s="78">
        <f>'7C1'!K21+'7C2'!N21+'7C3'!N21+'7C4'!N21</f>
        <v>0</v>
      </c>
      <c r="L20" s="78">
        <f>'7C1'!L21+'7C2'!P21+'7C3'!P21+'7C4'!P21</f>
        <v>0</v>
      </c>
      <c r="M20" s="78">
        <f>'7C1'!M21+'7C2'!R21+'7C3'!R21+'7C4'!R21</f>
        <v>0</v>
      </c>
      <c r="N20" s="78">
        <f>'7C1'!N21+'7C2'!T21+'7C3'!T21+'7C4'!T21</f>
        <v>0</v>
      </c>
      <c r="O20" s="78">
        <f>'7C1'!O21+'7C2'!V21+'7C3'!V21+'7C4'!V21</f>
        <v>0</v>
      </c>
      <c r="P20" s="78">
        <f>'7C1'!P21+'7C2'!X21+'7C3'!X21+'7C4'!X21</f>
        <v>0</v>
      </c>
      <c r="Q20" s="78">
        <f>'7C1'!Q21+'7C2'!Z21+'7C3'!Z21+'7C4'!Z21</f>
        <v>0</v>
      </c>
      <c r="R20" s="78">
        <f>'7C1'!R21+'7C2'!AB21+'7C3'!AB21+'7C4'!AB21</f>
        <v>0</v>
      </c>
      <c r="S20" s="78">
        <f>'7C1'!S21+'7C2'!AD21+'7C3'!AD21+'7C4'!AD21</f>
        <v>0</v>
      </c>
      <c r="T20" s="122"/>
      <c r="U20" s="123"/>
      <c r="V20" s="123"/>
    </row>
    <row r="21" spans="1:22" x14ac:dyDescent="0.2">
      <c r="A21" s="423"/>
      <c r="B21" s="354"/>
      <c r="C21" s="355"/>
      <c r="D21" s="355" t="s">
        <v>15</v>
      </c>
      <c r="E21" s="382" t="s">
        <v>193</v>
      </c>
      <c r="F21" s="382"/>
      <c r="G21" s="458" t="s">
        <v>336</v>
      </c>
      <c r="H21" s="320"/>
      <c r="I21" s="78">
        <f>'7C1'!I22+'7C2'!J22+'7C3'!J22+'7C4'!J22</f>
        <v>0</v>
      </c>
      <c r="J21" s="78">
        <f>'7C1'!J22+'7C2'!L22+'7C3'!L22+'7C4'!L22</f>
        <v>0</v>
      </c>
      <c r="K21" s="78">
        <f>'7C1'!K22+'7C2'!N22+'7C3'!N22+'7C4'!N22</f>
        <v>0</v>
      </c>
      <c r="L21" s="78">
        <f>'7C1'!L22+'7C2'!P22+'7C3'!P22+'7C4'!P22</f>
        <v>0</v>
      </c>
      <c r="M21" s="78">
        <f>'7C1'!M22+'7C2'!R22+'7C3'!R22+'7C4'!R22</f>
        <v>0</v>
      </c>
      <c r="N21" s="78">
        <f>'7C1'!N22+'7C2'!T22+'7C3'!T22+'7C4'!T22</f>
        <v>0</v>
      </c>
      <c r="O21" s="78">
        <f>'7C1'!O22+'7C2'!V22+'7C3'!V22+'7C4'!V22</f>
        <v>0</v>
      </c>
      <c r="P21" s="78">
        <f>'7C1'!P22+'7C2'!X22+'7C3'!X22+'7C4'!X22</f>
        <v>0</v>
      </c>
      <c r="Q21" s="78">
        <f>'7C1'!Q22+'7C2'!Z22+'7C3'!Z22+'7C4'!Z22</f>
        <v>0</v>
      </c>
      <c r="R21" s="78">
        <f>'7C1'!R22+'7C2'!AB22+'7C3'!AB22+'7C4'!AB22</f>
        <v>0</v>
      </c>
      <c r="S21" s="78">
        <f>'7C1'!S22+'7C2'!AD22+'7C3'!AD22+'7C4'!AD22</f>
        <v>0</v>
      </c>
      <c r="T21" s="122"/>
      <c r="U21" s="123"/>
      <c r="V21" s="123"/>
    </row>
    <row r="22" spans="1:22" x14ac:dyDescent="0.2">
      <c r="A22" s="420"/>
      <c r="B22" s="421"/>
      <c r="C22" s="385"/>
      <c r="D22" s="385" t="s">
        <v>25</v>
      </c>
      <c r="E22" s="383" t="s">
        <v>194</v>
      </c>
      <c r="F22" s="382"/>
      <c r="G22" s="458" t="s">
        <v>337</v>
      </c>
      <c r="H22" s="320"/>
      <c r="I22" s="78">
        <f>'7C1'!I23+'7C2'!J23+'7C3'!J23+'7C4'!J23</f>
        <v>0</v>
      </c>
      <c r="J22" s="78">
        <f>'7C1'!J23+'7C2'!L23+'7C3'!L23+'7C4'!L23</f>
        <v>0</v>
      </c>
      <c r="K22" s="78">
        <f>'7C1'!K23+'7C2'!N23+'7C3'!N23+'7C4'!N23</f>
        <v>0</v>
      </c>
      <c r="L22" s="78">
        <f>'7C1'!L23+'7C2'!P23+'7C3'!P23+'7C4'!P23</f>
        <v>0</v>
      </c>
      <c r="M22" s="78">
        <f>'7C1'!M23+'7C2'!R23+'7C3'!R23+'7C4'!R23</f>
        <v>0</v>
      </c>
      <c r="N22" s="78">
        <f>'7C1'!N23+'7C2'!T23+'7C3'!T23+'7C4'!T23</f>
        <v>0</v>
      </c>
      <c r="O22" s="78">
        <f>'7C1'!O23+'7C2'!V23+'7C3'!V23+'7C4'!V23</f>
        <v>0</v>
      </c>
      <c r="P22" s="78">
        <f>'7C1'!P23+'7C2'!X23+'7C3'!X23+'7C4'!X23</f>
        <v>0</v>
      </c>
      <c r="Q22" s="78">
        <f>'7C1'!Q23+'7C2'!Z23+'7C3'!Z23+'7C4'!Z23</f>
        <v>0</v>
      </c>
      <c r="R22" s="78">
        <f>'7C1'!R23+'7C2'!AB23+'7C3'!AB23+'7C4'!AB23</f>
        <v>0</v>
      </c>
      <c r="S22" s="78">
        <f>'7C1'!S23+'7C2'!AD23+'7C3'!AD23+'7C4'!AD23</f>
        <v>0</v>
      </c>
      <c r="T22" s="122"/>
      <c r="U22" s="123"/>
      <c r="V22" s="123"/>
    </row>
    <row r="23" spans="1:22" x14ac:dyDescent="0.2">
      <c r="A23" s="423"/>
      <c r="B23" s="354" t="s">
        <v>195</v>
      </c>
      <c r="C23" s="355" t="s">
        <v>196</v>
      </c>
      <c r="D23" s="354"/>
      <c r="E23" s="419"/>
      <c r="F23" s="382"/>
      <c r="G23" s="458" t="s">
        <v>338</v>
      </c>
      <c r="H23" s="320"/>
      <c r="I23" s="78">
        <f>'7C1'!I24+'7C2'!J24+'7C3'!J24+'7C4'!J24</f>
        <v>0</v>
      </c>
      <c r="J23" s="78">
        <f>'7C1'!J24+'7C2'!L24+'7C3'!L24+'7C4'!L24</f>
        <v>0</v>
      </c>
      <c r="K23" s="78">
        <f>'7C1'!K24+'7C2'!N24+'7C3'!N24+'7C4'!N24</f>
        <v>0</v>
      </c>
      <c r="L23" s="78">
        <f>'7C1'!L24+'7C2'!P24+'7C3'!P24+'7C4'!P24</f>
        <v>0</v>
      </c>
      <c r="M23" s="78">
        <f>'7C1'!M24+'7C2'!R24+'7C3'!R24+'7C4'!R24</f>
        <v>0</v>
      </c>
      <c r="N23" s="78">
        <f>'7C1'!N24+'7C2'!T24+'7C3'!T24+'7C4'!T24</f>
        <v>0</v>
      </c>
      <c r="O23" s="78">
        <f>'7C1'!O24+'7C2'!V24+'7C3'!V24+'7C4'!V24</f>
        <v>0</v>
      </c>
      <c r="P23" s="78">
        <f>'7C1'!P24+'7C2'!X24+'7C3'!X24+'7C4'!X24</f>
        <v>0</v>
      </c>
      <c r="Q23" s="78">
        <f>'7C1'!Q24+'7C2'!Z24+'7C3'!Z24+'7C4'!Z24</f>
        <v>0</v>
      </c>
      <c r="R23" s="78">
        <f>'7C1'!R24+'7C2'!AB24+'7C3'!AB24+'7C4'!AB24</f>
        <v>0</v>
      </c>
      <c r="S23" s="78">
        <f>'7C1'!S24+'7C2'!AD24+'7C3'!AD24+'7C4'!AD24</f>
        <v>0</v>
      </c>
      <c r="T23" s="122"/>
      <c r="U23" s="123"/>
      <c r="V23" s="123"/>
    </row>
    <row r="24" spans="1:22" x14ac:dyDescent="0.2">
      <c r="A24" s="420"/>
      <c r="B24" s="421" t="s">
        <v>197</v>
      </c>
      <c r="C24" s="421" t="s">
        <v>198</v>
      </c>
      <c r="D24" s="421"/>
      <c r="E24" s="422"/>
      <c r="F24" s="382"/>
      <c r="G24" s="458" t="s">
        <v>339</v>
      </c>
      <c r="H24" s="320"/>
      <c r="I24" s="78">
        <f>'7C1'!I25+'7C2'!J25+'7C3'!J25+'7C4'!J25</f>
        <v>0</v>
      </c>
      <c r="J24" s="78">
        <f>'7C1'!J25+'7C2'!L25+'7C3'!L25+'7C4'!L25</f>
        <v>0</v>
      </c>
      <c r="K24" s="78">
        <f>'7C1'!K25+'7C2'!N25+'7C3'!N25+'7C4'!N25</f>
        <v>0</v>
      </c>
      <c r="L24" s="78">
        <f>'7C1'!L25+'7C2'!P25+'7C3'!P25+'7C4'!P25</f>
        <v>0</v>
      </c>
      <c r="M24" s="78">
        <f>'7C1'!M25+'7C2'!R25+'7C3'!R25+'7C4'!R25</f>
        <v>0</v>
      </c>
      <c r="N24" s="78">
        <f>'7C1'!N25+'7C2'!T25+'7C3'!T25+'7C4'!T25</f>
        <v>0</v>
      </c>
      <c r="O24" s="78">
        <f>'7C1'!O25+'7C2'!V25+'7C3'!V25+'7C4'!V25</f>
        <v>0</v>
      </c>
      <c r="P24" s="78">
        <f>'7C1'!P25+'7C2'!X25+'7C3'!X25+'7C4'!X25</f>
        <v>0</v>
      </c>
      <c r="Q24" s="78">
        <f>'7C1'!Q25+'7C2'!Z25+'7C3'!Z25+'7C4'!Z25</f>
        <v>0</v>
      </c>
      <c r="R24" s="78">
        <f>'7C1'!R25+'7C2'!AB25+'7C3'!AB25+'7C4'!AB25</f>
        <v>0</v>
      </c>
      <c r="S24" s="78">
        <f>'7C1'!S25+'7C2'!AD25+'7C3'!AD25+'7C4'!AD25</f>
        <v>0</v>
      </c>
      <c r="T24" s="122"/>
      <c r="U24" s="123"/>
      <c r="V24" s="123"/>
    </row>
    <row r="25" spans="1:22" x14ac:dyDescent="0.2">
      <c r="A25" s="386"/>
      <c r="B25" s="355"/>
      <c r="C25" s="387" t="s">
        <v>19</v>
      </c>
      <c r="D25" s="355" t="s">
        <v>199</v>
      </c>
      <c r="E25" s="382"/>
      <c r="F25" s="382"/>
      <c r="G25" s="458" t="s">
        <v>340</v>
      </c>
      <c r="H25" s="320"/>
      <c r="I25" s="78">
        <f>'7C1'!I26+'7C2'!J26+'7C3'!J26+'7C4'!J26</f>
        <v>0</v>
      </c>
      <c r="J25" s="78">
        <f>'7C1'!J26+'7C2'!L26+'7C3'!L26+'7C4'!L26</f>
        <v>0</v>
      </c>
      <c r="K25" s="78">
        <f>'7C1'!K26+'7C2'!N26+'7C3'!N26+'7C4'!N26</f>
        <v>0</v>
      </c>
      <c r="L25" s="78">
        <f>'7C1'!L26+'7C2'!P26+'7C3'!P26+'7C4'!P26</f>
        <v>0</v>
      </c>
      <c r="M25" s="78">
        <f>'7C1'!M26+'7C2'!R26+'7C3'!R26+'7C4'!R26</f>
        <v>0</v>
      </c>
      <c r="N25" s="78">
        <f>'7C1'!N26+'7C2'!T26+'7C3'!T26+'7C4'!T26</f>
        <v>0</v>
      </c>
      <c r="O25" s="78">
        <f>'7C1'!O26+'7C2'!V26+'7C3'!V26+'7C4'!V26</f>
        <v>0</v>
      </c>
      <c r="P25" s="78">
        <f>'7C1'!P26+'7C2'!X26+'7C3'!X26+'7C4'!X26</f>
        <v>0</v>
      </c>
      <c r="Q25" s="78">
        <f>'7C1'!Q26+'7C2'!Z26+'7C3'!Z26+'7C4'!Z26</f>
        <v>0</v>
      </c>
      <c r="R25" s="78">
        <f>'7C1'!R26+'7C2'!AB26+'7C3'!AB26+'7C4'!AB26</f>
        <v>0</v>
      </c>
      <c r="S25" s="78">
        <f>'7C1'!S26+'7C2'!AD26+'7C3'!AD26+'7C4'!AD26</f>
        <v>0</v>
      </c>
      <c r="T25" s="122"/>
      <c r="U25" s="123"/>
      <c r="V25" s="123"/>
    </row>
    <row r="26" spans="1:22" x14ac:dyDescent="0.2">
      <c r="A26" s="420"/>
      <c r="B26" s="421"/>
      <c r="C26" s="390" t="s">
        <v>21</v>
      </c>
      <c r="D26" s="391" t="s">
        <v>200</v>
      </c>
      <c r="E26" s="422"/>
      <c r="F26" s="382"/>
      <c r="G26" s="458" t="s">
        <v>341</v>
      </c>
      <c r="H26" s="320"/>
      <c r="I26" s="78">
        <f>'7C1'!I27+'7C2'!J27+'7C3'!J27+'7C4'!J27</f>
        <v>0</v>
      </c>
      <c r="J26" s="78">
        <f>'7C1'!J27+'7C2'!L27+'7C3'!L27+'7C4'!L27</f>
        <v>0</v>
      </c>
      <c r="K26" s="78">
        <f>'7C1'!K27+'7C2'!N27+'7C3'!N27+'7C4'!N27</f>
        <v>0</v>
      </c>
      <c r="L26" s="78">
        <f>'7C1'!L27+'7C2'!P27+'7C3'!P27+'7C4'!P27</f>
        <v>0</v>
      </c>
      <c r="M26" s="78">
        <f>'7C1'!M27+'7C2'!R27+'7C3'!R27+'7C4'!R27</f>
        <v>0</v>
      </c>
      <c r="N26" s="78">
        <f>'7C1'!N27+'7C2'!T27+'7C3'!T27+'7C4'!T27</f>
        <v>0</v>
      </c>
      <c r="O26" s="78">
        <f>'7C1'!O27+'7C2'!V27+'7C3'!V27+'7C4'!V27</f>
        <v>0</v>
      </c>
      <c r="P26" s="78">
        <f>'7C1'!P27+'7C2'!X27+'7C3'!X27+'7C4'!X27</f>
        <v>0</v>
      </c>
      <c r="Q26" s="78">
        <f>'7C1'!Q27+'7C2'!Z27+'7C3'!Z27+'7C4'!Z27</f>
        <v>0</v>
      </c>
      <c r="R26" s="78">
        <f>'7C1'!R27+'7C2'!AB27+'7C3'!AB27+'7C4'!AB27</f>
        <v>0</v>
      </c>
      <c r="S26" s="78">
        <f>'7C1'!S27+'7C2'!AD27+'7C3'!AD27+'7C4'!AD27</f>
        <v>0</v>
      </c>
      <c r="T26" s="122"/>
      <c r="U26" s="123"/>
      <c r="V26" s="123"/>
    </row>
    <row r="27" spans="1:22" x14ac:dyDescent="0.2">
      <c r="A27" s="423"/>
      <c r="B27" s="354" t="s">
        <v>201</v>
      </c>
      <c r="C27" s="354" t="s">
        <v>202</v>
      </c>
      <c r="D27" s="354"/>
      <c r="E27" s="419"/>
      <c r="F27" s="382"/>
      <c r="G27" s="458" t="s">
        <v>342</v>
      </c>
      <c r="H27" s="320"/>
      <c r="I27" s="78">
        <f>'7C1'!I28+'7C2'!J28+'7C3'!J28+'7C4'!J28</f>
        <v>0</v>
      </c>
      <c r="J27" s="78">
        <f>'7C1'!J28+'7C2'!L28+'7C3'!L28+'7C4'!L28</f>
        <v>0</v>
      </c>
      <c r="K27" s="78">
        <f>'7C1'!K28+'7C2'!N28+'7C3'!N28+'7C4'!N28</f>
        <v>0</v>
      </c>
      <c r="L27" s="78">
        <f>'7C1'!L28+'7C2'!P28+'7C3'!P28+'7C4'!P28</f>
        <v>0</v>
      </c>
      <c r="M27" s="78">
        <f>'7C1'!M28+'7C2'!R28+'7C3'!R28+'7C4'!R28</f>
        <v>0</v>
      </c>
      <c r="N27" s="78">
        <f>'7C1'!N28+'7C2'!T28+'7C3'!T28+'7C4'!T28</f>
        <v>0</v>
      </c>
      <c r="O27" s="78">
        <f>'7C1'!O28+'7C2'!V28+'7C3'!V28+'7C4'!V28</f>
        <v>0</v>
      </c>
      <c r="P27" s="78">
        <f>'7C1'!P28+'7C2'!X28+'7C3'!X28+'7C4'!X28</f>
        <v>0</v>
      </c>
      <c r="Q27" s="78">
        <f>'7C1'!Q28+'7C2'!Z28+'7C3'!Z28+'7C4'!Z28</f>
        <v>0</v>
      </c>
      <c r="R27" s="78">
        <f>'7C1'!R28+'7C2'!AB28+'7C3'!AB28+'7C4'!AB28</f>
        <v>0</v>
      </c>
      <c r="S27" s="78">
        <f>'7C1'!S28+'7C2'!AD28+'7C3'!AD28+'7C4'!AD28</f>
        <v>0</v>
      </c>
      <c r="T27" s="122"/>
      <c r="U27" s="123"/>
      <c r="V27" s="123"/>
    </row>
    <row r="28" spans="1:22" x14ac:dyDescent="0.2">
      <c r="A28" s="423"/>
      <c r="B28" s="354"/>
      <c r="C28" s="424" t="s">
        <v>19</v>
      </c>
      <c r="D28" s="354" t="s">
        <v>203</v>
      </c>
      <c r="E28" s="422"/>
      <c r="F28" s="382"/>
      <c r="G28" s="458" t="s">
        <v>343</v>
      </c>
      <c r="H28" s="320"/>
      <c r="I28" s="78">
        <f>'7C1'!I29+'7C2'!J29+'7C3'!J29+'7C4'!J29</f>
        <v>0</v>
      </c>
      <c r="J28" s="78">
        <f>'7C1'!J29+'7C2'!L29+'7C3'!L29+'7C4'!L29</f>
        <v>0</v>
      </c>
      <c r="K28" s="78">
        <f>'7C1'!K29+'7C2'!N29+'7C3'!N29+'7C4'!N29</f>
        <v>0</v>
      </c>
      <c r="L28" s="78">
        <f>'7C1'!L29+'7C2'!P29+'7C3'!P29+'7C4'!P29</f>
        <v>0</v>
      </c>
      <c r="M28" s="78">
        <f>'7C1'!M29+'7C2'!R29+'7C3'!R29+'7C4'!R29</f>
        <v>0</v>
      </c>
      <c r="N28" s="78">
        <f>'7C1'!N29+'7C2'!T29+'7C3'!T29+'7C4'!T29</f>
        <v>0</v>
      </c>
      <c r="O28" s="78">
        <f>'7C1'!O29+'7C2'!V29+'7C3'!V29+'7C4'!V29</f>
        <v>0</v>
      </c>
      <c r="P28" s="78">
        <f>'7C1'!P29+'7C2'!X29+'7C3'!X29+'7C4'!X29</f>
        <v>0</v>
      </c>
      <c r="Q28" s="78">
        <f>'7C1'!Q29+'7C2'!Z29+'7C3'!Z29+'7C4'!Z29</f>
        <v>0</v>
      </c>
      <c r="R28" s="78">
        <f>'7C1'!R29+'7C2'!AB29+'7C3'!AB29+'7C4'!AB29</f>
        <v>0</v>
      </c>
      <c r="S28" s="78">
        <f>'7C1'!S29+'7C2'!AD29+'7C3'!AD29+'7C4'!AD29</f>
        <v>0</v>
      </c>
      <c r="T28" s="122"/>
      <c r="U28" s="123"/>
      <c r="V28" s="123"/>
    </row>
    <row r="29" spans="1:22" x14ac:dyDescent="0.2">
      <c r="A29" s="423"/>
      <c r="B29" s="354"/>
      <c r="C29" s="424"/>
      <c r="D29" s="392" t="s">
        <v>11</v>
      </c>
      <c r="E29" s="355" t="s">
        <v>792</v>
      </c>
      <c r="F29" s="382"/>
      <c r="G29" s="458" t="s">
        <v>827</v>
      </c>
      <c r="H29" s="320"/>
      <c r="I29" s="78">
        <f>'7C1'!I30+'7C2'!J30+'7C3'!J30+'7C4'!J30</f>
        <v>0</v>
      </c>
      <c r="J29" s="78">
        <f>'7C1'!J30+'7C2'!L30+'7C3'!L30+'7C4'!L30</f>
        <v>0</v>
      </c>
      <c r="K29" s="78">
        <f>'7C1'!K30+'7C2'!N30+'7C3'!N30+'7C4'!N30</f>
        <v>0</v>
      </c>
      <c r="L29" s="78">
        <f>'7C1'!L30+'7C2'!P30+'7C3'!P30+'7C4'!P30</f>
        <v>0</v>
      </c>
      <c r="M29" s="78">
        <f>'7C1'!M30+'7C2'!R30+'7C3'!R30+'7C4'!R30</f>
        <v>0</v>
      </c>
      <c r="N29" s="78">
        <f>'7C1'!N30+'7C2'!T30+'7C3'!T30+'7C4'!T30</f>
        <v>0</v>
      </c>
      <c r="O29" s="78">
        <f>'7C1'!O30+'7C2'!V30+'7C3'!V30+'7C4'!V30</f>
        <v>0</v>
      </c>
      <c r="P29" s="78">
        <f>'7C1'!P30+'7C2'!X30+'7C3'!X30+'7C4'!X30</f>
        <v>0</v>
      </c>
      <c r="Q29" s="78">
        <f>'7C1'!Q30+'7C2'!Z30+'7C3'!Z30+'7C4'!Z30</f>
        <v>0</v>
      </c>
      <c r="R29" s="78">
        <f>'7C1'!R30+'7C2'!AB30+'7C3'!AB30+'7C4'!AB30</f>
        <v>0</v>
      </c>
      <c r="S29" s="78">
        <f>'7C1'!S30+'7C2'!AD30+'7C3'!AD30+'7C4'!AD30</f>
        <v>0</v>
      </c>
      <c r="T29" s="122"/>
      <c r="U29" s="123"/>
      <c r="V29" s="123"/>
    </row>
    <row r="30" spans="1:22" x14ac:dyDescent="0.2">
      <c r="A30" s="420"/>
      <c r="B30" s="421"/>
      <c r="C30" s="425"/>
      <c r="D30" s="355" t="s">
        <v>15</v>
      </c>
      <c r="E30" s="355" t="s">
        <v>793</v>
      </c>
      <c r="F30" s="382"/>
      <c r="G30" s="458" t="s">
        <v>828</v>
      </c>
      <c r="H30" s="320"/>
      <c r="I30" s="78">
        <f>'7C1'!I31+'7C2'!J31+'7C3'!J31+'7C4'!J31</f>
        <v>0</v>
      </c>
      <c r="J30" s="78">
        <f>'7C1'!J31+'7C2'!L31+'7C3'!L31+'7C4'!L31</f>
        <v>0</v>
      </c>
      <c r="K30" s="78">
        <f>'7C1'!K31+'7C2'!N31+'7C3'!N31+'7C4'!N31</f>
        <v>0</v>
      </c>
      <c r="L30" s="78">
        <f>'7C1'!L31+'7C2'!P31+'7C3'!P31+'7C4'!P31</f>
        <v>0</v>
      </c>
      <c r="M30" s="78">
        <f>'7C1'!M31+'7C2'!R31+'7C3'!R31+'7C4'!R31</f>
        <v>0</v>
      </c>
      <c r="N30" s="78">
        <f>'7C1'!N31+'7C2'!T31+'7C3'!T31+'7C4'!T31</f>
        <v>0</v>
      </c>
      <c r="O30" s="78">
        <f>'7C1'!O31+'7C2'!V31+'7C3'!V31+'7C4'!V31</f>
        <v>0</v>
      </c>
      <c r="P30" s="78">
        <f>'7C1'!P31+'7C2'!X31+'7C3'!X31+'7C4'!X31</f>
        <v>0</v>
      </c>
      <c r="Q30" s="78">
        <f>'7C1'!Q31+'7C2'!Z31+'7C3'!Z31+'7C4'!Z31</f>
        <v>0</v>
      </c>
      <c r="R30" s="78">
        <f>'7C1'!R31+'7C2'!AB31+'7C3'!AB31+'7C4'!AB31</f>
        <v>0</v>
      </c>
      <c r="S30" s="78">
        <f>'7C1'!S31+'7C2'!AD31+'7C3'!AD31+'7C4'!AD31</f>
        <v>0</v>
      </c>
      <c r="T30" s="122"/>
      <c r="U30" s="123"/>
      <c r="V30" s="123"/>
    </row>
    <row r="31" spans="1:22" x14ac:dyDescent="0.2">
      <c r="A31" s="423"/>
      <c r="B31" s="354"/>
      <c r="C31" s="424" t="s">
        <v>21</v>
      </c>
      <c r="D31" s="354" t="s">
        <v>194</v>
      </c>
      <c r="E31" s="419"/>
      <c r="F31" s="382"/>
      <c r="G31" s="458" t="s">
        <v>344</v>
      </c>
      <c r="H31" s="320"/>
      <c r="I31" s="78">
        <f>'7C1'!I32+'7C2'!J32+'7C3'!J32+'7C4'!J32</f>
        <v>0</v>
      </c>
      <c r="J31" s="78">
        <f>'7C1'!J32+'7C2'!L32+'7C3'!L32+'7C4'!L32</f>
        <v>0</v>
      </c>
      <c r="K31" s="78">
        <f>'7C1'!K32+'7C2'!N32+'7C3'!N32+'7C4'!N32</f>
        <v>0</v>
      </c>
      <c r="L31" s="78">
        <f>'7C1'!L32+'7C2'!P32+'7C3'!P32+'7C4'!P32</f>
        <v>0</v>
      </c>
      <c r="M31" s="78">
        <f>'7C1'!M32+'7C2'!R32+'7C3'!R32+'7C4'!R32</f>
        <v>0</v>
      </c>
      <c r="N31" s="78">
        <f>'7C1'!N32+'7C2'!T32+'7C3'!T32+'7C4'!T32</f>
        <v>0</v>
      </c>
      <c r="O31" s="78">
        <f>'7C1'!O32+'7C2'!V32+'7C3'!V32+'7C4'!V32</f>
        <v>0</v>
      </c>
      <c r="P31" s="78">
        <f>'7C1'!P32+'7C2'!X32+'7C3'!X32+'7C4'!X32</f>
        <v>0</v>
      </c>
      <c r="Q31" s="78">
        <f>'7C1'!Q32+'7C2'!Z32+'7C3'!Z32+'7C4'!Z32</f>
        <v>0</v>
      </c>
      <c r="R31" s="78">
        <f>'7C1'!R32+'7C2'!AB32+'7C3'!AB32+'7C4'!AB32</f>
        <v>0</v>
      </c>
      <c r="S31" s="78">
        <f>'7C1'!S32+'7C2'!AD32+'7C3'!AD32+'7C4'!AD32</f>
        <v>0</v>
      </c>
      <c r="T31" s="122"/>
      <c r="U31" s="123"/>
      <c r="V31" s="123"/>
    </row>
    <row r="32" spans="1:22" x14ac:dyDescent="0.2">
      <c r="A32" s="426" t="s">
        <v>33</v>
      </c>
      <c r="B32" s="427" t="s">
        <v>204</v>
      </c>
      <c r="C32" s="421"/>
      <c r="D32" s="421"/>
      <c r="E32" s="422"/>
      <c r="F32" s="382"/>
      <c r="G32" s="458" t="s">
        <v>345</v>
      </c>
      <c r="H32" s="320"/>
      <c r="I32" s="78">
        <f>'7C1'!I33+'7C2'!J33+'7C3'!J33+'7C4'!J33</f>
        <v>0</v>
      </c>
      <c r="J32" s="78">
        <f>'7C1'!J33+'7C2'!L33+'7C3'!L33+'7C4'!L33</f>
        <v>0</v>
      </c>
      <c r="K32" s="78">
        <f>'7C1'!K33+'7C2'!N33+'7C3'!N33+'7C4'!N33</f>
        <v>0</v>
      </c>
      <c r="L32" s="78">
        <f>'7C1'!L33+'7C2'!P33+'7C3'!P33+'7C4'!P33</f>
        <v>0</v>
      </c>
      <c r="M32" s="78">
        <f>'7C1'!M33+'7C2'!R33+'7C3'!R33+'7C4'!R33</f>
        <v>0</v>
      </c>
      <c r="N32" s="78">
        <f>'7C1'!N33+'7C2'!T33+'7C3'!T33+'7C4'!T33</f>
        <v>0</v>
      </c>
      <c r="O32" s="78">
        <f>'7C1'!O33+'7C2'!V33+'7C3'!V33+'7C4'!V33</f>
        <v>0</v>
      </c>
      <c r="P32" s="78">
        <f>'7C1'!P33+'7C2'!X33+'7C3'!X33+'7C4'!X33</f>
        <v>0</v>
      </c>
      <c r="Q32" s="78">
        <f>'7C1'!Q33+'7C2'!Z33+'7C3'!Z33+'7C4'!Z33</f>
        <v>0</v>
      </c>
      <c r="R32" s="78">
        <f>'7C1'!R33+'7C2'!AB33+'7C3'!AB33+'7C4'!AB33</f>
        <v>0</v>
      </c>
      <c r="S32" s="78">
        <f>'7C1'!S33+'7C2'!AD33+'7C3'!AD33+'7C4'!AD33</f>
        <v>0</v>
      </c>
      <c r="T32" s="122"/>
      <c r="U32" s="123"/>
      <c r="V32" s="123"/>
    </row>
    <row r="33" spans="1:244" x14ac:dyDescent="0.2">
      <c r="A33" s="423"/>
      <c r="B33" s="354" t="s">
        <v>188</v>
      </c>
      <c r="C33" s="355" t="s">
        <v>205</v>
      </c>
      <c r="D33" s="354"/>
      <c r="E33" s="419"/>
      <c r="F33" s="382"/>
      <c r="G33" s="458" t="s">
        <v>346</v>
      </c>
      <c r="H33" s="320"/>
      <c r="I33" s="78">
        <f>'7C1'!I34+'7C2'!J34+'7C3'!J34+'7C4'!J34</f>
        <v>0</v>
      </c>
      <c r="J33" s="78">
        <f>'7C1'!J34+'7C2'!L34+'7C3'!L34+'7C4'!L34</f>
        <v>0</v>
      </c>
      <c r="K33" s="78">
        <f>'7C1'!K34+'7C2'!N34+'7C3'!N34+'7C4'!N34</f>
        <v>0</v>
      </c>
      <c r="L33" s="78">
        <f>'7C1'!L34+'7C2'!P34+'7C3'!P34+'7C4'!P34</f>
        <v>0</v>
      </c>
      <c r="M33" s="78">
        <f>'7C1'!M34+'7C2'!R34+'7C3'!R34+'7C4'!R34</f>
        <v>0</v>
      </c>
      <c r="N33" s="78">
        <f>'7C1'!N34+'7C2'!T34+'7C3'!T34+'7C4'!T34</f>
        <v>0</v>
      </c>
      <c r="O33" s="78">
        <f>'7C1'!O34+'7C2'!V34+'7C3'!V34+'7C4'!V34</f>
        <v>0</v>
      </c>
      <c r="P33" s="78">
        <f>'7C1'!P34+'7C2'!X34+'7C3'!X34+'7C4'!X34</f>
        <v>0</v>
      </c>
      <c r="Q33" s="78">
        <f>'7C1'!Q34+'7C2'!Z34+'7C3'!Z34+'7C4'!Z34</f>
        <v>0</v>
      </c>
      <c r="R33" s="78">
        <f>'7C1'!R34+'7C2'!AB34+'7C3'!AB34+'7C4'!AB34</f>
        <v>0</v>
      </c>
      <c r="S33" s="78">
        <f>'7C1'!S34+'7C2'!AD34+'7C3'!AD34+'7C4'!AD34</f>
        <v>0</v>
      </c>
      <c r="T33" s="122"/>
      <c r="U33" s="123"/>
      <c r="V33" s="123"/>
    </row>
    <row r="34" spans="1:244" x14ac:dyDescent="0.2">
      <c r="A34" s="420"/>
      <c r="B34" s="421" t="s">
        <v>195</v>
      </c>
      <c r="C34" s="421" t="s">
        <v>306</v>
      </c>
      <c r="D34" s="421"/>
      <c r="E34" s="422"/>
      <c r="F34" s="382"/>
      <c r="G34" s="458" t="s">
        <v>347</v>
      </c>
      <c r="H34" s="320"/>
      <c r="I34" s="78">
        <f>'7C1'!I35+'7C2'!J35+'7C3'!J35+'7C4'!J35</f>
        <v>0</v>
      </c>
      <c r="J34" s="78">
        <f>'7C1'!J35+'7C2'!L35+'7C3'!L35+'7C4'!L35</f>
        <v>0</v>
      </c>
      <c r="K34" s="78">
        <f>'7C1'!K35+'7C2'!N35+'7C3'!N35+'7C4'!N35</f>
        <v>0</v>
      </c>
      <c r="L34" s="78">
        <f>'7C1'!L35+'7C2'!P35+'7C3'!P35+'7C4'!P35</f>
        <v>0</v>
      </c>
      <c r="M34" s="78">
        <f>'7C1'!M35+'7C2'!R35+'7C3'!R35+'7C4'!R35</f>
        <v>0</v>
      </c>
      <c r="N34" s="78">
        <f>'7C1'!N35+'7C2'!T35+'7C3'!T35+'7C4'!T35</f>
        <v>0</v>
      </c>
      <c r="O34" s="78">
        <f>'7C1'!O35+'7C2'!V35+'7C3'!V35+'7C4'!V35</f>
        <v>0</v>
      </c>
      <c r="P34" s="78">
        <f>'7C1'!P35+'7C2'!X35+'7C3'!X35+'7C4'!X35</f>
        <v>0</v>
      </c>
      <c r="Q34" s="78">
        <f>'7C1'!Q35+'7C2'!Z35+'7C3'!Z35+'7C4'!Z35</f>
        <v>0</v>
      </c>
      <c r="R34" s="78">
        <f>'7C1'!R35+'7C2'!AB35+'7C3'!AB35+'7C4'!AB35</f>
        <v>0</v>
      </c>
      <c r="S34" s="78">
        <f>'7C1'!S35+'7C2'!AD35+'7C3'!AD35+'7C4'!AD35</f>
        <v>0</v>
      </c>
      <c r="T34" s="122"/>
      <c r="U34" s="123"/>
      <c r="V34" s="123"/>
    </row>
    <row r="35" spans="1:244" x14ac:dyDescent="0.2">
      <c r="A35" s="423"/>
      <c r="B35" s="354" t="s">
        <v>197</v>
      </c>
      <c r="C35" s="354" t="s">
        <v>198</v>
      </c>
      <c r="D35" s="354"/>
      <c r="E35" s="419"/>
      <c r="F35" s="382"/>
      <c r="G35" s="458" t="s">
        <v>348</v>
      </c>
      <c r="H35" s="320"/>
      <c r="I35" s="78">
        <f>'7C1'!I36+'7C2'!J36+'7C3'!J36+'7C4'!J36</f>
        <v>0</v>
      </c>
      <c r="J35" s="78">
        <f>'7C1'!J36+'7C2'!L36+'7C3'!L36+'7C4'!L36</f>
        <v>0</v>
      </c>
      <c r="K35" s="78">
        <f>'7C1'!K36+'7C2'!N36+'7C3'!N36+'7C4'!N36</f>
        <v>0</v>
      </c>
      <c r="L35" s="78">
        <f>'7C1'!L36+'7C2'!P36+'7C3'!P36+'7C4'!P36</f>
        <v>0</v>
      </c>
      <c r="M35" s="78">
        <f>'7C1'!M36+'7C2'!R36+'7C3'!R36+'7C4'!R36</f>
        <v>0</v>
      </c>
      <c r="N35" s="78">
        <f>'7C1'!N36+'7C2'!T36+'7C3'!T36+'7C4'!T36</f>
        <v>0</v>
      </c>
      <c r="O35" s="78">
        <f>'7C1'!O36+'7C2'!V36+'7C3'!V36+'7C4'!V36</f>
        <v>0</v>
      </c>
      <c r="P35" s="78">
        <f>'7C1'!P36+'7C2'!X36+'7C3'!X36+'7C4'!X36</f>
        <v>0</v>
      </c>
      <c r="Q35" s="78">
        <f>'7C1'!Q36+'7C2'!Z36+'7C3'!Z36+'7C4'!Z36</f>
        <v>0</v>
      </c>
      <c r="R35" s="78">
        <f>'7C1'!R36+'7C2'!AB36+'7C3'!AB36+'7C4'!AB36</f>
        <v>0</v>
      </c>
      <c r="S35" s="78">
        <f>'7C1'!S36+'7C2'!AD36+'7C3'!AD36+'7C4'!AD36</f>
        <v>0</v>
      </c>
      <c r="T35" s="122"/>
      <c r="U35" s="123"/>
      <c r="V35" s="123"/>
    </row>
    <row r="36" spans="1:244" x14ac:dyDescent="0.2">
      <c r="A36" s="420"/>
      <c r="B36" s="421"/>
      <c r="C36" s="390" t="s">
        <v>19</v>
      </c>
      <c r="D36" s="385" t="s">
        <v>207</v>
      </c>
      <c r="E36" s="422"/>
      <c r="F36" s="382"/>
      <c r="G36" s="458" t="s">
        <v>349</v>
      </c>
      <c r="H36" s="320"/>
      <c r="I36" s="78">
        <f>'7C1'!I37+'7C2'!J37+'7C3'!J37+'7C4'!J37</f>
        <v>0</v>
      </c>
      <c r="J36" s="78">
        <f>'7C1'!J37+'7C2'!L37+'7C3'!L37+'7C4'!L37</f>
        <v>0</v>
      </c>
      <c r="K36" s="78">
        <f>'7C1'!K37+'7C2'!N37+'7C3'!N37+'7C4'!N37</f>
        <v>0</v>
      </c>
      <c r="L36" s="78">
        <f>'7C1'!L37+'7C2'!P37+'7C3'!P37+'7C4'!P37</f>
        <v>0</v>
      </c>
      <c r="M36" s="78">
        <f>'7C1'!M37+'7C2'!R37+'7C3'!R37+'7C4'!R37</f>
        <v>0</v>
      </c>
      <c r="N36" s="78">
        <f>'7C1'!N37+'7C2'!T37+'7C3'!T37+'7C4'!T37</f>
        <v>0</v>
      </c>
      <c r="O36" s="78">
        <f>'7C1'!O37+'7C2'!V37+'7C3'!V37+'7C4'!V37</f>
        <v>0</v>
      </c>
      <c r="P36" s="78">
        <f>'7C1'!P37+'7C2'!X37+'7C3'!X37+'7C4'!X37</f>
        <v>0</v>
      </c>
      <c r="Q36" s="78">
        <f>'7C1'!Q37+'7C2'!Z37+'7C3'!Z37+'7C4'!Z37</f>
        <v>0</v>
      </c>
      <c r="R36" s="78">
        <f>'7C1'!R37+'7C2'!AB37+'7C3'!AB37+'7C4'!AB37</f>
        <v>0</v>
      </c>
      <c r="S36" s="78">
        <f>'7C1'!S37+'7C2'!AD37+'7C3'!AD37+'7C4'!AD37</f>
        <v>0</v>
      </c>
      <c r="T36" s="122"/>
      <c r="U36" s="123"/>
      <c r="V36" s="123"/>
    </row>
    <row r="37" spans="1:244" x14ac:dyDescent="0.2">
      <c r="A37" s="423"/>
      <c r="B37" s="354"/>
      <c r="C37" s="387" t="s">
        <v>21</v>
      </c>
      <c r="D37" s="395" t="s">
        <v>200</v>
      </c>
      <c r="E37" s="419"/>
      <c r="F37" s="382"/>
      <c r="G37" s="458" t="s">
        <v>350</v>
      </c>
      <c r="H37" s="320"/>
      <c r="I37" s="78">
        <f>'7C1'!I38+'7C2'!J38+'7C3'!J38+'7C4'!J38</f>
        <v>0</v>
      </c>
      <c r="J37" s="78">
        <f>'7C1'!J38+'7C2'!L38+'7C3'!L38+'7C4'!L38</f>
        <v>0</v>
      </c>
      <c r="K37" s="78">
        <f>'7C1'!K38+'7C2'!N38+'7C3'!N38+'7C4'!N38</f>
        <v>0</v>
      </c>
      <c r="L37" s="78">
        <f>'7C1'!L38+'7C2'!P38+'7C3'!P38+'7C4'!P38</f>
        <v>0</v>
      </c>
      <c r="M37" s="78">
        <f>'7C1'!M38+'7C2'!R38+'7C3'!R38+'7C4'!R38</f>
        <v>0</v>
      </c>
      <c r="N37" s="78">
        <f>'7C1'!N38+'7C2'!T38+'7C3'!T38+'7C4'!T38</f>
        <v>0</v>
      </c>
      <c r="O37" s="78">
        <f>'7C1'!O38+'7C2'!V38+'7C3'!V38+'7C4'!V38</f>
        <v>0</v>
      </c>
      <c r="P37" s="78">
        <f>'7C1'!P38+'7C2'!X38+'7C3'!X38+'7C4'!X38</f>
        <v>0</v>
      </c>
      <c r="Q37" s="78">
        <f>'7C1'!Q38+'7C2'!Z38+'7C3'!Z38+'7C4'!Z38</f>
        <v>0</v>
      </c>
      <c r="R37" s="78">
        <f>'7C1'!R38+'7C2'!AB38+'7C3'!AB38+'7C4'!AB38</f>
        <v>0</v>
      </c>
      <c r="S37" s="78">
        <f>'7C1'!S38+'7C2'!AD38+'7C3'!AD38+'7C4'!AD38</f>
        <v>0</v>
      </c>
      <c r="T37" s="122"/>
      <c r="U37" s="123"/>
      <c r="V37" s="123"/>
    </row>
    <row r="38" spans="1:244" s="16" customFormat="1" x14ac:dyDescent="0.2">
      <c r="A38" s="420"/>
      <c r="B38" s="421" t="s">
        <v>201</v>
      </c>
      <c r="C38" s="421" t="s">
        <v>208</v>
      </c>
      <c r="D38" s="421"/>
      <c r="E38" s="422"/>
      <c r="F38" s="382"/>
      <c r="G38" s="458" t="s">
        <v>351</v>
      </c>
      <c r="H38" s="320"/>
      <c r="I38" s="78">
        <f>'7C1'!I39+'7C2'!J39+'7C3'!J39+'7C4'!J39</f>
        <v>0</v>
      </c>
      <c r="J38" s="78">
        <f>'7C1'!J39+'7C2'!L39+'7C3'!L39+'7C4'!L39</f>
        <v>0</v>
      </c>
      <c r="K38" s="78">
        <f>'7C1'!K39+'7C2'!N39+'7C3'!N39+'7C4'!N39</f>
        <v>0</v>
      </c>
      <c r="L38" s="78">
        <f>'7C1'!L39+'7C2'!P39+'7C3'!P39+'7C4'!P39</f>
        <v>0</v>
      </c>
      <c r="M38" s="78">
        <f>'7C1'!M39+'7C2'!R39+'7C3'!R39+'7C4'!R39</f>
        <v>0</v>
      </c>
      <c r="N38" s="78">
        <f>'7C1'!N39+'7C2'!T39+'7C3'!T39+'7C4'!T39</f>
        <v>0</v>
      </c>
      <c r="O38" s="78">
        <f>'7C1'!O39+'7C2'!V39+'7C3'!V39+'7C4'!V39</f>
        <v>0</v>
      </c>
      <c r="P38" s="78">
        <f>'7C1'!P39+'7C2'!X39+'7C3'!X39+'7C4'!X39</f>
        <v>0</v>
      </c>
      <c r="Q38" s="78">
        <f>'7C1'!Q39+'7C2'!Z39+'7C3'!Z39+'7C4'!Z39</f>
        <v>0</v>
      </c>
      <c r="R38" s="78">
        <f>'7C1'!R39+'7C2'!AB39+'7C3'!AB39+'7C4'!AB39</f>
        <v>0</v>
      </c>
      <c r="S38" s="78">
        <f>'7C1'!S39+'7C2'!AD39+'7C3'!AD39+'7C4'!AD39</f>
        <v>0</v>
      </c>
      <c r="T38" s="34"/>
      <c r="U38" s="132"/>
      <c r="V38" s="132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  <c r="CD38" s="21"/>
      <c r="CE38" s="21"/>
      <c r="CF38" s="21"/>
      <c r="CG38" s="21"/>
      <c r="CH38" s="21"/>
      <c r="CI38" s="21"/>
      <c r="CJ38" s="21"/>
      <c r="CK38" s="21"/>
      <c r="CL38" s="21"/>
      <c r="CM38" s="21"/>
      <c r="CN38" s="21"/>
      <c r="CO38" s="21"/>
      <c r="CP38" s="21"/>
      <c r="CQ38" s="21"/>
      <c r="CR38" s="21"/>
      <c r="CS38" s="21"/>
      <c r="CT38" s="21"/>
      <c r="CU38" s="21"/>
      <c r="CV38" s="21"/>
      <c r="CW38" s="21"/>
      <c r="CX38" s="21"/>
      <c r="CY38" s="21"/>
      <c r="CZ38" s="21"/>
      <c r="DA38" s="21"/>
      <c r="DB38" s="21"/>
      <c r="DC38" s="21"/>
      <c r="DD38" s="21"/>
      <c r="DE38" s="21"/>
      <c r="DF38" s="21"/>
      <c r="DG38" s="21"/>
      <c r="DH38" s="21"/>
      <c r="DI38" s="21"/>
      <c r="DJ38" s="21"/>
      <c r="DK38" s="21"/>
      <c r="DL38" s="21"/>
      <c r="DM38" s="21"/>
      <c r="DN38" s="21"/>
      <c r="DO38" s="21"/>
      <c r="DP38" s="21"/>
      <c r="DQ38" s="21"/>
      <c r="DR38" s="21"/>
      <c r="DS38" s="21"/>
      <c r="DT38" s="21"/>
      <c r="DU38" s="21"/>
      <c r="DV38" s="21"/>
      <c r="DW38" s="21"/>
      <c r="DX38" s="21"/>
      <c r="DY38" s="21"/>
      <c r="DZ38" s="21"/>
      <c r="EA38" s="21"/>
      <c r="EB38" s="21"/>
      <c r="EC38" s="21"/>
      <c r="ED38" s="21"/>
      <c r="EE38" s="21"/>
      <c r="EF38" s="21"/>
      <c r="EG38" s="21"/>
      <c r="EH38" s="21"/>
      <c r="EI38" s="21"/>
      <c r="EJ38" s="21"/>
      <c r="EK38" s="21"/>
      <c r="EL38" s="21"/>
      <c r="EM38" s="21"/>
      <c r="EN38" s="21"/>
      <c r="EO38" s="21"/>
      <c r="EP38" s="21"/>
      <c r="EQ38" s="21"/>
      <c r="ER38" s="21"/>
      <c r="ES38" s="21"/>
      <c r="ET38" s="21"/>
      <c r="EU38" s="21"/>
      <c r="EV38" s="21"/>
      <c r="EW38" s="21"/>
      <c r="EX38" s="21"/>
      <c r="EY38" s="21"/>
      <c r="EZ38" s="21"/>
      <c r="FA38" s="21"/>
      <c r="FB38" s="21"/>
      <c r="FC38" s="21"/>
      <c r="FD38" s="21"/>
      <c r="FE38" s="21"/>
      <c r="FF38" s="21"/>
      <c r="FG38" s="21"/>
      <c r="FH38" s="21"/>
      <c r="FI38" s="21"/>
      <c r="FJ38" s="21"/>
      <c r="FK38" s="21"/>
      <c r="FL38" s="21"/>
      <c r="FM38" s="21"/>
      <c r="FN38" s="21"/>
      <c r="FO38" s="21"/>
      <c r="FP38" s="21"/>
      <c r="FQ38" s="21"/>
      <c r="FR38" s="21"/>
      <c r="FS38" s="21"/>
      <c r="FT38" s="21"/>
      <c r="FU38" s="21"/>
      <c r="FV38" s="21"/>
      <c r="FW38" s="21"/>
      <c r="FX38" s="21"/>
      <c r="FY38" s="21"/>
      <c r="FZ38" s="21"/>
      <c r="GA38" s="21"/>
      <c r="GB38" s="21"/>
      <c r="GC38" s="21"/>
      <c r="GD38" s="21"/>
      <c r="GE38" s="21"/>
      <c r="GF38" s="21"/>
      <c r="GG38" s="21"/>
      <c r="GH38" s="21"/>
      <c r="GI38" s="21"/>
      <c r="GJ38" s="21"/>
      <c r="GK38" s="21"/>
      <c r="GL38" s="21"/>
      <c r="GM38" s="21"/>
      <c r="GN38" s="21"/>
      <c r="GO38" s="21"/>
      <c r="GP38" s="21"/>
      <c r="GQ38" s="21"/>
      <c r="GR38" s="21"/>
      <c r="GS38" s="21"/>
      <c r="GT38" s="21"/>
      <c r="GU38" s="21"/>
      <c r="GV38" s="21"/>
      <c r="GW38" s="21"/>
      <c r="GX38" s="21"/>
      <c r="GY38" s="21"/>
      <c r="GZ38" s="21"/>
      <c r="HA38" s="21"/>
      <c r="HB38" s="21"/>
      <c r="HC38" s="21"/>
      <c r="HD38" s="21"/>
      <c r="HE38" s="21"/>
      <c r="HF38" s="21"/>
      <c r="HG38" s="21"/>
      <c r="HH38" s="21"/>
      <c r="HI38" s="21"/>
      <c r="HJ38" s="21"/>
      <c r="HK38" s="21"/>
      <c r="HL38" s="21"/>
      <c r="HM38" s="21"/>
      <c r="HN38" s="21"/>
      <c r="HO38" s="21"/>
      <c r="HP38" s="21"/>
      <c r="HQ38" s="21"/>
      <c r="HR38" s="21"/>
      <c r="HS38" s="21"/>
      <c r="HT38" s="21"/>
      <c r="HU38" s="21"/>
      <c r="HV38" s="21"/>
      <c r="HW38" s="21"/>
      <c r="HX38" s="21"/>
      <c r="HY38" s="21"/>
      <c r="HZ38" s="21"/>
      <c r="IA38" s="21"/>
      <c r="IB38" s="21"/>
      <c r="IC38" s="21"/>
      <c r="ID38" s="21"/>
      <c r="IE38" s="21"/>
      <c r="IF38" s="21"/>
      <c r="IG38" s="21"/>
      <c r="IH38" s="21"/>
      <c r="II38" s="21"/>
      <c r="IJ38" s="21"/>
    </row>
    <row r="39" spans="1:244" s="21" customFormat="1" x14ac:dyDescent="0.2">
      <c r="A39" s="428" t="s">
        <v>48</v>
      </c>
      <c r="B39" s="418" t="s">
        <v>209</v>
      </c>
      <c r="C39" s="429"/>
      <c r="D39" s="355"/>
      <c r="E39" s="419"/>
      <c r="F39" s="382"/>
      <c r="G39" s="458" t="s">
        <v>352</v>
      </c>
      <c r="H39" s="320"/>
      <c r="I39" s="78">
        <f>'7C1'!I40+'7C2'!J40+'7C3'!J40+'7C4'!J40</f>
        <v>0</v>
      </c>
      <c r="J39" s="78">
        <f>'7C1'!J40+'7C2'!L40+'7C3'!L40+'7C4'!L40</f>
        <v>0</v>
      </c>
      <c r="K39" s="78">
        <f>'7C1'!K40+'7C2'!N40+'7C3'!N40+'7C4'!N40</f>
        <v>0</v>
      </c>
      <c r="L39" s="78">
        <f>'7C1'!L40+'7C2'!P40+'7C3'!P40+'7C4'!P40</f>
        <v>0</v>
      </c>
      <c r="M39" s="78">
        <f>'7C1'!M40+'7C2'!R40+'7C3'!R40+'7C4'!R40</f>
        <v>0</v>
      </c>
      <c r="N39" s="78">
        <f>'7C1'!N40+'7C2'!T40+'7C3'!T40+'7C4'!T40</f>
        <v>0</v>
      </c>
      <c r="O39" s="78">
        <f>'7C1'!O40+'7C2'!V40+'7C3'!V40+'7C4'!V40</f>
        <v>0</v>
      </c>
      <c r="P39" s="78">
        <f>'7C1'!P40+'7C2'!X40+'7C3'!X40+'7C4'!X40</f>
        <v>0</v>
      </c>
      <c r="Q39" s="78">
        <f>'7C1'!Q40+'7C2'!Z40+'7C3'!Z40+'7C4'!Z40</f>
        <v>0</v>
      </c>
      <c r="R39" s="78">
        <f>'7C1'!R40+'7C2'!AB40+'7C3'!AB40+'7C4'!AB40</f>
        <v>0</v>
      </c>
      <c r="S39" s="78">
        <f>'7C1'!S40+'7C2'!AD40+'7C3'!AD40+'7C4'!AD40</f>
        <v>0</v>
      </c>
      <c r="T39" s="34"/>
      <c r="U39" s="132"/>
      <c r="V39" s="132"/>
    </row>
    <row r="40" spans="1:244" s="16" customFormat="1" x14ac:dyDescent="0.2">
      <c r="A40" s="430" t="s">
        <v>355</v>
      </c>
      <c r="B40" s="431"/>
      <c r="C40" s="431"/>
      <c r="D40" s="431"/>
      <c r="E40" s="432"/>
      <c r="F40" s="433"/>
      <c r="G40" s="458" t="s">
        <v>353</v>
      </c>
      <c r="H40" s="320"/>
      <c r="I40" s="78">
        <f>'7C1'!I41+'7C2'!J41+'7C3'!J41+'7C4'!J41</f>
        <v>0</v>
      </c>
      <c r="J40" s="78">
        <f>'7C1'!J41+'7C2'!L41+'7C3'!L41+'7C4'!L41</f>
        <v>0</v>
      </c>
      <c r="K40" s="78">
        <f>'7C1'!K41+'7C2'!N41+'7C3'!N41+'7C4'!N41</f>
        <v>0</v>
      </c>
      <c r="L40" s="78">
        <f>'7C1'!L41+'7C2'!P41+'7C3'!P41+'7C4'!P41</f>
        <v>0</v>
      </c>
      <c r="M40" s="78">
        <f>'7C1'!M41+'7C2'!R41+'7C3'!R41+'7C4'!R41</f>
        <v>0</v>
      </c>
      <c r="N40" s="78">
        <f>'7C1'!N41+'7C2'!T41+'7C3'!T41+'7C4'!T41</f>
        <v>0</v>
      </c>
      <c r="O40" s="78">
        <f>'7C1'!O41+'7C2'!V41+'7C3'!V41+'7C4'!V41</f>
        <v>0</v>
      </c>
      <c r="P40" s="78">
        <f>'7C1'!P41+'7C2'!X41+'7C3'!X41+'7C4'!X41</f>
        <v>0</v>
      </c>
      <c r="Q40" s="78">
        <f>'7C1'!Q41+'7C2'!Z41+'7C3'!Z41+'7C4'!Z41</f>
        <v>0</v>
      </c>
      <c r="R40" s="78">
        <f>'7C1'!R41+'7C2'!AB41+'7C3'!AB41+'7C4'!AB41</f>
        <v>0</v>
      </c>
      <c r="S40" s="78">
        <f>'7C1'!S41+'7C2'!AD41+'7C3'!AD41+'7C4'!AD41</f>
        <v>0</v>
      </c>
      <c r="T40" s="141"/>
      <c r="U40" s="142"/>
      <c r="V40" s="142"/>
    </row>
    <row r="41" spans="1:244" s="21" customFormat="1" x14ac:dyDescent="0.2">
      <c r="A41" s="113"/>
      <c r="B41" s="14"/>
      <c r="C41" s="131"/>
      <c r="D41" s="39"/>
      <c r="E41" s="136"/>
      <c r="F41" s="137"/>
      <c r="G41" s="52" t="s">
        <v>184</v>
      </c>
      <c r="H41" s="23"/>
      <c r="I41" s="32"/>
      <c r="J41" s="30"/>
      <c r="K41" s="30"/>
      <c r="L41" s="31"/>
      <c r="M41" s="30"/>
      <c r="N41" s="30"/>
      <c r="O41" s="30"/>
      <c r="P41" s="30"/>
      <c r="Q41" s="31"/>
      <c r="R41" s="30"/>
      <c r="S41" s="31"/>
      <c r="T41" s="34"/>
      <c r="U41" s="132"/>
      <c r="V41" s="132"/>
    </row>
    <row r="42" spans="1:244" s="21" customFormat="1" x14ac:dyDescent="0.2">
      <c r="A42" s="24"/>
      <c r="B42" s="39"/>
      <c r="C42" s="607"/>
      <c r="D42" s="607"/>
      <c r="E42" s="214"/>
      <c r="F42" s="214"/>
      <c r="G42" s="20"/>
      <c r="H42" s="20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4"/>
      <c r="U42" s="132"/>
      <c r="V42" s="132"/>
    </row>
    <row r="43" spans="1:244" s="21" customFormat="1" x14ac:dyDescent="0.2">
      <c r="A43" s="24"/>
      <c r="B43" s="39"/>
      <c r="C43" s="135"/>
      <c r="D43" s="215"/>
      <c r="E43" s="215"/>
      <c r="F43" s="215"/>
      <c r="G43" s="20"/>
      <c r="H43" s="20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4"/>
      <c r="U43" s="132"/>
      <c r="V43" s="132"/>
    </row>
    <row r="44" spans="1:244" s="21" customFormat="1" x14ac:dyDescent="0.2">
      <c r="A44" s="24"/>
      <c r="B44" s="39"/>
      <c r="C44" s="135"/>
      <c r="D44" s="215"/>
      <c r="E44" s="215"/>
      <c r="F44" s="215"/>
      <c r="G44" s="20"/>
      <c r="H44" s="20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4"/>
      <c r="U44" s="132"/>
      <c r="V44" s="132"/>
    </row>
    <row r="45" spans="1:244" s="21" customFormat="1" x14ac:dyDescent="0.2">
      <c r="A45" s="24"/>
      <c r="B45" s="39"/>
      <c r="C45" s="131"/>
      <c r="D45" s="39"/>
      <c r="E45" s="39"/>
      <c r="F45" s="39"/>
      <c r="G45" s="20"/>
      <c r="H45" s="20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4"/>
      <c r="U45" s="132"/>
      <c r="V45" s="132"/>
    </row>
    <row r="46" spans="1:244" s="21" customFormat="1" x14ac:dyDescent="0.2">
      <c r="A46" s="24"/>
      <c r="B46" s="39"/>
      <c r="C46" s="150"/>
      <c r="D46" s="39"/>
      <c r="E46" s="39"/>
      <c r="F46" s="39"/>
      <c r="G46" s="20"/>
      <c r="H46" s="20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4"/>
      <c r="U46" s="132"/>
      <c r="V46" s="132"/>
    </row>
    <row r="47" spans="1:244" s="21" customFormat="1" x14ac:dyDescent="0.2">
      <c r="A47" s="24"/>
      <c r="B47" s="39"/>
      <c r="C47" s="140"/>
      <c r="D47" s="39"/>
      <c r="E47" s="39"/>
      <c r="F47" s="39"/>
      <c r="G47" s="20"/>
      <c r="H47" s="20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4"/>
      <c r="U47" s="132"/>
      <c r="V47" s="132"/>
    </row>
    <row r="48" spans="1:244" s="21" customFormat="1" x14ac:dyDescent="0.2">
      <c r="A48" s="24"/>
      <c r="B48" s="39"/>
      <c r="C48" s="131"/>
      <c r="D48" s="39"/>
      <c r="E48" s="39"/>
      <c r="F48" s="39"/>
      <c r="G48" s="20"/>
      <c r="H48" s="20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4"/>
      <c r="U48" s="132"/>
      <c r="V48" s="132"/>
    </row>
    <row r="49" spans="1:22" s="21" customFormat="1" x14ac:dyDescent="0.2">
      <c r="A49" s="24"/>
      <c r="B49" s="39"/>
      <c r="C49" s="135"/>
      <c r="D49" s="215"/>
      <c r="E49" s="215"/>
      <c r="F49" s="214"/>
      <c r="G49" s="20"/>
      <c r="H49" s="20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4"/>
      <c r="U49" s="132"/>
      <c r="V49" s="132"/>
    </row>
    <row r="50" spans="1:22" s="21" customFormat="1" x14ac:dyDescent="0.2">
      <c r="A50" s="24"/>
      <c r="B50" s="39"/>
      <c r="C50" s="135"/>
      <c r="D50" s="215"/>
      <c r="E50" s="215"/>
      <c r="F50" s="215"/>
      <c r="G50" s="20"/>
      <c r="H50" s="20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4"/>
      <c r="U50" s="132"/>
      <c r="V50" s="132"/>
    </row>
    <row r="51" spans="1:22" s="21" customFormat="1" x14ac:dyDescent="0.2">
      <c r="A51" s="24"/>
      <c r="B51" s="14"/>
      <c r="C51" s="131"/>
      <c r="D51" s="39"/>
      <c r="E51" s="39"/>
      <c r="F51" s="39"/>
      <c r="G51" s="40"/>
      <c r="H51" s="40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4"/>
      <c r="U51" s="132"/>
      <c r="V51" s="132"/>
    </row>
    <row r="52" spans="1:22" s="21" customFormat="1" x14ac:dyDescent="0.2">
      <c r="A52" s="24"/>
      <c r="B52" s="39"/>
      <c r="C52" s="606"/>
      <c r="D52" s="606"/>
      <c r="E52" s="39"/>
      <c r="F52" s="39"/>
      <c r="G52" s="40"/>
      <c r="H52" s="40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4"/>
      <c r="U52" s="132"/>
      <c r="V52" s="132"/>
    </row>
    <row r="53" spans="1:22" s="21" customFormat="1" x14ac:dyDescent="0.2">
      <c r="A53" s="24"/>
      <c r="B53" s="39"/>
      <c r="C53" s="131"/>
      <c r="D53" s="131"/>
      <c r="E53" s="39"/>
      <c r="F53" s="39"/>
      <c r="G53" s="40"/>
      <c r="H53" s="40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4"/>
      <c r="U53" s="132"/>
      <c r="V53" s="132"/>
    </row>
    <row r="54" spans="1:22" s="21" customFormat="1" x14ac:dyDescent="0.2">
      <c r="A54" s="24"/>
      <c r="B54" s="39"/>
      <c r="C54" s="39"/>
      <c r="D54" s="39"/>
      <c r="E54" s="39"/>
      <c r="F54" s="39"/>
      <c r="G54" s="20"/>
      <c r="H54" s="20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4"/>
      <c r="U54" s="132"/>
      <c r="V54" s="132"/>
    </row>
    <row r="55" spans="1:22" s="21" customFormat="1" x14ac:dyDescent="0.2">
      <c r="A55" s="166"/>
      <c r="B55" s="14"/>
      <c r="C55" s="131"/>
      <c r="D55" s="39"/>
      <c r="E55" s="39"/>
      <c r="F55" s="39"/>
      <c r="G55" s="20"/>
      <c r="H55" s="20"/>
      <c r="I55" s="32"/>
      <c r="J55" s="32"/>
      <c r="K55" s="32"/>
      <c r="L55" s="32"/>
      <c r="M55" s="32"/>
      <c r="N55" s="34"/>
      <c r="O55" s="32"/>
      <c r="P55" s="32"/>
      <c r="Q55" s="32"/>
      <c r="R55" s="32"/>
      <c r="S55" s="32"/>
      <c r="T55" s="34"/>
      <c r="U55" s="132"/>
      <c r="V55" s="132"/>
    </row>
    <row r="56" spans="1:22" s="21" customFormat="1" x14ac:dyDescent="0.2">
      <c r="A56" s="166"/>
      <c r="B56" s="39"/>
      <c r="C56" s="39"/>
      <c r="D56" s="39"/>
      <c r="E56" s="39"/>
      <c r="F56" s="39"/>
      <c r="G56" s="20"/>
      <c r="H56" s="20"/>
      <c r="I56" s="32"/>
      <c r="J56" s="32"/>
      <c r="K56" s="32"/>
      <c r="L56" s="32"/>
      <c r="M56" s="32"/>
      <c r="N56" s="34"/>
      <c r="O56" s="32"/>
      <c r="P56" s="32"/>
      <c r="Q56" s="32"/>
      <c r="R56" s="32"/>
      <c r="S56" s="32"/>
      <c r="T56" s="34"/>
      <c r="U56" s="132"/>
      <c r="V56" s="132"/>
    </row>
    <row r="57" spans="1:22" s="21" customFormat="1" x14ac:dyDescent="0.2">
      <c r="A57" s="166"/>
      <c r="B57" s="14"/>
      <c r="C57" s="39"/>
      <c r="D57" s="39"/>
      <c r="E57" s="39"/>
      <c r="F57" s="39"/>
      <c r="G57" s="20"/>
      <c r="H57" s="20"/>
      <c r="I57" s="32"/>
      <c r="J57" s="32"/>
      <c r="K57" s="32"/>
      <c r="L57" s="32"/>
      <c r="M57" s="32"/>
      <c r="N57" s="34"/>
      <c r="O57" s="32"/>
      <c r="P57" s="32"/>
      <c r="Q57" s="32"/>
      <c r="R57" s="32"/>
      <c r="S57" s="32"/>
      <c r="T57" s="34"/>
      <c r="U57" s="132"/>
      <c r="V57" s="132"/>
    </row>
    <row r="58" spans="1:22" s="21" customFormat="1" x14ac:dyDescent="0.2">
      <c r="A58" s="24"/>
      <c r="B58" s="39"/>
      <c r="C58" s="39"/>
      <c r="D58" s="39"/>
      <c r="E58" s="39"/>
      <c r="F58" s="39"/>
      <c r="G58" s="20"/>
      <c r="H58" s="20"/>
      <c r="I58" s="32"/>
      <c r="J58" s="32"/>
      <c r="K58" s="32"/>
      <c r="L58" s="32"/>
      <c r="M58" s="32"/>
      <c r="N58" s="34"/>
      <c r="O58" s="32"/>
      <c r="P58" s="32"/>
      <c r="Q58" s="32"/>
      <c r="R58" s="32"/>
      <c r="S58" s="32"/>
      <c r="T58" s="34"/>
      <c r="U58" s="132"/>
      <c r="V58" s="132"/>
    </row>
    <row r="59" spans="1:22" s="21" customFormat="1" x14ac:dyDescent="0.2">
      <c r="A59" s="166"/>
      <c r="B59" s="39"/>
      <c r="C59" s="39"/>
      <c r="D59" s="39"/>
      <c r="E59" s="39"/>
      <c r="F59" s="39"/>
      <c r="G59" s="20"/>
      <c r="H59" s="20"/>
      <c r="I59" s="32"/>
      <c r="J59" s="32"/>
      <c r="K59" s="32"/>
      <c r="L59" s="32"/>
      <c r="M59" s="32"/>
      <c r="N59" s="34"/>
      <c r="O59" s="32"/>
      <c r="P59" s="32"/>
      <c r="Q59" s="32"/>
      <c r="R59" s="32"/>
      <c r="S59" s="32"/>
      <c r="T59" s="34"/>
      <c r="U59" s="132"/>
      <c r="V59" s="132"/>
    </row>
    <row r="60" spans="1:22" s="21" customFormat="1" x14ac:dyDescent="0.2">
      <c r="A60" s="166"/>
      <c r="B60" s="39"/>
      <c r="C60" s="39"/>
      <c r="D60" s="39"/>
      <c r="E60" s="39"/>
      <c r="F60" s="39"/>
      <c r="G60" s="20"/>
      <c r="H60" s="20"/>
      <c r="I60" s="32"/>
      <c r="J60" s="32"/>
      <c r="K60" s="32"/>
      <c r="L60" s="32"/>
      <c r="M60" s="32"/>
      <c r="N60" s="34"/>
      <c r="O60" s="32"/>
      <c r="P60" s="32"/>
      <c r="Q60" s="32"/>
      <c r="R60" s="32"/>
      <c r="S60" s="32"/>
      <c r="T60" s="34"/>
      <c r="U60" s="132"/>
      <c r="V60" s="132"/>
    </row>
    <row r="61" spans="1:22" s="21" customFormat="1" x14ac:dyDescent="0.2">
      <c r="A61" s="166"/>
      <c r="B61" s="39"/>
      <c r="C61" s="39"/>
      <c r="D61" s="39"/>
      <c r="E61" s="39"/>
      <c r="F61" s="39"/>
      <c r="G61" s="20"/>
      <c r="H61" s="20"/>
      <c r="I61" s="32"/>
      <c r="J61" s="32"/>
      <c r="K61" s="32"/>
      <c r="L61" s="32"/>
      <c r="M61" s="32"/>
      <c r="N61" s="34"/>
      <c r="O61" s="32"/>
      <c r="P61" s="32"/>
      <c r="Q61" s="32"/>
      <c r="R61" s="32"/>
      <c r="S61" s="32"/>
      <c r="T61" s="34"/>
      <c r="U61" s="132"/>
      <c r="V61" s="132"/>
    </row>
    <row r="62" spans="1:22" s="21" customFormat="1" x14ac:dyDescent="0.2">
      <c r="A62" s="166"/>
      <c r="B62" s="39"/>
      <c r="C62" s="39"/>
      <c r="D62" s="39"/>
      <c r="E62" s="39"/>
      <c r="F62" s="39"/>
      <c r="G62" s="20"/>
      <c r="H62" s="20"/>
      <c r="I62" s="32"/>
      <c r="J62" s="32"/>
      <c r="K62" s="32"/>
      <c r="L62" s="32"/>
      <c r="M62" s="32"/>
      <c r="N62" s="34"/>
      <c r="O62" s="32"/>
      <c r="P62" s="32"/>
      <c r="Q62" s="32"/>
      <c r="R62" s="32"/>
      <c r="S62" s="32"/>
      <c r="T62" s="34"/>
      <c r="U62" s="132"/>
      <c r="V62" s="132"/>
    </row>
    <row r="63" spans="1:22" s="21" customFormat="1" x14ac:dyDescent="0.2">
      <c r="A63" s="151"/>
      <c r="B63" s="212"/>
      <c r="C63" s="212"/>
      <c r="D63" s="212"/>
      <c r="E63" s="212"/>
      <c r="F63" s="212"/>
      <c r="G63" s="20"/>
      <c r="H63" s="20"/>
      <c r="I63" s="32"/>
      <c r="J63" s="32"/>
      <c r="K63" s="32"/>
      <c r="L63" s="32"/>
      <c r="M63" s="32"/>
      <c r="N63" s="34"/>
      <c r="O63" s="32"/>
      <c r="P63" s="32"/>
      <c r="Q63" s="32"/>
      <c r="R63" s="32"/>
      <c r="S63" s="32"/>
      <c r="T63" s="34"/>
      <c r="U63" s="132"/>
      <c r="V63" s="132"/>
    </row>
    <row r="64" spans="1:22" s="21" customFormat="1" x14ac:dyDescent="0.2">
      <c r="A64" s="151"/>
      <c r="B64" s="212"/>
      <c r="C64" s="212"/>
      <c r="D64" s="212"/>
      <c r="E64" s="212"/>
      <c r="F64" s="212"/>
      <c r="G64" s="20"/>
      <c r="H64" s="20"/>
      <c r="I64" s="32"/>
      <c r="J64" s="32"/>
      <c r="K64" s="32"/>
      <c r="L64" s="32"/>
      <c r="M64" s="32"/>
      <c r="N64" s="34"/>
      <c r="O64" s="32"/>
      <c r="P64" s="32"/>
      <c r="Q64" s="32"/>
      <c r="R64" s="32"/>
      <c r="S64" s="32"/>
      <c r="T64" s="34"/>
      <c r="U64" s="132"/>
      <c r="V64" s="132"/>
    </row>
    <row r="65" spans="1:22" s="21" customFormat="1" x14ac:dyDescent="0.2">
      <c r="A65" s="151"/>
      <c r="B65" s="212"/>
      <c r="C65" s="212"/>
      <c r="D65" s="144"/>
      <c r="E65" s="144"/>
      <c r="F65" s="144"/>
      <c r="G65" s="20"/>
      <c r="H65" s="20"/>
      <c r="I65" s="32"/>
      <c r="J65" s="32"/>
      <c r="K65" s="32"/>
      <c r="L65" s="32"/>
      <c r="M65" s="32"/>
      <c r="N65" s="34"/>
      <c r="O65" s="32"/>
      <c r="P65" s="32"/>
      <c r="Q65" s="32"/>
      <c r="R65" s="32"/>
      <c r="S65" s="32"/>
      <c r="T65" s="34"/>
      <c r="U65" s="132"/>
      <c r="V65" s="132"/>
    </row>
    <row r="66" spans="1:22" s="21" customFormat="1" x14ac:dyDescent="0.2">
      <c r="A66" s="151"/>
      <c r="B66" s="39"/>
      <c r="C66" s="39"/>
      <c r="D66" s="39"/>
      <c r="E66" s="39"/>
      <c r="F66" s="39"/>
      <c r="G66" s="20"/>
      <c r="H66" s="20"/>
      <c r="I66" s="32"/>
      <c r="J66" s="32"/>
      <c r="K66" s="32"/>
      <c r="L66" s="32"/>
      <c r="M66" s="32"/>
      <c r="N66" s="34"/>
      <c r="O66" s="32"/>
      <c r="P66" s="32"/>
      <c r="Q66" s="32"/>
      <c r="R66" s="32"/>
      <c r="S66" s="32"/>
      <c r="T66" s="34"/>
      <c r="U66" s="132"/>
      <c r="V66" s="132"/>
    </row>
    <row r="67" spans="1:22" s="21" customFormat="1" x14ac:dyDescent="0.2">
      <c r="A67" s="166"/>
      <c r="B67" s="39"/>
      <c r="C67" s="39"/>
      <c r="D67" s="39"/>
      <c r="E67" s="39"/>
      <c r="F67" s="39"/>
      <c r="G67" s="20"/>
      <c r="H67" s="20"/>
      <c r="I67" s="32"/>
      <c r="J67" s="32"/>
      <c r="K67" s="32"/>
      <c r="L67" s="32"/>
      <c r="M67" s="32"/>
      <c r="N67" s="34"/>
      <c r="O67" s="32"/>
      <c r="P67" s="32"/>
      <c r="Q67" s="32"/>
      <c r="R67" s="32"/>
      <c r="S67" s="32"/>
      <c r="T67" s="34"/>
      <c r="U67" s="132"/>
      <c r="V67" s="132"/>
    </row>
    <row r="68" spans="1:22" s="21" customFormat="1" x14ac:dyDescent="0.2">
      <c r="A68" s="166"/>
      <c r="B68" s="39"/>
      <c r="C68" s="39"/>
      <c r="D68" s="39"/>
      <c r="E68" s="39"/>
      <c r="F68" s="39"/>
      <c r="G68" s="20"/>
      <c r="H68" s="20"/>
      <c r="I68" s="32"/>
      <c r="J68" s="32"/>
      <c r="K68" s="32"/>
      <c r="L68" s="32"/>
      <c r="M68" s="32"/>
      <c r="N68" s="34"/>
      <c r="O68" s="32"/>
      <c r="P68" s="32"/>
      <c r="Q68" s="32"/>
      <c r="R68" s="32"/>
      <c r="S68" s="32"/>
      <c r="T68" s="34"/>
      <c r="U68" s="132"/>
      <c r="V68" s="132"/>
    </row>
    <row r="69" spans="1:22" s="21" customFormat="1" x14ac:dyDescent="0.2">
      <c r="A69" s="166"/>
      <c r="B69" s="39"/>
      <c r="C69" s="39"/>
      <c r="D69" s="39"/>
      <c r="E69" s="39"/>
      <c r="F69" s="39"/>
      <c r="G69" s="20"/>
      <c r="H69" s="20"/>
      <c r="I69" s="32"/>
      <c r="J69" s="32"/>
      <c r="K69" s="32"/>
      <c r="L69" s="32"/>
      <c r="M69" s="32"/>
      <c r="N69" s="34"/>
      <c r="O69" s="32"/>
      <c r="P69" s="32"/>
      <c r="Q69" s="32"/>
      <c r="R69" s="32"/>
      <c r="S69" s="32"/>
      <c r="T69" s="34"/>
      <c r="U69" s="132"/>
      <c r="V69" s="132"/>
    </row>
    <row r="70" spans="1:22" s="21" customFormat="1" x14ac:dyDescent="0.2">
      <c r="A70" s="166"/>
      <c r="B70" s="39"/>
      <c r="C70" s="150"/>
      <c r="D70" s="39"/>
      <c r="E70" s="39"/>
      <c r="F70" s="39"/>
      <c r="G70" s="20"/>
      <c r="H70" s="20"/>
      <c r="I70" s="32"/>
      <c r="J70" s="32"/>
      <c r="K70" s="32"/>
      <c r="L70" s="32"/>
      <c r="M70" s="32"/>
      <c r="N70" s="34"/>
      <c r="O70" s="32"/>
      <c r="P70" s="32"/>
      <c r="Q70" s="32"/>
      <c r="R70" s="32"/>
      <c r="S70" s="32"/>
      <c r="T70" s="34"/>
      <c r="U70" s="132"/>
      <c r="V70" s="132"/>
    </row>
    <row r="71" spans="1:22" s="21" customFormat="1" x14ac:dyDescent="0.2">
      <c r="A71" s="166"/>
      <c r="B71" s="39"/>
      <c r="C71" s="150"/>
      <c r="D71" s="39"/>
      <c r="E71" s="39"/>
      <c r="F71" s="39"/>
      <c r="G71" s="20"/>
      <c r="H71" s="20"/>
      <c r="I71" s="32"/>
      <c r="J71" s="32"/>
      <c r="K71" s="32"/>
      <c r="L71" s="32"/>
      <c r="M71" s="32"/>
      <c r="N71" s="34"/>
      <c r="O71" s="32"/>
      <c r="P71" s="32"/>
      <c r="Q71" s="32"/>
      <c r="R71" s="32"/>
      <c r="S71" s="32"/>
      <c r="T71" s="34"/>
      <c r="U71" s="132"/>
      <c r="V71" s="132"/>
    </row>
    <row r="72" spans="1:22" s="21" customFormat="1" x14ac:dyDescent="0.2">
      <c r="A72" s="151"/>
      <c r="B72" s="39"/>
      <c r="C72" s="39"/>
      <c r="D72" s="39"/>
      <c r="E72" s="39"/>
      <c r="F72" s="39"/>
      <c r="G72" s="20"/>
      <c r="H72" s="20"/>
      <c r="I72" s="32"/>
      <c r="J72" s="32"/>
      <c r="K72" s="32"/>
      <c r="L72" s="32"/>
      <c r="M72" s="32"/>
      <c r="N72" s="34"/>
      <c r="O72" s="32"/>
      <c r="P72" s="32"/>
      <c r="Q72" s="32"/>
      <c r="R72" s="32"/>
      <c r="S72" s="32"/>
      <c r="T72" s="34"/>
      <c r="U72" s="132"/>
      <c r="V72" s="132"/>
    </row>
    <row r="73" spans="1:22" s="21" customFormat="1" x14ac:dyDescent="0.2">
      <c r="A73" s="166"/>
      <c r="B73" s="39"/>
      <c r="C73" s="39"/>
      <c r="D73" s="39"/>
      <c r="E73" s="39"/>
      <c r="F73" s="39"/>
      <c r="G73" s="20"/>
      <c r="H73" s="20"/>
      <c r="I73" s="32"/>
      <c r="J73" s="32"/>
      <c r="K73" s="32"/>
      <c r="L73" s="32"/>
      <c r="M73" s="32"/>
      <c r="N73" s="34"/>
      <c r="O73" s="32"/>
      <c r="P73" s="32"/>
      <c r="Q73" s="32"/>
      <c r="R73" s="32"/>
      <c r="S73" s="32"/>
      <c r="T73" s="34"/>
      <c r="U73" s="132"/>
      <c r="V73" s="132"/>
    </row>
    <row r="74" spans="1:22" s="21" customFormat="1" x14ac:dyDescent="0.2">
      <c r="A74" s="166"/>
      <c r="B74" s="39"/>
      <c r="C74" s="39"/>
      <c r="D74" s="39"/>
      <c r="E74" s="39"/>
      <c r="F74" s="39"/>
      <c r="G74" s="20"/>
      <c r="H74" s="20"/>
      <c r="I74" s="32"/>
      <c r="J74" s="32"/>
      <c r="K74" s="32"/>
      <c r="L74" s="32"/>
      <c r="M74" s="32"/>
      <c r="N74" s="34"/>
      <c r="O74" s="32"/>
      <c r="P74" s="32"/>
      <c r="Q74" s="32"/>
      <c r="R74" s="32"/>
      <c r="S74" s="32"/>
      <c r="T74" s="34"/>
      <c r="U74" s="132"/>
      <c r="V74" s="132"/>
    </row>
    <row r="75" spans="1:22" s="21" customFormat="1" x14ac:dyDescent="0.2">
      <c r="A75" s="151"/>
      <c r="B75" s="39"/>
      <c r="C75" s="39"/>
      <c r="D75" s="39"/>
      <c r="E75" s="39"/>
      <c r="F75" s="39"/>
      <c r="G75" s="20"/>
      <c r="H75" s="20"/>
      <c r="I75" s="32"/>
      <c r="J75" s="32"/>
      <c r="K75" s="32"/>
      <c r="L75" s="32"/>
      <c r="M75" s="32"/>
      <c r="N75" s="34"/>
      <c r="O75" s="32"/>
      <c r="P75" s="32"/>
      <c r="Q75" s="32"/>
      <c r="R75" s="32"/>
      <c r="S75" s="32"/>
      <c r="T75" s="34"/>
      <c r="U75" s="132"/>
      <c r="V75" s="132"/>
    </row>
    <row r="76" spans="1:22" s="21" customFormat="1" x14ac:dyDescent="0.2">
      <c r="A76" s="151"/>
      <c r="B76" s="39"/>
      <c r="C76" s="39"/>
      <c r="D76" s="39"/>
      <c r="E76" s="39"/>
      <c r="F76" s="39"/>
      <c r="G76" s="20" t="s">
        <v>261</v>
      </c>
      <c r="H76" s="20"/>
      <c r="I76" s="32"/>
      <c r="J76" s="32"/>
      <c r="K76" s="32"/>
      <c r="L76" s="32"/>
      <c r="M76" s="32"/>
      <c r="N76" s="34"/>
      <c r="O76" s="32"/>
      <c r="P76" s="32"/>
      <c r="Q76" s="32"/>
      <c r="R76" s="32"/>
      <c r="S76" s="32"/>
      <c r="T76" s="34"/>
      <c r="U76" s="132"/>
      <c r="V76" s="132"/>
    </row>
    <row r="77" spans="1:22" s="21" customFormat="1" x14ac:dyDescent="0.2">
      <c r="A77" s="151"/>
      <c r="B77" s="39"/>
      <c r="C77" s="39"/>
      <c r="D77" s="39"/>
      <c r="E77" s="39"/>
      <c r="F77" s="39"/>
      <c r="G77" s="20"/>
      <c r="H77" s="20"/>
      <c r="I77" s="32"/>
      <c r="J77" s="32"/>
      <c r="K77" s="32"/>
      <c r="L77" s="32"/>
      <c r="M77" s="32"/>
      <c r="N77" s="34"/>
      <c r="O77" s="32"/>
      <c r="P77" s="32"/>
      <c r="Q77" s="32"/>
      <c r="R77" s="32"/>
      <c r="S77" s="32"/>
      <c r="T77" s="34"/>
      <c r="U77" s="132"/>
      <c r="V77" s="132"/>
    </row>
    <row r="78" spans="1:22" s="21" customFormat="1" x14ac:dyDescent="0.2">
      <c r="A78" s="218"/>
      <c r="B78" s="153"/>
      <c r="C78" s="154"/>
      <c r="D78" s="150"/>
      <c r="E78" s="39"/>
      <c r="F78" s="39"/>
      <c r="G78" s="20"/>
      <c r="H78" s="20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132"/>
      <c r="V78" s="132"/>
    </row>
    <row r="79" spans="1:22" s="21" customFormat="1" x14ac:dyDescent="0.2">
      <c r="A79" s="7"/>
      <c r="B79" s="153"/>
      <c r="C79" s="154"/>
      <c r="D79" s="150"/>
      <c r="E79" s="566"/>
      <c r="F79" s="566"/>
      <c r="G79" s="22" t="s">
        <v>184</v>
      </c>
      <c r="H79" s="22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132"/>
      <c r="V79" s="132"/>
    </row>
    <row r="80" spans="1:22" s="21" customFormat="1" x14ac:dyDescent="0.2">
      <c r="A80" s="7"/>
      <c r="B80" s="155"/>
      <c r="C80" s="155"/>
      <c r="D80" s="155"/>
      <c r="E80" s="155"/>
      <c r="F80" s="155"/>
      <c r="G80" s="20"/>
      <c r="H80" s="20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132"/>
      <c r="V80" s="132"/>
    </row>
    <row r="81" spans="1:22" s="21" customFormat="1" x14ac:dyDescent="0.2">
      <c r="A81" s="7"/>
      <c r="B81" s="3"/>
      <c r="C81" s="4"/>
      <c r="D81" s="5"/>
      <c r="E81" s="155"/>
      <c r="F81" s="155"/>
      <c r="G81" s="20"/>
      <c r="H81" s="20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132"/>
      <c r="V81" s="132"/>
    </row>
    <row r="82" spans="1:22" s="21" customFormat="1" x14ac:dyDescent="0.2">
      <c r="A82" s="7"/>
      <c r="B82" s="3"/>
      <c r="C82" s="154"/>
      <c r="D82" s="157"/>
      <c r="E82" s="155"/>
      <c r="F82" s="155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132"/>
      <c r="V82" s="132"/>
    </row>
    <row r="83" spans="1:22" s="21" customFormat="1" x14ac:dyDescent="0.2">
      <c r="A83" s="7"/>
      <c r="B83" s="155"/>
      <c r="C83" s="154"/>
      <c r="D83" s="157"/>
      <c r="E83" s="157"/>
      <c r="F83" s="155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132"/>
      <c r="V83" s="132"/>
    </row>
    <row r="84" spans="1:22" s="21" customFormat="1" x14ac:dyDescent="0.2">
      <c r="A84" s="7"/>
      <c r="B84" s="155"/>
      <c r="C84" s="39"/>
      <c r="D84" s="154"/>
      <c r="E84" s="154"/>
      <c r="F84" s="155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132"/>
      <c r="V84" s="132"/>
    </row>
    <row r="85" spans="1:22" s="21" customFormat="1" x14ac:dyDescent="0.2">
      <c r="A85" s="7"/>
      <c r="B85" s="155"/>
      <c r="C85" s="154"/>
      <c r="D85" s="39"/>
      <c r="E85" s="154"/>
      <c r="F85" s="155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132"/>
      <c r="V85" s="132"/>
    </row>
    <row r="86" spans="1:22" s="21" customFormat="1" x14ac:dyDescent="0.2">
      <c r="A86" s="7"/>
      <c r="B86" s="155"/>
      <c r="C86" s="39"/>
      <c r="D86" s="158"/>
      <c r="E86" s="154"/>
      <c r="F86" s="155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132"/>
      <c r="V86" s="132"/>
    </row>
    <row r="87" spans="1:22" s="21" customFormat="1" x14ac:dyDescent="0.2">
      <c r="A87" s="7"/>
      <c r="B87" s="155"/>
      <c r="C87" s="39"/>
      <c r="D87" s="158"/>
      <c r="E87" s="154"/>
      <c r="F87" s="155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132"/>
      <c r="V87" s="132"/>
    </row>
    <row r="88" spans="1:22" s="21" customFormat="1" x14ac:dyDescent="0.2">
      <c r="A88" s="7"/>
      <c r="B88" s="155"/>
      <c r="C88" s="154"/>
      <c r="D88" s="39"/>
      <c r="E88" s="154"/>
      <c r="F88" s="155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132"/>
      <c r="V88" s="132"/>
    </row>
    <row r="89" spans="1:22" s="21" customFormat="1" x14ac:dyDescent="0.2">
      <c r="A89" s="7"/>
      <c r="B89" s="155"/>
      <c r="C89" s="154"/>
      <c r="D89" s="154"/>
      <c r="E89" s="154"/>
      <c r="F89" s="154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132"/>
      <c r="V89" s="132"/>
    </row>
    <row r="90" spans="1:22" s="21" customFormat="1" x14ac:dyDescent="0.2">
      <c r="A90" s="7"/>
      <c r="B90" s="155"/>
      <c r="C90" s="39"/>
      <c r="D90" s="525"/>
      <c r="E90" s="526"/>
      <c r="F90" s="526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132"/>
      <c r="V90" s="132"/>
    </row>
    <row r="91" spans="1:22" s="21" customFormat="1" x14ac:dyDescent="0.2">
      <c r="A91" s="7"/>
      <c r="B91" s="155"/>
      <c r="C91" s="154"/>
      <c r="D91" s="158"/>
      <c r="E91" s="154"/>
      <c r="F91" s="154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132"/>
      <c r="V91" s="132"/>
    </row>
    <row r="92" spans="1:22" s="21" customFormat="1" x14ac:dyDescent="0.2">
      <c r="A92" s="7"/>
      <c r="B92" s="155"/>
      <c r="C92" s="154"/>
      <c r="D92" s="158"/>
      <c r="E92" s="154"/>
      <c r="F92" s="154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132"/>
      <c r="V92" s="132"/>
    </row>
    <row r="93" spans="1:22" s="21" customFormat="1" x14ac:dyDescent="0.2">
      <c r="A93" s="7"/>
      <c r="B93" s="3"/>
      <c r="C93" s="4"/>
      <c r="D93" s="157"/>
      <c r="E93" s="154"/>
      <c r="F93" s="154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132"/>
      <c r="V93" s="132"/>
    </row>
    <row r="94" spans="1:22" s="21" customFormat="1" x14ac:dyDescent="0.2">
      <c r="A94" s="7"/>
      <c r="B94" s="155"/>
      <c r="C94" s="154"/>
      <c r="D94" s="154"/>
      <c r="E94" s="154"/>
      <c r="F94" s="154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132"/>
      <c r="V94" s="132"/>
    </row>
    <row r="95" spans="1:22" s="21" customFormat="1" x14ac:dyDescent="0.2">
      <c r="A95" s="7"/>
      <c r="B95" s="155"/>
      <c r="C95" s="154"/>
      <c r="D95" s="163"/>
      <c r="E95" s="154"/>
      <c r="F95" s="154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132"/>
      <c r="V95" s="132"/>
    </row>
    <row r="96" spans="1:22" s="21" customFormat="1" x14ac:dyDescent="0.2">
      <c r="A96" s="7"/>
      <c r="B96" s="155"/>
      <c r="C96" s="154"/>
      <c r="D96" s="164"/>
      <c r="E96" s="154"/>
      <c r="F96" s="154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132"/>
      <c r="V96" s="132"/>
    </row>
    <row r="97" spans="1:22" s="21" customFormat="1" x14ac:dyDescent="0.2">
      <c r="A97" s="7"/>
      <c r="B97" s="155"/>
      <c r="C97" s="154"/>
      <c r="D97" s="164"/>
      <c r="E97" s="154"/>
      <c r="F97" s="154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132"/>
      <c r="V97" s="132"/>
    </row>
    <row r="98" spans="1:22" s="21" customFormat="1" x14ac:dyDescent="0.2">
      <c r="A98" s="7"/>
      <c r="B98" s="155"/>
      <c r="C98" s="154"/>
      <c r="D98" s="163"/>
      <c r="E98" s="154"/>
      <c r="F98" s="154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132"/>
      <c r="V98" s="132"/>
    </row>
    <row r="99" spans="1:22" s="21" customFormat="1" x14ac:dyDescent="0.2">
      <c r="A99" s="7"/>
      <c r="B99" s="155"/>
      <c r="C99" s="154"/>
      <c r="D99" s="164"/>
      <c r="E99" s="154"/>
      <c r="F99" s="154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132"/>
      <c r="V99" s="132"/>
    </row>
    <row r="100" spans="1:22" s="21" customFormat="1" x14ac:dyDescent="0.2">
      <c r="A100" s="7"/>
      <c r="B100" s="155"/>
      <c r="C100" s="154"/>
      <c r="D100" s="164"/>
      <c r="E100" s="154"/>
      <c r="F100" s="154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132"/>
      <c r="V100" s="132"/>
    </row>
    <row r="101" spans="1:22" s="21" customFormat="1" x14ac:dyDescent="0.2">
      <c r="A101" s="7"/>
      <c r="B101" s="155"/>
      <c r="C101" s="154"/>
      <c r="D101" s="154"/>
      <c r="E101" s="154"/>
      <c r="F101" s="154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132"/>
      <c r="V101" s="132"/>
    </row>
    <row r="102" spans="1:22" s="21" customFormat="1" x14ac:dyDescent="0.2">
      <c r="A102" s="7"/>
      <c r="B102" s="155"/>
      <c r="C102" s="39"/>
      <c r="D102" s="158"/>
      <c r="E102" s="154"/>
      <c r="F102" s="154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132"/>
      <c r="V102" s="132"/>
    </row>
    <row r="103" spans="1:22" s="21" customFormat="1" x14ac:dyDescent="0.2">
      <c r="A103" s="7"/>
      <c r="B103" s="155"/>
      <c r="C103" s="39"/>
      <c r="D103" s="158"/>
      <c r="E103" s="154"/>
      <c r="F103" s="154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132"/>
      <c r="V103" s="132"/>
    </row>
    <row r="104" spans="1:22" s="21" customFormat="1" x14ac:dyDescent="0.2">
      <c r="A104" s="7"/>
      <c r="B104" s="155"/>
      <c r="C104" s="154"/>
      <c r="D104" s="154"/>
      <c r="E104" s="154"/>
      <c r="F104" s="154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132"/>
      <c r="V104" s="132"/>
    </row>
    <row r="105" spans="1:22" s="21" customFormat="1" x14ac:dyDescent="0.2">
      <c r="A105" s="7"/>
      <c r="B105" s="155"/>
      <c r="C105" s="39"/>
      <c r="D105" s="525"/>
      <c r="E105" s="526"/>
      <c r="F105" s="526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132"/>
      <c r="V105" s="132"/>
    </row>
    <row r="106" spans="1:22" s="21" customFormat="1" x14ac:dyDescent="0.2">
      <c r="A106" s="7"/>
      <c r="B106" s="155"/>
      <c r="C106" s="154"/>
      <c r="D106" s="158"/>
      <c r="E106" s="154"/>
      <c r="F106" s="154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132"/>
      <c r="V106" s="132"/>
    </row>
    <row r="107" spans="1:22" s="21" customFormat="1" x14ac:dyDescent="0.2">
      <c r="A107" s="7"/>
      <c r="B107" s="155"/>
      <c r="C107" s="154"/>
      <c r="D107" s="164"/>
      <c r="E107" s="154"/>
      <c r="F107" s="154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132"/>
      <c r="V107" s="132"/>
    </row>
    <row r="108" spans="1:22" s="21" customFormat="1" x14ac:dyDescent="0.2">
      <c r="A108" s="7"/>
      <c r="B108" s="155"/>
      <c r="C108" s="154"/>
      <c r="D108" s="164"/>
      <c r="E108" s="154"/>
      <c r="F108" s="154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132"/>
      <c r="V108" s="132"/>
    </row>
    <row r="109" spans="1:22" s="21" customFormat="1" x14ac:dyDescent="0.2">
      <c r="A109" s="7"/>
      <c r="B109" s="155"/>
      <c r="C109" s="154"/>
      <c r="D109" s="158"/>
      <c r="E109" s="154"/>
      <c r="F109" s="154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132"/>
      <c r="V109" s="132"/>
    </row>
    <row r="110" spans="1:22" s="21" customFormat="1" x14ac:dyDescent="0.2">
      <c r="A110" s="7"/>
      <c r="B110" s="155"/>
      <c r="C110" s="154"/>
      <c r="D110" s="164"/>
      <c r="E110" s="154"/>
      <c r="F110" s="154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132"/>
      <c r="V110" s="132"/>
    </row>
    <row r="111" spans="1:22" s="21" customFormat="1" x14ac:dyDescent="0.2">
      <c r="A111" s="7"/>
      <c r="B111" s="155"/>
      <c r="C111" s="154"/>
      <c r="D111" s="164"/>
      <c r="E111" s="154"/>
      <c r="F111" s="154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132"/>
      <c r="V111" s="132"/>
    </row>
    <row r="112" spans="1:22" s="21" customFormat="1" x14ac:dyDescent="0.2">
      <c r="A112" s="7"/>
      <c r="B112" s="3"/>
      <c r="C112" s="4"/>
      <c r="D112" s="157"/>
      <c r="E112" s="154"/>
      <c r="F112" s="154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132"/>
      <c r="V112" s="132"/>
    </row>
    <row r="113" spans="1:22" s="21" customFormat="1" x14ac:dyDescent="0.2">
      <c r="A113" s="7"/>
      <c r="B113" s="155"/>
      <c r="C113" s="154"/>
      <c r="D113" s="157"/>
      <c r="E113" s="154"/>
      <c r="F113" s="154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132"/>
      <c r="V113" s="132"/>
    </row>
    <row r="114" spans="1:22" s="21" customFormat="1" x14ac:dyDescent="0.2">
      <c r="A114" s="7"/>
      <c r="B114" s="155"/>
      <c r="C114" s="154"/>
      <c r="D114" s="157"/>
      <c r="E114" s="154"/>
      <c r="F114" s="154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132"/>
      <c r="V114" s="132"/>
    </row>
    <row r="115" spans="1:22" s="21" customFormat="1" x14ac:dyDescent="0.2">
      <c r="A115" s="7"/>
      <c r="B115" s="155"/>
      <c r="C115" s="154"/>
      <c r="D115" s="157"/>
      <c r="E115" s="154"/>
      <c r="F115" s="154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132"/>
      <c r="V115" s="132"/>
    </row>
    <row r="116" spans="1:22" s="21" customFormat="1" x14ac:dyDescent="0.2">
      <c r="A116" s="7"/>
      <c r="B116" s="155"/>
      <c r="C116" s="39"/>
      <c r="D116" s="525"/>
      <c r="E116" s="526"/>
      <c r="F116" s="526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132"/>
      <c r="V116" s="132"/>
    </row>
    <row r="117" spans="1:22" s="21" customFormat="1" x14ac:dyDescent="0.2">
      <c r="A117" s="7"/>
      <c r="B117" s="155"/>
      <c r="C117" s="154"/>
      <c r="D117" s="158"/>
      <c r="E117" s="154"/>
      <c r="F117" s="126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132"/>
      <c r="V117" s="132"/>
    </row>
    <row r="118" spans="1:22" s="21" customFormat="1" x14ac:dyDescent="0.2">
      <c r="A118" s="7"/>
      <c r="B118" s="155"/>
      <c r="C118" s="154"/>
      <c r="D118" s="158"/>
      <c r="E118" s="154"/>
      <c r="F118" s="126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132"/>
      <c r="V118" s="132"/>
    </row>
    <row r="119" spans="1:22" s="21" customFormat="1" x14ac:dyDescent="0.2">
      <c r="A119" s="7"/>
      <c r="B119" s="6"/>
      <c r="C119" s="7"/>
      <c r="D119" s="154"/>
      <c r="E119" s="154"/>
      <c r="F119" s="154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132"/>
      <c r="V119" s="132"/>
    </row>
    <row r="120" spans="1:22" s="21" customFormat="1" x14ac:dyDescent="0.2">
      <c r="A120" s="7"/>
      <c r="B120" s="153"/>
      <c r="C120" s="154"/>
      <c r="D120" s="154"/>
      <c r="E120" s="154"/>
      <c r="F120" s="154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132"/>
      <c r="V120" s="132"/>
    </row>
    <row r="121" spans="1:22" s="21" customFormat="1" x14ac:dyDescent="0.2">
      <c r="A121" s="7"/>
      <c r="B121" s="153"/>
      <c r="C121" s="154"/>
      <c r="D121" s="158"/>
      <c r="E121" s="154"/>
      <c r="F121" s="154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132"/>
      <c r="V121" s="132"/>
    </row>
    <row r="122" spans="1:22" s="21" customFormat="1" x14ac:dyDescent="0.2">
      <c r="A122" s="7"/>
      <c r="B122" s="153"/>
      <c r="C122" s="154"/>
      <c r="D122" s="158"/>
      <c r="E122" s="154"/>
      <c r="F122" s="154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132"/>
      <c r="V122" s="132"/>
    </row>
    <row r="123" spans="1:22" s="21" customFormat="1" x14ac:dyDescent="0.2">
      <c r="A123" s="7"/>
      <c r="B123" s="153"/>
      <c r="C123" s="154"/>
      <c r="D123" s="150"/>
      <c r="E123" s="566"/>
      <c r="F123" s="566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132"/>
      <c r="V123" s="132"/>
    </row>
    <row r="124" spans="1:22" x14ac:dyDescent="0.2">
      <c r="A124" s="7"/>
      <c r="B124" s="153"/>
      <c r="C124" s="154"/>
      <c r="D124" s="39"/>
      <c r="E124" s="39"/>
      <c r="F124" s="39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122"/>
      <c r="U124" s="123"/>
      <c r="V124" s="123"/>
    </row>
    <row r="125" spans="1:22" x14ac:dyDescent="0.2">
      <c r="A125" s="7"/>
      <c r="B125" s="153"/>
      <c r="C125" s="154"/>
      <c r="D125" s="150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122"/>
      <c r="U125" s="123"/>
      <c r="V125" s="123"/>
    </row>
    <row r="126" spans="1:22" x14ac:dyDescent="0.2">
      <c r="A126" s="7"/>
      <c r="B126" s="153"/>
      <c r="C126" s="154"/>
      <c r="D126" s="150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122"/>
      <c r="U126" s="123"/>
      <c r="V126" s="123"/>
    </row>
    <row r="127" spans="1:22" x14ac:dyDescent="0.2">
      <c r="A127" s="7"/>
      <c r="B127" s="153"/>
      <c r="C127" s="154"/>
      <c r="D127" s="150"/>
      <c r="E127" s="566"/>
      <c r="F127" s="566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122"/>
      <c r="U127" s="123"/>
      <c r="V127" s="123"/>
    </row>
    <row r="128" spans="1:22" x14ac:dyDescent="0.2">
      <c r="A128" s="154"/>
      <c r="B128" s="565"/>
      <c r="C128" s="565"/>
      <c r="D128" s="565"/>
      <c r="E128" s="565"/>
      <c r="F128" s="565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122"/>
      <c r="U128" s="123"/>
      <c r="V128" s="123"/>
    </row>
    <row r="129" spans="1:22" x14ac:dyDescent="0.2">
      <c r="A129" s="21"/>
      <c r="B129" s="21"/>
      <c r="C129" s="21"/>
      <c r="D129" s="21"/>
      <c r="E129" s="21"/>
      <c r="F129" s="21"/>
      <c r="G129" s="20"/>
      <c r="H129" s="20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122"/>
      <c r="U129" s="123"/>
      <c r="V129" s="123"/>
    </row>
    <row r="130" spans="1:22" x14ac:dyDescent="0.2">
      <c r="A130" s="21"/>
      <c r="B130" s="21"/>
      <c r="C130" s="21"/>
      <c r="D130" s="21"/>
      <c r="E130" s="21"/>
      <c r="F130" s="21"/>
      <c r="G130" s="20"/>
      <c r="H130" s="20"/>
      <c r="I130" s="21"/>
      <c r="J130" s="21"/>
      <c r="K130" s="21"/>
      <c r="L130" s="21"/>
      <c r="M130" s="21"/>
      <c r="N130" s="21"/>
      <c r="O130" s="21"/>
      <c r="P130" s="21"/>
      <c r="Q130" s="21"/>
      <c r="R130" s="21"/>
      <c r="S130" s="21"/>
    </row>
    <row r="131" spans="1:22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</row>
    <row r="132" spans="1:22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</row>
    <row r="133" spans="1:22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</row>
    <row r="134" spans="1:22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</row>
    <row r="135" spans="1:22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</row>
    <row r="136" spans="1:22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</row>
    <row r="137" spans="1:22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</row>
    <row r="138" spans="1:22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</row>
    <row r="139" spans="1:22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</row>
    <row r="140" spans="1:22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</row>
    <row r="141" spans="1:22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</row>
    <row r="142" spans="1:22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</row>
    <row r="143" spans="1:22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</row>
    <row r="144" spans="1:22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</row>
    <row r="145" spans="1:19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</row>
    <row r="146" spans="1:19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</row>
    <row r="147" spans="1:19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</row>
    <row r="148" spans="1:19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</row>
    <row r="149" spans="1:19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</row>
    <row r="150" spans="1:19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</row>
    <row r="151" spans="1:19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</row>
    <row r="152" spans="1:19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</row>
    <row r="153" spans="1:19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</row>
    <row r="154" spans="1:19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</row>
    <row r="155" spans="1:19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</row>
    <row r="156" spans="1:19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</row>
    <row r="157" spans="1:19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</row>
    <row r="158" spans="1:19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</row>
    <row r="159" spans="1:19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</row>
    <row r="160" spans="1:19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</row>
    <row r="161" spans="1:19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</row>
    <row r="162" spans="1:19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</row>
    <row r="163" spans="1:19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</row>
    <row r="164" spans="1:19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</row>
    <row r="165" spans="1:19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</row>
    <row r="166" spans="1:19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</row>
    <row r="167" spans="1:19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</row>
    <row r="168" spans="1:19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</row>
    <row r="169" spans="1:19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</row>
    <row r="170" spans="1:19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</row>
    <row r="171" spans="1:19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</row>
    <row r="172" spans="1:19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</row>
    <row r="173" spans="1:19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</row>
    <row r="174" spans="1:19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</row>
    <row r="175" spans="1:19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</row>
    <row r="176" spans="1:19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</row>
    <row r="177" spans="1:19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</row>
    <row r="178" spans="1:19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</row>
    <row r="179" spans="1:19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</row>
    <row r="180" spans="1:19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</row>
    <row r="181" spans="1:19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</row>
    <row r="182" spans="1:19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</row>
    <row r="183" spans="1:19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</row>
    <row r="184" spans="1:19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</row>
    <row r="185" spans="1:19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</row>
    <row r="186" spans="1:19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</row>
    <row r="187" spans="1:19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</row>
    <row r="188" spans="1:19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</row>
    <row r="189" spans="1:19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</row>
    <row r="190" spans="1:19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</row>
    <row r="191" spans="1:19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</row>
    <row r="192" spans="1:19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</row>
    <row r="193" spans="1:19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</row>
    <row r="194" spans="1:19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</row>
    <row r="195" spans="1:19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</row>
    <row r="196" spans="1:19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</row>
    <row r="197" spans="1:19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</row>
    <row r="198" spans="1:19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</row>
    <row r="199" spans="1:19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</row>
    <row r="200" spans="1:19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</row>
    <row r="201" spans="1:19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</row>
    <row r="202" spans="1:19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</row>
    <row r="203" spans="1:19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</row>
    <row r="204" spans="1:19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</row>
    <row r="205" spans="1:19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</row>
    <row r="206" spans="1:19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</row>
    <row r="207" spans="1:19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</row>
    <row r="208" spans="1:19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</row>
    <row r="209" spans="1:19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</row>
    <row r="210" spans="1:19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</row>
    <row r="211" spans="1:19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</row>
    <row r="212" spans="1:19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</row>
    <row r="213" spans="1:19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</row>
    <row r="214" spans="1:19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</row>
    <row r="215" spans="1:19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</row>
    <row r="216" spans="1:19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</row>
    <row r="217" spans="1:19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</row>
    <row r="218" spans="1:19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</row>
    <row r="219" spans="1:19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</row>
    <row r="220" spans="1:19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</row>
    <row r="221" spans="1:19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</row>
    <row r="222" spans="1:19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</row>
    <row r="223" spans="1:19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</row>
    <row r="224" spans="1:19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</row>
    <row r="225" spans="1:19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</row>
    <row r="226" spans="1:19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</row>
    <row r="227" spans="1:19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</row>
    <row r="228" spans="1:19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</row>
    <row r="229" spans="1:19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</row>
    <row r="230" spans="1:19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</row>
    <row r="231" spans="1:19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</row>
    <row r="232" spans="1:19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</row>
    <row r="233" spans="1:19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</row>
    <row r="234" spans="1:19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</row>
    <row r="235" spans="1:19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</row>
    <row r="236" spans="1:19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</row>
    <row r="237" spans="1:19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</row>
    <row r="238" spans="1:19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</row>
    <row r="239" spans="1:19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</row>
    <row r="240" spans="1:19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</row>
    <row r="241" spans="1:19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</row>
    <row r="242" spans="1:19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</row>
    <row r="243" spans="1:19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</row>
    <row r="244" spans="1:19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</row>
    <row r="245" spans="1:19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</row>
    <row r="246" spans="1:19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</row>
    <row r="247" spans="1:19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</row>
    <row r="248" spans="1:19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</row>
    <row r="249" spans="1:19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</row>
    <row r="250" spans="1:19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</row>
    <row r="251" spans="1:19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</row>
    <row r="252" spans="1:19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</row>
    <row r="253" spans="1:19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</row>
    <row r="254" spans="1:19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</row>
  </sheetData>
  <sheetProtection password="EFD8" sheet="1" objects="1" scenarios="1" selectLockedCells="1"/>
  <mergeCells count="28">
    <mergeCell ref="A1:S1"/>
    <mergeCell ref="A2:S2"/>
    <mergeCell ref="A4:S4"/>
    <mergeCell ref="R7:R10"/>
    <mergeCell ref="S7:S10"/>
    <mergeCell ref="B128:F128"/>
    <mergeCell ref="E79:F79"/>
    <mergeCell ref="D90:F90"/>
    <mergeCell ref="D105:F105"/>
    <mergeCell ref="D116:F116"/>
    <mergeCell ref="A3:S3"/>
    <mergeCell ref="J7:N7"/>
    <mergeCell ref="M8:M10"/>
    <mergeCell ref="J8:J10"/>
    <mergeCell ref="K8:K10"/>
    <mergeCell ref="O7:O10"/>
    <mergeCell ref="N8:N10"/>
    <mergeCell ref="G6:G10"/>
    <mergeCell ref="A6:F10"/>
    <mergeCell ref="I7:I10"/>
    <mergeCell ref="P7:P10"/>
    <mergeCell ref="Q7:Q10"/>
    <mergeCell ref="E123:F123"/>
    <mergeCell ref="E127:F127"/>
    <mergeCell ref="C52:D52"/>
    <mergeCell ref="L8:L10"/>
    <mergeCell ref="C42:D42"/>
    <mergeCell ref="H6:H10"/>
  </mergeCells>
  <phoneticPr fontId="0" type="noConversion"/>
  <dataValidations count="1">
    <dataValidation type="decimal" operator="lessThan" allowBlank="1" showInputMessage="1" showErrorMessage="1" sqref="I11:FC586">
      <formula1>1000000000000000</formula1>
    </dataValidation>
  </dataValidations>
  <printOptions horizontalCentered="1"/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&amp;R&amp;"Arial,Bold"&amp;USchedule 7c&amp;8&amp;U
&amp;P of &amp;N&amp;C&amp;"Arial,Bold"&amp;8 MAXIMUM SAVINGS BANK, INC.  [ 03-070011 ]
 As of: June 30, 2019</oddHead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IJ255"/>
  <sheetViews>
    <sheetView zoomScale="75" zoomScaleNormal="90" zoomScaleSheetLayoutView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4" sqref="I14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26.28515625" style="1" customWidth="1"/>
    <col min="6" max="6" width="21.42578125" style="1" hidden="1" customWidth="1"/>
    <col min="7" max="7" width="17.5703125" style="9" customWidth="1"/>
    <col min="8" max="8" width="10.28515625" style="9" customWidth="1"/>
    <col min="9" max="19" width="20.7109375" style="1" customWidth="1"/>
    <col min="20" max="49" width="25.7109375" style="221" customWidth="1"/>
    <col min="50" max="159" width="25.7109375" style="1" customWidth="1"/>
    <col min="160" max="16384" width="9.140625" style="1"/>
  </cols>
  <sheetData>
    <row r="1" spans="1:49" s="165" customFormat="1" ht="12.75" x14ac:dyDescent="0.2">
      <c r="A1" s="512" t="s">
        <v>329</v>
      </c>
      <c r="B1" s="512"/>
      <c r="C1" s="512"/>
      <c r="D1" s="512"/>
      <c r="E1" s="512"/>
      <c r="F1" s="512"/>
      <c r="G1" s="512"/>
      <c r="H1" s="512"/>
      <c r="I1" s="512"/>
      <c r="J1" s="512"/>
      <c r="K1" s="512"/>
      <c r="L1" s="512"/>
      <c r="M1" s="512"/>
      <c r="N1" s="512"/>
      <c r="O1" s="512"/>
      <c r="P1" s="512"/>
      <c r="Q1" s="512"/>
      <c r="R1" s="512"/>
      <c r="S1" s="512"/>
      <c r="T1" s="232"/>
      <c r="U1" s="232"/>
      <c r="V1" s="232"/>
      <c r="W1" s="232"/>
      <c r="X1" s="232"/>
      <c r="Y1" s="232"/>
      <c r="Z1" s="232"/>
      <c r="AA1" s="232"/>
      <c r="AB1" s="232"/>
      <c r="AC1" s="232"/>
      <c r="AD1" s="232"/>
      <c r="AE1" s="232"/>
      <c r="AF1" s="232"/>
      <c r="AG1" s="232"/>
      <c r="AH1" s="232"/>
      <c r="AI1" s="232"/>
      <c r="AJ1" s="232"/>
      <c r="AK1" s="232"/>
      <c r="AL1" s="232"/>
      <c r="AM1" s="232"/>
      <c r="AN1" s="232"/>
      <c r="AO1" s="232"/>
      <c r="AP1" s="232"/>
      <c r="AQ1" s="232"/>
      <c r="AR1" s="232"/>
      <c r="AS1" s="232"/>
      <c r="AT1" s="232"/>
      <c r="AU1" s="232"/>
      <c r="AV1" s="232"/>
      <c r="AW1" s="232"/>
    </row>
    <row r="2" spans="1:49" s="165" customFormat="1" ht="12.75" customHeight="1" x14ac:dyDescent="0.2">
      <c r="A2" s="512" t="s">
        <v>325</v>
      </c>
      <c r="B2" s="512"/>
      <c r="C2" s="512"/>
      <c r="D2" s="512"/>
      <c r="E2" s="512"/>
      <c r="F2" s="512"/>
      <c r="G2" s="512"/>
      <c r="H2" s="512"/>
      <c r="I2" s="512"/>
      <c r="J2" s="512"/>
      <c r="K2" s="512"/>
      <c r="L2" s="512"/>
      <c r="M2" s="512"/>
      <c r="N2" s="512"/>
      <c r="O2" s="512"/>
      <c r="P2" s="512"/>
      <c r="Q2" s="512"/>
      <c r="R2" s="512"/>
      <c r="S2" s="512"/>
      <c r="T2" s="232"/>
      <c r="U2" s="232"/>
      <c r="V2" s="232"/>
      <c r="W2" s="232"/>
      <c r="X2" s="232"/>
      <c r="Y2" s="232"/>
      <c r="Z2" s="232"/>
      <c r="AA2" s="232"/>
      <c r="AB2" s="232"/>
      <c r="AC2" s="232"/>
      <c r="AD2" s="232"/>
      <c r="AE2" s="232"/>
      <c r="AF2" s="232"/>
      <c r="AG2" s="232"/>
      <c r="AH2" s="232"/>
      <c r="AI2" s="232"/>
      <c r="AJ2" s="232"/>
      <c r="AK2" s="232"/>
      <c r="AL2" s="232"/>
      <c r="AM2" s="232"/>
      <c r="AN2" s="232"/>
      <c r="AO2" s="232"/>
      <c r="AP2" s="232"/>
      <c r="AQ2" s="232"/>
      <c r="AR2" s="232"/>
      <c r="AS2" s="232"/>
      <c r="AT2" s="232"/>
      <c r="AU2" s="232"/>
      <c r="AV2" s="232"/>
      <c r="AW2" s="232"/>
    </row>
    <row r="3" spans="1:49" s="165" customFormat="1" ht="12.75" hidden="1" customHeight="1" x14ac:dyDescent="0.2">
      <c r="A3" s="257"/>
      <c r="B3" s="257"/>
      <c r="C3" s="257"/>
      <c r="D3" s="257"/>
      <c r="E3" s="257"/>
      <c r="F3" s="257"/>
      <c r="G3" s="257"/>
      <c r="H3" s="257"/>
      <c r="I3" s="257"/>
      <c r="J3" s="257"/>
      <c r="K3" s="257"/>
      <c r="L3" s="257"/>
      <c r="M3" s="257"/>
      <c r="N3" s="257"/>
      <c r="O3" s="257"/>
      <c r="P3" s="257"/>
      <c r="Q3" s="257"/>
      <c r="R3" s="257"/>
      <c r="S3" s="257"/>
      <c r="T3" s="232"/>
      <c r="U3" s="232"/>
      <c r="V3" s="232"/>
      <c r="W3" s="232"/>
      <c r="X3" s="232"/>
      <c r="Y3" s="232"/>
      <c r="Z3" s="232"/>
      <c r="AA3" s="232"/>
      <c r="AB3" s="232"/>
      <c r="AC3" s="232"/>
      <c r="AD3" s="232"/>
      <c r="AE3" s="232"/>
      <c r="AF3" s="232"/>
      <c r="AG3" s="232"/>
      <c r="AH3" s="232"/>
      <c r="AI3" s="232"/>
      <c r="AJ3" s="232"/>
      <c r="AK3" s="232"/>
      <c r="AL3" s="232"/>
      <c r="AM3" s="232"/>
      <c r="AN3" s="232"/>
      <c r="AO3" s="232"/>
      <c r="AP3" s="232"/>
      <c r="AQ3" s="232"/>
      <c r="AR3" s="232"/>
      <c r="AS3" s="232"/>
      <c r="AT3" s="232"/>
      <c r="AU3" s="232"/>
      <c r="AV3" s="232"/>
      <c r="AW3" s="232"/>
    </row>
    <row r="4" spans="1:49" s="165" customFormat="1" ht="12.75" customHeight="1" x14ac:dyDescent="0.2">
      <c r="A4" s="512" t="s">
        <v>3</v>
      </c>
      <c r="B4" s="512"/>
      <c r="C4" s="512"/>
      <c r="D4" s="512"/>
      <c r="E4" s="512"/>
      <c r="F4" s="512"/>
      <c r="G4" s="512"/>
      <c r="H4" s="512"/>
      <c r="I4" s="512"/>
      <c r="J4" s="512"/>
      <c r="K4" s="512"/>
      <c r="L4" s="512"/>
      <c r="M4" s="512"/>
      <c r="N4" s="512"/>
      <c r="O4" s="512"/>
      <c r="P4" s="512"/>
      <c r="Q4" s="512"/>
      <c r="R4" s="512"/>
      <c r="S4" s="512"/>
      <c r="T4" s="232"/>
      <c r="U4" s="232"/>
      <c r="V4" s="232"/>
      <c r="W4" s="232"/>
      <c r="X4" s="232"/>
      <c r="Y4" s="232"/>
      <c r="Z4" s="232"/>
      <c r="AA4" s="232"/>
      <c r="AB4" s="232"/>
      <c r="AC4" s="232"/>
      <c r="AD4" s="232"/>
      <c r="AE4" s="232"/>
      <c r="AF4" s="232"/>
      <c r="AG4" s="232"/>
      <c r="AH4" s="232"/>
      <c r="AI4" s="232"/>
      <c r="AJ4" s="232"/>
      <c r="AK4" s="232"/>
      <c r="AL4" s="232"/>
      <c r="AM4" s="232"/>
      <c r="AN4" s="232"/>
      <c r="AO4" s="232"/>
      <c r="AP4" s="232"/>
      <c r="AQ4" s="232"/>
      <c r="AR4" s="232"/>
      <c r="AS4" s="232"/>
      <c r="AT4" s="232"/>
      <c r="AU4" s="232"/>
      <c r="AV4" s="232"/>
      <c r="AW4" s="232"/>
    </row>
    <row r="5" spans="1:49" ht="14.25" customHeight="1" x14ac:dyDescent="0.2"/>
    <row r="6" spans="1:49" s="11" customFormat="1" ht="12.75" customHeight="1" x14ac:dyDescent="0.2">
      <c r="A6" s="504" t="s">
        <v>0</v>
      </c>
      <c r="B6" s="505"/>
      <c r="C6" s="505"/>
      <c r="D6" s="505"/>
      <c r="E6" s="505"/>
      <c r="F6" s="506"/>
      <c r="G6" s="496" t="s">
        <v>2</v>
      </c>
      <c r="H6" s="493" t="s">
        <v>414</v>
      </c>
      <c r="I6" s="8" t="s">
        <v>309</v>
      </c>
      <c r="J6" s="8" t="s">
        <v>310</v>
      </c>
      <c r="K6" s="8" t="s">
        <v>311</v>
      </c>
      <c r="L6" s="8" t="s">
        <v>312</v>
      </c>
      <c r="M6" s="8" t="s">
        <v>313</v>
      </c>
      <c r="N6" s="8" t="s">
        <v>314</v>
      </c>
      <c r="O6" s="8" t="s">
        <v>315</v>
      </c>
      <c r="P6" s="8" t="s">
        <v>316</v>
      </c>
      <c r="Q6" s="8" t="s">
        <v>317</v>
      </c>
      <c r="R6" s="8" t="s">
        <v>318</v>
      </c>
      <c r="S6" s="8" t="s">
        <v>307</v>
      </c>
      <c r="T6" s="222"/>
      <c r="U6" s="222"/>
      <c r="V6" s="222"/>
      <c r="W6" s="222"/>
      <c r="X6" s="222"/>
      <c r="Y6" s="222"/>
      <c r="Z6" s="222"/>
      <c r="AA6" s="222"/>
      <c r="AB6" s="222"/>
      <c r="AC6" s="222"/>
      <c r="AD6" s="222"/>
      <c r="AE6" s="222"/>
      <c r="AF6" s="222"/>
      <c r="AG6" s="222"/>
      <c r="AH6" s="222"/>
      <c r="AI6" s="222"/>
      <c r="AJ6" s="222"/>
      <c r="AK6" s="222"/>
      <c r="AL6" s="222"/>
      <c r="AM6" s="222"/>
      <c r="AN6" s="222"/>
      <c r="AO6" s="222"/>
      <c r="AP6" s="222"/>
      <c r="AQ6" s="222"/>
      <c r="AR6" s="222"/>
      <c r="AS6" s="222"/>
      <c r="AT6" s="222"/>
      <c r="AU6" s="222"/>
      <c r="AV6" s="222"/>
      <c r="AW6" s="222"/>
    </row>
    <row r="7" spans="1:49" s="11" customFormat="1" ht="11.25" customHeight="1" x14ac:dyDescent="0.2">
      <c r="A7" s="507"/>
      <c r="B7" s="508"/>
      <c r="C7" s="508"/>
      <c r="D7" s="508"/>
      <c r="E7" s="508"/>
      <c r="F7" s="509"/>
      <c r="G7" s="497"/>
      <c r="H7" s="494"/>
      <c r="I7" s="592" t="s">
        <v>755</v>
      </c>
      <c r="J7" s="580" t="s">
        <v>324</v>
      </c>
      <c r="K7" s="581"/>
      <c r="L7" s="581"/>
      <c r="M7" s="581"/>
      <c r="N7" s="582"/>
      <c r="O7" s="493" t="s">
        <v>319</v>
      </c>
      <c r="P7" s="493" t="s">
        <v>320</v>
      </c>
      <c r="Q7" s="493" t="s">
        <v>321</v>
      </c>
      <c r="R7" s="493" t="s">
        <v>322</v>
      </c>
      <c r="S7" s="493" t="s">
        <v>323</v>
      </c>
      <c r="T7" s="222"/>
      <c r="U7" s="222"/>
      <c r="V7" s="222"/>
      <c r="W7" s="222"/>
      <c r="X7" s="222"/>
      <c r="Y7" s="222"/>
      <c r="Z7" s="222"/>
      <c r="AA7" s="222"/>
      <c r="AB7" s="222"/>
      <c r="AC7" s="222"/>
      <c r="AD7" s="222"/>
      <c r="AE7" s="222"/>
      <c r="AF7" s="222"/>
      <c r="AG7" s="222"/>
      <c r="AH7" s="222"/>
      <c r="AI7" s="222"/>
      <c r="AJ7" s="222"/>
      <c r="AK7" s="222"/>
      <c r="AL7" s="222"/>
      <c r="AM7" s="222"/>
      <c r="AN7" s="222"/>
      <c r="AO7" s="222"/>
      <c r="AP7" s="222"/>
      <c r="AQ7" s="222"/>
      <c r="AR7" s="222"/>
      <c r="AS7" s="222"/>
      <c r="AT7" s="222"/>
      <c r="AU7" s="222"/>
      <c r="AV7" s="222"/>
      <c r="AW7" s="222"/>
    </row>
    <row r="8" spans="1:49" s="2" customFormat="1" ht="12.75" customHeight="1" x14ac:dyDescent="0.2">
      <c r="A8" s="507"/>
      <c r="B8" s="508"/>
      <c r="C8" s="508"/>
      <c r="D8" s="508"/>
      <c r="E8" s="508"/>
      <c r="F8" s="509"/>
      <c r="G8" s="497"/>
      <c r="H8" s="494"/>
      <c r="I8" s="593"/>
      <c r="J8" s="496" t="s">
        <v>779</v>
      </c>
      <c r="K8" s="496" t="s">
        <v>780</v>
      </c>
      <c r="L8" s="496" t="s">
        <v>781</v>
      </c>
      <c r="M8" s="506" t="s">
        <v>782</v>
      </c>
      <c r="N8" s="496" t="s">
        <v>308</v>
      </c>
      <c r="O8" s="587"/>
      <c r="P8" s="587"/>
      <c r="Q8" s="585"/>
      <c r="R8" s="583"/>
      <c r="S8" s="583"/>
      <c r="T8" s="223"/>
      <c r="U8" s="222"/>
      <c r="V8" s="222"/>
      <c r="W8" s="222"/>
      <c r="X8" s="222"/>
      <c r="Y8" s="222"/>
      <c r="Z8" s="222"/>
      <c r="AA8" s="222"/>
      <c r="AB8" s="222"/>
      <c r="AC8" s="222"/>
      <c r="AD8" s="222"/>
      <c r="AE8" s="223"/>
      <c r="AF8" s="223"/>
      <c r="AG8" s="223"/>
      <c r="AH8" s="223"/>
      <c r="AI8" s="223"/>
      <c r="AJ8" s="223"/>
      <c r="AK8" s="223"/>
      <c r="AL8" s="223"/>
      <c r="AM8" s="223"/>
      <c r="AN8" s="223"/>
      <c r="AO8" s="223"/>
      <c r="AP8" s="223"/>
      <c r="AQ8" s="223"/>
      <c r="AR8" s="223"/>
      <c r="AS8" s="223"/>
      <c r="AT8" s="223"/>
      <c r="AU8" s="223"/>
      <c r="AV8" s="223"/>
      <c r="AW8" s="223"/>
    </row>
    <row r="9" spans="1:49" s="2" customFormat="1" ht="33.75" customHeight="1" x14ac:dyDescent="0.2">
      <c r="A9" s="507"/>
      <c r="B9" s="508"/>
      <c r="C9" s="508"/>
      <c r="D9" s="508"/>
      <c r="E9" s="508"/>
      <c r="F9" s="492"/>
      <c r="G9" s="498"/>
      <c r="H9" s="495"/>
      <c r="I9" s="594"/>
      <c r="J9" s="498"/>
      <c r="K9" s="498"/>
      <c r="L9" s="498"/>
      <c r="M9" s="492"/>
      <c r="N9" s="498"/>
      <c r="O9" s="588"/>
      <c r="P9" s="588"/>
      <c r="Q9" s="586"/>
      <c r="R9" s="584"/>
      <c r="S9" s="584"/>
      <c r="T9" s="223"/>
      <c r="U9" s="222"/>
      <c r="V9" s="222"/>
      <c r="W9" s="222"/>
      <c r="X9" s="222"/>
      <c r="Y9" s="222"/>
      <c r="Z9" s="222"/>
      <c r="AA9" s="222"/>
      <c r="AB9" s="222"/>
      <c r="AC9" s="222"/>
      <c r="AD9" s="222"/>
      <c r="AE9" s="223"/>
      <c r="AF9" s="223"/>
      <c r="AG9" s="223"/>
      <c r="AH9" s="223"/>
      <c r="AI9" s="223"/>
      <c r="AJ9" s="223"/>
      <c r="AK9" s="223"/>
      <c r="AL9" s="223"/>
      <c r="AM9" s="223"/>
      <c r="AN9" s="223"/>
      <c r="AO9" s="223"/>
      <c r="AP9" s="223"/>
      <c r="AQ9" s="223"/>
      <c r="AR9" s="223"/>
      <c r="AS9" s="223"/>
      <c r="AT9" s="223"/>
      <c r="AU9" s="223"/>
      <c r="AV9" s="223"/>
      <c r="AW9" s="223"/>
    </row>
    <row r="10" spans="1:49" ht="11.25" customHeight="1" x14ac:dyDescent="0.2">
      <c r="A10" s="377" t="s">
        <v>185</v>
      </c>
      <c r="B10" s="378"/>
      <c r="C10" s="378"/>
      <c r="D10" s="378"/>
      <c r="E10" s="379"/>
      <c r="F10" s="382"/>
      <c r="G10" s="320"/>
      <c r="H10" s="18"/>
      <c r="I10" s="78"/>
      <c r="J10" s="78"/>
      <c r="K10" s="78"/>
      <c r="L10" s="78"/>
      <c r="M10" s="78"/>
      <c r="N10" s="78"/>
      <c r="O10" s="78"/>
      <c r="P10" s="78"/>
      <c r="Q10" s="78"/>
      <c r="R10" s="78"/>
      <c r="S10" s="78"/>
      <c r="T10" s="224"/>
      <c r="U10" s="225"/>
      <c r="V10" s="225"/>
      <c r="W10" s="226"/>
      <c r="X10" s="226"/>
      <c r="Y10" s="226"/>
      <c r="Z10" s="226"/>
      <c r="AA10" s="226"/>
      <c r="AB10" s="226"/>
      <c r="AC10" s="226"/>
      <c r="AD10" s="226"/>
    </row>
    <row r="11" spans="1:49" x14ac:dyDescent="0.2">
      <c r="A11" s="380" t="s">
        <v>186</v>
      </c>
      <c r="B11" s="381" t="s">
        <v>187</v>
      </c>
      <c r="C11" s="355"/>
      <c r="D11" s="355"/>
      <c r="E11" s="382"/>
      <c r="F11" s="382"/>
      <c r="G11" s="458" t="s">
        <v>330</v>
      </c>
      <c r="H11" s="18"/>
      <c r="I11" s="78">
        <f t="shared" ref="I11:R11" si="0">SUM(I12,I24,I25,I28)</f>
        <v>0</v>
      </c>
      <c r="J11" s="78">
        <f t="shared" si="0"/>
        <v>0</v>
      </c>
      <c r="K11" s="78">
        <f t="shared" si="0"/>
        <v>0</v>
      </c>
      <c r="L11" s="78">
        <f t="shared" si="0"/>
        <v>0</v>
      </c>
      <c r="M11" s="78">
        <f t="shared" si="0"/>
        <v>0</v>
      </c>
      <c r="N11" s="78">
        <f t="shared" si="0"/>
        <v>0</v>
      </c>
      <c r="O11" s="78">
        <f t="shared" si="0"/>
        <v>0</v>
      </c>
      <c r="P11" s="78">
        <f t="shared" si="0"/>
        <v>0</v>
      </c>
      <c r="Q11" s="78">
        <f t="shared" si="0"/>
        <v>0</v>
      </c>
      <c r="R11" s="78">
        <f t="shared" si="0"/>
        <v>0</v>
      </c>
      <c r="S11" s="78">
        <f>(I11+J11+K11+L11+M11+N11+O11) - (P11+Q11)</f>
        <v>0</v>
      </c>
      <c r="T11" s="96"/>
      <c r="U11" s="97"/>
      <c r="V11" s="97"/>
      <c r="W11" s="97"/>
      <c r="X11" s="97"/>
      <c r="Y11" s="97"/>
      <c r="Z11" s="97"/>
      <c r="AA11" s="97"/>
      <c r="AB11" s="97"/>
      <c r="AC11" s="97"/>
      <c r="AD11" s="97"/>
    </row>
    <row r="12" spans="1:49" x14ac:dyDescent="0.2">
      <c r="A12" s="384"/>
      <c r="B12" s="385" t="s">
        <v>188</v>
      </c>
      <c r="C12" s="385" t="s">
        <v>788</v>
      </c>
      <c r="D12" s="385"/>
      <c r="E12" s="383"/>
      <c r="F12" s="382"/>
      <c r="G12" s="458" t="s">
        <v>331</v>
      </c>
      <c r="H12" s="18"/>
      <c r="I12" s="78">
        <f t="shared" ref="I12:R12" si="1">SUM(I13,I19,I20)</f>
        <v>0</v>
      </c>
      <c r="J12" s="78">
        <f t="shared" si="1"/>
        <v>0</v>
      </c>
      <c r="K12" s="78">
        <f t="shared" si="1"/>
        <v>0</v>
      </c>
      <c r="L12" s="78">
        <f t="shared" si="1"/>
        <v>0</v>
      </c>
      <c r="M12" s="78">
        <f t="shared" si="1"/>
        <v>0</v>
      </c>
      <c r="N12" s="78">
        <f t="shared" si="1"/>
        <v>0</v>
      </c>
      <c r="O12" s="78">
        <f t="shared" si="1"/>
        <v>0</v>
      </c>
      <c r="P12" s="78">
        <f t="shared" si="1"/>
        <v>0</v>
      </c>
      <c r="Q12" s="78">
        <f t="shared" si="1"/>
        <v>0</v>
      </c>
      <c r="R12" s="78">
        <f t="shared" si="1"/>
        <v>0</v>
      </c>
      <c r="S12" s="78">
        <f t="shared" ref="S12:S32" si="2">(I12+J12+K12+L12+M12+N12+O12) - (P12+Q12)</f>
        <v>0</v>
      </c>
      <c r="T12" s="96"/>
      <c r="U12" s="97"/>
      <c r="V12" s="97"/>
      <c r="W12" s="97"/>
      <c r="X12" s="97"/>
      <c r="Y12" s="97"/>
      <c r="Z12" s="97"/>
      <c r="AA12" s="97"/>
      <c r="AB12" s="97"/>
      <c r="AC12" s="97"/>
      <c r="AD12" s="97"/>
    </row>
    <row r="13" spans="1:49" x14ac:dyDescent="0.2">
      <c r="A13" s="386"/>
      <c r="B13" s="355"/>
      <c r="C13" s="387" t="s">
        <v>19</v>
      </c>
      <c r="D13" s="355" t="s">
        <v>189</v>
      </c>
      <c r="E13" s="382"/>
      <c r="F13" s="382"/>
      <c r="G13" s="458" t="s">
        <v>332</v>
      </c>
      <c r="H13" s="18"/>
      <c r="I13" s="78">
        <f t="shared" ref="I13:R13" si="3">I14+I15+I16</f>
        <v>0</v>
      </c>
      <c r="J13" s="78">
        <f t="shared" si="3"/>
        <v>0</v>
      </c>
      <c r="K13" s="78">
        <f t="shared" si="3"/>
        <v>0</v>
      </c>
      <c r="L13" s="78">
        <f t="shared" si="3"/>
        <v>0</v>
      </c>
      <c r="M13" s="78">
        <f t="shared" si="3"/>
        <v>0</v>
      </c>
      <c r="N13" s="78">
        <f t="shared" si="3"/>
        <v>0</v>
      </c>
      <c r="O13" s="78">
        <f t="shared" si="3"/>
        <v>0</v>
      </c>
      <c r="P13" s="78">
        <f t="shared" si="3"/>
        <v>0</v>
      </c>
      <c r="Q13" s="78">
        <f t="shared" si="3"/>
        <v>0</v>
      </c>
      <c r="R13" s="78">
        <f t="shared" si="3"/>
        <v>0</v>
      </c>
      <c r="S13" s="78">
        <f t="shared" si="2"/>
        <v>0</v>
      </c>
      <c r="T13" s="98"/>
      <c r="U13" s="99"/>
      <c r="V13" s="99"/>
      <c r="W13" s="99"/>
      <c r="X13" s="99"/>
      <c r="Y13" s="99"/>
      <c r="Z13" s="99"/>
      <c r="AA13" s="99"/>
      <c r="AB13" s="99"/>
      <c r="AC13" s="97"/>
      <c r="AD13" s="97"/>
    </row>
    <row r="14" spans="1:49" x14ac:dyDescent="0.2">
      <c r="A14" s="386"/>
      <c r="B14" s="355"/>
      <c r="C14" s="387"/>
      <c r="D14" s="355" t="s">
        <v>11</v>
      </c>
      <c r="E14" s="355" t="s">
        <v>789</v>
      </c>
      <c r="F14" s="382"/>
      <c r="G14" s="458" t="s">
        <v>824</v>
      </c>
      <c r="H14" s="18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78">
        <f t="shared" si="2"/>
        <v>0</v>
      </c>
      <c r="T14" s="98"/>
      <c r="U14" s="99"/>
      <c r="V14" s="99"/>
      <c r="W14" s="99"/>
      <c r="X14" s="99"/>
      <c r="Y14" s="99"/>
      <c r="Z14" s="99"/>
      <c r="AA14" s="99"/>
      <c r="AB14" s="99"/>
      <c r="AC14" s="97"/>
      <c r="AD14" s="97"/>
    </row>
    <row r="15" spans="1:49" x14ac:dyDescent="0.2">
      <c r="A15" s="386"/>
      <c r="B15" s="355"/>
      <c r="C15" s="387"/>
      <c r="D15" s="355" t="s">
        <v>15</v>
      </c>
      <c r="E15" s="392" t="s">
        <v>790</v>
      </c>
      <c r="F15" s="382"/>
      <c r="G15" s="458" t="s">
        <v>825</v>
      </c>
      <c r="H15" s="18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78">
        <f t="shared" si="2"/>
        <v>0</v>
      </c>
      <c r="T15" s="98"/>
      <c r="U15" s="99"/>
      <c r="V15" s="99"/>
      <c r="W15" s="99"/>
      <c r="X15" s="99"/>
      <c r="Y15" s="99"/>
      <c r="Z15" s="99"/>
      <c r="AA15" s="99"/>
      <c r="AB15" s="99"/>
      <c r="AC15" s="97"/>
      <c r="AD15" s="97"/>
    </row>
    <row r="16" spans="1:49" x14ac:dyDescent="0.2">
      <c r="A16" s="386"/>
      <c r="B16" s="355"/>
      <c r="C16" s="387"/>
      <c r="D16" s="355" t="s">
        <v>25</v>
      </c>
      <c r="E16" s="355" t="s">
        <v>791</v>
      </c>
      <c r="F16" s="382"/>
      <c r="G16" s="458" t="s">
        <v>826</v>
      </c>
      <c r="H16" s="85" t="s">
        <v>751</v>
      </c>
      <c r="I16" s="78">
        <f t="shared" ref="I16:R16" si="4">SUM(I17:I18)</f>
        <v>0</v>
      </c>
      <c r="J16" s="78">
        <f t="shared" si="4"/>
        <v>0</v>
      </c>
      <c r="K16" s="78">
        <f t="shared" si="4"/>
        <v>0</v>
      </c>
      <c r="L16" s="78">
        <f t="shared" si="4"/>
        <v>0</v>
      </c>
      <c r="M16" s="78">
        <f t="shared" si="4"/>
        <v>0</v>
      </c>
      <c r="N16" s="78">
        <f t="shared" si="4"/>
        <v>0</v>
      </c>
      <c r="O16" s="78">
        <f t="shared" si="4"/>
        <v>0</v>
      </c>
      <c r="P16" s="78">
        <f t="shared" si="4"/>
        <v>0</v>
      </c>
      <c r="Q16" s="78">
        <f t="shared" si="4"/>
        <v>0</v>
      </c>
      <c r="R16" s="78">
        <f t="shared" si="4"/>
        <v>0</v>
      </c>
      <c r="S16" s="78">
        <f t="shared" si="2"/>
        <v>0</v>
      </c>
      <c r="T16" s="98"/>
      <c r="U16" s="99"/>
      <c r="V16" s="99"/>
      <c r="W16" s="99"/>
      <c r="X16" s="99"/>
      <c r="Y16" s="99"/>
      <c r="Z16" s="99"/>
      <c r="AA16" s="99"/>
      <c r="AB16" s="99"/>
      <c r="AC16" s="97"/>
      <c r="AD16" s="97"/>
    </row>
    <row r="17" spans="1:30" x14ac:dyDescent="0.2">
      <c r="A17" s="129"/>
      <c r="B17" s="124"/>
      <c r="C17" s="149"/>
      <c r="D17" s="124"/>
      <c r="E17" s="310"/>
      <c r="F17" s="291"/>
      <c r="G17" s="458"/>
      <c r="H17" s="91">
        <v>1</v>
      </c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78">
        <f t="shared" si="2"/>
        <v>0</v>
      </c>
      <c r="T17" s="98"/>
      <c r="U17" s="99"/>
      <c r="V17" s="99"/>
      <c r="W17" s="99"/>
      <c r="X17" s="99"/>
      <c r="Y17" s="99"/>
      <c r="Z17" s="99"/>
      <c r="AA17" s="99"/>
      <c r="AB17" s="99"/>
      <c r="AC17" s="97"/>
      <c r="AD17" s="97"/>
    </row>
    <row r="18" spans="1:30" x14ac:dyDescent="0.2">
      <c r="A18" s="386"/>
      <c r="B18" s="355"/>
      <c r="C18" s="387"/>
      <c r="D18" s="355"/>
      <c r="E18" s="355"/>
      <c r="F18" s="382"/>
      <c r="G18" s="458"/>
      <c r="H18" s="239" t="str">
        <f>CHAR(132)</f>
        <v>„</v>
      </c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78"/>
      <c r="T18" s="98"/>
      <c r="U18" s="99"/>
      <c r="V18" s="99"/>
      <c r="W18" s="99"/>
      <c r="X18" s="99"/>
      <c r="Y18" s="99"/>
      <c r="Z18" s="99"/>
      <c r="AA18" s="99"/>
      <c r="AB18" s="99"/>
      <c r="AC18" s="97"/>
      <c r="AD18" s="97"/>
    </row>
    <row r="19" spans="1:30" x14ac:dyDescent="0.2">
      <c r="A19" s="384"/>
      <c r="B19" s="385"/>
      <c r="C19" s="390" t="s">
        <v>21</v>
      </c>
      <c r="D19" s="385" t="s">
        <v>326</v>
      </c>
      <c r="E19" s="383"/>
      <c r="F19" s="382"/>
      <c r="G19" s="458" t="s">
        <v>333</v>
      </c>
      <c r="H19" s="18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78">
        <f t="shared" si="2"/>
        <v>0</v>
      </c>
      <c r="T19" s="100"/>
      <c r="U19" s="101"/>
      <c r="V19" s="101"/>
      <c r="W19" s="101"/>
      <c r="X19" s="101"/>
      <c r="Y19" s="101"/>
      <c r="Z19" s="101"/>
      <c r="AA19" s="101"/>
      <c r="AB19" s="101"/>
      <c r="AC19" s="97"/>
      <c r="AD19" s="97"/>
    </row>
    <row r="20" spans="1:30" x14ac:dyDescent="0.2">
      <c r="A20" s="386"/>
      <c r="B20" s="355"/>
      <c r="C20" s="387" t="s">
        <v>60</v>
      </c>
      <c r="D20" s="355" t="s">
        <v>191</v>
      </c>
      <c r="E20" s="382"/>
      <c r="F20" s="382"/>
      <c r="G20" s="458" t="s">
        <v>334</v>
      </c>
      <c r="H20" s="18"/>
      <c r="I20" s="78">
        <f>SUM(I21,I22,I23)</f>
        <v>0</v>
      </c>
      <c r="J20" s="78">
        <f t="shared" ref="J20:R20" si="5">SUM(J21,J22,J23)</f>
        <v>0</v>
      </c>
      <c r="K20" s="78">
        <f t="shared" si="5"/>
        <v>0</v>
      </c>
      <c r="L20" s="78">
        <f t="shared" si="5"/>
        <v>0</v>
      </c>
      <c r="M20" s="78">
        <f t="shared" si="5"/>
        <v>0</v>
      </c>
      <c r="N20" s="78">
        <f t="shared" si="5"/>
        <v>0</v>
      </c>
      <c r="O20" s="78">
        <f t="shared" si="5"/>
        <v>0</v>
      </c>
      <c r="P20" s="78">
        <f t="shared" si="5"/>
        <v>0</v>
      </c>
      <c r="Q20" s="78">
        <f t="shared" si="5"/>
        <v>0</v>
      </c>
      <c r="R20" s="78">
        <f t="shared" si="5"/>
        <v>0</v>
      </c>
      <c r="S20" s="78">
        <f t="shared" si="2"/>
        <v>0</v>
      </c>
      <c r="T20" s="96"/>
      <c r="U20" s="97"/>
      <c r="V20" s="97"/>
      <c r="W20" s="97"/>
      <c r="X20" s="97"/>
      <c r="Y20" s="97"/>
      <c r="Z20" s="97"/>
      <c r="AA20" s="97"/>
      <c r="AB20" s="97"/>
      <c r="AC20" s="97"/>
      <c r="AD20" s="97"/>
    </row>
    <row r="21" spans="1:30" x14ac:dyDescent="0.2">
      <c r="A21" s="384"/>
      <c r="B21" s="385"/>
      <c r="C21" s="390"/>
      <c r="D21" s="385" t="s">
        <v>11</v>
      </c>
      <c r="E21" s="383" t="s">
        <v>192</v>
      </c>
      <c r="F21" s="382"/>
      <c r="G21" s="458" t="s">
        <v>335</v>
      </c>
      <c r="H21" s="18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78">
        <f t="shared" si="2"/>
        <v>0</v>
      </c>
      <c r="T21" s="98"/>
      <c r="U21" s="99"/>
      <c r="V21" s="99"/>
      <c r="W21" s="99"/>
      <c r="X21" s="99"/>
      <c r="Y21" s="99"/>
      <c r="Z21" s="99"/>
      <c r="AA21" s="99"/>
      <c r="AB21" s="99"/>
      <c r="AC21" s="97"/>
      <c r="AD21" s="97"/>
    </row>
    <row r="22" spans="1:30" x14ac:dyDescent="0.2">
      <c r="A22" s="386"/>
      <c r="B22" s="355"/>
      <c r="C22" s="355"/>
      <c r="D22" s="355" t="s">
        <v>15</v>
      </c>
      <c r="E22" s="382" t="s">
        <v>193</v>
      </c>
      <c r="F22" s="382"/>
      <c r="G22" s="458" t="s">
        <v>336</v>
      </c>
      <c r="H22" s="18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78">
        <f>(I22+J22+K22+L22+M22+N22+O22) - (P22+Q22)</f>
        <v>0</v>
      </c>
      <c r="T22" s="98"/>
      <c r="U22" s="99"/>
      <c r="V22" s="99"/>
      <c r="W22" s="99"/>
      <c r="X22" s="99"/>
      <c r="Y22" s="99"/>
      <c r="Z22" s="99"/>
      <c r="AA22" s="99"/>
      <c r="AB22" s="99"/>
      <c r="AC22" s="97"/>
      <c r="AD22" s="97"/>
    </row>
    <row r="23" spans="1:30" x14ac:dyDescent="0.2">
      <c r="A23" s="384"/>
      <c r="B23" s="385"/>
      <c r="C23" s="385"/>
      <c r="D23" s="385" t="s">
        <v>25</v>
      </c>
      <c r="E23" s="383" t="s">
        <v>194</v>
      </c>
      <c r="F23" s="382"/>
      <c r="G23" s="458" t="s">
        <v>337</v>
      </c>
      <c r="H23" s="18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78">
        <f t="shared" si="2"/>
        <v>0</v>
      </c>
      <c r="T23" s="98"/>
      <c r="U23" s="99"/>
      <c r="V23" s="99"/>
      <c r="W23" s="99"/>
      <c r="X23" s="99"/>
      <c r="Y23" s="99"/>
      <c r="Z23" s="99"/>
      <c r="AA23" s="99"/>
      <c r="AB23" s="99"/>
      <c r="AC23" s="97"/>
      <c r="AD23" s="97"/>
    </row>
    <row r="24" spans="1:30" x14ac:dyDescent="0.2">
      <c r="A24" s="386"/>
      <c r="B24" s="355" t="s">
        <v>195</v>
      </c>
      <c r="C24" s="355" t="s">
        <v>196</v>
      </c>
      <c r="D24" s="355"/>
      <c r="E24" s="382"/>
      <c r="F24" s="382"/>
      <c r="G24" s="458" t="s">
        <v>338</v>
      </c>
      <c r="H24" s="18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78">
        <f t="shared" si="2"/>
        <v>0</v>
      </c>
      <c r="T24" s="98"/>
      <c r="U24" s="99"/>
      <c r="V24" s="99"/>
      <c r="W24" s="99"/>
      <c r="X24" s="99"/>
      <c r="Y24" s="99"/>
      <c r="Z24" s="99"/>
      <c r="AA24" s="99"/>
      <c r="AB24" s="99"/>
      <c r="AC24" s="97"/>
      <c r="AD24" s="97"/>
    </row>
    <row r="25" spans="1:30" x14ac:dyDescent="0.2">
      <c r="A25" s="384"/>
      <c r="B25" s="385" t="s">
        <v>197</v>
      </c>
      <c r="C25" s="385" t="s">
        <v>198</v>
      </c>
      <c r="D25" s="385"/>
      <c r="E25" s="383"/>
      <c r="F25" s="382"/>
      <c r="G25" s="458" t="s">
        <v>339</v>
      </c>
      <c r="H25" s="18"/>
      <c r="I25" s="78">
        <f>SUM(I26,I27)</f>
        <v>0</v>
      </c>
      <c r="J25" s="78">
        <f t="shared" ref="J25:R25" si="6">SUM(J26,J27)</f>
        <v>0</v>
      </c>
      <c r="K25" s="78">
        <f t="shared" si="6"/>
        <v>0</v>
      </c>
      <c r="L25" s="78">
        <f t="shared" si="6"/>
        <v>0</v>
      </c>
      <c r="M25" s="78">
        <f t="shared" si="6"/>
        <v>0</v>
      </c>
      <c r="N25" s="78">
        <f t="shared" si="6"/>
        <v>0</v>
      </c>
      <c r="O25" s="78">
        <f t="shared" si="6"/>
        <v>0</v>
      </c>
      <c r="P25" s="78">
        <f t="shared" si="6"/>
        <v>0</v>
      </c>
      <c r="Q25" s="78">
        <f t="shared" si="6"/>
        <v>0</v>
      </c>
      <c r="R25" s="78">
        <f t="shared" si="6"/>
        <v>0</v>
      </c>
      <c r="S25" s="78">
        <f t="shared" si="2"/>
        <v>0</v>
      </c>
      <c r="T25" s="96"/>
      <c r="U25" s="97"/>
      <c r="V25" s="97"/>
      <c r="W25" s="97"/>
      <c r="X25" s="97"/>
      <c r="Y25" s="97"/>
      <c r="Z25" s="97"/>
      <c r="AA25" s="97"/>
      <c r="AB25" s="97"/>
      <c r="AC25" s="97"/>
      <c r="AD25" s="97"/>
    </row>
    <row r="26" spans="1:30" x14ac:dyDescent="0.2">
      <c r="A26" s="386"/>
      <c r="B26" s="355"/>
      <c r="C26" s="387" t="s">
        <v>19</v>
      </c>
      <c r="D26" s="355" t="s">
        <v>199</v>
      </c>
      <c r="E26" s="382"/>
      <c r="F26" s="382"/>
      <c r="G26" s="458" t="s">
        <v>340</v>
      </c>
      <c r="H26" s="18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78">
        <f t="shared" si="2"/>
        <v>0</v>
      </c>
      <c r="T26" s="98"/>
      <c r="U26" s="99"/>
      <c r="V26" s="99"/>
      <c r="W26" s="99"/>
      <c r="X26" s="99"/>
      <c r="Y26" s="99"/>
      <c r="Z26" s="99"/>
      <c r="AA26" s="99"/>
      <c r="AB26" s="99"/>
      <c r="AC26" s="97"/>
      <c r="AD26" s="97"/>
    </row>
    <row r="27" spans="1:30" x14ac:dyDescent="0.2">
      <c r="A27" s="384"/>
      <c r="B27" s="385"/>
      <c r="C27" s="390" t="s">
        <v>21</v>
      </c>
      <c r="D27" s="391" t="s">
        <v>200</v>
      </c>
      <c r="E27" s="383"/>
      <c r="F27" s="382"/>
      <c r="G27" s="458" t="s">
        <v>341</v>
      </c>
      <c r="H27" s="18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78">
        <f t="shared" si="2"/>
        <v>0</v>
      </c>
      <c r="T27" s="98"/>
      <c r="U27" s="99"/>
      <c r="V27" s="99"/>
      <c r="W27" s="99"/>
      <c r="X27" s="99"/>
      <c r="Y27" s="99"/>
      <c r="Z27" s="99"/>
      <c r="AA27" s="99"/>
      <c r="AB27" s="99"/>
      <c r="AC27" s="97"/>
      <c r="AD27" s="97"/>
    </row>
    <row r="28" spans="1:30" x14ac:dyDescent="0.2">
      <c r="A28" s="386"/>
      <c r="B28" s="355" t="s">
        <v>201</v>
      </c>
      <c r="C28" s="355" t="s">
        <v>202</v>
      </c>
      <c r="D28" s="355"/>
      <c r="E28" s="382"/>
      <c r="F28" s="382"/>
      <c r="G28" s="458" t="s">
        <v>342</v>
      </c>
      <c r="H28" s="18"/>
      <c r="I28" s="78">
        <f>SUM(I29,I32)</f>
        <v>0</v>
      </c>
      <c r="J28" s="78">
        <f t="shared" ref="J28:R28" si="7">SUM(J29,J32)</f>
        <v>0</v>
      </c>
      <c r="K28" s="78">
        <f t="shared" si="7"/>
        <v>0</v>
      </c>
      <c r="L28" s="78">
        <f t="shared" si="7"/>
        <v>0</v>
      </c>
      <c r="M28" s="78">
        <f t="shared" si="7"/>
        <v>0</v>
      </c>
      <c r="N28" s="78">
        <f t="shared" si="7"/>
        <v>0</v>
      </c>
      <c r="O28" s="78">
        <f t="shared" si="7"/>
        <v>0</v>
      </c>
      <c r="P28" s="78">
        <f t="shared" si="7"/>
        <v>0</v>
      </c>
      <c r="Q28" s="78">
        <f t="shared" si="7"/>
        <v>0</v>
      </c>
      <c r="R28" s="78">
        <f t="shared" si="7"/>
        <v>0</v>
      </c>
      <c r="S28" s="78">
        <f t="shared" si="2"/>
        <v>0</v>
      </c>
      <c r="T28" s="96"/>
      <c r="U28" s="97"/>
      <c r="V28" s="97"/>
      <c r="W28" s="97"/>
      <c r="X28" s="97"/>
      <c r="Y28" s="97"/>
      <c r="Z28" s="97"/>
      <c r="AA28" s="97"/>
      <c r="AB28" s="97"/>
      <c r="AC28" s="97"/>
      <c r="AD28" s="97"/>
    </row>
    <row r="29" spans="1:30" x14ac:dyDescent="0.2">
      <c r="A29" s="386"/>
      <c r="B29" s="355"/>
      <c r="C29" s="387" t="s">
        <v>19</v>
      </c>
      <c r="D29" s="355" t="s">
        <v>327</v>
      </c>
      <c r="E29" s="383"/>
      <c r="F29" s="382"/>
      <c r="G29" s="458" t="s">
        <v>343</v>
      </c>
      <c r="H29" s="18"/>
      <c r="I29" s="78">
        <f>I30+I31</f>
        <v>0</v>
      </c>
      <c r="J29" s="78">
        <f t="shared" ref="J29:R29" si="8">J30+J31</f>
        <v>0</v>
      </c>
      <c r="K29" s="78">
        <f t="shared" si="8"/>
        <v>0</v>
      </c>
      <c r="L29" s="78">
        <f t="shared" si="8"/>
        <v>0</v>
      </c>
      <c r="M29" s="78">
        <f t="shared" si="8"/>
        <v>0</v>
      </c>
      <c r="N29" s="78">
        <f t="shared" si="8"/>
        <v>0</v>
      </c>
      <c r="O29" s="78">
        <f t="shared" si="8"/>
        <v>0</v>
      </c>
      <c r="P29" s="78">
        <f t="shared" si="8"/>
        <v>0</v>
      </c>
      <c r="Q29" s="78">
        <f t="shared" si="8"/>
        <v>0</v>
      </c>
      <c r="R29" s="78">
        <f t="shared" si="8"/>
        <v>0</v>
      </c>
      <c r="S29" s="78">
        <f t="shared" si="2"/>
        <v>0</v>
      </c>
      <c r="T29" s="98"/>
      <c r="U29" s="99"/>
      <c r="V29" s="99"/>
      <c r="W29" s="99"/>
      <c r="X29" s="99"/>
      <c r="Y29" s="99"/>
      <c r="Z29" s="99"/>
      <c r="AA29" s="99"/>
      <c r="AB29" s="99"/>
      <c r="AC29" s="97"/>
      <c r="AD29" s="97"/>
    </row>
    <row r="30" spans="1:30" x14ac:dyDescent="0.2">
      <c r="A30" s="386"/>
      <c r="B30" s="355"/>
      <c r="C30" s="387"/>
      <c r="D30" s="392" t="s">
        <v>11</v>
      </c>
      <c r="E30" s="355" t="s">
        <v>792</v>
      </c>
      <c r="F30" s="382"/>
      <c r="G30" s="458" t="s">
        <v>827</v>
      </c>
      <c r="H30" s="18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78">
        <f t="shared" si="2"/>
        <v>0</v>
      </c>
      <c r="T30" s="98"/>
      <c r="U30" s="99"/>
      <c r="V30" s="99"/>
      <c r="W30" s="99"/>
      <c r="X30" s="99"/>
      <c r="Y30" s="99"/>
      <c r="Z30" s="99"/>
      <c r="AA30" s="99"/>
      <c r="AB30" s="99"/>
      <c r="AC30" s="97"/>
      <c r="AD30" s="97"/>
    </row>
    <row r="31" spans="1:30" x14ac:dyDescent="0.2">
      <c r="A31" s="384"/>
      <c r="B31" s="385"/>
      <c r="C31" s="390"/>
      <c r="D31" s="355" t="s">
        <v>15</v>
      </c>
      <c r="E31" s="355" t="s">
        <v>793</v>
      </c>
      <c r="F31" s="382"/>
      <c r="G31" s="458" t="s">
        <v>828</v>
      </c>
      <c r="H31" s="18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78">
        <f t="shared" si="2"/>
        <v>0</v>
      </c>
      <c r="T31" s="98"/>
      <c r="U31" s="99"/>
      <c r="V31" s="99"/>
      <c r="W31" s="99"/>
      <c r="X31" s="99"/>
      <c r="Y31" s="99"/>
      <c r="Z31" s="99"/>
      <c r="AA31" s="99"/>
      <c r="AB31" s="99"/>
      <c r="AC31" s="97"/>
      <c r="AD31" s="97"/>
    </row>
    <row r="32" spans="1:30" x14ac:dyDescent="0.2">
      <c r="A32" s="386"/>
      <c r="B32" s="355"/>
      <c r="C32" s="387" t="s">
        <v>21</v>
      </c>
      <c r="D32" s="355" t="s">
        <v>194</v>
      </c>
      <c r="E32" s="382"/>
      <c r="F32" s="382"/>
      <c r="G32" s="458" t="s">
        <v>344</v>
      </c>
      <c r="H32" s="18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78">
        <f t="shared" si="2"/>
        <v>0</v>
      </c>
      <c r="T32" s="98"/>
      <c r="U32" s="99"/>
      <c r="V32" s="99"/>
      <c r="W32" s="99"/>
      <c r="X32" s="99"/>
      <c r="Y32" s="99"/>
      <c r="Z32" s="99"/>
      <c r="AA32" s="99"/>
      <c r="AB32" s="99"/>
      <c r="AC32" s="97"/>
      <c r="AD32" s="97"/>
    </row>
    <row r="33" spans="1:244" x14ac:dyDescent="0.2">
      <c r="A33" s="393" t="s">
        <v>33</v>
      </c>
      <c r="B33" s="394" t="s">
        <v>204</v>
      </c>
      <c r="C33" s="385"/>
      <c r="D33" s="385"/>
      <c r="E33" s="383"/>
      <c r="F33" s="382"/>
      <c r="G33" s="458" t="s">
        <v>345</v>
      </c>
      <c r="H33" s="18"/>
      <c r="I33" s="60"/>
      <c r="J33" s="60"/>
      <c r="K33" s="60"/>
      <c r="L33" s="60"/>
      <c r="M33" s="60"/>
      <c r="N33" s="60"/>
      <c r="O33" s="60"/>
      <c r="P33" s="60"/>
      <c r="Q33" s="60"/>
      <c r="R33" s="60"/>
      <c r="S33" s="295"/>
      <c r="T33" s="224"/>
      <c r="U33" s="225"/>
      <c r="V33" s="225"/>
      <c r="W33" s="226"/>
      <c r="X33" s="226"/>
      <c r="Y33" s="226"/>
      <c r="Z33" s="226"/>
      <c r="AA33" s="226"/>
      <c r="AB33" s="226"/>
      <c r="AC33" s="226"/>
      <c r="AD33" s="226"/>
    </row>
    <row r="34" spans="1:244" x14ac:dyDescent="0.2">
      <c r="A34" s="386"/>
      <c r="B34" s="355" t="s">
        <v>188</v>
      </c>
      <c r="C34" s="355" t="s">
        <v>205</v>
      </c>
      <c r="D34" s="355"/>
      <c r="E34" s="382"/>
      <c r="F34" s="382"/>
      <c r="G34" s="458" t="s">
        <v>346</v>
      </c>
      <c r="H34" s="18"/>
      <c r="I34" s="60"/>
      <c r="J34" s="60"/>
      <c r="K34" s="60"/>
      <c r="L34" s="60"/>
      <c r="M34" s="60"/>
      <c r="N34" s="60"/>
      <c r="O34" s="60"/>
      <c r="P34" s="60"/>
      <c r="Q34" s="60"/>
      <c r="R34" s="60"/>
      <c r="S34" s="295"/>
      <c r="T34" s="224"/>
      <c r="U34" s="225"/>
      <c r="V34" s="225"/>
      <c r="W34" s="226"/>
      <c r="X34" s="226"/>
      <c r="Y34" s="226"/>
      <c r="Z34" s="226"/>
      <c r="AA34" s="226"/>
      <c r="AB34" s="226"/>
      <c r="AC34" s="226"/>
      <c r="AD34" s="226"/>
    </row>
    <row r="35" spans="1:244" x14ac:dyDescent="0.2">
      <c r="A35" s="384"/>
      <c r="B35" s="385" t="s">
        <v>195</v>
      </c>
      <c r="C35" s="385" t="s">
        <v>306</v>
      </c>
      <c r="D35" s="385"/>
      <c r="E35" s="383"/>
      <c r="F35" s="382"/>
      <c r="G35" s="458" t="s">
        <v>347</v>
      </c>
      <c r="H35" s="18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295"/>
      <c r="T35" s="224"/>
      <c r="U35" s="225"/>
      <c r="V35" s="225"/>
      <c r="W35" s="226"/>
      <c r="X35" s="226"/>
      <c r="Y35" s="226"/>
      <c r="Z35" s="226"/>
      <c r="AA35" s="226"/>
      <c r="AB35" s="226"/>
      <c r="AC35" s="226"/>
      <c r="AD35" s="226"/>
    </row>
    <row r="36" spans="1:244" x14ac:dyDescent="0.2">
      <c r="A36" s="386"/>
      <c r="B36" s="355" t="s">
        <v>197</v>
      </c>
      <c r="C36" s="355" t="s">
        <v>198</v>
      </c>
      <c r="D36" s="355"/>
      <c r="E36" s="382"/>
      <c r="F36" s="382"/>
      <c r="G36" s="458" t="s">
        <v>348</v>
      </c>
      <c r="H36" s="18"/>
      <c r="I36" s="60"/>
      <c r="J36" s="60"/>
      <c r="K36" s="60"/>
      <c r="L36" s="60"/>
      <c r="M36" s="60"/>
      <c r="N36" s="60"/>
      <c r="O36" s="60"/>
      <c r="P36" s="60"/>
      <c r="Q36" s="60"/>
      <c r="R36" s="60"/>
      <c r="S36" s="295"/>
      <c r="T36" s="224"/>
      <c r="U36" s="225"/>
      <c r="V36" s="225"/>
      <c r="W36" s="226"/>
      <c r="X36" s="226"/>
      <c r="Y36" s="226"/>
      <c r="Z36" s="226"/>
      <c r="AA36" s="226"/>
      <c r="AB36" s="226"/>
      <c r="AC36" s="226"/>
      <c r="AD36" s="226"/>
    </row>
    <row r="37" spans="1:244" x14ac:dyDescent="0.2">
      <c r="A37" s="384"/>
      <c r="B37" s="385"/>
      <c r="C37" s="390" t="s">
        <v>19</v>
      </c>
      <c r="D37" s="385" t="s">
        <v>207</v>
      </c>
      <c r="E37" s="383"/>
      <c r="F37" s="382"/>
      <c r="G37" s="458" t="s">
        <v>349</v>
      </c>
      <c r="H37" s="18"/>
      <c r="I37" s="60"/>
      <c r="J37" s="60"/>
      <c r="K37" s="60"/>
      <c r="L37" s="60"/>
      <c r="M37" s="60"/>
      <c r="N37" s="60"/>
      <c r="O37" s="60"/>
      <c r="P37" s="60"/>
      <c r="Q37" s="60"/>
      <c r="R37" s="60"/>
      <c r="S37" s="295"/>
      <c r="T37" s="224"/>
      <c r="U37" s="225"/>
      <c r="V37" s="225"/>
      <c r="W37" s="226"/>
      <c r="X37" s="226"/>
      <c r="Y37" s="226"/>
      <c r="Z37" s="226"/>
      <c r="AA37" s="226"/>
      <c r="AB37" s="226"/>
      <c r="AC37" s="226"/>
      <c r="AD37" s="226"/>
    </row>
    <row r="38" spans="1:244" x14ac:dyDescent="0.2">
      <c r="A38" s="386"/>
      <c r="B38" s="355"/>
      <c r="C38" s="387" t="s">
        <v>21</v>
      </c>
      <c r="D38" s="395" t="s">
        <v>200</v>
      </c>
      <c r="E38" s="382"/>
      <c r="F38" s="382"/>
      <c r="G38" s="458" t="s">
        <v>350</v>
      </c>
      <c r="H38" s="18"/>
      <c r="I38" s="60"/>
      <c r="J38" s="60"/>
      <c r="K38" s="60"/>
      <c r="L38" s="60"/>
      <c r="M38" s="60"/>
      <c r="N38" s="60"/>
      <c r="O38" s="60"/>
      <c r="P38" s="60"/>
      <c r="Q38" s="60"/>
      <c r="R38" s="60"/>
      <c r="S38" s="295"/>
      <c r="T38" s="224"/>
      <c r="U38" s="225"/>
      <c r="V38" s="225"/>
      <c r="W38" s="226"/>
      <c r="X38" s="226"/>
      <c r="Y38" s="226"/>
      <c r="Z38" s="226"/>
      <c r="AA38" s="226"/>
      <c r="AB38" s="226"/>
      <c r="AC38" s="226"/>
      <c r="AD38" s="226"/>
    </row>
    <row r="39" spans="1:244" s="16" customFormat="1" x14ac:dyDescent="0.2">
      <c r="A39" s="384"/>
      <c r="B39" s="385" t="s">
        <v>201</v>
      </c>
      <c r="C39" s="385" t="s">
        <v>208</v>
      </c>
      <c r="D39" s="385"/>
      <c r="E39" s="383"/>
      <c r="F39" s="382"/>
      <c r="G39" s="458" t="s">
        <v>351</v>
      </c>
      <c r="H39" s="18"/>
      <c r="I39" s="60"/>
      <c r="J39" s="60"/>
      <c r="K39" s="60"/>
      <c r="L39" s="60"/>
      <c r="M39" s="60"/>
      <c r="N39" s="60"/>
      <c r="O39" s="60"/>
      <c r="P39" s="60"/>
      <c r="Q39" s="60"/>
      <c r="R39" s="60"/>
      <c r="S39" s="295"/>
      <c r="T39" s="97"/>
      <c r="U39" s="225"/>
      <c r="V39" s="225"/>
      <c r="W39" s="226"/>
      <c r="X39" s="226"/>
      <c r="Y39" s="226"/>
      <c r="Z39" s="226"/>
      <c r="AA39" s="226"/>
      <c r="AB39" s="226"/>
      <c r="AC39" s="226"/>
      <c r="AD39" s="226"/>
      <c r="AE39" s="226"/>
      <c r="AF39" s="226"/>
      <c r="AG39" s="226"/>
      <c r="AH39" s="226"/>
      <c r="AI39" s="226"/>
      <c r="AJ39" s="226"/>
      <c r="AK39" s="226"/>
      <c r="AL39" s="226"/>
      <c r="AM39" s="226"/>
      <c r="AN39" s="226"/>
      <c r="AO39" s="226"/>
      <c r="AP39" s="226"/>
      <c r="AQ39" s="226"/>
      <c r="AR39" s="226"/>
      <c r="AS39" s="226"/>
      <c r="AT39" s="226"/>
      <c r="AU39" s="226"/>
      <c r="AV39" s="226"/>
      <c r="AW39" s="226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</row>
    <row r="40" spans="1:244" s="16" customFormat="1" x14ac:dyDescent="0.2">
      <c r="A40" s="397" t="s">
        <v>48</v>
      </c>
      <c r="B40" s="381" t="s">
        <v>209</v>
      </c>
      <c r="C40" s="395"/>
      <c r="D40" s="355"/>
      <c r="E40" s="382"/>
      <c r="F40" s="382"/>
      <c r="G40" s="458" t="s">
        <v>352</v>
      </c>
      <c r="H40" s="18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78">
        <f>(I40+J40+K40+L40+M40+N40+O40) - (P40+Q40)</f>
        <v>0</v>
      </c>
      <c r="T40" s="97"/>
      <c r="U40" s="225"/>
      <c r="V40" s="225"/>
      <c r="W40" s="226"/>
      <c r="X40" s="226"/>
      <c r="Y40" s="226"/>
      <c r="Z40" s="226"/>
      <c r="AA40" s="226"/>
      <c r="AB40" s="226"/>
      <c r="AC40" s="226"/>
      <c r="AD40" s="226"/>
      <c r="AE40" s="227"/>
      <c r="AF40" s="227"/>
      <c r="AG40" s="227"/>
      <c r="AH40" s="227"/>
      <c r="AI40" s="227"/>
      <c r="AJ40" s="227"/>
      <c r="AK40" s="227"/>
      <c r="AL40" s="227"/>
      <c r="AM40" s="227"/>
      <c r="AN40" s="227"/>
      <c r="AO40" s="227"/>
      <c r="AP40" s="227"/>
      <c r="AQ40" s="227"/>
      <c r="AR40" s="227"/>
      <c r="AS40" s="227"/>
      <c r="AT40" s="227"/>
      <c r="AU40" s="227"/>
      <c r="AV40" s="227"/>
      <c r="AW40" s="227"/>
    </row>
    <row r="41" spans="1:244" s="19" customFormat="1" x14ac:dyDescent="0.2">
      <c r="A41" s="407" t="s">
        <v>355</v>
      </c>
      <c r="B41" s="392"/>
      <c r="C41" s="392"/>
      <c r="D41" s="392"/>
      <c r="E41" s="388"/>
      <c r="F41" s="433"/>
      <c r="G41" s="458" t="s">
        <v>353</v>
      </c>
      <c r="H41" s="18"/>
      <c r="I41" s="77">
        <f t="shared" ref="I41:R41" si="9">SUM(I11,I33,I40)</f>
        <v>0</v>
      </c>
      <c r="J41" s="77">
        <f t="shared" si="9"/>
        <v>0</v>
      </c>
      <c r="K41" s="77">
        <f t="shared" si="9"/>
        <v>0</v>
      </c>
      <c r="L41" s="77">
        <f t="shared" si="9"/>
        <v>0</v>
      </c>
      <c r="M41" s="77">
        <f t="shared" si="9"/>
        <v>0</v>
      </c>
      <c r="N41" s="77">
        <f t="shared" si="9"/>
        <v>0</v>
      </c>
      <c r="O41" s="77">
        <f t="shared" si="9"/>
        <v>0</v>
      </c>
      <c r="P41" s="77">
        <f t="shared" si="9"/>
        <v>0</v>
      </c>
      <c r="Q41" s="77">
        <f t="shared" si="9"/>
        <v>0</v>
      </c>
      <c r="R41" s="77">
        <f t="shared" si="9"/>
        <v>0</v>
      </c>
      <c r="S41" s="78">
        <f>(I41+J41+K41+L41+M41+N41+O41) - (P41+Q41)</f>
        <v>0</v>
      </c>
      <c r="T41" s="102"/>
      <c r="U41" s="103"/>
      <c r="V41" s="103"/>
      <c r="W41" s="103"/>
      <c r="X41" s="103"/>
      <c r="Y41" s="103"/>
      <c r="Z41" s="103"/>
      <c r="AA41" s="103"/>
      <c r="AB41" s="103"/>
      <c r="AC41" s="97"/>
      <c r="AD41" s="97"/>
      <c r="AE41" s="228"/>
      <c r="AF41" s="228"/>
      <c r="AG41" s="228"/>
      <c r="AH41" s="228"/>
      <c r="AI41" s="228"/>
      <c r="AJ41" s="228"/>
      <c r="AK41" s="228"/>
      <c r="AL41" s="228"/>
      <c r="AM41" s="228"/>
      <c r="AN41" s="228"/>
      <c r="AO41" s="228"/>
      <c r="AP41" s="228"/>
      <c r="AQ41" s="228"/>
      <c r="AR41" s="228"/>
      <c r="AS41" s="228"/>
      <c r="AT41" s="228"/>
      <c r="AU41" s="228"/>
      <c r="AV41" s="228"/>
      <c r="AW41" s="228"/>
    </row>
    <row r="42" spans="1:244" s="154" customFormat="1" x14ac:dyDescent="0.2">
      <c r="A42" s="113"/>
      <c r="B42" s="14"/>
      <c r="C42" s="131"/>
      <c r="D42" s="39"/>
      <c r="E42" s="136"/>
      <c r="F42" s="137"/>
      <c r="G42" s="52" t="s">
        <v>184</v>
      </c>
      <c r="H42" s="40"/>
      <c r="I42" s="32"/>
      <c r="J42" s="30"/>
      <c r="K42" s="31"/>
      <c r="L42" s="30"/>
      <c r="M42" s="30"/>
      <c r="N42" s="30"/>
      <c r="O42" s="30"/>
      <c r="P42" s="31"/>
      <c r="Q42" s="30"/>
      <c r="R42" s="30"/>
      <c r="S42" s="31"/>
      <c r="T42" s="103"/>
      <c r="U42" s="229"/>
      <c r="V42" s="229"/>
      <c r="W42" s="230"/>
      <c r="X42" s="230"/>
      <c r="Y42" s="230"/>
      <c r="Z42" s="230"/>
      <c r="AA42" s="230"/>
      <c r="AB42" s="230"/>
      <c r="AC42" s="230"/>
      <c r="AD42" s="230"/>
      <c r="AE42" s="230"/>
      <c r="AF42" s="230"/>
      <c r="AG42" s="230"/>
      <c r="AH42" s="230"/>
      <c r="AI42" s="230"/>
      <c r="AJ42" s="230"/>
      <c r="AK42" s="230"/>
      <c r="AL42" s="230"/>
      <c r="AM42" s="230"/>
      <c r="AN42" s="230"/>
      <c r="AO42" s="230"/>
      <c r="AP42" s="230"/>
      <c r="AQ42" s="230"/>
      <c r="AR42" s="230"/>
      <c r="AS42" s="230"/>
      <c r="AT42" s="230"/>
      <c r="AU42" s="230"/>
      <c r="AV42" s="230"/>
      <c r="AW42" s="230"/>
    </row>
    <row r="43" spans="1:244" s="154" customFormat="1" x14ac:dyDescent="0.2">
      <c r="A43" s="24"/>
      <c r="B43" s="39"/>
      <c r="C43" s="607"/>
      <c r="D43" s="607"/>
      <c r="E43" s="214"/>
      <c r="F43" s="214"/>
      <c r="G43" s="40"/>
      <c r="H43" s="40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103"/>
      <c r="U43" s="229"/>
      <c r="V43" s="229"/>
      <c r="W43" s="230"/>
      <c r="X43" s="230"/>
      <c r="Y43" s="230"/>
      <c r="Z43" s="230"/>
      <c r="AA43" s="230"/>
      <c r="AB43" s="230"/>
      <c r="AC43" s="230"/>
      <c r="AD43" s="230"/>
      <c r="AE43" s="230"/>
      <c r="AF43" s="230"/>
      <c r="AG43" s="230"/>
      <c r="AH43" s="230"/>
      <c r="AI43" s="230"/>
      <c r="AJ43" s="230"/>
      <c r="AK43" s="230"/>
      <c r="AL43" s="230"/>
      <c r="AM43" s="230"/>
      <c r="AN43" s="230"/>
      <c r="AO43" s="230"/>
      <c r="AP43" s="230"/>
      <c r="AQ43" s="230"/>
      <c r="AR43" s="230"/>
      <c r="AS43" s="230"/>
      <c r="AT43" s="230"/>
      <c r="AU43" s="230"/>
      <c r="AV43" s="230"/>
      <c r="AW43" s="230"/>
    </row>
    <row r="44" spans="1:244" s="154" customFormat="1" x14ac:dyDescent="0.2">
      <c r="A44" s="24"/>
      <c r="B44" s="39"/>
      <c r="C44" s="135"/>
      <c r="D44" s="489"/>
      <c r="E44" s="489"/>
      <c r="F44" s="489"/>
      <c r="G44" s="40"/>
      <c r="H44" s="40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103"/>
      <c r="U44" s="229"/>
      <c r="V44" s="229"/>
      <c r="W44" s="230"/>
      <c r="X44" s="230"/>
      <c r="Y44" s="230"/>
      <c r="Z44" s="230"/>
      <c r="AA44" s="230"/>
      <c r="AB44" s="230"/>
      <c r="AC44" s="230"/>
      <c r="AD44" s="230"/>
      <c r="AE44" s="230"/>
      <c r="AF44" s="230"/>
      <c r="AG44" s="230"/>
      <c r="AH44" s="230"/>
      <c r="AI44" s="230"/>
      <c r="AJ44" s="230"/>
      <c r="AK44" s="230"/>
      <c r="AL44" s="230"/>
      <c r="AM44" s="230"/>
      <c r="AN44" s="230"/>
      <c r="AO44" s="230"/>
      <c r="AP44" s="230"/>
      <c r="AQ44" s="230"/>
      <c r="AR44" s="230"/>
      <c r="AS44" s="230"/>
      <c r="AT44" s="230"/>
      <c r="AU44" s="230"/>
      <c r="AV44" s="230"/>
      <c r="AW44" s="230"/>
    </row>
    <row r="45" spans="1:244" s="154" customFormat="1" x14ac:dyDescent="0.2">
      <c r="A45" s="24"/>
      <c r="B45" s="39"/>
      <c r="C45" s="135"/>
      <c r="D45" s="489"/>
      <c r="E45" s="489"/>
      <c r="F45" s="489"/>
      <c r="G45" s="40"/>
      <c r="H45" s="40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103"/>
      <c r="U45" s="229"/>
      <c r="V45" s="229"/>
      <c r="W45" s="230"/>
      <c r="X45" s="230"/>
      <c r="Y45" s="230"/>
      <c r="Z45" s="230"/>
      <c r="AA45" s="230"/>
      <c r="AB45" s="230"/>
      <c r="AC45" s="230"/>
      <c r="AD45" s="230"/>
      <c r="AE45" s="230"/>
      <c r="AF45" s="230"/>
      <c r="AG45" s="230"/>
      <c r="AH45" s="230"/>
      <c r="AI45" s="230"/>
      <c r="AJ45" s="230"/>
      <c r="AK45" s="230"/>
      <c r="AL45" s="230"/>
      <c r="AM45" s="230"/>
      <c r="AN45" s="230"/>
      <c r="AO45" s="230"/>
      <c r="AP45" s="230"/>
      <c r="AQ45" s="230"/>
      <c r="AR45" s="230"/>
      <c r="AS45" s="230"/>
      <c r="AT45" s="230"/>
      <c r="AU45" s="230"/>
      <c r="AV45" s="230"/>
      <c r="AW45" s="230"/>
    </row>
    <row r="46" spans="1:244" s="154" customFormat="1" x14ac:dyDescent="0.2">
      <c r="A46" s="24"/>
      <c r="B46" s="39"/>
      <c r="C46" s="131"/>
      <c r="D46" s="39"/>
      <c r="E46" s="39"/>
      <c r="F46" s="39"/>
      <c r="G46" s="40"/>
      <c r="H46" s="40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103"/>
      <c r="U46" s="229"/>
      <c r="V46" s="229"/>
      <c r="W46" s="230"/>
      <c r="X46" s="230"/>
      <c r="Y46" s="230"/>
      <c r="Z46" s="230"/>
      <c r="AA46" s="230"/>
      <c r="AB46" s="230"/>
      <c r="AC46" s="230"/>
      <c r="AD46" s="230"/>
      <c r="AE46" s="230"/>
      <c r="AF46" s="230"/>
      <c r="AG46" s="230"/>
      <c r="AH46" s="230"/>
      <c r="AI46" s="230"/>
      <c r="AJ46" s="230"/>
      <c r="AK46" s="230"/>
      <c r="AL46" s="230"/>
      <c r="AM46" s="230"/>
      <c r="AN46" s="230"/>
      <c r="AO46" s="230"/>
      <c r="AP46" s="230"/>
      <c r="AQ46" s="230"/>
      <c r="AR46" s="230"/>
      <c r="AS46" s="230"/>
      <c r="AT46" s="230"/>
      <c r="AU46" s="230"/>
      <c r="AV46" s="230"/>
      <c r="AW46" s="230"/>
    </row>
    <row r="47" spans="1:244" s="154" customFormat="1" x14ac:dyDescent="0.2">
      <c r="A47" s="24"/>
      <c r="B47" s="39"/>
      <c r="C47" s="150"/>
      <c r="D47" s="39"/>
      <c r="E47" s="39"/>
      <c r="F47" s="39"/>
      <c r="G47" s="40"/>
      <c r="H47" s="40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103"/>
      <c r="U47" s="229"/>
      <c r="V47" s="229"/>
      <c r="W47" s="230"/>
      <c r="X47" s="230"/>
      <c r="Y47" s="230"/>
      <c r="Z47" s="230"/>
      <c r="AA47" s="230"/>
      <c r="AB47" s="230"/>
      <c r="AC47" s="230"/>
      <c r="AD47" s="230"/>
      <c r="AE47" s="230"/>
      <c r="AF47" s="230"/>
      <c r="AG47" s="230"/>
      <c r="AH47" s="230"/>
      <c r="AI47" s="230"/>
      <c r="AJ47" s="230"/>
      <c r="AK47" s="230"/>
      <c r="AL47" s="230"/>
      <c r="AM47" s="230"/>
      <c r="AN47" s="230"/>
      <c r="AO47" s="230"/>
      <c r="AP47" s="230"/>
      <c r="AQ47" s="230"/>
      <c r="AR47" s="230"/>
      <c r="AS47" s="230"/>
      <c r="AT47" s="230"/>
      <c r="AU47" s="230"/>
      <c r="AV47" s="230"/>
      <c r="AW47" s="230"/>
    </row>
    <row r="48" spans="1:244" s="154" customFormat="1" x14ac:dyDescent="0.2">
      <c r="A48" s="24"/>
      <c r="B48" s="39"/>
      <c r="C48" s="140"/>
      <c r="D48" s="39"/>
      <c r="E48" s="39"/>
      <c r="F48" s="39"/>
      <c r="G48" s="40"/>
      <c r="H48" s="40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103"/>
      <c r="U48" s="229"/>
      <c r="V48" s="229"/>
      <c r="W48" s="230"/>
      <c r="X48" s="230"/>
      <c r="Y48" s="230"/>
      <c r="Z48" s="230"/>
      <c r="AA48" s="230"/>
      <c r="AB48" s="230"/>
      <c r="AC48" s="230"/>
      <c r="AD48" s="230"/>
      <c r="AE48" s="230"/>
      <c r="AF48" s="230"/>
      <c r="AG48" s="230"/>
      <c r="AH48" s="230"/>
      <c r="AI48" s="230"/>
      <c r="AJ48" s="230"/>
      <c r="AK48" s="230"/>
      <c r="AL48" s="230"/>
      <c r="AM48" s="230"/>
      <c r="AN48" s="230"/>
      <c r="AO48" s="230"/>
      <c r="AP48" s="230"/>
      <c r="AQ48" s="230"/>
      <c r="AR48" s="230"/>
      <c r="AS48" s="230"/>
      <c r="AT48" s="230"/>
      <c r="AU48" s="230"/>
      <c r="AV48" s="230"/>
      <c r="AW48" s="230"/>
    </row>
    <row r="49" spans="1:49" s="154" customFormat="1" x14ac:dyDescent="0.2">
      <c r="A49" s="24"/>
      <c r="B49" s="39"/>
      <c r="C49" s="131"/>
      <c r="D49" s="39"/>
      <c r="E49" s="39"/>
      <c r="F49" s="39"/>
      <c r="G49" s="40"/>
      <c r="H49" s="40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103"/>
      <c r="U49" s="229"/>
      <c r="V49" s="229"/>
      <c r="W49" s="230"/>
      <c r="X49" s="230"/>
      <c r="Y49" s="230"/>
      <c r="Z49" s="230"/>
      <c r="AA49" s="230"/>
      <c r="AB49" s="230"/>
      <c r="AC49" s="230"/>
      <c r="AD49" s="230"/>
      <c r="AE49" s="230"/>
      <c r="AF49" s="230"/>
      <c r="AG49" s="230"/>
      <c r="AH49" s="230"/>
      <c r="AI49" s="230"/>
      <c r="AJ49" s="230"/>
      <c r="AK49" s="230"/>
      <c r="AL49" s="230"/>
      <c r="AM49" s="230"/>
      <c r="AN49" s="230"/>
      <c r="AO49" s="230"/>
      <c r="AP49" s="230"/>
      <c r="AQ49" s="230"/>
      <c r="AR49" s="230"/>
      <c r="AS49" s="230"/>
      <c r="AT49" s="230"/>
      <c r="AU49" s="230"/>
      <c r="AV49" s="230"/>
      <c r="AW49" s="230"/>
    </row>
    <row r="50" spans="1:49" s="154" customFormat="1" x14ac:dyDescent="0.2">
      <c r="A50" s="24"/>
      <c r="B50" s="39"/>
      <c r="C50" s="135"/>
      <c r="D50" s="489"/>
      <c r="E50" s="489"/>
      <c r="F50" s="214"/>
      <c r="G50" s="40"/>
      <c r="H50" s="40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103"/>
      <c r="U50" s="229"/>
      <c r="V50" s="229"/>
      <c r="W50" s="230"/>
      <c r="X50" s="230"/>
      <c r="Y50" s="230"/>
      <c r="Z50" s="230"/>
      <c r="AA50" s="230"/>
      <c r="AB50" s="230"/>
      <c r="AC50" s="230"/>
      <c r="AD50" s="230"/>
      <c r="AE50" s="230"/>
      <c r="AF50" s="230"/>
      <c r="AG50" s="230"/>
      <c r="AH50" s="230"/>
      <c r="AI50" s="230"/>
      <c r="AJ50" s="230"/>
      <c r="AK50" s="230"/>
      <c r="AL50" s="230"/>
      <c r="AM50" s="230"/>
      <c r="AN50" s="230"/>
      <c r="AO50" s="230"/>
      <c r="AP50" s="230"/>
      <c r="AQ50" s="230"/>
      <c r="AR50" s="230"/>
      <c r="AS50" s="230"/>
      <c r="AT50" s="230"/>
      <c r="AU50" s="230"/>
      <c r="AV50" s="230"/>
      <c r="AW50" s="230"/>
    </row>
    <row r="51" spans="1:49" s="154" customFormat="1" x14ac:dyDescent="0.2">
      <c r="A51" s="24"/>
      <c r="B51" s="39"/>
      <c r="C51" s="135"/>
      <c r="D51" s="489"/>
      <c r="E51" s="489"/>
      <c r="F51" s="489"/>
      <c r="G51" s="40"/>
      <c r="H51" s="40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103"/>
      <c r="U51" s="229"/>
      <c r="V51" s="229"/>
      <c r="W51" s="230"/>
      <c r="X51" s="230"/>
      <c r="Y51" s="230"/>
      <c r="Z51" s="230"/>
      <c r="AA51" s="230"/>
      <c r="AB51" s="230"/>
      <c r="AC51" s="230"/>
      <c r="AD51" s="230"/>
      <c r="AE51" s="230"/>
      <c r="AF51" s="230"/>
      <c r="AG51" s="230"/>
      <c r="AH51" s="230"/>
      <c r="AI51" s="230"/>
      <c r="AJ51" s="230"/>
      <c r="AK51" s="230"/>
      <c r="AL51" s="230"/>
      <c r="AM51" s="230"/>
      <c r="AN51" s="230"/>
      <c r="AO51" s="230"/>
      <c r="AP51" s="230"/>
      <c r="AQ51" s="230"/>
      <c r="AR51" s="230"/>
      <c r="AS51" s="230"/>
      <c r="AT51" s="230"/>
      <c r="AU51" s="230"/>
      <c r="AV51" s="230"/>
      <c r="AW51" s="230"/>
    </row>
    <row r="52" spans="1:49" s="154" customFormat="1" x14ac:dyDescent="0.2">
      <c r="A52" s="24"/>
      <c r="B52" s="14"/>
      <c r="C52" s="131"/>
      <c r="D52" s="39"/>
      <c r="E52" s="39"/>
      <c r="F52" s="39"/>
      <c r="G52" s="40"/>
      <c r="H52" s="40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103"/>
      <c r="U52" s="229"/>
      <c r="V52" s="229"/>
      <c r="W52" s="230"/>
      <c r="X52" s="230"/>
      <c r="Y52" s="230"/>
      <c r="Z52" s="230"/>
      <c r="AA52" s="230"/>
      <c r="AB52" s="230"/>
      <c r="AC52" s="230"/>
      <c r="AD52" s="230"/>
      <c r="AE52" s="230"/>
      <c r="AF52" s="230"/>
      <c r="AG52" s="230"/>
      <c r="AH52" s="230"/>
      <c r="AI52" s="230"/>
      <c r="AJ52" s="230"/>
      <c r="AK52" s="230"/>
      <c r="AL52" s="230"/>
      <c r="AM52" s="230"/>
      <c r="AN52" s="230"/>
      <c r="AO52" s="230"/>
      <c r="AP52" s="230"/>
      <c r="AQ52" s="230"/>
      <c r="AR52" s="230"/>
      <c r="AS52" s="230"/>
      <c r="AT52" s="230"/>
      <c r="AU52" s="230"/>
      <c r="AV52" s="230"/>
      <c r="AW52" s="230"/>
    </row>
    <row r="53" spans="1:49" s="154" customFormat="1" x14ac:dyDescent="0.2">
      <c r="A53" s="24"/>
      <c r="B53" s="39"/>
      <c r="C53" s="606"/>
      <c r="D53" s="606"/>
      <c r="E53" s="39"/>
      <c r="F53" s="39"/>
      <c r="G53" s="40"/>
      <c r="H53" s="40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103"/>
      <c r="U53" s="229"/>
      <c r="V53" s="229"/>
      <c r="W53" s="230"/>
      <c r="X53" s="230"/>
      <c r="Y53" s="230"/>
      <c r="Z53" s="230"/>
      <c r="AA53" s="230"/>
      <c r="AB53" s="230"/>
      <c r="AC53" s="230"/>
      <c r="AD53" s="230"/>
      <c r="AE53" s="230"/>
      <c r="AF53" s="230"/>
      <c r="AG53" s="230"/>
      <c r="AH53" s="230"/>
      <c r="AI53" s="230"/>
      <c r="AJ53" s="230"/>
      <c r="AK53" s="230"/>
      <c r="AL53" s="230"/>
      <c r="AM53" s="230"/>
      <c r="AN53" s="230"/>
      <c r="AO53" s="230"/>
      <c r="AP53" s="230"/>
      <c r="AQ53" s="230"/>
      <c r="AR53" s="230"/>
      <c r="AS53" s="230"/>
      <c r="AT53" s="230"/>
      <c r="AU53" s="230"/>
      <c r="AV53" s="230"/>
      <c r="AW53" s="230"/>
    </row>
    <row r="54" spans="1:49" s="154" customFormat="1" x14ac:dyDescent="0.2">
      <c r="A54" s="24"/>
      <c r="B54" s="39"/>
      <c r="C54" s="131"/>
      <c r="D54" s="131"/>
      <c r="E54" s="39"/>
      <c r="F54" s="39"/>
      <c r="G54" s="40"/>
      <c r="H54" s="40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103"/>
      <c r="U54" s="229"/>
      <c r="V54" s="229"/>
      <c r="W54" s="230"/>
      <c r="X54" s="230"/>
      <c r="Y54" s="230"/>
      <c r="Z54" s="230"/>
      <c r="AA54" s="230"/>
      <c r="AB54" s="230"/>
      <c r="AC54" s="230"/>
      <c r="AD54" s="230"/>
      <c r="AE54" s="230"/>
      <c r="AF54" s="230"/>
      <c r="AG54" s="230"/>
      <c r="AH54" s="230"/>
      <c r="AI54" s="230"/>
      <c r="AJ54" s="230"/>
      <c r="AK54" s="230"/>
      <c r="AL54" s="230"/>
      <c r="AM54" s="230"/>
      <c r="AN54" s="230"/>
      <c r="AO54" s="230"/>
      <c r="AP54" s="230"/>
      <c r="AQ54" s="230"/>
      <c r="AR54" s="230"/>
      <c r="AS54" s="230"/>
      <c r="AT54" s="230"/>
      <c r="AU54" s="230"/>
      <c r="AV54" s="230"/>
      <c r="AW54" s="230"/>
    </row>
    <row r="55" spans="1:49" s="154" customFormat="1" x14ac:dyDescent="0.2">
      <c r="A55" s="24"/>
      <c r="B55" s="39"/>
      <c r="C55" s="39"/>
      <c r="D55" s="39"/>
      <c r="E55" s="39"/>
      <c r="F55" s="39"/>
      <c r="G55" s="40"/>
      <c r="H55" s="40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103"/>
      <c r="U55" s="229"/>
      <c r="V55" s="229"/>
      <c r="W55" s="230"/>
      <c r="X55" s="230"/>
      <c r="Y55" s="230"/>
      <c r="Z55" s="230"/>
      <c r="AA55" s="230"/>
      <c r="AB55" s="230"/>
      <c r="AC55" s="230"/>
      <c r="AD55" s="230"/>
      <c r="AE55" s="230"/>
      <c r="AF55" s="230"/>
      <c r="AG55" s="230"/>
      <c r="AH55" s="230"/>
      <c r="AI55" s="230"/>
      <c r="AJ55" s="230"/>
      <c r="AK55" s="230"/>
      <c r="AL55" s="230"/>
      <c r="AM55" s="230"/>
      <c r="AN55" s="230"/>
      <c r="AO55" s="230"/>
      <c r="AP55" s="230"/>
      <c r="AQ55" s="230"/>
      <c r="AR55" s="230"/>
      <c r="AS55" s="230"/>
      <c r="AT55" s="230"/>
      <c r="AU55" s="230"/>
      <c r="AV55" s="230"/>
      <c r="AW55" s="230"/>
    </row>
    <row r="56" spans="1:49" s="21" customFormat="1" x14ac:dyDescent="0.2">
      <c r="A56" s="166"/>
      <c r="B56" s="14"/>
      <c r="C56" s="131"/>
      <c r="D56" s="39"/>
      <c r="E56" s="39"/>
      <c r="F56" s="39"/>
      <c r="G56" s="20"/>
      <c r="H56" s="20"/>
      <c r="I56" s="32"/>
      <c r="J56" s="32"/>
      <c r="K56" s="32"/>
      <c r="L56" s="32"/>
      <c r="M56" s="32"/>
      <c r="N56" s="34"/>
      <c r="O56" s="32"/>
      <c r="P56" s="32"/>
      <c r="Q56" s="32"/>
      <c r="R56" s="32"/>
      <c r="S56" s="32"/>
      <c r="T56" s="97"/>
      <c r="U56" s="225"/>
      <c r="V56" s="225"/>
      <c r="W56" s="226"/>
      <c r="X56" s="226"/>
      <c r="Y56" s="226"/>
      <c r="Z56" s="226"/>
      <c r="AA56" s="226"/>
      <c r="AB56" s="226"/>
      <c r="AC56" s="226"/>
      <c r="AD56" s="226"/>
      <c r="AE56" s="226"/>
      <c r="AF56" s="226"/>
      <c r="AG56" s="226"/>
      <c r="AH56" s="226"/>
      <c r="AI56" s="226"/>
      <c r="AJ56" s="226"/>
      <c r="AK56" s="226"/>
      <c r="AL56" s="226"/>
      <c r="AM56" s="226"/>
      <c r="AN56" s="226"/>
      <c r="AO56" s="226"/>
      <c r="AP56" s="226"/>
      <c r="AQ56" s="226"/>
      <c r="AR56" s="226"/>
      <c r="AS56" s="226"/>
      <c r="AT56" s="226"/>
      <c r="AU56" s="226"/>
      <c r="AV56" s="226"/>
      <c r="AW56" s="226"/>
    </row>
    <row r="57" spans="1:49" s="21" customFormat="1" x14ac:dyDescent="0.2">
      <c r="A57" s="166"/>
      <c r="B57" s="39"/>
      <c r="C57" s="39"/>
      <c r="D57" s="39"/>
      <c r="E57" s="39"/>
      <c r="F57" s="39"/>
      <c r="G57" s="20"/>
      <c r="H57" s="20"/>
      <c r="I57" s="32"/>
      <c r="J57" s="32"/>
      <c r="K57" s="32"/>
      <c r="L57" s="32"/>
      <c r="M57" s="32"/>
      <c r="N57" s="34"/>
      <c r="O57" s="32"/>
      <c r="P57" s="32"/>
      <c r="Q57" s="32"/>
      <c r="R57" s="32"/>
      <c r="S57" s="32"/>
      <c r="T57" s="97"/>
      <c r="U57" s="225"/>
      <c r="V57" s="225"/>
      <c r="W57" s="226"/>
      <c r="X57" s="226"/>
      <c r="Y57" s="226"/>
      <c r="Z57" s="226"/>
      <c r="AA57" s="226"/>
      <c r="AB57" s="226"/>
      <c r="AC57" s="226"/>
      <c r="AD57" s="226"/>
      <c r="AE57" s="226"/>
      <c r="AF57" s="226"/>
      <c r="AG57" s="226"/>
      <c r="AH57" s="226"/>
      <c r="AI57" s="226"/>
      <c r="AJ57" s="226"/>
      <c r="AK57" s="226"/>
      <c r="AL57" s="226"/>
      <c r="AM57" s="226"/>
      <c r="AN57" s="226"/>
      <c r="AO57" s="226"/>
      <c r="AP57" s="226"/>
      <c r="AQ57" s="226"/>
      <c r="AR57" s="226"/>
      <c r="AS57" s="226"/>
      <c r="AT57" s="226"/>
      <c r="AU57" s="226"/>
      <c r="AV57" s="226"/>
      <c r="AW57" s="226"/>
    </row>
    <row r="58" spans="1:49" s="21" customFormat="1" x14ac:dyDescent="0.2">
      <c r="A58" s="166"/>
      <c r="B58" s="14"/>
      <c r="C58" s="39"/>
      <c r="D58" s="39"/>
      <c r="E58" s="39"/>
      <c r="F58" s="39"/>
      <c r="G58" s="20"/>
      <c r="H58" s="20"/>
      <c r="I58" s="32"/>
      <c r="J58" s="32"/>
      <c r="K58" s="32"/>
      <c r="L58" s="32"/>
      <c r="M58" s="32"/>
      <c r="N58" s="34"/>
      <c r="O58" s="32"/>
      <c r="P58" s="32"/>
      <c r="Q58" s="32"/>
      <c r="R58" s="32"/>
      <c r="S58" s="32"/>
      <c r="T58" s="97"/>
      <c r="U58" s="225"/>
      <c r="V58" s="225"/>
      <c r="W58" s="226"/>
      <c r="X58" s="226"/>
      <c r="Y58" s="226"/>
      <c r="Z58" s="226"/>
      <c r="AA58" s="226"/>
      <c r="AB58" s="226"/>
      <c r="AC58" s="226"/>
      <c r="AD58" s="226"/>
      <c r="AE58" s="226"/>
      <c r="AF58" s="226"/>
      <c r="AG58" s="226"/>
      <c r="AH58" s="226"/>
      <c r="AI58" s="226"/>
      <c r="AJ58" s="226"/>
      <c r="AK58" s="226"/>
      <c r="AL58" s="226"/>
      <c r="AM58" s="226"/>
      <c r="AN58" s="226"/>
      <c r="AO58" s="226"/>
      <c r="AP58" s="226"/>
      <c r="AQ58" s="226"/>
      <c r="AR58" s="226"/>
      <c r="AS58" s="226"/>
      <c r="AT58" s="226"/>
      <c r="AU58" s="226"/>
      <c r="AV58" s="226"/>
      <c r="AW58" s="226"/>
    </row>
    <row r="59" spans="1:49" s="21" customFormat="1" x14ac:dyDescent="0.2">
      <c r="A59" s="24"/>
      <c r="B59" s="39"/>
      <c r="C59" s="39"/>
      <c r="D59" s="39"/>
      <c r="E59" s="39"/>
      <c r="F59" s="39"/>
      <c r="G59" s="20"/>
      <c r="H59" s="20"/>
      <c r="I59" s="32"/>
      <c r="J59" s="32"/>
      <c r="K59" s="32"/>
      <c r="L59" s="32"/>
      <c r="M59" s="32"/>
      <c r="N59" s="34"/>
      <c r="O59" s="32"/>
      <c r="P59" s="32"/>
      <c r="Q59" s="32"/>
      <c r="R59" s="32"/>
      <c r="S59" s="32"/>
      <c r="T59" s="97"/>
      <c r="U59" s="225"/>
      <c r="V59" s="225"/>
      <c r="W59" s="226"/>
      <c r="X59" s="226"/>
      <c r="Y59" s="226"/>
      <c r="Z59" s="226"/>
      <c r="AA59" s="226"/>
      <c r="AB59" s="226"/>
      <c r="AC59" s="226"/>
      <c r="AD59" s="226"/>
      <c r="AE59" s="226"/>
      <c r="AF59" s="226"/>
      <c r="AG59" s="226"/>
      <c r="AH59" s="226"/>
      <c r="AI59" s="226"/>
      <c r="AJ59" s="226"/>
      <c r="AK59" s="226"/>
      <c r="AL59" s="226"/>
      <c r="AM59" s="226"/>
      <c r="AN59" s="226"/>
      <c r="AO59" s="226"/>
      <c r="AP59" s="226"/>
      <c r="AQ59" s="226"/>
      <c r="AR59" s="226"/>
      <c r="AS59" s="226"/>
      <c r="AT59" s="226"/>
      <c r="AU59" s="226"/>
      <c r="AV59" s="226"/>
      <c r="AW59" s="226"/>
    </row>
    <row r="60" spans="1:49" s="21" customFormat="1" x14ac:dyDescent="0.2">
      <c r="A60" s="166"/>
      <c r="B60" s="39"/>
      <c r="C60" s="39"/>
      <c r="D60" s="39"/>
      <c r="E60" s="39"/>
      <c r="F60" s="39"/>
      <c r="G60" s="20"/>
      <c r="H60" s="20"/>
      <c r="I60" s="32"/>
      <c r="J60" s="32"/>
      <c r="K60" s="32"/>
      <c r="L60" s="32"/>
      <c r="M60" s="32"/>
      <c r="N60" s="34"/>
      <c r="O60" s="32"/>
      <c r="P60" s="32"/>
      <c r="Q60" s="32"/>
      <c r="R60" s="32"/>
      <c r="S60" s="32"/>
      <c r="T60" s="97"/>
      <c r="U60" s="225"/>
      <c r="V60" s="225"/>
      <c r="W60" s="226"/>
      <c r="X60" s="226"/>
      <c r="Y60" s="226"/>
      <c r="Z60" s="226"/>
      <c r="AA60" s="226"/>
      <c r="AB60" s="226"/>
      <c r="AC60" s="226"/>
      <c r="AD60" s="226"/>
      <c r="AE60" s="226"/>
      <c r="AF60" s="226"/>
      <c r="AG60" s="226"/>
      <c r="AH60" s="226"/>
      <c r="AI60" s="226"/>
      <c r="AJ60" s="226"/>
      <c r="AK60" s="226"/>
      <c r="AL60" s="226"/>
      <c r="AM60" s="226"/>
      <c r="AN60" s="226"/>
      <c r="AO60" s="226"/>
      <c r="AP60" s="226"/>
      <c r="AQ60" s="226"/>
      <c r="AR60" s="226"/>
      <c r="AS60" s="226"/>
      <c r="AT60" s="226"/>
      <c r="AU60" s="226"/>
      <c r="AV60" s="226"/>
      <c r="AW60" s="226"/>
    </row>
    <row r="61" spans="1:49" s="21" customFormat="1" x14ac:dyDescent="0.2">
      <c r="A61" s="166"/>
      <c r="B61" s="39"/>
      <c r="C61" s="39"/>
      <c r="D61" s="39"/>
      <c r="E61" s="39"/>
      <c r="F61" s="39"/>
      <c r="G61" s="20"/>
      <c r="H61" s="20"/>
      <c r="I61" s="32"/>
      <c r="J61" s="32"/>
      <c r="K61" s="32"/>
      <c r="L61" s="32"/>
      <c r="M61" s="32"/>
      <c r="N61" s="34"/>
      <c r="O61" s="32"/>
      <c r="P61" s="32"/>
      <c r="Q61" s="32"/>
      <c r="R61" s="32"/>
      <c r="S61" s="32"/>
      <c r="T61" s="97"/>
      <c r="U61" s="225"/>
      <c r="V61" s="225"/>
      <c r="W61" s="226"/>
      <c r="X61" s="226"/>
      <c r="Y61" s="226"/>
      <c r="Z61" s="226"/>
      <c r="AA61" s="226"/>
      <c r="AB61" s="226"/>
      <c r="AC61" s="226"/>
      <c r="AD61" s="226"/>
      <c r="AE61" s="226"/>
      <c r="AF61" s="226"/>
      <c r="AG61" s="226"/>
      <c r="AH61" s="226"/>
      <c r="AI61" s="226"/>
      <c r="AJ61" s="226"/>
      <c r="AK61" s="226"/>
      <c r="AL61" s="226"/>
      <c r="AM61" s="226"/>
      <c r="AN61" s="226"/>
      <c r="AO61" s="226"/>
      <c r="AP61" s="226"/>
      <c r="AQ61" s="226"/>
      <c r="AR61" s="226"/>
      <c r="AS61" s="226"/>
      <c r="AT61" s="226"/>
      <c r="AU61" s="226"/>
      <c r="AV61" s="226"/>
      <c r="AW61" s="226"/>
    </row>
    <row r="62" spans="1:49" s="21" customFormat="1" x14ac:dyDescent="0.2">
      <c r="A62" s="166"/>
      <c r="B62" s="39"/>
      <c r="C62" s="39"/>
      <c r="D62" s="39"/>
      <c r="E62" s="39"/>
      <c r="F62" s="39"/>
      <c r="G62" s="20"/>
      <c r="H62" s="20"/>
      <c r="I62" s="32"/>
      <c r="J62" s="32"/>
      <c r="K62" s="32"/>
      <c r="L62" s="32"/>
      <c r="M62" s="32"/>
      <c r="N62" s="34"/>
      <c r="O62" s="32"/>
      <c r="P62" s="32"/>
      <c r="Q62" s="32"/>
      <c r="R62" s="32"/>
      <c r="S62" s="32"/>
      <c r="T62" s="97"/>
      <c r="U62" s="225"/>
      <c r="V62" s="225"/>
      <c r="W62" s="226"/>
      <c r="X62" s="226"/>
      <c r="Y62" s="226"/>
      <c r="Z62" s="226"/>
      <c r="AA62" s="226"/>
      <c r="AB62" s="226"/>
      <c r="AC62" s="226"/>
      <c r="AD62" s="226"/>
      <c r="AE62" s="226"/>
      <c r="AF62" s="226"/>
      <c r="AG62" s="226"/>
      <c r="AH62" s="226"/>
      <c r="AI62" s="226"/>
      <c r="AJ62" s="226"/>
      <c r="AK62" s="226"/>
      <c r="AL62" s="226"/>
      <c r="AM62" s="226"/>
      <c r="AN62" s="226"/>
      <c r="AO62" s="226"/>
      <c r="AP62" s="226"/>
      <c r="AQ62" s="226"/>
      <c r="AR62" s="226"/>
      <c r="AS62" s="226"/>
      <c r="AT62" s="226"/>
      <c r="AU62" s="226"/>
      <c r="AV62" s="226"/>
      <c r="AW62" s="226"/>
    </row>
    <row r="63" spans="1:49" s="21" customFormat="1" x14ac:dyDescent="0.2">
      <c r="A63" s="166"/>
      <c r="B63" s="39"/>
      <c r="C63" s="39"/>
      <c r="D63" s="39"/>
      <c r="E63" s="39"/>
      <c r="F63" s="39"/>
      <c r="G63" s="20"/>
      <c r="H63" s="20"/>
      <c r="I63" s="32"/>
      <c r="J63" s="32"/>
      <c r="K63" s="32"/>
      <c r="L63" s="32"/>
      <c r="M63" s="32"/>
      <c r="N63" s="34"/>
      <c r="O63" s="32"/>
      <c r="P63" s="32"/>
      <c r="Q63" s="32"/>
      <c r="R63" s="32"/>
      <c r="S63" s="32"/>
      <c r="T63" s="97"/>
      <c r="U63" s="225"/>
      <c r="V63" s="225"/>
      <c r="W63" s="226"/>
      <c r="X63" s="226"/>
      <c r="Y63" s="226"/>
      <c r="Z63" s="226"/>
      <c r="AA63" s="226"/>
      <c r="AB63" s="226"/>
      <c r="AC63" s="226"/>
      <c r="AD63" s="226"/>
      <c r="AE63" s="226"/>
      <c r="AF63" s="226"/>
      <c r="AG63" s="226"/>
      <c r="AH63" s="226"/>
      <c r="AI63" s="226"/>
      <c r="AJ63" s="226"/>
      <c r="AK63" s="226"/>
      <c r="AL63" s="226"/>
      <c r="AM63" s="226"/>
      <c r="AN63" s="226"/>
      <c r="AO63" s="226"/>
      <c r="AP63" s="226"/>
      <c r="AQ63" s="226"/>
      <c r="AR63" s="226"/>
      <c r="AS63" s="226"/>
      <c r="AT63" s="226"/>
      <c r="AU63" s="226"/>
      <c r="AV63" s="226"/>
      <c r="AW63" s="226"/>
    </row>
    <row r="64" spans="1:49" s="21" customFormat="1" x14ac:dyDescent="0.2">
      <c r="A64" s="151"/>
      <c r="B64" s="212"/>
      <c r="C64" s="212"/>
      <c r="D64" s="212"/>
      <c r="E64" s="212"/>
      <c r="F64" s="212"/>
      <c r="G64" s="20"/>
      <c r="H64" s="20"/>
      <c r="I64" s="32"/>
      <c r="J64" s="32"/>
      <c r="K64" s="32"/>
      <c r="L64" s="32"/>
      <c r="M64" s="32"/>
      <c r="N64" s="34"/>
      <c r="O64" s="32"/>
      <c r="P64" s="32"/>
      <c r="Q64" s="32"/>
      <c r="R64" s="32"/>
      <c r="S64" s="32"/>
      <c r="T64" s="97"/>
      <c r="U64" s="225"/>
      <c r="V64" s="225"/>
      <c r="W64" s="226"/>
      <c r="X64" s="226"/>
      <c r="Y64" s="226"/>
      <c r="Z64" s="226"/>
      <c r="AA64" s="226"/>
      <c r="AB64" s="226"/>
      <c r="AC64" s="226"/>
      <c r="AD64" s="226"/>
      <c r="AE64" s="226"/>
      <c r="AF64" s="226"/>
      <c r="AG64" s="226"/>
      <c r="AH64" s="226"/>
      <c r="AI64" s="226"/>
      <c r="AJ64" s="226"/>
      <c r="AK64" s="226"/>
      <c r="AL64" s="226"/>
      <c r="AM64" s="226"/>
      <c r="AN64" s="226"/>
      <c r="AO64" s="226"/>
      <c r="AP64" s="226"/>
      <c r="AQ64" s="226"/>
      <c r="AR64" s="226"/>
      <c r="AS64" s="226"/>
      <c r="AT64" s="226"/>
      <c r="AU64" s="226"/>
      <c r="AV64" s="226"/>
      <c r="AW64" s="226"/>
    </row>
    <row r="65" spans="1:49" s="21" customFormat="1" x14ac:dyDescent="0.2">
      <c r="A65" s="151"/>
      <c r="B65" s="212"/>
      <c r="C65" s="212"/>
      <c r="D65" s="212"/>
      <c r="E65" s="212"/>
      <c r="F65" s="212"/>
      <c r="G65" s="20"/>
      <c r="H65" s="20"/>
      <c r="I65" s="32"/>
      <c r="J65" s="32"/>
      <c r="K65" s="32"/>
      <c r="L65" s="32"/>
      <c r="M65" s="32"/>
      <c r="N65" s="34"/>
      <c r="O65" s="32"/>
      <c r="P65" s="32"/>
      <c r="Q65" s="32"/>
      <c r="R65" s="32"/>
      <c r="S65" s="32"/>
      <c r="T65" s="97"/>
      <c r="U65" s="225"/>
      <c r="V65" s="225"/>
      <c r="W65" s="226"/>
      <c r="X65" s="226"/>
      <c r="Y65" s="226"/>
      <c r="Z65" s="226"/>
      <c r="AA65" s="226"/>
      <c r="AB65" s="226"/>
      <c r="AC65" s="226"/>
      <c r="AD65" s="226"/>
      <c r="AE65" s="226"/>
      <c r="AF65" s="226"/>
      <c r="AG65" s="226"/>
      <c r="AH65" s="226"/>
      <c r="AI65" s="226"/>
      <c r="AJ65" s="226"/>
      <c r="AK65" s="226"/>
      <c r="AL65" s="226"/>
      <c r="AM65" s="226"/>
      <c r="AN65" s="226"/>
      <c r="AO65" s="226"/>
      <c r="AP65" s="226"/>
      <c r="AQ65" s="226"/>
      <c r="AR65" s="226"/>
      <c r="AS65" s="226"/>
      <c r="AT65" s="226"/>
      <c r="AU65" s="226"/>
      <c r="AV65" s="226"/>
      <c r="AW65" s="226"/>
    </row>
    <row r="66" spans="1:49" s="21" customFormat="1" x14ac:dyDescent="0.2">
      <c r="A66" s="151"/>
      <c r="B66" s="212"/>
      <c r="C66" s="212"/>
      <c r="D66" s="144"/>
      <c r="E66" s="144"/>
      <c r="F66" s="144"/>
      <c r="G66" s="20"/>
      <c r="H66" s="20"/>
      <c r="I66" s="32"/>
      <c r="J66" s="32"/>
      <c r="K66" s="32"/>
      <c r="L66" s="32"/>
      <c r="M66" s="32"/>
      <c r="N66" s="34"/>
      <c r="O66" s="32"/>
      <c r="P66" s="32"/>
      <c r="Q66" s="32"/>
      <c r="R66" s="32"/>
      <c r="S66" s="32"/>
      <c r="T66" s="97"/>
      <c r="U66" s="225"/>
      <c r="V66" s="225"/>
      <c r="W66" s="226"/>
      <c r="X66" s="226"/>
      <c r="Y66" s="226"/>
      <c r="Z66" s="226"/>
      <c r="AA66" s="226"/>
      <c r="AB66" s="226"/>
      <c r="AC66" s="226"/>
      <c r="AD66" s="226"/>
      <c r="AE66" s="226"/>
      <c r="AF66" s="226"/>
      <c r="AG66" s="226"/>
      <c r="AH66" s="226"/>
      <c r="AI66" s="226"/>
      <c r="AJ66" s="226"/>
      <c r="AK66" s="226"/>
      <c r="AL66" s="226"/>
      <c r="AM66" s="226"/>
      <c r="AN66" s="226"/>
      <c r="AO66" s="226"/>
      <c r="AP66" s="226"/>
      <c r="AQ66" s="226"/>
      <c r="AR66" s="226"/>
      <c r="AS66" s="226"/>
      <c r="AT66" s="226"/>
      <c r="AU66" s="226"/>
      <c r="AV66" s="226"/>
      <c r="AW66" s="226"/>
    </row>
    <row r="67" spans="1:49" s="21" customFormat="1" x14ac:dyDescent="0.2">
      <c r="A67" s="151"/>
      <c r="B67" s="39"/>
      <c r="C67" s="39"/>
      <c r="D67" s="39"/>
      <c r="E67" s="39"/>
      <c r="F67" s="39"/>
      <c r="G67" s="20"/>
      <c r="H67" s="20"/>
      <c r="I67" s="32"/>
      <c r="J67" s="32"/>
      <c r="K67" s="32"/>
      <c r="L67" s="32"/>
      <c r="M67" s="32"/>
      <c r="N67" s="34"/>
      <c r="O67" s="32"/>
      <c r="P67" s="32"/>
      <c r="Q67" s="32"/>
      <c r="R67" s="32"/>
      <c r="S67" s="32"/>
      <c r="T67" s="97"/>
      <c r="U67" s="225"/>
      <c r="V67" s="225"/>
      <c r="W67" s="226"/>
      <c r="X67" s="226"/>
      <c r="Y67" s="226"/>
      <c r="Z67" s="226"/>
      <c r="AA67" s="226"/>
      <c r="AB67" s="226"/>
      <c r="AC67" s="226"/>
      <c r="AD67" s="226"/>
      <c r="AE67" s="226"/>
      <c r="AF67" s="226"/>
      <c r="AG67" s="226"/>
      <c r="AH67" s="226"/>
      <c r="AI67" s="226"/>
      <c r="AJ67" s="226"/>
      <c r="AK67" s="226"/>
      <c r="AL67" s="226"/>
      <c r="AM67" s="226"/>
      <c r="AN67" s="226"/>
      <c r="AO67" s="226"/>
      <c r="AP67" s="226"/>
      <c r="AQ67" s="226"/>
      <c r="AR67" s="226"/>
      <c r="AS67" s="226"/>
      <c r="AT67" s="226"/>
      <c r="AU67" s="226"/>
      <c r="AV67" s="226"/>
      <c r="AW67" s="226"/>
    </row>
    <row r="68" spans="1:49" s="21" customFormat="1" x14ac:dyDescent="0.2">
      <c r="A68" s="166"/>
      <c r="B68" s="39"/>
      <c r="C68" s="39"/>
      <c r="D68" s="39"/>
      <c r="E68" s="39"/>
      <c r="F68" s="39"/>
      <c r="G68" s="20"/>
      <c r="H68" s="20"/>
      <c r="I68" s="32"/>
      <c r="J68" s="32"/>
      <c r="K68" s="32"/>
      <c r="L68" s="32"/>
      <c r="M68" s="32"/>
      <c r="N68" s="34"/>
      <c r="O68" s="32"/>
      <c r="P68" s="32"/>
      <c r="Q68" s="32"/>
      <c r="R68" s="32"/>
      <c r="S68" s="32"/>
      <c r="T68" s="97"/>
      <c r="U68" s="225"/>
      <c r="V68" s="225"/>
      <c r="W68" s="226"/>
      <c r="X68" s="226"/>
      <c r="Y68" s="226"/>
      <c r="Z68" s="226"/>
      <c r="AA68" s="226"/>
      <c r="AB68" s="226"/>
      <c r="AC68" s="226"/>
      <c r="AD68" s="226"/>
      <c r="AE68" s="226"/>
      <c r="AF68" s="226"/>
      <c r="AG68" s="226"/>
      <c r="AH68" s="226"/>
      <c r="AI68" s="226"/>
      <c r="AJ68" s="226"/>
      <c r="AK68" s="226"/>
      <c r="AL68" s="226"/>
      <c r="AM68" s="226"/>
      <c r="AN68" s="226"/>
      <c r="AO68" s="226"/>
      <c r="AP68" s="226"/>
      <c r="AQ68" s="226"/>
      <c r="AR68" s="226"/>
      <c r="AS68" s="226"/>
      <c r="AT68" s="226"/>
      <c r="AU68" s="226"/>
      <c r="AV68" s="226"/>
      <c r="AW68" s="226"/>
    </row>
    <row r="69" spans="1:49" s="21" customFormat="1" x14ac:dyDescent="0.2">
      <c r="A69" s="166"/>
      <c r="B69" s="39"/>
      <c r="C69" s="39"/>
      <c r="D69" s="39"/>
      <c r="E69" s="39"/>
      <c r="F69" s="39"/>
      <c r="G69" s="20"/>
      <c r="H69" s="20"/>
      <c r="I69" s="32"/>
      <c r="J69" s="32"/>
      <c r="K69" s="32"/>
      <c r="L69" s="32"/>
      <c r="M69" s="32"/>
      <c r="N69" s="34"/>
      <c r="O69" s="32"/>
      <c r="P69" s="32"/>
      <c r="Q69" s="32"/>
      <c r="R69" s="32"/>
      <c r="S69" s="32"/>
      <c r="T69" s="97"/>
      <c r="U69" s="225"/>
      <c r="V69" s="225"/>
      <c r="W69" s="226"/>
      <c r="X69" s="226"/>
      <c r="Y69" s="226"/>
      <c r="Z69" s="226"/>
      <c r="AA69" s="226"/>
      <c r="AB69" s="226"/>
      <c r="AC69" s="226"/>
      <c r="AD69" s="226"/>
      <c r="AE69" s="226"/>
      <c r="AF69" s="226"/>
      <c r="AG69" s="226"/>
      <c r="AH69" s="226"/>
      <c r="AI69" s="226"/>
      <c r="AJ69" s="226"/>
      <c r="AK69" s="226"/>
      <c r="AL69" s="226"/>
      <c r="AM69" s="226"/>
      <c r="AN69" s="226"/>
      <c r="AO69" s="226"/>
      <c r="AP69" s="226"/>
      <c r="AQ69" s="226"/>
      <c r="AR69" s="226"/>
      <c r="AS69" s="226"/>
      <c r="AT69" s="226"/>
      <c r="AU69" s="226"/>
      <c r="AV69" s="226"/>
      <c r="AW69" s="226"/>
    </row>
    <row r="70" spans="1:49" s="21" customFormat="1" x14ac:dyDescent="0.2">
      <c r="A70" s="166"/>
      <c r="B70" s="39"/>
      <c r="C70" s="39"/>
      <c r="D70" s="39"/>
      <c r="E70" s="39"/>
      <c r="F70" s="39"/>
      <c r="G70" s="20"/>
      <c r="H70" s="20"/>
      <c r="I70" s="32"/>
      <c r="J70" s="32"/>
      <c r="K70" s="32"/>
      <c r="L70" s="32"/>
      <c r="M70" s="32"/>
      <c r="N70" s="34"/>
      <c r="O70" s="32"/>
      <c r="P70" s="32"/>
      <c r="Q70" s="32"/>
      <c r="R70" s="32"/>
      <c r="S70" s="32"/>
      <c r="T70" s="97"/>
      <c r="U70" s="225"/>
      <c r="V70" s="225"/>
      <c r="W70" s="226"/>
      <c r="X70" s="226"/>
      <c r="Y70" s="226"/>
      <c r="Z70" s="226"/>
      <c r="AA70" s="226"/>
      <c r="AB70" s="226"/>
      <c r="AC70" s="226"/>
      <c r="AD70" s="226"/>
      <c r="AE70" s="226"/>
      <c r="AF70" s="226"/>
      <c r="AG70" s="226"/>
      <c r="AH70" s="226"/>
      <c r="AI70" s="226"/>
      <c r="AJ70" s="226"/>
      <c r="AK70" s="226"/>
      <c r="AL70" s="226"/>
      <c r="AM70" s="226"/>
      <c r="AN70" s="226"/>
      <c r="AO70" s="226"/>
      <c r="AP70" s="226"/>
      <c r="AQ70" s="226"/>
      <c r="AR70" s="226"/>
      <c r="AS70" s="226"/>
      <c r="AT70" s="226"/>
      <c r="AU70" s="226"/>
      <c r="AV70" s="226"/>
      <c r="AW70" s="226"/>
    </row>
    <row r="71" spans="1:49" s="21" customFormat="1" x14ac:dyDescent="0.2">
      <c r="A71" s="166"/>
      <c r="B71" s="39"/>
      <c r="C71" s="150"/>
      <c r="D71" s="39"/>
      <c r="E71" s="39"/>
      <c r="F71" s="39"/>
      <c r="G71" s="20"/>
      <c r="H71" s="20"/>
      <c r="I71" s="32"/>
      <c r="J71" s="32"/>
      <c r="K71" s="32"/>
      <c r="L71" s="32"/>
      <c r="M71" s="32"/>
      <c r="N71" s="34"/>
      <c r="O71" s="32"/>
      <c r="P71" s="32"/>
      <c r="Q71" s="32"/>
      <c r="R71" s="32"/>
      <c r="S71" s="32"/>
      <c r="T71" s="97"/>
      <c r="U71" s="225"/>
      <c r="V71" s="225"/>
      <c r="W71" s="226"/>
      <c r="X71" s="226"/>
      <c r="Y71" s="226"/>
      <c r="Z71" s="226"/>
      <c r="AA71" s="226"/>
      <c r="AB71" s="226"/>
      <c r="AC71" s="226"/>
      <c r="AD71" s="226"/>
      <c r="AE71" s="226"/>
      <c r="AF71" s="226"/>
      <c r="AG71" s="226"/>
      <c r="AH71" s="226"/>
      <c r="AI71" s="226"/>
      <c r="AJ71" s="226"/>
      <c r="AK71" s="226"/>
      <c r="AL71" s="226"/>
      <c r="AM71" s="226"/>
      <c r="AN71" s="226"/>
      <c r="AO71" s="226"/>
      <c r="AP71" s="226"/>
      <c r="AQ71" s="226"/>
      <c r="AR71" s="226"/>
      <c r="AS71" s="226"/>
      <c r="AT71" s="226"/>
      <c r="AU71" s="226"/>
      <c r="AV71" s="226"/>
      <c r="AW71" s="226"/>
    </row>
    <row r="72" spans="1:49" s="21" customFormat="1" x14ac:dyDescent="0.2">
      <c r="A72" s="166"/>
      <c r="B72" s="39"/>
      <c r="C72" s="150"/>
      <c r="D72" s="39"/>
      <c r="E72" s="39"/>
      <c r="F72" s="39"/>
      <c r="G72" s="20"/>
      <c r="H72" s="20"/>
      <c r="I72" s="32"/>
      <c r="J72" s="32"/>
      <c r="K72" s="32"/>
      <c r="L72" s="32"/>
      <c r="M72" s="32"/>
      <c r="N72" s="34"/>
      <c r="O72" s="32"/>
      <c r="P72" s="32"/>
      <c r="Q72" s="32"/>
      <c r="R72" s="32"/>
      <c r="S72" s="32"/>
      <c r="T72" s="97"/>
      <c r="U72" s="225"/>
      <c r="V72" s="225"/>
      <c r="W72" s="226"/>
      <c r="X72" s="226"/>
      <c r="Y72" s="226"/>
      <c r="Z72" s="226"/>
      <c r="AA72" s="226"/>
      <c r="AB72" s="226"/>
      <c r="AC72" s="226"/>
      <c r="AD72" s="226"/>
      <c r="AE72" s="226"/>
      <c r="AF72" s="226"/>
      <c r="AG72" s="226"/>
      <c r="AH72" s="226"/>
      <c r="AI72" s="226"/>
      <c r="AJ72" s="226"/>
      <c r="AK72" s="226"/>
      <c r="AL72" s="226"/>
      <c r="AM72" s="226"/>
      <c r="AN72" s="226"/>
      <c r="AO72" s="226"/>
      <c r="AP72" s="226"/>
      <c r="AQ72" s="226"/>
      <c r="AR72" s="226"/>
      <c r="AS72" s="226"/>
      <c r="AT72" s="226"/>
      <c r="AU72" s="226"/>
      <c r="AV72" s="226"/>
      <c r="AW72" s="226"/>
    </row>
    <row r="73" spans="1:49" s="21" customFormat="1" x14ac:dyDescent="0.2">
      <c r="A73" s="151"/>
      <c r="B73" s="39"/>
      <c r="C73" s="39"/>
      <c r="D73" s="39"/>
      <c r="E73" s="39"/>
      <c r="F73" s="39"/>
      <c r="G73" s="20"/>
      <c r="H73" s="20"/>
      <c r="I73" s="32"/>
      <c r="J73" s="32"/>
      <c r="K73" s="32"/>
      <c r="L73" s="32"/>
      <c r="M73" s="32"/>
      <c r="N73" s="34"/>
      <c r="O73" s="32"/>
      <c r="P73" s="32"/>
      <c r="Q73" s="32"/>
      <c r="R73" s="32"/>
      <c r="S73" s="32"/>
      <c r="T73" s="97"/>
      <c r="U73" s="225"/>
      <c r="V73" s="225"/>
      <c r="W73" s="226"/>
      <c r="X73" s="226"/>
      <c r="Y73" s="226"/>
      <c r="Z73" s="226"/>
      <c r="AA73" s="226"/>
      <c r="AB73" s="226"/>
      <c r="AC73" s="226"/>
      <c r="AD73" s="226"/>
      <c r="AE73" s="226"/>
      <c r="AF73" s="226"/>
      <c r="AG73" s="226"/>
      <c r="AH73" s="226"/>
      <c r="AI73" s="226"/>
      <c r="AJ73" s="226"/>
      <c r="AK73" s="226"/>
      <c r="AL73" s="226"/>
      <c r="AM73" s="226"/>
      <c r="AN73" s="226"/>
      <c r="AO73" s="226"/>
      <c r="AP73" s="226"/>
      <c r="AQ73" s="226"/>
      <c r="AR73" s="226"/>
      <c r="AS73" s="226"/>
      <c r="AT73" s="226"/>
      <c r="AU73" s="226"/>
      <c r="AV73" s="226"/>
      <c r="AW73" s="226"/>
    </row>
    <row r="74" spans="1:49" s="21" customFormat="1" x14ac:dyDescent="0.2">
      <c r="A74" s="166"/>
      <c r="B74" s="39"/>
      <c r="C74" s="39"/>
      <c r="D74" s="39"/>
      <c r="E74" s="39"/>
      <c r="F74" s="39"/>
      <c r="G74" s="20"/>
      <c r="H74" s="20"/>
      <c r="I74" s="32"/>
      <c r="J74" s="32"/>
      <c r="K74" s="32"/>
      <c r="L74" s="32"/>
      <c r="M74" s="32"/>
      <c r="N74" s="34"/>
      <c r="O74" s="32"/>
      <c r="P74" s="32"/>
      <c r="Q74" s="32"/>
      <c r="R74" s="32"/>
      <c r="S74" s="32"/>
      <c r="T74" s="97"/>
      <c r="U74" s="225"/>
      <c r="V74" s="225"/>
      <c r="W74" s="226"/>
      <c r="X74" s="226"/>
      <c r="Y74" s="226"/>
      <c r="Z74" s="226"/>
      <c r="AA74" s="226"/>
      <c r="AB74" s="226"/>
      <c r="AC74" s="226"/>
      <c r="AD74" s="226"/>
      <c r="AE74" s="226"/>
      <c r="AF74" s="226"/>
      <c r="AG74" s="226"/>
      <c r="AH74" s="226"/>
      <c r="AI74" s="226"/>
      <c r="AJ74" s="226"/>
      <c r="AK74" s="226"/>
      <c r="AL74" s="226"/>
      <c r="AM74" s="226"/>
      <c r="AN74" s="226"/>
      <c r="AO74" s="226"/>
      <c r="AP74" s="226"/>
      <c r="AQ74" s="226"/>
      <c r="AR74" s="226"/>
      <c r="AS74" s="226"/>
      <c r="AT74" s="226"/>
      <c r="AU74" s="226"/>
      <c r="AV74" s="226"/>
      <c r="AW74" s="226"/>
    </row>
    <row r="75" spans="1:49" s="21" customFormat="1" x14ac:dyDescent="0.2">
      <c r="A75" s="166"/>
      <c r="B75" s="39"/>
      <c r="C75" s="39"/>
      <c r="D75" s="39"/>
      <c r="E75" s="39"/>
      <c r="F75" s="39"/>
      <c r="G75" s="20"/>
      <c r="H75" s="20"/>
      <c r="I75" s="32"/>
      <c r="J75" s="32"/>
      <c r="K75" s="32"/>
      <c r="L75" s="32"/>
      <c r="M75" s="32"/>
      <c r="N75" s="34"/>
      <c r="O75" s="32"/>
      <c r="P75" s="32"/>
      <c r="Q75" s="32"/>
      <c r="R75" s="32"/>
      <c r="S75" s="32"/>
      <c r="T75" s="97"/>
      <c r="U75" s="225"/>
      <c r="V75" s="225"/>
      <c r="W75" s="226"/>
      <c r="X75" s="226"/>
      <c r="Y75" s="226"/>
      <c r="Z75" s="226"/>
      <c r="AA75" s="226"/>
      <c r="AB75" s="226"/>
      <c r="AC75" s="226"/>
      <c r="AD75" s="226"/>
      <c r="AE75" s="226"/>
      <c r="AF75" s="226"/>
      <c r="AG75" s="226"/>
      <c r="AH75" s="226"/>
      <c r="AI75" s="226"/>
      <c r="AJ75" s="226"/>
      <c r="AK75" s="226"/>
      <c r="AL75" s="226"/>
      <c r="AM75" s="226"/>
      <c r="AN75" s="226"/>
      <c r="AO75" s="226"/>
      <c r="AP75" s="226"/>
      <c r="AQ75" s="226"/>
      <c r="AR75" s="226"/>
      <c r="AS75" s="226"/>
      <c r="AT75" s="226"/>
      <c r="AU75" s="226"/>
      <c r="AV75" s="226"/>
      <c r="AW75" s="226"/>
    </row>
    <row r="76" spans="1:49" s="21" customFormat="1" x14ac:dyDescent="0.2">
      <c r="A76" s="151"/>
      <c r="B76" s="39"/>
      <c r="C76" s="39"/>
      <c r="D76" s="39"/>
      <c r="E76" s="39"/>
      <c r="F76" s="39"/>
      <c r="G76" s="20"/>
      <c r="H76" s="20"/>
      <c r="I76" s="32"/>
      <c r="J76" s="32"/>
      <c r="K76" s="32"/>
      <c r="L76" s="32"/>
      <c r="M76" s="32"/>
      <c r="N76" s="34"/>
      <c r="O76" s="32"/>
      <c r="P76" s="32"/>
      <c r="Q76" s="32"/>
      <c r="R76" s="32"/>
      <c r="S76" s="32"/>
      <c r="T76" s="97"/>
      <c r="U76" s="225"/>
      <c r="V76" s="225"/>
      <c r="W76" s="226"/>
      <c r="X76" s="226"/>
      <c r="Y76" s="226"/>
      <c r="Z76" s="226"/>
      <c r="AA76" s="226"/>
      <c r="AB76" s="226"/>
      <c r="AC76" s="226"/>
      <c r="AD76" s="226"/>
      <c r="AE76" s="226"/>
      <c r="AF76" s="226"/>
      <c r="AG76" s="226"/>
      <c r="AH76" s="226"/>
      <c r="AI76" s="226"/>
      <c r="AJ76" s="226"/>
      <c r="AK76" s="226"/>
      <c r="AL76" s="226"/>
      <c r="AM76" s="226"/>
      <c r="AN76" s="226"/>
      <c r="AO76" s="226"/>
      <c r="AP76" s="226"/>
      <c r="AQ76" s="226"/>
      <c r="AR76" s="226"/>
      <c r="AS76" s="226"/>
      <c r="AT76" s="226"/>
      <c r="AU76" s="226"/>
      <c r="AV76" s="226"/>
      <c r="AW76" s="226"/>
    </row>
    <row r="77" spans="1:49" s="21" customFormat="1" x14ac:dyDescent="0.2">
      <c r="A77" s="151"/>
      <c r="B77" s="39"/>
      <c r="C77" s="39"/>
      <c r="D77" s="39"/>
      <c r="E77" s="39"/>
      <c r="F77" s="39"/>
      <c r="G77" s="20" t="s">
        <v>261</v>
      </c>
      <c r="H77" s="20"/>
      <c r="I77" s="32"/>
      <c r="J77" s="32"/>
      <c r="K77" s="32"/>
      <c r="L77" s="32"/>
      <c r="M77" s="32"/>
      <c r="N77" s="34"/>
      <c r="O77" s="32"/>
      <c r="P77" s="32"/>
      <c r="Q77" s="32"/>
      <c r="R77" s="32"/>
      <c r="S77" s="32"/>
      <c r="T77" s="97"/>
      <c r="U77" s="225"/>
      <c r="V77" s="225"/>
      <c r="W77" s="226"/>
      <c r="X77" s="226"/>
      <c r="Y77" s="226"/>
      <c r="Z77" s="226"/>
      <c r="AA77" s="226"/>
      <c r="AB77" s="226"/>
      <c r="AC77" s="226"/>
      <c r="AD77" s="226"/>
      <c r="AE77" s="226"/>
      <c r="AF77" s="226"/>
      <c r="AG77" s="226"/>
      <c r="AH77" s="226"/>
      <c r="AI77" s="226"/>
      <c r="AJ77" s="226"/>
      <c r="AK77" s="226"/>
      <c r="AL77" s="226"/>
      <c r="AM77" s="226"/>
      <c r="AN77" s="226"/>
      <c r="AO77" s="226"/>
      <c r="AP77" s="226"/>
      <c r="AQ77" s="226"/>
      <c r="AR77" s="226"/>
      <c r="AS77" s="226"/>
      <c r="AT77" s="226"/>
      <c r="AU77" s="226"/>
      <c r="AV77" s="226"/>
      <c r="AW77" s="226"/>
    </row>
    <row r="78" spans="1:49" s="21" customFormat="1" x14ac:dyDescent="0.2">
      <c r="A78" s="151"/>
      <c r="B78" s="39"/>
      <c r="C78" s="39"/>
      <c r="D78" s="39"/>
      <c r="E78" s="39"/>
      <c r="F78" s="39"/>
      <c r="G78" s="20"/>
      <c r="H78" s="20"/>
      <c r="I78" s="32"/>
      <c r="J78" s="32"/>
      <c r="K78" s="32"/>
      <c r="L78" s="32"/>
      <c r="M78" s="32"/>
      <c r="N78" s="34"/>
      <c r="O78" s="32"/>
      <c r="P78" s="32"/>
      <c r="Q78" s="32"/>
      <c r="R78" s="32"/>
      <c r="S78" s="32"/>
      <c r="T78" s="97"/>
      <c r="U78" s="225"/>
      <c r="V78" s="225"/>
      <c r="W78" s="226"/>
      <c r="X78" s="226"/>
      <c r="Y78" s="226"/>
      <c r="Z78" s="226"/>
      <c r="AA78" s="226"/>
      <c r="AB78" s="226"/>
      <c r="AC78" s="226"/>
      <c r="AD78" s="226"/>
      <c r="AE78" s="226"/>
      <c r="AF78" s="226"/>
      <c r="AG78" s="226"/>
      <c r="AH78" s="226"/>
      <c r="AI78" s="226"/>
      <c r="AJ78" s="226"/>
      <c r="AK78" s="226"/>
      <c r="AL78" s="226"/>
      <c r="AM78" s="226"/>
      <c r="AN78" s="226"/>
      <c r="AO78" s="226"/>
      <c r="AP78" s="226"/>
      <c r="AQ78" s="226"/>
      <c r="AR78" s="226"/>
      <c r="AS78" s="226"/>
      <c r="AT78" s="226"/>
      <c r="AU78" s="226"/>
      <c r="AV78" s="226"/>
      <c r="AW78" s="226"/>
    </row>
    <row r="79" spans="1:49" s="21" customFormat="1" x14ac:dyDescent="0.2">
      <c r="A79" s="218"/>
      <c r="B79" s="153"/>
      <c r="C79" s="154"/>
      <c r="D79" s="150"/>
      <c r="E79" s="39"/>
      <c r="F79" s="39"/>
      <c r="G79" s="20"/>
      <c r="H79" s="20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97"/>
      <c r="U79" s="225"/>
      <c r="V79" s="225"/>
      <c r="W79" s="226"/>
      <c r="X79" s="226"/>
      <c r="Y79" s="226"/>
      <c r="Z79" s="226"/>
      <c r="AA79" s="226"/>
      <c r="AB79" s="226"/>
      <c r="AC79" s="226"/>
      <c r="AD79" s="226"/>
      <c r="AE79" s="226"/>
      <c r="AF79" s="226"/>
      <c r="AG79" s="226"/>
      <c r="AH79" s="226"/>
      <c r="AI79" s="226"/>
      <c r="AJ79" s="226"/>
      <c r="AK79" s="226"/>
      <c r="AL79" s="226"/>
      <c r="AM79" s="226"/>
      <c r="AN79" s="226"/>
      <c r="AO79" s="226"/>
      <c r="AP79" s="226"/>
      <c r="AQ79" s="226"/>
      <c r="AR79" s="226"/>
      <c r="AS79" s="226"/>
      <c r="AT79" s="226"/>
      <c r="AU79" s="226"/>
      <c r="AV79" s="226"/>
      <c r="AW79" s="226"/>
    </row>
    <row r="80" spans="1:49" s="21" customFormat="1" x14ac:dyDescent="0.2">
      <c r="A80" s="7"/>
      <c r="B80" s="153"/>
      <c r="C80" s="154"/>
      <c r="D80" s="150"/>
      <c r="E80" s="566"/>
      <c r="F80" s="566"/>
      <c r="G80" s="22" t="s">
        <v>184</v>
      </c>
      <c r="H80" s="22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97"/>
      <c r="U80" s="225"/>
      <c r="V80" s="225"/>
      <c r="W80" s="226"/>
      <c r="X80" s="226"/>
      <c r="Y80" s="226"/>
      <c r="Z80" s="226"/>
      <c r="AA80" s="226"/>
      <c r="AB80" s="226"/>
      <c r="AC80" s="226"/>
      <c r="AD80" s="226"/>
      <c r="AE80" s="226"/>
      <c r="AF80" s="226"/>
      <c r="AG80" s="226"/>
      <c r="AH80" s="226"/>
      <c r="AI80" s="226"/>
      <c r="AJ80" s="226"/>
      <c r="AK80" s="226"/>
      <c r="AL80" s="226"/>
      <c r="AM80" s="226"/>
      <c r="AN80" s="226"/>
      <c r="AO80" s="226"/>
      <c r="AP80" s="226"/>
      <c r="AQ80" s="226"/>
      <c r="AR80" s="226"/>
      <c r="AS80" s="226"/>
      <c r="AT80" s="226"/>
      <c r="AU80" s="226"/>
      <c r="AV80" s="226"/>
      <c r="AW80" s="226"/>
    </row>
    <row r="81" spans="1:49" s="21" customFormat="1" x14ac:dyDescent="0.2">
      <c r="A81" s="7"/>
      <c r="B81" s="155"/>
      <c r="C81" s="155"/>
      <c r="D81" s="155"/>
      <c r="E81" s="155"/>
      <c r="F81" s="155"/>
      <c r="G81" s="20"/>
      <c r="H81" s="20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97"/>
      <c r="U81" s="225"/>
      <c r="V81" s="225"/>
      <c r="W81" s="226"/>
      <c r="X81" s="226"/>
      <c r="Y81" s="226"/>
      <c r="Z81" s="226"/>
      <c r="AA81" s="226"/>
      <c r="AB81" s="226"/>
      <c r="AC81" s="226"/>
      <c r="AD81" s="226"/>
      <c r="AE81" s="226"/>
      <c r="AF81" s="226"/>
      <c r="AG81" s="226"/>
      <c r="AH81" s="226"/>
      <c r="AI81" s="226"/>
      <c r="AJ81" s="226"/>
      <c r="AK81" s="226"/>
      <c r="AL81" s="226"/>
      <c r="AM81" s="226"/>
      <c r="AN81" s="226"/>
      <c r="AO81" s="226"/>
      <c r="AP81" s="226"/>
      <c r="AQ81" s="226"/>
      <c r="AR81" s="226"/>
      <c r="AS81" s="226"/>
      <c r="AT81" s="226"/>
      <c r="AU81" s="226"/>
      <c r="AV81" s="226"/>
      <c r="AW81" s="226"/>
    </row>
    <row r="82" spans="1:49" s="21" customFormat="1" x14ac:dyDescent="0.2">
      <c r="A82" s="7"/>
      <c r="B82" s="3"/>
      <c r="C82" s="4"/>
      <c r="D82" s="5"/>
      <c r="E82" s="155"/>
      <c r="F82" s="155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97"/>
      <c r="U82" s="225"/>
      <c r="V82" s="225"/>
      <c r="W82" s="226"/>
      <c r="X82" s="226"/>
      <c r="Y82" s="226"/>
      <c r="Z82" s="226"/>
      <c r="AA82" s="226"/>
      <c r="AB82" s="226"/>
      <c r="AC82" s="226"/>
      <c r="AD82" s="226"/>
      <c r="AE82" s="226"/>
      <c r="AF82" s="226"/>
      <c r="AG82" s="226"/>
      <c r="AH82" s="226"/>
      <c r="AI82" s="226"/>
      <c r="AJ82" s="226"/>
      <c r="AK82" s="226"/>
      <c r="AL82" s="226"/>
      <c r="AM82" s="226"/>
      <c r="AN82" s="226"/>
      <c r="AO82" s="226"/>
      <c r="AP82" s="226"/>
      <c r="AQ82" s="226"/>
      <c r="AR82" s="226"/>
      <c r="AS82" s="226"/>
      <c r="AT82" s="226"/>
      <c r="AU82" s="226"/>
      <c r="AV82" s="226"/>
      <c r="AW82" s="226"/>
    </row>
    <row r="83" spans="1:49" s="21" customFormat="1" x14ac:dyDescent="0.2">
      <c r="A83" s="7"/>
      <c r="B83" s="3"/>
      <c r="C83" s="154"/>
      <c r="D83" s="157"/>
      <c r="E83" s="155"/>
      <c r="F83" s="155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97"/>
      <c r="U83" s="225"/>
      <c r="V83" s="225"/>
      <c r="W83" s="226"/>
      <c r="X83" s="226"/>
      <c r="Y83" s="226"/>
      <c r="Z83" s="226"/>
      <c r="AA83" s="226"/>
      <c r="AB83" s="226"/>
      <c r="AC83" s="226"/>
      <c r="AD83" s="226"/>
      <c r="AE83" s="226"/>
      <c r="AF83" s="226"/>
      <c r="AG83" s="226"/>
      <c r="AH83" s="226"/>
      <c r="AI83" s="226"/>
      <c r="AJ83" s="226"/>
      <c r="AK83" s="226"/>
      <c r="AL83" s="226"/>
      <c r="AM83" s="226"/>
      <c r="AN83" s="226"/>
      <c r="AO83" s="226"/>
      <c r="AP83" s="226"/>
      <c r="AQ83" s="226"/>
      <c r="AR83" s="226"/>
      <c r="AS83" s="226"/>
      <c r="AT83" s="226"/>
      <c r="AU83" s="226"/>
      <c r="AV83" s="226"/>
      <c r="AW83" s="226"/>
    </row>
    <row r="84" spans="1:49" s="21" customFormat="1" x14ac:dyDescent="0.2">
      <c r="A84" s="7"/>
      <c r="B84" s="155"/>
      <c r="C84" s="154"/>
      <c r="D84" s="157"/>
      <c r="E84" s="157"/>
      <c r="F84" s="155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97"/>
      <c r="U84" s="225"/>
      <c r="V84" s="225"/>
      <c r="W84" s="226"/>
      <c r="X84" s="226"/>
      <c r="Y84" s="226"/>
      <c r="Z84" s="226"/>
      <c r="AA84" s="226"/>
      <c r="AB84" s="226"/>
      <c r="AC84" s="226"/>
      <c r="AD84" s="226"/>
      <c r="AE84" s="226"/>
      <c r="AF84" s="226"/>
      <c r="AG84" s="226"/>
      <c r="AH84" s="226"/>
      <c r="AI84" s="226"/>
      <c r="AJ84" s="226"/>
      <c r="AK84" s="226"/>
      <c r="AL84" s="226"/>
      <c r="AM84" s="226"/>
      <c r="AN84" s="226"/>
      <c r="AO84" s="226"/>
      <c r="AP84" s="226"/>
      <c r="AQ84" s="226"/>
      <c r="AR84" s="226"/>
      <c r="AS84" s="226"/>
      <c r="AT84" s="226"/>
      <c r="AU84" s="226"/>
      <c r="AV84" s="226"/>
      <c r="AW84" s="226"/>
    </row>
    <row r="85" spans="1:49" s="21" customFormat="1" x14ac:dyDescent="0.2">
      <c r="A85" s="7"/>
      <c r="B85" s="155"/>
      <c r="C85" s="39"/>
      <c r="D85" s="154"/>
      <c r="E85" s="154"/>
      <c r="F85" s="155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97"/>
      <c r="U85" s="225"/>
      <c r="V85" s="225"/>
      <c r="W85" s="226"/>
      <c r="X85" s="226"/>
      <c r="Y85" s="226"/>
      <c r="Z85" s="226"/>
      <c r="AA85" s="226"/>
      <c r="AB85" s="226"/>
      <c r="AC85" s="226"/>
      <c r="AD85" s="226"/>
      <c r="AE85" s="226"/>
      <c r="AF85" s="226"/>
      <c r="AG85" s="226"/>
      <c r="AH85" s="226"/>
      <c r="AI85" s="226"/>
      <c r="AJ85" s="226"/>
      <c r="AK85" s="226"/>
      <c r="AL85" s="226"/>
      <c r="AM85" s="226"/>
      <c r="AN85" s="226"/>
      <c r="AO85" s="226"/>
      <c r="AP85" s="226"/>
      <c r="AQ85" s="226"/>
      <c r="AR85" s="226"/>
      <c r="AS85" s="226"/>
      <c r="AT85" s="226"/>
      <c r="AU85" s="226"/>
      <c r="AV85" s="226"/>
      <c r="AW85" s="226"/>
    </row>
    <row r="86" spans="1:49" s="21" customFormat="1" x14ac:dyDescent="0.2">
      <c r="A86" s="7"/>
      <c r="B86" s="155"/>
      <c r="C86" s="154"/>
      <c r="D86" s="39"/>
      <c r="E86" s="154"/>
      <c r="F86" s="155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97"/>
      <c r="U86" s="225"/>
      <c r="V86" s="225"/>
      <c r="W86" s="226"/>
      <c r="X86" s="226"/>
      <c r="Y86" s="226"/>
      <c r="Z86" s="226"/>
      <c r="AA86" s="226"/>
      <c r="AB86" s="226"/>
      <c r="AC86" s="226"/>
      <c r="AD86" s="226"/>
      <c r="AE86" s="226"/>
      <c r="AF86" s="226"/>
      <c r="AG86" s="226"/>
      <c r="AH86" s="226"/>
      <c r="AI86" s="226"/>
      <c r="AJ86" s="226"/>
      <c r="AK86" s="226"/>
      <c r="AL86" s="226"/>
      <c r="AM86" s="226"/>
      <c r="AN86" s="226"/>
      <c r="AO86" s="226"/>
      <c r="AP86" s="226"/>
      <c r="AQ86" s="226"/>
      <c r="AR86" s="226"/>
      <c r="AS86" s="226"/>
      <c r="AT86" s="226"/>
      <c r="AU86" s="226"/>
      <c r="AV86" s="226"/>
      <c r="AW86" s="226"/>
    </row>
    <row r="87" spans="1:49" s="21" customFormat="1" x14ac:dyDescent="0.2">
      <c r="A87" s="7"/>
      <c r="B87" s="155"/>
      <c r="C87" s="39"/>
      <c r="D87" s="158"/>
      <c r="E87" s="154"/>
      <c r="F87" s="155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97"/>
      <c r="U87" s="225"/>
      <c r="V87" s="225"/>
      <c r="W87" s="226"/>
      <c r="X87" s="226"/>
      <c r="Y87" s="226"/>
      <c r="Z87" s="226"/>
      <c r="AA87" s="226"/>
      <c r="AB87" s="226"/>
      <c r="AC87" s="226"/>
      <c r="AD87" s="226"/>
      <c r="AE87" s="226"/>
      <c r="AF87" s="226"/>
      <c r="AG87" s="226"/>
      <c r="AH87" s="226"/>
      <c r="AI87" s="226"/>
      <c r="AJ87" s="226"/>
      <c r="AK87" s="226"/>
      <c r="AL87" s="226"/>
      <c r="AM87" s="226"/>
      <c r="AN87" s="226"/>
      <c r="AO87" s="226"/>
      <c r="AP87" s="226"/>
      <c r="AQ87" s="226"/>
      <c r="AR87" s="226"/>
      <c r="AS87" s="226"/>
      <c r="AT87" s="226"/>
      <c r="AU87" s="226"/>
      <c r="AV87" s="226"/>
      <c r="AW87" s="226"/>
    </row>
    <row r="88" spans="1:49" s="21" customFormat="1" x14ac:dyDescent="0.2">
      <c r="A88" s="7"/>
      <c r="B88" s="155"/>
      <c r="C88" s="39"/>
      <c r="D88" s="158"/>
      <c r="E88" s="154"/>
      <c r="F88" s="155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97"/>
      <c r="U88" s="225"/>
      <c r="V88" s="225"/>
      <c r="W88" s="226"/>
      <c r="X88" s="226"/>
      <c r="Y88" s="226"/>
      <c r="Z88" s="226"/>
      <c r="AA88" s="226"/>
      <c r="AB88" s="226"/>
      <c r="AC88" s="226"/>
      <c r="AD88" s="226"/>
      <c r="AE88" s="226"/>
      <c r="AF88" s="226"/>
      <c r="AG88" s="226"/>
      <c r="AH88" s="226"/>
      <c r="AI88" s="226"/>
      <c r="AJ88" s="226"/>
      <c r="AK88" s="226"/>
      <c r="AL88" s="226"/>
      <c r="AM88" s="226"/>
      <c r="AN88" s="226"/>
      <c r="AO88" s="226"/>
      <c r="AP88" s="226"/>
      <c r="AQ88" s="226"/>
      <c r="AR88" s="226"/>
      <c r="AS88" s="226"/>
      <c r="AT88" s="226"/>
      <c r="AU88" s="226"/>
      <c r="AV88" s="226"/>
      <c r="AW88" s="226"/>
    </row>
    <row r="89" spans="1:49" s="21" customFormat="1" x14ac:dyDescent="0.2">
      <c r="A89" s="7"/>
      <c r="B89" s="155"/>
      <c r="C89" s="154"/>
      <c r="D89" s="39"/>
      <c r="E89" s="154"/>
      <c r="F89" s="155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97"/>
      <c r="U89" s="225"/>
      <c r="V89" s="225"/>
      <c r="W89" s="226"/>
      <c r="X89" s="226"/>
      <c r="Y89" s="226"/>
      <c r="Z89" s="226"/>
      <c r="AA89" s="226"/>
      <c r="AB89" s="226"/>
      <c r="AC89" s="226"/>
      <c r="AD89" s="226"/>
      <c r="AE89" s="226"/>
      <c r="AF89" s="226"/>
      <c r="AG89" s="226"/>
      <c r="AH89" s="226"/>
      <c r="AI89" s="226"/>
      <c r="AJ89" s="226"/>
      <c r="AK89" s="226"/>
      <c r="AL89" s="226"/>
      <c r="AM89" s="226"/>
      <c r="AN89" s="226"/>
      <c r="AO89" s="226"/>
      <c r="AP89" s="226"/>
      <c r="AQ89" s="226"/>
      <c r="AR89" s="226"/>
      <c r="AS89" s="226"/>
      <c r="AT89" s="226"/>
      <c r="AU89" s="226"/>
      <c r="AV89" s="226"/>
      <c r="AW89" s="226"/>
    </row>
    <row r="90" spans="1:49" s="21" customFormat="1" x14ac:dyDescent="0.2">
      <c r="A90" s="7"/>
      <c r="B90" s="155"/>
      <c r="C90" s="154"/>
      <c r="D90" s="154"/>
      <c r="E90" s="154"/>
      <c r="F90" s="154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97"/>
      <c r="U90" s="225"/>
      <c r="V90" s="225"/>
      <c r="W90" s="226"/>
      <c r="X90" s="226"/>
      <c r="Y90" s="226"/>
      <c r="Z90" s="226"/>
      <c r="AA90" s="226"/>
      <c r="AB90" s="226"/>
      <c r="AC90" s="226"/>
      <c r="AD90" s="226"/>
      <c r="AE90" s="226"/>
      <c r="AF90" s="226"/>
      <c r="AG90" s="226"/>
      <c r="AH90" s="226"/>
      <c r="AI90" s="226"/>
      <c r="AJ90" s="226"/>
      <c r="AK90" s="226"/>
      <c r="AL90" s="226"/>
      <c r="AM90" s="226"/>
      <c r="AN90" s="226"/>
      <c r="AO90" s="226"/>
      <c r="AP90" s="226"/>
      <c r="AQ90" s="226"/>
      <c r="AR90" s="226"/>
      <c r="AS90" s="226"/>
      <c r="AT90" s="226"/>
      <c r="AU90" s="226"/>
      <c r="AV90" s="226"/>
      <c r="AW90" s="226"/>
    </row>
    <row r="91" spans="1:49" s="21" customFormat="1" x14ac:dyDescent="0.2">
      <c r="A91" s="7"/>
      <c r="B91" s="155"/>
      <c r="C91" s="39"/>
      <c r="D91" s="525"/>
      <c r="E91" s="526"/>
      <c r="F91" s="526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97"/>
      <c r="U91" s="225"/>
      <c r="V91" s="225"/>
      <c r="W91" s="226"/>
      <c r="X91" s="226"/>
      <c r="Y91" s="226"/>
      <c r="Z91" s="226"/>
      <c r="AA91" s="226"/>
      <c r="AB91" s="226"/>
      <c r="AC91" s="226"/>
      <c r="AD91" s="226"/>
      <c r="AE91" s="226"/>
      <c r="AF91" s="226"/>
      <c r="AG91" s="226"/>
      <c r="AH91" s="226"/>
      <c r="AI91" s="226"/>
      <c r="AJ91" s="226"/>
      <c r="AK91" s="226"/>
      <c r="AL91" s="226"/>
      <c r="AM91" s="226"/>
      <c r="AN91" s="226"/>
      <c r="AO91" s="226"/>
      <c r="AP91" s="226"/>
      <c r="AQ91" s="226"/>
      <c r="AR91" s="226"/>
      <c r="AS91" s="226"/>
      <c r="AT91" s="226"/>
      <c r="AU91" s="226"/>
      <c r="AV91" s="226"/>
      <c r="AW91" s="226"/>
    </row>
    <row r="92" spans="1:49" s="21" customFormat="1" x14ac:dyDescent="0.2">
      <c r="A92" s="7"/>
      <c r="B92" s="155"/>
      <c r="C92" s="154"/>
      <c r="D92" s="158"/>
      <c r="E92" s="154"/>
      <c r="F92" s="154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97"/>
      <c r="U92" s="225"/>
      <c r="V92" s="225"/>
      <c r="W92" s="226"/>
      <c r="X92" s="226"/>
      <c r="Y92" s="226"/>
      <c r="Z92" s="226"/>
      <c r="AA92" s="226"/>
      <c r="AB92" s="226"/>
      <c r="AC92" s="226"/>
      <c r="AD92" s="226"/>
      <c r="AE92" s="226"/>
      <c r="AF92" s="226"/>
      <c r="AG92" s="226"/>
      <c r="AH92" s="226"/>
      <c r="AI92" s="226"/>
      <c r="AJ92" s="226"/>
      <c r="AK92" s="226"/>
      <c r="AL92" s="226"/>
      <c r="AM92" s="226"/>
      <c r="AN92" s="226"/>
      <c r="AO92" s="226"/>
      <c r="AP92" s="226"/>
      <c r="AQ92" s="226"/>
      <c r="AR92" s="226"/>
      <c r="AS92" s="226"/>
      <c r="AT92" s="226"/>
      <c r="AU92" s="226"/>
      <c r="AV92" s="226"/>
      <c r="AW92" s="226"/>
    </row>
    <row r="93" spans="1:49" s="21" customFormat="1" x14ac:dyDescent="0.2">
      <c r="A93" s="7"/>
      <c r="B93" s="155"/>
      <c r="C93" s="154"/>
      <c r="D93" s="158"/>
      <c r="E93" s="154"/>
      <c r="F93" s="154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97"/>
      <c r="U93" s="225"/>
      <c r="V93" s="225"/>
      <c r="W93" s="226"/>
      <c r="X93" s="226"/>
      <c r="Y93" s="226"/>
      <c r="Z93" s="226"/>
      <c r="AA93" s="226"/>
      <c r="AB93" s="226"/>
      <c r="AC93" s="226"/>
      <c r="AD93" s="226"/>
      <c r="AE93" s="226"/>
      <c r="AF93" s="226"/>
      <c r="AG93" s="226"/>
      <c r="AH93" s="226"/>
      <c r="AI93" s="226"/>
      <c r="AJ93" s="226"/>
      <c r="AK93" s="226"/>
      <c r="AL93" s="226"/>
      <c r="AM93" s="226"/>
      <c r="AN93" s="226"/>
      <c r="AO93" s="226"/>
      <c r="AP93" s="226"/>
      <c r="AQ93" s="226"/>
      <c r="AR93" s="226"/>
      <c r="AS93" s="226"/>
      <c r="AT93" s="226"/>
      <c r="AU93" s="226"/>
      <c r="AV93" s="226"/>
      <c r="AW93" s="226"/>
    </row>
    <row r="94" spans="1:49" s="21" customFormat="1" x14ac:dyDescent="0.2">
      <c r="A94" s="7"/>
      <c r="B94" s="3"/>
      <c r="C94" s="4"/>
      <c r="D94" s="157"/>
      <c r="E94" s="154"/>
      <c r="F94" s="154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97"/>
      <c r="U94" s="225"/>
      <c r="V94" s="225"/>
      <c r="W94" s="226"/>
      <c r="X94" s="226"/>
      <c r="Y94" s="226"/>
      <c r="Z94" s="226"/>
      <c r="AA94" s="226"/>
      <c r="AB94" s="226"/>
      <c r="AC94" s="226"/>
      <c r="AD94" s="226"/>
      <c r="AE94" s="226"/>
      <c r="AF94" s="226"/>
      <c r="AG94" s="226"/>
      <c r="AH94" s="226"/>
      <c r="AI94" s="226"/>
      <c r="AJ94" s="226"/>
      <c r="AK94" s="226"/>
      <c r="AL94" s="226"/>
      <c r="AM94" s="226"/>
      <c r="AN94" s="226"/>
      <c r="AO94" s="226"/>
      <c r="AP94" s="226"/>
      <c r="AQ94" s="226"/>
      <c r="AR94" s="226"/>
      <c r="AS94" s="226"/>
      <c r="AT94" s="226"/>
      <c r="AU94" s="226"/>
      <c r="AV94" s="226"/>
      <c r="AW94" s="226"/>
    </row>
    <row r="95" spans="1:49" s="21" customFormat="1" x14ac:dyDescent="0.2">
      <c r="A95" s="7"/>
      <c r="B95" s="155"/>
      <c r="C95" s="154"/>
      <c r="D95" s="154"/>
      <c r="E95" s="154"/>
      <c r="F95" s="154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97"/>
      <c r="U95" s="225"/>
      <c r="V95" s="225"/>
      <c r="W95" s="226"/>
      <c r="X95" s="226"/>
      <c r="Y95" s="226"/>
      <c r="Z95" s="226"/>
      <c r="AA95" s="226"/>
      <c r="AB95" s="226"/>
      <c r="AC95" s="226"/>
      <c r="AD95" s="226"/>
      <c r="AE95" s="226"/>
      <c r="AF95" s="226"/>
      <c r="AG95" s="226"/>
      <c r="AH95" s="226"/>
      <c r="AI95" s="226"/>
      <c r="AJ95" s="226"/>
      <c r="AK95" s="226"/>
      <c r="AL95" s="226"/>
      <c r="AM95" s="226"/>
      <c r="AN95" s="226"/>
      <c r="AO95" s="226"/>
      <c r="AP95" s="226"/>
      <c r="AQ95" s="226"/>
      <c r="AR95" s="226"/>
      <c r="AS95" s="226"/>
      <c r="AT95" s="226"/>
      <c r="AU95" s="226"/>
      <c r="AV95" s="226"/>
      <c r="AW95" s="226"/>
    </row>
    <row r="96" spans="1:49" s="21" customFormat="1" x14ac:dyDescent="0.2">
      <c r="A96" s="7"/>
      <c r="B96" s="155"/>
      <c r="C96" s="154"/>
      <c r="D96" s="163"/>
      <c r="E96" s="154"/>
      <c r="F96" s="154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97"/>
      <c r="U96" s="225"/>
      <c r="V96" s="225"/>
      <c r="W96" s="226"/>
      <c r="X96" s="226"/>
      <c r="Y96" s="226"/>
      <c r="Z96" s="226"/>
      <c r="AA96" s="226"/>
      <c r="AB96" s="226"/>
      <c r="AC96" s="226"/>
      <c r="AD96" s="226"/>
      <c r="AE96" s="226"/>
      <c r="AF96" s="226"/>
      <c r="AG96" s="226"/>
      <c r="AH96" s="226"/>
      <c r="AI96" s="226"/>
      <c r="AJ96" s="226"/>
      <c r="AK96" s="226"/>
      <c r="AL96" s="226"/>
      <c r="AM96" s="226"/>
      <c r="AN96" s="226"/>
      <c r="AO96" s="226"/>
      <c r="AP96" s="226"/>
      <c r="AQ96" s="226"/>
      <c r="AR96" s="226"/>
      <c r="AS96" s="226"/>
      <c r="AT96" s="226"/>
      <c r="AU96" s="226"/>
      <c r="AV96" s="226"/>
      <c r="AW96" s="226"/>
    </row>
    <row r="97" spans="1:49" s="21" customFormat="1" x14ac:dyDescent="0.2">
      <c r="A97" s="7"/>
      <c r="B97" s="155"/>
      <c r="C97" s="154"/>
      <c r="D97" s="164"/>
      <c r="E97" s="154"/>
      <c r="F97" s="154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97"/>
      <c r="U97" s="225"/>
      <c r="V97" s="225"/>
      <c r="W97" s="226"/>
      <c r="X97" s="226"/>
      <c r="Y97" s="226"/>
      <c r="Z97" s="226"/>
      <c r="AA97" s="226"/>
      <c r="AB97" s="226"/>
      <c r="AC97" s="226"/>
      <c r="AD97" s="226"/>
      <c r="AE97" s="226"/>
      <c r="AF97" s="226"/>
      <c r="AG97" s="226"/>
      <c r="AH97" s="226"/>
      <c r="AI97" s="226"/>
      <c r="AJ97" s="226"/>
      <c r="AK97" s="226"/>
      <c r="AL97" s="226"/>
      <c r="AM97" s="226"/>
      <c r="AN97" s="226"/>
      <c r="AO97" s="226"/>
      <c r="AP97" s="226"/>
      <c r="AQ97" s="226"/>
      <c r="AR97" s="226"/>
      <c r="AS97" s="226"/>
      <c r="AT97" s="226"/>
      <c r="AU97" s="226"/>
      <c r="AV97" s="226"/>
      <c r="AW97" s="226"/>
    </row>
    <row r="98" spans="1:49" s="21" customFormat="1" x14ac:dyDescent="0.2">
      <c r="A98" s="7"/>
      <c r="B98" s="155"/>
      <c r="C98" s="154"/>
      <c r="D98" s="164"/>
      <c r="E98" s="154"/>
      <c r="F98" s="154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97"/>
      <c r="U98" s="225"/>
      <c r="V98" s="225"/>
      <c r="W98" s="226"/>
      <c r="X98" s="226"/>
      <c r="Y98" s="226"/>
      <c r="Z98" s="226"/>
      <c r="AA98" s="226"/>
      <c r="AB98" s="226"/>
      <c r="AC98" s="226"/>
      <c r="AD98" s="226"/>
      <c r="AE98" s="226"/>
      <c r="AF98" s="226"/>
      <c r="AG98" s="226"/>
      <c r="AH98" s="226"/>
      <c r="AI98" s="226"/>
      <c r="AJ98" s="226"/>
      <c r="AK98" s="226"/>
      <c r="AL98" s="226"/>
      <c r="AM98" s="226"/>
      <c r="AN98" s="226"/>
      <c r="AO98" s="226"/>
      <c r="AP98" s="226"/>
      <c r="AQ98" s="226"/>
      <c r="AR98" s="226"/>
      <c r="AS98" s="226"/>
      <c r="AT98" s="226"/>
      <c r="AU98" s="226"/>
      <c r="AV98" s="226"/>
      <c r="AW98" s="226"/>
    </row>
    <row r="99" spans="1:49" s="21" customFormat="1" x14ac:dyDescent="0.2">
      <c r="A99" s="7"/>
      <c r="B99" s="155"/>
      <c r="C99" s="154"/>
      <c r="D99" s="163"/>
      <c r="E99" s="154"/>
      <c r="F99" s="154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97"/>
      <c r="U99" s="225"/>
      <c r="V99" s="225"/>
      <c r="W99" s="226"/>
      <c r="X99" s="226"/>
      <c r="Y99" s="226"/>
      <c r="Z99" s="226"/>
      <c r="AA99" s="226"/>
      <c r="AB99" s="226"/>
      <c r="AC99" s="226"/>
      <c r="AD99" s="226"/>
      <c r="AE99" s="226"/>
      <c r="AF99" s="226"/>
      <c r="AG99" s="226"/>
      <c r="AH99" s="226"/>
      <c r="AI99" s="226"/>
      <c r="AJ99" s="226"/>
      <c r="AK99" s="226"/>
      <c r="AL99" s="226"/>
      <c r="AM99" s="226"/>
      <c r="AN99" s="226"/>
      <c r="AO99" s="226"/>
      <c r="AP99" s="226"/>
      <c r="AQ99" s="226"/>
      <c r="AR99" s="226"/>
      <c r="AS99" s="226"/>
      <c r="AT99" s="226"/>
      <c r="AU99" s="226"/>
      <c r="AV99" s="226"/>
      <c r="AW99" s="226"/>
    </row>
    <row r="100" spans="1:49" s="21" customFormat="1" x14ac:dyDescent="0.2">
      <c r="A100" s="7"/>
      <c r="B100" s="155"/>
      <c r="C100" s="154"/>
      <c r="D100" s="164"/>
      <c r="E100" s="154"/>
      <c r="F100" s="154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97"/>
      <c r="U100" s="225"/>
      <c r="V100" s="225"/>
      <c r="W100" s="226"/>
      <c r="X100" s="226"/>
      <c r="Y100" s="226"/>
      <c r="Z100" s="226"/>
      <c r="AA100" s="226"/>
      <c r="AB100" s="226"/>
      <c r="AC100" s="226"/>
      <c r="AD100" s="226"/>
      <c r="AE100" s="226"/>
      <c r="AF100" s="226"/>
      <c r="AG100" s="226"/>
      <c r="AH100" s="226"/>
      <c r="AI100" s="226"/>
      <c r="AJ100" s="226"/>
      <c r="AK100" s="226"/>
      <c r="AL100" s="226"/>
      <c r="AM100" s="226"/>
      <c r="AN100" s="226"/>
      <c r="AO100" s="226"/>
      <c r="AP100" s="226"/>
      <c r="AQ100" s="226"/>
      <c r="AR100" s="226"/>
      <c r="AS100" s="226"/>
      <c r="AT100" s="226"/>
      <c r="AU100" s="226"/>
      <c r="AV100" s="226"/>
      <c r="AW100" s="226"/>
    </row>
    <row r="101" spans="1:49" s="21" customFormat="1" x14ac:dyDescent="0.2">
      <c r="A101" s="7"/>
      <c r="B101" s="155"/>
      <c r="C101" s="154"/>
      <c r="D101" s="164"/>
      <c r="E101" s="154"/>
      <c r="F101" s="154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97"/>
      <c r="U101" s="225"/>
      <c r="V101" s="225"/>
      <c r="W101" s="226"/>
      <c r="X101" s="226"/>
      <c r="Y101" s="226"/>
      <c r="Z101" s="226"/>
      <c r="AA101" s="226"/>
      <c r="AB101" s="226"/>
      <c r="AC101" s="226"/>
      <c r="AD101" s="226"/>
      <c r="AE101" s="226"/>
      <c r="AF101" s="226"/>
      <c r="AG101" s="226"/>
      <c r="AH101" s="226"/>
      <c r="AI101" s="226"/>
      <c r="AJ101" s="226"/>
      <c r="AK101" s="226"/>
      <c r="AL101" s="226"/>
      <c r="AM101" s="226"/>
      <c r="AN101" s="226"/>
      <c r="AO101" s="226"/>
      <c r="AP101" s="226"/>
      <c r="AQ101" s="226"/>
      <c r="AR101" s="226"/>
      <c r="AS101" s="226"/>
      <c r="AT101" s="226"/>
      <c r="AU101" s="226"/>
      <c r="AV101" s="226"/>
      <c r="AW101" s="226"/>
    </row>
    <row r="102" spans="1:49" s="21" customFormat="1" x14ac:dyDescent="0.2">
      <c r="A102" s="7"/>
      <c r="B102" s="155"/>
      <c r="C102" s="154"/>
      <c r="D102" s="154"/>
      <c r="E102" s="154"/>
      <c r="F102" s="154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97"/>
      <c r="U102" s="225"/>
      <c r="V102" s="225"/>
      <c r="W102" s="226"/>
      <c r="X102" s="226"/>
      <c r="Y102" s="226"/>
      <c r="Z102" s="226"/>
      <c r="AA102" s="226"/>
      <c r="AB102" s="226"/>
      <c r="AC102" s="226"/>
      <c r="AD102" s="226"/>
      <c r="AE102" s="226"/>
      <c r="AF102" s="226"/>
      <c r="AG102" s="226"/>
      <c r="AH102" s="226"/>
      <c r="AI102" s="226"/>
      <c r="AJ102" s="226"/>
      <c r="AK102" s="226"/>
      <c r="AL102" s="226"/>
      <c r="AM102" s="226"/>
      <c r="AN102" s="226"/>
      <c r="AO102" s="226"/>
      <c r="AP102" s="226"/>
      <c r="AQ102" s="226"/>
      <c r="AR102" s="226"/>
      <c r="AS102" s="226"/>
      <c r="AT102" s="226"/>
      <c r="AU102" s="226"/>
      <c r="AV102" s="226"/>
      <c r="AW102" s="226"/>
    </row>
    <row r="103" spans="1:49" s="21" customFormat="1" x14ac:dyDescent="0.2">
      <c r="A103" s="7"/>
      <c r="B103" s="155"/>
      <c r="C103" s="39"/>
      <c r="D103" s="158"/>
      <c r="E103" s="154"/>
      <c r="F103" s="154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97"/>
      <c r="U103" s="225"/>
      <c r="V103" s="225"/>
      <c r="W103" s="226"/>
      <c r="X103" s="226"/>
      <c r="Y103" s="226"/>
      <c r="Z103" s="226"/>
      <c r="AA103" s="226"/>
      <c r="AB103" s="226"/>
      <c r="AC103" s="226"/>
      <c r="AD103" s="226"/>
      <c r="AE103" s="226"/>
      <c r="AF103" s="226"/>
      <c r="AG103" s="226"/>
      <c r="AH103" s="226"/>
      <c r="AI103" s="226"/>
      <c r="AJ103" s="226"/>
      <c r="AK103" s="226"/>
      <c r="AL103" s="226"/>
      <c r="AM103" s="226"/>
      <c r="AN103" s="226"/>
      <c r="AO103" s="226"/>
      <c r="AP103" s="226"/>
      <c r="AQ103" s="226"/>
      <c r="AR103" s="226"/>
      <c r="AS103" s="226"/>
      <c r="AT103" s="226"/>
      <c r="AU103" s="226"/>
      <c r="AV103" s="226"/>
      <c r="AW103" s="226"/>
    </row>
    <row r="104" spans="1:49" s="21" customFormat="1" x14ac:dyDescent="0.2">
      <c r="A104" s="7"/>
      <c r="B104" s="155"/>
      <c r="C104" s="39"/>
      <c r="D104" s="158"/>
      <c r="E104" s="154"/>
      <c r="F104" s="154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97"/>
      <c r="U104" s="225"/>
      <c r="V104" s="225"/>
      <c r="W104" s="226"/>
      <c r="X104" s="226"/>
      <c r="Y104" s="226"/>
      <c r="Z104" s="226"/>
      <c r="AA104" s="226"/>
      <c r="AB104" s="226"/>
      <c r="AC104" s="226"/>
      <c r="AD104" s="226"/>
      <c r="AE104" s="226"/>
      <c r="AF104" s="226"/>
      <c r="AG104" s="226"/>
      <c r="AH104" s="226"/>
      <c r="AI104" s="226"/>
      <c r="AJ104" s="226"/>
      <c r="AK104" s="226"/>
      <c r="AL104" s="226"/>
      <c r="AM104" s="226"/>
      <c r="AN104" s="226"/>
      <c r="AO104" s="226"/>
      <c r="AP104" s="226"/>
      <c r="AQ104" s="226"/>
      <c r="AR104" s="226"/>
      <c r="AS104" s="226"/>
      <c r="AT104" s="226"/>
      <c r="AU104" s="226"/>
      <c r="AV104" s="226"/>
      <c r="AW104" s="226"/>
    </row>
    <row r="105" spans="1:49" s="21" customFormat="1" x14ac:dyDescent="0.2">
      <c r="A105" s="7"/>
      <c r="B105" s="155"/>
      <c r="C105" s="154"/>
      <c r="D105" s="154"/>
      <c r="E105" s="154"/>
      <c r="F105" s="154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97"/>
      <c r="U105" s="225"/>
      <c r="V105" s="225"/>
      <c r="W105" s="226"/>
      <c r="X105" s="226"/>
      <c r="Y105" s="226"/>
      <c r="Z105" s="226"/>
      <c r="AA105" s="226"/>
      <c r="AB105" s="226"/>
      <c r="AC105" s="226"/>
      <c r="AD105" s="226"/>
      <c r="AE105" s="226"/>
      <c r="AF105" s="226"/>
      <c r="AG105" s="226"/>
      <c r="AH105" s="226"/>
      <c r="AI105" s="226"/>
      <c r="AJ105" s="226"/>
      <c r="AK105" s="226"/>
      <c r="AL105" s="226"/>
      <c r="AM105" s="226"/>
      <c r="AN105" s="226"/>
      <c r="AO105" s="226"/>
      <c r="AP105" s="226"/>
      <c r="AQ105" s="226"/>
      <c r="AR105" s="226"/>
      <c r="AS105" s="226"/>
      <c r="AT105" s="226"/>
      <c r="AU105" s="226"/>
      <c r="AV105" s="226"/>
      <c r="AW105" s="226"/>
    </row>
    <row r="106" spans="1:49" s="21" customFormat="1" x14ac:dyDescent="0.2">
      <c r="A106" s="7"/>
      <c r="B106" s="155"/>
      <c r="C106" s="39"/>
      <c r="D106" s="525"/>
      <c r="E106" s="526"/>
      <c r="F106" s="526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97"/>
      <c r="U106" s="225"/>
      <c r="V106" s="225"/>
      <c r="W106" s="226"/>
      <c r="X106" s="226"/>
      <c r="Y106" s="226"/>
      <c r="Z106" s="226"/>
      <c r="AA106" s="226"/>
      <c r="AB106" s="226"/>
      <c r="AC106" s="226"/>
      <c r="AD106" s="226"/>
      <c r="AE106" s="226"/>
      <c r="AF106" s="226"/>
      <c r="AG106" s="226"/>
      <c r="AH106" s="226"/>
      <c r="AI106" s="226"/>
      <c r="AJ106" s="226"/>
      <c r="AK106" s="226"/>
      <c r="AL106" s="226"/>
      <c r="AM106" s="226"/>
      <c r="AN106" s="226"/>
      <c r="AO106" s="226"/>
      <c r="AP106" s="226"/>
      <c r="AQ106" s="226"/>
      <c r="AR106" s="226"/>
      <c r="AS106" s="226"/>
      <c r="AT106" s="226"/>
      <c r="AU106" s="226"/>
      <c r="AV106" s="226"/>
      <c r="AW106" s="226"/>
    </row>
    <row r="107" spans="1:49" s="21" customFormat="1" x14ac:dyDescent="0.2">
      <c r="A107" s="7"/>
      <c r="B107" s="155"/>
      <c r="C107" s="154"/>
      <c r="D107" s="158"/>
      <c r="E107" s="154"/>
      <c r="F107" s="154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97"/>
      <c r="U107" s="225"/>
      <c r="V107" s="225"/>
      <c r="W107" s="226"/>
      <c r="X107" s="226"/>
      <c r="Y107" s="226"/>
      <c r="Z107" s="226"/>
      <c r="AA107" s="226"/>
      <c r="AB107" s="226"/>
      <c r="AC107" s="226"/>
      <c r="AD107" s="226"/>
      <c r="AE107" s="226"/>
      <c r="AF107" s="226"/>
      <c r="AG107" s="226"/>
      <c r="AH107" s="226"/>
      <c r="AI107" s="226"/>
      <c r="AJ107" s="226"/>
      <c r="AK107" s="226"/>
      <c r="AL107" s="226"/>
      <c r="AM107" s="226"/>
      <c r="AN107" s="226"/>
      <c r="AO107" s="226"/>
      <c r="AP107" s="226"/>
      <c r="AQ107" s="226"/>
      <c r="AR107" s="226"/>
      <c r="AS107" s="226"/>
      <c r="AT107" s="226"/>
      <c r="AU107" s="226"/>
      <c r="AV107" s="226"/>
      <c r="AW107" s="226"/>
    </row>
    <row r="108" spans="1:49" s="21" customFormat="1" x14ac:dyDescent="0.2">
      <c r="A108" s="7"/>
      <c r="B108" s="155"/>
      <c r="C108" s="154"/>
      <c r="D108" s="164"/>
      <c r="E108" s="154"/>
      <c r="F108" s="154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97"/>
      <c r="U108" s="225"/>
      <c r="V108" s="225"/>
      <c r="W108" s="226"/>
      <c r="X108" s="226"/>
      <c r="Y108" s="226"/>
      <c r="Z108" s="226"/>
      <c r="AA108" s="226"/>
      <c r="AB108" s="226"/>
      <c r="AC108" s="226"/>
      <c r="AD108" s="226"/>
      <c r="AE108" s="226"/>
      <c r="AF108" s="226"/>
      <c r="AG108" s="226"/>
      <c r="AH108" s="226"/>
      <c r="AI108" s="226"/>
      <c r="AJ108" s="226"/>
      <c r="AK108" s="226"/>
      <c r="AL108" s="226"/>
      <c r="AM108" s="226"/>
      <c r="AN108" s="226"/>
      <c r="AO108" s="226"/>
      <c r="AP108" s="226"/>
      <c r="AQ108" s="226"/>
      <c r="AR108" s="226"/>
      <c r="AS108" s="226"/>
      <c r="AT108" s="226"/>
      <c r="AU108" s="226"/>
      <c r="AV108" s="226"/>
      <c r="AW108" s="226"/>
    </row>
    <row r="109" spans="1:49" s="21" customFormat="1" x14ac:dyDescent="0.2">
      <c r="A109" s="7"/>
      <c r="B109" s="155"/>
      <c r="C109" s="154"/>
      <c r="D109" s="164"/>
      <c r="E109" s="154"/>
      <c r="F109" s="154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97"/>
      <c r="U109" s="225"/>
      <c r="V109" s="225"/>
      <c r="W109" s="226"/>
      <c r="X109" s="226"/>
      <c r="Y109" s="226"/>
      <c r="Z109" s="226"/>
      <c r="AA109" s="226"/>
      <c r="AB109" s="226"/>
      <c r="AC109" s="226"/>
      <c r="AD109" s="226"/>
      <c r="AE109" s="226"/>
      <c r="AF109" s="226"/>
      <c r="AG109" s="226"/>
      <c r="AH109" s="226"/>
      <c r="AI109" s="226"/>
      <c r="AJ109" s="226"/>
      <c r="AK109" s="226"/>
      <c r="AL109" s="226"/>
      <c r="AM109" s="226"/>
      <c r="AN109" s="226"/>
      <c r="AO109" s="226"/>
      <c r="AP109" s="226"/>
      <c r="AQ109" s="226"/>
      <c r="AR109" s="226"/>
      <c r="AS109" s="226"/>
      <c r="AT109" s="226"/>
      <c r="AU109" s="226"/>
      <c r="AV109" s="226"/>
      <c r="AW109" s="226"/>
    </row>
    <row r="110" spans="1:49" s="21" customFormat="1" x14ac:dyDescent="0.2">
      <c r="A110" s="7"/>
      <c r="B110" s="155"/>
      <c r="C110" s="154"/>
      <c r="D110" s="158"/>
      <c r="E110" s="154"/>
      <c r="F110" s="154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97"/>
      <c r="U110" s="225"/>
      <c r="V110" s="225"/>
      <c r="W110" s="226"/>
      <c r="X110" s="226"/>
      <c r="Y110" s="226"/>
      <c r="Z110" s="226"/>
      <c r="AA110" s="226"/>
      <c r="AB110" s="226"/>
      <c r="AC110" s="226"/>
      <c r="AD110" s="226"/>
      <c r="AE110" s="226"/>
      <c r="AF110" s="226"/>
      <c r="AG110" s="226"/>
      <c r="AH110" s="226"/>
      <c r="AI110" s="226"/>
      <c r="AJ110" s="226"/>
      <c r="AK110" s="226"/>
      <c r="AL110" s="226"/>
      <c r="AM110" s="226"/>
      <c r="AN110" s="226"/>
      <c r="AO110" s="226"/>
      <c r="AP110" s="226"/>
      <c r="AQ110" s="226"/>
      <c r="AR110" s="226"/>
      <c r="AS110" s="226"/>
      <c r="AT110" s="226"/>
      <c r="AU110" s="226"/>
      <c r="AV110" s="226"/>
      <c r="AW110" s="226"/>
    </row>
    <row r="111" spans="1:49" s="21" customFormat="1" x14ac:dyDescent="0.2">
      <c r="A111" s="7"/>
      <c r="B111" s="155"/>
      <c r="C111" s="154"/>
      <c r="D111" s="164"/>
      <c r="E111" s="154"/>
      <c r="F111" s="154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97"/>
      <c r="U111" s="225"/>
      <c r="V111" s="225"/>
      <c r="W111" s="226"/>
      <c r="X111" s="226"/>
      <c r="Y111" s="226"/>
      <c r="Z111" s="226"/>
      <c r="AA111" s="226"/>
      <c r="AB111" s="226"/>
      <c r="AC111" s="226"/>
      <c r="AD111" s="226"/>
      <c r="AE111" s="226"/>
      <c r="AF111" s="226"/>
      <c r="AG111" s="226"/>
      <c r="AH111" s="226"/>
      <c r="AI111" s="226"/>
      <c r="AJ111" s="226"/>
      <c r="AK111" s="226"/>
      <c r="AL111" s="226"/>
      <c r="AM111" s="226"/>
      <c r="AN111" s="226"/>
      <c r="AO111" s="226"/>
      <c r="AP111" s="226"/>
      <c r="AQ111" s="226"/>
      <c r="AR111" s="226"/>
      <c r="AS111" s="226"/>
      <c r="AT111" s="226"/>
      <c r="AU111" s="226"/>
      <c r="AV111" s="226"/>
      <c r="AW111" s="226"/>
    </row>
    <row r="112" spans="1:49" s="21" customFormat="1" x14ac:dyDescent="0.2">
      <c r="A112" s="7"/>
      <c r="B112" s="155"/>
      <c r="C112" s="154"/>
      <c r="D112" s="164"/>
      <c r="E112" s="154"/>
      <c r="F112" s="154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97"/>
      <c r="U112" s="225"/>
      <c r="V112" s="225"/>
      <c r="W112" s="226"/>
      <c r="X112" s="226"/>
      <c r="Y112" s="226"/>
      <c r="Z112" s="226"/>
      <c r="AA112" s="226"/>
      <c r="AB112" s="226"/>
      <c r="AC112" s="226"/>
      <c r="AD112" s="226"/>
      <c r="AE112" s="226"/>
      <c r="AF112" s="226"/>
      <c r="AG112" s="226"/>
      <c r="AH112" s="226"/>
      <c r="AI112" s="226"/>
      <c r="AJ112" s="226"/>
      <c r="AK112" s="226"/>
      <c r="AL112" s="226"/>
      <c r="AM112" s="226"/>
      <c r="AN112" s="226"/>
      <c r="AO112" s="226"/>
      <c r="AP112" s="226"/>
      <c r="AQ112" s="226"/>
      <c r="AR112" s="226"/>
      <c r="AS112" s="226"/>
      <c r="AT112" s="226"/>
      <c r="AU112" s="226"/>
      <c r="AV112" s="226"/>
      <c r="AW112" s="226"/>
    </row>
    <row r="113" spans="1:49" s="21" customFormat="1" x14ac:dyDescent="0.2">
      <c r="A113" s="7"/>
      <c r="B113" s="3"/>
      <c r="C113" s="4"/>
      <c r="D113" s="157"/>
      <c r="E113" s="154"/>
      <c r="F113" s="154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97"/>
      <c r="U113" s="225"/>
      <c r="V113" s="225"/>
      <c r="W113" s="226"/>
      <c r="X113" s="226"/>
      <c r="Y113" s="226"/>
      <c r="Z113" s="226"/>
      <c r="AA113" s="226"/>
      <c r="AB113" s="226"/>
      <c r="AC113" s="226"/>
      <c r="AD113" s="226"/>
      <c r="AE113" s="226"/>
      <c r="AF113" s="226"/>
      <c r="AG113" s="226"/>
      <c r="AH113" s="226"/>
      <c r="AI113" s="226"/>
      <c r="AJ113" s="226"/>
      <c r="AK113" s="226"/>
      <c r="AL113" s="226"/>
      <c r="AM113" s="226"/>
      <c r="AN113" s="226"/>
      <c r="AO113" s="226"/>
      <c r="AP113" s="226"/>
      <c r="AQ113" s="226"/>
      <c r="AR113" s="226"/>
      <c r="AS113" s="226"/>
      <c r="AT113" s="226"/>
      <c r="AU113" s="226"/>
      <c r="AV113" s="226"/>
      <c r="AW113" s="226"/>
    </row>
    <row r="114" spans="1:49" s="21" customFormat="1" x14ac:dyDescent="0.2">
      <c r="A114" s="7"/>
      <c r="B114" s="155"/>
      <c r="C114" s="154"/>
      <c r="D114" s="157"/>
      <c r="E114" s="154"/>
      <c r="F114" s="154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97"/>
      <c r="U114" s="225"/>
      <c r="V114" s="225"/>
      <c r="W114" s="226"/>
      <c r="X114" s="226"/>
      <c r="Y114" s="226"/>
      <c r="Z114" s="226"/>
      <c r="AA114" s="226"/>
      <c r="AB114" s="226"/>
      <c r="AC114" s="226"/>
      <c r="AD114" s="226"/>
      <c r="AE114" s="226"/>
      <c r="AF114" s="226"/>
      <c r="AG114" s="226"/>
      <c r="AH114" s="226"/>
      <c r="AI114" s="226"/>
      <c r="AJ114" s="226"/>
      <c r="AK114" s="226"/>
      <c r="AL114" s="226"/>
      <c r="AM114" s="226"/>
      <c r="AN114" s="226"/>
      <c r="AO114" s="226"/>
      <c r="AP114" s="226"/>
      <c r="AQ114" s="226"/>
      <c r="AR114" s="226"/>
      <c r="AS114" s="226"/>
      <c r="AT114" s="226"/>
      <c r="AU114" s="226"/>
      <c r="AV114" s="226"/>
      <c r="AW114" s="226"/>
    </row>
    <row r="115" spans="1:49" s="21" customFormat="1" x14ac:dyDescent="0.2">
      <c r="A115" s="7"/>
      <c r="B115" s="155"/>
      <c r="C115" s="154"/>
      <c r="D115" s="157"/>
      <c r="E115" s="154"/>
      <c r="F115" s="154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97"/>
      <c r="U115" s="225"/>
      <c r="V115" s="225"/>
      <c r="W115" s="226"/>
      <c r="X115" s="226"/>
      <c r="Y115" s="226"/>
      <c r="Z115" s="226"/>
      <c r="AA115" s="226"/>
      <c r="AB115" s="226"/>
      <c r="AC115" s="226"/>
      <c r="AD115" s="226"/>
      <c r="AE115" s="226"/>
      <c r="AF115" s="226"/>
      <c r="AG115" s="226"/>
      <c r="AH115" s="226"/>
      <c r="AI115" s="226"/>
      <c r="AJ115" s="226"/>
      <c r="AK115" s="226"/>
      <c r="AL115" s="226"/>
      <c r="AM115" s="226"/>
      <c r="AN115" s="226"/>
      <c r="AO115" s="226"/>
      <c r="AP115" s="226"/>
      <c r="AQ115" s="226"/>
      <c r="AR115" s="226"/>
      <c r="AS115" s="226"/>
      <c r="AT115" s="226"/>
      <c r="AU115" s="226"/>
      <c r="AV115" s="226"/>
      <c r="AW115" s="226"/>
    </row>
    <row r="116" spans="1:49" s="21" customFormat="1" x14ac:dyDescent="0.2">
      <c r="A116" s="7"/>
      <c r="B116" s="155"/>
      <c r="C116" s="154"/>
      <c r="D116" s="157"/>
      <c r="E116" s="154"/>
      <c r="F116" s="154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97"/>
      <c r="U116" s="225"/>
      <c r="V116" s="225"/>
      <c r="W116" s="226"/>
      <c r="X116" s="226"/>
      <c r="Y116" s="226"/>
      <c r="Z116" s="226"/>
      <c r="AA116" s="226"/>
      <c r="AB116" s="226"/>
      <c r="AC116" s="226"/>
      <c r="AD116" s="226"/>
      <c r="AE116" s="226"/>
      <c r="AF116" s="226"/>
      <c r="AG116" s="226"/>
      <c r="AH116" s="226"/>
      <c r="AI116" s="226"/>
      <c r="AJ116" s="226"/>
      <c r="AK116" s="226"/>
      <c r="AL116" s="226"/>
      <c r="AM116" s="226"/>
      <c r="AN116" s="226"/>
      <c r="AO116" s="226"/>
      <c r="AP116" s="226"/>
      <c r="AQ116" s="226"/>
      <c r="AR116" s="226"/>
      <c r="AS116" s="226"/>
      <c r="AT116" s="226"/>
      <c r="AU116" s="226"/>
      <c r="AV116" s="226"/>
      <c r="AW116" s="226"/>
    </row>
    <row r="117" spans="1:49" s="21" customFormat="1" x14ac:dyDescent="0.2">
      <c r="A117" s="7"/>
      <c r="B117" s="155"/>
      <c r="C117" s="39"/>
      <c r="D117" s="525"/>
      <c r="E117" s="526"/>
      <c r="F117" s="526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97"/>
      <c r="U117" s="225"/>
      <c r="V117" s="225"/>
      <c r="W117" s="226"/>
      <c r="X117" s="226"/>
      <c r="Y117" s="226"/>
      <c r="Z117" s="226"/>
      <c r="AA117" s="226"/>
      <c r="AB117" s="226"/>
      <c r="AC117" s="226"/>
      <c r="AD117" s="226"/>
      <c r="AE117" s="226"/>
      <c r="AF117" s="226"/>
      <c r="AG117" s="226"/>
      <c r="AH117" s="226"/>
      <c r="AI117" s="226"/>
      <c r="AJ117" s="226"/>
      <c r="AK117" s="226"/>
      <c r="AL117" s="226"/>
      <c r="AM117" s="226"/>
      <c r="AN117" s="226"/>
      <c r="AO117" s="226"/>
      <c r="AP117" s="226"/>
      <c r="AQ117" s="226"/>
      <c r="AR117" s="226"/>
      <c r="AS117" s="226"/>
      <c r="AT117" s="226"/>
      <c r="AU117" s="226"/>
      <c r="AV117" s="226"/>
      <c r="AW117" s="226"/>
    </row>
    <row r="118" spans="1:49" s="21" customFormat="1" x14ac:dyDescent="0.2">
      <c r="A118" s="7"/>
      <c r="B118" s="155"/>
      <c r="C118" s="154"/>
      <c r="D118" s="158"/>
      <c r="E118" s="154"/>
      <c r="F118" s="126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97"/>
      <c r="U118" s="225"/>
      <c r="V118" s="225"/>
      <c r="W118" s="226"/>
      <c r="X118" s="226"/>
      <c r="Y118" s="226"/>
      <c r="Z118" s="226"/>
      <c r="AA118" s="226"/>
      <c r="AB118" s="226"/>
      <c r="AC118" s="226"/>
      <c r="AD118" s="226"/>
      <c r="AE118" s="226"/>
      <c r="AF118" s="226"/>
      <c r="AG118" s="226"/>
      <c r="AH118" s="226"/>
      <c r="AI118" s="226"/>
      <c r="AJ118" s="226"/>
      <c r="AK118" s="226"/>
      <c r="AL118" s="226"/>
      <c r="AM118" s="226"/>
      <c r="AN118" s="226"/>
      <c r="AO118" s="226"/>
      <c r="AP118" s="226"/>
      <c r="AQ118" s="226"/>
      <c r="AR118" s="226"/>
      <c r="AS118" s="226"/>
      <c r="AT118" s="226"/>
      <c r="AU118" s="226"/>
      <c r="AV118" s="226"/>
      <c r="AW118" s="226"/>
    </row>
    <row r="119" spans="1:49" s="21" customFormat="1" x14ac:dyDescent="0.2">
      <c r="A119" s="7"/>
      <c r="B119" s="155"/>
      <c r="C119" s="154"/>
      <c r="D119" s="158"/>
      <c r="E119" s="154"/>
      <c r="F119" s="126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97"/>
      <c r="U119" s="225"/>
      <c r="V119" s="225"/>
      <c r="W119" s="226"/>
      <c r="X119" s="226"/>
      <c r="Y119" s="226"/>
      <c r="Z119" s="226"/>
      <c r="AA119" s="226"/>
      <c r="AB119" s="226"/>
      <c r="AC119" s="226"/>
      <c r="AD119" s="226"/>
      <c r="AE119" s="226"/>
      <c r="AF119" s="226"/>
      <c r="AG119" s="226"/>
      <c r="AH119" s="226"/>
      <c r="AI119" s="226"/>
      <c r="AJ119" s="226"/>
      <c r="AK119" s="226"/>
      <c r="AL119" s="226"/>
      <c r="AM119" s="226"/>
      <c r="AN119" s="226"/>
      <c r="AO119" s="226"/>
      <c r="AP119" s="226"/>
      <c r="AQ119" s="226"/>
      <c r="AR119" s="226"/>
      <c r="AS119" s="226"/>
      <c r="AT119" s="226"/>
      <c r="AU119" s="226"/>
      <c r="AV119" s="226"/>
      <c r="AW119" s="226"/>
    </row>
    <row r="120" spans="1:49" s="21" customFormat="1" x14ac:dyDescent="0.2">
      <c r="A120" s="7"/>
      <c r="B120" s="6"/>
      <c r="C120" s="7"/>
      <c r="D120" s="154"/>
      <c r="E120" s="154"/>
      <c r="F120" s="154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97"/>
      <c r="U120" s="225"/>
      <c r="V120" s="225"/>
      <c r="W120" s="226"/>
      <c r="X120" s="226"/>
      <c r="Y120" s="226"/>
      <c r="Z120" s="226"/>
      <c r="AA120" s="226"/>
      <c r="AB120" s="226"/>
      <c r="AC120" s="226"/>
      <c r="AD120" s="226"/>
      <c r="AE120" s="226"/>
      <c r="AF120" s="226"/>
      <c r="AG120" s="226"/>
      <c r="AH120" s="226"/>
      <c r="AI120" s="226"/>
      <c r="AJ120" s="226"/>
      <c r="AK120" s="226"/>
      <c r="AL120" s="226"/>
      <c r="AM120" s="226"/>
      <c r="AN120" s="226"/>
      <c r="AO120" s="226"/>
      <c r="AP120" s="226"/>
      <c r="AQ120" s="226"/>
      <c r="AR120" s="226"/>
      <c r="AS120" s="226"/>
      <c r="AT120" s="226"/>
      <c r="AU120" s="226"/>
      <c r="AV120" s="226"/>
      <c r="AW120" s="226"/>
    </row>
    <row r="121" spans="1:49" s="21" customFormat="1" x14ac:dyDescent="0.2">
      <c r="A121" s="7"/>
      <c r="B121" s="153"/>
      <c r="C121" s="154"/>
      <c r="D121" s="154"/>
      <c r="E121" s="154"/>
      <c r="F121" s="154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97"/>
      <c r="U121" s="225"/>
      <c r="V121" s="225"/>
      <c r="W121" s="226"/>
      <c r="X121" s="226"/>
      <c r="Y121" s="226"/>
      <c r="Z121" s="226"/>
      <c r="AA121" s="226"/>
      <c r="AB121" s="226"/>
      <c r="AC121" s="226"/>
      <c r="AD121" s="226"/>
      <c r="AE121" s="226"/>
      <c r="AF121" s="226"/>
      <c r="AG121" s="226"/>
      <c r="AH121" s="226"/>
      <c r="AI121" s="226"/>
      <c r="AJ121" s="226"/>
      <c r="AK121" s="226"/>
      <c r="AL121" s="226"/>
      <c r="AM121" s="226"/>
      <c r="AN121" s="226"/>
      <c r="AO121" s="226"/>
      <c r="AP121" s="226"/>
      <c r="AQ121" s="226"/>
      <c r="AR121" s="226"/>
      <c r="AS121" s="226"/>
      <c r="AT121" s="226"/>
      <c r="AU121" s="226"/>
      <c r="AV121" s="226"/>
      <c r="AW121" s="226"/>
    </row>
    <row r="122" spans="1:49" s="21" customFormat="1" x14ac:dyDescent="0.2">
      <c r="A122" s="7"/>
      <c r="B122" s="153"/>
      <c r="C122" s="154"/>
      <c r="D122" s="158"/>
      <c r="E122" s="154"/>
      <c r="F122" s="154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97"/>
      <c r="U122" s="225"/>
      <c r="V122" s="225"/>
      <c r="W122" s="226"/>
      <c r="X122" s="226"/>
      <c r="Y122" s="226"/>
      <c r="Z122" s="226"/>
      <c r="AA122" s="226"/>
      <c r="AB122" s="226"/>
      <c r="AC122" s="226"/>
      <c r="AD122" s="226"/>
      <c r="AE122" s="226"/>
      <c r="AF122" s="226"/>
      <c r="AG122" s="226"/>
      <c r="AH122" s="226"/>
      <c r="AI122" s="226"/>
      <c r="AJ122" s="226"/>
      <c r="AK122" s="226"/>
      <c r="AL122" s="226"/>
      <c r="AM122" s="226"/>
      <c r="AN122" s="226"/>
      <c r="AO122" s="226"/>
      <c r="AP122" s="226"/>
      <c r="AQ122" s="226"/>
      <c r="AR122" s="226"/>
      <c r="AS122" s="226"/>
      <c r="AT122" s="226"/>
      <c r="AU122" s="226"/>
      <c r="AV122" s="226"/>
      <c r="AW122" s="226"/>
    </row>
    <row r="123" spans="1:49" s="21" customFormat="1" x14ac:dyDescent="0.2">
      <c r="A123" s="7"/>
      <c r="B123" s="153"/>
      <c r="C123" s="154"/>
      <c r="D123" s="158"/>
      <c r="E123" s="154"/>
      <c r="F123" s="154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97"/>
      <c r="U123" s="225"/>
      <c r="V123" s="225"/>
      <c r="W123" s="226"/>
      <c r="X123" s="226"/>
      <c r="Y123" s="226"/>
      <c r="Z123" s="226"/>
      <c r="AA123" s="226"/>
      <c r="AB123" s="226"/>
      <c r="AC123" s="226"/>
      <c r="AD123" s="226"/>
      <c r="AE123" s="226"/>
      <c r="AF123" s="226"/>
      <c r="AG123" s="226"/>
      <c r="AH123" s="226"/>
      <c r="AI123" s="226"/>
      <c r="AJ123" s="226"/>
      <c r="AK123" s="226"/>
      <c r="AL123" s="226"/>
      <c r="AM123" s="226"/>
      <c r="AN123" s="226"/>
      <c r="AO123" s="226"/>
      <c r="AP123" s="226"/>
      <c r="AQ123" s="226"/>
      <c r="AR123" s="226"/>
      <c r="AS123" s="226"/>
      <c r="AT123" s="226"/>
      <c r="AU123" s="226"/>
      <c r="AV123" s="226"/>
      <c r="AW123" s="226"/>
    </row>
    <row r="124" spans="1:49" s="21" customFormat="1" x14ac:dyDescent="0.2">
      <c r="A124" s="7"/>
      <c r="B124" s="153"/>
      <c r="C124" s="154"/>
      <c r="D124" s="150"/>
      <c r="E124" s="566"/>
      <c r="F124" s="566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97"/>
      <c r="U124" s="225"/>
      <c r="V124" s="225"/>
      <c r="W124" s="226"/>
      <c r="X124" s="226"/>
      <c r="Y124" s="226"/>
      <c r="Z124" s="226"/>
      <c r="AA124" s="226"/>
      <c r="AB124" s="226"/>
      <c r="AC124" s="226"/>
      <c r="AD124" s="226"/>
      <c r="AE124" s="226"/>
      <c r="AF124" s="226"/>
      <c r="AG124" s="226"/>
      <c r="AH124" s="226"/>
      <c r="AI124" s="226"/>
      <c r="AJ124" s="226"/>
      <c r="AK124" s="226"/>
      <c r="AL124" s="226"/>
      <c r="AM124" s="226"/>
      <c r="AN124" s="226"/>
      <c r="AO124" s="226"/>
      <c r="AP124" s="226"/>
      <c r="AQ124" s="226"/>
      <c r="AR124" s="226"/>
      <c r="AS124" s="226"/>
      <c r="AT124" s="226"/>
      <c r="AU124" s="226"/>
      <c r="AV124" s="226"/>
      <c r="AW124" s="226"/>
    </row>
    <row r="125" spans="1:49" s="21" customFormat="1" x14ac:dyDescent="0.2">
      <c r="A125" s="7"/>
      <c r="B125" s="153"/>
      <c r="C125" s="154"/>
      <c r="D125" s="39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97"/>
      <c r="U125" s="225"/>
      <c r="V125" s="225"/>
      <c r="W125" s="226"/>
      <c r="X125" s="226"/>
      <c r="Y125" s="226"/>
      <c r="Z125" s="226"/>
      <c r="AA125" s="226"/>
      <c r="AB125" s="226"/>
      <c r="AC125" s="226"/>
      <c r="AD125" s="226"/>
      <c r="AE125" s="226"/>
      <c r="AF125" s="226"/>
      <c r="AG125" s="226"/>
      <c r="AH125" s="226"/>
      <c r="AI125" s="226"/>
      <c r="AJ125" s="226"/>
      <c r="AK125" s="226"/>
      <c r="AL125" s="226"/>
      <c r="AM125" s="226"/>
      <c r="AN125" s="226"/>
      <c r="AO125" s="226"/>
      <c r="AP125" s="226"/>
      <c r="AQ125" s="226"/>
      <c r="AR125" s="226"/>
      <c r="AS125" s="226"/>
      <c r="AT125" s="226"/>
      <c r="AU125" s="226"/>
      <c r="AV125" s="226"/>
      <c r="AW125" s="226"/>
    </row>
    <row r="126" spans="1:49" s="21" customFormat="1" x14ac:dyDescent="0.2">
      <c r="A126" s="7"/>
      <c r="B126" s="153"/>
      <c r="C126" s="154"/>
      <c r="D126" s="150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97"/>
      <c r="U126" s="225"/>
      <c r="V126" s="225"/>
      <c r="W126" s="226"/>
      <c r="X126" s="226"/>
      <c r="Y126" s="226"/>
      <c r="Z126" s="226"/>
      <c r="AA126" s="226"/>
      <c r="AB126" s="226"/>
      <c r="AC126" s="226"/>
      <c r="AD126" s="226"/>
      <c r="AE126" s="226"/>
      <c r="AF126" s="226"/>
      <c r="AG126" s="226"/>
      <c r="AH126" s="226"/>
      <c r="AI126" s="226"/>
      <c r="AJ126" s="226"/>
      <c r="AK126" s="226"/>
      <c r="AL126" s="226"/>
      <c r="AM126" s="226"/>
      <c r="AN126" s="226"/>
      <c r="AO126" s="226"/>
      <c r="AP126" s="226"/>
      <c r="AQ126" s="226"/>
      <c r="AR126" s="226"/>
      <c r="AS126" s="226"/>
      <c r="AT126" s="226"/>
      <c r="AU126" s="226"/>
      <c r="AV126" s="226"/>
      <c r="AW126" s="226"/>
    </row>
    <row r="127" spans="1:49" s="21" customFormat="1" x14ac:dyDescent="0.2">
      <c r="A127" s="7"/>
      <c r="B127" s="153"/>
      <c r="C127" s="154"/>
      <c r="D127" s="150"/>
      <c r="E127" s="39"/>
      <c r="F127" s="39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97"/>
      <c r="U127" s="225"/>
      <c r="V127" s="225"/>
      <c r="W127" s="226"/>
      <c r="X127" s="226"/>
      <c r="Y127" s="226"/>
      <c r="Z127" s="226"/>
      <c r="AA127" s="226"/>
      <c r="AB127" s="226"/>
      <c r="AC127" s="226"/>
      <c r="AD127" s="226"/>
      <c r="AE127" s="226"/>
      <c r="AF127" s="226"/>
      <c r="AG127" s="226"/>
      <c r="AH127" s="226"/>
      <c r="AI127" s="226"/>
      <c r="AJ127" s="226"/>
      <c r="AK127" s="226"/>
      <c r="AL127" s="226"/>
      <c r="AM127" s="226"/>
      <c r="AN127" s="226"/>
      <c r="AO127" s="226"/>
      <c r="AP127" s="226"/>
      <c r="AQ127" s="226"/>
      <c r="AR127" s="226"/>
      <c r="AS127" s="226"/>
      <c r="AT127" s="226"/>
      <c r="AU127" s="226"/>
      <c r="AV127" s="226"/>
      <c r="AW127" s="226"/>
    </row>
    <row r="128" spans="1:49" s="21" customFormat="1" x14ac:dyDescent="0.2">
      <c r="A128" s="7"/>
      <c r="B128" s="153"/>
      <c r="C128" s="154"/>
      <c r="D128" s="150"/>
      <c r="E128" s="566"/>
      <c r="F128" s="566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97"/>
      <c r="U128" s="225"/>
      <c r="V128" s="225"/>
      <c r="W128" s="226"/>
      <c r="X128" s="226"/>
      <c r="Y128" s="226"/>
      <c r="Z128" s="226"/>
      <c r="AA128" s="226"/>
      <c r="AB128" s="226"/>
      <c r="AC128" s="226"/>
      <c r="AD128" s="226"/>
      <c r="AE128" s="226"/>
      <c r="AF128" s="226"/>
      <c r="AG128" s="226"/>
      <c r="AH128" s="226"/>
      <c r="AI128" s="226"/>
      <c r="AJ128" s="226"/>
      <c r="AK128" s="226"/>
      <c r="AL128" s="226"/>
      <c r="AM128" s="226"/>
      <c r="AN128" s="226"/>
      <c r="AO128" s="226"/>
      <c r="AP128" s="226"/>
      <c r="AQ128" s="226"/>
      <c r="AR128" s="226"/>
      <c r="AS128" s="226"/>
      <c r="AT128" s="226"/>
      <c r="AU128" s="226"/>
      <c r="AV128" s="226"/>
      <c r="AW128" s="226"/>
    </row>
    <row r="129" spans="1:22" x14ac:dyDescent="0.2">
      <c r="A129" s="154"/>
      <c r="B129" s="565"/>
      <c r="C129" s="565"/>
      <c r="D129" s="565"/>
      <c r="E129" s="565"/>
      <c r="F129" s="565"/>
      <c r="G129" s="20"/>
      <c r="H129" s="20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224"/>
      <c r="U129" s="231"/>
      <c r="V129" s="231"/>
    </row>
    <row r="130" spans="1:22" x14ac:dyDescent="0.2">
      <c r="A130" s="21"/>
      <c r="B130" s="21"/>
      <c r="C130" s="21"/>
      <c r="D130" s="21"/>
      <c r="E130" s="21"/>
      <c r="F130" s="21"/>
      <c r="G130" s="20"/>
      <c r="H130" s="20"/>
      <c r="I130" s="34"/>
      <c r="J130" s="34"/>
      <c r="K130" s="34"/>
      <c r="L130" s="34"/>
      <c r="M130" s="34"/>
      <c r="N130" s="34"/>
      <c r="O130" s="34" t="s">
        <v>184</v>
      </c>
      <c r="P130" s="34"/>
      <c r="Q130" s="34"/>
      <c r="R130" s="34"/>
      <c r="S130" s="34"/>
      <c r="T130" s="224"/>
      <c r="U130" s="231"/>
      <c r="V130" s="231"/>
    </row>
    <row r="131" spans="1:22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</row>
    <row r="132" spans="1:22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</row>
    <row r="133" spans="1:22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</row>
    <row r="134" spans="1:22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</row>
    <row r="135" spans="1:22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</row>
    <row r="136" spans="1:22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</row>
    <row r="137" spans="1:22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</row>
    <row r="138" spans="1:22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</row>
    <row r="139" spans="1:22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</row>
    <row r="140" spans="1:22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</row>
    <row r="141" spans="1:22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</row>
    <row r="142" spans="1:22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</row>
    <row r="143" spans="1:22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</row>
    <row r="144" spans="1:22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</row>
    <row r="145" spans="1:19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</row>
    <row r="146" spans="1:19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</row>
    <row r="147" spans="1:19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</row>
    <row r="148" spans="1:19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</row>
    <row r="149" spans="1:19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</row>
    <row r="150" spans="1:19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</row>
    <row r="151" spans="1:19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</row>
    <row r="152" spans="1:19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</row>
    <row r="153" spans="1:19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</row>
    <row r="154" spans="1:19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</row>
    <row r="155" spans="1:19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</row>
    <row r="156" spans="1:19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</row>
    <row r="157" spans="1:19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</row>
    <row r="158" spans="1:19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</row>
    <row r="159" spans="1:19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</row>
    <row r="160" spans="1:19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</row>
    <row r="161" spans="1:19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</row>
    <row r="162" spans="1:19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</row>
    <row r="163" spans="1:19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</row>
    <row r="164" spans="1:19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</row>
    <row r="165" spans="1:19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</row>
    <row r="166" spans="1:19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</row>
    <row r="167" spans="1:19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</row>
    <row r="168" spans="1:19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</row>
    <row r="169" spans="1:19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</row>
    <row r="170" spans="1:19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</row>
    <row r="171" spans="1:19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</row>
    <row r="172" spans="1:19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</row>
    <row r="173" spans="1:19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</row>
    <row r="174" spans="1:19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</row>
    <row r="175" spans="1:19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</row>
    <row r="176" spans="1:19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</row>
    <row r="177" spans="1:19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</row>
    <row r="178" spans="1:19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</row>
    <row r="179" spans="1:19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</row>
    <row r="180" spans="1:19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</row>
    <row r="181" spans="1:19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</row>
    <row r="182" spans="1:19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</row>
    <row r="183" spans="1:19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</row>
    <row r="184" spans="1:19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</row>
    <row r="185" spans="1:19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</row>
    <row r="186" spans="1:19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</row>
    <row r="187" spans="1:19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</row>
    <row r="188" spans="1:19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</row>
    <row r="189" spans="1:19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</row>
    <row r="190" spans="1:19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</row>
    <row r="191" spans="1:19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</row>
    <row r="192" spans="1:19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</row>
    <row r="193" spans="1:19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</row>
    <row r="194" spans="1:19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</row>
    <row r="195" spans="1:19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</row>
    <row r="196" spans="1:19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</row>
    <row r="197" spans="1:19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</row>
    <row r="198" spans="1:19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</row>
    <row r="199" spans="1:19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</row>
    <row r="200" spans="1:19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</row>
    <row r="201" spans="1:19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</row>
    <row r="202" spans="1:19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</row>
    <row r="203" spans="1:19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</row>
    <row r="204" spans="1:19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</row>
    <row r="205" spans="1:19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</row>
    <row r="206" spans="1:19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</row>
    <row r="207" spans="1:19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</row>
    <row r="208" spans="1:19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</row>
    <row r="209" spans="1:19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</row>
    <row r="210" spans="1:19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</row>
    <row r="211" spans="1:19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</row>
    <row r="212" spans="1:19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</row>
    <row r="213" spans="1:19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</row>
    <row r="214" spans="1:19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</row>
    <row r="215" spans="1:19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</row>
    <row r="216" spans="1:19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</row>
    <row r="217" spans="1:19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</row>
    <row r="218" spans="1:19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</row>
    <row r="219" spans="1:19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</row>
    <row r="220" spans="1:19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</row>
    <row r="221" spans="1:19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</row>
    <row r="222" spans="1:19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</row>
    <row r="223" spans="1:19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</row>
    <row r="224" spans="1:19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</row>
    <row r="225" spans="1:19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</row>
    <row r="226" spans="1:19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</row>
    <row r="227" spans="1:19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</row>
    <row r="228" spans="1:19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</row>
    <row r="229" spans="1:19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</row>
    <row r="230" spans="1:19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</row>
    <row r="231" spans="1:19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</row>
    <row r="232" spans="1:19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</row>
    <row r="233" spans="1:19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</row>
    <row r="234" spans="1:19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</row>
    <row r="235" spans="1:19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</row>
    <row r="236" spans="1:19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</row>
    <row r="237" spans="1:19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</row>
    <row r="238" spans="1:19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</row>
    <row r="239" spans="1:19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</row>
    <row r="240" spans="1:19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</row>
    <row r="241" spans="1:19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</row>
    <row r="242" spans="1:19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</row>
    <row r="243" spans="1:19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</row>
    <row r="244" spans="1:19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</row>
    <row r="245" spans="1:19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</row>
    <row r="246" spans="1:19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</row>
    <row r="247" spans="1:19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</row>
    <row r="248" spans="1:19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</row>
    <row r="249" spans="1:19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</row>
    <row r="250" spans="1:19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</row>
    <row r="251" spans="1:19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</row>
    <row r="252" spans="1:19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</row>
    <row r="253" spans="1:19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</row>
    <row r="254" spans="1:19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</row>
    <row r="255" spans="1:19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</row>
  </sheetData>
  <sheetProtection password="B5C4" sheet="1" objects="1" scenarios="1" selectLockedCells="1"/>
  <mergeCells count="31">
    <mergeCell ref="A4:S4"/>
    <mergeCell ref="A1:S1"/>
    <mergeCell ref="R7:R9"/>
    <mergeCell ref="Q7:Q9"/>
    <mergeCell ref="P7:P9"/>
    <mergeCell ref="O7:O9"/>
    <mergeCell ref="S7:S9"/>
    <mergeCell ref="A2:S2"/>
    <mergeCell ref="A6:F9"/>
    <mergeCell ref="N8:N9"/>
    <mergeCell ref="B129:F129"/>
    <mergeCell ref="E80:F80"/>
    <mergeCell ref="D91:F91"/>
    <mergeCell ref="D106:F106"/>
    <mergeCell ref="D117:F117"/>
    <mergeCell ref="E124:F124"/>
    <mergeCell ref="E128:F128"/>
    <mergeCell ref="C53:D53"/>
    <mergeCell ref="D50:E50"/>
    <mergeCell ref="C43:D43"/>
    <mergeCell ref="D44:F44"/>
    <mergeCell ref="D51:F51"/>
    <mergeCell ref="D45:F45"/>
    <mergeCell ref="G6:G9"/>
    <mergeCell ref="M8:M9"/>
    <mergeCell ref="H6:H9"/>
    <mergeCell ref="I7:I9"/>
    <mergeCell ref="J7:N7"/>
    <mergeCell ref="J8:J9"/>
    <mergeCell ref="K8:K9"/>
    <mergeCell ref="L8:L9"/>
  </mergeCells>
  <phoneticPr fontId="0" type="noConversion"/>
  <dataValidations count="1">
    <dataValidation type="decimal" operator="lessThan" allowBlank="1" showInputMessage="1" showErrorMessage="1" sqref="I10:FC587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7c1&amp;8&amp;U
&amp;P of &amp;N&amp;C&amp;"Arial,Bold"&amp;8 MAXIMUM SAVINGS BANK, INC.  [ 03-070011 ]
 As of: June 30, 2019</oddHeader>
  </headerFooter>
  <drawing r:id="rId2"/>
  <legacyDrawing r:id="rId3"/>
  <controls>
    <mc:AlternateContent xmlns:mc="http://schemas.openxmlformats.org/markup-compatibility/2006">
      <mc:Choice Requires="x14">
        <control shapeId="15361" r:id="rId4" name="Label1">
          <controlPr defaultSize="0" autoLine="0" r:id="rId5">
            <anchor moveWithCells="1">
              <from>
                <xdr:col>7</xdr:col>
                <xdr:colOff>238125</xdr:colOff>
                <xdr:row>17</xdr:row>
                <xdr:rowOff>28575</xdr:rowOff>
              </from>
              <to>
                <xdr:col>7</xdr:col>
                <xdr:colOff>647700</xdr:colOff>
                <xdr:row>18</xdr:row>
                <xdr:rowOff>28575</xdr:rowOff>
              </to>
            </anchor>
          </controlPr>
        </control>
      </mc:Choice>
      <mc:Fallback>
        <control shapeId="15361" r:id="rId4" name="Label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IU255"/>
  <sheetViews>
    <sheetView zoomScale="75" zoomScaleNormal="50" zoomScaleSheetLayoutView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4" sqref="I14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26.5703125" style="1" customWidth="1"/>
    <col min="6" max="6" width="21.42578125" style="1" hidden="1" customWidth="1"/>
    <col min="7" max="7" width="17.5703125" style="9" customWidth="1"/>
    <col min="8" max="8" width="10.42578125" style="9" customWidth="1"/>
    <col min="9" max="30" width="20.7109375" style="1" customWidth="1"/>
    <col min="31" max="170" width="25.7109375" style="1" customWidth="1"/>
    <col min="171" max="16384" width="9.140625" style="1"/>
  </cols>
  <sheetData>
    <row r="1" spans="1:33" s="165" customFormat="1" ht="12.75" x14ac:dyDescent="0.2">
      <c r="A1" s="512" t="s">
        <v>329</v>
      </c>
      <c r="B1" s="512"/>
      <c r="C1" s="512"/>
      <c r="D1" s="512"/>
      <c r="E1" s="512"/>
      <c r="F1" s="512"/>
      <c r="G1" s="512"/>
      <c r="H1" s="512"/>
      <c r="I1" s="512"/>
      <c r="J1" s="512"/>
      <c r="K1" s="512"/>
      <c r="L1" s="512"/>
      <c r="M1" s="512"/>
      <c r="N1" s="512"/>
      <c r="O1" s="512"/>
      <c r="P1" s="512"/>
      <c r="Q1" s="512"/>
      <c r="R1" s="512"/>
      <c r="S1" s="512"/>
      <c r="T1" s="512"/>
      <c r="U1" s="512"/>
      <c r="V1" s="512"/>
      <c r="W1" s="512"/>
      <c r="X1" s="512"/>
      <c r="Y1" s="512"/>
      <c r="Z1" s="512"/>
      <c r="AA1" s="512"/>
      <c r="AB1" s="512"/>
      <c r="AC1" s="512"/>
      <c r="AD1" s="512"/>
    </row>
    <row r="2" spans="1:33" s="165" customFormat="1" ht="12.75" customHeight="1" x14ac:dyDescent="0.2">
      <c r="A2" s="512" t="s">
        <v>325</v>
      </c>
      <c r="B2" s="512"/>
      <c r="C2" s="512"/>
      <c r="D2" s="512"/>
      <c r="E2" s="512"/>
      <c r="F2" s="512"/>
      <c r="G2" s="512"/>
      <c r="H2" s="512"/>
      <c r="I2" s="512"/>
      <c r="J2" s="512"/>
      <c r="K2" s="512"/>
      <c r="L2" s="512"/>
      <c r="M2" s="512"/>
      <c r="N2" s="512"/>
      <c r="O2" s="512"/>
      <c r="P2" s="512"/>
      <c r="Q2" s="512"/>
      <c r="R2" s="512"/>
      <c r="S2" s="512"/>
      <c r="T2" s="512"/>
      <c r="U2" s="512"/>
      <c r="V2" s="512"/>
      <c r="W2" s="512"/>
      <c r="X2" s="512"/>
      <c r="Y2" s="512"/>
      <c r="Z2" s="512"/>
      <c r="AA2" s="512"/>
      <c r="AB2" s="512"/>
      <c r="AC2" s="512"/>
      <c r="AD2" s="512"/>
    </row>
    <row r="3" spans="1:33" s="165" customFormat="1" ht="12.75" customHeight="1" x14ac:dyDescent="0.2">
      <c r="A3" s="512" t="s">
        <v>4</v>
      </c>
      <c r="B3" s="512"/>
      <c r="C3" s="512"/>
      <c r="D3" s="512"/>
      <c r="E3" s="512"/>
      <c r="F3" s="512"/>
      <c r="G3" s="512"/>
      <c r="H3" s="512"/>
      <c r="I3" s="512"/>
      <c r="J3" s="512"/>
      <c r="K3" s="512"/>
      <c r="L3" s="512"/>
      <c r="M3" s="512"/>
      <c r="N3" s="512"/>
      <c r="O3" s="512"/>
      <c r="P3" s="512"/>
      <c r="Q3" s="512"/>
      <c r="R3" s="512"/>
      <c r="S3" s="512"/>
      <c r="T3" s="512"/>
      <c r="U3" s="512"/>
      <c r="V3" s="512"/>
      <c r="W3" s="512"/>
      <c r="X3" s="512"/>
      <c r="Y3" s="512"/>
      <c r="Z3" s="512"/>
      <c r="AA3" s="512"/>
      <c r="AB3" s="512"/>
      <c r="AC3" s="512"/>
      <c r="AD3" s="512"/>
    </row>
    <row r="4" spans="1:33" ht="12.75" customHeight="1" x14ac:dyDescent="0.2">
      <c r="A4" s="217"/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  <c r="S4" s="217"/>
      <c r="T4" s="217"/>
      <c r="U4" s="217"/>
      <c r="V4" s="217"/>
      <c r="W4" s="217"/>
      <c r="X4" s="217"/>
      <c r="Y4" s="217"/>
      <c r="Z4" s="217"/>
      <c r="AA4" s="217"/>
      <c r="AB4" s="217"/>
      <c r="AC4" s="217"/>
      <c r="AD4" s="217"/>
    </row>
    <row r="5" spans="1:33" s="118" customFormat="1" ht="14.25" customHeight="1" x14ac:dyDescent="0.2">
      <c r="A5" s="504" t="s">
        <v>0</v>
      </c>
      <c r="B5" s="505"/>
      <c r="C5" s="505"/>
      <c r="D5" s="505"/>
      <c r="E5" s="505"/>
      <c r="F5" s="506"/>
      <c r="G5" s="496" t="s">
        <v>2</v>
      </c>
      <c r="H5" s="493" t="s">
        <v>414</v>
      </c>
      <c r="I5" s="518" t="s">
        <v>309</v>
      </c>
      <c r="J5" s="521"/>
      <c r="K5" s="518" t="s">
        <v>310</v>
      </c>
      <c r="L5" s="521"/>
      <c r="M5" s="580" t="s">
        <v>311</v>
      </c>
      <c r="N5" s="582"/>
      <c r="O5" s="580" t="s">
        <v>312</v>
      </c>
      <c r="P5" s="582"/>
      <c r="Q5" s="580" t="s">
        <v>313</v>
      </c>
      <c r="R5" s="582"/>
      <c r="S5" s="580" t="s">
        <v>314</v>
      </c>
      <c r="T5" s="582"/>
      <c r="U5" s="580" t="s">
        <v>315</v>
      </c>
      <c r="V5" s="582"/>
      <c r="W5" s="580" t="s">
        <v>316</v>
      </c>
      <c r="X5" s="582"/>
      <c r="Y5" s="580" t="s">
        <v>317</v>
      </c>
      <c r="Z5" s="582"/>
      <c r="AA5" s="580" t="s">
        <v>318</v>
      </c>
      <c r="AB5" s="582"/>
      <c r="AC5" s="580" t="s">
        <v>307</v>
      </c>
      <c r="AD5" s="582"/>
    </row>
    <row r="6" spans="1:33" s="11" customFormat="1" ht="12.75" customHeight="1" x14ac:dyDescent="0.2">
      <c r="A6" s="507"/>
      <c r="B6" s="508"/>
      <c r="C6" s="508"/>
      <c r="D6" s="508"/>
      <c r="E6" s="508"/>
      <c r="F6" s="509"/>
      <c r="G6" s="497"/>
      <c r="H6" s="494"/>
      <c r="I6" s="592" t="s">
        <v>755</v>
      </c>
      <c r="J6" s="600"/>
      <c r="K6" s="518" t="s">
        <v>324</v>
      </c>
      <c r="L6" s="533"/>
      <c r="M6" s="533"/>
      <c r="N6" s="533"/>
      <c r="O6" s="533"/>
      <c r="P6" s="533"/>
      <c r="Q6" s="533"/>
      <c r="R6" s="533"/>
      <c r="S6" s="533"/>
      <c r="T6" s="521"/>
      <c r="U6" s="592" t="s">
        <v>319</v>
      </c>
      <c r="V6" s="600"/>
      <c r="W6" s="592" t="s">
        <v>320</v>
      </c>
      <c r="X6" s="600"/>
      <c r="Y6" s="592" t="s">
        <v>321</v>
      </c>
      <c r="Z6" s="600"/>
      <c r="AA6" s="592" t="s">
        <v>390</v>
      </c>
      <c r="AB6" s="600"/>
      <c r="AC6" s="592" t="s">
        <v>328</v>
      </c>
      <c r="AD6" s="600"/>
    </row>
    <row r="7" spans="1:33" s="11" customFormat="1" ht="12.75" customHeight="1" x14ac:dyDescent="0.2">
      <c r="A7" s="507"/>
      <c r="B7" s="508"/>
      <c r="C7" s="508"/>
      <c r="D7" s="508"/>
      <c r="E7" s="508"/>
      <c r="F7" s="509"/>
      <c r="G7" s="497"/>
      <c r="H7" s="494"/>
      <c r="I7" s="593"/>
      <c r="J7" s="601"/>
      <c r="K7" s="504" t="s">
        <v>779</v>
      </c>
      <c r="L7" s="506"/>
      <c r="M7" s="504" t="s">
        <v>780</v>
      </c>
      <c r="N7" s="506"/>
      <c r="O7" s="504" t="s">
        <v>781</v>
      </c>
      <c r="P7" s="506"/>
      <c r="Q7" s="504" t="s">
        <v>782</v>
      </c>
      <c r="R7" s="506"/>
      <c r="S7" s="504" t="s">
        <v>308</v>
      </c>
      <c r="T7" s="506"/>
      <c r="U7" s="593"/>
      <c r="V7" s="601"/>
      <c r="W7" s="593"/>
      <c r="X7" s="601"/>
      <c r="Y7" s="593"/>
      <c r="Z7" s="601"/>
      <c r="AA7" s="593"/>
      <c r="AB7" s="601"/>
      <c r="AC7" s="593"/>
      <c r="AD7" s="601"/>
    </row>
    <row r="8" spans="1:33" s="2" customFormat="1" ht="12.75" customHeight="1" x14ac:dyDescent="0.2">
      <c r="A8" s="507"/>
      <c r="B8" s="508"/>
      <c r="C8" s="508"/>
      <c r="D8" s="508"/>
      <c r="E8" s="508"/>
      <c r="F8" s="509"/>
      <c r="G8" s="497"/>
      <c r="H8" s="494"/>
      <c r="I8" s="593"/>
      <c r="J8" s="601"/>
      <c r="K8" s="491"/>
      <c r="L8" s="492"/>
      <c r="M8" s="491"/>
      <c r="N8" s="492"/>
      <c r="O8" s="491"/>
      <c r="P8" s="492"/>
      <c r="Q8" s="491"/>
      <c r="R8" s="492"/>
      <c r="S8" s="491"/>
      <c r="T8" s="492"/>
      <c r="U8" s="594"/>
      <c r="V8" s="602"/>
      <c r="W8" s="594"/>
      <c r="X8" s="602"/>
      <c r="Y8" s="594"/>
      <c r="Z8" s="602"/>
      <c r="AA8" s="594"/>
      <c r="AB8" s="602"/>
      <c r="AC8" s="594"/>
      <c r="AD8" s="602"/>
    </row>
    <row r="9" spans="1:33" s="2" customFormat="1" x14ac:dyDescent="0.2">
      <c r="A9" s="507"/>
      <c r="B9" s="508"/>
      <c r="C9" s="508"/>
      <c r="D9" s="508"/>
      <c r="E9" s="508"/>
      <c r="F9" s="492"/>
      <c r="G9" s="498"/>
      <c r="H9" s="495"/>
      <c r="I9" s="37" t="s">
        <v>5</v>
      </c>
      <c r="J9" s="37" t="s">
        <v>6</v>
      </c>
      <c r="K9" s="37" t="s">
        <v>5</v>
      </c>
      <c r="L9" s="37" t="s">
        <v>6</v>
      </c>
      <c r="M9" s="37" t="s">
        <v>5</v>
      </c>
      <c r="N9" s="37" t="s">
        <v>6</v>
      </c>
      <c r="O9" s="37" t="s">
        <v>5</v>
      </c>
      <c r="P9" s="37" t="s">
        <v>6</v>
      </c>
      <c r="Q9" s="37" t="s">
        <v>5</v>
      </c>
      <c r="R9" s="37" t="s">
        <v>6</v>
      </c>
      <c r="S9" s="37" t="s">
        <v>5</v>
      </c>
      <c r="T9" s="37" t="s">
        <v>6</v>
      </c>
      <c r="U9" s="37" t="s">
        <v>5</v>
      </c>
      <c r="V9" s="37" t="s">
        <v>6</v>
      </c>
      <c r="W9" s="37" t="s">
        <v>5</v>
      </c>
      <c r="X9" s="37" t="s">
        <v>6</v>
      </c>
      <c r="Y9" s="37" t="s">
        <v>5</v>
      </c>
      <c r="Z9" s="37" t="s">
        <v>6</v>
      </c>
      <c r="AA9" s="37" t="s">
        <v>5</v>
      </c>
      <c r="AB9" s="37" t="s">
        <v>6</v>
      </c>
      <c r="AC9" s="37" t="s">
        <v>5</v>
      </c>
      <c r="AD9" s="37" t="s">
        <v>6</v>
      </c>
    </row>
    <row r="10" spans="1:33" x14ac:dyDescent="0.2">
      <c r="A10" s="377" t="s">
        <v>185</v>
      </c>
      <c r="B10" s="378"/>
      <c r="C10" s="378"/>
      <c r="D10" s="378"/>
      <c r="E10" s="379"/>
      <c r="F10" s="382"/>
      <c r="G10" s="320"/>
      <c r="H10" s="18"/>
      <c r="I10" s="78"/>
      <c r="J10" s="78"/>
      <c r="K10" s="78"/>
      <c r="L10" s="78"/>
      <c r="M10" s="78"/>
      <c r="N10" s="78"/>
      <c r="O10" s="78"/>
      <c r="P10" s="78"/>
      <c r="Q10" s="78"/>
      <c r="R10" s="78"/>
      <c r="S10" s="78"/>
      <c r="T10" s="78"/>
      <c r="U10" s="78"/>
      <c r="V10" s="78"/>
      <c r="W10" s="78"/>
      <c r="X10" s="78"/>
      <c r="Y10" s="78"/>
      <c r="Z10" s="78"/>
      <c r="AA10" s="78"/>
      <c r="AB10" s="78"/>
      <c r="AC10" s="78"/>
      <c r="AD10" s="78"/>
      <c r="AE10" s="122"/>
      <c r="AF10" s="123"/>
      <c r="AG10" s="123"/>
    </row>
    <row r="11" spans="1:33" x14ac:dyDescent="0.2">
      <c r="A11" s="380" t="s">
        <v>186</v>
      </c>
      <c r="B11" s="381" t="s">
        <v>187</v>
      </c>
      <c r="C11" s="355"/>
      <c r="D11" s="355"/>
      <c r="E11" s="382"/>
      <c r="F11" s="382"/>
      <c r="G11" s="458" t="s">
        <v>330</v>
      </c>
      <c r="H11" s="18"/>
      <c r="I11" s="78">
        <f t="shared" ref="I11:AB11" si="0">SUM(I12,I24,I25,I28)</f>
        <v>0</v>
      </c>
      <c r="J11" s="78">
        <f t="shared" si="0"/>
        <v>0</v>
      </c>
      <c r="K11" s="78">
        <f t="shared" si="0"/>
        <v>0</v>
      </c>
      <c r="L11" s="78">
        <f t="shared" si="0"/>
        <v>0</v>
      </c>
      <c r="M11" s="78">
        <f t="shared" si="0"/>
        <v>0</v>
      </c>
      <c r="N11" s="78">
        <f t="shared" si="0"/>
        <v>0</v>
      </c>
      <c r="O11" s="78">
        <f t="shared" si="0"/>
        <v>0</v>
      </c>
      <c r="P11" s="78">
        <f t="shared" si="0"/>
        <v>0</v>
      </c>
      <c r="Q11" s="78">
        <f t="shared" si="0"/>
        <v>0</v>
      </c>
      <c r="R11" s="78">
        <f t="shared" si="0"/>
        <v>0</v>
      </c>
      <c r="S11" s="78">
        <f t="shared" si="0"/>
        <v>0</v>
      </c>
      <c r="T11" s="78">
        <f t="shared" si="0"/>
        <v>0</v>
      </c>
      <c r="U11" s="78">
        <f t="shared" si="0"/>
        <v>0</v>
      </c>
      <c r="V11" s="78">
        <f t="shared" si="0"/>
        <v>0</v>
      </c>
      <c r="W11" s="78">
        <f t="shared" si="0"/>
        <v>0</v>
      </c>
      <c r="X11" s="78">
        <f t="shared" si="0"/>
        <v>0</v>
      </c>
      <c r="Y11" s="78">
        <f t="shared" si="0"/>
        <v>0</v>
      </c>
      <c r="Z11" s="78">
        <f t="shared" si="0"/>
        <v>0</v>
      </c>
      <c r="AA11" s="78">
        <f t="shared" si="0"/>
        <v>0</v>
      </c>
      <c r="AB11" s="78">
        <f t="shared" si="0"/>
        <v>0</v>
      </c>
      <c r="AC11" s="78">
        <f t="shared" ref="AC11:AD16" si="1">(I11+K11+M11+O11+Q11+S11+U11) - (W11+Y11)</f>
        <v>0</v>
      </c>
      <c r="AD11" s="78">
        <f t="shared" si="1"/>
        <v>0</v>
      </c>
      <c r="AE11" s="122"/>
      <c r="AF11" s="123"/>
      <c r="AG11" s="123"/>
    </row>
    <row r="12" spans="1:33" x14ac:dyDescent="0.2">
      <c r="A12" s="384"/>
      <c r="B12" s="385" t="s">
        <v>188</v>
      </c>
      <c r="C12" s="385" t="s">
        <v>823</v>
      </c>
      <c r="D12" s="385"/>
      <c r="E12" s="383"/>
      <c r="F12" s="382"/>
      <c r="G12" s="458" t="s">
        <v>331</v>
      </c>
      <c r="H12" s="18"/>
      <c r="I12" s="78">
        <f t="shared" ref="I12:AB12" si="2">SUM(I13,I19,I20)</f>
        <v>0</v>
      </c>
      <c r="J12" s="78">
        <f t="shared" si="2"/>
        <v>0</v>
      </c>
      <c r="K12" s="78">
        <f t="shared" si="2"/>
        <v>0</v>
      </c>
      <c r="L12" s="78">
        <f t="shared" si="2"/>
        <v>0</v>
      </c>
      <c r="M12" s="78">
        <f t="shared" si="2"/>
        <v>0</v>
      </c>
      <c r="N12" s="78">
        <f t="shared" si="2"/>
        <v>0</v>
      </c>
      <c r="O12" s="78">
        <f t="shared" si="2"/>
        <v>0</v>
      </c>
      <c r="P12" s="78">
        <f t="shared" si="2"/>
        <v>0</v>
      </c>
      <c r="Q12" s="78">
        <f t="shared" si="2"/>
        <v>0</v>
      </c>
      <c r="R12" s="78">
        <f t="shared" si="2"/>
        <v>0</v>
      </c>
      <c r="S12" s="78">
        <f t="shared" si="2"/>
        <v>0</v>
      </c>
      <c r="T12" s="78">
        <f t="shared" si="2"/>
        <v>0</v>
      </c>
      <c r="U12" s="78">
        <f t="shared" si="2"/>
        <v>0</v>
      </c>
      <c r="V12" s="78">
        <f t="shared" si="2"/>
        <v>0</v>
      </c>
      <c r="W12" s="78">
        <f t="shared" si="2"/>
        <v>0</v>
      </c>
      <c r="X12" s="78">
        <f t="shared" si="2"/>
        <v>0</v>
      </c>
      <c r="Y12" s="78">
        <f t="shared" si="2"/>
        <v>0</v>
      </c>
      <c r="Z12" s="78">
        <f t="shared" si="2"/>
        <v>0</v>
      </c>
      <c r="AA12" s="78">
        <f t="shared" si="2"/>
        <v>0</v>
      </c>
      <c r="AB12" s="78">
        <f t="shared" si="2"/>
        <v>0</v>
      </c>
      <c r="AC12" s="78">
        <f t="shared" si="1"/>
        <v>0</v>
      </c>
      <c r="AD12" s="78">
        <f t="shared" si="1"/>
        <v>0</v>
      </c>
      <c r="AE12" s="122"/>
      <c r="AF12" s="123"/>
      <c r="AG12" s="123"/>
    </row>
    <row r="13" spans="1:33" x14ac:dyDescent="0.2">
      <c r="A13" s="386"/>
      <c r="B13" s="355"/>
      <c r="C13" s="387" t="s">
        <v>19</v>
      </c>
      <c r="D13" s="355" t="s">
        <v>189</v>
      </c>
      <c r="E13" s="382"/>
      <c r="F13" s="382"/>
      <c r="G13" s="458" t="s">
        <v>332</v>
      </c>
      <c r="H13" s="18"/>
      <c r="I13" s="292">
        <f>I14+I15+I16</f>
        <v>0</v>
      </c>
      <c r="J13" s="292">
        <f t="shared" ref="J13:AB13" si="3">J14+J15+J16</f>
        <v>0</v>
      </c>
      <c r="K13" s="292">
        <f t="shared" si="3"/>
        <v>0</v>
      </c>
      <c r="L13" s="292">
        <f t="shared" si="3"/>
        <v>0</v>
      </c>
      <c r="M13" s="292">
        <f t="shared" si="3"/>
        <v>0</v>
      </c>
      <c r="N13" s="292">
        <f t="shared" si="3"/>
        <v>0</v>
      </c>
      <c r="O13" s="292">
        <f t="shared" si="3"/>
        <v>0</v>
      </c>
      <c r="P13" s="292">
        <f t="shared" si="3"/>
        <v>0</v>
      </c>
      <c r="Q13" s="292">
        <f t="shared" si="3"/>
        <v>0</v>
      </c>
      <c r="R13" s="292">
        <f t="shared" si="3"/>
        <v>0</v>
      </c>
      <c r="S13" s="292">
        <f t="shared" si="3"/>
        <v>0</v>
      </c>
      <c r="T13" s="292">
        <f t="shared" si="3"/>
        <v>0</v>
      </c>
      <c r="U13" s="292">
        <f t="shared" si="3"/>
        <v>0</v>
      </c>
      <c r="V13" s="292">
        <f t="shared" si="3"/>
        <v>0</v>
      </c>
      <c r="W13" s="292">
        <f t="shared" si="3"/>
        <v>0</v>
      </c>
      <c r="X13" s="292">
        <f t="shared" si="3"/>
        <v>0</v>
      </c>
      <c r="Y13" s="292">
        <f t="shared" si="3"/>
        <v>0</v>
      </c>
      <c r="Z13" s="292">
        <f t="shared" si="3"/>
        <v>0</v>
      </c>
      <c r="AA13" s="292">
        <f t="shared" si="3"/>
        <v>0</v>
      </c>
      <c r="AB13" s="292">
        <f t="shared" si="3"/>
        <v>0</v>
      </c>
      <c r="AC13" s="78">
        <f t="shared" si="1"/>
        <v>0</v>
      </c>
      <c r="AD13" s="78">
        <f t="shared" si="1"/>
        <v>0</v>
      </c>
      <c r="AE13" s="122"/>
      <c r="AF13" s="123"/>
      <c r="AG13" s="123"/>
    </row>
    <row r="14" spans="1:33" x14ac:dyDescent="0.2">
      <c r="A14" s="386"/>
      <c r="B14" s="355"/>
      <c r="C14" s="387"/>
      <c r="D14" s="355" t="s">
        <v>11</v>
      </c>
      <c r="E14" s="355" t="s">
        <v>789</v>
      </c>
      <c r="F14" s="382"/>
      <c r="G14" s="458" t="s">
        <v>824</v>
      </c>
      <c r="H14" s="18"/>
      <c r="I14" s="81"/>
      <c r="J14" s="81"/>
      <c r="K14" s="81"/>
      <c r="L14" s="81"/>
      <c r="M14" s="81"/>
      <c r="N14" s="81"/>
      <c r="O14" s="81"/>
      <c r="P14" s="81"/>
      <c r="Q14" s="81"/>
      <c r="R14" s="81"/>
      <c r="S14" s="81"/>
      <c r="T14" s="81"/>
      <c r="U14" s="81"/>
      <c r="V14" s="81"/>
      <c r="W14" s="81"/>
      <c r="X14" s="81"/>
      <c r="Y14" s="81"/>
      <c r="Z14" s="81"/>
      <c r="AA14" s="81"/>
      <c r="AB14" s="81"/>
      <c r="AC14" s="78">
        <f t="shared" si="1"/>
        <v>0</v>
      </c>
      <c r="AD14" s="78">
        <f t="shared" si="1"/>
        <v>0</v>
      </c>
      <c r="AE14" s="122"/>
      <c r="AF14" s="123"/>
      <c r="AG14" s="123"/>
    </row>
    <row r="15" spans="1:33" x14ac:dyDescent="0.2">
      <c r="A15" s="386"/>
      <c r="B15" s="355"/>
      <c r="C15" s="387"/>
      <c r="D15" s="355" t="s">
        <v>15</v>
      </c>
      <c r="E15" s="355" t="s">
        <v>790</v>
      </c>
      <c r="F15" s="382"/>
      <c r="G15" s="458" t="s">
        <v>825</v>
      </c>
      <c r="H15" s="18"/>
      <c r="I15" s="81"/>
      <c r="J15" s="81"/>
      <c r="K15" s="81"/>
      <c r="L15" s="81"/>
      <c r="M15" s="81"/>
      <c r="N15" s="81"/>
      <c r="O15" s="81"/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/>
      <c r="AA15" s="81"/>
      <c r="AB15" s="81"/>
      <c r="AC15" s="78">
        <f t="shared" si="1"/>
        <v>0</v>
      </c>
      <c r="AD15" s="78">
        <f t="shared" si="1"/>
        <v>0</v>
      </c>
      <c r="AE15" s="122"/>
      <c r="AF15" s="123"/>
      <c r="AG15" s="123"/>
    </row>
    <row r="16" spans="1:33" x14ac:dyDescent="0.2">
      <c r="A16" s="386"/>
      <c r="B16" s="355"/>
      <c r="C16" s="387"/>
      <c r="D16" s="355" t="s">
        <v>25</v>
      </c>
      <c r="E16" s="392" t="s">
        <v>791</v>
      </c>
      <c r="F16" s="382"/>
      <c r="G16" s="458" t="s">
        <v>826</v>
      </c>
      <c r="H16" s="85" t="s">
        <v>751</v>
      </c>
      <c r="I16" s="292">
        <f>SUM(I17:I18)</f>
        <v>0</v>
      </c>
      <c r="J16" s="292">
        <f t="shared" ref="J16:AB16" si="4">SUM(J17:J18)</f>
        <v>0</v>
      </c>
      <c r="K16" s="292">
        <f t="shared" si="4"/>
        <v>0</v>
      </c>
      <c r="L16" s="292">
        <f t="shared" si="4"/>
        <v>0</v>
      </c>
      <c r="M16" s="292">
        <f t="shared" si="4"/>
        <v>0</v>
      </c>
      <c r="N16" s="292">
        <f t="shared" si="4"/>
        <v>0</v>
      </c>
      <c r="O16" s="292">
        <f t="shared" si="4"/>
        <v>0</v>
      </c>
      <c r="P16" s="292">
        <f t="shared" si="4"/>
        <v>0</v>
      </c>
      <c r="Q16" s="292">
        <f t="shared" si="4"/>
        <v>0</v>
      </c>
      <c r="R16" s="292">
        <f t="shared" si="4"/>
        <v>0</v>
      </c>
      <c r="S16" s="292">
        <f t="shared" si="4"/>
        <v>0</v>
      </c>
      <c r="T16" s="292">
        <f t="shared" si="4"/>
        <v>0</v>
      </c>
      <c r="U16" s="292">
        <f t="shared" si="4"/>
        <v>0</v>
      </c>
      <c r="V16" s="292">
        <f t="shared" si="4"/>
        <v>0</v>
      </c>
      <c r="W16" s="292">
        <f t="shared" si="4"/>
        <v>0</v>
      </c>
      <c r="X16" s="292">
        <f t="shared" si="4"/>
        <v>0</v>
      </c>
      <c r="Y16" s="292">
        <f t="shared" si="4"/>
        <v>0</v>
      </c>
      <c r="Z16" s="292">
        <f t="shared" si="4"/>
        <v>0</v>
      </c>
      <c r="AA16" s="292">
        <f t="shared" si="4"/>
        <v>0</v>
      </c>
      <c r="AB16" s="292">
        <f t="shared" si="4"/>
        <v>0</v>
      </c>
      <c r="AC16" s="78">
        <f t="shared" si="1"/>
        <v>0</v>
      </c>
      <c r="AD16" s="78">
        <f t="shared" si="1"/>
        <v>0</v>
      </c>
      <c r="AE16" s="122"/>
      <c r="AF16" s="123"/>
      <c r="AG16" s="123"/>
    </row>
    <row r="17" spans="1:33" x14ac:dyDescent="0.2">
      <c r="A17" s="129"/>
      <c r="B17" s="124"/>
      <c r="C17" s="149"/>
      <c r="D17" s="124"/>
      <c r="E17" s="310"/>
      <c r="F17" s="291"/>
      <c r="G17" s="458"/>
      <c r="H17" s="91">
        <v>1</v>
      </c>
      <c r="I17" s="81"/>
      <c r="J17" s="81"/>
      <c r="K17" s="81"/>
      <c r="L17" s="81"/>
      <c r="M17" s="81"/>
      <c r="N17" s="81"/>
      <c r="O17" s="81"/>
      <c r="P17" s="81"/>
      <c r="Q17" s="81"/>
      <c r="R17" s="81"/>
      <c r="S17" s="81"/>
      <c r="T17" s="81"/>
      <c r="U17" s="81"/>
      <c r="V17" s="81"/>
      <c r="W17" s="81"/>
      <c r="X17" s="81"/>
      <c r="Y17" s="81"/>
      <c r="Z17" s="81"/>
      <c r="AA17" s="81"/>
      <c r="AB17" s="81"/>
      <c r="AC17" s="78">
        <f>(I17+K17+M17+O17+Q17+S17+U17) - (W17+Y17)</f>
        <v>0</v>
      </c>
      <c r="AD17" s="78">
        <f>(J17+L17+N17+P17+R17+T17+V17) - (X17+Z17)</f>
        <v>0</v>
      </c>
      <c r="AE17" s="122"/>
      <c r="AF17" s="123"/>
      <c r="AG17" s="123"/>
    </row>
    <row r="18" spans="1:33" x14ac:dyDescent="0.2">
      <c r="A18" s="386"/>
      <c r="B18" s="355"/>
      <c r="C18" s="387"/>
      <c r="D18" s="355"/>
      <c r="E18" s="355"/>
      <c r="F18" s="291"/>
      <c r="G18" s="458"/>
      <c r="H18" s="239" t="str">
        <f>CHAR(132)</f>
        <v>„</v>
      </c>
      <c r="I18" s="317"/>
      <c r="J18" s="317"/>
      <c r="K18" s="317"/>
      <c r="L18" s="317"/>
      <c r="M18" s="317"/>
      <c r="N18" s="317"/>
      <c r="O18" s="317"/>
      <c r="P18" s="317"/>
      <c r="Q18" s="317"/>
      <c r="R18" s="317"/>
      <c r="S18" s="317"/>
      <c r="T18" s="317"/>
      <c r="U18" s="317"/>
      <c r="V18" s="317"/>
      <c r="W18" s="317"/>
      <c r="X18" s="317"/>
      <c r="Y18" s="317"/>
      <c r="Z18" s="317"/>
      <c r="AA18" s="317"/>
      <c r="AB18" s="317"/>
      <c r="AC18" s="78"/>
      <c r="AD18" s="78"/>
      <c r="AE18" s="122"/>
      <c r="AF18" s="123"/>
      <c r="AG18" s="123"/>
    </row>
    <row r="19" spans="1:33" x14ac:dyDescent="0.2">
      <c r="A19" s="384"/>
      <c r="B19" s="385"/>
      <c r="C19" s="390" t="s">
        <v>21</v>
      </c>
      <c r="D19" s="385" t="s">
        <v>326</v>
      </c>
      <c r="E19" s="383"/>
      <c r="F19" s="125"/>
      <c r="G19" s="458" t="s">
        <v>333</v>
      </c>
      <c r="H19" s="18"/>
      <c r="I19" s="60"/>
      <c r="J19" s="60"/>
      <c r="K19" s="60"/>
      <c r="L19" s="60"/>
      <c r="M19" s="60"/>
      <c r="N19" s="60"/>
      <c r="O19" s="60"/>
      <c r="P19" s="60"/>
      <c r="Q19" s="60"/>
      <c r="R19" s="60"/>
      <c r="S19" s="60"/>
      <c r="T19" s="60"/>
      <c r="U19" s="60"/>
      <c r="V19" s="60"/>
      <c r="W19" s="60"/>
      <c r="X19" s="60"/>
      <c r="Y19" s="60"/>
      <c r="Z19" s="60"/>
      <c r="AA19" s="60"/>
      <c r="AB19" s="60"/>
      <c r="AC19" s="295"/>
      <c r="AD19" s="295"/>
      <c r="AE19" s="122"/>
      <c r="AF19" s="123"/>
      <c r="AG19" s="123"/>
    </row>
    <row r="20" spans="1:33" x14ac:dyDescent="0.2">
      <c r="A20" s="386"/>
      <c r="B20" s="355"/>
      <c r="C20" s="387" t="s">
        <v>60</v>
      </c>
      <c r="D20" s="355" t="s">
        <v>191</v>
      </c>
      <c r="E20" s="382"/>
      <c r="F20" s="125"/>
      <c r="G20" s="458" t="s">
        <v>334</v>
      </c>
      <c r="H20" s="18"/>
      <c r="I20" s="78">
        <f>SUM(I21,I22,I23)</f>
        <v>0</v>
      </c>
      <c r="J20" s="78">
        <f t="shared" ref="J20:T20" si="5">SUM(J21,J22,J23)</f>
        <v>0</v>
      </c>
      <c r="K20" s="78">
        <f t="shared" si="5"/>
        <v>0</v>
      </c>
      <c r="L20" s="78">
        <f t="shared" si="5"/>
        <v>0</v>
      </c>
      <c r="M20" s="78">
        <f t="shared" si="5"/>
        <v>0</v>
      </c>
      <c r="N20" s="78">
        <f t="shared" si="5"/>
        <v>0</v>
      </c>
      <c r="O20" s="78">
        <f t="shared" si="5"/>
        <v>0</v>
      </c>
      <c r="P20" s="78">
        <f t="shared" si="5"/>
        <v>0</v>
      </c>
      <c r="Q20" s="78">
        <f t="shared" si="5"/>
        <v>0</v>
      </c>
      <c r="R20" s="78">
        <f t="shared" si="5"/>
        <v>0</v>
      </c>
      <c r="S20" s="78">
        <f t="shared" si="5"/>
        <v>0</v>
      </c>
      <c r="T20" s="78">
        <f t="shared" si="5"/>
        <v>0</v>
      </c>
      <c r="U20" s="78">
        <f>SUM(U21,U22,U23)</f>
        <v>0</v>
      </c>
      <c r="V20" s="78">
        <f t="shared" ref="V20:AB20" si="6">SUM(V21,V22,V23)</f>
        <v>0</v>
      </c>
      <c r="W20" s="78">
        <f t="shared" si="6"/>
        <v>0</v>
      </c>
      <c r="X20" s="78">
        <f t="shared" si="6"/>
        <v>0</v>
      </c>
      <c r="Y20" s="78">
        <f t="shared" si="6"/>
        <v>0</v>
      </c>
      <c r="Z20" s="78">
        <f t="shared" si="6"/>
        <v>0</v>
      </c>
      <c r="AA20" s="78">
        <f t="shared" si="6"/>
        <v>0</v>
      </c>
      <c r="AB20" s="78">
        <f t="shared" si="6"/>
        <v>0</v>
      </c>
      <c r="AC20" s="78">
        <f t="shared" ref="AC20:AD40" si="7">(I20+K20+M20+O20+Q20+S20+U20) - (W20+Y20)</f>
        <v>0</v>
      </c>
      <c r="AD20" s="78">
        <f t="shared" si="7"/>
        <v>0</v>
      </c>
      <c r="AE20" s="122"/>
      <c r="AF20" s="123"/>
      <c r="AG20" s="123"/>
    </row>
    <row r="21" spans="1:33" x14ac:dyDescent="0.2">
      <c r="A21" s="384"/>
      <c r="B21" s="385"/>
      <c r="C21" s="390"/>
      <c r="D21" s="385" t="s">
        <v>11</v>
      </c>
      <c r="E21" s="383" t="s">
        <v>192</v>
      </c>
      <c r="F21" s="125"/>
      <c r="G21" s="458" t="s">
        <v>335</v>
      </c>
      <c r="H21" s="18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78">
        <f t="shared" si="7"/>
        <v>0</v>
      </c>
      <c r="AD21" s="78">
        <f t="shared" si="7"/>
        <v>0</v>
      </c>
      <c r="AE21" s="122"/>
      <c r="AF21" s="123"/>
      <c r="AG21" s="123"/>
    </row>
    <row r="22" spans="1:33" x14ac:dyDescent="0.2">
      <c r="A22" s="386"/>
      <c r="B22" s="355"/>
      <c r="C22" s="355"/>
      <c r="D22" s="355" t="s">
        <v>15</v>
      </c>
      <c r="E22" s="382" t="s">
        <v>193</v>
      </c>
      <c r="F22" s="125"/>
      <c r="G22" s="458" t="s">
        <v>336</v>
      </c>
      <c r="H22" s="18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78">
        <f t="shared" si="7"/>
        <v>0</v>
      </c>
      <c r="AD22" s="78">
        <f t="shared" si="7"/>
        <v>0</v>
      </c>
      <c r="AE22" s="122"/>
      <c r="AF22" s="123"/>
      <c r="AG22" s="123"/>
    </row>
    <row r="23" spans="1:33" x14ac:dyDescent="0.2">
      <c r="A23" s="384"/>
      <c r="B23" s="385"/>
      <c r="C23" s="385"/>
      <c r="D23" s="385" t="s">
        <v>25</v>
      </c>
      <c r="E23" s="383" t="s">
        <v>194</v>
      </c>
      <c r="F23" s="125"/>
      <c r="G23" s="458" t="s">
        <v>337</v>
      </c>
      <c r="H23" s="18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78">
        <f t="shared" si="7"/>
        <v>0</v>
      </c>
      <c r="AD23" s="78">
        <f t="shared" si="7"/>
        <v>0</v>
      </c>
      <c r="AE23" s="122"/>
      <c r="AF23" s="123"/>
      <c r="AG23" s="123"/>
    </row>
    <row r="24" spans="1:33" x14ac:dyDescent="0.2">
      <c r="A24" s="386"/>
      <c r="B24" s="355" t="s">
        <v>195</v>
      </c>
      <c r="C24" s="355" t="s">
        <v>196</v>
      </c>
      <c r="D24" s="355"/>
      <c r="E24" s="382"/>
      <c r="F24" s="125"/>
      <c r="G24" s="458" t="s">
        <v>338</v>
      </c>
      <c r="H24" s="18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78">
        <f t="shared" si="7"/>
        <v>0</v>
      </c>
      <c r="AD24" s="78">
        <f t="shared" si="7"/>
        <v>0</v>
      </c>
      <c r="AE24" s="122"/>
      <c r="AF24" s="123"/>
      <c r="AG24" s="123"/>
    </row>
    <row r="25" spans="1:33" x14ac:dyDescent="0.2">
      <c r="A25" s="384"/>
      <c r="B25" s="385" t="s">
        <v>197</v>
      </c>
      <c r="C25" s="385" t="s">
        <v>198</v>
      </c>
      <c r="D25" s="385"/>
      <c r="E25" s="383"/>
      <c r="F25" s="125"/>
      <c r="G25" s="458" t="s">
        <v>339</v>
      </c>
      <c r="H25" s="18"/>
      <c r="I25" s="78">
        <f>SUM(I26,I27)</f>
        <v>0</v>
      </c>
      <c r="J25" s="78">
        <f t="shared" ref="J25:T25" si="8">SUM(J26,J27)</f>
        <v>0</v>
      </c>
      <c r="K25" s="78">
        <f t="shared" si="8"/>
        <v>0</v>
      </c>
      <c r="L25" s="78">
        <f t="shared" si="8"/>
        <v>0</v>
      </c>
      <c r="M25" s="78">
        <f t="shared" si="8"/>
        <v>0</v>
      </c>
      <c r="N25" s="78">
        <f t="shared" si="8"/>
        <v>0</v>
      </c>
      <c r="O25" s="78">
        <f t="shared" si="8"/>
        <v>0</v>
      </c>
      <c r="P25" s="78">
        <f t="shared" si="8"/>
        <v>0</v>
      </c>
      <c r="Q25" s="78">
        <f t="shared" si="8"/>
        <v>0</v>
      </c>
      <c r="R25" s="78">
        <f t="shared" si="8"/>
        <v>0</v>
      </c>
      <c r="S25" s="78">
        <f t="shared" si="8"/>
        <v>0</v>
      </c>
      <c r="T25" s="78">
        <f t="shared" si="8"/>
        <v>0</v>
      </c>
      <c r="U25" s="78">
        <f>SUM(U26,U27)</f>
        <v>0</v>
      </c>
      <c r="V25" s="78">
        <f t="shared" ref="V25:AB25" si="9">SUM(V26,V27)</f>
        <v>0</v>
      </c>
      <c r="W25" s="78">
        <f t="shared" si="9"/>
        <v>0</v>
      </c>
      <c r="X25" s="78">
        <f t="shared" si="9"/>
        <v>0</v>
      </c>
      <c r="Y25" s="78">
        <f t="shared" si="9"/>
        <v>0</v>
      </c>
      <c r="Z25" s="78">
        <f t="shared" si="9"/>
        <v>0</v>
      </c>
      <c r="AA25" s="78">
        <f t="shared" si="9"/>
        <v>0</v>
      </c>
      <c r="AB25" s="78">
        <f t="shared" si="9"/>
        <v>0</v>
      </c>
      <c r="AC25" s="78">
        <f t="shared" si="7"/>
        <v>0</v>
      </c>
      <c r="AD25" s="78">
        <f t="shared" si="7"/>
        <v>0</v>
      </c>
      <c r="AE25" s="122"/>
      <c r="AF25" s="123"/>
      <c r="AG25" s="123"/>
    </row>
    <row r="26" spans="1:33" x14ac:dyDescent="0.2">
      <c r="A26" s="386"/>
      <c r="B26" s="355"/>
      <c r="C26" s="387" t="s">
        <v>19</v>
      </c>
      <c r="D26" s="355" t="s">
        <v>199</v>
      </c>
      <c r="E26" s="382"/>
      <c r="F26" s="125"/>
      <c r="G26" s="458" t="s">
        <v>340</v>
      </c>
      <c r="H26" s="18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78">
        <f t="shared" si="7"/>
        <v>0</v>
      </c>
      <c r="AD26" s="78">
        <f t="shared" si="7"/>
        <v>0</v>
      </c>
      <c r="AE26" s="122"/>
      <c r="AF26" s="123"/>
      <c r="AG26" s="123"/>
    </row>
    <row r="27" spans="1:33" x14ac:dyDescent="0.2">
      <c r="A27" s="384"/>
      <c r="B27" s="385"/>
      <c r="C27" s="390" t="s">
        <v>21</v>
      </c>
      <c r="D27" s="391" t="s">
        <v>200</v>
      </c>
      <c r="E27" s="383"/>
      <c r="F27" s="125"/>
      <c r="G27" s="458" t="s">
        <v>341</v>
      </c>
      <c r="H27" s="18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78">
        <f t="shared" si="7"/>
        <v>0</v>
      </c>
      <c r="AD27" s="78">
        <f t="shared" si="7"/>
        <v>0</v>
      </c>
      <c r="AE27" s="122"/>
      <c r="AF27" s="123"/>
      <c r="AG27" s="123"/>
    </row>
    <row r="28" spans="1:33" x14ac:dyDescent="0.2">
      <c r="A28" s="386"/>
      <c r="B28" s="355" t="s">
        <v>201</v>
      </c>
      <c r="C28" s="355" t="s">
        <v>202</v>
      </c>
      <c r="D28" s="355"/>
      <c r="E28" s="382"/>
      <c r="F28" s="125"/>
      <c r="G28" s="458" t="s">
        <v>342</v>
      </c>
      <c r="H28" s="18"/>
      <c r="I28" s="78">
        <f>SUM(I29,I32)</f>
        <v>0</v>
      </c>
      <c r="J28" s="78">
        <f t="shared" ref="J28:T28" si="10">SUM(J29,J32)</f>
        <v>0</v>
      </c>
      <c r="K28" s="78">
        <f t="shared" si="10"/>
        <v>0</v>
      </c>
      <c r="L28" s="78">
        <f t="shared" si="10"/>
        <v>0</v>
      </c>
      <c r="M28" s="78">
        <f t="shared" si="10"/>
        <v>0</v>
      </c>
      <c r="N28" s="78">
        <f t="shared" si="10"/>
        <v>0</v>
      </c>
      <c r="O28" s="78">
        <f t="shared" si="10"/>
        <v>0</v>
      </c>
      <c r="P28" s="78">
        <f t="shared" si="10"/>
        <v>0</v>
      </c>
      <c r="Q28" s="78">
        <f t="shared" si="10"/>
        <v>0</v>
      </c>
      <c r="R28" s="78">
        <f t="shared" si="10"/>
        <v>0</v>
      </c>
      <c r="S28" s="78">
        <f t="shared" si="10"/>
        <v>0</v>
      </c>
      <c r="T28" s="78">
        <f t="shared" si="10"/>
        <v>0</v>
      </c>
      <c r="U28" s="78">
        <f>SUM(U29,U32)</f>
        <v>0</v>
      </c>
      <c r="V28" s="78">
        <f t="shared" ref="V28:AB28" si="11">SUM(V29,V32)</f>
        <v>0</v>
      </c>
      <c r="W28" s="78">
        <f t="shared" si="11"/>
        <v>0</v>
      </c>
      <c r="X28" s="78">
        <f t="shared" si="11"/>
        <v>0</v>
      </c>
      <c r="Y28" s="78">
        <f t="shared" si="11"/>
        <v>0</v>
      </c>
      <c r="Z28" s="78">
        <f t="shared" si="11"/>
        <v>0</v>
      </c>
      <c r="AA28" s="78">
        <f t="shared" si="11"/>
        <v>0</v>
      </c>
      <c r="AB28" s="78">
        <f t="shared" si="11"/>
        <v>0</v>
      </c>
      <c r="AC28" s="78">
        <f t="shared" si="7"/>
        <v>0</v>
      </c>
      <c r="AD28" s="78">
        <f t="shared" si="7"/>
        <v>0</v>
      </c>
      <c r="AE28" s="122"/>
      <c r="AF28" s="123"/>
      <c r="AG28" s="123"/>
    </row>
    <row r="29" spans="1:33" x14ac:dyDescent="0.2">
      <c r="A29" s="386"/>
      <c r="B29" s="355"/>
      <c r="C29" s="387" t="s">
        <v>19</v>
      </c>
      <c r="D29" s="385" t="s">
        <v>203</v>
      </c>
      <c r="E29" s="383"/>
      <c r="F29" s="125"/>
      <c r="G29" s="458" t="s">
        <v>343</v>
      </c>
      <c r="H29" s="18"/>
      <c r="I29" s="78">
        <f>I30+I31</f>
        <v>0</v>
      </c>
      <c r="J29" s="78">
        <f t="shared" ref="J29:AB29" si="12">J30+J31</f>
        <v>0</v>
      </c>
      <c r="K29" s="78">
        <f t="shared" si="12"/>
        <v>0</v>
      </c>
      <c r="L29" s="78">
        <f t="shared" si="12"/>
        <v>0</v>
      </c>
      <c r="M29" s="78">
        <f t="shared" si="12"/>
        <v>0</v>
      </c>
      <c r="N29" s="78">
        <f t="shared" si="12"/>
        <v>0</v>
      </c>
      <c r="O29" s="78">
        <f t="shared" si="12"/>
        <v>0</v>
      </c>
      <c r="P29" s="78">
        <f t="shared" si="12"/>
        <v>0</v>
      </c>
      <c r="Q29" s="78">
        <f t="shared" si="12"/>
        <v>0</v>
      </c>
      <c r="R29" s="78">
        <f t="shared" si="12"/>
        <v>0</v>
      </c>
      <c r="S29" s="78">
        <f t="shared" si="12"/>
        <v>0</v>
      </c>
      <c r="T29" s="78">
        <f t="shared" si="12"/>
        <v>0</v>
      </c>
      <c r="U29" s="78">
        <f t="shared" si="12"/>
        <v>0</v>
      </c>
      <c r="V29" s="78">
        <f t="shared" si="12"/>
        <v>0</v>
      </c>
      <c r="W29" s="78">
        <f t="shared" si="12"/>
        <v>0</v>
      </c>
      <c r="X29" s="78">
        <f t="shared" si="12"/>
        <v>0</v>
      </c>
      <c r="Y29" s="78">
        <f t="shared" si="12"/>
        <v>0</v>
      </c>
      <c r="Z29" s="78">
        <f t="shared" si="12"/>
        <v>0</v>
      </c>
      <c r="AA29" s="78">
        <f t="shared" si="12"/>
        <v>0</v>
      </c>
      <c r="AB29" s="78">
        <f t="shared" si="12"/>
        <v>0</v>
      </c>
      <c r="AC29" s="78">
        <f t="shared" si="7"/>
        <v>0</v>
      </c>
      <c r="AD29" s="78">
        <f t="shared" si="7"/>
        <v>0</v>
      </c>
      <c r="AE29" s="122"/>
      <c r="AF29" s="123"/>
      <c r="AG29" s="123"/>
    </row>
    <row r="30" spans="1:33" x14ac:dyDescent="0.2">
      <c r="A30" s="386"/>
      <c r="B30" s="355"/>
      <c r="C30" s="387"/>
      <c r="D30" s="355" t="s">
        <v>11</v>
      </c>
      <c r="E30" s="355" t="s">
        <v>792</v>
      </c>
      <c r="F30" s="291"/>
      <c r="G30" s="458" t="s">
        <v>827</v>
      </c>
      <c r="H30" s="18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78">
        <f t="shared" si="7"/>
        <v>0</v>
      </c>
      <c r="AD30" s="78">
        <f t="shared" si="7"/>
        <v>0</v>
      </c>
      <c r="AE30" s="122"/>
      <c r="AF30" s="123"/>
      <c r="AG30" s="123"/>
    </row>
    <row r="31" spans="1:33" x14ac:dyDescent="0.2">
      <c r="A31" s="384"/>
      <c r="B31" s="385"/>
      <c r="C31" s="390"/>
      <c r="D31" s="392" t="s">
        <v>15</v>
      </c>
      <c r="E31" s="355" t="s">
        <v>793</v>
      </c>
      <c r="F31" s="291"/>
      <c r="G31" s="458" t="s">
        <v>828</v>
      </c>
      <c r="H31" s="18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78">
        <f t="shared" si="7"/>
        <v>0</v>
      </c>
      <c r="AD31" s="78">
        <f t="shared" si="7"/>
        <v>0</v>
      </c>
      <c r="AE31" s="122"/>
      <c r="AF31" s="123"/>
      <c r="AG31" s="123"/>
    </row>
    <row r="32" spans="1:33" x14ac:dyDescent="0.2">
      <c r="A32" s="386"/>
      <c r="B32" s="355"/>
      <c r="C32" s="387" t="s">
        <v>21</v>
      </c>
      <c r="D32" s="355" t="s">
        <v>194</v>
      </c>
      <c r="E32" s="382"/>
      <c r="F32" s="125"/>
      <c r="G32" s="458" t="s">
        <v>344</v>
      </c>
      <c r="H32" s="18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78">
        <f t="shared" si="7"/>
        <v>0</v>
      </c>
      <c r="AD32" s="78">
        <f t="shared" si="7"/>
        <v>0</v>
      </c>
      <c r="AE32" s="122"/>
      <c r="AF32" s="123"/>
      <c r="AG32" s="123"/>
    </row>
    <row r="33" spans="1:255" x14ac:dyDescent="0.2">
      <c r="A33" s="393" t="s">
        <v>33</v>
      </c>
      <c r="B33" s="394" t="s">
        <v>204</v>
      </c>
      <c r="C33" s="385"/>
      <c r="D33" s="385"/>
      <c r="E33" s="383"/>
      <c r="F33" s="125"/>
      <c r="G33" s="458" t="s">
        <v>345</v>
      </c>
      <c r="H33" s="18"/>
      <c r="I33" s="77">
        <f>SUM(I34,I35,I36,I39)</f>
        <v>0</v>
      </c>
      <c r="J33" s="77">
        <f t="shared" ref="J33:T33" si="13">SUM(J34,J35,J36,J39)</f>
        <v>0</v>
      </c>
      <c r="K33" s="77">
        <f t="shared" si="13"/>
        <v>0</v>
      </c>
      <c r="L33" s="77">
        <f t="shared" si="13"/>
        <v>0</v>
      </c>
      <c r="M33" s="77">
        <f t="shared" si="13"/>
        <v>0</v>
      </c>
      <c r="N33" s="77">
        <f t="shared" si="13"/>
        <v>0</v>
      </c>
      <c r="O33" s="77">
        <f t="shared" si="13"/>
        <v>0</v>
      </c>
      <c r="P33" s="77">
        <f t="shared" si="13"/>
        <v>0</v>
      </c>
      <c r="Q33" s="77">
        <f t="shared" si="13"/>
        <v>0</v>
      </c>
      <c r="R33" s="77">
        <f t="shared" si="13"/>
        <v>0</v>
      </c>
      <c r="S33" s="77">
        <f t="shared" si="13"/>
        <v>0</v>
      </c>
      <c r="T33" s="77">
        <f t="shared" si="13"/>
        <v>0</v>
      </c>
      <c r="U33" s="77">
        <f>SUM(U34,U35,U36,U39)</f>
        <v>0</v>
      </c>
      <c r="V33" s="77">
        <f t="shared" ref="V33:AB33" si="14">SUM(V34,V35,V36,V39)</f>
        <v>0</v>
      </c>
      <c r="W33" s="77">
        <f t="shared" si="14"/>
        <v>0</v>
      </c>
      <c r="X33" s="77">
        <f t="shared" si="14"/>
        <v>0</v>
      </c>
      <c r="Y33" s="77">
        <f t="shared" si="14"/>
        <v>0</v>
      </c>
      <c r="Z33" s="77">
        <f t="shared" si="14"/>
        <v>0</v>
      </c>
      <c r="AA33" s="77">
        <f t="shared" si="14"/>
        <v>0</v>
      </c>
      <c r="AB33" s="77">
        <f t="shared" si="14"/>
        <v>0</v>
      </c>
      <c r="AC33" s="78">
        <f t="shared" si="7"/>
        <v>0</v>
      </c>
      <c r="AD33" s="78">
        <f t="shared" si="7"/>
        <v>0</v>
      </c>
      <c r="AE33" s="122"/>
      <c r="AF33" s="123"/>
      <c r="AG33" s="123"/>
    </row>
    <row r="34" spans="1:255" x14ac:dyDescent="0.2">
      <c r="A34" s="386"/>
      <c r="B34" s="355" t="s">
        <v>188</v>
      </c>
      <c r="C34" s="355" t="s">
        <v>205</v>
      </c>
      <c r="D34" s="355"/>
      <c r="E34" s="382"/>
      <c r="F34" s="125"/>
      <c r="G34" s="458" t="s">
        <v>346</v>
      </c>
      <c r="H34" s="18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78">
        <f t="shared" si="7"/>
        <v>0</v>
      </c>
      <c r="AD34" s="78">
        <f t="shared" si="7"/>
        <v>0</v>
      </c>
      <c r="AE34" s="122"/>
      <c r="AF34" s="123"/>
      <c r="AG34" s="123"/>
    </row>
    <row r="35" spans="1:255" x14ac:dyDescent="0.2">
      <c r="A35" s="384"/>
      <c r="B35" s="385" t="s">
        <v>195</v>
      </c>
      <c r="C35" s="385" t="s">
        <v>306</v>
      </c>
      <c r="D35" s="385"/>
      <c r="E35" s="383"/>
      <c r="F35" s="125"/>
      <c r="G35" s="458" t="s">
        <v>347</v>
      </c>
      <c r="H35" s="18"/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78">
        <f t="shared" si="7"/>
        <v>0</v>
      </c>
      <c r="AD35" s="78">
        <f t="shared" si="7"/>
        <v>0</v>
      </c>
      <c r="AE35" s="122"/>
      <c r="AF35" s="123"/>
      <c r="AG35" s="123"/>
    </row>
    <row r="36" spans="1:255" x14ac:dyDescent="0.2">
      <c r="A36" s="386"/>
      <c r="B36" s="355" t="s">
        <v>197</v>
      </c>
      <c r="C36" s="355" t="s">
        <v>198</v>
      </c>
      <c r="D36" s="355"/>
      <c r="E36" s="382"/>
      <c r="F36" s="125"/>
      <c r="G36" s="458" t="s">
        <v>348</v>
      </c>
      <c r="H36" s="18"/>
      <c r="I36" s="77">
        <f>SUM(I37,I38)</f>
        <v>0</v>
      </c>
      <c r="J36" s="77">
        <f t="shared" ref="J36:T36" si="15">SUM(J37,J38)</f>
        <v>0</v>
      </c>
      <c r="K36" s="77">
        <f t="shared" si="15"/>
        <v>0</v>
      </c>
      <c r="L36" s="77">
        <f t="shared" si="15"/>
        <v>0</v>
      </c>
      <c r="M36" s="77">
        <f t="shared" si="15"/>
        <v>0</v>
      </c>
      <c r="N36" s="77">
        <f t="shared" si="15"/>
        <v>0</v>
      </c>
      <c r="O36" s="77">
        <f t="shared" si="15"/>
        <v>0</v>
      </c>
      <c r="P36" s="77">
        <f t="shared" si="15"/>
        <v>0</v>
      </c>
      <c r="Q36" s="77">
        <f t="shared" si="15"/>
        <v>0</v>
      </c>
      <c r="R36" s="77">
        <f t="shared" si="15"/>
        <v>0</v>
      </c>
      <c r="S36" s="77">
        <f t="shared" si="15"/>
        <v>0</v>
      </c>
      <c r="T36" s="77">
        <f t="shared" si="15"/>
        <v>0</v>
      </c>
      <c r="U36" s="77">
        <f>SUM(U37,U38)</f>
        <v>0</v>
      </c>
      <c r="V36" s="77">
        <f t="shared" ref="V36:AB36" si="16">SUM(V37,V38)</f>
        <v>0</v>
      </c>
      <c r="W36" s="77">
        <f t="shared" si="16"/>
        <v>0</v>
      </c>
      <c r="X36" s="77">
        <f t="shared" si="16"/>
        <v>0</v>
      </c>
      <c r="Y36" s="77">
        <f t="shared" si="16"/>
        <v>0</v>
      </c>
      <c r="Z36" s="77">
        <f t="shared" si="16"/>
        <v>0</v>
      </c>
      <c r="AA36" s="77">
        <f t="shared" si="16"/>
        <v>0</v>
      </c>
      <c r="AB36" s="77">
        <f t="shared" si="16"/>
        <v>0</v>
      </c>
      <c r="AC36" s="78">
        <f t="shared" si="7"/>
        <v>0</v>
      </c>
      <c r="AD36" s="78">
        <f t="shared" si="7"/>
        <v>0</v>
      </c>
      <c r="AE36" s="122"/>
      <c r="AF36" s="123"/>
      <c r="AG36" s="123"/>
    </row>
    <row r="37" spans="1:255" x14ac:dyDescent="0.2">
      <c r="A37" s="384"/>
      <c r="B37" s="385"/>
      <c r="C37" s="390" t="s">
        <v>19</v>
      </c>
      <c r="D37" s="385" t="s">
        <v>207</v>
      </c>
      <c r="E37" s="383"/>
      <c r="F37" s="125"/>
      <c r="G37" s="458" t="s">
        <v>349</v>
      </c>
      <c r="H37" s="18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2"/>
      <c r="AA37" s="62"/>
      <c r="AB37" s="62"/>
      <c r="AC37" s="78">
        <f t="shared" si="7"/>
        <v>0</v>
      </c>
      <c r="AD37" s="78">
        <f t="shared" si="7"/>
        <v>0</v>
      </c>
      <c r="AE37" s="122"/>
      <c r="AF37" s="123"/>
      <c r="AG37" s="123"/>
    </row>
    <row r="38" spans="1:255" x14ac:dyDescent="0.2">
      <c r="A38" s="386"/>
      <c r="B38" s="355"/>
      <c r="C38" s="387" t="s">
        <v>21</v>
      </c>
      <c r="D38" s="395" t="s">
        <v>200</v>
      </c>
      <c r="E38" s="382"/>
      <c r="F38" s="125"/>
      <c r="G38" s="458" t="s">
        <v>350</v>
      </c>
      <c r="H38" s="18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78">
        <f t="shared" si="7"/>
        <v>0</v>
      </c>
      <c r="AD38" s="78">
        <f t="shared" si="7"/>
        <v>0</v>
      </c>
      <c r="AE38" s="122"/>
      <c r="AF38" s="123"/>
      <c r="AG38" s="123"/>
    </row>
    <row r="39" spans="1:255" s="16" customFormat="1" x14ac:dyDescent="0.2">
      <c r="A39" s="384"/>
      <c r="B39" s="385" t="s">
        <v>201</v>
      </c>
      <c r="C39" s="385" t="s">
        <v>208</v>
      </c>
      <c r="D39" s="385"/>
      <c r="E39" s="383"/>
      <c r="F39" s="125"/>
      <c r="G39" s="458" t="s">
        <v>351</v>
      </c>
      <c r="H39" s="18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78">
        <f t="shared" si="7"/>
        <v>0</v>
      </c>
      <c r="AD39" s="78">
        <f t="shared" si="7"/>
        <v>0</v>
      </c>
      <c r="AE39" s="34"/>
      <c r="AF39" s="132"/>
      <c r="AG39" s="132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</row>
    <row r="40" spans="1:255" s="21" customFormat="1" x14ac:dyDescent="0.2">
      <c r="A40" s="397" t="s">
        <v>48</v>
      </c>
      <c r="B40" s="381" t="s">
        <v>209</v>
      </c>
      <c r="C40" s="395"/>
      <c r="D40" s="355"/>
      <c r="E40" s="382"/>
      <c r="F40" s="125"/>
      <c r="G40" s="458" t="s">
        <v>352</v>
      </c>
      <c r="H40" s="18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62"/>
      <c r="Y40" s="62"/>
      <c r="Z40" s="62"/>
      <c r="AA40" s="62"/>
      <c r="AB40" s="62"/>
      <c r="AC40" s="78">
        <f t="shared" si="7"/>
        <v>0</v>
      </c>
      <c r="AD40" s="78">
        <f t="shared" si="7"/>
        <v>0</v>
      </c>
      <c r="AE40" s="34"/>
      <c r="AF40" s="132"/>
      <c r="AG40" s="132"/>
    </row>
    <row r="41" spans="1:255" s="235" customFormat="1" x14ac:dyDescent="0.2">
      <c r="A41" s="407" t="s">
        <v>355</v>
      </c>
      <c r="B41" s="392"/>
      <c r="C41" s="392"/>
      <c r="D41" s="392"/>
      <c r="E41" s="388"/>
      <c r="F41" s="219"/>
      <c r="G41" s="458" t="s">
        <v>353</v>
      </c>
      <c r="H41" s="18"/>
      <c r="I41" s="77">
        <f t="shared" ref="I41:AD41" si="17">SUM(I11,I33,I40)</f>
        <v>0</v>
      </c>
      <c r="J41" s="77">
        <f t="shared" si="17"/>
        <v>0</v>
      </c>
      <c r="K41" s="77">
        <f t="shared" si="17"/>
        <v>0</v>
      </c>
      <c r="L41" s="77">
        <f t="shared" si="17"/>
        <v>0</v>
      </c>
      <c r="M41" s="77">
        <f t="shared" si="17"/>
        <v>0</v>
      </c>
      <c r="N41" s="77">
        <f t="shared" si="17"/>
        <v>0</v>
      </c>
      <c r="O41" s="77">
        <f t="shared" si="17"/>
        <v>0</v>
      </c>
      <c r="P41" s="77">
        <f t="shared" si="17"/>
        <v>0</v>
      </c>
      <c r="Q41" s="77">
        <f t="shared" si="17"/>
        <v>0</v>
      </c>
      <c r="R41" s="77">
        <f t="shared" si="17"/>
        <v>0</v>
      </c>
      <c r="S41" s="77">
        <f t="shared" si="17"/>
        <v>0</v>
      </c>
      <c r="T41" s="77">
        <f t="shared" si="17"/>
        <v>0</v>
      </c>
      <c r="U41" s="77">
        <f t="shared" si="17"/>
        <v>0</v>
      </c>
      <c r="V41" s="77">
        <f t="shared" si="17"/>
        <v>0</v>
      </c>
      <c r="W41" s="77">
        <f t="shared" si="17"/>
        <v>0</v>
      </c>
      <c r="X41" s="77">
        <f t="shared" si="17"/>
        <v>0</v>
      </c>
      <c r="Y41" s="77">
        <f t="shared" si="17"/>
        <v>0</v>
      </c>
      <c r="Z41" s="77">
        <f t="shared" si="17"/>
        <v>0</v>
      </c>
      <c r="AA41" s="77">
        <f t="shared" si="17"/>
        <v>0</v>
      </c>
      <c r="AB41" s="77">
        <f t="shared" si="17"/>
        <v>0</v>
      </c>
      <c r="AC41" s="78">
        <f t="shared" si="17"/>
        <v>0</v>
      </c>
      <c r="AD41" s="78">
        <f t="shared" si="17"/>
        <v>0</v>
      </c>
      <c r="AE41" s="233"/>
      <c r="AF41" s="234"/>
      <c r="AG41" s="234"/>
    </row>
    <row r="42" spans="1:255" s="154" customFormat="1" x14ac:dyDescent="0.2">
      <c r="A42" s="24"/>
      <c r="B42" s="14"/>
      <c r="C42" s="131"/>
      <c r="D42" s="39"/>
      <c r="E42" s="136"/>
      <c r="F42" s="136"/>
      <c r="G42" s="72" t="s">
        <v>184</v>
      </c>
      <c r="H42" s="40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236"/>
      <c r="AG42" s="236"/>
    </row>
    <row r="43" spans="1:255" s="154" customFormat="1" x14ac:dyDescent="0.2">
      <c r="A43" s="24"/>
      <c r="B43" s="39"/>
      <c r="C43" s="607"/>
      <c r="D43" s="607"/>
      <c r="E43" s="214"/>
      <c r="F43" s="214"/>
      <c r="G43" s="40"/>
      <c r="H43" s="40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236"/>
      <c r="AG43" s="236"/>
    </row>
    <row r="44" spans="1:255" s="154" customFormat="1" x14ac:dyDescent="0.2">
      <c r="A44" s="24"/>
      <c r="B44" s="39"/>
      <c r="C44" s="135"/>
      <c r="D44" s="489"/>
      <c r="E44" s="489"/>
      <c r="F44" s="489"/>
      <c r="G44" s="40"/>
      <c r="H44" s="40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236"/>
      <c r="AG44" s="236"/>
    </row>
    <row r="45" spans="1:255" s="154" customFormat="1" x14ac:dyDescent="0.2">
      <c r="A45" s="24"/>
      <c r="B45" s="39"/>
      <c r="C45" s="135"/>
      <c r="D45" s="489"/>
      <c r="E45" s="489"/>
      <c r="F45" s="489"/>
      <c r="G45" s="40"/>
      <c r="H45" s="40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32"/>
      <c r="AF45" s="236"/>
      <c r="AG45" s="236"/>
    </row>
    <row r="46" spans="1:255" s="154" customFormat="1" x14ac:dyDescent="0.2">
      <c r="A46" s="24"/>
      <c r="B46" s="39"/>
      <c r="C46" s="131"/>
      <c r="D46" s="39"/>
      <c r="E46" s="39"/>
      <c r="F46" s="39"/>
      <c r="G46" s="40"/>
      <c r="H46" s="40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32"/>
      <c r="AF46" s="236"/>
      <c r="AG46" s="236"/>
    </row>
    <row r="47" spans="1:255" s="154" customFormat="1" x14ac:dyDescent="0.2">
      <c r="A47" s="24"/>
      <c r="B47" s="39"/>
      <c r="C47" s="150"/>
      <c r="D47" s="39"/>
      <c r="E47" s="39"/>
      <c r="F47" s="39"/>
      <c r="G47" s="40"/>
      <c r="H47" s="40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  <c r="AF47" s="236"/>
      <c r="AG47" s="236"/>
    </row>
    <row r="48" spans="1:255" s="154" customFormat="1" x14ac:dyDescent="0.2">
      <c r="A48" s="24"/>
      <c r="B48" s="39"/>
      <c r="C48" s="140"/>
      <c r="D48" s="39"/>
      <c r="E48" s="39"/>
      <c r="F48" s="39"/>
      <c r="G48" s="40"/>
      <c r="H48" s="40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236"/>
      <c r="AG48" s="236"/>
    </row>
    <row r="49" spans="1:33" s="154" customFormat="1" x14ac:dyDescent="0.2">
      <c r="A49" s="24"/>
      <c r="B49" s="39"/>
      <c r="C49" s="131"/>
      <c r="D49" s="39"/>
      <c r="E49" s="39"/>
      <c r="F49" s="39"/>
      <c r="G49" s="40"/>
      <c r="H49" s="40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32"/>
      <c r="AF49" s="236"/>
      <c r="AG49" s="236"/>
    </row>
    <row r="50" spans="1:33" s="154" customFormat="1" x14ac:dyDescent="0.2">
      <c r="A50" s="24"/>
      <c r="B50" s="39"/>
      <c r="C50" s="135"/>
      <c r="D50" s="489"/>
      <c r="E50" s="489"/>
      <c r="F50" s="214"/>
      <c r="G50" s="40"/>
      <c r="H50" s="40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236"/>
      <c r="AG50" s="236"/>
    </row>
    <row r="51" spans="1:33" s="154" customFormat="1" x14ac:dyDescent="0.2">
      <c r="A51" s="24"/>
      <c r="B51" s="39"/>
      <c r="C51" s="135"/>
      <c r="D51" s="489"/>
      <c r="E51" s="489"/>
      <c r="F51" s="489"/>
      <c r="G51" s="40"/>
      <c r="H51" s="40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32"/>
      <c r="AF51" s="236"/>
      <c r="AG51" s="236"/>
    </row>
    <row r="52" spans="1:33" s="154" customFormat="1" x14ac:dyDescent="0.2">
      <c r="A52" s="24"/>
      <c r="B52" s="14"/>
      <c r="C52" s="131"/>
      <c r="D52" s="39"/>
      <c r="E52" s="39"/>
      <c r="F52" s="39"/>
      <c r="G52" s="40"/>
      <c r="H52" s="40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236"/>
      <c r="AG52" s="236"/>
    </row>
    <row r="53" spans="1:33" s="154" customFormat="1" x14ac:dyDescent="0.2">
      <c r="A53" s="24"/>
      <c r="B53" s="39"/>
      <c r="C53" s="606"/>
      <c r="D53" s="606"/>
      <c r="E53" s="39"/>
      <c r="F53" s="39"/>
      <c r="G53" s="40"/>
      <c r="H53" s="40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236"/>
      <c r="AG53" s="236"/>
    </row>
    <row r="54" spans="1:33" s="154" customFormat="1" x14ac:dyDescent="0.2">
      <c r="A54" s="24"/>
      <c r="B54" s="39"/>
      <c r="C54" s="131"/>
      <c r="D54" s="131"/>
      <c r="E54" s="39"/>
      <c r="F54" s="39"/>
      <c r="G54" s="40"/>
      <c r="H54" s="40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32"/>
      <c r="AF54" s="236"/>
      <c r="AG54" s="236"/>
    </row>
    <row r="55" spans="1:33" s="154" customFormat="1" x14ac:dyDescent="0.2">
      <c r="A55" s="24"/>
      <c r="B55" s="39"/>
      <c r="C55" s="39"/>
      <c r="D55" s="39"/>
      <c r="E55" s="39"/>
      <c r="F55" s="39"/>
      <c r="G55" s="40"/>
      <c r="H55" s="40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  <c r="AF55" s="236"/>
      <c r="AG55" s="236"/>
    </row>
    <row r="56" spans="1:33" s="154" customFormat="1" x14ac:dyDescent="0.2">
      <c r="A56" s="166"/>
      <c r="B56" s="14"/>
      <c r="C56" s="131"/>
      <c r="D56" s="39"/>
      <c r="E56" s="39"/>
      <c r="F56" s="39"/>
      <c r="G56" s="40"/>
      <c r="H56" s="40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32"/>
      <c r="AF56" s="236"/>
      <c r="AG56" s="236"/>
    </row>
    <row r="57" spans="1:33" s="21" customFormat="1" x14ac:dyDescent="0.2">
      <c r="A57" s="166"/>
      <c r="B57" s="39"/>
      <c r="C57" s="39"/>
      <c r="D57" s="39"/>
      <c r="E57" s="39"/>
      <c r="F57" s="39"/>
      <c r="G57" s="20"/>
      <c r="H57" s="20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4"/>
      <c r="T57" s="34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34"/>
      <c r="AF57" s="132"/>
      <c r="AG57" s="132"/>
    </row>
    <row r="58" spans="1:33" s="21" customFormat="1" x14ac:dyDescent="0.2">
      <c r="A58" s="166"/>
      <c r="B58" s="14"/>
      <c r="C58" s="39"/>
      <c r="D58" s="39"/>
      <c r="E58" s="39"/>
      <c r="F58" s="39"/>
      <c r="G58" s="20"/>
      <c r="H58" s="20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4"/>
      <c r="T58" s="34"/>
      <c r="U58" s="32"/>
      <c r="V58" s="32"/>
      <c r="W58" s="32"/>
      <c r="X58" s="32"/>
      <c r="Y58" s="32"/>
      <c r="Z58" s="32"/>
      <c r="AA58" s="32"/>
      <c r="AB58" s="32"/>
      <c r="AC58" s="32"/>
      <c r="AD58" s="32"/>
      <c r="AE58" s="34"/>
      <c r="AF58" s="132"/>
      <c r="AG58" s="132"/>
    </row>
    <row r="59" spans="1:33" s="21" customFormat="1" x14ac:dyDescent="0.2">
      <c r="A59" s="24"/>
      <c r="B59" s="39"/>
      <c r="C59" s="39"/>
      <c r="D59" s="39"/>
      <c r="E59" s="39"/>
      <c r="F59" s="39"/>
      <c r="G59" s="20"/>
      <c r="H59" s="20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4"/>
      <c r="T59" s="34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4"/>
      <c r="AF59" s="132"/>
      <c r="AG59" s="132"/>
    </row>
    <row r="60" spans="1:33" s="21" customFormat="1" x14ac:dyDescent="0.2">
      <c r="A60" s="166"/>
      <c r="B60" s="39"/>
      <c r="C60" s="39"/>
      <c r="D60" s="39"/>
      <c r="E60" s="39"/>
      <c r="F60" s="39"/>
      <c r="G60" s="20"/>
      <c r="H60" s="20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4"/>
      <c r="T60" s="34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34"/>
      <c r="AF60" s="132"/>
      <c r="AG60" s="132"/>
    </row>
    <row r="61" spans="1:33" s="21" customFormat="1" x14ac:dyDescent="0.2">
      <c r="A61" s="166"/>
      <c r="B61" s="39"/>
      <c r="C61" s="39"/>
      <c r="D61" s="39"/>
      <c r="E61" s="39"/>
      <c r="F61" s="39"/>
      <c r="G61" s="20"/>
      <c r="H61" s="20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4"/>
      <c r="T61" s="34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4"/>
      <c r="AF61" s="132"/>
      <c r="AG61" s="132"/>
    </row>
    <row r="62" spans="1:33" s="21" customFormat="1" x14ac:dyDescent="0.2">
      <c r="A62" s="166"/>
      <c r="B62" s="39"/>
      <c r="C62" s="39"/>
      <c r="D62" s="39"/>
      <c r="E62" s="39"/>
      <c r="F62" s="39"/>
      <c r="G62" s="20"/>
      <c r="H62" s="20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4"/>
      <c r="T62" s="34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4"/>
      <c r="AF62" s="132"/>
      <c r="AG62" s="132"/>
    </row>
    <row r="63" spans="1:33" s="21" customFormat="1" x14ac:dyDescent="0.2">
      <c r="A63" s="166"/>
      <c r="B63" s="39"/>
      <c r="C63" s="39"/>
      <c r="D63" s="39"/>
      <c r="E63" s="39"/>
      <c r="F63" s="39"/>
      <c r="G63" s="20"/>
      <c r="H63" s="20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4"/>
      <c r="T63" s="34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34"/>
      <c r="AF63" s="132"/>
      <c r="AG63" s="132"/>
    </row>
    <row r="64" spans="1:33" s="21" customFormat="1" x14ac:dyDescent="0.2">
      <c r="A64" s="151"/>
      <c r="B64" s="212"/>
      <c r="C64" s="212"/>
      <c r="D64" s="212"/>
      <c r="E64" s="212"/>
      <c r="F64" s="212"/>
      <c r="G64" s="20"/>
      <c r="H64" s="20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4"/>
      <c r="T64" s="34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34"/>
      <c r="AF64" s="132"/>
      <c r="AG64" s="132"/>
    </row>
    <row r="65" spans="1:33" s="21" customFormat="1" x14ac:dyDescent="0.2">
      <c r="A65" s="151"/>
      <c r="B65" s="212"/>
      <c r="C65" s="212"/>
      <c r="D65" s="212"/>
      <c r="E65" s="212"/>
      <c r="F65" s="212"/>
      <c r="G65" s="20"/>
      <c r="H65" s="20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4"/>
      <c r="T65" s="34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4"/>
      <c r="AF65" s="132"/>
      <c r="AG65" s="132"/>
    </row>
    <row r="66" spans="1:33" s="21" customFormat="1" x14ac:dyDescent="0.2">
      <c r="A66" s="151"/>
      <c r="B66" s="212"/>
      <c r="C66" s="212"/>
      <c r="D66" s="144"/>
      <c r="E66" s="144"/>
      <c r="F66" s="144"/>
      <c r="G66" s="20"/>
      <c r="H66" s="20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4"/>
      <c r="T66" s="34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34"/>
      <c r="AF66" s="132"/>
      <c r="AG66" s="132"/>
    </row>
    <row r="67" spans="1:33" s="21" customFormat="1" x14ac:dyDescent="0.2">
      <c r="A67" s="151"/>
      <c r="B67" s="39"/>
      <c r="C67" s="39"/>
      <c r="D67" s="39"/>
      <c r="E67" s="39"/>
      <c r="F67" s="39"/>
      <c r="G67" s="20"/>
      <c r="H67" s="20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4"/>
      <c r="T67" s="34"/>
      <c r="U67" s="32"/>
      <c r="V67" s="32"/>
      <c r="W67" s="32"/>
      <c r="X67" s="32"/>
      <c r="Y67" s="32"/>
      <c r="Z67" s="32"/>
      <c r="AA67" s="32"/>
      <c r="AB67" s="32"/>
      <c r="AC67" s="32"/>
      <c r="AD67" s="32"/>
      <c r="AE67" s="34"/>
      <c r="AF67" s="132"/>
      <c r="AG67" s="132"/>
    </row>
    <row r="68" spans="1:33" s="21" customFormat="1" x14ac:dyDescent="0.2">
      <c r="A68" s="166"/>
      <c r="B68" s="39"/>
      <c r="C68" s="39"/>
      <c r="D68" s="39"/>
      <c r="E68" s="39"/>
      <c r="F68" s="39"/>
      <c r="G68" s="20"/>
      <c r="H68" s="20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4"/>
      <c r="T68" s="34"/>
      <c r="U68" s="32"/>
      <c r="V68" s="32"/>
      <c r="W68" s="32"/>
      <c r="X68" s="32"/>
      <c r="Y68" s="32"/>
      <c r="Z68" s="32"/>
      <c r="AA68" s="32"/>
      <c r="AB68" s="32"/>
      <c r="AC68" s="32"/>
      <c r="AD68" s="32"/>
      <c r="AE68" s="34"/>
      <c r="AF68" s="132"/>
      <c r="AG68" s="132"/>
    </row>
    <row r="69" spans="1:33" s="21" customFormat="1" x14ac:dyDescent="0.2">
      <c r="A69" s="166"/>
      <c r="B69" s="39"/>
      <c r="C69" s="39"/>
      <c r="D69" s="39"/>
      <c r="E69" s="39"/>
      <c r="F69" s="39"/>
      <c r="G69" s="20"/>
      <c r="H69" s="20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4"/>
      <c r="T69" s="34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34"/>
      <c r="AF69" s="132"/>
      <c r="AG69" s="132"/>
    </row>
    <row r="70" spans="1:33" s="21" customFormat="1" x14ac:dyDescent="0.2">
      <c r="A70" s="166"/>
      <c r="B70" s="39"/>
      <c r="C70" s="39"/>
      <c r="D70" s="39"/>
      <c r="E70" s="39"/>
      <c r="F70" s="39"/>
      <c r="G70" s="20"/>
      <c r="H70" s="20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4"/>
      <c r="T70" s="34"/>
      <c r="U70" s="32"/>
      <c r="V70" s="32"/>
      <c r="W70" s="32"/>
      <c r="X70" s="32"/>
      <c r="Y70" s="32"/>
      <c r="Z70" s="32"/>
      <c r="AA70" s="32"/>
      <c r="AB70" s="32"/>
      <c r="AC70" s="32"/>
      <c r="AD70" s="32"/>
      <c r="AE70" s="34"/>
      <c r="AF70" s="132"/>
      <c r="AG70" s="132"/>
    </row>
    <row r="71" spans="1:33" s="21" customFormat="1" x14ac:dyDescent="0.2">
      <c r="A71" s="166"/>
      <c r="B71" s="39"/>
      <c r="C71" s="150"/>
      <c r="D71" s="39"/>
      <c r="E71" s="39"/>
      <c r="F71" s="39"/>
      <c r="G71" s="20"/>
      <c r="H71" s="20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4"/>
      <c r="T71" s="34"/>
      <c r="U71" s="32"/>
      <c r="V71" s="32"/>
      <c r="W71" s="32"/>
      <c r="X71" s="32"/>
      <c r="Y71" s="32"/>
      <c r="Z71" s="32"/>
      <c r="AA71" s="32"/>
      <c r="AB71" s="32"/>
      <c r="AC71" s="32"/>
      <c r="AD71" s="32"/>
      <c r="AE71" s="34"/>
      <c r="AF71" s="132"/>
      <c r="AG71" s="132"/>
    </row>
    <row r="72" spans="1:33" s="21" customFormat="1" x14ac:dyDescent="0.2">
      <c r="A72" s="166"/>
      <c r="B72" s="39"/>
      <c r="C72" s="150"/>
      <c r="D72" s="39"/>
      <c r="E72" s="39"/>
      <c r="F72" s="39"/>
      <c r="G72" s="20"/>
      <c r="H72" s="20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4"/>
      <c r="T72" s="34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34"/>
      <c r="AF72" s="132"/>
      <c r="AG72" s="132"/>
    </row>
    <row r="73" spans="1:33" s="21" customFormat="1" x14ac:dyDescent="0.2">
      <c r="A73" s="151"/>
      <c r="B73" s="39"/>
      <c r="C73" s="39"/>
      <c r="D73" s="39"/>
      <c r="E73" s="39"/>
      <c r="F73" s="39"/>
      <c r="G73" s="20"/>
      <c r="H73" s="20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4"/>
      <c r="T73" s="34"/>
      <c r="U73" s="32"/>
      <c r="V73" s="32"/>
      <c r="W73" s="32"/>
      <c r="X73" s="32"/>
      <c r="Y73" s="32"/>
      <c r="Z73" s="32"/>
      <c r="AA73" s="32"/>
      <c r="AB73" s="32"/>
      <c r="AC73" s="32"/>
      <c r="AD73" s="32"/>
      <c r="AE73" s="34"/>
      <c r="AF73" s="132"/>
      <c r="AG73" s="132"/>
    </row>
    <row r="74" spans="1:33" s="21" customFormat="1" x14ac:dyDescent="0.2">
      <c r="A74" s="166"/>
      <c r="B74" s="39"/>
      <c r="C74" s="39"/>
      <c r="D74" s="39"/>
      <c r="E74" s="39"/>
      <c r="F74" s="39"/>
      <c r="G74" s="20"/>
      <c r="H74" s="20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4"/>
      <c r="T74" s="34"/>
      <c r="U74" s="32"/>
      <c r="V74" s="32"/>
      <c r="W74" s="32"/>
      <c r="X74" s="32"/>
      <c r="Y74" s="32"/>
      <c r="Z74" s="32"/>
      <c r="AA74" s="32"/>
      <c r="AB74" s="32"/>
      <c r="AC74" s="32"/>
      <c r="AD74" s="32"/>
      <c r="AE74" s="34"/>
      <c r="AF74" s="132"/>
      <c r="AG74" s="132"/>
    </row>
    <row r="75" spans="1:33" s="21" customFormat="1" x14ac:dyDescent="0.2">
      <c r="A75" s="166"/>
      <c r="B75" s="39"/>
      <c r="C75" s="39"/>
      <c r="D75" s="39"/>
      <c r="E75" s="39"/>
      <c r="F75" s="39"/>
      <c r="G75" s="20"/>
      <c r="H75" s="20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4"/>
      <c r="T75" s="34"/>
      <c r="U75" s="32"/>
      <c r="V75" s="32"/>
      <c r="W75" s="32"/>
      <c r="X75" s="32"/>
      <c r="Y75" s="32"/>
      <c r="Z75" s="32"/>
      <c r="AA75" s="32"/>
      <c r="AB75" s="32"/>
      <c r="AC75" s="32"/>
      <c r="AD75" s="32"/>
      <c r="AE75" s="34"/>
      <c r="AF75" s="132"/>
      <c r="AG75" s="132"/>
    </row>
    <row r="76" spans="1:33" s="21" customFormat="1" x14ac:dyDescent="0.2">
      <c r="A76" s="151"/>
      <c r="B76" s="39"/>
      <c r="C76" s="39"/>
      <c r="D76" s="39"/>
      <c r="E76" s="39"/>
      <c r="F76" s="39"/>
      <c r="G76" s="20"/>
      <c r="H76" s="20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4"/>
      <c r="T76" s="34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34"/>
      <c r="AF76" s="132"/>
      <c r="AG76" s="132"/>
    </row>
    <row r="77" spans="1:33" s="21" customFormat="1" x14ac:dyDescent="0.2">
      <c r="A77" s="151"/>
      <c r="B77" s="39"/>
      <c r="C77" s="39"/>
      <c r="D77" s="39"/>
      <c r="E77" s="39"/>
      <c r="F77" s="39"/>
      <c r="G77" s="20" t="s">
        <v>261</v>
      </c>
      <c r="H77" s="20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4"/>
      <c r="T77" s="34"/>
      <c r="U77" s="32"/>
      <c r="V77" s="32"/>
      <c r="W77" s="32"/>
      <c r="X77" s="32"/>
      <c r="Y77" s="32"/>
      <c r="Z77" s="32"/>
      <c r="AA77" s="32"/>
      <c r="AB77" s="32"/>
      <c r="AC77" s="32"/>
      <c r="AD77" s="32"/>
      <c r="AE77" s="34"/>
      <c r="AF77" s="132"/>
      <c r="AG77" s="132"/>
    </row>
    <row r="78" spans="1:33" s="21" customFormat="1" x14ac:dyDescent="0.2">
      <c r="A78" s="151"/>
      <c r="B78" s="39"/>
      <c r="C78" s="39"/>
      <c r="D78" s="39"/>
      <c r="E78" s="39"/>
      <c r="F78" s="39"/>
      <c r="G78" s="20"/>
      <c r="H78" s="20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4"/>
      <c r="T78" s="34"/>
      <c r="U78" s="32"/>
      <c r="V78" s="32"/>
      <c r="W78" s="32"/>
      <c r="X78" s="32"/>
      <c r="Y78" s="32"/>
      <c r="Z78" s="32"/>
      <c r="AA78" s="32"/>
      <c r="AB78" s="32"/>
      <c r="AC78" s="32"/>
      <c r="AD78" s="32"/>
      <c r="AE78" s="34"/>
      <c r="AF78" s="132"/>
      <c r="AG78" s="132"/>
    </row>
    <row r="79" spans="1:33" s="21" customFormat="1" x14ac:dyDescent="0.2">
      <c r="A79" s="218"/>
      <c r="B79" s="153"/>
      <c r="C79" s="154"/>
      <c r="D79" s="150"/>
      <c r="E79" s="39"/>
      <c r="F79" s="39"/>
      <c r="G79" s="20"/>
      <c r="H79" s="20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132"/>
      <c r="AG79" s="132"/>
    </row>
    <row r="80" spans="1:33" s="21" customFormat="1" x14ac:dyDescent="0.2">
      <c r="A80" s="7"/>
      <c r="B80" s="153"/>
      <c r="C80" s="154"/>
      <c r="D80" s="150"/>
      <c r="E80" s="566"/>
      <c r="F80" s="566"/>
      <c r="G80" s="22" t="s">
        <v>184</v>
      </c>
      <c r="H80" s="22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132"/>
      <c r="AG80" s="132"/>
    </row>
    <row r="81" spans="1:33" s="21" customFormat="1" x14ac:dyDescent="0.2">
      <c r="A81" s="7"/>
      <c r="B81" s="155"/>
      <c r="C81" s="155"/>
      <c r="D81" s="155"/>
      <c r="E81" s="155"/>
      <c r="F81" s="155"/>
      <c r="G81" s="20"/>
      <c r="H81" s="20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132"/>
      <c r="AG81" s="132"/>
    </row>
    <row r="82" spans="1:33" s="21" customFormat="1" x14ac:dyDescent="0.2">
      <c r="A82" s="7"/>
      <c r="B82" s="3"/>
      <c r="C82" s="4"/>
      <c r="D82" s="5"/>
      <c r="E82" s="155"/>
      <c r="F82" s="155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132"/>
      <c r="AG82" s="132"/>
    </row>
    <row r="83" spans="1:33" s="21" customFormat="1" x14ac:dyDescent="0.2">
      <c r="A83" s="7"/>
      <c r="B83" s="3"/>
      <c r="C83" s="154"/>
      <c r="D83" s="157"/>
      <c r="E83" s="155"/>
      <c r="F83" s="155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132"/>
      <c r="AG83" s="132"/>
    </row>
    <row r="84" spans="1:33" s="21" customFormat="1" x14ac:dyDescent="0.2">
      <c r="A84" s="7"/>
      <c r="B84" s="155"/>
      <c r="C84" s="154"/>
      <c r="D84" s="157"/>
      <c r="E84" s="157"/>
      <c r="F84" s="155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132"/>
      <c r="AG84" s="132"/>
    </row>
    <row r="85" spans="1:33" s="21" customFormat="1" x14ac:dyDescent="0.2">
      <c r="A85" s="7"/>
      <c r="B85" s="155"/>
      <c r="C85" s="39"/>
      <c r="D85" s="154"/>
      <c r="E85" s="154"/>
      <c r="F85" s="155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132"/>
      <c r="AG85" s="132"/>
    </row>
    <row r="86" spans="1:33" s="21" customFormat="1" x14ac:dyDescent="0.2">
      <c r="A86" s="7"/>
      <c r="B86" s="155"/>
      <c r="C86" s="154"/>
      <c r="D86" s="39"/>
      <c r="E86" s="154"/>
      <c r="F86" s="155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132"/>
      <c r="AG86" s="132"/>
    </row>
    <row r="87" spans="1:33" s="21" customFormat="1" x14ac:dyDescent="0.2">
      <c r="A87" s="7"/>
      <c r="B87" s="155"/>
      <c r="C87" s="39"/>
      <c r="D87" s="158"/>
      <c r="E87" s="154"/>
      <c r="F87" s="155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132"/>
      <c r="AG87" s="132"/>
    </row>
    <row r="88" spans="1:33" s="21" customFormat="1" x14ac:dyDescent="0.2">
      <c r="A88" s="7"/>
      <c r="B88" s="155"/>
      <c r="C88" s="39"/>
      <c r="D88" s="158"/>
      <c r="E88" s="154"/>
      <c r="F88" s="155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132"/>
      <c r="AG88" s="132"/>
    </row>
    <row r="89" spans="1:33" s="21" customFormat="1" x14ac:dyDescent="0.2">
      <c r="A89" s="7"/>
      <c r="B89" s="155"/>
      <c r="C89" s="154"/>
      <c r="D89" s="39"/>
      <c r="E89" s="154"/>
      <c r="F89" s="155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132"/>
      <c r="AG89" s="132"/>
    </row>
    <row r="90" spans="1:33" s="21" customFormat="1" x14ac:dyDescent="0.2">
      <c r="A90" s="7"/>
      <c r="B90" s="155"/>
      <c r="C90" s="154"/>
      <c r="D90" s="154"/>
      <c r="E90" s="154"/>
      <c r="F90" s="154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132"/>
      <c r="AG90" s="132"/>
    </row>
    <row r="91" spans="1:33" s="21" customFormat="1" x14ac:dyDescent="0.2">
      <c r="A91" s="7"/>
      <c r="B91" s="155"/>
      <c r="C91" s="39"/>
      <c r="D91" s="525"/>
      <c r="E91" s="526"/>
      <c r="F91" s="526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132"/>
      <c r="AG91" s="132"/>
    </row>
    <row r="92" spans="1:33" s="21" customFormat="1" x14ac:dyDescent="0.2">
      <c r="A92" s="7"/>
      <c r="B92" s="155"/>
      <c r="C92" s="154"/>
      <c r="D92" s="158"/>
      <c r="E92" s="154"/>
      <c r="F92" s="154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132"/>
      <c r="AG92" s="132"/>
    </row>
    <row r="93" spans="1:33" s="21" customFormat="1" x14ac:dyDescent="0.2">
      <c r="A93" s="7"/>
      <c r="B93" s="155"/>
      <c r="C93" s="154"/>
      <c r="D93" s="158"/>
      <c r="E93" s="154"/>
      <c r="F93" s="154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132"/>
      <c r="AG93" s="132"/>
    </row>
    <row r="94" spans="1:33" s="21" customFormat="1" x14ac:dyDescent="0.2">
      <c r="A94" s="7"/>
      <c r="B94" s="3"/>
      <c r="C94" s="4"/>
      <c r="D94" s="157"/>
      <c r="E94" s="154"/>
      <c r="F94" s="154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132"/>
      <c r="AG94" s="132"/>
    </row>
    <row r="95" spans="1:33" s="21" customFormat="1" x14ac:dyDescent="0.2">
      <c r="A95" s="7"/>
      <c r="B95" s="155"/>
      <c r="C95" s="154"/>
      <c r="D95" s="154"/>
      <c r="E95" s="154"/>
      <c r="F95" s="154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132"/>
      <c r="AG95" s="132"/>
    </row>
    <row r="96" spans="1:33" s="21" customFormat="1" x14ac:dyDescent="0.2">
      <c r="A96" s="7"/>
      <c r="B96" s="155"/>
      <c r="C96" s="154"/>
      <c r="D96" s="163"/>
      <c r="E96" s="154"/>
      <c r="F96" s="154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132"/>
      <c r="AG96" s="132"/>
    </row>
    <row r="97" spans="1:33" s="21" customFormat="1" x14ac:dyDescent="0.2">
      <c r="A97" s="7"/>
      <c r="B97" s="155"/>
      <c r="C97" s="154"/>
      <c r="D97" s="164"/>
      <c r="E97" s="154"/>
      <c r="F97" s="154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132"/>
      <c r="AG97" s="132"/>
    </row>
    <row r="98" spans="1:33" s="21" customFormat="1" x14ac:dyDescent="0.2">
      <c r="A98" s="7"/>
      <c r="B98" s="155"/>
      <c r="C98" s="154"/>
      <c r="D98" s="164"/>
      <c r="E98" s="154"/>
      <c r="F98" s="154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132"/>
      <c r="AG98" s="132"/>
    </row>
    <row r="99" spans="1:33" s="21" customFormat="1" x14ac:dyDescent="0.2">
      <c r="A99" s="7"/>
      <c r="B99" s="155"/>
      <c r="C99" s="154"/>
      <c r="D99" s="163"/>
      <c r="E99" s="154"/>
      <c r="F99" s="154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132"/>
      <c r="AG99" s="132"/>
    </row>
    <row r="100" spans="1:33" s="21" customFormat="1" x14ac:dyDescent="0.2">
      <c r="A100" s="7"/>
      <c r="B100" s="155"/>
      <c r="C100" s="154"/>
      <c r="D100" s="164"/>
      <c r="E100" s="154"/>
      <c r="F100" s="154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132"/>
      <c r="AG100" s="132"/>
    </row>
    <row r="101" spans="1:33" s="21" customFormat="1" x14ac:dyDescent="0.2">
      <c r="A101" s="7"/>
      <c r="B101" s="155"/>
      <c r="C101" s="154"/>
      <c r="D101" s="164"/>
      <c r="E101" s="154"/>
      <c r="F101" s="154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132"/>
      <c r="AG101" s="132"/>
    </row>
    <row r="102" spans="1:33" s="21" customFormat="1" x14ac:dyDescent="0.2">
      <c r="A102" s="7"/>
      <c r="B102" s="155"/>
      <c r="C102" s="154"/>
      <c r="D102" s="154"/>
      <c r="E102" s="154"/>
      <c r="F102" s="154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132"/>
      <c r="AG102" s="132"/>
    </row>
    <row r="103" spans="1:33" s="21" customFormat="1" x14ac:dyDescent="0.2">
      <c r="A103" s="7"/>
      <c r="B103" s="155"/>
      <c r="C103" s="39"/>
      <c r="D103" s="158"/>
      <c r="E103" s="154"/>
      <c r="F103" s="154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132"/>
      <c r="AG103" s="132"/>
    </row>
    <row r="104" spans="1:33" s="21" customFormat="1" x14ac:dyDescent="0.2">
      <c r="A104" s="7"/>
      <c r="B104" s="155"/>
      <c r="C104" s="39"/>
      <c r="D104" s="158"/>
      <c r="E104" s="154"/>
      <c r="F104" s="154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132"/>
      <c r="AG104" s="132"/>
    </row>
    <row r="105" spans="1:33" s="21" customFormat="1" x14ac:dyDescent="0.2">
      <c r="A105" s="7"/>
      <c r="B105" s="155"/>
      <c r="C105" s="154"/>
      <c r="D105" s="154"/>
      <c r="E105" s="154"/>
      <c r="F105" s="154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132"/>
      <c r="AG105" s="132"/>
    </row>
    <row r="106" spans="1:33" s="21" customFormat="1" x14ac:dyDescent="0.2">
      <c r="A106" s="7"/>
      <c r="B106" s="155"/>
      <c r="C106" s="39"/>
      <c r="D106" s="525"/>
      <c r="E106" s="526"/>
      <c r="F106" s="526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132"/>
      <c r="AG106" s="132"/>
    </row>
    <row r="107" spans="1:33" s="21" customFormat="1" x14ac:dyDescent="0.2">
      <c r="A107" s="7"/>
      <c r="B107" s="155"/>
      <c r="C107" s="154"/>
      <c r="D107" s="158"/>
      <c r="E107" s="154"/>
      <c r="F107" s="154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132"/>
      <c r="AG107" s="132"/>
    </row>
    <row r="108" spans="1:33" s="21" customFormat="1" x14ac:dyDescent="0.2">
      <c r="A108" s="7"/>
      <c r="B108" s="155"/>
      <c r="C108" s="154"/>
      <c r="D108" s="164"/>
      <c r="E108" s="154"/>
      <c r="F108" s="154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132"/>
      <c r="AG108" s="132"/>
    </row>
    <row r="109" spans="1:33" s="21" customFormat="1" x14ac:dyDescent="0.2">
      <c r="A109" s="7"/>
      <c r="B109" s="155"/>
      <c r="C109" s="154"/>
      <c r="D109" s="164"/>
      <c r="E109" s="154"/>
      <c r="F109" s="154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132"/>
      <c r="AG109" s="132"/>
    </row>
    <row r="110" spans="1:33" s="21" customFormat="1" x14ac:dyDescent="0.2">
      <c r="A110" s="7"/>
      <c r="B110" s="155"/>
      <c r="C110" s="154"/>
      <c r="D110" s="158"/>
      <c r="E110" s="154"/>
      <c r="F110" s="154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132"/>
      <c r="AG110" s="132"/>
    </row>
    <row r="111" spans="1:33" s="21" customFormat="1" x14ac:dyDescent="0.2">
      <c r="A111" s="7"/>
      <c r="B111" s="155"/>
      <c r="C111" s="154"/>
      <c r="D111" s="164"/>
      <c r="E111" s="154"/>
      <c r="F111" s="154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132"/>
      <c r="AG111" s="132"/>
    </row>
    <row r="112" spans="1:33" s="21" customFormat="1" x14ac:dyDescent="0.2">
      <c r="A112" s="7"/>
      <c r="B112" s="155"/>
      <c r="C112" s="154"/>
      <c r="D112" s="164"/>
      <c r="E112" s="154"/>
      <c r="F112" s="154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132"/>
      <c r="AG112" s="132"/>
    </row>
    <row r="113" spans="1:33" s="21" customFormat="1" x14ac:dyDescent="0.2">
      <c r="A113" s="7"/>
      <c r="B113" s="3"/>
      <c r="C113" s="4"/>
      <c r="D113" s="157"/>
      <c r="E113" s="154"/>
      <c r="F113" s="154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132"/>
      <c r="AG113" s="132"/>
    </row>
    <row r="114" spans="1:33" s="21" customFormat="1" x14ac:dyDescent="0.2">
      <c r="A114" s="7"/>
      <c r="B114" s="155"/>
      <c r="C114" s="154"/>
      <c r="D114" s="157"/>
      <c r="E114" s="154"/>
      <c r="F114" s="154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132"/>
      <c r="AG114" s="132"/>
    </row>
    <row r="115" spans="1:33" s="21" customFormat="1" x14ac:dyDescent="0.2">
      <c r="A115" s="7"/>
      <c r="B115" s="155"/>
      <c r="C115" s="154"/>
      <c r="D115" s="157"/>
      <c r="E115" s="154"/>
      <c r="F115" s="154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132"/>
      <c r="AG115" s="132"/>
    </row>
    <row r="116" spans="1:33" s="21" customFormat="1" x14ac:dyDescent="0.2">
      <c r="A116" s="7"/>
      <c r="B116" s="155"/>
      <c r="C116" s="154"/>
      <c r="D116" s="157"/>
      <c r="E116" s="154"/>
      <c r="F116" s="154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132"/>
      <c r="AG116" s="132"/>
    </row>
    <row r="117" spans="1:33" s="21" customFormat="1" x14ac:dyDescent="0.2">
      <c r="A117" s="7"/>
      <c r="B117" s="155"/>
      <c r="C117" s="39"/>
      <c r="D117" s="525"/>
      <c r="E117" s="526"/>
      <c r="F117" s="526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132"/>
      <c r="AG117" s="132"/>
    </row>
    <row r="118" spans="1:33" s="21" customFormat="1" x14ac:dyDescent="0.2">
      <c r="A118" s="7"/>
      <c r="B118" s="155"/>
      <c r="C118" s="154"/>
      <c r="D118" s="158"/>
      <c r="E118" s="154"/>
      <c r="F118" s="126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132"/>
      <c r="AG118" s="132"/>
    </row>
    <row r="119" spans="1:33" s="21" customFormat="1" x14ac:dyDescent="0.2">
      <c r="A119" s="7"/>
      <c r="B119" s="155"/>
      <c r="C119" s="154"/>
      <c r="D119" s="158"/>
      <c r="E119" s="154"/>
      <c r="F119" s="126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132"/>
      <c r="AG119" s="132"/>
    </row>
    <row r="120" spans="1:33" s="21" customFormat="1" x14ac:dyDescent="0.2">
      <c r="A120" s="7"/>
      <c r="B120" s="6"/>
      <c r="C120" s="7"/>
      <c r="D120" s="154"/>
      <c r="E120" s="154"/>
      <c r="F120" s="154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132"/>
      <c r="AG120" s="132"/>
    </row>
    <row r="121" spans="1:33" s="21" customFormat="1" x14ac:dyDescent="0.2">
      <c r="A121" s="7"/>
      <c r="B121" s="153"/>
      <c r="C121" s="154"/>
      <c r="D121" s="154"/>
      <c r="E121" s="154"/>
      <c r="F121" s="154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132"/>
      <c r="AG121" s="132"/>
    </row>
    <row r="122" spans="1:33" s="21" customFormat="1" x14ac:dyDescent="0.2">
      <c r="A122" s="7"/>
      <c r="B122" s="153"/>
      <c r="C122" s="154"/>
      <c r="D122" s="158"/>
      <c r="E122" s="154"/>
      <c r="F122" s="154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132"/>
      <c r="AG122" s="132"/>
    </row>
    <row r="123" spans="1:33" s="21" customFormat="1" x14ac:dyDescent="0.2">
      <c r="A123" s="7"/>
      <c r="B123" s="153"/>
      <c r="C123" s="154"/>
      <c r="D123" s="158"/>
      <c r="E123" s="154"/>
      <c r="F123" s="154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132"/>
      <c r="AG123" s="132"/>
    </row>
    <row r="124" spans="1:33" s="21" customFormat="1" x14ac:dyDescent="0.2">
      <c r="A124" s="7"/>
      <c r="B124" s="153"/>
      <c r="C124" s="154"/>
      <c r="D124" s="150"/>
      <c r="E124" s="566"/>
      <c r="F124" s="566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132"/>
      <c r="AG124" s="132"/>
    </row>
    <row r="125" spans="1:33" x14ac:dyDescent="0.2">
      <c r="A125" s="7"/>
      <c r="B125" s="153"/>
      <c r="C125" s="154"/>
      <c r="D125" s="39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122"/>
      <c r="AF125" s="123"/>
      <c r="AG125" s="123"/>
    </row>
    <row r="126" spans="1:33" x14ac:dyDescent="0.2">
      <c r="A126" s="7"/>
      <c r="B126" s="153"/>
      <c r="C126" s="154"/>
      <c r="D126" s="150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122"/>
      <c r="AF126" s="123"/>
      <c r="AG126" s="123"/>
    </row>
    <row r="127" spans="1:33" x14ac:dyDescent="0.2">
      <c r="A127" s="7"/>
      <c r="B127" s="153"/>
      <c r="C127" s="154"/>
      <c r="D127" s="150"/>
      <c r="E127" s="39"/>
      <c r="F127" s="39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122"/>
      <c r="AF127" s="123"/>
      <c r="AG127" s="123"/>
    </row>
    <row r="128" spans="1:33" x14ac:dyDescent="0.2">
      <c r="A128" s="7"/>
      <c r="B128" s="153"/>
      <c r="C128" s="154"/>
      <c r="D128" s="150"/>
      <c r="E128" s="566"/>
      <c r="F128" s="566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122"/>
      <c r="AF128" s="123"/>
      <c r="AG128" s="123"/>
    </row>
    <row r="129" spans="1:33" x14ac:dyDescent="0.2">
      <c r="A129" s="154"/>
      <c r="B129" s="565"/>
      <c r="C129" s="565"/>
      <c r="D129" s="565"/>
      <c r="E129" s="565"/>
      <c r="F129" s="565"/>
      <c r="G129" s="20"/>
      <c r="H129" s="20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122"/>
      <c r="AF129" s="123"/>
      <c r="AG129" s="123"/>
    </row>
    <row r="130" spans="1:33" x14ac:dyDescent="0.2">
      <c r="A130" s="21"/>
      <c r="B130" s="21"/>
      <c r="C130" s="21"/>
      <c r="D130" s="21"/>
      <c r="E130" s="21"/>
      <c r="F130" s="21"/>
      <c r="G130" s="20"/>
      <c r="H130" s="20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 t="s">
        <v>184</v>
      </c>
      <c r="V130" s="34"/>
      <c r="W130" s="34"/>
      <c r="X130" s="34"/>
      <c r="Y130" s="34"/>
      <c r="Z130" s="34"/>
      <c r="AA130" s="34"/>
      <c r="AB130" s="34"/>
      <c r="AC130" s="34"/>
      <c r="AD130" s="34"/>
      <c r="AE130" s="122"/>
      <c r="AF130" s="123"/>
      <c r="AG130" s="123"/>
    </row>
    <row r="131" spans="1:33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</row>
    <row r="132" spans="1:33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</row>
    <row r="133" spans="1:33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</row>
    <row r="134" spans="1:33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</row>
    <row r="135" spans="1:33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</row>
    <row r="136" spans="1:33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</row>
    <row r="137" spans="1:33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</row>
    <row r="138" spans="1:33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</row>
    <row r="139" spans="1:33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</row>
    <row r="140" spans="1:33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</row>
    <row r="141" spans="1:33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</row>
    <row r="142" spans="1:33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</row>
    <row r="143" spans="1:33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</row>
    <row r="144" spans="1:33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</row>
    <row r="145" spans="1:30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</row>
    <row r="146" spans="1:30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</row>
    <row r="147" spans="1:30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</row>
    <row r="148" spans="1:30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</row>
    <row r="149" spans="1:30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</row>
    <row r="150" spans="1:30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</row>
    <row r="151" spans="1:30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</row>
    <row r="152" spans="1:30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</row>
    <row r="153" spans="1:30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</row>
    <row r="154" spans="1:30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</row>
    <row r="155" spans="1:30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</row>
    <row r="156" spans="1:30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</row>
    <row r="157" spans="1:30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</row>
    <row r="158" spans="1:30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</row>
    <row r="159" spans="1:30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</row>
    <row r="160" spans="1:30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</row>
    <row r="161" spans="1:30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</row>
    <row r="162" spans="1:30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</row>
    <row r="163" spans="1:30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</row>
    <row r="164" spans="1:30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</row>
    <row r="165" spans="1:30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</row>
    <row r="166" spans="1:30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</row>
    <row r="167" spans="1:30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</row>
    <row r="168" spans="1:30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</row>
    <row r="169" spans="1:30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</row>
    <row r="170" spans="1:30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</row>
    <row r="171" spans="1:30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</row>
    <row r="172" spans="1:30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</row>
    <row r="173" spans="1:30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</row>
    <row r="174" spans="1:30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</row>
    <row r="175" spans="1:30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</row>
    <row r="176" spans="1:30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</row>
    <row r="177" spans="1:30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</row>
    <row r="178" spans="1:30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</row>
    <row r="179" spans="1:30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</row>
    <row r="180" spans="1:30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</row>
    <row r="181" spans="1:30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</row>
    <row r="182" spans="1:30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</row>
    <row r="183" spans="1:30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</row>
    <row r="184" spans="1:30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</row>
    <row r="185" spans="1:30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</row>
    <row r="186" spans="1:30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</row>
    <row r="187" spans="1:30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</row>
    <row r="188" spans="1:30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</row>
    <row r="189" spans="1:30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</row>
    <row r="190" spans="1:30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</row>
    <row r="191" spans="1:30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</row>
    <row r="192" spans="1:30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</row>
    <row r="193" spans="1:30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</row>
    <row r="194" spans="1:30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</row>
    <row r="195" spans="1:30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</row>
    <row r="196" spans="1:30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</row>
    <row r="197" spans="1:30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</row>
    <row r="198" spans="1:30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</row>
    <row r="199" spans="1:30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</row>
    <row r="200" spans="1:30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</row>
    <row r="201" spans="1:30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</row>
    <row r="202" spans="1:30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</row>
    <row r="203" spans="1:30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</row>
    <row r="204" spans="1:30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</row>
    <row r="205" spans="1:30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</row>
    <row r="206" spans="1:30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</row>
    <row r="207" spans="1:30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</row>
    <row r="208" spans="1:30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</row>
    <row r="209" spans="1:30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</row>
    <row r="210" spans="1:30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</row>
    <row r="211" spans="1:30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</row>
    <row r="212" spans="1:30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</row>
    <row r="213" spans="1:30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</row>
    <row r="214" spans="1:30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</row>
    <row r="215" spans="1:30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</row>
    <row r="216" spans="1:30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</row>
    <row r="217" spans="1:30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</row>
    <row r="218" spans="1:30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</row>
    <row r="219" spans="1:30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</row>
    <row r="220" spans="1:30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</row>
    <row r="221" spans="1:30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</row>
    <row r="222" spans="1:30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</row>
    <row r="223" spans="1:30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</row>
    <row r="224" spans="1:30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</row>
    <row r="225" spans="1:30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</row>
    <row r="226" spans="1:30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</row>
    <row r="227" spans="1:30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</row>
    <row r="228" spans="1:30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</row>
    <row r="229" spans="1:30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</row>
    <row r="230" spans="1:30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</row>
    <row r="231" spans="1:30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</row>
    <row r="232" spans="1:30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</row>
    <row r="233" spans="1:30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</row>
    <row r="234" spans="1:30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</row>
    <row r="235" spans="1:30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</row>
    <row r="236" spans="1:30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</row>
    <row r="237" spans="1:30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</row>
    <row r="238" spans="1:30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</row>
    <row r="239" spans="1:30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</row>
    <row r="240" spans="1:30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</row>
    <row r="241" spans="1:30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</row>
    <row r="242" spans="1:30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</row>
    <row r="243" spans="1:30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</row>
    <row r="244" spans="1:30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</row>
    <row r="245" spans="1:30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</row>
    <row r="246" spans="1:30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</row>
    <row r="247" spans="1:30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</row>
    <row r="248" spans="1:30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</row>
    <row r="249" spans="1:30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</row>
    <row r="250" spans="1:30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</row>
    <row r="251" spans="1:30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</row>
    <row r="252" spans="1:30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</row>
    <row r="253" spans="1:30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</row>
    <row r="254" spans="1:30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</row>
    <row r="255" spans="1:30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</row>
  </sheetData>
  <sheetProtection password="B3C4" sheet="1" objects="1" scenarios="1" selectLockedCells="1"/>
  <mergeCells count="42">
    <mergeCell ref="D45:F45"/>
    <mergeCell ref="Q5:R5"/>
    <mergeCell ref="S5:T5"/>
    <mergeCell ref="M7:N8"/>
    <mergeCell ref="D44:F44"/>
    <mergeCell ref="C43:D43"/>
    <mergeCell ref="W6:X8"/>
    <mergeCell ref="O7:P8"/>
    <mergeCell ref="K6:T6"/>
    <mergeCell ref="W5:X5"/>
    <mergeCell ref="G5:G9"/>
    <mergeCell ref="M5:N5"/>
    <mergeCell ref="AA5:AB5"/>
    <mergeCell ref="C53:D53"/>
    <mergeCell ref="Q7:R8"/>
    <mergeCell ref="K7:L8"/>
    <mergeCell ref="S7:T8"/>
    <mergeCell ref="D50:E50"/>
    <mergeCell ref="H5:H9"/>
    <mergeCell ref="D51:F51"/>
    <mergeCell ref="A5:F9"/>
    <mergeCell ref="I5:J5"/>
    <mergeCell ref="A1:AD1"/>
    <mergeCell ref="A2:AD2"/>
    <mergeCell ref="AC6:AD8"/>
    <mergeCell ref="A3:AD3"/>
    <mergeCell ref="Y6:Z8"/>
    <mergeCell ref="O5:P5"/>
    <mergeCell ref="K5:L5"/>
    <mergeCell ref="U5:V5"/>
    <mergeCell ref="AA6:AB8"/>
    <mergeCell ref="Y5:Z5"/>
    <mergeCell ref="AC5:AD5"/>
    <mergeCell ref="I6:J8"/>
    <mergeCell ref="B129:F129"/>
    <mergeCell ref="E80:F80"/>
    <mergeCell ref="D91:F91"/>
    <mergeCell ref="D106:F106"/>
    <mergeCell ref="D117:F117"/>
    <mergeCell ref="E124:F124"/>
    <mergeCell ref="E128:F128"/>
    <mergeCell ref="U6:V8"/>
  </mergeCells>
  <phoneticPr fontId="0" type="noConversion"/>
  <dataValidations count="1">
    <dataValidation type="decimal" operator="lessThan" allowBlank="1" showInputMessage="1" showErrorMessage="1" sqref="I10:FN587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7c2&amp;8&amp;U
&amp;P of &amp;N&amp;C&amp;"Arial,Bold"&amp;8 MAXIMUM SAVINGS BANK, INC.  [ 03-070011 ]
 As of: June 30, 2019</oddHeader>
  </headerFooter>
  <drawing r:id="rId2"/>
  <legacyDrawing r:id="rId3"/>
  <controls>
    <mc:AlternateContent xmlns:mc="http://schemas.openxmlformats.org/markup-compatibility/2006">
      <mc:Choice Requires="x14">
        <control shapeId="16385" r:id="rId4" name="Label1">
          <controlPr defaultSize="0" autoLine="0" r:id="rId5">
            <anchor moveWithCells="1">
              <from>
                <xdr:col>7</xdr:col>
                <xdr:colOff>238125</xdr:colOff>
                <xdr:row>17</xdr:row>
                <xdr:rowOff>28575</xdr:rowOff>
              </from>
              <to>
                <xdr:col>7</xdr:col>
                <xdr:colOff>647700</xdr:colOff>
                <xdr:row>18</xdr:row>
                <xdr:rowOff>28575</xdr:rowOff>
              </to>
            </anchor>
          </controlPr>
        </control>
      </mc:Choice>
      <mc:Fallback>
        <control shapeId="16385" r:id="rId4" name="Label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IU255"/>
  <sheetViews>
    <sheetView zoomScale="75" zoomScaleNormal="90" zoomScaleSheetLayoutView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4" sqref="I14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24.7109375" style="1" customWidth="1"/>
    <col min="6" max="6" width="21.42578125" style="1" hidden="1" customWidth="1"/>
    <col min="7" max="7" width="17.7109375" style="9" customWidth="1"/>
    <col min="8" max="8" width="10.140625" style="9" customWidth="1"/>
    <col min="9" max="30" width="20.7109375" style="1" customWidth="1"/>
    <col min="31" max="170" width="25.7109375" style="1" customWidth="1"/>
    <col min="171" max="16384" width="9.140625" style="1"/>
  </cols>
  <sheetData>
    <row r="1" spans="1:33" s="165" customFormat="1" ht="12.75" x14ac:dyDescent="0.2">
      <c r="A1" s="512" t="s">
        <v>329</v>
      </c>
      <c r="B1" s="512"/>
      <c r="C1" s="512"/>
      <c r="D1" s="512"/>
      <c r="E1" s="512"/>
      <c r="F1" s="512"/>
      <c r="G1" s="512"/>
      <c r="H1" s="512"/>
      <c r="I1" s="512"/>
      <c r="J1" s="512"/>
      <c r="K1" s="512"/>
      <c r="L1" s="512"/>
      <c r="M1" s="512"/>
      <c r="N1" s="512"/>
      <c r="O1" s="512"/>
      <c r="P1" s="512"/>
      <c r="Q1" s="512"/>
      <c r="R1" s="512"/>
      <c r="S1" s="512"/>
      <c r="T1" s="512"/>
      <c r="U1" s="512"/>
      <c r="V1" s="512"/>
      <c r="W1" s="512"/>
      <c r="X1" s="512"/>
      <c r="Y1" s="512"/>
      <c r="Z1" s="512"/>
      <c r="AA1" s="512"/>
      <c r="AB1" s="512"/>
      <c r="AC1" s="512"/>
      <c r="AD1" s="512"/>
    </row>
    <row r="2" spans="1:33" s="165" customFormat="1" ht="12.75" customHeight="1" x14ac:dyDescent="0.2">
      <c r="A2" s="512" t="s">
        <v>325</v>
      </c>
      <c r="B2" s="512"/>
      <c r="C2" s="512"/>
      <c r="D2" s="512"/>
      <c r="E2" s="512"/>
      <c r="F2" s="512"/>
      <c r="G2" s="512"/>
      <c r="H2" s="512"/>
      <c r="I2" s="512"/>
      <c r="J2" s="512"/>
      <c r="K2" s="512"/>
      <c r="L2" s="512"/>
      <c r="M2" s="512"/>
      <c r="N2" s="512"/>
      <c r="O2" s="512"/>
      <c r="P2" s="512"/>
      <c r="Q2" s="512"/>
      <c r="R2" s="512"/>
      <c r="S2" s="512"/>
      <c r="T2" s="512"/>
      <c r="U2" s="512"/>
      <c r="V2" s="512"/>
      <c r="W2" s="512"/>
      <c r="X2" s="512"/>
      <c r="Y2" s="512"/>
      <c r="Z2" s="512"/>
      <c r="AA2" s="512"/>
      <c r="AB2" s="512"/>
      <c r="AC2" s="512"/>
      <c r="AD2" s="512"/>
    </row>
    <row r="3" spans="1:33" s="165" customFormat="1" ht="12.75" customHeight="1" x14ac:dyDescent="0.2">
      <c r="A3" s="512" t="s">
        <v>7</v>
      </c>
      <c r="B3" s="512"/>
      <c r="C3" s="512"/>
      <c r="D3" s="512"/>
      <c r="E3" s="512"/>
      <c r="F3" s="512"/>
      <c r="G3" s="512"/>
      <c r="H3" s="512"/>
      <c r="I3" s="512"/>
      <c r="J3" s="512"/>
      <c r="K3" s="512"/>
      <c r="L3" s="512"/>
      <c r="M3" s="512"/>
      <c r="N3" s="512"/>
      <c r="O3" s="512"/>
      <c r="P3" s="512"/>
      <c r="Q3" s="512"/>
      <c r="R3" s="512"/>
      <c r="S3" s="512"/>
      <c r="T3" s="512"/>
      <c r="U3" s="512"/>
      <c r="V3" s="512"/>
      <c r="W3" s="512"/>
      <c r="X3" s="512"/>
      <c r="Y3" s="512"/>
      <c r="Z3" s="512"/>
      <c r="AA3" s="512"/>
      <c r="AB3" s="512"/>
      <c r="AC3" s="512"/>
      <c r="AD3" s="512"/>
    </row>
    <row r="4" spans="1:33" ht="12.75" customHeight="1" x14ac:dyDescent="0.2">
      <c r="A4" s="217"/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  <c r="S4" s="217"/>
      <c r="T4" s="217"/>
      <c r="U4" s="217"/>
      <c r="V4" s="217"/>
      <c r="W4" s="217"/>
      <c r="X4" s="217"/>
      <c r="Y4" s="217"/>
      <c r="Z4" s="217"/>
      <c r="AA4" s="217"/>
      <c r="AB4" s="217"/>
      <c r="AC4" s="217"/>
      <c r="AD4" s="217"/>
    </row>
    <row r="5" spans="1:33" s="118" customFormat="1" ht="14.25" customHeight="1" x14ac:dyDescent="0.2">
      <c r="A5" s="504" t="s">
        <v>0</v>
      </c>
      <c r="B5" s="505"/>
      <c r="C5" s="505"/>
      <c r="D5" s="505"/>
      <c r="E5" s="505"/>
      <c r="F5" s="506"/>
      <c r="G5" s="496" t="s">
        <v>2</v>
      </c>
      <c r="H5" s="493" t="s">
        <v>414</v>
      </c>
      <c r="I5" s="518" t="s">
        <v>309</v>
      </c>
      <c r="J5" s="521"/>
      <c r="K5" s="518" t="s">
        <v>310</v>
      </c>
      <c r="L5" s="521"/>
      <c r="M5" s="580" t="s">
        <v>311</v>
      </c>
      <c r="N5" s="582"/>
      <c r="O5" s="580" t="s">
        <v>312</v>
      </c>
      <c r="P5" s="582"/>
      <c r="Q5" s="580" t="s">
        <v>313</v>
      </c>
      <c r="R5" s="582"/>
      <c r="S5" s="580" t="s">
        <v>314</v>
      </c>
      <c r="T5" s="582"/>
      <c r="U5" s="580" t="s">
        <v>315</v>
      </c>
      <c r="V5" s="582"/>
      <c r="W5" s="580" t="s">
        <v>316</v>
      </c>
      <c r="X5" s="582"/>
      <c r="Y5" s="580" t="s">
        <v>317</v>
      </c>
      <c r="Z5" s="582"/>
      <c r="AA5" s="580" t="s">
        <v>318</v>
      </c>
      <c r="AB5" s="582"/>
      <c r="AC5" s="580" t="s">
        <v>307</v>
      </c>
      <c r="AD5" s="582"/>
    </row>
    <row r="6" spans="1:33" s="11" customFormat="1" ht="12.75" customHeight="1" x14ac:dyDescent="0.2">
      <c r="A6" s="507"/>
      <c r="B6" s="508"/>
      <c r="C6" s="508"/>
      <c r="D6" s="508"/>
      <c r="E6" s="508"/>
      <c r="F6" s="509"/>
      <c r="G6" s="497"/>
      <c r="H6" s="494"/>
      <c r="I6" s="592" t="s">
        <v>755</v>
      </c>
      <c r="J6" s="600"/>
      <c r="K6" s="518" t="s">
        <v>324</v>
      </c>
      <c r="L6" s="533"/>
      <c r="M6" s="533"/>
      <c r="N6" s="533"/>
      <c r="O6" s="533"/>
      <c r="P6" s="533"/>
      <c r="Q6" s="533"/>
      <c r="R6" s="533"/>
      <c r="S6" s="533"/>
      <c r="T6" s="521"/>
      <c r="U6" s="592" t="s">
        <v>319</v>
      </c>
      <c r="V6" s="600"/>
      <c r="W6" s="592" t="s">
        <v>320</v>
      </c>
      <c r="X6" s="600"/>
      <c r="Y6" s="592" t="s">
        <v>321</v>
      </c>
      <c r="Z6" s="600"/>
      <c r="AA6" s="592" t="s">
        <v>390</v>
      </c>
      <c r="AB6" s="600"/>
      <c r="AC6" s="592" t="s">
        <v>328</v>
      </c>
      <c r="AD6" s="600"/>
    </row>
    <row r="7" spans="1:33" s="11" customFormat="1" ht="12.75" customHeight="1" x14ac:dyDescent="0.2">
      <c r="A7" s="507"/>
      <c r="B7" s="508"/>
      <c r="C7" s="508"/>
      <c r="D7" s="508"/>
      <c r="E7" s="508"/>
      <c r="F7" s="509"/>
      <c r="G7" s="497"/>
      <c r="H7" s="494"/>
      <c r="I7" s="593"/>
      <c r="J7" s="601"/>
      <c r="K7" s="504" t="s">
        <v>779</v>
      </c>
      <c r="L7" s="506"/>
      <c r="M7" s="504" t="s">
        <v>780</v>
      </c>
      <c r="N7" s="506"/>
      <c r="O7" s="504" t="s">
        <v>781</v>
      </c>
      <c r="P7" s="506"/>
      <c r="Q7" s="504" t="s">
        <v>782</v>
      </c>
      <c r="R7" s="506"/>
      <c r="S7" s="504" t="s">
        <v>308</v>
      </c>
      <c r="T7" s="506"/>
      <c r="U7" s="593"/>
      <c r="V7" s="601"/>
      <c r="W7" s="593"/>
      <c r="X7" s="601"/>
      <c r="Y7" s="593"/>
      <c r="Z7" s="601"/>
      <c r="AA7" s="593"/>
      <c r="AB7" s="601"/>
      <c r="AC7" s="593"/>
      <c r="AD7" s="601"/>
    </row>
    <row r="8" spans="1:33" s="2" customFormat="1" ht="12.75" customHeight="1" x14ac:dyDescent="0.2">
      <c r="A8" s="507"/>
      <c r="B8" s="508"/>
      <c r="C8" s="508"/>
      <c r="D8" s="508"/>
      <c r="E8" s="508"/>
      <c r="F8" s="509"/>
      <c r="G8" s="497"/>
      <c r="H8" s="494"/>
      <c r="I8" s="593"/>
      <c r="J8" s="601"/>
      <c r="K8" s="491"/>
      <c r="L8" s="492"/>
      <c r="M8" s="491"/>
      <c r="N8" s="492"/>
      <c r="O8" s="491"/>
      <c r="P8" s="492"/>
      <c r="Q8" s="491"/>
      <c r="R8" s="492"/>
      <c r="S8" s="491"/>
      <c r="T8" s="492"/>
      <c r="U8" s="594"/>
      <c r="V8" s="602"/>
      <c r="W8" s="594"/>
      <c r="X8" s="602"/>
      <c r="Y8" s="594"/>
      <c r="Z8" s="602"/>
      <c r="AA8" s="594"/>
      <c r="AB8" s="602"/>
      <c r="AC8" s="594"/>
      <c r="AD8" s="602"/>
    </row>
    <row r="9" spans="1:33" s="2" customFormat="1" x14ac:dyDescent="0.2">
      <c r="A9" s="507"/>
      <c r="B9" s="508"/>
      <c r="C9" s="508"/>
      <c r="D9" s="508"/>
      <c r="E9" s="508"/>
      <c r="F9" s="492"/>
      <c r="G9" s="498"/>
      <c r="H9" s="495"/>
      <c r="I9" s="37" t="s">
        <v>5</v>
      </c>
      <c r="J9" s="37" t="s">
        <v>6</v>
      </c>
      <c r="K9" s="37" t="s">
        <v>5</v>
      </c>
      <c r="L9" s="37" t="s">
        <v>6</v>
      </c>
      <c r="M9" s="37" t="s">
        <v>5</v>
      </c>
      <c r="N9" s="37" t="s">
        <v>6</v>
      </c>
      <c r="O9" s="37" t="s">
        <v>5</v>
      </c>
      <c r="P9" s="37" t="s">
        <v>6</v>
      </c>
      <c r="Q9" s="37" t="s">
        <v>5</v>
      </c>
      <c r="R9" s="37" t="s">
        <v>6</v>
      </c>
      <c r="S9" s="37" t="s">
        <v>5</v>
      </c>
      <c r="T9" s="37" t="s">
        <v>6</v>
      </c>
      <c r="U9" s="37" t="s">
        <v>5</v>
      </c>
      <c r="V9" s="37" t="s">
        <v>6</v>
      </c>
      <c r="W9" s="37" t="s">
        <v>5</v>
      </c>
      <c r="X9" s="37" t="s">
        <v>6</v>
      </c>
      <c r="Y9" s="37" t="s">
        <v>5</v>
      </c>
      <c r="Z9" s="37" t="s">
        <v>6</v>
      </c>
      <c r="AA9" s="37" t="s">
        <v>5</v>
      </c>
      <c r="AB9" s="37" t="s">
        <v>6</v>
      </c>
      <c r="AC9" s="37" t="s">
        <v>5</v>
      </c>
      <c r="AD9" s="37" t="s">
        <v>6</v>
      </c>
    </row>
    <row r="10" spans="1:33" x14ac:dyDescent="0.2">
      <c r="A10" s="377" t="s">
        <v>185</v>
      </c>
      <c r="B10" s="378"/>
      <c r="C10" s="378"/>
      <c r="D10" s="378"/>
      <c r="E10" s="379"/>
      <c r="F10" s="382"/>
      <c r="G10" s="320"/>
      <c r="H10" s="18"/>
      <c r="I10" s="78"/>
      <c r="J10" s="78"/>
      <c r="K10" s="78"/>
      <c r="L10" s="78"/>
      <c r="M10" s="78"/>
      <c r="N10" s="78"/>
      <c r="O10" s="78"/>
      <c r="P10" s="78"/>
      <c r="Q10" s="78"/>
      <c r="R10" s="78"/>
      <c r="S10" s="78"/>
      <c r="T10" s="78"/>
      <c r="U10" s="78"/>
      <c r="V10" s="78"/>
      <c r="W10" s="78"/>
      <c r="X10" s="78"/>
      <c r="Y10" s="78"/>
      <c r="Z10" s="78"/>
      <c r="AA10" s="78"/>
      <c r="AB10" s="78"/>
      <c r="AC10" s="78"/>
      <c r="AD10" s="78"/>
      <c r="AE10" s="122"/>
      <c r="AF10" s="123"/>
      <c r="AG10" s="123"/>
    </row>
    <row r="11" spans="1:33" x14ac:dyDescent="0.2">
      <c r="A11" s="380" t="s">
        <v>186</v>
      </c>
      <c r="B11" s="381" t="s">
        <v>187</v>
      </c>
      <c r="C11" s="355"/>
      <c r="D11" s="355"/>
      <c r="E11" s="382"/>
      <c r="F11" s="382"/>
      <c r="G11" s="458" t="s">
        <v>330</v>
      </c>
      <c r="H11" s="18"/>
      <c r="I11" s="78">
        <f t="shared" ref="I11:AB11" si="0">SUM(I12,I24,I25,I28)</f>
        <v>0</v>
      </c>
      <c r="J11" s="78">
        <f t="shared" si="0"/>
        <v>0</v>
      </c>
      <c r="K11" s="78">
        <f t="shared" si="0"/>
        <v>0</v>
      </c>
      <c r="L11" s="78">
        <f t="shared" si="0"/>
        <v>0</v>
      </c>
      <c r="M11" s="78">
        <f t="shared" si="0"/>
        <v>0</v>
      </c>
      <c r="N11" s="78">
        <f t="shared" si="0"/>
        <v>0</v>
      </c>
      <c r="O11" s="78">
        <f t="shared" si="0"/>
        <v>0</v>
      </c>
      <c r="P11" s="78">
        <f t="shared" si="0"/>
        <v>0</v>
      </c>
      <c r="Q11" s="78">
        <f t="shared" si="0"/>
        <v>0</v>
      </c>
      <c r="R11" s="78">
        <f t="shared" si="0"/>
        <v>0</v>
      </c>
      <c r="S11" s="78">
        <f t="shared" si="0"/>
        <v>0</v>
      </c>
      <c r="T11" s="78">
        <f t="shared" si="0"/>
        <v>0</v>
      </c>
      <c r="U11" s="78">
        <f t="shared" si="0"/>
        <v>0</v>
      </c>
      <c r="V11" s="78">
        <f t="shared" si="0"/>
        <v>0</v>
      </c>
      <c r="W11" s="78">
        <f t="shared" si="0"/>
        <v>0</v>
      </c>
      <c r="X11" s="78">
        <f t="shared" si="0"/>
        <v>0</v>
      </c>
      <c r="Y11" s="78">
        <f t="shared" si="0"/>
        <v>0</v>
      </c>
      <c r="Z11" s="78">
        <f t="shared" si="0"/>
        <v>0</v>
      </c>
      <c r="AA11" s="78">
        <f t="shared" si="0"/>
        <v>0</v>
      </c>
      <c r="AB11" s="78">
        <f t="shared" si="0"/>
        <v>0</v>
      </c>
      <c r="AC11" s="78">
        <f t="shared" ref="AC11:AD16" si="1">(I11+K11+M11+O11+Q11+S11+U11) - (W11+Y11)</f>
        <v>0</v>
      </c>
      <c r="AD11" s="78">
        <f t="shared" si="1"/>
        <v>0</v>
      </c>
      <c r="AE11" s="122"/>
      <c r="AF11" s="123"/>
      <c r="AG11" s="123"/>
    </row>
    <row r="12" spans="1:33" x14ac:dyDescent="0.2">
      <c r="A12" s="384"/>
      <c r="B12" s="385" t="s">
        <v>188</v>
      </c>
      <c r="C12" s="385" t="s">
        <v>823</v>
      </c>
      <c r="D12" s="385"/>
      <c r="E12" s="383"/>
      <c r="F12" s="382"/>
      <c r="G12" s="458" t="s">
        <v>331</v>
      </c>
      <c r="H12" s="18"/>
      <c r="I12" s="78">
        <f t="shared" ref="I12:AB12" si="2">SUM(I13,I19,I20)</f>
        <v>0</v>
      </c>
      <c r="J12" s="78">
        <f t="shared" si="2"/>
        <v>0</v>
      </c>
      <c r="K12" s="78">
        <f t="shared" si="2"/>
        <v>0</v>
      </c>
      <c r="L12" s="78">
        <f t="shared" si="2"/>
        <v>0</v>
      </c>
      <c r="M12" s="78">
        <f t="shared" si="2"/>
        <v>0</v>
      </c>
      <c r="N12" s="78">
        <f t="shared" si="2"/>
        <v>0</v>
      </c>
      <c r="O12" s="78">
        <f t="shared" si="2"/>
        <v>0</v>
      </c>
      <c r="P12" s="78">
        <f t="shared" si="2"/>
        <v>0</v>
      </c>
      <c r="Q12" s="78">
        <f t="shared" si="2"/>
        <v>0</v>
      </c>
      <c r="R12" s="78">
        <f t="shared" si="2"/>
        <v>0</v>
      </c>
      <c r="S12" s="78">
        <f t="shared" si="2"/>
        <v>0</v>
      </c>
      <c r="T12" s="78">
        <f t="shared" si="2"/>
        <v>0</v>
      </c>
      <c r="U12" s="78">
        <f t="shared" si="2"/>
        <v>0</v>
      </c>
      <c r="V12" s="78">
        <f t="shared" si="2"/>
        <v>0</v>
      </c>
      <c r="W12" s="78">
        <f t="shared" si="2"/>
        <v>0</v>
      </c>
      <c r="X12" s="78">
        <f t="shared" si="2"/>
        <v>0</v>
      </c>
      <c r="Y12" s="78">
        <f t="shared" si="2"/>
        <v>0</v>
      </c>
      <c r="Z12" s="78">
        <f t="shared" si="2"/>
        <v>0</v>
      </c>
      <c r="AA12" s="78">
        <f t="shared" si="2"/>
        <v>0</v>
      </c>
      <c r="AB12" s="78">
        <f t="shared" si="2"/>
        <v>0</v>
      </c>
      <c r="AC12" s="78">
        <f t="shared" si="1"/>
        <v>0</v>
      </c>
      <c r="AD12" s="78">
        <f t="shared" si="1"/>
        <v>0</v>
      </c>
      <c r="AE12" s="122"/>
      <c r="AF12" s="123"/>
      <c r="AG12" s="123"/>
    </row>
    <row r="13" spans="1:33" x14ac:dyDescent="0.2">
      <c r="A13" s="386"/>
      <c r="B13" s="355"/>
      <c r="C13" s="387" t="s">
        <v>19</v>
      </c>
      <c r="D13" s="355" t="s">
        <v>189</v>
      </c>
      <c r="E13" s="382"/>
      <c r="F13" s="382"/>
      <c r="G13" s="458" t="s">
        <v>332</v>
      </c>
      <c r="H13" s="18"/>
      <c r="I13" s="292">
        <f>I14+I15+I16</f>
        <v>0</v>
      </c>
      <c r="J13" s="292">
        <f t="shared" ref="J13:AB13" si="3">J14+J15+J16</f>
        <v>0</v>
      </c>
      <c r="K13" s="292">
        <f t="shared" si="3"/>
        <v>0</v>
      </c>
      <c r="L13" s="292">
        <f t="shared" si="3"/>
        <v>0</v>
      </c>
      <c r="M13" s="292">
        <f t="shared" si="3"/>
        <v>0</v>
      </c>
      <c r="N13" s="292">
        <f t="shared" si="3"/>
        <v>0</v>
      </c>
      <c r="O13" s="292">
        <f t="shared" si="3"/>
        <v>0</v>
      </c>
      <c r="P13" s="292">
        <f t="shared" si="3"/>
        <v>0</v>
      </c>
      <c r="Q13" s="292">
        <f t="shared" si="3"/>
        <v>0</v>
      </c>
      <c r="R13" s="292">
        <f t="shared" si="3"/>
        <v>0</v>
      </c>
      <c r="S13" s="292">
        <f t="shared" si="3"/>
        <v>0</v>
      </c>
      <c r="T13" s="292">
        <f t="shared" si="3"/>
        <v>0</v>
      </c>
      <c r="U13" s="292">
        <f t="shared" si="3"/>
        <v>0</v>
      </c>
      <c r="V13" s="292">
        <f t="shared" si="3"/>
        <v>0</v>
      </c>
      <c r="W13" s="292">
        <f t="shared" si="3"/>
        <v>0</v>
      </c>
      <c r="X13" s="292">
        <f t="shared" si="3"/>
        <v>0</v>
      </c>
      <c r="Y13" s="292">
        <f t="shared" si="3"/>
        <v>0</v>
      </c>
      <c r="Z13" s="292">
        <f t="shared" si="3"/>
        <v>0</v>
      </c>
      <c r="AA13" s="292">
        <f t="shared" si="3"/>
        <v>0</v>
      </c>
      <c r="AB13" s="292">
        <f t="shared" si="3"/>
        <v>0</v>
      </c>
      <c r="AC13" s="78">
        <f t="shared" si="1"/>
        <v>0</v>
      </c>
      <c r="AD13" s="78">
        <f t="shared" si="1"/>
        <v>0</v>
      </c>
      <c r="AE13" s="122"/>
      <c r="AF13" s="123"/>
      <c r="AG13" s="123"/>
    </row>
    <row r="14" spans="1:33" x14ac:dyDescent="0.2">
      <c r="A14" s="386"/>
      <c r="B14" s="355"/>
      <c r="C14" s="387"/>
      <c r="D14" s="355" t="s">
        <v>11</v>
      </c>
      <c r="E14" s="355" t="s">
        <v>789</v>
      </c>
      <c r="F14" s="382"/>
      <c r="G14" s="458" t="s">
        <v>824</v>
      </c>
      <c r="H14" s="18"/>
      <c r="I14" s="81"/>
      <c r="J14" s="81"/>
      <c r="K14" s="81"/>
      <c r="L14" s="81"/>
      <c r="M14" s="81"/>
      <c r="N14" s="81"/>
      <c r="O14" s="81"/>
      <c r="P14" s="81"/>
      <c r="Q14" s="81"/>
      <c r="R14" s="81"/>
      <c r="S14" s="81"/>
      <c r="T14" s="81"/>
      <c r="U14" s="81"/>
      <c r="V14" s="81"/>
      <c r="W14" s="81"/>
      <c r="X14" s="81"/>
      <c r="Y14" s="81"/>
      <c r="Z14" s="81"/>
      <c r="AA14" s="81"/>
      <c r="AB14" s="81"/>
      <c r="AC14" s="78">
        <f t="shared" si="1"/>
        <v>0</v>
      </c>
      <c r="AD14" s="78">
        <f t="shared" si="1"/>
        <v>0</v>
      </c>
      <c r="AE14" s="122"/>
      <c r="AF14" s="123"/>
      <c r="AG14" s="123"/>
    </row>
    <row r="15" spans="1:33" x14ac:dyDescent="0.2">
      <c r="A15" s="386"/>
      <c r="B15" s="355"/>
      <c r="C15" s="387"/>
      <c r="D15" s="355" t="s">
        <v>15</v>
      </c>
      <c r="E15" s="392" t="s">
        <v>790</v>
      </c>
      <c r="F15" s="382"/>
      <c r="G15" s="458" t="s">
        <v>825</v>
      </c>
      <c r="H15" s="18"/>
      <c r="I15" s="81"/>
      <c r="J15" s="81"/>
      <c r="K15" s="81"/>
      <c r="L15" s="81"/>
      <c r="M15" s="81"/>
      <c r="N15" s="81"/>
      <c r="O15" s="81"/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/>
      <c r="AA15" s="81"/>
      <c r="AB15" s="81"/>
      <c r="AC15" s="78">
        <f t="shared" si="1"/>
        <v>0</v>
      </c>
      <c r="AD15" s="78">
        <f t="shared" si="1"/>
        <v>0</v>
      </c>
      <c r="AE15" s="122"/>
      <c r="AF15" s="123"/>
      <c r="AG15" s="123"/>
    </row>
    <row r="16" spans="1:33" x14ac:dyDescent="0.2">
      <c r="A16" s="386"/>
      <c r="B16" s="355"/>
      <c r="C16" s="387"/>
      <c r="D16" s="355" t="s">
        <v>25</v>
      </c>
      <c r="E16" s="392" t="s">
        <v>791</v>
      </c>
      <c r="F16" s="382"/>
      <c r="G16" s="458" t="s">
        <v>826</v>
      </c>
      <c r="H16" s="85" t="s">
        <v>751</v>
      </c>
      <c r="I16" s="292">
        <f>SUM(I17:I18)</f>
        <v>0</v>
      </c>
      <c r="J16" s="292">
        <f t="shared" ref="J16:AB16" si="4">SUM(J17:J18)</f>
        <v>0</v>
      </c>
      <c r="K16" s="292">
        <f t="shared" si="4"/>
        <v>0</v>
      </c>
      <c r="L16" s="292">
        <f t="shared" si="4"/>
        <v>0</v>
      </c>
      <c r="M16" s="292">
        <f t="shared" si="4"/>
        <v>0</v>
      </c>
      <c r="N16" s="292">
        <f t="shared" si="4"/>
        <v>0</v>
      </c>
      <c r="O16" s="292">
        <f t="shared" si="4"/>
        <v>0</v>
      </c>
      <c r="P16" s="292">
        <f t="shared" si="4"/>
        <v>0</v>
      </c>
      <c r="Q16" s="292">
        <f t="shared" si="4"/>
        <v>0</v>
      </c>
      <c r="R16" s="292">
        <f t="shared" si="4"/>
        <v>0</v>
      </c>
      <c r="S16" s="292">
        <f t="shared" si="4"/>
        <v>0</v>
      </c>
      <c r="T16" s="292">
        <f t="shared" si="4"/>
        <v>0</v>
      </c>
      <c r="U16" s="292">
        <f t="shared" si="4"/>
        <v>0</v>
      </c>
      <c r="V16" s="292">
        <f t="shared" si="4"/>
        <v>0</v>
      </c>
      <c r="W16" s="292">
        <f t="shared" si="4"/>
        <v>0</v>
      </c>
      <c r="X16" s="292">
        <f t="shared" si="4"/>
        <v>0</v>
      </c>
      <c r="Y16" s="292">
        <f t="shared" si="4"/>
        <v>0</v>
      </c>
      <c r="Z16" s="292">
        <f t="shared" si="4"/>
        <v>0</v>
      </c>
      <c r="AA16" s="292">
        <f t="shared" si="4"/>
        <v>0</v>
      </c>
      <c r="AB16" s="292">
        <f t="shared" si="4"/>
        <v>0</v>
      </c>
      <c r="AC16" s="78">
        <f t="shared" si="1"/>
        <v>0</v>
      </c>
      <c r="AD16" s="78">
        <f t="shared" si="1"/>
        <v>0</v>
      </c>
      <c r="AE16" s="122"/>
      <c r="AF16" s="123"/>
      <c r="AG16" s="123"/>
    </row>
    <row r="17" spans="1:33" x14ac:dyDescent="0.2">
      <c r="A17" s="129"/>
      <c r="B17" s="124"/>
      <c r="C17" s="149"/>
      <c r="D17" s="124"/>
      <c r="E17" s="310"/>
      <c r="F17" s="291"/>
      <c r="G17" s="458"/>
      <c r="H17" s="91">
        <v>1</v>
      </c>
      <c r="I17" s="81"/>
      <c r="J17" s="81"/>
      <c r="K17" s="81"/>
      <c r="L17" s="81"/>
      <c r="M17" s="81"/>
      <c r="N17" s="81"/>
      <c r="O17" s="81"/>
      <c r="P17" s="81"/>
      <c r="Q17" s="81"/>
      <c r="R17" s="81"/>
      <c r="S17" s="81"/>
      <c r="T17" s="81"/>
      <c r="U17" s="81"/>
      <c r="V17" s="81"/>
      <c r="W17" s="81"/>
      <c r="X17" s="81"/>
      <c r="Y17" s="81"/>
      <c r="Z17" s="81"/>
      <c r="AA17" s="81"/>
      <c r="AB17" s="81"/>
      <c r="AC17" s="78">
        <f>(I17+K17+M17+O17+Q17+S17+U17) - (W17+Y17)</f>
        <v>0</v>
      </c>
      <c r="AD17" s="78">
        <f>(J17+L17+N17+P17+R17+T17+V17) - (X17+Z17)</f>
        <v>0</v>
      </c>
      <c r="AE17" s="122"/>
      <c r="AF17" s="123"/>
      <c r="AG17" s="123"/>
    </row>
    <row r="18" spans="1:33" x14ac:dyDescent="0.2">
      <c r="A18" s="386"/>
      <c r="B18" s="355"/>
      <c r="C18" s="387"/>
      <c r="D18" s="355"/>
      <c r="E18" s="355"/>
      <c r="F18" s="382"/>
      <c r="G18" s="458"/>
      <c r="H18" s="239" t="str">
        <f>CHAR(132)</f>
        <v>„</v>
      </c>
      <c r="I18" s="317"/>
      <c r="J18" s="317"/>
      <c r="K18" s="317"/>
      <c r="L18" s="317"/>
      <c r="M18" s="317"/>
      <c r="N18" s="317"/>
      <c r="O18" s="317"/>
      <c r="P18" s="317"/>
      <c r="Q18" s="317"/>
      <c r="R18" s="317"/>
      <c r="S18" s="317"/>
      <c r="T18" s="317"/>
      <c r="U18" s="317"/>
      <c r="V18" s="317"/>
      <c r="W18" s="317"/>
      <c r="X18" s="317"/>
      <c r="Y18" s="317"/>
      <c r="Z18" s="317"/>
      <c r="AA18" s="317"/>
      <c r="AB18" s="317"/>
      <c r="AC18" s="78"/>
      <c r="AD18" s="78"/>
      <c r="AE18" s="122"/>
      <c r="AF18" s="123"/>
      <c r="AG18" s="123"/>
    </row>
    <row r="19" spans="1:33" x14ac:dyDescent="0.2">
      <c r="A19" s="384"/>
      <c r="B19" s="385"/>
      <c r="C19" s="390" t="s">
        <v>21</v>
      </c>
      <c r="D19" s="385" t="s">
        <v>326</v>
      </c>
      <c r="E19" s="383"/>
      <c r="F19" s="382"/>
      <c r="G19" s="458" t="s">
        <v>333</v>
      </c>
      <c r="H19" s="18"/>
      <c r="I19" s="60"/>
      <c r="J19" s="60"/>
      <c r="K19" s="60"/>
      <c r="L19" s="60"/>
      <c r="M19" s="60"/>
      <c r="N19" s="60"/>
      <c r="O19" s="60"/>
      <c r="P19" s="60"/>
      <c r="Q19" s="60"/>
      <c r="R19" s="60"/>
      <c r="S19" s="60"/>
      <c r="T19" s="60"/>
      <c r="U19" s="60"/>
      <c r="V19" s="60"/>
      <c r="W19" s="60"/>
      <c r="X19" s="60"/>
      <c r="Y19" s="60"/>
      <c r="Z19" s="60"/>
      <c r="AA19" s="60"/>
      <c r="AB19" s="60"/>
      <c r="AC19" s="295"/>
      <c r="AD19" s="295"/>
      <c r="AE19" s="122"/>
      <c r="AF19" s="123"/>
      <c r="AG19" s="123"/>
    </row>
    <row r="20" spans="1:33" x14ac:dyDescent="0.2">
      <c r="A20" s="386"/>
      <c r="B20" s="355"/>
      <c r="C20" s="387" t="s">
        <v>60</v>
      </c>
      <c r="D20" s="355" t="s">
        <v>191</v>
      </c>
      <c r="E20" s="382"/>
      <c r="F20" s="382"/>
      <c r="G20" s="458" t="s">
        <v>334</v>
      </c>
      <c r="H20" s="18"/>
      <c r="I20" s="78">
        <f>SUM(I21,I22,I23)</f>
        <v>0</v>
      </c>
      <c r="J20" s="78">
        <f t="shared" ref="J20:T20" si="5">SUM(J21,J22,J23)</f>
        <v>0</v>
      </c>
      <c r="K20" s="78">
        <f t="shared" si="5"/>
        <v>0</v>
      </c>
      <c r="L20" s="78">
        <f t="shared" si="5"/>
        <v>0</v>
      </c>
      <c r="M20" s="78">
        <f t="shared" si="5"/>
        <v>0</v>
      </c>
      <c r="N20" s="78">
        <f t="shared" si="5"/>
        <v>0</v>
      </c>
      <c r="O20" s="78">
        <f t="shared" si="5"/>
        <v>0</v>
      </c>
      <c r="P20" s="78">
        <f t="shared" si="5"/>
        <v>0</v>
      </c>
      <c r="Q20" s="78">
        <f t="shared" si="5"/>
        <v>0</v>
      </c>
      <c r="R20" s="78">
        <f t="shared" si="5"/>
        <v>0</v>
      </c>
      <c r="S20" s="78">
        <f t="shared" si="5"/>
        <v>0</v>
      </c>
      <c r="T20" s="78">
        <f t="shared" si="5"/>
        <v>0</v>
      </c>
      <c r="U20" s="78">
        <f>SUM(U21,U22,U23)</f>
        <v>0</v>
      </c>
      <c r="V20" s="78">
        <f t="shared" ref="V20:AB20" si="6">SUM(V21,V22,V23)</f>
        <v>0</v>
      </c>
      <c r="W20" s="78">
        <f t="shared" si="6"/>
        <v>0</v>
      </c>
      <c r="X20" s="78">
        <f t="shared" si="6"/>
        <v>0</v>
      </c>
      <c r="Y20" s="78">
        <f t="shared" si="6"/>
        <v>0</v>
      </c>
      <c r="Z20" s="78">
        <f t="shared" si="6"/>
        <v>0</v>
      </c>
      <c r="AA20" s="78">
        <f t="shared" si="6"/>
        <v>0</v>
      </c>
      <c r="AB20" s="78">
        <f t="shared" si="6"/>
        <v>0</v>
      </c>
      <c r="AC20" s="78">
        <f t="shared" ref="AC20:AD40" si="7">(I20+K20+M20+O20+Q20+S20+U20) - (W20+Y20)</f>
        <v>0</v>
      </c>
      <c r="AD20" s="78">
        <f t="shared" si="7"/>
        <v>0</v>
      </c>
      <c r="AE20" s="122"/>
      <c r="AF20" s="123"/>
      <c r="AG20" s="123"/>
    </row>
    <row r="21" spans="1:33" x14ac:dyDescent="0.2">
      <c r="A21" s="384"/>
      <c r="B21" s="385"/>
      <c r="C21" s="390"/>
      <c r="D21" s="385" t="s">
        <v>11</v>
      </c>
      <c r="E21" s="383" t="s">
        <v>192</v>
      </c>
      <c r="F21" s="382"/>
      <c r="G21" s="458" t="s">
        <v>335</v>
      </c>
      <c r="H21" s="18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78">
        <f t="shared" si="7"/>
        <v>0</v>
      </c>
      <c r="AD21" s="78">
        <f t="shared" si="7"/>
        <v>0</v>
      </c>
      <c r="AE21" s="122"/>
      <c r="AF21" s="123"/>
      <c r="AG21" s="123"/>
    </row>
    <row r="22" spans="1:33" x14ac:dyDescent="0.2">
      <c r="A22" s="386"/>
      <c r="B22" s="355"/>
      <c r="C22" s="355"/>
      <c r="D22" s="355" t="s">
        <v>15</v>
      </c>
      <c r="E22" s="382" t="s">
        <v>193</v>
      </c>
      <c r="F22" s="382"/>
      <c r="G22" s="458" t="s">
        <v>336</v>
      </c>
      <c r="H22" s="18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78">
        <f t="shared" si="7"/>
        <v>0</v>
      </c>
      <c r="AD22" s="78">
        <f t="shared" si="7"/>
        <v>0</v>
      </c>
      <c r="AE22" s="122"/>
      <c r="AF22" s="123"/>
      <c r="AG22" s="123"/>
    </row>
    <row r="23" spans="1:33" x14ac:dyDescent="0.2">
      <c r="A23" s="384"/>
      <c r="B23" s="385"/>
      <c r="C23" s="385"/>
      <c r="D23" s="385" t="s">
        <v>25</v>
      </c>
      <c r="E23" s="383" t="s">
        <v>194</v>
      </c>
      <c r="F23" s="382"/>
      <c r="G23" s="458" t="s">
        <v>337</v>
      </c>
      <c r="H23" s="18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78">
        <f t="shared" si="7"/>
        <v>0</v>
      </c>
      <c r="AD23" s="78">
        <f t="shared" si="7"/>
        <v>0</v>
      </c>
      <c r="AE23" s="122"/>
      <c r="AF23" s="123"/>
      <c r="AG23" s="123"/>
    </row>
    <row r="24" spans="1:33" x14ac:dyDescent="0.2">
      <c r="A24" s="386"/>
      <c r="B24" s="355" t="s">
        <v>195</v>
      </c>
      <c r="C24" s="355" t="s">
        <v>196</v>
      </c>
      <c r="D24" s="355"/>
      <c r="E24" s="382"/>
      <c r="F24" s="382"/>
      <c r="G24" s="458" t="s">
        <v>338</v>
      </c>
      <c r="H24" s="18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78">
        <f t="shared" si="7"/>
        <v>0</v>
      </c>
      <c r="AD24" s="78">
        <f t="shared" si="7"/>
        <v>0</v>
      </c>
      <c r="AE24" s="122"/>
      <c r="AF24" s="123"/>
      <c r="AG24" s="123"/>
    </row>
    <row r="25" spans="1:33" x14ac:dyDescent="0.2">
      <c r="A25" s="384"/>
      <c r="B25" s="385" t="s">
        <v>197</v>
      </c>
      <c r="C25" s="385" t="s">
        <v>198</v>
      </c>
      <c r="D25" s="385"/>
      <c r="E25" s="383"/>
      <c r="F25" s="382"/>
      <c r="G25" s="458" t="s">
        <v>339</v>
      </c>
      <c r="H25" s="18"/>
      <c r="I25" s="78">
        <f>SUM(I26,I27)</f>
        <v>0</v>
      </c>
      <c r="J25" s="78">
        <f t="shared" ref="J25:T25" si="8">SUM(J26,J27)</f>
        <v>0</v>
      </c>
      <c r="K25" s="78">
        <f t="shared" si="8"/>
        <v>0</v>
      </c>
      <c r="L25" s="78">
        <f t="shared" si="8"/>
        <v>0</v>
      </c>
      <c r="M25" s="78">
        <f t="shared" si="8"/>
        <v>0</v>
      </c>
      <c r="N25" s="78">
        <f t="shared" si="8"/>
        <v>0</v>
      </c>
      <c r="O25" s="78">
        <f t="shared" si="8"/>
        <v>0</v>
      </c>
      <c r="P25" s="78">
        <f t="shared" si="8"/>
        <v>0</v>
      </c>
      <c r="Q25" s="78">
        <f t="shared" si="8"/>
        <v>0</v>
      </c>
      <c r="R25" s="78">
        <f t="shared" si="8"/>
        <v>0</v>
      </c>
      <c r="S25" s="78">
        <f t="shared" si="8"/>
        <v>0</v>
      </c>
      <c r="T25" s="78">
        <f t="shared" si="8"/>
        <v>0</v>
      </c>
      <c r="U25" s="78">
        <f>SUM(U26,U27)</f>
        <v>0</v>
      </c>
      <c r="V25" s="78">
        <f t="shared" ref="V25:AB25" si="9">SUM(V26,V27)</f>
        <v>0</v>
      </c>
      <c r="W25" s="78">
        <f t="shared" si="9"/>
        <v>0</v>
      </c>
      <c r="X25" s="78">
        <f t="shared" si="9"/>
        <v>0</v>
      </c>
      <c r="Y25" s="78">
        <f t="shared" si="9"/>
        <v>0</v>
      </c>
      <c r="Z25" s="78">
        <f t="shared" si="9"/>
        <v>0</v>
      </c>
      <c r="AA25" s="78">
        <f t="shared" si="9"/>
        <v>0</v>
      </c>
      <c r="AB25" s="78">
        <f t="shared" si="9"/>
        <v>0</v>
      </c>
      <c r="AC25" s="78">
        <f t="shared" si="7"/>
        <v>0</v>
      </c>
      <c r="AD25" s="78">
        <f t="shared" si="7"/>
        <v>0</v>
      </c>
      <c r="AE25" s="122"/>
      <c r="AF25" s="123"/>
      <c r="AG25" s="123"/>
    </row>
    <row r="26" spans="1:33" x14ac:dyDescent="0.2">
      <c r="A26" s="386"/>
      <c r="B26" s="355"/>
      <c r="C26" s="387" t="s">
        <v>19</v>
      </c>
      <c r="D26" s="355" t="s">
        <v>199</v>
      </c>
      <c r="E26" s="382"/>
      <c r="F26" s="382"/>
      <c r="G26" s="458" t="s">
        <v>340</v>
      </c>
      <c r="H26" s="18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78">
        <f t="shared" si="7"/>
        <v>0</v>
      </c>
      <c r="AD26" s="78">
        <f t="shared" si="7"/>
        <v>0</v>
      </c>
      <c r="AE26" s="122"/>
      <c r="AF26" s="123"/>
      <c r="AG26" s="123"/>
    </row>
    <row r="27" spans="1:33" x14ac:dyDescent="0.2">
      <c r="A27" s="384"/>
      <c r="B27" s="385"/>
      <c r="C27" s="390" t="s">
        <v>21</v>
      </c>
      <c r="D27" s="391" t="s">
        <v>200</v>
      </c>
      <c r="E27" s="383"/>
      <c r="F27" s="382"/>
      <c r="G27" s="458" t="s">
        <v>341</v>
      </c>
      <c r="H27" s="18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78">
        <f t="shared" si="7"/>
        <v>0</v>
      </c>
      <c r="AD27" s="78">
        <f t="shared" si="7"/>
        <v>0</v>
      </c>
      <c r="AE27" s="122"/>
      <c r="AF27" s="123"/>
      <c r="AG27" s="123"/>
    </row>
    <row r="28" spans="1:33" x14ac:dyDescent="0.2">
      <c r="A28" s="386"/>
      <c r="B28" s="355" t="s">
        <v>201</v>
      </c>
      <c r="C28" s="355" t="s">
        <v>202</v>
      </c>
      <c r="D28" s="355"/>
      <c r="E28" s="382"/>
      <c r="F28" s="382"/>
      <c r="G28" s="458" t="s">
        <v>342</v>
      </c>
      <c r="H28" s="18"/>
      <c r="I28" s="78">
        <f>SUM(I29,I32)</f>
        <v>0</v>
      </c>
      <c r="J28" s="78">
        <f t="shared" ref="J28:T28" si="10">SUM(J29,J32)</f>
        <v>0</v>
      </c>
      <c r="K28" s="78">
        <f t="shared" si="10"/>
        <v>0</v>
      </c>
      <c r="L28" s="78">
        <f t="shared" si="10"/>
        <v>0</v>
      </c>
      <c r="M28" s="78">
        <f t="shared" si="10"/>
        <v>0</v>
      </c>
      <c r="N28" s="78">
        <f t="shared" si="10"/>
        <v>0</v>
      </c>
      <c r="O28" s="78">
        <f t="shared" si="10"/>
        <v>0</v>
      </c>
      <c r="P28" s="78">
        <f t="shared" si="10"/>
        <v>0</v>
      </c>
      <c r="Q28" s="78">
        <f t="shared" si="10"/>
        <v>0</v>
      </c>
      <c r="R28" s="78">
        <f t="shared" si="10"/>
        <v>0</v>
      </c>
      <c r="S28" s="78">
        <f t="shared" si="10"/>
        <v>0</v>
      </c>
      <c r="T28" s="78">
        <f t="shared" si="10"/>
        <v>0</v>
      </c>
      <c r="U28" s="78">
        <f>SUM(U29,U32)</f>
        <v>0</v>
      </c>
      <c r="V28" s="78">
        <f t="shared" ref="V28:AB28" si="11">SUM(V29,V32)</f>
        <v>0</v>
      </c>
      <c r="W28" s="78">
        <f t="shared" si="11"/>
        <v>0</v>
      </c>
      <c r="X28" s="78">
        <f t="shared" si="11"/>
        <v>0</v>
      </c>
      <c r="Y28" s="78">
        <f t="shared" si="11"/>
        <v>0</v>
      </c>
      <c r="Z28" s="78">
        <f t="shared" si="11"/>
        <v>0</v>
      </c>
      <c r="AA28" s="78">
        <f t="shared" si="11"/>
        <v>0</v>
      </c>
      <c r="AB28" s="78">
        <f t="shared" si="11"/>
        <v>0</v>
      </c>
      <c r="AC28" s="78">
        <f t="shared" si="7"/>
        <v>0</v>
      </c>
      <c r="AD28" s="78">
        <f t="shared" si="7"/>
        <v>0</v>
      </c>
      <c r="AE28" s="122"/>
      <c r="AF28" s="123"/>
      <c r="AG28" s="123"/>
    </row>
    <row r="29" spans="1:33" x14ac:dyDescent="0.2">
      <c r="A29" s="386"/>
      <c r="B29" s="355"/>
      <c r="C29" s="387" t="s">
        <v>19</v>
      </c>
      <c r="D29" s="355" t="s">
        <v>203</v>
      </c>
      <c r="E29" s="383"/>
      <c r="F29" s="382"/>
      <c r="G29" s="458" t="s">
        <v>343</v>
      </c>
      <c r="H29" s="18"/>
      <c r="I29" s="78">
        <f>I30+I31</f>
        <v>0</v>
      </c>
      <c r="J29" s="78">
        <f t="shared" ref="J29:AB29" si="12">J30+J31</f>
        <v>0</v>
      </c>
      <c r="K29" s="78">
        <f t="shared" si="12"/>
        <v>0</v>
      </c>
      <c r="L29" s="78">
        <f t="shared" si="12"/>
        <v>0</v>
      </c>
      <c r="M29" s="78">
        <f t="shared" si="12"/>
        <v>0</v>
      </c>
      <c r="N29" s="78">
        <f t="shared" si="12"/>
        <v>0</v>
      </c>
      <c r="O29" s="78">
        <f t="shared" si="12"/>
        <v>0</v>
      </c>
      <c r="P29" s="78">
        <f t="shared" si="12"/>
        <v>0</v>
      </c>
      <c r="Q29" s="78">
        <f t="shared" si="12"/>
        <v>0</v>
      </c>
      <c r="R29" s="78">
        <f t="shared" si="12"/>
        <v>0</v>
      </c>
      <c r="S29" s="78">
        <f t="shared" si="12"/>
        <v>0</v>
      </c>
      <c r="T29" s="78">
        <f t="shared" si="12"/>
        <v>0</v>
      </c>
      <c r="U29" s="78">
        <f t="shared" si="12"/>
        <v>0</v>
      </c>
      <c r="V29" s="78">
        <f t="shared" si="12"/>
        <v>0</v>
      </c>
      <c r="W29" s="78">
        <f t="shared" si="12"/>
        <v>0</v>
      </c>
      <c r="X29" s="78">
        <f t="shared" si="12"/>
        <v>0</v>
      </c>
      <c r="Y29" s="78">
        <f t="shared" si="12"/>
        <v>0</v>
      </c>
      <c r="Z29" s="78">
        <f t="shared" si="12"/>
        <v>0</v>
      </c>
      <c r="AA29" s="78">
        <f t="shared" si="12"/>
        <v>0</v>
      </c>
      <c r="AB29" s="78">
        <f t="shared" si="12"/>
        <v>0</v>
      </c>
      <c r="AC29" s="78">
        <f t="shared" si="7"/>
        <v>0</v>
      </c>
      <c r="AD29" s="78">
        <f t="shared" si="7"/>
        <v>0</v>
      </c>
      <c r="AE29" s="122"/>
      <c r="AF29" s="123"/>
      <c r="AG29" s="123"/>
    </row>
    <row r="30" spans="1:33" x14ac:dyDescent="0.2">
      <c r="A30" s="386"/>
      <c r="B30" s="355"/>
      <c r="C30" s="387"/>
      <c r="D30" s="392" t="s">
        <v>11</v>
      </c>
      <c r="E30" s="355" t="s">
        <v>792</v>
      </c>
      <c r="F30" s="382"/>
      <c r="G30" s="458" t="s">
        <v>827</v>
      </c>
      <c r="H30" s="18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78">
        <f t="shared" si="7"/>
        <v>0</v>
      </c>
      <c r="AD30" s="78">
        <f t="shared" si="7"/>
        <v>0</v>
      </c>
      <c r="AE30" s="122"/>
      <c r="AF30" s="123"/>
      <c r="AG30" s="123"/>
    </row>
    <row r="31" spans="1:33" x14ac:dyDescent="0.2">
      <c r="A31" s="384"/>
      <c r="B31" s="385"/>
      <c r="C31" s="390"/>
      <c r="D31" s="355" t="s">
        <v>15</v>
      </c>
      <c r="E31" s="355" t="s">
        <v>793</v>
      </c>
      <c r="F31" s="382"/>
      <c r="G31" s="458" t="s">
        <v>828</v>
      </c>
      <c r="H31" s="18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78">
        <f t="shared" si="7"/>
        <v>0</v>
      </c>
      <c r="AD31" s="78">
        <f t="shared" si="7"/>
        <v>0</v>
      </c>
      <c r="AE31" s="122"/>
      <c r="AF31" s="123"/>
      <c r="AG31" s="123"/>
    </row>
    <row r="32" spans="1:33" x14ac:dyDescent="0.2">
      <c r="A32" s="386"/>
      <c r="B32" s="355"/>
      <c r="C32" s="387" t="s">
        <v>21</v>
      </c>
      <c r="D32" s="355" t="s">
        <v>194</v>
      </c>
      <c r="E32" s="382"/>
      <c r="F32" s="382"/>
      <c r="G32" s="458" t="s">
        <v>344</v>
      </c>
      <c r="H32" s="18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78">
        <f t="shared" si="7"/>
        <v>0</v>
      </c>
      <c r="AD32" s="78">
        <f t="shared" si="7"/>
        <v>0</v>
      </c>
      <c r="AE32" s="122"/>
      <c r="AF32" s="123"/>
      <c r="AG32" s="123"/>
    </row>
    <row r="33" spans="1:255" x14ac:dyDescent="0.2">
      <c r="A33" s="393" t="s">
        <v>33</v>
      </c>
      <c r="B33" s="394" t="s">
        <v>204</v>
      </c>
      <c r="C33" s="385"/>
      <c r="D33" s="385"/>
      <c r="E33" s="383"/>
      <c r="F33" s="382"/>
      <c r="G33" s="458" t="s">
        <v>345</v>
      </c>
      <c r="H33" s="18"/>
      <c r="I33" s="77">
        <f>SUM(I34,I35,I36,I39)</f>
        <v>0</v>
      </c>
      <c r="J33" s="77">
        <f t="shared" ref="J33:T33" si="13">SUM(J34,J35,J36,J39)</f>
        <v>0</v>
      </c>
      <c r="K33" s="77">
        <f t="shared" si="13"/>
        <v>0</v>
      </c>
      <c r="L33" s="77">
        <f t="shared" si="13"/>
        <v>0</v>
      </c>
      <c r="M33" s="77">
        <f t="shared" si="13"/>
        <v>0</v>
      </c>
      <c r="N33" s="77">
        <f t="shared" si="13"/>
        <v>0</v>
      </c>
      <c r="O33" s="77">
        <f t="shared" si="13"/>
        <v>0</v>
      </c>
      <c r="P33" s="77">
        <f t="shared" si="13"/>
        <v>0</v>
      </c>
      <c r="Q33" s="77">
        <f t="shared" si="13"/>
        <v>0</v>
      </c>
      <c r="R33" s="77">
        <f t="shared" si="13"/>
        <v>0</v>
      </c>
      <c r="S33" s="77">
        <f t="shared" si="13"/>
        <v>0</v>
      </c>
      <c r="T33" s="77">
        <f t="shared" si="13"/>
        <v>0</v>
      </c>
      <c r="U33" s="77">
        <f>SUM(U34,U35,U36,U39)</f>
        <v>0</v>
      </c>
      <c r="V33" s="77">
        <f t="shared" ref="V33:AB33" si="14">SUM(V34,V35,V36,V39)</f>
        <v>0</v>
      </c>
      <c r="W33" s="77">
        <f t="shared" si="14"/>
        <v>0</v>
      </c>
      <c r="X33" s="77">
        <f t="shared" si="14"/>
        <v>0</v>
      </c>
      <c r="Y33" s="77">
        <f t="shared" si="14"/>
        <v>0</v>
      </c>
      <c r="Z33" s="77">
        <f t="shared" si="14"/>
        <v>0</v>
      </c>
      <c r="AA33" s="77">
        <f t="shared" si="14"/>
        <v>0</v>
      </c>
      <c r="AB33" s="77">
        <f t="shared" si="14"/>
        <v>0</v>
      </c>
      <c r="AC33" s="78">
        <f t="shared" si="7"/>
        <v>0</v>
      </c>
      <c r="AD33" s="78">
        <f t="shared" si="7"/>
        <v>0</v>
      </c>
      <c r="AE33" s="122"/>
      <c r="AF33" s="123"/>
      <c r="AG33" s="123"/>
    </row>
    <row r="34" spans="1:255" x14ac:dyDescent="0.2">
      <c r="A34" s="386"/>
      <c r="B34" s="355" t="s">
        <v>188</v>
      </c>
      <c r="C34" s="355" t="s">
        <v>205</v>
      </c>
      <c r="D34" s="355"/>
      <c r="E34" s="382"/>
      <c r="F34" s="382"/>
      <c r="G34" s="458" t="s">
        <v>346</v>
      </c>
      <c r="H34" s="18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78">
        <f t="shared" si="7"/>
        <v>0</v>
      </c>
      <c r="AD34" s="78">
        <f t="shared" si="7"/>
        <v>0</v>
      </c>
      <c r="AE34" s="122"/>
      <c r="AF34" s="123"/>
      <c r="AG34" s="123"/>
    </row>
    <row r="35" spans="1:255" x14ac:dyDescent="0.2">
      <c r="A35" s="384"/>
      <c r="B35" s="385" t="s">
        <v>195</v>
      </c>
      <c r="C35" s="385" t="s">
        <v>306</v>
      </c>
      <c r="D35" s="385"/>
      <c r="E35" s="383"/>
      <c r="F35" s="382"/>
      <c r="G35" s="458" t="s">
        <v>347</v>
      </c>
      <c r="H35" s="18"/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78">
        <f t="shared" si="7"/>
        <v>0</v>
      </c>
      <c r="AD35" s="78">
        <f t="shared" si="7"/>
        <v>0</v>
      </c>
      <c r="AE35" s="122"/>
      <c r="AF35" s="123"/>
      <c r="AG35" s="123"/>
    </row>
    <row r="36" spans="1:255" x14ac:dyDescent="0.2">
      <c r="A36" s="386"/>
      <c r="B36" s="355" t="s">
        <v>197</v>
      </c>
      <c r="C36" s="355" t="s">
        <v>198</v>
      </c>
      <c r="D36" s="355"/>
      <c r="E36" s="382"/>
      <c r="F36" s="382"/>
      <c r="G36" s="458" t="s">
        <v>348</v>
      </c>
      <c r="H36" s="18"/>
      <c r="I36" s="77">
        <f>SUM(I37,I38)</f>
        <v>0</v>
      </c>
      <c r="J36" s="77">
        <f t="shared" ref="J36:T36" si="15">SUM(J37,J38)</f>
        <v>0</v>
      </c>
      <c r="K36" s="77">
        <f t="shared" si="15"/>
        <v>0</v>
      </c>
      <c r="L36" s="77">
        <f t="shared" si="15"/>
        <v>0</v>
      </c>
      <c r="M36" s="77">
        <f t="shared" si="15"/>
        <v>0</v>
      </c>
      <c r="N36" s="77">
        <f t="shared" si="15"/>
        <v>0</v>
      </c>
      <c r="O36" s="77">
        <f t="shared" si="15"/>
        <v>0</v>
      </c>
      <c r="P36" s="77">
        <f t="shared" si="15"/>
        <v>0</v>
      </c>
      <c r="Q36" s="77">
        <f t="shared" si="15"/>
        <v>0</v>
      </c>
      <c r="R36" s="77">
        <f t="shared" si="15"/>
        <v>0</v>
      </c>
      <c r="S36" s="77">
        <f t="shared" si="15"/>
        <v>0</v>
      </c>
      <c r="T36" s="77">
        <f t="shared" si="15"/>
        <v>0</v>
      </c>
      <c r="U36" s="77">
        <f>SUM(U37,U38)</f>
        <v>0</v>
      </c>
      <c r="V36" s="77">
        <f t="shared" ref="V36:AB36" si="16">SUM(V37,V38)</f>
        <v>0</v>
      </c>
      <c r="W36" s="77">
        <f t="shared" si="16"/>
        <v>0</v>
      </c>
      <c r="X36" s="77">
        <f t="shared" si="16"/>
        <v>0</v>
      </c>
      <c r="Y36" s="77">
        <f t="shared" si="16"/>
        <v>0</v>
      </c>
      <c r="Z36" s="77">
        <f t="shared" si="16"/>
        <v>0</v>
      </c>
      <c r="AA36" s="77">
        <f t="shared" si="16"/>
        <v>0</v>
      </c>
      <c r="AB36" s="77">
        <f t="shared" si="16"/>
        <v>0</v>
      </c>
      <c r="AC36" s="78">
        <f t="shared" si="7"/>
        <v>0</v>
      </c>
      <c r="AD36" s="78">
        <f t="shared" si="7"/>
        <v>0</v>
      </c>
      <c r="AE36" s="122"/>
      <c r="AF36" s="123"/>
      <c r="AG36" s="123"/>
    </row>
    <row r="37" spans="1:255" x14ac:dyDescent="0.2">
      <c r="A37" s="384"/>
      <c r="B37" s="385"/>
      <c r="C37" s="390" t="s">
        <v>19</v>
      </c>
      <c r="D37" s="385" t="s">
        <v>207</v>
      </c>
      <c r="E37" s="383"/>
      <c r="F37" s="382"/>
      <c r="G37" s="458" t="s">
        <v>349</v>
      </c>
      <c r="H37" s="18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2"/>
      <c r="AA37" s="62"/>
      <c r="AB37" s="62"/>
      <c r="AC37" s="78">
        <f t="shared" si="7"/>
        <v>0</v>
      </c>
      <c r="AD37" s="78">
        <f t="shared" si="7"/>
        <v>0</v>
      </c>
      <c r="AE37" s="122"/>
      <c r="AF37" s="123"/>
      <c r="AG37" s="123"/>
    </row>
    <row r="38" spans="1:255" x14ac:dyDescent="0.2">
      <c r="A38" s="386"/>
      <c r="B38" s="355"/>
      <c r="C38" s="387" t="s">
        <v>21</v>
      </c>
      <c r="D38" s="395" t="s">
        <v>200</v>
      </c>
      <c r="E38" s="382"/>
      <c r="F38" s="382"/>
      <c r="G38" s="458" t="s">
        <v>350</v>
      </c>
      <c r="H38" s="18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78">
        <f t="shared" si="7"/>
        <v>0</v>
      </c>
      <c r="AD38" s="78">
        <f t="shared" si="7"/>
        <v>0</v>
      </c>
      <c r="AE38" s="122"/>
      <c r="AF38" s="123"/>
      <c r="AG38" s="123"/>
    </row>
    <row r="39" spans="1:255" s="16" customFormat="1" x14ac:dyDescent="0.2">
      <c r="A39" s="384"/>
      <c r="B39" s="385" t="s">
        <v>201</v>
      </c>
      <c r="C39" s="385" t="s">
        <v>208</v>
      </c>
      <c r="D39" s="385"/>
      <c r="E39" s="383"/>
      <c r="F39" s="382"/>
      <c r="G39" s="458" t="s">
        <v>351</v>
      </c>
      <c r="H39" s="18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78">
        <f t="shared" si="7"/>
        <v>0</v>
      </c>
      <c r="AD39" s="78">
        <f t="shared" si="7"/>
        <v>0</v>
      </c>
      <c r="AE39" s="34"/>
      <c r="AF39" s="132"/>
      <c r="AG39" s="132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</row>
    <row r="40" spans="1:255" s="21" customFormat="1" x14ac:dyDescent="0.2">
      <c r="A40" s="397" t="s">
        <v>48</v>
      </c>
      <c r="B40" s="381" t="s">
        <v>209</v>
      </c>
      <c r="C40" s="395"/>
      <c r="D40" s="355"/>
      <c r="E40" s="382"/>
      <c r="F40" s="382"/>
      <c r="G40" s="458" t="s">
        <v>352</v>
      </c>
      <c r="H40" s="18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62"/>
      <c r="Y40" s="62"/>
      <c r="Z40" s="62"/>
      <c r="AA40" s="62"/>
      <c r="AB40" s="62"/>
      <c r="AC40" s="78">
        <f t="shared" si="7"/>
        <v>0</v>
      </c>
      <c r="AD40" s="78">
        <f t="shared" si="7"/>
        <v>0</v>
      </c>
      <c r="AE40" s="34"/>
      <c r="AF40" s="132"/>
      <c r="AG40" s="132"/>
    </row>
    <row r="41" spans="1:255" s="19" customFormat="1" x14ac:dyDescent="0.2">
      <c r="A41" s="407" t="s">
        <v>355</v>
      </c>
      <c r="B41" s="392"/>
      <c r="C41" s="392"/>
      <c r="D41" s="392"/>
      <c r="E41" s="388"/>
      <c r="F41" s="433"/>
      <c r="G41" s="458" t="s">
        <v>353</v>
      </c>
      <c r="H41" s="18"/>
      <c r="I41" s="77">
        <f t="shared" ref="I41:AD41" si="17">SUM(I11,I33,I40)</f>
        <v>0</v>
      </c>
      <c r="J41" s="77">
        <f t="shared" si="17"/>
        <v>0</v>
      </c>
      <c r="K41" s="77">
        <f t="shared" si="17"/>
        <v>0</v>
      </c>
      <c r="L41" s="77">
        <f t="shared" si="17"/>
        <v>0</v>
      </c>
      <c r="M41" s="77">
        <f t="shared" si="17"/>
        <v>0</v>
      </c>
      <c r="N41" s="77">
        <f t="shared" si="17"/>
        <v>0</v>
      </c>
      <c r="O41" s="77">
        <f t="shared" si="17"/>
        <v>0</v>
      </c>
      <c r="P41" s="77">
        <f t="shared" si="17"/>
        <v>0</v>
      </c>
      <c r="Q41" s="77">
        <f t="shared" si="17"/>
        <v>0</v>
      </c>
      <c r="R41" s="77">
        <f t="shared" si="17"/>
        <v>0</v>
      </c>
      <c r="S41" s="77">
        <f t="shared" si="17"/>
        <v>0</v>
      </c>
      <c r="T41" s="77">
        <f t="shared" si="17"/>
        <v>0</v>
      </c>
      <c r="U41" s="77">
        <f t="shared" si="17"/>
        <v>0</v>
      </c>
      <c r="V41" s="77">
        <f t="shared" si="17"/>
        <v>0</v>
      </c>
      <c r="W41" s="77">
        <f t="shared" si="17"/>
        <v>0</v>
      </c>
      <c r="X41" s="77">
        <f t="shared" si="17"/>
        <v>0</v>
      </c>
      <c r="Y41" s="77">
        <f t="shared" si="17"/>
        <v>0</v>
      </c>
      <c r="Z41" s="77">
        <f t="shared" si="17"/>
        <v>0</v>
      </c>
      <c r="AA41" s="77">
        <f t="shared" si="17"/>
        <v>0</v>
      </c>
      <c r="AB41" s="77">
        <f t="shared" si="17"/>
        <v>0</v>
      </c>
      <c r="AC41" s="78">
        <f t="shared" si="17"/>
        <v>0</v>
      </c>
      <c r="AD41" s="78">
        <f t="shared" si="17"/>
        <v>0</v>
      </c>
      <c r="AE41" s="133"/>
      <c r="AF41" s="134"/>
      <c r="AG41" s="134"/>
    </row>
    <row r="42" spans="1:255" s="154" customFormat="1" x14ac:dyDescent="0.2">
      <c r="A42" s="113"/>
      <c r="B42" s="14"/>
      <c r="C42" s="131"/>
      <c r="D42" s="39"/>
      <c r="E42" s="136"/>
      <c r="F42" s="137"/>
      <c r="G42" s="52" t="s">
        <v>184</v>
      </c>
      <c r="H42" s="38"/>
      <c r="I42" s="31"/>
      <c r="J42" s="32"/>
      <c r="K42" s="31"/>
      <c r="L42" s="30"/>
      <c r="M42" s="30"/>
      <c r="N42" s="30"/>
      <c r="O42" s="30"/>
      <c r="P42" s="31"/>
      <c r="Q42" s="30"/>
      <c r="R42" s="30"/>
      <c r="S42" s="30"/>
      <c r="T42" s="30"/>
      <c r="U42" s="31"/>
      <c r="V42" s="30"/>
      <c r="W42" s="30"/>
      <c r="X42" s="30"/>
      <c r="Y42" s="30"/>
      <c r="Z42" s="31"/>
      <c r="AA42" s="30"/>
      <c r="AB42" s="30"/>
      <c r="AC42" s="30"/>
      <c r="AD42" s="31"/>
      <c r="AE42" s="32"/>
      <c r="AF42" s="236"/>
      <c r="AG42" s="236"/>
    </row>
    <row r="43" spans="1:255" s="154" customFormat="1" x14ac:dyDescent="0.2">
      <c r="A43" s="24"/>
      <c r="B43" s="39"/>
      <c r="C43" s="607"/>
      <c r="D43" s="607"/>
      <c r="E43" s="214"/>
      <c r="F43" s="214"/>
      <c r="G43" s="40"/>
      <c r="H43" s="40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236"/>
      <c r="AG43" s="236"/>
    </row>
    <row r="44" spans="1:255" s="154" customFormat="1" x14ac:dyDescent="0.2">
      <c r="A44" s="24"/>
      <c r="B44" s="39"/>
      <c r="C44" s="135"/>
      <c r="D44" s="489"/>
      <c r="E44" s="489"/>
      <c r="F44" s="489"/>
      <c r="G44" s="40"/>
      <c r="H44" s="40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236"/>
      <c r="AG44" s="236"/>
    </row>
    <row r="45" spans="1:255" s="154" customFormat="1" x14ac:dyDescent="0.2">
      <c r="A45" s="24"/>
      <c r="B45" s="39"/>
      <c r="C45" s="135"/>
      <c r="D45" s="489"/>
      <c r="E45" s="489"/>
      <c r="F45" s="489"/>
      <c r="G45" s="40"/>
      <c r="H45" s="40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32"/>
      <c r="AF45" s="236"/>
      <c r="AG45" s="236"/>
    </row>
    <row r="46" spans="1:255" s="154" customFormat="1" x14ac:dyDescent="0.2">
      <c r="A46" s="24"/>
      <c r="B46" s="39"/>
      <c r="C46" s="131"/>
      <c r="D46" s="39"/>
      <c r="E46" s="39"/>
      <c r="F46" s="39"/>
      <c r="G46" s="40"/>
      <c r="H46" s="40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32"/>
      <c r="AF46" s="236"/>
      <c r="AG46" s="236"/>
    </row>
    <row r="47" spans="1:255" s="154" customFormat="1" x14ac:dyDescent="0.2">
      <c r="A47" s="24"/>
      <c r="B47" s="39"/>
      <c r="C47" s="150"/>
      <c r="D47" s="39"/>
      <c r="E47" s="39"/>
      <c r="F47" s="39"/>
      <c r="G47" s="40"/>
      <c r="H47" s="40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  <c r="AF47" s="236"/>
      <c r="AG47" s="236"/>
    </row>
    <row r="48" spans="1:255" s="154" customFormat="1" x14ac:dyDescent="0.2">
      <c r="A48" s="24"/>
      <c r="B48" s="39"/>
      <c r="C48" s="140"/>
      <c r="D48" s="39"/>
      <c r="E48" s="39"/>
      <c r="F48" s="39"/>
      <c r="G48" s="40"/>
      <c r="H48" s="40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236"/>
      <c r="AG48" s="236"/>
    </row>
    <row r="49" spans="1:33" s="154" customFormat="1" x14ac:dyDescent="0.2">
      <c r="A49" s="24"/>
      <c r="B49" s="39"/>
      <c r="C49" s="131"/>
      <c r="D49" s="39"/>
      <c r="E49" s="39"/>
      <c r="F49" s="39"/>
      <c r="G49" s="40"/>
      <c r="H49" s="40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32"/>
      <c r="AF49" s="236"/>
      <c r="AG49" s="236"/>
    </row>
    <row r="50" spans="1:33" s="154" customFormat="1" x14ac:dyDescent="0.2">
      <c r="A50" s="24"/>
      <c r="B50" s="39"/>
      <c r="C50" s="135"/>
      <c r="D50" s="489"/>
      <c r="E50" s="489"/>
      <c r="F50" s="214"/>
      <c r="G50" s="40"/>
      <c r="H50" s="40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236"/>
      <c r="AG50" s="236"/>
    </row>
    <row r="51" spans="1:33" s="154" customFormat="1" x14ac:dyDescent="0.2">
      <c r="A51" s="24"/>
      <c r="B51" s="39"/>
      <c r="C51" s="135"/>
      <c r="D51" s="489"/>
      <c r="E51" s="489"/>
      <c r="F51" s="489"/>
      <c r="G51" s="40"/>
      <c r="H51" s="40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32"/>
      <c r="AF51" s="236"/>
      <c r="AG51" s="236"/>
    </row>
    <row r="52" spans="1:33" s="154" customFormat="1" x14ac:dyDescent="0.2">
      <c r="A52" s="24"/>
      <c r="B52" s="14"/>
      <c r="C52" s="131"/>
      <c r="D52" s="39"/>
      <c r="E52" s="39"/>
      <c r="F52" s="39"/>
      <c r="G52" s="40"/>
      <c r="H52" s="40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236"/>
      <c r="AG52" s="236"/>
    </row>
    <row r="53" spans="1:33" s="154" customFormat="1" x14ac:dyDescent="0.2">
      <c r="A53" s="24"/>
      <c r="B53" s="39"/>
      <c r="C53" s="606"/>
      <c r="D53" s="606"/>
      <c r="E53" s="39"/>
      <c r="F53" s="39"/>
      <c r="G53" s="40"/>
      <c r="H53" s="40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236"/>
      <c r="AG53" s="236"/>
    </row>
    <row r="54" spans="1:33" s="154" customFormat="1" x14ac:dyDescent="0.2">
      <c r="A54" s="24"/>
      <c r="B54" s="39"/>
      <c r="C54" s="131"/>
      <c r="D54" s="131"/>
      <c r="E54" s="39"/>
      <c r="F54" s="39"/>
      <c r="G54" s="40"/>
      <c r="H54" s="40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32"/>
      <c r="AF54" s="236"/>
      <c r="AG54" s="236"/>
    </row>
    <row r="55" spans="1:33" s="154" customFormat="1" x14ac:dyDescent="0.2">
      <c r="A55" s="24"/>
      <c r="B55" s="39"/>
      <c r="C55" s="39"/>
      <c r="D55" s="39"/>
      <c r="E55" s="39"/>
      <c r="F55" s="39"/>
      <c r="G55" s="40"/>
      <c r="H55" s="40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  <c r="AF55" s="236"/>
      <c r="AG55" s="236"/>
    </row>
    <row r="56" spans="1:33" s="154" customFormat="1" x14ac:dyDescent="0.2">
      <c r="A56" s="166"/>
      <c r="B56" s="14"/>
      <c r="C56" s="131"/>
      <c r="D56" s="39"/>
      <c r="E56" s="39"/>
      <c r="F56" s="39"/>
      <c r="G56" s="40"/>
      <c r="H56" s="40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32"/>
      <c r="AF56" s="236"/>
      <c r="AG56" s="236"/>
    </row>
    <row r="57" spans="1:33" s="21" customFormat="1" x14ac:dyDescent="0.2">
      <c r="A57" s="166"/>
      <c r="B57" s="39"/>
      <c r="C57" s="39"/>
      <c r="D57" s="39"/>
      <c r="E57" s="39"/>
      <c r="F57" s="39"/>
      <c r="G57" s="20"/>
      <c r="H57" s="20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4"/>
      <c r="T57" s="34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34"/>
      <c r="AF57" s="132"/>
      <c r="AG57" s="132"/>
    </row>
    <row r="58" spans="1:33" s="21" customFormat="1" x14ac:dyDescent="0.2">
      <c r="A58" s="166"/>
      <c r="B58" s="14"/>
      <c r="C58" s="39"/>
      <c r="D58" s="39"/>
      <c r="E58" s="39"/>
      <c r="F58" s="39"/>
      <c r="G58" s="20"/>
      <c r="H58" s="20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4"/>
      <c r="T58" s="34"/>
      <c r="U58" s="32"/>
      <c r="V58" s="32"/>
      <c r="W58" s="32"/>
      <c r="X58" s="32"/>
      <c r="Y58" s="32"/>
      <c r="Z58" s="32"/>
      <c r="AA58" s="32"/>
      <c r="AB58" s="32"/>
      <c r="AC58" s="32"/>
      <c r="AD58" s="32"/>
      <c r="AE58" s="34"/>
      <c r="AF58" s="132"/>
      <c r="AG58" s="132"/>
    </row>
    <row r="59" spans="1:33" s="21" customFormat="1" x14ac:dyDescent="0.2">
      <c r="A59" s="24"/>
      <c r="B59" s="39"/>
      <c r="C59" s="39"/>
      <c r="D59" s="39"/>
      <c r="E59" s="39"/>
      <c r="F59" s="39"/>
      <c r="G59" s="20"/>
      <c r="H59" s="20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4"/>
      <c r="T59" s="34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4"/>
      <c r="AF59" s="132"/>
      <c r="AG59" s="132"/>
    </row>
    <row r="60" spans="1:33" s="21" customFormat="1" x14ac:dyDescent="0.2">
      <c r="A60" s="166"/>
      <c r="B60" s="39"/>
      <c r="C60" s="39"/>
      <c r="D60" s="39"/>
      <c r="E60" s="39"/>
      <c r="F60" s="39"/>
      <c r="G60" s="20"/>
      <c r="H60" s="20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4"/>
      <c r="T60" s="34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34"/>
      <c r="AF60" s="132"/>
      <c r="AG60" s="132"/>
    </row>
    <row r="61" spans="1:33" s="21" customFormat="1" x14ac:dyDescent="0.2">
      <c r="A61" s="166"/>
      <c r="B61" s="39"/>
      <c r="C61" s="39"/>
      <c r="D61" s="39"/>
      <c r="E61" s="39"/>
      <c r="F61" s="39"/>
      <c r="G61" s="20"/>
      <c r="H61" s="20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4"/>
      <c r="T61" s="34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4"/>
      <c r="AF61" s="132"/>
      <c r="AG61" s="132"/>
    </row>
    <row r="62" spans="1:33" s="21" customFormat="1" x14ac:dyDescent="0.2">
      <c r="A62" s="166"/>
      <c r="B62" s="39"/>
      <c r="C62" s="39"/>
      <c r="D62" s="39"/>
      <c r="E62" s="39"/>
      <c r="F62" s="39"/>
      <c r="G62" s="20"/>
      <c r="H62" s="20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4"/>
      <c r="T62" s="34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4"/>
      <c r="AF62" s="132"/>
      <c r="AG62" s="132"/>
    </row>
    <row r="63" spans="1:33" s="21" customFormat="1" x14ac:dyDescent="0.2">
      <c r="A63" s="166"/>
      <c r="B63" s="39"/>
      <c r="C63" s="39"/>
      <c r="D63" s="39"/>
      <c r="E63" s="39"/>
      <c r="F63" s="39"/>
      <c r="G63" s="20"/>
      <c r="H63" s="20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4"/>
      <c r="T63" s="34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34"/>
      <c r="AF63" s="132"/>
      <c r="AG63" s="132"/>
    </row>
    <row r="64" spans="1:33" s="21" customFormat="1" x14ac:dyDescent="0.2">
      <c r="A64" s="151"/>
      <c r="B64" s="212"/>
      <c r="C64" s="212"/>
      <c r="D64" s="212"/>
      <c r="E64" s="212"/>
      <c r="F64" s="212"/>
      <c r="G64" s="20"/>
      <c r="H64" s="20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4"/>
      <c r="T64" s="34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34"/>
      <c r="AF64" s="132"/>
      <c r="AG64" s="132"/>
    </row>
    <row r="65" spans="1:33" s="21" customFormat="1" x14ac:dyDescent="0.2">
      <c r="A65" s="151"/>
      <c r="B65" s="212"/>
      <c r="C65" s="212"/>
      <c r="D65" s="212"/>
      <c r="E65" s="212"/>
      <c r="F65" s="212"/>
      <c r="G65" s="20"/>
      <c r="H65" s="20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4"/>
      <c r="T65" s="34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4"/>
      <c r="AF65" s="132"/>
      <c r="AG65" s="132"/>
    </row>
    <row r="66" spans="1:33" s="21" customFormat="1" x14ac:dyDescent="0.2">
      <c r="A66" s="151"/>
      <c r="B66" s="212"/>
      <c r="C66" s="212"/>
      <c r="D66" s="144"/>
      <c r="E66" s="144"/>
      <c r="F66" s="144"/>
      <c r="G66" s="20"/>
      <c r="H66" s="20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4"/>
      <c r="T66" s="34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34"/>
      <c r="AF66" s="132"/>
      <c r="AG66" s="132"/>
    </row>
    <row r="67" spans="1:33" s="21" customFormat="1" x14ac:dyDescent="0.2">
      <c r="A67" s="151"/>
      <c r="B67" s="39"/>
      <c r="C67" s="39"/>
      <c r="D67" s="39"/>
      <c r="E67" s="39"/>
      <c r="F67" s="39"/>
      <c r="G67" s="20"/>
      <c r="H67" s="20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4"/>
      <c r="T67" s="34"/>
      <c r="U67" s="32"/>
      <c r="V67" s="32"/>
      <c r="W67" s="32"/>
      <c r="X67" s="32"/>
      <c r="Y67" s="32"/>
      <c r="Z67" s="32"/>
      <c r="AA67" s="32"/>
      <c r="AB67" s="32"/>
      <c r="AC67" s="32"/>
      <c r="AD67" s="32"/>
      <c r="AE67" s="34"/>
      <c r="AF67" s="132"/>
      <c r="AG67" s="132"/>
    </row>
    <row r="68" spans="1:33" s="21" customFormat="1" x14ac:dyDescent="0.2">
      <c r="A68" s="166"/>
      <c r="B68" s="39"/>
      <c r="C68" s="39"/>
      <c r="D68" s="39"/>
      <c r="E68" s="39"/>
      <c r="F68" s="39"/>
      <c r="G68" s="20"/>
      <c r="H68" s="20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4"/>
      <c r="T68" s="34"/>
      <c r="U68" s="32"/>
      <c r="V68" s="32"/>
      <c r="W68" s="32"/>
      <c r="X68" s="32"/>
      <c r="Y68" s="32"/>
      <c r="Z68" s="32"/>
      <c r="AA68" s="32"/>
      <c r="AB68" s="32"/>
      <c r="AC68" s="32"/>
      <c r="AD68" s="32"/>
      <c r="AE68" s="34"/>
      <c r="AF68" s="132"/>
      <c r="AG68" s="132"/>
    </row>
    <row r="69" spans="1:33" s="21" customFormat="1" x14ac:dyDescent="0.2">
      <c r="A69" s="166"/>
      <c r="B69" s="39"/>
      <c r="C69" s="39"/>
      <c r="D69" s="39"/>
      <c r="E69" s="39"/>
      <c r="F69" s="39"/>
      <c r="G69" s="20"/>
      <c r="H69" s="20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4"/>
      <c r="T69" s="34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34"/>
      <c r="AF69" s="132"/>
      <c r="AG69" s="132"/>
    </row>
    <row r="70" spans="1:33" s="21" customFormat="1" x14ac:dyDescent="0.2">
      <c r="A70" s="166"/>
      <c r="B70" s="39"/>
      <c r="C70" s="39"/>
      <c r="D70" s="39"/>
      <c r="E70" s="39"/>
      <c r="F70" s="39"/>
      <c r="G70" s="20"/>
      <c r="H70" s="20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4"/>
      <c r="T70" s="34"/>
      <c r="U70" s="32"/>
      <c r="V70" s="32"/>
      <c r="W70" s="32"/>
      <c r="X70" s="32"/>
      <c r="Y70" s="32"/>
      <c r="Z70" s="32"/>
      <c r="AA70" s="32"/>
      <c r="AB70" s="32"/>
      <c r="AC70" s="32"/>
      <c r="AD70" s="32"/>
      <c r="AE70" s="34"/>
      <c r="AF70" s="132"/>
      <c r="AG70" s="132"/>
    </row>
    <row r="71" spans="1:33" s="21" customFormat="1" x14ac:dyDescent="0.2">
      <c r="A71" s="166"/>
      <c r="B71" s="39"/>
      <c r="C71" s="150"/>
      <c r="D71" s="39"/>
      <c r="E71" s="39"/>
      <c r="F71" s="39"/>
      <c r="G71" s="20"/>
      <c r="H71" s="20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4"/>
      <c r="T71" s="34"/>
      <c r="U71" s="32"/>
      <c r="V71" s="32"/>
      <c r="W71" s="32"/>
      <c r="X71" s="32"/>
      <c r="Y71" s="32"/>
      <c r="Z71" s="32"/>
      <c r="AA71" s="32"/>
      <c r="AB71" s="32"/>
      <c r="AC71" s="32"/>
      <c r="AD71" s="32"/>
      <c r="AE71" s="34"/>
      <c r="AF71" s="132"/>
      <c r="AG71" s="132"/>
    </row>
    <row r="72" spans="1:33" s="21" customFormat="1" x14ac:dyDescent="0.2">
      <c r="A72" s="166"/>
      <c r="B72" s="39"/>
      <c r="C72" s="150"/>
      <c r="D72" s="39"/>
      <c r="E72" s="39"/>
      <c r="F72" s="39"/>
      <c r="G72" s="20"/>
      <c r="H72" s="20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4"/>
      <c r="T72" s="34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34"/>
      <c r="AF72" s="132"/>
      <c r="AG72" s="132"/>
    </row>
    <row r="73" spans="1:33" s="21" customFormat="1" x14ac:dyDescent="0.2">
      <c r="A73" s="151"/>
      <c r="B73" s="39"/>
      <c r="C73" s="39"/>
      <c r="D73" s="39"/>
      <c r="E73" s="39"/>
      <c r="F73" s="39"/>
      <c r="G73" s="20"/>
      <c r="H73" s="20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4"/>
      <c r="T73" s="34"/>
      <c r="U73" s="32"/>
      <c r="V73" s="32"/>
      <c r="W73" s="32"/>
      <c r="X73" s="32"/>
      <c r="Y73" s="32"/>
      <c r="Z73" s="32"/>
      <c r="AA73" s="32"/>
      <c r="AB73" s="32"/>
      <c r="AC73" s="32"/>
      <c r="AD73" s="32"/>
      <c r="AE73" s="34"/>
      <c r="AF73" s="132"/>
      <c r="AG73" s="132"/>
    </row>
    <row r="74" spans="1:33" s="21" customFormat="1" x14ac:dyDescent="0.2">
      <c r="A74" s="166"/>
      <c r="B74" s="39"/>
      <c r="C74" s="39"/>
      <c r="D74" s="39"/>
      <c r="E74" s="39"/>
      <c r="F74" s="39"/>
      <c r="G74" s="20"/>
      <c r="H74" s="20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4"/>
      <c r="T74" s="34"/>
      <c r="U74" s="32"/>
      <c r="V74" s="32"/>
      <c r="W74" s="32"/>
      <c r="X74" s="32"/>
      <c r="Y74" s="32"/>
      <c r="Z74" s="32"/>
      <c r="AA74" s="32"/>
      <c r="AB74" s="32"/>
      <c r="AC74" s="32"/>
      <c r="AD74" s="32"/>
      <c r="AE74" s="34"/>
      <c r="AF74" s="132"/>
      <c r="AG74" s="132"/>
    </row>
    <row r="75" spans="1:33" s="21" customFormat="1" x14ac:dyDescent="0.2">
      <c r="A75" s="166"/>
      <c r="B75" s="39"/>
      <c r="C75" s="39"/>
      <c r="D75" s="39"/>
      <c r="E75" s="39"/>
      <c r="F75" s="39"/>
      <c r="G75" s="20"/>
      <c r="H75" s="20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4"/>
      <c r="T75" s="34"/>
      <c r="U75" s="32"/>
      <c r="V75" s="32"/>
      <c r="W75" s="32"/>
      <c r="X75" s="32"/>
      <c r="Y75" s="32"/>
      <c r="Z75" s="32"/>
      <c r="AA75" s="32"/>
      <c r="AB75" s="32"/>
      <c r="AC75" s="32"/>
      <c r="AD75" s="32"/>
      <c r="AE75" s="34"/>
      <c r="AF75" s="132"/>
      <c r="AG75" s="132"/>
    </row>
    <row r="76" spans="1:33" s="21" customFormat="1" x14ac:dyDescent="0.2">
      <c r="A76" s="151"/>
      <c r="B76" s="39"/>
      <c r="C76" s="39"/>
      <c r="D76" s="39"/>
      <c r="E76" s="39"/>
      <c r="F76" s="39"/>
      <c r="G76" s="20"/>
      <c r="H76" s="20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4"/>
      <c r="T76" s="34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34"/>
      <c r="AF76" s="132"/>
      <c r="AG76" s="132"/>
    </row>
    <row r="77" spans="1:33" s="21" customFormat="1" x14ac:dyDescent="0.2">
      <c r="A77" s="151"/>
      <c r="B77" s="39"/>
      <c r="C77" s="39"/>
      <c r="D77" s="39"/>
      <c r="E77" s="39"/>
      <c r="F77" s="39"/>
      <c r="G77" s="20" t="s">
        <v>261</v>
      </c>
      <c r="H77" s="20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4"/>
      <c r="T77" s="34"/>
      <c r="U77" s="32"/>
      <c r="V77" s="32"/>
      <c r="W77" s="32"/>
      <c r="X77" s="32"/>
      <c r="Y77" s="32"/>
      <c r="Z77" s="32"/>
      <c r="AA77" s="32"/>
      <c r="AB77" s="32"/>
      <c r="AC77" s="32"/>
      <c r="AD77" s="32"/>
      <c r="AE77" s="34"/>
      <c r="AF77" s="132"/>
      <c r="AG77" s="132"/>
    </row>
    <row r="78" spans="1:33" s="21" customFormat="1" x14ac:dyDescent="0.2">
      <c r="A78" s="151"/>
      <c r="B78" s="39"/>
      <c r="C78" s="39"/>
      <c r="D78" s="39"/>
      <c r="E78" s="39"/>
      <c r="F78" s="39"/>
      <c r="G78" s="20"/>
      <c r="H78" s="20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4"/>
      <c r="T78" s="34"/>
      <c r="U78" s="32"/>
      <c r="V78" s="32"/>
      <c r="W78" s="32"/>
      <c r="X78" s="32"/>
      <c r="Y78" s="32"/>
      <c r="Z78" s="32"/>
      <c r="AA78" s="32"/>
      <c r="AB78" s="32"/>
      <c r="AC78" s="32"/>
      <c r="AD78" s="32"/>
      <c r="AE78" s="34"/>
      <c r="AF78" s="132"/>
      <c r="AG78" s="132"/>
    </row>
    <row r="79" spans="1:33" s="21" customFormat="1" x14ac:dyDescent="0.2">
      <c r="A79" s="218"/>
      <c r="B79" s="153"/>
      <c r="C79" s="154"/>
      <c r="D79" s="150"/>
      <c r="E79" s="39"/>
      <c r="F79" s="39"/>
      <c r="G79" s="20"/>
      <c r="H79" s="20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132"/>
      <c r="AG79" s="132"/>
    </row>
    <row r="80" spans="1:33" s="21" customFormat="1" x14ac:dyDescent="0.2">
      <c r="A80" s="7"/>
      <c r="B80" s="153"/>
      <c r="C80" s="154"/>
      <c r="D80" s="150"/>
      <c r="E80" s="566"/>
      <c r="F80" s="566"/>
      <c r="G80" s="22" t="s">
        <v>184</v>
      </c>
      <c r="H80" s="22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132"/>
      <c r="AG80" s="132"/>
    </row>
    <row r="81" spans="1:33" s="21" customFormat="1" x14ac:dyDescent="0.2">
      <c r="A81" s="7"/>
      <c r="B81" s="155"/>
      <c r="C81" s="155"/>
      <c r="D81" s="155"/>
      <c r="E81" s="155"/>
      <c r="F81" s="155"/>
      <c r="G81" s="20"/>
      <c r="H81" s="20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132"/>
      <c r="AG81" s="132"/>
    </row>
    <row r="82" spans="1:33" s="21" customFormat="1" x14ac:dyDescent="0.2">
      <c r="A82" s="7"/>
      <c r="B82" s="3"/>
      <c r="C82" s="4"/>
      <c r="D82" s="5"/>
      <c r="E82" s="155"/>
      <c r="F82" s="155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132"/>
      <c r="AG82" s="132"/>
    </row>
    <row r="83" spans="1:33" s="21" customFormat="1" x14ac:dyDescent="0.2">
      <c r="A83" s="7"/>
      <c r="B83" s="3"/>
      <c r="C83" s="154"/>
      <c r="D83" s="157"/>
      <c r="E83" s="155"/>
      <c r="F83" s="155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132"/>
      <c r="AG83" s="132"/>
    </row>
    <row r="84" spans="1:33" s="21" customFormat="1" x14ac:dyDescent="0.2">
      <c r="A84" s="7"/>
      <c r="B84" s="155"/>
      <c r="C84" s="154"/>
      <c r="D84" s="157"/>
      <c r="E84" s="157"/>
      <c r="F84" s="155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132"/>
      <c r="AG84" s="132"/>
    </row>
    <row r="85" spans="1:33" s="21" customFormat="1" x14ac:dyDescent="0.2">
      <c r="A85" s="7"/>
      <c r="B85" s="155"/>
      <c r="C85" s="39"/>
      <c r="D85" s="154"/>
      <c r="E85" s="154"/>
      <c r="F85" s="155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132"/>
      <c r="AG85" s="132"/>
    </row>
    <row r="86" spans="1:33" s="21" customFormat="1" x14ac:dyDescent="0.2">
      <c r="A86" s="7"/>
      <c r="B86" s="155"/>
      <c r="C86" s="154"/>
      <c r="D86" s="39"/>
      <c r="E86" s="154"/>
      <c r="F86" s="155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132"/>
      <c r="AG86" s="132"/>
    </row>
    <row r="87" spans="1:33" s="21" customFormat="1" x14ac:dyDescent="0.2">
      <c r="A87" s="7"/>
      <c r="B87" s="155"/>
      <c r="C87" s="39"/>
      <c r="D87" s="158"/>
      <c r="E87" s="154"/>
      <c r="F87" s="155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132"/>
      <c r="AG87" s="132"/>
    </row>
    <row r="88" spans="1:33" s="21" customFormat="1" x14ac:dyDescent="0.2">
      <c r="A88" s="7"/>
      <c r="B88" s="155"/>
      <c r="C88" s="39"/>
      <c r="D88" s="158"/>
      <c r="E88" s="154"/>
      <c r="F88" s="155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132"/>
      <c r="AG88" s="132"/>
    </row>
    <row r="89" spans="1:33" s="21" customFormat="1" x14ac:dyDescent="0.2">
      <c r="A89" s="7"/>
      <c r="B89" s="155"/>
      <c r="C89" s="154"/>
      <c r="D89" s="39"/>
      <c r="E89" s="154"/>
      <c r="F89" s="155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132"/>
      <c r="AG89" s="132"/>
    </row>
    <row r="90" spans="1:33" s="21" customFormat="1" x14ac:dyDescent="0.2">
      <c r="A90" s="7"/>
      <c r="B90" s="155"/>
      <c r="C90" s="154"/>
      <c r="D90" s="154"/>
      <c r="E90" s="154"/>
      <c r="F90" s="154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132"/>
      <c r="AG90" s="132"/>
    </row>
    <row r="91" spans="1:33" s="21" customFormat="1" x14ac:dyDescent="0.2">
      <c r="A91" s="7"/>
      <c r="B91" s="155"/>
      <c r="C91" s="39"/>
      <c r="D91" s="525"/>
      <c r="E91" s="526"/>
      <c r="F91" s="526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132"/>
      <c r="AG91" s="132"/>
    </row>
    <row r="92" spans="1:33" s="21" customFormat="1" x14ac:dyDescent="0.2">
      <c r="A92" s="7"/>
      <c r="B92" s="155"/>
      <c r="C92" s="154"/>
      <c r="D92" s="158"/>
      <c r="E92" s="154"/>
      <c r="F92" s="154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132"/>
      <c r="AG92" s="132"/>
    </row>
    <row r="93" spans="1:33" s="21" customFormat="1" x14ac:dyDescent="0.2">
      <c r="A93" s="7"/>
      <c r="B93" s="155"/>
      <c r="C93" s="154"/>
      <c r="D93" s="158"/>
      <c r="E93" s="154"/>
      <c r="F93" s="154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132"/>
      <c r="AG93" s="132"/>
    </row>
    <row r="94" spans="1:33" s="21" customFormat="1" x14ac:dyDescent="0.2">
      <c r="A94" s="7"/>
      <c r="B94" s="3"/>
      <c r="C94" s="4"/>
      <c r="D94" s="157"/>
      <c r="E94" s="154"/>
      <c r="F94" s="154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132"/>
      <c r="AG94" s="132"/>
    </row>
    <row r="95" spans="1:33" s="21" customFormat="1" x14ac:dyDescent="0.2">
      <c r="A95" s="7"/>
      <c r="B95" s="155"/>
      <c r="C95" s="154"/>
      <c r="D95" s="154"/>
      <c r="E95" s="154"/>
      <c r="F95" s="154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132"/>
      <c r="AG95" s="132"/>
    </row>
    <row r="96" spans="1:33" s="21" customFormat="1" x14ac:dyDescent="0.2">
      <c r="A96" s="7"/>
      <c r="B96" s="155"/>
      <c r="C96" s="154"/>
      <c r="D96" s="163"/>
      <c r="E96" s="154"/>
      <c r="F96" s="154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132"/>
      <c r="AG96" s="132"/>
    </row>
    <row r="97" spans="1:33" s="21" customFormat="1" x14ac:dyDescent="0.2">
      <c r="A97" s="7"/>
      <c r="B97" s="155"/>
      <c r="C97" s="154"/>
      <c r="D97" s="164"/>
      <c r="E97" s="154"/>
      <c r="F97" s="154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132"/>
      <c r="AG97" s="132"/>
    </row>
    <row r="98" spans="1:33" s="21" customFormat="1" x14ac:dyDescent="0.2">
      <c r="A98" s="7"/>
      <c r="B98" s="155"/>
      <c r="C98" s="154"/>
      <c r="D98" s="164"/>
      <c r="E98" s="154"/>
      <c r="F98" s="154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132"/>
      <c r="AG98" s="132"/>
    </row>
    <row r="99" spans="1:33" s="21" customFormat="1" x14ac:dyDescent="0.2">
      <c r="A99" s="7"/>
      <c r="B99" s="155"/>
      <c r="C99" s="154"/>
      <c r="D99" s="163"/>
      <c r="E99" s="154"/>
      <c r="F99" s="154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132"/>
      <c r="AG99" s="132"/>
    </row>
    <row r="100" spans="1:33" s="21" customFormat="1" x14ac:dyDescent="0.2">
      <c r="A100" s="7"/>
      <c r="B100" s="155"/>
      <c r="C100" s="154"/>
      <c r="D100" s="164"/>
      <c r="E100" s="154"/>
      <c r="F100" s="154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132"/>
      <c r="AG100" s="132"/>
    </row>
    <row r="101" spans="1:33" s="21" customFormat="1" x14ac:dyDescent="0.2">
      <c r="A101" s="7"/>
      <c r="B101" s="155"/>
      <c r="C101" s="154"/>
      <c r="D101" s="164"/>
      <c r="E101" s="154"/>
      <c r="F101" s="154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132"/>
      <c r="AG101" s="132"/>
    </row>
    <row r="102" spans="1:33" s="21" customFormat="1" x14ac:dyDescent="0.2">
      <c r="A102" s="7"/>
      <c r="B102" s="155"/>
      <c r="C102" s="154"/>
      <c r="D102" s="154"/>
      <c r="E102" s="154"/>
      <c r="F102" s="154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132"/>
      <c r="AG102" s="132"/>
    </row>
    <row r="103" spans="1:33" s="21" customFormat="1" x14ac:dyDescent="0.2">
      <c r="A103" s="7"/>
      <c r="B103" s="155"/>
      <c r="C103" s="39"/>
      <c r="D103" s="158"/>
      <c r="E103" s="154"/>
      <c r="F103" s="154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132"/>
      <c r="AG103" s="132"/>
    </row>
    <row r="104" spans="1:33" s="21" customFormat="1" x14ac:dyDescent="0.2">
      <c r="A104" s="7"/>
      <c r="B104" s="155"/>
      <c r="C104" s="39"/>
      <c r="D104" s="158"/>
      <c r="E104" s="154"/>
      <c r="F104" s="154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132"/>
      <c r="AG104" s="132"/>
    </row>
    <row r="105" spans="1:33" s="21" customFormat="1" x14ac:dyDescent="0.2">
      <c r="A105" s="7"/>
      <c r="B105" s="155"/>
      <c r="C105" s="154"/>
      <c r="D105" s="154"/>
      <c r="E105" s="154"/>
      <c r="F105" s="154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132"/>
      <c r="AG105" s="132"/>
    </row>
    <row r="106" spans="1:33" s="21" customFormat="1" x14ac:dyDescent="0.2">
      <c r="A106" s="7"/>
      <c r="B106" s="155"/>
      <c r="C106" s="39"/>
      <c r="D106" s="525"/>
      <c r="E106" s="526"/>
      <c r="F106" s="526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132"/>
      <c r="AG106" s="132"/>
    </row>
    <row r="107" spans="1:33" s="21" customFormat="1" x14ac:dyDescent="0.2">
      <c r="A107" s="7"/>
      <c r="B107" s="155"/>
      <c r="C107" s="154"/>
      <c r="D107" s="158"/>
      <c r="E107" s="154"/>
      <c r="F107" s="154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132"/>
      <c r="AG107" s="132"/>
    </row>
    <row r="108" spans="1:33" s="21" customFormat="1" x14ac:dyDescent="0.2">
      <c r="A108" s="7"/>
      <c r="B108" s="155"/>
      <c r="C108" s="154"/>
      <c r="D108" s="164"/>
      <c r="E108" s="154"/>
      <c r="F108" s="154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132"/>
      <c r="AG108" s="132"/>
    </row>
    <row r="109" spans="1:33" s="21" customFormat="1" x14ac:dyDescent="0.2">
      <c r="A109" s="7"/>
      <c r="B109" s="155"/>
      <c r="C109" s="154"/>
      <c r="D109" s="164"/>
      <c r="E109" s="154"/>
      <c r="F109" s="154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132"/>
      <c r="AG109" s="132"/>
    </row>
    <row r="110" spans="1:33" s="21" customFormat="1" x14ac:dyDescent="0.2">
      <c r="A110" s="7"/>
      <c r="B110" s="155"/>
      <c r="C110" s="154"/>
      <c r="D110" s="158"/>
      <c r="E110" s="154"/>
      <c r="F110" s="154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132"/>
      <c r="AG110" s="132"/>
    </row>
    <row r="111" spans="1:33" s="21" customFormat="1" x14ac:dyDescent="0.2">
      <c r="A111" s="7"/>
      <c r="B111" s="155"/>
      <c r="C111" s="154"/>
      <c r="D111" s="164"/>
      <c r="E111" s="154"/>
      <c r="F111" s="154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132"/>
      <c r="AG111" s="132"/>
    </row>
    <row r="112" spans="1:33" s="21" customFormat="1" x14ac:dyDescent="0.2">
      <c r="A112" s="7"/>
      <c r="B112" s="155"/>
      <c r="C112" s="154"/>
      <c r="D112" s="164"/>
      <c r="E112" s="154"/>
      <c r="F112" s="154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132"/>
      <c r="AG112" s="132"/>
    </row>
    <row r="113" spans="1:33" s="21" customFormat="1" x14ac:dyDescent="0.2">
      <c r="A113" s="7"/>
      <c r="B113" s="3"/>
      <c r="C113" s="4"/>
      <c r="D113" s="157"/>
      <c r="E113" s="154"/>
      <c r="F113" s="154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132"/>
      <c r="AG113" s="132"/>
    </row>
    <row r="114" spans="1:33" s="21" customFormat="1" x14ac:dyDescent="0.2">
      <c r="A114" s="7"/>
      <c r="B114" s="155"/>
      <c r="C114" s="154"/>
      <c r="D114" s="157"/>
      <c r="E114" s="154"/>
      <c r="F114" s="154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132"/>
      <c r="AG114" s="132"/>
    </row>
    <row r="115" spans="1:33" s="21" customFormat="1" x14ac:dyDescent="0.2">
      <c r="A115" s="7"/>
      <c r="B115" s="155"/>
      <c r="C115" s="154"/>
      <c r="D115" s="157"/>
      <c r="E115" s="154"/>
      <c r="F115" s="154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132"/>
      <c r="AG115" s="132"/>
    </row>
    <row r="116" spans="1:33" s="21" customFormat="1" x14ac:dyDescent="0.2">
      <c r="A116" s="7"/>
      <c r="B116" s="155"/>
      <c r="C116" s="154"/>
      <c r="D116" s="157"/>
      <c r="E116" s="154"/>
      <c r="F116" s="154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132"/>
      <c r="AG116" s="132"/>
    </row>
    <row r="117" spans="1:33" s="21" customFormat="1" x14ac:dyDescent="0.2">
      <c r="A117" s="7"/>
      <c r="B117" s="155"/>
      <c r="C117" s="39"/>
      <c r="D117" s="525"/>
      <c r="E117" s="526"/>
      <c r="F117" s="526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132"/>
      <c r="AG117" s="132"/>
    </row>
    <row r="118" spans="1:33" s="21" customFormat="1" x14ac:dyDescent="0.2">
      <c r="A118" s="7"/>
      <c r="B118" s="155"/>
      <c r="C118" s="154"/>
      <c r="D118" s="158"/>
      <c r="E118" s="154"/>
      <c r="F118" s="126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132"/>
      <c r="AG118" s="132"/>
    </row>
    <row r="119" spans="1:33" s="21" customFormat="1" x14ac:dyDescent="0.2">
      <c r="A119" s="7"/>
      <c r="B119" s="155"/>
      <c r="C119" s="154"/>
      <c r="D119" s="158"/>
      <c r="E119" s="154"/>
      <c r="F119" s="126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132"/>
      <c r="AG119" s="132"/>
    </row>
    <row r="120" spans="1:33" s="21" customFormat="1" x14ac:dyDescent="0.2">
      <c r="A120" s="7"/>
      <c r="B120" s="6"/>
      <c r="C120" s="7"/>
      <c r="D120" s="154"/>
      <c r="E120" s="154"/>
      <c r="F120" s="154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132"/>
      <c r="AG120" s="132"/>
    </row>
    <row r="121" spans="1:33" s="21" customFormat="1" x14ac:dyDescent="0.2">
      <c r="A121" s="7"/>
      <c r="B121" s="153"/>
      <c r="C121" s="154"/>
      <c r="D121" s="154"/>
      <c r="E121" s="154"/>
      <c r="F121" s="154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132"/>
      <c r="AG121" s="132"/>
    </row>
    <row r="122" spans="1:33" s="21" customFormat="1" x14ac:dyDescent="0.2">
      <c r="A122" s="7"/>
      <c r="B122" s="153"/>
      <c r="C122" s="154"/>
      <c r="D122" s="158"/>
      <c r="E122" s="154"/>
      <c r="F122" s="154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132"/>
      <c r="AG122" s="132"/>
    </row>
    <row r="123" spans="1:33" s="21" customFormat="1" x14ac:dyDescent="0.2">
      <c r="A123" s="7"/>
      <c r="B123" s="153"/>
      <c r="C123" s="154"/>
      <c r="D123" s="158"/>
      <c r="E123" s="154"/>
      <c r="F123" s="154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132"/>
      <c r="AG123" s="132"/>
    </row>
    <row r="124" spans="1:33" s="21" customFormat="1" x14ac:dyDescent="0.2">
      <c r="A124" s="7"/>
      <c r="B124" s="153"/>
      <c r="C124" s="154"/>
      <c r="D124" s="150"/>
      <c r="E124" s="566"/>
      <c r="F124" s="566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132"/>
      <c r="AG124" s="132"/>
    </row>
    <row r="125" spans="1:33" x14ac:dyDescent="0.2">
      <c r="A125" s="7"/>
      <c r="B125" s="153"/>
      <c r="C125" s="154"/>
      <c r="D125" s="39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122"/>
      <c r="AF125" s="123"/>
      <c r="AG125" s="123"/>
    </row>
    <row r="126" spans="1:33" x14ac:dyDescent="0.2">
      <c r="A126" s="7"/>
      <c r="B126" s="153"/>
      <c r="C126" s="154"/>
      <c r="D126" s="150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122"/>
      <c r="AF126" s="123"/>
      <c r="AG126" s="123"/>
    </row>
    <row r="127" spans="1:33" x14ac:dyDescent="0.2">
      <c r="A127" s="7"/>
      <c r="B127" s="153"/>
      <c r="C127" s="154"/>
      <c r="D127" s="150"/>
      <c r="E127" s="39"/>
      <c r="F127" s="39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122"/>
      <c r="AF127" s="123"/>
      <c r="AG127" s="123"/>
    </row>
    <row r="128" spans="1:33" x14ac:dyDescent="0.2">
      <c r="A128" s="7"/>
      <c r="B128" s="153"/>
      <c r="C128" s="154"/>
      <c r="D128" s="150"/>
      <c r="E128" s="566"/>
      <c r="F128" s="566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122"/>
      <c r="AF128" s="123"/>
      <c r="AG128" s="123"/>
    </row>
    <row r="129" spans="1:33" x14ac:dyDescent="0.2">
      <c r="A129" s="154"/>
      <c r="B129" s="565"/>
      <c r="C129" s="565"/>
      <c r="D129" s="565"/>
      <c r="E129" s="565"/>
      <c r="F129" s="565"/>
      <c r="G129" s="20"/>
      <c r="H129" s="20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122"/>
      <c r="AF129" s="123"/>
      <c r="AG129" s="123"/>
    </row>
    <row r="130" spans="1:33" x14ac:dyDescent="0.2">
      <c r="A130" s="21"/>
      <c r="B130" s="21"/>
      <c r="C130" s="21"/>
      <c r="D130" s="21"/>
      <c r="E130" s="21"/>
      <c r="F130" s="21"/>
      <c r="G130" s="20"/>
      <c r="H130" s="20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 t="s">
        <v>184</v>
      </c>
      <c r="V130" s="34"/>
      <c r="W130" s="34"/>
      <c r="X130" s="34"/>
      <c r="Y130" s="34"/>
      <c r="Z130" s="34"/>
      <c r="AA130" s="34"/>
      <c r="AB130" s="34"/>
      <c r="AC130" s="34"/>
      <c r="AD130" s="34"/>
      <c r="AE130" s="122"/>
      <c r="AF130" s="123"/>
      <c r="AG130" s="123"/>
    </row>
    <row r="131" spans="1:33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</row>
    <row r="132" spans="1:33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</row>
    <row r="133" spans="1:33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</row>
    <row r="134" spans="1:33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</row>
    <row r="135" spans="1:33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</row>
    <row r="136" spans="1:33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</row>
    <row r="137" spans="1:33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</row>
    <row r="138" spans="1:33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</row>
    <row r="139" spans="1:33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</row>
    <row r="140" spans="1:33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</row>
    <row r="141" spans="1:33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</row>
    <row r="142" spans="1:33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</row>
    <row r="143" spans="1:33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</row>
    <row r="144" spans="1:33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</row>
    <row r="145" spans="1:30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</row>
    <row r="146" spans="1:30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</row>
    <row r="147" spans="1:30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</row>
    <row r="148" spans="1:30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</row>
    <row r="149" spans="1:30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</row>
    <row r="150" spans="1:30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</row>
    <row r="151" spans="1:30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</row>
    <row r="152" spans="1:30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</row>
    <row r="153" spans="1:30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</row>
    <row r="154" spans="1:30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</row>
    <row r="155" spans="1:30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</row>
    <row r="156" spans="1:30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</row>
    <row r="157" spans="1:30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</row>
    <row r="158" spans="1:30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</row>
    <row r="159" spans="1:30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</row>
    <row r="160" spans="1:30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</row>
    <row r="161" spans="1:30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</row>
    <row r="162" spans="1:30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</row>
    <row r="163" spans="1:30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</row>
    <row r="164" spans="1:30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</row>
    <row r="165" spans="1:30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</row>
    <row r="166" spans="1:30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</row>
    <row r="167" spans="1:30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</row>
    <row r="168" spans="1:30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</row>
    <row r="169" spans="1:30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</row>
    <row r="170" spans="1:30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</row>
    <row r="171" spans="1:30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</row>
    <row r="172" spans="1:30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</row>
    <row r="173" spans="1:30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</row>
    <row r="174" spans="1:30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</row>
    <row r="175" spans="1:30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</row>
    <row r="176" spans="1:30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</row>
    <row r="177" spans="1:30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</row>
    <row r="178" spans="1:30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</row>
    <row r="179" spans="1:30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</row>
    <row r="180" spans="1:30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</row>
    <row r="181" spans="1:30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</row>
    <row r="182" spans="1:30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</row>
    <row r="183" spans="1:30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</row>
    <row r="184" spans="1:30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</row>
    <row r="185" spans="1:30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</row>
    <row r="186" spans="1:30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</row>
    <row r="187" spans="1:30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</row>
    <row r="188" spans="1:30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</row>
    <row r="189" spans="1:30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</row>
    <row r="190" spans="1:30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</row>
    <row r="191" spans="1:30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</row>
    <row r="192" spans="1:30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</row>
    <row r="193" spans="1:30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</row>
    <row r="194" spans="1:30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</row>
    <row r="195" spans="1:30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</row>
    <row r="196" spans="1:30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</row>
    <row r="197" spans="1:30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</row>
    <row r="198" spans="1:30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</row>
    <row r="199" spans="1:30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</row>
    <row r="200" spans="1:30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</row>
    <row r="201" spans="1:30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</row>
    <row r="202" spans="1:30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</row>
    <row r="203" spans="1:30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</row>
    <row r="204" spans="1:30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</row>
    <row r="205" spans="1:30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</row>
    <row r="206" spans="1:30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</row>
    <row r="207" spans="1:30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</row>
    <row r="208" spans="1:30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</row>
    <row r="209" spans="1:30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</row>
    <row r="210" spans="1:30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</row>
    <row r="211" spans="1:30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</row>
    <row r="212" spans="1:30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</row>
    <row r="213" spans="1:30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</row>
    <row r="214" spans="1:30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</row>
    <row r="215" spans="1:30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</row>
    <row r="216" spans="1:30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</row>
    <row r="217" spans="1:30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</row>
    <row r="218" spans="1:30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</row>
    <row r="219" spans="1:30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</row>
    <row r="220" spans="1:30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</row>
    <row r="221" spans="1:30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</row>
    <row r="222" spans="1:30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</row>
    <row r="223" spans="1:30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</row>
    <row r="224" spans="1:30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</row>
    <row r="225" spans="1:30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</row>
    <row r="226" spans="1:30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</row>
    <row r="227" spans="1:30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</row>
    <row r="228" spans="1:30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</row>
    <row r="229" spans="1:30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</row>
    <row r="230" spans="1:30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</row>
    <row r="231" spans="1:30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</row>
    <row r="232" spans="1:30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</row>
    <row r="233" spans="1:30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</row>
    <row r="234" spans="1:30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</row>
    <row r="235" spans="1:30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</row>
    <row r="236" spans="1:30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</row>
    <row r="237" spans="1:30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</row>
    <row r="238" spans="1:30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</row>
    <row r="239" spans="1:30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</row>
    <row r="240" spans="1:30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</row>
    <row r="241" spans="1:30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</row>
    <row r="242" spans="1:30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</row>
    <row r="243" spans="1:30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</row>
    <row r="244" spans="1:30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</row>
    <row r="245" spans="1:30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</row>
    <row r="246" spans="1:30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</row>
    <row r="247" spans="1:30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</row>
    <row r="248" spans="1:30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</row>
    <row r="249" spans="1:30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</row>
    <row r="250" spans="1:30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</row>
    <row r="251" spans="1:30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</row>
    <row r="252" spans="1:30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</row>
    <row r="253" spans="1:30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</row>
    <row r="254" spans="1:30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</row>
    <row r="255" spans="1:30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</row>
  </sheetData>
  <sheetProtection password="B1C4" sheet="1" objects="1" scenarios="1" selectLockedCells="1"/>
  <mergeCells count="42">
    <mergeCell ref="H5:H9"/>
    <mergeCell ref="AC6:AD8"/>
    <mergeCell ref="A3:AD3"/>
    <mergeCell ref="Y6:Z8"/>
    <mergeCell ref="AA6:AB8"/>
    <mergeCell ref="U6:V8"/>
    <mergeCell ref="W6:X8"/>
    <mergeCell ref="AC5:AD5"/>
    <mergeCell ref="I6:J8"/>
    <mergeCell ref="K6:T6"/>
    <mergeCell ref="K7:L8"/>
    <mergeCell ref="M7:N8"/>
    <mergeCell ref="O7:P8"/>
    <mergeCell ref="U5:V5"/>
    <mergeCell ref="Q7:R8"/>
    <mergeCell ref="S7:T8"/>
    <mergeCell ref="W5:X5"/>
    <mergeCell ref="B129:F129"/>
    <mergeCell ref="E80:F80"/>
    <mergeCell ref="D91:F91"/>
    <mergeCell ref="D106:F106"/>
    <mergeCell ref="D117:F117"/>
    <mergeCell ref="E124:F124"/>
    <mergeCell ref="E128:F128"/>
    <mergeCell ref="I5:J5"/>
    <mergeCell ref="C53:D53"/>
    <mergeCell ref="A1:AD1"/>
    <mergeCell ref="A2:AD2"/>
    <mergeCell ref="D51:F51"/>
    <mergeCell ref="Y5:Z5"/>
    <mergeCell ref="AA5:AB5"/>
    <mergeCell ref="M5:N5"/>
    <mergeCell ref="O5:P5"/>
    <mergeCell ref="Q5:R5"/>
    <mergeCell ref="S5:T5"/>
    <mergeCell ref="K5:L5"/>
    <mergeCell ref="G5:G9"/>
    <mergeCell ref="A5:F9"/>
    <mergeCell ref="D50:E50"/>
    <mergeCell ref="C43:D43"/>
    <mergeCell ref="D44:F44"/>
    <mergeCell ref="D45:F45"/>
  </mergeCells>
  <phoneticPr fontId="0" type="noConversion"/>
  <dataValidations count="1">
    <dataValidation type="decimal" operator="lessThan" allowBlank="1" showInputMessage="1" showErrorMessage="1" sqref="I10:FN587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7c3&amp;8&amp;U
&amp;P of &amp;N&amp;C&amp;"Arial,Bold"&amp;8 MAXIMUM SAVINGS BANK, INC.  [ 03-070011 ]
 As of: June 30, 2019</oddHeader>
  </headerFooter>
  <drawing r:id="rId2"/>
  <legacyDrawing r:id="rId3"/>
  <controls>
    <mc:AlternateContent xmlns:mc="http://schemas.openxmlformats.org/markup-compatibility/2006">
      <mc:Choice Requires="x14">
        <control shapeId="17409" r:id="rId4" name="Label1">
          <controlPr defaultSize="0" autoLine="0" r:id="rId5">
            <anchor moveWithCells="1">
              <from>
                <xdr:col>7</xdr:col>
                <xdr:colOff>238125</xdr:colOff>
                <xdr:row>17</xdr:row>
                <xdr:rowOff>28575</xdr:rowOff>
              </from>
              <to>
                <xdr:col>7</xdr:col>
                <xdr:colOff>647700</xdr:colOff>
                <xdr:row>18</xdr:row>
                <xdr:rowOff>28575</xdr:rowOff>
              </to>
            </anchor>
          </controlPr>
        </control>
      </mc:Choice>
      <mc:Fallback>
        <control shapeId="17409" r:id="rId4" name="Label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1:IU255"/>
  <sheetViews>
    <sheetView zoomScale="75" zoomScaleNormal="90" zoomScaleSheetLayoutView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4" sqref="I14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25.5703125" style="1" customWidth="1"/>
    <col min="6" max="6" width="21.42578125" style="1" hidden="1" customWidth="1"/>
    <col min="7" max="7" width="17.28515625" style="9" customWidth="1"/>
    <col min="8" max="8" width="10.7109375" style="9" customWidth="1"/>
    <col min="9" max="30" width="20.7109375" style="1" customWidth="1"/>
    <col min="31" max="170" width="25.7109375" style="1" customWidth="1"/>
    <col min="171" max="16384" width="9.140625" style="1"/>
  </cols>
  <sheetData>
    <row r="1" spans="1:33" s="165" customFormat="1" ht="12.75" x14ac:dyDescent="0.2">
      <c r="A1" s="512" t="s">
        <v>329</v>
      </c>
      <c r="B1" s="512"/>
      <c r="C1" s="512"/>
      <c r="D1" s="512"/>
      <c r="E1" s="512"/>
      <c r="F1" s="512"/>
      <c r="G1" s="512"/>
      <c r="H1" s="512"/>
      <c r="I1" s="512"/>
      <c r="J1" s="512"/>
      <c r="K1" s="512"/>
      <c r="L1" s="512"/>
      <c r="M1" s="512"/>
      <c r="N1" s="512"/>
      <c r="O1" s="512"/>
      <c r="P1" s="512"/>
      <c r="Q1" s="512"/>
      <c r="R1" s="512"/>
      <c r="S1" s="512"/>
      <c r="T1" s="512"/>
      <c r="U1" s="512"/>
      <c r="V1" s="512"/>
      <c r="W1" s="512"/>
      <c r="X1" s="512"/>
      <c r="Y1" s="512"/>
      <c r="Z1" s="512"/>
      <c r="AA1" s="512"/>
      <c r="AB1" s="512"/>
      <c r="AC1" s="512"/>
      <c r="AD1" s="512"/>
    </row>
    <row r="2" spans="1:33" s="165" customFormat="1" ht="12.75" customHeight="1" x14ac:dyDescent="0.2">
      <c r="A2" s="512" t="s">
        <v>325</v>
      </c>
      <c r="B2" s="512"/>
      <c r="C2" s="512"/>
      <c r="D2" s="512"/>
      <c r="E2" s="512"/>
      <c r="F2" s="512"/>
      <c r="G2" s="512"/>
      <c r="H2" s="512"/>
      <c r="I2" s="512"/>
      <c r="J2" s="512"/>
      <c r="K2" s="512"/>
      <c r="L2" s="512"/>
      <c r="M2" s="512"/>
      <c r="N2" s="512"/>
      <c r="O2" s="512"/>
      <c r="P2" s="512"/>
      <c r="Q2" s="512"/>
      <c r="R2" s="512"/>
      <c r="S2" s="512"/>
      <c r="T2" s="512"/>
      <c r="U2" s="512"/>
      <c r="V2" s="512"/>
      <c r="W2" s="512"/>
      <c r="X2" s="512"/>
      <c r="Y2" s="512"/>
      <c r="Z2" s="512"/>
      <c r="AA2" s="512"/>
      <c r="AB2" s="512"/>
      <c r="AC2" s="512"/>
      <c r="AD2" s="512"/>
    </row>
    <row r="3" spans="1:33" s="165" customFormat="1" ht="12.75" customHeight="1" x14ac:dyDescent="0.2">
      <c r="A3" s="512" t="s">
        <v>391</v>
      </c>
      <c r="B3" s="512"/>
      <c r="C3" s="512"/>
      <c r="D3" s="512"/>
      <c r="E3" s="512"/>
      <c r="F3" s="512"/>
      <c r="G3" s="512"/>
      <c r="H3" s="512"/>
      <c r="I3" s="512"/>
      <c r="J3" s="512"/>
      <c r="K3" s="512"/>
      <c r="L3" s="512"/>
      <c r="M3" s="512"/>
      <c r="N3" s="512"/>
      <c r="O3" s="512"/>
      <c r="P3" s="512"/>
      <c r="Q3" s="512"/>
      <c r="R3" s="512"/>
      <c r="S3" s="512"/>
      <c r="T3" s="512"/>
      <c r="U3" s="512"/>
      <c r="V3" s="512"/>
      <c r="W3" s="512"/>
      <c r="X3" s="512"/>
      <c r="Y3" s="512"/>
      <c r="Z3" s="512"/>
      <c r="AA3" s="512"/>
      <c r="AB3" s="512"/>
      <c r="AC3" s="512"/>
      <c r="AD3" s="512"/>
    </row>
    <row r="4" spans="1:33" ht="12.75" customHeight="1" x14ac:dyDescent="0.2">
      <c r="A4" s="217"/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  <c r="S4" s="217"/>
      <c r="T4" s="217"/>
      <c r="U4" s="217"/>
      <c r="V4" s="217"/>
      <c r="W4" s="217"/>
      <c r="X4" s="217"/>
      <c r="Y4" s="217"/>
      <c r="Z4" s="217"/>
      <c r="AA4" s="217"/>
      <c r="AB4" s="217"/>
      <c r="AC4" s="217"/>
      <c r="AD4" s="217"/>
    </row>
    <row r="5" spans="1:33" s="118" customFormat="1" ht="14.25" customHeight="1" x14ac:dyDescent="0.2">
      <c r="A5" s="504" t="s">
        <v>0</v>
      </c>
      <c r="B5" s="505"/>
      <c r="C5" s="505"/>
      <c r="D5" s="505"/>
      <c r="E5" s="505"/>
      <c r="F5" s="506"/>
      <c r="G5" s="496" t="s">
        <v>2</v>
      </c>
      <c r="H5" s="493" t="s">
        <v>414</v>
      </c>
      <c r="I5" s="518" t="s">
        <v>309</v>
      </c>
      <c r="J5" s="521"/>
      <c r="K5" s="518" t="s">
        <v>310</v>
      </c>
      <c r="L5" s="521"/>
      <c r="M5" s="580" t="s">
        <v>311</v>
      </c>
      <c r="N5" s="582"/>
      <c r="O5" s="580" t="s">
        <v>312</v>
      </c>
      <c r="P5" s="582"/>
      <c r="Q5" s="580" t="s">
        <v>313</v>
      </c>
      <c r="R5" s="582"/>
      <c r="S5" s="580" t="s">
        <v>314</v>
      </c>
      <c r="T5" s="582"/>
      <c r="U5" s="580" t="s">
        <v>315</v>
      </c>
      <c r="V5" s="582"/>
      <c r="W5" s="580" t="s">
        <v>316</v>
      </c>
      <c r="X5" s="582"/>
      <c r="Y5" s="580" t="s">
        <v>317</v>
      </c>
      <c r="Z5" s="582"/>
      <c r="AA5" s="580" t="s">
        <v>318</v>
      </c>
      <c r="AB5" s="582"/>
      <c r="AC5" s="580" t="s">
        <v>307</v>
      </c>
      <c r="AD5" s="582"/>
    </row>
    <row r="6" spans="1:33" s="11" customFormat="1" ht="12.75" customHeight="1" x14ac:dyDescent="0.2">
      <c r="A6" s="507"/>
      <c r="B6" s="508"/>
      <c r="C6" s="508"/>
      <c r="D6" s="508"/>
      <c r="E6" s="508"/>
      <c r="F6" s="509"/>
      <c r="G6" s="497"/>
      <c r="H6" s="494"/>
      <c r="I6" s="592" t="s">
        <v>755</v>
      </c>
      <c r="J6" s="600"/>
      <c r="K6" s="518" t="s">
        <v>324</v>
      </c>
      <c r="L6" s="533"/>
      <c r="M6" s="533"/>
      <c r="N6" s="533"/>
      <c r="O6" s="533"/>
      <c r="P6" s="533"/>
      <c r="Q6" s="533"/>
      <c r="R6" s="533"/>
      <c r="S6" s="533"/>
      <c r="T6" s="521"/>
      <c r="U6" s="592" t="s">
        <v>319</v>
      </c>
      <c r="V6" s="600"/>
      <c r="W6" s="592" t="s">
        <v>320</v>
      </c>
      <c r="X6" s="600"/>
      <c r="Y6" s="592" t="s">
        <v>321</v>
      </c>
      <c r="Z6" s="600"/>
      <c r="AA6" s="592" t="s">
        <v>390</v>
      </c>
      <c r="AB6" s="600"/>
      <c r="AC6" s="592" t="s">
        <v>328</v>
      </c>
      <c r="AD6" s="600"/>
    </row>
    <row r="7" spans="1:33" s="11" customFormat="1" ht="12.75" customHeight="1" x14ac:dyDescent="0.2">
      <c r="A7" s="507"/>
      <c r="B7" s="508"/>
      <c r="C7" s="508"/>
      <c r="D7" s="508"/>
      <c r="E7" s="508"/>
      <c r="F7" s="509"/>
      <c r="G7" s="497"/>
      <c r="H7" s="494"/>
      <c r="I7" s="593"/>
      <c r="J7" s="601"/>
      <c r="K7" s="504" t="s">
        <v>779</v>
      </c>
      <c r="L7" s="506"/>
      <c r="M7" s="504" t="s">
        <v>780</v>
      </c>
      <c r="N7" s="506"/>
      <c r="O7" s="504" t="s">
        <v>781</v>
      </c>
      <c r="P7" s="506"/>
      <c r="Q7" s="504" t="s">
        <v>782</v>
      </c>
      <c r="R7" s="506"/>
      <c r="S7" s="504" t="s">
        <v>308</v>
      </c>
      <c r="T7" s="506"/>
      <c r="U7" s="593"/>
      <c r="V7" s="601"/>
      <c r="W7" s="593"/>
      <c r="X7" s="601"/>
      <c r="Y7" s="593"/>
      <c r="Z7" s="601"/>
      <c r="AA7" s="593"/>
      <c r="AB7" s="601"/>
      <c r="AC7" s="593"/>
      <c r="AD7" s="601"/>
    </row>
    <row r="8" spans="1:33" s="2" customFormat="1" ht="12.75" customHeight="1" x14ac:dyDescent="0.2">
      <c r="A8" s="507"/>
      <c r="B8" s="508"/>
      <c r="C8" s="508"/>
      <c r="D8" s="508"/>
      <c r="E8" s="508"/>
      <c r="F8" s="509"/>
      <c r="G8" s="497"/>
      <c r="H8" s="494"/>
      <c r="I8" s="593"/>
      <c r="J8" s="601"/>
      <c r="K8" s="491"/>
      <c r="L8" s="492"/>
      <c r="M8" s="491"/>
      <c r="N8" s="492"/>
      <c r="O8" s="491"/>
      <c r="P8" s="492"/>
      <c r="Q8" s="491"/>
      <c r="R8" s="492"/>
      <c r="S8" s="491"/>
      <c r="T8" s="492"/>
      <c r="U8" s="594"/>
      <c r="V8" s="602"/>
      <c r="W8" s="594"/>
      <c r="X8" s="602"/>
      <c r="Y8" s="594"/>
      <c r="Z8" s="602"/>
      <c r="AA8" s="594"/>
      <c r="AB8" s="602"/>
      <c r="AC8" s="594"/>
      <c r="AD8" s="602"/>
    </row>
    <row r="9" spans="1:33" s="2" customFormat="1" x14ac:dyDescent="0.2">
      <c r="A9" s="507"/>
      <c r="B9" s="508"/>
      <c r="C9" s="508"/>
      <c r="D9" s="508"/>
      <c r="E9" s="508"/>
      <c r="F9" s="492"/>
      <c r="G9" s="498"/>
      <c r="H9" s="495"/>
      <c r="I9" s="37" t="s">
        <v>5</v>
      </c>
      <c r="J9" s="37" t="s">
        <v>6</v>
      </c>
      <c r="K9" s="37" t="s">
        <v>5</v>
      </c>
      <c r="L9" s="37" t="s">
        <v>6</v>
      </c>
      <c r="M9" s="37" t="s">
        <v>5</v>
      </c>
      <c r="N9" s="37" t="s">
        <v>6</v>
      </c>
      <c r="O9" s="37" t="s">
        <v>5</v>
      </c>
      <c r="P9" s="37" t="s">
        <v>6</v>
      </c>
      <c r="Q9" s="37" t="s">
        <v>5</v>
      </c>
      <c r="R9" s="37" t="s">
        <v>6</v>
      </c>
      <c r="S9" s="37" t="s">
        <v>5</v>
      </c>
      <c r="T9" s="37" t="s">
        <v>6</v>
      </c>
      <c r="U9" s="37" t="s">
        <v>5</v>
      </c>
      <c r="V9" s="37" t="s">
        <v>6</v>
      </c>
      <c r="W9" s="37" t="s">
        <v>5</v>
      </c>
      <c r="X9" s="37" t="s">
        <v>6</v>
      </c>
      <c r="Y9" s="37" t="s">
        <v>5</v>
      </c>
      <c r="Z9" s="37" t="s">
        <v>6</v>
      </c>
      <c r="AA9" s="37" t="s">
        <v>5</v>
      </c>
      <c r="AB9" s="37" t="s">
        <v>6</v>
      </c>
      <c r="AC9" s="37" t="s">
        <v>5</v>
      </c>
      <c r="AD9" s="37" t="s">
        <v>6</v>
      </c>
    </row>
    <row r="10" spans="1:33" x14ac:dyDescent="0.2">
      <c r="A10" s="377" t="s">
        <v>185</v>
      </c>
      <c r="B10" s="378"/>
      <c r="C10" s="378"/>
      <c r="D10" s="378"/>
      <c r="E10" s="379"/>
      <c r="F10" s="382"/>
      <c r="G10" s="320"/>
      <c r="H10" s="18"/>
      <c r="I10" s="78"/>
      <c r="J10" s="78"/>
      <c r="K10" s="78"/>
      <c r="L10" s="78"/>
      <c r="M10" s="78"/>
      <c r="N10" s="78"/>
      <c r="O10" s="78"/>
      <c r="P10" s="78"/>
      <c r="Q10" s="78"/>
      <c r="R10" s="78"/>
      <c r="S10" s="78"/>
      <c r="T10" s="78"/>
      <c r="U10" s="78"/>
      <c r="V10" s="78"/>
      <c r="W10" s="78"/>
      <c r="X10" s="78"/>
      <c r="Y10" s="78"/>
      <c r="Z10" s="78"/>
      <c r="AA10" s="78"/>
      <c r="AB10" s="78"/>
      <c r="AC10" s="78"/>
      <c r="AD10" s="78"/>
      <c r="AE10" s="122"/>
      <c r="AF10" s="123"/>
      <c r="AG10" s="123"/>
    </row>
    <row r="11" spans="1:33" x14ac:dyDescent="0.2">
      <c r="A11" s="380" t="s">
        <v>186</v>
      </c>
      <c r="B11" s="381" t="s">
        <v>187</v>
      </c>
      <c r="C11" s="355"/>
      <c r="D11" s="355"/>
      <c r="E11" s="382"/>
      <c r="F11" s="382"/>
      <c r="G11" s="458" t="s">
        <v>330</v>
      </c>
      <c r="H11" s="18"/>
      <c r="I11" s="78">
        <f t="shared" ref="I11:AB11" si="0">SUM(I12,I24,I25,I28)</f>
        <v>0</v>
      </c>
      <c r="J11" s="78">
        <f t="shared" si="0"/>
        <v>0</v>
      </c>
      <c r="K11" s="78">
        <f t="shared" si="0"/>
        <v>0</v>
      </c>
      <c r="L11" s="78">
        <f t="shared" si="0"/>
        <v>0</v>
      </c>
      <c r="M11" s="78">
        <f t="shared" si="0"/>
        <v>0</v>
      </c>
      <c r="N11" s="78">
        <f t="shared" si="0"/>
        <v>0</v>
      </c>
      <c r="O11" s="78">
        <f t="shared" si="0"/>
        <v>0</v>
      </c>
      <c r="P11" s="78">
        <f t="shared" si="0"/>
        <v>0</v>
      </c>
      <c r="Q11" s="78">
        <f t="shared" si="0"/>
        <v>0</v>
      </c>
      <c r="R11" s="78">
        <f t="shared" si="0"/>
        <v>0</v>
      </c>
      <c r="S11" s="78">
        <f t="shared" si="0"/>
        <v>0</v>
      </c>
      <c r="T11" s="78">
        <f t="shared" si="0"/>
        <v>0</v>
      </c>
      <c r="U11" s="78">
        <f t="shared" si="0"/>
        <v>0</v>
      </c>
      <c r="V11" s="78">
        <f t="shared" si="0"/>
        <v>0</v>
      </c>
      <c r="W11" s="78">
        <f t="shared" si="0"/>
        <v>0</v>
      </c>
      <c r="X11" s="78">
        <f t="shared" si="0"/>
        <v>0</v>
      </c>
      <c r="Y11" s="78">
        <f t="shared" si="0"/>
        <v>0</v>
      </c>
      <c r="Z11" s="78">
        <f t="shared" si="0"/>
        <v>0</v>
      </c>
      <c r="AA11" s="78">
        <f t="shared" si="0"/>
        <v>0</v>
      </c>
      <c r="AB11" s="78">
        <f t="shared" si="0"/>
        <v>0</v>
      </c>
      <c r="AC11" s="78">
        <f t="shared" ref="AC11:AD16" si="1">(I11+K11+M11+O11+Q11+S11+U11) - (W11+Y11)</f>
        <v>0</v>
      </c>
      <c r="AD11" s="78">
        <f t="shared" si="1"/>
        <v>0</v>
      </c>
      <c r="AE11" s="122"/>
      <c r="AF11" s="123"/>
      <c r="AG11" s="123"/>
    </row>
    <row r="12" spans="1:33" x14ac:dyDescent="0.2">
      <c r="A12" s="384"/>
      <c r="B12" s="385" t="s">
        <v>188</v>
      </c>
      <c r="C12" s="385" t="s">
        <v>823</v>
      </c>
      <c r="D12" s="385"/>
      <c r="E12" s="383"/>
      <c r="F12" s="382"/>
      <c r="G12" s="458" t="s">
        <v>331</v>
      </c>
      <c r="H12" s="18"/>
      <c r="I12" s="78">
        <f t="shared" ref="I12:AB12" si="2">SUM(I13,I19,I20)</f>
        <v>0</v>
      </c>
      <c r="J12" s="78">
        <f t="shared" si="2"/>
        <v>0</v>
      </c>
      <c r="K12" s="78">
        <f t="shared" si="2"/>
        <v>0</v>
      </c>
      <c r="L12" s="78">
        <f t="shared" si="2"/>
        <v>0</v>
      </c>
      <c r="M12" s="78">
        <f t="shared" si="2"/>
        <v>0</v>
      </c>
      <c r="N12" s="78">
        <f t="shared" si="2"/>
        <v>0</v>
      </c>
      <c r="O12" s="78">
        <f t="shared" si="2"/>
        <v>0</v>
      </c>
      <c r="P12" s="78">
        <f t="shared" si="2"/>
        <v>0</v>
      </c>
      <c r="Q12" s="78">
        <f t="shared" si="2"/>
        <v>0</v>
      </c>
      <c r="R12" s="78">
        <f t="shared" si="2"/>
        <v>0</v>
      </c>
      <c r="S12" s="78">
        <f t="shared" si="2"/>
        <v>0</v>
      </c>
      <c r="T12" s="78">
        <f t="shared" si="2"/>
        <v>0</v>
      </c>
      <c r="U12" s="78">
        <f t="shared" si="2"/>
        <v>0</v>
      </c>
      <c r="V12" s="78">
        <f t="shared" si="2"/>
        <v>0</v>
      </c>
      <c r="W12" s="78">
        <f t="shared" si="2"/>
        <v>0</v>
      </c>
      <c r="X12" s="78">
        <f t="shared" si="2"/>
        <v>0</v>
      </c>
      <c r="Y12" s="78">
        <f t="shared" si="2"/>
        <v>0</v>
      </c>
      <c r="Z12" s="78">
        <f t="shared" si="2"/>
        <v>0</v>
      </c>
      <c r="AA12" s="78">
        <f t="shared" si="2"/>
        <v>0</v>
      </c>
      <c r="AB12" s="78">
        <f t="shared" si="2"/>
        <v>0</v>
      </c>
      <c r="AC12" s="78">
        <f t="shared" si="1"/>
        <v>0</v>
      </c>
      <c r="AD12" s="78">
        <f t="shared" si="1"/>
        <v>0</v>
      </c>
      <c r="AE12" s="122"/>
      <c r="AF12" s="123"/>
      <c r="AG12" s="123"/>
    </row>
    <row r="13" spans="1:33" x14ac:dyDescent="0.2">
      <c r="A13" s="386"/>
      <c r="B13" s="355"/>
      <c r="C13" s="387" t="s">
        <v>19</v>
      </c>
      <c r="D13" s="355" t="s">
        <v>189</v>
      </c>
      <c r="E13" s="382"/>
      <c r="F13" s="382"/>
      <c r="G13" s="458" t="s">
        <v>332</v>
      </c>
      <c r="H13" s="18"/>
      <c r="I13" s="292">
        <f>I14+I15+I16</f>
        <v>0</v>
      </c>
      <c r="J13" s="292">
        <f t="shared" ref="J13:AB13" si="3">J14+J15+J16</f>
        <v>0</v>
      </c>
      <c r="K13" s="292">
        <f t="shared" si="3"/>
        <v>0</v>
      </c>
      <c r="L13" s="292">
        <f t="shared" si="3"/>
        <v>0</v>
      </c>
      <c r="M13" s="292">
        <f t="shared" si="3"/>
        <v>0</v>
      </c>
      <c r="N13" s="292">
        <f t="shared" si="3"/>
        <v>0</v>
      </c>
      <c r="O13" s="292">
        <f t="shared" si="3"/>
        <v>0</v>
      </c>
      <c r="P13" s="292">
        <f t="shared" si="3"/>
        <v>0</v>
      </c>
      <c r="Q13" s="292">
        <f t="shared" si="3"/>
        <v>0</v>
      </c>
      <c r="R13" s="292">
        <f t="shared" si="3"/>
        <v>0</v>
      </c>
      <c r="S13" s="292">
        <f t="shared" si="3"/>
        <v>0</v>
      </c>
      <c r="T13" s="292">
        <f t="shared" si="3"/>
        <v>0</v>
      </c>
      <c r="U13" s="292">
        <f t="shared" si="3"/>
        <v>0</v>
      </c>
      <c r="V13" s="292">
        <f t="shared" si="3"/>
        <v>0</v>
      </c>
      <c r="W13" s="292">
        <f t="shared" si="3"/>
        <v>0</v>
      </c>
      <c r="X13" s="292">
        <f t="shared" si="3"/>
        <v>0</v>
      </c>
      <c r="Y13" s="292">
        <f t="shared" si="3"/>
        <v>0</v>
      </c>
      <c r="Z13" s="292">
        <f t="shared" si="3"/>
        <v>0</v>
      </c>
      <c r="AA13" s="292">
        <f t="shared" si="3"/>
        <v>0</v>
      </c>
      <c r="AB13" s="292">
        <f t="shared" si="3"/>
        <v>0</v>
      </c>
      <c r="AC13" s="78">
        <f t="shared" si="1"/>
        <v>0</v>
      </c>
      <c r="AD13" s="78">
        <f t="shared" si="1"/>
        <v>0</v>
      </c>
      <c r="AE13" s="122"/>
      <c r="AF13" s="123"/>
      <c r="AG13" s="123"/>
    </row>
    <row r="14" spans="1:33" x14ac:dyDescent="0.2">
      <c r="A14" s="386"/>
      <c r="B14" s="355"/>
      <c r="C14" s="387"/>
      <c r="D14" s="355" t="s">
        <v>11</v>
      </c>
      <c r="E14" s="355" t="s">
        <v>789</v>
      </c>
      <c r="F14" s="382"/>
      <c r="G14" s="458" t="s">
        <v>824</v>
      </c>
      <c r="H14" s="18"/>
      <c r="I14" s="81"/>
      <c r="J14" s="81"/>
      <c r="K14" s="81"/>
      <c r="L14" s="81"/>
      <c r="M14" s="81"/>
      <c r="N14" s="81"/>
      <c r="O14" s="81"/>
      <c r="P14" s="81"/>
      <c r="Q14" s="81"/>
      <c r="R14" s="81"/>
      <c r="S14" s="81"/>
      <c r="T14" s="81"/>
      <c r="U14" s="81"/>
      <c r="V14" s="81"/>
      <c r="W14" s="81"/>
      <c r="X14" s="81"/>
      <c r="Y14" s="81"/>
      <c r="Z14" s="81"/>
      <c r="AA14" s="81"/>
      <c r="AB14" s="81"/>
      <c r="AC14" s="78">
        <f t="shared" si="1"/>
        <v>0</v>
      </c>
      <c r="AD14" s="78">
        <f t="shared" si="1"/>
        <v>0</v>
      </c>
      <c r="AE14" s="122"/>
      <c r="AF14" s="123"/>
      <c r="AG14" s="123"/>
    </row>
    <row r="15" spans="1:33" x14ac:dyDescent="0.2">
      <c r="A15" s="386"/>
      <c r="B15" s="355"/>
      <c r="C15" s="387"/>
      <c r="D15" s="355" t="s">
        <v>15</v>
      </c>
      <c r="E15" s="355" t="s">
        <v>790</v>
      </c>
      <c r="F15" s="382"/>
      <c r="G15" s="458" t="s">
        <v>825</v>
      </c>
      <c r="H15" s="18"/>
      <c r="I15" s="81"/>
      <c r="J15" s="81"/>
      <c r="K15" s="81"/>
      <c r="L15" s="81"/>
      <c r="M15" s="81"/>
      <c r="N15" s="81"/>
      <c r="O15" s="81"/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/>
      <c r="AA15" s="81"/>
      <c r="AB15" s="81"/>
      <c r="AC15" s="78">
        <f t="shared" si="1"/>
        <v>0</v>
      </c>
      <c r="AD15" s="78">
        <f t="shared" si="1"/>
        <v>0</v>
      </c>
      <c r="AE15" s="122"/>
      <c r="AF15" s="123"/>
      <c r="AG15" s="123"/>
    </row>
    <row r="16" spans="1:33" x14ac:dyDescent="0.2">
      <c r="A16" s="386"/>
      <c r="B16" s="355"/>
      <c r="C16" s="387"/>
      <c r="D16" s="355" t="s">
        <v>25</v>
      </c>
      <c r="E16" s="392" t="s">
        <v>791</v>
      </c>
      <c r="F16" s="382"/>
      <c r="G16" s="458" t="s">
        <v>826</v>
      </c>
      <c r="H16" s="85" t="s">
        <v>751</v>
      </c>
      <c r="I16" s="292">
        <f t="shared" ref="I16:AB16" si="4">SUM(I17:I18)</f>
        <v>0</v>
      </c>
      <c r="J16" s="292">
        <f t="shared" si="4"/>
        <v>0</v>
      </c>
      <c r="K16" s="292">
        <f t="shared" si="4"/>
        <v>0</v>
      </c>
      <c r="L16" s="292">
        <f t="shared" si="4"/>
        <v>0</v>
      </c>
      <c r="M16" s="292">
        <f t="shared" si="4"/>
        <v>0</v>
      </c>
      <c r="N16" s="292">
        <f t="shared" si="4"/>
        <v>0</v>
      </c>
      <c r="O16" s="292">
        <f t="shared" si="4"/>
        <v>0</v>
      </c>
      <c r="P16" s="292">
        <f t="shared" si="4"/>
        <v>0</v>
      </c>
      <c r="Q16" s="292">
        <f t="shared" si="4"/>
        <v>0</v>
      </c>
      <c r="R16" s="292">
        <f t="shared" si="4"/>
        <v>0</v>
      </c>
      <c r="S16" s="292">
        <f t="shared" si="4"/>
        <v>0</v>
      </c>
      <c r="T16" s="292">
        <f t="shared" si="4"/>
        <v>0</v>
      </c>
      <c r="U16" s="292">
        <f t="shared" si="4"/>
        <v>0</v>
      </c>
      <c r="V16" s="292">
        <f t="shared" si="4"/>
        <v>0</v>
      </c>
      <c r="W16" s="292">
        <f t="shared" si="4"/>
        <v>0</v>
      </c>
      <c r="X16" s="292">
        <f t="shared" si="4"/>
        <v>0</v>
      </c>
      <c r="Y16" s="292">
        <f t="shared" si="4"/>
        <v>0</v>
      </c>
      <c r="Z16" s="292">
        <f t="shared" si="4"/>
        <v>0</v>
      </c>
      <c r="AA16" s="292">
        <f t="shared" si="4"/>
        <v>0</v>
      </c>
      <c r="AB16" s="292">
        <f t="shared" si="4"/>
        <v>0</v>
      </c>
      <c r="AC16" s="78">
        <f t="shared" si="1"/>
        <v>0</v>
      </c>
      <c r="AD16" s="78">
        <f t="shared" si="1"/>
        <v>0</v>
      </c>
      <c r="AE16" s="122"/>
      <c r="AF16" s="123"/>
      <c r="AG16" s="123"/>
    </row>
    <row r="17" spans="1:33" x14ac:dyDescent="0.2">
      <c r="A17" s="129"/>
      <c r="B17" s="124"/>
      <c r="C17" s="149"/>
      <c r="D17" s="124"/>
      <c r="E17" s="310"/>
      <c r="F17" s="291"/>
      <c r="G17" s="458"/>
      <c r="H17" s="91">
        <v>1</v>
      </c>
      <c r="I17" s="81"/>
      <c r="J17" s="81"/>
      <c r="K17" s="81"/>
      <c r="L17" s="81"/>
      <c r="M17" s="81"/>
      <c r="N17" s="81"/>
      <c r="O17" s="81"/>
      <c r="P17" s="81"/>
      <c r="Q17" s="81"/>
      <c r="R17" s="81"/>
      <c r="S17" s="81"/>
      <c r="T17" s="81"/>
      <c r="U17" s="81"/>
      <c r="V17" s="81"/>
      <c r="W17" s="81"/>
      <c r="X17" s="81"/>
      <c r="Y17" s="81"/>
      <c r="Z17" s="81"/>
      <c r="AA17" s="81"/>
      <c r="AB17" s="81"/>
      <c r="AC17" s="78">
        <f>(I17+K17+M17+O17+Q17+S17+U17) - (W17+Y17)</f>
        <v>0</v>
      </c>
      <c r="AD17" s="78">
        <f>(J17+L17+N17+P17+R17+T17+V17) - (X17+Z17)</f>
        <v>0</v>
      </c>
      <c r="AE17" s="122"/>
      <c r="AF17" s="123"/>
      <c r="AG17" s="123"/>
    </row>
    <row r="18" spans="1:33" x14ac:dyDescent="0.2">
      <c r="A18" s="386"/>
      <c r="B18" s="355"/>
      <c r="C18" s="387"/>
      <c r="D18" s="355"/>
      <c r="E18" s="355"/>
      <c r="F18" s="382"/>
      <c r="G18" s="458"/>
      <c r="H18" s="239" t="str">
        <f>CHAR(132)</f>
        <v>„</v>
      </c>
      <c r="I18" s="317"/>
      <c r="J18" s="317"/>
      <c r="K18" s="317"/>
      <c r="L18" s="317"/>
      <c r="M18" s="317"/>
      <c r="N18" s="317"/>
      <c r="O18" s="317"/>
      <c r="P18" s="317"/>
      <c r="Q18" s="317"/>
      <c r="R18" s="317"/>
      <c r="S18" s="317"/>
      <c r="T18" s="317"/>
      <c r="U18" s="317"/>
      <c r="V18" s="317"/>
      <c r="W18" s="317"/>
      <c r="X18" s="317"/>
      <c r="Y18" s="317"/>
      <c r="Z18" s="317"/>
      <c r="AA18" s="317"/>
      <c r="AB18" s="317"/>
      <c r="AC18" s="78"/>
      <c r="AD18" s="78"/>
      <c r="AE18" s="122"/>
      <c r="AF18" s="123"/>
      <c r="AG18" s="123"/>
    </row>
    <row r="19" spans="1:33" x14ac:dyDescent="0.2">
      <c r="A19" s="384"/>
      <c r="B19" s="385"/>
      <c r="C19" s="390" t="s">
        <v>21</v>
      </c>
      <c r="D19" s="385" t="s">
        <v>326</v>
      </c>
      <c r="E19" s="383"/>
      <c r="F19" s="382"/>
      <c r="G19" s="458" t="s">
        <v>333</v>
      </c>
      <c r="H19" s="18"/>
      <c r="I19" s="82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2"/>
      <c r="X19" s="82"/>
      <c r="Y19" s="82"/>
      <c r="Z19" s="82"/>
      <c r="AA19" s="82"/>
      <c r="AB19" s="82"/>
      <c r="AC19" s="77">
        <f>(I19+K19+M19+O19+Q19+S19+U19) - (W19+Y19)</f>
        <v>0</v>
      </c>
      <c r="AD19" s="77">
        <f>(J19+L19+N19+P19+R19+T19+V19) - (X19+Z19)</f>
        <v>0</v>
      </c>
      <c r="AE19" s="122"/>
      <c r="AF19" s="123"/>
      <c r="AG19" s="123"/>
    </row>
    <row r="20" spans="1:33" x14ac:dyDescent="0.2">
      <c r="A20" s="386"/>
      <c r="B20" s="355"/>
      <c r="C20" s="387" t="s">
        <v>60</v>
      </c>
      <c r="D20" s="355" t="s">
        <v>191</v>
      </c>
      <c r="E20" s="382"/>
      <c r="F20" s="382"/>
      <c r="G20" s="458" t="s">
        <v>334</v>
      </c>
      <c r="H20" s="18"/>
      <c r="I20" s="78">
        <f t="shared" ref="I20:AB20" si="5">SUM(I21,I22,I23)</f>
        <v>0</v>
      </c>
      <c r="J20" s="78">
        <f t="shared" si="5"/>
        <v>0</v>
      </c>
      <c r="K20" s="78">
        <f t="shared" si="5"/>
        <v>0</v>
      </c>
      <c r="L20" s="78">
        <f t="shared" si="5"/>
        <v>0</v>
      </c>
      <c r="M20" s="78">
        <f t="shared" si="5"/>
        <v>0</v>
      </c>
      <c r="N20" s="78">
        <f t="shared" si="5"/>
        <v>0</v>
      </c>
      <c r="O20" s="78">
        <f t="shared" si="5"/>
        <v>0</v>
      </c>
      <c r="P20" s="78">
        <f t="shared" si="5"/>
        <v>0</v>
      </c>
      <c r="Q20" s="78">
        <f t="shared" si="5"/>
        <v>0</v>
      </c>
      <c r="R20" s="78">
        <f t="shared" si="5"/>
        <v>0</v>
      </c>
      <c r="S20" s="78">
        <f t="shared" si="5"/>
        <v>0</v>
      </c>
      <c r="T20" s="78">
        <f t="shared" si="5"/>
        <v>0</v>
      </c>
      <c r="U20" s="78">
        <f t="shared" si="5"/>
        <v>0</v>
      </c>
      <c r="V20" s="78">
        <f t="shared" si="5"/>
        <v>0</v>
      </c>
      <c r="W20" s="78">
        <f t="shared" si="5"/>
        <v>0</v>
      </c>
      <c r="X20" s="78">
        <f t="shared" si="5"/>
        <v>0</v>
      </c>
      <c r="Y20" s="78">
        <f t="shared" si="5"/>
        <v>0</v>
      </c>
      <c r="Z20" s="78">
        <f t="shared" si="5"/>
        <v>0</v>
      </c>
      <c r="AA20" s="78">
        <f t="shared" si="5"/>
        <v>0</v>
      </c>
      <c r="AB20" s="78">
        <f t="shared" si="5"/>
        <v>0</v>
      </c>
      <c r="AC20" s="78">
        <f t="shared" ref="AC20:AC40" si="6">(I20+K20+M20+O20+Q20+S20+U20) - (W20+Y20)</f>
        <v>0</v>
      </c>
      <c r="AD20" s="78">
        <f t="shared" ref="AD20:AD40" si="7">(J20+L20+N20+P20+R20+T20+V20) - (X20+Z20)</f>
        <v>0</v>
      </c>
      <c r="AE20" s="122"/>
      <c r="AF20" s="123"/>
      <c r="AG20" s="123"/>
    </row>
    <row r="21" spans="1:33" x14ac:dyDescent="0.2">
      <c r="A21" s="384"/>
      <c r="B21" s="385"/>
      <c r="C21" s="390"/>
      <c r="D21" s="385" t="s">
        <v>11</v>
      </c>
      <c r="E21" s="383" t="s">
        <v>192</v>
      </c>
      <c r="F21" s="382"/>
      <c r="G21" s="458" t="s">
        <v>335</v>
      </c>
      <c r="H21" s="18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78">
        <f t="shared" si="6"/>
        <v>0</v>
      </c>
      <c r="AD21" s="78">
        <f t="shared" si="7"/>
        <v>0</v>
      </c>
      <c r="AE21" s="122"/>
      <c r="AF21" s="123"/>
      <c r="AG21" s="123"/>
    </row>
    <row r="22" spans="1:33" x14ac:dyDescent="0.2">
      <c r="A22" s="386"/>
      <c r="B22" s="355"/>
      <c r="C22" s="355"/>
      <c r="D22" s="355" t="s">
        <v>15</v>
      </c>
      <c r="E22" s="382" t="s">
        <v>193</v>
      </c>
      <c r="F22" s="382"/>
      <c r="G22" s="458" t="s">
        <v>336</v>
      </c>
      <c r="H22" s="18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78">
        <f t="shared" si="6"/>
        <v>0</v>
      </c>
      <c r="AD22" s="78">
        <f t="shared" si="7"/>
        <v>0</v>
      </c>
      <c r="AE22" s="122"/>
      <c r="AF22" s="123"/>
      <c r="AG22" s="123"/>
    </row>
    <row r="23" spans="1:33" x14ac:dyDescent="0.2">
      <c r="A23" s="384"/>
      <c r="B23" s="385"/>
      <c r="C23" s="385"/>
      <c r="D23" s="385" t="s">
        <v>25</v>
      </c>
      <c r="E23" s="383" t="s">
        <v>194</v>
      </c>
      <c r="F23" s="382"/>
      <c r="G23" s="458" t="s">
        <v>337</v>
      </c>
      <c r="H23" s="18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78">
        <f t="shared" si="6"/>
        <v>0</v>
      </c>
      <c r="AD23" s="78">
        <f t="shared" si="7"/>
        <v>0</v>
      </c>
      <c r="AE23" s="122"/>
      <c r="AF23" s="123"/>
      <c r="AG23" s="123"/>
    </row>
    <row r="24" spans="1:33" x14ac:dyDescent="0.2">
      <c r="A24" s="386"/>
      <c r="B24" s="355" t="s">
        <v>195</v>
      </c>
      <c r="C24" s="355" t="s">
        <v>196</v>
      </c>
      <c r="D24" s="355"/>
      <c r="E24" s="382"/>
      <c r="F24" s="382"/>
      <c r="G24" s="458" t="s">
        <v>338</v>
      </c>
      <c r="H24" s="18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78">
        <f t="shared" si="6"/>
        <v>0</v>
      </c>
      <c r="AD24" s="78">
        <f t="shared" si="7"/>
        <v>0</v>
      </c>
      <c r="AE24" s="122"/>
      <c r="AF24" s="123"/>
      <c r="AG24" s="123"/>
    </row>
    <row r="25" spans="1:33" x14ac:dyDescent="0.2">
      <c r="A25" s="384"/>
      <c r="B25" s="385" t="s">
        <v>197</v>
      </c>
      <c r="C25" s="385" t="s">
        <v>198</v>
      </c>
      <c r="D25" s="385"/>
      <c r="E25" s="383"/>
      <c r="F25" s="382"/>
      <c r="G25" s="458" t="s">
        <v>339</v>
      </c>
      <c r="H25" s="18"/>
      <c r="I25" s="78">
        <f t="shared" ref="I25:AB25" si="8">SUM(I26,I27)</f>
        <v>0</v>
      </c>
      <c r="J25" s="78">
        <f t="shared" si="8"/>
        <v>0</v>
      </c>
      <c r="K25" s="78">
        <f t="shared" si="8"/>
        <v>0</v>
      </c>
      <c r="L25" s="78">
        <f t="shared" si="8"/>
        <v>0</v>
      </c>
      <c r="M25" s="78">
        <f t="shared" si="8"/>
        <v>0</v>
      </c>
      <c r="N25" s="78">
        <f t="shared" si="8"/>
        <v>0</v>
      </c>
      <c r="O25" s="78">
        <f t="shared" si="8"/>
        <v>0</v>
      </c>
      <c r="P25" s="78">
        <f t="shared" si="8"/>
        <v>0</v>
      </c>
      <c r="Q25" s="78">
        <f t="shared" si="8"/>
        <v>0</v>
      </c>
      <c r="R25" s="78">
        <f t="shared" si="8"/>
        <v>0</v>
      </c>
      <c r="S25" s="78">
        <f t="shared" si="8"/>
        <v>0</v>
      </c>
      <c r="T25" s="78">
        <f t="shared" si="8"/>
        <v>0</v>
      </c>
      <c r="U25" s="78">
        <f t="shared" si="8"/>
        <v>0</v>
      </c>
      <c r="V25" s="78">
        <f t="shared" si="8"/>
        <v>0</v>
      </c>
      <c r="W25" s="78">
        <f t="shared" si="8"/>
        <v>0</v>
      </c>
      <c r="X25" s="78">
        <f t="shared" si="8"/>
        <v>0</v>
      </c>
      <c r="Y25" s="78">
        <f t="shared" si="8"/>
        <v>0</v>
      </c>
      <c r="Z25" s="78">
        <f t="shared" si="8"/>
        <v>0</v>
      </c>
      <c r="AA25" s="78">
        <f t="shared" si="8"/>
        <v>0</v>
      </c>
      <c r="AB25" s="78">
        <f t="shared" si="8"/>
        <v>0</v>
      </c>
      <c r="AC25" s="78">
        <f t="shared" si="6"/>
        <v>0</v>
      </c>
      <c r="AD25" s="78">
        <f t="shared" si="7"/>
        <v>0</v>
      </c>
      <c r="AE25" s="122"/>
      <c r="AF25" s="123"/>
      <c r="AG25" s="123"/>
    </row>
    <row r="26" spans="1:33" x14ac:dyDescent="0.2">
      <c r="A26" s="386"/>
      <c r="B26" s="355"/>
      <c r="C26" s="387" t="s">
        <v>19</v>
      </c>
      <c r="D26" s="355" t="s">
        <v>199</v>
      </c>
      <c r="E26" s="382"/>
      <c r="F26" s="382"/>
      <c r="G26" s="458" t="s">
        <v>340</v>
      </c>
      <c r="H26" s="18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78">
        <f t="shared" si="6"/>
        <v>0</v>
      </c>
      <c r="AD26" s="78">
        <f t="shared" si="7"/>
        <v>0</v>
      </c>
      <c r="AE26" s="122"/>
      <c r="AF26" s="123"/>
      <c r="AG26" s="123"/>
    </row>
    <row r="27" spans="1:33" x14ac:dyDescent="0.2">
      <c r="A27" s="384"/>
      <c r="B27" s="385"/>
      <c r="C27" s="390" t="s">
        <v>21</v>
      </c>
      <c r="D27" s="391" t="s">
        <v>200</v>
      </c>
      <c r="E27" s="383"/>
      <c r="F27" s="382"/>
      <c r="G27" s="458" t="s">
        <v>341</v>
      </c>
      <c r="H27" s="18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78">
        <f t="shared" si="6"/>
        <v>0</v>
      </c>
      <c r="AD27" s="78">
        <f t="shared" si="7"/>
        <v>0</v>
      </c>
      <c r="AE27" s="122"/>
      <c r="AF27" s="123"/>
      <c r="AG27" s="123"/>
    </row>
    <row r="28" spans="1:33" x14ac:dyDescent="0.2">
      <c r="A28" s="386"/>
      <c r="B28" s="355" t="s">
        <v>201</v>
      </c>
      <c r="C28" s="355" t="s">
        <v>202</v>
      </c>
      <c r="D28" s="355"/>
      <c r="E28" s="382"/>
      <c r="F28" s="382"/>
      <c r="G28" s="458" t="s">
        <v>342</v>
      </c>
      <c r="H28" s="18"/>
      <c r="I28" s="78">
        <f t="shared" ref="I28:AB28" si="9">SUM(I29,I32)</f>
        <v>0</v>
      </c>
      <c r="J28" s="78">
        <f t="shared" si="9"/>
        <v>0</v>
      </c>
      <c r="K28" s="78">
        <f t="shared" si="9"/>
        <v>0</v>
      </c>
      <c r="L28" s="78">
        <f t="shared" si="9"/>
        <v>0</v>
      </c>
      <c r="M28" s="78">
        <f t="shared" si="9"/>
        <v>0</v>
      </c>
      <c r="N28" s="78">
        <f t="shared" si="9"/>
        <v>0</v>
      </c>
      <c r="O28" s="78">
        <f t="shared" si="9"/>
        <v>0</v>
      </c>
      <c r="P28" s="78">
        <f t="shared" si="9"/>
        <v>0</v>
      </c>
      <c r="Q28" s="78">
        <f t="shared" si="9"/>
        <v>0</v>
      </c>
      <c r="R28" s="78">
        <f t="shared" si="9"/>
        <v>0</v>
      </c>
      <c r="S28" s="78">
        <f t="shared" si="9"/>
        <v>0</v>
      </c>
      <c r="T28" s="78">
        <f t="shared" si="9"/>
        <v>0</v>
      </c>
      <c r="U28" s="78">
        <f t="shared" si="9"/>
        <v>0</v>
      </c>
      <c r="V28" s="78">
        <f t="shared" si="9"/>
        <v>0</v>
      </c>
      <c r="W28" s="78">
        <f t="shared" si="9"/>
        <v>0</v>
      </c>
      <c r="X28" s="78">
        <f t="shared" si="9"/>
        <v>0</v>
      </c>
      <c r="Y28" s="78">
        <f t="shared" si="9"/>
        <v>0</v>
      </c>
      <c r="Z28" s="78">
        <f t="shared" si="9"/>
        <v>0</v>
      </c>
      <c r="AA28" s="78">
        <f t="shared" si="9"/>
        <v>0</v>
      </c>
      <c r="AB28" s="78">
        <f t="shared" si="9"/>
        <v>0</v>
      </c>
      <c r="AC28" s="78">
        <f t="shared" si="6"/>
        <v>0</v>
      </c>
      <c r="AD28" s="78">
        <f t="shared" si="7"/>
        <v>0</v>
      </c>
      <c r="AE28" s="122"/>
      <c r="AF28" s="123"/>
      <c r="AG28" s="123"/>
    </row>
    <row r="29" spans="1:33" x14ac:dyDescent="0.2">
      <c r="A29" s="386"/>
      <c r="B29" s="355"/>
      <c r="C29" s="387" t="s">
        <v>19</v>
      </c>
      <c r="D29" s="355" t="s">
        <v>203</v>
      </c>
      <c r="E29" s="382"/>
      <c r="F29" s="382"/>
      <c r="G29" s="458" t="s">
        <v>343</v>
      </c>
      <c r="H29" s="18"/>
      <c r="I29" s="78">
        <f>I30+I31</f>
        <v>0</v>
      </c>
      <c r="J29" s="78">
        <f t="shared" ref="J29:AB29" si="10">J30+J31</f>
        <v>0</v>
      </c>
      <c r="K29" s="78">
        <f t="shared" si="10"/>
        <v>0</v>
      </c>
      <c r="L29" s="78">
        <f t="shared" si="10"/>
        <v>0</v>
      </c>
      <c r="M29" s="78">
        <f t="shared" si="10"/>
        <v>0</v>
      </c>
      <c r="N29" s="78">
        <f t="shared" si="10"/>
        <v>0</v>
      </c>
      <c r="O29" s="78">
        <f t="shared" si="10"/>
        <v>0</v>
      </c>
      <c r="P29" s="78">
        <f t="shared" si="10"/>
        <v>0</v>
      </c>
      <c r="Q29" s="78">
        <f t="shared" si="10"/>
        <v>0</v>
      </c>
      <c r="R29" s="78">
        <f t="shared" si="10"/>
        <v>0</v>
      </c>
      <c r="S29" s="78">
        <f t="shared" si="10"/>
        <v>0</v>
      </c>
      <c r="T29" s="78">
        <f t="shared" si="10"/>
        <v>0</v>
      </c>
      <c r="U29" s="78">
        <f t="shared" si="10"/>
        <v>0</v>
      </c>
      <c r="V29" s="78">
        <f t="shared" si="10"/>
        <v>0</v>
      </c>
      <c r="W29" s="78">
        <f t="shared" si="10"/>
        <v>0</v>
      </c>
      <c r="X29" s="78">
        <f t="shared" si="10"/>
        <v>0</v>
      </c>
      <c r="Y29" s="78">
        <f t="shared" si="10"/>
        <v>0</v>
      </c>
      <c r="Z29" s="78">
        <f t="shared" si="10"/>
        <v>0</v>
      </c>
      <c r="AA29" s="78">
        <f t="shared" si="10"/>
        <v>0</v>
      </c>
      <c r="AB29" s="78">
        <f t="shared" si="10"/>
        <v>0</v>
      </c>
      <c r="AC29" s="78">
        <f t="shared" si="6"/>
        <v>0</v>
      </c>
      <c r="AD29" s="78">
        <f t="shared" si="7"/>
        <v>0</v>
      </c>
      <c r="AE29" s="122"/>
      <c r="AF29" s="123"/>
      <c r="AG29" s="123"/>
    </row>
    <row r="30" spans="1:33" x14ac:dyDescent="0.2">
      <c r="A30" s="386"/>
      <c r="B30" s="355"/>
      <c r="C30" s="387"/>
      <c r="D30" s="355" t="s">
        <v>11</v>
      </c>
      <c r="E30" s="355" t="s">
        <v>792</v>
      </c>
      <c r="F30" s="382"/>
      <c r="G30" s="458" t="s">
        <v>827</v>
      </c>
      <c r="H30" s="18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78">
        <f t="shared" si="6"/>
        <v>0</v>
      </c>
      <c r="AD30" s="78">
        <f t="shared" si="7"/>
        <v>0</v>
      </c>
      <c r="AE30" s="122"/>
      <c r="AF30" s="123"/>
      <c r="AG30" s="123"/>
    </row>
    <row r="31" spans="1:33" x14ac:dyDescent="0.2">
      <c r="A31" s="384"/>
      <c r="B31" s="385"/>
      <c r="C31" s="390"/>
      <c r="D31" s="392" t="s">
        <v>15</v>
      </c>
      <c r="E31" s="392" t="s">
        <v>793</v>
      </c>
      <c r="F31" s="382"/>
      <c r="G31" s="458" t="s">
        <v>828</v>
      </c>
      <c r="H31" s="18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78">
        <f t="shared" si="6"/>
        <v>0</v>
      </c>
      <c r="AD31" s="78">
        <f t="shared" si="7"/>
        <v>0</v>
      </c>
      <c r="AE31" s="122"/>
      <c r="AF31" s="123"/>
      <c r="AG31" s="123"/>
    </row>
    <row r="32" spans="1:33" x14ac:dyDescent="0.2">
      <c r="A32" s="386"/>
      <c r="B32" s="355"/>
      <c r="C32" s="387" t="s">
        <v>21</v>
      </c>
      <c r="D32" s="355" t="s">
        <v>194</v>
      </c>
      <c r="E32" s="382"/>
      <c r="F32" s="382"/>
      <c r="G32" s="458" t="s">
        <v>344</v>
      </c>
      <c r="H32" s="18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78">
        <f t="shared" si="6"/>
        <v>0</v>
      </c>
      <c r="AD32" s="78">
        <f t="shared" si="7"/>
        <v>0</v>
      </c>
      <c r="AE32" s="122"/>
      <c r="AF32" s="123"/>
      <c r="AG32" s="123"/>
    </row>
    <row r="33" spans="1:255" x14ac:dyDescent="0.2">
      <c r="A33" s="393" t="s">
        <v>33</v>
      </c>
      <c r="B33" s="394" t="s">
        <v>204</v>
      </c>
      <c r="C33" s="385"/>
      <c r="D33" s="385"/>
      <c r="E33" s="383"/>
      <c r="F33" s="382"/>
      <c r="G33" s="458" t="s">
        <v>345</v>
      </c>
      <c r="H33" s="18"/>
      <c r="I33" s="77">
        <f t="shared" ref="I33:AB33" si="11">SUM(I34,I35,I36,I39)</f>
        <v>0</v>
      </c>
      <c r="J33" s="77">
        <f t="shared" si="11"/>
        <v>0</v>
      </c>
      <c r="K33" s="77">
        <f t="shared" si="11"/>
        <v>0</v>
      </c>
      <c r="L33" s="77">
        <f t="shared" si="11"/>
        <v>0</v>
      </c>
      <c r="M33" s="77">
        <f t="shared" si="11"/>
        <v>0</v>
      </c>
      <c r="N33" s="77">
        <f t="shared" si="11"/>
        <v>0</v>
      </c>
      <c r="O33" s="77">
        <f t="shared" si="11"/>
        <v>0</v>
      </c>
      <c r="P33" s="77">
        <f t="shared" si="11"/>
        <v>0</v>
      </c>
      <c r="Q33" s="77">
        <f t="shared" si="11"/>
        <v>0</v>
      </c>
      <c r="R33" s="77">
        <f t="shared" si="11"/>
        <v>0</v>
      </c>
      <c r="S33" s="77">
        <f t="shared" si="11"/>
        <v>0</v>
      </c>
      <c r="T33" s="77">
        <f t="shared" si="11"/>
        <v>0</v>
      </c>
      <c r="U33" s="77">
        <f t="shared" si="11"/>
        <v>0</v>
      </c>
      <c r="V33" s="77">
        <f t="shared" si="11"/>
        <v>0</v>
      </c>
      <c r="W33" s="77">
        <f t="shared" si="11"/>
        <v>0</v>
      </c>
      <c r="X33" s="77">
        <f t="shared" si="11"/>
        <v>0</v>
      </c>
      <c r="Y33" s="77">
        <f t="shared" si="11"/>
        <v>0</v>
      </c>
      <c r="Z33" s="77">
        <f t="shared" si="11"/>
        <v>0</v>
      </c>
      <c r="AA33" s="77">
        <f t="shared" si="11"/>
        <v>0</v>
      </c>
      <c r="AB33" s="77">
        <f t="shared" si="11"/>
        <v>0</v>
      </c>
      <c r="AC33" s="78">
        <f t="shared" si="6"/>
        <v>0</v>
      </c>
      <c r="AD33" s="78">
        <f t="shared" si="7"/>
        <v>0</v>
      </c>
      <c r="AE33" s="122"/>
      <c r="AF33" s="123"/>
      <c r="AG33" s="123"/>
    </row>
    <row r="34" spans="1:255" x14ac:dyDescent="0.2">
      <c r="A34" s="386"/>
      <c r="B34" s="355" t="s">
        <v>188</v>
      </c>
      <c r="C34" s="355" t="s">
        <v>205</v>
      </c>
      <c r="D34" s="355"/>
      <c r="E34" s="382"/>
      <c r="F34" s="382"/>
      <c r="G34" s="458" t="s">
        <v>346</v>
      </c>
      <c r="H34" s="18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78">
        <f t="shared" si="6"/>
        <v>0</v>
      </c>
      <c r="AD34" s="78">
        <f t="shared" si="7"/>
        <v>0</v>
      </c>
      <c r="AE34" s="122"/>
      <c r="AF34" s="123"/>
      <c r="AG34" s="123"/>
    </row>
    <row r="35" spans="1:255" x14ac:dyDescent="0.2">
      <c r="A35" s="384"/>
      <c r="B35" s="385" t="s">
        <v>195</v>
      </c>
      <c r="C35" s="385" t="s">
        <v>306</v>
      </c>
      <c r="D35" s="385"/>
      <c r="E35" s="383"/>
      <c r="F35" s="382"/>
      <c r="G35" s="458" t="s">
        <v>347</v>
      </c>
      <c r="H35" s="18"/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78">
        <f t="shared" si="6"/>
        <v>0</v>
      </c>
      <c r="AD35" s="78">
        <f t="shared" si="7"/>
        <v>0</v>
      </c>
      <c r="AE35" s="122"/>
      <c r="AF35" s="123"/>
      <c r="AG35" s="123"/>
    </row>
    <row r="36" spans="1:255" x14ac:dyDescent="0.2">
      <c r="A36" s="386"/>
      <c r="B36" s="355" t="s">
        <v>197</v>
      </c>
      <c r="C36" s="355" t="s">
        <v>198</v>
      </c>
      <c r="D36" s="355"/>
      <c r="E36" s="382"/>
      <c r="F36" s="382"/>
      <c r="G36" s="458" t="s">
        <v>348</v>
      </c>
      <c r="H36" s="18"/>
      <c r="I36" s="77">
        <f t="shared" ref="I36:AB36" si="12">SUM(I37,I38)</f>
        <v>0</v>
      </c>
      <c r="J36" s="77">
        <f t="shared" si="12"/>
        <v>0</v>
      </c>
      <c r="K36" s="77">
        <f t="shared" si="12"/>
        <v>0</v>
      </c>
      <c r="L36" s="77">
        <f t="shared" si="12"/>
        <v>0</v>
      </c>
      <c r="M36" s="77">
        <f t="shared" si="12"/>
        <v>0</v>
      </c>
      <c r="N36" s="77">
        <f t="shared" si="12"/>
        <v>0</v>
      </c>
      <c r="O36" s="77">
        <f t="shared" si="12"/>
        <v>0</v>
      </c>
      <c r="P36" s="77">
        <f t="shared" si="12"/>
        <v>0</v>
      </c>
      <c r="Q36" s="77">
        <f t="shared" si="12"/>
        <v>0</v>
      </c>
      <c r="R36" s="77">
        <f t="shared" si="12"/>
        <v>0</v>
      </c>
      <c r="S36" s="77">
        <f t="shared" si="12"/>
        <v>0</v>
      </c>
      <c r="T36" s="77">
        <f t="shared" si="12"/>
        <v>0</v>
      </c>
      <c r="U36" s="77">
        <f t="shared" si="12"/>
        <v>0</v>
      </c>
      <c r="V36" s="77">
        <f t="shared" si="12"/>
        <v>0</v>
      </c>
      <c r="W36" s="77">
        <f t="shared" si="12"/>
        <v>0</v>
      </c>
      <c r="X36" s="77">
        <f t="shared" si="12"/>
        <v>0</v>
      </c>
      <c r="Y36" s="77">
        <f t="shared" si="12"/>
        <v>0</v>
      </c>
      <c r="Z36" s="77">
        <f t="shared" si="12"/>
        <v>0</v>
      </c>
      <c r="AA36" s="77">
        <f t="shared" si="12"/>
        <v>0</v>
      </c>
      <c r="AB36" s="77">
        <f t="shared" si="12"/>
        <v>0</v>
      </c>
      <c r="AC36" s="78">
        <f t="shared" si="6"/>
        <v>0</v>
      </c>
      <c r="AD36" s="78">
        <f t="shared" si="7"/>
        <v>0</v>
      </c>
      <c r="AE36" s="122"/>
      <c r="AF36" s="123"/>
      <c r="AG36" s="123"/>
    </row>
    <row r="37" spans="1:255" x14ac:dyDescent="0.2">
      <c r="A37" s="384"/>
      <c r="B37" s="385"/>
      <c r="C37" s="390" t="s">
        <v>19</v>
      </c>
      <c r="D37" s="385" t="s">
        <v>207</v>
      </c>
      <c r="E37" s="383"/>
      <c r="F37" s="382"/>
      <c r="G37" s="458" t="s">
        <v>349</v>
      </c>
      <c r="H37" s="18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2"/>
      <c r="AA37" s="62"/>
      <c r="AB37" s="62"/>
      <c r="AC37" s="78">
        <f t="shared" si="6"/>
        <v>0</v>
      </c>
      <c r="AD37" s="78">
        <f t="shared" si="7"/>
        <v>0</v>
      </c>
      <c r="AE37" s="122"/>
      <c r="AF37" s="123"/>
      <c r="AG37" s="123"/>
    </row>
    <row r="38" spans="1:255" x14ac:dyDescent="0.2">
      <c r="A38" s="386"/>
      <c r="B38" s="355"/>
      <c r="C38" s="387" t="s">
        <v>21</v>
      </c>
      <c r="D38" s="395" t="s">
        <v>200</v>
      </c>
      <c r="E38" s="382"/>
      <c r="F38" s="382"/>
      <c r="G38" s="458" t="s">
        <v>350</v>
      </c>
      <c r="H38" s="18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78">
        <f t="shared" si="6"/>
        <v>0</v>
      </c>
      <c r="AD38" s="78">
        <f t="shared" si="7"/>
        <v>0</v>
      </c>
      <c r="AE38" s="122"/>
      <c r="AF38" s="123"/>
      <c r="AG38" s="123"/>
    </row>
    <row r="39" spans="1:255" s="16" customFormat="1" x14ac:dyDescent="0.2">
      <c r="A39" s="384"/>
      <c r="B39" s="385" t="s">
        <v>201</v>
      </c>
      <c r="C39" s="385" t="s">
        <v>208</v>
      </c>
      <c r="D39" s="385"/>
      <c r="E39" s="383"/>
      <c r="F39" s="382"/>
      <c r="G39" s="458" t="s">
        <v>351</v>
      </c>
      <c r="H39" s="18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78">
        <f t="shared" si="6"/>
        <v>0</v>
      </c>
      <c r="AD39" s="78">
        <f t="shared" si="7"/>
        <v>0</v>
      </c>
      <c r="AE39" s="34"/>
      <c r="AF39" s="132"/>
      <c r="AG39" s="132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</row>
    <row r="40" spans="1:255" s="21" customFormat="1" x14ac:dyDescent="0.2">
      <c r="A40" s="397" t="s">
        <v>48</v>
      </c>
      <c r="B40" s="381" t="s">
        <v>209</v>
      </c>
      <c r="C40" s="395"/>
      <c r="D40" s="355"/>
      <c r="E40" s="382"/>
      <c r="F40" s="382"/>
      <c r="G40" s="458" t="s">
        <v>352</v>
      </c>
      <c r="H40" s="18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62"/>
      <c r="Y40" s="62"/>
      <c r="Z40" s="62"/>
      <c r="AA40" s="62"/>
      <c r="AB40" s="62"/>
      <c r="AC40" s="78">
        <f t="shared" si="6"/>
        <v>0</v>
      </c>
      <c r="AD40" s="78">
        <f t="shared" si="7"/>
        <v>0</v>
      </c>
      <c r="AE40" s="34"/>
      <c r="AF40" s="132"/>
      <c r="AG40" s="132"/>
    </row>
    <row r="41" spans="1:255" s="235" customFormat="1" x14ac:dyDescent="0.2">
      <c r="A41" s="407" t="s">
        <v>355</v>
      </c>
      <c r="B41" s="392"/>
      <c r="C41" s="392"/>
      <c r="D41" s="392"/>
      <c r="E41" s="388"/>
      <c r="F41" s="433"/>
      <c r="G41" s="458" t="s">
        <v>353</v>
      </c>
      <c r="H41" s="18"/>
      <c r="I41" s="77">
        <f t="shared" ref="I41:AD41" si="13">SUM(I11,I33,I40)</f>
        <v>0</v>
      </c>
      <c r="J41" s="77">
        <f t="shared" si="13"/>
        <v>0</v>
      </c>
      <c r="K41" s="77">
        <f t="shared" si="13"/>
        <v>0</v>
      </c>
      <c r="L41" s="77">
        <f t="shared" si="13"/>
        <v>0</v>
      </c>
      <c r="M41" s="77">
        <f t="shared" si="13"/>
        <v>0</v>
      </c>
      <c r="N41" s="77">
        <f t="shared" si="13"/>
        <v>0</v>
      </c>
      <c r="O41" s="77">
        <f t="shared" si="13"/>
        <v>0</v>
      </c>
      <c r="P41" s="77">
        <f t="shared" si="13"/>
        <v>0</v>
      </c>
      <c r="Q41" s="77">
        <f t="shared" si="13"/>
        <v>0</v>
      </c>
      <c r="R41" s="77">
        <f t="shared" si="13"/>
        <v>0</v>
      </c>
      <c r="S41" s="77">
        <f t="shared" si="13"/>
        <v>0</v>
      </c>
      <c r="T41" s="77">
        <f t="shared" si="13"/>
        <v>0</v>
      </c>
      <c r="U41" s="77">
        <f t="shared" si="13"/>
        <v>0</v>
      </c>
      <c r="V41" s="77">
        <f t="shared" si="13"/>
        <v>0</v>
      </c>
      <c r="W41" s="77">
        <f t="shared" si="13"/>
        <v>0</v>
      </c>
      <c r="X41" s="77">
        <f t="shared" si="13"/>
        <v>0</v>
      </c>
      <c r="Y41" s="77">
        <f t="shared" si="13"/>
        <v>0</v>
      </c>
      <c r="Z41" s="77">
        <f t="shared" si="13"/>
        <v>0</v>
      </c>
      <c r="AA41" s="77">
        <f t="shared" si="13"/>
        <v>0</v>
      </c>
      <c r="AB41" s="77">
        <f t="shared" si="13"/>
        <v>0</v>
      </c>
      <c r="AC41" s="78">
        <f t="shared" si="13"/>
        <v>0</v>
      </c>
      <c r="AD41" s="78">
        <f t="shared" si="13"/>
        <v>0</v>
      </c>
      <c r="AE41" s="233"/>
      <c r="AF41" s="234"/>
      <c r="AG41" s="234"/>
    </row>
    <row r="42" spans="1:255" s="154" customFormat="1" x14ac:dyDescent="0.2">
      <c r="A42" s="24"/>
      <c r="B42" s="14"/>
      <c r="C42" s="131"/>
      <c r="D42" s="39"/>
      <c r="E42" s="136"/>
      <c r="F42" s="136"/>
      <c r="G42" s="72" t="s">
        <v>184</v>
      </c>
      <c r="H42" s="40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236"/>
      <c r="AG42" s="236"/>
    </row>
    <row r="43" spans="1:255" s="154" customFormat="1" x14ac:dyDescent="0.2">
      <c r="A43" s="24"/>
      <c r="B43" s="39"/>
      <c r="C43" s="607"/>
      <c r="D43" s="607"/>
      <c r="E43" s="214"/>
      <c r="F43" s="214"/>
      <c r="G43" s="40"/>
      <c r="H43" s="40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236"/>
      <c r="AG43" s="236"/>
    </row>
    <row r="44" spans="1:255" s="154" customFormat="1" x14ac:dyDescent="0.2">
      <c r="A44" s="24"/>
      <c r="B44" s="39"/>
      <c r="C44" s="135"/>
      <c r="D44" s="489"/>
      <c r="E44" s="489"/>
      <c r="F44" s="489"/>
      <c r="G44" s="40"/>
      <c r="H44" s="40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236"/>
      <c r="AG44" s="236"/>
    </row>
    <row r="45" spans="1:255" s="154" customFormat="1" x14ac:dyDescent="0.2">
      <c r="A45" s="24"/>
      <c r="B45" s="39"/>
      <c r="C45" s="135"/>
      <c r="D45" s="489"/>
      <c r="E45" s="489"/>
      <c r="F45" s="489"/>
      <c r="G45" s="40"/>
      <c r="H45" s="40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32"/>
      <c r="AF45" s="236"/>
      <c r="AG45" s="236"/>
    </row>
    <row r="46" spans="1:255" s="154" customFormat="1" x14ac:dyDescent="0.2">
      <c r="A46" s="24"/>
      <c r="B46" s="39"/>
      <c r="C46" s="131"/>
      <c r="D46" s="39"/>
      <c r="E46" s="39"/>
      <c r="F46" s="39"/>
      <c r="G46" s="40"/>
      <c r="H46" s="40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32"/>
      <c r="AF46" s="236"/>
      <c r="AG46" s="236"/>
    </row>
    <row r="47" spans="1:255" s="154" customFormat="1" x14ac:dyDescent="0.2">
      <c r="A47" s="24"/>
      <c r="B47" s="39"/>
      <c r="C47" s="150"/>
      <c r="D47" s="39"/>
      <c r="E47" s="39"/>
      <c r="F47" s="39"/>
      <c r="G47" s="40"/>
      <c r="H47" s="40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  <c r="AF47" s="236"/>
      <c r="AG47" s="236"/>
    </row>
    <row r="48" spans="1:255" s="154" customFormat="1" x14ac:dyDescent="0.2">
      <c r="A48" s="24"/>
      <c r="B48" s="39"/>
      <c r="C48" s="140"/>
      <c r="D48" s="39"/>
      <c r="E48" s="39"/>
      <c r="F48" s="39"/>
      <c r="G48" s="40"/>
      <c r="H48" s="40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236"/>
      <c r="AG48" s="236"/>
    </row>
    <row r="49" spans="1:33" s="154" customFormat="1" x14ac:dyDescent="0.2">
      <c r="A49" s="24"/>
      <c r="B49" s="39"/>
      <c r="C49" s="131"/>
      <c r="D49" s="39"/>
      <c r="E49" s="39"/>
      <c r="F49" s="39"/>
      <c r="G49" s="40"/>
      <c r="H49" s="40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32"/>
      <c r="AF49" s="236"/>
      <c r="AG49" s="236"/>
    </row>
    <row r="50" spans="1:33" s="154" customFormat="1" x14ac:dyDescent="0.2">
      <c r="A50" s="24"/>
      <c r="B50" s="39"/>
      <c r="C50" s="135"/>
      <c r="D50" s="489"/>
      <c r="E50" s="489"/>
      <c r="F50" s="214"/>
      <c r="G50" s="40"/>
      <c r="H50" s="40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236"/>
      <c r="AG50" s="236"/>
    </row>
    <row r="51" spans="1:33" s="154" customFormat="1" x14ac:dyDescent="0.2">
      <c r="A51" s="24"/>
      <c r="B51" s="39"/>
      <c r="C51" s="135"/>
      <c r="D51" s="489"/>
      <c r="E51" s="489"/>
      <c r="F51" s="489"/>
      <c r="G51" s="40"/>
      <c r="H51" s="40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32"/>
      <c r="AF51" s="236"/>
      <c r="AG51" s="236"/>
    </row>
    <row r="52" spans="1:33" s="154" customFormat="1" x14ac:dyDescent="0.2">
      <c r="A52" s="24"/>
      <c r="B52" s="14"/>
      <c r="C52" s="131"/>
      <c r="D52" s="39"/>
      <c r="E52" s="39"/>
      <c r="F52" s="39"/>
      <c r="G52" s="40"/>
      <c r="H52" s="40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236"/>
      <c r="AG52" s="236"/>
    </row>
    <row r="53" spans="1:33" s="154" customFormat="1" x14ac:dyDescent="0.2">
      <c r="A53" s="24"/>
      <c r="B53" s="39"/>
      <c r="C53" s="606"/>
      <c r="D53" s="606"/>
      <c r="E53" s="39"/>
      <c r="F53" s="39"/>
      <c r="G53" s="40"/>
      <c r="H53" s="40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236"/>
      <c r="AG53" s="236"/>
    </row>
    <row r="54" spans="1:33" s="154" customFormat="1" x14ac:dyDescent="0.2">
      <c r="A54" s="24"/>
      <c r="B54" s="39"/>
      <c r="C54" s="131"/>
      <c r="D54" s="131"/>
      <c r="E54" s="39"/>
      <c r="F54" s="39"/>
      <c r="G54" s="40"/>
      <c r="H54" s="40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32"/>
      <c r="AF54" s="236"/>
      <c r="AG54" s="236"/>
    </row>
    <row r="55" spans="1:33" s="154" customFormat="1" x14ac:dyDescent="0.2">
      <c r="A55" s="24"/>
      <c r="B55" s="39"/>
      <c r="C55" s="39"/>
      <c r="D55" s="39"/>
      <c r="E55" s="39"/>
      <c r="F55" s="39"/>
      <c r="G55" s="40"/>
      <c r="H55" s="40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  <c r="AF55" s="236"/>
      <c r="AG55" s="236"/>
    </row>
    <row r="56" spans="1:33" s="154" customFormat="1" x14ac:dyDescent="0.2">
      <c r="A56" s="166"/>
      <c r="B56" s="14"/>
      <c r="C56" s="131"/>
      <c r="D56" s="39"/>
      <c r="E56" s="39"/>
      <c r="F56" s="39"/>
      <c r="G56" s="40"/>
      <c r="H56" s="40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32"/>
      <c r="AF56" s="236"/>
      <c r="AG56" s="236"/>
    </row>
    <row r="57" spans="1:33" s="21" customFormat="1" x14ac:dyDescent="0.2">
      <c r="A57" s="166"/>
      <c r="B57" s="39"/>
      <c r="C57" s="39"/>
      <c r="D57" s="39"/>
      <c r="E57" s="39"/>
      <c r="F57" s="39"/>
      <c r="G57" s="20"/>
      <c r="H57" s="20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4"/>
      <c r="T57" s="34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34"/>
      <c r="AF57" s="132"/>
      <c r="AG57" s="132"/>
    </row>
    <row r="58" spans="1:33" s="21" customFormat="1" x14ac:dyDescent="0.2">
      <c r="A58" s="166"/>
      <c r="B58" s="14"/>
      <c r="C58" s="39"/>
      <c r="D58" s="39"/>
      <c r="E58" s="39"/>
      <c r="F58" s="39"/>
      <c r="G58" s="20"/>
      <c r="H58" s="20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4"/>
      <c r="T58" s="34"/>
      <c r="U58" s="32"/>
      <c r="V58" s="32"/>
      <c r="W58" s="32"/>
      <c r="X58" s="32"/>
      <c r="Y58" s="32"/>
      <c r="Z58" s="32"/>
      <c r="AA58" s="32"/>
      <c r="AB58" s="32"/>
      <c r="AC58" s="32"/>
      <c r="AD58" s="32"/>
      <c r="AE58" s="34"/>
      <c r="AF58" s="132"/>
      <c r="AG58" s="132"/>
    </row>
    <row r="59" spans="1:33" s="21" customFormat="1" x14ac:dyDescent="0.2">
      <c r="A59" s="24"/>
      <c r="B59" s="39"/>
      <c r="C59" s="39"/>
      <c r="D59" s="39"/>
      <c r="E59" s="39"/>
      <c r="F59" s="39"/>
      <c r="G59" s="20"/>
      <c r="H59" s="20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4"/>
      <c r="T59" s="34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4"/>
      <c r="AF59" s="132"/>
      <c r="AG59" s="132"/>
    </row>
    <row r="60" spans="1:33" s="21" customFormat="1" x14ac:dyDescent="0.2">
      <c r="A60" s="166"/>
      <c r="B60" s="39"/>
      <c r="C60" s="39"/>
      <c r="D60" s="39"/>
      <c r="E60" s="39"/>
      <c r="F60" s="39"/>
      <c r="G60" s="20"/>
      <c r="H60" s="20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4"/>
      <c r="T60" s="34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34"/>
      <c r="AF60" s="132"/>
      <c r="AG60" s="132"/>
    </row>
    <row r="61" spans="1:33" s="21" customFormat="1" x14ac:dyDescent="0.2">
      <c r="A61" s="166"/>
      <c r="B61" s="39"/>
      <c r="C61" s="39"/>
      <c r="D61" s="39"/>
      <c r="E61" s="39"/>
      <c r="F61" s="39"/>
      <c r="G61" s="20"/>
      <c r="H61" s="20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4"/>
      <c r="T61" s="34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4"/>
      <c r="AF61" s="132"/>
      <c r="AG61" s="132"/>
    </row>
    <row r="62" spans="1:33" s="21" customFormat="1" x14ac:dyDescent="0.2">
      <c r="A62" s="166"/>
      <c r="B62" s="39"/>
      <c r="C62" s="39"/>
      <c r="D62" s="39"/>
      <c r="E62" s="39"/>
      <c r="F62" s="39"/>
      <c r="G62" s="20"/>
      <c r="H62" s="20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4"/>
      <c r="T62" s="34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4"/>
      <c r="AF62" s="132"/>
      <c r="AG62" s="132"/>
    </row>
    <row r="63" spans="1:33" s="21" customFormat="1" x14ac:dyDescent="0.2">
      <c r="A63" s="166"/>
      <c r="B63" s="39"/>
      <c r="C63" s="39"/>
      <c r="D63" s="39"/>
      <c r="E63" s="39"/>
      <c r="F63" s="39"/>
      <c r="G63" s="20"/>
      <c r="H63" s="20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4"/>
      <c r="T63" s="34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34"/>
      <c r="AF63" s="132"/>
      <c r="AG63" s="132"/>
    </row>
    <row r="64" spans="1:33" s="21" customFormat="1" x14ac:dyDescent="0.2">
      <c r="A64" s="151"/>
      <c r="B64" s="212"/>
      <c r="C64" s="212"/>
      <c r="D64" s="212"/>
      <c r="E64" s="212"/>
      <c r="F64" s="212"/>
      <c r="G64" s="20"/>
      <c r="H64" s="20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4"/>
      <c r="T64" s="34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34"/>
      <c r="AF64" s="132"/>
      <c r="AG64" s="132"/>
    </row>
    <row r="65" spans="1:33" s="21" customFormat="1" x14ac:dyDescent="0.2">
      <c r="A65" s="151"/>
      <c r="B65" s="212"/>
      <c r="C65" s="212"/>
      <c r="D65" s="212"/>
      <c r="E65" s="212"/>
      <c r="F65" s="212"/>
      <c r="G65" s="20"/>
      <c r="H65" s="20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4"/>
      <c r="T65" s="34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4"/>
      <c r="AF65" s="132"/>
      <c r="AG65" s="132"/>
    </row>
    <row r="66" spans="1:33" s="21" customFormat="1" x14ac:dyDescent="0.2">
      <c r="A66" s="151"/>
      <c r="B66" s="212"/>
      <c r="C66" s="212"/>
      <c r="D66" s="144"/>
      <c r="E66" s="144"/>
      <c r="F66" s="144"/>
      <c r="G66" s="20"/>
      <c r="H66" s="20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4"/>
      <c r="T66" s="34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34"/>
      <c r="AF66" s="132"/>
      <c r="AG66" s="132"/>
    </row>
    <row r="67" spans="1:33" s="21" customFormat="1" x14ac:dyDescent="0.2">
      <c r="A67" s="151"/>
      <c r="B67" s="39"/>
      <c r="C67" s="39"/>
      <c r="D67" s="39"/>
      <c r="E67" s="39"/>
      <c r="F67" s="39"/>
      <c r="G67" s="20"/>
      <c r="H67" s="20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4"/>
      <c r="T67" s="34"/>
      <c r="U67" s="32"/>
      <c r="V67" s="32"/>
      <c r="W67" s="32"/>
      <c r="X67" s="32"/>
      <c r="Y67" s="32"/>
      <c r="Z67" s="32"/>
      <c r="AA67" s="32"/>
      <c r="AB67" s="32"/>
      <c r="AC67" s="32"/>
      <c r="AD67" s="32"/>
      <c r="AE67" s="34"/>
      <c r="AF67" s="132"/>
      <c r="AG67" s="132"/>
    </row>
    <row r="68" spans="1:33" s="21" customFormat="1" x14ac:dyDescent="0.2">
      <c r="A68" s="166"/>
      <c r="B68" s="39"/>
      <c r="C68" s="39"/>
      <c r="D68" s="39"/>
      <c r="E68" s="39"/>
      <c r="F68" s="39"/>
      <c r="G68" s="20"/>
      <c r="H68" s="20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4"/>
      <c r="T68" s="34"/>
      <c r="U68" s="32"/>
      <c r="V68" s="32"/>
      <c r="W68" s="32"/>
      <c r="X68" s="32"/>
      <c r="Y68" s="32"/>
      <c r="Z68" s="32"/>
      <c r="AA68" s="32"/>
      <c r="AB68" s="32"/>
      <c r="AC68" s="32"/>
      <c r="AD68" s="32"/>
      <c r="AE68" s="34"/>
      <c r="AF68" s="132"/>
      <c r="AG68" s="132"/>
    </row>
    <row r="69" spans="1:33" s="21" customFormat="1" x14ac:dyDescent="0.2">
      <c r="A69" s="166"/>
      <c r="B69" s="39"/>
      <c r="C69" s="39"/>
      <c r="D69" s="39"/>
      <c r="E69" s="39"/>
      <c r="F69" s="39"/>
      <c r="G69" s="20"/>
      <c r="H69" s="20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4"/>
      <c r="T69" s="34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34"/>
      <c r="AF69" s="132"/>
      <c r="AG69" s="132"/>
    </row>
    <row r="70" spans="1:33" s="21" customFormat="1" x14ac:dyDescent="0.2">
      <c r="A70" s="166"/>
      <c r="B70" s="39"/>
      <c r="C70" s="39"/>
      <c r="D70" s="39"/>
      <c r="E70" s="39"/>
      <c r="F70" s="39"/>
      <c r="G70" s="20"/>
      <c r="H70" s="20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4"/>
      <c r="T70" s="34"/>
      <c r="U70" s="32"/>
      <c r="V70" s="32"/>
      <c r="W70" s="32"/>
      <c r="X70" s="32"/>
      <c r="Y70" s="32"/>
      <c r="Z70" s="32"/>
      <c r="AA70" s="32"/>
      <c r="AB70" s="32"/>
      <c r="AC70" s="32"/>
      <c r="AD70" s="32"/>
      <c r="AE70" s="34"/>
      <c r="AF70" s="132"/>
      <c r="AG70" s="132"/>
    </row>
    <row r="71" spans="1:33" s="21" customFormat="1" x14ac:dyDescent="0.2">
      <c r="A71" s="166"/>
      <c r="B71" s="39"/>
      <c r="C71" s="150"/>
      <c r="D71" s="39"/>
      <c r="E71" s="39"/>
      <c r="F71" s="39"/>
      <c r="G71" s="20"/>
      <c r="H71" s="20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4"/>
      <c r="T71" s="34"/>
      <c r="U71" s="32"/>
      <c r="V71" s="32"/>
      <c r="W71" s="32"/>
      <c r="X71" s="32"/>
      <c r="Y71" s="32"/>
      <c r="Z71" s="32"/>
      <c r="AA71" s="32"/>
      <c r="AB71" s="32"/>
      <c r="AC71" s="32"/>
      <c r="AD71" s="32"/>
      <c r="AE71" s="34"/>
      <c r="AF71" s="132"/>
      <c r="AG71" s="132"/>
    </row>
    <row r="72" spans="1:33" s="21" customFormat="1" x14ac:dyDescent="0.2">
      <c r="A72" s="166"/>
      <c r="B72" s="39"/>
      <c r="C72" s="150"/>
      <c r="D72" s="39"/>
      <c r="E72" s="39"/>
      <c r="F72" s="39"/>
      <c r="G72" s="20"/>
      <c r="H72" s="20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4"/>
      <c r="T72" s="34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34"/>
      <c r="AF72" s="132"/>
      <c r="AG72" s="132"/>
    </row>
    <row r="73" spans="1:33" s="21" customFormat="1" x14ac:dyDescent="0.2">
      <c r="A73" s="151"/>
      <c r="B73" s="39"/>
      <c r="C73" s="39"/>
      <c r="D73" s="39"/>
      <c r="E73" s="39"/>
      <c r="F73" s="39"/>
      <c r="G73" s="20"/>
      <c r="H73" s="20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4"/>
      <c r="T73" s="34"/>
      <c r="U73" s="32"/>
      <c r="V73" s="32"/>
      <c r="W73" s="32"/>
      <c r="X73" s="32"/>
      <c r="Y73" s="32"/>
      <c r="Z73" s="32"/>
      <c r="AA73" s="32"/>
      <c r="AB73" s="32"/>
      <c r="AC73" s="32"/>
      <c r="AD73" s="32"/>
      <c r="AE73" s="34"/>
      <c r="AF73" s="132"/>
      <c r="AG73" s="132"/>
    </row>
    <row r="74" spans="1:33" s="21" customFormat="1" x14ac:dyDescent="0.2">
      <c r="A74" s="166"/>
      <c r="B74" s="39"/>
      <c r="C74" s="39"/>
      <c r="D74" s="39"/>
      <c r="E74" s="39"/>
      <c r="F74" s="39"/>
      <c r="G74" s="20"/>
      <c r="H74" s="20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4"/>
      <c r="T74" s="34"/>
      <c r="U74" s="32"/>
      <c r="V74" s="32"/>
      <c r="W74" s="32"/>
      <c r="X74" s="32"/>
      <c r="Y74" s="32"/>
      <c r="Z74" s="32"/>
      <c r="AA74" s="32"/>
      <c r="AB74" s="32"/>
      <c r="AC74" s="32"/>
      <c r="AD74" s="32"/>
      <c r="AE74" s="34"/>
      <c r="AF74" s="132"/>
      <c r="AG74" s="132"/>
    </row>
    <row r="75" spans="1:33" s="21" customFormat="1" x14ac:dyDescent="0.2">
      <c r="A75" s="166"/>
      <c r="B75" s="39"/>
      <c r="C75" s="39"/>
      <c r="D75" s="39"/>
      <c r="E75" s="39"/>
      <c r="F75" s="39"/>
      <c r="G75" s="20"/>
      <c r="H75" s="20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4"/>
      <c r="T75" s="34"/>
      <c r="U75" s="32"/>
      <c r="V75" s="32"/>
      <c r="W75" s="32"/>
      <c r="X75" s="32"/>
      <c r="Y75" s="32"/>
      <c r="Z75" s="32"/>
      <c r="AA75" s="32"/>
      <c r="AB75" s="32"/>
      <c r="AC75" s="32"/>
      <c r="AD75" s="32"/>
      <c r="AE75" s="34"/>
      <c r="AF75" s="132"/>
      <c r="AG75" s="132"/>
    </row>
    <row r="76" spans="1:33" s="21" customFormat="1" x14ac:dyDescent="0.2">
      <c r="A76" s="151"/>
      <c r="B76" s="39"/>
      <c r="C76" s="39"/>
      <c r="D76" s="39"/>
      <c r="E76" s="39"/>
      <c r="F76" s="39"/>
      <c r="G76" s="20"/>
      <c r="H76" s="20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4"/>
      <c r="T76" s="34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34"/>
      <c r="AF76" s="132"/>
      <c r="AG76" s="132"/>
    </row>
    <row r="77" spans="1:33" s="21" customFormat="1" x14ac:dyDescent="0.2">
      <c r="A77" s="151"/>
      <c r="B77" s="39"/>
      <c r="C77" s="39"/>
      <c r="D77" s="39"/>
      <c r="E77" s="39"/>
      <c r="F77" s="39"/>
      <c r="G77" s="20" t="s">
        <v>261</v>
      </c>
      <c r="H77" s="20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4"/>
      <c r="T77" s="34"/>
      <c r="U77" s="32"/>
      <c r="V77" s="32"/>
      <c r="W77" s="32"/>
      <c r="X77" s="32"/>
      <c r="Y77" s="32"/>
      <c r="Z77" s="32"/>
      <c r="AA77" s="32"/>
      <c r="AB77" s="32"/>
      <c r="AC77" s="32"/>
      <c r="AD77" s="32"/>
      <c r="AE77" s="34"/>
      <c r="AF77" s="132"/>
      <c r="AG77" s="132"/>
    </row>
    <row r="78" spans="1:33" s="21" customFormat="1" x14ac:dyDescent="0.2">
      <c r="A78" s="151"/>
      <c r="B78" s="39"/>
      <c r="C78" s="39"/>
      <c r="D78" s="39"/>
      <c r="E78" s="39"/>
      <c r="F78" s="39"/>
      <c r="G78" s="20"/>
      <c r="H78" s="20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4"/>
      <c r="T78" s="34"/>
      <c r="U78" s="32"/>
      <c r="V78" s="32"/>
      <c r="W78" s="32"/>
      <c r="X78" s="32"/>
      <c r="Y78" s="32"/>
      <c r="Z78" s="32"/>
      <c r="AA78" s="32"/>
      <c r="AB78" s="32"/>
      <c r="AC78" s="32"/>
      <c r="AD78" s="32"/>
      <c r="AE78" s="34"/>
      <c r="AF78" s="132"/>
      <c r="AG78" s="132"/>
    </row>
    <row r="79" spans="1:33" s="21" customFormat="1" x14ac:dyDescent="0.2">
      <c r="A79" s="218"/>
      <c r="B79" s="153"/>
      <c r="C79" s="154"/>
      <c r="D79" s="150"/>
      <c r="E79" s="39"/>
      <c r="F79" s="39"/>
      <c r="G79" s="20"/>
      <c r="H79" s="20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132"/>
      <c r="AG79" s="132"/>
    </row>
    <row r="80" spans="1:33" s="21" customFormat="1" x14ac:dyDescent="0.2">
      <c r="A80" s="7"/>
      <c r="B80" s="153"/>
      <c r="C80" s="154"/>
      <c r="D80" s="150"/>
      <c r="E80" s="566"/>
      <c r="F80" s="566"/>
      <c r="G80" s="22" t="s">
        <v>184</v>
      </c>
      <c r="H80" s="22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132"/>
      <c r="AG80" s="132"/>
    </row>
    <row r="81" spans="1:33" s="21" customFormat="1" x14ac:dyDescent="0.2">
      <c r="A81" s="7"/>
      <c r="B81" s="155"/>
      <c r="C81" s="155"/>
      <c r="D81" s="155"/>
      <c r="E81" s="155"/>
      <c r="F81" s="155"/>
      <c r="G81" s="20"/>
      <c r="H81" s="20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132"/>
      <c r="AG81" s="132"/>
    </row>
    <row r="82" spans="1:33" s="21" customFormat="1" x14ac:dyDescent="0.2">
      <c r="A82" s="7"/>
      <c r="B82" s="3"/>
      <c r="C82" s="4"/>
      <c r="D82" s="5"/>
      <c r="E82" s="155"/>
      <c r="F82" s="155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132"/>
      <c r="AG82" s="132"/>
    </row>
    <row r="83" spans="1:33" s="21" customFormat="1" x14ac:dyDescent="0.2">
      <c r="A83" s="7"/>
      <c r="B83" s="3"/>
      <c r="C83" s="154"/>
      <c r="D83" s="157"/>
      <c r="E83" s="155"/>
      <c r="F83" s="155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132"/>
      <c r="AG83" s="132"/>
    </row>
    <row r="84" spans="1:33" s="21" customFormat="1" x14ac:dyDescent="0.2">
      <c r="A84" s="7"/>
      <c r="B84" s="155"/>
      <c r="C84" s="154"/>
      <c r="D84" s="157"/>
      <c r="E84" s="157"/>
      <c r="F84" s="155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132"/>
      <c r="AG84" s="132"/>
    </row>
    <row r="85" spans="1:33" s="21" customFormat="1" x14ac:dyDescent="0.2">
      <c r="A85" s="7"/>
      <c r="B85" s="155"/>
      <c r="C85" s="39"/>
      <c r="D85" s="154"/>
      <c r="E85" s="154"/>
      <c r="F85" s="155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132"/>
      <c r="AG85" s="132"/>
    </row>
    <row r="86" spans="1:33" s="21" customFormat="1" x14ac:dyDescent="0.2">
      <c r="A86" s="7"/>
      <c r="B86" s="155"/>
      <c r="C86" s="154"/>
      <c r="D86" s="39"/>
      <c r="E86" s="154"/>
      <c r="F86" s="155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132"/>
      <c r="AG86" s="132"/>
    </row>
    <row r="87" spans="1:33" s="21" customFormat="1" x14ac:dyDescent="0.2">
      <c r="A87" s="7"/>
      <c r="B87" s="155"/>
      <c r="C87" s="39"/>
      <c r="D87" s="158"/>
      <c r="E87" s="154"/>
      <c r="F87" s="155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132"/>
      <c r="AG87" s="132"/>
    </row>
    <row r="88" spans="1:33" s="21" customFormat="1" x14ac:dyDescent="0.2">
      <c r="A88" s="7"/>
      <c r="B88" s="155"/>
      <c r="C88" s="39"/>
      <c r="D88" s="158"/>
      <c r="E88" s="154"/>
      <c r="F88" s="155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132"/>
      <c r="AG88" s="132"/>
    </row>
    <row r="89" spans="1:33" s="21" customFormat="1" x14ac:dyDescent="0.2">
      <c r="A89" s="7"/>
      <c r="B89" s="155"/>
      <c r="C89" s="154"/>
      <c r="D89" s="39"/>
      <c r="E89" s="154"/>
      <c r="F89" s="155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132"/>
      <c r="AG89" s="132"/>
    </row>
    <row r="90" spans="1:33" s="21" customFormat="1" x14ac:dyDescent="0.2">
      <c r="A90" s="7"/>
      <c r="B90" s="155"/>
      <c r="C90" s="154"/>
      <c r="D90" s="154"/>
      <c r="E90" s="154"/>
      <c r="F90" s="154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132"/>
      <c r="AG90" s="132"/>
    </row>
    <row r="91" spans="1:33" s="21" customFormat="1" x14ac:dyDescent="0.2">
      <c r="A91" s="7"/>
      <c r="B91" s="155"/>
      <c r="C91" s="39"/>
      <c r="D91" s="525"/>
      <c r="E91" s="526"/>
      <c r="F91" s="526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132"/>
      <c r="AG91" s="132"/>
    </row>
    <row r="92" spans="1:33" s="21" customFormat="1" x14ac:dyDescent="0.2">
      <c r="A92" s="7"/>
      <c r="B92" s="155"/>
      <c r="C92" s="154"/>
      <c r="D92" s="158"/>
      <c r="E92" s="154"/>
      <c r="F92" s="154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132"/>
      <c r="AG92" s="132"/>
    </row>
    <row r="93" spans="1:33" s="21" customFormat="1" x14ac:dyDescent="0.2">
      <c r="A93" s="7"/>
      <c r="B93" s="155"/>
      <c r="C93" s="154"/>
      <c r="D93" s="158"/>
      <c r="E93" s="154"/>
      <c r="F93" s="154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132"/>
      <c r="AG93" s="132"/>
    </row>
    <row r="94" spans="1:33" s="21" customFormat="1" x14ac:dyDescent="0.2">
      <c r="A94" s="7"/>
      <c r="B94" s="3"/>
      <c r="C94" s="4"/>
      <c r="D94" s="157"/>
      <c r="E94" s="154"/>
      <c r="F94" s="154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132"/>
      <c r="AG94" s="132"/>
    </row>
    <row r="95" spans="1:33" s="21" customFormat="1" x14ac:dyDescent="0.2">
      <c r="A95" s="7"/>
      <c r="B95" s="155"/>
      <c r="C95" s="154"/>
      <c r="D95" s="154"/>
      <c r="E95" s="154"/>
      <c r="F95" s="154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132"/>
      <c r="AG95" s="132"/>
    </row>
    <row r="96" spans="1:33" s="21" customFormat="1" x14ac:dyDescent="0.2">
      <c r="A96" s="7"/>
      <c r="B96" s="155"/>
      <c r="C96" s="154"/>
      <c r="D96" s="163"/>
      <c r="E96" s="154"/>
      <c r="F96" s="154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132"/>
      <c r="AG96" s="132"/>
    </row>
    <row r="97" spans="1:33" s="21" customFormat="1" x14ac:dyDescent="0.2">
      <c r="A97" s="7"/>
      <c r="B97" s="155"/>
      <c r="C97" s="154"/>
      <c r="D97" s="164"/>
      <c r="E97" s="154"/>
      <c r="F97" s="154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132"/>
      <c r="AG97" s="132"/>
    </row>
    <row r="98" spans="1:33" s="21" customFormat="1" x14ac:dyDescent="0.2">
      <c r="A98" s="7"/>
      <c r="B98" s="155"/>
      <c r="C98" s="154"/>
      <c r="D98" s="164"/>
      <c r="E98" s="154"/>
      <c r="F98" s="154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132"/>
      <c r="AG98" s="132"/>
    </row>
    <row r="99" spans="1:33" s="21" customFormat="1" x14ac:dyDescent="0.2">
      <c r="A99" s="7"/>
      <c r="B99" s="155"/>
      <c r="C99" s="154"/>
      <c r="D99" s="163"/>
      <c r="E99" s="154"/>
      <c r="F99" s="154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132"/>
      <c r="AG99" s="132"/>
    </row>
    <row r="100" spans="1:33" s="21" customFormat="1" x14ac:dyDescent="0.2">
      <c r="A100" s="7"/>
      <c r="B100" s="155"/>
      <c r="C100" s="154"/>
      <c r="D100" s="164"/>
      <c r="E100" s="154"/>
      <c r="F100" s="154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132"/>
      <c r="AG100" s="132"/>
    </row>
    <row r="101" spans="1:33" s="21" customFormat="1" x14ac:dyDescent="0.2">
      <c r="A101" s="7"/>
      <c r="B101" s="155"/>
      <c r="C101" s="154"/>
      <c r="D101" s="164"/>
      <c r="E101" s="154"/>
      <c r="F101" s="154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132"/>
      <c r="AG101" s="132"/>
    </row>
    <row r="102" spans="1:33" s="21" customFormat="1" x14ac:dyDescent="0.2">
      <c r="A102" s="7"/>
      <c r="B102" s="155"/>
      <c r="C102" s="154"/>
      <c r="D102" s="154"/>
      <c r="E102" s="154"/>
      <c r="F102" s="154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132"/>
      <c r="AG102" s="132"/>
    </row>
    <row r="103" spans="1:33" s="21" customFormat="1" x14ac:dyDescent="0.2">
      <c r="A103" s="7"/>
      <c r="B103" s="155"/>
      <c r="C103" s="39"/>
      <c r="D103" s="158"/>
      <c r="E103" s="154"/>
      <c r="F103" s="154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132"/>
      <c r="AG103" s="132"/>
    </row>
    <row r="104" spans="1:33" s="21" customFormat="1" x14ac:dyDescent="0.2">
      <c r="A104" s="7"/>
      <c r="B104" s="155"/>
      <c r="C104" s="39"/>
      <c r="D104" s="158"/>
      <c r="E104" s="154"/>
      <c r="F104" s="154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132"/>
      <c r="AG104" s="132"/>
    </row>
    <row r="105" spans="1:33" s="21" customFormat="1" x14ac:dyDescent="0.2">
      <c r="A105" s="7"/>
      <c r="B105" s="155"/>
      <c r="C105" s="154"/>
      <c r="D105" s="154"/>
      <c r="E105" s="154"/>
      <c r="F105" s="154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132"/>
      <c r="AG105" s="132"/>
    </row>
    <row r="106" spans="1:33" s="21" customFormat="1" x14ac:dyDescent="0.2">
      <c r="A106" s="7"/>
      <c r="B106" s="155"/>
      <c r="C106" s="39"/>
      <c r="D106" s="525"/>
      <c r="E106" s="526"/>
      <c r="F106" s="526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132"/>
      <c r="AG106" s="132"/>
    </row>
    <row r="107" spans="1:33" s="21" customFormat="1" x14ac:dyDescent="0.2">
      <c r="A107" s="7"/>
      <c r="B107" s="155"/>
      <c r="C107" s="154"/>
      <c r="D107" s="158"/>
      <c r="E107" s="154"/>
      <c r="F107" s="154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132"/>
      <c r="AG107" s="132"/>
    </row>
    <row r="108" spans="1:33" s="21" customFormat="1" x14ac:dyDescent="0.2">
      <c r="A108" s="7"/>
      <c r="B108" s="155"/>
      <c r="C108" s="154"/>
      <c r="D108" s="164"/>
      <c r="E108" s="154"/>
      <c r="F108" s="154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132"/>
      <c r="AG108" s="132"/>
    </row>
    <row r="109" spans="1:33" s="21" customFormat="1" x14ac:dyDescent="0.2">
      <c r="A109" s="7"/>
      <c r="B109" s="155"/>
      <c r="C109" s="154"/>
      <c r="D109" s="164"/>
      <c r="E109" s="154"/>
      <c r="F109" s="154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132"/>
      <c r="AG109" s="132"/>
    </row>
    <row r="110" spans="1:33" s="21" customFormat="1" x14ac:dyDescent="0.2">
      <c r="A110" s="7"/>
      <c r="B110" s="155"/>
      <c r="C110" s="154"/>
      <c r="D110" s="158"/>
      <c r="E110" s="154"/>
      <c r="F110" s="154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132"/>
      <c r="AG110" s="132"/>
    </row>
    <row r="111" spans="1:33" s="21" customFormat="1" x14ac:dyDescent="0.2">
      <c r="A111" s="7"/>
      <c r="B111" s="155"/>
      <c r="C111" s="154"/>
      <c r="D111" s="164"/>
      <c r="E111" s="154"/>
      <c r="F111" s="154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132"/>
      <c r="AG111" s="132"/>
    </row>
    <row r="112" spans="1:33" s="21" customFormat="1" x14ac:dyDescent="0.2">
      <c r="A112" s="7"/>
      <c r="B112" s="155"/>
      <c r="C112" s="154"/>
      <c r="D112" s="164"/>
      <c r="E112" s="154"/>
      <c r="F112" s="154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132"/>
      <c r="AG112" s="132"/>
    </row>
    <row r="113" spans="1:33" s="21" customFormat="1" x14ac:dyDescent="0.2">
      <c r="A113" s="7"/>
      <c r="B113" s="3"/>
      <c r="C113" s="4"/>
      <c r="D113" s="157"/>
      <c r="E113" s="154"/>
      <c r="F113" s="154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132"/>
      <c r="AG113" s="132"/>
    </row>
    <row r="114" spans="1:33" s="21" customFormat="1" x14ac:dyDescent="0.2">
      <c r="A114" s="7"/>
      <c r="B114" s="155"/>
      <c r="C114" s="154"/>
      <c r="D114" s="157"/>
      <c r="E114" s="154"/>
      <c r="F114" s="154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132"/>
      <c r="AG114" s="132"/>
    </row>
    <row r="115" spans="1:33" s="21" customFormat="1" x14ac:dyDescent="0.2">
      <c r="A115" s="7"/>
      <c r="B115" s="155"/>
      <c r="C115" s="154"/>
      <c r="D115" s="157"/>
      <c r="E115" s="154"/>
      <c r="F115" s="154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132"/>
      <c r="AG115" s="132"/>
    </row>
    <row r="116" spans="1:33" s="21" customFormat="1" x14ac:dyDescent="0.2">
      <c r="A116" s="7"/>
      <c r="B116" s="155"/>
      <c r="C116" s="154"/>
      <c r="D116" s="157"/>
      <c r="E116" s="154"/>
      <c r="F116" s="154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132"/>
      <c r="AG116" s="132"/>
    </row>
    <row r="117" spans="1:33" s="21" customFormat="1" x14ac:dyDescent="0.2">
      <c r="A117" s="7"/>
      <c r="B117" s="155"/>
      <c r="C117" s="39"/>
      <c r="D117" s="525"/>
      <c r="E117" s="526"/>
      <c r="F117" s="526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132"/>
      <c r="AG117" s="132"/>
    </row>
    <row r="118" spans="1:33" s="21" customFormat="1" x14ac:dyDescent="0.2">
      <c r="A118" s="7"/>
      <c r="B118" s="155"/>
      <c r="C118" s="154"/>
      <c r="D118" s="158"/>
      <c r="E118" s="154"/>
      <c r="F118" s="126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132"/>
      <c r="AG118" s="132"/>
    </row>
    <row r="119" spans="1:33" s="21" customFormat="1" x14ac:dyDescent="0.2">
      <c r="A119" s="7"/>
      <c r="B119" s="155"/>
      <c r="C119" s="154"/>
      <c r="D119" s="158"/>
      <c r="E119" s="154"/>
      <c r="F119" s="126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132"/>
      <c r="AG119" s="132"/>
    </row>
    <row r="120" spans="1:33" s="21" customFormat="1" x14ac:dyDescent="0.2">
      <c r="A120" s="7"/>
      <c r="B120" s="6"/>
      <c r="C120" s="7"/>
      <c r="D120" s="154"/>
      <c r="E120" s="154"/>
      <c r="F120" s="154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132"/>
      <c r="AG120" s="132"/>
    </row>
    <row r="121" spans="1:33" s="21" customFormat="1" x14ac:dyDescent="0.2">
      <c r="A121" s="7"/>
      <c r="B121" s="153"/>
      <c r="C121" s="154"/>
      <c r="D121" s="154"/>
      <c r="E121" s="154"/>
      <c r="F121" s="154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132"/>
      <c r="AG121" s="132"/>
    </row>
    <row r="122" spans="1:33" s="21" customFormat="1" x14ac:dyDescent="0.2">
      <c r="A122" s="7"/>
      <c r="B122" s="153"/>
      <c r="C122" s="154"/>
      <c r="D122" s="158"/>
      <c r="E122" s="154"/>
      <c r="F122" s="154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132"/>
      <c r="AG122" s="132"/>
    </row>
    <row r="123" spans="1:33" s="21" customFormat="1" x14ac:dyDescent="0.2">
      <c r="A123" s="7"/>
      <c r="B123" s="153"/>
      <c r="C123" s="154"/>
      <c r="D123" s="158"/>
      <c r="E123" s="154"/>
      <c r="F123" s="154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132"/>
      <c r="AG123" s="132"/>
    </row>
    <row r="124" spans="1:33" s="21" customFormat="1" x14ac:dyDescent="0.2">
      <c r="A124" s="7"/>
      <c r="B124" s="153"/>
      <c r="C124" s="154"/>
      <c r="D124" s="150"/>
      <c r="E124" s="566"/>
      <c r="F124" s="566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132"/>
      <c r="AG124" s="132"/>
    </row>
    <row r="125" spans="1:33" x14ac:dyDescent="0.2">
      <c r="A125" s="7"/>
      <c r="B125" s="153"/>
      <c r="C125" s="154"/>
      <c r="D125" s="39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122"/>
      <c r="AF125" s="123"/>
      <c r="AG125" s="123"/>
    </row>
    <row r="126" spans="1:33" x14ac:dyDescent="0.2">
      <c r="A126" s="7"/>
      <c r="B126" s="153"/>
      <c r="C126" s="154"/>
      <c r="D126" s="150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122"/>
      <c r="AF126" s="123"/>
      <c r="AG126" s="123"/>
    </row>
    <row r="127" spans="1:33" x14ac:dyDescent="0.2">
      <c r="A127" s="7"/>
      <c r="B127" s="153"/>
      <c r="C127" s="154"/>
      <c r="D127" s="150"/>
      <c r="E127" s="39"/>
      <c r="F127" s="39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122"/>
      <c r="AF127" s="123"/>
      <c r="AG127" s="123"/>
    </row>
    <row r="128" spans="1:33" x14ac:dyDescent="0.2">
      <c r="A128" s="7"/>
      <c r="B128" s="153"/>
      <c r="C128" s="154"/>
      <c r="D128" s="150"/>
      <c r="E128" s="566"/>
      <c r="F128" s="566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122"/>
      <c r="AF128" s="123"/>
      <c r="AG128" s="123"/>
    </row>
    <row r="129" spans="1:33" x14ac:dyDescent="0.2">
      <c r="A129" s="154"/>
      <c r="B129" s="565"/>
      <c r="C129" s="565"/>
      <c r="D129" s="565"/>
      <c r="E129" s="565"/>
      <c r="F129" s="565"/>
      <c r="G129" s="20"/>
      <c r="H129" s="20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122"/>
      <c r="AF129" s="123"/>
      <c r="AG129" s="123"/>
    </row>
    <row r="130" spans="1:33" x14ac:dyDescent="0.2">
      <c r="A130" s="21"/>
      <c r="B130" s="21"/>
      <c r="C130" s="21"/>
      <c r="D130" s="21"/>
      <c r="E130" s="21"/>
      <c r="F130" s="21"/>
      <c r="G130" s="20"/>
      <c r="H130" s="20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 t="s">
        <v>184</v>
      </c>
      <c r="V130" s="34"/>
      <c r="W130" s="34"/>
      <c r="X130" s="34"/>
      <c r="Y130" s="34"/>
      <c r="Z130" s="34"/>
      <c r="AA130" s="34"/>
      <c r="AB130" s="34"/>
      <c r="AC130" s="34"/>
      <c r="AD130" s="34"/>
      <c r="AE130" s="122"/>
      <c r="AF130" s="123"/>
      <c r="AG130" s="123"/>
    </row>
    <row r="131" spans="1:33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</row>
    <row r="132" spans="1:33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</row>
    <row r="133" spans="1:33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</row>
    <row r="134" spans="1:33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</row>
    <row r="135" spans="1:33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</row>
    <row r="136" spans="1:33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</row>
    <row r="137" spans="1:33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</row>
    <row r="138" spans="1:33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</row>
    <row r="139" spans="1:33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</row>
    <row r="140" spans="1:33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</row>
    <row r="141" spans="1:33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</row>
    <row r="142" spans="1:33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</row>
    <row r="143" spans="1:33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</row>
    <row r="144" spans="1:33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</row>
    <row r="145" spans="1:30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</row>
    <row r="146" spans="1:30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</row>
    <row r="147" spans="1:30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</row>
    <row r="148" spans="1:30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</row>
    <row r="149" spans="1:30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</row>
    <row r="150" spans="1:30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</row>
    <row r="151" spans="1:30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</row>
    <row r="152" spans="1:30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</row>
    <row r="153" spans="1:30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</row>
    <row r="154" spans="1:30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</row>
    <row r="155" spans="1:30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</row>
    <row r="156" spans="1:30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</row>
    <row r="157" spans="1:30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</row>
    <row r="158" spans="1:30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</row>
    <row r="159" spans="1:30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</row>
    <row r="160" spans="1:30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</row>
    <row r="161" spans="1:30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</row>
    <row r="162" spans="1:30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</row>
    <row r="163" spans="1:30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</row>
    <row r="164" spans="1:30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</row>
    <row r="165" spans="1:30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</row>
    <row r="166" spans="1:30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</row>
    <row r="167" spans="1:30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</row>
    <row r="168" spans="1:30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</row>
    <row r="169" spans="1:30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</row>
    <row r="170" spans="1:30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</row>
    <row r="171" spans="1:30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</row>
    <row r="172" spans="1:30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</row>
    <row r="173" spans="1:30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</row>
    <row r="174" spans="1:30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</row>
    <row r="175" spans="1:30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</row>
    <row r="176" spans="1:30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</row>
    <row r="177" spans="1:30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</row>
    <row r="178" spans="1:30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</row>
    <row r="179" spans="1:30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</row>
    <row r="180" spans="1:30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</row>
    <row r="181" spans="1:30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</row>
    <row r="182" spans="1:30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</row>
    <row r="183" spans="1:30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</row>
    <row r="184" spans="1:30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</row>
    <row r="185" spans="1:30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</row>
    <row r="186" spans="1:30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</row>
    <row r="187" spans="1:30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</row>
    <row r="188" spans="1:30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</row>
    <row r="189" spans="1:30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</row>
    <row r="190" spans="1:30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</row>
    <row r="191" spans="1:30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</row>
    <row r="192" spans="1:30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</row>
    <row r="193" spans="1:30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</row>
    <row r="194" spans="1:30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</row>
    <row r="195" spans="1:30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</row>
    <row r="196" spans="1:30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</row>
    <row r="197" spans="1:30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</row>
    <row r="198" spans="1:30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</row>
    <row r="199" spans="1:30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</row>
    <row r="200" spans="1:30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</row>
    <row r="201" spans="1:30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</row>
    <row r="202" spans="1:30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</row>
    <row r="203" spans="1:30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</row>
    <row r="204" spans="1:30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</row>
    <row r="205" spans="1:30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</row>
    <row r="206" spans="1:30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</row>
    <row r="207" spans="1:30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</row>
    <row r="208" spans="1:30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</row>
    <row r="209" spans="1:30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</row>
    <row r="210" spans="1:30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</row>
    <row r="211" spans="1:30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</row>
    <row r="212" spans="1:30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</row>
    <row r="213" spans="1:30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</row>
    <row r="214" spans="1:30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</row>
    <row r="215" spans="1:30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</row>
    <row r="216" spans="1:30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</row>
    <row r="217" spans="1:30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</row>
    <row r="218" spans="1:30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</row>
    <row r="219" spans="1:30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</row>
    <row r="220" spans="1:30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</row>
    <row r="221" spans="1:30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</row>
    <row r="222" spans="1:30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</row>
    <row r="223" spans="1:30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</row>
    <row r="224" spans="1:30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</row>
    <row r="225" spans="1:30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</row>
    <row r="226" spans="1:30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</row>
    <row r="227" spans="1:30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</row>
    <row r="228" spans="1:30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</row>
    <row r="229" spans="1:30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</row>
    <row r="230" spans="1:30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</row>
    <row r="231" spans="1:30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</row>
    <row r="232" spans="1:30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</row>
    <row r="233" spans="1:30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</row>
    <row r="234" spans="1:30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</row>
    <row r="235" spans="1:30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</row>
    <row r="236" spans="1:30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</row>
    <row r="237" spans="1:30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</row>
    <row r="238" spans="1:30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</row>
    <row r="239" spans="1:30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</row>
    <row r="240" spans="1:30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</row>
    <row r="241" spans="1:30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</row>
    <row r="242" spans="1:30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</row>
    <row r="243" spans="1:30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</row>
    <row r="244" spans="1:30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</row>
    <row r="245" spans="1:30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</row>
    <row r="246" spans="1:30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</row>
    <row r="247" spans="1:30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</row>
    <row r="248" spans="1:30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</row>
    <row r="249" spans="1:30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</row>
    <row r="250" spans="1:30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</row>
    <row r="251" spans="1:30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</row>
    <row r="252" spans="1:30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</row>
    <row r="253" spans="1:30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</row>
    <row r="254" spans="1:30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</row>
    <row r="255" spans="1:30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</row>
  </sheetData>
  <sheetProtection password="BFC4" sheet="1" objects="1" scenarios="1" selectLockedCells="1"/>
  <mergeCells count="42">
    <mergeCell ref="D45:F45"/>
    <mergeCell ref="Q5:R5"/>
    <mergeCell ref="S5:T5"/>
    <mergeCell ref="M7:N8"/>
    <mergeCell ref="D44:F44"/>
    <mergeCell ref="C43:D43"/>
    <mergeCell ref="W6:X8"/>
    <mergeCell ref="O7:P8"/>
    <mergeCell ref="K6:T6"/>
    <mergeCell ref="W5:X5"/>
    <mergeCell ref="G5:G9"/>
    <mergeCell ref="M5:N5"/>
    <mergeCell ref="AA5:AB5"/>
    <mergeCell ref="C53:D53"/>
    <mergeCell ref="Q7:R8"/>
    <mergeCell ref="K7:L8"/>
    <mergeCell ref="S7:T8"/>
    <mergeCell ref="D50:E50"/>
    <mergeCell ref="H5:H9"/>
    <mergeCell ref="D51:F51"/>
    <mergeCell ref="A5:F9"/>
    <mergeCell ref="I5:J5"/>
    <mergeCell ref="A1:AD1"/>
    <mergeCell ref="A2:AD2"/>
    <mergeCell ref="AC6:AD8"/>
    <mergeCell ref="A3:AD3"/>
    <mergeCell ref="Y6:Z8"/>
    <mergeCell ref="O5:P5"/>
    <mergeCell ref="K5:L5"/>
    <mergeCell ref="U5:V5"/>
    <mergeCell ref="AA6:AB8"/>
    <mergeCell ref="Y5:Z5"/>
    <mergeCell ref="AC5:AD5"/>
    <mergeCell ref="I6:J8"/>
    <mergeCell ref="B129:F129"/>
    <mergeCell ref="E80:F80"/>
    <mergeCell ref="D91:F91"/>
    <mergeCell ref="D106:F106"/>
    <mergeCell ref="D117:F117"/>
    <mergeCell ref="E124:F124"/>
    <mergeCell ref="E128:F128"/>
    <mergeCell ref="U6:V8"/>
  </mergeCells>
  <phoneticPr fontId="0" type="noConversion"/>
  <dataValidations count="1">
    <dataValidation type="decimal" operator="lessThan" allowBlank="1" showInputMessage="1" showErrorMessage="1" sqref="I10:FN587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7c4&amp;8&amp;U
&amp;P of &amp;N&amp;C&amp;"Arial,Bold"&amp;8 ALLIED BANKING CORP  [ 02-000000 ]
 As of: January 31, 2008</oddHeader>
  </headerFooter>
  <drawing r:id="rId2"/>
  <legacyDrawing r:id="rId3"/>
  <controls>
    <mc:AlternateContent xmlns:mc="http://schemas.openxmlformats.org/markup-compatibility/2006">
      <mc:Choice Requires="x14">
        <control shapeId="18433" r:id="rId4" name="Label1">
          <controlPr defaultSize="0" autoLine="0" r:id="rId5">
            <anchor moveWithCells="1">
              <from>
                <xdr:col>7</xdr:col>
                <xdr:colOff>238125</xdr:colOff>
                <xdr:row>17</xdr:row>
                <xdr:rowOff>28575</xdr:rowOff>
              </from>
              <to>
                <xdr:col>7</xdr:col>
                <xdr:colOff>647700</xdr:colOff>
                <xdr:row>18</xdr:row>
                <xdr:rowOff>28575</xdr:rowOff>
              </to>
            </anchor>
          </controlPr>
        </control>
      </mc:Choice>
      <mc:Fallback>
        <control shapeId="18433" r:id="rId4" name="Label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IB253"/>
  <sheetViews>
    <sheetView topLeftCell="A2" zoomScale="75" zoomScaleNormal="90" zoomScaleSheetLayoutView="75" workbookViewId="0">
      <pane xSplit="8" ySplit="8" topLeftCell="I10" activePane="bottomRight" state="frozen"/>
      <selection activeCell="A5" sqref="A5"/>
      <selection pane="topRight" activeCell="I5" sqref="I5"/>
      <selection pane="bottomLeft" activeCell="A10" sqref="A10"/>
      <selection pane="bottomRight" activeCell="E17" sqref="E17"/>
    </sheetView>
  </sheetViews>
  <sheetFormatPr defaultRowHeight="11.25" customHeight="1" x14ac:dyDescent="0.2"/>
  <cols>
    <col min="1" max="1" width="2.7109375" style="1" customWidth="1"/>
    <col min="2" max="2" width="3.5703125" style="1" customWidth="1"/>
    <col min="3" max="4" width="3" style="1" customWidth="1"/>
    <col min="5" max="5" width="43.140625" style="1" customWidth="1"/>
    <col min="6" max="6" width="41" style="1" hidden="1" customWidth="1"/>
    <col min="7" max="7" width="18.140625" style="9" customWidth="1"/>
    <col min="8" max="8" width="9.85546875" style="9" customWidth="1"/>
    <col min="9" max="13" width="20.7109375" style="1" customWidth="1"/>
    <col min="14" max="15" width="20.7109375" style="1" hidden="1" customWidth="1"/>
    <col min="16" max="21" width="20.7109375" style="1" customWidth="1"/>
    <col min="22" max="23" width="20.7109375" style="1" hidden="1" customWidth="1"/>
    <col min="24" max="29" width="20.7109375" style="1" customWidth="1"/>
    <col min="30" max="31" width="20.7109375" style="1" hidden="1" customWidth="1"/>
    <col min="32" max="37" width="20.7109375" style="1" customWidth="1"/>
    <col min="38" max="39" width="20.7109375" style="1" hidden="1" customWidth="1"/>
    <col min="40" max="40" width="20.7109375" style="1" customWidth="1"/>
    <col min="41" max="154" width="25.7109375" style="1" customWidth="1"/>
    <col min="155" max="16384" width="9.140625" style="1"/>
  </cols>
  <sheetData>
    <row r="1" spans="1:40" ht="11.25" customHeight="1" x14ac:dyDescent="0.2">
      <c r="A1" s="616"/>
      <c r="B1" s="616"/>
      <c r="C1" s="616"/>
      <c r="D1" s="616"/>
      <c r="E1" s="616"/>
      <c r="F1" s="616"/>
      <c r="G1" s="616"/>
      <c r="H1" s="616"/>
      <c r="I1" s="616"/>
      <c r="J1" s="616"/>
      <c r="K1" s="616"/>
      <c r="L1" s="616"/>
      <c r="M1" s="616"/>
      <c r="N1" s="616"/>
      <c r="O1" s="616"/>
      <c r="P1" s="616"/>
      <c r="Q1" s="616"/>
      <c r="R1" s="616"/>
      <c r="S1" s="616"/>
      <c r="T1" s="616"/>
      <c r="U1" s="616"/>
      <c r="V1" s="616"/>
      <c r="W1" s="616"/>
      <c r="X1" s="616"/>
      <c r="Y1" s="616"/>
      <c r="Z1" s="616"/>
      <c r="AA1" s="616"/>
      <c r="AB1" s="616"/>
      <c r="AC1" s="616"/>
      <c r="AD1" s="616"/>
      <c r="AE1" s="616"/>
      <c r="AF1" s="616"/>
      <c r="AG1" s="616"/>
      <c r="AH1" s="616"/>
      <c r="AI1" s="616"/>
      <c r="AJ1" s="616"/>
      <c r="AK1" s="616"/>
      <c r="AL1" s="616"/>
      <c r="AM1" s="616"/>
      <c r="AN1" s="616"/>
    </row>
    <row r="2" spans="1:40" ht="11.25" customHeight="1" x14ac:dyDescent="0.2">
      <c r="A2" s="512" t="s">
        <v>419</v>
      </c>
      <c r="B2" s="512"/>
      <c r="C2" s="512"/>
      <c r="D2" s="512"/>
      <c r="E2" s="512"/>
      <c r="F2" s="512"/>
      <c r="G2" s="512"/>
      <c r="H2" s="512"/>
      <c r="I2" s="512"/>
      <c r="J2" s="512"/>
      <c r="K2" s="512"/>
      <c r="L2" s="512"/>
      <c r="M2" s="512"/>
      <c r="N2" s="512"/>
      <c r="O2" s="512"/>
      <c r="P2" s="512"/>
      <c r="Q2" s="512"/>
      <c r="R2" s="512"/>
      <c r="S2" s="512"/>
      <c r="T2" s="512"/>
      <c r="U2" s="512"/>
      <c r="V2" s="512"/>
      <c r="W2" s="512"/>
      <c r="X2" s="512"/>
      <c r="Y2" s="512"/>
      <c r="Z2" s="512"/>
      <c r="AA2" s="512"/>
      <c r="AB2" s="512"/>
      <c r="AC2" s="512"/>
      <c r="AD2" s="512"/>
      <c r="AE2" s="512"/>
      <c r="AF2" s="512"/>
      <c r="AG2" s="512"/>
      <c r="AH2" s="512"/>
      <c r="AI2" s="512"/>
      <c r="AJ2" s="512"/>
      <c r="AK2" s="512"/>
      <c r="AL2" s="512"/>
      <c r="AM2" s="512"/>
      <c r="AN2" s="512"/>
    </row>
    <row r="3" spans="1:40" ht="11.25" hidden="1" customHeight="1" x14ac:dyDescent="0.2"/>
    <row r="4" spans="1:40" ht="11.25" hidden="1" customHeight="1" x14ac:dyDescent="0.2"/>
    <row r="5" spans="1:40" ht="11.25" hidden="1" customHeight="1" x14ac:dyDescent="0.2"/>
    <row r="6" spans="1:40" s="15" customFormat="1" ht="11.25" customHeight="1" x14ac:dyDescent="0.2"/>
    <row r="7" spans="1:40" s="11" customFormat="1" ht="11.25" customHeight="1" x14ac:dyDescent="0.2">
      <c r="A7" s="504" t="s">
        <v>0</v>
      </c>
      <c r="B7" s="505"/>
      <c r="C7" s="505"/>
      <c r="D7" s="505"/>
      <c r="E7" s="505"/>
      <c r="F7" s="506"/>
      <c r="G7" s="496" t="s">
        <v>2</v>
      </c>
      <c r="H7" s="493" t="s">
        <v>414</v>
      </c>
      <c r="I7" s="518" t="s">
        <v>354</v>
      </c>
      <c r="J7" s="519"/>
      <c r="K7" s="519"/>
      <c r="L7" s="519"/>
      <c r="M7" s="519"/>
      <c r="N7" s="519"/>
      <c r="O7" s="519"/>
      <c r="P7" s="520"/>
      <c r="Q7" s="518" t="s">
        <v>564</v>
      </c>
      <c r="R7" s="519"/>
      <c r="S7" s="519"/>
      <c r="T7" s="519"/>
      <c r="U7" s="519"/>
      <c r="V7" s="519"/>
      <c r="W7" s="519"/>
      <c r="X7" s="520"/>
      <c r="Y7" s="518" t="s">
        <v>395</v>
      </c>
      <c r="Z7" s="519"/>
      <c r="AA7" s="519"/>
      <c r="AB7" s="519"/>
      <c r="AC7" s="519"/>
      <c r="AD7" s="519"/>
      <c r="AE7" s="519"/>
      <c r="AF7" s="520"/>
      <c r="AG7" s="518" t="s">
        <v>396</v>
      </c>
      <c r="AH7" s="519"/>
      <c r="AI7" s="519"/>
      <c r="AJ7" s="519"/>
      <c r="AK7" s="519"/>
      <c r="AL7" s="519"/>
      <c r="AM7" s="519"/>
      <c r="AN7" s="520"/>
    </row>
    <row r="8" spans="1:40" s="2" customFormat="1" ht="11.25" customHeight="1" x14ac:dyDescent="0.2">
      <c r="A8" s="507"/>
      <c r="B8" s="508"/>
      <c r="C8" s="508"/>
      <c r="D8" s="508"/>
      <c r="E8" s="508"/>
      <c r="F8" s="509"/>
      <c r="G8" s="497"/>
      <c r="H8" s="494"/>
      <c r="I8" s="497" t="s">
        <v>3</v>
      </c>
      <c r="J8" s="491" t="s">
        <v>4</v>
      </c>
      <c r="K8" s="492"/>
      <c r="L8" s="491" t="s">
        <v>7</v>
      </c>
      <c r="M8" s="510"/>
      <c r="N8" s="491" t="s">
        <v>391</v>
      </c>
      <c r="O8" s="510"/>
      <c r="P8" s="497" t="s">
        <v>68</v>
      </c>
      <c r="Q8" s="497" t="s">
        <v>3</v>
      </c>
      <c r="R8" s="491" t="s">
        <v>4</v>
      </c>
      <c r="S8" s="492"/>
      <c r="T8" s="491" t="s">
        <v>7</v>
      </c>
      <c r="U8" s="510"/>
      <c r="V8" s="491" t="s">
        <v>391</v>
      </c>
      <c r="W8" s="510"/>
      <c r="X8" s="497" t="s">
        <v>68</v>
      </c>
      <c r="Y8" s="497" t="s">
        <v>3</v>
      </c>
      <c r="Z8" s="491" t="s">
        <v>4</v>
      </c>
      <c r="AA8" s="492"/>
      <c r="AB8" s="491" t="s">
        <v>7</v>
      </c>
      <c r="AC8" s="510"/>
      <c r="AD8" s="491" t="s">
        <v>391</v>
      </c>
      <c r="AE8" s="510"/>
      <c r="AF8" s="497" t="s">
        <v>68</v>
      </c>
      <c r="AG8" s="497" t="s">
        <v>3</v>
      </c>
      <c r="AH8" s="491" t="s">
        <v>4</v>
      </c>
      <c r="AI8" s="492"/>
      <c r="AJ8" s="491" t="s">
        <v>7</v>
      </c>
      <c r="AK8" s="510"/>
      <c r="AL8" s="491" t="s">
        <v>391</v>
      </c>
      <c r="AM8" s="510"/>
      <c r="AN8" s="497" t="s">
        <v>68</v>
      </c>
    </row>
    <row r="9" spans="1:40" s="2" customFormat="1" ht="11.25" customHeight="1" x14ac:dyDescent="0.2">
      <c r="A9" s="507"/>
      <c r="B9" s="508"/>
      <c r="C9" s="508"/>
      <c r="D9" s="508"/>
      <c r="E9" s="508"/>
      <c r="F9" s="509"/>
      <c r="G9" s="498"/>
      <c r="H9" s="495"/>
      <c r="I9" s="498"/>
      <c r="J9" s="8" t="s">
        <v>5</v>
      </c>
      <c r="K9" s="8" t="s">
        <v>6</v>
      </c>
      <c r="L9" s="8" t="s">
        <v>5</v>
      </c>
      <c r="M9" s="10" t="s">
        <v>6</v>
      </c>
      <c r="N9" s="8" t="s">
        <v>5</v>
      </c>
      <c r="O9" s="10" t="s">
        <v>6</v>
      </c>
      <c r="P9" s="498"/>
      <c r="Q9" s="498"/>
      <c r="R9" s="8" t="s">
        <v>5</v>
      </c>
      <c r="S9" s="8" t="s">
        <v>6</v>
      </c>
      <c r="T9" s="8" t="s">
        <v>5</v>
      </c>
      <c r="U9" s="10" t="s">
        <v>6</v>
      </c>
      <c r="V9" s="8" t="s">
        <v>5</v>
      </c>
      <c r="W9" s="10" t="s">
        <v>6</v>
      </c>
      <c r="X9" s="498"/>
      <c r="Y9" s="498"/>
      <c r="Z9" s="8" t="s">
        <v>5</v>
      </c>
      <c r="AA9" s="8" t="s">
        <v>6</v>
      </c>
      <c r="AB9" s="8" t="s">
        <v>5</v>
      </c>
      <c r="AC9" s="10" t="s">
        <v>6</v>
      </c>
      <c r="AD9" s="8" t="s">
        <v>5</v>
      </c>
      <c r="AE9" s="10" t="s">
        <v>6</v>
      </c>
      <c r="AF9" s="498"/>
      <c r="AG9" s="498"/>
      <c r="AH9" s="8" t="s">
        <v>5</v>
      </c>
      <c r="AI9" s="8" t="s">
        <v>6</v>
      </c>
      <c r="AJ9" s="8" t="s">
        <v>5</v>
      </c>
      <c r="AK9" s="10" t="s">
        <v>6</v>
      </c>
      <c r="AL9" s="8" t="s">
        <v>5</v>
      </c>
      <c r="AM9" s="10" t="s">
        <v>6</v>
      </c>
      <c r="AN9" s="498"/>
    </row>
    <row r="10" spans="1:40" ht="11.25" customHeight="1" x14ac:dyDescent="0.2">
      <c r="A10" s="434" t="s">
        <v>185</v>
      </c>
      <c r="B10" s="355"/>
      <c r="C10" s="355"/>
      <c r="D10" s="355"/>
      <c r="E10" s="382"/>
      <c r="F10" s="379"/>
      <c r="G10" s="320"/>
      <c r="H10" s="18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</row>
    <row r="11" spans="1:40" ht="11.25" customHeight="1" x14ac:dyDescent="0.2">
      <c r="A11" s="393" t="s">
        <v>186</v>
      </c>
      <c r="B11" s="394" t="s">
        <v>187</v>
      </c>
      <c r="C11" s="385"/>
      <c r="D11" s="385"/>
      <c r="E11" s="385"/>
      <c r="F11" s="383"/>
      <c r="G11" s="458" t="s">
        <v>672</v>
      </c>
      <c r="H11" s="18"/>
      <c r="I11" s="78">
        <f t="shared" ref="I11:O11" si="0">SUM(I12,I24,I25,I28)</f>
        <v>0</v>
      </c>
      <c r="J11" s="78">
        <f t="shared" si="0"/>
        <v>0</v>
      </c>
      <c r="K11" s="78">
        <f t="shared" si="0"/>
        <v>0</v>
      </c>
      <c r="L11" s="78">
        <f t="shared" si="0"/>
        <v>0</v>
      </c>
      <c r="M11" s="78">
        <f t="shared" si="0"/>
        <v>0</v>
      </c>
      <c r="N11" s="78">
        <f t="shared" si="0"/>
        <v>0</v>
      </c>
      <c r="O11" s="78">
        <f t="shared" si="0"/>
        <v>0</v>
      </c>
      <c r="P11" s="78">
        <f>SUM(I11,K11,M11,O11)</f>
        <v>0</v>
      </c>
      <c r="Q11" s="78">
        <f t="shared" ref="Q11:W11" si="1">SUM(Q12,Q24,Q25,Q28)</f>
        <v>0</v>
      </c>
      <c r="R11" s="78">
        <f t="shared" si="1"/>
        <v>0</v>
      </c>
      <c r="S11" s="78">
        <f t="shared" si="1"/>
        <v>0</v>
      </c>
      <c r="T11" s="78">
        <f t="shared" si="1"/>
        <v>0</v>
      </c>
      <c r="U11" s="78">
        <f t="shared" si="1"/>
        <v>0</v>
      </c>
      <c r="V11" s="78">
        <f t="shared" si="1"/>
        <v>0</v>
      </c>
      <c r="W11" s="78">
        <f t="shared" si="1"/>
        <v>0</v>
      </c>
      <c r="X11" s="78">
        <f>SUM(Q11,S11,U11,W11)</f>
        <v>0</v>
      </c>
      <c r="Y11" s="273">
        <f t="shared" ref="Y11:AE11" si="2">SUM(Y12,Y24,Y25,Y28)</f>
        <v>0</v>
      </c>
      <c r="Z11" s="273">
        <f t="shared" si="2"/>
        <v>0</v>
      </c>
      <c r="AA11" s="273">
        <f t="shared" si="2"/>
        <v>0</v>
      </c>
      <c r="AB11" s="273">
        <f t="shared" si="2"/>
        <v>0</v>
      </c>
      <c r="AC11" s="273">
        <f t="shared" si="2"/>
        <v>0</v>
      </c>
      <c r="AD11" s="273">
        <f t="shared" si="2"/>
        <v>0</v>
      </c>
      <c r="AE11" s="273">
        <f t="shared" si="2"/>
        <v>0</v>
      </c>
      <c r="AF11" s="273">
        <f>SUM(Y11,AA11,AC11,AE11)</f>
        <v>0</v>
      </c>
      <c r="AG11" s="78">
        <f t="shared" ref="AG11:AG32" si="3">(I11+Q11) - Y11</f>
        <v>0</v>
      </c>
      <c r="AH11" s="78">
        <f t="shared" ref="AH11:AH32" si="4">(J11+R11) - Z11</f>
        <v>0</v>
      </c>
      <c r="AI11" s="78">
        <f t="shared" ref="AI11:AI32" si="5">(K11+S11) - AA11</f>
        <v>0</v>
      </c>
      <c r="AJ11" s="78">
        <f t="shared" ref="AJ11:AJ32" si="6">(L11+T11) - AB11</f>
        <v>0</v>
      </c>
      <c r="AK11" s="78">
        <f t="shared" ref="AK11:AK32" si="7">(M11+U11) - AC11</f>
        <v>0</v>
      </c>
      <c r="AL11" s="78">
        <f t="shared" ref="AL11:AL40" si="8">(N11+V11) - AD11</f>
        <v>0</v>
      </c>
      <c r="AM11" s="78">
        <f t="shared" ref="AM11:AM40" si="9">(O11+W11) - AE11</f>
        <v>0</v>
      </c>
      <c r="AN11" s="78">
        <f t="shared" ref="AN11:AN32" si="10">(P11+X11) - AF11</f>
        <v>0</v>
      </c>
    </row>
    <row r="12" spans="1:40" ht="11.25" customHeight="1" x14ac:dyDescent="0.2">
      <c r="A12" s="386"/>
      <c r="B12" s="355" t="s">
        <v>188</v>
      </c>
      <c r="C12" s="355" t="s">
        <v>823</v>
      </c>
      <c r="D12" s="355"/>
      <c r="E12" s="382"/>
      <c r="F12" s="383"/>
      <c r="G12" s="458" t="s">
        <v>673</v>
      </c>
      <c r="H12" s="18"/>
      <c r="I12" s="78">
        <f t="shared" ref="I12:O12" si="11">I13+I19+I20</f>
        <v>0</v>
      </c>
      <c r="J12" s="78">
        <f t="shared" si="11"/>
        <v>0</v>
      </c>
      <c r="K12" s="78">
        <f t="shared" si="11"/>
        <v>0</v>
      </c>
      <c r="L12" s="78">
        <f t="shared" si="11"/>
        <v>0</v>
      </c>
      <c r="M12" s="78">
        <f t="shared" si="11"/>
        <v>0</v>
      </c>
      <c r="N12" s="78">
        <f t="shared" si="11"/>
        <v>0</v>
      </c>
      <c r="O12" s="78">
        <f t="shared" si="11"/>
        <v>0</v>
      </c>
      <c r="P12" s="78">
        <f t="shared" ref="P12:P66" si="12">SUM(I12,K12,M12,O12)</f>
        <v>0</v>
      </c>
      <c r="Q12" s="78">
        <f t="shared" ref="Q12:W12" si="13">Q13+Q19+Q20</f>
        <v>0</v>
      </c>
      <c r="R12" s="78">
        <f t="shared" si="13"/>
        <v>0</v>
      </c>
      <c r="S12" s="78">
        <f t="shared" si="13"/>
        <v>0</v>
      </c>
      <c r="T12" s="78">
        <f t="shared" si="13"/>
        <v>0</v>
      </c>
      <c r="U12" s="78">
        <f t="shared" si="13"/>
        <v>0</v>
      </c>
      <c r="V12" s="78">
        <f t="shared" si="13"/>
        <v>0</v>
      </c>
      <c r="W12" s="78">
        <f t="shared" si="13"/>
        <v>0</v>
      </c>
      <c r="X12" s="78">
        <f t="shared" ref="X12:X66" si="14">SUM(Q12,S12,U12,W12)</f>
        <v>0</v>
      </c>
      <c r="Y12" s="273">
        <f t="shared" ref="Y12:AE12" si="15">Y13+Y19+Y20</f>
        <v>0</v>
      </c>
      <c r="Z12" s="273">
        <f t="shared" si="15"/>
        <v>0</v>
      </c>
      <c r="AA12" s="273">
        <f t="shared" si="15"/>
        <v>0</v>
      </c>
      <c r="AB12" s="273">
        <f t="shared" si="15"/>
        <v>0</v>
      </c>
      <c r="AC12" s="273">
        <f t="shared" si="15"/>
        <v>0</v>
      </c>
      <c r="AD12" s="273">
        <f t="shared" si="15"/>
        <v>0</v>
      </c>
      <c r="AE12" s="273">
        <f t="shared" si="15"/>
        <v>0</v>
      </c>
      <c r="AF12" s="273">
        <f t="shared" ref="AF12:AF66" si="16">SUM(Y12,AA12,AC12,AE12)</f>
        <v>0</v>
      </c>
      <c r="AG12" s="78">
        <f t="shared" si="3"/>
        <v>0</v>
      </c>
      <c r="AH12" s="78">
        <f t="shared" si="4"/>
        <v>0</v>
      </c>
      <c r="AI12" s="78">
        <f t="shared" si="5"/>
        <v>0</v>
      </c>
      <c r="AJ12" s="78">
        <f t="shared" si="6"/>
        <v>0</v>
      </c>
      <c r="AK12" s="78">
        <f t="shared" si="7"/>
        <v>0</v>
      </c>
      <c r="AL12" s="78">
        <f t="shared" si="8"/>
        <v>0</v>
      </c>
      <c r="AM12" s="78">
        <f t="shared" si="9"/>
        <v>0</v>
      </c>
      <c r="AN12" s="78">
        <f t="shared" si="10"/>
        <v>0</v>
      </c>
    </row>
    <row r="13" spans="1:40" ht="11.25" customHeight="1" x14ac:dyDescent="0.2">
      <c r="A13" s="386"/>
      <c r="B13" s="355"/>
      <c r="C13" s="395">
        <v>-1</v>
      </c>
      <c r="D13" s="355" t="s">
        <v>189</v>
      </c>
      <c r="E13" s="385"/>
      <c r="F13" s="383"/>
      <c r="G13" s="458" t="s">
        <v>674</v>
      </c>
      <c r="H13" s="18"/>
      <c r="I13" s="78">
        <f>I14+I15+I16</f>
        <v>0</v>
      </c>
      <c r="J13" s="78">
        <f t="shared" ref="J13:O13" si="17">J14+J15+J16</f>
        <v>0</v>
      </c>
      <c r="K13" s="78">
        <f t="shared" si="17"/>
        <v>0</v>
      </c>
      <c r="L13" s="78">
        <f t="shared" si="17"/>
        <v>0</v>
      </c>
      <c r="M13" s="78">
        <f t="shared" si="17"/>
        <v>0</v>
      </c>
      <c r="N13" s="78">
        <f t="shared" si="17"/>
        <v>0</v>
      </c>
      <c r="O13" s="78">
        <f t="shared" si="17"/>
        <v>0</v>
      </c>
      <c r="P13" s="78">
        <f t="shared" si="12"/>
        <v>0</v>
      </c>
      <c r="Q13" s="78">
        <f>Q14+Q15+Q16</f>
        <v>0</v>
      </c>
      <c r="R13" s="78">
        <f t="shared" ref="R13:W13" si="18">R14+R15+R16</f>
        <v>0</v>
      </c>
      <c r="S13" s="78">
        <f t="shared" si="18"/>
        <v>0</v>
      </c>
      <c r="T13" s="78">
        <f t="shared" si="18"/>
        <v>0</v>
      </c>
      <c r="U13" s="78">
        <f t="shared" si="18"/>
        <v>0</v>
      </c>
      <c r="V13" s="78">
        <f t="shared" si="18"/>
        <v>0</v>
      </c>
      <c r="W13" s="78">
        <f t="shared" si="18"/>
        <v>0</v>
      </c>
      <c r="X13" s="78">
        <f t="shared" si="14"/>
        <v>0</v>
      </c>
      <c r="Y13" s="273">
        <f>Y14+Y15+Y16</f>
        <v>0</v>
      </c>
      <c r="Z13" s="273">
        <f t="shared" ref="Z13:AE13" si="19">Z14+Z15+Z16</f>
        <v>0</v>
      </c>
      <c r="AA13" s="273">
        <f t="shared" si="19"/>
        <v>0</v>
      </c>
      <c r="AB13" s="273">
        <f t="shared" si="19"/>
        <v>0</v>
      </c>
      <c r="AC13" s="273">
        <f t="shared" si="19"/>
        <v>0</v>
      </c>
      <c r="AD13" s="273">
        <f t="shared" si="19"/>
        <v>0</v>
      </c>
      <c r="AE13" s="273">
        <f t="shared" si="19"/>
        <v>0</v>
      </c>
      <c r="AF13" s="273">
        <f t="shared" si="16"/>
        <v>0</v>
      </c>
      <c r="AG13" s="78">
        <f t="shared" si="3"/>
        <v>0</v>
      </c>
      <c r="AH13" s="78">
        <f t="shared" si="4"/>
        <v>0</v>
      </c>
      <c r="AI13" s="78">
        <f t="shared" si="5"/>
        <v>0</v>
      </c>
      <c r="AJ13" s="78">
        <f t="shared" si="6"/>
        <v>0</v>
      </c>
      <c r="AK13" s="78">
        <f t="shared" si="7"/>
        <v>0</v>
      </c>
      <c r="AL13" s="78">
        <f t="shared" si="8"/>
        <v>0</v>
      </c>
      <c r="AM13" s="78">
        <f t="shared" si="9"/>
        <v>0</v>
      </c>
      <c r="AN13" s="78">
        <f t="shared" si="10"/>
        <v>0</v>
      </c>
    </row>
    <row r="14" spans="1:40" ht="11.25" customHeight="1" x14ac:dyDescent="0.2">
      <c r="A14" s="386"/>
      <c r="B14" s="355"/>
      <c r="C14" s="395"/>
      <c r="D14" s="355" t="s">
        <v>11</v>
      </c>
      <c r="E14" s="355" t="s">
        <v>789</v>
      </c>
      <c r="F14" s="383"/>
      <c r="G14" s="458" t="s">
        <v>829</v>
      </c>
      <c r="H14" s="18"/>
      <c r="I14" s="293"/>
      <c r="J14" s="293"/>
      <c r="K14" s="293"/>
      <c r="L14" s="293"/>
      <c r="M14" s="293"/>
      <c r="N14" s="321"/>
      <c r="O14" s="321"/>
      <c r="P14" s="322"/>
      <c r="Q14" s="293"/>
      <c r="R14" s="293"/>
      <c r="S14" s="293"/>
      <c r="T14" s="293"/>
      <c r="U14" s="293"/>
      <c r="V14" s="321"/>
      <c r="W14" s="321"/>
      <c r="X14" s="322"/>
      <c r="Y14" s="294"/>
      <c r="Z14" s="294"/>
      <c r="AA14" s="294"/>
      <c r="AB14" s="294"/>
      <c r="AC14" s="294"/>
      <c r="AD14" s="323"/>
      <c r="AE14" s="323"/>
      <c r="AF14" s="443"/>
      <c r="AG14" s="295"/>
      <c r="AH14" s="295"/>
      <c r="AI14" s="295"/>
      <c r="AJ14" s="295"/>
      <c r="AK14" s="295"/>
      <c r="AL14" s="319"/>
      <c r="AM14" s="319"/>
      <c r="AN14" s="319"/>
    </row>
    <row r="15" spans="1:40" ht="11.25" customHeight="1" x14ac:dyDescent="0.2">
      <c r="A15" s="386"/>
      <c r="B15" s="355"/>
      <c r="C15" s="395"/>
      <c r="D15" s="355" t="s">
        <v>15</v>
      </c>
      <c r="E15" s="355" t="s">
        <v>790</v>
      </c>
      <c r="F15" s="383"/>
      <c r="G15" s="458" t="s">
        <v>830</v>
      </c>
      <c r="H15" s="18"/>
      <c r="I15" s="293"/>
      <c r="J15" s="293"/>
      <c r="K15" s="293"/>
      <c r="L15" s="293"/>
      <c r="M15" s="293"/>
      <c r="N15" s="321"/>
      <c r="O15" s="321"/>
      <c r="P15" s="322"/>
      <c r="Q15" s="293"/>
      <c r="R15" s="293"/>
      <c r="S15" s="293"/>
      <c r="T15" s="293"/>
      <c r="U15" s="293"/>
      <c r="V15" s="321"/>
      <c r="W15" s="321"/>
      <c r="X15" s="322"/>
      <c r="Y15" s="294"/>
      <c r="Z15" s="294"/>
      <c r="AA15" s="294"/>
      <c r="AB15" s="294"/>
      <c r="AC15" s="294"/>
      <c r="AD15" s="323"/>
      <c r="AE15" s="323"/>
      <c r="AF15" s="443"/>
      <c r="AG15" s="295"/>
      <c r="AH15" s="295"/>
      <c r="AI15" s="295"/>
      <c r="AJ15" s="295"/>
      <c r="AK15" s="295"/>
      <c r="AL15" s="319"/>
      <c r="AM15" s="319"/>
      <c r="AN15" s="319"/>
    </row>
    <row r="16" spans="1:40" ht="11.25" customHeight="1" x14ac:dyDescent="0.2">
      <c r="A16" s="386"/>
      <c r="B16" s="355"/>
      <c r="C16" s="395"/>
      <c r="D16" s="355" t="s">
        <v>25</v>
      </c>
      <c r="E16" s="392" t="s">
        <v>791</v>
      </c>
      <c r="F16" s="383"/>
      <c r="G16" s="458" t="s">
        <v>831</v>
      </c>
      <c r="H16" s="85" t="s">
        <v>751</v>
      </c>
      <c r="I16" s="78">
        <f t="shared" ref="I16:O16" si="20">SUM(I17:I18)</f>
        <v>0</v>
      </c>
      <c r="J16" s="78">
        <f t="shared" si="20"/>
        <v>0</v>
      </c>
      <c r="K16" s="78">
        <f t="shared" si="20"/>
        <v>0</v>
      </c>
      <c r="L16" s="78">
        <f t="shared" si="20"/>
        <v>0</v>
      </c>
      <c r="M16" s="78">
        <f t="shared" si="20"/>
        <v>0</v>
      </c>
      <c r="N16" s="78">
        <f t="shared" si="20"/>
        <v>0</v>
      </c>
      <c r="O16" s="78">
        <f t="shared" si="20"/>
        <v>0</v>
      </c>
      <c r="P16" s="78">
        <f t="shared" si="12"/>
        <v>0</v>
      </c>
      <c r="Q16" s="78">
        <f t="shared" ref="Q16:W16" si="21">SUM(Q17:Q18)</f>
        <v>0</v>
      </c>
      <c r="R16" s="78">
        <f t="shared" si="21"/>
        <v>0</v>
      </c>
      <c r="S16" s="78">
        <f t="shared" si="21"/>
        <v>0</v>
      </c>
      <c r="T16" s="78">
        <f t="shared" si="21"/>
        <v>0</v>
      </c>
      <c r="U16" s="78">
        <f t="shared" si="21"/>
        <v>0</v>
      </c>
      <c r="V16" s="78">
        <f t="shared" si="21"/>
        <v>0</v>
      </c>
      <c r="W16" s="78">
        <f t="shared" si="21"/>
        <v>0</v>
      </c>
      <c r="X16" s="78">
        <f t="shared" si="14"/>
        <v>0</v>
      </c>
      <c r="Y16" s="78">
        <f t="shared" ref="Y16:AE16" si="22">SUM(Y17:Y18)</f>
        <v>0</v>
      </c>
      <c r="Z16" s="78">
        <f t="shared" si="22"/>
        <v>0</v>
      </c>
      <c r="AA16" s="78">
        <f t="shared" si="22"/>
        <v>0</v>
      </c>
      <c r="AB16" s="78">
        <f t="shared" si="22"/>
        <v>0</v>
      </c>
      <c r="AC16" s="78">
        <f t="shared" si="22"/>
        <v>0</v>
      </c>
      <c r="AD16" s="78">
        <f t="shared" si="22"/>
        <v>0</v>
      </c>
      <c r="AE16" s="78">
        <f t="shared" si="22"/>
        <v>0</v>
      </c>
      <c r="AF16" s="273">
        <f t="shared" si="16"/>
        <v>0</v>
      </c>
      <c r="AG16" s="78">
        <f t="shared" si="3"/>
        <v>0</v>
      </c>
      <c r="AH16" s="78">
        <f t="shared" si="4"/>
        <v>0</v>
      </c>
      <c r="AI16" s="78">
        <f t="shared" si="5"/>
        <v>0</v>
      </c>
      <c r="AJ16" s="78">
        <f t="shared" si="6"/>
        <v>0</v>
      </c>
      <c r="AK16" s="78">
        <f t="shared" si="7"/>
        <v>0</v>
      </c>
      <c r="AL16" s="78">
        <f t="shared" si="8"/>
        <v>0</v>
      </c>
      <c r="AM16" s="78">
        <f t="shared" si="9"/>
        <v>0</v>
      </c>
      <c r="AN16" s="78">
        <f t="shared" si="10"/>
        <v>0</v>
      </c>
    </row>
    <row r="17" spans="1:40" ht="11.25" customHeight="1" x14ac:dyDescent="0.2">
      <c r="A17" s="279"/>
      <c r="B17" s="196"/>
      <c r="C17" s="195"/>
      <c r="D17" s="196"/>
      <c r="E17" s="318"/>
      <c r="F17" s="290"/>
      <c r="G17" s="458"/>
      <c r="H17" s="91">
        <v>1</v>
      </c>
      <c r="I17" s="61"/>
      <c r="J17" s="61"/>
      <c r="K17" s="61"/>
      <c r="L17" s="61"/>
      <c r="M17" s="61"/>
      <c r="N17" s="61"/>
      <c r="O17" s="61"/>
      <c r="P17" s="29">
        <f t="shared" si="12"/>
        <v>0</v>
      </c>
      <c r="Q17" s="61"/>
      <c r="R17" s="61"/>
      <c r="S17" s="61"/>
      <c r="T17" s="61"/>
      <c r="U17" s="61"/>
      <c r="V17" s="61"/>
      <c r="W17" s="61"/>
      <c r="X17" s="29">
        <f t="shared" si="14"/>
        <v>0</v>
      </c>
      <c r="Y17" s="261"/>
      <c r="Z17" s="261"/>
      <c r="AA17" s="261"/>
      <c r="AB17" s="261"/>
      <c r="AC17" s="261"/>
      <c r="AD17" s="261"/>
      <c r="AE17" s="261"/>
      <c r="AF17" s="273">
        <f t="shared" si="16"/>
        <v>0</v>
      </c>
      <c r="AG17" s="78">
        <f t="shared" ref="AG17:AN17" si="23">(I17+Q17) - Y17</f>
        <v>0</v>
      </c>
      <c r="AH17" s="78">
        <f t="shared" si="23"/>
        <v>0</v>
      </c>
      <c r="AI17" s="78">
        <f t="shared" si="23"/>
        <v>0</v>
      </c>
      <c r="AJ17" s="78">
        <f t="shared" si="23"/>
        <v>0</v>
      </c>
      <c r="AK17" s="78">
        <f t="shared" si="23"/>
        <v>0</v>
      </c>
      <c r="AL17" s="78">
        <f t="shared" si="23"/>
        <v>0</v>
      </c>
      <c r="AM17" s="78">
        <f t="shared" si="23"/>
        <v>0</v>
      </c>
      <c r="AN17" s="78">
        <f t="shared" si="23"/>
        <v>0</v>
      </c>
    </row>
    <row r="18" spans="1:40" ht="11.25" customHeight="1" x14ac:dyDescent="0.2">
      <c r="A18" s="384"/>
      <c r="B18" s="385"/>
      <c r="C18" s="391"/>
      <c r="D18" s="392"/>
      <c r="E18" s="392"/>
      <c r="F18" s="383"/>
      <c r="G18" s="458"/>
      <c r="H18" s="239" t="str">
        <f>CHAR(132)</f>
        <v>„</v>
      </c>
      <c r="I18" s="109"/>
      <c r="J18" s="109"/>
      <c r="K18" s="109"/>
      <c r="L18" s="109"/>
      <c r="M18" s="109"/>
      <c r="N18" s="109"/>
      <c r="O18" s="109"/>
      <c r="P18" s="73"/>
      <c r="Q18" s="109"/>
      <c r="R18" s="109"/>
      <c r="S18" s="109"/>
      <c r="T18" s="109"/>
      <c r="U18" s="109"/>
      <c r="V18" s="109"/>
      <c r="W18" s="109"/>
      <c r="X18" s="73"/>
      <c r="Y18" s="315"/>
      <c r="Z18" s="315"/>
      <c r="AA18" s="315"/>
      <c r="AB18" s="315"/>
      <c r="AC18" s="315"/>
      <c r="AD18" s="315"/>
      <c r="AE18" s="315"/>
      <c r="AF18" s="273"/>
      <c r="AG18" s="78"/>
      <c r="AH18" s="78"/>
      <c r="AI18" s="78"/>
      <c r="AJ18" s="78"/>
      <c r="AK18" s="78"/>
      <c r="AL18" s="78"/>
      <c r="AM18" s="78"/>
      <c r="AN18" s="78"/>
    </row>
    <row r="19" spans="1:40" ht="11.25" customHeight="1" x14ac:dyDescent="0.2">
      <c r="A19" s="386"/>
      <c r="B19" s="355"/>
      <c r="C19" s="395">
        <f>C13-1</f>
        <v>-2</v>
      </c>
      <c r="D19" s="355" t="s">
        <v>190</v>
      </c>
      <c r="E19" s="382"/>
      <c r="F19" s="383"/>
      <c r="G19" s="458" t="s">
        <v>675</v>
      </c>
      <c r="H19" s="18"/>
      <c r="I19" s="61"/>
      <c r="J19" s="79"/>
      <c r="K19" s="79"/>
      <c r="L19" s="79"/>
      <c r="M19" s="79"/>
      <c r="N19" s="82"/>
      <c r="O19" s="82"/>
      <c r="P19" s="29">
        <f t="shared" si="12"/>
        <v>0</v>
      </c>
      <c r="Q19" s="61"/>
      <c r="R19" s="79"/>
      <c r="S19" s="79"/>
      <c r="T19" s="79"/>
      <c r="U19" s="79"/>
      <c r="V19" s="82"/>
      <c r="W19" s="82"/>
      <c r="X19" s="29">
        <f t="shared" si="14"/>
        <v>0</v>
      </c>
      <c r="Y19" s="261"/>
      <c r="Z19" s="262"/>
      <c r="AA19" s="262"/>
      <c r="AB19" s="262"/>
      <c r="AC19" s="262"/>
      <c r="AD19" s="263"/>
      <c r="AE19" s="263"/>
      <c r="AF19" s="273">
        <f t="shared" si="16"/>
        <v>0</v>
      </c>
      <c r="AG19" s="78">
        <f t="shared" si="3"/>
        <v>0</v>
      </c>
      <c r="AH19" s="295"/>
      <c r="AI19" s="295"/>
      <c r="AJ19" s="295"/>
      <c r="AK19" s="295"/>
      <c r="AL19" s="78">
        <f t="shared" si="8"/>
        <v>0</v>
      </c>
      <c r="AM19" s="78">
        <f t="shared" si="9"/>
        <v>0</v>
      </c>
      <c r="AN19" s="78">
        <f t="shared" si="10"/>
        <v>0</v>
      </c>
    </row>
    <row r="20" spans="1:40" ht="11.25" customHeight="1" x14ac:dyDescent="0.2">
      <c r="A20" s="384"/>
      <c r="B20" s="385"/>
      <c r="C20" s="391">
        <f>C19-1</f>
        <v>-3</v>
      </c>
      <c r="D20" s="385" t="s">
        <v>191</v>
      </c>
      <c r="E20" s="385"/>
      <c r="F20" s="383"/>
      <c r="G20" s="458" t="s">
        <v>676</v>
      </c>
      <c r="H20" s="18"/>
      <c r="I20" s="78">
        <f t="shared" ref="I20:O20" si="24">SUM(I21,I22,I23)</f>
        <v>0</v>
      </c>
      <c r="J20" s="78">
        <f t="shared" si="24"/>
        <v>0</v>
      </c>
      <c r="K20" s="78">
        <f t="shared" si="24"/>
        <v>0</v>
      </c>
      <c r="L20" s="78">
        <f t="shared" si="24"/>
        <v>0</v>
      </c>
      <c r="M20" s="78">
        <f t="shared" si="24"/>
        <v>0</v>
      </c>
      <c r="N20" s="78">
        <f t="shared" si="24"/>
        <v>0</v>
      </c>
      <c r="O20" s="78">
        <f t="shared" si="24"/>
        <v>0</v>
      </c>
      <c r="P20" s="78">
        <f t="shared" si="12"/>
        <v>0</v>
      </c>
      <c r="Q20" s="78">
        <f t="shared" ref="Q20:W20" si="25">SUM(Q21,Q22,Q23)</f>
        <v>0</v>
      </c>
      <c r="R20" s="78">
        <f t="shared" si="25"/>
        <v>0</v>
      </c>
      <c r="S20" s="78">
        <f t="shared" si="25"/>
        <v>0</v>
      </c>
      <c r="T20" s="78">
        <f t="shared" si="25"/>
        <v>0</v>
      </c>
      <c r="U20" s="78">
        <f t="shared" si="25"/>
        <v>0</v>
      </c>
      <c r="V20" s="78">
        <f t="shared" si="25"/>
        <v>0</v>
      </c>
      <c r="W20" s="78">
        <f t="shared" si="25"/>
        <v>0</v>
      </c>
      <c r="X20" s="78">
        <f t="shared" si="14"/>
        <v>0</v>
      </c>
      <c r="Y20" s="273">
        <f t="shared" ref="Y20:AE20" si="26">SUM(Y21,Y22,Y23)</f>
        <v>0</v>
      </c>
      <c r="Z20" s="273">
        <f t="shared" si="26"/>
        <v>0</v>
      </c>
      <c r="AA20" s="273">
        <f t="shared" si="26"/>
        <v>0</v>
      </c>
      <c r="AB20" s="273">
        <f t="shared" si="26"/>
        <v>0</v>
      </c>
      <c r="AC20" s="273">
        <f t="shared" si="26"/>
        <v>0</v>
      </c>
      <c r="AD20" s="273">
        <f t="shared" si="26"/>
        <v>0</v>
      </c>
      <c r="AE20" s="273">
        <f t="shared" si="26"/>
        <v>0</v>
      </c>
      <c r="AF20" s="273">
        <f t="shared" si="16"/>
        <v>0</v>
      </c>
      <c r="AG20" s="78">
        <f t="shared" si="3"/>
        <v>0</v>
      </c>
      <c r="AH20" s="78">
        <f t="shared" si="4"/>
        <v>0</v>
      </c>
      <c r="AI20" s="78">
        <f t="shared" si="5"/>
        <v>0</v>
      </c>
      <c r="AJ20" s="78">
        <f t="shared" si="6"/>
        <v>0</v>
      </c>
      <c r="AK20" s="78">
        <f t="shared" si="7"/>
        <v>0</v>
      </c>
      <c r="AL20" s="78">
        <f t="shared" si="8"/>
        <v>0</v>
      </c>
      <c r="AM20" s="78">
        <f t="shared" si="9"/>
        <v>0</v>
      </c>
      <c r="AN20" s="78">
        <f t="shared" si="10"/>
        <v>0</v>
      </c>
    </row>
    <row r="21" spans="1:40" ht="11.25" customHeight="1" x14ac:dyDescent="0.2">
      <c r="A21" s="386"/>
      <c r="B21" s="355"/>
      <c r="C21" s="395"/>
      <c r="D21" s="355" t="s">
        <v>11</v>
      </c>
      <c r="E21" s="382" t="s">
        <v>192</v>
      </c>
      <c r="F21" s="383"/>
      <c r="G21" s="458" t="s">
        <v>677</v>
      </c>
      <c r="H21" s="18"/>
      <c r="I21" s="61"/>
      <c r="J21" s="61"/>
      <c r="K21" s="61"/>
      <c r="L21" s="61"/>
      <c r="M21" s="61"/>
      <c r="N21" s="61"/>
      <c r="O21" s="61"/>
      <c r="P21" s="29">
        <f t="shared" si="12"/>
        <v>0</v>
      </c>
      <c r="Q21" s="61"/>
      <c r="R21" s="61"/>
      <c r="S21" s="61"/>
      <c r="T21" s="61"/>
      <c r="U21" s="61"/>
      <c r="V21" s="61"/>
      <c r="W21" s="61"/>
      <c r="X21" s="29">
        <f t="shared" si="14"/>
        <v>0</v>
      </c>
      <c r="Y21" s="261"/>
      <c r="Z21" s="261"/>
      <c r="AA21" s="261"/>
      <c r="AB21" s="261"/>
      <c r="AC21" s="261"/>
      <c r="AD21" s="261"/>
      <c r="AE21" s="261"/>
      <c r="AF21" s="273">
        <f t="shared" si="16"/>
        <v>0</v>
      </c>
      <c r="AG21" s="78">
        <f t="shared" si="3"/>
        <v>0</v>
      </c>
      <c r="AH21" s="78">
        <f t="shared" si="4"/>
        <v>0</v>
      </c>
      <c r="AI21" s="78">
        <f t="shared" si="5"/>
        <v>0</v>
      </c>
      <c r="AJ21" s="78">
        <f t="shared" si="6"/>
        <v>0</v>
      </c>
      <c r="AK21" s="78">
        <f t="shared" si="7"/>
        <v>0</v>
      </c>
      <c r="AL21" s="78">
        <f t="shared" si="8"/>
        <v>0</v>
      </c>
      <c r="AM21" s="78">
        <f t="shared" si="9"/>
        <v>0</v>
      </c>
      <c r="AN21" s="78">
        <f t="shared" si="10"/>
        <v>0</v>
      </c>
    </row>
    <row r="22" spans="1:40" ht="11.25" customHeight="1" x14ac:dyDescent="0.2">
      <c r="A22" s="384"/>
      <c r="B22" s="385"/>
      <c r="C22" s="391"/>
      <c r="D22" s="385" t="s">
        <v>15</v>
      </c>
      <c r="E22" s="385" t="s">
        <v>203</v>
      </c>
      <c r="F22" s="383"/>
      <c r="G22" s="458" t="s">
        <v>678</v>
      </c>
      <c r="H22" s="18"/>
      <c r="I22" s="61"/>
      <c r="J22" s="61"/>
      <c r="K22" s="61"/>
      <c r="L22" s="61"/>
      <c r="M22" s="61"/>
      <c r="N22" s="61"/>
      <c r="O22" s="61"/>
      <c r="P22" s="29">
        <f t="shared" si="12"/>
        <v>0</v>
      </c>
      <c r="Q22" s="61"/>
      <c r="R22" s="61"/>
      <c r="S22" s="61"/>
      <c r="T22" s="61"/>
      <c r="U22" s="61"/>
      <c r="V22" s="61"/>
      <c r="W22" s="61"/>
      <c r="X22" s="29">
        <f t="shared" si="14"/>
        <v>0</v>
      </c>
      <c r="Y22" s="261"/>
      <c r="Z22" s="261"/>
      <c r="AA22" s="261"/>
      <c r="AB22" s="261"/>
      <c r="AC22" s="261"/>
      <c r="AD22" s="261"/>
      <c r="AE22" s="261"/>
      <c r="AF22" s="273">
        <f t="shared" si="16"/>
        <v>0</v>
      </c>
      <c r="AG22" s="78">
        <f t="shared" si="3"/>
        <v>0</v>
      </c>
      <c r="AH22" s="78">
        <f t="shared" si="4"/>
        <v>0</v>
      </c>
      <c r="AI22" s="78">
        <f t="shared" si="5"/>
        <v>0</v>
      </c>
      <c r="AJ22" s="78">
        <f t="shared" si="6"/>
        <v>0</v>
      </c>
      <c r="AK22" s="78">
        <f t="shared" si="7"/>
        <v>0</v>
      </c>
      <c r="AL22" s="78">
        <f t="shared" si="8"/>
        <v>0</v>
      </c>
      <c r="AM22" s="78">
        <f t="shared" si="9"/>
        <v>0</v>
      </c>
      <c r="AN22" s="78">
        <f t="shared" si="10"/>
        <v>0</v>
      </c>
    </row>
    <row r="23" spans="1:40" ht="11.25" customHeight="1" x14ac:dyDescent="0.2">
      <c r="A23" s="386"/>
      <c r="B23" s="355"/>
      <c r="C23" s="395"/>
      <c r="D23" s="355" t="s">
        <v>25</v>
      </c>
      <c r="E23" s="382" t="s">
        <v>194</v>
      </c>
      <c r="F23" s="383"/>
      <c r="G23" s="458" t="s">
        <v>679</v>
      </c>
      <c r="H23" s="18"/>
      <c r="I23" s="61"/>
      <c r="J23" s="61"/>
      <c r="K23" s="61"/>
      <c r="L23" s="61"/>
      <c r="M23" s="61"/>
      <c r="N23" s="61"/>
      <c r="O23" s="61"/>
      <c r="P23" s="29">
        <f t="shared" si="12"/>
        <v>0</v>
      </c>
      <c r="Q23" s="61"/>
      <c r="R23" s="61"/>
      <c r="S23" s="61"/>
      <c r="T23" s="61"/>
      <c r="U23" s="61"/>
      <c r="V23" s="61"/>
      <c r="W23" s="61"/>
      <c r="X23" s="29">
        <f t="shared" si="14"/>
        <v>0</v>
      </c>
      <c r="Y23" s="261"/>
      <c r="Z23" s="261"/>
      <c r="AA23" s="261"/>
      <c r="AB23" s="261"/>
      <c r="AC23" s="261"/>
      <c r="AD23" s="261"/>
      <c r="AE23" s="261"/>
      <c r="AF23" s="273">
        <f t="shared" si="16"/>
        <v>0</v>
      </c>
      <c r="AG23" s="78">
        <f t="shared" si="3"/>
        <v>0</v>
      </c>
      <c r="AH23" s="78">
        <f t="shared" si="4"/>
        <v>0</v>
      </c>
      <c r="AI23" s="78">
        <f t="shared" si="5"/>
        <v>0</v>
      </c>
      <c r="AJ23" s="78">
        <f t="shared" si="6"/>
        <v>0</v>
      </c>
      <c r="AK23" s="78">
        <f t="shared" si="7"/>
        <v>0</v>
      </c>
      <c r="AL23" s="78">
        <f t="shared" si="8"/>
        <v>0</v>
      </c>
      <c r="AM23" s="78">
        <f t="shared" si="9"/>
        <v>0</v>
      </c>
      <c r="AN23" s="78">
        <f t="shared" si="10"/>
        <v>0</v>
      </c>
    </row>
    <row r="24" spans="1:40" ht="11.25" customHeight="1" x14ac:dyDescent="0.2">
      <c r="A24" s="384"/>
      <c r="B24" s="385" t="s">
        <v>195</v>
      </c>
      <c r="C24" s="391" t="s">
        <v>196</v>
      </c>
      <c r="D24" s="385"/>
      <c r="E24" s="385"/>
      <c r="F24" s="383"/>
      <c r="G24" s="458" t="s">
        <v>680</v>
      </c>
      <c r="H24" s="18"/>
      <c r="I24" s="61"/>
      <c r="J24" s="61"/>
      <c r="K24" s="61"/>
      <c r="L24" s="61"/>
      <c r="M24" s="61"/>
      <c r="N24" s="61"/>
      <c r="O24" s="61"/>
      <c r="P24" s="29">
        <f t="shared" si="12"/>
        <v>0</v>
      </c>
      <c r="Q24" s="61"/>
      <c r="R24" s="61"/>
      <c r="S24" s="61"/>
      <c r="T24" s="61"/>
      <c r="U24" s="61"/>
      <c r="V24" s="61"/>
      <c r="W24" s="61"/>
      <c r="X24" s="29">
        <f t="shared" si="14"/>
        <v>0</v>
      </c>
      <c r="Y24" s="261"/>
      <c r="Z24" s="261"/>
      <c r="AA24" s="261"/>
      <c r="AB24" s="261"/>
      <c r="AC24" s="261"/>
      <c r="AD24" s="261"/>
      <c r="AE24" s="261"/>
      <c r="AF24" s="273">
        <f t="shared" si="16"/>
        <v>0</v>
      </c>
      <c r="AG24" s="78">
        <f t="shared" si="3"/>
        <v>0</v>
      </c>
      <c r="AH24" s="78">
        <f t="shared" si="4"/>
        <v>0</v>
      </c>
      <c r="AI24" s="78">
        <f t="shared" si="5"/>
        <v>0</v>
      </c>
      <c r="AJ24" s="78">
        <f t="shared" si="6"/>
        <v>0</v>
      </c>
      <c r="AK24" s="78">
        <f t="shared" si="7"/>
        <v>0</v>
      </c>
      <c r="AL24" s="78">
        <f t="shared" si="8"/>
        <v>0</v>
      </c>
      <c r="AM24" s="78">
        <f t="shared" si="9"/>
        <v>0</v>
      </c>
      <c r="AN24" s="78">
        <f t="shared" si="10"/>
        <v>0</v>
      </c>
    </row>
    <row r="25" spans="1:40" ht="11.25" customHeight="1" x14ac:dyDescent="0.2">
      <c r="A25" s="386"/>
      <c r="B25" s="355" t="s">
        <v>197</v>
      </c>
      <c r="C25" s="355" t="s">
        <v>198</v>
      </c>
      <c r="D25" s="355"/>
      <c r="E25" s="382"/>
      <c r="F25" s="383"/>
      <c r="G25" s="458" t="s">
        <v>681</v>
      </c>
      <c r="H25" s="18"/>
      <c r="I25" s="78">
        <f t="shared" ref="I25:O25" si="27">SUM(I26,I27)</f>
        <v>0</v>
      </c>
      <c r="J25" s="78">
        <f t="shared" si="27"/>
        <v>0</v>
      </c>
      <c r="K25" s="78">
        <f t="shared" si="27"/>
        <v>0</v>
      </c>
      <c r="L25" s="78">
        <f t="shared" si="27"/>
        <v>0</v>
      </c>
      <c r="M25" s="78">
        <f t="shared" si="27"/>
        <v>0</v>
      </c>
      <c r="N25" s="78">
        <f t="shared" si="27"/>
        <v>0</v>
      </c>
      <c r="O25" s="78">
        <f t="shared" si="27"/>
        <v>0</v>
      </c>
      <c r="P25" s="78">
        <f t="shared" si="12"/>
        <v>0</v>
      </c>
      <c r="Q25" s="78">
        <f t="shared" ref="Q25:W25" si="28">SUM(Q26,Q27)</f>
        <v>0</v>
      </c>
      <c r="R25" s="78">
        <f t="shared" si="28"/>
        <v>0</v>
      </c>
      <c r="S25" s="78">
        <f t="shared" si="28"/>
        <v>0</v>
      </c>
      <c r="T25" s="78">
        <f t="shared" si="28"/>
        <v>0</v>
      </c>
      <c r="U25" s="78">
        <f t="shared" si="28"/>
        <v>0</v>
      </c>
      <c r="V25" s="78">
        <f t="shared" si="28"/>
        <v>0</v>
      </c>
      <c r="W25" s="78">
        <f t="shared" si="28"/>
        <v>0</v>
      </c>
      <c r="X25" s="78">
        <f t="shared" si="14"/>
        <v>0</v>
      </c>
      <c r="Y25" s="273">
        <f t="shared" ref="Y25:AE25" si="29">SUM(Y26,Y27)</f>
        <v>0</v>
      </c>
      <c r="Z25" s="273">
        <f t="shared" si="29"/>
        <v>0</v>
      </c>
      <c r="AA25" s="273">
        <f t="shared" si="29"/>
        <v>0</v>
      </c>
      <c r="AB25" s="273">
        <f t="shared" si="29"/>
        <v>0</v>
      </c>
      <c r="AC25" s="273">
        <f t="shared" si="29"/>
        <v>0</v>
      </c>
      <c r="AD25" s="273">
        <f t="shared" si="29"/>
        <v>0</v>
      </c>
      <c r="AE25" s="273">
        <f t="shared" si="29"/>
        <v>0</v>
      </c>
      <c r="AF25" s="273">
        <f t="shared" si="16"/>
        <v>0</v>
      </c>
      <c r="AG25" s="78">
        <f t="shared" si="3"/>
        <v>0</v>
      </c>
      <c r="AH25" s="78">
        <f t="shared" si="4"/>
        <v>0</v>
      </c>
      <c r="AI25" s="78">
        <f t="shared" si="5"/>
        <v>0</v>
      </c>
      <c r="AJ25" s="78">
        <f t="shared" si="6"/>
        <v>0</v>
      </c>
      <c r="AK25" s="78">
        <f t="shared" si="7"/>
        <v>0</v>
      </c>
      <c r="AL25" s="78">
        <f t="shared" si="8"/>
        <v>0</v>
      </c>
      <c r="AM25" s="78">
        <f t="shared" si="9"/>
        <v>0</v>
      </c>
      <c r="AN25" s="78">
        <f t="shared" si="10"/>
        <v>0</v>
      </c>
    </row>
    <row r="26" spans="1:40" ht="11.25" customHeight="1" x14ac:dyDescent="0.2">
      <c r="A26" s="384"/>
      <c r="B26" s="385"/>
      <c r="C26" s="391">
        <v>-1</v>
      </c>
      <c r="D26" s="385" t="s">
        <v>199</v>
      </c>
      <c r="E26" s="385"/>
      <c r="F26" s="383"/>
      <c r="G26" s="458" t="s">
        <v>682</v>
      </c>
      <c r="H26" s="18"/>
      <c r="I26" s="61"/>
      <c r="J26" s="61"/>
      <c r="K26" s="61"/>
      <c r="L26" s="61"/>
      <c r="M26" s="61"/>
      <c r="N26" s="61"/>
      <c r="O26" s="61"/>
      <c r="P26" s="29">
        <f t="shared" si="12"/>
        <v>0</v>
      </c>
      <c r="Q26" s="61"/>
      <c r="R26" s="61"/>
      <c r="S26" s="61"/>
      <c r="T26" s="61"/>
      <c r="U26" s="61"/>
      <c r="V26" s="61"/>
      <c r="W26" s="61"/>
      <c r="X26" s="29">
        <f t="shared" si="14"/>
        <v>0</v>
      </c>
      <c r="Y26" s="261"/>
      <c r="Z26" s="261"/>
      <c r="AA26" s="261"/>
      <c r="AB26" s="261"/>
      <c r="AC26" s="261"/>
      <c r="AD26" s="261"/>
      <c r="AE26" s="261"/>
      <c r="AF26" s="273">
        <f t="shared" si="16"/>
        <v>0</v>
      </c>
      <c r="AG26" s="78">
        <f t="shared" si="3"/>
        <v>0</v>
      </c>
      <c r="AH26" s="78">
        <f t="shared" si="4"/>
        <v>0</v>
      </c>
      <c r="AI26" s="78">
        <f t="shared" si="5"/>
        <v>0</v>
      </c>
      <c r="AJ26" s="78">
        <f t="shared" si="6"/>
        <v>0</v>
      </c>
      <c r="AK26" s="78">
        <f t="shared" si="7"/>
        <v>0</v>
      </c>
      <c r="AL26" s="78">
        <f t="shared" si="8"/>
        <v>0</v>
      </c>
      <c r="AM26" s="78">
        <f t="shared" si="9"/>
        <v>0</v>
      </c>
      <c r="AN26" s="78">
        <f t="shared" si="10"/>
        <v>0</v>
      </c>
    </row>
    <row r="27" spans="1:40" ht="11.25" customHeight="1" x14ac:dyDescent="0.2">
      <c r="A27" s="386"/>
      <c r="B27" s="355"/>
      <c r="C27" s="395">
        <f>C26-1</f>
        <v>-2</v>
      </c>
      <c r="D27" s="355" t="s">
        <v>200</v>
      </c>
      <c r="E27" s="382"/>
      <c r="F27" s="383"/>
      <c r="G27" s="458" t="s">
        <v>683</v>
      </c>
      <c r="H27" s="18"/>
      <c r="I27" s="61"/>
      <c r="J27" s="61"/>
      <c r="K27" s="61"/>
      <c r="L27" s="61"/>
      <c r="M27" s="61"/>
      <c r="N27" s="61"/>
      <c r="O27" s="61"/>
      <c r="P27" s="29">
        <f t="shared" si="12"/>
        <v>0</v>
      </c>
      <c r="Q27" s="61"/>
      <c r="R27" s="61"/>
      <c r="S27" s="61"/>
      <c r="T27" s="61"/>
      <c r="U27" s="61"/>
      <c r="V27" s="61"/>
      <c r="W27" s="61"/>
      <c r="X27" s="29">
        <f t="shared" si="14"/>
        <v>0</v>
      </c>
      <c r="Y27" s="261"/>
      <c r="Z27" s="261"/>
      <c r="AA27" s="261"/>
      <c r="AB27" s="261"/>
      <c r="AC27" s="261"/>
      <c r="AD27" s="261"/>
      <c r="AE27" s="261"/>
      <c r="AF27" s="273">
        <f t="shared" si="16"/>
        <v>0</v>
      </c>
      <c r="AG27" s="78">
        <f t="shared" si="3"/>
        <v>0</v>
      </c>
      <c r="AH27" s="78">
        <f t="shared" si="4"/>
        <v>0</v>
      </c>
      <c r="AI27" s="78">
        <f t="shared" si="5"/>
        <v>0</v>
      </c>
      <c r="AJ27" s="78">
        <f t="shared" si="6"/>
        <v>0</v>
      </c>
      <c r="AK27" s="78">
        <f t="shared" si="7"/>
        <v>0</v>
      </c>
      <c r="AL27" s="78">
        <f t="shared" si="8"/>
        <v>0</v>
      </c>
      <c r="AM27" s="78">
        <f t="shared" si="9"/>
        <v>0</v>
      </c>
      <c r="AN27" s="78">
        <f t="shared" si="10"/>
        <v>0</v>
      </c>
    </row>
    <row r="28" spans="1:40" ht="11.25" customHeight="1" x14ac:dyDescent="0.2">
      <c r="A28" s="384"/>
      <c r="B28" s="385" t="s">
        <v>201</v>
      </c>
      <c r="C28" s="385" t="s">
        <v>202</v>
      </c>
      <c r="D28" s="385"/>
      <c r="E28" s="385"/>
      <c r="F28" s="383"/>
      <c r="G28" s="458" t="s">
        <v>684</v>
      </c>
      <c r="H28" s="18"/>
      <c r="I28" s="78">
        <f t="shared" ref="I28:O28" si="30">SUM(I29,I32)</f>
        <v>0</v>
      </c>
      <c r="J28" s="78">
        <f t="shared" si="30"/>
        <v>0</v>
      </c>
      <c r="K28" s="78">
        <f t="shared" si="30"/>
        <v>0</v>
      </c>
      <c r="L28" s="78">
        <f t="shared" si="30"/>
        <v>0</v>
      </c>
      <c r="M28" s="78">
        <f t="shared" si="30"/>
        <v>0</v>
      </c>
      <c r="N28" s="78">
        <f t="shared" si="30"/>
        <v>0</v>
      </c>
      <c r="O28" s="78">
        <f t="shared" si="30"/>
        <v>0</v>
      </c>
      <c r="P28" s="78">
        <f t="shared" si="12"/>
        <v>0</v>
      </c>
      <c r="Q28" s="78">
        <f t="shared" ref="Q28:W28" si="31">SUM(Q29,Q32)</f>
        <v>0</v>
      </c>
      <c r="R28" s="78">
        <f t="shared" si="31"/>
        <v>0</v>
      </c>
      <c r="S28" s="78">
        <f t="shared" si="31"/>
        <v>0</v>
      </c>
      <c r="T28" s="78">
        <f t="shared" si="31"/>
        <v>0</v>
      </c>
      <c r="U28" s="78">
        <f t="shared" si="31"/>
        <v>0</v>
      </c>
      <c r="V28" s="78">
        <f t="shared" si="31"/>
        <v>0</v>
      </c>
      <c r="W28" s="78">
        <f t="shared" si="31"/>
        <v>0</v>
      </c>
      <c r="X28" s="78">
        <f t="shared" si="14"/>
        <v>0</v>
      </c>
      <c r="Y28" s="273">
        <f t="shared" ref="Y28:AE28" si="32">SUM(Y29,Y32)</f>
        <v>0</v>
      </c>
      <c r="Z28" s="273">
        <f t="shared" si="32"/>
        <v>0</v>
      </c>
      <c r="AA28" s="273">
        <f t="shared" si="32"/>
        <v>0</v>
      </c>
      <c r="AB28" s="273">
        <f t="shared" si="32"/>
        <v>0</v>
      </c>
      <c r="AC28" s="273">
        <f t="shared" si="32"/>
        <v>0</v>
      </c>
      <c r="AD28" s="273">
        <f t="shared" si="32"/>
        <v>0</v>
      </c>
      <c r="AE28" s="273">
        <f t="shared" si="32"/>
        <v>0</v>
      </c>
      <c r="AF28" s="273">
        <f t="shared" si="16"/>
        <v>0</v>
      </c>
      <c r="AG28" s="78">
        <f t="shared" si="3"/>
        <v>0</v>
      </c>
      <c r="AH28" s="78">
        <f t="shared" si="4"/>
        <v>0</v>
      </c>
      <c r="AI28" s="78">
        <f t="shared" si="5"/>
        <v>0</v>
      </c>
      <c r="AJ28" s="78">
        <f t="shared" si="6"/>
        <v>0</v>
      </c>
      <c r="AK28" s="78">
        <f t="shared" si="7"/>
        <v>0</v>
      </c>
      <c r="AL28" s="78">
        <f t="shared" si="8"/>
        <v>0</v>
      </c>
      <c r="AM28" s="78">
        <f t="shared" si="9"/>
        <v>0</v>
      </c>
      <c r="AN28" s="78">
        <f t="shared" si="10"/>
        <v>0</v>
      </c>
    </row>
    <row r="29" spans="1:40" ht="11.25" customHeight="1" x14ac:dyDescent="0.2">
      <c r="A29" s="386"/>
      <c r="B29" s="355"/>
      <c r="C29" s="395">
        <v>-1</v>
      </c>
      <c r="D29" s="355" t="s">
        <v>203</v>
      </c>
      <c r="E29" s="382"/>
      <c r="F29" s="383"/>
      <c r="G29" s="458" t="s">
        <v>685</v>
      </c>
      <c r="H29" s="18"/>
      <c r="I29" s="78">
        <f>I30+I31</f>
        <v>0</v>
      </c>
      <c r="J29" s="78">
        <f t="shared" ref="J29:O29" si="33">J30+J31</f>
        <v>0</v>
      </c>
      <c r="K29" s="78">
        <f t="shared" si="33"/>
        <v>0</v>
      </c>
      <c r="L29" s="78">
        <f t="shared" si="33"/>
        <v>0</v>
      </c>
      <c r="M29" s="78">
        <f t="shared" si="33"/>
        <v>0</v>
      </c>
      <c r="N29" s="78">
        <f t="shared" si="33"/>
        <v>0</v>
      </c>
      <c r="O29" s="78">
        <f t="shared" si="33"/>
        <v>0</v>
      </c>
      <c r="P29" s="78">
        <f t="shared" si="12"/>
        <v>0</v>
      </c>
      <c r="Q29" s="78">
        <f>Q30+Q31</f>
        <v>0</v>
      </c>
      <c r="R29" s="78">
        <f t="shared" ref="R29:W29" si="34">R30+R31</f>
        <v>0</v>
      </c>
      <c r="S29" s="78">
        <f t="shared" si="34"/>
        <v>0</v>
      </c>
      <c r="T29" s="78">
        <f t="shared" si="34"/>
        <v>0</v>
      </c>
      <c r="U29" s="78">
        <f t="shared" si="34"/>
        <v>0</v>
      </c>
      <c r="V29" s="78">
        <f t="shared" si="34"/>
        <v>0</v>
      </c>
      <c r="W29" s="78">
        <f t="shared" si="34"/>
        <v>0</v>
      </c>
      <c r="X29" s="78">
        <f t="shared" si="14"/>
        <v>0</v>
      </c>
      <c r="Y29" s="273">
        <f>Y30+Y31</f>
        <v>0</v>
      </c>
      <c r="Z29" s="273">
        <f t="shared" ref="Z29:AE29" si="35">Z30+Z31</f>
        <v>0</v>
      </c>
      <c r="AA29" s="273">
        <f t="shared" si="35"/>
        <v>0</v>
      </c>
      <c r="AB29" s="273">
        <f t="shared" si="35"/>
        <v>0</v>
      </c>
      <c r="AC29" s="273">
        <f t="shared" si="35"/>
        <v>0</v>
      </c>
      <c r="AD29" s="273">
        <f t="shared" si="35"/>
        <v>0</v>
      </c>
      <c r="AE29" s="273">
        <f t="shared" si="35"/>
        <v>0</v>
      </c>
      <c r="AF29" s="273">
        <f t="shared" si="16"/>
        <v>0</v>
      </c>
      <c r="AG29" s="78">
        <f t="shared" si="3"/>
        <v>0</v>
      </c>
      <c r="AH29" s="78">
        <f t="shared" si="4"/>
        <v>0</v>
      </c>
      <c r="AI29" s="78">
        <f t="shared" si="5"/>
        <v>0</v>
      </c>
      <c r="AJ29" s="78">
        <f t="shared" si="6"/>
        <v>0</v>
      </c>
      <c r="AK29" s="78">
        <f t="shared" si="7"/>
        <v>0</v>
      </c>
      <c r="AL29" s="78">
        <f t="shared" si="8"/>
        <v>0</v>
      </c>
      <c r="AM29" s="78">
        <f t="shared" si="9"/>
        <v>0</v>
      </c>
      <c r="AN29" s="78">
        <f t="shared" si="10"/>
        <v>0</v>
      </c>
    </row>
    <row r="30" spans="1:40" ht="11.25" customHeight="1" x14ac:dyDescent="0.2">
      <c r="A30" s="386"/>
      <c r="B30" s="355"/>
      <c r="C30" s="395"/>
      <c r="D30" s="355" t="s">
        <v>11</v>
      </c>
      <c r="E30" s="355" t="s">
        <v>792</v>
      </c>
      <c r="F30" s="383"/>
      <c r="G30" s="458" t="s">
        <v>832</v>
      </c>
      <c r="H30" s="18"/>
      <c r="I30" s="61"/>
      <c r="J30" s="61"/>
      <c r="K30" s="61"/>
      <c r="L30" s="61"/>
      <c r="M30" s="61"/>
      <c r="N30" s="61"/>
      <c r="O30" s="61"/>
      <c r="P30" s="29">
        <f t="shared" si="12"/>
        <v>0</v>
      </c>
      <c r="Q30" s="61"/>
      <c r="R30" s="61"/>
      <c r="S30" s="61"/>
      <c r="T30" s="61"/>
      <c r="U30" s="61"/>
      <c r="V30" s="61"/>
      <c r="W30" s="61"/>
      <c r="X30" s="29">
        <f t="shared" si="14"/>
        <v>0</v>
      </c>
      <c r="Y30" s="261"/>
      <c r="Z30" s="261"/>
      <c r="AA30" s="261"/>
      <c r="AB30" s="261"/>
      <c r="AC30" s="261"/>
      <c r="AD30" s="261"/>
      <c r="AE30" s="261"/>
      <c r="AF30" s="273">
        <f t="shared" si="16"/>
        <v>0</v>
      </c>
      <c r="AG30" s="78">
        <f t="shared" si="3"/>
        <v>0</v>
      </c>
      <c r="AH30" s="78">
        <f t="shared" si="4"/>
        <v>0</v>
      </c>
      <c r="AI30" s="78">
        <f t="shared" si="5"/>
        <v>0</v>
      </c>
      <c r="AJ30" s="78">
        <f t="shared" si="6"/>
        <v>0</v>
      </c>
      <c r="AK30" s="78">
        <f t="shared" si="7"/>
        <v>0</v>
      </c>
      <c r="AL30" s="78">
        <f t="shared" si="8"/>
        <v>0</v>
      </c>
      <c r="AM30" s="78">
        <f t="shared" si="9"/>
        <v>0</v>
      </c>
      <c r="AN30" s="78">
        <f t="shared" si="10"/>
        <v>0</v>
      </c>
    </row>
    <row r="31" spans="1:40" ht="11.25" customHeight="1" x14ac:dyDescent="0.2">
      <c r="A31" s="408"/>
      <c r="B31" s="392"/>
      <c r="C31" s="435"/>
      <c r="D31" s="392" t="s">
        <v>15</v>
      </c>
      <c r="E31" s="355" t="s">
        <v>793</v>
      </c>
      <c r="F31" s="383"/>
      <c r="G31" s="458" t="s">
        <v>833</v>
      </c>
      <c r="H31" s="18"/>
      <c r="I31" s="61"/>
      <c r="J31" s="61"/>
      <c r="K31" s="61"/>
      <c r="L31" s="61"/>
      <c r="M31" s="61"/>
      <c r="N31" s="61"/>
      <c r="O31" s="61"/>
      <c r="P31" s="29">
        <f t="shared" si="12"/>
        <v>0</v>
      </c>
      <c r="Q31" s="61"/>
      <c r="R31" s="61"/>
      <c r="S31" s="61"/>
      <c r="T31" s="61"/>
      <c r="U31" s="61"/>
      <c r="V31" s="61"/>
      <c r="W31" s="61"/>
      <c r="X31" s="29">
        <f t="shared" si="14"/>
        <v>0</v>
      </c>
      <c r="Y31" s="261"/>
      <c r="Z31" s="261"/>
      <c r="AA31" s="261"/>
      <c r="AB31" s="261"/>
      <c r="AC31" s="261"/>
      <c r="AD31" s="261"/>
      <c r="AE31" s="261"/>
      <c r="AF31" s="273">
        <f t="shared" si="16"/>
        <v>0</v>
      </c>
      <c r="AG31" s="78">
        <f t="shared" si="3"/>
        <v>0</v>
      </c>
      <c r="AH31" s="78">
        <f t="shared" si="4"/>
        <v>0</v>
      </c>
      <c r="AI31" s="78">
        <f t="shared" si="5"/>
        <v>0</v>
      </c>
      <c r="AJ31" s="78">
        <f t="shared" si="6"/>
        <v>0</v>
      </c>
      <c r="AK31" s="78">
        <f t="shared" si="7"/>
        <v>0</v>
      </c>
      <c r="AL31" s="78">
        <f t="shared" si="8"/>
        <v>0</v>
      </c>
      <c r="AM31" s="78">
        <f t="shared" si="9"/>
        <v>0</v>
      </c>
      <c r="AN31" s="78">
        <f t="shared" si="10"/>
        <v>0</v>
      </c>
    </row>
    <row r="32" spans="1:40" ht="11.25" customHeight="1" x14ac:dyDescent="0.2">
      <c r="A32" s="384"/>
      <c r="B32" s="385"/>
      <c r="C32" s="391">
        <f>C29-1</f>
        <v>-2</v>
      </c>
      <c r="D32" s="385" t="s">
        <v>194</v>
      </c>
      <c r="E32" s="385"/>
      <c r="F32" s="383"/>
      <c r="G32" s="458" t="s">
        <v>686</v>
      </c>
      <c r="H32" s="18"/>
      <c r="I32" s="61"/>
      <c r="J32" s="61"/>
      <c r="K32" s="61"/>
      <c r="L32" s="61"/>
      <c r="M32" s="61"/>
      <c r="N32" s="61"/>
      <c r="O32" s="61"/>
      <c r="P32" s="29">
        <f t="shared" si="12"/>
        <v>0</v>
      </c>
      <c r="Q32" s="61"/>
      <c r="R32" s="61"/>
      <c r="S32" s="61"/>
      <c r="T32" s="61"/>
      <c r="U32" s="61"/>
      <c r="V32" s="61"/>
      <c r="W32" s="61"/>
      <c r="X32" s="29">
        <f t="shared" si="14"/>
        <v>0</v>
      </c>
      <c r="Y32" s="261"/>
      <c r="Z32" s="261"/>
      <c r="AA32" s="261"/>
      <c r="AB32" s="261"/>
      <c r="AC32" s="261"/>
      <c r="AD32" s="261"/>
      <c r="AE32" s="261"/>
      <c r="AF32" s="273">
        <f t="shared" si="16"/>
        <v>0</v>
      </c>
      <c r="AG32" s="78">
        <f t="shared" si="3"/>
        <v>0</v>
      </c>
      <c r="AH32" s="78">
        <f t="shared" si="4"/>
        <v>0</v>
      </c>
      <c r="AI32" s="78">
        <f t="shared" si="5"/>
        <v>0</v>
      </c>
      <c r="AJ32" s="78">
        <f t="shared" si="6"/>
        <v>0</v>
      </c>
      <c r="AK32" s="78">
        <f t="shared" si="7"/>
        <v>0</v>
      </c>
      <c r="AL32" s="78">
        <f t="shared" si="8"/>
        <v>0</v>
      </c>
      <c r="AM32" s="78">
        <f t="shared" si="9"/>
        <v>0</v>
      </c>
      <c r="AN32" s="78">
        <f t="shared" si="10"/>
        <v>0</v>
      </c>
    </row>
    <row r="33" spans="1:236" ht="11.25" customHeight="1" x14ac:dyDescent="0.2">
      <c r="A33" s="380" t="s">
        <v>33</v>
      </c>
      <c r="B33" s="381" t="s">
        <v>204</v>
      </c>
      <c r="C33" s="355"/>
      <c r="D33" s="355"/>
      <c r="E33" s="382"/>
      <c r="F33" s="383"/>
      <c r="G33" s="458" t="s">
        <v>687</v>
      </c>
      <c r="H33" s="18"/>
      <c r="I33" s="60"/>
      <c r="J33" s="77">
        <f t="shared" ref="J33:O33" si="36">SUM(J34,J35,J36,J39)</f>
        <v>0</v>
      </c>
      <c r="K33" s="77">
        <f t="shared" si="36"/>
        <v>0</v>
      </c>
      <c r="L33" s="77">
        <f t="shared" si="36"/>
        <v>0</v>
      </c>
      <c r="M33" s="77">
        <f t="shared" si="36"/>
        <v>0</v>
      </c>
      <c r="N33" s="77">
        <f t="shared" si="36"/>
        <v>0</v>
      </c>
      <c r="O33" s="77">
        <f t="shared" si="36"/>
        <v>0</v>
      </c>
      <c r="P33" s="78">
        <f t="shared" si="12"/>
        <v>0</v>
      </c>
      <c r="Q33" s="295"/>
      <c r="R33" s="77">
        <f t="shared" ref="R33:W33" si="37">SUM(R34,R35,R36,R39)</f>
        <v>0</v>
      </c>
      <c r="S33" s="77">
        <f t="shared" si="37"/>
        <v>0</v>
      </c>
      <c r="T33" s="77">
        <f t="shared" si="37"/>
        <v>0</v>
      </c>
      <c r="U33" s="77">
        <f t="shared" si="37"/>
        <v>0</v>
      </c>
      <c r="V33" s="77">
        <f t="shared" si="37"/>
        <v>0</v>
      </c>
      <c r="W33" s="77">
        <f t="shared" si="37"/>
        <v>0</v>
      </c>
      <c r="X33" s="78">
        <f t="shared" si="14"/>
        <v>0</v>
      </c>
      <c r="Y33" s="376"/>
      <c r="Z33" s="267">
        <f t="shared" ref="Z33:AE33" si="38">SUM(Z34,Z35,Z36,Z39)</f>
        <v>0</v>
      </c>
      <c r="AA33" s="267">
        <f t="shared" si="38"/>
        <v>0</v>
      </c>
      <c r="AB33" s="267">
        <f t="shared" si="38"/>
        <v>0</v>
      </c>
      <c r="AC33" s="267">
        <f t="shared" si="38"/>
        <v>0</v>
      </c>
      <c r="AD33" s="267">
        <f t="shared" si="38"/>
        <v>0</v>
      </c>
      <c r="AE33" s="267">
        <f t="shared" si="38"/>
        <v>0</v>
      </c>
      <c r="AF33" s="273">
        <f t="shared" si="16"/>
        <v>0</v>
      </c>
      <c r="AG33" s="295"/>
      <c r="AH33" s="78">
        <f t="shared" ref="AH33:AK40" si="39">(J33+R33) - Z33</f>
        <v>0</v>
      </c>
      <c r="AI33" s="78">
        <f t="shared" si="39"/>
        <v>0</v>
      </c>
      <c r="AJ33" s="78">
        <f t="shared" si="39"/>
        <v>0</v>
      </c>
      <c r="AK33" s="78">
        <f t="shared" si="39"/>
        <v>0</v>
      </c>
      <c r="AL33" s="78">
        <f t="shared" si="8"/>
        <v>0</v>
      </c>
      <c r="AM33" s="78">
        <f t="shared" si="9"/>
        <v>0</v>
      </c>
      <c r="AN33" s="78">
        <f t="shared" ref="AN33:AN40" si="40">(P33+X33) - AF33</f>
        <v>0</v>
      </c>
    </row>
    <row r="34" spans="1:236" ht="11.25" customHeight="1" x14ac:dyDescent="0.2">
      <c r="A34" s="384"/>
      <c r="B34" s="385" t="s">
        <v>188</v>
      </c>
      <c r="C34" s="385" t="s">
        <v>205</v>
      </c>
      <c r="D34" s="385"/>
      <c r="E34" s="385"/>
      <c r="F34" s="383"/>
      <c r="G34" s="458" t="s">
        <v>688</v>
      </c>
      <c r="H34" s="18"/>
      <c r="I34" s="60"/>
      <c r="J34" s="62"/>
      <c r="K34" s="62"/>
      <c r="L34" s="62"/>
      <c r="M34" s="62"/>
      <c r="N34" s="62"/>
      <c r="O34" s="62"/>
      <c r="P34" s="29">
        <f t="shared" si="12"/>
        <v>0</v>
      </c>
      <c r="Q34" s="60"/>
      <c r="R34" s="62"/>
      <c r="S34" s="62"/>
      <c r="T34" s="62"/>
      <c r="U34" s="62"/>
      <c r="V34" s="62"/>
      <c r="W34" s="62"/>
      <c r="X34" s="29">
        <f t="shared" si="14"/>
        <v>0</v>
      </c>
      <c r="Y34" s="264"/>
      <c r="Z34" s="266"/>
      <c r="AA34" s="266"/>
      <c r="AB34" s="266"/>
      <c r="AC34" s="266"/>
      <c r="AD34" s="266"/>
      <c r="AE34" s="266"/>
      <c r="AF34" s="273">
        <f t="shared" si="16"/>
        <v>0</v>
      </c>
      <c r="AG34" s="295"/>
      <c r="AH34" s="78">
        <f t="shared" si="39"/>
        <v>0</v>
      </c>
      <c r="AI34" s="78">
        <f t="shared" si="39"/>
        <v>0</v>
      </c>
      <c r="AJ34" s="78">
        <f t="shared" si="39"/>
        <v>0</v>
      </c>
      <c r="AK34" s="78">
        <f t="shared" si="39"/>
        <v>0</v>
      </c>
      <c r="AL34" s="78">
        <f t="shared" si="8"/>
        <v>0</v>
      </c>
      <c r="AM34" s="78">
        <f t="shared" si="9"/>
        <v>0</v>
      </c>
      <c r="AN34" s="78">
        <f t="shared" si="40"/>
        <v>0</v>
      </c>
    </row>
    <row r="35" spans="1:236" ht="11.25" customHeight="1" x14ac:dyDescent="0.2">
      <c r="A35" s="386"/>
      <c r="B35" s="355" t="s">
        <v>195</v>
      </c>
      <c r="C35" s="355" t="s">
        <v>206</v>
      </c>
      <c r="D35" s="355"/>
      <c r="E35" s="382"/>
      <c r="F35" s="383"/>
      <c r="G35" s="458" t="s">
        <v>689</v>
      </c>
      <c r="H35" s="18"/>
      <c r="I35" s="60"/>
      <c r="J35" s="62"/>
      <c r="K35" s="62"/>
      <c r="L35" s="62"/>
      <c r="M35" s="62"/>
      <c r="N35" s="62"/>
      <c r="O35" s="62"/>
      <c r="P35" s="29">
        <f t="shared" si="12"/>
        <v>0</v>
      </c>
      <c r="Q35" s="60"/>
      <c r="R35" s="62"/>
      <c r="S35" s="62"/>
      <c r="T35" s="62"/>
      <c r="U35" s="62"/>
      <c r="V35" s="62"/>
      <c r="W35" s="62"/>
      <c r="X35" s="29">
        <f t="shared" si="14"/>
        <v>0</v>
      </c>
      <c r="Y35" s="264"/>
      <c r="Z35" s="266"/>
      <c r="AA35" s="266"/>
      <c r="AB35" s="266"/>
      <c r="AC35" s="266"/>
      <c r="AD35" s="266"/>
      <c r="AE35" s="266"/>
      <c r="AF35" s="273">
        <f t="shared" si="16"/>
        <v>0</v>
      </c>
      <c r="AG35" s="295"/>
      <c r="AH35" s="78">
        <f t="shared" si="39"/>
        <v>0</v>
      </c>
      <c r="AI35" s="78">
        <f t="shared" si="39"/>
        <v>0</v>
      </c>
      <c r="AJ35" s="78">
        <f t="shared" si="39"/>
        <v>0</v>
      </c>
      <c r="AK35" s="78">
        <f t="shared" si="39"/>
        <v>0</v>
      </c>
      <c r="AL35" s="78">
        <f t="shared" si="8"/>
        <v>0</v>
      </c>
      <c r="AM35" s="78">
        <f t="shared" si="9"/>
        <v>0</v>
      </c>
      <c r="AN35" s="78">
        <f t="shared" si="40"/>
        <v>0</v>
      </c>
    </row>
    <row r="36" spans="1:236" ht="11.25" customHeight="1" x14ac:dyDescent="0.2">
      <c r="A36" s="384"/>
      <c r="B36" s="385" t="s">
        <v>197</v>
      </c>
      <c r="C36" s="385" t="s">
        <v>198</v>
      </c>
      <c r="D36" s="385"/>
      <c r="E36" s="385"/>
      <c r="F36" s="383"/>
      <c r="G36" s="458" t="s">
        <v>690</v>
      </c>
      <c r="H36" s="18"/>
      <c r="I36" s="60"/>
      <c r="J36" s="77">
        <f t="shared" ref="J36:O36" si="41">SUM(J37,J38)</f>
        <v>0</v>
      </c>
      <c r="K36" s="77">
        <f t="shared" si="41"/>
        <v>0</v>
      </c>
      <c r="L36" s="77">
        <f t="shared" si="41"/>
        <v>0</v>
      </c>
      <c r="M36" s="77">
        <f t="shared" si="41"/>
        <v>0</v>
      </c>
      <c r="N36" s="77">
        <f t="shared" si="41"/>
        <v>0</v>
      </c>
      <c r="O36" s="77">
        <f t="shared" si="41"/>
        <v>0</v>
      </c>
      <c r="P36" s="78">
        <f t="shared" si="12"/>
        <v>0</v>
      </c>
      <c r="Q36" s="295"/>
      <c r="R36" s="77">
        <f t="shared" ref="R36:W36" si="42">SUM(R37,R38)</f>
        <v>0</v>
      </c>
      <c r="S36" s="77">
        <f t="shared" si="42"/>
        <v>0</v>
      </c>
      <c r="T36" s="77">
        <f t="shared" si="42"/>
        <v>0</v>
      </c>
      <c r="U36" s="77">
        <f t="shared" si="42"/>
        <v>0</v>
      </c>
      <c r="V36" s="77">
        <f t="shared" si="42"/>
        <v>0</v>
      </c>
      <c r="W36" s="77">
        <f t="shared" si="42"/>
        <v>0</v>
      </c>
      <c r="X36" s="78">
        <f t="shared" si="14"/>
        <v>0</v>
      </c>
      <c r="Y36" s="376"/>
      <c r="Z36" s="267">
        <f t="shared" ref="Z36:AE36" si="43">SUM(Z37,Z38)</f>
        <v>0</v>
      </c>
      <c r="AA36" s="267">
        <f t="shared" si="43"/>
        <v>0</v>
      </c>
      <c r="AB36" s="267">
        <f t="shared" si="43"/>
        <v>0</v>
      </c>
      <c r="AC36" s="267">
        <f t="shared" si="43"/>
        <v>0</v>
      </c>
      <c r="AD36" s="267">
        <f t="shared" si="43"/>
        <v>0</v>
      </c>
      <c r="AE36" s="267">
        <f t="shared" si="43"/>
        <v>0</v>
      </c>
      <c r="AF36" s="273">
        <f t="shared" si="16"/>
        <v>0</v>
      </c>
      <c r="AG36" s="295"/>
      <c r="AH36" s="78">
        <f t="shared" si="39"/>
        <v>0</v>
      </c>
      <c r="AI36" s="78">
        <f t="shared" si="39"/>
        <v>0</v>
      </c>
      <c r="AJ36" s="78">
        <f t="shared" si="39"/>
        <v>0</v>
      </c>
      <c r="AK36" s="78">
        <f t="shared" si="39"/>
        <v>0</v>
      </c>
      <c r="AL36" s="78">
        <f t="shared" si="8"/>
        <v>0</v>
      </c>
      <c r="AM36" s="78">
        <f t="shared" si="9"/>
        <v>0</v>
      </c>
      <c r="AN36" s="78">
        <f t="shared" si="40"/>
        <v>0</v>
      </c>
    </row>
    <row r="37" spans="1:236" ht="11.25" customHeight="1" x14ac:dyDescent="0.2">
      <c r="A37" s="386"/>
      <c r="B37" s="355"/>
      <c r="C37" s="395">
        <v>-1</v>
      </c>
      <c r="D37" s="355" t="s">
        <v>207</v>
      </c>
      <c r="E37" s="382"/>
      <c r="F37" s="383"/>
      <c r="G37" s="458" t="s">
        <v>691</v>
      </c>
      <c r="H37" s="18"/>
      <c r="I37" s="60"/>
      <c r="J37" s="62"/>
      <c r="K37" s="62"/>
      <c r="L37" s="62"/>
      <c r="M37" s="62"/>
      <c r="N37" s="62"/>
      <c r="O37" s="62"/>
      <c r="P37" s="29">
        <f t="shared" si="12"/>
        <v>0</v>
      </c>
      <c r="Q37" s="60"/>
      <c r="R37" s="62"/>
      <c r="S37" s="62"/>
      <c r="T37" s="62"/>
      <c r="U37" s="62"/>
      <c r="V37" s="62"/>
      <c r="W37" s="62"/>
      <c r="X37" s="29">
        <f t="shared" si="14"/>
        <v>0</v>
      </c>
      <c r="Y37" s="264"/>
      <c r="Z37" s="266"/>
      <c r="AA37" s="266"/>
      <c r="AB37" s="266"/>
      <c r="AC37" s="266"/>
      <c r="AD37" s="266"/>
      <c r="AE37" s="266"/>
      <c r="AF37" s="273">
        <f t="shared" si="16"/>
        <v>0</v>
      </c>
      <c r="AG37" s="295"/>
      <c r="AH37" s="78">
        <f t="shared" si="39"/>
        <v>0</v>
      </c>
      <c r="AI37" s="78">
        <f t="shared" si="39"/>
        <v>0</v>
      </c>
      <c r="AJ37" s="78">
        <f t="shared" si="39"/>
        <v>0</v>
      </c>
      <c r="AK37" s="78">
        <f t="shared" si="39"/>
        <v>0</v>
      </c>
      <c r="AL37" s="78">
        <f t="shared" si="8"/>
        <v>0</v>
      </c>
      <c r="AM37" s="78">
        <f t="shared" si="9"/>
        <v>0</v>
      </c>
      <c r="AN37" s="78">
        <f t="shared" si="40"/>
        <v>0</v>
      </c>
    </row>
    <row r="38" spans="1:236" ht="11.25" customHeight="1" x14ac:dyDescent="0.2">
      <c r="A38" s="384"/>
      <c r="B38" s="385"/>
      <c r="C38" s="391">
        <f>C37-1</f>
        <v>-2</v>
      </c>
      <c r="D38" s="385" t="s">
        <v>200</v>
      </c>
      <c r="E38" s="385"/>
      <c r="F38" s="383"/>
      <c r="G38" s="458" t="s">
        <v>692</v>
      </c>
      <c r="H38" s="18"/>
      <c r="I38" s="60"/>
      <c r="J38" s="62"/>
      <c r="K38" s="62"/>
      <c r="L38" s="62"/>
      <c r="M38" s="62"/>
      <c r="N38" s="62"/>
      <c r="O38" s="62"/>
      <c r="P38" s="29">
        <f t="shared" si="12"/>
        <v>0</v>
      </c>
      <c r="Q38" s="60"/>
      <c r="R38" s="62"/>
      <c r="S38" s="62"/>
      <c r="T38" s="62"/>
      <c r="U38" s="62"/>
      <c r="V38" s="62"/>
      <c r="W38" s="62"/>
      <c r="X38" s="29">
        <f t="shared" si="14"/>
        <v>0</v>
      </c>
      <c r="Y38" s="264"/>
      <c r="Z38" s="266"/>
      <c r="AA38" s="266"/>
      <c r="AB38" s="266"/>
      <c r="AC38" s="266"/>
      <c r="AD38" s="266"/>
      <c r="AE38" s="266"/>
      <c r="AF38" s="273">
        <f t="shared" si="16"/>
        <v>0</v>
      </c>
      <c r="AG38" s="295"/>
      <c r="AH38" s="78">
        <f t="shared" si="39"/>
        <v>0</v>
      </c>
      <c r="AI38" s="78">
        <f t="shared" si="39"/>
        <v>0</v>
      </c>
      <c r="AJ38" s="78">
        <f t="shared" si="39"/>
        <v>0</v>
      </c>
      <c r="AK38" s="78">
        <f t="shared" si="39"/>
        <v>0</v>
      </c>
      <c r="AL38" s="78">
        <f t="shared" si="8"/>
        <v>0</v>
      </c>
      <c r="AM38" s="78">
        <f t="shared" si="9"/>
        <v>0</v>
      </c>
      <c r="AN38" s="78">
        <f t="shared" si="40"/>
        <v>0</v>
      </c>
    </row>
    <row r="39" spans="1:236" s="16" customFormat="1" ht="11.25" customHeight="1" x14ac:dyDescent="0.2">
      <c r="A39" s="386"/>
      <c r="B39" s="355" t="s">
        <v>201</v>
      </c>
      <c r="C39" s="355" t="s">
        <v>208</v>
      </c>
      <c r="D39" s="355"/>
      <c r="E39" s="382"/>
      <c r="F39" s="383"/>
      <c r="G39" s="458" t="s">
        <v>693</v>
      </c>
      <c r="H39" s="18"/>
      <c r="I39" s="60"/>
      <c r="J39" s="62"/>
      <c r="K39" s="62"/>
      <c r="L39" s="62"/>
      <c r="M39" s="62"/>
      <c r="N39" s="62"/>
      <c r="O39" s="62"/>
      <c r="P39" s="29">
        <f t="shared" si="12"/>
        <v>0</v>
      </c>
      <c r="Q39" s="60"/>
      <c r="R39" s="62"/>
      <c r="S39" s="62"/>
      <c r="T39" s="62"/>
      <c r="U39" s="62"/>
      <c r="V39" s="62"/>
      <c r="W39" s="62"/>
      <c r="X39" s="29">
        <f t="shared" si="14"/>
        <v>0</v>
      </c>
      <c r="Y39" s="264"/>
      <c r="Z39" s="266"/>
      <c r="AA39" s="266"/>
      <c r="AB39" s="266"/>
      <c r="AC39" s="266"/>
      <c r="AD39" s="266"/>
      <c r="AE39" s="266"/>
      <c r="AF39" s="273">
        <f t="shared" si="16"/>
        <v>0</v>
      </c>
      <c r="AG39" s="295"/>
      <c r="AH39" s="78">
        <f t="shared" si="39"/>
        <v>0</v>
      </c>
      <c r="AI39" s="78">
        <f t="shared" si="39"/>
        <v>0</v>
      </c>
      <c r="AJ39" s="78">
        <f t="shared" si="39"/>
        <v>0</v>
      </c>
      <c r="AK39" s="78">
        <f t="shared" si="39"/>
        <v>0</v>
      </c>
      <c r="AL39" s="78">
        <f t="shared" si="8"/>
        <v>0</v>
      </c>
      <c r="AM39" s="78">
        <f t="shared" si="9"/>
        <v>0</v>
      </c>
      <c r="AN39" s="78">
        <f t="shared" si="40"/>
        <v>0</v>
      </c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</row>
    <row r="40" spans="1:236" s="16" customFormat="1" ht="11.25" customHeight="1" x14ac:dyDescent="0.2">
      <c r="A40" s="436" t="s">
        <v>48</v>
      </c>
      <c r="B40" s="394" t="s">
        <v>209</v>
      </c>
      <c r="C40" s="391"/>
      <c r="D40" s="385"/>
      <c r="E40" s="385"/>
      <c r="F40" s="383"/>
      <c r="G40" s="458" t="s">
        <v>694</v>
      </c>
      <c r="H40" s="18"/>
      <c r="I40" s="62"/>
      <c r="J40" s="62"/>
      <c r="K40" s="62"/>
      <c r="L40" s="62"/>
      <c r="M40" s="62"/>
      <c r="N40" s="62"/>
      <c r="O40" s="62"/>
      <c r="P40" s="29">
        <f t="shared" si="12"/>
        <v>0</v>
      </c>
      <c r="Q40" s="62"/>
      <c r="R40" s="62"/>
      <c r="S40" s="62"/>
      <c r="T40" s="62"/>
      <c r="U40" s="62"/>
      <c r="V40" s="62"/>
      <c r="W40" s="62"/>
      <c r="X40" s="29">
        <f t="shared" si="14"/>
        <v>0</v>
      </c>
      <c r="Y40" s="266"/>
      <c r="Z40" s="266"/>
      <c r="AA40" s="266"/>
      <c r="AB40" s="266"/>
      <c r="AC40" s="266"/>
      <c r="AD40" s="266"/>
      <c r="AE40" s="266"/>
      <c r="AF40" s="273">
        <f t="shared" si="16"/>
        <v>0</v>
      </c>
      <c r="AG40" s="78">
        <f t="shared" ref="AG40:AN41" si="44">(I40+Q40) - Y40</f>
        <v>0</v>
      </c>
      <c r="AH40" s="78">
        <f t="shared" si="39"/>
        <v>0</v>
      </c>
      <c r="AI40" s="78">
        <f t="shared" si="39"/>
        <v>0</v>
      </c>
      <c r="AJ40" s="78">
        <f t="shared" si="39"/>
        <v>0</v>
      </c>
      <c r="AK40" s="78">
        <f t="shared" si="39"/>
        <v>0</v>
      </c>
      <c r="AL40" s="78">
        <f t="shared" si="8"/>
        <v>0</v>
      </c>
      <c r="AM40" s="78">
        <f t="shared" si="9"/>
        <v>0</v>
      </c>
      <c r="AN40" s="78">
        <f t="shared" si="40"/>
        <v>0</v>
      </c>
    </row>
    <row r="41" spans="1:236" s="16" customFormat="1" ht="11.25" customHeight="1" x14ac:dyDescent="0.2">
      <c r="A41" s="434" t="s">
        <v>392</v>
      </c>
      <c r="B41" s="437"/>
      <c r="C41" s="355"/>
      <c r="D41" s="355"/>
      <c r="E41" s="382"/>
      <c r="F41" s="383"/>
      <c r="G41" s="458" t="s">
        <v>695</v>
      </c>
      <c r="H41" s="18"/>
      <c r="I41" s="77">
        <f t="shared" ref="I41:O41" si="45">SUM(I11,I33,I40)</f>
        <v>0</v>
      </c>
      <c r="J41" s="77">
        <f t="shared" si="45"/>
        <v>0</v>
      </c>
      <c r="K41" s="77">
        <f t="shared" si="45"/>
        <v>0</v>
      </c>
      <c r="L41" s="77">
        <f t="shared" si="45"/>
        <v>0</v>
      </c>
      <c r="M41" s="77">
        <f t="shared" si="45"/>
        <v>0</v>
      </c>
      <c r="N41" s="77">
        <f t="shared" si="45"/>
        <v>0</v>
      </c>
      <c r="O41" s="77">
        <f t="shared" si="45"/>
        <v>0</v>
      </c>
      <c r="P41" s="78">
        <f t="shared" si="12"/>
        <v>0</v>
      </c>
      <c r="Q41" s="77">
        <f t="shared" ref="Q41:W41" si="46">SUM(Q11,Q33,Q40)</f>
        <v>0</v>
      </c>
      <c r="R41" s="77">
        <f t="shared" si="46"/>
        <v>0</v>
      </c>
      <c r="S41" s="77">
        <f t="shared" si="46"/>
        <v>0</v>
      </c>
      <c r="T41" s="77">
        <f t="shared" si="46"/>
        <v>0</v>
      </c>
      <c r="U41" s="77">
        <f t="shared" si="46"/>
        <v>0</v>
      </c>
      <c r="V41" s="77">
        <f t="shared" si="46"/>
        <v>0</v>
      </c>
      <c r="W41" s="77">
        <f t="shared" si="46"/>
        <v>0</v>
      </c>
      <c r="X41" s="78">
        <f t="shared" si="14"/>
        <v>0</v>
      </c>
      <c r="Y41" s="267">
        <f t="shared" ref="Y41:AE41" si="47">SUM(Y11,Y33,Y40)</f>
        <v>0</v>
      </c>
      <c r="Z41" s="267">
        <f t="shared" si="47"/>
        <v>0</v>
      </c>
      <c r="AA41" s="267">
        <f t="shared" si="47"/>
        <v>0</v>
      </c>
      <c r="AB41" s="267">
        <f t="shared" si="47"/>
        <v>0</v>
      </c>
      <c r="AC41" s="267">
        <f t="shared" si="47"/>
        <v>0</v>
      </c>
      <c r="AD41" s="267">
        <f t="shared" si="47"/>
        <v>0</v>
      </c>
      <c r="AE41" s="267">
        <f t="shared" si="47"/>
        <v>0</v>
      </c>
      <c r="AF41" s="273">
        <f t="shared" si="16"/>
        <v>0</v>
      </c>
      <c r="AG41" s="78">
        <f t="shared" si="44"/>
        <v>0</v>
      </c>
      <c r="AH41" s="78">
        <f t="shared" si="44"/>
        <v>0</v>
      </c>
      <c r="AI41" s="78">
        <f t="shared" si="44"/>
        <v>0</v>
      </c>
      <c r="AJ41" s="78">
        <f t="shared" si="44"/>
        <v>0</v>
      </c>
      <c r="AK41" s="78">
        <f t="shared" si="44"/>
        <v>0</v>
      </c>
      <c r="AL41" s="78">
        <f t="shared" si="44"/>
        <v>0</v>
      </c>
      <c r="AM41" s="78">
        <f t="shared" si="44"/>
        <v>0</v>
      </c>
      <c r="AN41" s="78">
        <f t="shared" si="44"/>
        <v>0</v>
      </c>
    </row>
    <row r="42" spans="1:236" s="21" customFormat="1" ht="11.25" customHeight="1" x14ac:dyDescent="0.2">
      <c r="A42" s="393" t="s">
        <v>215</v>
      </c>
      <c r="B42" s="385"/>
      <c r="C42" s="385"/>
      <c r="D42" s="385"/>
      <c r="E42" s="385"/>
      <c r="F42" s="383"/>
      <c r="G42" s="469" t="s">
        <v>261</v>
      </c>
      <c r="H42" s="18"/>
      <c r="I42" s="35"/>
      <c r="J42" s="35"/>
      <c r="K42" s="35"/>
      <c r="L42" s="35"/>
      <c r="M42" s="35"/>
      <c r="N42" s="35"/>
      <c r="O42" s="35"/>
      <c r="P42" s="29"/>
      <c r="Q42" s="35"/>
      <c r="R42" s="35"/>
      <c r="S42" s="35"/>
      <c r="T42" s="35"/>
      <c r="U42" s="35"/>
      <c r="V42" s="35"/>
      <c r="W42" s="35"/>
      <c r="X42" s="29"/>
      <c r="Y42" s="265"/>
      <c r="Z42" s="265"/>
      <c r="AA42" s="265"/>
      <c r="AB42" s="265"/>
      <c r="AC42" s="265"/>
      <c r="AD42" s="265"/>
      <c r="AE42" s="265"/>
      <c r="AF42" s="273"/>
      <c r="AG42" s="77"/>
      <c r="AH42" s="77"/>
      <c r="AI42" s="77"/>
      <c r="AJ42" s="77"/>
      <c r="AK42" s="77"/>
      <c r="AL42" s="77"/>
      <c r="AM42" s="77"/>
      <c r="AN42" s="78"/>
    </row>
    <row r="43" spans="1:236" s="21" customFormat="1" ht="11.25" customHeight="1" x14ac:dyDescent="0.2">
      <c r="A43" s="386" t="s">
        <v>9</v>
      </c>
      <c r="B43" s="355" t="s">
        <v>216</v>
      </c>
      <c r="C43" s="355"/>
      <c r="D43" s="355"/>
      <c r="E43" s="382"/>
      <c r="F43" s="383"/>
      <c r="G43" s="458" t="s">
        <v>696</v>
      </c>
      <c r="H43" s="18"/>
      <c r="I43" s="77">
        <f>SUM(I44,I45,I46)</f>
        <v>0</v>
      </c>
      <c r="J43" s="295"/>
      <c r="K43" s="295"/>
      <c r="L43" s="295"/>
      <c r="M43" s="295"/>
      <c r="N43" s="77">
        <f>SUM(N44,N45,N46)</f>
        <v>0</v>
      </c>
      <c r="O43" s="77">
        <f>SUM(O44,O45,O46)</f>
        <v>0</v>
      </c>
      <c r="P43" s="78">
        <f t="shared" si="12"/>
        <v>0</v>
      </c>
      <c r="Q43" s="77">
        <f>SUM(Q44,Q45,Q46)</f>
        <v>0</v>
      </c>
      <c r="R43" s="295"/>
      <c r="S43" s="295"/>
      <c r="T43" s="295"/>
      <c r="U43" s="295"/>
      <c r="V43" s="77">
        <f>SUM(V44,V45,V46)</f>
        <v>0</v>
      </c>
      <c r="W43" s="77">
        <f>SUM(W44,W45,W46)</f>
        <v>0</v>
      </c>
      <c r="X43" s="78">
        <f t="shared" si="14"/>
        <v>0</v>
      </c>
      <c r="Y43" s="267">
        <f>SUM(Y44,Y45,Y46)</f>
        <v>0</v>
      </c>
      <c r="Z43" s="376"/>
      <c r="AA43" s="376"/>
      <c r="AB43" s="376"/>
      <c r="AC43" s="376"/>
      <c r="AD43" s="267">
        <f>SUM(AD44,AD45,AD46)</f>
        <v>0</v>
      </c>
      <c r="AE43" s="267">
        <f>SUM(AE44,AE45,AE46)</f>
        <v>0</v>
      </c>
      <c r="AF43" s="273">
        <f t="shared" si="16"/>
        <v>0</v>
      </c>
      <c r="AG43" s="78">
        <f t="shared" ref="AG43:AG57" si="48">(I43+Q43) - Y43</f>
        <v>0</v>
      </c>
      <c r="AH43" s="295"/>
      <c r="AI43" s="295"/>
      <c r="AJ43" s="295"/>
      <c r="AK43" s="295"/>
      <c r="AL43" s="78">
        <f t="shared" ref="AL43:AL66" si="49">(N43+V43) - AD43</f>
        <v>0</v>
      </c>
      <c r="AM43" s="78">
        <f t="shared" ref="AM43:AM66" si="50">(O43+W43) - AE43</f>
        <v>0</v>
      </c>
      <c r="AN43" s="78">
        <f t="shared" ref="AN43:AN57" si="51">(P43+X43) - AF43</f>
        <v>0</v>
      </c>
    </row>
    <row r="44" spans="1:236" s="21" customFormat="1" ht="11.25" customHeight="1" x14ac:dyDescent="0.2">
      <c r="A44" s="384"/>
      <c r="B44" s="385" t="s">
        <v>217</v>
      </c>
      <c r="C44" s="385" t="s">
        <v>218</v>
      </c>
      <c r="D44" s="385"/>
      <c r="E44" s="385"/>
      <c r="F44" s="383"/>
      <c r="G44" s="458" t="s">
        <v>697</v>
      </c>
      <c r="H44" s="18"/>
      <c r="I44" s="62"/>
      <c r="J44" s="60"/>
      <c r="K44" s="60"/>
      <c r="L44" s="60"/>
      <c r="M44" s="60"/>
      <c r="N44" s="82"/>
      <c r="O44" s="82"/>
      <c r="P44" s="29">
        <f t="shared" si="12"/>
        <v>0</v>
      </c>
      <c r="Q44" s="62"/>
      <c r="R44" s="60"/>
      <c r="S44" s="60"/>
      <c r="T44" s="60"/>
      <c r="U44" s="60"/>
      <c r="V44" s="87"/>
      <c r="W44" s="87"/>
      <c r="X44" s="29">
        <f t="shared" si="14"/>
        <v>0</v>
      </c>
      <c r="Y44" s="266"/>
      <c r="Z44" s="264"/>
      <c r="AA44" s="264"/>
      <c r="AB44" s="264"/>
      <c r="AC44" s="264"/>
      <c r="AD44" s="274"/>
      <c r="AE44" s="274"/>
      <c r="AF44" s="273">
        <f t="shared" si="16"/>
        <v>0</v>
      </c>
      <c r="AG44" s="78">
        <f t="shared" si="48"/>
        <v>0</v>
      </c>
      <c r="AH44" s="295"/>
      <c r="AI44" s="295"/>
      <c r="AJ44" s="295"/>
      <c r="AK44" s="295"/>
      <c r="AL44" s="78">
        <f t="shared" si="49"/>
        <v>0</v>
      </c>
      <c r="AM44" s="78">
        <f t="shared" si="50"/>
        <v>0</v>
      </c>
      <c r="AN44" s="78">
        <f t="shared" si="51"/>
        <v>0</v>
      </c>
    </row>
    <row r="45" spans="1:236" s="21" customFormat="1" ht="11.25" customHeight="1" x14ac:dyDescent="0.2">
      <c r="A45" s="386"/>
      <c r="B45" s="355" t="s">
        <v>219</v>
      </c>
      <c r="C45" s="355" t="s">
        <v>220</v>
      </c>
      <c r="D45" s="355"/>
      <c r="E45" s="382"/>
      <c r="F45" s="383"/>
      <c r="G45" s="458" t="s">
        <v>698</v>
      </c>
      <c r="H45" s="18"/>
      <c r="I45" s="62"/>
      <c r="J45" s="60"/>
      <c r="K45" s="60"/>
      <c r="L45" s="60"/>
      <c r="M45" s="60"/>
      <c r="N45" s="82"/>
      <c r="O45" s="82"/>
      <c r="P45" s="29">
        <f t="shared" si="12"/>
        <v>0</v>
      </c>
      <c r="Q45" s="62"/>
      <c r="R45" s="60"/>
      <c r="S45" s="60"/>
      <c r="T45" s="60"/>
      <c r="U45" s="60"/>
      <c r="V45" s="87"/>
      <c r="W45" s="87"/>
      <c r="X45" s="29">
        <f t="shared" si="14"/>
        <v>0</v>
      </c>
      <c r="Y45" s="266"/>
      <c r="Z45" s="264"/>
      <c r="AA45" s="264"/>
      <c r="AB45" s="264"/>
      <c r="AC45" s="264"/>
      <c r="AD45" s="274"/>
      <c r="AE45" s="274"/>
      <c r="AF45" s="273">
        <f t="shared" si="16"/>
        <v>0</v>
      </c>
      <c r="AG45" s="78">
        <f t="shared" si="48"/>
        <v>0</v>
      </c>
      <c r="AH45" s="295"/>
      <c r="AI45" s="295"/>
      <c r="AJ45" s="295"/>
      <c r="AK45" s="295"/>
      <c r="AL45" s="78">
        <f t="shared" si="49"/>
        <v>0</v>
      </c>
      <c r="AM45" s="78">
        <f t="shared" si="50"/>
        <v>0</v>
      </c>
      <c r="AN45" s="78">
        <f t="shared" si="51"/>
        <v>0</v>
      </c>
    </row>
    <row r="46" spans="1:236" s="21" customFormat="1" ht="11.25" customHeight="1" x14ac:dyDescent="0.2">
      <c r="A46" s="384"/>
      <c r="B46" s="385" t="s">
        <v>197</v>
      </c>
      <c r="C46" s="385" t="s">
        <v>941</v>
      </c>
      <c r="D46" s="385"/>
      <c r="E46" s="385"/>
      <c r="F46" s="383"/>
      <c r="G46" s="458" t="s">
        <v>699</v>
      </c>
      <c r="H46" s="18"/>
      <c r="I46" s="62"/>
      <c r="J46" s="60"/>
      <c r="K46" s="60"/>
      <c r="L46" s="60"/>
      <c r="M46" s="60"/>
      <c r="N46" s="82"/>
      <c r="O46" s="82"/>
      <c r="P46" s="29">
        <f t="shared" si="12"/>
        <v>0</v>
      </c>
      <c r="Q46" s="62"/>
      <c r="R46" s="60"/>
      <c r="S46" s="60"/>
      <c r="T46" s="60"/>
      <c r="U46" s="60"/>
      <c r="V46" s="87"/>
      <c r="W46" s="87"/>
      <c r="X46" s="29">
        <f t="shared" si="14"/>
        <v>0</v>
      </c>
      <c r="Y46" s="266"/>
      <c r="Z46" s="264"/>
      <c r="AA46" s="264"/>
      <c r="AB46" s="264"/>
      <c r="AC46" s="264"/>
      <c r="AD46" s="274"/>
      <c r="AE46" s="274"/>
      <c r="AF46" s="273">
        <f t="shared" si="16"/>
        <v>0</v>
      </c>
      <c r="AG46" s="78">
        <f t="shared" si="48"/>
        <v>0</v>
      </c>
      <c r="AH46" s="295"/>
      <c r="AI46" s="295"/>
      <c r="AJ46" s="295"/>
      <c r="AK46" s="295"/>
      <c r="AL46" s="78">
        <f t="shared" si="49"/>
        <v>0</v>
      </c>
      <c r="AM46" s="78">
        <f t="shared" si="50"/>
        <v>0</v>
      </c>
      <c r="AN46" s="78">
        <f t="shared" si="51"/>
        <v>0</v>
      </c>
    </row>
    <row r="47" spans="1:236" s="21" customFormat="1" ht="11.25" customHeight="1" x14ac:dyDescent="0.2">
      <c r="A47" s="438" t="s">
        <v>33</v>
      </c>
      <c r="B47" s="612" t="s">
        <v>221</v>
      </c>
      <c r="C47" s="612"/>
      <c r="D47" s="612"/>
      <c r="E47" s="612"/>
      <c r="F47" s="613"/>
      <c r="G47" s="458" t="s">
        <v>700</v>
      </c>
      <c r="H47" s="18"/>
      <c r="I47" s="62"/>
      <c r="J47" s="60"/>
      <c r="K47" s="60"/>
      <c r="L47" s="60"/>
      <c r="M47" s="60"/>
      <c r="N47" s="82"/>
      <c r="O47" s="82"/>
      <c r="P47" s="29">
        <f t="shared" si="12"/>
        <v>0</v>
      </c>
      <c r="Q47" s="62"/>
      <c r="R47" s="60"/>
      <c r="S47" s="60"/>
      <c r="T47" s="60"/>
      <c r="U47" s="60"/>
      <c r="V47" s="87"/>
      <c r="W47" s="87"/>
      <c r="X47" s="29">
        <f t="shared" si="14"/>
        <v>0</v>
      </c>
      <c r="Y47" s="266"/>
      <c r="Z47" s="264"/>
      <c r="AA47" s="264"/>
      <c r="AB47" s="264"/>
      <c r="AC47" s="264"/>
      <c r="AD47" s="274"/>
      <c r="AE47" s="274"/>
      <c r="AF47" s="273">
        <f t="shared" si="16"/>
        <v>0</v>
      </c>
      <c r="AG47" s="78">
        <f t="shared" si="48"/>
        <v>0</v>
      </c>
      <c r="AH47" s="295"/>
      <c r="AI47" s="295"/>
      <c r="AJ47" s="295"/>
      <c r="AK47" s="295"/>
      <c r="AL47" s="78">
        <f t="shared" si="49"/>
        <v>0</v>
      </c>
      <c r="AM47" s="78">
        <f t="shared" si="50"/>
        <v>0</v>
      </c>
      <c r="AN47" s="78">
        <f t="shared" si="51"/>
        <v>0</v>
      </c>
    </row>
    <row r="48" spans="1:236" s="21" customFormat="1" ht="21.95" customHeight="1" x14ac:dyDescent="0.2">
      <c r="A48" s="440" t="s">
        <v>48</v>
      </c>
      <c r="B48" s="614" t="s">
        <v>222</v>
      </c>
      <c r="C48" s="614"/>
      <c r="D48" s="614"/>
      <c r="E48" s="614"/>
      <c r="F48" s="615"/>
      <c r="G48" s="470" t="s">
        <v>701</v>
      </c>
      <c r="H48" s="18"/>
      <c r="I48" s="94"/>
      <c r="J48" s="94"/>
      <c r="K48" s="94"/>
      <c r="L48" s="94"/>
      <c r="M48" s="94"/>
      <c r="N48" s="94"/>
      <c r="O48" s="94"/>
      <c r="P48" s="237">
        <f t="shared" si="12"/>
        <v>0</v>
      </c>
      <c r="Q48" s="94"/>
      <c r="R48" s="94"/>
      <c r="S48" s="94"/>
      <c r="T48" s="94"/>
      <c r="U48" s="94"/>
      <c r="V48" s="94"/>
      <c r="W48" s="94"/>
      <c r="X48" s="237">
        <f t="shared" si="14"/>
        <v>0</v>
      </c>
      <c r="Y48" s="275"/>
      <c r="Z48" s="275"/>
      <c r="AA48" s="275"/>
      <c r="AB48" s="275"/>
      <c r="AC48" s="275"/>
      <c r="AD48" s="275"/>
      <c r="AE48" s="275"/>
      <c r="AF48" s="444">
        <f t="shared" si="16"/>
        <v>0</v>
      </c>
      <c r="AG48" s="445">
        <f t="shared" si="48"/>
        <v>0</v>
      </c>
      <c r="AH48" s="445">
        <f>(J48+R48) - Z48</f>
        <v>0</v>
      </c>
      <c r="AI48" s="445">
        <f>(K48+S48) - AA48</f>
        <v>0</v>
      </c>
      <c r="AJ48" s="445">
        <f>(L48+T48) - AB48</f>
        <v>0</v>
      </c>
      <c r="AK48" s="445">
        <f>(M48+U48) - AC48</f>
        <v>0</v>
      </c>
      <c r="AL48" s="445">
        <f t="shared" si="49"/>
        <v>0</v>
      </c>
      <c r="AM48" s="445">
        <f t="shared" si="50"/>
        <v>0</v>
      </c>
      <c r="AN48" s="445">
        <f t="shared" si="51"/>
        <v>0</v>
      </c>
    </row>
    <row r="49" spans="1:40" s="21" customFormat="1" ht="11.25" customHeight="1" x14ac:dyDescent="0.2">
      <c r="A49" s="438" t="s">
        <v>55</v>
      </c>
      <c r="B49" s="612" t="s">
        <v>223</v>
      </c>
      <c r="C49" s="612"/>
      <c r="D49" s="612"/>
      <c r="E49" s="439"/>
      <c r="F49" s="441"/>
      <c r="G49" s="458" t="s">
        <v>702</v>
      </c>
      <c r="H49" s="18"/>
      <c r="I49" s="62"/>
      <c r="J49" s="60"/>
      <c r="K49" s="60"/>
      <c r="L49" s="60"/>
      <c r="M49" s="60"/>
      <c r="N49" s="87"/>
      <c r="O49" s="87"/>
      <c r="P49" s="29">
        <f t="shared" si="12"/>
        <v>0</v>
      </c>
      <c r="Q49" s="62"/>
      <c r="R49" s="60"/>
      <c r="S49" s="60"/>
      <c r="T49" s="60"/>
      <c r="U49" s="60"/>
      <c r="V49" s="87"/>
      <c r="W49" s="87"/>
      <c r="X49" s="29">
        <f t="shared" si="14"/>
        <v>0</v>
      </c>
      <c r="Y49" s="266"/>
      <c r="Z49" s="264"/>
      <c r="AA49" s="264"/>
      <c r="AB49" s="264"/>
      <c r="AC49" s="264"/>
      <c r="AD49" s="274"/>
      <c r="AE49" s="274"/>
      <c r="AF49" s="273">
        <f t="shared" si="16"/>
        <v>0</v>
      </c>
      <c r="AG49" s="78">
        <f t="shared" si="48"/>
        <v>0</v>
      </c>
      <c r="AH49" s="295"/>
      <c r="AI49" s="295"/>
      <c r="AJ49" s="295"/>
      <c r="AK49" s="295"/>
      <c r="AL49" s="78">
        <f t="shared" si="49"/>
        <v>0</v>
      </c>
      <c r="AM49" s="78">
        <f t="shared" si="50"/>
        <v>0</v>
      </c>
      <c r="AN49" s="78">
        <f t="shared" si="51"/>
        <v>0</v>
      </c>
    </row>
    <row r="50" spans="1:40" s="21" customFormat="1" ht="11.25" customHeight="1" x14ac:dyDescent="0.2">
      <c r="A50" s="440" t="s">
        <v>224</v>
      </c>
      <c r="B50" s="385" t="s">
        <v>225</v>
      </c>
      <c r="C50" s="385"/>
      <c r="D50" s="385"/>
      <c r="E50" s="385"/>
      <c r="F50" s="383"/>
      <c r="G50" s="458" t="s">
        <v>703</v>
      </c>
      <c r="H50" s="18"/>
      <c r="I50" s="77">
        <f t="shared" ref="I50:O50" si="52">SUM(I51,I52)</f>
        <v>0</v>
      </c>
      <c r="J50" s="77">
        <f t="shared" si="52"/>
        <v>0</v>
      </c>
      <c r="K50" s="77">
        <f t="shared" si="52"/>
        <v>0</v>
      </c>
      <c r="L50" s="77">
        <f t="shared" si="52"/>
        <v>0</v>
      </c>
      <c r="M50" s="77">
        <f t="shared" si="52"/>
        <v>0</v>
      </c>
      <c r="N50" s="77">
        <f t="shared" si="52"/>
        <v>0</v>
      </c>
      <c r="O50" s="77">
        <f t="shared" si="52"/>
        <v>0</v>
      </c>
      <c r="P50" s="78">
        <f t="shared" si="12"/>
        <v>0</v>
      </c>
      <c r="Q50" s="77">
        <f t="shared" ref="Q50:W50" si="53">SUM(Q51,Q52)</f>
        <v>0</v>
      </c>
      <c r="R50" s="77">
        <f t="shared" si="53"/>
        <v>0</v>
      </c>
      <c r="S50" s="77">
        <f t="shared" si="53"/>
        <v>0</v>
      </c>
      <c r="T50" s="77">
        <f t="shared" si="53"/>
        <v>0</v>
      </c>
      <c r="U50" s="77">
        <f t="shared" si="53"/>
        <v>0</v>
      </c>
      <c r="V50" s="77">
        <f t="shared" si="53"/>
        <v>0</v>
      </c>
      <c r="W50" s="77">
        <f t="shared" si="53"/>
        <v>0</v>
      </c>
      <c r="X50" s="78">
        <f t="shared" si="14"/>
        <v>0</v>
      </c>
      <c r="Y50" s="267">
        <f t="shared" ref="Y50:AE50" si="54">SUM(Y51,Y52)</f>
        <v>0</v>
      </c>
      <c r="Z50" s="267">
        <f t="shared" si="54"/>
        <v>0</v>
      </c>
      <c r="AA50" s="267">
        <f t="shared" si="54"/>
        <v>0</v>
      </c>
      <c r="AB50" s="267">
        <f t="shared" si="54"/>
        <v>0</v>
      </c>
      <c r="AC50" s="267">
        <f t="shared" si="54"/>
        <v>0</v>
      </c>
      <c r="AD50" s="267">
        <f t="shared" si="54"/>
        <v>0</v>
      </c>
      <c r="AE50" s="267">
        <f t="shared" si="54"/>
        <v>0</v>
      </c>
      <c r="AF50" s="273">
        <f t="shared" si="16"/>
        <v>0</v>
      </c>
      <c r="AG50" s="78">
        <f t="shared" si="48"/>
        <v>0</v>
      </c>
      <c r="AH50" s="78">
        <f t="shared" ref="AH50:AK57" si="55">(J50+R50) - Z50</f>
        <v>0</v>
      </c>
      <c r="AI50" s="78">
        <f t="shared" si="55"/>
        <v>0</v>
      </c>
      <c r="AJ50" s="78">
        <f t="shared" si="55"/>
        <v>0</v>
      </c>
      <c r="AK50" s="78">
        <f t="shared" si="55"/>
        <v>0</v>
      </c>
      <c r="AL50" s="78">
        <f t="shared" si="49"/>
        <v>0</v>
      </c>
      <c r="AM50" s="78">
        <f t="shared" si="50"/>
        <v>0</v>
      </c>
      <c r="AN50" s="78">
        <f t="shared" si="51"/>
        <v>0</v>
      </c>
    </row>
    <row r="51" spans="1:40" s="21" customFormat="1" ht="11.25" customHeight="1" x14ac:dyDescent="0.2">
      <c r="A51" s="386"/>
      <c r="B51" s="355" t="s">
        <v>188</v>
      </c>
      <c r="C51" s="355" t="s">
        <v>227</v>
      </c>
      <c r="D51" s="355"/>
      <c r="E51" s="382"/>
      <c r="F51" s="383"/>
      <c r="G51" s="458" t="s">
        <v>704</v>
      </c>
      <c r="H51" s="18"/>
      <c r="I51" s="62"/>
      <c r="J51" s="62"/>
      <c r="K51" s="62"/>
      <c r="L51" s="62"/>
      <c r="M51" s="62"/>
      <c r="N51" s="62"/>
      <c r="O51" s="62"/>
      <c r="P51" s="29">
        <f t="shared" si="12"/>
        <v>0</v>
      </c>
      <c r="Q51" s="62"/>
      <c r="R51" s="62"/>
      <c r="S51" s="62"/>
      <c r="T51" s="62"/>
      <c r="U51" s="62"/>
      <c r="V51" s="62"/>
      <c r="W51" s="62"/>
      <c r="X51" s="29">
        <f t="shared" si="14"/>
        <v>0</v>
      </c>
      <c r="Y51" s="266"/>
      <c r="Z51" s="266"/>
      <c r="AA51" s="266"/>
      <c r="AB51" s="266"/>
      <c r="AC51" s="266"/>
      <c r="AD51" s="266"/>
      <c r="AE51" s="266"/>
      <c r="AF51" s="273">
        <f t="shared" si="16"/>
        <v>0</v>
      </c>
      <c r="AG51" s="78">
        <f t="shared" si="48"/>
        <v>0</v>
      </c>
      <c r="AH51" s="78">
        <f t="shared" si="55"/>
        <v>0</v>
      </c>
      <c r="AI51" s="78">
        <f t="shared" si="55"/>
        <v>0</v>
      </c>
      <c r="AJ51" s="78">
        <f t="shared" si="55"/>
        <v>0</v>
      </c>
      <c r="AK51" s="78">
        <f t="shared" si="55"/>
        <v>0</v>
      </c>
      <c r="AL51" s="78">
        <f t="shared" si="49"/>
        <v>0</v>
      </c>
      <c r="AM51" s="78">
        <f t="shared" si="50"/>
        <v>0</v>
      </c>
      <c r="AN51" s="78">
        <f t="shared" si="51"/>
        <v>0</v>
      </c>
    </row>
    <row r="52" spans="1:40" s="21" customFormat="1" ht="11.25" customHeight="1" x14ac:dyDescent="0.2">
      <c r="A52" s="384"/>
      <c r="B52" s="385" t="s">
        <v>195</v>
      </c>
      <c r="C52" s="385" t="s">
        <v>228</v>
      </c>
      <c r="D52" s="385"/>
      <c r="E52" s="385"/>
      <c r="F52" s="383"/>
      <c r="G52" s="458" t="s">
        <v>705</v>
      </c>
      <c r="H52" s="18"/>
      <c r="I52" s="77">
        <f t="shared" ref="I52:O52" si="56">SUM(I53,I54)</f>
        <v>0</v>
      </c>
      <c r="J52" s="77">
        <f t="shared" si="56"/>
        <v>0</v>
      </c>
      <c r="K52" s="77">
        <f t="shared" si="56"/>
        <v>0</v>
      </c>
      <c r="L52" s="77">
        <f t="shared" si="56"/>
        <v>0</v>
      </c>
      <c r="M52" s="77">
        <f t="shared" si="56"/>
        <v>0</v>
      </c>
      <c r="N52" s="77">
        <f t="shared" si="56"/>
        <v>0</v>
      </c>
      <c r="O52" s="77">
        <f t="shared" si="56"/>
        <v>0</v>
      </c>
      <c r="P52" s="78">
        <f t="shared" si="12"/>
        <v>0</v>
      </c>
      <c r="Q52" s="77">
        <f t="shared" ref="Q52:W52" si="57">SUM(Q53,Q54)</f>
        <v>0</v>
      </c>
      <c r="R52" s="77">
        <f t="shared" si="57"/>
        <v>0</v>
      </c>
      <c r="S52" s="77">
        <f t="shared" si="57"/>
        <v>0</v>
      </c>
      <c r="T52" s="77">
        <f t="shared" si="57"/>
        <v>0</v>
      </c>
      <c r="U52" s="77">
        <f t="shared" si="57"/>
        <v>0</v>
      </c>
      <c r="V52" s="77">
        <f t="shared" si="57"/>
        <v>0</v>
      </c>
      <c r="W52" s="77">
        <f t="shared" si="57"/>
        <v>0</v>
      </c>
      <c r="X52" s="78">
        <f t="shared" si="14"/>
        <v>0</v>
      </c>
      <c r="Y52" s="267">
        <f t="shared" ref="Y52:AE52" si="58">SUM(Y53,Y54)</f>
        <v>0</v>
      </c>
      <c r="Z52" s="267">
        <f t="shared" si="58"/>
        <v>0</v>
      </c>
      <c r="AA52" s="267">
        <f t="shared" si="58"/>
        <v>0</v>
      </c>
      <c r="AB52" s="267">
        <f t="shared" si="58"/>
        <v>0</v>
      </c>
      <c r="AC52" s="267">
        <f t="shared" si="58"/>
        <v>0</v>
      </c>
      <c r="AD52" s="267">
        <f t="shared" si="58"/>
        <v>0</v>
      </c>
      <c r="AE52" s="267">
        <f t="shared" si="58"/>
        <v>0</v>
      </c>
      <c r="AF52" s="273">
        <f t="shared" si="16"/>
        <v>0</v>
      </c>
      <c r="AG52" s="78">
        <f t="shared" si="48"/>
        <v>0</v>
      </c>
      <c r="AH52" s="78">
        <f t="shared" si="55"/>
        <v>0</v>
      </c>
      <c r="AI52" s="78">
        <f t="shared" si="55"/>
        <v>0</v>
      </c>
      <c r="AJ52" s="78">
        <f t="shared" si="55"/>
        <v>0</v>
      </c>
      <c r="AK52" s="78">
        <f t="shared" si="55"/>
        <v>0</v>
      </c>
      <c r="AL52" s="78">
        <f t="shared" si="49"/>
        <v>0</v>
      </c>
      <c r="AM52" s="78">
        <f t="shared" si="50"/>
        <v>0</v>
      </c>
      <c r="AN52" s="78">
        <f t="shared" si="51"/>
        <v>0</v>
      </c>
    </row>
    <row r="53" spans="1:40" s="21" customFormat="1" ht="11.25" customHeight="1" x14ac:dyDescent="0.2">
      <c r="A53" s="386"/>
      <c r="B53" s="355"/>
      <c r="C53" s="387" t="s">
        <v>19</v>
      </c>
      <c r="D53" s="355" t="s">
        <v>229</v>
      </c>
      <c r="E53" s="382"/>
      <c r="F53" s="383"/>
      <c r="G53" s="458" t="s">
        <v>706</v>
      </c>
      <c r="H53" s="18"/>
      <c r="I53" s="62"/>
      <c r="J53" s="62"/>
      <c r="K53" s="62"/>
      <c r="L53" s="62"/>
      <c r="M53" s="62"/>
      <c r="N53" s="62"/>
      <c r="O53" s="62"/>
      <c r="P53" s="29">
        <f t="shared" si="12"/>
        <v>0</v>
      </c>
      <c r="Q53" s="62"/>
      <c r="R53" s="62"/>
      <c r="S53" s="62"/>
      <c r="T53" s="62"/>
      <c r="U53" s="62"/>
      <c r="V53" s="62"/>
      <c r="W53" s="62"/>
      <c r="X53" s="29">
        <f t="shared" si="14"/>
        <v>0</v>
      </c>
      <c r="Y53" s="266"/>
      <c r="Z53" s="266"/>
      <c r="AA53" s="266"/>
      <c r="AB53" s="266"/>
      <c r="AC53" s="266"/>
      <c r="AD53" s="266"/>
      <c r="AE53" s="266"/>
      <c r="AF53" s="273">
        <f t="shared" si="16"/>
        <v>0</v>
      </c>
      <c r="AG53" s="78">
        <f t="shared" si="48"/>
        <v>0</v>
      </c>
      <c r="AH53" s="78">
        <f t="shared" si="55"/>
        <v>0</v>
      </c>
      <c r="AI53" s="78">
        <f t="shared" si="55"/>
        <v>0</v>
      </c>
      <c r="AJ53" s="78">
        <f t="shared" si="55"/>
        <v>0</v>
      </c>
      <c r="AK53" s="78">
        <f t="shared" si="55"/>
        <v>0</v>
      </c>
      <c r="AL53" s="78">
        <f t="shared" si="49"/>
        <v>0</v>
      </c>
      <c r="AM53" s="78">
        <f t="shared" si="50"/>
        <v>0</v>
      </c>
      <c r="AN53" s="78">
        <f t="shared" si="51"/>
        <v>0</v>
      </c>
    </row>
    <row r="54" spans="1:40" s="21" customFormat="1" ht="11.25" customHeight="1" x14ac:dyDescent="0.2">
      <c r="A54" s="384"/>
      <c r="B54" s="385"/>
      <c r="C54" s="390" t="s">
        <v>21</v>
      </c>
      <c r="D54" s="385" t="s">
        <v>228</v>
      </c>
      <c r="E54" s="385"/>
      <c r="F54" s="383"/>
      <c r="G54" s="458" t="s">
        <v>707</v>
      </c>
      <c r="H54" s="18"/>
      <c r="I54" s="62"/>
      <c r="J54" s="62"/>
      <c r="K54" s="62"/>
      <c r="L54" s="62"/>
      <c r="M54" s="62"/>
      <c r="N54" s="62"/>
      <c r="O54" s="62"/>
      <c r="P54" s="29">
        <f t="shared" si="12"/>
        <v>0</v>
      </c>
      <c r="Q54" s="62"/>
      <c r="R54" s="62"/>
      <c r="S54" s="62"/>
      <c r="T54" s="62"/>
      <c r="U54" s="62"/>
      <c r="V54" s="62"/>
      <c r="W54" s="62"/>
      <c r="X54" s="29">
        <f t="shared" si="14"/>
        <v>0</v>
      </c>
      <c r="Y54" s="266"/>
      <c r="Z54" s="266"/>
      <c r="AA54" s="266"/>
      <c r="AB54" s="266"/>
      <c r="AC54" s="266"/>
      <c r="AD54" s="266"/>
      <c r="AE54" s="266"/>
      <c r="AF54" s="273">
        <f t="shared" si="16"/>
        <v>0</v>
      </c>
      <c r="AG54" s="78">
        <f t="shared" si="48"/>
        <v>0</v>
      </c>
      <c r="AH54" s="78">
        <f t="shared" si="55"/>
        <v>0</v>
      </c>
      <c r="AI54" s="78">
        <f t="shared" si="55"/>
        <v>0</v>
      </c>
      <c r="AJ54" s="78">
        <f t="shared" si="55"/>
        <v>0</v>
      </c>
      <c r="AK54" s="78">
        <f t="shared" si="55"/>
        <v>0</v>
      </c>
      <c r="AL54" s="78">
        <f t="shared" si="49"/>
        <v>0</v>
      </c>
      <c r="AM54" s="78">
        <f t="shared" si="50"/>
        <v>0</v>
      </c>
      <c r="AN54" s="78">
        <f t="shared" si="51"/>
        <v>0</v>
      </c>
    </row>
    <row r="55" spans="1:40" s="21" customFormat="1" ht="11.25" customHeight="1" x14ac:dyDescent="0.2">
      <c r="A55" s="438" t="s">
        <v>230</v>
      </c>
      <c r="B55" s="355" t="s">
        <v>231</v>
      </c>
      <c r="C55" s="355"/>
      <c r="D55" s="355"/>
      <c r="E55" s="382"/>
      <c r="F55" s="383"/>
      <c r="G55" s="458" t="s">
        <v>708</v>
      </c>
      <c r="H55" s="18"/>
      <c r="I55" s="77">
        <f t="shared" ref="I55:O55" si="59">SUM(I56,I57)</f>
        <v>0</v>
      </c>
      <c r="J55" s="77">
        <f t="shared" si="59"/>
        <v>0</v>
      </c>
      <c r="K55" s="77">
        <f t="shared" si="59"/>
        <v>0</v>
      </c>
      <c r="L55" s="77">
        <f t="shared" si="59"/>
        <v>0</v>
      </c>
      <c r="M55" s="77">
        <f t="shared" si="59"/>
        <v>0</v>
      </c>
      <c r="N55" s="77">
        <f t="shared" si="59"/>
        <v>0</v>
      </c>
      <c r="O55" s="77">
        <f t="shared" si="59"/>
        <v>0</v>
      </c>
      <c r="P55" s="78">
        <f t="shared" si="12"/>
        <v>0</v>
      </c>
      <c r="Q55" s="77">
        <f t="shared" ref="Q55:W55" si="60">SUM(Q56,Q57)</f>
        <v>0</v>
      </c>
      <c r="R55" s="77">
        <f t="shared" si="60"/>
        <v>0</v>
      </c>
      <c r="S55" s="77">
        <f t="shared" si="60"/>
        <v>0</v>
      </c>
      <c r="T55" s="77">
        <f t="shared" si="60"/>
        <v>0</v>
      </c>
      <c r="U55" s="77">
        <f t="shared" si="60"/>
        <v>0</v>
      </c>
      <c r="V55" s="77">
        <f t="shared" si="60"/>
        <v>0</v>
      </c>
      <c r="W55" s="77">
        <f t="shared" si="60"/>
        <v>0</v>
      </c>
      <c r="X55" s="78">
        <f t="shared" si="14"/>
        <v>0</v>
      </c>
      <c r="Y55" s="267">
        <f t="shared" ref="Y55:AE55" si="61">SUM(Y56,Y57)</f>
        <v>0</v>
      </c>
      <c r="Z55" s="267">
        <f t="shared" si="61"/>
        <v>0</v>
      </c>
      <c r="AA55" s="267">
        <f t="shared" si="61"/>
        <v>0</v>
      </c>
      <c r="AB55" s="267">
        <f t="shared" si="61"/>
        <v>0</v>
      </c>
      <c r="AC55" s="267">
        <f t="shared" si="61"/>
        <v>0</v>
      </c>
      <c r="AD55" s="267">
        <f t="shared" si="61"/>
        <v>0</v>
      </c>
      <c r="AE55" s="267">
        <f t="shared" si="61"/>
        <v>0</v>
      </c>
      <c r="AF55" s="273">
        <f t="shared" si="16"/>
        <v>0</v>
      </c>
      <c r="AG55" s="78">
        <f t="shared" si="48"/>
        <v>0</v>
      </c>
      <c r="AH55" s="78">
        <f t="shared" si="55"/>
        <v>0</v>
      </c>
      <c r="AI55" s="78">
        <f t="shared" si="55"/>
        <v>0</v>
      </c>
      <c r="AJ55" s="78">
        <f t="shared" si="55"/>
        <v>0</v>
      </c>
      <c r="AK55" s="78">
        <f t="shared" si="55"/>
        <v>0</v>
      </c>
      <c r="AL55" s="78">
        <f t="shared" si="49"/>
        <v>0</v>
      </c>
      <c r="AM55" s="78">
        <f t="shared" si="50"/>
        <v>0</v>
      </c>
      <c r="AN55" s="78">
        <f t="shared" si="51"/>
        <v>0</v>
      </c>
    </row>
    <row r="56" spans="1:40" s="21" customFormat="1" ht="11.25" customHeight="1" x14ac:dyDescent="0.2">
      <c r="A56" s="384"/>
      <c r="B56" s="385" t="s">
        <v>188</v>
      </c>
      <c r="C56" s="385" t="s">
        <v>232</v>
      </c>
      <c r="D56" s="385"/>
      <c r="E56" s="385"/>
      <c r="F56" s="383"/>
      <c r="G56" s="458" t="s">
        <v>709</v>
      </c>
      <c r="H56" s="18"/>
      <c r="I56" s="82"/>
      <c r="J56" s="82"/>
      <c r="K56" s="82"/>
      <c r="L56" s="82"/>
      <c r="M56" s="82"/>
      <c r="N56" s="82"/>
      <c r="O56" s="82"/>
      <c r="P56" s="29">
        <f t="shared" si="12"/>
        <v>0</v>
      </c>
      <c r="Q56" s="82"/>
      <c r="R56" s="82"/>
      <c r="S56" s="82"/>
      <c r="T56" s="82"/>
      <c r="U56" s="82"/>
      <c r="V56" s="82"/>
      <c r="W56" s="82"/>
      <c r="X56" s="29">
        <f t="shared" si="14"/>
        <v>0</v>
      </c>
      <c r="Y56" s="266"/>
      <c r="Z56" s="266"/>
      <c r="AA56" s="266"/>
      <c r="AB56" s="266"/>
      <c r="AC56" s="266"/>
      <c r="AD56" s="266"/>
      <c r="AE56" s="266"/>
      <c r="AF56" s="273">
        <f t="shared" si="16"/>
        <v>0</v>
      </c>
      <c r="AG56" s="78">
        <f t="shared" si="48"/>
        <v>0</v>
      </c>
      <c r="AH56" s="78">
        <f t="shared" si="55"/>
        <v>0</v>
      </c>
      <c r="AI56" s="78">
        <f t="shared" si="55"/>
        <v>0</v>
      </c>
      <c r="AJ56" s="78">
        <f t="shared" si="55"/>
        <v>0</v>
      </c>
      <c r="AK56" s="78">
        <f t="shared" si="55"/>
        <v>0</v>
      </c>
      <c r="AL56" s="78">
        <f t="shared" si="49"/>
        <v>0</v>
      </c>
      <c r="AM56" s="78">
        <f t="shared" si="50"/>
        <v>0</v>
      </c>
      <c r="AN56" s="78">
        <f t="shared" si="51"/>
        <v>0</v>
      </c>
    </row>
    <row r="57" spans="1:40" s="21" customFormat="1" ht="11.25" customHeight="1" x14ac:dyDescent="0.2">
      <c r="A57" s="386"/>
      <c r="B57" s="355" t="s">
        <v>195</v>
      </c>
      <c r="C57" s="355" t="s">
        <v>233</v>
      </c>
      <c r="D57" s="355"/>
      <c r="E57" s="382"/>
      <c r="F57" s="383"/>
      <c r="G57" s="458" t="s">
        <v>710</v>
      </c>
      <c r="H57" s="18"/>
      <c r="I57" s="82"/>
      <c r="J57" s="82"/>
      <c r="K57" s="82"/>
      <c r="L57" s="82"/>
      <c r="M57" s="82"/>
      <c r="N57" s="82"/>
      <c r="O57" s="82"/>
      <c r="P57" s="29">
        <f t="shared" si="12"/>
        <v>0</v>
      </c>
      <c r="Q57" s="82"/>
      <c r="R57" s="82"/>
      <c r="S57" s="82"/>
      <c r="T57" s="82"/>
      <c r="U57" s="82"/>
      <c r="V57" s="82"/>
      <c r="W57" s="82"/>
      <c r="X57" s="29">
        <f t="shared" si="14"/>
        <v>0</v>
      </c>
      <c r="Y57" s="266"/>
      <c r="Z57" s="266"/>
      <c r="AA57" s="266"/>
      <c r="AB57" s="266"/>
      <c r="AC57" s="266"/>
      <c r="AD57" s="266"/>
      <c r="AE57" s="266"/>
      <c r="AF57" s="273">
        <f t="shared" si="16"/>
        <v>0</v>
      </c>
      <c r="AG57" s="78">
        <f t="shared" si="48"/>
        <v>0</v>
      </c>
      <c r="AH57" s="78">
        <f t="shared" si="55"/>
        <v>0</v>
      </c>
      <c r="AI57" s="78">
        <f t="shared" si="55"/>
        <v>0</v>
      </c>
      <c r="AJ57" s="78">
        <f t="shared" si="55"/>
        <v>0</v>
      </c>
      <c r="AK57" s="78">
        <f t="shared" si="55"/>
        <v>0</v>
      </c>
      <c r="AL57" s="78">
        <f t="shared" si="49"/>
        <v>0</v>
      </c>
      <c r="AM57" s="78">
        <f t="shared" si="50"/>
        <v>0</v>
      </c>
      <c r="AN57" s="78">
        <f t="shared" si="51"/>
        <v>0</v>
      </c>
    </row>
    <row r="58" spans="1:40" s="21" customFormat="1" ht="11.25" customHeight="1" x14ac:dyDescent="0.2">
      <c r="A58" s="386" t="s">
        <v>234</v>
      </c>
      <c r="B58" s="355" t="s">
        <v>235</v>
      </c>
      <c r="C58" s="355"/>
      <c r="D58" s="355"/>
      <c r="E58" s="382"/>
      <c r="F58" s="383"/>
      <c r="G58" s="458" t="s">
        <v>885</v>
      </c>
      <c r="H58" s="18"/>
      <c r="I58" s="300"/>
      <c r="J58" s="300"/>
      <c r="K58" s="300"/>
      <c r="L58" s="300"/>
      <c r="M58" s="300"/>
      <c r="N58" s="300"/>
      <c r="O58" s="300"/>
      <c r="P58" s="79"/>
      <c r="Q58" s="300"/>
      <c r="R58" s="300"/>
      <c r="S58" s="300"/>
      <c r="T58" s="300"/>
      <c r="U58" s="300"/>
      <c r="V58" s="300"/>
      <c r="W58" s="300"/>
      <c r="X58" s="79"/>
      <c r="Y58" s="309"/>
      <c r="Z58" s="309"/>
      <c r="AA58" s="309"/>
      <c r="AB58" s="309"/>
      <c r="AC58" s="309"/>
      <c r="AD58" s="309"/>
      <c r="AE58" s="309"/>
      <c r="AF58" s="376"/>
      <c r="AG58" s="295"/>
      <c r="AH58" s="295"/>
      <c r="AI58" s="295"/>
      <c r="AJ58" s="295"/>
      <c r="AK58" s="295"/>
      <c r="AL58" s="295"/>
      <c r="AM58" s="295"/>
      <c r="AN58" s="295"/>
    </row>
    <row r="59" spans="1:40" s="21" customFormat="1" ht="11.25" customHeight="1" x14ac:dyDescent="0.2">
      <c r="A59" s="438" t="s">
        <v>236</v>
      </c>
      <c r="B59" s="355" t="s">
        <v>581</v>
      </c>
      <c r="C59" s="355"/>
      <c r="D59" s="355"/>
      <c r="E59" s="382"/>
      <c r="F59" s="383"/>
      <c r="G59" s="458" t="s">
        <v>711</v>
      </c>
      <c r="H59" s="18"/>
      <c r="I59" s="82"/>
      <c r="J59" s="82"/>
      <c r="K59" s="82"/>
      <c r="L59" s="60"/>
      <c r="M59" s="60"/>
      <c r="N59" s="82"/>
      <c r="O59" s="82"/>
      <c r="P59" s="29">
        <f t="shared" si="12"/>
        <v>0</v>
      </c>
      <c r="Q59" s="82"/>
      <c r="R59" s="82"/>
      <c r="S59" s="82"/>
      <c r="T59" s="60"/>
      <c r="U59" s="60"/>
      <c r="V59" s="87"/>
      <c r="W59" s="87"/>
      <c r="X59" s="29">
        <f t="shared" si="14"/>
        <v>0</v>
      </c>
      <c r="Y59" s="266"/>
      <c r="Z59" s="266"/>
      <c r="AA59" s="266"/>
      <c r="AB59" s="276"/>
      <c r="AC59" s="276"/>
      <c r="AD59" s="263"/>
      <c r="AE59" s="263"/>
      <c r="AF59" s="273">
        <f t="shared" si="16"/>
        <v>0</v>
      </c>
      <c r="AG59" s="78">
        <f>(I59+Q59) - Y59</f>
        <v>0</v>
      </c>
      <c r="AH59" s="78">
        <f>(J59+R59) - Z59</f>
        <v>0</v>
      </c>
      <c r="AI59" s="78">
        <f>(K59+S59) - AA59</f>
        <v>0</v>
      </c>
      <c r="AJ59" s="295"/>
      <c r="AK59" s="295"/>
      <c r="AL59" s="78">
        <f t="shared" si="49"/>
        <v>0</v>
      </c>
      <c r="AM59" s="78">
        <f t="shared" si="50"/>
        <v>0</v>
      </c>
      <c r="AN59" s="78">
        <f>(P59+X59) - AF59</f>
        <v>0</v>
      </c>
    </row>
    <row r="60" spans="1:40" s="21" customFormat="1" ht="11.25" customHeight="1" x14ac:dyDescent="0.2">
      <c r="A60" s="438" t="s">
        <v>583</v>
      </c>
      <c r="B60" s="355" t="s">
        <v>188</v>
      </c>
      <c r="C60" s="395" t="s">
        <v>587</v>
      </c>
      <c r="D60" s="355"/>
      <c r="E60" s="382"/>
      <c r="F60" s="383"/>
      <c r="G60" s="458" t="s">
        <v>713</v>
      </c>
      <c r="H60" s="18"/>
      <c r="I60" s="82"/>
      <c r="J60" s="82"/>
      <c r="K60" s="82"/>
      <c r="L60" s="82"/>
      <c r="M60" s="82"/>
      <c r="N60" s="82"/>
      <c r="O60" s="82"/>
      <c r="P60" s="29">
        <f t="shared" si="12"/>
        <v>0</v>
      </c>
      <c r="Q60" s="82"/>
      <c r="R60" s="82"/>
      <c r="S60" s="82"/>
      <c r="T60" s="82"/>
      <c r="U60" s="82"/>
      <c r="V60" s="82"/>
      <c r="W60" s="82"/>
      <c r="X60" s="29">
        <f t="shared" si="14"/>
        <v>0</v>
      </c>
      <c r="Y60" s="266"/>
      <c r="Z60" s="266"/>
      <c r="AA60" s="266"/>
      <c r="AB60" s="266"/>
      <c r="AC60" s="266"/>
      <c r="AD60" s="266"/>
      <c r="AE60" s="266"/>
      <c r="AF60" s="273">
        <f t="shared" si="16"/>
        <v>0</v>
      </c>
      <c r="AG60" s="78">
        <f t="shared" ref="AG60:AK66" si="62">(I60+Q60) - Y60</f>
        <v>0</v>
      </c>
      <c r="AH60" s="78">
        <f t="shared" si="62"/>
        <v>0</v>
      </c>
      <c r="AI60" s="78">
        <f t="shared" si="62"/>
        <v>0</v>
      </c>
      <c r="AJ60" s="78">
        <f t="shared" si="62"/>
        <v>0</v>
      </c>
      <c r="AK60" s="78">
        <f t="shared" si="62"/>
        <v>0</v>
      </c>
      <c r="AL60" s="78">
        <f t="shared" si="49"/>
        <v>0</v>
      </c>
      <c r="AM60" s="78">
        <f t="shared" si="50"/>
        <v>0</v>
      </c>
      <c r="AN60" s="78">
        <f t="shared" ref="AN60:AN66" si="63">(P60+X60) - AF60</f>
        <v>0</v>
      </c>
    </row>
    <row r="61" spans="1:40" s="21" customFormat="1" ht="11.25" customHeight="1" x14ac:dyDescent="0.2">
      <c r="A61" s="440"/>
      <c r="B61" s="385" t="s">
        <v>195</v>
      </c>
      <c r="C61" s="391" t="s">
        <v>589</v>
      </c>
      <c r="D61" s="385"/>
      <c r="E61" s="385"/>
      <c r="F61" s="383"/>
      <c r="G61" s="458" t="s">
        <v>714</v>
      </c>
      <c r="H61" s="18"/>
      <c r="I61" s="82"/>
      <c r="J61" s="82"/>
      <c r="K61" s="82"/>
      <c r="L61" s="82"/>
      <c r="M61" s="82"/>
      <c r="N61" s="82"/>
      <c r="O61" s="82"/>
      <c r="P61" s="29">
        <f t="shared" si="12"/>
        <v>0</v>
      </c>
      <c r="Q61" s="82"/>
      <c r="R61" s="82"/>
      <c r="S61" s="82"/>
      <c r="T61" s="82"/>
      <c r="U61" s="82"/>
      <c r="V61" s="82"/>
      <c r="W61" s="82"/>
      <c r="X61" s="29">
        <f t="shared" si="14"/>
        <v>0</v>
      </c>
      <c r="Y61" s="266"/>
      <c r="Z61" s="266"/>
      <c r="AA61" s="266"/>
      <c r="AB61" s="266"/>
      <c r="AC61" s="266"/>
      <c r="AD61" s="266"/>
      <c r="AE61" s="266"/>
      <c r="AF61" s="273">
        <f t="shared" si="16"/>
        <v>0</v>
      </c>
      <c r="AG61" s="78">
        <f t="shared" si="62"/>
        <v>0</v>
      </c>
      <c r="AH61" s="78">
        <f t="shared" si="62"/>
        <v>0</v>
      </c>
      <c r="AI61" s="78">
        <f t="shared" si="62"/>
        <v>0</v>
      </c>
      <c r="AJ61" s="78">
        <f t="shared" si="62"/>
        <v>0</v>
      </c>
      <c r="AK61" s="78">
        <f t="shared" si="62"/>
        <v>0</v>
      </c>
      <c r="AL61" s="78">
        <f t="shared" si="49"/>
        <v>0</v>
      </c>
      <c r="AM61" s="78">
        <f t="shared" si="50"/>
        <v>0</v>
      </c>
      <c r="AN61" s="78">
        <f t="shared" si="63"/>
        <v>0</v>
      </c>
    </row>
    <row r="62" spans="1:40" s="21" customFormat="1" ht="11.25" customHeight="1" x14ac:dyDescent="0.2">
      <c r="A62" s="440" t="s">
        <v>586</v>
      </c>
      <c r="B62" s="385" t="s">
        <v>584</v>
      </c>
      <c r="C62" s="391"/>
      <c r="D62" s="385"/>
      <c r="E62" s="385"/>
      <c r="F62" s="383"/>
      <c r="G62" s="458" t="s">
        <v>712</v>
      </c>
      <c r="H62" s="18"/>
      <c r="I62" s="82"/>
      <c r="J62" s="82"/>
      <c r="K62" s="82"/>
      <c r="L62" s="82"/>
      <c r="M62" s="82"/>
      <c r="N62" s="82"/>
      <c r="O62" s="82"/>
      <c r="P62" s="29">
        <f>SUM(I62,K62,M62,O62)</f>
        <v>0</v>
      </c>
      <c r="Q62" s="253">
        <f t="shared" ref="Q62:W62" si="64">Q41</f>
        <v>0</v>
      </c>
      <c r="R62" s="253">
        <f t="shared" si="64"/>
        <v>0</v>
      </c>
      <c r="S62" s="253">
        <f t="shared" si="64"/>
        <v>0</v>
      </c>
      <c r="T62" s="253">
        <f t="shared" si="64"/>
        <v>0</v>
      </c>
      <c r="U62" s="253">
        <f t="shared" si="64"/>
        <v>0</v>
      </c>
      <c r="V62" s="253">
        <f t="shared" si="64"/>
        <v>0</v>
      </c>
      <c r="W62" s="253">
        <f t="shared" si="64"/>
        <v>0</v>
      </c>
      <c r="X62" s="78">
        <f>SUM(Q62,S62,U62,W62)</f>
        <v>0</v>
      </c>
      <c r="Y62" s="266"/>
      <c r="Z62" s="266"/>
      <c r="AA62" s="266"/>
      <c r="AB62" s="266"/>
      <c r="AC62" s="266"/>
      <c r="AD62" s="266"/>
      <c r="AE62" s="266"/>
      <c r="AF62" s="273">
        <f>SUM(Y62,AA62,AC62,AE62)</f>
        <v>0</v>
      </c>
      <c r="AG62" s="78">
        <f t="shared" ref="AG62:AN62" si="65">(I62+Q62) - Y62</f>
        <v>0</v>
      </c>
      <c r="AH62" s="78">
        <f t="shared" si="65"/>
        <v>0</v>
      </c>
      <c r="AI62" s="78">
        <f t="shared" si="65"/>
        <v>0</v>
      </c>
      <c r="AJ62" s="78">
        <f t="shared" si="65"/>
        <v>0</v>
      </c>
      <c r="AK62" s="78">
        <f t="shared" si="65"/>
        <v>0</v>
      </c>
      <c r="AL62" s="78">
        <f t="shared" si="65"/>
        <v>0</v>
      </c>
      <c r="AM62" s="78">
        <f t="shared" si="65"/>
        <v>0</v>
      </c>
      <c r="AN62" s="78">
        <f t="shared" si="65"/>
        <v>0</v>
      </c>
    </row>
    <row r="63" spans="1:40" s="21" customFormat="1" ht="11.25" customHeight="1" x14ac:dyDescent="0.2">
      <c r="A63" s="438" t="s">
        <v>591</v>
      </c>
      <c r="B63" s="355" t="s">
        <v>592</v>
      </c>
      <c r="C63" s="395"/>
      <c r="D63" s="355"/>
      <c r="E63" s="382"/>
      <c r="F63" s="383"/>
      <c r="G63" s="458" t="s">
        <v>715</v>
      </c>
      <c r="H63" s="18"/>
      <c r="I63" s="77">
        <f t="shared" ref="I63:O63" si="66">SUM(I64,I65,I66)</f>
        <v>0</v>
      </c>
      <c r="J63" s="77">
        <f t="shared" si="66"/>
        <v>0</v>
      </c>
      <c r="K63" s="77">
        <f t="shared" si="66"/>
        <v>0</v>
      </c>
      <c r="L63" s="77">
        <f t="shared" si="66"/>
        <v>0</v>
      </c>
      <c r="M63" s="77">
        <f t="shared" si="66"/>
        <v>0</v>
      </c>
      <c r="N63" s="77">
        <f t="shared" si="66"/>
        <v>0</v>
      </c>
      <c r="O63" s="77">
        <f t="shared" si="66"/>
        <v>0</v>
      </c>
      <c r="P63" s="78">
        <f t="shared" si="12"/>
        <v>0</v>
      </c>
      <c r="Q63" s="77">
        <f t="shared" ref="Q63:W63" si="67">SUM(Q64,Q65,Q66)</f>
        <v>0</v>
      </c>
      <c r="R63" s="77">
        <f t="shared" si="67"/>
        <v>0</v>
      </c>
      <c r="S63" s="77">
        <f t="shared" si="67"/>
        <v>0</v>
      </c>
      <c r="T63" s="77">
        <f t="shared" si="67"/>
        <v>0</v>
      </c>
      <c r="U63" s="77">
        <f t="shared" si="67"/>
        <v>0</v>
      </c>
      <c r="V63" s="77">
        <f t="shared" si="67"/>
        <v>0</v>
      </c>
      <c r="W63" s="77">
        <f t="shared" si="67"/>
        <v>0</v>
      </c>
      <c r="X63" s="78">
        <f t="shared" si="14"/>
        <v>0</v>
      </c>
      <c r="Y63" s="267">
        <f t="shared" ref="Y63:AE63" si="68">SUM(Y64,Y65,Y66)</f>
        <v>0</v>
      </c>
      <c r="Z63" s="267">
        <f t="shared" si="68"/>
        <v>0</v>
      </c>
      <c r="AA63" s="267">
        <f t="shared" si="68"/>
        <v>0</v>
      </c>
      <c r="AB63" s="267">
        <f t="shared" si="68"/>
        <v>0</v>
      </c>
      <c r="AC63" s="267">
        <f t="shared" si="68"/>
        <v>0</v>
      </c>
      <c r="AD63" s="267">
        <f t="shared" si="68"/>
        <v>0</v>
      </c>
      <c r="AE63" s="267">
        <f t="shared" si="68"/>
        <v>0</v>
      </c>
      <c r="AF63" s="273">
        <f t="shared" si="16"/>
        <v>0</v>
      </c>
      <c r="AG63" s="78">
        <f t="shared" si="62"/>
        <v>0</v>
      </c>
      <c r="AH63" s="78">
        <f t="shared" si="62"/>
        <v>0</v>
      </c>
      <c r="AI63" s="78">
        <f t="shared" si="62"/>
        <v>0</v>
      </c>
      <c r="AJ63" s="78">
        <f t="shared" si="62"/>
        <v>0</v>
      </c>
      <c r="AK63" s="78">
        <f t="shared" si="62"/>
        <v>0</v>
      </c>
      <c r="AL63" s="78">
        <f t="shared" si="49"/>
        <v>0</v>
      </c>
      <c r="AM63" s="78">
        <f t="shared" si="50"/>
        <v>0</v>
      </c>
      <c r="AN63" s="78">
        <f t="shared" si="63"/>
        <v>0</v>
      </c>
    </row>
    <row r="64" spans="1:40" s="21" customFormat="1" ht="11.25" customHeight="1" x14ac:dyDescent="0.2">
      <c r="A64" s="438"/>
      <c r="B64" s="355" t="s">
        <v>188</v>
      </c>
      <c r="C64" s="395" t="s">
        <v>594</v>
      </c>
      <c r="D64" s="355"/>
      <c r="E64" s="382"/>
      <c r="F64" s="383"/>
      <c r="G64" s="458" t="s">
        <v>716</v>
      </c>
      <c r="H64" s="18"/>
      <c r="I64" s="62"/>
      <c r="J64" s="62"/>
      <c r="K64" s="62"/>
      <c r="L64" s="62"/>
      <c r="M64" s="62"/>
      <c r="N64" s="62"/>
      <c r="O64" s="62"/>
      <c r="P64" s="29">
        <f t="shared" si="12"/>
        <v>0</v>
      </c>
      <c r="Q64" s="62"/>
      <c r="R64" s="62"/>
      <c r="S64" s="62"/>
      <c r="T64" s="62"/>
      <c r="U64" s="62"/>
      <c r="V64" s="62"/>
      <c r="W64" s="62"/>
      <c r="X64" s="29">
        <f t="shared" si="14"/>
        <v>0</v>
      </c>
      <c r="Y64" s="266"/>
      <c r="Z64" s="266"/>
      <c r="AA64" s="266"/>
      <c r="AB64" s="266"/>
      <c r="AC64" s="266"/>
      <c r="AD64" s="266"/>
      <c r="AE64" s="266"/>
      <c r="AF64" s="273">
        <f t="shared" si="16"/>
        <v>0</v>
      </c>
      <c r="AG64" s="78">
        <f t="shared" si="62"/>
        <v>0</v>
      </c>
      <c r="AH64" s="78">
        <f t="shared" si="62"/>
        <v>0</v>
      </c>
      <c r="AI64" s="78">
        <f t="shared" si="62"/>
        <v>0</v>
      </c>
      <c r="AJ64" s="78">
        <f t="shared" si="62"/>
        <v>0</v>
      </c>
      <c r="AK64" s="78">
        <f t="shared" si="62"/>
        <v>0</v>
      </c>
      <c r="AL64" s="78">
        <f t="shared" si="49"/>
        <v>0</v>
      </c>
      <c r="AM64" s="78">
        <f t="shared" si="50"/>
        <v>0</v>
      </c>
      <c r="AN64" s="78">
        <f t="shared" si="63"/>
        <v>0</v>
      </c>
    </row>
    <row r="65" spans="1:40" s="21" customFormat="1" ht="11.25" customHeight="1" x14ac:dyDescent="0.2">
      <c r="A65" s="438"/>
      <c r="B65" s="355" t="s">
        <v>195</v>
      </c>
      <c r="C65" s="355" t="s">
        <v>596</v>
      </c>
      <c r="D65" s="355"/>
      <c r="E65" s="382"/>
      <c r="F65" s="383"/>
      <c r="G65" s="458" t="s">
        <v>717</v>
      </c>
      <c r="H65" s="18"/>
      <c r="I65" s="62"/>
      <c r="J65" s="62"/>
      <c r="K65" s="62"/>
      <c r="L65" s="62"/>
      <c r="M65" s="62"/>
      <c r="N65" s="62"/>
      <c r="O65" s="62"/>
      <c r="P65" s="29">
        <f t="shared" si="12"/>
        <v>0</v>
      </c>
      <c r="Q65" s="62"/>
      <c r="R65" s="62"/>
      <c r="S65" s="62"/>
      <c r="T65" s="62"/>
      <c r="U65" s="62"/>
      <c r="V65" s="62"/>
      <c r="W65" s="62"/>
      <c r="X65" s="29">
        <f t="shared" si="14"/>
        <v>0</v>
      </c>
      <c r="Y65" s="266"/>
      <c r="Z65" s="266"/>
      <c r="AA65" s="266"/>
      <c r="AB65" s="266"/>
      <c r="AC65" s="266"/>
      <c r="AD65" s="266"/>
      <c r="AE65" s="266"/>
      <c r="AF65" s="273">
        <f t="shared" si="16"/>
        <v>0</v>
      </c>
      <c r="AG65" s="78">
        <f t="shared" si="62"/>
        <v>0</v>
      </c>
      <c r="AH65" s="78">
        <f t="shared" si="62"/>
        <v>0</v>
      </c>
      <c r="AI65" s="78">
        <f t="shared" si="62"/>
        <v>0</v>
      </c>
      <c r="AJ65" s="78">
        <f t="shared" si="62"/>
        <v>0</v>
      </c>
      <c r="AK65" s="78">
        <f t="shared" si="62"/>
        <v>0</v>
      </c>
      <c r="AL65" s="78">
        <f t="shared" si="49"/>
        <v>0</v>
      </c>
      <c r="AM65" s="78">
        <f t="shared" si="50"/>
        <v>0</v>
      </c>
      <c r="AN65" s="78">
        <f t="shared" si="63"/>
        <v>0</v>
      </c>
    </row>
    <row r="66" spans="1:40" s="16" customFormat="1" ht="11.25" customHeight="1" x14ac:dyDescent="0.2">
      <c r="A66" s="442"/>
      <c r="B66" s="392" t="s">
        <v>197</v>
      </c>
      <c r="C66" s="392" t="s">
        <v>598</v>
      </c>
      <c r="D66" s="392"/>
      <c r="E66" s="392"/>
      <c r="F66" s="388"/>
      <c r="G66" s="458" t="s">
        <v>718</v>
      </c>
      <c r="H66" s="18"/>
      <c r="I66" s="62"/>
      <c r="J66" s="62"/>
      <c r="K66" s="62"/>
      <c r="L66" s="62"/>
      <c r="M66" s="62"/>
      <c r="N66" s="62"/>
      <c r="O66" s="62"/>
      <c r="P66" s="29">
        <f t="shared" si="12"/>
        <v>0</v>
      </c>
      <c r="Q66" s="62"/>
      <c r="R66" s="62"/>
      <c r="S66" s="62"/>
      <c r="T66" s="62"/>
      <c r="U66" s="62"/>
      <c r="V66" s="62"/>
      <c r="W66" s="62"/>
      <c r="X66" s="29">
        <f t="shared" si="14"/>
        <v>0</v>
      </c>
      <c r="Y66" s="266"/>
      <c r="Z66" s="266"/>
      <c r="AA66" s="266"/>
      <c r="AB66" s="266"/>
      <c r="AC66" s="266"/>
      <c r="AD66" s="266"/>
      <c r="AE66" s="266"/>
      <c r="AF66" s="273">
        <f t="shared" si="16"/>
        <v>0</v>
      </c>
      <c r="AG66" s="78">
        <f t="shared" si="62"/>
        <v>0</v>
      </c>
      <c r="AH66" s="78">
        <f t="shared" si="62"/>
        <v>0</v>
      </c>
      <c r="AI66" s="78">
        <f t="shared" si="62"/>
        <v>0</v>
      </c>
      <c r="AJ66" s="78">
        <f t="shared" si="62"/>
        <v>0</v>
      </c>
      <c r="AK66" s="78">
        <f t="shared" si="62"/>
        <v>0</v>
      </c>
      <c r="AL66" s="78">
        <f t="shared" si="49"/>
        <v>0</v>
      </c>
      <c r="AM66" s="78">
        <f t="shared" si="50"/>
        <v>0</v>
      </c>
      <c r="AN66" s="78">
        <f t="shared" si="63"/>
        <v>0</v>
      </c>
    </row>
    <row r="67" spans="1:40" s="21" customFormat="1" ht="11.25" customHeight="1" x14ac:dyDescent="0.2">
      <c r="A67" s="127"/>
      <c r="B67" s="39"/>
      <c r="C67" s="39"/>
      <c r="D67" s="39"/>
      <c r="E67" s="39"/>
      <c r="F67" s="128"/>
      <c r="G67" s="52" t="s">
        <v>184</v>
      </c>
      <c r="H67" s="20"/>
      <c r="I67" s="32"/>
      <c r="J67" s="30"/>
      <c r="K67" s="30"/>
      <c r="L67" s="30"/>
      <c r="M67" s="30"/>
      <c r="N67" s="30"/>
      <c r="O67" s="30"/>
      <c r="P67" s="33"/>
      <c r="Q67" s="30"/>
      <c r="R67" s="30"/>
      <c r="S67" s="30"/>
      <c r="T67" s="30"/>
      <c r="U67" s="30"/>
      <c r="V67" s="30"/>
      <c r="W67" s="30"/>
      <c r="X67" s="33"/>
      <c r="Y67" s="30"/>
      <c r="Z67" s="30"/>
      <c r="AA67" s="30"/>
      <c r="AB67" s="30"/>
      <c r="AC67" s="30"/>
      <c r="AD67" s="30"/>
      <c r="AE67" s="30"/>
      <c r="AF67" s="33"/>
      <c r="AG67" s="30"/>
      <c r="AH67" s="30"/>
      <c r="AI67" s="30"/>
      <c r="AJ67" s="30"/>
      <c r="AK67" s="30"/>
      <c r="AL67" s="30"/>
      <c r="AM67" s="30"/>
      <c r="AN67" s="33"/>
    </row>
    <row r="68" spans="1:40" s="21" customFormat="1" ht="11.25" customHeight="1" x14ac:dyDescent="0.2">
      <c r="A68" s="127"/>
      <c r="B68" s="39"/>
      <c r="C68" s="39"/>
      <c r="D68" s="39"/>
      <c r="E68" s="39"/>
      <c r="F68" s="128"/>
      <c r="G68" s="23"/>
      <c r="H68" s="20"/>
      <c r="I68" s="32"/>
      <c r="J68" s="30"/>
      <c r="K68" s="30"/>
      <c r="L68" s="30"/>
      <c r="M68" s="30"/>
      <c r="N68" s="30"/>
      <c r="O68" s="30"/>
      <c r="P68" s="33"/>
      <c r="Q68" s="30"/>
      <c r="R68" s="30"/>
      <c r="S68" s="30"/>
      <c r="T68" s="30"/>
      <c r="U68" s="30"/>
      <c r="V68" s="30"/>
      <c r="W68" s="30"/>
      <c r="X68" s="33"/>
      <c r="Y68" s="30"/>
      <c r="Z68" s="30"/>
      <c r="AA68" s="30"/>
      <c r="AB68" s="30"/>
      <c r="AC68" s="30"/>
      <c r="AD68" s="30"/>
      <c r="AE68" s="30"/>
      <c r="AF68" s="33"/>
      <c r="AG68" s="30"/>
      <c r="AH68" s="30"/>
      <c r="AI68" s="30"/>
      <c r="AJ68" s="30"/>
      <c r="AK68" s="30"/>
      <c r="AL68" s="30"/>
      <c r="AM68" s="30"/>
      <c r="AN68" s="33"/>
    </row>
    <row r="69" spans="1:40" s="21" customFormat="1" ht="11.25" customHeight="1" x14ac:dyDescent="0.2">
      <c r="A69" s="127"/>
      <c r="B69" s="39"/>
      <c r="C69" s="150"/>
      <c r="D69" s="39"/>
      <c r="E69" s="39"/>
      <c r="F69" s="128"/>
      <c r="G69" s="23"/>
      <c r="H69" s="20"/>
      <c r="I69" s="32"/>
      <c r="J69" s="30"/>
      <c r="K69" s="30"/>
      <c r="L69" s="30"/>
      <c r="M69" s="30"/>
      <c r="N69" s="30"/>
      <c r="O69" s="30"/>
      <c r="P69" s="33"/>
      <c r="Q69" s="30"/>
      <c r="R69" s="30"/>
      <c r="S69" s="30"/>
      <c r="T69" s="30"/>
      <c r="U69" s="30"/>
      <c r="V69" s="30"/>
      <c r="W69" s="30"/>
      <c r="X69" s="33"/>
      <c r="Y69" s="30"/>
      <c r="Z69" s="30"/>
      <c r="AA69" s="30"/>
      <c r="AB69" s="30"/>
      <c r="AC69" s="30"/>
      <c r="AD69" s="30"/>
      <c r="AE69" s="30"/>
      <c r="AF69" s="33"/>
      <c r="AG69" s="30"/>
      <c r="AH69" s="30"/>
      <c r="AI69" s="30"/>
      <c r="AJ69" s="30"/>
      <c r="AK69" s="30"/>
      <c r="AL69" s="30"/>
      <c r="AM69" s="30"/>
      <c r="AN69" s="33"/>
    </row>
    <row r="70" spans="1:40" s="21" customFormat="1" ht="11.25" customHeight="1" x14ac:dyDescent="0.2">
      <c r="A70" s="127"/>
      <c r="B70" s="39"/>
      <c r="C70" s="150"/>
      <c r="D70" s="39"/>
      <c r="E70" s="39"/>
      <c r="F70" s="128"/>
      <c r="G70" s="23"/>
      <c r="H70" s="20"/>
      <c r="I70" s="32"/>
      <c r="J70" s="30"/>
      <c r="K70" s="30"/>
      <c r="L70" s="30"/>
      <c r="M70" s="30"/>
      <c r="N70" s="30"/>
      <c r="O70" s="30"/>
      <c r="P70" s="33"/>
      <c r="Q70" s="30"/>
      <c r="R70" s="30"/>
      <c r="S70" s="30"/>
      <c r="T70" s="30"/>
      <c r="U70" s="30"/>
      <c r="V70" s="30"/>
      <c r="W70" s="30"/>
      <c r="X70" s="33"/>
      <c r="Y70" s="30"/>
      <c r="Z70" s="30"/>
      <c r="AA70" s="30"/>
      <c r="AB70" s="30"/>
      <c r="AC70" s="30"/>
      <c r="AD70" s="30"/>
      <c r="AE70" s="30"/>
      <c r="AF70" s="33"/>
      <c r="AG70" s="30"/>
      <c r="AH70" s="30"/>
      <c r="AI70" s="30"/>
      <c r="AJ70" s="30"/>
      <c r="AK70" s="30"/>
      <c r="AL70" s="30"/>
      <c r="AM70" s="30"/>
      <c r="AN70" s="33"/>
    </row>
    <row r="71" spans="1:40" s="21" customFormat="1" ht="11.25" customHeight="1" x14ac:dyDescent="0.2">
      <c r="A71" s="143"/>
      <c r="B71" s="39"/>
      <c r="C71" s="39"/>
      <c r="D71" s="39"/>
      <c r="E71" s="39"/>
      <c r="F71" s="128"/>
      <c r="G71" s="23"/>
      <c r="H71" s="20"/>
      <c r="I71" s="32"/>
      <c r="J71" s="30"/>
      <c r="K71" s="30"/>
      <c r="L71" s="30"/>
      <c r="M71" s="30"/>
      <c r="N71" s="30"/>
      <c r="O71" s="30"/>
      <c r="P71" s="33"/>
      <c r="Q71" s="30"/>
      <c r="R71" s="30"/>
      <c r="S71" s="30"/>
      <c r="T71" s="30"/>
      <c r="U71" s="30"/>
      <c r="V71" s="30"/>
      <c r="W71" s="30"/>
      <c r="X71" s="33"/>
      <c r="Y71" s="30"/>
      <c r="Z71" s="30"/>
      <c r="AA71" s="30"/>
      <c r="AB71" s="30"/>
      <c r="AC71" s="30"/>
      <c r="AD71" s="30"/>
      <c r="AE71" s="30"/>
      <c r="AF71" s="33"/>
      <c r="AG71" s="30"/>
      <c r="AH71" s="30"/>
      <c r="AI71" s="30"/>
      <c r="AJ71" s="30"/>
      <c r="AK71" s="30"/>
      <c r="AL71" s="30"/>
      <c r="AM71" s="30"/>
      <c r="AN71" s="33"/>
    </row>
    <row r="72" spans="1:40" s="21" customFormat="1" ht="11.25" customHeight="1" x14ac:dyDescent="0.2">
      <c r="A72" s="127"/>
      <c r="B72" s="39"/>
      <c r="C72" s="39"/>
      <c r="D72" s="39"/>
      <c r="E72" s="39"/>
      <c r="F72" s="128"/>
      <c r="G72" s="23"/>
      <c r="H72" s="20"/>
      <c r="I72" s="32"/>
      <c r="J72" s="30"/>
      <c r="K72" s="30"/>
      <c r="L72" s="30"/>
      <c r="M72" s="30"/>
      <c r="N72" s="30"/>
      <c r="O72" s="30"/>
      <c r="P72" s="33"/>
      <c r="Q72" s="30"/>
      <c r="R72" s="30"/>
      <c r="S72" s="30"/>
      <c r="T72" s="30"/>
      <c r="U72" s="30"/>
      <c r="V72" s="30"/>
      <c r="W72" s="30"/>
      <c r="X72" s="33"/>
      <c r="Y72" s="30"/>
      <c r="Z72" s="30"/>
      <c r="AA72" s="30"/>
      <c r="AB72" s="30"/>
      <c r="AC72" s="30"/>
      <c r="AD72" s="30"/>
      <c r="AE72" s="30"/>
      <c r="AF72" s="33"/>
      <c r="AG72" s="30"/>
      <c r="AH72" s="30"/>
      <c r="AI72" s="30"/>
      <c r="AJ72" s="30"/>
      <c r="AK72" s="30"/>
      <c r="AL72" s="30"/>
      <c r="AM72" s="30"/>
      <c r="AN72" s="33"/>
    </row>
    <row r="73" spans="1:40" s="21" customFormat="1" ht="11.25" customHeight="1" x14ac:dyDescent="0.2">
      <c r="A73" s="127"/>
      <c r="B73" s="39"/>
      <c r="C73" s="39"/>
      <c r="D73" s="39"/>
      <c r="E73" s="39"/>
      <c r="F73" s="128"/>
      <c r="G73" s="23"/>
      <c r="H73" s="20"/>
      <c r="I73" s="32"/>
      <c r="J73" s="30"/>
      <c r="K73" s="30"/>
      <c r="L73" s="30"/>
      <c r="M73" s="30"/>
      <c r="N73" s="30"/>
      <c r="O73" s="30"/>
      <c r="P73" s="33"/>
      <c r="Q73" s="30"/>
      <c r="R73" s="30"/>
      <c r="S73" s="30"/>
      <c r="T73" s="30"/>
      <c r="U73" s="30"/>
      <c r="V73" s="30"/>
      <c r="W73" s="30"/>
      <c r="X73" s="33"/>
      <c r="Y73" s="30"/>
      <c r="Z73" s="30"/>
      <c r="AA73" s="30"/>
      <c r="AB73" s="30"/>
      <c r="AC73" s="30"/>
      <c r="AD73" s="30"/>
      <c r="AE73" s="30"/>
      <c r="AF73" s="33"/>
      <c r="AG73" s="30"/>
      <c r="AH73" s="30"/>
      <c r="AI73" s="30"/>
      <c r="AJ73" s="30"/>
      <c r="AK73" s="30"/>
      <c r="AL73" s="30"/>
      <c r="AM73" s="30"/>
      <c r="AN73" s="33"/>
    </row>
    <row r="74" spans="1:40" s="21" customFormat="1" ht="11.25" customHeight="1" x14ac:dyDescent="0.2">
      <c r="A74" s="143"/>
      <c r="B74" s="39"/>
      <c r="C74" s="39"/>
      <c r="D74" s="39"/>
      <c r="E74" s="39"/>
      <c r="F74" s="128"/>
      <c r="G74" s="23"/>
      <c r="H74" s="20"/>
      <c r="I74" s="32"/>
      <c r="J74" s="30"/>
      <c r="K74" s="30"/>
      <c r="L74" s="30"/>
      <c r="M74" s="30"/>
      <c r="N74" s="30"/>
      <c r="O74" s="30"/>
      <c r="P74" s="33"/>
      <c r="Q74" s="30"/>
      <c r="R74" s="30"/>
      <c r="S74" s="30"/>
      <c r="T74" s="30"/>
      <c r="U74" s="30"/>
      <c r="V74" s="30"/>
      <c r="W74" s="30"/>
      <c r="X74" s="33"/>
      <c r="Y74" s="30"/>
      <c r="Z74" s="30"/>
      <c r="AA74" s="30"/>
      <c r="AB74" s="30"/>
      <c r="AC74" s="30"/>
      <c r="AD74" s="30"/>
      <c r="AE74" s="30"/>
      <c r="AF74" s="33"/>
      <c r="AG74" s="30"/>
      <c r="AH74" s="30"/>
      <c r="AI74" s="30"/>
      <c r="AJ74" s="30"/>
      <c r="AK74" s="30"/>
      <c r="AL74" s="30"/>
      <c r="AM74" s="30"/>
      <c r="AN74" s="33"/>
    </row>
    <row r="75" spans="1:40" s="21" customFormat="1" ht="11.25" customHeight="1" x14ac:dyDescent="0.2">
      <c r="A75" s="143"/>
      <c r="B75" s="39"/>
      <c r="C75" s="39"/>
      <c r="D75" s="39"/>
      <c r="E75" s="39"/>
      <c r="F75" s="128"/>
      <c r="G75" s="23" t="s">
        <v>261</v>
      </c>
      <c r="H75" s="20"/>
      <c r="I75" s="32"/>
      <c r="J75" s="30"/>
      <c r="K75" s="30"/>
      <c r="L75" s="30"/>
      <c r="M75" s="30"/>
      <c r="N75" s="30"/>
      <c r="O75" s="30"/>
      <c r="P75" s="33"/>
      <c r="Q75" s="30"/>
      <c r="R75" s="30"/>
      <c r="S75" s="30"/>
      <c r="T75" s="30"/>
      <c r="U75" s="30"/>
      <c r="V75" s="30"/>
      <c r="W75" s="30"/>
      <c r="X75" s="33"/>
      <c r="Y75" s="30"/>
      <c r="Z75" s="30"/>
      <c r="AA75" s="30"/>
      <c r="AB75" s="30"/>
      <c r="AC75" s="30"/>
      <c r="AD75" s="30"/>
      <c r="AE75" s="30"/>
      <c r="AF75" s="33"/>
      <c r="AG75" s="30"/>
      <c r="AH75" s="30"/>
      <c r="AI75" s="30"/>
      <c r="AJ75" s="30"/>
      <c r="AK75" s="30"/>
      <c r="AL75" s="30"/>
      <c r="AM75" s="30"/>
      <c r="AN75" s="33"/>
    </row>
    <row r="76" spans="1:40" s="21" customFormat="1" ht="11.25" customHeight="1" x14ac:dyDescent="0.2">
      <c r="A76" s="200"/>
      <c r="B76" s="39"/>
      <c r="C76" s="39"/>
      <c r="D76" s="39"/>
      <c r="E76" s="39"/>
      <c r="F76" s="128"/>
      <c r="G76" s="23"/>
      <c r="H76" s="20"/>
      <c r="I76" s="32"/>
      <c r="J76" s="30"/>
      <c r="K76" s="30"/>
      <c r="L76" s="30"/>
      <c r="M76" s="30"/>
      <c r="N76" s="30"/>
      <c r="O76" s="30"/>
      <c r="P76" s="33"/>
      <c r="Q76" s="30"/>
      <c r="R76" s="30"/>
      <c r="S76" s="30"/>
      <c r="T76" s="30"/>
      <c r="U76" s="30"/>
      <c r="V76" s="30"/>
      <c r="W76" s="30"/>
      <c r="X76" s="33"/>
      <c r="Y76" s="30"/>
      <c r="Z76" s="30"/>
      <c r="AA76" s="30"/>
      <c r="AB76" s="30"/>
      <c r="AC76" s="30"/>
      <c r="AD76" s="30"/>
      <c r="AE76" s="30"/>
      <c r="AF76" s="33"/>
      <c r="AG76" s="30"/>
      <c r="AH76" s="30"/>
      <c r="AI76" s="30"/>
      <c r="AJ76" s="30"/>
      <c r="AK76" s="30"/>
      <c r="AL76" s="30"/>
      <c r="AM76" s="30"/>
      <c r="AN76" s="33"/>
    </row>
    <row r="77" spans="1:40" s="21" customFormat="1" ht="11.25" customHeight="1" x14ac:dyDescent="0.2">
      <c r="A77" s="199"/>
      <c r="B77" s="153"/>
      <c r="C77" s="154"/>
      <c r="D77" s="150"/>
      <c r="E77" s="39"/>
      <c r="F77" s="128"/>
      <c r="G77" s="23"/>
      <c r="H77" s="20"/>
      <c r="I77" s="34"/>
      <c r="J77" s="33"/>
      <c r="K77" s="33"/>
      <c r="L77" s="33"/>
      <c r="M77" s="33"/>
      <c r="N77" s="33"/>
      <c r="O77" s="33"/>
      <c r="P77" s="33"/>
      <c r="Q77" s="33"/>
      <c r="R77" s="28"/>
      <c r="S77" s="34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F77" s="33"/>
      <c r="AG77" s="33"/>
      <c r="AH77" s="33"/>
      <c r="AI77" s="33"/>
      <c r="AJ77" s="33"/>
      <c r="AK77" s="33"/>
      <c r="AL77" s="33"/>
      <c r="AM77" s="33"/>
      <c r="AN77" s="28"/>
    </row>
    <row r="78" spans="1:40" s="21" customFormat="1" ht="11.25" customHeight="1" x14ac:dyDescent="0.2">
      <c r="A78" s="7"/>
      <c r="B78" s="153"/>
      <c r="C78" s="154"/>
      <c r="D78" s="150"/>
      <c r="E78" s="39"/>
      <c r="F78" s="128"/>
      <c r="G78" s="67" t="s">
        <v>184</v>
      </c>
      <c r="H78" s="22"/>
      <c r="I78" s="34"/>
      <c r="J78" s="28"/>
      <c r="K78" s="28"/>
      <c r="L78" s="28"/>
      <c r="M78" s="28"/>
      <c r="N78" s="28"/>
      <c r="O78" s="28"/>
      <c r="P78" s="28"/>
      <c r="Q78" s="34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  <c r="AL78" s="28"/>
      <c r="AM78" s="28"/>
      <c r="AN78" s="28"/>
    </row>
    <row r="79" spans="1:40" s="21" customFormat="1" ht="11.25" customHeight="1" x14ac:dyDescent="0.2">
      <c r="A79" s="7"/>
      <c r="B79" s="155"/>
      <c r="C79" s="155"/>
      <c r="D79" s="155"/>
      <c r="E79" s="155"/>
      <c r="F79" s="156"/>
      <c r="G79" s="12"/>
      <c r="H79" s="23"/>
      <c r="I79" s="64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  <c r="AL79" s="28"/>
      <c r="AM79" s="28"/>
      <c r="AN79" s="28"/>
    </row>
    <row r="80" spans="1:40" s="21" customFormat="1" ht="11.25" customHeight="1" x14ac:dyDescent="0.2">
      <c r="A80" s="7"/>
      <c r="B80" s="3"/>
      <c r="C80" s="4"/>
      <c r="D80" s="5"/>
      <c r="E80" s="155"/>
      <c r="F80" s="156"/>
      <c r="G80" s="12"/>
      <c r="H80" s="12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28"/>
      <c r="AH80" s="28"/>
      <c r="AI80" s="28"/>
      <c r="AJ80" s="28"/>
      <c r="AK80" s="28"/>
      <c r="AL80" s="28"/>
      <c r="AM80" s="28"/>
      <c r="AN80" s="28"/>
    </row>
    <row r="81" spans="1:40" s="21" customFormat="1" ht="11.25" customHeight="1" x14ac:dyDescent="0.2">
      <c r="A81" s="7"/>
      <c r="B81" s="3"/>
      <c r="C81" s="154"/>
      <c r="D81" s="157"/>
      <c r="E81" s="155"/>
      <c r="F81" s="156"/>
      <c r="G81" s="12"/>
      <c r="H81" s="12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28"/>
      <c r="AF81" s="28"/>
      <c r="AG81" s="28"/>
      <c r="AH81" s="28"/>
      <c r="AI81" s="28"/>
      <c r="AJ81" s="28"/>
      <c r="AK81" s="28"/>
      <c r="AL81" s="28"/>
      <c r="AM81" s="28"/>
      <c r="AN81" s="28"/>
    </row>
    <row r="82" spans="1:40" s="21" customFormat="1" ht="11.25" customHeight="1" x14ac:dyDescent="0.2">
      <c r="A82" s="7"/>
      <c r="B82" s="155"/>
      <c r="C82" s="154"/>
      <c r="D82" s="157"/>
      <c r="E82" s="157"/>
      <c r="F82" s="156"/>
      <c r="G82" s="12"/>
      <c r="H82" s="12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  <c r="AK82" s="28"/>
      <c r="AL82" s="28"/>
      <c r="AM82" s="28"/>
      <c r="AN82" s="28"/>
    </row>
    <row r="83" spans="1:40" s="21" customFormat="1" ht="11.25" customHeight="1" x14ac:dyDescent="0.2">
      <c r="A83" s="7"/>
      <c r="B83" s="155"/>
      <c r="C83" s="39"/>
      <c r="D83" s="154"/>
      <c r="E83" s="154"/>
      <c r="F83" s="156"/>
      <c r="G83" s="12"/>
      <c r="H83" s="12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28"/>
      <c r="AF83" s="28"/>
      <c r="AG83" s="28"/>
      <c r="AH83" s="28"/>
      <c r="AI83" s="28"/>
      <c r="AJ83" s="28"/>
      <c r="AK83" s="28"/>
      <c r="AL83" s="28"/>
      <c r="AM83" s="28"/>
      <c r="AN83" s="28"/>
    </row>
    <row r="84" spans="1:40" s="21" customFormat="1" ht="11.25" customHeight="1" x14ac:dyDescent="0.2">
      <c r="A84" s="7"/>
      <c r="B84" s="155"/>
      <c r="C84" s="154"/>
      <c r="D84" s="39"/>
      <c r="E84" s="154"/>
      <c r="F84" s="156"/>
      <c r="G84" s="12"/>
      <c r="H84" s="12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28"/>
      <c r="AF84" s="28"/>
      <c r="AG84" s="28"/>
      <c r="AH84" s="28"/>
      <c r="AI84" s="28"/>
      <c r="AJ84" s="28"/>
      <c r="AK84" s="28"/>
      <c r="AL84" s="28"/>
      <c r="AM84" s="28"/>
      <c r="AN84" s="28"/>
    </row>
    <row r="85" spans="1:40" s="21" customFormat="1" ht="11.25" customHeight="1" x14ac:dyDescent="0.2">
      <c r="A85" s="7"/>
      <c r="B85" s="155"/>
      <c r="C85" s="39"/>
      <c r="D85" s="158"/>
      <c r="E85" s="154"/>
      <c r="F85" s="156"/>
      <c r="G85" s="12"/>
      <c r="H85" s="12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  <c r="AJ85" s="28"/>
      <c r="AK85" s="28"/>
      <c r="AL85" s="28"/>
      <c r="AM85" s="28"/>
      <c r="AN85" s="28"/>
    </row>
    <row r="86" spans="1:40" s="21" customFormat="1" ht="11.25" customHeight="1" x14ac:dyDescent="0.2">
      <c r="A86" s="7"/>
      <c r="B86" s="155"/>
      <c r="C86" s="39"/>
      <c r="D86" s="158"/>
      <c r="E86" s="154"/>
      <c r="F86" s="156"/>
      <c r="G86" s="12"/>
      <c r="H86" s="12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28"/>
      <c r="AH86" s="28"/>
      <c r="AI86" s="28"/>
      <c r="AJ86" s="28"/>
      <c r="AK86" s="28"/>
      <c r="AL86" s="28"/>
      <c r="AM86" s="28"/>
      <c r="AN86" s="28"/>
    </row>
    <row r="87" spans="1:40" s="21" customFormat="1" ht="11.25" customHeight="1" x14ac:dyDescent="0.2">
      <c r="A87" s="7"/>
      <c r="B87" s="155"/>
      <c r="C87" s="154"/>
      <c r="D87" s="39"/>
      <c r="E87" s="154"/>
      <c r="F87" s="156"/>
      <c r="G87" s="12"/>
      <c r="H87" s="12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28"/>
      <c r="AL87" s="28"/>
      <c r="AM87" s="28"/>
      <c r="AN87" s="28"/>
    </row>
    <row r="88" spans="1:40" s="21" customFormat="1" ht="11.25" customHeight="1" x14ac:dyDescent="0.2">
      <c r="A88" s="7"/>
      <c r="B88" s="155"/>
      <c r="C88" s="154"/>
      <c r="D88" s="154"/>
      <c r="E88" s="154"/>
      <c r="F88" s="159"/>
      <c r="G88" s="12"/>
      <c r="H88" s="12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28"/>
      <c r="AL88" s="28"/>
      <c r="AM88" s="28"/>
      <c r="AN88" s="28"/>
    </row>
    <row r="89" spans="1:40" s="21" customFormat="1" ht="11.25" customHeight="1" x14ac:dyDescent="0.2">
      <c r="A89" s="7"/>
      <c r="B89" s="155"/>
      <c r="C89" s="39"/>
      <c r="D89" s="160"/>
      <c r="E89" s="161"/>
      <c r="F89" s="162"/>
      <c r="G89" s="12"/>
      <c r="H89" s="12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28"/>
      <c r="AF89" s="28"/>
      <c r="AG89" s="28"/>
      <c r="AH89" s="28"/>
      <c r="AI89" s="28"/>
      <c r="AJ89" s="28"/>
      <c r="AK89" s="28"/>
      <c r="AL89" s="28"/>
      <c r="AM89" s="28"/>
      <c r="AN89" s="28"/>
    </row>
    <row r="90" spans="1:40" s="21" customFormat="1" ht="11.25" customHeight="1" x14ac:dyDescent="0.2">
      <c r="A90" s="7"/>
      <c r="B90" s="155"/>
      <c r="C90" s="154"/>
      <c r="D90" s="158"/>
      <c r="E90" s="154"/>
      <c r="F90" s="159"/>
      <c r="G90" s="12"/>
      <c r="H90" s="12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28"/>
      <c r="AH90" s="28"/>
      <c r="AI90" s="28"/>
      <c r="AJ90" s="28"/>
      <c r="AK90" s="28"/>
      <c r="AL90" s="28"/>
      <c r="AM90" s="28"/>
      <c r="AN90" s="28"/>
    </row>
    <row r="91" spans="1:40" s="21" customFormat="1" ht="11.25" customHeight="1" x14ac:dyDescent="0.2">
      <c r="A91" s="7"/>
      <c r="B91" s="155"/>
      <c r="C91" s="154"/>
      <c r="D91" s="158"/>
      <c r="E91" s="154"/>
      <c r="F91" s="159"/>
      <c r="G91" s="12"/>
      <c r="H91" s="12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  <c r="AL91" s="28"/>
      <c r="AM91" s="28"/>
      <c r="AN91" s="28"/>
    </row>
    <row r="92" spans="1:40" s="21" customFormat="1" ht="11.25" customHeight="1" x14ac:dyDescent="0.2">
      <c r="A92" s="7"/>
      <c r="B92" s="3"/>
      <c r="C92" s="4"/>
      <c r="D92" s="157"/>
      <c r="E92" s="154"/>
      <c r="F92" s="159"/>
      <c r="G92" s="12"/>
      <c r="H92" s="12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</row>
    <row r="93" spans="1:40" s="21" customFormat="1" ht="11.25" customHeight="1" x14ac:dyDescent="0.2">
      <c r="A93" s="7"/>
      <c r="B93" s="155"/>
      <c r="C93" s="154"/>
      <c r="D93" s="154"/>
      <c r="E93" s="154"/>
      <c r="F93" s="159"/>
      <c r="G93" s="12"/>
      <c r="H93" s="12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</row>
    <row r="94" spans="1:40" s="21" customFormat="1" ht="11.25" customHeight="1" x14ac:dyDescent="0.2">
      <c r="A94" s="7"/>
      <c r="B94" s="155"/>
      <c r="C94" s="154"/>
      <c r="D94" s="163"/>
      <c r="E94" s="154"/>
      <c r="F94" s="159"/>
      <c r="G94" s="12"/>
      <c r="H94" s="12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</row>
    <row r="95" spans="1:40" s="21" customFormat="1" ht="11.25" customHeight="1" x14ac:dyDescent="0.2">
      <c r="A95" s="7"/>
      <c r="B95" s="155"/>
      <c r="C95" s="154"/>
      <c r="D95" s="164"/>
      <c r="E95" s="154"/>
      <c r="F95" s="159"/>
      <c r="G95" s="12"/>
      <c r="H95" s="12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</row>
    <row r="96" spans="1:40" s="21" customFormat="1" ht="11.25" customHeight="1" x14ac:dyDescent="0.2">
      <c r="A96" s="7"/>
      <c r="B96" s="155"/>
      <c r="C96" s="154"/>
      <c r="D96" s="164"/>
      <c r="E96" s="154"/>
      <c r="F96" s="159"/>
      <c r="G96" s="12"/>
      <c r="H96" s="12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28"/>
      <c r="AH96" s="28"/>
      <c r="AI96" s="28"/>
      <c r="AJ96" s="28"/>
      <c r="AK96" s="28"/>
      <c r="AL96" s="28"/>
      <c r="AM96" s="28"/>
      <c r="AN96" s="28"/>
    </row>
    <row r="97" spans="1:40" s="21" customFormat="1" ht="11.25" customHeight="1" x14ac:dyDescent="0.2">
      <c r="A97" s="7"/>
      <c r="B97" s="155"/>
      <c r="C97" s="154"/>
      <c r="D97" s="163"/>
      <c r="E97" s="154"/>
      <c r="F97" s="159"/>
      <c r="G97" s="12"/>
      <c r="H97" s="12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  <c r="AJ97" s="28"/>
      <c r="AK97" s="28"/>
      <c r="AL97" s="28"/>
      <c r="AM97" s="28"/>
      <c r="AN97" s="28"/>
    </row>
    <row r="98" spans="1:40" s="21" customFormat="1" ht="11.25" customHeight="1" x14ac:dyDescent="0.2">
      <c r="A98" s="7"/>
      <c r="B98" s="155"/>
      <c r="C98" s="154"/>
      <c r="D98" s="164"/>
      <c r="E98" s="154"/>
      <c r="F98" s="159"/>
      <c r="G98" s="12"/>
      <c r="H98" s="12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28"/>
      <c r="AF98" s="28"/>
      <c r="AG98" s="28"/>
      <c r="AH98" s="28"/>
      <c r="AI98" s="28"/>
      <c r="AJ98" s="28"/>
      <c r="AK98" s="28"/>
      <c r="AL98" s="28"/>
      <c r="AM98" s="28"/>
      <c r="AN98" s="28"/>
    </row>
    <row r="99" spans="1:40" s="21" customFormat="1" ht="11.25" customHeight="1" x14ac:dyDescent="0.2">
      <c r="A99" s="7"/>
      <c r="B99" s="155"/>
      <c r="C99" s="154"/>
      <c r="D99" s="164"/>
      <c r="E99" s="154"/>
      <c r="F99" s="159"/>
      <c r="G99" s="12"/>
      <c r="H99" s="12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28"/>
      <c r="AF99" s="28"/>
      <c r="AG99" s="28"/>
      <c r="AH99" s="28"/>
      <c r="AI99" s="28"/>
      <c r="AJ99" s="28"/>
      <c r="AK99" s="28"/>
      <c r="AL99" s="28"/>
      <c r="AM99" s="28"/>
      <c r="AN99" s="28"/>
    </row>
    <row r="100" spans="1:40" s="21" customFormat="1" ht="11.25" customHeight="1" x14ac:dyDescent="0.2">
      <c r="A100" s="7"/>
      <c r="B100" s="155"/>
      <c r="C100" s="154"/>
      <c r="D100" s="154"/>
      <c r="E100" s="154"/>
      <c r="F100" s="159"/>
      <c r="G100" s="12"/>
      <c r="H100" s="12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  <c r="AJ100" s="28"/>
      <c r="AK100" s="28"/>
      <c r="AL100" s="28"/>
      <c r="AM100" s="28"/>
      <c r="AN100" s="28"/>
    </row>
    <row r="101" spans="1:40" s="21" customFormat="1" ht="11.25" customHeight="1" x14ac:dyDescent="0.2">
      <c r="A101" s="7"/>
      <c r="B101" s="155"/>
      <c r="C101" s="39"/>
      <c r="D101" s="158"/>
      <c r="E101" s="154"/>
      <c r="F101" s="159"/>
      <c r="G101" s="12"/>
      <c r="H101" s="12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28"/>
      <c r="AF101" s="28"/>
      <c r="AG101" s="28"/>
      <c r="AH101" s="28"/>
      <c r="AI101" s="28"/>
      <c r="AJ101" s="28"/>
      <c r="AK101" s="28"/>
      <c r="AL101" s="28"/>
      <c r="AM101" s="28"/>
      <c r="AN101" s="28"/>
    </row>
    <row r="102" spans="1:40" s="21" customFormat="1" ht="11.25" customHeight="1" x14ac:dyDescent="0.2">
      <c r="A102" s="7"/>
      <c r="B102" s="155"/>
      <c r="C102" s="39"/>
      <c r="D102" s="158"/>
      <c r="E102" s="154"/>
      <c r="F102" s="159"/>
      <c r="G102" s="12"/>
      <c r="H102" s="12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28"/>
      <c r="AF102" s="28"/>
      <c r="AG102" s="28"/>
      <c r="AH102" s="28"/>
      <c r="AI102" s="28"/>
      <c r="AJ102" s="28"/>
      <c r="AK102" s="28"/>
      <c r="AL102" s="28"/>
      <c r="AM102" s="28"/>
      <c r="AN102" s="28"/>
    </row>
    <row r="103" spans="1:40" s="21" customFormat="1" ht="11.25" customHeight="1" x14ac:dyDescent="0.2">
      <c r="A103" s="7"/>
      <c r="B103" s="155"/>
      <c r="C103" s="154"/>
      <c r="D103" s="154"/>
      <c r="E103" s="154"/>
      <c r="F103" s="159"/>
      <c r="G103" s="12"/>
      <c r="H103" s="12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  <c r="AJ103" s="28"/>
      <c r="AK103" s="28"/>
      <c r="AL103" s="28"/>
      <c r="AM103" s="28"/>
      <c r="AN103" s="28"/>
    </row>
    <row r="104" spans="1:40" s="21" customFormat="1" ht="11.25" customHeight="1" x14ac:dyDescent="0.2">
      <c r="A104" s="7"/>
      <c r="B104" s="155"/>
      <c r="C104" s="39"/>
      <c r="D104" s="160"/>
      <c r="E104" s="161"/>
      <c r="F104" s="162"/>
      <c r="G104" s="12"/>
      <c r="H104" s="12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  <c r="AJ104" s="28"/>
      <c r="AK104" s="28"/>
      <c r="AL104" s="28"/>
      <c r="AM104" s="28"/>
      <c r="AN104" s="28"/>
    </row>
    <row r="105" spans="1:40" s="21" customFormat="1" ht="11.25" customHeight="1" x14ac:dyDescent="0.2">
      <c r="A105" s="7"/>
      <c r="B105" s="155"/>
      <c r="C105" s="154"/>
      <c r="D105" s="158"/>
      <c r="E105" s="154"/>
      <c r="F105" s="159"/>
      <c r="G105" s="12"/>
      <c r="H105" s="12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28"/>
      <c r="AF105" s="28"/>
      <c r="AG105" s="28"/>
      <c r="AH105" s="28"/>
      <c r="AI105" s="28"/>
      <c r="AJ105" s="28"/>
      <c r="AK105" s="28"/>
      <c r="AL105" s="28"/>
      <c r="AM105" s="28"/>
      <c r="AN105" s="28"/>
    </row>
    <row r="106" spans="1:40" s="21" customFormat="1" ht="11.25" customHeight="1" x14ac:dyDescent="0.2">
      <c r="A106" s="7"/>
      <c r="B106" s="155"/>
      <c r="C106" s="154"/>
      <c r="D106" s="164"/>
      <c r="E106" s="154"/>
      <c r="F106" s="159"/>
      <c r="G106" s="12"/>
      <c r="H106" s="12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  <c r="AJ106" s="28"/>
      <c r="AK106" s="28"/>
      <c r="AL106" s="28"/>
      <c r="AM106" s="28"/>
      <c r="AN106" s="28"/>
    </row>
    <row r="107" spans="1:40" s="21" customFormat="1" ht="11.25" customHeight="1" x14ac:dyDescent="0.2">
      <c r="A107" s="7"/>
      <c r="B107" s="155"/>
      <c r="C107" s="154"/>
      <c r="D107" s="164"/>
      <c r="E107" s="154"/>
      <c r="F107" s="159"/>
      <c r="G107" s="12"/>
      <c r="H107" s="12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28"/>
      <c r="AF107" s="28"/>
      <c r="AG107" s="28"/>
      <c r="AH107" s="28"/>
      <c r="AI107" s="28"/>
      <c r="AJ107" s="28"/>
      <c r="AK107" s="28"/>
      <c r="AL107" s="28"/>
      <c r="AM107" s="28"/>
      <c r="AN107" s="28"/>
    </row>
    <row r="108" spans="1:40" s="21" customFormat="1" ht="11.25" customHeight="1" x14ac:dyDescent="0.2">
      <c r="A108" s="7"/>
      <c r="B108" s="155"/>
      <c r="C108" s="154"/>
      <c r="D108" s="158"/>
      <c r="E108" s="154"/>
      <c r="F108" s="159"/>
      <c r="G108" s="12"/>
      <c r="H108" s="12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28"/>
      <c r="AF108" s="28"/>
      <c r="AG108" s="28"/>
      <c r="AH108" s="28"/>
      <c r="AI108" s="28"/>
      <c r="AJ108" s="28"/>
      <c r="AK108" s="28"/>
      <c r="AL108" s="28"/>
      <c r="AM108" s="28"/>
      <c r="AN108" s="28"/>
    </row>
    <row r="109" spans="1:40" s="21" customFormat="1" ht="11.25" customHeight="1" x14ac:dyDescent="0.2">
      <c r="A109" s="7"/>
      <c r="B109" s="155"/>
      <c r="C109" s="154"/>
      <c r="D109" s="164"/>
      <c r="E109" s="154"/>
      <c r="F109" s="159"/>
      <c r="G109" s="12"/>
      <c r="H109" s="12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  <c r="AJ109" s="28"/>
      <c r="AK109" s="28"/>
      <c r="AL109" s="28"/>
      <c r="AM109" s="28"/>
      <c r="AN109" s="28"/>
    </row>
    <row r="110" spans="1:40" s="21" customFormat="1" ht="11.25" customHeight="1" x14ac:dyDescent="0.2">
      <c r="A110" s="7"/>
      <c r="B110" s="155"/>
      <c r="C110" s="154"/>
      <c r="D110" s="164"/>
      <c r="E110" s="154"/>
      <c r="F110" s="159"/>
      <c r="G110" s="12"/>
      <c r="H110" s="12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28"/>
      <c r="AJ110" s="28"/>
      <c r="AK110" s="28"/>
      <c r="AL110" s="28"/>
      <c r="AM110" s="28"/>
      <c r="AN110" s="28"/>
    </row>
    <row r="111" spans="1:40" s="21" customFormat="1" ht="11.25" customHeight="1" x14ac:dyDescent="0.2">
      <c r="A111" s="7"/>
      <c r="B111" s="3"/>
      <c r="C111" s="4"/>
      <c r="D111" s="157"/>
      <c r="E111" s="154"/>
      <c r="F111" s="159"/>
      <c r="G111" s="12"/>
      <c r="H111" s="12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28"/>
      <c r="AF111" s="28"/>
      <c r="AG111" s="28"/>
      <c r="AH111" s="28"/>
      <c r="AI111" s="28"/>
      <c r="AJ111" s="28"/>
      <c r="AK111" s="28"/>
      <c r="AL111" s="28"/>
      <c r="AM111" s="28"/>
      <c r="AN111" s="28"/>
    </row>
    <row r="112" spans="1:40" s="21" customFormat="1" ht="11.25" customHeight="1" x14ac:dyDescent="0.2">
      <c r="A112" s="7"/>
      <c r="B112" s="155"/>
      <c r="C112" s="154"/>
      <c r="D112" s="157"/>
      <c r="E112" s="154"/>
      <c r="F112" s="159"/>
      <c r="G112" s="12"/>
      <c r="H112" s="12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28"/>
      <c r="AF112" s="28"/>
      <c r="AG112" s="28"/>
      <c r="AH112" s="28"/>
      <c r="AI112" s="28"/>
      <c r="AJ112" s="28"/>
      <c r="AK112" s="28"/>
      <c r="AL112" s="28"/>
      <c r="AM112" s="28"/>
      <c r="AN112" s="28"/>
    </row>
    <row r="113" spans="1:40" s="21" customFormat="1" ht="11.25" customHeight="1" x14ac:dyDescent="0.2">
      <c r="A113" s="7"/>
      <c r="B113" s="155"/>
      <c r="C113" s="154"/>
      <c r="D113" s="157"/>
      <c r="E113" s="154"/>
      <c r="F113" s="159"/>
      <c r="G113" s="12"/>
      <c r="H113" s="12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  <c r="AJ113" s="28"/>
      <c r="AK113" s="28"/>
      <c r="AL113" s="28"/>
      <c r="AM113" s="28"/>
      <c r="AN113" s="28"/>
    </row>
    <row r="114" spans="1:40" s="21" customFormat="1" ht="11.25" customHeight="1" x14ac:dyDescent="0.2">
      <c r="A114" s="7"/>
      <c r="B114" s="155"/>
      <c r="C114" s="154"/>
      <c r="D114" s="157"/>
      <c r="E114" s="154"/>
      <c r="F114" s="159"/>
      <c r="G114" s="12"/>
      <c r="H114" s="12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28"/>
      <c r="AF114" s="28"/>
      <c r="AG114" s="28"/>
      <c r="AH114" s="28"/>
      <c r="AI114" s="28"/>
      <c r="AJ114" s="28"/>
      <c r="AK114" s="28"/>
      <c r="AL114" s="28"/>
      <c r="AM114" s="28"/>
      <c r="AN114" s="28"/>
    </row>
    <row r="115" spans="1:40" s="21" customFormat="1" ht="11.25" customHeight="1" x14ac:dyDescent="0.2">
      <c r="A115" s="7"/>
      <c r="B115" s="155"/>
      <c r="C115" s="39"/>
      <c r="D115" s="160"/>
      <c r="E115" s="161"/>
      <c r="F115" s="162"/>
      <c r="G115" s="12"/>
      <c r="H115" s="12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28"/>
      <c r="AF115" s="28"/>
      <c r="AG115" s="28"/>
      <c r="AH115" s="28"/>
      <c r="AI115" s="28"/>
      <c r="AJ115" s="28"/>
      <c r="AK115" s="28"/>
      <c r="AL115" s="28"/>
      <c r="AM115" s="28"/>
      <c r="AN115" s="28"/>
    </row>
    <row r="116" spans="1:40" s="21" customFormat="1" ht="11.25" customHeight="1" x14ac:dyDescent="0.2">
      <c r="A116" s="7"/>
      <c r="B116" s="155"/>
      <c r="C116" s="154"/>
      <c r="D116" s="158"/>
      <c r="E116" s="154"/>
      <c r="F116" s="110"/>
      <c r="G116" s="12"/>
      <c r="H116" s="12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28"/>
      <c r="AF116" s="28"/>
      <c r="AG116" s="28"/>
      <c r="AH116" s="28"/>
      <c r="AI116" s="28"/>
      <c r="AJ116" s="28"/>
      <c r="AK116" s="28"/>
      <c r="AL116" s="28"/>
      <c r="AM116" s="28"/>
      <c r="AN116" s="28"/>
    </row>
    <row r="117" spans="1:40" s="21" customFormat="1" ht="11.25" customHeight="1" x14ac:dyDescent="0.2">
      <c r="A117" s="7"/>
      <c r="B117" s="155"/>
      <c r="C117" s="154"/>
      <c r="D117" s="158"/>
      <c r="E117" s="154"/>
      <c r="F117" s="110"/>
      <c r="G117" s="12"/>
      <c r="H117" s="12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8"/>
      <c r="AB117" s="28"/>
      <c r="AC117" s="28"/>
      <c r="AD117" s="28"/>
      <c r="AE117" s="28"/>
      <c r="AF117" s="28"/>
      <c r="AG117" s="28"/>
      <c r="AH117" s="28"/>
      <c r="AI117" s="28"/>
      <c r="AJ117" s="28"/>
      <c r="AK117" s="28"/>
      <c r="AL117" s="28"/>
      <c r="AM117" s="28"/>
      <c r="AN117" s="28"/>
    </row>
    <row r="118" spans="1:40" s="21" customFormat="1" ht="11.25" customHeight="1" x14ac:dyDescent="0.2">
      <c r="A118" s="7"/>
      <c r="B118" s="6"/>
      <c r="C118" s="7"/>
      <c r="D118" s="154"/>
      <c r="E118" s="154"/>
      <c r="F118" s="159"/>
      <c r="G118" s="12"/>
      <c r="H118" s="12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28"/>
      <c r="AF118" s="28"/>
      <c r="AG118" s="28"/>
      <c r="AH118" s="28"/>
      <c r="AI118" s="28"/>
      <c r="AJ118" s="28"/>
      <c r="AK118" s="28"/>
      <c r="AL118" s="28"/>
      <c r="AM118" s="28"/>
      <c r="AN118" s="28"/>
    </row>
    <row r="119" spans="1:40" s="21" customFormat="1" ht="11.25" customHeight="1" x14ac:dyDescent="0.2">
      <c r="A119" s="7"/>
      <c r="B119" s="153"/>
      <c r="C119" s="154"/>
      <c r="D119" s="154"/>
      <c r="E119" s="154"/>
      <c r="F119" s="159"/>
      <c r="G119" s="12"/>
      <c r="H119" s="12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28"/>
      <c r="AF119" s="28"/>
      <c r="AG119" s="28"/>
      <c r="AH119" s="28"/>
      <c r="AI119" s="28"/>
      <c r="AJ119" s="28"/>
      <c r="AK119" s="28"/>
      <c r="AL119" s="28"/>
      <c r="AM119" s="28"/>
      <c r="AN119" s="28"/>
    </row>
    <row r="120" spans="1:40" s="21" customFormat="1" ht="11.25" customHeight="1" x14ac:dyDescent="0.2">
      <c r="A120" s="7"/>
      <c r="B120" s="153"/>
      <c r="C120" s="154"/>
      <c r="D120" s="158"/>
      <c r="E120" s="154"/>
      <c r="F120" s="159"/>
      <c r="G120" s="12"/>
      <c r="H120" s="12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8"/>
      <c r="AG120" s="28"/>
      <c r="AH120" s="28"/>
      <c r="AI120" s="28"/>
      <c r="AJ120" s="28"/>
      <c r="AK120" s="28"/>
      <c r="AL120" s="28"/>
      <c r="AM120" s="28"/>
      <c r="AN120" s="28"/>
    </row>
    <row r="121" spans="1:40" s="21" customFormat="1" ht="11.25" customHeight="1" x14ac:dyDescent="0.2">
      <c r="A121" s="7"/>
      <c r="B121" s="153"/>
      <c r="C121" s="154"/>
      <c r="D121" s="158"/>
      <c r="E121" s="154"/>
      <c r="F121" s="159"/>
      <c r="G121" s="12"/>
      <c r="H121" s="12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28"/>
      <c r="AF121" s="28"/>
      <c r="AG121" s="28"/>
      <c r="AH121" s="28"/>
      <c r="AI121" s="28"/>
      <c r="AJ121" s="28"/>
      <c r="AK121" s="28"/>
      <c r="AL121" s="28"/>
      <c r="AM121" s="28"/>
      <c r="AN121" s="28"/>
    </row>
    <row r="122" spans="1:40" s="21" customFormat="1" ht="11.25" customHeight="1" x14ac:dyDescent="0.2">
      <c r="A122" s="7"/>
      <c r="B122" s="153"/>
      <c r="C122" s="154"/>
      <c r="D122" s="150"/>
      <c r="E122" s="39"/>
      <c r="F122" s="128"/>
      <c r="G122" s="12"/>
      <c r="H122" s="12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  <c r="AJ122" s="28"/>
      <c r="AK122" s="28"/>
      <c r="AL122" s="28"/>
      <c r="AM122" s="28"/>
      <c r="AN122" s="28"/>
    </row>
    <row r="123" spans="1:40" ht="11.25" customHeight="1" x14ac:dyDescent="0.2">
      <c r="A123" s="7"/>
      <c r="B123" s="153"/>
      <c r="C123" s="154"/>
      <c r="D123" s="39"/>
      <c r="E123" s="39"/>
      <c r="F123" s="128"/>
      <c r="G123" s="12"/>
      <c r="H123" s="12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  <c r="AJ123" s="28"/>
      <c r="AK123" s="28"/>
      <c r="AL123" s="28"/>
      <c r="AM123" s="28"/>
      <c r="AN123" s="28"/>
    </row>
    <row r="124" spans="1:40" ht="11.25" customHeight="1" x14ac:dyDescent="0.2">
      <c r="A124" s="7"/>
      <c r="B124" s="153"/>
      <c r="C124" s="154"/>
      <c r="D124" s="150"/>
      <c r="E124" s="39"/>
      <c r="F124" s="128"/>
      <c r="G124" s="12"/>
      <c r="H124" s="12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28"/>
      <c r="AF124" s="28"/>
      <c r="AG124" s="28"/>
      <c r="AH124" s="28"/>
      <c r="AI124" s="28"/>
      <c r="AJ124" s="28"/>
      <c r="AK124" s="28"/>
      <c r="AL124" s="28"/>
      <c r="AM124" s="28"/>
      <c r="AN124" s="28"/>
    </row>
    <row r="125" spans="1:40" ht="11.25" customHeight="1" x14ac:dyDescent="0.2">
      <c r="A125" s="7"/>
      <c r="B125" s="153"/>
      <c r="C125" s="154"/>
      <c r="D125" s="150"/>
      <c r="E125" s="39"/>
      <c r="F125" s="128"/>
      <c r="G125" s="12"/>
      <c r="H125" s="12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28"/>
      <c r="AF125" s="28"/>
      <c r="AG125" s="28"/>
      <c r="AH125" s="28"/>
      <c r="AI125" s="28"/>
      <c r="AJ125" s="28"/>
      <c r="AK125" s="28"/>
      <c r="AL125" s="28"/>
      <c r="AM125" s="28"/>
      <c r="AN125" s="28"/>
    </row>
    <row r="126" spans="1:40" ht="11.25" customHeight="1" x14ac:dyDescent="0.2">
      <c r="A126" s="7"/>
      <c r="B126" s="153"/>
      <c r="C126" s="154"/>
      <c r="D126" s="150"/>
      <c r="E126" s="39"/>
      <c r="F126" s="128"/>
      <c r="G126" s="12"/>
      <c r="H126" s="12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28"/>
      <c r="AF126" s="28"/>
      <c r="AG126" s="28"/>
      <c r="AH126" s="28"/>
      <c r="AI126" s="28"/>
      <c r="AJ126" s="28"/>
      <c r="AK126" s="28"/>
      <c r="AL126" s="28"/>
      <c r="AM126" s="28"/>
      <c r="AN126" s="28"/>
    </row>
    <row r="127" spans="1:40" ht="11.25" customHeight="1" x14ac:dyDescent="0.2">
      <c r="A127" s="154"/>
      <c r="B127" s="68"/>
      <c r="C127" s="68"/>
      <c r="D127" s="68"/>
      <c r="E127" s="68"/>
      <c r="F127" s="69"/>
      <c r="G127" s="12"/>
      <c r="H127" s="12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28"/>
      <c r="AF127" s="28"/>
      <c r="AG127" s="28"/>
      <c r="AH127" s="28"/>
      <c r="AI127" s="28"/>
      <c r="AJ127" s="28"/>
      <c r="AK127" s="28"/>
      <c r="AL127" s="28"/>
      <c r="AM127" s="28"/>
      <c r="AN127" s="28"/>
    </row>
    <row r="128" spans="1:40" ht="11.25" customHeight="1" x14ac:dyDescent="0.2">
      <c r="A128" s="21"/>
      <c r="B128" s="21"/>
      <c r="C128" s="21"/>
      <c r="D128" s="21"/>
      <c r="E128" s="21"/>
      <c r="F128" s="70"/>
      <c r="G128" s="12"/>
      <c r="H128" s="12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28"/>
      <c r="AF128" s="28"/>
      <c r="AG128" s="28"/>
      <c r="AH128" s="28"/>
      <c r="AI128" s="28"/>
      <c r="AJ128" s="28"/>
      <c r="AK128" s="28"/>
      <c r="AL128" s="28"/>
      <c r="AM128" s="28"/>
      <c r="AN128" s="28"/>
    </row>
    <row r="129" spans="1:40" ht="11.25" customHeight="1" x14ac:dyDescent="0.2">
      <c r="A129" s="21"/>
      <c r="B129" s="21"/>
      <c r="C129" s="21"/>
      <c r="D129" s="21"/>
      <c r="E129" s="21"/>
      <c r="F129" s="70"/>
      <c r="G129" s="12"/>
      <c r="H129" s="12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  <c r="AA129" s="71"/>
      <c r="AB129" s="71"/>
      <c r="AC129" s="71"/>
      <c r="AD129" s="71"/>
      <c r="AE129" s="71"/>
      <c r="AF129" s="71"/>
      <c r="AG129" s="71"/>
      <c r="AH129" s="71"/>
      <c r="AI129" s="71"/>
      <c r="AJ129" s="71"/>
      <c r="AK129" s="71"/>
      <c r="AL129" s="71"/>
      <c r="AM129" s="71"/>
      <c r="AN129" s="71"/>
    </row>
    <row r="130" spans="1:40" ht="11.25" customHeight="1" x14ac:dyDescent="0.2">
      <c r="A130" s="21"/>
      <c r="B130" s="21"/>
      <c r="C130" s="21"/>
      <c r="D130" s="21"/>
      <c r="E130" s="21"/>
      <c r="F130" s="70"/>
      <c r="G130" s="12"/>
      <c r="H130" s="12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  <c r="AA130" s="71"/>
      <c r="AB130" s="71"/>
      <c r="AC130" s="71"/>
      <c r="AD130" s="71"/>
      <c r="AE130" s="71"/>
      <c r="AF130" s="71"/>
      <c r="AG130" s="71"/>
      <c r="AH130" s="71"/>
      <c r="AI130" s="71"/>
      <c r="AJ130" s="71"/>
      <c r="AK130" s="71"/>
      <c r="AL130" s="71"/>
      <c r="AM130" s="71"/>
      <c r="AN130" s="71"/>
    </row>
    <row r="131" spans="1:40" ht="11.25" customHeight="1" x14ac:dyDescent="0.2">
      <c r="A131" s="21"/>
      <c r="B131" s="21"/>
      <c r="C131" s="21"/>
      <c r="D131" s="21"/>
      <c r="E131" s="21"/>
      <c r="F131" s="70"/>
      <c r="G131" s="12"/>
      <c r="H131" s="12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  <c r="AA131" s="71"/>
      <c r="AB131" s="71"/>
      <c r="AC131" s="71"/>
      <c r="AD131" s="71"/>
      <c r="AE131" s="71"/>
      <c r="AF131" s="71"/>
      <c r="AG131" s="71"/>
      <c r="AH131" s="71"/>
      <c r="AI131" s="71"/>
      <c r="AJ131" s="71"/>
      <c r="AK131" s="71"/>
      <c r="AL131" s="71"/>
      <c r="AM131" s="71"/>
      <c r="AN131" s="71"/>
    </row>
    <row r="132" spans="1:40" ht="11.25" customHeight="1" x14ac:dyDescent="0.2">
      <c r="A132" s="21"/>
      <c r="B132" s="21"/>
      <c r="C132" s="21"/>
      <c r="D132" s="21"/>
      <c r="E132" s="21"/>
      <c r="F132" s="70"/>
      <c r="G132" s="12"/>
      <c r="H132" s="12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  <c r="AA132" s="71"/>
      <c r="AB132" s="71"/>
      <c r="AC132" s="71"/>
      <c r="AD132" s="71"/>
      <c r="AE132" s="71"/>
      <c r="AF132" s="71"/>
      <c r="AG132" s="71"/>
      <c r="AH132" s="71"/>
      <c r="AI132" s="71"/>
      <c r="AJ132" s="71"/>
      <c r="AK132" s="71"/>
      <c r="AL132" s="71"/>
      <c r="AM132" s="71"/>
      <c r="AN132" s="71"/>
    </row>
    <row r="133" spans="1:40" ht="11.25" customHeight="1" x14ac:dyDescent="0.2">
      <c r="A133" s="21"/>
      <c r="B133" s="21"/>
      <c r="C133" s="21"/>
      <c r="D133" s="21"/>
      <c r="E133" s="21"/>
      <c r="F133" s="70"/>
      <c r="G133" s="12"/>
      <c r="H133" s="12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  <c r="AA133" s="71"/>
      <c r="AB133" s="71"/>
      <c r="AC133" s="71"/>
      <c r="AD133" s="71"/>
      <c r="AE133" s="71"/>
      <c r="AF133" s="71"/>
      <c r="AG133" s="71"/>
      <c r="AH133" s="71"/>
      <c r="AI133" s="71"/>
      <c r="AJ133" s="71"/>
      <c r="AK133" s="71"/>
      <c r="AL133" s="71"/>
      <c r="AM133" s="71"/>
      <c r="AN133" s="71"/>
    </row>
    <row r="134" spans="1:40" ht="11.25" customHeight="1" x14ac:dyDescent="0.2">
      <c r="A134" s="21"/>
      <c r="B134" s="21"/>
      <c r="C134" s="21"/>
      <c r="D134" s="21"/>
      <c r="E134" s="21"/>
      <c r="F134" s="70"/>
      <c r="G134" s="12"/>
      <c r="H134" s="12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  <c r="AA134" s="71"/>
      <c r="AB134" s="71"/>
      <c r="AC134" s="71"/>
      <c r="AD134" s="71"/>
      <c r="AE134" s="71"/>
      <c r="AF134" s="71"/>
      <c r="AG134" s="71"/>
      <c r="AH134" s="71"/>
      <c r="AI134" s="71"/>
      <c r="AJ134" s="71"/>
      <c r="AK134" s="71"/>
      <c r="AL134" s="71"/>
      <c r="AM134" s="71"/>
      <c r="AN134" s="71"/>
    </row>
    <row r="135" spans="1:40" ht="11.25" customHeight="1" x14ac:dyDescent="0.2">
      <c r="A135" s="21"/>
      <c r="B135" s="21"/>
      <c r="C135" s="21"/>
      <c r="D135" s="21"/>
      <c r="E135" s="21"/>
      <c r="F135" s="70"/>
      <c r="G135" s="12"/>
      <c r="H135" s="12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  <c r="AA135" s="71"/>
      <c r="AB135" s="71"/>
      <c r="AC135" s="71"/>
      <c r="AD135" s="71"/>
      <c r="AE135" s="71"/>
      <c r="AF135" s="71"/>
      <c r="AG135" s="71"/>
      <c r="AH135" s="71"/>
      <c r="AI135" s="71"/>
      <c r="AJ135" s="71"/>
      <c r="AK135" s="71"/>
      <c r="AL135" s="71"/>
      <c r="AM135" s="71"/>
      <c r="AN135" s="71"/>
    </row>
    <row r="136" spans="1:40" ht="11.25" customHeight="1" x14ac:dyDescent="0.2">
      <c r="A136" s="21"/>
      <c r="B136" s="21"/>
      <c r="C136" s="21"/>
      <c r="D136" s="21"/>
      <c r="E136" s="21"/>
      <c r="F136" s="70"/>
      <c r="G136" s="12"/>
      <c r="H136" s="12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  <c r="AA136" s="71"/>
      <c r="AB136" s="71"/>
      <c r="AC136" s="71"/>
      <c r="AD136" s="71"/>
      <c r="AE136" s="71"/>
      <c r="AF136" s="71"/>
      <c r="AG136" s="71"/>
      <c r="AH136" s="71"/>
      <c r="AI136" s="71"/>
      <c r="AJ136" s="71"/>
      <c r="AK136" s="71"/>
      <c r="AL136" s="71"/>
      <c r="AM136" s="71"/>
      <c r="AN136" s="71"/>
    </row>
    <row r="137" spans="1:40" ht="11.25" customHeight="1" x14ac:dyDescent="0.2">
      <c r="A137" s="21"/>
      <c r="B137" s="21"/>
      <c r="C137" s="21"/>
      <c r="D137" s="21"/>
      <c r="E137" s="21"/>
      <c r="F137" s="70"/>
      <c r="G137" s="12"/>
      <c r="H137" s="12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  <c r="AA137" s="71"/>
      <c r="AB137" s="71"/>
      <c r="AC137" s="71"/>
      <c r="AD137" s="71"/>
      <c r="AE137" s="71"/>
      <c r="AF137" s="71"/>
      <c r="AG137" s="71"/>
      <c r="AH137" s="71"/>
      <c r="AI137" s="71"/>
      <c r="AJ137" s="71"/>
      <c r="AK137" s="71"/>
      <c r="AL137" s="71"/>
      <c r="AM137" s="71"/>
      <c r="AN137" s="71"/>
    </row>
    <row r="138" spans="1:40" ht="11.25" customHeight="1" x14ac:dyDescent="0.2">
      <c r="A138" s="21"/>
      <c r="B138" s="21"/>
      <c r="C138" s="21"/>
      <c r="D138" s="21"/>
      <c r="E138" s="21"/>
      <c r="F138" s="70"/>
      <c r="G138" s="12"/>
      <c r="H138" s="12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  <c r="AA138" s="71"/>
      <c r="AB138" s="71"/>
      <c r="AC138" s="71"/>
      <c r="AD138" s="71"/>
      <c r="AE138" s="71"/>
      <c r="AF138" s="71"/>
      <c r="AG138" s="71"/>
      <c r="AH138" s="71"/>
      <c r="AI138" s="71"/>
      <c r="AJ138" s="71"/>
      <c r="AK138" s="71"/>
      <c r="AL138" s="71"/>
      <c r="AM138" s="71"/>
      <c r="AN138" s="71"/>
    </row>
    <row r="139" spans="1:40" ht="11.25" customHeight="1" x14ac:dyDescent="0.2">
      <c r="A139" s="21"/>
      <c r="B139" s="21"/>
      <c r="C139" s="21"/>
      <c r="D139" s="21"/>
      <c r="E139" s="21"/>
      <c r="F139" s="70"/>
      <c r="G139" s="12"/>
      <c r="H139" s="12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  <c r="AA139" s="71"/>
      <c r="AB139" s="71"/>
      <c r="AC139" s="71"/>
      <c r="AD139" s="71"/>
      <c r="AE139" s="71"/>
      <c r="AF139" s="71"/>
      <c r="AG139" s="71"/>
      <c r="AH139" s="71"/>
      <c r="AI139" s="71"/>
      <c r="AJ139" s="71"/>
      <c r="AK139" s="71"/>
      <c r="AL139" s="71"/>
      <c r="AM139" s="71"/>
      <c r="AN139" s="71"/>
    </row>
    <row r="140" spans="1:40" ht="11.25" customHeight="1" x14ac:dyDescent="0.2">
      <c r="A140" s="21"/>
      <c r="B140" s="21"/>
      <c r="C140" s="21"/>
      <c r="D140" s="21"/>
      <c r="E140" s="21"/>
      <c r="F140" s="70"/>
      <c r="G140" s="12"/>
      <c r="H140" s="12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  <c r="AA140" s="71"/>
      <c r="AB140" s="71"/>
      <c r="AC140" s="71"/>
      <c r="AD140" s="71"/>
      <c r="AE140" s="71"/>
      <c r="AF140" s="71"/>
      <c r="AG140" s="71"/>
      <c r="AH140" s="71"/>
      <c r="AI140" s="71"/>
      <c r="AJ140" s="71"/>
      <c r="AK140" s="71"/>
      <c r="AL140" s="71"/>
      <c r="AM140" s="71"/>
      <c r="AN140" s="71"/>
    </row>
    <row r="141" spans="1:40" ht="11.25" customHeight="1" x14ac:dyDescent="0.2">
      <c r="A141" s="21"/>
      <c r="B141" s="21"/>
      <c r="C141" s="21"/>
      <c r="D141" s="21"/>
      <c r="E141" s="21"/>
      <c r="F141" s="70"/>
      <c r="G141" s="12"/>
      <c r="H141" s="12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  <c r="AA141" s="71"/>
      <c r="AB141" s="71"/>
      <c r="AC141" s="71"/>
      <c r="AD141" s="71"/>
      <c r="AE141" s="71"/>
      <c r="AF141" s="71"/>
      <c r="AG141" s="71"/>
      <c r="AH141" s="71"/>
      <c r="AI141" s="71"/>
      <c r="AJ141" s="71"/>
      <c r="AK141" s="71"/>
      <c r="AL141" s="71"/>
      <c r="AM141" s="71"/>
      <c r="AN141" s="71"/>
    </row>
    <row r="142" spans="1:40" ht="11.25" customHeight="1" x14ac:dyDescent="0.2">
      <c r="A142" s="21"/>
      <c r="B142" s="21"/>
      <c r="C142" s="21"/>
      <c r="D142" s="21"/>
      <c r="E142" s="21"/>
      <c r="F142" s="70"/>
      <c r="G142" s="12"/>
      <c r="H142" s="12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  <c r="AA142" s="71"/>
      <c r="AB142" s="71"/>
      <c r="AC142" s="71"/>
      <c r="AD142" s="71"/>
      <c r="AE142" s="71"/>
      <c r="AF142" s="71"/>
      <c r="AG142" s="71"/>
      <c r="AH142" s="71"/>
      <c r="AI142" s="71"/>
      <c r="AJ142" s="71"/>
      <c r="AK142" s="71"/>
      <c r="AL142" s="71"/>
      <c r="AM142" s="71"/>
      <c r="AN142" s="71"/>
    </row>
    <row r="143" spans="1:40" ht="11.25" customHeight="1" x14ac:dyDescent="0.2">
      <c r="A143" s="21"/>
      <c r="B143" s="21"/>
      <c r="C143" s="21"/>
      <c r="D143" s="21"/>
      <c r="E143" s="21"/>
      <c r="F143" s="70"/>
      <c r="G143" s="12"/>
      <c r="H143" s="12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/>
      <c r="AL143" s="71"/>
      <c r="AM143" s="71"/>
      <c r="AN143" s="71"/>
    </row>
    <row r="144" spans="1:40" ht="11.25" customHeight="1" x14ac:dyDescent="0.2">
      <c r="A144" s="21"/>
      <c r="B144" s="21"/>
      <c r="C144" s="21"/>
      <c r="D144" s="21"/>
      <c r="E144" s="21"/>
      <c r="F144" s="70"/>
      <c r="G144" s="12"/>
      <c r="H144" s="12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  <c r="AA144" s="71"/>
      <c r="AB144" s="71"/>
      <c r="AC144" s="71"/>
      <c r="AD144" s="71"/>
      <c r="AE144" s="71"/>
      <c r="AF144" s="71"/>
      <c r="AG144" s="71"/>
      <c r="AH144" s="71"/>
      <c r="AI144" s="71"/>
      <c r="AJ144" s="71"/>
      <c r="AK144" s="71"/>
      <c r="AL144" s="71"/>
      <c r="AM144" s="71"/>
      <c r="AN144" s="71"/>
    </row>
    <row r="145" spans="1:40" ht="11.25" customHeight="1" x14ac:dyDescent="0.2">
      <c r="A145" s="21"/>
      <c r="B145" s="21"/>
      <c r="C145" s="21"/>
      <c r="D145" s="21"/>
      <c r="E145" s="21"/>
      <c r="F145" s="70"/>
      <c r="G145" s="12"/>
      <c r="H145" s="12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  <c r="AA145" s="71"/>
      <c r="AB145" s="71"/>
      <c r="AC145" s="71"/>
      <c r="AD145" s="71"/>
      <c r="AE145" s="71"/>
      <c r="AF145" s="71"/>
      <c r="AG145" s="71"/>
      <c r="AH145" s="71"/>
      <c r="AI145" s="71"/>
      <c r="AJ145" s="71"/>
      <c r="AK145" s="71"/>
      <c r="AL145" s="71"/>
      <c r="AM145" s="71"/>
      <c r="AN145" s="71"/>
    </row>
    <row r="146" spans="1:40" ht="11.25" customHeight="1" x14ac:dyDescent="0.2">
      <c r="A146" s="21"/>
      <c r="B146" s="21"/>
      <c r="C146" s="21"/>
      <c r="D146" s="21"/>
      <c r="E146" s="21"/>
      <c r="F146" s="70"/>
      <c r="G146" s="12"/>
      <c r="H146" s="12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  <c r="AA146" s="71"/>
      <c r="AB146" s="71"/>
      <c r="AC146" s="71"/>
      <c r="AD146" s="71"/>
      <c r="AE146" s="71"/>
      <c r="AF146" s="71"/>
      <c r="AG146" s="71"/>
      <c r="AH146" s="71"/>
      <c r="AI146" s="71"/>
      <c r="AJ146" s="71"/>
      <c r="AK146" s="71"/>
      <c r="AL146" s="71"/>
      <c r="AM146" s="71"/>
      <c r="AN146" s="71"/>
    </row>
    <row r="147" spans="1:40" ht="11.25" customHeight="1" x14ac:dyDescent="0.2">
      <c r="A147" s="21"/>
      <c r="B147" s="21"/>
      <c r="C147" s="21"/>
      <c r="D147" s="21"/>
      <c r="E147" s="21"/>
      <c r="F147" s="70"/>
      <c r="G147" s="12"/>
      <c r="H147" s="12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  <c r="AA147" s="71"/>
      <c r="AB147" s="71"/>
      <c r="AC147" s="71"/>
      <c r="AD147" s="71"/>
      <c r="AE147" s="71"/>
      <c r="AF147" s="71"/>
      <c r="AG147" s="71"/>
      <c r="AH147" s="71"/>
      <c r="AI147" s="71"/>
      <c r="AJ147" s="71"/>
      <c r="AK147" s="71"/>
      <c r="AL147" s="71"/>
      <c r="AM147" s="71"/>
      <c r="AN147" s="71"/>
    </row>
    <row r="148" spans="1:40" ht="11.25" customHeight="1" x14ac:dyDescent="0.2">
      <c r="A148" s="21"/>
      <c r="B148" s="21"/>
      <c r="C148" s="21"/>
      <c r="D148" s="21"/>
      <c r="E148" s="21"/>
      <c r="F148" s="70"/>
      <c r="G148" s="12"/>
      <c r="H148" s="12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  <c r="AA148" s="71"/>
      <c r="AB148" s="71"/>
      <c r="AC148" s="71"/>
      <c r="AD148" s="71"/>
      <c r="AE148" s="71"/>
      <c r="AF148" s="71"/>
      <c r="AG148" s="71"/>
      <c r="AH148" s="71"/>
      <c r="AI148" s="71"/>
      <c r="AJ148" s="71"/>
      <c r="AK148" s="71"/>
      <c r="AL148" s="71"/>
      <c r="AM148" s="71"/>
      <c r="AN148" s="71"/>
    </row>
    <row r="149" spans="1:40" ht="11.25" customHeight="1" x14ac:dyDescent="0.2">
      <c r="A149" s="21"/>
      <c r="B149" s="21"/>
      <c r="C149" s="21"/>
      <c r="D149" s="21"/>
      <c r="E149" s="21"/>
      <c r="F149" s="70"/>
      <c r="G149" s="12"/>
      <c r="H149" s="12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  <c r="AA149" s="71"/>
      <c r="AB149" s="71"/>
      <c r="AC149" s="71"/>
      <c r="AD149" s="71"/>
      <c r="AE149" s="71"/>
      <c r="AF149" s="71"/>
      <c r="AG149" s="71"/>
      <c r="AH149" s="71"/>
      <c r="AI149" s="71"/>
      <c r="AJ149" s="71"/>
      <c r="AK149" s="71"/>
      <c r="AL149" s="71"/>
      <c r="AM149" s="71"/>
      <c r="AN149" s="71"/>
    </row>
    <row r="150" spans="1:40" ht="11.25" customHeight="1" x14ac:dyDescent="0.2">
      <c r="A150" s="21"/>
      <c r="B150" s="21"/>
      <c r="C150" s="21"/>
      <c r="D150" s="21"/>
      <c r="E150" s="21"/>
      <c r="F150" s="70"/>
      <c r="G150" s="12"/>
      <c r="H150" s="12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  <c r="AA150" s="71"/>
      <c r="AB150" s="71"/>
      <c r="AC150" s="71"/>
      <c r="AD150" s="71"/>
      <c r="AE150" s="71"/>
      <c r="AF150" s="71"/>
      <c r="AG150" s="71"/>
      <c r="AH150" s="71"/>
      <c r="AI150" s="71"/>
      <c r="AJ150" s="71"/>
      <c r="AK150" s="71"/>
      <c r="AL150" s="71"/>
      <c r="AM150" s="71"/>
      <c r="AN150" s="71"/>
    </row>
    <row r="151" spans="1:40" ht="11.25" customHeight="1" x14ac:dyDescent="0.2">
      <c r="A151" s="21"/>
      <c r="B151" s="21"/>
      <c r="C151" s="21"/>
      <c r="D151" s="21"/>
      <c r="E151" s="21"/>
      <c r="F151" s="70"/>
      <c r="G151" s="12"/>
      <c r="H151" s="12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  <c r="AA151" s="71"/>
      <c r="AB151" s="71"/>
      <c r="AC151" s="71"/>
      <c r="AD151" s="71"/>
      <c r="AE151" s="71"/>
      <c r="AF151" s="71"/>
      <c r="AG151" s="71"/>
      <c r="AH151" s="71"/>
      <c r="AI151" s="71"/>
      <c r="AJ151" s="71"/>
      <c r="AK151" s="71"/>
      <c r="AL151" s="71"/>
      <c r="AM151" s="71"/>
      <c r="AN151" s="71"/>
    </row>
    <row r="152" spans="1:40" ht="11.25" customHeight="1" x14ac:dyDescent="0.2">
      <c r="A152" s="21"/>
      <c r="B152" s="21"/>
      <c r="C152" s="21"/>
      <c r="D152" s="21"/>
      <c r="E152" s="21"/>
      <c r="F152" s="70"/>
      <c r="G152" s="12"/>
      <c r="H152" s="12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  <c r="AA152" s="71"/>
      <c r="AB152" s="71"/>
      <c r="AC152" s="71"/>
      <c r="AD152" s="71"/>
      <c r="AE152" s="71"/>
      <c r="AF152" s="71"/>
      <c r="AG152" s="71"/>
      <c r="AH152" s="71"/>
      <c r="AI152" s="71"/>
      <c r="AJ152" s="71"/>
      <c r="AK152" s="71"/>
      <c r="AL152" s="71"/>
      <c r="AM152" s="71"/>
      <c r="AN152" s="71"/>
    </row>
    <row r="153" spans="1:40" ht="11.25" customHeight="1" x14ac:dyDescent="0.2">
      <c r="A153" s="21"/>
      <c r="B153" s="21"/>
      <c r="C153" s="21"/>
      <c r="D153" s="21"/>
      <c r="E153" s="21"/>
      <c r="F153" s="70"/>
      <c r="G153" s="12"/>
      <c r="H153" s="12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  <c r="AA153" s="71"/>
      <c r="AB153" s="71"/>
      <c r="AC153" s="71"/>
      <c r="AD153" s="71"/>
      <c r="AE153" s="71"/>
      <c r="AF153" s="71"/>
      <c r="AG153" s="71"/>
      <c r="AH153" s="71"/>
      <c r="AI153" s="71"/>
      <c r="AJ153" s="71"/>
      <c r="AK153" s="71"/>
      <c r="AL153" s="71"/>
      <c r="AM153" s="71"/>
      <c r="AN153" s="71"/>
    </row>
    <row r="154" spans="1:40" ht="11.25" customHeight="1" x14ac:dyDescent="0.2">
      <c r="A154" s="21"/>
      <c r="B154" s="21"/>
      <c r="C154" s="21"/>
      <c r="D154" s="21"/>
      <c r="E154" s="21"/>
      <c r="F154" s="70"/>
      <c r="G154" s="12"/>
      <c r="H154" s="12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  <c r="AA154" s="71"/>
      <c r="AB154" s="71"/>
      <c r="AC154" s="71"/>
      <c r="AD154" s="71"/>
      <c r="AE154" s="71"/>
      <c r="AF154" s="71"/>
      <c r="AG154" s="71"/>
      <c r="AH154" s="71"/>
      <c r="AI154" s="71"/>
      <c r="AJ154" s="71"/>
      <c r="AK154" s="71"/>
      <c r="AL154" s="71"/>
      <c r="AM154" s="71"/>
      <c r="AN154" s="71"/>
    </row>
    <row r="155" spans="1:40" ht="11.25" customHeight="1" x14ac:dyDescent="0.2">
      <c r="A155" s="21"/>
      <c r="B155" s="21"/>
      <c r="C155" s="21"/>
      <c r="D155" s="21"/>
      <c r="E155" s="21"/>
      <c r="F155" s="70"/>
      <c r="G155" s="12"/>
      <c r="H155" s="12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  <c r="AA155" s="71"/>
      <c r="AB155" s="71"/>
      <c r="AC155" s="71"/>
      <c r="AD155" s="71"/>
      <c r="AE155" s="71"/>
      <c r="AF155" s="71"/>
      <c r="AG155" s="71"/>
      <c r="AH155" s="71"/>
      <c r="AI155" s="71"/>
      <c r="AJ155" s="71"/>
      <c r="AK155" s="71"/>
      <c r="AL155" s="71"/>
      <c r="AM155" s="71"/>
      <c r="AN155" s="71"/>
    </row>
    <row r="156" spans="1:40" ht="11.25" customHeight="1" x14ac:dyDescent="0.2">
      <c r="A156" s="21"/>
      <c r="B156" s="21"/>
      <c r="C156" s="21"/>
      <c r="D156" s="21"/>
      <c r="E156" s="21"/>
      <c r="F156" s="70"/>
      <c r="G156" s="12"/>
      <c r="H156" s="12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  <c r="AA156" s="71"/>
      <c r="AB156" s="71"/>
      <c r="AC156" s="71"/>
      <c r="AD156" s="71"/>
      <c r="AE156" s="71"/>
      <c r="AF156" s="71"/>
      <c r="AG156" s="71"/>
      <c r="AH156" s="71"/>
      <c r="AI156" s="71"/>
      <c r="AJ156" s="71"/>
      <c r="AK156" s="71"/>
      <c r="AL156" s="71"/>
      <c r="AM156" s="71"/>
      <c r="AN156" s="71"/>
    </row>
    <row r="157" spans="1:40" ht="11.25" customHeight="1" x14ac:dyDescent="0.2">
      <c r="A157" s="21"/>
      <c r="B157" s="21"/>
      <c r="C157" s="21"/>
      <c r="D157" s="21"/>
      <c r="E157" s="21"/>
      <c r="F157" s="70"/>
      <c r="G157" s="12"/>
      <c r="H157" s="12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  <c r="AA157" s="71"/>
      <c r="AB157" s="71"/>
      <c r="AC157" s="71"/>
      <c r="AD157" s="71"/>
      <c r="AE157" s="71"/>
      <c r="AF157" s="71"/>
      <c r="AG157" s="71"/>
      <c r="AH157" s="71"/>
      <c r="AI157" s="71"/>
      <c r="AJ157" s="71"/>
      <c r="AK157" s="71"/>
      <c r="AL157" s="71"/>
      <c r="AM157" s="71"/>
      <c r="AN157" s="71"/>
    </row>
    <row r="158" spans="1:40" ht="11.25" customHeight="1" x14ac:dyDescent="0.2">
      <c r="A158" s="21"/>
      <c r="B158" s="21"/>
      <c r="C158" s="21"/>
      <c r="D158" s="21"/>
      <c r="E158" s="21"/>
      <c r="F158" s="70"/>
      <c r="G158" s="12"/>
      <c r="H158" s="12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  <c r="AA158" s="71"/>
      <c r="AB158" s="71"/>
      <c r="AC158" s="71"/>
      <c r="AD158" s="71"/>
      <c r="AE158" s="71"/>
      <c r="AF158" s="71"/>
      <c r="AG158" s="71"/>
      <c r="AH158" s="71"/>
      <c r="AI158" s="71"/>
      <c r="AJ158" s="71"/>
      <c r="AK158" s="71"/>
      <c r="AL158" s="71"/>
      <c r="AM158" s="71"/>
      <c r="AN158" s="71"/>
    </row>
    <row r="159" spans="1:40" ht="11.25" customHeight="1" x14ac:dyDescent="0.2">
      <c r="A159" s="21"/>
      <c r="B159" s="21"/>
      <c r="C159" s="21"/>
      <c r="D159" s="21"/>
      <c r="E159" s="21"/>
      <c r="F159" s="70"/>
      <c r="G159" s="12"/>
      <c r="H159" s="12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  <c r="AA159" s="71"/>
      <c r="AB159" s="71"/>
      <c r="AC159" s="71"/>
      <c r="AD159" s="71"/>
      <c r="AE159" s="71"/>
      <c r="AF159" s="71"/>
      <c r="AG159" s="71"/>
      <c r="AH159" s="71"/>
      <c r="AI159" s="71"/>
      <c r="AJ159" s="71"/>
      <c r="AK159" s="71"/>
      <c r="AL159" s="71"/>
      <c r="AM159" s="71"/>
      <c r="AN159" s="71"/>
    </row>
    <row r="160" spans="1:40" ht="11.25" customHeight="1" x14ac:dyDescent="0.2">
      <c r="A160" s="21"/>
      <c r="B160" s="21"/>
      <c r="C160" s="21"/>
      <c r="D160" s="21"/>
      <c r="E160" s="21"/>
      <c r="F160" s="70"/>
      <c r="G160" s="12"/>
      <c r="H160" s="12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  <c r="AA160" s="71"/>
      <c r="AB160" s="71"/>
      <c r="AC160" s="71"/>
      <c r="AD160" s="71"/>
      <c r="AE160" s="71"/>
      <c r="AF160" s="71"/>
      <c r="AG160" s="71"/>
      <c r="AH160" s="71"/>
      <c r="AI160" s="71"/>
      <c r="AJ160" s="71"/>
      <c r="AK160" s="71"/>
      <c r="AL160" s="71"/>
      <c r="AM160" s="71"/>
      <c r="AN160" s="71"/>
    </row>
    <row r="161" spans="1:40" ht="11.25" customHeight="1" x14ac:dyDescent="0.2">
      <c r="A161" s="21"/>
      <c r="B161" s="21"/>
      <c r="C161" s="21"/>
      <c r="D161" s="21"/>
      <c r="E161" s="21"/>
      <c r="F161" s="70"/>
      <c r="G161" s="12"/>
      <c r="H161" s="12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  <c r="AA161" s="71"/>
      <c r="AB161" s="71"/>
      <c r="AC161" s="71"/>
      <c r="AD161" s="71"/>
      <c r="AE161" s="71"/>
      <c r="AF161" s="71"/>
      <c r="AG161" s="71"/>
      <c r="AH161" s="71"/>
      <c r="AI161" s="71"/>
      <c r="AJ161" s="71"/>
      <c r="AK161" s="71"/>
      <c r="AL161" s="71"/>
      <c r="AM161" s="71"/>
      <c r="AN161" s="71"/>
    </row>
    <row r="162" spans="1:40" ht="11.25" customHeight="1" x14ac:dyDescent="0.2">
      <c r="A162" s="21"/>
      <c r="B162" s="21"/>
      <c r="C162" s="21"/>
      <c r="D162" s="21"/>
      <c r="E162" s="21"/>
      <c r="F162" s="70"/>
      <c r="G162" s="12"/>
      <c r="H162" s="12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  <c r="AA162" s="71"/>
      <c r="AB162" s="71"/>
      <c r="AC162" s="71"/>
      <c r="AD162" s="71"/>
      <c r="AE162" s="71"/>
      <c r="AF162" s="71"/>
      <c r="AG162" s="71"/>
      <c r="AH162" s="71"/>
      <c r="AI162" s="71"/>
      <c r="AJ162" s="71"/>
      <c r="AK162" s="71"/>
      <c r="AL162" s="71"/>
      <c r="AM162" s="71"/>
      <c r="AN162" s="71"/>
    </row>
    <row r="163" spans="1:40" ht="11.25" customHeight="1" x14ac:dyDescent="0.2">
      <c r="A163" s="21"/>
      <c r="B163" s="21"/>
      <c r="C163" s="21"/>
      <c r="D163" s="21"/>
      <c r="E163" s="21"/>
      <c r="F163" s="70"/>
      <c r="G163" s="12"/>
      <c r="H163" s="12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  <c r="AA163" s="71"/>
      <c r="AB163" s="71"/>
      <c r="AC163" s="71"/>
      <c r="AD163" s="71"/>
      <c r="AE163" s="71"/>
      <c r="AF163" s="71"/>
      <c r="AG163" s="71"/>
      <c r="AH163" s="71"/>
      <c r="AI163" s="71"/>
      <c r="AJ163" s="71"/>
      <c r="AK163" s="71"/>
      <c r="AL163" s="71"/>
      <c r="AM163" s="71"/>
      <c r="AN163" s="71"/>
    </row>
    <row r="164" spans="1:40" ht="11.25" customHeight="1" x14ac:dyDescent="0.2">
      <c r="A164" s="21"/>
      <c r="B164" s="21"/>
      <c r="C164" s="21"/>
      <c r="D164" s="21"/>
      <c r="E164" s="21"/>
      <c r="F164" s="70"/>
      <c r="G164" s="12"/>
      <c r="H164" s="12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  <c r="AA164" s="71"/>
      <c r="AB164" s="71"/>
      <c r="AC164" s="71"/>
      <c r="AD164" s="71"/>
      <c r="AE164" s="71"/>
      <c r="AF164" s="71"/>
      <c r="AG164" s="71"/>
      <c r="AH164" s="71"/>
      <c r="AI164" s="71"/>
      <c r="AJ164" s="71"/>
      <c r="AK164" s="71"/>
      <c r="AL164" s="71"/>
      <c r="AM164" s="71"/>
      <c r="AN164" s="71"/>
    </row>
    <row r="165" spans="1:40" ht="11.25" customHeight="1" x14ac:dyDescent="0.2">
      <c r="A165" s="21"/>
      <c r="B165" s="21"/>
      <c r="C165" s="21"/>
      <c r="D165" s="21"/>
      <c r="E165" s="21"/>
      <c r="F165" s="70"/>
      <c r="G165" s="12"/>
      <c r="H165" s="12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  <c r="AA165" s="71"/>
      <c r="AB165" s="71"/>
      <c r="AC165" s="71"/>
      <c r="AD165" s="71"/>
      <c r="AE165" s="71"/>
      <c r="AF165" s="71"/>
      <c r="AG165" s="71"/>
      <c r="AH165" s="71"/>
      <c r="AI165" s="71"/>
      <c r="AJ165" s="71"/>
      <c r="AK165" s="71"/>
      <c r="AL165" s="71"/>
      <c r="AM165" s="71"/>
      <c r="AN165" s="71"/>
    </row>
    <row r="166" spans="1:40" ht="11.25" customHeight="1" x14ac:dyDescent="0.2">
      <c r="A166" s="21"/>
      <c r="B166" s="21"/>
      <c r="C166" s="21"/>
      <c r="D166" s="21"/>
      <c r="E166" s="21"/>
      <c r="F166" s="70"/>
      <c r="G166" s="12"/>
      <c r="H166" s="12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  <c r="AA166" s="71"/>
      <c r="AB166" s="71"/>
      <c r="AC166" s="71"/>
      <c r="AD166" s="71"/>
      <c r="AE166" s="71"/>
      <c r="AF166" s="71"/>
      <c r="AG166" s="71"/>
      <c r="AH166" s="71"/>
      <c r="AI166" s="71"/>
      <c r="AJ166" s="71"/>
      <c r="AK166" s="71"/>
      <c r="AL166" s="71"/>
      <c r="AM166" s="71"/>
      <c r="AN166" s="71"/>
    </row>
    <row r="167" spans="1:40" ht="11.25" customHeight="1" x14ac:dyDescent="0.2">
      <c r="A167" s="21"/>
      <c r="B167" s="21"/>
      <c r="C167" s="21"/>
      <c r="D167" s="21"/>
      <c r="E167" s="21"/>
      <c r="F167" s="70"/>
      <c r="G167" s="12"/>
      <c r="H167" s="12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  <c r="AA167" s="71"/>
      <c r="AB167" s="71"/>
      <c r="AC167" s="71"/>
      <c r="AD167" s="71"/>
      <c r="AE167" s="71"/>
      <c r="AF167" s="71"/>
      <c r="AG167" s="71"/>
      <c r="AH167" s="71"/>
      <c r="AI167" s="71"/>
      <c r="AJ167" s="71"/>
      <c r="AK167" s="71"/>
      <c r="AL167" s="71"/>
      <c r="AM167" s="71"/>
      <c r="AN167" s="71"/>
    </row>
    <row r="168" spans="1:40" ht="11.25" customHeight="1" x14ac:dyDescent="0.2">
      <c r="A168" s="21"/>
      <c r="B168" s="21"/>
      <c r="C168" s="21"/>
      <c r="D168" s="21"/>
      <c r="E168" s="21"/>
      <c r="F168" s="70"/>
      <c r="G168" s="12"/>
      <c r="H168" s="12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  <c r="AA168" s="71"/>
      <c r="AB168" s="71"/>
      <c r="AC168" s="71"/>
      <c r="AD168" s="71"/>
      <c r="AE168" s="71"/>
      <c r="AF168" s="71"/>
      <c r="AG168" s="71"/>
      <c r="AH168" s="71"/>
      <c r="AI168" s="71"/>
      <c r="AJ168" s="71"/>
      <c r="AK168" s="71"/>
      <c r="AL168" s="71"/>
      <c r="AM168" s="71"/>
      <c r="AN168" s="71"/>
    </row>
    <row r="169" spans="1:40" ht="11.25" customHeight="1" x14ac:dyDescent="0.2">
      <c r="A169" s="21"/>
      <c r="B169" s="21"/>
      <c r="C169" s="21"/>
      <c r="D169" s="21"/>
      <c r="E169" s="21"/>
      <c r="F169" s="70"/>
      <c r="G169" s="12"/>
      <c r="H169" s="12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  <c r="AA169" s="71"/>
      <c r="AB169" s="71"/>
      <c r="AC169" s="71"/>
      <c r="AD169" s="71"/>
      <c r="AE169" s="71"/>
      <c r="AF169" s="71"/>
      <c r="AG169" s="71"/>
      <c r="AH169" s="71"/>
      <c r="AI169" s="71"/>
      <c r="AJ169" s="71"/>
      <c r="AK169" s="71"/>
      <c r="AL169" s="71"/>
      <c r="AM169" s="71"/>
      <c r="AN169" s="71"/>
    </row>
    <row r="170" spans="1:40" ht="11.25" customHeight="1" x14ac:dyDescent="0.2">
      <c r="A170" s="21"/>
      <c r="B170" s="21"/>
      <c r="C170" s="21"/>
      <c r="D170" s="21"/>
      <c r="E170" s="21"/>
      <c r="F170" s="70"/>
      <c r="G170" s="12"/>
      <c r="H170" s="12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  <c r="AA170" s="71"/>
      <c r="AB170" s="71"/>
      <c r="AC170" s="71"/>
      <c r="AD170" s="71"/>
      <c r="AE170" s="71"/>
      <c r="AF170" s="71"/>
      <c r="AG170" s="71"/>
      <c r="AH170" s="71"/>
      <c r="AI170" s="71"/>
      <c r="AJ170" s="71"/>
      <c r="AK170" s="71"/>
      <c r="AL170" s="71"/>
      <c r="AM170" s="71"/>
      <c r="AN170" s="71"/>
    </row>
    <row r="171" spans="1:40" ht="11.25" customHeight="1" x14ac:dyDescent="0.2">
      <c r="A171" s="21"/>
      <c r="B171" s="21"/>
      <c r="C171" s="21"/>
      <c r="D171" s="21"/>
      <c r="E171" s="21"/>
      <c r="F171" s="70"/>
      <c r="G171" s="12"/>
      <c r="H171" s="12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  <c r="AA171" s="71"/>
      <c r="AB171" s="71"/>
      <c r="AC171" s="71"/>
      <c r="AD171" s="71"/>
      <c r="AE171" s="71"/>
      <c r="AF171" s="71"/>
      <c r="AG171" s="71"/>
      <c r="AH171" s="71"/>
      <c r="AI171" s="71"/>
      <c r="AJ171" s="71"/>
      <c r="AK171" s="71"/>
      <c r="AL171" s="71"/>
      <c r="AM171" s="71"/>
      <c r="AN171" s="71"/>
    </row>
    <row r="172" spans="1:40" ht="11.25" customHeight="1" x14ac:dyDescent="0.2">
      <c r="A172" s="21"/>
      <c r="B172" s="21"/>
      <c r="C172" s="21"/>
      <c r="D172" s="21"/>
      <c r="E172" s="21"/>
      <c r="F172" s="70"/>
      <c r="G172" s="12"/>
      <c r="H172" s="12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  <c r="AA172" s="71"/>
      <c r="AB172" s="71"/>
      <c r="AC172" s="71"/>
      <c r="AD172" s="71"/>
      <c r="AE172" s="71"/>
      <c r="AF172" s="71"/>
      <c r="AG172" s="71"/>
      <c r="AH172" s="71"/>
      <c r="AI172" s="71"/>
      <c r="AJ172" s="71"/>
      <c r="AK172" s="71"/>
      <c r="AL172" s="71"/>
      <c r="AM172" s="71"/>
      <c r="AN172" s="71"/>
    </row>
    <row r="173" spans="1:40" ht="11.25" customHeight="1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  <c r="AG173" s="21"/>
      <c r="AH173" s="21"/>
      <c r="AI173" s="21"/>
      <c r="AJ173" s="21"/>
      <c r="AK173" s="21"/>
      <c r="AL173" s="21"/>
      <c r="AM173" s="21"/>
      <c r="AN173" s="21"/>
    </row>
    <row r="174" spans="1:40" ht="11.25" customHeight="1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  <c r="AE174" s="21"/>
      <c r="AF174" s="21"/>
      <c r="AG174" s="21"/>
      <c r="AH174" s="21"/>
      <c r="AI174" s="21"/>
      <c r="AJ174" s="21"/>
      <c r="AK174" s="21"/>
      <c r="AL174" s="21"/>
      <c r="AM174" s="21"/>
      <c r="AN174" s="21"/>
    </row>
    <row r="175" spans="1:40" ht="11.25" customHeight="1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  <c r="AE175" s="21"/>
      <c r="AF175" s="21"/>
      <c r="AG175" s="21"/>
      <c r="AH175" s="21"/>
      <c r="AI175" s="21"/>
      <c r="AJ175" s="21"/>
      <c r="AK175" s="21"/>
      <c r="AL175" s="21"/>
      <c r="AM175" s="21"/>
      <c r="AN175" s="21"/>
    </row>
    <row r="176" spans="1:40" ht="11.25" customHeight="1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  <c r="AE176" s="21"/>
      <c r="AF176" s="21"/>
      <c r="AG176" s="21"/>
      <c r="AH176" s="21"/>
      <c r="AI176" s="21"/>
      <c r="AJ176" s="21"/>
      <c r="AK176" s="21"/>
      <c r="AL176" s="21"/>
      <c r="AM176" s="21"/>
      <c r="AN176" s="21"/>
    </row>
    <row r="177" spans="1:40" ht="11.25" customHeight="1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  <c r="AE177" s="21"/>
      <c r="AF177" s="21"/>
      <c r="AG177" s="21"/>
      <c r="AH177" s="21"/>
      <c r="AI177" s="21"/>
      <c r="AJ177" s="21"/>
      <c r="AK177" s="21"/>
      <c r="AL177" s="21"/>
      <c r="AM177" s="21"/>
      <c r="AN177" s="21"/>
    </row>
    <row r="178" spans="1:40" ht="11.25" customHeight="1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  <c r="AG178" s="21"/>
      <c r="AH178" s="21"/>
      <c r="AI178" s="21"/>
      <c r="AJ178" s="21"/>
      <c r="AK178" s="21"/>
      <c r="AL178" s="21"/>
      <c r="AM178" s="21"/>
      <c r="AN178" s="21"/>
    </row>
    <row r="179" spans="1:40" ht="11.25" customHeight="1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  <c r="AE179" s="21"/>
      <c r="AF179" s="21"/>
      <c r="AG179" s="21"/>
      <c r="AH179" s="21"/>
      <c r="AI179" s="21"/>
      <c r="AJ179" s="21"/>
      <c r="AK179" s="21"/>
      <c r="AL179" s="21"/>
      <c r="AM179" s="21"/>
      <c r="AN179" s="21"/>
    </row>
    <row r="180" spans="1:40" ht="11.25" customHeight="1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  <c r="AG180" s="21"/>
      <c r="AH180" s="21"/>
      <c r="AI180" s="21"/>
      <c r="AJ180" s="21"/>
      <c r="AK180" s="21"/>
      <c r="AL180" s="21"/>
      <c r="AM180" s="21"/>
      <c r="AN180" s="21"/>
    </row>
    <row r="181" spans="1:40" ht="11.25" customHeight="1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  <c r="AE181" s="21"/>
      <c r="AF181" s="21"/>
      <c r="AG181" s="21"/>
      <c r="AH181" s="21"/>
      <c r="AI181" s="21"/>
      <c r="AJ181" s="21"/>
      <c r="AK181" s="21"/>
      <c r="AL181" s="21"/>
      <c r="AM181" s="21"/>
      <c r="AN181" s="21"/>
    </row>
    <row r="182" spans="1:40" ht="11.25" customHeight="1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  <c r="AE182" s="21"/>
      <c r="AF182" s="21"/>
      <c r="AG182" s="21"/>
      <c r="AH182" s="21"/>
      <c r="AI182" s="21"/>
      <c r="AJ182" s="21"/>
      <c r="AK182" s="21"/>
      <c r="AL182" s="21"/>
      <c r="AM182" s="21"/>
      <c r="AN182" s="21"/>
    </row>
    <row r="183" spans="1:40" ht="11.25" customHeight="1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  <c r="AE183" s="21"/>
      <c r="AF183" s="21"/>
      <c r="AG183" s="21"/>
      <c r="AH183" s="21"/>
      <c r="AI183" s="21"/>
      <c r="AJ183" s="21"/>
      <c r="AK183" s="21"/>
      <c r="AL183" s="21"/>
      <c r="AM183" s="21"/>
      <c r="AN183" s="21"/>
    </row>
    <row r="184" spans="1:40" ht="11.25" customHeight="1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  <c r="AE184" s="21"/>
      <c r="AF184" s="21"/>
      <c r="AG184" s="21"/>
      <c r="AH184" s="21"/>
      <c r="AI184" s="21"/>
      <c r="AJ184" s="21"/>
      <c r="AK184" s="21"/>
      <c r="AL184" s="21"/>
      <c r="AM184" s="21"/>
      <c r="AN184" s="21"/>
    </row>
    <row r="185" spans="1:40" ht="11.25" customHeight="1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  <c r="AE185" s="21"/>
      <c r="AF185" s="21"/>
      <c r="AG185" s="21"/>
      <c r="AH185" s="21"/>
      <c r="AI185" s="21"/>
      <c r="AJ185" s="21"/>
      <c r="AK185" s="21"/>
      <c r="AL185" s="21"/>
      <c r="AM185" s="21"/>
      <c r="AN185" s="21"/>
    </row>
    <row r="186" spans="1:40" ht="11.25" customHeight="1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  <c r="AE186" s="21"/>
      <c r="AF186" s="21"/>
      <c r="AG186" s="21"/>
      <c r="AH186" s="21"/>
      <c r="AI186" s="21"/>
      <c r="AJ186" s="21"/>
      <c r="AK186" s="21"/>
      <c r="AL186" s="21"/>
      <c r="AM186" s="21"/>
      <c r="AN186" s="21"/>
    </row>
    <row r="187" spans="1:40" ht="11.25" customHeight="1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  <c r="AE187" s="21"/>
      <c r="AF187" s="21"/>
      <c r="AG187" s="21"/>
      <c r="AH187" s="21"/>
      <c r="AI187" s="21"/>
      <c r="AJ187" s="21"/>
      <c r="AK187" s="21"/>
      <c r="AL187" s="21"/>
      <c r="AM187" s="21"/>
      <c r="AN187" s="21"/>
    </row>
    <row r="188" spans="1:40" ht="11.25" customHeight="1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  <c r="AE188" s="21"/>
      <c r="AF188" s="21"/>
      <c r="AG188" s="21"/>
      <c r="AH188" s="21"/>
      <c r="AI188" s="21"/>
      <c r="AJ188" s="21"/>
      <c r="AK188" s="21"/>
      <c r="AL188" s="21"/>
      <c r="AM188" s="21"/>
      <c r="AN188" s="21"/>
    </row>
    <row r="189" spans="1:40" ht="11.25" customHeight="1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  <c r="AE189" s="21"/>
      <c r="AF189" s="21"/>
      <c r="AG189" s="21"/>
      <c r="AH189" s="21"/>
      <c r="AI189" s="21"/>
      <c r="AJ189" s="21"/>
      <c r="AK189" s="21"/>
      <c r="AL189" s="21"/>
      <c r="AM189" s="21"/>
      <c r="AN189" s="21"/>
    </row>
    <row r="190" spans="1:40" ht="11.25" customHeight="1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  <c r="AE190" s="21"/>
      <c r="AF190" s="21"/>
      <c r="AG190" s="21"/>
      <c r="AH190" s="21"/>
      <c r="AI190" s="21"/>
      <c r="AJ190" s="21"/>
      <c r="AK190" s="21"/>
      <c r="AL190" s="21"/>
      <c r="AM190" s="21"/>
      <c r="AN190" s="21"/>
    </row>
    <row r="191" spans="1:40" ht="11.25" customHeight="1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  <c r="AE191" s="21"/>
      <c r="AF191" s="21"/>
      <c r="AG191" s="21"/>
      <c r="AH191" s="21"/>
      <c r="AI191" s="21"/>
      <c r="AJ191" s="21"/>
      <c r="AK191" s="21"/>
      <c r="AL191" s="21"/>
      <c r="AM191" s="21"/>
      <c r="AN191" s="21"/>
    </row>
    <row r="192" spans="1:40" ht="11.25" customHeight="1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  <c r="AE192" s="21"/>
      <c r="AF192" s="21"/>
      <c r="AG192" s="21"/>
      <c r="AH192" s="21"/>
      <c r="AI192" s="21"/>
      <c r="AJ192" s="21"/>
      <c r="AK192" s="21"/>
      <c r="AL192" s="21"/>
      <c r="AM192" s="21"/>
      <c r="AN192" s="21"/>
    </row>
    <row r="193" spans="1:40" ht="11.25" customHeight="1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  <c r="AE193" s="21"/>
      <c r="AF193" s="21"/>
      <c r="AG193" s="21"/>
      <c r="AH193" s="21"/>
      <c r="AI193" s="21"/>
      <c r="AJ193" s="21"/>
      <c r="AK193" s="21"/>
      <c r="AL193" s="21"/>
      <c r="AM193" s="21"/>
      <c r="AN193" s="21"/>
    </row>
    <row r="194" spans="1:40" ht="11.25" customHeight="1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  <c r="AE194" s="21"/>
      <c r="AF194" s="21"/>
      <c r="AG194" s="21"/>
      <c r="AH194" s="21"/>
      <c r="AI194" s="21"/>
      <c r="AJ194" s="21"/>
      <c r="AK194" s="21"/>
      <c r="AL194" s="21"/>
      <c r="AM194" s="21"/>
      <c r="AN194" s="21"/>
    </row>
    <row r="195" spans="1:40" ht="11.25" customHeight="1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  <c r="AE195" s="21"/>
      <c r="AF195" s="21"/>
      <c r="AG195" s="21"/>
      <c r="AH195" s="21"/>
      <c r="AI195" s="21"/>
      <c r="AJ195" s="21"/>
      <c r="AK195" s="21"/>
      <c r="AL195" s="21"/>
      <c r="AM195" s="21"/>
      <c r="AN195" s="21"/>
    </row>
    <row r="196" spans="1:40" ht="11.25" customHeight="1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  <c r="AE196" s="21"/>
      <c r="AF196" s="21"/>
      <c r="AG196" s="21"/>
      <c r="AH196" s="21"/>
      <c r="AI196" s="21"/>
      <c r="AJ196" s="21"/>
      <c r="AK196" s="21"/>
      <c r="AL196" s="21"/>
      <c r="AM196" s="21"/>
      <c r="AN196" s="21"/>
    </row>
    <row r="197" spans="1:40" ht="11.25" customHeight="1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  <c r="AE197" s="21"/>
      <c r="AF197" s="21"/>
      <c r="AG197" s="21"/>
      <c r="AH197" s="21"/>
      <c r="AI197" s="21"/>
      <c r="AJ197" s="21"/>
      <c r="AK197" s="21"/>
      <c r="AL197" s="21"/>
      <c r="AM197" s="21"/>
      <c r="AN197" s="21"/>
    </row>
    <row r="198" spans="1:40" ht="11.25" customHeight="1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  <c r="AE198" s="21"/>
      <c r="AF198" s="21"/>
      <c r="AG198" s="21"/>
      <c r="AH198" s="21"/>
      <c r="AI198" s="21"/>
      <c r="AJ198" s="21"/>
      <c r="AK198" s="21"/>
      <c r="AL198" s="21"/>
      <c r="AM198" s="21"/>
      <c r="AN198" s="21"/>
    </row>
    <row r="199" spans="1:40" ht="11.25" customHeight="1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  <c r="AE199" s="21"/>
      <c r="AF199" s="21"/>
      <c r="AG199" s="21"/>
      <c r="AH199" s="21"/>
      <c r="AI199" s="21"/>
      <c r="AJ199" s="21"/>
      <c r="AK199" s="21"/>
      <c r="AL199" s="21"/>
      <c r="AM199" s="21"/>
      <c r="AN199" s="21"/>
    </row>
    <row r="200" spans="1:40" ht="11.25" customHeight="1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  <c r="AE200" s="21"/>
      <c r="AF200" s="21"/>
      <c r="AG200" s="21"/>
      <c r="AH200" s="21"/>
      <c r="AI200" s="21"/>
      <c r="AJ200" s="21"/>
      <c r="AK200" s="21"/>
      <c r="AL200" s="21"/>
      <c r="AM200" s="21"/>
      <c r="AN200" s="21"/>
    </row>
    <row r="201" spans="1:40" ht="11.25" customHeight="1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  <c r="AE201" s="21"/>
      <c r="AF201" s="21"/>
      <c r="AG201" s="21"/>
      <c r="AH201" s="21"/>
      <c r="AI201" s="21"/>
      <c r="AJ201" s="21"/>
      <c r="AK201" s="21"/>
      <c r="AL201" s="21"/>
      <c r="AM201" s="21"/>
      <c r="AN201" s="21"/>
    </row>
    <row r="202" spans="1:40" ht="11.25" customHeight="1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  <c r="AE202" s="21"/>
      <c r="AF202" s="21"/>
      <c r="AG202" s="21"/>
      <c r="AH202" s="21"/>
      <c r="AI202" s="21"/>
      <c r="AJ202" s="21"/>
      <c r="AK202" s="21"/>
      <c r="AL202" s="21"/>
      <c r="AM202" s="21"/>
      <c r="AN202" s="21"/>
    </row>
    <row r="203" spans="1:40" ht="11.25" customHeight="1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  <c r="AE203" s="21"/>
      <c r="AF203" s="21"/>
      <c r="AG203" s="21"/>
      <c r="AH203" s="21"/>
      <c r="AI203" s="21"/>
      <c r="AJ203" s="21"/>
      <c r="AK203" s="21"/>
      <c r="AL203" s="21"/>
      <c r="AM203" s="21"/>
      <c r="AN203" s="21"/>
    </row>
    <row r="204" spans="1:40" ht="11.25" customHeight="1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  <c r="AE204" s="21"/>
      <c r="AF204" s="21"/>
      <c r="AG204" s="21"/>
      <c r="AH204" s="21"/>
      <c r="AI204" s="21"/>
      <c r="AJ204" s="21"/>
      <c r="AK204" s="21"/>
      <c r="AL204" s="21"/>
      <c r="AM204" s="21"/>
      <c r="AN204" s="21"/>
    </row>
    <row r="205" spans="1:40" ht="11.25" customHeight="1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  <c r="AE205" s="21"/>
      <c r="AF205" s="21"/>
      <c r="AG205" s="21"/>
      <c r="AH205" s="21"/>
      <c r="AI205" s="21"/>
      <c r="AJ205" s="21"/>
      <c r="AK205" s="21"/>
      <c r="AL205" s="21"/>
      <c r="AM205" s="21"/>
      <c r="AN205" s="21"/>
    </row>
    <row r="206" spans="1:40" ht="11.25" customHeight="1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  <c r="AE206" s="21"/>
      <c r="AF206" s="21"/>
      <c r="AG206" s="21"/>
      <c r="AH206" s="21"/>
      <c r="AI206" s="21"/>
      <c r="AJ206" s="21"/>
      <c r="AK206" s="21"/>
      <c r="AL206" s="21"/>
      <c r="AM206" s="21"/>
      <c r="AN206" s="21"/>
    </row>
    <row r="207" spans="1:40" ht="11.25" customHeight="1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  <c r="AE207" s="21"/>
      <c r="AF207" s="21"/>
      <c r="AG207" s="21"/>
      <c r="AH207" s="21"/>
      <c r="AI207" s="21"/>
      <c r="AJ207" s="21"/>
      <c r="AK207" s="21"/>
      <c r="AL207" s="21"/>
      <c r="AM207" s="21"/>
      <c r="AN207" s="21"/>
    </row>
    <row r="208" spans="1:40" ht="11.25" customHeight="1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  <c r="AE208" s="21"/>
      <c r="AF208" s="21"/>
      <c r="AG208" s="21"/>
      <c r="AH208" s="21"/>
      <c r="AI208" s="21"/>
      <c r="AJ208" s="21"/>
      <c r="AK208" s="21"/>
      <c r="AL208" s="21"/>
      <c r="AM208" s="21"/>
      <c r="AN208" s="21"/>
    </row>
    <row r="209" spans="1:40" ht="11.25" customHeight="1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  <c r="AE209" s="21"/>
      <c r="AF209" s="21"/>
      <c r="AG209" s="21"/>
      <c r="AH209" s="21"/>
      <c r="AI209" s="21"/>
      <c r="AJ209" s="21"/>
      <c r="AK209" s="21"/>
      <c r="AL209" s="21"/>
      <c r="AM209" s="21"/>
      <c r="AN209" s="21"/>
    </row>
    <row r="210" spans="1:40" ht="11.25" customHeight="1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  <c r="AE210" s="21"/>
      <c r="AF210" s="21"/>
      <c r="AG210" s="21"/>
      <c r="AH210" s="21"/>
      <c r="AI210" s="21"/>
      <c r="AJ210" s="21"/>
      <c r="AK210" s="21"/>
      <c r="AL210" s="21"/>
      <c r="AM210" s="21"/>
      <c r="AN210" s="21"/>
    </row>
    <row r="211" spans="1:40" ht="11.25" customHeight="1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  <c r="AE211" s="21"/>
      <c r="AF211" s="21"/>
      <c r="AG211" s="21"/>
      <c r="AH211" s="21"/>
      <c r="AI211" s="21"/>
      <c r="AJ211" s="21"/>
      <c r="AK211" s="21"/>
      <c r="AL211" s="21"/>
      <c r="AM211" s="21"/>
      <c r="AN211" s="21"/>
    </row>
    <row r="212" spans="1:40" ht="11.25" customHeight="1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  <c r="AE212" s="21"/>
      <c r="AF212" s="21"/>
      <c r="AG212" s="21"/>
      <c r="AH212" s="21"/>
      <c r="AI212" s="21"/>
      <c r="AJ212" s="21"/>
      <c r="AK212" s="21"/>
      <c r="AL212" s="21"/>
      <c r="AM212" s="21"/>
      <c r="AN212" s="21"/>
    </row>
    <row r="213" spans="1:40" ht="11.25" customHeight="1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  <c r="AE213" s="21"/>
      <c r="AF213" s="21"/>
      <c r="AG213" s="21"/>
      <c r="AH213" s="21"/>
      <c r="AI213" s="21"/>
      <c r="AJ213" s="21"/>
      <c r="AK213" s="21"/>
      <c r="AL213" s="21"/>
      <c r="AM213" s="21"/>
      <c r="AN213" s="21"/>
    </row>
    <row r="214" spans="1:40" ht="11.25" customHeight="1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  <c r="AE214" s="21"/>
      <c r="AF214" s="21"/>
      <c r="AG214" s="21"/>
      <c r="AH214" s="21"/>
      <c r="AI214" s="21"/>
      <c r="AJ214" s="21"/>
      <c r="AK214" s="21"/>
      <c r="AL214" s="21"/>
      <c r="AM214" s="21"/>
      <c r="AN214" s="21"/>
    </row>
    <row r="215" spans="1:40" ht="11.25" customHeight="1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  <c r="AE215" s="21"/>
      <c r="AF215" s="21"/>
      <c r="AG215" s="21"/>
      <c r="AH215" s="21"/>
      <c r="AI215" s="21"/>
      <c r="AJ215" s="21"/>
      <c r="AK215" s="21"/>
      <c r="AL215" s="21"/>
      <c r="AM215" s="21"/>
      <c r="AN215" s="21"/>
    </row>
    <row r="216" spans="1:40" ht="11.25" customHeight="1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  <c r="AE216" s="21"/>
      <c r="AF216" s="21"/>
      <c r="AG216" s="21"/>
      <c r="AH216" s="21"/>
      <c r="AI216" s="21"/>
      <c r="AJ216" s="21"/>
      <c r="AK216" s="21"/>
      <c r="AL216" s="21"/>
      <c r="AM216" s="21"/>
      <c r="AN216" s="21"/>
    </row>
    <row r="217" spans="1:40" ht="11.25" customHeight="1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  <c r="AE217" s="21"/>
      <c r="AF217" s="21"/>
      <c r="AG217" s="21"/>
      <c r="AH217" s="21"/>
      <c r="AI217" s="21"/>
      <c r="AJ217" s="21"/>
      <c r="AK217" s="21"/>
      <c r="AL217" s="21"/>
      <c r="AM217" s="21"/>
      <c r="AN217" s="21"/>
    </row>
    <row r="218" spans="1:40" ht="11.25" customHeight="1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  <c r="AE218" s="21"/>
      <c r="AF218" s="21"/>
      <c r="AG218" s="21"/>
      <c r="AH218" s="21"/>
      <c r="AI218" s="21"/>
      <c r="AJ218" s="21"/>
      <c r="AK218" s="21"/>
      <c r="AL218" s="21"/>
      <c r="AM218" s="21"/>
      <c r="AN218" s="21"/>
    </row>
    <row r="219" spans="1:40" ht="11.25" customHeight="1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  <c r="AE219" s="21"/>
      <c r="AF219" s="21"/>
      <c r="AG219" s="21"/>
      <c r="AH219" s="21"/>
      <c r="AI219" s="21"/>
      <c r="AJ219" s="21"/>
      <c r="AK219" s="21"/>
      <c r="AL219" s="21"/>
      <c r="AM219" s="21"/>
      <c r="AN219" s="21"/>
    </row>
    <row r="220" spans="1:40" ht="11.25" customHeight="1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  <c r="AE220" s="21"/>
      <c r="AF220" s="21"/>
      <c r="AG220" s="21"/>
      <c r="AH220" s="21"/>
      <c r="AI220" s="21"/>
      <c r="AJ220" s="21"/>
      <c r="AK220" s="21"/>
      <c r="AL220" s="21"/>
      <c r="AM220" s="21"/>
      <c r="AN220" s="21"/>
    </row>
    <row r="221" spans="1:40" ht="11.25" customHeight="1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  <c r="AE221" s="21"/>
      <c r="AF221" s="21"/>
      <c r="AG221" s="21"/>
      <c r="AH221" s="21"/>
      <c r="AI221" s="21"/>
      <c r="AJ221" s="21"/>
      <c r="AK221" s="21"/>
      <c r="AL221" s="21"/>
      <c r="AM221" s="21"/>
      <c r="AN221" s="21"/>
    </row>
    <row r="222" spans="1:40" ht="11.25" customHeight="1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  <c r="AE222" s="21"/>
      <c r="AF222" s="21"/>
      <c r="AG222" s="21"/>
      <c r="AH222" s="21"/>
      <c r="AI222" s="21"/>
      <c r="AJ222" s="21"/>
      <c r="AK222" s="21"/>
      <c r="AL222" s="21"/>
      <c r="AM222" s="21"/>
      <c r="AN222" s="21"/>
    </row>
    <row r="223" spans="1:40" ht="11.25" customHeight="1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  <c r="AE223" s="21"/>
      <c r="AF223" s="21"/>
      <c r="AG223" s="21"/>
      <c r="AH223" s="21"/>
      <c r="AI223" s="21"/>
      <c r="AJ223" s="21"/>
      <c r="AK223" s="21"/>
      <c r="AL223" s="21"/>
      <c r="AM223" s="21"/>
      <c r="AN223" s="21"/>
    </row>
    <row r="224" spans="1:40" ht="11.25" customHeight="1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  <c r="AE224" s="21"/>
      <c r="AF224" s="21"/>
      <c r="AG224" s="21"/>
      <c r="AH224" s="21"/>
      <c r="AI224" s="21"/>
      <c r="AJ224" s="21"/>
      <c r="AK224" s="21"/>
      <c r="AL224" s="21"/>
      <c r="AM224" s="21"/>
      <c r="AN224" s="21"/>
    </row>
    <row r="225" spans="1:40" ht="11.25" customHeight="1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  <c r="AE225" s="21"/>
      <c r="AF225" s="21"/>
      <c r="AG225" s="21"/>
      <c r="AH225" s="21"/>
      <c r="AI225" s="21"/>
      <c r="AJ225" s="21"/>
      <c r="AK225" s="21"/>
      <c r="AL225" s="21"/>
      <c r="AM225" s="21"/>
      <c r="AN225" s="21"/>
    </row>
    <row r="226" spans="1:40" ht="11.25" customHeight="1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  <c r="AE226" s="21"/>
      <c r="AF226" s="21"/>
      <c r="AG226" s="21"/>
      <c r="AH226" s="21"/>
      <c r="AI226" s="21"/>
      <c r="AJ226" s="21"/>
      <c r="AK226" s="21"/>
      <c r="AL226" s="21"/>
      <c r="AM226" s="21"/>
      <c r="AN226" s="21"/>
    </row>
    <row r="227" spans="1:40" ht="11.25" customHeight="1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  <c r="AE227" s="21"/>
      <c r="AF227" s="21"/>
      <c r="AG227" s="21"/>
      <c r="AH227" s="21"/>
      <c r="AI227" s="21"/>
      <c r="AJ227" s="21"/>
      <c r="AK227" s="21"/>
      <c r="AL227" s="21"/>
      <c r="AM227" s="21"/>
      <c r="AN227" s="21"/>
    </row>
    <row r="228" spans="1:40" ht="11.25" customHeight="1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  <c r="AE228" s="21"/>
      <c r="AF228" s="21"/>
      <c r="AG228" s="21"/>
      <c r="AH228" s="21"/>
      <c r="AI228" s="21"/>
      <c r="AJ228" s="21"/>
      <c r="AK228" s="21"/>
      <c r="AL228" s="21"/>
      <c r="AM228" s="21"/>
      <c r="AN228" s="21"/>
    </row>
    <row r="229" spans="1:40" ht="11.25" customHeight="1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  <c r="AE229" s="21"/>
      <c r="AF229" s="21"/>
      <c r="AG229" s="21"/>
      <c r="AH229" s="21"/>
      <c r="AI229" s="21"/>
      <c r="AJ229" s="21"/>
      <c r="AK229" s="21"/>
      <c r="AL229" s="21"/>
      <c r="AM229" s="21"/>
      <c r="AN229" s="21"/>
    </row>
    <row r="230" spans="1:40" ht="11.25" customHeight="1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  <c r="AE230" s="21"/>
      <c r="AF230" s="21"/>
      <c r="AG230" s="21"/>
      <c r="AH230" s="21"/>
      <c r="AI230" s="21"/>
      <c r="AJ230" s="21"/>
      <c r="AK230" s="21"/>
      <c r="AL230" s="21"/>
      <c r="AM230" s="21"/>
      <c r="AN230" s="21"/>
    </row>
    <row r="231" spans="1:40" ht="11.25" customHeight="1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  <c r="AE231" s="21"/>
      <c r="AF231" s="21"/>
      <c r="AG231" s="21"/>
      <c r="AH231" s="21"/>
      <c r="AI231" s="21"/>
      <c r="AJ231" s="21"/>
      <c r="AK231" s="21"/>
      <c r="AL231" s="21"/>
      <c r="AM231" s="21"/>
      <c r="AN231" s="21"/>
    </row>
    <row r="232" spans="1:40" ht="11.25" customHeight="1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  <c r="AE232" s="21"/>
      <c r="AF232" s="21"/>
      <c r="AG232" s="21"/>
      <c r="AH232" s="21"/>
      <c r="AI232" s="21"/>
      <c r="AJ232" s="21"/>
      <c r="AK232" s="21"/>
      <c r="AL232" s="21"/>
      <c r="AM232" s="21"/>
      <c r="AN232" s="21"/>
    </row>
    <row r="233" spans="1:40" ht="11.25" customHeight="1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  <c r="AE233" s="21"/>
      <c r="AF233" s="21"/>
      <c r="AG233" s="21"/>
      <c r="AH233" s="21"/>
      <c r="AI233" s="21"/>
      <c r="AJ233" s="21"/>
      <c r="AK233" s="21"/>
      <c r="AL233" s="21"/>
      <c r="AM233" s="21"/>
      <c r="AN233" s="21"/>
    </row>
    <row r="234" spans="1:40" ht="11.25" customHeight="1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  <c r="AE234" s="21"/>
      <c r="AF234" s="21"/>
      <c r="AG234" s="21"/>
      <c r="AH234" s="21"/>
      <c r="AI234" s="21"/>
      <c r="AJ234" s="21"/>
      <c r="AK234" s="21"/>
      <c r="AL234" s="21"/>
      <c r="AM234" s="21"/>
      <c r="AN234" s="21"/>
    </row>
    <row r="235" spans="1:40" ht="11.25" customHeight="1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  <c r="AE235" s="21"/>
      <c r="AF235" s="21"/>
      <c r="AG235" s="21"/>
      <c r="AH235" s="21"/>
      <c r="AI235" s="21"/>
      <c r="AJ235" s="21"/>
      <c r="AK235" s="21"/>
      <c r="AL235" s="21"/>
      <c r="AM235" s="21"/>
      <c r="AN235" s="21"/>
    </row>
    <row r="236" spans="1:40" ht="11.25" customHeight="1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  <c r="AE236" s="21"/>
      <c r="AF236" s="21"/>
      <c r="AG236" s="21"/>
      <c r="AH236" s="21"/>
      <c r="AI236" s="21"/>
      <c r="AJ236" s="21"/>
      <c r="AK236" s="21"/>
      <c r="AL236" s="21"/>
      <c r="AM236" s="21"/>
      <c r="AN236" s="21"/>
    </row>
    <row r="237" spans="1:40" ht="11.25" customHeight="1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  <c r="AE237" s="21"/>
      <c r="AF237" s="21"/>
      <c r="AG237" s="21"/>
      <c r="AH237" s="21"/>
      <c r="AI237" s="21"/>
      <c r="AJ237" s="21"/>
      <c r="AK237" s="21"/>
      <c r="AL237" s="21"/>
      <c r="AM237" s="21"/>
      <c r="AN237" s="21"/>
    </row>
    <row r="238" spans="1:40" ht="11.25" customHeight="1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  <c r="AE238" s="21"/>
      <c r="AF238" s="21"/>
      <c r="AG238" s="21"/>
      <c r="AH238" s="21"/>
      <c r="AI238" s="21"/>
      <c r="AJ238" s="21"/>
      <c r="AK238" s="21"/>
      <c r="AL238" s="21"/>
      <c r="AM238" s="21"/>
      <c r="AN238" s="21"/>
    </row>
    <row r="239" spans="1:40" ht="11.25" customHeight="1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  <c r="AE239" s="21"/>
      <c r="AF239" s="21"/>
      <c r="AG239" s="21"/>
      <c r="AH239" s="21"/>
      <c r="AI239" s="21"/>
      <c r="AJ239" s="21"/>
      <c r="AK239" s="21"/>
      <c r="AL239" s="21"/>
      <c r="AM239" s="21"/>
      <c r="AN239" s="21"/>
    </row>
    <row r="240" spans="1:40" ht="11.25" customHeight="1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  <c r="AE240" s="21"/>
      <c r="AF240" s="21"/>
      <c r="AG240" s="21"/>
      <c r="AH240" s="21"/>
      <c r="AI240" s="21"/>
      <c r="AJ240" s="21"/>
      <c r="AK240" s="21"/>
      <c r="AL240" s="21"/>
      <c r="AM240" s="21"/>
      <c r="AN240" s="21"/>
    </row>
    <row r="241" spans="1:40" ht="11.25" customHeight="1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  <c r="AE241" s="21"/>
      <c r="AF241" s="21"/>
      <c r="AG241" s="21"/>
      <c r="AH241" s="21"/>
      <c r="AI241" s="21"/>
      <c r="AJ241" s="21"/>
      <c r="AK241" s="21"/>
      <c r="AL241" s="21"/>
      <c r="AM241" s="21"/>
      <c r="AN241" s="21"/>
    </row>
    <row r="242" spans="1:40" ht="11.25" customHeight="1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  <c r="AE242" s="21"/>
      <c r="AF242" s="21"/>
      <c r="AG242" s="21"/>
      <c r="AH242" s="21"/>
      <c r="AI242" s="21"/>
      <c r="AJ242" s="21"/>
      <c r="AK242" s="21"/>
      <c r="AL242" s="21"/>
      <c r="AM242" s="21"/>
      <c r="AN242" s="21"/>
    </row>
    <row r="243" spans="1:40" ht="11.25" customHeight="1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  <c r="AE243" s="21"/>
      <c r="AF243" s="21"/>
      <c r="AG243" s="21"/>
      <c r="AH243" s="21"/>
      <c r="AI243" s="21"/>
      <c r="AJ243" s="21"/>
      <c r="AK243" s="21"/>
      <c r="AL243" s="21"/>
      <c r="AM243" s="21"/>
      <c r="AN243" s="21"/>
    </row>
    <row r="244" spans="1:40" ht="11.25" customHeight="1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  <c r="AE244" s="21"/>
      <c r="AF244" s="21"/>
      <c r="AG244" s="21"/>
      <c r="AH244" s="21"/>
      <c r="AI244" s="21"/>
      <c r="AJ244" s="21"/>
      <c r="AK244" s="21"/>
      <c r="AL244" s="21"/>
      <c r="AM244" s="21"/>
      <c r="AN244" s="21"/>
    </row>
    <row r="245" spans="1:40" ht="11.25" customHeight="1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  <c r="AE245" s="21"/>
      <c r="AF245" s="21"/>
      <c r="AG245" s="21"/>
      <c r="AH245" s="21"/>
      <c r="AI245" s="21"/>
      <c r="AJ245" s="21"/>
      <c r="AK245" s="21"/>
      <c r="AL245" s="21"/>
      <c r="AM245" s="21"/>
      <c r="AN245" s="21"/>
    </row>
    <row r="246" spans="1:40" ht="11.25" customHeight="1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  <c r="AE246" s="21"/>
      <c r="AF246" s="21"/>
      <c r="AG246" s="21"/>
      <c r="AH246" s="21"/>
      <c r="AI246" s="21"/>
      <c r="AJ246" s="21"/>
      <c r="AK246" s="21"/>
      <c r="AL246" s="21"/>
      <c r="AM246" s="21"/>
      <c r="AN246" s="21"/>
    </row>
    <row r="247" spans="1:40" ht="11.25" customHeight="1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  <c r="AE247" s="21"/>
      <c r="AF247" s="21"/>
      <c r="AG247" s="21"/>
      <c r="AH247" s="21"/>
      <c r="AI247" s="21"/>
      <c r="AJ247" s="21"/>
      <c r="AK247" s="21"/>
      <c r="AL247" s="21"/>
      <c r="AM247" s="21"/>
      <c r="AN247" s="21"/>
    </row>
    <row r="248" spans="1:40" ht="11.25" customHeight="1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  <c r="AE248" s="21"/>
      <c r="AF248" s="21"/>
      <c r="AG248" s="21"/>
      <c r="AH248" s="21"/>
      <c r="AI248" s="21"/>
      <c r="AJ248" s="21"/>
      <c r="AK248" s="21"/>
      <c r="AL248" s="21"/>
      <c r="AM248" s="21"/>
      <c r="AN248" s="21"/>
    </row>
    <row r="249" spans="1:40" ht="11.25" customHeight="1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  <c r="AE249" s="21"/>
      <c r="AF249" s="21"/>
      <c r="AG249" s="21"/>
      <c r="AH249" s="21"/>
      <c r="AI249" s="21"/>
      <c r="AJ249" s="21"/>
      <c r="AK249" s="21"/>
      <c r="AL249" s="21"/>
      <c r="AM249" s="21"/>
      <c r="AN249" s="21"/>
    </row>
    <row r="250" spans="1:40" ht="11.25" customHeight="1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  <c r="AE250" s="21"/>
      <c r="AF250" s="21"/>
      <c r="AG250" s="21"/>
      <c r="AH250" s="21"/>
      <c r="AI250" s="21"/>
      <c r="AJ250" s="21"/>
      <c r="AK250" s="21"/>
      <c r="AL250" s="21"/>
      <c r="AM250" s="21"/>
      <c r="AN250" s="21"/>
    </row>
    <row r="251" spans="1:40" ht="11.25" customHeight="1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  <c r="AE251" s="21"/>
      <c r="AF251" s="21"/>
      <c r="AG251" s="21"/>
      <c r="AH251" s="21"/>
      <c r="AI251" s="21"/>
      <c r="AJ251" s="21"/>
      <c r="AK251" s="21"/>
      <c r="AL251" s="21"/>
      <c r="AM251" s="21"/>
      <c r="AN251" s="21"/>
    </row>
    <row r="252" spans="1:40" ht="11.25" customHeight="1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  <c r="AE252" s="21"/>
      <c r="AF252" s="21"/>
      <c r="AG252" s="21"/>
      <c r="AH252" s="21"/>
      <c r="AI252" s="21"/>
      <c r="AJ252" s="21"/>
      <c r="AK252" s="21"/>
      <c r="AL252" s="21"/>
      <c r="AM252" s="21"/>
      <c r="AN252" s="21"/>
    </row>
    <row r="253" spans="1:40" ht="11.25" customHeight="1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  <c r="AE253" s="21"/>
      <c r="AF253" s="21"/>
      <c r="AG253" s="21"/>
      <c r="AH253" s="21"/>
      <c r="AI253" s="21"/>
      <c r="AJ253" s="21"/>
      <c r="AK253" s="21"/>
      <c r="AL253" s="21"/>
      <c r="AM253" s="21"/>
      <c r="AN253" s="21"/>
    </row>
  </sheetData>
  <sheetProtection password="F756" sheet="1" objects="1" scenarios="1" selectLockedCells="1"/>
  <mergeCells count="32">
    <mergeCell ref="A1:AN1"/>
    <mergeCell ref="Q7:X7"/>
    <mergeCell ref="Q8:Q9"/>
    <mergeCell ref="R8:S8"/>
    <mergeCell ref="T8:U8"/>
    <mergeCell ref="AG7:AN7"/>
    <mergeCell ref="AL8:AM8"/>
    <mergeCell ref="AG8:AG9"/>
    <mergeCell ref="Y8:Y9"/>
    <mergeCell ref="AN8:AN9"/>
    <mergeCell ref="A2:AN2"/>
    <mergeCell ref="AF8:AF9"/>
    <mergeCell ref="A7:F9"/>
    <mergeCell ref="G7:G9"/>
    <mergeCell ref="AJ8:AK8"/>
    <mergeCell ref="I7:P7"/>
    <mergeCell ref="B49:D49"/>
    <mergeCell ref="P8:P9"/>
    <mergeCell ref="I8:I9"/>
    <mergeCell ref="L8:M8"/>
    <mergeCell ref="J8:K8"/>
    <mergeCell ref="AD8:AE8"/>
    <mergeCell ref="Z8:AA8"/>
    <mergeCell ref="V8:W8"/>
    <mergeCell ref="AB8:AC8"/>
    <mergeCell ref="B48:F48"/>
    <mergeCell ref="B47:F47"/>
    <mergeCell ref="H7:H9"/>
    <mergeCell ref="AH8:AI8"/>
    <mergeCell ref="X8:X9"/>
    <mergeCell ref="N8:O8"/>
    <mergeCell ref="Y7:AF7"/>
  </mergeCells>
  <phoneticPr fontId="0" type="noConversion"/>
  <dataValidations count="2">
    <dataValidation type="decimal" operator="lessThan" allowBlank="1" showInputMessage="1" showErrorMessage="1" sqref="AG67:AN585 AJ59:AK59 I10:AF585 AO10:EX585">
      <formula1>1000000000000000</formula1>
    </dataValidation>
    <dataValidation operator="lessThan" allowBlank="1" showInputMessage="1" showErrorMessage="1" sqref="AG60:AN66 AG59:AI59 AL59:AN59 AG10:AN58"/>
  </dataValidations>
  <printOptions horizontalCentered="1"/>
  <pageMargins left="0.25" right="0.25" top="1" bottom="0.5" header="0.5" footer="0.5"/>
  <pageSetup paperSize="9" scale="78" orientation="landscape" horizontalDpi="360" verticalDpi="360" r:id="rId1"/>
  <headerFooter alignWithMargins="0">
    <oddHeader>&amp;R&amp;"Arial,Bold"&amp;USchedule 8&amp;8&amp;U
&amp;P of &amp;N&amp;C&amp;"Arial,Bold"&amp;8 MAXIMUM SAVINGS BANK, INC.  [ 03-070011 ]
 As of: June 30, 2019</oddHeader>
  </headerFooter>
  <drawing r:id="rId2"/>
  <legacyDrawing r:id="rId3"/>
  <controls>
    <mc:AlternateContent xmlns:mc="http://schemas.openxmlformats.org/markup-compatibility/2006">
      <mc:Choice Requires="x14">
        <control shapeId="2050" r:id="rId4" name="Label1">
          <controlPr defaultSize="0" autoLine="0" r:id="rId5">
            <anchor moveWithCells="1">
              <from>
                <xdr:col>7</xdr:col>
                <xdr:colOff>238125</xdr:colOff>
                <xdr:row>17</xdr:row>
                <xdr:rowOff>28575</xdr:rowOff>
              </from>
              <to>
                <xdr:col>7</xdr:col>
                <xdr:colOff>647700</xdr:colOff>
                <xdr:row>18</xdr:row>
                <xdr:rowOff>28575</xdr:rowOff>
              </to>
            </anchor>
          </controlPr>
        </control>
      </mc:Choice>
      <mc:Fallback>
        <control shapeId="2050" r:id="rId4" name="Label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IJ253"/>
  <sheetViews>
    <sheetView zoomScale="75" zoomScaleNormal="90" zoomScaleSheetLayoutView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sqref="A1:S1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25" style="1" customWidth="1"/>
    <col min="6" max="6" width="21.42578125" style="1" hidden="1" customWidth="1"/>
    <col min="7" max="7" width="17.5703125" style="9" customWidth="1"/>
    <col min="8" max="8" width="9.28515625" style="9" hidden="1" customWidth="1"/>
    <col min="9" max="19" width="20.7109375" style="1" customWidth="1"/>
    <col min="20" max="159" width="25.7109375" style="1" customWidth="1"/>
    <col min="160" max="16384" width="9.140625" style="1"/>
  </cols>
  <sheetData>
    <row r="1" spans="1:22" s="165" customFormat="1" ht="12.75" x14ac:dyDescent="0.2">
      <c r="A1" s="512" t="s">
        <v>419</v>
      </c>
      <c r="B1" s="512"/>
      <c r="C1" s="512"/>
      <c r="D1" s="512"/>
      <c r="E1" s="512"/>
      <c r="F1" s="512"/>
      <c r="G1" s="512"/>
      <c r="H1" s="512"/>
      <c r="I1" s="512"/>
      <c r="J1" s="512"/>
      <c r="K1" s="512"/>
      <c r="L1" s="512"/>
      <c r="M1" s="512"/>
      <c r="N1" s="512"/>
      <c r="O1" s="512"/>
      <c r="P1" s="512"/>
      <c r="Q1" s="512"/>
      <c r="R1" s="512"/>
      <c r="S1" s="512"/>
    </row>
    <row r="2" spans="1:22" s="165" customFormat="1" ht="12.75" customHeight="1" x14ac:dyDescent="0.2">
      <c r="A2" s="512" t="s">
        <v>325</v>
      </c>
      <c r="B2" s="512"/>
      <c r="C2" s="512"/>
      <c r="D2" s="512"/>
      <c r="E2" s="512"/>
      <c r="F2" s="512"/>
      <c r="G2" s="512"/>
      <c r="H2" s="512"/>
      <c r="I2" s="512"/>
      <c r="J2" s="512"/>
      <c r="K2" s="512"/>
      <c r="L2" s="512"/>
      <c r="M2" s="512"/>
      <c r="N2" s="512"/>
      <c r="O2" s="512"/>
      <c r="P2" s="512"/>
      <c r="Q2" s="512"/>
      <c r="R2" s="512"/>
      <c r="S2" s="512"/>
    </row>
    <row r="3" spans="1:22" s="165" customFormat="1" ht="12.75" customHeight="1" x14ac:dyDescent="0.2">
      <c r="A3" s="512" t="s">
        <v>356</v>
      </c>
      <c r="B3" s="512"/>
      <c r="C3" s="512"/>
      <c r="D3" s="512"/>
      <c r="E3" s="512"/>
      <c r="F3" s="512"/>
      <c r="G3" s="512"/>
      <c r="H3" s="512"/>
      <c r="I3" s="512"/>
      <c r="J3" s="512"/>
      <c r="K3" s="512"/>
      <c r="L3" s="512"/>
      <c r="M3" s="512"/>
      <c r="N3" s="512"/>
      <c r="O3" s="512"/>
      <c r="P3" s="512"/>
      <c r="Q3" s="512"/>
      <c r="R3" s="512"/>
      <c r="S3" s="512"/>
    </row>
    <row r="4" spans="1:22" ht="12.75" customHeight="1" x14ac:dyDescent="0.2">
      <c r="A4" s="217"/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  <c r="S4" s="217"/>
    </row>
    <row r="5" spans="1:22" s="118" customFormat="1" ht="14.25" customHeight="1" x14ac:dyDescent="0.2">
      <c r="A5" s="504" t="s">
        <v>0</v>
      </c>
      <c r="B5" s="505"/>
      <c r="C5" s="505"/>
      <c r="D5" s="505"/>
      <c r="E5" s="505"/>
      <c r="F5" s="506"/>
      <c r="G5" s="496" t="s">
        <v>2</v>
      </c>
      <c r="H5" s="592" t="s">
        <v>414</v>
      </c>
      <c r="I5" s="258" t="s">
        <v>309</v>
      </c>
      <c r="J5" s="258" t="s">
        <v>310</v>
      </c>
      <c r="K5" s="259" t="s">
        <v>311</v>
      </c>
      <c r="L5" s="259" t="s">
        <v>312</v>
      </c>
      <c r="M5" s="259" t="s">
        <v>313</v>
      </c>
      <c r="N5" s="259" t="s">
        <v>314</v>
      </c>
      <c r="O5" s="259" t="s">
        <v>315</v>
      </c>
      <c r="P5" s="259" t="s">
        <v>316</v>
      </c>
      <c r="Q5" s="259" t="s">
        <v>317</v>
      </c>
      <c r="R5" s="259" t="s">
        <v>318</v>
      </c>
      <c r="S5" s="259" t="s">
        <v>307</v>
      </c>
    </row>
    <row r="6" spans="1:22" s="11" customFormat="1" ht="12.75" customHeight="1" x14ac:dyDescent="0.2">
      <c r="A6" s="507"/>
      <c r="B6" s="508"/>
      <c r="C6" s="508"/>
      <c r="D6" s="508"/>
      <c r="E6" s="508"/>
      <c r="F6" s="509"/>
      <c r="G6" s="497"/>
      <c r="H6" s="610"/>
      <c r="I6" s="600" t="s">
        <v>755</v>
      </c>
      <c r="J6" s="533" t="s">
        <v>324</v>
      </c>
      <c r="K6" s="533"/>
      <c r="L6" s="533"/>
      <c r="M6" s="533"/>
      <c r="N6" s="521"/>
      <c r="O6" s="493" t="s">
        <v>319</v>
      </c>
      <c r="P6" s="493" t="s">
        <v>320</v>
      </c>
      <c r="Q6" s="493" t="s">
        <v>321</v>
      </c>
      <c r="R6" s="493" t="s">
        <v>390</v>
      </c>
      <c r="S6" s="592" t="s">
        <v>328</v>
      </c>
    </row>
    <row r="7" spans="1:22" s="11" customFormat="1" ht="12.75" customHeight="1" x14ac:dyDescent="0.2">
      <c r="A7" s="507"/>
      <c r="B7" s="508"/>
      <c r="C7" s="508"/>
      <c r="D7" s="508"/>
      <c r="E7" s="508"/>
      <c r="F7" s="509"/>
      <c r="G7" s="497"/>
      <c r="H7" s="610"/>
      <c r="I7" s="608"/>
      <c r="J7" s="493" t="s">
        <v>779</v>
      </c>
      <c r="K7" s="493" t="s">
        <v>780</v>
      </c>
      <c r="L7" s="493" t="s">
        <v>781</v>
      </c>
      <c r="M7" s="493" t="s">
        <v>782</v>
      </c>
      <c r="N7" s="493" t="s">
        <v>308</v>
      </c>
      <c r="O7" s="494"/>
      <c r="P7" s="494"/>
      <c r="Q7" s="494"/>
      <c r="R7" s="494"/>
      <c r="S7" s="610"/>
    </row>
    <row r="8" spans="1:22" s="2" customFormat="1" ht="12.75" customHeight="1" x14ac:dyDescent="0.2">
      <c r="A8" s="507"/>
      <c r="B8" s="508"/>
      <c r="C8" s="508"/>
      <c r="D8" s="508"/>
      <c r="E8" s="508"/>
      <c r="F8" s="509"/>
      <c r="G8" s="497"/>
      <c r="H8" s="610"/>
      <c r="I8" s="608"/>
      <c r="J8" s="494"/>
      <c r="K8" s="494"/>
      <c r="L8" s="494"/>
      <c r="M8" s="494"/>
      <c r="N8" s="494"/>
      <c r="O8" s="494"/>
      <c r="P8" s="494"/>
      <c r="Q8" s="494"/>
      <c r="R8" s="494"/>
      <c r="S8" s="610"/>
    </row>
    <row r="9" spans="1:22" s="2" customFormat="1" ht="36.75" customHeight="1" x14ac:dyDescent="0.2">
      <c r="A9" s="507"/>
      <c r="B9" s="508"/>
      <c r="C9" s="508"/>
      <c r="D9" s="508"/>
      <c r="E9" s="508"/>
      <c r="F9" s="492"/>
      <c r="G9" s="498"/>
      <c r="H9" s="611"/>
      <c r="I9" s="609"/>
      <c r="J9" s="495"/>
      <c r="K9" s="495"/>
      <c r="L9" s="495"/>
      <c r="M9" s="495"/>
      <c r="N9" s="495"/>
      <c r="O9" s="495"/>
      <c r="P9" s="495"/>
      <c r="Q9" s="495"/>
      <c r="R9" s="495"/>
      <c r="S9" s="611"/>
    </row>
    <row r="10" spans="1:22" x14ac:dyDescent="0.2">
      <c r="A10" s="377" t="s">
        <v>185</v>
      </c>
      <c r="B10" s="378"/>
      <c r="C10" s="378"/>
      <c r="D10" s="378"/>
      <c r="E10" s="379"/>
      <c r="F10" s="382"/>
      <c r="G10" s="320"/>
      <c r="H10" s="320"/>
      <c r="I10" s="78"/>
      <c r="J10" s="78"/>
      <c r="K10" s="78"/>
      <c r="L10" s="78"/>
      <c r="M10" s="78"/>
      <c r="N10" s="78"/>
      <c r="O10" s="78"/>
      <c r="P10" s="78"/>
      <c r="Q10" s="78"/>
      <c r="R10" s="78"/>
      <c r="S10" s="78"/>
      <c r="T10" s="122"/>
      <c r="U10" s="123"/>
      <c r="V10" s="123"/>
    </row>
    <row r="11" spans="1:22" x14ac:dyDescent="0.2">
      <c r="A11" s="380" t="s">
        <v>186</v>
      </c>
      <c r="B11" s="381" t="s">
        <v>187</v>
      </c>
      <c r="C11" s="355"/>
      <c r="D11" s="355"/>
      <c r="E11" s="382"/>
      <c r="F11" s="382"/>
      <c r="G11" s="458" t="s">
        <v>672</v>
      </c>
      <c r="H11" s="320"/>
      <c r="I11" s="78">
        <f>'8B1'!I11+'8B2'!J11+'8B3'!J11+'8B4'!J11</f>
        <v>0</v>
      </c>
      <c r="J11" s="78">
        <f>'8B1'!J11+'8B2'!L11+'8B3'!L11+'8B4'!L11</f>
        <v>0</v>
      </c>
      <c r="K11" s="78">
        <f>'8B1'!K11+'8B2'!N11+'8B3'!N11+'8B4'!N11</f>
        <v>0</v>
      </c>
      <c r="L11" s="78">
        <f>'8B1'!L11+'8B2'!P11+'8B3'!P11+'8B4'!P11</f>
        <v>0</v>
      </c>
      <c r="M11" s="78">
        <f>'8B1'!M11+'8B2'!R11+'8B3'!R11+'8B4'!R11</f>
        <v>0</v>
      </c>
      <c r="N11" s="78">
        <f>'8B1'!N11+'8B2'!T11+'8B3'!T11+'8B4'!T11</f>
        <v>0</v>
      </c>
      <c r="O11" s="78">
        <f>'8B1'!O11+'8B2'!V11+'8B3'!V11+'8B4'!V11</f>
        <v>0</v>
      </c>
      <c r="P11" s="78">
        <f>'8B1'!P11+'8B2'!X11+'8B3'!X11+'8B4'!X11</f>
        <v>0</v>
      </c>
      <c r="Q11" s="78">
        <f>'8B1'!Q11+'8B2'!Z11+'8B3'!Z11+'8B4'!Z11</f>
        <v>0</v>
      </c>
      <c r="R11" s="78">
        <f>'8B1'!R11+'8B2'!AB11+'8B3'!AB11+'8B4'!AB11</f>
        <v>0</v>
      </c>
      <c r="S11" s="78">
        <f>'8B1'!S11+'8B2'!AD11+'8B3'!AD11+'8B4'!AD11</f>
        <v>0</v>
      </c>
      <c r="T11" s="122"/>
      <c r="U11" s="123"/>
      <c r="V11" s="123"/>
    </row>
    <row r="12" spans="1:22" x14ac:dyDescent="0.2">
      <c r="A12" s="384"/>
      <c r="B12" s="385" t="s">
        <v>188</v>
      </c>
      <c r="C12" s="385" t="s">
        <v>788</v>
      </c>
      <c r="D12" s="385"/>
      <c r="E12" s="383"/>
      <c r="F12" s="382"/>
      <c r="G12" s="458" t="s">
        <v>673</v>
      </c>
      <c r="H12" s="320"/>
      <c r="I12" s="78">
        <f>'8B1'!I12+'8B2'!J12+'8B3'!J12+'8B4'!J12</f>
        <v>0</v>
      </c>
      <c r="J12" s="78">
        <f>'8B1'!J12+'8B2'!L12+'8B3'!L12+'8B4'!L12</f>
        <v>0</v>
      </c>
      <c r="K12" s="78">
        <f>'8B1'!K12+'8B2'!N12+'8B3'!N12+'8B4'!N12</f>
        <v>0</v>
      </c>
      <c r="L12" s="78">
        <f>'8B1'!L12+'8B2'!P12+'8B3'!P12+'8B4'!P12</f>
        <v>0</v>
      </c>
      <c r="M12" s="78">
        <f>'8B1'!M12+'8B2'!R12+'8B3'!R12+'8B4'!R12</f>
        <v>0</v>
      </c>
      <c r="N12" s="78">
        <f>'8B1'!N12+'8B2'!T12+'8B3'!T12+'8B4'!T12</f>
        <v>0</v>
      </c>
      <c r="O12" s="78">
        <f>'8B1'!O12+'8B2'!V12+'8B3'!V12+'8B4'!V12</f>
        <v>0</v>
      </c>
      <c r="P12" s="78">
        <f>'8B1'!P12+'8B2'!X12+'8B3'!X12+'8B4'!X12</f>
        <v>0</v>
      </c>
      <c r="Q12" s="78">
        <f>'8B1'!Q12+'8B2'!Z12+'8B3'!Z12+'8B4'!Z12</f>
        <v>0</v>
      </c>
      <c r="R12" s="78">
        <f>'8B1'!R12+'8B2'!AB12+'8B3'!AB12+'8B4'!AB12</f>
        <v>0</v>
      </c>
      <c r="S12" s="78">
        <f>'8B1'!S12+'8B2'!AD12+'8B3'!AD12+'8B4'!AD12</f>
        <v>0</v>
      </c>
      <c r="T12" s="122"/>
      <c r="U12" s="123"/>
      <c r="V12" s="123"/>
    </row>
    <row r="13" spans="1:22" x14ac:dyDescent="0.2">
      <c r="A13" s="386"/>
      <c r="B13" s="355"/>
      <c r="C13" s="387" t="s">
        <v>19</v>
      </c>
      <c r="D13" s="355" t="s">
        <v>189</v>
      </c>
      <c r="E13" s="382"/>
      <c r="F13" s="382"/>
      <c r="G13" s="458" t="s">
        <v>674</v>
      </c>
      <c r="H13" s="320"/>
      <c r="I13" s="78">
        <f>'8B1'!I13+'8B2'!J13+'8B3'!J13+'8B4'!J13</f>
        <v>0</v>
      </c>
      <c r="J13" s="78">
        <f>'8B1'!J13+'8B2'!L13+'8B3'!L13+'8B4'!L13</f>
        <v>0</v>
      </c>
      <c r="K13" s="78">
        <f>'8B1'!K13+'8B2'!N13+'8B3'!N13+'8B4'!N13</f>
        <v>0</v>
      </c>
      <c r="L13" s="78">
        <f>'8B1'!L13+'8B2'!P13+'8B3'!P13+'8B4'!P13</f>
        <v>0</v>
      </c>
      <c r="M13" s="78">
        <f>'8B1'!M13+'8B2'!R13+'8B3'!R13+'8B4'!R13</f>
        <v>0</v>
      </c>
      <c r="N13" s="78">
        <f>'8B1'!N13+'8B2'!T13+'8B3'!T13+'8B4'!T13</f>
        <v>0</v>
      </c>
      <c r="O13" s="78">
        <f>'8B1'!O13+'8B2'!V13+'8B3'!V13+'8B4'!V13</f>
        <v>0</v>
      </c>
      <c r="P13" s="78">
        <f>'8B1'!P13+'8B2'!X13+'8B3'!X13+'8B4'!X13</f>
        <v>0</v>
      </c>
      <c r="Q13" s="78">
        <f>'8B1'!Q13+'8B2'!Z13+'8B3'!Z13+'8B4'!Z13</f>
        <v>0</v>
      </c>
      <c r="R13" s="78">
        <f>'8B1'!R13+'8B2'!AB13+'8B3'!AB13+'8B4'!AB13</f>
        <v>0</v>
      </c>
      <c r="S13" s="78">
        <f>'8B1'!S13+'8B2'!AD13+'8B3'!AD13+'8B4'!AD13</f>
        <v>0</v>
      </c>
      <c r="T13" s="122"/>
      <c r="U13" s="123"/>
      <c r="V13" s="123"/>
    </row>
    <row r="14" spans="1:22" x14ac:dyDescent="0.2">
      <c r="A14" s="386"/>
      <c r="B14" s="355"/>
      <c r="C14" s="387"/>
      <c r="D14" s="355" t="s">
        <v>11</v>
      </c>
      <c r="E14" s="355" t="s">
        <v>789</v>
      </c>
      <c r="F14" s="383"/>
      <c r="G14" s="458" t="s">
        <v>829</v>
      </c>
      <c r="H14" s="320"/>
      <c r="I14" s="295"/>
      <c r="J14" s="295"/>
      <c r="K14" s="295"/>
      <c r="L14" s="295"/>
      <c r="M14" s="295"/>
      <c r="N14" s="295"/>
      <c r="O14" s="295"/>
      <c r="P14" s="295"/>
      <c r="Q14" s="295"/>
      <c r="R14" s="295"/>
      <c r="S14" s="295"/>
      <c r="T14" s="122"/>
      <c r="U14" s="123"/>
      <c r="V14" s="123"/>
    </row>
    <row r="15" spans="1:22" x14ac:dyDescent="0.2">
      <c r="A15" s="386"/>
      <c r="B15" s="355"/>
      <c r="C15" s="387"/>
      <c r="D15" s="355" t="s">
        <v>15</v>
      </c>
      <c r="E15" s="392" t="s">
        <v>790</v>
      </c>
      <c r="F15" s="383"/>
      <c r="G15" s="458" t="s">
        <v>830</v>
      </c>
      <c r="H15" s="320"/>
      <c r="I15" s="295"/>
      <c r="J15" s="295"/>
      <c r="K15" s="295"/>
      <c r="L15" s="295"/>
      <c r="M15" s="295"/>
      <c r="N15" s="295"/>
      <c r="O15" s="295"/>
      <c r="P15" s="295"/>
      <c r="Q15" s="295"/>
      <c r="R15" s="295"/>
      <c r="S15" s="295"/>
      <c r="T15" s="122"/>
      <c r="U15" s="123"/>
      <c r="V15" s="123"/>
    </row>
    <row r="16" spans="1:22" x14ac:dyDescent="0.2">
      <c r="A16" s="386"/>
      <c r="B16" s="355"/>
      <c r="C16" s="387"/>
      <c r="D16" s="355" t="s">
        <v>25</v>
      </c>
      <c r="E16" s="392" t="s">
        <v>791</v>
      </c>
      <c r="F16" s="383"/>
      <c r="G16" s="458" t="s">
        <v>831</v>
      </c>
      <c r="H16" s="389" t="s">
        <v>751</v>
      </c>
      <c r="I16" s="78">
        <f>'8B1'!I16+'8B2'!J16+'8B3'!J16+'8B4'!J16</f>
        <v>0</v>
      </c>
      <c r="J16" s="78">
        <f>'8B1'!J16+'8B2'!L16+'8B3'!L16+'8B4'!L16</f>
        <v>0</v>
      </c>
      <c r="K16" s="78">
        <f>'8B1'!K16+'8B2'!N16+'8B3'!N16+'8B4'!N16</f>
        <v>0</v>
      </c>
      <c r="L16" s="78">
        <f>'8B1'!L16+'8B2'!P16+'8B3'!P16+'8B4'!P16</f>
        <v>0</v>
      </c>
      <c r="M16" s="78">
        <f>'8B1'!M16+'8B2'!R16+'8B3'!R16+'8B4'!R16</f>
        <v>0</v>
      </c>
      <c r="N16" s="78">
        <f>'8B1'!N16+'8B2'!T16+'8B3'!T16+'8B4'!T16</f>
        <v>0</v>
      </c>
      <c r="O16" s="78">
        <f>'8B1'!O16+'8B2'!V16+'8B3'!V16+'8B4'!V16</f>
        <v>0</v>
      </c>
      <c r="P16" s="78">
        <f>'8B1'!P16+'8B2'!X16+'8B3'!X16+'8B4'!X16</f>
        <v>0</v>
      </c>
      <c r="Q16" s="78">
        <f>'8B1'!Q16+'8B2'!Z16+'8B3'!Z16+'8B4'!Z16</f>
        <v>0</v>
      </c>
      <c r="R16" s="78">
        <f>'8B1'!R16+'8B2'!AB16+'8B3'!AB16+'8B4'!AB16</f>
        <v>0</v>
      </c>
      <c r="S16" s="78">
        <f>'8B1'!S16+'8B2'!AD16+'8B3'!AD16+'8B4'!AD16</f>
        <v>0</v>
      </c>
      <c r="T16" s="122"/>
      <c r="U16" s="123"/>
      <c r="V16" s="123"/>
    </row>
    <row r="17" spans="1:22" x14ac:dyDescent="0.2">
      <c r="A17" s="384"/>
      <c r="B17" s="385"/>
      <c r="C17" s="390" t="s">
        <v>21</v>
      </c>
      <c r="D17" s="385" t="s">
        <v>326</v>
      </c>
      <c r="E17" s="383"/>
      <c r="F17" s="382"/>
      <c r="G17" s="458" t="s">
        <v>675</v>
      </c>
      <c r="H17" s="320"/>
      <c r="I17" s="78">
        <f>'8B1'!I19+'8B2'!J19+'8B3'!J19+'8B4'!J19</f>
        <v>0</v>
      </c>
      <c r="J17" s="78">
        <f>'8B1'!J19+'8B2'!L19+'8B3'!L19+'8B4'!L19</f>
        <v>0</v>
      </c>
      <c r="K17" s="78">
        <f>'8B1'!K19+'8B2'!N19+'8B3'!N19+'8B4'!N19</f>
        <v>0</v>
      </c>
      <c r="L17" s="78">
        <f>'8B1'!L19+'8B2'!P19+'8B3'!P19+'8B4'!P19</f>
        <v>0</v>
      </c>
      <c r="M17" s="78">
        <f>'8B1'!M19+'8B2'!R19+'8B3'!R19+'8B4'!R19</f>
        <v>0</v>
      </c>
      <c r="N17" s="78">
        <f>'8B1'!N19+'8B2'!T19+'8B3'!T19+'8B4'!T19</f>
        <v>0</v>
      </c>
      <c r="O17" s="78">
        <f>'8B1'!O19+'8B2'!V19+'8B3'!V19+'8B4'!V19</f>
        <v>0</v>
      </c>
      <c r="P17" s="78">
        <f>'8B1'!P19+'8B2'!X19+'8B3'!X19+'8B4'!X19</f>
        <v>0</v>
      </c>
      <c r="Q17" s="78">
        <f>'8B1'!Q19+'8B2'!Z19+'8B3'!Z19+'8B4'!Z19</f>
        <v>0</v>
      </c>
      <c r="R17" s="78">
        <f>'8B1'!R19+'8B2'!AB19+'8B3'!AB19+'8B4'!AB19</f>
        <v>0</v>
      </c>
      <c r="S17" s="78">
        <f>'8B1'!S19+'8B2'!AD19+'8B3'!AD19+'8B4'!AD19</f>
        <v>0</v>
      </c>
      <c r="T17" s="122"/>
      <c r="U17" s="123"/>
      <c r="V17" s="123"/>
    </row>
    <row r="18" spans="1:22" x14ac:dyDescent="0.2">
      <c r="A18" s="386"/>
      <c r="B18" s="355"/>
      <c r="C18" s="387" t="s">
        <v>60</v>
      </c>
      <c r="D18" s="355" t="s">
        <v>191</v>
      </c>
      <c r="E18" s="382"/>
      <c r="F18" s="382"/>
      <c r="G18" s="458" t="s">
        <v>676</v>
      </c>
      <c r="H18" s="320"/>
      <c r="I18" s="78">
        <f>'8B1'!I20+'8B2'!J20+'8B3'!J20+'8B4'!J20</f>
        <v>0</v>
      </c>
      <c r="J18" s="78">
        <f>'8B1'!J20+'8B2'!L20+'8B3'!L20+'8B4'!L20</f>
        <v>0</v>
      </c>
      <c r="K18" s="78">
        <f>'8B1'!K20+'8B2'!N20+'8B3'!N20+'8B4'!N20</f>
        <v>0</v>
      </c>
      <c r="L18" s="78">
        <f>'8B1'!L20+'8B2'!P20+'8B3'!P20+'8B4'!P20</f>
        <v>0</v>
      </c>
      <c r="M18" s="78">
        <f>'8B1'!M20+'8B2'!R20+'8B3'!R20+'8B4'!R20</f>
        <v>0</v>
      </c>
      <c r="N18" s="78">
        <f>'8B1'!N20+'8B2'!T20+'8B3'!T20+'8B4'!T20</f>
        <v>0</v>
      </c>
      <c r="O18" s="78">
        <f>'8B1'!O20+'8B2'!V20+'8B3'!V20+'8B4'!V20</f>
        <v>0</v>
      </c>
      <c r="P18" s="78">
        <f>'8B1'!P20+'8B2'!X20+'8B3'!X20+'8B4'!X20</f>
        <v>0</v>
      </c>
      <c r="Q18" s="78">
        <f>'8B1'!Q20+'8B2'!Z20+'8B3'!Z20+'8B4'!Z20</f>
        <v>0</v>
      </c>
      <c r="R18" s="78">
        <f>'8B1'!R20+'8B2'!AB20+'8B3'!AB20+'8B4'!AB20</f>
        <v>0</v>
      </c>
      <c r="S18" s="78">
        <f>'8B1'!S20+'8B2'!AD20+'8B3'!AD20+'8B4'!AD20</f>
        <v>0</v>
      </c>
      <c r="T18" s="122"/>
      <c r="U18" s="123"/>
      <c r="V18" s="123"/>
    </row>
    <row r="19" spans="1:22" x14ac:dyDescent="0.2">
      <c r="A19" s="384"/>
      <c r="B19" s="385"/>
      <c r="C19" s="390"/>
      <c r="D19" s="385" t="s">
        <v>11</v>
      </c>
      <c r="E19" s="383" t="s">
        <v>192</v>
      </c>
      <c r="F19" s="382"/>
      <c r="G19" s="458" t="s">
        <v>677</v>
      </c>
      <c r="H19" s="320"/>
      <c r="I19" s="78">
        <f>'8B1'!I21+'8B2'!J21+'8B3'!J21+'8B4'!J21</f>
        <v>0</v>
      </c>
      <c r="J19" s="78">
        <f>'8B1'!J21+'8B2'!L21+'8B3'!L21+'8B4'!L21</f>
        <v>0</v>
      </c>
      <c r="K19" s="78">
        <f>'8B1'!K21+'8B2'!N21+'8B3'!N21+'8B4'!N21</f>
        <v>0</v>
      </c>
      <c r="L19" s="78">
        <f>'8B1'!L21+'8B2'!P21+'8B3'!P21+'8B4'!P21</f>
        <v>0</v>
      </c>
      <c r="M19" s="78">
        <f>'8B1'!M21+'8B2'!R21+'8B3'!R21+'8B4'!R21</f>
        <v>0</v>
      </c>
      <c r="N19" s="78">
        <f>'8B1'!N21+'8B2'!T21+'8B3'!T21+'8B4'!T21</f>
        <v>0</v>
      </c>
      <c r="O19" s="78">
        <f>'8B1'!O21+'8B2'!V21+'8B3'!V21+'8B4'!V21</f>
        <v>0</v>
      </c>
      <c r="P19" s="78">
        <f>'8B1'!P21+'8B2'!X21+'8B3'!X21+'8B4'!X21</f>
        <v>0</v>
      </c>
      <c r="Q19" s="78">
        <f>'8B1'!Q21+'8B2'!Z21+'8B3'!Z21+'8B4'!Z21</f>
        <v>0</v>
      </c>
      <c r="R19" s="78">
        <f>'8B1'!R21+'8B2'!AB21+'8B3'!AB21+'8B4'!AB21</f>
        <v>0</v>
      </c>
      <c r="S19" s="78">
        <f>'8B1'!S21+'8B2'!AD21+'8B3'!AD21+'8B4'!AD21</f>
        <v>0</v>
      </c>
      <c r="T19" s="122"/>
      <c r="U19" s="123"/>
      <c r="V19" s="123"/>
    </row>
    <row r="20" spans="1:22" x14ac:dyDescent="0.2">
      <c r="A20" s="386"/>
      <c r="B20" s="355"/>
      <c r="C20" s="355"/>
      <c r="D20" s="355" t="s">
        <v>15</v>
      </c>
      <c r="E20" s="382" t="s">
        <v>193</v>
      </c>
      <c r="F20" s="382"/>
      <c r="G20" s="458" t="s">
        <v>678</v>
      </c>
      <c r="H20" s="320"/>
      <c r="I20" s="78">
        <f>'8B1'!I22+'8B2'!J22+'8B3'!J22+'8B4'!J22</f>
        <v>0</v>
      </c>
      <c r="J20" s="78">
        <f>'8B1'!J22+'8B2'!L22+'8B3'!L22+'8B4'!L22</f>
        <v>0</v>
      </c>
      <c r="K20" s="78">
        <f>'8B1'!K22+'8B2'!N22+'8B3'!N22+'8B4'!N22</f>
        <v>0</v>
      </c>
      <c r="L20" s="78">
        <f>'8B1'!L22+'8B2'!P22+'8B3'!P22+'8B4'!P22</f>
        <v>0</v>
      </c>
      <c r="M20" s="78">
        <f>'8B1'!M22+'8B2'!R22+'8B3'!R22+'8B4'!R22</f>
        <v>0</v>
      </c>
      <c r="N20" s="78">
        <f>'8B1'!N22+'8B2'!T22+'8B3'!T22+'8B4'!T22</f>
        <v>0</v>
      </c>
      <c r="O20" s="78">
        <f>'8B1'!O22+'8B2'!V22+'8B3'!V22+'8B4'!V22</f>
        <v>0</v>
      </c>
      <c r="P20" s="78">
        <f>'8B1'!P22+'8B2'!X22+'8B3'!X22+'8B4'!X22</f>
        <v>0</v>
      </c>
      <c r="Q20" s="78">
        <f>'8B1'!Q22+'8B2'!Z22+'8B3'!Z22+'8B4'!Z22</f>
        <v>0</v>
      </c>
      <c r="R20" s="78">
        <f>'8B1'!R22+'8B2'!AB22+'8B3'!AB22+'8B4'!AB22</f>
        <v>0</v>
      </c>
      <c r="S20" s="78">
        <f>'8B1'!S22+'8B2'!AD22+'8B3'!AD22+'8B4'!AD22</f>
        <v>0</v>
      </c>
      <c r="T20" s="122"/>
      <c r="U20" s="123"/>
      <c r="V20" s="123"/>
    </row>
    <row r="21" spans="1:22" x14ac:dyDescent="0.2">
      <c r="A21" s="384"/>
      <c r="B21" s="385"/>
      <c r="C21" s="385"/>
      <c r="D21" s="385" t="s">
        <v>25</v>
      </c>
      <c r="E21" s="383" t="s">
        <v>194</v>
      </c>
      <c r="F21" s="382"/>
      <c r="G21" s="458" t="s">
        <v>679</v>
      </c>
      <c r="H21" s="320"/>
      <c r="I21" s="78">
        <f>'8B1'!I23+'8B2'!J23+'8B3'!J23+'8B4'!J23</f>
        <v>0</v>
      </c>
      <c r="J21" s="78">
        <f>'8B1'!J23+'8B2'!L23+'8B3'!L23+'8B4'!L23</f>
        <v>0</v>
      </c>
      <c r="K21" s="78">
        <f>'8B1'!K23+'8B2'!N23+'8B3'!N23+'8B4'!N23</f>
        <v>0</v>
      </c>
      <c r="L21" s="78">
        <f>'8B1'!L23+'8B2'!P23+'8B3'!P23+'8B4'!P23</f>
        <v>0</v>
      </c>
      <c r="M21" s="78">
        <f>'8B1'!M23+'8B2'!R23+'8B3'!R23+'8B4'!R23</f>
        <v>0</v>
      </c>
      <c r="N21" s="78">
        <f>'8B1'!N23+'8B2'!T23+'8B3'!T23+'8B4'!T23</f>
        <v>0</v>
      </c>
      <c r="O21" s="78">
        <f>'8B1'!O23+'8B2'!V23+'8B3'!V23+'8B4'!V23</f>
        <v>0</v>
      </c>
      <c r="P21" s="78">
        <f>'8B1'!P23+'8B2'!X23+'8B3'!X23+'8B4'!X23</f>
        <v>0</v>
      </c>
      <c r="Q21" s="78">
        <f>'8B1'!Q23+'8B2'!Z23+'8B3'!Z23+'8B4'!Z23</f>
        <v>0</v>
      </c>
      <c r="R21" s="78">
        <f>'8B1'!R23+'8B2'!AB23+'8B3'!AB23+'8B4'!AB23</f>
        <v>0</v>
      </c>
      <c r="S21" s="78">
        <f>'8B1'!S23+'8B2'!AD23+'8B3'!AD23+'8B4'!AD23</f>
        <v>0</v>
      </c>
      <c r="T21" s="122"/>
      <c r="U21" s="123"/>
      <c r="V21" s="123"/>
    </row>
    <row r="22" spans="1:22" x14ac:dyDescent="0.2">
      <c r="A22" s="386"/>
      <c r="B22" s="355" t="s">
        <v>195</v>
      </c>
      <c r="C22" s="355" t="s">
        <v>196</v>
      </c>
      <c r="D22" s="355"/>
      <c r="E22" s="382"/>
      <c r="F22" s="382"/>
      <c r="G22" s="458" t="s">
        <v>680</v>
      </c>
      <c r="H22" s="320"/>
      <c r="I22" s="78">
        <f>'8B1'!I24+'8B2'!J24+'8B3'!J24+'8B4'!J24</f>
        <v>0</v>
      </c>
      <c r="J22" s="78">
        <f>'8B1'!J24+'8B2'!L24+'8B3'!L24+'8B4'!L24</f>
        <v>0</v>
      </c>
      <c r="K22" s="78">
        <f>'8B1'!K24+'8B2'!N24+'8B3'!N24+'8B4'!N24</f>
        <v>0</v>
      </c>
      <c r="L22" s="78">
        <f>'8B1'!L24+'8B2'!P24+'8B3'!P24+'8B4'!P24</f>
        <v>0</v>
      </c>
      <c r="M22" s="78">
        <f>'8B1'!M24+'8B2'!R24+'8B3'!R24+'8B4'!R24</f>
        <v>0</v>
      </c>
      <c r="N22" s="78">
        <f>'8B1'!N24+'8B2'!T24+'8B3'!T24+'8B4'!T24</f>
        <v>0</v>
      </c>
      <c r="O22" s="78">
        <f>'8B1'!O24+'8B2'!V24+'8B3'!V24+'8B4'!V24</f>
        <v>0</v>
      </c>
      <c r="P22" s="78">
        <f>'8B1'!P24+'8B2'!X24+'8B3'!X24+'8B4'!X24</f>
        <v>0</v>
      </c>
      <c r="Q22" s="78">
        <f>'8B1'!Q24+'8B2'!Z24+'8B3'!Z24+'8B4'!Z24</f>
        <v>0</v>
      </c>
      <c r="R22" s="78">
        <f>'8B1'!R24+'8B2'!AB24+'8B3'!AB24+'8B4'!AB24</f>
        <v>0</v>
      </c>
      <c r="S22" s="78">
        <f>'8B1'!S24+'8B2'!AD24+'8B3'!AD24+'8B4'!AD24</f>
        <v>0</v>
      </c>
      <c r="T22" s="122"/>
      <c r="U22" s="123"/>
      <c r="V22" s="123"/>
    </row>
    <row r="23" spans="1:22" x14ac:dyDescent="0.2">
      <c r="A23" s="384"/>
      <c r="B23" s="385" t="s">
        <v>197</v>
      </c>
      <c r="C23" s="385" t="s">
        <v>198</v>
      </c>
      <c r="D23" s="385"/>
      <c r="E23" s="383"/>
      <c r="F23" s="382"/>
      <c r="G23" s="458" t="s">
        <v>681</v>
      </c>
      <c r="H23" s="320"/>
      <c r="I23" s="78">
        <f>'8B1'!I25+'8B2'!J25+'8B3'!J25+'8B4'!J25</f>
        <v>0</v>
      </c>
      <c r="J23" s="78">
        <f>'8B1'!J25+'8B2'!L25+'8B3'!L25+'8B4'!L25</f>
        <v>0</v>
      </c>
      <c r="K23" s="78">
        <f>'8B1'!K25+'8B2'!N25+'8B3'!N25+'8B4'!N25</f>
        <v>0</v>
      </c>
      <c r="L23" s="78">
        <f>'8B1'!L25+'8B2'!P25+'8B3'!P25+'8B4'!P25</f>
        <v>0</v>
      </c>
      <c r="M23" s="78">
        <f>'8B1'!M25+'8B2'!R25+'8B3'!R25+'8B4'!R25</f>
        <v>0</v>
      </c>
      <c r="N23" s="78">
        <f>'8B1'!N25+'8B2'!T25+'8B3'!T25+'8B4'!T25</f>
        <v>0</v>
      </c>
      <c r="O23" s="78">
        <f>'8B1'!O25+'8B2'!V25+'8B3'!V25+'8B4'!V25</f>
        <v>0</v>
      </c>
      <c r="P23" s="78">
        <f>'8B1'!P25+'8B2'!X25+'8B3'!X25+'8B4'!X25</f>
        <v>0</v>
      </c>
      <c r="Q23" s="78">
        <f>'8B1'!Q25+'8B2'!Z25+'8B3'!Z25+'8B4'!Z25</f>
        <v>0</v>
      </c>
      <c r="R23" s="78">
        <f>'8B1'!R25+'8B2'!AB25+'8B3'!AB25+'8B4'!AB25</f>
        <v>0</v>
      </c>
      <c r="S23" s="78">
        <f>'8B1'!S25+'8B2'!AD25+'8B3'!AD25+'8B4'!AD25</f>
        <v>0</v>
      </c>
      <c r="T23" s="122"/>
      <c r="U23" s="123"/>
      <c r="V23" s="123"/>
    </row>
    <row r="24" spans="1:22" x14ac:dyDescent="0.2">
      <c r="A24" s="386"/>
      <c r="B24" s="355"/>
      <c r="C24" s="387" t="s">
        <v>19</v>
      </c>
      <c r="D24" s="355" t="s">
        <v>199</v>
      </c>
      <c r="E24" s="382"/>
      <c r="F24" s="382"/>
      <c r="G24" s="458" t="s">
        <v>682</v>
      </c>
      <c r="H24" s="320"/>
      <c r="I24" s="78">
        <f>'8B1'!I26+'8B2'!J26+'8B3'!J26+'8B4'!J26</f>
        <v>0</v>
      </c>
      <c r="J24" s="78">
        <f>'8B1'!J26+'8B2'!L26+'8B3'!L26+'8B4'!L26</f>
        <v>0</v>
      </c>
      <c r="K24" s="78">
        <f>'8B1'!K26+'8B2'!N26+'8B3'!N26+'8B4'!N26</f>
        <v>0</v>
      </c>
      <c r="L24" s="78">
        <f>'8B1'!L26+'8B2'!P26+'8B3'!P26+'8B4'!P26</f>
        <v>0</v>
      </c>
      <c r="M24" s="78">
        <f>'8B1'!M26+'8B2'!R26+'8B3'!R26+'8B4'!R26</f>
        <v>0</v>
      </c>
      <c r="N24" s="78">
        <f>'8B1'!N26+'8B2'!T26+'8B3'!T26+'8B4'!T26</f>
        <v>0</v>
      </c>
      <c r="O24" s="78">
        <f>'8B1'!O26+'8B2'!V26+'8B3'!V26+'8B4'!V26</f>
        <v>0</v>
      </c>
      <c r="P24" s="78">
        <f>'8B1'!P26+'8B2'!X26+'8B3'!X26+'8B4'!X26</f>
        <v>0</v>
      </c>
      <c r="Q24" s="78">
        <f>'8B1'!Q26+'8B2'!Z26+'8B3'!Z26+'8B4'!Z26</f>
        <v>0</v>
      </c>
      <c r="R24" s="78">
        <f>'8B1'!R26+'8B2'!AB26+'8B3'!AB26+'8B4'!AB26</f>
        <v>0</v>
      </c>
      <c r="S24" s="78">
        <f>'8B1'!S26+'8B2'!AD26+'8B3'!AD26+'8B4'!AD26</f>
        <v>0</v>
      </c>
      <c r="T24" s="122"/>
      <c r="U24" s="123"/>
      <c r="V24" s="123"/>
    </row>
    <row r="25" spans="1:22" x14ac:dyDescent="0.2">
      <c r="A25" s="384"/>
      <c r="B25" s="385"/>
      <c r="C25" s="390" t="s">
        <v>21</v>
      </c>
      <c r="D25" s="391" t="s">
        <v>200</v>
      </c>
      <c r="E25" s="383"/>
      <c r="F25" s="382"/>
      <c r="G25" s="458" t="s">
        <v>683</v>
      </c>
      <c r="H25" s="320"/>
      <c r="I25" s="78">
        <f>'8B1'!I27+'8B2'!J27+'8B3'!J27+'8B4'!J27</f>
        <v>0</v>
      </c>
      <c r="J25" s="78">
        <f>'8B1'!J27+'8B2'!L27+'8B3'!L27+'8B4'!L27</f>
        <v>0</v>
      </c>
      <c r="K25" s="78">
        <f>'8B1'!K27+'8B2'!N27+'8B3'!N27+'8B4'!N27</f>
        <v>0</v>
      </c>
      <c r="L25" s="78">
        <f>'8B1'!L27+'8B2'!P27+'8B3'!P27+'8B4'!P27</f>
        <v>0</v>
      </c>
      <c r="M25" s="78">
        <f>'8B1'!M27+'8B2'!R27+'8B3'!R27+'8B4'!R27</f>
        <v>0</v>
      </c>
      <c r="N25" s="78">
        <f>'8B1'!N27+'8B2'!T27+'8B3'!T27+'8B4'!T27</f>
        <v>0</v>
      </c>
      <c r="O25" s="78">
        <f>'8B1'!O27+'8B2'!V27+'8B3'!V27+'8B4'!V27</f>
        <v>0</v>
      </c>
      <c r="P25" s="78">
        <f>'8B1'!P27+'8B2'!X27+'8B3'!X27+'8B4'!X27</f>
        <v>0</v>
      </c>
      <c r="Q25" s="78">
        <f>'8B1'!Q27+'8B2'!Z27+'8B3'!Z27+'8B4'!Z27</f>
        <v>0</v>
      </c>
      <c r="R25" s="78">
        <f>'8B1'!R27+'8B2'!AB27+'8B3'!AB27+'8B4'!AB27</f>
        <v>0</v>
      </c>
      <c r="S25" s="78">
        <f>'8B1'!S27+'8B2'!AD27+'8B3'!AD27+'8B4'!AD27</f>
        <v>0</v>
      </c>
      <c r="T25" s="122"/>
      <c r="U25" s="123"/>
      <c r="V25" s="123"/>
    </row>
    <row r="26" spans="1:22" x14ac:dyDescent="0.2">
      <c r="A26" s="386"/>
      <c r="B26" s="355" t="s">
        <v>201</v>
      </c>
      <c r="C26" s="355" t="s">
        <v>202</v>
      </c>
      <c r="D26" s="355"/>
      <c r="E26" s="382"/>
      <c r="F26" s="382"/>
      <c r="G26" s="458" t="s">
        <v>684</v>
      </c>
      <c r="H26" s="320"/>
      <c r="I26" s="78">
        <f>'8B1'!I28+'8B2'!J28+'8B3'!J28+'8B4'!J28</f>
        <v>0</v>
      </c>
      <c r="J26" s="78">
        <f>'8B1'!J28+'8B2'!L28+'8B3'!L28+'8B4'!L28</f>
        <v>0</v>
      </c>
      <c r="K26" s="78">
        <f>'8B1'!K28+'8B2'!N28+'8B3'!N28+'8B4'!N28</f>
        <v>0</v>
      </c>
      <c r="L26" s="78">
        <f>'8B1'!L28+'8B2'!P28+'8B3'!P28+'8B4'!P28</f>
        <v>0</v>
      </c>
      <c r="M26" s="78">
        <f>'8B1'!M28+'8B2'!R28+'8B3'!R28+'8B4'!R28</f>
        <v>0</v>
      </c>
      <c r="N26" s="78">
        <f>'8B1'!N28+'8B2'!T28+'8B3'!T28+'8B4'!T28</f>
        <v>0</v>
      </c>
      <c r="O26" s="78">
        <f>'8B1'!O28+'8B2'!V28+'8B3'!V28+'8B4'!V28</f>
        <v>0</v>
      </c>
      <c r="P26" s="78">
        <f>'8B1'!P28+'8B2'!X28+'8B3'!X28+'8B4'!X28</f>
        <v>0</v>
      </c>
      <c r="Q26" s="78">
        <f>'8B1'!Q28+'8B2'!Z28+'8B3'!Z28+'8B4'!Z28</f>
        <v>0</v>
      </c>
      <c r="R26" s="78">
        <f>'8B1'!R28+'8B2'!AB28+'8B3'!AB28+'8B4'!AB28</f>
        <v>0</v>
      </c>
      <c r="S26" s="78">
        <f>'8B1'!S28+'8B2'!AD28+'8B3'!AD28+'8B4'!AD28</f>
        <v>0</v>
      </c>
      <c r="T26" s="122"/>
      <c r="U26" s="123"/>
      <c r="V26" s="123"/>
    </row>
    <row r="27" spans="1:22" x14ac:dyDescent="0.2">
      <c r="A27" s="386"/>
      <c r="B27" s="355"/>
      <c r="C27" s="387" t="s">
        <v>19</v>
      </c>
      <c r="D27" s="355" t="s">
        <v>203</v>
      </c>
      <c r="E27" s="383"/>
      <c r="F27" s="382"/>
      <c r="G27" s="458" t="s">
        <v>685</v>
      </c>
      <c r="H27" s="320"/>
      <c r="I27" s="78">
        <f>'8B1'!I29+'8B2'!J29+'8B3'!J29+'8B4'!J29</f>
        <v>0</v>
      </c>
      <c r="J27" s="78">
        <f>'8B1'!J29+'8B2'!L29+'8B3'!L29+'8B4'!L29</f>
        <v>0</v>
      </c>
      <c r="K27" s="78">
        <f>'8B1'!K29+'8B2'!N29+'8B3'!N29+'8B4'!N29</f>
        <v>0</v>
      </c>
      <c r="L27" s="78">
        <f>'8B1'!L29+'8B2'!P29+'8B3'!P29+'8B4'!P29</f>
        <v>0</v>
      </c>
      <c r="M27" s="78">
        <f>'8B1'!M29+'8B2'!R29+'8B3'!R29+'8B4'!R29</f>
        <v>0</v>
      </c>
      <c r="N27" s="78">
        <f>'8B1'!N29+'8B2'!T29+'8B3'!T29+'8B4'!T29</f>
        <v>0</v>
      </c>
      <c r="O27" s="78">
        <f>'8B1'!O29+'8B2'!V29+'8B3'!V29+'8B4'!V29</f>
        <v>0</v>
      </c>
      <c r="P27" s="78">
        <f>'8B1'!P29+'8B2'!X29+'8B3'!X29+'8B4'!X29</f>
        <v>0</v>
      </c>
      <c r="Q27" s="78">
        <f>'8B1'!Q29+'8B2'!Z29+'8B3'!Z29+'8B4'!Z29</f>
        <v>0</v>
      </c>
      <c r="R27" s="78">
        <f>'8B1'!R29+'8B2'!AB29+'8B3'!AB29+'8B4'!AB29</f>
        <v>0</v>
      </c>
      <c r="S27" s="78">
        <f>'8B1'!S29+'8B2'!AD29+'8B3'!AD29+'8B4'!AD29</f>
        <v>0</v>
      </c>
      <c r="T27" s="122"/>
      <c r="U27" s="123"/>
      <c r="V27" s="123"/>
    </row>
    <row r="28" spans="1:22" x14ac:dyDescent="0.2">
      <c r="A28" s="386"/>
      <c r="B28" s="355"/>
      <c r="C28" s="387"/>
      <c r="D28" s="355" t="s">
        <v>11</v>
      </c>
      <c r="E28" s="355" t="s">
        <v>792</v>
      </c>
      <c r="F28" s="383"/>
      <c r="G28" s="458" t="s">
        <v>832</v>
      </c>
      <c r="H28" s="320"/>
      <c r="I28" s="78">
        <f>'8B1'!I30+'8B2'!J30+'8B3'!J30+'8B4'!J30</f>
        <v>0</v>
      </c>
      <c r="J28" s="78">
        <f>'8B1'!J30+'8B2'!L30+'8B3'!L30+'8B4'!L30</f>
        <v>0</v>
      </c>
      <c r="K28" s="78">
        <f>'8B1'!K30+'8B2'!N30+'8B3'!N30+'8B4'!N30</f>
        <v>0</v>
      </c>
      <c r="L28" s="78">
        <f>'8B1'!L30+'8B2'!P30+'8B3'!P30+'8B4'!P30</f>
        <v>0</v>
      </c>
      <c r="M28" s="78">
        <f>'8B1'!M30+'8B2'!R30+'8B3'!R30+'8B4'!R30</f>
        <v>0</v>
      </c>
      <c r="N28" s="78">
        <f>'8B1'!N30+'8B2'!T30+'8B3'!T30+'8B4'!T30</f>
        <v>0</v>
      </c>
      <c r="O28" s="78">
        <f>'8B1'!O30+'8B2'!V30+'8B3'!V30+'8B4'!V30</f>
        <v>0</v>
      </c>
      <c r="P28" s="78">
        <f>'8B1'!P30+'8B2'!X30+'8B3'!X30+'8B4'!X30</f>
        <v>0</v>
      </c>
      <c r="Q28" s="78">
        <f>'8B1'!Q30+'8B2'!Z30+'8B3'!Z30+'8B4'!Z30</f>
        <v>0</v>
      </c>
      <c r="R28" s="78">
        <f>'8B1'!R30+'8B2'!AB30+'8B3'!AB30+'8B4'!AB30</f>
        <v>0</v>
      </c>
      <c r="S28" s="78">
        <f>'8B1'!S30+'8B2'!AD30+'8B3'!AD30+'8B4'!AD30</f>
        <v>0</v>
      </c>
      <c r="T28" s="122"/>
      <c r="U28" s="123"/>
      <c r="V28" s="123"/>
    </row>
    <row r="29" spans="1:22" x14ac:dyDescent="0.2">
      <c r="A29" s="384"/>
      <c r="B29" s="385"/>
      <c r="C29" s="390"/>
      <c r="D29" s="392" t="s">
        <v>15</v>
      </c>
      <c r="E29" s="392" t="s">
        <v>793</v>
      </c>
      <c r="F29" s="383"/>
      <c r="G29" s="458" t="s">
        <v>833</v>
      </c>
      <c r="H29" s="320"/>
      <c r="I29" s="78">
        <f>'8B1'!I31+'8B2'!J31+'8B3'!J31+'8B4'!J31</f>
        <v>0</v>
      </c>
      <c r="J29" s="78">
        <f>'8B1'!J31+'8B2'!L31+'8B3'!L31+'8B4'!L31</f>
        <v>0</v>
      </c>
      <c r="K29" s="78">
        <f>'8B1'!K31+'8B2'!N31+'8B3'!N31+'8B4'!N31</f>
        <v>0</v>
      </c>
      <c r="L29" s="78">
        <f>'8B1'!L31+'8B2'!P31+'8B3'!P31+'8B4'!P31</f>
        <v>0</v>
      </c>
      <c r="M29" s="78">
        <f>'8B1'!M31+'8B2'!R31+'8B3'!R31+'8B4'!R31</f>
        <v>0</v>
      </c>
      <c r="N29" s="78">
        <f>'8B1'!N31+'8B2'!T31+'8B3'!T31+'8B4'!T31</f>
        <v>0</v>
      </c>
      <c r="O29" s="78">
        <f>'8B1'!O31+'8B2'!V31+'8B3'!V31+'8B4'!V31</f>
        <v>0</v>
      </c>
      <c r="P29" s="78">
        <f>'8B1'!P31+'8B2'!X31+'8B3'!X31+'8B4'!X31</f>
        <v>0</v>
      </c>
      <c r="Q29" s="78">
        <f>'8B1'!Q31+'8B2'!Z31+'8B3'!Z31+'8B4'!Z31</f>
        <v>0</v>
      </c>
      <c r="R29" s="78">
        <f>'8B1'!R31+'8B2'!AB31+'8B3'!AB31+'8B4'!AB31</f>
        <v>0</v>
      </c>
      <c r="S29" s="78">
        <f>'8B1'!S31+'8B2'!AD31+'8B3'!AD31+'8B4'!AD31</f>
        <v>0</v>
      </c>
      <c r="T29" s="122"/>
      <c r="U29" s="123"/>
      <c r="V29" s="123"/>
    </row>
    <row r="30" spans="1:22" x14ac:dyDescent="0.2">
      <c r="A30" s="386"/>
      <c r="B30" s="355"/>
      <c r="C30" s="387" t="s">
        <v>21</v>
      </c>
      <c r="D30" s="355" t="s">
        <v>194</v>
      </c>
      <c r="E30" s="382"/>
      <c r="F30" s="382"/>
      <c r="G30" s="458" t="s">
        <v>686</v>
      </c>
      <c r="H30" s="320"/>
      <c r="I30" s="78">
        <f>'8B1'!I32+'8B2'!J32+'8B3'!J32+'8B4'!J32</f>
        <v>0</v>
      </c>
      <c r="J30" s="78">
        <f>'8B1'!J32+'8B2'!L32+'8B3'!L32+'8B4'!L32</f>
        <v>0</v>
      </c>
      <c r="K30" s="78">
        <f>'8B1'!K32+'8B2'!N32+'8B3'!N32+'8B4'!N32</f>
        <v>0</v>
      </c>
      <c r="L30" s="78">
        <f>'8B1'!L32+'8B2'!P32+'8B3'!P32+'8B4'!P32</f>
        <v>0</v>
      </c>
      <c r="M30" s="78">
        <f>'8B1'!M32+'8B2'!R32+'8B3'!R32+'8B4'!R32</f>
        <v>0</v>
      </c>
      <c r="N30" s="78">
        <f>'8B1'!N32+'8B2'!T32+'8B3'!T32+'8B4'!T32</f>
        <v>0</v>
      </c>
      <c r="O30" s="78">
        <f>'8B1'!O32+'8B2'!V32+'8B3'!V32+'8B4'!V32</f>
        <v>0</v>
      </c>
      <c r="P30" s="78">
        <f>'8B1'!P32+'8B2'!X32+'8B3'!X32+'8B4'!X32</f>
        <v>0</v>
      </c>
      <c r="Q30" s="78">
        <f>'8B1'!Q32+'8B2'!Z32+'8B3'!Z32+'8B4'!Z32</f>
        <v>0</v>
      </c>
      <c r="R30" s="78">
        <f>'8B1'!R32+'8B2'!AB32+'8B3'!AB32+'8B4'!AB32</f>
        <v>0</v>
      </c>
      <c r="S30" s="78">
        <f>'8B1'!S32+'8B2'!AD32+'8B3'!AD32+'8B4'!AD32</f>
        <v>0</v>
      </c>
      <c r="T30" s="122"/>
      <c r="U30" s="123"/>
      <c r="V30" s="123"/>
    </row>
    <row r="31" spans="1:22" x14ac:dyDescent="0.2">
      <c r="A31" s="393" t="s">
        <v>33</v>
      </c>
      <c r="B31" s="394" t="s">
        <v>204</v>
      </c>
      <c r="C31" s="385"/>
      <c r="D31" s="385"/>
      <c r="E31" s="383"/>
      <c r="F31" s="382"/>
      <c r="G31" s="458" t="s">
        <v>687</v>
      </c>
      <c r="H31" s="320"/>
      <c r="I31" s="78">
        <f>'8B1'!I33+'8B2'!J33+'8B3'!J33+'8B4'!J33</f>
        <v>0</v>
      </c>
      <c r="J31" s="78">
        <f>'8B1'!J33+'8B2'!L33+'8B3'!L33+'8B4'!L33</f>
        <v>0</v>
      </c>
      <c r="K31" s="78">
        <f>'8B1'!K33+'8B2'!N33+'8B3'!N33+'8B4'!N33</f>
        <v>0</v>
      </c>
      <c r="L31" s="78">
        <f>'8B1'!L33+'8B2'!P33+'8B3'!P33+'8B4'!P33</f>
        <v>0</v>
      </c>
      <c r="M31" s="78">
        <f>'8B1'!M33+'8B2'!R33+'8B3'!R33+'8B4'!R33</f>
        <v>0</v>
      </c>
      <c r="N31" s="78">
        <f>'8B1'!N33+'8B2'!T33+'8B3'!T33+'8B4'!T33</f>
        <v>0</v>
      </c>
      <c r="O31" s="78">
        <f>'8B1'!O33+'8B2'!V33+'8B3'!V33+'8B4'!V33</f>
        <v>0</v>
      </c>
      <c r="P31" s="78">
        <f>'8B1'!P33+'8B2'!X33+'8B3'!X33+'8B4'!X33</f>
        <v>0</v>
      </c>
      <c r="Q31" s="78">
        <f>'8B1'!Q33+'8B2'!Z33+'8B3'!Z33+'8B4'!Z33</f>
        <v>0</v>
      </c>
      <c r="R31" s="78">
        <f>'8B1'!R33+'8B2'!AB33+'8B3'!AB33+'8B4'!AB33</f>
        <v>0</v>
      </c>
      <c r="S31" s="78">
        <f>'8B1'!S33+'8B2'!AD33+'8B3'!AD33+'8B4'!AD33</f>
        <v>0</v>
      </c>
      <c r="T31" s="122"/>
      <c r="U31" s="123"/>
      <c r="V31" s="123"/>
    </row>
    <row r="32" spans="1:22" x14ac:dyDescent="0.2">
      <c r="A32" s="386"/>
      <c r="B32" s="355" t="s">
        <v>188</v>
      </c>
      <c r="C32" s="355" t="s">
        <v>205</v>
      </c>
      <c r="D32" s="355"/>
      <c r="E32" s="382"/>
      <c r="F32" s="382"/>
      <c r="G32" s="458" t="s">
        <v>688</v>
      </c>
      <c r="H32" s="320"/>
      <c r="I32" s="78">
        <f>'8B1'!I34+'8B2'!J34+'8B3'!J34+'8B4'!J34</f>
        <v>0</v>
      </c>
      <c r="J32" s="78">
        <f>'8B1'!J34+'8B2'!L34+'8B3'!L34+'8B4'!L34</f>
        <v>0</v>
      </c>
      <c r="K32" s="78">
        <f>'8B1'!K34+'8B2'!N34+'8B3'!N34+'8B4'!N34</f>
        <v>0</v>
      </c>
      <c r="L32" s="78">
        <f>'8B1'!L34+'8B2'!P34+'8B3'!P34+'8B4'!P34</f>
        <v>0</v>
      </c>
      <c r="M32" s="78">
        <f>'8B1'!M34+'8B2'!R34+'8B3'!R34+'8B4'!R34</f>
        <v>0</v>
      </c>
      <c r="N32" s="78">
        <f>'8B1'!N34+'8B2'!T34+'8B3'!T34+'8B4'!T34</f>
        <v>0</v>
      </c>
      <c r="O32" s="78">
        <f>'8B1'!O34+'8B2'!V34+'8B3'!V34+'8B4'!V34</f>
        <v>0</v>
      </c>
      <c r="P32" s="78">
        <f>'8B1'!P34+'8B2'!X34+'8B3'!X34+'8B4'!X34</f>
        <v>0</v>
      </c>
      <c r="Q32" s="78">
        <f>'8B1'!Q34+'8B2'!Z34+'8B3'!Z34+'8B4'!Z34</f>
        <v>0</v>
      </c>
      <c r="R32" s="78">
        <f>'8B1'!R34+'8B2'!AB34+'8B3'!AB34+'8B4'!AB34</f>
        <v>0</v>
      </c>
      <c r="S32" s="78">
        <f>'8B1'!S34+'8B2'!AD34+'8B3'!AD34+'8B4'!AD34</f>
        <v>0</v>
      </c>
      <c r="T32" s="122"/>
      <c r="U32" s="123"/>
      <c r="V32" s="123"/>
    </row>
    <row r="33" spans="1:244" x14ac:dyDescent="0.2">
      <c r="A33" s="384"/>
      <c r="B33" s="385" t="s">
        <v>195</v>
      </c>
      <c r="C33" s="385" t="s">
        <v>306</v>
      </c>
      <c r="D33" s="385"/>
      <c r="E33" s="383"/>
      <c r="F33" s="382"/>
      <c r="G33" s="458" t="s">
        <v>689</v>
      </c>
      <c r="H33" s="320"/>
      <c r="I33" s="78">
        <f>'8B1'!I35+'8B2'!J35+'8B3'!J35+'8B4'!J35</f>
        <v>0</v>
      </c>
      <c r="J33" s="78">
        <f>'8B1'!J35+'8B2'!L35+'8B3'!L35+'8B4'!L35</f>
        <v>0</v>
      </c>
      <c r="K33" s="78">
        <f>'8B1'!K35+'8B2'!N35+'8B3'!N35+'8B4'!N35</f>
        <v>0</v>
      </c>
      <c r="L33" s="78">
        <f>'8B1'!L35+'8B2'!P35+'8B3'!P35+'8B4'!P35</f>
        <v>0</v>
      </c>
      <c r="M33" s="78">
        <f>'8B1'!M35+'8B2'!R35+'8B3'!R35+'8B4'!R35</f>
        <v>0</v>
      </c>
      <c r="N33" s="78">
        <f>'8B1'!N35+'8B2'!T35+'8B3'!T35+'8B4'!T35</f>
        <v>0</v>
      </c>
      <c r="O33" s="78">
        <f>'8B1'!O35+'8B2'!V35+'8B3'!V35+'8B4'!V35</f>
        <v>0</v>
      </c>
      <c r="P33" s="78">
        <f>'8B1'!P35+'8B2'!X35+'8B3'!X35+'8B4'!X35</f>
        <v>0</v>
      </c>
      <c r="Q33" s="78">
        <f>'8B1'!Q35+'8B2'!Z35+'8B3'!Z35+'8B4'!Z35</f>
        <v>0</v>
      </c>
      <c r="R33" s="78">
        <f>'8B1'!R35+'8B2'!AB35+'8B3'!AB35+'8B4'!AB35</f>
        <v>0</v>
      </c>
      <c r="S33" s="78">
        <f>'8B1'!S35+'8B2'!AD35+'8B3'!AD35+'8B4'!AD35</f>
        <v>0</v>
      </c>
      <c r="T33" s="122"/>
      <c r="U33" s="123"/>
      <c r="V33" s="123"/>
    </row>
    <row r="34" spans="1:244" x14ac:dyDescent="0.2">
      <c r="A34" s="386"/>
      <c r="B34" s="355" t="s">
        <v>197</v>
      </c>
      <c r="C34" s="355" t="s">
        <v>198</v>
      </c>
      <c r="D34" s="355"/>
      <c r="E34" s="382"/>
      <c r="F34" s="382"/>
      <c r="G34" s="458" t="s">
        <v>690</v>
      </c>
      <c r="H34" s="320"/>
      <c r="I34" s="78">
        <f>'8B1'!I36+'8B2'!J36+'8B3'!J36+'8B4'!J36</f>
        <v>0</v>
      </c>
      <c r="J34" s="78">
        <f>'8B1'!J36+'8B2'!L36+'8B3'!L36+'8B4'!L36</f>
        <v>0</v>
      </c>
      <c r="K34" s="78">
        <f>'8B1'!K36+'8B2'!N36+'8B3'!N36+'8B4'!N36</f>
        <v>0</v>
      </c>
      <c r="L34" s="78">
        <f>'8B1'!L36+'8B2'!P36+'8B3'!P36+'8B4'!P36</f>
        <v>0</v>
      </c>
      <c r="M34" s="78">
        <f>'8B1'!M36+'8B2'!R36+'8B3'!R36+'8B4'!R36</f>
        <v>0</v>
      </c>
      <c r="N34" s="78">
        <f>'8B1'!N36+'8B2'!T36+'8B3'!T36+'8B4'!T36</f>
        <v>0</v>
      </c>
      <c r="O34" s="78">
        <f>'8B1'!O36+'8B2'!V36+'8B3'!V36+'8B4'!V36</f>
        <v>0</v>
      </c>
      <c r="P34" s="78">
        <f>'8B1'!P36+'8B2'!X36+'8B3'!X36+'8B4'!X36</f>
        <v>0</v>
      </c>
      <c r="Q34" s="78">
        <f>'8B1'!Q36+'8B2'!Z36+'8B3'!Z36+'8B4'!Z36</f>
        <v>0</v>
      </c>
      <c r="R34" s="78">
        <f>'8B1'!R36+'8B2'!AB36+'8B3'!AB36+'8B4'!AB36</f>
        <v>0</v>
      </c>
      <c r="S34" s="78">
        <f>'8B1'!S36+'8B2'!AD36+'8B3'!AD36+'8B4'!AD36</f>
        <v>0</v>
      </c>
      <c r="T34" s="122"/>
      <c r="U34" s="123"/>
      <c r="V34" s="123"/>
    </row>
    <row r="35" spans="1:244" x14ac:dyDescent="0.2">
      <c r="A35" s="384"/>
      <c r="B35" s="385"/>
      <c r="C35" s="390" t="s">
        <v>19</v>
      </c>
      <c r="D35" s="385" t="s">
        <v>207</v>
      </c>
      <c r="E35" s="383"/>
      <c r="F35" s="382"/>
      <c r="G35" s="458" t="s">
        <v>691</v>
      </c>
      <c r="H35" s="320"/>
      <c r="I35" s="78">
        <f>'8B1'!I37+'8B2'!J37+'8B3'!J37+'8B4'!J37</f>
        <v>0</v>
      </c>
      <c r="J35" s="78">
        <f>'8B1'!J37+'8B2'!L37+'8B3'!L37+'8B4'!L37</f>
        <v>0</v>
      </c>
      <c r="K35" s="78">
        <f>'8B1'!K37+'8B2'!N37+'8B3'!N37+'8B4'!N37</f>
        <v>0</v>
      </c>
      <c r="L35" s="78">
        <f>'8B1'!L37+'8B2'!P37+'8B3'!P37+'8B4'!P37</f>
        <v>0</v>
      </c>
      <c r="M35" s="78">
        <f>'8B1'!M37+'8B2'!R37+'8B3'!R37+'8B4'!R37</f>
        <v>0</v>
      </c>
      <c r="N35" s="78">
        <f>'8B1'!N37+'8B2'!T37+'8B3'!T37+'8B4'!T37</f>
        <v>0</v>
      </c>
      <c r="O35" s="78">
        <f>'8B1'!O37+'8B2'!V37+'8B3'!V37+'8B4'!V37</f>
        <v>0</v>
      </c>
      <c r="P35" s="78">
        <f>'8B1'!P37+'8B2'!X37+'8B3'!X37+'8B4'!X37</f>
        <v>0</v>
      </c>
      <c r="Q35" s="78">
        <f>'8B1'!Q37+'8B2'!Z37+'8B3'!Z37+'8B4'!Z37</f>
        <v>0</v>
      </c>
      <c r="R35" s="78">
        <f>'8B1'!R37+'8B2'!AB37+'8B3'!AB37+'8B4'!AB37</f>
        <v>0</v>
      </c>
      <c r="S35" s="78">
        <f>'8B1'!S37+'8B2'!AD37+'8B3'!AD37+'8B4'!AD37</f>
        <v>0</v>
      </c>
      <c r="T35" s="122"/>
      <c r="U35" s="123"/>
      <c r="V35" s="123"/>
    </row>
    <row r="36" spans="1:244" x14ac:dyDescent="0.2">
      <c r="A36" s="386"/>
      <c r="B36" s="355"/>
      <c r="C36" s="387" t="s">
        <v>21</v>
      </c>
      <c r="D36" s="395" t="s">
        <v>200</v>
      </c>
      <c r="E36" s="382"/>
      <c r="F36" s="382"/>
      <c r="G36" s="458" t="s">
        <v>692</v>
      </c>
      <c r="H36" s="320"/>
      <c r="I36" s="78">
        <f>'8B1'!I38+'8B2'!J38+'8B3'!J38+'8B4'!J38</f>
        <v>0</v>
      </c>
      <c r="J36" s="78">
        <f>'8B1'!J38+'8B2'!L38+'8B3'!L38+'8B4'!L38</f>
        <v>0</v>
      </c>
      <c r="K36" s="78">
        <f>'8B1'!K38+'8B2'!N38+'8B3'!N38+'8B4'!N38</f>
        <v>0</v>
      </c>
      <c r="L36" s="78">
        <f>'8B1'!L38+'8B2'!P38+'8B3'!P38+'8B4'!P38</f>
        <v>0</v>
      </c>
      <c r="M36" s="78">
        <f>'8B1'!M38+'8B2'!R38+'8B3'!R38+'8B4'!R38</f>
        <v>0</v>
      </c>
      <c r="N36" s="78">
        <f>'8B1'!N38+'8B2'!T38+'8B3'!T38+'8B4'!T38</f>
        <v>0</v>
      </c>
      <c r="O36" s="78">
        <f>'8B1'!O38+'8B2'!V38+'8B3'!V38+'8B4'!V38</f>
        <v>0</v>
      </c>
      <c r="P36" s="78">
        <f>'8B1'!P38+'8B2'!X38+'8B3'!X38+'8B4'!X38</f>
        <v>0</v>
      </c>
      <c r="Q36" s="78">
        <f>'8B1'!Q38+'8B2'!Z38+'8B3'!Z38+'8B4'!Z38</f>
        <v>0</v>
      </c>
      <c r="R36" s="78">
        <f>'8B1'!R38+'8B2'!AB38+'8B3'!AB38+'8B4'!AB38</f>
        <v>0</v>
      </c>
      <c r="S36" s="78">
        <f>'8B1'!S38+'8B2'!AD38+'8B3'!AD38+'8B4'!AD38</f>
        <v>0</v>
      </c>
      <c r="T36" s="122"/>
      <c r="U36" s="123"/>
      <c r="V36" s="123"/>
    </row>
    <row r="37" spans="1:244" s="16" customFormat="1" x14ac:dyDescent="0.2">
      <c r="A37" s="384"/>
      <c r="B37" s="385" t="s">
        <v>201</v>
      </c>
      <c r="C37" s="385" t="s">
        <v>208</v>
      </c>
      <c r="D37" s="385"/>
      <c r="E37" s="383"/>
      <c r="F37" s="382"/>
      <c r="G37" s="458" t="s">
        <v>693</v>
      </c>
      <c r="H37" s="320"/>
      <c r="I37" s="78">
        <f>'8B1'!I39+'8B2'!J39+'8B3'!J39+'8B4'!J39</f>
        <v>0</v>
      </c>
      <c r="J37" s="78">
        <f>'8B1'!J39+'8B2'!L39+'8B3'!L39+'8B4'!L39</f>
        <v>0</v>
      </c>
      <c r="K37" s="78">
        <f>'8B1'!K39+'8B2'!N39+'8B3'!N39+'8B4'!N39</f>
        <v>0</v>
      </c>
      <c r="L37" s="78">
        <f>'8B1'!L39+'8B2'!P39+'8B3'!P39+'8B4'!P39</f>
        <v>0</v>
      </c>
      <c r="M37" s="78">
        <f>'8B1'!M39+'8B2'!R39+'8B3'!R39+'8B4'!R39</f>
        <v>0</v>
      </c>
      <c r="N37" s="78">
        <f>'8B1'!N39+'8B2'!T39+'8B3'!T39+'8B4'!T39</f>
        <v>0</v>
      </c>
      <c r="O37" s="78">
        <f>'8B1'!O39+'8B2'!V39+'8B3'!V39+'8B4'!V39</f>
        <v>0</v>
      </c>
      <c r="P37" s="78">
        <f>'8B1'!P39+'8B2'!X39+'8B3'!X39+'8B4'!X39</f>
        <v>0</v>
      </c>
      <c r="Q37" s="78">
        <f>'8B1'!Q39+'8B2'!Z39+'8B3'!Z39+'8B4'!Z39</f>
        <v>0</v>
      </c>
      <c r="R37" s="78">
        <f>'8B1'!R39+'8B2'!AB39+'8B3'!AB39+'8B4'!AB39</f>
        <v>0</v>
      </c>
      <c r="S37" s="78">
        <f>'8B1'!S39+'8B2'!AD39+'8B3'!AD39+'8B4'!AD39</f>
        <v>0</v>
      </c>
      <c r="T37" s="34"/>
      <c r="U37" s="132"/>
      <c r="V37" s="132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1"/>
      <c r="CD37" s="21"/>
      <c r="CE37" s="21"/>
      <c r="CF37" s="21"/>
      <c r="CG37" s="21"/>
      <c r="CH37" s="21"/>
      <c r="CI37" s="21"/>
      <c r="CJ37" s="21"/>
      <c r="CK37" s="21"/>
      <c r="CL37" s="21"/>
      <c r="CM37" s="21"/>
      <c r="CN37" s="21"/>
      <c r="CO37" s="21"/>
      <c r="CP37" s="21"/>
      <c r="CQ37" s="21"/>
      <c r="CR37" s="21"/>
      <c r="CS37" s="21"/>
      <c r="CT37" s="21"/>
      <c r="CU37" s="21"/>
      <c r="CV37" s="21"/>
      <c r="CW37" s="21"/>
      <c r="CX37" s="21"/>
      <c r="CY37" s="21"/>
      <c r="CZ37" s="21"/>
      <c r="DA37" s="21"/>
      <c r="DB37" s="21"/>
      <c r="DC37" s="21"/>
      <c r="DD37" s="21"/>
      <c r="DE37" s="21"/>
      <c r="DF37" s="21"/>
      <c r="DG37" s="21"/>
      <c r="DH37" s="21"/>
      <c r="DI37" s="21"/>
      <c r="DJ37" s="21"/>
      <c r="DK37" s="21"/>
      <c r="DL37" s="21"/>
      <c r="DM37" s="21"/>
      <c r="DN37" s="21"/>
      <c r="DO37" s="21"/>
      <c r="DP37" s="21"/>
      <c r="DQ37" s="21"/>
      <c r="DR37" s="21"/>
      <c r="DS37" s="21"/>
      <c r="DT37" s="21"/>
      <c r="DU37" s="21"/>
      <c r="DV37" s="21"/>
      <c r="DW37" s="21"/>
      <c r="DX37" s="21"/>
      <c r="DY37" s="21"/>
      <c r="DZ37" s="21"/>
      <c r="EA37" s="21"/>
      <c r="EB37" s="21"/>
      <c r="EC37" s="21"/>
      <c r="ED37" s="21"/>
      <c r="EE37" s="21"/>
      <c r="EF37" s="21"/>
      <c r="EG37" s="21"/>
      <c r="EH37" s="21"/>
      <c r="EI37" s="21"/>
      <c r="EJ37" s="21"/>
      <c r="EK37" s="21"/>
      <c r="EL37" s="21"/>
      <c r="EM37" s="21"/>
      <c r="EN37" s="21"/>
      <c r="EO37" s="21"/>
      <c r="EP37" s="21"/>
      <c r="EQ37" s="21"/>
      <c r="ER37" s="21"/>
      <c r="ES37" s="21"/>
      <c r="ET37" s="21"/>
      <c r="EU37" s="21"/>
      <c r="EV37" s="21"/>
      <c r="EW37" s="21"/>
      <c r="EX37" s="21"/>
      <c r="EY37" s="21"/>
      <c r="EZ37" s="21"/>
      <c r="FA37" s="21"/>
      <c r="FB37" s="21"/>
      <c r="FC37" s="21"/>
      <c r="FD37" s="21"/>
      <c r="FE37" s="21"/>
      <c r="FF37" s="21"/>
      <c r="FG37" s="21"/>
      <c r="FH37" s="21"/>
      <c r="FI37" s="21"/>
      <c r="FJ37" s="21"/>
      <c r="FK37" s="21"/>
      <c r="FL37" s="21"/>
      <c r="FM37" s="21"/>
      <c r="FN37" s="21"/>
      <c r="FO37" s="21"/>
      <c r="FP37" s="21"/>
      <c r="FQ37" s="21"/>
      <c r="FR37" s="21"/>
      <c r="FS37" s="21"/>
      <c r="FT37" s="21"/>
      <c r="FU37" s="21"/>
      <c r="FV37" s="21"/>
      <c r="FW37" s="21"/>
      <c r="FX37" s="21"/>
      <c r="FY37" s="21"/>
      <c r="FZ37" s="21"/>
      <c r="GA37" s="21"/>
      <c r="GB37" s="21"/>
      <c r="GC37" s="21"/>
      <c r="GD37" s="21"/>
      <c r="GE37" s="21"/>
      <c r="GF37" s="21"/>
      <c r="GG37" s="21"/>
      <c r="GH37" s="21"/>
      <c r="GI37" s="21"/>
      <c r="GJ37" s="21"/>
      <c r="GK37" s="21"/>
      <c r="GL37" s="21"/>
      <c r="GM37" s="21"/>
      <c r="GN37" s="21"/>
      <c r="GO37" s="21"/>
      <c r="GP37" s="21"/>
      <c r="GQ37" s="21"/>
      <c r="GR37" s="21"/>
      <c r="GS37" s="21"/>
      <c r="GT37" s="21"/>
      <c r="GU37" s="21"/>
      <c r="GV37" s="21"/>
      <c r="GW37" s="21"/>
      <c r="GX37" s="21"/>
      <c r="GY37" s="21"/>
      <c r="GZ37" s="21"/>
      <c r="HA37" s="21"/>
      <c r="HB37" s="21"/>
      <c r="HC37" s="21"/>
      <c r="HD37" s="21"/>
      <c r="HE37" s="21"/>
      <c r="HF37" s="21"/>
      <c r="HG37" s="21"/>
      <c r="HH37" s="21"/>
      <c r="HI37" s="21"/>
      <c r="HJ37" s="21"/>
      <c r="HK37" s="21"/>
      <c r="HL37" s="21"/>
      <c r="HM37" s="21"/>
      <c r="HN37" s="21"/>
      <c r="HO37" s="21"/>
      <c r="HP37" s="21"/>
      <c r="HQ37" s="21"/>
      <c r="HR37" s="21"/>
      <c r="HS37" s="21"/>
      <c r="HT37" s="21"/>
      <c r="HU37" s="21"/>
      <c r="HV37" s="21"/>
      <c r="HW37" s="21"/>
      <c r="HX37" s="21"/>
      <c r="HY37" s="21"/>
      <c r="HZ37" s="21"/>
      <c r="IA37" s="21"/>
      <c r="IB37" s="21"/>
      <c r="IC37" s="21"/>
      <c r="ID37" s="21"/>
      <c r="IE37" s="21"/>
      <c r="IF37" s="21"/>
      <c r="IG37" s="21"/>
      <c r="IH37" s="21"/>
      <c r="II37" s="21"/>
      <c r="IJ37" s="21"/>
    </row>
    <row r="38" spans="1:244" s="16" customFormat="1" x14ac:dyDescent="0.2">
      <c r="A38" s="397" t="s">
        <v>48</v>
      </c>
      <c r="B38" s="381" t="s">
        <v>209</v>
      </c>
      <c r="C38" s="395"/>
      <c r="D38" s="355"/>
      <c r="E38" s="382"/>
      <c r="F38" s="382"/>
      <c r="G38" s="458" t="s">
        <v>694</v>
      </c>
      <c r="H38" s="320"/>
      <c r="I38" s="78">
        <f>'8B1'!I40+'8B2'!J40+'8B3'!J40+'8B4'!J40</f>
        <v>0</v>
      </c>
      <c r="J38" s="78">
        <f>'8B1'!J40+'8B2'!L40+'8B3'!L40+'8B4'!L40</f>
        <v>0</v>
      </c>
      <c r="K38" s="78">
        <f>'8B1'!K40+'8B2'!N40+'8B3'!N40+'8B4'!N40</f>
        <v>0</v>
      </c>
      <c r="L38" s="78">
        <f>'8B1'!L40+'8B2'!P40+'8B3'!P40+'8B4'!P40</f>
        <v>0</v>
      </c>
      <c r="M38" s="78">
        <f>'8B1'!M40+'8B2'!R40+'8B3'!R40+'8B4'!R40</f>
        <v>0</v>
      </c>
      <c r="N38" s="78">
        <f>'8B1'!N40+'8B2'!T40+'8B3'!T40+'8B4'!T40</f>
        <v>0</v>
      </c>
      <c r="O38" s="78">
        <f>'8B1'!O40+'8B2'!V40+'8B3'!V40+'8B4'!V40</f>
        <v>0</v>
      </c>
      <c r="P38" s="78">
        <f>'8B1'!P40+'8B2'!X40+'8B3'!X40+'8B4'!X40</f>
        <v>0</v>
      </c>
      <c r="Q38" s="78">
        <f>'8B1'!Q40+'8B2'!Z40+'8B3'!Z40+'8B4'!Z40</f>
        <v>0</v>
      </c>
      <c r="R38" s="78">
        <f>'8B1'!R40+'8B2'!AB40+'8B3'!AB40+'8B4'!AB40</f>
        <v>0</v>
      </c>
      <c r="S38" s="78">
        <f>'8B1'!S40+'8B2'!AD40+'8B3'!AD40+'8B4'!AD40</f>
        <v>0</v>
      </c>
      <c r="T38" s="141"/>
      <c r="U38" s="142"/>
      <c r="V38" s="142"/>
    </row>
    <row r="39" spans="1:244" s="19" customFormat="1" x14ac:dyDescent="0.2">
      <c r="A39" s="446" t="s">
        <v>925</v>
      </c>
      <c r="B39" s="447"/>
      <c r="C39" s="447"/>
      <c r="D39" s="447"/>
      <c r="E39" s="448"/>
      <c r="F39" s="433"/>
      <c r="G39" s="458" t="s">
        <v>695</v>
      </c>
      <c r="H39" s="320"/>
      <c r="I39" s="78">
        <f>'8B1'!I41+'8B2'!J41+'8B3'!J41+'8B4'!J41</f>
        <v>0</v>
      </c>
      <c r="J39" s="78">
        <f>'8B1'!J41+'8B2'!L41+'8B3'!L41+'8B4'!L41</f>
        <v>0</v>
      </c>
      <c r="K39" s="78">
        <f>'8B1'!K41+'8B2'!N41+'8B3'!N41+'8B4'!N41</f>
        <v>0</v>
      </c>
      <c r="L39" s="78">
        <f>'8B1'!L41+'8B2'!P41+'8B3'!P41+'8B4'!P41</f>
        <v>0</v>
      </c>
      <c r="M39" s="78">
        <f>'8B1'!M41+'8B2'!R41+'8B3'!R41+'8B4'!R41</f>
        <v>0</v>
      </c>
      <c r="N39" s="78">
        <f>'8B1'!N41+'8B2'!T41+'8B3'!T41+'8B4'!T41</f>
        <v>0</v>
      </c>
      <c r="O39" s="78">
        <f>'8B1'!O41+'8B2'!V41+'8B3'!V41+'8B4'!V41</f>
        <v>0</v>
      </c>
      <c r="P39" s="78">
        <f>'8B1'!P41+'8B2'!X41+'8B3'!X41+'8B4'!X41</f>
        <v>0</v>
      </c>
      <c r="Q39" s="78">
        <f>'8B1'!Q41+'8B2'!Z41+'8B3'!Z41+'8B4'!Z41</f>
        <v>0</v>
      </c>
      <c r="R39" s="78">
        <f>'8B1'!R41+'8B2'!AB41+'8B3'!AB41+'8B4'!AB41</f>
        <v>0</v>
      </c>
      <c r="S39" s="78">
        <f>'8B1'!S41+'8B2'!AD41+'8B3'!AD41+'8B4'!AD41</f>
        <v>0</v>
      </c>
      <c r="T39" s="133"/>
      <c r="U39" s="134"/>
      <c r="V39" s="134"/>
    </row>
    <row r="40" spans="1:244" s="154" customFormat="1" x14ac:dyDescent="0.2">
      <c r="A40" s="113"/>
      <c r="B40" s="14"/>
      <c r="C40" s="131"/>
      <c r="D40" s="39"/>
      <c r="E40" s="136"/>
      <c r="F40" s="238"/>
      <c r="G40" s="52" t="s">
        <v>184</v>
      </c>
      <c r="H40" s="48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2"/>
      <c r="U40" s="236"/>
      <c r="V40" s="236"/>
    </row>
    <row r="41" spans="1:244" s="154" customFormat="1" x14ac:dyDescent="0.2">
      <c r="A41" s="24"/>
      <c r="B41" s="39"/>
      <c r="C41" s="607"/>
      <c r="D41" s="607"/>
      <c r="E41" s="214"/>
      <c r="F41" s="214"/>
      <c r="G41" s="40"/>
      <c r="H41" s="40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236"/>
      <c r="V41" s="236"/>
    </row>
    <row r="42" spans="1:244" s="154" customFormat="1" x14ac:dyDescent="0.2">
      <c r="A42" s="24"/>
      <c r="B42" s="39"/>
      <c r="C42" s="135"/>
      <c r="D42" s="489"/>
      <c r="E42" s="489"/>
      <c r="F42" s="489"/>
      <c r="G42" s="40"/>
      <c r="H42" s="40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236"/>
      <c r="V42" s="236"/>
    </row>
    <row r="43" spans="1:244" s="154" customFormat="1" x14ac:dyDescent="0.2">
      <c r="A43" s="24"/>
      <c r="B43" s="39"/>
      <c r="C43" s="135"/>
      <c r="D43" s="489"/>
      <c r="E43" s="489"/>
      <c r="F43" s="489"/>
      <c r="G43" s="40"/>
      <c r="H43" s="40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236"/>
      <c r="V43" s="236"/>
    </row>
    <row r="44" spans="1:244" s="154" customFormat="1" x14ac:dyDescent="0.2">
      <c r="A44" s="24"/>
      <c r="B44" s="39"/>
      <c r="C44" s="131"/>
      <c r="D44" s="39"/>
      <c r="E44" s="39"/>
      <c r="F44" s="39"/>
      <c r="G44" s="40"/>
      <c r="H44" s="40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236"/>
      <c r="V44" s="236"/>
    </row>
    <row r="45" spans="1:244" s="154" customFormat="1" x14ac:dyDescent="0.2">
      <c r="A45" s="24"/>
      <c r="B45" s="39"/>
      <c r="C45" s="150"/>
      <c r="D45" s="39"/>
      <c r="E45" s="39"/>
      <c r="F45" s="39"/>
      <c r="G45" s="40"/>
      <c r="H45" s="40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236"/>
      <c r="V45" s="236"/>
    </row>
    <row r="46" spans="1:244" s="154" customFormat="1" x14ac:dyDescent="0.2">
      <c r="A46" s="24"/>
      <c r="B46" s="39"/>
      <c r="C46" s="140"/>
      <c r="D46" s="39"/>
      <c r="E46" s="39"/>
      <c r="F46" s="39"/>
      <c r="G46" s="40"/>
      <c r="H46" s="40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236"/>
      <c r="V46" s="236"/>
    </row>
    <row r="47" spans="1:244" s="154" customFormat="1" x14ac:dyDescent="0.2">
      <c r="A47" s="24"/>
      <c r="B47" s="39"/>
      <c r="C47" s="131"/>
      <c r="D47" s="39"/>
      <c r="E47" s="39"/>
      <c r="F47" s="39"/>
      <c r="G47" s="40"/>
      <c r="H47" s="40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236"/>
      <c r="V47" s="236"/>
    </row>
    <row r="48" spans="1:244" s="154" customFormat="1" x14ac:dyDescent="0.2">
      <c r="A48" s="24"/>
      <c r="B48" s="39"/>
      <c r="C48" s="135"/>
      <c r="D48" s="489"/>
      <c r="E48" s="489"/>
      <c r="F48" s="214"/>
      <c r="G48" s="40"/>
      <c r="H48" s="40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236"/>
      <c r="V48" s="236"/>
    </row>
    <row r="49" spans="1:22" s="154" customFormat="1" x14ac:dyDescent="0.2">
      <c r="A49" s="24"/>
      <c r="B49" s="39"/>
      <c r="C49" s="135"/>
      <c r="D49" s="489"/>
      <c r="E49" s="489"/>
      <c r="F49" s="489"/>
      <c r="G49" s="40"/>
      <c r="H49" s="40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236"/>
      <c r="V49" s="236"/>
    </row>
    <row r="50" spans="1:22" s="154" customFormat="1" x14ac:dyDescent="0.2">
      <c r="A50" s="24"/>
      <c r="B50" s="14"/>
      <c r="C50" s="131"/>
      <c r="D50" s="39"/>
      <c r="E50" s="39"/>
      <c r="F50" s="39"/>
      <c r="G50" s="40"/>
      <c r="H50" s="40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236"/>
      <c r="V50" s="236"/>
    </row>
    <row r="51" spans="1:22" s="154" customFormat="1" x14ac:dyDescent="0.2">
      <c r="A51" s="24"/>
      <c r="B51" s="39"/>
      <c r="C51" s="606"/>
      <c r="D51" s="606"/>
      <c r="E51" s="39"/>
      <c r="F51" s="39"/>
      <c r="G51" s="40"/>
      <c r="H51" s="40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236"/>
      <c r="V51" s="236"/>
    </row>
    <row r="52" spans="1:22" s="154" customFormat="1" x14ac:dyDescent="0.2">
      <c r="A52" s="24"/>
      <c r="B52" s="39"/>
      <c r="C52" s="131"/>
      <c r="D52" s="131"/>
      <c r="E52" s="39"/>
      <c r="F52" s="39"/>
      <c r="G52" s="40"/>
      <c r="H52" s="40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236"/>
      <c r="V52" s="236"/>
    </row>
    <row r="53" spans="1:22" s="154" customFormat="1" x14ac:dyDescent="0.2">
      <c r="A53" s="24"/>
      <c r="B53" s="39"/>
      <c r="C53" s="39"/>
      <c r="D53" s="39"/>
      <c r="E53" s="39"/>
      <c r="F53" s="39"/>
      <c r="G53" s="40"/>
      <c r="H53" s="40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236"/>
      <c r="V53" s="236"/>
    </row>
    <row r="54" spans="1:22" s="154" customFormat="1" x14ac:dyDescent="0.2">
      <c r="A54" s="166"/>
      <c r="B54" s="14"/>
      <c r="C54" s="131"/>
      <c r="D54" s="39"/>
      <c r="E54" s="39"/>
      <c r="F54" s="39"/>
      <c r="G54" s="40"/>
      <c r="H54" s="40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236"/>
      <c r="V54" s="236"/>
    </row>
    <row r="55" spans="1:22" s="21" customFormat="1" x14ac:dyDescent="0.2">
      <c r="A55" s="166"/>
      <c r="B55" s="39"/>
      <c r="C55" s="39"/>
      <c r="D55" s="39"/>
      <c r="E55" s="39"/>
      <c r="F55" s="39"/>
      <c r="G55" s="20"/>
      <c r="H55" s="20"/>
      <c r="I55" s="32"/>
      <c r="J55" s="32"/>
      <c r="K55" s="32"/>
      <c r="L55" s="32"/>
      <c r="M55" s="32"/>
      <c r="N55" s="34"/>
      <c r="O55" s="32"/>
      <c r="P55" s="32"/>
      <c r="Q55" s="32"/>
      <c r="R55" s="32"/>
      <c r="S55" s="32"/>
      <c r="T55" s="34"/>
      <c r="U55" s="132"/>
      <c r="V55" s="132"/>
    </row>
    <row r="56" spans="1:22" s="21" customFormat="1" x14ac:dyDescent="0.2">
      <c r="A56" s="166"/>
      <c r="B56" s="14"/>
      <c r="C56" s="39"/>
      <c r="D56" s="39"/>
      <c r="E56" s="39"/>
      <c r="F56" s="39"/>
      <c r="G56" s="20"/>
      <c r="H56" s="20"/>
      <c r="I56" s="32"/>
      <c r="J56" s="32"/>
      <c r="K56" s="32"/>
      <c r="L56" s="32"/>
      <c r="M56" s="32"/>
      <c r="N56" s="34"/>
      <c r="O56" s="32"/>
      <c r="P56" s="32"/>
      <c r="Q56" s="32"/>
      <c r="R56" s="32"/>
      <c r="S56" s="32"/>
      <c r="T56" s="34"/>
      <c r="U56" s="132"/>
      <c r="V56" s="132"/>
    </row>
    <row r="57" spans="1:22" s="21" customFormat="1" x14ac:dyDescent="0.2">
      <c r="A57" s="24"/>
      <c r="B57" s="39"/>
      <c r="C57" s="39"/>
      <c r="D57" s="39"/>
      <c r="E57" s="39"/>
      <c r="F57" s="39"/>
      <c r="G57" s="20"/>
      <c r="H57" s="20"/>
      <c r="I57" s="32"/>
      <c r="J57" s="32"/>
      <c r="K57" s="32"/>
      <c r="L57" s="32"/>
      <c r="M57" s="32"/>
      <c r="N57" s="34"/>
      <c r="O57" s="32"/>
      <c r="P57" s="32"/>
      <c r="Q57" s="32"/>
      <c r="R57" s="32"/>
      <c r="S57" s="32"/>
      <c r="T57" s="34"/>
      <c r="U57" s="132"/>
      <c r="V57" s="132"/>
    </row>
    <row r="58" spans="1:22" s="21" customFormat="1" x14ac:dyDescent="0.2">
      <c r="A58" s="166"/>
      <c r="B58" s="39"/>
      <c r="C58" s="39"/>
      <c r="D58" s="39"/>
      <c r="E58" s="39"/>
      <c r="F58" s="39"/>
      <c r="G58" s="20"/>
      <c r="H58" s="20"/>
      <c r="I58" s="32"/>
      <c r="J58" s="32"/>
      <c r="K58" s="32"/>
      <c r="L58" s="32"/>
      <c r="M58" s="32"/>
      <c r="N58" s="34"/>
      <c r="O58" s="32"/>
      <c r="P58" s="32"/>
      <c r="Q58" s="32"/>
      <c r="R58" s="32"/>
      <c r="S58" s="32"/>
      <c r="T58" s="34"/>
      <c r="U58" s="132"/>
      <c r="V58" s="132"/>
    </row>
    <row r="59" spans="1:22" s="21" customFormat="1" x14ac:dyDescent="0.2">
      <c r="A59" s="166"/>
      <c r="B59" s="39"/>
      <c r="C59" s="39"/>
      <c r="D59" s="39"/>
      <c r="E59" s="39"/>
      <c r="F59" s="39"/>
      <c r="G59" s="20"/>
      <c r="H59" s="20"/>
      <c r="I59" s="32"/>
      <c r="J59" s="32"/>
      <c r="K59" s="32"/>
      <c r="L59" s="32"/>
      <c r="M59" s="32"/>
      <c r="N59" s="34"/>
      <c r="O59" s="32"/>
      <c r="P59" s="32"/>
      <c r="Q59" s="32"/>
      <c r="R59" s="32"/>
      <c r="S59" s="32"/>
      <c r="T59" s="34"/>
      <c r="U59" s="132"/>
      <c r="V59" s="132"/>
    </row>
    <row r="60" spans="1:22" s="21" customFormat="1" x14ac:dyDescent="0.2">
      <c r="A60" s="166"/>
      <c r="B60" s="39"/>
      <c r="C60" s="39"/>
      <c r="D60" s="39"/>
      <c r="E60" s="39"/>
      <c r="F60" s="39"/>
      <c r="G60" s="20"/>
      <c r="H60" s="20"/>
      <c r="I60" s="32"/>
      <c r="J60" s="32"/>
      <c r="K60" s="32"/>
      <c r="L60" s="32"/>
      <c r="M60" s="32"/>
      <c r="N60" s="34"/>
      <c r="O60" s="32"/>
      <c r="P60" s="32"/>
      <c r="Q60" s="32"/>
      <c r="R60" s="32"/>
      <c r="S60" s="32"/>
      <c r="T60" s="34"/>
      <c r="U60" s="132"/>
      <c r="V60" s="132"/>
    </row>
    <row r="61" spans="1:22" s="21" customFormat="1" x14ac:dyDescent="0.2">
      <c r="A61" s="166"/>
      <c r="B61" s="39"/>
      <c r="C61" s="39"/>
      <c r="D61" s="39"/>
      <c r="E61" s="39"/>
      <c r="F61" s="39"/>
      <c r="G61" s="20"/>
      <c r="H61" s="20"/>
      <c r="I61" s="32"/>
      <c r="J61" s="32"/>
      <c r="K61" s="32"/>
      <c r="L61" s="32"/>
      <c r="M61" s="32"/>
      <c r="N61" s="34"/>
      <c r="O61" s="32"/>
      <c r="P61" s="32"/>
      <c r="Q61" s="32"/>
      <c r="R61" s="32"/>
      <c r="S61" s="32"/>
      <c r="T61" s="34"/>
      <c r="U61" s="132"/>
      <c r="V61" s="132"/>
    </row>
    <row r="62" spans="1:22" s="21" customFormat="1" x14ac:dyDescent="0.2">
      <c r="A62" s="151"/>
      <c r="B62" s="212"/>
      <c r="C62" s="212"/>
      <c r="D62" s="212"/>
      <c r="E62" s="212"/>
      <c r="F62" s="212"/>
      <c r="G62" s="20"/>
      <c r="H62" s="20"/>
      <c r="I62" s="32"/>
      <c r="J62" s="32"/>
      <c r="K62" s="32"/>
      <c r="L62" s="32"/>
      <c r="M62" s="32"/>
      <c r="N62" s="34"/>
      <c r="O62" s="32"/>
      <c r="P62" s="32"/>
      <c r="Q62" s="32"/>
      <c r="R62" s="32"/>
      <c r="S62" s="32"/>
      <c r="T62" s="34"/>
      <c r="U62" s="132"/>
      <c r="V62" s="132"/>
    </row>
    <row r="63" spans="1:22" s="21" customFormat="1" x14ac:dyDescent="0.2">
      <c r="A63" s="151"/>
      <c r="B63" s="212"/>
      <c r="C63" s="212"/>
      <c r="D63" s="212"/>
      <c r="E63" s="212"/>
      <c r="F63" s="212"/>
      <c r="G63" s="20"/>
      <c r="H63" s="20"/>
      <c r="I63" s="32"/>
      <c r="J63" s="32"/>
      <c r="K63" s="32"/>
      <c r="L63" s="32"/>
      <c r="M63" s="32"/>
      <c r="N63" s="34"/>
      <c r="O63" s="32"/>
      <c r="P63" s="32"/>
      <c r="Q63" s="32"/>
      <c r="R63" s="32"/>
      <c r="S63" s="32"/>
      <c r="T63" s="34"/>
      <c r="U63" s="132"/>
      <c r="V63" s="132"/>
    </row>
    <row r="64" spans="1:22" s="21" customFormat="1" x14ac:dyDescent="0.2">
      <c r="A64" s="151"/>
      <c r="B64" s="212"/>
      <c r="C64" s="212"/>
      <c r="D64" s="144"/>
      <c r="E64" s="144"/>
      <c r="F64" s="144"/>
      <c r="G64" s="20"/>
      <c r="H64" s="20"/>
      <c r="I64" s="32"/>
      <c r="J64" s="32"/>
      <c r="K64" s="32"/>
      <c r="L64" s="32"/>
      <c r="M64" s="32"/>
      <c r="N64" s="34"/>
      <c r="O64" s="32"/>
      <c r="P64" s="32"/>
      <c r="Q64" s="32"/>
      <c r="R64" s="32"/>
      <c r="S64" s="32"/>
      <c r="T64" s="34"/>
      <c r="U64" s="132"/>
      <c r="V64" s="132"/>
    </row>
    <row r="65" spans="1:22" s="21" customFormat="1" x14ac:dyDescent="0.2">
      <c r="A65" s="151"/>
      <c r="B65" s="39"/>
      <c r="C65" s="39"/>
      <c r="D65" s="39"/>
      <c r="E65" s="39"/>
      <c r="F65" s="39"/>
      <c r="G65" s="20"/>
      <c r="H65" s="20"/>
      <c r="I65" s="32"/>
      <c r="J65" s="32"/>
      <c r="K65" s="32"/>
      <c r="L65" s="32"/>
      <c r="M65" s="32"/>
      <c r="N65" s="34"/>
      <c r="O65" s="32"/>
      <c r="P65" s="32"/>
      <c r="Q65" s="32"/>
      <c r="R65" s="32"/>
      <c r="S65" s="32"/>
      <c r="T65" s="34"/>
      <c r="U65" s="132"/>
      <c r="V65" s="132"/>
    </row>
    <row r="66" spans="1:22" s="21" customFormat="1" x14ac:dyDescent="0.2">
      <c r="A66" s="166"/>
      <c r="B66" s="39"/>
      <c r="C66" s="39"/>
      <c r="D66" s="39"/>
      <c r="E66" s="39"/>
      <c r="F66" s="39"/>
      <c r="G66" s="20"/>
      <c r="H66" s="20"/>
      <c r="I66" s="32"/>
      <c r="J66" s="32"/>
      <c r="K66" s="32"/>
      <c r="L66" s="32"/>
      <c r="M66" s="32"/>
      <c r="N66" s="34"/>
      <c r="O66" s="32"/>
      <c r="P66" s="32"/>
      <c r="Q66" s="32"/>
      <c r="R66" s="32"/>
      <c r="S66" s="32"/>
      <c r="T66" s="34"/>
      <c r="U66" s="132"/>
      <c r="V66" s="132"/>
    </row>
    <row r="67" spans="1:22" s="21" customFormat="1" x14ac:dyDescent="0.2">
      <c r="A67" s="166"/>
      <c r="B67" s="39"/>
      <c r="C67" s="39"/>
      <c r="D67" s="39"/>
      <c r="E67" s="39"/>
      <c r="F67" s="39"/>
      <c r="G67" s="20"/>
      <c r="H67" s="20"/>
      <c r="I67" s="32"/>
      <c r="J67" s="32"/>
      <c r="K67" s="32"/>
      <c r="L67" s="32"/>
      <c r="M67" s="32"/>
      <c r="N67" s="34"/>
      <c r="O67" s="32"/>
      <c r="P67" s="32"/>
      <c r="Q67" s="32"/>
      <c r="R67" s="32"/>
      <c r="S67" s="32"/>
      <c r="T67" s="34"/>
      <c r="U67" s="132"/>
      <c r="V67" s="132"/>
    </row>
    <row r="68" spans="1:22" s="21" customFormat="1" x14ac:dyDescent="0.2">
      <c r="A68" s="166"/>
      <c r="B68" s="39"/>
      <c r="C68" s="39"/>
      <c r="D68" s="39"/>
      <c r="E68" s="39"/>
      <c r="F68" s="39"/>
      <c r="G68" s="20"/>
      <c r="H68" s="20"/>
      <c r="I68" s="32"/>
      <c r="J68" s="32"/>
      <c r="K68" s="32"/>
      <c r="L68" s="32"/>
      <c r="M68" s="32"/>
      <c r="N68" s="34"/>
      <c r="O68" s="32"/>
      <c r="P68" s="32"/>
      <c r="Q68" s="32"/>
      <c r="R68" s="32"/>
      <c r="S68" s="32"/>
      <c r="T68" s="34"/>
      <c r="U68" s="132"/>
      <c r="V68" s="132"/>
    </row>
    <row r="69" spans="1:22" s="21" customFormat="1" x14ac:dyDescent="0.2">
      <c r="A69" s="166"/>
      <c r="B69" s="39"/>
      <c r="C69" s="150"/>
      <c r="D69" s="39"/>
      <c r="E69" s="39"/>
      <c r="F69" s="39"/>
      <c r="G69" s="20"/>
      <c r="H69" s="20"/>
      <c r="I69" s="32"/>
      <c r="J69" s="32"/>
      <c r="K69" s="32"/>
      <c r="L69" s="32"/>
      <c r="M69" s="32"/>
      <c r="N69" s="34"/>
      <c r="O69" s="32"/>
      <c r="P69" s="32"/>
      <c r="Q69" s="32"/>
      <c r="R69" s="32"/>
      <c r="S69" s="32"/>
      <c r="T69" s="34"/>
      <c r="U69" s="132"/>
      <c r="V69" s="132"/>
    </row>
    <row r="70" spans="1:22" s="21" customFormat="1" x14ac:dyDescent="0.2">
      <c r="A70" s="166"/>
      <c r="B70" s="39"/>
      <c r="C70" s="150"/>
      <c r="D70" s="39"/>
      <c r="E70" s="39"/>
      <c r="F70" s="39"/>
      <c r="G70" s="20"/>
      <c r="H70" s="20"/>
      <c r="I70" s="32"/>
      <c r="J70" s="32"/>
      <c r="K70" s="32"/>
      <c r="L70" s="32"/>
      <c r="M70" s="32"/>
      <c r="N70" s="34"/>
      <c r="O70" s="32"/>
      <c r="P70" s="32"/>
      <c r="Q70" s="32"/>
      <c r="R70" s="32"/>
      <c r="S70" s="32"/>
      <c r="T70" s="34"/>
      <c r="U70" s="132"/>
      <c r="V70" s="132"/>
    </row>
    <row r="71" spans="1:22" s="21" customFormat="1" x14ac:dyDescent="0.2">
      <c r="A71" s="151"/>
      <c r="B71" s="39"/>
      <c r="C71" s="39"/>
      <c r="D71" s="39"/>
      <c r="E71" s="39"/>
      <c r="F71" s="39"/>
      <c r="G71" s="20"/>
      <c r="H71" s="20"/>
      <c r="I71" s="32"/>
      <c r="J71" s="32"/>
      <c r="K71" s="32"/>
      <c r="L71" s="32"/>
      <c r="M71" s="32"/>
      <c r="N71" s="34"/>
      <c r="O71" s="32"/>
      <c r="P71" s="32"/>
      <c r="Q71" s="32"/>
      <c r="R71" s="32"/>
      <c r="S71" s="32"/>
      <c r="T71" s="34"/>
      <c r="U71" s="132"/>
      <c r="V71" s="132"/>
    </row>
    <row r="72" spans="1:22" s="21" customFormat="1" x14ac:dyDescent="0.2">
      <c r="A72" s="166"/>
      <c r="B72" s="39"/>
      <c r="C72" s="39"/>
      <c r="D72" s="39"/>
      <c r="E72" s="39"/>
      <c r="F72" s="39"/>
      <c r="G72" s="20"/>
      <c r="H72" s="20"/>
      <c r="I72" s="32"/>
      <c r="J72" s="32"/>
      <c r="K72" s="32"/>
      <c r="L72" s="32"/>
      <c r="M72" s="32"/>
      <c r="N72" s="34"/>
      <c r="O72" s="32"/>
      <c r="P72" s="32"/>
      <c r="Q72" s="32"/>
      <c r="R72" s="32"/>
      <c r="S72" s="32"/>
      <c r="T72" s="34"/>
      <c r="U72" s="132"/>
      <c r="V72" s="132"/>
    </row>
    <row r="73" spans="1:22" s="21" customFormat="1" x14ac:dyDescent="0.2">
      <c r="A73" s="166"/>
      <c r="B73" s="39"/>
      <c r="C73" s="39"/>
      <c r="D73" s="39"/>
      <c r="E73" s="39"/>
      <c r="F73" s="39"/>
      <c r="G73" s="20"/>
      <c r="H73" s="20"/>
      <c r="I73" s="32"/>
      <c r="J73" s="32"/>
      <c r="K73" s="32"/>
      <c r="L73" s="32"/>
      <c r="M73" s="32"/>
      <c r="N73" s="34"/>
      <c r="O73" s="32"/>
      <c r="P73" s="32"/>
      <c r="Q73" s="32"/>
      <c r="R73" s="32"/>
      <c r="S73" s="32"/>
      <c r="T73" s="34"/>
      <c r="U73" s="132"/>
      <c r="V73" s="132"/>
    </row>
    <row r="74" spans="1:22" s="21" customFormat="1" x14ac:dyDescent="0.2">
      <c r="A74" s="151"/>
      <c r="B74" s="39"/>
      <c r="C74" s="39"/>
      <c r="D74" s="39"/>
      <c r="E74" s="39"/>
      <c r="F74" s="39"/>
      <c r="G74" s="20"/>
      <c r="H74" s="20"/>
      <c r="I74" s="32"/>
      <c r="J74" s="32"/>
      <c r="K74" s="32"/>
      <c r="L74" s="32"/>
      <c r="M74" s="32"/>
      <c r="N74" s="34"/>
      <c r="O74" s="32"/>
      <c r="P74" s="32"/>
      <c r="Q74" s="32"/>
      <c r="R74" s="32"/>
      <c r="S74" s="32"/>
      <c r="T74" s="34"/>
      <c r="U74" s="132"/>
      <c r="V74" s="132"/>
    </row>
    <row r="75" spans="1:22" s="21" customFormat="1" x14ac:dyDescent="0.2">
      <c r="A75" s="151"/>
      <c r="B75" s="39"/>
      <c r="C75" s="39"/>
      <c r="D75" s="39"/>
      <c r="E75" s="39"/>
      <c r="F75" s="39"/>
      <c r="G75" s="20" t="s">
        <v>261</v>
      </c>
      <c r="H75" s="20"/>
      <c r="I75" s="32"/>
      <c r="J75" s="32"/>
      <c r="K75" s="32"/>
      <c r="L75" s="32"/>
      <c r="M75" s="32"/>
      <c r="N75" s="34"/>
      <c r="O75" s="32"/>
      <c r="P75" s="32"/>
      <c r="Q75" s="32"/>
      <c r="R75" s="32"/>
      <c r="S75" s="32"/>
      <c r="T75" s="34"/>
      <c r="U75" s="132"/>
      <c r="V75" s="132"/>
    </row>
    <row r="76" spans="1:22" s="21" customFormat="1" x14ac:dyDescent="0.2">
      <c r="A76" s="151"/>
      <c r="B76" s="39"/>
      <c r="C76" s="39"/>
      <c r="D76" s="39"/>
      <c r="E76" s="39"/>
      <c r="F76" s="39"/>
      <c r="G76" s="20"/>
      <c r="H76" s="20"/>
      <c r="I76" s="32"/>
      <c r="J76" s="32"/>
      <c r="K76" s="32"/>
      <c r="L76" s="32"/>
      <c r="M76" s="32"/>
      <c r="N76" s="34"/>
      <c r="O76" s="32"/>
      <c r="P76" s="32"/>
      <c r="Q76" s="32"/>
      <c r="R76" s="32"/>
      <c r="S76" s="32"/>
      <c r="T76" s="34"/>
      <c r="U76" s="132"/>
      <c r="V76" s="132"/>
    </row>
    <row r="77" spans="1:22" s="21" customFormat="1" x14ac:dyDescent="0.2">
      <c r="A77" s="218"/>
      <c r="B77" s="153"/>
      <c r="C77" s="154"/>
      <c r="D77" s="150"/>
      <c r="E77" s="39"/>
      <c r="F77" s="39"/>
      <c r="G77" s="20"/>
      <c r="H77" s="20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132"/>
      <c r="V77" s="132"/>
    </row>
    <row r="78" spans="1:22" s="21" customFormat="1" x14ac:dyDescent="0.2">
      <c r="A78" s="7"/>
      <c r="B78" s="153"/>
      <c r="C78" s="154"/>
      <c r="D78" s="150"/>
      <c r="E78" s="566"/>
      <c r="F78" s="566"/>
      <c r="G78" s="22" t="s">
        <v>184</v>
      </c>
      <c r="H78" s="22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132"/>
      <c r="V78" s="132"/>
    </row>
    <row r="79" spans="1:22" s="21" customFormat="1" x14ac:dyDescent="0.2">
      <c r="A79" s="7"/>
      <c r="B79" s="155"/>
      <c r="C79" s="155"/>
      <c r="D79" s="155"/>
      <c r="E79" s="155"/>
      <c r="F79" s="155"/>
      <c r="G79" s="20"/>
      <c r="H79" s="20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132"/>
      <c r="V79" s="132"/>
    </row>
    <row r="80" spans="1:22" s="21" customFormat="1" x14ac:dyDescent="0.2">
      <c r="A80" s="7"/>
      <c r="B80" s="3"/>
      <c r="C80" s="4"/>
      <c r="D80" s="5"/>
      <c r="E80" s="155"/>
      <c r="F80" s="155"/>
      <c r="G80" s="20"/>
      <c r="H80" s="20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132"/>
      <c r="V80" s="132"/>
    </row>
    <row r="81" spans="1:22" s="21" customFormat="1" x14ac:dyDescent="0.2">
      <c r="A81" s="7"/>
      <c r="B81" s="3"/>
      <c r="C81" s="154"/>
      <c r="D81" s="157"/>
      <c r="E81" s="155"/>
      <c r="F81" s="155"/>
      <c r="G81" s="20"/>
      <c r="H81" s="20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132"/>
      <c r="V81" s="132"/>
    </row>
    <row r="82" spans="1:22" s="21" customFormat="1" x14ac:dyDescent="0.2">
      <c r="A82" s="7"/>
      <c r="B82" s="155"/>
      <c r="C82" s="154"/>
      <c r="D82" s="157"/>
      <c r="E82" s="157"/>
      <c r="F82" s="155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132"/>
      <c r="V82" s="132"/>
    </row>
    <row r="83" spans="1:22" s="21" customFormat="1" x14ac:dyDescent="0.2">
      <c r="A83" s="7"/>
      <c r="B83" s="155"/>
      <c r="C83" s="39"/>
      <c r="D83" s="154"/>
      <c r="E83" s="154"/>
      <c r="F83" s="155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132"/>
      <c r="V83" s="132"/>
    </row>
    <row r="84" spans="1:22" s="21" customFormat="1" x14ac:dyDescent="0.2">
      <c r="A84" s="7"/>
      <c r="B84" s="155"/>
      <c r="C84" s="154"/>
      <c r="D84" s="39"/>
      <c r="E84" s="154"/>
      <c r="F84" s="155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132"/>
      <c r="V84" s="132"/>
    </row>
    <row r="85" spans="1:22" s="21" customFormat="1" x14ac:dyDescent="0.2">
      <c r="A85" s="7"/>
      <c r="B85" s="155"/>
      <c r="C85" s="39"/>
      <c r="D85" s="158"/>
      <c r="E85" s="154"/>
      <c r="F85" s="155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132"/>
      <c r="V85" s="132"/>
    </row>
    <row r="86" spans="1:22" s="21" customFormat="1" x14ac:dyDescent="0.2">
      <c r="A86" s="7"/>
      <c r="B86" s="155"/>
      <c r="C86" s="39"/>
      <c r="D86" s="158"/>
      <c r="E86" s="154"/>
      <c r="F86" s="155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132"/>
      <c r="V86" s="132"/>
    </row>
    <row r="87" spans="1:22" s="21" customFormat="1" x14ac:dyDescent="0.2">
      <c r="A87" s="7"/>
      <c r="B87" s="155"/>
      <c r="C87" s="154"/>
      <c r="D87" s="39"/>
      <c r="E87" s="154"/>
      <c r="F87" s="155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132"/>
      <c r="V87" s="132"/>
    </row>
    <row r="88" spans="1:22" s="21" customFormat="1" x14ac:dyDescent="0.2">
      <c r="A88" s="7"/>
      <c r="B88" s="155"/>
      <c r="C88" s="154"/>
      <c r="D88" s="154"/>
      <c r="E88" s="154"/>
      <c r="F88" s="154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132"/>
      <c r="V88" s="132"/>
    </row>
    <row r="89" spans="1:22" s="21" customFormat="1" x14ac:dyDescent="0.2">
      <c r="A89" s="7"/>
      <c r="B89" s="155"/>
      <c r="C89" s="39"/>
      <c r="D89" s="525"/>
      <c r="E89" s="526"/>
      <c r="F89" s="526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132"/>
      <c r="V89" s="132"/>
    </row>
    <row r="90" spans="1:22" s="21" customFormat="1" x14ac:dyDescent="0.2">
      <c r="A90" s="7"/>
      <c r="B90" s="155"/>
      <c r="C90" s="154"/>
      <c r="D90" s="158"/>
      <c r="E90" s="154"/>
      <c r="F90" s="154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132"/>
      <c r="V90" s="132"/>
    </row>
    <row r="91" spans="1:22" s="21" customFormat="1" x14ac:dyDescent="0.2">
      <c r="A91" s="7"/>
      <c r="B91" s="155"/>
      <c r="C91" s="154"/>
      <c r="D91" s="158"/>
      <c r="E91" s="154"/>
      <c r="F91" s="154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132"/>
      <c r="V91" s="132"/>
    </row>
    <row r="92" spans="1:22" s="21" customFormat="1" x14ac:dyDescent="0.2">
      <c r="A92" s="7"/>
      <c r="B92" s="3"/>
      <c r="C92" s="4"/>
      <c r="D92" s="157"/>
      <c r="E92" s="154"/>
      <c r="F92" s="154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132"/>
      <c r="V92" s="132"/>
    </row>
    <row r="93" spans="1:22" s="21" customFormat="1" x14ac:dyDescent="0.2">
      <c r="A93" s="7"/>
      <c r="B93" s="155"/>
      <c r="C93" s="154"/>
      <c r="D93" s="154"/>
      <c r="E93" s="154"/>
      <c r="F93" s="154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132"/>
      <c r="V93" s="132"/>
    </row>
    <row r="94" spans="1:22" s="21" customFormat="1" x14ac:dyDescent="0.2">
      <c r="A94" s="7"/>
      <c r="B94" s="155"/>
      <c r="C94" s="154"/>
      <c r="D94" s="163"/>
      <c r="E94" s="154"/>
      <c r="F94" s="154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132"/>
      <c r="V94" s="132"/>
    </row>
    <row r="95" spans="1:22" s="21" customFormat="1" x14ac:dyDescent="0.2">
      <c r="A95" s="7"/>
      <c r="B95" s="155"/>
      <c r="C95" s="154"/>
      <c r="D95" s="164"/>
      <c r="E95" s="154"/>
      <c r="F95" s="154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132"/>
      <c r="V95" s="132"/>
    </row>
    <row r="96" spans="1:22" s="21" customFormat="1" x14ac:dyDescent="0.2">
      <c r="A96" s="7"/>
      <c r="B96" s="155"/>
      <c r="C96" s="154"/>
      <c r="D96" s="164"/>
      <c r="E96" s="154"/>
      <c r="F96" s="154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132"/>
      <c r="V96" s="132"/>
    </row>
    <row r="97" spans="1:22" s="21" customFormat="1" x14ac:dyDescent="0.2">
      <c r="A97" s="7"/>
      <c r="B97" s="155"/>
      <c r="C97" s="154"/>
      <c r="D97" s="163"/>
      <c r="E97" s="154"/>
      <c r="F97" s="154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132"/>
      <c r="V97" s="132"/>
    </row>
    <row r="98" spans="1:22" s="21" customFormat="1" x14ac:dyDescent="0.2">
      <c r="A98" s="7"/>
      <c r="B98" s="155"/>
      <c r="C98" s="154"/>
      <c r="D98" s="164"/>
      <c r="E98" s="154"/>
      <c r="F98" s="154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132"/>
      <c r="V98" s="132"/>
    </row>
    <row r="99" spans="1:22" s="21" customFormat="1" x14ac:dyDescent="0.2">
      <c r="A99" s="7"/>
      <c r="B99" s="155"/>
      <c r="C99" s="154"/>
      <c r="D99" s="164"/>
      <c r="E99" s="154"/>
      <c r="F99" s="154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132"/>
      <c r="V99" s="132"/>
    </row>
    <row r="100" spans="1:22" s="21" customFormat="1" x14ac:dyDescent="0.2">
      <c r="A100" s="7"/>
      <c r="B100" s="155"/>
      <c r="C100" s="154"/>
      <c r="D100" s="154"/>
      <c r="E100" s="154"/>
      <c r="F100" s="154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132"/>
      <c r="V100" s="132"/>
    </row>
    <row r="101" spans="1:22" s="21" customFormat="1" x14ac:dyDescent="0.2">
      <c r="A101" s="7"/>
      <c r="B101" s="155"/>
      <c r="C101" s="39"/>
      <c r="D101" s="158"/>
      <c r="E101" s="154"/>
      <c r="F101" s="154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132"/>
      <c r="V101" s="132"/>
    </row>
    <row r="102" spans="1:22" s="21" customFormat="1" x14ac:dyDescent="0.2">
      <c r="A102" s="7"/>
      <c r="B102" s="155"/>
      <c r="C102" s="39"/>
      <c r="D102" s="158"/>
      <c r="E102" s="154"/>
      <c r="F102" s="154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132"/>
      <c r="V102" s="132"/>
    </row>
    <row r="103" spans="1:22" s="21" customFormat="1" x14ac:dyDescent="0.2">
      <c r="A103" s="7"/>
      <c r="B103" s="155"/>
      <c r="C103" s="154"/>
      <c r="D103" s="154"/>
      <c r="E103" s="154"/>
      <c r="F103" s="154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132"/>
      <c r="V103" s="132"/>
    </row>
    <row r="104" spans="1:22" s="21" customFormat="1" x14ac:dyDescent="0.2">
      <c r="A104" s="7"/>
      <c r="B104" s="155"/>
      <c r="C104" s="39"/>
      <c r="D104" s="525"/>
      <c r="E104" s="526"/>
      <c r="F104" s="526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132"/>
      <c r="V104" s="132"/>
    </row>
    <row r="105" spans="1:22" s="21" customFormat="1" x14ac:dyDescent="0.2">
      <c r="A105" s="7"/>
      <c r="B105" s="155"/>
      <c r="C105" s="154"/>
      <c r="D105" s="158"/>
      <c r="E105" s="154"/>
      <c r="F105" s="154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132"/>
      <c r="V105" s="132"/>
    </row>
    <row r="106" spans="1:22" s="21" customFormat="1" x14ac:dyDescent="0.2">
      <c r="A106" s="7"/>
      <c r="B106" s="155"/>
      <c r="C106" s="154"/>
      <c r="D106" s="164"/>
      <c r="E106" s="154"/>
      <c r="F106" s="154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132"/>
      <c r="V106" s="132"/>
    </row>
    <row r="107" spans="1:22" s="21" customFormat="1" x14ac:dyDescent="0.2">
      <c r="A107" s="7"/>
      <c r="B107" s="155"/>
      <c r="C107" s="154"/>
      <c r="D107" s="164"/>
      <c r="E107" s="154"/>
      <c r="F107" s="154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132"/>
      <c r="V107" s="132"/>
    </row>
    <row r="108" spans="1:22" s="21" customFormat="1" x14ac:dyDescent="0.2">
      <c r="A108" s="7"/>
      <c r="B108" s="155"/>
      <c r="C108" s="154"/>
      <c r="D108" s="158"/>
      <c r="E108" s="154"/>
      <c r="F108" s="154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132"/>
      <c r="V108" s="132"/>
    </row>
    <row r="109" spans="1:22" s="21" customFormat="1" x14ac:dyDescent="0.2">
      <c r="A109" s="7"/>
      <c r="B109" s="155"/>
      <c r="C109" s="154"/>
      <c r="D109" s="164"/>
      <c r="E109" s="154"/>
      <c r="F109" s="154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132"/>
      <c r="V109" s="132"/>
    </row>
    <row r="110" spans="1:22" s="21" customFormat="1" x14ac:dyDescent="0.2">
      <c r="A110" s="7"/>
      <c r="B110" s="155"/>
      <c r="C110" s="154"/>
      <c r="D110" s="164"/>
      <c r="E110" s="154"/>
      <c r="F110" s="154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132"/>
      <c r="V110" s="132"/>
    </row>
    <row r="111" spans="1:22" s="21" customFormat="1" x14ac:dyDescent="0.2">
      <c r="A111" s="7"/>
      <c r="B111" s="3"/>
      <c r="C111" s="4"/>
      <c r="D111" s="157"/>
      <c r="E111" s="154"/>
      <c r="F111" s="154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132"/>
      <c r="V111" s="132"/>
    </row>
    <row r="112" spans="1:22" s="21" customFormat="1" x14ac:dyDescent="0.2">
      <c r="A112" s="7"/>
      <c r="B112" s="155"/>
      <c r="C112" s="154"/>
      <c r="D112" s="157"/>
      <c r="E112" s="154"/>
      <c r="F112" s="154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132"/>
      <c r="V112" s="132"/>
    </row>
    <row r="113" spans="1:22" s="21" customFormat="1" x14ac:dyDescent="0.2">
      <c r="A113" s="7"/>
      <c r="B113" s="155"/>
      <c r="C113" s="154"/>
      <c r="D113" s="157"/>
      <c r="E113" s="154"/>
      <c r="F113" s="154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132"/>
      <c r="V113" s="132"/>
    </row>
    <row r="114" spans="1:22" s="21" customFormat="1" x14ac:dyDescent="0.2">
      <c r="A114" s="7"/>
      <c r="B114" s="155"/>
      <c r="C114" s="154"/>
      <c r="D114" s="157"/>
      <c r="E114" s="154"/>
      <c r="F114" s="154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132"/>
      <c r="V114" s="132"/>
    </row>
    <row r="115" spans="1:22" s="21" customFormat="1" x14ac:dyDescent="0.2">
      <c r="A115" s="7"/>
      <c r="B115" s="155"/>
      <c r="C115" s="39"/>
      <c r="D115" s="525"/>
      <c r="E115" s="526"/>
      <c r="F115" s="526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132"/>
      <c r="V115" s="132"/>
    </row>
    <row r="116" spans="1:22" s="21" customFormat="1" x14ac:dyDescent="0.2">
      <c r="A116" s="7"/>
      <c r="B116" s="155"/>
      <c r="C116" s="154"/>
      <c r="D116" s="158"/>
      <c r="E116" s="154"/>
      <c r="F116" s="126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132"/>
      <c r="V116" s="132"/>
    </row>
    <row r="117" spans="1:22" s="21" customFormat="1" x14ac:dyDescent="0.2">
      <c r="A117" s="7"/>
      <c r="B117" s="155"/>
      <c r="C117" s="154"/>
      <c r="D117" s="158"/>
      <c r="E117" s="154"/>
      <c r="F117" s="126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132"/>
      <c r="V117" s="132"/>
    </row>
    <row r="118" spans="1:22" s="21" customFormat="1" x14ac:dyDescent="0.2">
      <c r="A118" s="7"/>
      <c r="B118" s="6"/>
      <c r="C118" s="7"/>
      <c r="D118" s="154"/>
      <c r="E118" s="154"/>
      <c r="F118" s="154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132"/>
      <c r="V118" s="132"/>
    </row>
    <row r="119" spans="1:22" s="21" customFormat="1" x14ac:dyDescent="0.2">
      <c r="A119" s="7"/>
      <c r="B119" s="153"/>
      <c r="C119" s="154"/>
      <c r="D119" s="154"/>
      <c r="E119" s="154"/>
      <c r="F119" s="154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132"/>
      <c r="V119" s="132"/>
    </row>
    <row r="120" spans="1:22" s="21" customFormat="1" x14ac:dyDescent="0.2">
      <c r="A120" s="7"/>
      <c r="B120" s="153"/>
      <c r="C120" s="154"/>
      <c r="D120" s="158"/>
      <c r="E120" s="154"/>
      <c r="F120" s="154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132"/>
      <c r="V120" s="132"/>
    </row>
    <row r="121" spans="1:22" s="21" customFormat="1" x14ac:dyDescent="0.2">
      <c r="A121" s="7"/>
      <c r="B121" s="153"/>
      <c r="C121" s="154"/>
      <c r="D121" s="158"/>
      <c r="E121" s="154"/>
      <c r="F121" s="154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132"/>
      <c r="V121" s="132"/>
    </row>
    <row r="122" spans="1:22" s="21" customFormat="1" x14ac:dyDescent="0.2">
      <c r="A122" s="7"/>
      <c r="B122" s="153"/>
      <c r="C122" s="154"/>
      <c r="D122" s="150"/>
      <c r="E122" s="566"/>
      <c r="F122" s="566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132"/>
      <c r="V122" s="132"/>
    </row>
    <row r="123" spans="1:22" x14ac:dyDescent="0.2">
      <c r="A123" s="7"/>
      <c r="B123" s="153"/>
      <c r="C123" s="154"/>
      <c r="D123" s="39"/>
      <c r="E123" s="39"/>
      <c r="F123" s="39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122"/>
      <c r="U123" s="123"/>
      <c r="V123" s="123"/>
    </row>
    <row r="124" spans="1:22" x14ac:dyDescent="0.2">
      <c r="A124" s="7"/>
      <c r="B124" s="153"/>
      <c r="C124" s="154"/>
      <c r="D124" s="150"/>
      <c r="E124" s="39"/>
      <c r="F124" s="39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122"/>
      <c r="U124" s="123"/>
      <c r="V124" s="123"/>
    </row>
    <row r="125" spans="1:22" x14ac:dyDescent="0.2">
      <c r="A125" s="7"/>
      <c r="B125" s="153"/>
      <c r="C125" s="154"/>
      <c r="D125" s="150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122"/>
      <c r="U125" s="123"/>
      <c r="V125" s="123"/>
    </row>
    <row r="126" spans="1:22" x14ac:dyDescent="0.2">
      <c r="A126" s="7"/>
      <c r="B126" s="153"/>
      <c r="C126" s="154"/>
      <c r="D126" s="150"/>
      <c r="E126" s="566"/>
      <c r="F126" s="566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122"/>
      <c r="U126" s="123"/>
      <c r="V126" s="123"/>
    </row>
    <row r="127" spans="1:22" x14ac:dyDescent="0.2">
      <c r="A127" s="154"/>
      <c r="B127" s="565"/>
      <c r="C127" s="565"/>
      <c r="D127" s="565"/>
      <c r="E127" s="565"/>
      <c r="F127" s="565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122"/>
      <c r="U127" s="123"/>
      <c r="V127" s="123"/>
    </row>
    <row r="128" spans="1:22" x14ac:dyDescent="0.2">
      <c r="A128" s="21"/>
      <c r="B128" s="21"/>
      <c r="C128" s="21"/>
      <c r="D128" s="21"/>
      <c r="E128" s="21"/>
      <c r="F128" s="21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122"/>
      <c r="U128" s="123"/>
      <c r="V128" s="123"/>
    </row>
    <row r="129" spans="1:19" x14ac:dyDescent="0.2">
      <c r="A129" s="21"/>
      <c r="B129" s="21"/>
      <c r="C129" s="21"/>
      <c r="D129" s="21"/>
      <c r="E129" s="21"/>
      <c r="F129" s="21"/>
      <c r="G129" s="20"/>
      <c r="H129" s="20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</row>
    <row r="130" spans="1:19" x14ac:dyDescent="0.2">
      <c r="A130" s="21"/>
      <c r="B130" s="21"/>
      <c r="C130" s="21"/>
      <c r="D130" s="21"/>
      <c r="E130" s="21"/>
      <c r="F130" s="21"/>
      <c r="G130" s="20"/>
      <c r="H130" s="20"/>
      <c r="I130" s="21"/>
      <c r="J130" s="21"/>
      <c r="K130" s="21"/>
      <c r="L130" s="21"/>
      <c r="M130" s="21"/>
      <c r="N130" s="21"/>
      <c r="O130" s="21"/>
      <c r="P130" s="21"/>
      <c r="Q130" s="21"/>
      <c r="R130" s="21"/>
      <c r="S130" s="21"/>
    </row>
    <row r="131" spans="1:19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</row>
    <row r="132" spans="1:19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</row>
    <row r="133" spans="1:19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</row>
    <row r="134" spans="1:19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</row>
    <row r="135" spans="1:19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</row>
    <row r="136" spans="1:19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</row>
    <row r="137" spans="1:19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</row>
    <row r="138" spans="1:19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</row>
    <row r="139" spans="1:19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</row>
    <row r="140" spans="1:19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</row>
    <row r="141" spans="1:19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</row>
    <row r="142" spans="1:19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</row>
    <row r="143" spans="1:19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</row>
    <row r="144" spans="1:19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</row>
    <row r="145" spans="1:19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</row>
    <row r="146" spans="1:19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</row>
    <row r="147" spans="1:19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</row>
    <row r="148" spans="1:19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</row>
    <row r="149" spans="1:19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</row>
    <row r="150" spans="1:19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</row>
    <row r="151" spans="1:19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</row>
    <row r="152" spans="1:19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</row>
    <row r="153" spans="1:19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</row>
    <row r="154" spans="1:19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</row>
    <row r="155" spans="1:19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</row>
    <row r="156" spans="1:19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</row>
    <row r="157" spans="1:19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</row>
    <row r="158" spans="1:19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</row>
    <row r="159" spans="1:19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</row>
    <row r="160" spans="1:19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</row>
    <row r="161" spans="1:19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</row>
    <row r="162" spans="1:19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</row>
    <row r="163" spans="1:19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</row>
    <row r="164" spans="1:19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</row>
    <row r="165" spans="1:19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</row>
    <row r="166" spans="1:19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</row>
    <row r="167" spans="1:19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</row>
    <row r="168" spans="1:19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</row>
    <row r="169" spans="1:19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</row>
    <row r="170" spans="1:19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</row>
    <row r="171" spans="1:19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</row>
    <row r="172" spans="1:19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</row>
    <row r="173" spans="1:19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</row>
    <row r="174" spans="1:19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</row>
    <row r="175" spans="1:19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</row>
    <row r="176" spans="1:19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</row>
    <row r="177" spans="1:19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</row>
    <row r="178" spans="1:19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</row>
    <row r="179" spans="1:19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</row>
    <row r="180" spans="1:19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</row>
    <row r="181" spans="1:19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</row>
    <row r="182" spans="1:19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</row>
    <row r="183" spans="1:19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</row>
    <row r="184" spans="1:19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</row>
    <row r="185" spans="1:19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</row>
    <row r="186" spans="1:19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</row>
    <row r="187" spans="1:19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</row>
    <row r="188" spans="1:19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</row>
    <row r="189" spans="1:19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</row>
    <row r="190" spans="1:19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</row>
    <row r="191" spans="1:19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</row>
    <row r="192" spans="1:19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</row>
    <row r="193" spans="1:19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</row>
    <row r="194" spans="1:19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</row>
    <row r="195" spans="1:19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</row>
    <row r="196" spans="1:19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</row>
    <row r="197" spans="1:19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</row>
    <row r="198" spans="1:19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</row>
    <row r="199" spans="1:19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</row>
    <row r="200" spans="1:19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</row>
    <row r="201" spans="1:19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</row>
    <row r="202" spans="1:19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</row>
    <row r="203" spans="1:19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</row>
    <row r="204" spans="1:19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</row>
    <row r="205" spans="1:19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</row>
    <row r="206" spans="1:19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</row>
    <row r="207" spans="1:19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</row>
    <row r="208" spans="1:19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</row>
    <row r="209" spans="1:19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</row>
    <row r="210" spans="1:19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</row>
    <row r="211" spans="1:19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</row>
    <row r="212" spans="1:19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</row>
    <row r="213" spans="1:19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</row>
    <row r="214" spans="1:19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</row>
    <row r="215" spans="1:19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</row>
    <row r="216" spans="1:19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</row>
    <row r="217" spans="1:19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</row>
    <row r="218" spans="1:19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</row>
    <row r="219" spans="1:19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</row>
    <row r="220" spans="1:19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</row>
    <row r="221" spans="1:19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</row>
    <row r="222" spans="1:19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</row>
    <row r="223" spans="1:19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</row>
    <row r="224" spans="1:19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</row>
    <row r="225" spans="1:19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</row>
    <row r="226" spans="1:19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</row>
    <row r="227" spans="1:19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</row>
    <row r="228" spans="1:19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</row>
    <row r="229" spans="1:19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</row>
    <row r="230" spans="1:19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</row>
    <row r="231" spans="1:19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</row>
    <row r="232" spans="1:19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</row>
    <row r="233" spans="1:19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</row>
    <row r="234" spans="1:19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</row>
    <row r="235" spans="1:19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</row>
    <row r="236" spans="1:19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</row>
    <row r="237" spans="1:19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</row>
    <row r="238" spans="1:19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</row>
    <row r="239" spans="1:19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</row>
    <row r="240" spans="1:19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</row>
    <row r="241" spans="1:19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</row>
    <row r="242" spans="1:19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</row>
    <row r="243" spans="1:19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</row>
    <row r="244" spans="1:19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</row>
    <row r="245" spans="1:19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</row>
    <row r="246" spans="1:19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</row>
    <row r="247" spans="1:19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</row>
    <row r="248" spans="1:19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</row>
    <row r="249" spans="1:19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</row>
    <row r="250" spans="1:19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</row>
    <row r="251" spans="1:19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</row>
    <row r="252" spans="1:19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</row>
    <row r="253" spans="1:19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</row>
  </sheetData>
  <sheetProtection password="E958" sheet="1" objects="1" scenarios="1" selectLockedCells="1"/>
  <mergeCells count="31">
    <mergeCell ref="B127:F127"/>
    <mergeCell ref="E78:F78"/>
    <mergeCell ref="D89:F89"/>
    <mergeCell ref="D104:F104"/>
    <mergeCell ref="D115:F115"/>
    <mergeCell ref="D49:F49"/>
    <mergeCell ref="D42:F42"/>
    <mergeCell ref="D43:F43"/>
    <mergeCell ref="E122:F122"/>
    <mergeCell ref="O6:O9"/>
    <mergeCell ref="J6:N6"/>
    <mergeCell ref="K7:K9"/>
    <mergeCell ref="M7:M9"/>
    <mergeCell ref="A1:S1"/>
    <mergeCell ref="A2:S2"/>
    <mergeCell ref="A3:S3"/>
    <mergeCell ref="S6:S9"/>
    <mergeCell ref="Q6:Q9"/>
    <mergeCell ref="E126:F126"/>
    <mergeCell ref="C51:D51"/>
    <mergeCell ref="D48:E48"/>
    <mergeCell ref="I6:I9"/>
    <mergeCell ref="P6:P9"/>
    <mergeCell ref="R6:R9"/>
    <mergeCell ref="N7:N9"/>
    <mergeCell ref="C41:D41"/>
    <mergeCell ref="J7:J9"/>
    <mergeCell ref="A5:F9"/>
    <mergeCell ref="G5:G9"/>
    <mergeCell ref="H5:H9"/>
    <mergeCell ref="L7:L9"/>
  </mergeCells>
  <phoneticPr fontId="0" type="noConversion"/>
  <dataValidations count="1">
    <dataValidation type="decimal" operator="lessThan" allowBlank="1" showInputMessage="1" showErrorMessage="1" sqref="I10:FC585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8b&amp;8&amp;U
&amp;P of &amp;N&amp;C&amp;"Arial,Bold"&amp;8 MAXIMUM SAVINGS BANK, INC.  [ 03-070011 ]
 As of: June 30, 2019</oddHead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IJ255"/>
  <sheetViews>
    <sheetView zoomScale="75" zoomScaleNormal="90" zoomScaleSheetLayoutView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E17" sqref="E17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26" style="1" customWidth="1"/>
    <col min="6" max="6" width="21.42578125" style="1" hidden="1" customWidth="1"/>
    <col min="7" max="7" width="17.28515625" style="9" customWidth="1"/>
    <col min="8" max="8" width="10.140625" style="9" customWidth="1"/>
    <col min="9" max="19" width="20.7109375" style="1" customWidth="1"/>
    <col min="20" max="159" width="25.7109375" style="1" customWidth="1"/>
    <col min="160" max="16384" width="9.140625" style="1"/>
  </cols>
  <sheetData>
    <row r="1" spans="1:22" s="165" customFormat="1" ht="12.75" x14ac:dyDescent="0.2">
      <c r="A1" s="512" t="s">
        <v>419</v>
      </c>
      <c r="B1" s="512"/>
      <c r="C1" s="512"/>
      <c r="D1" s="512"/>
      <c r="E1" s="512"/>
      <c r="F1" s="512"/>
      <c r="G1" s="512"/>
      <c r="H1" s="512"/>
      <c r="I1" s="512"/>
      <c r="J1" s="512"/>
      <c r="K1" s="512"/>
      <c r="L1" s="512"/>
      <c r="M1" s="512"/>
      <c r="N1" s="512"/>
      <c r="O1" s="512"/>
      <c r="P1" s="512"/>
      <c r="Q1" s="512"/>
      <c r="R1" s="512"/>
      <c r="S1" s="512"/>
    </row>
    <row r="2" spans="1:22" s="165" customFormat="1" ht="12.75" customHeight="1" x14ac:dyDescent="0.2">
      <c r="A2" s="512" t="s">
        <v>325</v>
      </c>
      <c r="B2" s="512"/>
      <c r="C2" s="512"/>
      <c r="D2" s="512"/>
      <c r="E2" s="512"/>
      <c r="F2" s="512"/>
      <c r="G2" s="512"/>
      <c r="H2" s="512"/>
      <c r="I2" s="512"/>
      <c r="J2" s="512"/>
      <c r="K2" s="512"/>
      <c r="L2" s="512"/>
      <c r="M2" s="512"/>
      <c r="N2" s="512"/>
      <c r="O2" s="512"/>
      <c r="P2" s="512"/>
      <c r="Q2" s="512"/>
      <c r="R2" s="512"/>
      <c r="S2" s="512"/>
    </row>
    <row r="3" spans="1:22" s="165" customFormat="1" ht="12.75" hidden="1" customHeight="1" x14ac:dyDescent="0.2">
      <c r="A3" s="257"/>
      <c r="B3" s="257"/>
      <c r="C3" s="257"/>
      <c r="D3" s="257"/>
      <c r="E3" s="257"/>
      <c r="F3" s="257"/>
      <c r="G3" s="257"/>
      <c r="H3" s="257"/>
      <c r="I3" s="257"/>
      <c r="J3" s="257"/>
      <c r="K3" s="257"/>
      <c r="L3" s="257"/>
      <c r="M3" s="257"/>
      <c r="N3" s="257"/>
      <c r="O3" s="257"/>
      <c r="P3" s="257"/>
      <c r="Q3" s="257"/>
      <c r="R3" s="257"/>
      <c r="S3" s="257"/>
    </row>
    <row r="4" spans="1:22" s="165" customFormat="1" ht="12.75" customHeight="1" x14ac:dyDescent="0.2">
      <c r="A4" s="512" t="s">
        <v>3</v>
      </c>
      <c r="B4" s="512"/>
      <c r="C4" s="512"/>
      <c r="D4" s="512"/>
      <c r="E4" s="512"/>
      <c r="F4" s="512"/>
      <c r="G4" s="512"/>
      <c r="H4" s="512"/>
      <c r="I4" s="512"/>
      <c r="J4" s="512"/>
      <c r="K4" s="512"/>
      <c r="L4" s="512"/>
      <c r="M4" s="512"/>
      <c r="N4" s="512"/>
      <c r="O4" s="512"/>
      <c r="P4" s="512"/>
      <c r="Q4" s="512"/>
      <c r="R4" s="512"/>
      <c r="S4" s="512"/>
    </row>
    <row r="5" spans="1:22" ht="14.25" customHeight="1" x14ac:dyDescent="0.2"/>
    <row r="6" spans="1:22" s="11" customFormat="1" ht="12.75" customHeight="1" x14ac:dyDescent="0.2">
      <c r="A6" s="504" t="s">
        <v>0</v>
      </c>
      <c r="B6" s="505"/>
      <c r="C6" s="505"/>
      <c r="D6" s="505"/>
      <c r="E6" s="505"/>
      <c r="F6" s="506"/>
      <c r="G6" s="496" t="s">
        <v>2</v>
      </c>
      <c r="H6" s="592" t="s">
        <v>414</v>
      </c>
      <c r="I6" s="8" t="s">
        <v>309</v>
      </c>
      <c r="J6" s="8" t="s">
        <v>310</v>
      </c>
      <c r="K6" s="8" t="s">
        <v>311</v>
      </c>
      <c r="L6" s="8" t="s">
        <v>312</v>
      </c>
      <c r="M6" s="8" t="s">
        <v>313</v>
      </c>
      <c r="N6" s="8" t="s">
        <v>314</v>
      </c>
      <c r="O6" s="8" t="s">
        <v>315</v>
      </c>
      <c r="P6" s="8" t="s">
        <v>316</v>
      </c>
      <c r="Q6" s="8" t="s">
        <v>317</v>
      </c>
      <c r="R6" s="8" t="s">
        <v>318</v>
      </c>
      <c r="S6" s="8" t="s">
        <v>307</v>
      </c>
    </row>
    <row r="7" spans="1:22" s="11" customFormat="1" ht="12.75" customHeight="1" x14ac:dyDescent="0.2">
      <c r="A7" s="507"/>
      <c r="B7" s="508"/>
      <c r="C7" s="508"/>
      <c r="D7" s="508"/>
      <c r="E7" s="508"/>
      <c r="F7" s="509"/>
      <c r="G7" s="497"/>
      <c r="H7" s="610"/>
      <c r="I7" s="592" t="s">
        <v>755</v>
      </c>
      <c r="J7" s="580" t="s">
        <v>324</v>
      </c>
      <c r="K7" s="581"/>
      <c r="L7" s="581"/>
      <c r="M7" s="581"/>
      <c r="N7" s="582"/>
      <c r="O7" s="493" t="s">
        <v>319</v>
      </c>
      <c r="P7" s="493" t="s">
        <v>320</v>
      </c>
      <c r="Q7" s="493" t="s">
        <v>321</v>
      </c>
      <c r="R7" s="493" t="s">
        <v>322</v>
      </c>
      <c r="S7" s="493" t="s">
        <v>323</v>
      </c>
    </row>
    <row r="8" spans="1:22" s="2" customFormat="1" ht="12.75" customHeight="1" x14ac:dyDescent="0.2">
      <c r="A8" s="507"/>
      <c r="B8" s="508"/>
      <c r="C8" s="508"/>
      <c r="D8" s="508"/>
      <c r="E8" s="508"/>
      <c r="F8" s="509"/>
      <c r="G8" s="497"/>
      <c r="H8" s="610"/>
      <c r="I8" s="593"/>
      <c r="J8" s="496" t="s">
        <v>779</v>
      </c>
      <c r="K8" s="496" t="s">
        <v>780</v>
      </c>
      <c r="L8" s="496" t="s">
        <v>781</v>
      </c>
      <c r="M8" s="506" t="s">
        <v>782</v>
      </c>
      <c r="N8" s="496" t="s">
        <v>308</v>
      </c>
      <c r="O8" s="587"/>
      <c r="P8" s="587"/>
      <c r="Q8" s="585"/>
      <c r="R8" s="587"/>
      <c r="S8" s="587"/>
    </row>
    <row r="9" spans="1:22" s="2" customFormat="1" ht="35.25" customHeight="1" x14ac:dyDescent="0.2">
      <c r="A9" s="507"/>
      <c r="B9" s="508"/>
      <c r="C9" s="508"/>
      <c r="D9" s="508"/>
      <c r="E9" s="508"/>
      <c r="F9" s="492"/>
      <c r="G9" s="498"/>
      <c r="H9" s="610"/>
      <c r="I9" s="594"/>
      <c r="J9" s="498"/>
      <c r="K9" s="498"/>
      <c r="L9" s="498"/>
      <c r="M9" s="492"/>
      <c r="N9" s="498"/>
      <c r="O9" s="588"/>
      <c r="P9" s="588"/>
      <c r="Q9" s="586"/>
      <c r="R9" s="588"/>
      <c r="S9" s="588"/>
    </row>
    <row r="10" spans="1:22" x14ac:dyDescent="0.2">
      <c r="A10" s="377" t="s">
        <v>185</v>
      </c>
      <c r="B10" s="378"/>
      <c r="C10" s="378"/>
      <c r="D10" s="378"/>
      <c r="E10" s="379"/>
      <c r="F10" s="382"/>
      <c r="G10" s="320"/>
      <c r="H10" s="611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122"/>
      <c r="U10" s="123"/>
      <c r="V10" s="123"/>
    </row>
    <row r="11" spans="1:22" x14ac:dyDescent="0.2">
      <c r="A11" s="380" t="s">
        <v>186</v>
      </c>
      <c r="B11" s="381" t="s">
        <v>187</v>
      </c>
      <c r="C11" s="355"/>
      <c r="D11" s="355"/>
      <c r="E11" s="382"/>
      <c r="F11" s="382"/>
      <c r="G11" s="458" t="s">
        <v>672</v>
      </c>
      <c r="H11" s="18"/>
      <c r="I11" s="78">
        <f t="shared" ref="I11:R11" si="0">SUM(I12,I24,I25,I28)</f>
        <v>0</v>
      </c>
      <c r="J11" s="78">
        <f t="shared" si="0"/>
        <v>0</v>
      </c>
      <c r="K11" s="78">
        <f t="shared" si="0"/>
        <v>0</v>
      </c>
      <c r="L11" s="78">
        <f t="shared" si="0"/>
        <v>0</v>
      </c>
      <c r="M11" s="78">
        <f t="shared" si="0"/>
        <v>0</v>
      </c>
      <c r="N11" s="78">
        <f t="shared" si="0"/>
        <v>0</v>
      </c>
      <c r="O11" s="78">
        <f t="shared" si="0"/>
        <v>0</v>
      </c>
      <c r="P11" s="78">
        <f t="shared" si="0"/>
        <v>0</v>
      </c>
      <c r="Q11" s="78">
        <f t="shared" si="0"/>
        <v>0</v>
      </c>
      <c r="R11" s="78">
        <f t="shared" si="0"/>
        <v>0</v>
      </c>
      <c r="S11" s="78">
        <f t="shared" ref="S11:S32" si="1">(I11+J11+K11+L11+M11+N11+O11) - (P11+Q11)</f>
        <v>0</v>
      </c>
      <c r="T11" s="122"/>
      <c r="U11" s="123"/>
      <c r="V11" s="123"/>
    </row>
    <row r="12" spans="1:22" x14ac:dyDescent="0.2">
      <c r="A12" s="384"/>
      <c r="B12" s="385" t="s">
        <v>188</v>
      </c>
      <c r="C12" s="385" t="s">
        <v>823</v>
      </c>
      <c r="D12" s="385"/>
      <c r="E12" s="383"/>
      <c r="F12" s="382"/>
      <c r="G12" s="458" t="s">
        <v>673</v>
      </c>
      <c r="H12" s="18"/>
      <c r="I12" s="78">
        <f t="shared" ref="I12:R12" si="2">SUM(I13,I19,I20)</f>
        <v>0</v>
      </c>
      <c r="J12" s="78">
        <f t="shared" si="2"/>
        <v>0</v>
      </c>
      <c r="K12" s="78">
        <f t="shared" si="2"/>
        <v>0</v>
      </c>
      <c r="L12" s="78">
        <f t="shared" si="2"/>
        <v>0</v>
      </c>
      <c r="M12" s="78">
        <f t="shared" si="2"/>
        <v>0</v>
      </c>
      <c r="N12" s="78">
        <f t="shared" si="2"/>
        <v>0</v>
      </c>
      <c r="O12" s="78">
        <f t="shared" si="2"/>
        <v>0</v>
      </c>
      <c r="P12" s="78">
        <f t="shared" si="2"/>
        <v>0</v>
      </c>
      <c r="Q12" s="78">
        <f t="shared" si="2"/>
        <v>0</v>
      </c>
      <c r="R12" s="78">
        <f t="shared" si="2"/>
        <v>0</v>
      </c>
      <c r="S12" s="78">
        <f t="shared" si="1"/>
        <v>0</v>
      </c>
      <c r="T12" s="122"/>
      <c r="U12" s="123"/>
      <c r="V12" s="123"/>
    </row>
    <row r="13" spans="1:22" x14ac:dyDescent="0.2">
      <c r="A13" s="386"/>
      <c r="B13" s="355"/>
      <c r="C13" s="387" t="s">
        <v>19</v>
      </c>
      <c r="D13" s="355" t="s">
        <v>189</v>
      </c>
      <c r="E13" s="382"/>
      <c r="F13" s="382"/>
      <c r="G13" s="458" t="s">
        <v>674</v>
      </c>
      <c r="H13" s="18"/>
      <c r="I13" s="78">
        <f>I14+I15+I16</f>
        <v>0</v>
      </c>
      <c r="J13" s="78">
        <f t="shared" ref="J13:R13" si="3">J14+J15+J16</f>
        <v>0</v>
      </c>
      <c r="K13" s="78">
        <f t="shared" si="3"/>
        <v>0</v>
      </c>
      <c r="L13" s="78">
        <f t="shared" si="3"/>
        <v>0</v>
      </c>
      <c r="M13" s="78">
        <f t="shared" si="3"/>
        <v>0</v>
      </c>
      <c r="N13" s="78">
        <f t="shared" si="3"/>
        <v>0</v>
      </c>
      <c r="O13" s="78">
        <f t="shared" si="3"/>
        <v>0</v>
      </c>
      <c r="P13" s="78">
        <f t="shared" si="3"/>
        <v>0</v>
      </c>
      <c r="Q13" s="78">
        <f t="shared" si="3"/>
        <v>0</v>
      </c>
      <c r="R13" s="78">
        <f t="shared" si="3"/>
        <v>0</v>
      </c>
      <c r="S13" s="78">
        <f t="shared" si="1"/>
        <v>0</v>
      </c>
      <c r="T13" s="122"/>
      <c r="U13" s="123"/>
      <c r="V13" s="123"/>
    </row>
    <row r="14" spans="1:22" x14ac:dyDescent="0.2">
      <c r="A14" s="386"/>
      <c r="B14" s="355"/>
      <c r="C14" s="387"/>
      <c r="D14" s="355" t="s">
        <v>11</v>
      </c>
      <c r="E14" s="355" t="s">
        <v>789</v>
      </c>
      <c r="F14" s="383"/>
      <c r="G14" s="458" t="s">
        <v>829</v>
      </c>
      <c r="H14" s="18"/>
      <c r="I14" s="293"/>
      <c r="J14" s="293"/>
      <c r="K14" s="293"/>
      <c r="L14" s="293"/>
      <c r="M14" s="293"/>
      <c r="N14" s="293"/>
      <c r="O14" s="293"/>
      <c r="P14" s="293"/>
      <c r="Q14" s="293"/>
      <c r="R14" s="293"/>
      <c r="S14" s="295"/>
      <c r="T14" s="122"/>
      <c r="U14" s="123"/>
      <c r="V14" s="123"/>
    </row>
    <row r="15" spans="1:22" x14ac:dyDescent="0.2">
      <c r="A15" s="386"/>
      <c r="B15" s="355"/>
      <c r="C15" s="387"/>
      <c r="D15" s="355" t="s">
        <v>15</v>
      </c>
      <c r="E15" s="392" t="s">
        <v>790</v>
      </c>
      <c r="F15" s="383"/>
      <c r="G15" s="458" t="s">
        <v>830</v>
      </c>
      <c r="H15" s="18"/>
      <c r="I15" s="293"/>
      <c r="J15" s="293"/>
      <c r="K15" s="293"/>
      <c r="L15" s="293"/>
      <c r="M15" s="293"/>
      <c r="N15" s="293"/>
      <c r="O15" s="293"/>
      <c r="P15" s="293"/>
      <c r="Q15" s="293"/>
      <c r="R15" s="293"/>
      <c r="S15" s="295"/>
      <c r="T15" s="122"/>
      <c r="U15" s="123"/>
      <c r="V15" s="123"/>
    </row>
    <row r="16" spans="1:22" x14ac:dyDescent="0.2">
      <c r="A16" s="386"/>
      <c r="B16" s="355"/>
      <c r="C16" s="387"/>
      <c r="D16" s="355" t="s">
        <v>25</v>
      </c>
      <c r="E16" s="392" t="s">
        <v>791</v>
      </c>
      <c r="F16" s="383"/>
      <c r="G16" s="458" t="s">
        <v>831</v>
      </c>
      <c r="H16" s="85" t="s">
        <v>751</v>
      </c>
      <c r="I16" s="78">
        <f t="shared" ref="I16:R16" si="4">SUM(I17:I18)</f>
        <v>0</v>
      </c>
      <c r="J16" s="78">
        <f t="shared" si="4"/>
        <v>0</v>
      </c>
      <c r="K16" s="78">
        <f t="shared" si="4"/>
        <v>0</v>
      </c>
      <c r="L16" s="78">
        <f t="shared" si="4"/>
        <v>0</v>
      </c>
      <c r="M16" s="78">
        <f t="shared" si="4"/>
        <v>0</v>
      </c>
      <c r="N16" s="78">
        <f t="shared" si="4"/>
        <v>0</v>
      </c>
      <c r="O16" s="78">
        <f t="shared" si="4"/>
        <v>0</v>
      </c>
      <c r="P16" s="78">
        <f t="shared" si="4"/>
        <v>0</v>
      </c>
      <c r="Q16" s="78">
        <f t="shared" si="4"/>
        <v>0</v>
      </c>
      <c r="R16" s="78">
        <f t="shared" si="4"/>
        <v>0</v>
      </c>
      <c r="S16" s="78">
        <f t="shared" si="1"/>
        <v>0</v>
      </c>
      <c r="T16" s="122"/>
      <c r="U16" s="123"/>
      <c r="V16" s="123"/>
    </row>
    <row r="17" spans="1:22" x14ac:dyDescent="0.2">
      <c r="A17" s="129"/>
      <c r="B17" s="124"/>
      <c r="C17" s="149"/>
      <c r="D17" s="124"/>
      <c r="E17" s="310"/>
      <c r="F17" s="290"/>
      <c r="G17" s="458"/>
      <c r="H17" s="91">
        <v>1</v>
      </c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78">
        <f t="shared" si="1"/>
        <v>0</v>
      </c>
      <c r="T17" s="122"/>
      <c r="U17" s="123"/>
      <c r="V17" s="123"/>
    </row>
    <row r="18" spans="1:22" x14ac:dyDescent="0.2">
      <c r="A18" s="386"/>
      <c r="B18" s="355"/>
      <c r="C18" s="387"/>
      <c r="D18" s="355"/>
      <c r="E18" s="355"/>
      <c r="F18" s="383"/>
      <c r="G18" s="458"/>
      <c r="H18" s="239" t="str">
        <f>CHAR(132)</f>
        <v>„</v>
      </c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78"/>
      <c r="T18" s="122"/>
      <c r="U18" s="123"/>
      <c r="V18" s="123"/>
    </row>
    <row r="19" spans="1:22" x14ac:dyDescent="0.2">
      <c r="A19" s="384"/>
      <c r="B19" s="385"/>
      <c r="C19" s="390" t="s">
        <v>21</v>
      </c>
      <c r="D19" s="385" t="s">
        <v>326</v>
      </c>
      <c r="E19" s="383"/>
      <c r="F19" s="382"/>
      <c r="G19" s="458" t="s">
        <v>675</v>
      </c>
      <c r="H19" s="18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78">
        <f t="shared" si="1"/>
        <v>0</v>
      </c>
      <c r="T19" s="122"/>
      <c r="U19" s="123"/>
      <c r="V19" s="123"/>
    </row>
    <row r="20" spans="1:22" x14ac:dyDescent="0.2">
      <c r="A20" s="386"/>
      <c r="B20" s="355"/>
      <c r="C20" s="387" t="s">
        <v>60</v>
      </c>
      <c r="D20" s="355" t="s">
        <v>191</v>
      </c>
      <c r="E20" s="382"/>
      <c r="F20" s="382"/>
      <c r="G20" s="458" t="s">
        <v>676</v>
      </c>
      <c r="H20" s="18"/>
      <c r="I20" s="78">
        <f t="shared" ref="I20:R20" si="5">SUM(I21,I22,I23)</f>
        <v>0</v>
      </c>
      <c r="J20" s="78">
        <f t="shared" si="5"/>
        <v>0</v>
      </c>
      <c r="K20" s="78">
        <f t="shared" si="5"/>
        <v>0</v>
      </c>
      <c r="L20" s="78">
        <f t="shared" si="5"/>
        <v>0</v>
      </c>
      <c r="M20" s="78">
        <f t="shared" si="5"/>
        <v>0</v>
      </c>
      <c r="N20" s="78">
        <f t="shared" si="5"/>
        <v>0</v>
      </c>
      <c r="O20" s="78">
        <f t="shared" si="5"/>
        <v>0</v>
      </c>
      <c r="P20" s="78">
        <f t="shared" si="5"/>
        <v>0</v>
      </c>
      <c r="Q20" s="78">
        <f t="shared" si="5"/>
        <v>0</v>
      </c>
      <c r="R20" s="78">
        <f t="shared" si="5"/>
        <v>0</v>
      </c>
      <c r="S20" s="78">
        <f t="shared" si="1"/>
        <v>0</v>
      </c>
      <c r="T20" s="122"/>
      <c r="U20" s="123"/>
      <c r="V20" s="123"/>
    </row>
    <row r="21" spans="1:22" x14ac:dyDescent="0.2">
      <c r="A21" s="384"/>
      <c r="B21" s="385"/>
      <c r="C21" s="390"/>
      <c r="D21" s="385" t="s">
        <v>11</v>
      </c>
      <c r="E21" s="383" t="s">
        <v>192</v>
      </c>
      <c r="F21" s="382"/>
      <c r="G21" s="458" t="s">
        <v>677</v>
      </c>
      <c r="H21" s="18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78">
        <f t="shared" si="1"/>
        <v>0</v>
      </c>
      <c r="T21" s="122"/>
      <c r="U21" s="123"/>
      <c r="V21" s="123"/>
    </row>
    <row r="22" spans="1:22" x14ac:dyDescent="0.2">
      <c r="A22" s="386"/>
      <c r="B22" s="355"/>
      <c r="C22" s="355"/>
      <c r="D22" s="355" t="s">
        <v>15</v>
      </c>
      <c r="E22" s="382" t="s">
        <v>193</v>
      </c>
      <c r="F22" s="382"/>
      <c r="G22" s="458" t="s">
        <v>678</v>
      </c>
      <c r="H22" s="18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78">
        <f t="shared" si="1"/>
        <v>0</v>
      </c>
      <c r="T22" s="122"/>
      <c r="U22" s="123"/>
      <c r="V22" s="123"/>
    </row>
    <row r="23" spans="1:22" x14ac:dyDescent="0.2">
      <c r="A23" s="384"/>
      <c r="B23" s="385"/>
      <c r="C23" s="385"/>
      <c r="D23" s="385" t="s">
        <v>25</v>
      </c>
      <c r="E23" s="383" t="s">
        <v>194</v>
      </c>
      <c r="F23" s="382"/>
      <c r="G23" s="458" t="s">
        <v>679</v>
      </c>
      <c r="H23" s="18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78">
        <f t="shared" si="1"/>
        <v>0</v>
      </c>
      <c r="T23" s="122"/>
      <c r="U23" s="123"/>
      <c r="V23" s="123"/>
    </row>
    <row r="24" spans="1:22" x14ac:dyDescent="0.2">
      <c r="A24" s="386"/>
      <c r="B24" s="355" t="s">
        <v>195</v>
      </c>
      <c r="C24" s="355" t="s">
        <v>196</v>
      </c>
      <c r="D24" s="355"/>
      <c r="E24" s="382"/>
      <c r="F24" s="382"/>
      <c r="G24" s="458" t="s">
        <v>680</v>
      </c>
      <c r="H24" s="18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78">
        <f t="shared" si="1"/>
        <v>0</v>
      </c>
      <c r="T24" s="122"/>
      <c r="U24" s="123"/>
      <c r="V24" s="123"/>
    </row>
    <row r="25" spans="1:22" x14ac:dyDescent="0.2">
      <c r="A25" s="384"/>
      <c r="B25" s="385" t="s">
        <v>197</v>
      </c>
      <c r="C25" s="385" t="s">
        <v>198</v>
      </c>
      <c r="D25" s="385"/>
      <c r="E25" s="383"/>
      <c r="F25" s="382"/>
      <c r="G25" s="458" t="s">
        <v>681</v>
      </c>
      <c r="H25" s="18"/>
      <c r="I25" s="78">
        <f t="shared" ref="I25:R25" si="6">SUM(I26,I27)</f>
        <v>0</v>
      </c>
      <c r="J25" s="78">
        <f t="shared" si="6"/>
        <v>0</v>
      </c>
      <c r="K25" s="78">
        <f t="shared" si="6"/>
        <v>0</v>
      </c>
      <c r="L25" s="78">
        <f t="shared" si="6"/>
        <v>0</v>
      </c>
      <c r="M25" s="78">
        <f t="shared" si="6"/>
        <v>0</v>
      </c>
      <c r="N25" s="78">
        <f t="shared" si="6"/>
        <v>0</v>
      </c>
      <c r="O25" s="78">
        <f t="shared" si="6"/>
        <v>0</v>
      </c>
      <c r="P25" s="78">
        <f t="shared" si="6"/>
        <v>0</v>
      </c>
      <c r="Q25" s="78">
        <f t="shared" si="6"/>
        <v>0</v>
      </c>
      <c r="R25" s="78">
        <f t="shared" si="6"/>
        <v>0</v>
      </c>
      <c r="S25" s="78">
        <f t="shared" si="1"/>
        <v>0</v>
      </c>
      <c r="T25" s="122"/>
      <c r="U25" s="123"/>
      <c r="V25" s="123"/>
    </row>
    <row r="26" spans="1:22" x14ac:dyDescent="0.2">
      <c r="A26" s="386"/>
      <c r="B26" s="355"/>
      <c r="C26" s="387" t="s">
        <v>19</v>
      </c>
      <c r="D26" s="355" t="s">
        <v>199</v>
      </c>
      <c r="E26" s="382"/>
      <c r="F26" s="382"/>
      <c r="G26" s="458" t="s">
        <v>682</v>
      </c>
      <c r="H26" s="18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78">
        <f t="shared" si="1"/>
        <v>0</v>
      </c>
      <c r="T26" s="122"/>
      <c r="U26" s="123"/>
      <c r="V26" s="123"/>
    </row>
    <row r="27" spans="1:22" x14ac:dyDescent="0.2">
      <c r="A27" s="384"/>
      <c r="B27" s="385"/>
      <c r="C27" s="390" t="s">
        <v>21</v>
      </c>
      <c r="D27" s="391" t="s">
        <v>200</v>
      </c>
      <c r="E27" s="383"/>
      <c r="F27" s="382"/>
      <c r="G27" s="458" t="s">
        <v>683</v>
      </c>
      <c r="H27" s="18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78">
        <f t="shared" si="1"/>
        <v>0</v>
      </c>
      <c r="T27" s="122"/>
      <c r="U27" s="123"/>
      <c r="V27" s="123"/>
    </row>
    <row r="28" spans="1:22" x14ac:dyDescent="0.2">
      <c r="A28" s="386"/>
      <c r="B28" s="355" t="s">
        <v>201</v>
      </c>
      <c r="C28" s="355" t="s">
        <v>202</v>
      </c>
      <c r="D28" s="355"/>
      <c r="E28" s="382"/>
      <c r="F28" s="382"/>
      <c r="G28" s="458" t="s">
        <v>684</v>
      </c>
      <c r="H28" s="18"/>
      <c r="I28" s="78">
        <f t="shared" ref="I28:R28" si="7">SUM(I29,I32)</f>
        <v>0</v>
      </c>
      <c r="J28" s="78">
        <f t="shared" si="7"/>
        <v>0</v>
      </c>
      <c r="K28" s="78">
        <f t="shared" si="7"/>
        <v>0</v>
      </c>
      <c r="L28" s="78">
        <f t="shared" si="7"/>
        <v>0</v>
      </c>
      <c r="M28" s="78">
        <f t="shared" si="7"/>
        <v>0</v>
      </c>
      <c r="N28" s="78">
        <f t="shared" si="7"/>
        <v>0</v>
      </c>
      <c r="O28" s="78">
        <f t="shared" si="7"/>
        <v>0</v>
      </c>
      <c r="P28" s="78">
        <f t="shared" si="7"/>
        <v>0</v>
      </c>
      <c r="Q28" s="78">
        <f t="shared" si="7"/>
        <v>0</v>
      </c>
      <c r="R28" s="78">
        <f t="shared" si="7"/>
        <v>0</v>
      </c>
      <c r="S28" s="78">
        <f t="shared" si="1"/>
        <v>0</v>
      </c>
      <c r="T28" s="122"/>
      <c r="U28" s="123"/>
      <c r="V28" s="123"/>
    </row>
    <row r="29" spans="1:22" x14ac:dyDescent="0.2">
      <c r="A29" s="386"/>
      <c r="B29" s="355"/>
      <c r="C29" s="387" t="s">
        <v>19</v>
      </c>
      <c r="D29" s="385" t="s">
        <v>327</v>
      </c>
      <c r="E29" s="383"/>
      <c r="F29" s="382"/>
      <c r="G29" s="458" t="s">
        <v>685</v>
      </c>
      <c r="H29" s="18"/>
      <c r="I29" s="78">
        <f>I30+I31</f>
        <v>0</v>
      </c>
      <c r="J29" s="78">
        <f t="shared" ref="J29:R29" si="8">J30+J31</f>
        <v>0</v>
      </c>
      <c r="K29" s="78">
        <f t="shared" si="8"/>
        <v>0</v>
      </c>
      <c r="L29" s="78">
        <f t="shared" si="8"/>
        <v>0</v>
      </c>
      <c r="M29" s="78">
        <f t="shared" si="8"/>
        <v>0</v>
      </c>
      <c r="N29" s="78">
        <f t="shared" si="8"/>
        <v>0</v>
      </c>
      <c r="O29" s="78">
        <f t="shared" si="8"/>
        <v>0</v>
      </c>
      <c r="P29" s="78">
        <f t="shared" si="8"/>
        <v>0</v>
      </c>
      <c r="Q29" s="78">
        <f t="shared" si="8"/>
        <v>0</v>
      </c>
      <c r="R29" s="78">
        <f t="shared" si="8"/>
        <v>0</v>
      </c>
      <c r="S29" s="78">
        <f t="shared" si="1"/>
        <v>0</v>
      </c>
      <c r="T29" s="122"/>
      <c r="U29" s="123"/>
      <c r="V29" s="123"/>
    </row>
    <row r="30" spans="1:22" x14ac:dyDescent="0.2">
      <c r="A30" s="386"/>
      <c r="B30" s="355"/>
      <c r="C30" s="387"/>
      <c r="D30" s="355" t="s">
        <v>11</v>
      </c>
      <c r="E30" s="355" t="s">
        <v>792</v>
      </c>
      <c r="F30" s="383"/>
      <c r="G30" s="458" t="s">
        <v>832</v>
      </c>
      <c r="H30" s="18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78">
        <f t="shared" si="1"/>
        <v>0</v>
      </c>
      <c r="T30" s="122"/>
      <c r="U30" s="123"/>
      <c r="V30" s="123"/>
    </row>
    <row r="31" spans="1:22" x14ac:dyDescent="0.2">
      <c r="A31" s="384"/>
      <c r="B31" s="385"/>
      <c r="C31" s="390"/>
      <c r="D31" s="392" t="s">
        <v>15</v>
      </c>
      <c r="E31" s="355" t="s">
        <v>793</v>
      </c>
      <c r="F31" s="383"/>
      <c r="G31" s="458" t="s">
        <v>833</v>
      </c>
      <c r="H31" s="18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78">
        <f t="shared" si="1"/>
        <v>0</v>
      </c>
      <c r="T31" s="122"/>
      <c r="U31" s="123"/>
      <c r="V31" s="123"/>
    </row>
    <row r="32" spans="1:22" x14ac:dyDescent="0.2">
      <c r="A32" s="386"/>
      <c r="B32" s="355"/>
      <c r="C32" s="387" t="s">
        <v>21</v>
      </c>
      <c r="D32" s="355" t="s">
        <v>194</v>
      </c>
      <c r="E32" s="382"/>
      <c r="F32" s="382"/>
      <c r="G32" s="458" t="s">
        <v>686</v>
      </c>
      <c r="H32" s="18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78">
        <f t="shared" si="1"/>
        <v>0</v>
      </c>
      <c r="T32" s="122"/>
      <c r="U32" s="123"/>
      <c r="V32" s="123"/>
    </row>
    <row r="33" spans="1:244" x14ac:dyDescent="0.2">
      <c r="A33" s="393" t="s">
        <v>33</v>
      </c>
      <c r="B33" s="394" t="s">
        <v>204</v>
      </c>
      <c r="C33" s="385"/>
      <c r="D33" s="385"/>
      <c r="E33" s="383"/>
      <c r="F33" s="382"/>
      <c r="G33" s="458" t="s">
        <v>687</v>
      </c>
      <c r="H33" s="18"/>
      <c r="I33" s="60"/>
      <c r="J33" s="60"/>
      <c r="K33" s="60"/>
      <c r="L33" s="60"/>
      <c r="M33" s="60"/>
      <c r="N33" s="60"/>
      <c r="O33" s="60"/>
      <c r="P33" s="60"/>
      <c r="Q33" s="60"/>
      <c r="R33" s="60"/>
      <c r="S33" s="295"/>
      <c r="T33" s="122"/>
      <c r="U33" s="123"/>
      <c r="V33" s="123"/>
    </row>
    <row r="34" spans="1:244" x14ac:dyDescent="0.2">
      <c r="A34" s="386"/>
      <c r="B34" s="355" t="s">
        <v>188</v>
      </c>
      <c r="C34" s="355" t="s">
        <v>205</v>
      </c>
      <c r="D34" s="355"/>
      <c r="E34" s="382"/>
      <c r="F34" s="382"/>
      <c r="G34" s="458" t="s">
        <v>688</v>
      </c>
      <c r="H34" s="18"/>
      <c r="I34" s="60"/>
      <c r="J34" s="60"/>
      <c r="K34" s="60"/>
      <c r="L34" s="60"/>
      <c r="M34" s="60"/>
      <c r="N34" s="60"/>
      <c r="O34" s="60"/>
      <c r="P34" s="60"/>
      <c r="Q34" s="60"/>
      <c r="R34" s="60"/>
      <c r="S34" s="295"/>
      <c r="T34" s="122"/>
      <c r="U34" s="123"/>
      <c r="V34" s="123"/>
    </row>
    <row r="35" spans="1:244" x14ac:dyDescent="0.2">
      <c r="A35" s="384"/>
      <c r="B35" s="385" t="s">
        <v>195</v>
      </c>
      <c r="C35" s="385" t="s">
        <v>306</v>
      </c>
      <c r="D35" s="385"/>
      <c r="E35" s="383"/>
      <c r="F35" s="382"/>
      <c r="G35" s="458" t="s">
        <v>689</v>
      </c>
      <c r="H35" s="18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295"/>
      <c r="T35" s="122"/>
      <c r="U35" s="123"/>
      <c r="V35" s="123"/>
    </row>
    <row r="36" spans="1:244" x14ac:dyDescent="0.2">
      <c r="A36" s="386"/>
      <c r="B36" s="355" t="s">
        <v>197</v>
      </c>
      <c r="C36" s="355" t="s">
        <v>198</v>
      </c>
      <c r="D36" s="355"/>
      <c r="E36" s="382"/>
      <c r="F36" s="382"/>
      <c r="G36" s="458" t="s">
        <v>690</v>
      </c>
      <c r="H36" s="18"/>
      <c r="I36" s="60"/>
      <c r="J36" s="60"/>
      <c r="K36" s="60"/>
      <c r="L36" s="60"/>
      <c r="M36" s="60"/>
      <c r="N36" s="60"/>
      <c r="O36" s="60"/>
      <c r="P36" s="60"/>
      <c r="Q36" s="60"/>
      <c r="R36" s="60"/>
      <c r="S36" s="295"/>
      <c r="T36" s="122"/>
      <c r="U36" s="123"/>
      <c r="V36" s="123"/>
    </row>
    <row r="37" spans="1:244" x14ac:dyDescent="0.2">
      <c r="A37" s="384"/>
      <c r="B37" s="385"/>
      <c r="C37" s="390" t="s">
        <v>19</v>
      </c>
      <c r="D37" s="385" t="s">
        <v>207</v>
      </c>
      <c r="E37" s="383"/>
      <c r="F37" s="382"/>
      <c r="G37" s="458" t="s">
        <v>691</v>
      </c>
      <c r="H37" s="18"/>
      <c r="I37" s="60"/>
      <c r="J37" s="60"/>
      <c r="K37" s="60"/>
      <c r="L37" s="60"/>
      <c r="M37" s="60"/>
      <c r="N37" s="60"/>
      <c r="O37" s="60"/>
      <c r="P37" s="60"/>
      <c r="Q37" s="60"/>
      <c r="R37" s="60"/>
      <c r="S37" s="295"/>
      <c r="T37" s="122"/>
      <c r="U37" s="123"/>
      <c r="V37" s="123"/>
    </row>
    <row r="38" spans="1:244" x14ac:dyDescent="0.2">
      <c r="A38" s="386"/>
      <c r="B38" s="355"/>
      <c r="C38" s="387" t="s">
        <v>21</v>
      </c>
      <c r="D38" s="395" t="s">
        <v>200</v>
      </c>
      <c r="E38" s="382"/>
      <c r="F38" s="382"/>
      <c r="G38" s="458" t="s">
        <v>692</v>
      </c>
      <c r="H38" s="18"/>
      <c r="I38" s="60"/>
      <c r="J38" s="60"/>
      <c r="K38" s="60"/>
      <c r="L38" s="60"/>
      <c r="M38" s="60"/>
      <c r="N38" s="60"/>
      <c r="O38" s="60"/>
      <c r="P38" s="60"/>
      <c r="Q38" s="60"/>
      <c r="R38" s="60"/>
      <c r="S38" s="295"/>
      <c r="T38" s="122"/>
      <c r="U38" s="123"/>
      <c r="V38" s="123"/>
    </row>
    <row r="39" spans="1:244" s="16" customFormat="1" x14ac:dyDescent="0.2">
      <c r="A39" s="384"/>
      <c r="B39" s="385" t="s">
        <v>201</v>
      </c>
      <c r="C39" s="385" t="s">
        <v>208</v>
      </c>
      <c r="D39" s="385"/>
      <c r="E39" s="383"/>
      <c r="F39" s="382"/>
      <c r="G39" s="458" t="s">
        <v>693</v>
      </c>
      <c r="H39" s="18"/>
      <c r="I39" s="60"/>
      <c r="J39" s="60"/>
      <c r="K39" s="60"/>
      <c r="L39" s="60"/>
      <c r="M39" s="60"/>
      <c r="N39" s="60"/>
      <c r="O39" s="60"/>
      <c r="P39" s="60"/>
      <c r="Q39" s="60"/>
      <c r="R39" s="60"/>
      <c r="S39" s="295"/>
      <c r="T39" s="34"/>
      <c r="U39" s="132"/>
      <c r="V39" s="132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</row>
    <row r="40" spans="1:244" s="16" customFormat="1" x14ac:dyDescent="0.2">
      <c r="A40" s="397" t="s">
        <v>48</v>
      </c>
      <c r="B40" s="381" t="s">
        <v>209</v>
      </c>
      <c r="C40" s="395"/>
      <c r="D40" s="355"/>
      <c r="E40" s="382"/>
      <c r="F40" s="382"/>
      <c r="G40" s="458" t="s">
        <v>694</v>
      </c>
      <c r="H40" s="18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78">
        <f>(I40+J40+K40+L40+M40+N40+O40) - (P40+Q40)</f>
        <v>0</v>
      </c>
      <c r="T40" s="141"/>
      <c r="U40" s="142"/>
      <c r="V40" s="142"/>
    </row>
    <row r="41" spans="1:244" s="19" customFormat="1" x14ac:dyDescent="0.2">
      <c r="A41" s="407" t="s">
        <v>925</v>
      </c>
      <c r="B41" s="392"/>
      <c r="C41" s="392"/>
      <c r="D41" s="392"/>
      <c r="E41" s="388"/>
      <c r="F41" s="433"/>
      <c r="G41" s="458" t="s">
        <v>695</v>
      </c>
      <c r="H41" s="18"/>
      <c r="I41" s="77">
        <f t="shared" ref="I41:R41" si="9">SUM(I11,I33,I40)</f>
        <v>0</v>
      </c>
      <c r="J41" s="77">
        <f t="shared" si="9"/>
        <v>0</v>
      </c>
      <c r="K41" s="77">
        <f t="shared" si="9"/>
        <v>0</v>
      </c>
      <c r="L41" s="77">
        <f t="shared" si="9"/>
        <v>0</v>
      </c>
      <c r="M41" s="77">
        <f t="shared" si="9"/>
        <v>0</v>
      </c>
      <c r="N41" s="77">
        <f t="shared" si="9"/>
        <v>0</v>
      </c>
      <c r="O41" s="77">
        <f t="shared" si="9"/>
        <v>0</v>
      </c>
      <c r="P41" s="77">
        <f t="shared" si="9"/>
        <v>0</v>
      </c>
      <c r="Q41" s="77">
        <f t="shared" si="9"/>
        <v>0</v>
      </c>
      <c r="R41" s="77">
        <f t="shared" si="9"/>
        <v>0</v>
      </c>
      <c r="S41" s="78">
        <f>(I41+J41+K41+L41+M41+N41+O41) - (P41+Q41)</f>
        <v>0</v>
      </c>
      <c r="T41" s="133"/>
      <c r="U41" s="134"/>
      <c r="V41" s="134"/>
    </row>
    <row r="42" spans="1:244" s="154" customFormat="1" x14ac:dyDescent="0.2">
      <c r="A42" s="113"/>
      <c r="B42" s="14"/>
      <c r="C42" s="131"/>
      <c r="D42" s="39"/>
      <c r="E42" s="136"/>
      <c r="F42" s="238"/>
      <c r="G42" s="52" t="s">
        <v>184</v>
      </c>
      <c r="H42" s="48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2"/>
      <c r="U42" s="236"/>
      <c r="V42" s="236"/>
    </row>
    <row r="43" spans="1:244" s="154" customFormat="1" x14ac:dyDescent="0.2">
      <c r="A43" s="24"/>
      <c r="B43" s="39"/>
      <c r="C43" s="607"/>
      <c r="D43" s="607"/>
      <c r="E43" s="214"/>
      <c r="F43" s="214"/>
      <c r="G43" s="40"/>
      <c r="H43" s="40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236"/>
      <c r="V43" s="236"/>
    </row>
    <row r="44" spans="1:244" s="154" customFormat="1" x14ac:dyDescent="0.2">
      <c r="A44" s="24"/>
      <c r="B44" s="39"/>
      <c r="C44" s="135"/>
      <c r="D44" s="489"/>
      <c r="E44" s="489"/>
      <c r="F44" s="489"/>
      <c r="G44" s="40"/>
      <c r="H44" s="40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236"/>
      <c r="V44" s="236"/>
    </row>
    <row r="45" spans="1:244" s="154" customFormat="1" x14ac:dyDescent="0.2">
      <c r="A45" s="24"/>
      <c r="B45" s="39"/>
      <c r="C45" s="135"/>
      <c r="D45" s="489"/>
      <c r="E45" s="489"/>
      <c r="F45" s="489"/>
      <c r="G45" s="40"/>
      <c r="H45" s="40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236"/>
      <c r="V45" s="236"/>
    </row>
    <row r="46" spans="1:244" s="154" customFormat="1" x14ac:dyDescent="0.2">
      <c r="A46" s="24"/>
      <c r="B46" s="39"/>
      <c r="C46" s="131"/>
      <c r="D46" s="39"/>
      <c r="E46" s="39"/>
      <c r="F46" s="39"/>
      <c r="G46" s="40"/>
      <c r="H46" s="40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236"/>
      <c r="V46" s="236"/>
    </row>
    <row r="47" spans="1:244" s="154" customFormat="1" x14ac:dyDescent="0.2">
      <c r="A47" s="24"/>
      <c r="B47" s="39"/>
      <c r="C47" s="150"/>
      <c r="D47" s="39"/>
      <c r="E47" s="39"/>
      <c r="F47" s="39"/>
      <c r="G47" s="40"/>
      <c r="H47" s="40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236"/>
      <c r="V47" s="236"/>
    </row>
    <row r="48" spans="1:244" s="154" customFormat="1" x14ac:dyDescent="0.2">
      <c r="A48" s="24"/>
      <c r="B48" s="39"/>
      <c r="C48" s="140"/>
      <c r="D48" s="39"/>
      <c r="E48" s="39"/>
      <c r="F48" s="39"/>
      <c r="G48" s="40"/>
      <c r="H48" s="40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236"/>
      <c r="V48" s="236"/>
    </row>
    <row r="49" spans="1:22" s="154" customFormat="1" x14ac:dyDescent="0.2">
      <c r="A49" s="24"/>
      <c r="B49" s="39"/>
      <c r="C49" s="131"/>
      <c r="D49" s="39"/>
      <c r="E49" s="39"/>
      <c r="F49" s="39"/>
      <c r="G49" s="40"/>
      <c r="H49" s="40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236"/>
      <c r="V49" s="236"/>
    </row>
    <row r="50" spans="1:22" s="154" customFormat="1" x14ac:dyDescent="0.2">
      <c r="A50" s="24"/>
      <c r="B50" s="39"/>
      <c r="C50" s="135"/>
      <c r="D50" s="489"/>
      <c r="E50" s="489"/>
      <c r="F50" s="214"/>
      <c r="G50" s="40"/>
      <c r="H50" s="40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236"/>
      <c r="V50" s="236"/>
    </row>
    <row r="51" spans="1:22" s="154" customFormat="1" x14ac:dyDescent="0.2">
      <c r="A51" s="24"/>
      <c r="B51" s="39"/>
      <c r="C51" s="135"/>
      <c r="D51" s="489"/>
      <c r="E51" s="489"/>
      <c r="F51" s="489"/>
      <c r="G51" s="40"/>
      <c r="H51" s="40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236"/>
      <c r="V51" s="236"/>
    </row>
    <row r="52" spans="1:22" s="154" customFormat="1" x14ac:dyDescent="0.2">
      <c r="A52" s="24"/>
      <c r="B52" s="14"/>
      <c r="C52" s="131"/>
      <c r="D52" s="39"/>
      <c r="E52" s="39"/>
      <c r="F52" s="39"/>
      <c r="G52" s="40"/>
      <c r="H52" s="40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236"/>
      <c r="V52" s="236"/>
    </row>
    <row r="53" spans="1:22" s="154" customFormat="1" x14ac:dyDescent="0.2">
      <c r="A53" s="24"/>
      <c r="B53" s="39"/>
      <c r="C53" s="606"/>
      <c r="D53" s="606"/>
      <c r="E53" s="39"/>
      <c r="F53" s="39"/>
      <c r="G53" s="40"/>
      <c r="H53" s="40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236"/>
      <c r="V53" s="236"/>
    </row>
    <row r="54" spans="1:22" s="154" customFormat="1" x14ac:dyDescent="0.2">
      <c r="A54" s="24"/>
      <c r="B54" s="39"/>
      <c r="C54" s="131"/>
      <c r="D54" s="131"/>
      <c r="E54" s="39"/>
      <c r="F54" s="39"/>
      <c r="G54" s="40"/>
      <c r="H54" s="40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236"/>
      <c r="V54" s="236"/>
    </row>
    <row r="55" spans="1:22" s="154" customFormat="1" x14ac:dyDescent="0.2">
      <c r="A55" s="24"/>
      <c r="B55" s="39"/>
      <c r="C55" s="39"/>
      <c r="D55" s="39"/>
      <c r="E55" s="39"/>
      <c r="F55" s="39"/>
      <c r="G55" s="40"/>
      <c r="H55" s="40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236"/>
      <c r="V55" s="236"/>
    </row>
    <row r="56" spans="1:22" s="21" customFormat="1" x14ac:dyDescent="0.2">
      <c r="A56" s="166"/>
      <c r="B56" s="14"/>
      <c r="C56" s="131"/>
      <c r="D56" s="39"/>
      <c r="E56" s="39"/>
      <c r="F56" s="39"/>
      <c r="G56" s="20"/>
      <c r="H56" s="20"/>
      <c r="I56" s="32"/>
      <c r="J56" s="32"/>
      <c r="K56" s="32"/>
      <c r="L56" s="32"/>
      <c r="M56" s="32"/>
      <c r="N56" s="34"/>
      <c r="O56" s="32"/>
      <c r="P56" s="32"/>
      <c r="Q56" s="32"/>
      <c r="R56" s="32"/>
      <c r="S56" s="32"/>
      <c r="T56" s="34"/>
      <c r="U56" s="132"/>
      <c r="V56" s="132"/>
    </row>
    <row r="57" spans="1:22" s="21" customFormat="1" x14ac:dyDescent="0.2">
      <c r="A57" s="166"/>
      <c r="B57" s="39"/>
      <c r="C57" s="39"/>
      <c r="D57" s="39"/>
      <c r="E57" s="39"/>
      <c r="F57" s="39"/>
      <c r="G57" s="20"/>
      <c r="H57" s="20"/>
      <c r="I57" s="32"/>
      <c r="J57" s="32"/>
      <c r="K57" s="32"/>
      <c r="L57" s="32"/>
      <c r="M57" s="32"/>
      <c r="N57" s="34"/>
      <c r="O57" s="32"/>
      <c r="P57" s="32"/>
      <c r="Q57" s="32"/>
      <c r="R57" s="32"/>
      <c r="S57" s="32"/>
      <c r="T57" s="34"/>
      <c r="U57" s="132"/>
      <c r="V57" s="132"/>
    </row>
    <row r="58" spans="1:22" s="21" customFormat="1" x14ac:dyDescent="0.2">
      <c r="A58" s="166"/>
      <c r="B58" s="14"/>
      <c r="C58" s="39"/>
      <c r="D58" s="39"/>
      <c r="E58" s="39"/>
      <c r="F58" s="39"/>
      <c r="G58" s="20"/>
      <c r="H58" s="20"/>
      <c r="I58" s="32"/>
      <c r="J58" s="32"/>
      <c r="K58" s="32"/>
      <c r="L58" s="32"/>
      <c r="M58" s="32"/>
      <c r="N58" s="34"/>
      <c r="O58" s="32"/>
      <c r="P58" s="32"/>
      <c r="Q58" s="32"/>
      <c r="R58" s="32"/>
      <c r="S58" s="32"/>
      <c r="T58" s="34"/>
      <c r="U58" s="132"/>
      <c r="V58" s="132"/>
    </row>
    <row r="59" spans="1:22" s="21" customFormat="1" x14ac:dyDescent="0.2">
      <c r="A59" s="24"/>
      <c r="B59" s="39"/>
      <c r="C59" s="39"/>
      <c r="D59" s="39"/>
      <c r="E59" s="39"/>
      <c r="F59" s="39"/>
      <c r="G59" s="20"/>
      <c r="H59" s="20"/>
      <c r="I59" s="32"/>
      <c r="J59" s="32"/>
      <c r="K59" s="32"/>
      <c r="L59" s="32"/>
      <c r="M59" s="32"/>
      <c r="N59" s="34"/>
      <c r="O59" s="32"/>
      <c r="P59" s="32"/>
      <c r="Q59" s="32"/>
      <c r="R59" s="32"/>
      <c r="S59" s="32"/>
      <c r="T59" s="34"/>
      <c r="U59" s="132"/>
      <c r="V59" s="132"/>
    </row>
    <row r="60" spans="1:22" s="21" customFormat="1" x14ac:dyDescent="0.2">
      <c r="A60" s="166"/>
      <c r="B60" s="39"/>
      <c r="C60" s="39"/>
      <c r="D60" s="39"/>
      <c r="E60" s="39"/>
      <c r="F60" s="39"/>
      <c r="G60" s="20"/>
      <c r="H60" s="20"/>
      <c r="I60" s="32"/>
      <c r="J60" s="32"/>
      <c r="K60" s="32"/>
      <c r="L60" s="32"/>
      <c r="M60" s="32"/>
      <c r="N60" s="34"/>
      <c r="O60" s="32"/>
      <c r="P60" s="32"/>
      <c r="Q60" s="32"/>
      <c r="R60" s="32"/>
      <c r="S60" s="32"/>
      <c r="T60" s="34"/>
      <c r="U60" s="132"/>
      <c r="V60" s="132"/>
    </row>
    <row r="61" spans="1:22" s="21" customFormat="1" x14ac:dyDescent="0.2">
      <c r="A61" s="166"/>
      <c r="B61" s="39"/>
      <c r="C61" s="39"/>
      <c r="D61" s="39"/>
      <c r="E61" s="39"/>
      <c r="F61" s="39"/>
      <c r="G61" s="20"/>
      <c r="H61" s="20"/>
      <c r="I61" s="32"/>
      <c r="J61" s="32"/>
      <c r="K61" s="32"/>
      <c r="L61" s="32"/>
      <c r="M61" s="32"/>
      <c r="N61" s="34"/>
      <c r="O61" s="32"/>
      <c r="P61" s="32"/>
      <c r="Q61" s="32"/>
      <c r="R61" s="32"/>
      <c r="S61" s="32"/>
      <c r="T61" s="34"/>
      <c r="U61" s="132"/>
      <c r="V61" s="132"/>
    </row>
    <row r="62" spans="1:22" s="21" customFormat="1" x14ac:dyDescent="0.2">
      <c r="A62" s="166"/>
      <c r="B62" s="39"/>
      <c r="C62" s="39"/>
      <c r="D62" s="39"/>
      <c r="E62" s="39"/>
      <c r="F62" s="39"/>
      <c r="G62" s="20"/>
      <c r="H62" s="20"/>
      <c r="I62" s="32"/>
      <c r="J62" s="32"/>
      <c r="K62" s="32"/>
      <c r="L62" s="32"/>
      <c r="M62" s="32"/>
      <c r="N62" s="34"/>
      <c r="O62" s="32"/>
      <c r="P62" s="32"/>
      <c r="Q62" s="32"/>
      <c r="R62" s="32"/>
      <c r="S62" s="32"/>
      <c r="T62" s="34"/>
      <c r="U62" s="132"/>
      <c r="V62" s="132"/>
    </row>
    <row r="63" spans="1:22" s="21" customFormat="1" x14ac:dyDescent="0.2">
      <c r="A63" s="166"/>
      <c r="B63" s="39"/>
      <c r="C63" s="39"/>
      <c r="D63" s="39"/>
      <c r="E63" s="39"/>
      <c r="F63" s="39"/>
      <c r="G63" s="20"/>
      <c r="H63" s="20"/>
      <c r="I63" s="32"/>
      <c r="J63" s="32"/>
      <c r="K63" s="32"/>
      <c r="L63" s="32"/>
      <c r="M63" s="32"/>
      <c r="N63" s="34"/>
      <c r="O63" s="32"/>
      <c r="P63" s="32"/>
      <c r="Q63" s="32"/>
      <c r="R63" s="32"/>
      <c r="S63" s="32"/>
      <c r="T63" s="34"/>
      <c r="U63" s="132"/>
      <c r="V63" s="132"/>
    </row>
    <row r="64" spans="1:22" s="21" customFormat="1" x14ac:dyDescent="0.2">
      <c r="A64" s="151"/>
      <c r="B64" s="212"/>
      <c r="C64" s="212"/>
      <c r="D64" s="212"/>
      <c r="E64" s="212"/>
      <c r="F64" s="212"/>
      <c r="G64" s="20"/>
      <c r="H64" s="20"/>
      <c r="I64" s="32"/>
      <c r="J64" s="32"/>
      <c r="K64" s="32"/>
      <c r="L64" s="32"/>
      <c r="M64" s="32"/>
      <c r="N64" s="34"/>
      <c r="O64" s="32"/>
      <c r="P64" s="32"/>
      <c r="Q64" s="32"/>
      <c r="R64" s="32"/>
      <c r="S64" s="32"/>
      <c r="T64" s="34"/>
      <c r="U64" s="132"/>
      <c r="V64" s="132"/>
    </row>
    <row r="65" spans="1:22" s="21" customFormat="1" x14ac:dyDescent="0.2">
      <c r="A65" s="151"/>
      <c r="B65" s="212"/>
      <c r="C65" s="212"/>
      <c r="D65" s="212"/>
      <c r="E65" s="212"/>
      <c r="F65" s="212"/>
      <c r="G65" s="20"/>
      <c r="H65" s="20"/>
      <c r="I65" s="32"/>
      <c r="J65" s="32"/>
      <c r="K65" s="32"/>
      <c r="L65" s="32"/>
      <c r="M65" s="32"/>
      <c r="N65" s="34"/>
      <c r="O65" s="32"/>
      <c r="P65" s="32"/>
      <c r="Q65" s="32"/>
      <c r="R65" s="32"/>
      <c r="S65" s="32"/>
      <c r="T65" s="34"/>
      <c r="U65" s="132"/>
      <c r="V65" s="132"/>
    </row>
    <row r="66" spans="1:22" s="21" customFormat="1" x14ac:dyDescent="0.2">
      <c r="A66" s="151"/>
      <c r="B66" s="212"/>
      <c r="C66" s="212"/>
      <c r="D66" s="144"/>
      <c r="E66" s="144"/>
      <c r="F66" s="144"/>
      <c r="G66" s="20"/>
      <c r="H66" s="20"/>
      <c r="I66" s="32"/>
      <c r="J66" s="32"/>
      <c r="K66" s="32"/>
      <c r="L66" s="32"/>
      <c r="M66" s="32"/>
      <c r="N66" s="34"/>
      <c r="O66" s="32"/>
      <c r="P66" s="32"/>
      <c r="Q66" s="32"/>
      <c r="R66" s="32"/>
      <c r="S66" s="32"/>
      <c r="T66" s="34"/>
      <c r="U66" s="132"/>
      <c r="V66" s="132"/>
    </row>
    <row r="67" spans="1:22" s="21" customFormat="1" x14ac:dyDescent="0.2">
      <c r="A67" s="151"/>
      <c r="B67" s="39"/>
      <c r="C67" s="39"/>
      <c r="D67" s="39"/>
      <c r="E67" s="39"/>
      <c r="F67" s="39"/>
      <c r="G67" s="20"/>
      <c r="H67" s="20"/>
      <c r="I67" s="32"/>
      <c r="J67" s="32"/>
      <c r="K67" s="32"/>
      <c r="L67" s="32"/>
      <c r="M67" s="32"/>
      <c r="N67" s="34"/>
      <c r="O67" s="32"/>
      <c r="P67" s="32"/>
      <c r="Q67" s="32"/>
      <c r="R67" s="32"/>
      <c r="S67" s="32"/>
      <c r="T67" s="34"/>
      <c r="U67" s="132"/>
      <c r="V67" s="132"/>
    </row>
    <row r="68" spans="1:22" s="21" customFormat="1" x14ac:dyDescent="0.2">
      <c r="A68" s="166"/>
      <c r="B68" s="39"/>
      <c r="C68" s="39"/>
      <c r="D68" s="39"/>
      <c r="E68" s="39"/>
      <c r="F68" s="39"/>
      <c r="G68" s="20"/>
      <c r="H68" s="20"/>
      <c r="I68" s="32"/>
      <c r="J68" s="32"/>
      <c r="K68" s="32"/>
      <c r="L68" s="32"/>
      <c r="M68" s="32"/>
      <c r="N68" s="34"/>
      <c r="O68" s="32"/>
      <c r="P68" s="32"/>
      <c r="Q68" s="32"/>
      <c r="R68" s="32"/>
      <c r="S68" s="32"/>
      <c r="T68" s="34"/>
      <c r="U68" s="132"/>
      <c r="V68" s="132"/>
    </row>
    <row r="69" spans="1:22" s="21" customFormat="1" x14ac:dyDescent="0.2">
      <c r="A69" s="166"/>
      <c r="B69" s="39"/>
      <c r="C69" s="39"/>
      <c r="D69" s="39"/>
      <c r="E69" s="39"/>
      <c r="F69" s="39"/>
      <c r="G69" s="20"/>
      <c r="H69" s="20"/>
      <c r="I69" s="32"/>
      <c r="J69" s="32"/>
      <c r="K69" s="32"/>
      <c r="L69" s="32"/>
      <c r="M69" s="32"/>
      <c r="N69" s="34"/>
      <c r="O69" s="32"/>
      <c r="P69" s="32"/>
      <c r="Q69" s="32"/>
      <c r="R69" s="32"/>
      <c r="S69" s="32"/>
      <c r="T69" s="34"/>
      <c r="U69" s="132"/>
      <c r="V69" s="132"/>
    </row>
    <row r="70" spans="1:22" s="21" customFormat="1" x14ac:dyDescent="0.2">
      <c r="A70" s="166"/>
      <c r="B70" s="39"/>
      <c r="C70" s="39"/>
      <c r="D70" s="39"/>
      <c r="E70" s="39"/>
      <c r="F70" s="39"/>
      <c r="G70" s="20"/>
      <c r="H70" s="20"/>
      <c r="I70" s="32"/>
      <c r="J70" s="32"/>
      <c r="K70" s="32"/>
      <c r="L70" s="32"/>
      <c r="M70" s="32"/>
      <c r="N70" s="34"/>
      <c r="O70" s="32"/>
      <c r="P70" s="32"/>
      <c r="Q70" s="32"/>
      <c r="R70" s="32"/>
      <c r="S70" s="32"/>
      <c r="T70" s="34"/>
      <c r="U70" s="132"/>
      <c r="V70" s="132"/>
    </row>
    <row r="71" spans="1:22" s="21" customFormat="1" x14ac:dyDescent="0.2">
      <c r="A71" s="166"/>
      <c r="B71" s="39"/>
      <c r="C71" s="150"/>
      <c r="D71" s="39"/>
      <c r="E71" s="39"/>
      <c r="F71" s="39"/>
      <c r="G71" s="20"/>
      <c r="H71" s="20"/>
      <c r="I71" s="32"/>
      <c r="J71" s="32"/>
      <c r="K71" s="32"/>
      <c r="L71" s="32"/>
      <c r="M71" s="32"/>
      <c r="N71" s="34"/>
      <c r="O71" s="32"/>
      <c r="P71" s="32"/>
      <c r="Q71" s="32"/>
      <c r="R71" s="32"/>
      <c r="S71" s="32"/>
      <c r="T71" s="34"/>
      <c r="U71" s="132"/>
      <c r="V71" s="132"/>
    </row>
    <row r="72" spans="1:22" s="21" customFormat="1" x14ac:dyDescent="0.2">
      <c r="A72" s="166"/>
      <c r="B72" s="39"/>
      <c r="C72" s="150"/>
      <c r="D72" s="39"/>
      <c r="E72" s="39"/>
      <c r="F72" s="39"/>
      <c r="G72" s="20"/>
      <c r="H72" s="20"/>
      <c r="I72" s="32"/>
      <c r="J72" s="32"/>
      <c r="K72" s="32"/>
      <c r="L72" s="32"/>
      <c r="M72" s="32"/>
      <c r="N72" s="34"/>
      <c r="O72" s="32"/>
      <c r="P72" s="32"/>
      <c r="Q72" s="32"/>
      <c r="R72" s="32"/>
      <c r="S72" s="32"/>
      <c r="T72" s="34"/>
      <c r="U72" s="132"/>
      <c r="V72" s="132"/>
    </row>
    <row r="73" spans="1:22" s="21" customFormat="1" x14ac:dyDescent="0.2">
      <c r="A73" s="151"/>
      <c r="B73" s="39"/>
      <c r="C73" s="39"/>
      <c r="D73" s="39"/>
      <c r="E73" s="39"/>
      <c r="F73" s="39"/>
      <c r="G73" s="20"/>
      <c r="H73" s="20"/>
      <c r="I73" s="32"/>
      <c r="J73" s="32"/>
      <c r="K73" s="32"/>
      <c r="L73" s="32"/>
      <c r="M73" s="32"/>
      <c r="N73" s="34"/>
      <c r="O73" s="32"/>
      <c r="P73" s="32"/>
      <c r="Q73" s="32"/>
      <c r="R73" s="32"/>
      <c r="S73" s="32"/>
      <c r="T73" s="34"/>
      <c r="U73" s="132"/>
      <c r="V73" s="132"/>
    </row>
    <row r="74" spans="1:22" s="21" customFormat="1" x14ac:dyDescent="0.2">
      <c r="A74" s="166"/>
      <c r="B74" s="39"/>
      <c r="C74" s="39"/>
      <c r="D74" s="39"/>
      <c r="E74" s="39"/>
      <c r="F74" s="39"/>
      <c r="G74" s="20"/>
      <c r="H74" s="20"/>
      <c r="I74" s="32"/>
      <c r="J74" s="32"/>
      <c r="K74" s="32"/>
      <c r="L74" s="32"/>
      <c r="M74" s="32"/>
      <c r="N74" s="34"/>
      <c r="O74" s="32"/>
      <c r="P74" s="32"/>
      <c r="Q74" s="32"/>
      <c r="R74" s="32"/>
      <c r="S74" s="32"/>
      <c r="T74" s="34"/>
      <c r="U74" s="132"/>
      <c r="V74" s="132"/>
    </row>
    <row r="75" spans="1:22" s="21" customFormat="1" x14ac:dyDescent="0.2">
      <c r="A75" s="166"/>
      <c r="B75" s="39"/>
      <c r="C75" s="39"/>
      <c r="D75" s="39"/>
      <c r="E75" s="39"/>
      <c r="F75" s="39"/>
      <c r="G75" s="20"/>
      <c r="H75" s="20"/>
      <c r="I75" s="32"/>
      <c r="J75" s="32"/>
      <c r="K75" s="32"/>
      <c r="L75" s="32"/>
      <c r="M75" s="32"/>
      <c r="N75" s="34"/>
      <c r="O75" s="32"/>
      <c r="P75" s="32"/>
      <c r="Q75" s="32"/>
      <c r="R75" s="32"/>
      <c r="S75" s="32"/>
      <c r="T75" s="34"/>
      <c r="U75" s="132"/>
      <c r="V75" s="132"/>
    </row>
    <row r="76" spans="1:22" s="21" customFormat="1" x14ac:dyDescent="0.2">
      <c r="A76" s="151"/>
      <c r="B76" s="39"/>
      <c r="C76" s="39"/>
      <c r="D76" s="39"/>
      <c r="E76" s="39"/>
      <c r="F76" s="39"/>
      <c r="G76" s="20"/>
      <c r="H76" s="20"/>
      <c r="I76" s="32"/>
      <c r="J76" s="32"/>
      <c r="K76" s="32"/>
      <c r="L76" s="32"/>
      <c r="M76" s="32"/>
      <c r="N76" s="34"/>
      <c r="O76" s="32"/>
      <c r="P76" s="32"/>
      <c r="Q76" s="32"/>
      <c r="R76" s="32"/>
      <c r="S76" s="32"/>
      <c r="T76" s="34"/>
      <c r="U76" s="132"/>
      <c r="V76" s="132"/>
    </row>
    <row r="77" spans="1:22" s="21" customFormat="1" x14ac:dyDescent="0.2">
      <c r="A77" s="151"/>
      <c r="B77" s="39"/>
      <c r="C77" s="39"/>
      <c r="D77" s="39"/>
      <c r="E77" s="39"/>
      <c r="F77" s="39"/>
      <c r="G77" s="20" t="s">
        <v>261</v>
      </c>
      <c r="H77" s="20"/>
      <c r="I77" s="32"/>
      <c r="J77" s="32"/>
      <c r="K77" s="32"/>
      <c r="L77" s="32"/>
      <c r="M77" s="32"/>
      <c r="N77" s="34"/>
      <c r="O77" s="32"/>
      <c r="P77" s="32"/>
      <c r="Q77" s="32"/>
      <c r="R77" s="32"/>
      <c r="S77" s="32"/>
      <c r="T77" s="34"/>
      <c r="U77" s="132"/>
      <c r="V77" s="132"/>
    </row>
    <row r="78" spans="1:22" s="21" customFormat="1" x14ac:dyDescent="0.2">
      <c r="A78" s="151"/>
      <c r="B78" s="39"/>
      <c r="C78" s="39"/>
      <c r="D78" s="39"/>
      <c r="E78" s="39"/>
      <c r="F78" s="39"/>
      <c r="G78" s="20"/>
      <c r="H78" s="20"/>
      <c r="I78" s="32"/>
      <c r="J78" s="32"/>
      <c r="K78" s="32"/>
      <c r="L78" s="32"/>
      <c r="M78" s="32"/>
      <c r="N78" s="34"/>
      <c r="O78" s="32"/>
      <c r="P78" s="32"/>
      <c r="Q78" s="32"/>
      <c r="R78" s="32"/>
      <c r="S78" s="32"/>
      <c r="T78" s="34"/>
      <c r="U78" s="132"/>
      <c r="V78" s="132"/>
    </row>
    <row r="79" spans="1:22" s="21" customFormat="1" x14ac:dyDescent="0.2">
      <c r="A79" s="218"/>
      <c r="B79" s="153"/>
      <c r="C79" s="154"/>
      <c r="D79" s="150"/>
      <c r="E79" s="39"/>
      <c r="F79" s="39"/>
      <c r="G79" s="20"/>
      <c r="H79" s="20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132"/>
      <c r="V79" s="132"/>
    </row>
    <row r="80" spans="1:22" s="21" customFormat="1" x14ac:dyDescent="0.2">
      <c r="A80" s="7"/>
      <c r="B80" s="153"/>
      <c r="C80" s="154"/>
      <c r="D80" s="150"/>
      <c r="E80" s="566"/>
      <c r="F80" s="566"/>
      <c r="G80" s="22" t="s">
        <v>184</v>
      </c>
      <c r="H80" s="22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132"/>
      <c r="V80" s="132"/>
    </row>
    <row r="81" spans="1:22" s="21" customFormat="1" x14ac:dyDescent="0.2">
      <c r="A81" s="7"/>
      <c r="B81" s="155"/>
      <c r="C81" s="155"/>
      <c r="D81" s="155"/>
      <c r="E81" s="155"/>
      <c r="F81" s="155"/>
      <c r="G81" s="20"/>
      <c r="H81" s="20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132"/>
      <c r="V81" s="132"/>
    </row>
    <row r="82" spans="1:22" s="21" customFormat="1" x14ac:dyDescent="0.2">
      <c r="A82" s="7"/>
      <c r="B82" s="3"/>
      <c r="C82" s="4"/>
      <c r="D82" s="5"/>
      <c r="E82" s="155"/>
      <c r="F82" s="155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132"/>
      <c r="V82" s="132"/>
    </row>
    <row r="83" spans="1:22" s="21" customFormat="1" x14ac:dyDescent="0.2">
      <c r="A83" s="7"/>
      <c r="B83" s="3"/>
      <c r="C83" s="154"/>
      <c r="D83" s="157"/>
      <c r="E83" s="155"/>
      <c r="F83" s="155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132"/>
      <c r="V83" s="132"/>
    </row>
    <row r="84" spans="1:22" s="21" customFormat="1" x14ac:dyDescent="0.2">
      <c r="A84" s="7"/>
      <c r="B84" s="155"/>
      <c r="C84" s="154"/>
      <c r="D84" s="157"/>
      <c r="E84" s="157"/>
      <c r="F84" s="155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132"/>
      <c r="V84" s="132"/>
    </row>
    <row r="85" spans="1:22" s="21" customFormat="1" x14ac:dyDescent="0.2">
      <c r="A85" s="7"/>
      <c r="B85" s="155"/>
      <c r="C85" s="39"/>
      <c r="D85" s="154"/>
      <c r="E85" s="154"/>
      <c r="F85" s="155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132"/>
      <c r="V85" s="132"/>
    </row>
    <row r="86" spans="1:22" s="21" customFormat="1" x14ac:dyDescent="0.2">
      <c r="A86" s="7"/>
      <c r="B86" s="155"/>
      <c r="C86" s="154"/>
      <c r="D86" s="39"/>
      <c r="E86" s="154"/>
      <c r="F86" s="155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132"/>
      <c r="V86" s="132"/>
    </row>
    <row r="87" spans="1:22" s="21" customFormat="1" x14ac:dyDescent="0.2">
      <c r="A87" s="7"/>
      <c r="B87" s="155"/>
      <c r="C87" s="39"/>
      <c r="D87" s="158"/>
      <c r="E87" s="154"/>
      <c r="F87" s="155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132"/>
      <c r="V87" s="132"/>
    </row>
    <row r="88" spans="1:22" s="21" customFormat="1" x14ac:dyDescent="0.2">
      <c r="A88" s="7"/>
      <c r="B88" s="155"/>
      <c r="C88" s="39"/>
      <c r="D88" s="158"/>
      <c r="E88" s="154"/>
      <c r="F88" s="155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132"/>
      <c r="V88" s="132"/>
    </row>
    <row r="89" spans="1:22" s="21" customFormat="1" x14ac:dyDescent="0.2">
      <c r="A89" s="7"/>
      <c r="B89" s="155"/>
      <c r="C89" s="154"/>
      <c r="D89" s="39"/>
      <c r="E89" s="154"/>
      <c r="F89" s="155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132"/>
      <c r="V89" s="132"/>
    </row>
    <row r="90" spans="1:22" s="21" customFormat="1" x14ac:dyDescent="0.2">
      <c r="A90" s="7"/>
      <c r="B90" s="155"/>
      <c r="C90" s="154"/>
      <c r="D90" s="154"/>
      <c r="E90" s="154"/>
      <c r="F90" s="154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132"/>
      <c r="V90" s="132"/>
    </row>
    <row r="91" spans="1:22" s="21" customFormat="1" x14ac:dyDescent="0.2">
      <c r="A91" s="7"/>
      <c r="B91" s="155"/>
      <c r="C91" s="39"/>
      <c r="D91" s="525"/>
      <c r="E91" s="526"/>
      <c r="F91" s="526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132"/>
      <c r="V91" s="132"/>
    </row>
    <row r="92" spans="1:22" s="21" customFormat="1" x14ac:dyDescent="0.2">
      <c r="A92" s="7"/>
      <c r="B92" s="155"/>
      <c r="C92" s="154"/>
      <c r="D92" s="158"/>
      <c r="E92" s="154"/>
      <c r="F92" s="154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132"/>
      <c r="V92" s="132"/>
    </row>
    <row r="93" spans="1:22" s="21" customFormat="1" x14ac:dyDescent="0.2">
      <c r="A93" s="7"/>
      <c r="B93" s="155"/>
      <c r="C93" s="154"/>
      <c r="D93" s="158"/>
      <c r="E93" s="154"/>
      <c r="F93" s="154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132"/>
      <c r="V93" s="132"/>
    </row>
    <row r="94" spans="1:22" s="21" customFormat="1" x14ac:dyDescent="0.2">
      <c r="A94" s="7"/>
      <c r="B94" s="3"/>
      <c r="C94" s="4"/>
      <c r="D94" s="157"/>
      <c r="E94" s="154"/>
      <c r="F94" s="154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132"/>
      <c r="V94" s="132"/>
    </row>
    <row r="95" spans="1:22" s="21" customFormat="1" x14ac:dyDescent="0.2">
      <c r="A95" s="7"/>
      <c r="B95" s="155"/>
      <c r="C95" s="154"/>
      <c r="D95" s="154"/>
      <c r="E95" s="154"/>
      <c r="F95" s="154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132"/>
      <c r="V95" s="132"/>
    </row>
    <row r="96" spans="1:22" s="21" customFormat="1" x14ac:dyDescent="0.2">
      <c r="A96" s="7"/>
      <c r="B96" s="155"/>
      <c r="C96" s="154"/>
      <c r="D96" s="163"/>
      <c r="E96" s="154"/>
      <c r="F96" s="154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132"/>
      <c r="V96" s="132"/>
    </row>
    <row r="97" spans="1:22" s="21" customFormat="1" x14ac:dyDescent="0.2">
      <c r="A97" s="7"/>
      <c r="B97" s="155"/>
      <c r="C97" s="154"/>
      <c r="D97" s="164"/>
      <c r="E97" s="154"/>
      <c r="F97" s="154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132"/>
      <c r="V97" s="132"/>
    </row>
    <row r="98" spans="1:22" s="21" customFormat="1" x14ac:dyDescent="0.2">
      <c r="A98" s="7"/>
      <c r="B98" s="155"/>
      <c r="C98" s="154"/>
      <c r="D98" s="164"/>
      <c r="E98" s="154"/>
      <c r="F98" s="154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132"/>
      <c r="V98" s="132"/>
    </row>
    <row r="99" spans="1:22" s="21" customFormat="1" x14ac:dyDescent="0.2">
      <c r="A99" s="7"/>
      <c r="B99" s="155"/>
      <c r="C99" s="154"/>
      <c r="D99" s="163"/>
      <c r="E99" s="154"/>
      <c r="F99" s="154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132"/>
      <c r="V99" s="132"/>
    </row>
    <row r="100" spans="1:22" s="21" customFormat="1" x14ac:dyDescent="0.2">
      <c r="A100" s="7"/>
      <c r="B100" s="155"/>
      <c r="C100" s="154"/>
      <c r="D100" s="164"/>
      <c r="E100" s="154"/>
      <c r="F100" s="154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132"/>
      <c r="V100" s="132"/>
    </row>
    <row r="101" spans="1:22" s="21" customFormat="1" x14ac:dyDescent="0.2">
      <c r="A101" s="7"/>
      <c r="B101" s="155"/>
      <c r="C101" s="154"/>
      <c r="D101" s="164"/>
      <c r="E101" s="154"/>
      <c r="F101" s="154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132"/>
      <c r="V101" s="132"/>
    </row>
    <row r="102" spans="1:22" s="21" customFormat="1" x14ac:dyDescent="0.2">
      <c r="A102" s="7"/>
      <c r="B102" s="155"/>
      <c r="C102" s="154"/>
      <c r="D102" s="154"/>
      <c r="E102" s="154"/>
      <c r="F102" s="154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132"/>
      <c r="V102" s="132"/>
    </row>
    <row r="103" spans="1:22" s="21" customFormat="1" x14ac:dyDescent="0.2">
      <c r="A103" s="7"/>
      <c r="B103" s="155"/>
      <c r="C103" s="39"/>
      <c r="D103" s="158"/>
      <c r="E103" s="154"/>
      <c r="F103" s="154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132"/>
      <c r="V103" s="132"/>
    </row>
    <row r="104" spans="1:22" s="21" customFormat="1" x14ac:dyDescent="0.2">
      <c r="A104" s="7"/>
      <c r="B104" s="155"/>
      <c r="C104" s="39"/>
      <c r="D104" s="158"/>
      <c r="E104" s="154"/>
      <c r="F104" s="154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132"/>
      <c r="V104" s="132"/>
    </row>
    <row r="105" spans="1:22" s="21" customFormat="1" x14ac:dyDescent="0.2">
      <c r="A105" s="7"/>
      <c r="B105" s="155"/>
      <c r="C105" s="154"/>
      <c r="D105" s="154"/>
      <c r="E105" s="154"/>
      <c r="F105" s="154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132"/>
      <c r="V105" s="132"/>
    </row>
    <row r="106" spans="1:22" s="21" customFormat="1" x14ac:dyDescent="0.2">
      <c r="A106" s="7"/>
      <c r="B106" s="155"/>
      <c r="C106" s="39"/>
      <c r="D106" s="525"/>
      <c r="E106" s="526"/>
      <c r="F106" s="526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132"/>
      <c r="V106" s="132"/>
    </row>
    <row r="107" spans="1:22" s="21" customFormat="1" x14ac:dyDescent="0.2">
      <c r="A107" s="7"/>
      <c r="B107" s="155"/>
      <c r="C107" s="154"/>
      <c r="D107" s="158"/>
      <c r="E107" s="154"/>
      <c r="F107" s="154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132"/>
      <c r="V107" s="132"/>
    </row>
    <row r="108" spans="1:22" s="21" customFormat="1" x14ac:dyDescent="0.2">
      <c r="A108" s="7"/>
      <c r="B108" s="155"/>
      <c r="C108" s="154"/>
      <c r="D108" s="164"/>
      <c r="E108" s="154"/>
      <c r="F108" s="154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132"/>
      <c r="V108" s="132"/>
    </row>
    <row r="109" spans="1:22" s="21" customFormat="1" x14ac:dyDescent="0.2">
      <c r="A109" s="7"/>
      <c r="B109" s="155"/>
      <c r="C109" s="154"/>
      <c r="D109" s="164"/>
      <c r="E109" s="154"/>
      <c r="F109" s="154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132"/>
      <c r="V109" s="132"/>
    </row>
    <row r="110" spans="1:22" s="21" customFormat="1" x14ac:dyDescent="0.2">
      <c r="A110" s="7"/>
      <c r="B110" s="155"/>
      <c r="C110" s="154"/>
      <c r="D110" s="158"/>
      <c r="E110" s="154"/>
      <c r="F110" s="154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132"/>
      <c r="V110" s="132"/>
    </row>
    <row r="111" spans="1:22" s="21" customFormat="1" x14ac:dyDescent="0.2">
      <c r="A111" s="7"/>
      <c r="B111" s="155"/>
      <c r="C111" s="154"/>
      <c r="D111" s="164"/>
      <c r="E111" s="154"/>
      <c r="F111" s="154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132"/>
      <c r="V111" s="132"/>
    </row>
    <row r="112" spans="1:22" s="21" customFormat="1" x14ac:dyDescent="0.2">
      <c r="A112" s="7"/>
      <c r="B112" s="155"/>
      <c r="C112" s="154"/>
      <c r="D112" s="164"/>
      <c r="E112" s="154"/>
      <c r="F112" s="154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132"/>
      <c r="V112" s="132"/>
    </row>
    <row r="113" spans="1:22" s="21" customFormat="1" x14ac:dyDescent="0.2">
      <c r="A113" s="7"/>
      <c r="B113" s="3"/>
      <c r="C113" s="4"/>
      <c r="D113" s="157"/>
      <c r="E113" s="154"/>
      <c r="F113" s="154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132"/>
      <c r="V113" s="132"/>
    </row>
    <row r="114" spans="1:22" s="21" customFormat="1" x14ac:dyDescent="0.2">
      <c r="A114" s="7"/>
      <c r="B114" s="155"/>
      <c r="C114" s="154"/>
      <c r="D114" s="157"/>
      <c r="E114" s="154"/>
      <c r="F114" s="154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132"/>
      <c r="V114" s="132"/>
    </row>
    <row r="115" spans="1:22" s="21" customFormat="1" x14ac:dyDescent="0.2">
      <c r="A115" s="7"/>
      <c r="B115" s="155"/>
      <c r="C115" s="154"/>
      <c r="D115" s="157"/>
      <c r="E115" s="154"/>
      <c r="F115" s="154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132"/>
      <c r="V115" s="132"/>
    </row>
    <row r="116" spans="1:22" s="21" customFormat="1" x14ac:dyDescent="0.2">
      <c r="A116" s="7"/>
      <c r="B116" s="155"/>
      <c r="C116" s="154"/>
      <c r="D116" s="157"/>
      <c r="E116" s="154"/>
      <c r="F116" s="154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132"/>
      <c r="V116" s="132"/>
    </row>
    <row r="117" spans="1:22" s="21" customFormat="1" x14ac:dyDescent="0.2">
      <c r="A117" s="7"/>
      <c r="B117" s="155"/>
      <c r="C117" s="39"/>
      <c r="D117" s="525"/>
      <c r="E117" s="526"/>
      <c r="F117" s="526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132"/>
      <c r="V117" s="132"/>
    </row>
    <row r="118" spans="1:22" s="21" customFormat="1" x14ac:dyDescent="0.2">
      <c r="A118" s="7"/>
      <c r="B118" s="155"/>
      <c r="C118" s="154"/>
      <c r="D118" s="158"/>
      <c r="E118" s="154"/>
      <c r="F118" s="126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132"/>
      <c r="V118" s="132"/>
    </row>
    <row r="119" spans="1:22" s="21" customFormat="1" x14ac:dyDescent="0.2">
      <c r="A119" s="7"/>
      <c r="B119" s="155"/>
      <c r="C119" s="154"/>
      <c r="D119" s="158"/>
      <c r="E119" s="154"/>
      <c r="F119" s="126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132"/>
      <c r="V119" s="132"/>
    </row>
    <row r="120" spans="1:22" s="21" customFormat="1" x14ac:dyDescent="0.2">
      <c r="A120" s="7"/>
      <c r="B120" s="6"/>
      <c r="C120" s="7"/>
      <c r="D120" s="154"/>
      <c r="E120" s="154"/>
      <c r="F120" s="154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132"/>
      <c r="V120" s="132"/>
    </row>
    <row r="121" spans="1:22" s="21" customFormat="1" x14ac:dyDescent="0.2">
      <c r="A121" s="7"/>
      <c r="B121" s="153"/>
      <c r="C121" s="154"/>
      <c r="D121" s="154"/>
      <c r="E121" s="154"/>
      <c r="F121" s="154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132"/>
      <c r="V121" s="132"/>
    </row>
    <row r="122" spans="1:22" s="21" customFormat="1" x14ac:dyDescent="0.2">
      <c r="A122" s="7"/>
      <c r="B122" s="153"/>
      <c r="C122" s="154"/>
      <c r="D122" s="158"/>
      <c r="E122" s="154"/>
      <c r="F122" s="154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132"/>
      <c r="V122" s="132"/>
    </row>
    <row r="123" spans="1:22" s="21" customFormat="1" x14ac:dyDescent="0.2">
      <c r="A123" s="7"/>
      <c r="B123" s="153"/>
      <c r="C123" s="154"/>
      <c r="D123" s="158"/>
      <c r="E123" s="154"/>
      <c r="F123" s="154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132"/>
      <c r="V123" s="132"/>
    </row>
    <row r="124" spans="1:22" s="21" customFormat="1" x14ac:dyDescent="0.2">
      <c r="A124" s="7"/>
      <c r="B124" s="153"/>
      <c r="C124" s="154"/>
      <c r="D124" s="150"/>
      <c r="E124" s="566"/>
      <c r="F124" s="566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132"/>
      <c r="V124" s="132"/>
    </row>
    <row r="125" spans="1:22" s="21" customFormat="1" x14ac:dyDescent="0.2">
      <c r="A125" s="7"/>
      <c r="B125" s="153"/>
      <c r="C125" s="154"/>
      <c r="D125" s="39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132"/>
      <c r="V125" s="132"/>
    </row>
    <row r="126" spans="1:22" s="21" customFormat="1" x14ac:dyDescent="0.2">
      <c r="A126" s="7"/>
      <c r="B126" s="153"/>
      <c r="C126" s="154"/>
      <c r="D126" s="150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132"/>
      <c r="V126" s="132"/>
    </row>
    <row r="127" spans="1:22" s="21" customFormat="1" x14ac:dyDescent="0.2">
      <c r="A127" s="7"/>
      <c r="B127" s="153"/>
      <c r="C127" s="154"/>
      <c r="D127" s="150"/>
      <c r="E127" s="39"/>
      <c r="F127" s="39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132"/>
      <c r="V127" s="132"/>
    </row>
    <row r="128" spans="1:22" s="21" customFormat="1" x14ac:dyDescent="0.2">
      <c r="A128" s="7"/>
      <c r="B128" s="153"/>
      <c r="C128" s="154"/>
      <c r="D128" s="150"/>
      <c r="E128" s="566"/>
      <c r="F128" s="566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132"/>
      <c r="V128" s="132"/>
    </row>
    <row r="129" spans="1:22" x14ac:dyDescent="0.2">
      <c r="A129" s="154"/>
      <c r="B129" s="565"/>
      <c r="C129" s="565"/>
      <c r="D129" s="565"/>
      <c r="E129" s="565"/>
      <c r="F129" s="565"/>
      <c r="G129" s="20"/>
      <c r="H129" s="20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122"/>
      <c r="U129" s="123"/>
      <c r="V129" s="123"/>
    </row>
    <row r="130" spans="1:22" x14ac:dyDescent="0.2">
      <c r="A130" s="21"/>
      <c r="B130" s="21"/>
      <c r="C130" s="21"/>
      <c r="D130" s="21"/>
      <c r="E130" s="21"/>
      <c r="F130" s="21"/>
      <c r="G130" s="20"/>
      <c r="H130" s="20"/>
      <c r="I130" s="34"/>
      <c r="J130" s="34"/>
      <c r="K130" s="34"/>
      <c r="L130" s="34"/>
      <c r="M130" s="34"/>
      <c r="N130" s="34"/>
      <c r="O130" s="34" t="s">
        <v>184</v>
      </c>
      <c r="P130" s="34"/>
      <c r="Q130" s="34"/>
      <c r="R130" s="34"/>
      <c r="S130" s="34"/>
      <c r="T130" s="122"/>
      <c r="U130" s="123"/>
      <c r="V130" s="123"/>
    </row>
    <row r="131" spans="1:22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</row>
    <row r="132" spans="1:22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</row>
    <row r="133" spans="1:22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</row>
    <row r="134" spans="1:22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</row>
    <row r="135" spans="1:22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</row>
    <row r="136" spans="1:22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</row>
    <row r="137" spans="1:22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</row>
    <row r="138" spans="1:22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</row>
    <row r="139" spans="1:22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</row>
    <row r="140" spans="1:22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</row>
    <row r="141" spans="1:22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</row>
    <row r="142" spans="1:22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</row>
    <row r="143" spans="1:22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</row>
    <row r="144" spans="1:22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</row>
    <row r="145" spans="1:19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</row>
    <row r="146" spans="1:19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</row>
    <row r="147" spans="1:19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</row>
    <row r="148" spans="1:19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</row>
    <row r="149" spans="1:19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</row>
    <row r="150" spans="1:19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</row>
    <row r="151" spans="1:19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</row>
    <row r="152" spans="1:19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</row>
    <row r="153" spans="1:19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</row>
    <row r="154" spans="1:19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</row>
    <row r="155" spans="1:19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</row>
    <row r="156" spans="1:19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</row>
    <row r="157" spans="1:19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</row>
    <row r="158" spans="1:19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</row>
    <row r="159" spans="1:19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</row>
    <row r="160" spans="1:19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</row>
    <row r="161" spans="1:19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</row>
    <row r="162" spans="1:19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</row>
    <row r="163" spans="1:19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</row>
    <row r="164" spans="1:19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</row>
    <row r="165" spans="1:19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</row>
    <row r="166" spans="1:19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</row>
    <row r="167" spans="1:19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</row>
    <row r="168" spans="1:19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</row>
    <row r="169" spans="1:19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</row>
    <row r="170" spans="1:19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</row>
    <row r="171" spans="1:19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</row>
    <row r="172" spans="1:19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</row>
    <row r="173" spans="1:19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</row>
    <row r="174" spans="1:19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</row>
    <row r="175" spans="1:19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</row>
    <row r="176" spans="1:19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</row>
    <row r="177" spans="1:19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</row>
    <row r="178" spans="1:19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</row>
    <row r="179" spans="1:19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</row>
    <row r="180" spans="1:19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</row>
    <row r="181" spans="1:19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</row>
    <row r="182" spans="1:19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</row>
    <row r="183" spans="1:19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</row>
    <row r="184" spans="1:19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</row>
    <row r="185" spans="1:19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</row>
    <row r="186" spans="1:19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</row>
    <row r="187" spans="1:19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</row>
    <row r="188" spans="1:19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</row>
    <row r="189" spans="1:19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</row>
    <row r="190" spans="1:19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</row>
    <row r="191" spans="1:19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</row>
    <row r="192" spans="1:19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</row>
    <row r="193" spans="1:19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</row>
    <row r="194" spans="1:19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</row>
    <row r="195" spans="1:19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</row>
    <row r="196" spans="1:19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</row>
    <row r="197" spans="1:19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</row>
    <row r="198" spans="1:19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</row>
    <row r="199" spans="1:19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</row>
    <row r="200" spans="1:19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</row>
    <row r="201" spans="1:19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</row>
    <row r="202" spans="1:19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</row>
    <row r="203" spans="1:19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</row>
    <row r="204" spans="1:19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</row>
    <row r="205" spans="1:19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</row>
    <row r="206" spans="1:19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</row>
    <row r="207" spans="1:19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</row>
    <row r="208" spans="1:19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</row>
    <row r="209" spans="1:19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</row>
    <row r="210" spans="1:19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</row>
    <row r="211" spans="1:19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</row>
    <row r="212" spans="1:19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</row>
    <row r="213" spans="1:19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</row>
    <row r="214" spans="1:19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</row>
    <row r="215" spans="1:19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</row>
    <row r="216" spans="1:19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</row>
    <row r="217" spans="1:19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</row>
    <row r="218" spans="1:19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</row>
    <row r="219" spans="1:19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</row>
    <row r="220" spans="1:19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</row>
    <row r="221" spans="1:19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</row>
    <row r="222" spans="1:19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</row>
    <row r="223" spans="1:19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</row>
    <row r="224" spans="1:19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</row>
    <row r="225" spans="1:19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</row>
    <row r="226" spans="1:19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</row>
    <row r="227" spans="1:19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</row>
    <row r="228" spans="1:19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</row>
    <row r="229" spans="1:19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</row>
    <row r="230" spans="1:19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</row>
    <row r="231" spans="1:19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</row>
    <row r="232" spans="1:19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</row>
    <row r="233" spans="1:19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</row>
    <row r="234" spans="1:19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</row>
    <row r="235" spans="1:19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</row>
    <row r="236" spans="1:19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</row>
    <row r="237" spans="1:19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</row>
    <row r="238" spans="1:19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</row>
    <row r="239" spans="1:19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</row>
    <row r="240" spans="1:19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</row>
    <row r="241" spans="1:19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</row>
    <row r="242" spans="1:19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</row>
    <row r="243" spans="1:19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</row>
    <row r="244" spans="1:19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</row>
    <row r="245" spans="1:19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</row>
    <row r="246" spans="1:19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</row>
    <row r="247" spans="1:19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</row>
    <row r="248" spans="1:19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</row>
    <row r="249" spans="1:19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</row>
    <row r="250" spans="1:19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</row>
    <row r="251" spans="1:19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</row>
    <row r="252" spans="1:19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</row>
    <row r="253" spans="1:19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</row>
    <row r="254" spans="1:19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</row>
    <row r="255" spans="1:19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</row>
  </sheetData>
  <sheetProtection password="B344" sheet="1" objects="1" scenarios="1" selectLockedCells="1"/>
  <mergeCells count="31">
    <mergeCell ref="B129:F129"/>
    <mergeCell ref="E80:F80"/>
    <mergeCell ref="D91:F91"/>
    <mergeCell ref="D106:F106"/>
    <mergeCell ref="D117:F117"/>
    <mergeCell ref="E128:F128"/>
    <mergeCell ref="E124:F124"/>
    <mergeCell ref="D45:F45"/>
    <mergeCell ref="K8:K9"/>
    <mergeCell ref="D44:F44"/>
    <mergeCell ref="D51:F51"/>
    <mergeCell ref="D50:E50"/>
    <mergeCell ref="C43:D43"/>
    <mergeCell ref="J8:J9"/>
    <mergeCell ref="C53:D53"/>
    <mergeCell ref="A1:S1"/>
    <mergeCell ref="R7:R9"/>
    <mergeCell ref="Q7:Q9"/>
    <mergeCell ref="P7:P9"/>
    <mergeCell ref="O7:O9"/>
    <mergeCell ref="L8:L9"/>
    <mergeCell ref="G6:G9"/>
    <mergeCell ref="A2:S2"/>
    <mergeCell ref="A4:S4"/>
    <mergeCell ref="S7:S9"/>
    <mergeCell ref="M8:M9"/>
    <mergeCell ref="N8:N9"/>
    <mergeCell ref="I7:I9"/>
    <mergeCell ref="J7:N7"/>
    <mergeCell ref="A6:F9"/>
    <mergeCell ref="H6:H10"/>
  </mergeCells>
  <phoneticPr fontId="0" type="noConversion"/>
  <dataValidations count="1">
    <dataValidation type="decimal" operator="lessThan" allowBlank="1" showInputMessage="1" showErrorMessage="1" sqref="I10:FC587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8b1&amp;8&amp;U
&amp;P of &amp;N&amp;C&amp;"Arial,Bold"&amp;8 MAXIMUM SAVINGS BANK, INC.  [ 03-070011 ]
 As of: June 30, 2019</oddHeader>
  </headerFooter>
  <drawing r:id="rId2"/>
  <legacyDrawing r:id="rId3"/>
  <controls>
    <mc:AlternateContent xmlns:mc="http://schemas.openxmlformats.org/markup-compatibility/2006">
      <mc:Choice Requires="x14">
        <control shapeId="20481" r:id="rId4" name="Label1">
          <controlPr defaultSize="0" autoLine="0" r:id="rId5">
            <anchor moveWithCells="1">
              <from>
                <xdr:col>7</xdr:col>
                <xdr:colOff>219075</xdr:colOff>
                <xdr:row>17</xdr:row>
                <xdr:rowOff>28575</xdr:rowOff>
              </from>
              <to>
                <xdr:col>7</xdr:col>
                <xdr:colOff>628650</xdr:colOff>
                <xdr:row>18</xdr:row>
                <xdr:rowOff>28575</xdr:rowOff>
              </to>
            </anchor>
          </controlPr>
        </control>
      </mc:Choice>
      <mc:Fallback>
        <control shapeId="20481" r:id="rId4" name="Label1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IU255"/>
  <sheetViews>
    <sheetView zoomScale="75" zoomScaleNormal="90" zoomScaleSheetLayoutView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E17" sqref="E17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26.28515625" style="1" customWidth="1"/>
    <col min="6" max="6" width="21.42578125" style="1" hidden="1" customWidth="1"/>
    <col min="7" max="7" width="17.5703125" style="9" customWidth="1"/>
    <col min="8" max="8" width="10.85546875" style="9" customWidth="1"/>
    <col min="9" max="30" width="20.7109375" style="1" customWidth="1"/>
    <col min="31" max="170" width="25.7109375" style="1" customWidth="1"/>
    <col min="171" max="16384" width="9.140625" style="1"/>
  </cols>
  <sheetData>
    <row r="1" spans="1:33" s="165" customFormat="1" ht="12.75" x14ac:dyDescent="0.2">
      <c r="A1" s="512" t="s">
        <v>419</v>
      </c>
      <c r="B1" s="512"/>
      <c r="C1" s="512"/>
      <c r="D1" s="512"/>
      <c r="E1" s="512"/>
      <c r="F1" s="512"/>
      <c r="G1" s="512"/>
      <c r="H1" s="512"/>
      <c r="I1" s="512"/>
      <c r="J1" s="512"/>
      <c r="K1" s="512"/>
      <c r="L1" s="512"/>
      <c r="M1" s="512"/>
      <c r="N1" s="512"/>
      <c r="O1" s="512"/>
      <c r="P1" s="512"/>
      <c r="Q1" s="512"/>
      <c r="R1" s="512"/>
      <c r="S1" s="512"/>
      <c r="T1" s="512"/>
      <c r="U1" s="512"/>
      <c r="V1" s="512"/>
      <c r="W1" s="512"/>
      <c r="X1" s="512"/>
      <c r="Y1" s="512"/>
      <c r="Z1" s="512"/>
      <c r="AA1" s="512"/>
      <c r="AB1" s="512"/>
      <c r="AC1" s="512"/>
      <c r="AD1" s="512"/>
    </row>
    <row r="2" spans="1:33" s="165" customFormat="1" ht="12.75" customHeight="1" x14ac:dyDescent="0.2">
      <c r="A2" s="512" t="s">
        <v>325</v>
      </c>
      <c r="B2" s="512"/>
      <c r="C2" s="512"/>
      <c r="D2" s="512"/>
      <c r="E2" s="512"/>
      <c r="F2" s="512"/>
      <c r="G2" s="512"/>
      <c r="H2" s="512"/>
      <c r="I2" s="512"/>
      <c r="J2" s="512"/>
      <c r="K2" s="512"/>
      <c r="L2" s="512"/>
      <c r="M2" s="512"/>
      <c r="N2" s="512"/>
      <c r="O2" s="512"/>
      <c r="P2" s="512"/>
      <c r="Q2" s="512"/>
      <c r="R2" s="512"/>
      <c r="S2" s="512"/>
      <c r="T2" s="512"/>
      <c r="U2" s="512"/>
      <c r="V2" s="512"/>
      <c r="W2" s="512"/>
      <c r="X2" s="512"/>
      <c r="Y2" s="512"/>
      <c r="Z2" s="512"/>
      <c r="AA2" s="512"/>
      <c r="AB2" s="512"/>
      <c r="AC2" s="512"/>
      <c r="AD2" s="512"/>
    </row>
    <row r="3" spans="1:33" s="165" customFormat="1" ht="12.75" customHeight="1" x14ac:dyDescent="0.2">
      <c r="A3" s="512" t="s">
        <v>4</v>
      </c>
      <c r="B3" s="512"/>
      <c r="C3" s="512"/>
      <c r="D3" s="512"/>
      <c r="E3" s="512"/>
      <c r="F3" s="512"/>
      <c r="G3" s="512"/>
      <c r="H3" s="512"/>
      <c r="I3" s="512"/>
      <c r="J3" s="512"/>
      <c r="K3" s="512"/>
      <c r="L3" s="512"/>
      <c r="M3" s="512"/>
      <c r="N3" s="512"/>
      <c r="O3" s="512"/>
      <c r="P3" s="512"/>
      <c r="Q3" s="512"/>
      <c r="R3" s="512"/>
      <c r="S3" s="512"/>
      <c r="T3" s="512"/>
      <c r="U3" s="512"/>
      <c r="V3" s="512"/>
      <c r="W3" s="512"/>
      <c r="X3" s="512"/>
      <c r="Y3" s="512"/>
      <c r="Z3" s="512"/>
      <c r="AA3" s="512"/>
      <c r="AB3" s="512"/>
      <c r="AC3" s="512"/>
      <c r="AD3" s="512"/>
    </row>
    <row r="4" spans="1:33" ht="12.75" customHeight="1" x14ac:dyDescent="0.2">
      <c r="A4" s="217"/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  <c r="S4" s="217"/>
      <c r="T4" s="217"/>
      <c r="U4" s="217"/>
      <c r="V4" s="217"/>
      <c r="W4" s="217"/>
      <c r="X4" s="217"/>
      <c r="Y4" s="217"/>
      <c r="Z4" s="217"/>
      <c r="AA4" s="217"/>
      <c r="AB4" s="217"/>
      <c r="AC4" s="217"/>
      <c r="AD4" s="217"/>
    </row>
    <row r="5" spans="1:33" s="118" customFormat="1" ht="14.25" customHeight="1" x14ac:dyDescent="0.2">
      <c r="A5" s="504" t="s">
        <v>0</v>
      </c>
      <c r="B5" s="505"/>
      <c r="C5" s="505"/>
      <c r="D5" s="505"/>
      <c r="E5" s="505"/>
      <c r="F5" s="506"/>
      <c r="G5" s="496" t="s">
        <v>2</v>
      </c>
      <c r="H5" s="592" t="s">
        <v>414</v>
      </c>
      <c r="I5" s="518" t="s">
        <v>309</v>
      </c>
      <c r="J5" s="521"/>
      <c r="K5" s="518" t="s">
        <v>310</v>
      </c>
      <c r="L5" s="521"/>
      <c r="M5" s="580" t="s">
        <v>311</v>
      </c>
      <c r="N5" s="582"/>
      <c r="O5" s="580" t="s">
        <v>312</v>
      </c>
      <c r="P5" s="582"/>
      <c r="Q5" s="580" t="s">
        <v>313</v>
      </c>
      <c r="R5" s="582"/>
      <c r="S5" s="580" t="s">
        <v>314</v>
      </c>
      <c r="T5" s="582"/>
      <c r="U5" s="580" t="s">
        <v>315</v>
      </c>
      <c r="V5" s="582"/>
      <c r="W5" s="580" t="s">
        <v>316</v>
      </c>
      <c r="X5" s="582"/>
      <c r="Y5" s="580" t="s">
        <v>317</v>
      </c>
      <c r="Z5" s="582"/>
      <c r="AA5" s="580" t="s">
        <v>318</v>
      </c>
      <c r="AB5" s="582"/>
      <c r="AC5" s="580" t="s">
        <v>307</v>
      </c>
      <c r="AD5" s="582"/>
    </row>
    <row r="6" spans="1:33" s="11" customFormat="1" ht="12.75" customHeight="1" x14ac:dyDescent="0.2">
      <c r="A6" s="507"/>
      <c r="B6" s="508"/>
      <c r="C6" s="508"/>
      <c r="D6" s="508"/>
      <c r="E6" s="508"/>
      <c r="F6" s="509"/>
      <c r="G6" s="497"/>
      <c r="H6" s="610"/>
      <c r="I6" s="592" t="s">
        <v>755</v>
      </c>
      <c r="J6" s="600"/>
      <c r="K6" s="518" t="s">
        <v>324</v>
      </c>
      <c r="L6" s="533"/>
      <c r="M6" s="533"/>
      <c r="N6" s="533"/>
      <c r="O6" s="533"/>
      <c r="P6" s="533"/>
      <c r="Q6" s="533"/>
      <c r="R6" s="533"/>
      <c r="S6" s="533"/>
      <c r="T6" s="521"/>
      <c r="U6" s="592" t="s">
        <v>319</v>
      </c>
      <c r="V6" s="600"/>
      <c r="W6" s="592" t="s">
        <v>320</v>
      </c>
      <c r="X6" s="600"/>
      <c r="Y6" s="592" t="s">
        <v>321</v>
      </c>
      <c r="Z6" s="600"/>
      <c r="AA6" s="592" t="s">
        <v>390</v>
      </c>
      <c r="AB6" s="600"/>
      <c r="AC6" s="592" t="s">
        <v>328</v>
      </c>
      <c r="AD6" s="600"/>
    </row>
    <row r="7" spans="1:33" s="11" customFormat="1" ht="12.75" customHeight="1" x14ac:dyDescent="0.2">
      <c r="A7" s="507"/>
      <c r="B7" s="508"/>
      <c r="C7" s="508"/>
      <c r="D7" s="508"/>
      <c r="E7" s="508"/>
      <c r="F7" s="509"/>
      <c r="G7" s="497"/>
      <c r="H7" s="610"/>
      <c r="I7" s="593"/>
      <c r="J7" s="601"/>
      <c r="K7" s="504" t="s">
        <v>779</v>
      </c>
      <c r="L7" s="506"/>
      <c r="M7" s="504" t="s">
        <v>780</v>
      </c>
      <c r="N7" s="506"/>
      <c r="O7" s="504" t="s">
        <v>781</v>
      </c>
      <c r="P7" s="506"/>
      <c r="Q7" s="504" t="s">
        <v>782</v>
      </c>
      <c r="R7" s="506"/>
      <c r="S7" s="504" t="s">
        <v>308</v>
      </c>
      <c r="T7" s="506"/>
      <c r="U7" s="593"/>
      <c r="V7" s="601"/>
      <c r="W7" s="593"/>
      <c r="X7" s="601"/>
      <c r="Y7" s="593"/>
      <c r="Z7" s="601"/>
      <c r="AA7" s="593"/>
      <c r="AB7" s="601"/>
      <c r="AC7" s="593"/>
      <c r="AD7" s="601"/>
    </row>
    <row r="8" spans="1:33" s="2" customFormat="1" ht="12.75" customHeight="1" x14ac:dyDescent="0.2">
      <c r="A8" s="507"/>
      <c r="B8" s="508"/>
      <c r="C8" s="508"/>
      <c r="D8" s="508"/>
      <c r="E8" s="508"/>
      <c r="F8" s="509"/>
      <c r="G8" s="497"/>
      <c r="H8" s="610"/>
      <c r="I8" s="593"/>
      <c r="J8" s="601"/>
      <c r="K8" s="491"/>
      <c r="L8" s="492"/>
      <c r="M8" s="491"/>
      <c r="N8" s="492"/>
      <c r="O8" s="491"/>
      <c r="P8" s="492"/>
      <c r="Q8" s="491"/>
      <c r="R8" s="492"/>
      <c r="S8" s="491"/>
      <c r="T8" s="492"/>
      <c r="U8" s="594"/>
      <c r="V8" s="602"/>
      <c r="W8" s="594"/>
      <c r="X8" s="602"/>
      <c r="Y8" s="594"/>
      <c r="Z8" s="602"/>
      <c r="AA8" s="594"/>
      <c r="AB8" s="602"/>
      <c r="AC8" s="594"/>
      <c r="AD8" s="602"/>
    </row>
    <row r="9" spans="1:33" s="2" customFormat="1" x14ac:dyDescent="0.2">
      <c r="A9" s="507"/>
      <c r="B9" s="508"/>
      <c r="C9" s="508"/>
      <c r="D9" s="508"/>
      <c r="E9" s="508"/>
      <c r="F9" s="492"/>
      <c r="G9" s="498"/>
      <c r="H9" s="611"/>
      <c r="I9" s="37" t="s">
        <v>5</v>
      </c>
      <c r="J9" s="37" t="s">
        <v>6</v>
      </c>
      <c r="K9" s="37" t="s">
        <v>5</v>
      </c>
      <c r="L9" s="37" t="s">
        <v>6</v>
      </c>
      <c r="M9" s="37" t="s">
        <v>5</v>
      </c>
      <c r="N9" s="37" t="s">
        <v>6</v>
      </c>
      <c r="O9" s="37" t="s">
        <v>5</v>
      </c>
      <c r="P9" s="37" t="s">
        <v>6</v>
      </c>
      <c r="Q9" s="37" t="s">
        <v>5</v>
      </c>
      <c r="R9" s="37" t="s">
        <v>6</v>
      </c>
      <c r="S9" s="37" t="s">
        <v>5</v>
      </c>
      <c r="T9" s="37" t="s">
        <v>6</v>
      </c>
      <c r="U9" s="37" t="s">
        <v>5</v>
      </c>
      <c r="V9" s="37" t="s">
        <v>6</v>
      </c>
      <c r="W9" s="37" t="s">
        <v>5</v>
      </c>
      <c r="X9" s="37" t="s">
        <v>6</v>
      </c>
      <c r="Y9" s="37" t="s">
        <v>5</v>
      </c>
      <c r="Z9" s="37" t="s">
        <v>6</v>
      </c>
      <c r="AA9" s="37" t="s">
        <v>5</v>
      </c>
      <c r="AB9" s="37" t="s">
        <v>6</v>
      </c>
      <c r="AC9" s="37" t="s">
        <v>5</v>
      </c>
      <c r="AD9" s="37" t="s">
        <v>6</v>
      </c>
    </row>
    <row r="10" spans="1:33" x14ac:dyDescent="0.2">
      <c r="A10" s="377" t="s">
        <v>185</v>
      </c>
      <c r="B10" s="378"/>
      <c r="C10" s="378"/>
      <c r="D10" s="378"/>
      <c r="E10" s="379"/>
      <c r="F10" s="382"/>
      <c r="G10" s="320"/>
      <c r="H10" s="18"/>
      <c r="I10" s="78"/>
      <c r="J10" s="78"/>
      <c r="K10" s="78"/>
      <c r="L10" s="78"/>
      <c r="M10" s="78"/>
      <c r="N10" s="78"/>
      <c r="O10" s="78"/>
      <c r="P10" s="78"/>
      <c r="Q10" s="78"/>
      <c r="R10" s="78"/>
      <c r="S10" s="78"/>
      <c r="T10" s="78"/>
      <c r="U10" s="78"/>
      <c r="V10" s="78"/>
      <c r="W10" s="78"/>
      <c r="X10" s="78"/>
      <c r="Y10" s="78"/>
      <c r="Z10" s="78"/>
      <c r="AA10" s="78"/>
      <c r="AB10" s="78"/>
      <c r="AC10" s="78"/>
      <c r="AD10" s="78"/>
      <c r="AE10" s="122"/>
      <c r="AF10" s="123"/>
      <c r="AG10" s="123"/>
    </row>
    <row r="11" spans="1:33" x14ac:dyDescent="0.2">
      <c r="A11" s="380" t="s">
        <v>186</v>
      </c>
      <c r="B11" s="381" t="s">
        <v>187</v>
      </c>
      <c r="C11" s="355"/>
      <c r="D11" s="355"/>
      <c r="E11" s="382"/>
      <c r="F11" s="382"/>
      <c r="G11" s="458" t="s">
        <v>672</v>
      </c>
      <c r="H11" s="18"/>
      <c r="I11" s="78">
        <f t="shared" ref="I11:AB11" si="0">SUM(I12,I24,I25,I28)</f>
        <v>0</v>
      </c>
      <c r="J11" s="78">
        <f t="shared" si="0"/>
        <v>0</v>
      </c>
      <c r="K11" s="78">
        <f t="shared" si="0"/>
        <v>0</v>
      </c>
      <c r="L11" s="78">
        <f t="shared" si="0"/>
        <v>0</v>
      </c>
      <c r="M11" s="78">
        <f t="shared" si="0"/>
        <v>0</v>
      </c>
      <c r="N11" s="78">
        <f t="shared" si="0"/>
        <v>0</v>
      </c>
      <c r="O11" s="78">
        <f t="shared" si="0"/>
        <v>0</v>
      </c>
      <c r="P11" s="78">
        <f t="shared" si="0"/>
        <v>0</v>
      </c>
      <c r="Q11" s="78">
        <f t="shared" si="0"/>
        <v>0</v>
      </c>
      <c r="R11" s="78">
        <f t="shared" si="0"/>
        <v>0</v>
      </c>
      <c r="S11" s="78">
        <f t="shared" si="0"/>
        <v>0</v>
      </c>
      <c r="T11" s="78">
        <f t="shared" si="0"/>
        <v>0</v>
      </c>
      <c r="U11" s="78">
        <f t="shared" si="0"/>
        <v>0</v>
      </c>
      <c r="V11" s="78">
        <f t="shared" si="0"/>
        <v>0</v>
      </c>
      <c r="W11" s="78">
        <f t="shared" si="0"/>
        <v>0</v>
      </c>
      <c r="X11" s="78">
        <f t="shared" si="0"/>
        <v>0</v>
      </c>
      <c r="Y11" s="78">
        <f t="shared" si="0"/>
        <v>0</v>
      </c>
      <c r="Z11" s="78">
        <f t="shared" si="0"/>
        <v>0</v>
      </c>
      <c r="AA11" s="78">
        <f t="shared" si="0"/>
        <v>0</v>
      </c>
      <c r="AB11" s="78">
        <f t="shared" si="0"/>
        <v>0</v>
      </c>
      <c r="AC11" s="78">
        <f t="shared" ref="AC11:AD16" si="1">(I11+K11+M11+O11+Q11+S11+U11) - (W11+Y11)</f>
        <v>0</v>
      </c>
      <c r="AD11" s="78">
        <f t="shared" si="1"/>
        <v>0</v>
      </c>
      <c r="AE11" s="122"/>
      <c r="AF11" s="123"/>
      <c r="AG11" s="123"/>
    </row>
    <row r="12" spans="1:33" x14ac:dyDescent="0.2">
      <c r="A12" s="384"/>
      <c r="B12" s="385" t="s">
        <v>188</v>
      </c>
      <c r="C12" s="385" t="s">
        <v>788</v>
      </c>
      <c r="D12" s="385"/>
      <c r="E12" s="383"/>
      <c r="F12" s="382"/>
      <c r="G12" s="458" t="s">
        <v>673</v>
      </c>
      <c r="H12" s="18"/>
      <c r="I12" s="78">
        <f t="shared" ref="I12:AB12" si="2">SUM(I13,I19,I20)</f>
        <v>0</v>
      </c>
      <c r="J12" s="78">
        <f t="shared" si="2"/>
        <v>0</v>
      </c>
      <c r="K12" s="78">
        <f t="shared" si="2"/>
        <v>0</v>
      </c>
      <c r="L12" s="78">
        <f t="shared" si="2"/>
        <v>0</v>
      </c>
      <c r="M12" s="78">
        <f t="shared" si="2"/>
        <v>0</v>
      </c>
      <c r="N12" s="78">
        <f t="shared" si="2"/>
        <v>0</v>
      </c>
      <c r="O12" s="78">
        <f t="shared" si="2"/>
        <v>0</v>
      </c>
      <c r="P12" s="78">
        <f t="shared" si="2"/>
        <v>0</v>
      </c>
      <c r="Q12" s="78">
        <f t="shared" si="2"/>
        <v>0</v>
      </c>
      <c r="R12" s="78">
        <f t="shared" si="2"/>
        <v>0</v>
      </c>
      <c r="S12" s="78">
        <f t="shared" si="2"/>
        <v>0</v>
      </c>
      <c r="T12" s="78">
        <f t="shared" si="2"/>
        <v>0</v>
      </c>
      <c r="U12" s="78">
        <f t="shared" si="2"/>
        <v>0</v>
      </c>
      <c r="V12" s="78">
        <f t="shared" si="2"/>
        <v>0</v>
      </c>
      <c r="W12" s="78">
        <f t="shared" si="2"/>
        <v>0</v>
      </c>
      <c r="X12" s="78">
        <f t="shared" si="2"/>
        <v>0</v>
      </c>
      <c r="Y12" s="78">
        <f t="shared" si="2"/>
        <v>0</v>
      </c>
      <c r="Z12" s="78">
        <f t="shared" si="2"/>
        <v>0</v>
      </c>
      <c r="AA12" s="78">
        <f t="shared" si="2"/>
        <v>0</v>
      </c>
      <c r="AB12" s="78">
        <f t="shared" si="2"/>
        <v>0</v>
      </c>
      <c r="AC12" s="78">
        <f t="shared" si="1"/>
        <v>0</v>
      </c>
      <c r="AD12" s="78">
        <f t="shared" si="1"/>
        <v>0</v>
      </c>
      <c r="AE12" s="122"/>
      <c r="AF12" s="123"/>
      <c r="AG12" s="123"/>
    </row>
    <row r="13" spans="1:33" x14ac:dyDescent="0.2">
      <c r="A13" s="386"/>
      <c r="B13" s="355"/>
      <c r="C13" s="387" t="s">
        <v>19</v>
      </c>
      <c r="D13" s="355" t="s">
        <v>189</v>
      </c>
      <c r="E13" s="382"/>
      <c r="F13" s="382"/>
      <c r="G13" s="458" t="s">
        <v>674</v>
      </c>
      <c r="H13" s="18"/>
      <c r="I13" s="292">
        <f>I14+I15+I16</f>
        <v>0</v>
      </c>
      <c r="J13" s="292">
        <f t="shared" ref="J13:AB13" si="3">J14+J15+J16</f>
        <v>0</v>
      </c>
      <c r="K13" s="292">
        <f t="shared" si="3"/>
        <v>0</v>
      </c>
      <c r="L13" s="292">
        <f t="shared" si="3"/>
        <v>0</v>
      </c>
      <c r="M13" s="292">
        <f t="shared" si="3"/>
        <v>0</v>
      </c>
      <c r="N13" s="292">
        <f t="shared" si="3"/>
        <v>0</v>
      </c>
      <c r="O13" s="292">
        <f t="shared" si="3"/>
        <v>0</v>
      </c>
      <c r="P13" s="292">
        <f t="shared" si="3"/>
        <v>0</v>
      </c>
      <c r="Q13" s="292">
        <f t="shared" si="3"/>
        <v>0</v>
      </c>
      <c r="R13" s="292">
        <f t="shared" si="3"/>
        <v>0</v>
      </c>
      <c r="S13" s="292">
        <f t="shared" si="3"/>
        <v>0</v>
      </c>
      <c r="T13" s="292">
        <f t="shared" si="3"/>
        <v>0</v>
      </c>
      <c r="U13" s="292">
        <f t="shared" si="3"/>
        <v>0</v>
      </c>
      <c r="V13" s="292">
        <f t="shared" si="3"/>
        <v>0</v>
      </c>
      <c r="W13" s="292">
        <f t="shared" si="3"/>
        <v>0</v>
      </c>
      <c r="X13" s="292">
        <f t="shared" si="3"/>
        <v>0</v>
      </c>
      <c r="Y13" s="292">
        <f t="shared" si="3"/>
        <v>0</v>
      </c>
      <c r="Z13" s="292">
        <f t="shared" si="3"/>
        <v>0</v>
      </c>
      <c r="AA13" s="292">
        <f t="shared" si="3"/>
        <v>0</v>
      </c>
      <c r="AB13" s="292">
        <f t="shared" si="3"/>
        <v>0</v>
      </c>
      <c r="AC13" s="78">
        <f t="shared" si="1"/>
        <v>0</v>
      </c>
      <c r="AD13" s="78">
        <f t="shared" si="1"/>
        <v>0</v>
      </c>
      <c r="AE13" s="122"/>
      <c r="AF13" s="123"/>
      <c r="AG13" s="123"/>
    </row>
    <row r="14" spans="1:33" x14ac:dyDescent="0.2">
      <c r="A14" s="386"/>
      <c r="B14" s="355"/>
      <c r="C14" s="387"/>
      <c r="D14" s="355" t="s">
        <v>11</v>
      </c>
      <c r="E14" s="355" t="s">
        <v>789</v>
      </c>
      <c r="F14" s="383"/>
      <c r="G14" s="458" t="s">
        <v>829</v>
      </c>
      <c r="H14" s="18"/>
      <c r="I14" s="296"/>
      <c r="J14" s="296"/>
      <c r="K14" s="296"/>
      <c r="L14" s="296"/>
      <c r="M14" s="296"/>
      <c r="N14" s="296"/>
      <c r="O14" s="296"/>
      <c r="P14" s="296"/>
      <c r="Q14" s="296"/>
      <c r="R14" s="296"/>
      <c r="S14" s="296"/>
      <c r="T14" s="296"/>
      <c r="U14" s="296"/>
      <c r="V14" s="296"/>
      <c r="W14" s="296"/>
      <c r="X14" s="296"/>
      <c r="Y14" s="296"/>
      <c r="Z14" s="296"/>
      <c r="AA14" s="296"/>
      <c r="AB14" s="296"/>
      <c r="AC14" s="295"/>
      <c r="AD14" s="295"/>
      <c r="AE14" s="122"/>
      <c r="AF14" s="123"/>
      <c r="AG14" s="123"/>
    </row>
    <row r="15" spans="1:33" x14ac:dyDescent="0.2">
      <c r="A15" s="386"/>
      <c r="B15" s="355"/>
      <c r="C15" s="387"/>
      <c r="D15" s="355" t="s">
        <v>15</v>
      </c>
      <c r="E15" s="392" t="s">
        <v>790</v>
      </c>
      <c r="F15" s="383"/>
      <c r="G15" s="458" t="s">
        <v>830</v>
      </c>
      <c r="H15" s="18"/>
      <c r="I15" s="296"/>
      <c r="J15" s="296"/>
      <c r="K15" s="296"/>
      <c r="L15" s="296"/>
      <c r="M15" s="296"/>
      <c r="N15" s="296"/>
      <c r="O15" s="296"/>
      <c r="P15" s="296"/>
      <c r="Q15" s="296"/>
      <c r="R15" s="296"/>
      <c r="S15" s="296"/>
      <c r="T15" s="296"/>
      <c r="U15" s="296"/>
      <c r="V15" s="296"/>
      <c r="W15" s="296"/>
      <c r="X15" s="296"/>
      <c r="Y15" s="296"/>
      <c r="Z15" s="296"/>
      <c r="AA15" s="296"/>
      <c r="AB15" s="296"/>
      <c r="AC15" s="295"/>
      <c r="AD15" s="295"/>
      <c r="AE15" s="122"/>
      <c r="AF15" s="123"/>
      <c r="AG15" s="123"/>
    </row>
    <row r="16" spans="1:33" x14ac:dyDescent="0.2">
      <c r="A16" s="386"/>
      <c r="B16" s="355"/>
      <c r="C16" s="387"/>
      <c r="D16" s="355" t="s">
        <v>25</v>
      </c>
      <c r="E16" s="355" t="s">
        <v>791</v>
      </c>
      <c r="F16" s="383"/>
      <c r="G16" s="458" t="s">
        <v>831</v>
      </c>
      <c r="H16" s="85" t="s">
        <v>751</v>
      </c>
      <c r="I16" s="292">
        <f t="shared" ref="I16:AB16" si="4">SUM(I17:I18)</f>
        <v>0</v>
      </c>
      <c r="J16" s="292">
        <f t="shared" si="4"/>
        <v>0</v>
      </c>
      <c r="K16" s="292">
        <f t="shared" si="4"/>
        <v>0</v>
      </c>
      <c r="L16" s="292">
        <f t="shared" si="4"/>
        <v>0</v>
      </c>
      <c r="M16" s="292">
        <f t="shared" si="4"/>
        <v>0</v>
      </c>
      <c r="N16" s="292">
        <f t="shared" si="4"/>
        <v>0</v>
      </c>
      <c r="O16" s="292">
        <f t="shared" si="4"/>
        <v>0</v>
      </c>
      <c r="P16" s="292">
        <f t="shared" si="4"/>
        <v>0</v>
      </c>
      <c r="Q16" s="292">
        <f t="shared" si="4"/>
        <v>0</v>
      </c>
      <c r="R16" s="292">
        <f t="shared" si="4"/>
        <v>0</v>
      </c>
      <c r="S16" s="292">
        <f t="shared" si="4"/>
        <v>0</v>
      </c>
      <c r="T16" s="292">
        <f t="shared" si="4"/>
        <v>0</v>
      </c>
      <c r="U16" s="292">
        <f t="shared" si="4"/>
        <v>0</v>
      </c>
      <c r="V16" s="292">
        <f t="shared" si="4"/>
        <v>0</v>
      </c>
      <c r="W16" s="292">
        <f t="shared" si="4"/>
        <v>0</v>
      </c>
      <c r="X16" s="292">
        <f t="shared" si="4"/>
        <v>0</v>
      </c>
      <c r="Y16" s="292">
        <f t="shared" si="4"/>
        <v>0</v>
      </c>
      <c r="Z16" s="292">
        <f t="shared" si="4"/>
        <v>0</v>
      </c>
      <c r="AA16" s="292">
        <f t="shared" si="4"/>
        <v>0</v>
      </c>
      <c r="AB16" s="292">
        <f t="shared" si="4"/>
        <v>0</v>
      </c>
      <c r="AC16" s="78">
        <f t="shared" si="1"/>
        <v>0</v>
      </c>
      <c r="AD16" s="78">
        <f t="shared" si="1"/>
        <v>0</v>
      </c>
      <c r="AE16" s="122"/>
      <c r="AF16" s="123"/>
      <c r="AG16" s="123"/>
    </row>
    <row r="17" spans="1:33" x14ac:dyDescent="0.2">
      <c r="A17" s="129"/>
      <c r="B17" s="124"/>
      <c r="C17" s="149"/>
      <c r="D17" s="124"/>
      <c r="E17" s="310"/>
      <c r="F17" s="290"/>
      <c r="G17" s="458"/>
      <c r="H17" s="91">
        <v>1</v>
      </c>
      <c r="I17" s="81"/>
      <c r="J17" s="81"/>
      <c r="K17" s="81"/>
      <c r="L17" s="81"/>
      <c r="M17" s="81"/>
      <c r="N17" s="81"/>
      <c r="O17" s="81"/>
      <c r="P17" s="81"/>
      <c r="Q17" s="81"/>
      <c r="R17" s="81"/>
      <c r="S17" s="81"/>
      <c r="T17" s="81"/>
      <c r="U17" s="81"/>
      <c r="V17" s="81"/>
      <c r="W17" s="81"/>
      <c r="X17" s="81"/>
      <c r="Y17" s="81"/>
      <c r="Z17" s="81"/>
      <c r="AA17" s="81"/>
      <c r="AB17" s="81"/>
      <c r="AC17" s="78">
        <f>(I17+K17+M17+O17+Q17+S17+U17) - (W17+Y17)</f>
        <v>0</v>
      </c>
      <c r="AD17" s="78">
        <f>(J17+L17+N17+P17+R17+T17+V17) - (X17+Z17)</f>
        <v>0</v>
      </c>
      <c r="AE17" s="122"/>
      <c r="AF17" s="123"/>
      <c r="AG17" s="123"/>
    </row>
    <row r="18" spans="1:33" x14ac:dyDescent="0.2">
      <c r="A18" s="386"/>
      <c r="B18" s="355"/>
      <c r="C18" s="387"/>
      <c r="D18" s="355"/>
      <c r="E18" s="355"/>
      <c r="F18" s="383"/>
      <c r="G18" s="458"/>
      <c r="H18" s="239" t="str">
        <f>CHAR(132)</f>
        <v>„</v>
      </c>
      <c r="I18" s="317"/>
      <c r="J18" s="317"/>
      <c r="K18" s="317"/>
      <c r="L18" s="317"/>
      <c r="M18" s="317"/>
      <c r="N18" s="317"/>
      <c r="O18" s="317"/>
      <c r="P18" s="317"/>
      <c r="Q18" s="317"/>
      <c r="R18" s="317"/>
      <c r="S18" s="317"/>
      <c r="T18" s="317"/>
      <c r="U18" s="317"/>
      <c r="V18" s="317"/>
      <c r="W18" s="317"/>
      <c r="X18" s="317"/>
      <c r="Y18" s="317"/>
      <c r="Z18" s="317"/>
      <c r="AA18" s="317"/>
      <c r="AB18" s="317"/>
      <c r="AC18" s="78"/>
      <c r="AD18" s="78"/>
      <c r="AE18" s="122"/>
      <c r="AF18" s="123"/>
      <c r="AG18" s="123"/>
    </row>
    <row r="19" spans="1:33" x14ac:dyDescent="0.2">
      <c r="A19" s="384"/>
      <c r="B19" s="385"/>
      <c r="C19" s="390" t="s">
        <v>21</v>
      </c>
      <c r="D19" s="385" t="s">
        <v>326</v>
      </c>
      <c r="E19" s="383"/>
      <c r="F19" s="382"/>
      <c r="G19" s="458" t="s">
        <v>675</v>
      </c>
      <c r="H19" s="18"/>
      <c r="I19" s="60"/>
      <c r="J19" s="60"/>
      <c r="K19" s="60"/>
      <c r="L19" s="60"/>
      <c r="M19" s="60"/>
      <c r="N19" s="60"/>
      <c r="O19" s="60"/>
      <c r="P19" s="60"/>
      <c r="Q19" s="60"/>
      <c r="R19" s="60"/>
      <c r="S19" s="60"/>
      <c r="T19" s="60"/>
      <c r="U19" s="60"/>
      <c r="V19" s="60"/>
      <c r="W19" s="60"/>
      <c r="X19" s="60"/>
      <c r="Y19" s="60"/>
      <c r="Z19" s="60"/>
      <c r="AA19" s="60"/>
      <c r="AB19" s="60"/>
      <c r="AC19" s="295"/>
      <c r="AD19" s="295"/>
      <c r="AE19" s="122"/>
      <c r="AF19" s="123"/>
      <c r="AG19" s="123"/>
    </row>
    <row r="20" spans="1:33" x14ac:dyDescent="0.2">
      <c r="A20" s="386"/>
      <c r="B20" s="355"/>
      <c r="C20" s="387" t="s">
        <v>60</v>
      </c>
      <c r="D20" s="355" t="s">
        <v>191</v>
      </c>
      <c r="E20" s="382"/>
      <c r="F20" s="382"/>
      <c r="G20" s="458" t="s">
        <v>676</v>
      </c>
      <c r="H20" s="18"/>
      <c r="I20" s="78">
        <f t="shared" ref="I20:AB20" si="5">SUM(I21,I22,I23)</f>
        <v>0</v>
      </c>
      <c r="J20" s="78">
        <f t="shared" si="5"/>
        <v>0</v>
      </c>
      <c r="K20" s="78">
        <f t="shared" si="5"/>
        <v>0</v>
      </c>
      <c r="L20" s="78">
        <f t="shared" si="5"/>
        <v>0</v>
      </c>
      <c r="M20" s="78">
        <f t="shared" si="5"/>
        <v>0</v>
      </c>
      <c r="N20" s="78">
        <f t="shared" si="5"/>
        <v>0</v>
      </c>
      <c r="O20" s="78">
        <f t="shared" si="5"/>
        <v>0</v>
      </c>
      <c r="P20" s="78">
        <f t="shared" si="5"/>
        <v>0</v>
      </c>
      <c r="Q20" s="78">
        <f t="shared" si="5"/>
        <v>0</v>
      </c>
      <c r="R20" s="78">
        <f t="shared" si="5"/>
        <v>0</v>
      </c>
      <c r="S20" s="78">
        <f t="shared" si="5"/>
        <v>0</v>
      </c>
      <c r="T20" s="78">
        <f t="shared" si="5"/>
        <v>0</v>
      </c>
      <c r="U20" s="78">
        <f t="shared" si="5"/>
        <v>0</v>
      </c>
      <c r="V20" s="78">
        <f t="shared" si="5"/>
        <v>0</v>
      </c>
      <c r="W20" s="78">
        <f t="shared" si="5"/>
        <v>0</v>
      </c>
      <c r="X20" s="78">
        <f t="shared" si="5"/>
        <v>0</v>
      </c>
      <c r="Y20" s="78">
        <f t="shared" si="5"/>
        <v>0</v>
      </c>
      <c r="Z20" s="78">
        <f t="shared" si="5"/>
        <v>0</v>
      </c>
      <c r="AA20" s="78">
        <f t="shared" si="5"/>
        <v>0</v>
      </c>
      <c r="AB20" s="78">
        <f t="shared" si="5"/>
        <v>0</v>
      </c>
      <c r="AC20" s="78">
        <f t="shared" ref="AC20:AC41" si="6">(I20+K20+M20+O20+Q20+S20+U20) - (W20+Y20)</f>
        <v>0</v>
      </c>
      <c r="AD20" s="78">
        <f t="shared" ref="AD20:AD41" si="7">(J20+L20+N20+P20+R20+T20+V20) - (X20+Z20)</f>
        <v>0</v>
      </c>
      <c r="AE20" s="122"/>
      <c r="AF20" s="123"/>
      <c r="AG20" s="123"/>
    </row>
    <row r="21" spans="1:33" x14ac:dyDescent="0.2">
      <c r="A21" s="384"/>
      <c r="B21" s="385"/>
      <c r="C21" s="390"/>
      <c r="D21" s="385" t="s">
        <v>11</v>
      </c>
      <c r="E21" s="383" t="s">
        <v>192</v>
      </c>
      <c r="F21" s="382"/>
      <c r="G21" s="458" t="s">
        <v>677</v>
      </c>
      <c r="H21" s="18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78">
        <f t="shared" si="6"/>
        <v>0</v>
      </c>
      <c r="AD21" s="78">
        <f t="shared" si="7"/>
        <v>0</v>
      </c>
      <c r="AE21" s="122"/>
      <c r="AF21" s="123"/>
      <c r="AG21" s="123"/>
    </row>
    <row r="22" spans="1:33" x14ac:dyDescent="0.2">
      <c r="A22" s="386"/>
      <c r="B22" s="355"/>
      <c r="C22" s="355"/>
      <c r="D22" s="355" t="s">
        <v>15</v>
      </c>
      <c r="E22" s="382" t="s">
        <v>193</v>
      </c>
      <c r="F22" s="382"/>
      <c r="G22" s="458" t="s">
        <v>678</v>
      </c>
      <c r="H22" s="18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78">
        <f t="shared" si="6"/>
        <v>0</v>
      </c>
      <c r="AD22" s="78">
        <f t="shared" si="7"/>
        <v>0</v>
      </c>
      <c r="AE22" s="122"/>
      <c r="AF22" s="123"/>
      <c r="AG22" s="123"/>
    </row>
    <row r="23" spans="1:33" x14ac:dyDescent="0.2">
      <c r="A23" s="384"/>
      <c r="B23" s="385"/>
      <c r="C23" s="385"/>
      <c r="D23" s="385" t="s">
        <v>25</v>
      </c>
      <c r="E23" s="383" t="s">
        <v>194</v>
      </c>
      <c r="F23" s="382"/>
      <c r="G23" s="458" t="s">
        <v>679</v>
      </c>
      <c r="H23" s="18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78">
        <f t="shared" si="6"/>
        <v>0</v>
      </c>
      <c r="AD23" s="78">
        <f t="shared" si="7"/>
        <v>0</v>
      </c>
      <c r="AE23" s="122"/>
      <c r="AF23" s="123"/>
      <c r="AG23" s="123"/>
    </row>
    <row r="24" spans="1:33" x14ac:dyDescent="0.2">
      <c r="A24" s="386"/>
      <c r="B24" s="355" t="s">
        <v>195</v>
      </c>
      <c r="C24" s="355" t="s">
        <v>196</v>
      </c>
      <c r="D24" s="355"/>
      <c r="E24" s="382"/>
      <c r="F24" s="382"/>
      <c r="G24" s="458" t="s">
        <v>680</v>
      </c>
      <c r="H24" s="18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78">
        <f t="shared" si="6"/>
        <v>0</v>
      </c>
      <c r="AD24" s="78">
        <f t="shared" si="7"/>
        <v>0</v>
      </c>
      <c r="AE24" s="122"/>
      <c r="AF24" s="123"/>
      <c r="AG24" s="123"/>
    </row>
    <row r="25" spans="1:33" x14ac:dyDescent="0.2">
      <c r="A25" s="384"/>
      <c r="B25" s="385" t="s">
        <v>197</v>
      </c>
      <c r="C25" s="385" t="s">
        <v>198</v>
      </c>
      <c r="D25" s="385"/>
      <c r="E25" s="383"/>
      <c r="F25" s="382"/>
      <c r="G25" s="458" t="s">
        <v>681</v>
      </c>
      <c r="H25" s="18"/>
      <c r="I25" s="78">
        <f t="shared" ref="I25:AB25" si="8">SUM(I26,I27)</f>
        <v>0</v>
      </c>
      <c r="J25" s="78">
        <f t="shared" si="8"/>
        <v>0</v>
      </c>
      <c r="K25" s="78">
        <f t="shared" si="8"/>
        <v>0</v>
      </c>
      <c r="L25" s="78">
        <f t="shared" si="8"/>
        <v>0</v>
      </c>
      <c r="M25" s="78">
        <f t="shared" si="8"/>
        <v>0</v>
      </c>
      <c r="N25" s="78">
        <f t="shared" si="8"/>
        <v>0</v>
      </c>
      <c r="O25" s="78">
        <f t="shared" si="8"/>
        <v>0</v>
      </c>
      <c r="P25" s="78">
        <f t="shared" si="8"/>
        <v>0</v>
      </c>
      <c r="Q25" s="78">
        <f t="shared" si="8"/>
        <v>0</v>
      </c>
      <c r="R25" s="78">
        <f t="shared" si="8"/>
        <v>0</v>
      </c>
      <c r="S25" s="78">
        <f t="shared" si="8"/>
        <v>0</v>
      </c>
      <c r="T25" s="78">
        <f t="shared" si="8"/>
        <v>0</v>
      </c>
      <c r="U25" s="78">
        <f t="shared" si="8"/>
        <v>0</v>
      </c>
      <c r="V25" s="78">
        <f t="shared" si="8"/>
        <v>0</v>
      </c>
      <c r="W25" s="78">
        <f t="shared" si="8"/>
        <v>0</v>
      </c>
      <c r="X25" s="78">
        <f t="shared" si="8"/>
        <v>0</v>
      </c>
      <c r="Y25" s="78">
        <f t="shared" si="8"/>
        <v>0</v>
      </c>
      <c r="Z25" s="78">
        <f t="shared" si="8"/>
        <v>0</v>
      </c>
      <c r="AA25" s="78">
        <f t="shared" si="8"/>
        <v>0</v>
      </c>
      <c r="AB25" s="78">
        <f t="shared" si="8"/>
        <v>0</v>
      </c>
      <c r="AC25" s="78">
        <f t="shared" si="6"/>
        <v>0</v>
      </c>
      <c r="AD25" s="78">
        <f t="shared" si="7"/>
        <v>0</v>
      </c>
      <c r="AE25" s="122"/>
      <c r="AF25" s="123"/>
      <c r="AG25" s="123"/>
    </row>
    <row r="26" spans="1:33" x14ac:dyDescent="0.2">
      <c r="A26" s="386"/>
      <c r="B26" s="355"/>
      <c r="C26" s="387" t="s">
        <v>19</v>
      </c>
      <c r="D26" s="355" t="s">
        <v>199</v>
      </c>
      <c r="E26" s="382"/>
      <c r="F26" s="382"/>
      <c r="G26" s="458" t="s">
        <v>682</v>
      </c>
      <c r="H26" s="18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78">
        <f t="shared" si="6"/>
        <v>0</v>
      </c>
      <c r="AD26" s="78">
        <f t="shared" si="7"/>
        <v>0</v>
      </c>
      <c r="AE26" s="122"/>
      <c r="AF26" s="123"/>
      <c r="AG26" s="123"/>
    </row>
    <row r="27" spans="1:33" x14ac:dyDescent="0.2">
      <c r="A27" s="384"/>
      <c r="B27" s="385"/>
      <c r="C27" s="390" t="s">
        <v>21</v>
      </c>
      <c r="D27" s="391" t="s">
        <v>200</v>
      </c>
      <c r="E27" s="383"/>
      <c r="F27" s="382"/>
      <c r="G27" s="458" t="s">
        <v>683</v>
      </c>
      <c r="H27" s="18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78">
        <f t="shared" si="6"/>
        <v>0</v>
      </c>
      <c r="AD27" s="78">
        <f t="shared" si="7"/>
        <v>0</v>
      </c>
      <c r="AE27" s="122"/>
      <c r="AF27" s="123"/>
      <c r="AG27" s="123"/>
    </row>
    <row r="28" spans="1:33" x14ac:dyDescent="0.2">
      <c r="A28" s="386"/>
      <c r="B28" s="355" t="s">
        <v>201</v>
      </c>
      <c r="C28" s="355" t="s">
        <v>202</v>
      </c>
      <c r="D28" s="355"/>
      <c r="E28" s="382"/>
      <c r="F28" s="382"/>
      <c r="G28" s="458" t="s">
        <v>684</v>
      </c>
      <c r="H28" s="18"/>
      <c r="I28" s="78">
        <f t="shared" ref="I28:AB28" si="9">SUM(I29,I32)</f>
        <v>0</v>
      </c>
      <c r="J28" s="78">
        <f t="shared" si="9"/>
        <v>0</v>
      </c>
      <c r="K28" s="78">
        <f t="shared" si="9"/>
        <v>0</v>
      </c>
      <c r="L28" s="78">
        <f t="shared" si="9"/>
        <v>0</v>
      </c>
      <c r="M28" s="78">
        <f t="shared" si="9"/>
        <v>0</v>
      </c>
      <c r="N28" s="78">
        <f t="shared" si="9"/>
        <v>0</v>
      </c>
      <c r="O28" s="78">
        <f t="shared" si="9"/>
        <v>0</v>
      </c>
      <c r="P28" s="78">
        <f t="shared" si="9"/>
        <v>0</v>
      </c>
      <c r="Q28" s="78">
        <f t="shared" si="9"/>
        <v>0</v>
      </c>
      <c r="R28" s="78">
        <f t="shared" si="9"/>
        <v>0</v>
      </c>
      <c r="S28" s="78">
        <f t="shared" si="9"/>
        <v>0</v>
      </c>
      <c r="T28" s="78">
        <f t="shared" si="9"/>
        <v>0</v>
      </c>
      <c r="U28" s="78">
        <f t="shared" si="9"/>
        <v>0</v>
      </c>
      <c r="V28" s="78">
        <f t="shared" si="9"/>
        <v>0</v>
      </c>
      <c r="W28" s="78">
        <f t="shared" si="9"/>
        <v>0</v>
      </c>
      <c r="X28" s="78">
        <f t="shared" si="9"/>
        <v>0</v>
      </c>
      <c r="Y28" s="78">
        <f t="shared" si="9"/>
        <v>0</v>
      </c>
      <c r="Z28" s="78">
        <f t="shared" si="9"/>
        <v>0</v>
      </c>
      <c r="AA28" s="78">
        <f t="shared" si="9"/>
        <v>0</v>
      </c>
      <c r="AB28" s="78">
        <f t="shared" si="9"/>
        <v>0</v>
      </c>
      <c r="AC28" s="78">
        <f t="shared" si="6"/>
        <v>0</v>
      </c>
      <c r="AD28" s="78">
        <f t="shared" si="7"/>
        <v>0</v>
      </c>
      <c r="AE28" s="122"/>
      <c r="AF28" s="123"/>
      <c r="AG28" s="123"/>
    </row>
    <row r="29" spans="1:33" x14ac:dyDescent="0.2">
      <c r="A29" s="386"/>
      <c r="B29" s="355"/>
      <c r="C29" s="387" t="s">
        <v>19</v>
      </c>
      <c r="D29" s="355" t="s">
        <v>203</v>
      </c>
      <c r="E29" s="383"/>
      <c r="F29" s="382"/>
      <c r="G29" s="458" t="s">
        <v>685</v>
      </c>
      <c r="H29" s="18"/>
      <c r="I29" s="78">
        <f>I30+I31</f>
        <v>0</v>
      </c>
      <c r="J29" s="78">
        <f t="shared" ref="J29:AB29" si="10">J30+J31</f>
        <v>0</v>
      </c>
      <c r="K29" s="78">
        <f t="shared" si="10"/>
        <v>0</v>
      </c>
      <c r="L29" s="78">
        <f t="shared" si="10"/>
        <v>0</v>
      </c>
      <c r="M29" s="78">
        <f t="shared" si="10"/>
        <v>0</v>
      </c>
      <c r="N29" s="78">
        <f t="shared" si="10"/>
        <v>0</v>
      </c>
      <c r="O29" s="78">
        <f t="shared" si="10"/>
        <v>0</v>
      </c>
      <c r="P29" s="78">
        <f t="shared" si="10"/>
        <v>0</v>
      </c>
      <c r="Q29" s="78">
        <f t="shared" si="10"/>
        <v>0</v>
      </c>
      <c r="R29" s="78">
        <f t="shared" si="10"/>
        <v>0</v>
      </c>
      <c r="S29" s="78">
        <f t="shared" si="10"/>
        <v>0</v>
      </c>
      <c r="T29" s="78">
        <f t="shared" si="10"/>
        <v>0</v>
      </c>
      <c r="U29" s="78">
        <f t="shared" si="10"/>
        <v>0</v>
      </c>
      <c r="V29" s="78">
        <f t="shared" si="10"/>
        <v>0</v>
      </c>
      <c r="W29" s="78">
        <f t="shared" si="10"/>
        <v>0</v>
      </c>
      <c r="X29" s="78">
        <f t="shared" si="10"/>
        <v>0</v>
      </c>
      <c r="Y29" s="78">
        <f t="shared" si="10"/>
        <v>0</v>
      </c>
      <c r="Z29" s="78">
        <f t="shared" si="10"/>
        <v>0</v>
      </c>
      <c r="AA29" s="78">
        <f t="shared" si="10"/>
        <v>0</v>
      </c>
      <c r="AB29" s="78">
        <f t="shared" si="10"/>
        <v>0</v>
      </c>
      <c r="AC29" s="78">
        <f t="shared" si="6"/>
        <v>0</v>
      </c>
      <c r="AD29" s="78">
        <f t="shared" si="7"/>
        <v>0</v>
      </c>
      <c r="AE29" s="122"/>
      <c r="AF29" s="123"/>
      <c r="AG29" s="123"/>
    </row>
    <row r="30" spans="1:33" x14ac:dyDescent="0.2">
      <c r="A30" s="386"/>
      <c r="B30" s="355"/>
      <c r="C30" s="387"/>
      <c r="D30" s="355" t="s">
        <v>11</v>
      </c>
      <c r="E30" s="355" t="s">
        <v>792</v>
      </c>
      <c r="F30" s="383"/>
      <c r="G30" s="458" t="s">
        <v>832</v>
      </c>
      <c r="H30" s="18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78">
        <f t="shared" si="6"/>
        <v>0</v>
      </c>
      <c r="AD30" s="78">
        <f t="shared" si="7"/>
        <v>0</v>
      </c>
      <c r="AE30" s="122"/>
      <c r="AF30" s="123"/>
      <c r="AG30" s="123"/>
    </row>
    <row r="31" spans="1:33" x14ac:dyDescent="0.2">
      <c r="A31" s="384"/>
      <c r="B31" s="385"/>
      <c r="C31" s="390"/>
      <c r="D31" s="392" t="s">
        <v>15</v>
      </c>
      <c r="E31" s="392" t="s">
        <v>793</v>
      </c>
      <c r="F31" s="383"/>
      <c r="G31" s="458" t="s">
        <v>833</v>
      </c>
      <c r="H31" s="18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78">
        <f t="shared" si="6"/>
        <v>0</v>
      </c>
      <c r="AD31" s="78">
        <f t="shared" si="7"/>
        <v>0</v>
      </c>
      <c r="AE31" s="122"/>
      <c r="AF31" s="123"/>
      <c r="AG31" s="123"/>
    </row>
    <row r="32" spans="1:33" x14ac:dyDescent="0.2">
      <c r="A32" s="386"/>
      <c r="B32" s="355"/>
      <c r="C32" s="387" t="s">
        <v>21</v>
      </c>
      <c r="D32" s="355" t="s">
        <v>194</v>
      </c>
      <c r="E32" s="382"/>
      <c r="F32" s="382"/>
      <c r="G32" s="458" t="s">
        <v>686</v>
      </c>
      <c r="H32" s="18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78">
        <f t="shared" si="6"/>
        <v>0</v>
      </c>
      <c r="AD32" s="78">
        <f t="shared" si="7"/>
        <v>0</v>
      </c>
      <c r="AE32" s="122"/>
      <c r="AF32" s="123"/>
      <c r="AG32" s="123"/>
    </row>
    <row r="33" spans="1:255" x14ac:dyDescent="0.2">
      <c r="A33" s="393" t="s">
        <v>33</v>
      </c>
      <c r="B33" s="394" t="s">
        <v>204</v>
      </c>
      <c r="C33" s="385"/>
      <c r="D33" s="385"/>
      <c r="E33" s="383"/>
      <c r="F33" s="382"/>
      <c r="G33" s="458" t="s">
        <v>687</v>
      </c>
      <c r="H33" s="18"/>
      <c r="I33" s="77">
        <f t="shared" ref="I33:AB33" si="11">SUM(I34,I35,I36,I39)</f>
        <v>0</v>
      </c>
      <c r="J33" s="77">
        <f t="shared" si="11"/>
        <v>0</v>
      </c>
      <c r="K33" s="77">
        <f t="shared" si="11"/>
        <v>0</v>
      </c>
      <c r="L33" s="77">
        <f t="shared" si="11"/>
        <v>0</v>
      </c>
      <c r="M33" s="77">
        <f t="shared" si="11"/>
        <v>0</v>
      </c>
      <c r="N33" s="77">
        <f t="shared" si="11"/>
        <v>0</v>
      </c>
      <c r="O33" s="77">
        <f t="shared" si="11"/>
        <v>0</v>
      </c>
      <c r="P33" s="77">
        <f t="shared" si="11"/>
        <v>0</v>
      </c>
      <c r="Q33" s="77">
        <f t="shared" si="11"/>
        <v>0</v>
      </c>
      <c r="R33" s="77">
        <f t="shared" si="11"/>
        <v>0</v>
      </c>
      <c r="S33" s="77">
        <f t="shared" si="11"/>
        <v>0</v>
      </c>
      <c r="T33" s="77">
        <f t="shared" si="11"/>
        <v>0</v>
      </c>
      <c r="U33" s="77">
        <f t="shared" si="11"/>
        <v>0</v>
      </c>
      <c r="V33" s="77">
        <f t="shared" si="11"/>
        <v>0</v>
      </c>
      <c r="W33" s="77">
        <f t="shared" si="11"/>
        <v>0</v>
      </c>
      <c r="X33" s="77">
        <f t="shared" si="11"/>
        <v>0</v>
      </c>
      <c r="Y33" s="77">
        <f t="shared" si="11"/>
        <v>0</v>
      </c>
      <c r="Z33" s="77">
        <f t="shared" si="11"/>
        <v>0</v>
      </c>
      <c r="AA33" s="77">
        <f t="shared" si="11"/>
        <v>0</v>
      </c>
      <c r="AB33" s="77">
        <f t="shared" si="11"/>
        <v>0</v>
      </c>
      <c r="AC33" s="78">
        <f t="shared" si="6"/>
        <v>0</v>
      </c>
      <c r="AD33" s="78">
        <f t="shared" si="7"/>
        <v>0</v>
      </c>
      <c r="AE33" s="122"/>
      <c r="AF33" s="123"/>
      <c r="AG33" s="123"/>
    </row>
    <row r="34" spans="1:255" x14ac:dyDescent="0.2">
      <c r="A34" s="386"/>
      <c r="B34" s="355" t="s">
        <v>188</v>
      </c>
      <c r="C34" s="355" t="s">
        <v>205</v>
      </c>
      <c r="D34" s="355"/>
      <c r="E34" s="382"/>
      <c r="F34" s="382"/>
      <c r="G34" s="458" t="s">
        <v>688</v>
      </c>
      <c r="H34" s="18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78">
        <f t="shared" si="6"/>
        <v>0</v>
      </c>
      <c r="AD34" s="78">
        <f t="shared" si="7"/>
        <v>0</v>
      </c>
      <c r="AE34" s="122"/>
      <c r="AF34" s="123"/>
      <c r="AG34" s="123"/>
    </row>
    <row r="35" spans="1:255" x14ac:dyDescent="0.2">
      <c r="A35" s="384"/>
      <c r="B35" s="385" t="s">
        <v>195</v>
      </c>
      <c r="C35" s="385" t="s">
        <v>306</v>
      </c>
      <c r="D35" s="385"/>
      <c r="E35" s="383"/>
      <c r="F35" s="382"/>
      <c r="G35" s="458" t="s">
        <v>689</v>
      </c>
      <c r="H35" s="18"/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78">
        <f t="shared" si="6"/>
        <v>0</v>
      </c>
      <c r="AD35" s="78">
        <f t="shared" si="7"/>
        <v>0</v>
      </c>
      <c r="AE35" s="122"/>
      <c r="AF35" s="123"/>
      <c r="AG35" s="123"/>
    </row>
    <row r="36" spans="1:255" x14ac:dyDescent="0.2">
      <c r="A36" s="386"/>
      <c r="B36" s="355" t="s">
        <v>197</v>
      </c>
      <c r="C36" s="355" t="s">
        <v>198</v>
      </c>
      <c r="D36" s="355"/>
      <c r="E36" s="382"/>
      <c r="F36" s="382"/>
      <c r="G36" s="458" t="s">
        <v>690</v>
      </c>
      <c r="H36" s="18"/>
      <c r="I36" s="77">
        <f t="shared" ref="I36:AB36" si="12">SUM(I37,I38)</f>
        <v>0</v>
      </c>
      <c r="J36" s="77">
        <f t="shared" si="12"/>
        <v>0</v>
      </c>
      <c r="K36" s="77">
        <f t="shared" si="12"/>
        <v>0</v>
      </c>
      <c r="L36" s="77">
        <f t="shared" si="12"/>
        <v>0</v>
      </c>
      <c r="M36" s="77">
        <f t="shared" si="12"/>
        <v>0</v>
      </c>
      <c r="N36" s="77">
        <f t="shared" si="12"/>
        <v>0</v>
      </c>
      <c r="O36" s="77">
        <f t="shared" si="12"/>
        <v>0</v>
      </c>
      <c r="P36" s="77">
        <f t="shared" si="12"/>
        <v>0</v>
      </c>
      <c r="Q36" s="77">
        <f t="shared" si="12"/>
        <v>0</v>
      </c>
      <c r="R36" s="77">
        <f t="shared" si="12"/>
        <v>0</v>
      </c>
      <c r="S36" s="77">
        <f t="shared" si="12"/>
        <v>0</v>
      </c>
      <c r="T36" s="77">
        <f t="shared" si="12"/>
        <v>0</v>
      </c>
      <c r="U36" s="77">
        <f t="shared" si="12"/>
        <v>0</v>
      </c>
      <c r="V36" s="77">
        <f t="shared" si="12"/>
        <v>0</v>
      </c>
      <c r="W36" s="77">
        <f t="shared" si="12"/>
        <v>0</v>
      </c>
      <c r="X36" s="77">
        <f t="shared" si="12"/>
        <v>0</v>
      </c>
      <c r="Y36" s="77">
        <f t="shared" si="12"/>
        <v>0</v>
      </c>
      <c r="Z36" s="77">
        <f t="shared" si="12"/>
        <v>0</v>
      </c>
      <c r="AA36" s="77">
        <f t="shared" si="12"/>
        <v>0</v>
      </c>
      <c r="AB36" s="77">
        <f t="shared" si="12"/>
        <v>0</v>
      </c>
      <c r="AC36" s="78">
        <f t="shared" si="6"/>
        <v>0</v>
      </c>
      <c r="AD36" s="78">
        <f t="shared" si="7"/>
        <v>0</v>
      </c>
      <c r="AE36" s="122"/>
      <c r="AF36" s="123"/>
      <c r="AG36" s="123"/>
    </row>
    <row r="37" spans="1:255" x14ac:dyDescent="0.2">
      <c r="A37" s="384"/>
      <c r="B37" s="385"/>
      <c r="C37" s="390" t="s">
        <v>19</v>
      </c>
      <c r="D37" s="385" t="s">
        <v>207</v>
      </c>
      <c r="E37" s="383"/>
      <c r="F37" s="382"/>
      <c r="G37" s="458" t="s">
        <v>691</v>
      </c>
      <c r="H37" s="18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2"/>
      <c r="AA37" s="62"/>
      <c r="AB37" s="62"/>
      <c r="AC37" s="78">
        <f t="shared" si="6"/>
        <v>0</v>
      </c>
      <c r="AD37" s="78">
        <f t="shared" si="7"/>
        <v>0</v>
      </c>
      <c r="AE37" s="122"/>
      <c r="AF37" s="123"/>
      <c r="AG37" s="123"/>
    </row>
    <row r="38" spans="1:255" x14ac:dyDescent="0.2">
      <c r="A38" s="386"/>
      <c r="B38" s="355"/>
      <c r="C38" s="387" t="s">
        <v>21</v>
      </c>
      <c r="D38" s="395" t="s">
        <v>200</v>
      </c>
      <c r="E38" s="382"/>
      <c r="F38" s="382"/>
      <c r="G38" s="458" t="s">
        <v>692</v>
      </c>
      <c r="H38" s="18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78">
        <f t="shared" si="6"/>
        <v>0</v>
      </c>
      <c r="AD38" s="78">
        <f t="shared" si="7"/>
        <v>0</v>
      </c>
      <c r="AE38" s="122"/>
      <c r="AF38" s="123"/>
      <c r="AG38" s="123"/>
    </row>
    <row r="39" spans="1:255" s="16" customFormat="1" x14ac:dyDescent="0.2">
      <c r="A39" s="384"/>
      <c r="B39" s="385" t="s">
        <v>201</v>
      </c>
      <c r="C39" s="385" t="s">
        <v>208</v>
      </c>
      <c r="D39" s="385"/>
      <c r="E39" s="383"/>
      <c r="F39" s="382"/>
      <c r="G39" s="458" t="s">
        <v>693</v>
      </c>
      <c r="H39" s="18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78">
        <f t="shared" si="6"/>
        <v>0</v>
      </c>
      <c r="AD39" s="78">
        <f t="shared" si="7"/>
        <v>0</v>
      </c>
      <c r="AE39" s="34"/>
      <c r="AF39" s="132"/>
      <c r="AG39" s="132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</row>
    <row r="40" spans="1:255" s="16" customFormat="1" x14ac:dyDescent="0.2">
      <c r="A40" s="397" t="s">
        <v>48</v>
      </c>
      <c r="B40" s="381" t="s">
        <v>209</v>
      </c>
      <c r="C40" s="395"/>
      <c r="D40" s="355"/>
      <c r="E40" s="382"/>
      <c r="F40" s="382"/>
      <c r="G40" s="458" t="s">
        <v>694</v>
      </c>
      <c r="H40" s="18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62"/>
      <c r="Y40" s="62"/>
      <c r="Z40" s="62"/>
      <c r="AA40" s="62"/>
      <c r="AB40" s="62"/>
      <c r="AC40" s="78">
        <f t="shared" si="6"/>
        <v>0</v>
      </c>
      <c r="AD40" s="78">
        <f t="shared" si="7"/>
        <v>0</v>
      </c>
      <c r="AE40" s="141"/>
      <c r="AF40" s="142"/>
      <c r="AG40" s="142"/>
    </row>
    <row r="41" spans="1:255" s="19" customFormat="1" x14ac:dyDescent="0.2">
      <c r="A41" s="446" t="s">
        <v>925</v>
      </c>
      <c r="B41" s="447"/>
      <c r="C41" s="447"/>
      <c r="D41" s="447"/>
      <c r="E41" s="448"/>
      <c r="F41" s="433"/>
      <c r="G41" s="458" t="s">
        <v>695</v>
      </c>
      <c r="H41" s="18"/>
      <c r="I41" s="77">
        <f t="shared" ref="I41:AB41" si="13">SUM(I11,I33,I40)</f>
        <v>0</v>
      </c>
      <c r="J41" s="77">
        <f t="shared" si="13"/>
        <v>0</v>
      </c>
      <c r="K41" s="77">
        <f t="shared" si="13"/>
        <v>0</v>
      </c>
      <c r="L41" s="77">
        <f t="shared" si="13"/>
        <v>0</v>
      </c>
      <c r="M41" s="77">
        <f t="shared" si="13"/>
        <v>0</v>
      </c>
      <c r="N41" s="77">
        <f t="shared" si="13"/>
        <v>0</v>
      </c>
      <c r="O41" s="77">
        <f t="shared" si="13"/>
        <v>0</v>
      </c>
      <c r="P41" s="77">
        <f t="shared" si="13"/>
        <v>0</v>
      </c>
      <c r="Q41" s="77">
        <f t="shared" si="13"/>
        <v>0</v>
      </c>
      <c r="R41" s="77">
        <f t="shared" si="13"/>
        <v>0</v>
      </c>
      <c r="S41" s="77">
        <f t="shared" si="13"/>
        <v>0</v>
      </c>
      <c r="T41" s="77">
        <f t="shared" si="13"/>
        <v>0</v>
      </c>
      <c r="U41" s="77">
        <f t="shared" si="13"/>
        <v>0</v>
      </c>
      <c r="V41" s="77">
        <f t="shared" si="13"/>
        <v>0</v>
      </c>
      <c r="W41" s="77">
        <f t="shared" si="13"/>
        <v>0</v>
      </c>
      <c r="X41" s="77">
        <f t="shared" si="13"/>
        <v>0</v>
      </c>
      <c r="Y41" s="77">
        <f t="shared" si="13"/>
        <v>0</v>
      </c>
      <c r="Z41" s="77">
        <f t="shared" si="13"/>
        <v>0</v>
      </c>
      <c r="AA41" s="77">
        <f t="shared" si="13"/>
        <v>0</v>
      </c>
      <c r="AB41" s="77">
        <f t="shared" si="13"/>
        <v>0</v>
      </c>
      <c r="AC41" s="78">
        <f t="shared" si="6"/>
        <v>0</v>
      </c>
      <c r="AD41" s="78">
        <f t="shared" si="7"/>
        <v>0</v>
      </c>
      <c r="AE41" s="133"/>
      <c r="AF41" s="134"/>
      <c r="AG41" s="134"/>
    </row>
    <row r="42" spans="1:255" s="154" customFormat="1" x14ac:dyDescent="0.2">
      <c r="A42" s="113"/>
      <c r="B42" s="14"/>
      <c r="C42" s="131"/>
      <c r="D42" s="39"/>
      <c r="E42" s="136"/>
      <c r="F42" s="238"/>
      <c r="G42" s="52" t="s">
        <v>184</v>
      </c>
      <c r="H42" s="48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2"/>
      <c r="AF42" s="236"/>
      <c r="AG42" s="236"/>
    </row>
    <row r="43" spans="1:255" s="154" customFormat="1" x14ac:dyDescent="0.2">
      <c r="A43" s="24"/>
      <c r="B43" s="39"/>
      <c r="C43" s="607"/>
      <c r="D43" s="607"/>
      <c r="E43" s="214"/>
      <c r="F43" s="214"/>
      <c r="G43" s="40"/>
      <c r="H43" s="40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236"/>
      <c r="AG43" s="236"/>
    </row>
    <row r="44" spans="1:255" s="154" customFormat="1" x14ac:dyDescent="0.2">
      <c r="A44" s="24"/>
      <c r="B44" s="39"/>
      <c r="C44" s="135"/>
      <c r="D44" s="489"/>
      <c r="E44" s="489"/>
      <c r="F44" s="489"/>
      <c r="G44" s="40"/>
      <c r="H44" s="40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236"/>
      <c r="AG44" s="236"/>
    </row>
    <row r="45" spans="1:255" s="154" customFormat="1" x14ac:dyDescent="0.2">
      <c r="A45" s="24"/>
      <c r="B45" s="39"/>
      <c r="C45" s="135"/>
      <c r="D45" s="489"/>
      <c r="E45" s="489"/>
      <c r="F45" s="489"/>
      <c r="G45" s="40"/>
      <c r="H45" s="40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32"/>
      <c r="AF45" s="236"/>
      <c r="AG45" s="236"/>
    </row>
    <row r="46" spans="1:255" s="154" customFormat="1" x14ac:dyDescent="0.2">
      <c r="A46" s="24"/>
      <c r="B46" s="39"/>
      <c r="C46" s="131"/>
      <c r="D46" s="39"/>
      <c r="E46" s="39"/>
      <c r="F46" s="39"/>
      <c r="G46" s="40"/>
      <c r="H46" s="40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32"/>
      <c r="AF46" s="236"/>
      <c r="AG46" s="236"/>
    </row>
    <row r="47" spans="1:255" s="154" customFormat="1" x14ac:dyDescent="0.2">
      <c r="A47" s="24"/>
      <c r="B47" s="39"/>
      <c r="C47" s="150"/>
      <c r="D47" s="39"/>
      <c r="E47" s="39"/>
      <c r="F47" s="39"/>
      <c r="G47" s="40"/>
      <c r="H47" s="40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  <c r="AF47" s="236"/>
      <c r="AG47" s="236"/>
    </row>
    <row r="48" spans="1:255" s="154" customFormat="1" x14ac:dyDescent="0.2">
      <c r="A48" s="24"/>
      <c r="B48" s="39"/>
      <c r="C48" s="140"/>
      <c r="D48" s="39"/>
      <c r="E48" s="39"/>
      <c r="F48" s="39"/>
      <c r="G48" s="40"/>
      <c r="H48" s="40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236"/>
      <c r="AG48" s="236"/>
    </row>
    <row r="49" spans="1:33" s="154" customFormat="1" x14ac:dyDescent="0.2">
      <c r="A49" s="24"/>
      <c r="B49" s="39"/>
      <c r="C49" s="131"/>
      <c r="D49" s="39"/>
      <c r="E49" s="39"/>
      <c r="F49" s="39"/>
      <c r="G49" s="40"/>
      <c r="H49" s="40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32"/>
      <c r="AF49" s="236"/>
      <c r="AG49" s="236"/>
    </row>
    <row r="50" spans="1:33" s="154" customFormat="1" x14ac:dyDescent="0.2">
      <c r="A50" s="24"/>
      <c r="B50" s="39"/>
      <c r="C50" s="135"/>
      <c r="D50" s="489"/>
      <c r="E50" s="489"/>
      <c r="F50" s="214"/>
      <c r="G50" s="40"/>
      <c r="H50" s="40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236"/>
      <c r="AG50" s="236"/>
    </row>
    <row r="51" spans="1:33" s="154" customFormat="1" x14ac:dyDescent="0.2">
      <c r="A51" s="24"/>
      <c r="B51" s="39"/>
      <c r="C51" s="135"/>
      <c r="D51" s="489"/>
      <c r="E51" s="489"/>
      <c r="F51" s="489"/>
      <c r="G51" s="40"/>
      <c r="H51" s="40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32"/>
      <c r="AF51" s="236"/>
      <c r="AG51" s="236"/>
    </row>
    <row r="52" spans="1:33" s="154" customFormat="1" x14ac:dyDescent="0.2">
      <c r="A52" s="24"/>
      <c r="B52" s="14"/>
      <c r="C52" s="131"/>
      <c r="D52" s="39"/>
      <c r="E52" s="39"/>
      <c r="F52" s="39"/>
      <c r="G52" s="40"/>
      <c r="H52" s="40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236"/>
      <c r="AG52" s="236"/>
    </row>
    <row r="53" spans="1:33" s="154" customFormat="1" x14ac:dyDescent="0.2">
      <c r="A53" s="24"/>
      <c r="B53" s="39"/>
      <c r="C53" s="606"/>
      <c r="D53" s="606"/>
      <c r="E53" s="39"/>
      <c r="F53" s="39"/>
      <c r="G53" s="40"/>
      <c r="H53" s="40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236"/>
      <c r="AG53" s="236"/>
    </row>
    <row r="54" spans="1:33" s="154" customFormat="1" x14ac:dyDescent="0.2">
      <c r="A54" s="24"/>
      <c r="B54" s="39"/>
      <c r="C54" s="131"/>
      <c r="D54" s="131"/>
      <c r="E54" s="39"/>
      <c r="F54" s="39"/>
      <c r="G54" s="40"/>
      <c r="H54" s="40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32"/>
      <c r="AF54" s="236"/>
      <c r="AG54" s="236"/>
    </row>
    <row r="55" spans="1:33" s="154" customFormat="1" x14ac:dyDescent="0.2">
      <c r="A55" s="24"/>
      <c r="B55" s="39"/>
      <c r="C55" s="39"/>
      <c r="D55" s="39"/>
      <c r="E55" s="39"/>
      <c r="F55" s="39"/>
      <c r="G55" s="40"/>
      <c r="H55" s="40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  <c r="AF55" s="236"/>
      <c r="AG55" s="236"/>
    </row>
    <row r="56" spans="1:33" s="154" customFormat="1" x14ac:dyDescent="0.2">
      <c r="A56" s="166"/>
      <c r="B56" s="14"/>
      <c r="C56" s="131"/>
      <c r="D56" s="39"/>
      <c r="E56" s="39"/>
      <c r="F56" s="39"/>
      <c r="G56" s="40"/>
      <c r="H56" s="40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32"/>
      <c r="AF56" s="236"/>
      <c r="AG56" s="236"/>
    </row>
    <row r="57" spans="1:33" s="21" customFormat="1" x14ac:dyDescent="0.2">
      <c r="A57" s="166"/>
      <c r="B57" s="39"/>
      <c r="C57" s="39"/>
      <c r="D57" s="39"/>
      <c r="E57" s="39"/>
      <c r="F57" s="39"/>
      <c r="G57" s="20"/>
      <c r="H57" s="20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4"/>
      <c r="T57" s="34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34"/>
      <c r="AF57" s="132"/>
      <c r="AG57" s="132"/>
    </row>
    <row r="58" spans="1:33" s="21" customFormat="1" x14ac:dyDescent="0.2">
      <c r="A58" s="166"/>
      <c r="B58" s="14"/>
      <c r="C58" s="39"/>
      <c r="D58" s="39"/>
      <c r="E58" s="39"/>
      <c r="F58" s="39"/>
      <c r="G58" s="20"/>
      <c r="H58" s="20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4"/>
      <c r="T58" s="34"/>
      <c r="U58" s="32"/>
      <c r="V58" s="32"/>
      <c r="W58" s="32"/>
      <c r="X58" s="32"/>
      <c r="Y58" s="32"/>
      <c r="Z58" s="32"/>
      <c r="AA58" s="32"/>
      <c r="AB58" s="32"/>
      <c r="AC58" s="32"/>
      <c r="AD58" s="32"/>
      <c r="AE58" s="34"/>
      <c r="AF58" s="132"/>
      <c r="AG58" s="132"/>
    </row>
    <row r="59" spans="1:33" s="21" customFormat="1" x14ac:dyDescent="0.2">
      <c r="A59" s="24"/>
      <c r="B59" s="39"/>
      <c r="C59" s="39"/>
      <c r="D59" s="39"/>
      <c r="E59" s="39"/>
      <c r="F59" s="39"/>
      <c r="G59" s="20"/>
      <c r="H59" s="20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4"/>
      <c r="T59" s="34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4"/>
      <c r="AF59" s="132"/>
      <c r="AG59" s="132"/>
    </row>
    <row r="60" spans="1:33" s="21" customFormat="1" x14ac:dyDescent="0.2">
      <c r="A60" s="166"/>
      <c r="B60" s="39"/>
      <c r="C60" s="39"/>
      <c r="D60" s="39"/>
      <c r="E60" s="39"/>
      <c r="F60" s="39"/>
      <c r="G60" s="20"/>
      <c r="H60" s="20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4"/>
      <c r="T60" s="34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34"/>
      <c r="AF60" s="132"/>
      <c r="AG60" s="132"/>
    </row>
    <row r="61" spans="1:33" s="21" customFormat="1" x14ac:dyDescent="0.2">
      <c r="A61" s="166"/>
      <c r="B61" s="39"/>
      <c r="C61" s="39"/>
      <c r="D61" s="39"/>
      <c r="E61" s="39"/>
      <c r="F61" s="39"/>
      <c r="G61" s="20"/>
      <c r="H61" s="20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4"/>
      <c r="T61" s="34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4"/>
      <c r="AF61" s="132"/>
      <c r="AG61" s="132"/>
    </row>
    <row r="62" spans="1:33" s="21" customFormat="1" x14ac:dyDescent="0.2">
      <c r="A62" s="166"/>
      <c r="B62" s="39"/>
      <c r="C62" s="39"/>
      <c r="D62" s="39"/>
      <c r="E62" s="39"/>
      <c r="F62" s="39"/>
      <c r="G62" s="20"/>
      <c r="H62" s="20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4"/>
      <c r="T62" s="34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4"/>
      <c r="AF62" s="132"/>
      <c r="AG62" s="132"/>
    </row>
    <row r="63" spans="1:33" s="21" customFormat="1" x14ac:dyDescent="0.2">
      <c r="A63" s="166"/>
      <c r="B63" s="39"/>
      <c r="C63" s="39"/>
      <c r="D63" s="39"/>
      <c r="E63" s="39"/>
      <c r="F63" s="39"/>
      <c r="G63" s="20"/>
      <c r="H63" s="20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4"/>
      <c r="T63" s="34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34"/>
      <c r="AF63" s="132"/>
      <c r="AG63" s="132"/>
    </row>
    <row r="64" spans="1:33" s="21" customFormat="1" x14ac:dyDescent="0.2">
      <c r="A64" s="151"/>
      <c r="B64" s="212"/>
      <c r="C64" s="212"/>
      <c r="D64" s="212"/>
      <c r="E64" s="212"/>
      <c r="F64" s="212"/>
      <c r="G64" s="20"/>
      <c r="H64" s="20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4"/>
      <c r="T64" s="34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34"/>
      <c r="AF64" s="132"/>
      <c r="AG64" s="132"/>
    </row>
    <row r="65" spans="1:33" s="21" customFormat="1" x14ac:dyDescent="0.2">
      <c r="A65" s="151"/>
      <c r="B65" s="212"/>
      <c r="C65" s="212"/>
      <c r="D65" s="212"/>
      <c r="E65" s="212"/>
      <c r="F65" s="212"/>
      <c r="G65" s="20"/>
      <c r="H65" s="20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4"/>
      <c r="T65" s="34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4"/>
      <c r="AF65" s="132"/>
      <c r="AG65" s="132"/>
    </row>
    <row r="66" spans="1:33" s="21" customFormat="1" x14ac:dyDescent="0.2">
      <c r="A66" s="151"/>
      <c r="B66" s="212"/>
      <c r="C66" s="212"/>
      <c r="D66" s="144"/>
      <c r="E66" s="144"/>
      <c r="F66" s="144"/>
      <c r="G66" s="20"/>
      <c r="H66" s="20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4"/>
      <c r="T66" s="34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34"/>
      <c r="AF66" s="132"/>
      <c r="AG66" s="132"/>
    </row>
    <row r="67" spans="1:33" s="21" customFormat="1" x14ac:dyDescent="0.2">
      <c r="A67" s="151"/>
      <c r="B67" s="39"/>
      <c r="C67" s="39"/>
      <c r="D67" s="39"/>
      <c r="E67" s="39"/>
      <c r="F67" s="39"/>
      <c r="G67" s="20"/>
      <c r="H67" s="20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4"/>
      <c r="T67" s="34"/>
      <c r="U67" s="32"/>
      <c r="V67" s="32"/>
      <c r="W67" s="32"/>
      <c r="X67" s="32"/>
      <c r="Y67" s="32"/>
      <c r="Z67" s="32"/>
      <c r="AA67" s="32"/>
      <c r="AB67" s="32"/>
      <c r="AC67" s="32"/>
      <c r="AD67" s="32"/>
      <c r="AE67" s="34"/>
      <c r="AF67" s="132"/>
      <c r="AG67" s="132"/>
    </row>
    <row r="68" spans="1:33" s="21" customFormat="1" x14ac:dyDescent="0.2">
      <c r="A68" s="166"/>
      <c r="B68" s="39"/>
      <c r="C68" s="39"/>
      <c r="D68" s="39"/>
      <c r="E68" s="39"/>
      <c r="F68" s="39"/>
      <c r="G68" s="20"/>
      <c r="H68" s="20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4"/>
      <c r="T68" s="34"/>
      <c r="U68" s="32"/>
      <c r="V68" s="32"/>
      <c r="W68" s="32"/>
      <c r="X68" s="32"/>
      <c r="Y68" s="32"/>
      <c r="Z68" s="32"/>
      <c r="AA68" s="32"/>
      <c r="AB68" s="32"/>
      <c r="AC68" s="32"/>
      <c r="AD68" s="32"/>
      <c r="AE68" s="34"/>
      <c r="AF68" s="132"/>
      <c r="AG68" s="132"/>
    </row>
    <row r="69" spans="1:33" s="21" customFormat="1" x14ac:dyDescent="0.2">
      <c r="A69" s="166"/>
      <c r="B69" s="39"/>
      <c r="C69" s="39"/>
      <c r="D69" s="39"/>
      <c r="E69" s="39"/>
      <c r="F69" s="39"/>
      <c r="G69" s="20"/>
      <c r="H69" s="20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4"/>
      <c r="T69" s="34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34"/>
      <c r="AF69" s="132"/>
      <c r="AG69" s="132"/>
    </row>
    <row r="70" spans="1:33" s="21" customFormat="1" x14ac:dyDescent="0.2">
      <c r="A70" s="166"/>
      <c r="B70" s="39"/>
      <c r="C70" s="39"/>
      <c r="D70" s="39"/>
      <c r="E70" s="39"/>
      <c r="F70" s="39"/>
      <c r="G70" s="20"/>
      <c r="H70" s="20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4"/>
      <c r="T70" s="34"/>
      <c r="U70" s="32"/>
      <c r="V70" s="32"/>
      <c r="W70" s="32"/>
      <c r="X70" s="32"/>
      <c r="Y70" s="32"/>
      <c r="Z70" s="32"/>
      <c r="AA70" s="32"/>
      <c r="AB70" s="32"/>
      <c r="AC70" s="32"/>
      <c r="AD70" s="32"/>
      <c r="AE70" s="34"/>
      <c r="AF70" s="132"/>
      <c r="AG70" s="132"/>
    </row>
    <row r="71" spans="1:33" s="21" customFormat="1" x14ac:dyDescent="0.2">
      <c r="A71" s="166"/>
      <c r="B71" s="39"/>
      <c r="C71" s="150"/>
      <c r="D71" s="39"/>
      <c r="E71" s="39"/>
      <c r="F71" s="39"/>
      <c r="G71" s="20"/>
      <c r="H71" s="20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4"/>
      <c r="T71" s="34"/>
      <c r="U71" s="32"/>
      <c r="V71" s="32"/>
      <c r="W71" s="32"/>
      <c r="X71" s="32"/>
      <c r="Y71" s="32"/>
      <c r="Z71" s="32"/>
      <c r="AA71" s="32"/>
      <c r="AB71" s="32"/>
      <c r="AC71" s="32"/>
      <c r="AD71" s="32"/>
      <c r="AE71" s="34"/>
      <c r="AF71" s="132"/>
      <c r="AG71" s="132"/>
    </row>
    <row r="72" spans="1:33" s="21" customFormat="1" x14ac:dyDescent="0.2">
      <c r="A72" s="166"/>
      <c r="B72" s="39"/>
      <c r="C72" s="150"/>
      <c r="D72" s="39"/>
      <c r="E72" s="39"/>
      <c r="F72" s="39"/>
      <c r="G72" s="20"/>
      <c r="H72" s="20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4"/>
      <c r="T72" s="34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34"/>
      <c r="AF72" s="132"/>
      <c r="AG72" s="132"/>
    </row>
    <row r="73" spans="1:33" s="21" customFormat="1" x14ac:dyDescent="0.2">
      <c r="A73" s="151"/>
      <c r="B73" s="39"/>
      <c r="C73" s="39"/>
      <c r="D73" s="39"/>
      <c r="E73" s="39"/>
      <c r="F73" s="39"/>
      <c r="G73" s="20"/>
      <c r="H73" s="20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4"/>
      <c r="T73" s="34"/>
      <c r="U73" s="32"/>
      <c r="V73" s="32"/>
      <c r="W73" s="32"/>
      <c r="X73" s="32"/>
      <c r="Y73" s="32"/>
      <c r="Z73" s="32"/>
      <c r="AA73" s="32"/>
      <c r="AB73" s="32"/>
      <c r="AC73" s="32"/>
      <c r="AD73" s="32"/>
      <c r="AE73" s="34"/>
      <c r="AF73" s="132"/>
      <c r="AG73" s="132"/>
    </row>
    <row r="74" spans="1:33" s="21" customFormat="1" x14ac:dyDescent="0.2">
      <c r="A74" s="166"/>
      <c r="B74" s="39"/>
      <c r="C74" s="39"/>
      <c r="D74" s="39"/>
      <c r="E74" s="39"/>
      <c r="F74" s="39"/>
      <c r="G74" s="20"/>
      <c r="H74" s="20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4"/>
      <c r="T74" s="34"/>
      <c r="U74" s="32"/>
      <c r="V74" s="32"/>
      <c r="W74" s="32"/>
      <c r="X74" s="32"/>
      <c r="Y74" s="32"/>
      <c r="Z74" s="32"/>
      <c r="AA74" s="32"/>
      <c r="AB74" s="32"/>
      <c r="AC74" s="32"/>
      <c r="AD74" s="32"/>
      <c r="AE74" s="34"/>
      <c r="AF74" s="132"/>
      <c r="AG74" s="132"/>
    </row>
    <row r="75" spans="1:33" s="21" customFormat="1" x14ac:dyDescent="0.2">
      <c r="A75" s="166"/>
      <c r="B75" s="39"/>
      <c r="C75" s="39"/>
      <c r="D75" s="39"/>
      <c r="E75" s="39"/>
      <c r="F75" s="39"/>
      <c r="G75" s="20"/>
      <c r="H75" s="20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4"/>
      <c r="T75" s="34"/>
      <c r="U75" s="32"/>
      <c r="V75" s="32"/>
      <c r="W75" s="32"/>
      <c r="X75" s="32"/>
      <c r="Y75" s="32"/>
      <c r="Z75" s="32"/>
      <c r="AA75" s="32"/>
      <c r="AB75" s="32"/>
      <c r="AC75" s="32"/>
      <c r="AD75" s="32"/>
      <c r="AE75" s="34"/>
      <c r="AF75" s="132"/>
      <c r="AG75" s="132"/>
    </row>
    <row r="76" spans="1:33" s="21" customFormat="1" x14ac:dyDescent="0.2">
      <c r="A76" s="151"/>
      <c r="B76" s="39"/>
      <c r="C76" s="39"/>
      <c r="D76" s="39"/>
      <c r="E76" s="39"/>
      <c r="F76" s="39"/>
      <c r="G76" s="20"/>
      <c r="H76" s="20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4"/>
      <c r="T76" s="34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34"/>
      <c r="AF76" s="132"/>
      <c r="AG76" s="132"/>
    </row>
    <row r="77" spans="1:33" s="21" customFormat="1" x14ac:dyDescent="0.2">
      <c r="A77" s="151"/>
      <c r="B77" s="39"/>
      <c r="C77" s="39"/>
      <c r="D77" s="39"/>
      <c r="E77" s="39"/>
      <c r="F77" s="39"/>
      <c r="G77" s="20" t="s">
        <v>261</v>
      </c>
      <c r="H77" s="20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4"/>
      <c r="T77" s="34"/>
      <c r="U77" s="32"/>
      <c r="V77" s="32"/>
      <c r="W77" s="32"/>
      <c r="X77" s="32"/>
      <c r="Y77" s="32"/>
      <c r="Z77" s="32"/>
      <c r="AA77" s="32"/>
      <c r="AB77" s="32"/>
      <c r="AC77" s="32"/>
      <c r="AD77" s="32"/>
      <c r="AE77" s="34"/>
      <c r="AF77" s="132"/>
      <c r="AG77" s="132"/>
    </row>
    <row r="78" spans="1:33" s="21" customFormat="1" x14ac:dyDescent="0.2">
      <c r="A78" s="151"/>
      <c r="B78" s="39"/>
      <c r="C78" s="39"/>
      <c r="D78" s="39"/>
      <c r="E78" s="39"/>
      <c r="F78" s="39"/>
      <c r="G78" s="20"/>
      <c r="H78" s="20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4"/>
      <c r="T78" s="34"/>
      <c r="U78" s="32"/>
      <c r="V78" s="32"/>
      <c r="W78" s="32"/>
      <c r="X78" s="32"/>
      <c r="Y78" s="32"/>
      <c r="Z78" s="32"/>
      <c r="AA78" s="32"/>
      <c r="AB78" s="32"/>
      <c r="AC78" s="32"/>
      <c r="AD78" s="32"/>
      <c r="AE78" s="34"/>
      <c r="AF78" s="132"/>
      <c r="AG78" s="132"/>
    </row>
    <row r="79" spans="1:33" s="21" customFormat="1" x14ac:dyDescent="0.2">
      <c r="A79" s="218"/>
      <c r="B79" s="153"/>
      <c r="C79" s="154"/>
      <c r="D79" s="150"/>
      <c r="E79" s="39"/>
      <c r="F79" s="39"/>
      <c r="G79" s="20"/>
      <c r="H79" s="20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132"/>
      <c r="AG79" s="132"/>
    </row>
    <row r="80" spans="1:33" s="21" customFormat="1" x14ac:dyDescent="0.2">
      <c r="A80" s="7"/>
      <c r="B80" s="153"/>
      <c r="C80" s="154"/>
      <c r="D80" s="150"/>
      <c r="E80" s="566"/>
      <c r="F80" s="566"/>
      <c r="G80" s="22" t="s">
        <v>184</v>
      </c>
      <c r="H80" s="22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132"/>
      <c r="AG80" s="132"/>
    </row>
    <row r="81" spans="1:33" s="21" customFormat="1" x14ac:dyDescent="0.2">
      <c r="A81" s="7"/>
      <c r="B81" s="155"/>
      <c r="C81" s="155"/>
      <c r="D81" s="155"/>
      <c r="E81" s="155"/>
      <c r="F81" s="155"/>
      <c r="G81" s="20"/>
      <c r="H81" s="20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132"/>
      <c r="AG81" s="132"/>
    </row>
    <row r="82" spans="1:33" s="21" customFormat="1" x14ac:dyDescent="0.2">
      <c r="A82" s="7"/>
      <c r="B82" s="3"/>
      <c r="C82" s="4"/>
      <c r="D82" s="5"/>
      <c r="E82" s="155"/>
      <c r="F82" s="155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132"/>
      <c r="AG82" s="132"/>
    </row>
    <row r="83" spans="1:33" s="21" customFormat="1" x14ac:dyDescent="0.2">
      <c r="A83" s="7"/>
      <c r="B83" s="3"/>
      <c r="C83" s="154"/>
      <c r="D83" s="157"/>
      <c r="E83" s="155"/>
      <c r="F83" s="155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132"/>
      <c r="AG83" s="132"/>
    </row>
    <row r="84" spans="1:33" s="21" customFormat="1" x14ac:dyDescent="0.2">
      <c r="A84" s="7"/>
      <c r="B84" s="155"/>
      <c r="C84" s="154"/>
      <c r="D84" s="157"/>
      <c r="E84" s="157"/>
      <c r="F84" s="155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132"/>
      <c r="AG84" s="132"/>
    </row>
    <row r="85" spans="1:33" s="21" customFormat="1" x14ac:dyDescent="0.2">
      <c r="A85" s="7"/>
      <c r="B85" s="155"/>
      <c r="C85" s="39"/>
      <c r="D85" s="154"/>
      <c r="E85" s="154"/>
      <c r="F85" s="155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132"/>
      <c r="AG85" s="132"/>
    </row>
    <row r="86" spans="1:33" s="21" customFormat="1" x14ac:dyDescent="0.2">
      <c r="A86" s="7"/>
      <c r="B86" s="155"/>
      <c r="C86" s="154"/>
      <c r="D86" s="39"/>
      <c r="E86" s="154"/>
      <c r="F86" s="155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132"/>
      <c r="AG86" s="132"/>
    </row>
    <row r="87" spans="1:33" s="21" customFormat="1" x14ac:dyDescent="0.2">
      <c r="A87" s="7"/>
      <c r="B87" s="155"/>
      <c r="C87" s="39"/>
      <c r="D87" s="158"/>
      <c r="E87" s="154"/>
      <c r="F87" s="155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132"/>
      <c r="AG87" s="132"/>
    </row>
    <row r="88" spans="1:33" s="21" customFormat="1" x14ac:dyDescent="0.2">
      <c r="A88" s="7"/>
      <c r="B88" s="155"/>
      <c r="C88" s="39"/>
      <c r="D88" s="158"/>
      <c r="E88" s="154"/>
      <c r="F88" s="155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132"/>
      <c r="AG88" s="132"/>
    </row>
    <row r="89" spans="1:33" s="21" customFormat="1" x14ac:dyDescent="0.2">
      <c r="A89" s="7"/>
      <c r="B89" s="155"/>
      <c r="C89" s="154"/>
      <c r="D89" s="39"/>
      <c r="E89" s="154"/>
      <c r="F89" s="155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132"/>
      <c r="AG89" s="132"/>
    </row>
    <row r="90" spans="1:33" s="21" customFormat="1" x14ac:dyDescent="0.2">
      <c r="A90" s="7"/>
      <c r="B90" s="155"/>
      <c r="C90" s="154"/>
      <c r="D90" s="154"/>
      <c r="E90" s="154"/>
      <c r="F90" s="154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132"/>
      <c r="AG90" s="132"/>
    </row>
    <row r="91" spans="1:33" s="21" customFormat="1" x14ac:dyDescent="0.2">
      <c r="A91" s="7"/>
      <c r="B91" s="155"/>
      <c r="C91" s="39"/>
      <c r="D91" s="525"/>
      <c r="E91" s="526"/>
      <c r="F91" s="526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132"/>
      <c r="AG91" s="132"/>
    </row>
    <row r="92" spans="1:33" s="21" customFormat="1" x14ac:dyDescent="0.2">
      <c r="A92" s="7"/>
      <c r="B92" s="155"/>
      <c r="C92" s="154"/>
      <c r="D92" s="158"/>
      <c r="E92" s="154"/>
      <c r="F92" s="154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132"/>
      <c r="AG92" s="132"/>
    </row>
    <row r="93" spans="1:33" s="21" customFormat="1" x14ac:dyDescent="0.2">
      <c r="A93" s="7"/>
      <c r="B93" s="155"/>
      <c r="C93" s="154"/>
      <c r="D93" s="158"/>
      <c r="E93" s="154"/>
      <c r="F93" s="154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132"/>
      <c r="AG93" s="132"/>
    </row>
    <row r="94" spans="1:33" s="21" customFormat="1" x14ac:dyDescent="0.2">
      <c r="A94" s="7"/>
      <c r="B94" s="3"/>
      <c r="C94" s="4"/>
      <c r="D94" s="157"/>
      <c r="E94" s="154"/>
      <c r="F94" s="154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132"/>
      <c r="AG94" s="132"/>
    </row>
    <row r="95" spans="1:33" s="21" customFormat="1" x14ac:dyDescent="0.2">
      <c r="A95" s="7"/>
      <c r="B95" s="155"/>
      <c r="C95" s="154"/>
      <c r="D95" s="154"/>
      <c r="E95" s="154"/>
      <c r="F95" s="154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132"/>
      <c r="AG95" s="132"/>
    </row>
    <row r="96" spans="1:33" s="21" customFormat="1" x14ac:dyDescent="0.2">
      <c r="A96" s="7"/>
      <c r="B96" s="155"/>
      <c r="C96" s="154"/>
      <c r="D96" s="163"/>
      <c r="E96" s="154"/>
      <c r="F96" s="154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132"/>
      <c r="AG96" s="132"/>
    </row>
    <row r="97" spans="1:33" s="21" customFormat="1" x14ac:dyDescent="0.2">
      <c r="A97" s="7"/>
      <c r="B97" s="155"/>
      <c r="C97" s="154"/>
      <c r="D97" s="164"/>
      <c r="E97" s="154"/>
      <c r="F97" s="154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132"/>
      <c r="AG97" s="132"/>
    </row>
    <row r="98" spans="1:33" s="21" customFormat="1" x14ac:dyDescent="0.2">
      <c r="A98" s="7"/>
      <c r="B98" s="155"/>
      <c r="C98" s="154"/>
      <c r="D98" s="164"/>
      <c r="E98" s="154"/>
      <c r="F98" s="154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132"/>
      <c r="AG98" s="132"/>
    </row>
    <row r="99" spans="1:33" s="21" customFormat="1" x14ac:dyDescent="0.2">
      <c r="A99" s="7"/>
      <c r="B99" s="155"/>
      <c r="C99" s="154"/>
      <c r="D99" s="163"/>
      <c r="E99" s="154"/>
      <c r="F99" s="154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132"/>
      <c r="AG99" s="132"/>
    </row>
    <row r="100" spans="1:33" s="21" customFormat="1" x14ac:dyDescent="0.2">
      <c r="A100" s="7"/>
      <c r="B100" s="155"/>
      <c r="C100" s="154"/>
      <c r="D100" s="164"/>
      <c r="E100" s="154"/>
      <c r="F100" s="154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132"/>
      <c r="AG100" s="132"/>
    </row>
    <row r="101" spans="1:33" s="21" customFormat="1" x14ac:dyDescent="0.2">
      <c r="A101" s="7"/>
      <c r="B101" s="155"/>
      <c r="C101" s="154"/>
      <c r="D101" s="164"/>
      <c r="E101" s="154"/>
      <c r="F101" s="154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132"/>
      <c r="AG101" s="132"/>
    </row>
    <row r="102" spans="1:33" s="21" customFormat="1" x14ac:dyDescent="0.2">
      <c r="A102" s="7"/>
      <c r="B102" s="155"/>
      <c r="C102" s="154"/>
      <c r="D102" s="154"/>
      <c r="E102" s="154"/>
      <c r="F102" s="154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132"/>
      <c r="AG102" s="132"/>
    </row>
    <row r="103" spans="1:33" s="21" customFormat="1" x14ac:dyDescent="0.2">
      <c r="A103" s="7"/>
      <c r="B103" s="155"/>
      <c r="C103" s="39"/>
      <c r="D103" s="158"/>
      <c r="E103" s="154"/>
      <c r="F103" s="154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132"/>
      <c r="AG103" s="132"/>
    </row>
    <row r="104" spans="1:33" s="21" customFormat="1" x14ac:dyDescent="0.2">
      <c r="A104" s="7"/>
      <c r="B104" s="155"/>
      <c r="C104" s="39"/>
      <c r="D104" s="158"/>
      <c r="E104" s="154"/>
      <c r="F104" s="154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132"/>
      <c r="AG104" s="132"/>
    </row>
    <row r="105" spans="1:33" s="21" customFormat="1" x14ac:dyDescent="0.2">
      <c r="A105" s="7"/>
      <c r="B105" s="155"/>
      <c r="C105" s="154"/>
      <c r="D105" s="154"/>
      <c r="E105" s="154"/>
      <c r="F105" s="154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132"/>
      <c r="AG105" s="132"/>
    </row>
    <row r="106" spans="1:33" s="21" customFormat="1" x14ac:dyDescent="0.2">
      <c r="A106" s="7"/>
      <c r="B106" s="155"/>
      <c r="C106" s="39"/>
      <c r="D106" s="525"/>
      <c r="E106" s="526"/>
      <c r="F106" s="526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132"/>
      <c r="AG106" s="132"/>
    </row>
    <row r="107" spans="1:33" s="21" customFormat="1" x14ac:dyDescent="0.2">
      <c r="A107" s="7"/>
      <c r="B107" s="155"/>
      <c r="C107" s="154"/>
      <c r="D107" s="158"/>
      <c r="E107" s="154"/>
      <c r="F107" s="154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132"/>
      <c r="AG107" s="132"/>
    </row>
    <row r="108" spans="1:33" s="21" customFormat="1" x14ac:dyDescent="0.2">
      <c r="A108" s="7"/>
      <c r="B108" s="155"/>
      <c r="C108" s="154"/>
      <c r="D108" s="164"/>
      <c r="E108" s="154"/>
      <c r="F108" s="154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132"/>
      <c r="AG108" s="132"/>
    </row>
    <row r="109" spans="1:33" s="21" customFormat="1" x14ac:dyDescent="0.2">
      <c r="A109" s="7"/>
      <c r="B109" s="155"/>
      <c r="C109" s="154"/>
      <c r="D109" s="164"/>
      <c r="E109" s="154"/>
      <c r="F109" s="154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132"/>
      <c r="AG109" s="132"/>
    </row>
    <row r="110" spans="1:33" s="21" customFormat="1" x14ac:dyDescent="0.2">
      <c r="A110" s="7"/>
      <c r="B110" s="155"/>
      <c r="C110" s="154"/>
      <c r="D110" s="158"/>
      <c r="E110" s="154"/>
      <c r="F110" s="154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132"/>
      <c r="AG110" s="132"/>
    </row>
    <row r="111" spans="1:33" s="21" customFormat="1" x14ac:dyDescent="0.2">
      <c r="A111" s="7"/>
      <c r="B111" s="155"/>
      <c r="C111" s="154"/>
      <c r="D111" s="164"/>
      <c r="E111" s="154"/>
      <c r="F111" s="154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132"/>
      <c r="AG111" s="132"/>
    </row>
    <row r="112" spans="1:33" s="21" customFormat="1" x14ac:dyDescent="0.2">
      <c r="A112" s="7"/>
      <c r="B112" s="155"/>
      <c r="C112" s="154"/>
      <c r="D112" s="164"/>
      <c r="E112" s="154"/>
      <c r="F112" s="154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132"/>
      <c r="AG112" s="132"/>
    </row>
    <row r="113" spans="1:33" s="21" customFormat="1" x14ac:dyDescent="0.2">
      <c r="A113" s="7"/>
      <c r="B113" s="3"/>
      <c r="C113" s="4"/>
      <c r="D113" s="157"/>
      <c r="E113" s="154"/>
      <c r="F113" s="154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132"/>
      <c r="AG113" s="132"/>
    </row>
    <row r="114" spans="1:33" s="21" customFormat="1" x14ac:dyDescent="0.2">
      <c r="A114" s="7"/>
      <c r="B114" s="155"/>
      <c r="C114" s="154"/>
      <c r="D114" s="157"/>
      <c r="E114" s="154"/>
      <c r="F114" s="154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132"/>
      <c r="AG114" s="132"/>
    </row>
    <row r="115" spans="1:33" s="21" customFormat="1" x14ac:dyDescent="0.2">
      <c r="A115" s="7"/>
      <c r="B115" s="155"/>
      <c r="C115" s="154"/>
      <c r="D115" s="157"/>
      <c r="E115" s="154"/>
      <c r="F115" s="154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132"/>
      <c r="AG115" s="132"/>
    </row>
    <row r="116" spans="1:33" s="21" customFormat="1" x14ac:dyDescent="0.2">
      <c r="A116" s="7"/>
      <c r="B116" s="155"/>
      <c r="C116" s="154"/>
      <c r="D116" s="157"/>
      <c r="E116" s="154"/>
      <c r="F116" s="154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132"/>
      <c r="AG116" s="132"/>
    </row>
    <row r="117" spans="1:33" s="21" customFormat="1" x14ac:dyDescent="0.2">
      <c r="A117" s="7"/>
      <c r="B117" s="155"/>
      <c r="C117" s="39"/>
      <c r="D117" s="525"/>
      <c r="E117" s="526"/>
      <c r="F117" s="526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132"/>
      <c r="AG117" s="132"/>
    </row>
    <row r="118" spans="1:33" s="21" customFormat="1" x14ac:dyDescent="0.2">
      <c r="A118" s="7"/>
      <c r="B118" s="155"/>
      <c r="C118" s="154"/>
      <c r="D118" s="158"/>
      <c r="E118" s="154"/>
      <c r="F118" s="126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132"/>
      <c r="AG118" s="132"/>
    </row>
    <row r="119" spans="1:33" s="21" customFormat="1" x14ac:dyDescent="0.2">
      <c r="A119" s="7"/>
      <c r="B119" s="155"/>
      <c r="C119" s="154"/>
      <c r="D119" s="158"/>
      <c r="E119" s="154"/>
      <c r="F119" s="126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132"/>
      <c r="AG119" s="132"/>
    </row>
    <row r="120" spans="1:33" s="21" customFormat="1" x14ac:dyDescent="0.2">
      <c r="A120" s="7"/>
      <c r="B120" s="6"/>
      <c r="C120" s="7"/>
      <c r="D120" s="154"/>
      <c r="E120" s="154"/>
      <c r="F120" s="154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132"/>
      <c r="AG120" s="132"/>
    </row>
    <row r="121" spans="1:33" s="21" customFormat="1" x14ac:dyDescent="0.2">
      <c r="A121" s="7"/>
      <c r="B121" s="153"/>
      <c r="C121" s="154"/>
      <c r="D121" s="154"/>
      <c r="E121" s="154"/>
      <c r="F121" s="154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132"/>
      <c r="AG121" s="132"/>
    </row>
    <row r="122" spans="1:33" s="21" customFormat="1" x14ac:dyDescent="0.2">
      <c r="A122" s="7"/>
      <c r="B122" s="153"/>
      <c r="C122" s="154"/>
      <c r="D122" s="158"/>
      <c r="E122" s="154"/>
      <c r="F122" s="154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132"/>
      <c r="AG122" s="132"/>
    </row>
    <row r="123" spans="1:33" s="21" customFormat="1" x14ac:dyDescent="0.2">
      <c r="A123" s="7"/>
      <c r="B123" s="153"/>
      <c r="C123" s="154"/>
      <c r="D123" s="158"/>
      <c r="E123" s="154"/>
      <c r="F123" s="154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132"/>
      <c r="AG123" s="132"/>
    </row>
    <row r="124" spans="1:33" s="21" customFormat="1" x14ac:dyDescent="0.2">
      <c r="A124" s="7"/>
      <c r="B124" s="153"/>
      <c r="C124" s="154"/>
      <c r="D124" s="150"/>
      <c r="E124" s="566"/>
      <c r="F124" s="566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132"/>
      <c r="AG124" s="132"/>
    </row>
    <row r="125" spans="1:33" x14ac:dyDescent="0.2">
      <c r="A125" s="7"/>
      <c r="B125" s="153"/>
      <c r="C125" s="154"/>
      <c r="D125" s="39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122"/>
      <c r="AF125" s="123"/>
      <c r="AG125" s="123"/>
    </row>
    <row r="126" spans="1:33" x14ac:dyDescent="0.2">
      <c r="A126" s="7"/>
      <c r="B126" s="153"/>
      <c r="C126" s="154"/>
      <c r="D126" s="150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122"/>
      <c r="AF126" s="123"/>
      <c r="AG126" s="123"/>
    </row>
    <row r="127" spans="1:33" x14ac:dyDescent="0.2">
      <c r="A127" s="7"/>
      <c r="B127" s="153"/>
      <c r="C127" s="154"/>
      <c r="D127" s="150"/>
      <c r="E127" s="39"/>
      <c r="F127" s="39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122"/>
      <c r="AF127" s="123"/>
      <c r="AG127" s="123"/>
    </row>
    <row r="128" spans="1:33" x14ac:dyDescent="0.2">
      <c r="A128" s="7"/>
      <c r="B128" s="153"/>
      <c r="C128" s="154"/>
      <c r="D128" s="150"/>
      <c r="E128" s="566"/>
      <c r="F128" s="566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122"/>
      <c r="AF128" s="123"/>
      <c r="AG128" s="123"/>
    </row>
    <row r="129" spans="1:33" x14ac:dyDescent="0.2">
      <c r="A129" s="154"/>
      <c r="B129" s="565"/>
      <c r="C129" s="565"/>
      <c r="D129" s="565"/>
      <c r="E129" s="565"/>
      <c r="F129" s="565"/>
      <c r="G129" s="20"/>
      <c r="H129" s="20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122"/>
      <c r="AF129" s="123"/>
      <c r="AG129" s="123"/>
    </row>
    <row r="130" spans="1:33" x14ac:dyDescent="0.2">
      <c r="A130" s="21"/>
      <c r="B130" s="21"/>
      <c r="C130" s="21"/>
      <c r="D130" s="21"/>
      <c r="E130" s="21"/>
      <c r="F130" s="21"/>
      <c r="G130" s="20"/>
      <c r="H130" s="20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 t="s">
        <v>184</v>
      </c>
      <c r="V130" s="34"/>
      <c r="W130" s="34"/>
      <c r="X130" s="34"/>
      <c r="Y130" s="34"/>
      <c r="Z130" s="34"/>
      <c r="AA130" s="34"/>
      <c r="AB130" s="34"/>
      <c r="AC130" s="34"/>
      <c r="AD130" s="34"/>
      <c r="AE130" s="122"/>
      <c r="AF130" s="123"/>
      <c r="AG130" s="123"/>
    </row>
    <row r="131" spans="1:33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</row>
    <row r="132" spans="1:33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</row>
    <row r="133" spans="1:33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</row>
    <row r="134" spans="1:33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</row>
    <row r="135" spans="1:33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</row>
    <row r="136" spans="1:33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</row>
    <row r="137" spans="1:33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</row>
    <row r="138" spans="1:33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</row>
    <row r="139" spans="1:33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</row>
    <row r="140" spans="1:33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</row>
    <row r="141" spans="1:33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</row>
    <row r="142" spans="1:33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</row>
    <row r="143" spans="1:33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</row>
    <row r="144" spans="1:33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</row>
    <row r="145" spans="1:30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</row>
    <row r="146" spans="1:30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</row>
    <row r="147" spans="1:30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</row>
    <row r="148" spans="1:30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</row>
    <row r="149" spans="1:30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</row>
    <row r="150" spans="1:30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</row>
    <row r="151" spans="1:30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</row>
    <row r="152" spans="1:30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</row>
    <row r="153" spans="1:30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</row>
    <row r="154" spans="1:30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</row>
    <row r="155" spans="1:30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</row>
    <row r="156" spans="1:30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</row>
    <row r="157" spans="1:30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</row>
    <row r="158" spans="1:30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</row>
    <row r="159" spans="1:30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</row>
    <row r="160" spans="1:30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</row>
    <row r="161" spans="1:30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</row>
    <row r="162" spans="1:30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</row>
    <row r="163" spans="1:30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</row>
    <row r="164" spans="1:30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</row>
    <row r="165" spans="1:30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</row>
    <row r="166" spans="1:30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</row>
    <row r="167" spans="1:30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</row>
    <row r="168" spans="1:30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</row>
    <row r="169" spans="1:30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</row>
    <row r="170" spans="1:30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</row>
    <row r="171" spans="1:30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</row>
    <row r="172" spans="1:30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</row>
    <row r="173" spans="1:30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</row>
    <row r="174" spans="1:30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</row>
    <row r="175" spans="1:30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</row>
    <row r="176" spans="1:30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</row>
    <row r="177" spans="1:30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</row>
    <row r="178" spans="1:30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</row>
    <row r="179" spans="1:30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</row>
    <row r="180" spans="1:30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</row>
    <row r="181" spans="1:30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</row>
    <row r="182" spans="1:30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</row>
    <row r="183" spans="1:30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</row>
    <row r="184" spans="1:30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</row>
    <row r="185" spans="1:30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</row>
    <row r="186" spans="1:30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</row>
    <row r="187" spans="1:30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</row>
    <row r="188" spans="1:30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</row>
    <row r="189" spans="1:30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</row>
    <row r="190" spans="1:30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</row>
    <row r="191" spans="1:30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</row>
    <row r="192" spans="1:30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</row>
    <row r="193" spans="1:30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</row>
    <row r="194" spans="1:30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</row>
    <row r="195" spans="1:30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</row>
    <row r="196" spans="1:30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</row>
    <row r="197" spans="1:30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</row>
    <row r="198" spans="1:30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</row>
    <row r="199" spans="1:30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</row>
    <row r="200" spans="1:30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</row>
    <row r="201" spans="1:30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</row>
    <row r="202" spans="1:30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</row>
    <row r="203" spans="1:30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</row>
    <row r="204" spans="1:30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</row>
    <row r="205" spans="1:30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</row>
    <row r="206" spans="1:30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</row>
    <row r="207" spans="1:30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</row>
    <row r="208" spans="1:30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</row>
    <row r="209" spans="1:30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</row>
    <row r="210" spans="1:30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</row>
    <row r="211" spans="1:30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</row>
    <row r="212" spans="1:30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</row>
    <row r="213" spans="1:30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</row>
    <row r="214" spans="1:30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</row>
    <row r="215" spans="1:30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</row>
    <row r="216" spans="1:30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</row>
    <row r="217" spans="1:30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</row>
    <row r="218" spans="1:30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</row>
    <row r="219" spans="1:30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</row>
    <row r="220" spans="1:30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</row>
    <row r="221" spans="1:30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</row>
    <row r="222" spans="1:30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</row>
    <row r="223" spans="1:30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</row>
    <row r="224" spans="1:30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</row>
    <row r="225" spans="1:30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</row>
    <row r="226" spans="1:30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</row>
    <row r="227" spans="1:30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</row>
    <row r="228" spans="1:30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</row>
    <row r="229" spans="1:30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</row>
    <row r="230" spans="1:30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</row>
    <row r="231" spans="1:30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</row>
    <row r="232" spans="1:30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</row>
    <row r="233" spans="1:30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</row>
    <row r="234" spans="1:30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</row>
    <row r="235" spans="1:30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</row>
    <row r="236" spans="1:30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</row>
    <row r="237" spans="1:30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</row>
    <row r="238" spans="1:30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</row>
    <row r="239" spans="1:30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</row>
    <row r="240" spans="1:30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</row>
    <row r="241" spans="1:30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</row>
    <row r="242" spans="1:30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</row>
    <row r="243" spans="1:30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</row>
    <row r="244" spans="1:30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</row>
    <row r="245" spans="1:30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</row>
    <row r="246" spans="1:30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</row>
    <row r="247" spans="1:30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</row>
    <row r="248" spans="1:30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</row>
    <row r="249" spans="1:30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</row>
    <row r="250" spans="1:30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</row>
    <row r="251" spans="1:30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</row>
    <row r="252" spans="1:30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</row>
    <row r="253" spans="1:30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</row>
    <row r="254" spans="1:30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</row>
    <row r="255" spans="1:30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</row>
  </sheetData>
  <sheetProtection password="B544" sheet="1" objects="1" scenarios="1" selectLockedCells="1"/>
  <mergeCells count="42">
    <mergeCell ref="D45:F45"/>
    <mergeCell ref="Q5:R5"/>
    <mergeCell ref="S5:T5"/>
    <mergeCell ref="M7:N8"/>
    <mergeCell ref="D44:F44"/>
    <mergeCell ref="C43:D43"/>
    <mergeCell ref="W6:X8"/>
    <mergeCell ref="O7:P8"/>
    <mergeCell ref="K6:T6"/>
    <mergeCell ref="W5:X5"/>
    <mergeCell ref="G5:G9"/>
    <mergeCell ref="M5:N5"/>
    <mergeCell ref="AA5:AB5"/>
    <mergeCell ref="C53:D53"/>
    <mergeCell ref="Q7:R8"/>
    <mergeCell ref="K7:L8"/>
    <mergeCell ref="S7:T8"/>
    <mergeCell ref="D50:E50"/>
    <mergeCell ref="H5:H9"/>
    <mergeCell ref="D51:F51"/>
    <mergeCell ref="A5:F9"/>
    <mergeCell ref="I5:J5"/>
    <mergeCell ref="A1:AD1"/>
    <mergeCell ref="A2:AD2"/>
    <mergeCell ref="AC6:AD8"/>
    <mergeCell ref="A3:AD3"/>
    <mergeCell ref="Y6:Z8"/>
    <mergeCell ref="O5:P5"/>
    <mergeCell ref="K5:L5"/>
    <mergeCell ref="U5:V5"/>
    <mergeCell ref="AA6:AB8"/>
    <mergeCell ref="Y5:Z5"/>
    <mergeCell ref="AC5:AD5"/>
    <mergeCell ref="I6:J8"/>
    <mergeCell ref="B129:F129"/>
    <mergeCell ref="E80:F80"/>
    <mergeCell ref="D91:F91"/>
    <mergeCell ref="D106:F106"/>
    <mergeCell ref="D117:F117"/>
    <mergeCell ref="E124:F124"/>
    <mergeCell ref="E128:F128"/>
    <mergeCell ref="U6:V8"/>
  </mergeCells>
  <phoneticPr fontId="0" type="noConversion"/>
  <dataValidations count="1">
    <dataValidation type="decimal" operator="lessThan" allowBlank="1" showInputMessage="1" showErrorMessage="1" sqref="I10:FN587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8b2&amp;8&amp;U
&amp;P of &amp;N&amp;C&amp;"Arial,Bold"&amp;8 MAXIMUM SAVINGS BANK, INC.  [ 03-070011 ]
 As of: June 30, 2019</oddHeader>
  </headerFooter>
  <drawing r:id="rId2"/>
  <legacyDrawing r:id="rId3"/>
  <controls>
    <mc:AlternateContent xmlns:mc="http://schemas.openxmlformats.org/markup-compatibility/2006">
      <mc:Choice Requires="x14">
        <control shapeId="21505" r:id="rId4" name="Label1">
          <controlPr defaultSize="0" autoLine="0" r:id="rId5">
            <anchor moveWithCells="1">
              <from>
                <xdr:col>7</xdr:col>
                <xdr:colOff>257175</xdr:colOff>
                <xdr:row>17</xdr:row>
                <xdr:rowOff>28575</xdr:rowOff>
              </from>
              <to>
                <xdr:col>7</xdr:col>
                <xdr:colOff>676275</xdr:colOff>
                <xdr:row>18</xdr:row>
                <xdr:rowOff>28575</xdr:rowOff>
              </to>
            </anchor>
          </controlPr>
        </control>
      </mc:Choice>
      <mc:Fallback>
        <control shapeId="21505" r:id="rId4" name="Label1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IU255"/>
  <sheetViews>
    <sheetView zoomScale="75" zoomScaleNormal="90" zoomScaleSheetLayoutView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E17" sqref="E17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24.85546875" style="1" customWidth="1"/>
    <col min="6" max="6" width="21.42578125" style="1" hidden="1" customWidth="1"/>
    <col min="7" max="7" width="17.5703125" style="9" customWidth="1"/>
    <col min="8" max="8" width="10.28515625" style="9" customWidth="1"/>
    <col min="9" max="30" width="20.7109375" style="1" customWidth="1"/>
    <col min="31" max="170" width="25.7109375" style="1" customWidth="1"/>
    <col min="171" max="16384" width="9.140625" style="1"/>
  </cols>
  <sheetData>
    <row r="1" spans="1:33" s="165" customFormat="1" ht="12.75" x14ac:dyDescent="0.2">
      <c r="A1" s="512" t="s">
        <v>419</v>
      </c>
      <c r="B1" s="512"/>
      <c r="C1" s="512"/>
      <c r="D1" s="512"/>
      <c r="E1" s="512"/>
      <c r="F1" s="512"/>
      <c r="G1" s="512"/>
      <c r="H1" s="512"/>
      <c r="I1" s="512"/>
      <c r="J1" s="512"/>
      <c r="K1" s="512"/>
      <c r="L1" s="512"/>
      <c r="M1" s="512"/>
      <c r="N1" s="512"/>
      <c r="O1" s="512"/>
      <c r="P1" s="512"/>
      <c r="Q1" s="512"/>
      <c r="R1" s="512"/>
      <c r="S1" s="512"/>
      <c r="T1" s="512"/>
      <c r="U1" s="512"/>
      <c r="V1" s="512"/>
      <c r="W1" s="512"/>
      <c r="X1" s="512"/>
      <c r="Y1" s="512"/>
      <c r="Z1" s="512"/>
      <c r="AA1" s="512"/>
      <c r="AB1" s="512"/>
      <c r="AC1" s="512"/>
      <c r="AD1" s="512"/>
    </row>
    <row r="2" spans="1:33" s="165" customFormat="1" ht="12.75" customHeight="1" x14ac:dyDescent="0.2">
      <c r="A2" s="512" t="s">
        <v>325</v>
      </c>
      <c r="B2" s="512"/>
      <c r="C2" s="512"/>
      <c r="D2" s="512"/>
      <c r="E2" s="512"/>
      <c r="F2" s="512"/>
      <c r="G2" s="512"/>
      <c r="H2" s="512"/>
      <c r="I2" s="512"/>
      <c r="J2" s="512"/>
      <c r="K2" s="512"/>
      <c r="L2" s="512"/>
      <c r="M2" s="512"/>
      <c r="N2" s="512"/>
      <c r="O2" s="512"/>
      <c r="P2" s="512"/>
      <c r="Q2" s="512"/>
      <c r="R2" s="512"/>
      <c r="S2" s="512"/>
      <c r="T2" s="512"/>
      <c r="U2" s="512"/>
      <c r="V2" s="512"/>
      <c r="W2" s="512"/>
      <c r="X2" s="512"/>
      <c r="Y2" s="512"/>
      <c r="Z2" s="512"/>
      <c r="AA2" s="512"/>
      <c r="AB2" s="512"/>
      <c r="AC2" s="512"/>
      <c r="AD2" s="512"/>
    </row>
    <row r="3" spans="1:33" s="165" customFormat="1" ht="12.75" customHeight="1" x14ac:dyDescent="0.2">
      <c r="A3" s="512" t="s">
        <v>7</v>
      </c>
      <c r="B3" s="512"/>
      <c r="C3" s="512"/>
      <c r="D3" s="512"/>
      <c r="E3" s="512"/>
      <c r="F3" s="512"/>
      <c r="G3" s="512"/>
      <c r="H3" s="512"/>
      <c r="I3" s="512"/>
      <c r="J3" s="512"/>
      <c r="K3" s="512"/>
      <c r="L3" s="512"/>
      <c r="M3" s="512"/>
      <c r="N3" s="512"/>
      <c r="O3" s="512"/>
      <c r="P3" s="512"/>
      <c r="Q3" s="512"/>
      <c r="R3" s="512"/>
      <c r="S3" s="512"/>
      <c r="T3" s="512"/>
      <c r="U3" s="512"/>
      <c r="V3" s="512"/>
      <c r="W3" s="512"/>
      <c r="X3" s="512"/>
      <c r="Y3" s="512"/>
      <c r="Z3" s="512"/>
      <c r="AA3" s="512"/>
      <c r="AB3" s="512"/>
      <c r="AC3" s="512"/>
      <c r="AD3" s="512"/>
    </row>
    <row r="4" spans="1:33" ht="12.75" customHeight="1" x14ac:dyDescent="0.2">
      <c r="A4" s="217"/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  <c r="S4" s="217"/>
      <c r="T4" s="217"/>
      <c r="U4" s="217"/>
      <c r="V4" s="217"/>
      <c r="W4" s="217"/>
      <c r="X4" s="217"/>
      <c r="Y4" s="217"/>
      <c r="Z4" s="217"/>
      <c r="AA4" s="217"/>
      <c r="AB4" s="217"/>
      <c r="AC4" s="217"/>
      <c r="AD4" s="217"/>
    </row>
    <row r="5" spans="1:33" s="118" customFormat="1" ht="14.25" customHeight="1" x14ac:dyDescent="0.2">
      <c r="A5" s="504" t="s">
        <v>0</v>
      </c>
      <c r="B5" s="505"/>
      <c r="C5" s="505"/>
      <c r="D5" s="505"/>
      <c r="E5" s="505"/>
      <c r="F5" s="506"/>
      <c r="G5" s="496" t="s">
        <v>2</v>
      </c>
      <c r="H5" s="592" t="s">
        <v>414</v>
      </c>
      <c r="I5" s="518" t="s">
        <v>309</v>
      </c>
      <c r="J5" s="521"/>
      <c r="K5" s="518" t="s">
        <v>310</v>
      </c>
      <c r="L5" s="521"/>
      <c r="M5" s="580" t="s">
        <v>311</v>
      </c>
      <c r="N5" s="582"/>
      <c r="O5" s="580" t="s">
        <v>312</v>
      </c>
      <c r="P5" s="582"/>
      <c r="Q5" s="580" t="s">
        <v>313</v>
      </c>
      <c r="R5" s="582"/>
      <c r="S5" s="580" t="s">
        <v>314</v>
      </c>
      <c r="T5" s="582"/>
      <c r="U5" s="580" t="s">
        <v>315</v>
      </c>
      <c r="V5" s="582"/>
      <c r="W5" s="580" t="s">
        <v>316</v>
      </c>
      <c r="X5" s="582"/>
      <c r="Y5" s="580" t="s">
        <v>317</v>
      </c>
      <c r="Z5" s="582"/>
      <c r="AA5" s="580" t="s">
        <v>318</v>
      </c>
      <c r="AB5" s="582"/>
      <c r="AC5" s="580" t="s">
        <v>307</v>
      </c>
      <c r="AD5" s="582"/>
    </row>
    <row r="6" spans="1:33" s="11" customFormat="1" ht="12.75" customHeight="1" x14ac:dyDescent="0.2">
      <c r="A6" s="507"/>
      <c r="B6" s="508"/>
      <c r="C6" s="508"/>
      <c r="D6" s="508"/>
      <c r="E6" s="508"/>
      <c r="F6" s="509"/>
      <c r="G6" s="497"/>
      <c r="H6" s="610"/>
      <c r="I6" s="592" t="s">
        <v>755</v>
      </c>
      <c r="J6" s="600"/>
      <c r="K6" s="518" t="s">
        <v>324</v>
      </c>
      <c r="L6" s="533"/>
      <c r="M6" s="533"/>
      <c r="N6" s="533"/>
      <c r="O6" s="533"/>
      <c r="P6" s="533"/>
      <c r="Q6" s="533"/>
      <c r="R6" s="533"/>
      <c r="S6" s="533"/>
      <c r="T6" s="521"/>
      <c r="U6" s="592" t="s">
        <v>319</v>
      </c>
      <c r="V6" s="600"/>
      <c r="W6" s="592" t="s">
        <v>320</v>
      </c>
      <c r="X6" s="600"/>
      <c r="Y6" s="592" t="s">
        <v>321</v>
      </c>
      <c r="Z6" s="600"/>
      <c r="AA6" s="592" t="s">
        <v>390</v>
      </c>
      <c r="AB6" s="600"/>
      <c r="AC6" s="592" t="s">
        <v>328</v>
      </c>
      <c r="AD6" s="600"/>
    </row>
    <row r="7" spans="1:33" s="11" customFormat="1" ht="12.75" customHeight="1" x14ac:dyDescent="0.2">
      <c r="A7" s="507"/>
      <c r="B7" s="508"/>
      <c r="C7" s="508"/>
      <c r="D7" s="508"/>
      <c r="E7" s="508"/>
      <c r="F7" s="509"/>
      <c r="G7" s="497"/>
      <c r="H7" s="610"/>
      <c r="I7" s="593"/>
      <c r="J7" s="601"/>
      <c r="K7" s="504" t="s">
        <v>779</v>
      </c>
      <c r="L7" s="506"/>
      <c r="M7" s="504" t="s">
        <v>780</v>
      </c>
      <c r="N7" s="506"/>
      <c r="O7" s="504" t="s">
        <v>781</v>
      </c>
      <c r="P7" s="506"/>
      <c r="Q7" s="504" t="s">
        <v>782</v>
      </c>
      <c r="R7" s="506"/>
      <c r="S7" s="504" t="s">
        <v>308</v>
      </c>
      <c r="T7" s="506"/>
      <c r="U7" s="593"/>
      <c r="V7" s="601"/>
      <c r="W7" s="593"/>
      <c r="X7" s="601"/>
      <c r="Y7" s="593"/>
      <c r="Z7" s="601"/>
      <c r="AA7" s="593"/>
      <c r="AB7" s="601"/>
      <c r="AC7" s="593"/>
      <c r="AD7" s="601"/>
    </row>
    <row r="8" spans="1:33" s="2" customFormat="1" ht="12.75" customHeight="1" x14ac:dyDescent="0.2">
      <c r="A8" s="507"/>
      <c r="B8" s="508"/>
      <c r="C8" s="508"/>
      <c r="D8" s="508"/>
      <c r="E8" s="508"/>
      <c r="F8" s="509"/>
      <c r="G8" s="497"/>
      <c r="H8" s="610"/>
      <c r="I8" s="593"/>
      <c r="J8" s="601"/>
      <c r="K8" s="491"/>
      <c r="L8" s="492"/>
      <c r="M8" s="491"/>
      <c r="N8" s="492"/>
      <c r="O8" s="491"/>
      <c r="P8" s="492"/>
      <c r="Q8" s="491"/>
      <c r="R8" s="492"/>
      <c r="S8" s="491"/>
      <c r="T8" s="492"/>
      <c r="U8" s="594"/>
      <c r="V8" s="602"/>
      <c r="W8" s="594"/>
      <c r="X8" s="602"/>
      <c r="Y8" s="594"/>
      <c r="Z8" s="602"/>
      <c r="AA8" s="594"/>
      <c r="AB8" s="602"/>
      <c r="AC8" s="594"/>
      <c r="AD8" s="602"/>
    </row>
    <row r="9" spans="1:33" s="2" customFormat="1" x14ac:dyDescent="0.2">
      <c r="A9" s="507"/>
      <c r="B9" s="508"/>
      <c r="C9" s="508"/>
      <c r="D9" s="508"/>
      <c r="E9" s="508"/>
      <c r="F9" s="492"/>
      <c r="G9" s="498"/>
      <c r="H9" s="611"/>
      <c r="I9" s="37" t="s">
        <v>5</v>
      </c>
      <c r="J9" s="37" t="s">
        <v>6</v>
      </c>
      <c r="K9" s="37" t="s">
        <v>5</v>
      </c>
      <c r="L9" s="37" t="s">
        <v>6</v>
      </c>
      <c r="M9" s="37" t="s">
        <v>5</v>
      </c>
      <c r="N9" s="37" t="s">
        <v>6</v>
      </c>
      <c r="O9" s="37" t="s">
        <v>5</v>
      </c>
      <c r="P9" s="37" t="s">
        <v>6</v>
      </c>
      <c r="Q9" s="37" t="s">
        <v>5</v>
      </c>
      <c r="R9" s="37" t="s">
        <v>6</v>
      </c>
      <c r="S9" s="37" t="s">
        <v>5</v>
      </c>
      <c r="T9" s="37" t="s">
        <v>6</v>
      </c>
      <c r="U9" s="37" t="s">
        <v>5</v>
      </c>
      <c r="V9" s="37" t="s">
        <v>6</v>
      </c>
      <c r="W9" s="37" t="s">
        <v>5</v>
      </c>
      <c r="X9" s="37" t="s">
        <v>6</v>
      </c>
      <c r="Y9" s="37" t="s">
        <v>5</v>
      </c>
      <c r="Z9" s="37" t="s">
        <v>6</v>
      </c>
      <c r="AA9" s="37" t="s">
        <v>5</v>
      </c>
      <c r="AB9" s="37" t="s">
        <v>6</v>
      </c>
      <c r="AC9" s="37" t="s">
        <v>5</v>
      </c>
      <c r="AD9" s="37" t="s">
        <v>6</v>
      </c>
    </row>
    <row r="10" spans="1:33" x14ac:dyDescent="0.2">
      <c r="A10" s="377" t="s">
        <v>185</v>
      </c>
      <c r="B10" s="378"/>
      <c r="C10" s="378"/>
      <c r="D10" s="378"/>
      <c r="E10" s="379"/>
      <c r="F10" s="382"/>
      <c r="G10" s="320"/>
      <c r="H10" s="18"/>
      <c r="I10" s="78"/>
      <c r="J10" s="78"/>
      <c r="K10" s="78"/>
      <c r="L10" s="78"/>
      <c r="M10" s="78"/>
      <c r="N10" s="78"/>
      <c r="O10" s="78"/>
      <c r="P10" s="78"/>
      <c r="Q10" s="78"/>
      <c r="R10" s="78"/>
      <c r="S10" s="78"/>
      <c r="T10" s="78"/>
      <c r="U10" s="78"/>
      <c r="V10" s="78"/>
      <c r="W10" s="78"/>
      <c r="X10" s="78"/>
      <c r="Y10" s="78"/>
      <c r="Z10" s="78"/>
      <c r="AA10" s="78"/>
      <c r="AB10" s="78"/>
      <c r="AC10" s="78"/>
      <c r="AD10" s="78"/>
      <c r="AE10" s="122"/>
      <c r="AF10" s="123"/>
      <c r="AG10" s="123"/>
    </row>
    <row r="11" spans="1:33" x14ac:dyDescent="0.2">
      <c r="A11" s="380" t="s">
        <v>186</v>
      </c>
      <c r="B11" s="381" t="s">
        <v>187</v>
      </c>
      <c r="C11" s="355"/>
      <c r="D11" s="355"/>
      <c r="E11" s="382"/>
      <c r="F11" s="382"/>
      <c r="G11" s="458" t="s">
        <v>672</v>
      </c>
      <c r="H11" s="18"/>
      <c r="I11" s="78">
        <f t="shared" ref="I11:AB11" si="0">SUM(I12,I24,I25,I28)</f>
        <v>0</v>
      </c>
      <c r="J11" s="78">
        <f t="shared" si="0"/>
        <v>0</v>
      </c>
      <c r="K11" s="78">
        <f t="shared" si="0"/>
        <v>0</v>
      </c>
      <c r="L11" s="78">
        <f t="shared" si="0"/>
        <v>0</v>
      </c>
      <c r="M11" s="78">
        <f t="shared" si="0"/>
        <v>0</v>
      </c>
      <c r="N11" s="78">
        <f t="shared" si="0"/>
        <v>0</v>
      </c>
      <c r="O11" s="78">
        <f t="shared" si="0"/>
        <v>0</v>
      </c>
      <c r="P11" s="78">
        <f t="shared" si="0"/>
        <v>0</v>
      </c>
      <c r="Q11" s="78">
        <f t="shared" si="0"/>
        <v>0</v>
      </c>
      <c r="R11" s="78">
        <f t="shared" si="0"/>
        <v>0</v>
      </c>
      <c r="S11" s="78">
        <f t="shared" si="0"/>
        <v>0</v>
      </c>
      <c r="T11" s="78">
        <f t="shared" si="0"/>
        <v>0</v>
      </c>
      <c r="U11" s="78">
        <f t="shared" si="0"/>
        <v>0</v>
      </c>
      <c r="V11" s="78">
        <f t="shared" si="0"/>
        <v>0</v>
      </c>
      <c r="W11" s="78">
        <f t="shared" si="0"/>
        <v>0</v>
      </c>
      <c r="X11" s="78">
        <f t="shared" si="0"/>
        <v>0</v>
      </c>
      <c r="Y11" s="78">
        <f t="shared" si="0"/>
        <v>0</v>
      </c>
      <c r="Z11" s="78">
        <f t="shared" si="0"/>
        <v>0</v>
      </c>
      <c r="AA11" s="78">
        <f t="shared" si="0"/>
        <v>0</v>
      </c>
      <c r="AB11" s="78">
        <f t="shared" si="0"/>
        <v>0</v>
      </c>
      <c r="AC11" s="78">
        <f t="shared" ref="AC11:AD16" si="1">(I11+K11+M11+O11+Q11+S11+U11) - (W11+Y11)</f>
        <v>0</v>
      </c>
      <c r="AD11" s="78">
        <f t="shared" si="1"/>
        <v>0</v>
      </c>
      <c r="AE11" s="122"/>
      <c r="AF11" s="123"/>
      <c r="AG11" s="123"/>
    </row>
    <row r="12" spans="1:33" x14ac:dyDescent="0.2">
      <c r="A12" s="384"/>
      <c r="B12" s="385" t="s">
        <v>188</v>
      </c>
      <c r="C12" s="385" t="s">
        <v>788</v>
      </c>
      <c r="D12" s="385"/>
      <c r="E12" s="383"/>
      <c r="F12" s="382"/>
      <c r="G12" s="458" t="s">
        <v>673</v>
      </c>
      <c r="H12" s="18"/>
      <c r="I12" s="78">
        <f t="shared" ref="I12:AB12" si="2">SUM(I13,I19,I20)</f>
        <v>0</v>
      </c>
      <c r="J12" s="78">
        <f t="shared" si="2"/>
        <v>0</v>
      </c>
      <c r="K12" s="78">
        <f t="shared" si="2"/>
        <v>0</v>
      </c>
      <c r="L12" s="78">
        <f t="shared" si="2"/>
        <v>0</v>
      </c>
      <c r="M12" s="78">
        <f t="shared" si="2"/>
        <v>0</v>
      </c>
      <c r="N12" s="78">
        <f t="shared" si="2"/>
        <v>0</v>
      </c>
      <c r="O12" s="78">
        <f t="shared" si="2"/>
        <v>0</v>
      </c>
      <c r="P12" s="78">
        <f t="shared" si="2"/>
        <v>0</v>
      </c>
      <c r="Q12" s="78">
        <f t="shared" si="2"/>
        <v>0</v>
      </c>
      <c r="R12" s="78">
        <f t="shared" si="2"/>
        <v>0</v>
      </c>
      <c r="S12" s="78">
        <f t="shared" si="2"/>
        <v>0</v>
      </c>
      <c r="T12" s="78">
        <f t="shared" si="2"/>
        <v>0</v>
      </c>
      <c r="U12" s="78">
        <f t="shared" si="2"/>
        <v>0</v>
      </c>
      <c r="V12" s="78">
        <f t="shared" si="2"/>
        <v>0</v>
      </c>
      <c r="W12" s="78">
        <f t="shared" si="2"/>
        <v>0</v>
      </c>
      <c r="X12" s="78">
        <f t="shared" si="2"/>
        <v>0</v>
      </c>
      <c r="Y12" s="78">
        <f t="shared" si="2"/>
        <v>0</v>
      </c>
      <c r="Z12" s="78">
        <f t="shared" si="2"/>
        <v>0</v>
      </c>
      <c r="AA12" s="78">
        <f t="shared" si="2"/>
        <v>0</v>
      </c>
      <c r="AB12" s="78">
        <f t="shared" si="2"/>
        <v>0</v>
      </c>
      <c r="AC12" s="78">
        <f t="shared" si="1"/>
        <v>0</v>
      </c>
      <c r="AD12" s="78">
        <f t="shared" si="1"/>
        <v>0</v>
      </c>
      <c r="AE12" s="122"/>
      <c r="AF12" s="123"/>
      <c r="AG12" s="123"/>
    </row>
    <row r="13" spans="1:33" x14ac:dyDescent="0.2">
      <c r="A13" s="386"/>
      <c r="B13" s="355"/>
      <c r="C13" s="387" t="s">
        <v>19</v>
      </c>
      <c r="D13" s="355" t="s">
        <v>189</v>
      </c>
      <c r="E13" s="382"/>
      <c r="F13" s="382"/>
      <c r="G13" s="458" t="s">
        <v>674</v>
      </c>
      <c r="H13" s="18"/>
      <c r="I13" s="292">
        <f>I14+I15+I16</f>
        <v>0</v>
      </c>
      <c r="J13" s="292">
        <f t="shared" ref="J13:AB13" si="3">J14+J15+J16</f>
        <v>0</v>
      </c>
      <c r="K13" s="292">
        <f t="shared" si="3"/>
        <v>0</v>
      </c>
      <c r="L13" s="292">
        <f t="shared" si="3"/>
        <v>0</v>
      </c>
      <c r="M13" s="292">
        <f t="shared" si="3"/>
        <v>0</v>
      </c>
      <c r="N13" s="292">
        <f t="shared" si="3"/>
        <v>0</v>
      </c>
      <c r="O13" s="292">
        <f t="shared" si="3"/>
        <v>0</v>
      </c>
      <c r="P13" s="292">
        <f t="shared" si="3"/>
        <v>0</v>
      </c>
      <c r="Q13" s="292">
        <f t="shared" si="3"/>
        <v>0</v>
      </c>
      <c r="R13" s="292">
        <f t="shared" si="3"/>
        <v>0</v>
      </c>
      <c r="S13" s="292">
        <f t="shared" si="3"/>
        <v>0</v>
      </c>
      <c r="T13" s="292">
        <f t="shared" si="3"/>
        <v>0</v>
      </c>
      <c r="U13" s="292">
        <f t="shared" si="3"/>
        <v>0</v>
      </c>
      <c r="V13" s="292">
        <f t="shared" si="3"/>
        <v>0</v>
      </c>
      <c r="W13" s="292">
        <f t="shared" si="3"/>
        <v>0</v>
      </c>
      <c r="X13" s="292">
        <f t="shared" si="3"/>
        <v>0</v>
      </c>
      <c r="Y13" s="292">
        <f t="shared" si="3"/>
        <v>0</v>
      </c>
      <c r="Z13" s="292">
        <f t="shared" si="3"/>
        <v>0</v>
      </c>
      <c r="AA13" s="292">
        <f t="shared" si="3"/>
        <v>0</v>
      </c>
      <c r="AB13" s="292">
        <f t="shared" si="3"/>
        <v>0</v>
      </c>
      <c r="AC13" s="78">
        <f t="shared" si="1"/>
        <v>0</v>
      </c>
      <c r="AD13" s="78">
        <f t="shared" si="1"/>
        <v>0</v>
      </c>
      <c r="AE13" s="122"/>
      <c r="AF13" s="123"/>
      <c r="AG13" s="123"/>
    </row>
    <row r="14" spans="1:33" x14ac:dyDescent="0.2">
      <c r="A14" s="386"/>
      <c r="B14" s="355"/>
      <c r="C14" s="387"/>
      <c r="D14" s="355" t="s">
        <v>11</v>
      </c>
      <c r="E14" s="355" t="s">
        <v>789</v>
      </c>
      <c r="F14" s="383"/>
      <c r="G14" s="458" t="s">
        <v>829</v>
      </c>
      <c r="H14" s="18"/>
      <c r="I14" s="296"/>
      <c r="J14" s="296"/>
      <c r="K14" s="296"/>
      <c r="L14" s="296"/>
      <c r="M14" s="296"/>
      <c r="N14" s="296"/>
      <c r="O14" s="296"/>
      <c r="P14" s="296"/>
      <c r="Q14" s="296"/>
      <c r="R14" s="296"/>
      <c r="S14" s="296"/>
      <c r="T14" s="296"/>
      <c r="U14" s="296"/>
      <c r="V14" s="296"/>
      <c r="W14" s="296"/>
      <c r="X14" s="296"/>
      <c r="Y14" s="296"/>
      <c r="Z14" s="296"/>
      <c r="AA14" s="296"/>
      <c r="AB14" s="296"/>
      <c r="AC14" s="295"/>
      <c r="AD14" s="295"/>
      <c r="AE14" s="122"/>
      <c r="AF14" s="123"/>
      <c r="AG14" s="123"/>
    </row>
    <row r="15" spans="1:33" x14ac:dyDescent="0.2">
      <c r="A15" s="386"/>
      <c r="B15" s="355"/>
      <c r="C15" s="387"/>
      <c r="D15" s="392" t="s">
        <v>15</v>
      </c>
      <c r="E15" s="392" t="s">
        <v>790</v>
      </c>
      <c r="F15" s="383"/>
      <c r="G15" s="458" t="s">
        <v>830</v>
      </c>
      <c r="H15" s="18"/>
      <c r="I15" s="296"/>
      <c r="J15" s="296"/>
      <c r="K15" s="296"/>
      <c r="L15" s="296"/>
      <c r="M15" s="296"/>
      <c r="N15" s="296"/>
      <c r="O15" s="296"/>
      <c r="P15" s="296"/>
      <c r="Q15" s="296"/>
      <c r="R15" s="296"/>
      <c r="S15" s="296"/>
      <c r="T15" s="296"/>
      <c r="U15" s="296"/>
      <c r="V15" s="296"/>
      <c r="W15" s="296"/>
      <c r="X15" s="296"/>
      <c r="Y15" s="296"/>
      <c r="Z15" s="296"/>
      <c r="AA15" s="296"/>
      <c r="AB15" s="296"/>
      <c r="AC15" s="295"/>
      <c r="AD15" s="295"/>
      <c r="AE15" s="122"/>
      <c r="AF15" s="123"/>
      <c r="AG15" s="123"/>
    </row>
    <row r="16" spans="1:33" x14ac:dyDescent="0.2">
      <c r="A16" s="386"/>
      <c r="B16" s="355"/>
      <c r="C16" s="387"/>
      <c r="D16" s="355" t="s">
        <v>25</v>
      </c>
      <c r="E16" s="392" t="s">
        <v>791</v>
      </c>
      <c r="F16" s="383"/>
      <c r="G16" s="458" t="s">
        <v>831</v>
      </c>
      <c r="H16" s="85" t="s">
        <v>751</v>
      </c>
      <c r="I16" s="292">
        <f t="shared" ref="I16:AB16" si="4">SUM(I17:I18)</f>
        <v>0</v>
      </c>
      <c r="J16" s="292">
        <f t="shared" si="4"/>
        <v>0</v>
      </c>
      <c r="K16" s="292">
        <f t="shared" si="4"/>
        <v>0</v>
      </c>
      <c r="L16" s="292">
        <f t="shared" si="4"/>
        <v>0</v>
      </c>
      <c r="M16" s="292">
        <f t="shared" si="4"/>
        <v>0</v>
      </c>
      <c r="N16" s="292">
        <f t="shared" si="4"/>
        <v>0</v>
      </c>
      <c r="O16" s="292">
        <f t="shared" si="4"/>
        <v>0</v>
      </c>
      <c r="P16" s="292">
        <f t="shared" si="4"/>
        <v>0</v>
      </c>
      <c r="Q16" s="292">
        <f t="shared" si="4"/>
        <v>0</v>
      </c>
      <c r="R16" s="292">
        <f t="shared" si="4"/>
        <v>0</v>
      </c>
      <c r="S16" s="292">
        <f t="shared" si="4"/>
        <v>0</v>
      </c>
      <c r="T16" s="292">
        <f t="shared" si="4"/>
        <v>0</v>
      </c>
      <c r="U16" s="292">
        <f t="shared" si="4"/>
        <v>0</v>
      </c>
      <c r="V16" s="292">
        <f t="shared" si="4"/>
        <v>0</v>
      </c>
      <c r="W16" s="292">
        <f t="shared" si="4"/>
        <v>0</v>
      </c>
      <c r="X16" s="292">
        <f t="shared" si="4"/>
        <v>0</v>
      </c>
      <c r="Y16" s="292">
        <f t="shared" si="4"/>
        <v>0</v>
      </c>
      <c r="Z16" s="292">
        <f t="shared" si="4"/>
        <v>0</v>
      </c>
      <c r="AA16" s="292">
        <f t="shared" si="4"/>
        <v>0</v>
      </c>
      <c r="AB16" s="292">
        <f t="shared" si="4"/>
        <v>0</v>
      </c>
      <c r="AC16" s="78">
        <f t="shared" si="1"/>
        <v>0</v>
      </c>
      <c r="AD16" s="78">
        <f t="shared" si="1"/>
        <v>0</v>
      </c>
      <c r="AE16" s="122"/>
      <c r="AF16" s="123"/>
      <c r="AG16" s="123"/>
    </row>
    <row r="17" spans="1:33" x14ac:dyDescent="0.2">
      <c r="A17" s="129"/>
      <c r="B17" s="124"/>
      <c r="C17" s="149"/>
      <c r="D17" s="124"/>
      <c r="E17" s="310"/>
      <c r="F17" s="290"/>
      <c r="G17" s="458"/>
      <c r="H17" s="91">
        <v>1</v>
      </c>
      <c r="I17" s="81"/>
      <c r="J17" s="81"/>
      <c r="K17" s="81"/>
      <c r="L17" s="81"/>
      <c r="M17" s="81"/>
      <c r="N17" s="81"/>
      <c r="O17" s="81"/>
      <c r="P17" s="81"/>
      <c r="Q17" s="81"/>
      <c r="R17" s="81"/>
      <c r="S17" s="81"/>
      <c r="T17" s="81"/>
      <c r="U17" s="81"/>
      <c r="V17" s="81"/>
      <c r="W17" s="81"/>
      <c r="X17" s="81"/>
      <c r="Y17" s="81"/>
      <c r="Z17" s="81"/>
      <c r="AA17" s="81"/>
      <c r="AB17" s="81"/>
      <c r="AC17" s="78">
        <f>(I17+K17+M17+O17+Q17+S17+U17) - (W17+Y17)</f>
        <v>0</v>
      </c>
      <c r="AD17" s="78">
        <f>(J17+L17+N17+P17+R17+T17+V17) - (X17+Z17)</f>
        <v>0</v>
      </c>
      <c r="AE17" s="122"/>
      <c r="AF17" s="123"/>
      <c r="AG17" s="123"/>
    </row>
    <row r="18" spans="1:33" x14ac:dyDescent="0.2">
      <c r="A18" s="386"/>
      <c r="B18" s="355"/>
      <c r="C18" s="387"/>
      <c r="D18" s="355"/>
      <c r="E18" s="355"/>
      <c r="F18" s="383"/>
      <c r="G18" s="458"/>
      <c r="H18" s="239" t="str">
        <f>CHAR(132)</f>
        <v>„</v>
      </c>
      <c r="I18" s="317"/>
      <c r="J18" s="317"/>
      <c r="K18" s="317"/>
      <c r="L18" s="317"/>
      <c r="M18" s="317"/>
      <c r="N18" s="317"/>
      <c r="O18" s="317"/>
      <c r="P18" s="317"/>
      <c r="Q18" s="317"/>
      <c r="R18" s="317"/>
      <c r="S18" s="317"/>
      <c r="T18" s="317"/>
      <c r="U18" s="317"/>
      <c r="V18" s="317"/>
      <c r="W18" s="317"/>
      <c r="X18" s="317"/>
      <c r="Y18" s="317"/>
      <c r="Z18" s="317"/>
      <c r="AA18" s="317"/>
      <c r="AB18" s="317"/>
      <c r="AC18" s="78"/>
      <c r="AD18" s="78"/>
      <c r="AE18" s="122"/>
      <c r="AF18" s="123"/>
      <c r="AG18" s="123"/>
    </row>
    <row r="19" spans="1:33" x14ac:dyDescent="0.2">
      <c r="A19" s="384"/>
      <c r="B19" s="385"/>
      <c r="C19" s="390" t="s">
        <v>21</v>
      </c>
      <c r="D19" s="385" t="s">
        <v>326</v>
      </c>
      <c r="E19" s="383"/>
      <c r="F19" s="382"/>
      <c r="G19" s="458" t="s">
        <v>675</v>
      </c>
      <c r="H19" s="18"/>
      <c r="I19" s="60"/>
      <c r="J19" s="60"/>
      <c r="K19" s="60"/>
      <c r="L19" s="60"/>
      <c r="M19" s="60"/>
      <c r="N19" s="60"/>
      <c r="O19" s="60"/>
      <c r="P19" s="60"/>
      <c r="Q19" s="60"/>
      <c r="R19" s="60"/>
      <c r="S19" s="60"/>
      <c r="T19" s="60"/>
      <c r="U19" s="60"/>
      <c r="V19" s="60"/>
      <c r="W19" s="60"/>
      <c r="X19" s="60"/>
      <c r="Y19" s="60"/>
      <c r="Z19" s="60"/>
      <c r="AA19" s="60"/>
      <c r="AB19" s="60"/>
      <c r="AC19" s="295"/>
      <c r="AD19" s="295"/>
      <c r="AE19" s="122"/>
      <c r="AF19" s="123"/>
      <c r="AG19" s="123"/>
    </row>
    <row r="20" spans="1:33" x14ac:dyDescent="0.2">
      <c r="A20" s="386"/>
      <c r="B20" s="355"/>
      <c r="C20" s="387" t="s">
        <v>60</v>
      </c>
      <c r="D20" s="355" t="s">
        <v>191</v>
      </c>
      <c r="E20" s="382"/>
      <c r="F20" s="382"/>
      <c r="G20" s="458" t="s">
        <v>676</v>
      </c>
      <c r="H20" s="18"/>
      <c r="I20" s="78">
        <f t="shared" ref="I20:AB20" si="5">SUM(I21,I22,I23)</f>
        <v>0</v>
      </c>
      <c r="J20" s="78">
        <f t="shared" si="5"/>
        <v>0</v>
      </c>
      <c r="K20" s="78">
        <f t="shared" si="5"/>
        <v>0</v>
      </c>
      <c r="L20" s="78">
        <f t="shared" si="5"/>
        <v>0</v>
      </c>
      <c r="M20" s="78">
        <f t="shared" si="5"/>
        <v>0</v>
      </c>
      <c r="N20" s="78">
        <f t="shared" si="5"/>
        <v>0</v>
      </c>
      <c r="O20" s="78">
        <f t="shared" si="5"/>
        <v>0</v>
      </c>
      <c r="P20" s="78">
        <f t="shared" si="5"/>
        <v>0</v>
      </c>
      <c r="Q20" s="78">
        <f t="shared" si="5"/>
        <v>0</v>
      </c>
      <c r="R20" s="78">
        <f t="shared" si="5"/>
        <v>0</v>
      </c>
      <c r="S20" s="78">
        <f t="shared" si="5"/>
        <v>0</v>
      </c>
      <c r="T20" s="78">
        <f t="shared" si="5"/>
        <v>0</v>
      </c>
      <c r="U20" s="78">
        <f t="shared" si="5"/>
        <v>0</v>
      </c>
      <c r="V20" s="78">
        <f t="shared" si="5"/>
        <v>0</v>
      </c>
      <c r="W20" s="78">
        <f t="shared" si="5"/>
        <v>0</v>
      </c>
      <c r="X20" s="78">
        <f t="shared" si="5"/>
        <v>0</v>
      </c>
      <c r="Y20" s="78">
        <f t="shared" si="5"/>
        <v>0</v>
      </c>
      <c r="Z20" s="78">
        <f t="shared" si="5"/>
        <v>0</v>
      </c>
      <c r="AA20" s="78">
        <f t="shared" si="5"/>
        <v>0</v>
      </c>
      <c r="AB20" s="78">
        <f t="shared" si="5"/>
        <v>0</v>
      </c>
      <c r="AC20" s="78">
        <f t="shared" ref="AC20:AC41" si="6">(I20+K20+M20+O20+Q20+S20+U20) - (W20+Y20)</f>
        <v>0</v>
      </c>
      <c r="AD20" s="78">
        <f t="shared" ref="AD20:AD41" si="7">(J20+L20+N20+P20+R20+T20+V20) - (X20+Z20)</f>
        <v>0</v>
      </c>
      <c r="AE20" s="122"/>
      <c r="AF20" s="123"/>
      <c r="AG20" s="123"/>
    </row>
    <row r="21" spans="1:33" x14ac:dyDescent="0.2">
      <c r="A21" s="384"/>
      <c r="B21" s="385"/>
      <c r="C21" s="390"/>
      <c r="D21" s="385" t="s">
        <v>11</v>
      </c>
      <c r="E21" s="383" t="s">
        <v>192</v>
      </c>
      <c r="F21" s="382"/>
      <c r="G21" s="458" t="s">
        <v>677</v>
      </c>
      <c r="H21" s="18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78">
        <f t="shared" si="6"/>
        <v>0</v>
      </c>
      <c r="AD21" s="78">
        <f t="shared" si="7"/>
        <v>0</v>
      </c>
      <c r="AE21" s="122"/>
      <c r="AF21" s="123"/>
      <c r="AG21" s="123"/>
    </row>
    <row r="22" spans="1:33" x14ac:dyDescent="0.2">
      <c r="A22" s="386"/>
      <c r="B22" s="355"/>
      <c r="C22" s="355"/>
      <c r="D22" s="355" t="s">
        <v>15</v>
      </c>
      <c r="E22" s="382" t="s">
        <v>193</v>
      </c>
      <c r="F22" s="382"/>
      <c r="G22" s="458" t="s">
        <v>678</v>
      </c>
      <c r="H22" s="18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78">
        <f t="shared" si="6"/>
        <v>0</v>
      </c>
      <c r="AD22" s="78">
        <f t="shared" si="7"/>
        <v>0</v>
      </c>
      <c r="AE22" s="122"/>
      <c r="AF22" s="123"/>
      <c r="AG22" s="123"/>
    </row>
    <row r="23" spans="1:33" x14ac:dyDescent="0.2">
      <c r="A23" s="384"/>
      <c r="B23" s="385"/>
      <c r="C23" s="385"/>
      <c r="D23" s="385" t="s">
        <v>25</v>
      </c>
      <c r="E23" s="383" t="s">
        <v>194</v>
      </c>
      <c r="F23" s="382"/>
      <c r="G23" s="458" t="s">
        <v>679</v>
      </c>
      <c r="H23" s="18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78">
        <f t="shared" si="6"/>
        <v>0</v>
      </c>
      <c r="AD23" s="78">
        <f t="shared" si="7"/>
        <v>0</v>
      </c>
      <c r="AE23" s="122"/>
      <c r="AF23" s="123"/>
      <c r="AG23" s="123"/>
    </row>
    <row r="24" spans="1:33" x14ac:dyDescent="0.2">
      <c r="A24" s="386"/>
      <c r="B24" s="355" t="s">
        <v>195</v>
      </c>
      <c r="C24" s="355" t="s">
        <v>196</v>
      </c>
      <c r="D24" s="355"/>
      <c r="E24" s="382"/>
      <c r="F24" s="382"/>
      <c r="G24" s="458" t="s">
        <v>680</v>
      </c>
      <c r="H24" s="18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78">
        <f t="shared" si="6"/>
        <v>0</v>
      </c>
      <c r="AD24" s="78">
        <f t="shared" si="7"/>
        <v>0</v>
      </c>
      <c r="AE24" s="122"/>
      <c r="AF24" s="123"/>
      <c r="AG24" s="123"/>
    </row>
    <row r="25" spans="1:33" x14ac:dyDescent="0.2">
      <c r="A25" s="384"/>
      <c r="B25" s="385" t="s">
        <v>197</v>
      </c>
      <c r="C25" s="385" t="s">
        <v>198</v>
      </c>
      <c r="D25" s="385"/>
      <c r="E25" s="383"/>
      <c r="F25" s="382"/>
      <c r="G25" s="458" t="s">
        <v>681</v>
      </c>
      <c r="H25" s="18"/>
      <c r="I25" s="78">
        <f t="shared" ref="I25:AB25" si="8">SUM(I26,I27)</f>
        <v>0</v>
      </c>
      <c r="J25" s="78">
        <f t="shared" si="8"/>
        <v>0</v>
      </c>
      <c r="K25" s="78">
        <f t="shared" si="8"/>
        <v>0</v>
      </c>
      <c r="L25" s="78">
        <f t="shared" si="8"/>
        <v>0</v>
      </c>
      <c r="M25" s="78">
        <f t="shared" si="8"/>
        <v>0</v>
      </c>
      <c r="N25" s="78">
        <f t="shared" si="8"/>
        <v>0</v>
      </c>
      <c r="O25" s="78">
        <f t="shared" si="8"/>
        <v>0</v>
      </c>
      <c r="P25" s="78">
        <f t="shared" si="8"/>
        <v>0</v>
      </c>
      <c r="Q25" s="78">
        <f t="shared" si="8"/>
        <v>0</v>
      </c>
      <c r="R25" s="78">
        <f t="shared" si="8"/>
        <v>0</v>
      </c>
      <c r="S25" s="78">
        <f t="shared" si="8"/>
        <v>0</v>
      </c>
      <c r="T25" s="78">
        <f t="shared" si="8"/>
        <v>0</v>
      </c>
      <c r="U25" s="78">
        <f t="shared" si="8"/>
        <v>0</v>
      </c>
      <c r="V25" s="78">
        <f t="shared" si="8"/>
        <v>0</v>
      </c>
      <c r="W25" s="78">
        <f t="shared" si="8"/>
        <v>0</v>
      </c>
      <c r="X25" s="78">
        <f t="shared" si="8"/>
        <v>0</v>
      </c>
      <c r="Y25" s="78">
        <f t="shared" si="8"/>
        <v>0</v>
      </c>
      <c r="Z25" s="78">
        <f t="shared" si="8"/>
        <v>0</v>
      </c>
      <c r="AA25" s="78">
        <f t="shared" si="8"/>
        <v>0</v>
      </c>
      <c r="AB25" s="78">
        <f t="shared" si="8"/>
        <v>0</v>
      </c>
      <c r="AC25" s="78">
        <f t="shared" si="6"/>
        <v>0</v>
      </c>
      <c r="AD25" s="78">
        <f t="shared" si="7"/>
        <v>0</v>
      </c>
      <c r="AE25" s="122"/>
      <c r="AF25" s="123"/>
      <c r="AG25" s="123"/>
    </row>
    <row r="26" spans="1:33" x14ac:dyDescent="0.2">
      <c r="A26" s="386"/>
      <c r="B26" s="355"/>
      <c r="C26" s="387" t="s">
        <v>19</v>
      </c>
      <c r="D26" s="355" t="s">
        <v>199</v>
      </c>
      <c r="E26" s="382"/>
      <c r="F26" s="382"/>
      <c r="G26" s="458" t="s">
        <v>682</v>
      </c>
      <c r="H26" s="18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78">
        <f t="shared" si="6"/>
        <v>0</v>
      </c>
      <c r="AD26" s="78">
        <f t="shared" si="7"/>
        <v>0</v>
      </c>
      <c r="AE26" s="122"/>
      <c r="AF26" s="123"/>
      <c r="AG26" s="123"/>
    </row>
    <row r="27" spans="1:33" x14ac:dyDescent="0.2">
      <c r="A27" s="384"/>
      <c r="B27" s="385"/>
      <c r="C27" s="390" t="s">
        <v>21</v>
      </c>
      <c r="D27" s="391" t="s">
        <v>200</v>
      </c>
      <c r="E27" s="383"/>
      <c r="F27" s="382"/>
      <c r="G27" s="458" t="s">
        <v>683</v>
      </c>
      <c r="H27" s="18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78">
        <f t="shared" si="6"/>
        <v>0</v>
      </c>
      <c r="AD27" s="78">
        <f t="shared" si="7"/>
        <v>0</v>
      </c>
      <c r="AE27" s="122"/>
      <c r="AF27" s="123"/>
      <c r="AG27" s="123"/>
    </row>
    <row r="28" spans="1:33" x14ac:dyDescent="0.2">
      <c r="A28" s="386"/>
      <c r="B28" s="355" t="s">
        <v>201</v>
      </c>
      <c r="C28" s="355" t="s">
        <v>202</v>
      </c>
      <c r="D28" s="355"/>
      <c r="E28" s="382"/>
      <c r="F28" s="382"/>
      <c r="G28" s="458" t="s">
        <v>684</v>
      </c>
      <c r="H28" s="18"/>
      <c r="I28" s="78">
        <f t="shared" ref="I28:AB28" si="9">SUM(I29,I32)</f>
        <v>0</v>
      </c>
      <c r="J28" s="78">
        <f t="shared" si="9"/>
        <v>0</v>
      </c>
      <c r="K28" s="78">
        <f t="shared" si="9"/>
        <v>0</v>
      </c>
      <c r="L28" s="78">
        <f t="shared" si="9"/>
        <v>0</v>
      </c>
      <c r="M28" s="78">
        <f t="shared" si="9"/>
        <v>0</v>
      </c>
      <c r="N28" s="78">
        <f t="shared" si="9"/>
        <v>0</v>
      </c>
      <c r="O28" s="78">
        <f t="shared" si="9"/>
        <v>0</v>
      </c>
      <c r="P28" s="78">
        <f t="shared" si="9"/>
        <v>0</v>
      </c>
      <c r="Q28" s="78">
        <f t="shared" si="9"/>
        <v>0</v>
      </c>
      <c r="R28" s="78">
        <f t="shared" si="9"/>
        <v>0</v>
      </c>
      <c r="S28" s="78">
        <f t="shared" si="9"/>
        <v>0</v>
      </c>
      <c r="T28" s="78">
        <f t="shared" si="9"/>
        <v>0</v>
      </c>
      <c r="U28" s="78">
        <f t="shared" si="9"/>
        <v>0</v>
      </c>
      <c r="V28" s="78">
        <f t="shared" si="9"/>
        <v>0</v>
      </c>
      <c r="W28" s="78">
        <f t="shared" si="9"/>
        <v>0</v>
      </c>
      <c r="X28" s="78">
        <f t="shared" si="9"/>
        <v>0</v>
      </c>
      <c r="Y28" s="78">
        <f t="shared" si="9"/>
        <v>0</v>
      </c>
      <c r="Z28" s="78">
        <f t="shared" si="9"/>
        <v>0</v>
      </c>
      <c r="AA28" s="78">
        <f t="shared" si="9"/>
        <v>0</v>
      </c>
      <c r="AB28" s="78">
        <f t="shared" si="9"/>
        <v>0</v>
      </c>
      <c r="AC28" s="78">
        <f t="shared" si="6"/>
        <v>0</v>
      </c>
      <c r="AD28" s="78">
        <f t="shared" si="7"/>
        <v>0</v>
      </c>
      <c r="AE28" s="122"/>
      <c r="AF28" s="123"/>
      <c r="AG28" s="123"/>
    </row>
    <row r="29" spans="1:33" x14ac:dyDescent="0.2">
      <c r="A29" s="386"/>
      <c r="B29" s="355"/>
      <c r="C29" s="387" t="s">
        <v>19</v>
      </c>
      <c r="D29" s="355" t="s">
        <v>203</v>
      </c>
      <c r="E29" s="383"/>
      <c r="F29" s="382"/>
      <c r="G29" s="458" t="s">
        <v>685</v>
      </c>
      <c r="H29" s="18"/>
      <c r="I29" s="78">
        <f>I30+I31</f>
        <v>0</v>
      </c>
      <c r="J29" s="78">
        <f t="shared" ref="J29:AB29" si="10">J30+J31</f>
        <v>0</v>
      </c>
      <c r="K29" s="78">
        <f t="shared" si="10"/>
        <v>0</v>
      </c>
      <c r="L29" s="78">
        <f t="shared" si="10"/>
        <v>0</v>
      </c>
      <c r="M29" s="78">
        <f t="shared" si="10"/>
        <v>0</v>
      </c>
      <c r="N29" s="78">
        <f t="shared" si="10"/>
        <v>0</v>
      </c>
      <c r="O29" s="78">
        <f t="shared" si="10"/>
        <v>0</v>
      </c>
      <c r="P29" s="78">
        <f t="shared" si="10"/>
        <v>0</v>
      </c>
      <c r="Q29" s="78">
        <f t="shared" si="10"/>
        <v>0</v>
      </c>
      <c r="R29" s="78">
        <f t="shared" si="10"/>
        <v>0</v>
      </c>
      <c r="S29" s="78">
        <f t="shared" si="10"/>
        <v>0</v>
      </c>
      <c r="T29" s="78">
        <f t="shared" si="10"/>
        <v>0</v>
      </c>
      <c r="U29" s="78">
        <f t="shared" si="10"/>
        <v>0</v>
      </c>
      <c r="V29" s="78">
        <f t="shared" si="10"/>
        <v>0</v>
      </c>
      <c r="W29" s="78">
        <f t="shared" si="10"/>
        <v>0</v>
      </c>
      <c r="X29" s="78">
        <f t="shared" si="10"/>
        <v>0</v>
      </c>
      <c r="Y29" s="78">
        <f t="shared" si="10"/>
        <v>0</v>
      </c>
      <c r="Z29" s="78">
        <f t="shared" si="10"/>
        <v>0</v>
      </c>
      <c r="AA29" s="78">
        <f t="shared" si="10"/>
        <v>0</v>
      </c>
      <c r="AB29" s="78">
        <f t="shared" si="10"/>
        <v>0</v>
      </c>
      <c r="AC29" s="78">
        <f t="shared" si="6"/>
        <v>0</v>
      </c>
      <c r="AD29" s="78">
        <f t="shared" si="7"/>
        <v>0</v>
      </c>
      <c r="AE29" s="122"/>
      <c r="AF29" s="123"/>
      <c r="AG29" s="123"/>
    </row>
    <row r="30" spans="1:33" x14ac:dyDescent="0.2">
      <c r="A30" s="386"/>
      <c r="B30" s="355"/>
      <c r="C30" s="387"/>
      <c r="D30" s="392" t="s">
        <v>11</v>
      </c>
      <c r="E30" s="355" t="s">
        <v>792</v>
      </c>
      <c r="F30" s="383"/>
      <c r="G30" s="458" t="s">
        <v>832</v>
      </c>
      <c r="H30" s="18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78">
        <f t="shared" si="6"/>
        <v>0</v>
      </c>
      <c r="AD30" s="78">
        <f t="shared" si="7"/>
        <v>0</v>
      </c>
      <c r="AE30" s="122"/>
      <c r="AF30" s="123"/>
      <c r="AG30" s="123"/>
    </row>
    <row r="31" spans="1:33" x14ac:dyDescent="0.2">
      <c r="A31" s="384"/>
      <c r="B31" s="385"/>
      <c r="C31" s="390"/>
      <c r="D31" s="355" t="s">
        <v>15</v>
      </c>
      <c r="E31" s="355" t="s">
        <v>793</v>
      </c>
      <c r="F31" s="383"/>
      <c r="G31" s="458" t="s">
        <v>833</v>
      </c>
      <c r="H31" s="18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78">
        <f t="shared" si="6"/>
        <v>0</v>
      </c>
      <c r="AD31" s="78">
        <f t="shared" si="7"/>
        <v>0</v>
      </c>
      <c r="AE31" s="122"/>
      <c r="AF31" s="123"/>
      <c r="AG31" s="123"/>
    </row>
    <row r="32" spans="1:33" x14ac:dyDescent="0.2">
      <c r="A32" s="386"/>
      <c r="B32" s="355"/>
      <c r="C32" s="387" t="s">
        <v>21</v>
      </c>
      <c r="D32" s="355" t="s">
        <v>194</v>
      </c>
      <c r="E32" s="382"/>
      <c r="F32" s="382"/>
      <c r="G32" s="458" t="s">
        <v>686</v>
      </c>
      <c r="H32" s="18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78">
        <f t="shared" si="6"/>
        <v>0</v>
      </c>
      <c r="AD32" s="78">
        <f t="shared" si="7"/>
        <v>0</v>
      </c>
      <c r="AE32" s="122"/>
      <c r="AF32" s="123"/>
      <c r="AG32" s="123"/>
    </row>
    <row r="33" spans="1:255" x14ac:dyDescent="0.2">
      <c r="A33" s="393" t="s">
        <v>33</v>
      </c>
      <c r="B33" s="394" t="s">
        <v>204</v>
      </c>
      <c r="C33" s="385"/>
      <c r="D33" s="385"/>
      <c r="E33" s="383"/>
      <c r="F33" s="382"/>
      <c r="G33" s="458" t="s">
        <v>687</v>
      </c>
      <c r="H33" s="18"/>
      <c r="I33" s="77">
        <f t="shared" ref="I33:AB33" si="11">SUM(I34,I35,I36,I39)</f>
        <v>0</v>
      </c>
      <c r="J33" s="77">
        <f t="shared" si="11"/>
        <v>0</v>
      </c>
      <c r="K33" s="77">
        <f t="shared" si="11"/>
        <v>0</v>
      </c>
      <c r="L33" s="77">
        <f t="shared" si="11"/>
        <v>0</v>
      </c>
      <c r="M33" s="77">
        <f t="shared" si="11"/>
        <v>0</v>
      </c>
      <c r="N33" s="77">
        <f t="shared" si="11"/>
        <v>0</v>
      </c>
      <c r="O33" s="77">
        <f t="shared" si="11"/>
        <v>0</v>
      </c>
      <c r="P33" s="77">
        <f t="shared" si="11"/>
        <v>0</v>
      </c>
      <c r="Q33" s="77">
        <f t="shared" si="11"/>
        <v>0</v>
      </c>
      <c r="R33" s="77">
        <f t="shared" si="11"/>
        <v>0</v>
      </c>
      <c r="S33" s="77">
        <f t="shared" si="11"/>
        <v>0</v>
      </c>
      <c r="T33" s="77">
        <f t="shared" si="11"/>
        <v>0</v>
      </c>
      <c r="U33" s="77">
        <f t="shared" si="11"/>
        <v>0</v>
      </c>
      <c r="V33" s="77">
        <f t="shared" si="11"/>
        <v>0</v>
      </c>
      <c r="W33" s="77">
        <f t="shared" si="11"/>
        <v>0</v>
      </c>
      <c r="X33" s="77">
        <f t="shared" si="11"/>
        <v>0</v>
      </c>
      <c r="Y33" s="77">
        <f t="shared" si="11"/>
        <v>0</v>
      </c>
      <c r="Z33" s="77">
        <f t="shared" si="11"/>
        <v>0</v>
      </c>
      <c r="AA33" s="77">
        <f t="shared" si="11"/>
        <v>0</v>
      </c>
      <c r="AB33" s="77">
        <f t="shared" si="11"/>
        <v>0</v>
      </c>
      <c r="AC33" s="78">
        <f t="shared" si="6"/>
        <v>0</v>
      </c>
      <c r="AD33" s="78">
        <f t="shared" si="7"/>
        <v>0</v>
      </c>
      <c r="AE33" s="122"/>
      <c r="AF33" s="123"/>
      <c r="AG33" s="123"/>
    </row>
    <row r="34" spans="1:255" x14ac:dyDescent="0.2">
      <c r="A34" s="386"/>
      <c r="B34" s="355" t="s">
        <v>188</v>
      </c>
      <c r="C34" s="355" t="s">
        <v>205</v>
      </c>
      <c r="D34" s="355"/>
      <c r="E34" s="382"/>
      <c r="F34" s="382"/>
      <c r="G34" s="458" t="s">
        <v>688</v>
      </c>
      <c r="H34" s="18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78">
        <f t="shared" si="6"/>
        <v>0</v>
      </c>
      <c r="AD34" s="78">
        <f t="shared" si="7"/>
        <v>0</v>
      </c>
      <c r="AE34" s="122"/>
      <c r="AF34" s="123"/>
      <c r="AG34" s="123"/>
    </row>
    <row r="35" spans="1:255" x14ac:dyDescent="0.2">
      <c r="A35" s="384"/>
      <c r="B35" s="385" t="s">
        <v>195</v>
      </c>
      <c r="C35" s="385" t="s">
        <v>306</v>
      </c>
      <c r="D35" s="385"/>
      <c r="E35" s="383"/>
      <c r="F35" s="382"/>
      <c r="G35" s="458" t="s">
        <v>689</v>
      </c>
      <c r="H35" s="18"/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78">
        <f t="shared" si="6"/>
        <v>0</v>
      </c>
      <c r="AD35" s="78">
        <f t="shared" si="7"/>
        <v>0</v>
      </c>
      <c r="AE35" s="122"/>
      <c r="AF35" s="123"/>
      <c r="AG35" s="123"/>
    </row>
    <row r="36" spans="1:255" x14ac:dyDescent="0.2">
      <c r="A36" s="386"/>
      <c r="B36" s="355" t="s">
        <v>197</v>
      </c>
      <c r="C36" s="355" t="s">
        <v>198</v>
      </c>
      <c r="D36" s="355"/>
      <c r="E36" s="382"/>
      <c r="F36" s="382"/>
      <c r="G36" s="458" t="s">
        <v>690</v>
      </c>
      <c r="H36" s="18"/>
      <c r="I36" s="77">
        <f t="shared" ref="I36:AB36" si="12">SUM(I37,I38)</f>
        <v>0</v>
      </c>
      <c r="J36" s="77">
        <f t="shared" si="12"/>
        <v>0</v>
      </c>
      <c r="K36" s="77">
        <f t="shared" si="12"/>
        <v>0</v>
      </c>
      <c r="L36" s="77">
        <f t="shared" si="12"/>
        <v>0</v>
      </c>
      <c r="M36" s="77">
        <f t="shared" si="12"/>
        <v>0</v>
      </c>
      <c r="N36" s="77">
        <f t="shared" si="12"/>
        <v>0</v>
      </c>
      <c r="O36" s="77">
        <f t="shared" si="12"/>
        <v>0</v>
      </c>
      <c r="P36" s="77">
        <f t="shared" si="12"/>
        <v>0</v>
      </c>
      <c r="Q36" s="77">
        <f t="shared" si="12"/>
        <v>0</v>
      </c>
      <c r="R36" s="77">
        <f t="shared" si="12"/>
        <v>0</v>
      </c>
      <c r="S36" s="77">
        <f t="shared" si="12"/>
        <v>0</v>
      </c>
      <c r="T36" s="77">
        <f t="shared" si="12"/>
        <v>0</v>
      </c>
      <c r="U36" s="77">
        <f t="shared" si="12"/>
        <v>0</v>
      </c>
      <c r="V36" s="77">
        <f t="shared" si="12"/>
        <v>0</v>
      </c>
      <c r="W36" s="77">
        <f t="shared" si="12"/>
        <v>0</v>
      </c>
      <c r="X36" s="77">
        <f t="shared" si="12"/>
        <v>0</v>
      </c>
      <c r="Y36" s="77">
        <f t="shared" si="12"/>
        <v>0</v>
      </c>
      <c r="Z36" s="77">
        <f t="shared" si="12"/>
        <v>0</v>
      </c>
      <c r="AA36" s="77">
        <f t="shared" si="12"/>
        <v>0</v>
      </c>
      <c r="AB36" s="77">
        <f t="shared" si="12"/>
        <v>0</v>
      </c>
      <c r="AC36" s="78">
        <f t="shared" si="6"/>
        <v>0</v>
      </c>
      <c r="AD36" s="78">
        <f t="shared" si="7"/>
        <v>0</v>
      </c>
      <c r="AE36" s="122"/>
      <c r="AF36" s="123"/>
      <c r="AG36" s="123"/>
    </row>
    <row r="37" spans="1:255" x14ac:dyDescent="0.2">
      <c r="A37" s="384"/>
      <c r="B37" s="385"/>
      <c r="C37" s="390" t="s">
        <v>19</v>
      </c>
      <c r="D37" s="385" t="s">
        <v>207</v>
      </c>
      <c r="E37" s="383"/>
      <c r="F37" s="382"/>
      <c r="G37" s="458" t="s">
        <v>691</v>
      </c>
      <c r="H37" s="18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2"/>
      <c r="AA37" s="62"/>
      <c r="AB37" s="62"/>
      <c r="AC37" s="78">
        <f t="shared" si="6"/>
        <v>0</v>
      </c>
      <c r="AD37" s="78">
        <f t="shared" si="7"/>
        <v>0</v>
      </c>
      <c r="AE37" s="122"/>
      <c r="AF37" s="123"/>
      <c r="AG37" s="123"/>
    </row>
    <row r="38" spans="1:255" x14ac:dyDescent="0.2">
      <c r="A38" s="386"/>
      <c r="B38" s="355"/>
      <c r="C38" s="387" t="s">
        <v>21</v>
      </c>
      <c r="D38" s="395" t="s">
        <v>200</v>
      </c>
      <c r="E38" s="382"/>
      <c r="F38" s="382"/>
      <c r="G38" s="458" t="s">
        <v>692</v>
      </c>
      <c r="H38" s="18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78">
        <f t="shared" si="6"/>
        <v>0</v>
      </c>
      <c r="AD38" s="78">
        <f t="shared" si="7"/>
        <v>0</v>
      </c>
      <c r="AE38" s="122"/>
      <c r="AF38" s="123"/>
      <c r="AG38" s="123"/>
    </row>
    <row r="39" spans="1:255" s="16" customFormat="1" x14ac:dyDescent="0.2">
      <c r="A39" s="384"/>
      <c r="B39" s="385" t="s">
        <v>201</v>
      </c>
      <c r="C39" s="385" t="s">
        <v>208</v>
      </c>
      <c r="D39" s="385"/>
      <c r="E39" s="383"/>
      <c r="F39" s="382"/>
      <c r="G39" s="458" t="s">
        <v>693</v>
      </c>
      <c r="H39" s="18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78">
        <f t="shared" si="6"/>
        <v>0</v>
      </c>
      <c r="AD39" s="78">
        <f t="shared" si="7"/>
        <v>0</v>
      </c>
      <c r="AE39" s="34"/>
      <c r="AF39" s="132"/>
      <c r="AG39" s="132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</row>
    <row r="40" spans="1:255" s="16" customFormat="1" x14ac:dyDescent="0.2">
      <c r="A40" s="397" t="s">
        <v>48</v>
      </c>
      <c r="B40" s="381" t="s">
        <v>209</v>
      </c>
      <c r="C40" s="395"/>
      <c r="D40" s="355"/>
      <c r="E40" s="382"/>
      <c r="F40" s="382"/>
      <c r="G40" s="458" t="s">
        <v>694</v>
      </c>
      <c r="H40" s="18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62"/>
      <c r="Y40" s="62"/>
      <c r="Z40" s="62"/>
      <c r="AA40" s="62"/>
      <c r="AB40" s="62"/>
      <c r="AC40" s="78">
        <f t="shared" si="6"/>
        <v>0</v>
      </c>
      <c r="AD40" s="78">
        <f t="shared" si="7"/>
        <v>0</v>
      </c>
      <c r="AE40" s="141"/>
      <c r="AF40" s="142"/>
      <c r="AG40" s="142"/>
    </row>
    <row r="41" spans="1:255" s="19" customFormat="1" x14ac:dyDescent="0.2">
      <c r="A41" s="446" t="s">
        <v>925</v>
      </c>
      <c r="B41" s="447"/>
      <c r="C41" s="447"/>
      <c r="D41" s="447"/>
      <c r="E41" s="448"/>
      <c r="F41" s="433"/>
      <c r="G41" s="458" t="s">
        <v>695</v>
      </c>
      <c r="H41" s="18"/>
      <c r="I41" s="77">
        <f t="shared" ref="I41:AB41" si="13">SUM(I11,I33,I40)</f>
        <v>0</v>
      </c>
      <c r="J41" s="77">
        <f t="shared" si="13"/>
        <v>0</v>
      </c>
      <c r="K41" s="77">
        <f t="shared" si="13"/>
        <v>0</v>
      </c>
      <c r="L41" s="77">
        <f t="shared" si="13"/>
        <v>0</v>
      </c>
      <c r="M41" s="77">
        <f t="shared" si="13"/>
        <v>0</v>
      </c>
      <c r="N41" s="77">
        <f t="shared" si="13"/>
        <v>0</v>
      </c>
      <c r="O41" s="77">
        <f t="shared" si="13"/>
        <v>0</v>
      </c>
      <c r="P41" s="77">
        <f t="shared" si="13"/>
        <v>0</v>
      </c>
      <c r="Q41" s="77">
        <f t="shared" si="13"/>
        <v>0</v>
      </c>
      <c r="R41" s="77">
        <f t="shared" si="13"/>
        <v>0</v>
      </c>
      <c r="S41" s="77">
        <f t="shared" si="13"/>
        <v>0</v>
      </c>
      <c r="T41" s="77">
        <f t="shared" si="13"/>
        <v>0</v>
      </c>
      <c r="U41" s="77">
        <f t="shared" si="13"/>
        <v>0</v>
      </c>
      <c r="V41" s="77">
        <f t="shared" si="13"/>
        <v>0</v>
      </c>
      <c r="W41" s="77">
        <f t="shared" si="13"/>
        <v>0</v>
      </c>
      <c r="X41" s="77">
        <f t="shared" si="13"/>
        <v>0</v>
      </c>
      <c r="Y41" s="77">
        <f t="shared" si="13"/>
        <v>0</v>
      </c>
      <c r="Z41" s="77">
        <f t="shared" si="13"/>
        <v>0</v>
      </c>
      <c r="AA41" s="77">
        <f t="shared" si="13"/>
        <v>0</v>
      </c>
      <c r="AB41" s="77">
        <f t="shared" si="13"/>
        <v>0</v>
      </c>
      <c r="AC41" s="78">
        <f t="shared" si="6"/>
        <v>0</v>
      </c>
      <c r="AD41" s="78">
        <f t="shared" si="7"/>
        <v>0</v>
      </c>
      <c r="AE41" s="133"/>
      <c r="AF41" s="134"/>
      <c r="AG41" s="134"/>
    </row>
    <row r="42" spans="1:255" s="154" customFormat="1" x14ac:dyDescent="0.2">
      <c r="A42" s="113"/>
      <c r="B42" s="14"/>
      <c r="C42" s="131"/>
      <c r="D42" s="39"/>
      <c r="E42" s="136"/>
      <c r="F42" s="238"/>
      <c r="G42" s="52" t="s">
        <v>184</v>
      </c>
      <c r="H42" s="48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2"/>
      <c r="AF42" s="236"/>
      <c r="AG42" s="236"/>
    </row>
    <row r="43" spans="1:255" s="154" customFormat="1" x14ac:dyDescent="0.2">
      <c r="A43" s="24"/>
      <c r="B43" s="39"/>
      <c r="C43" s="607"/>
      <c r="D43" s="607"/>
      <c r="E43" s="214"/>
      <c r="F43" s="214"/>
      <c r="G43" s="40"/>
      <c r="H43" s="40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236"/>
      <c r="AG43" s="236"/>
    </row>
    <row r="44" spans="1:255" s="154" customFormat="1" x14ac:dyDescent="0.2">
      <c r="A44" s="24"/>
      <c r="B44" s="39"/>
      <c r="C44" s="135"/>
      <c r="D44" s="489"/>
      <c r="E44" s="489"/>
      <c r="F44" s="489"/>
      <c r="G44" s="40"/>
      <c r="H44" s="40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236"/>
      <c r="AG44" s="236"/>
    </row>
    <row r="45" spans="1:255" s="154" customFormat="1" x14ac:dyDescent="0.2">
      <c r="A45" s="24"/>
      <c r="B45" s="39"/>
      <c r="C45" s="135"/>
      <c r="D45" s="489"/>
      <c r="E45" s="489"/>
      <c r="F45" s="489"/>
      <c r="G45" s="40"/>
      <c r="H45" s="40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32"/>
      <c r="AF45" s="236"/>
      <c r="AG45" s="236"/>
    </row>
    <row r="46" spans="1:255" s="154" customFormat="1" x14ac:dyDescent="0.2">
      <c r="A46" s="24"/>
      <c r="B46" s="39"/>
      <c r="C46" s="131"/>
      <c r="D46" s="39"/>
      <c r="E46" s="39"/>
      <c r="F46" s="39"/>
      <c r="G46" s="40"/>
      <c r="H46" s="40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32"/>
      <c r="AF46" s="236"/>
      <c r="AG46" s="236"/>
    </row>
    <row r="47" spans="1:255" s="154" customFormat="1" x14ac:dyDescent="0.2">
      <c r="A47" s="24"/>
      <c r="B47" s="39"/>
      <c r="C47" s="150"/>
      <c r="D47" s="39"/>
      <c r="E47" s="39"/>
      <c r="F47" s="39"/>
      <c r="G47" s="40"/>
      <c r="H47" s="40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  <c r="AF47" s="236"/>
      <c r="AG47" s="236"/>
    </row>
    <row r="48" spans="1:255" s="154" customFormat="1" x14ac:dyDescent="0.2">
      <c r="A48" s="24"/>
      <c r="B48" s="39"/>
      <c r="C48" s="140"/>
      <c r="D48" s="39"/>
      <c r="E48" s="39"/>
      <c r="F48" s="39"/>
      <c r="G48" s="40"/>
      <c r="H48" s="40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236"/>
      <c r="AG48" s="236"/>
    </row>
    <row r="49" spans="1:33" s="154" customFormat="1" x14ac:dyDescent="0.2">
      <c r="A49" s="24"/>
      <c r="B49" s="39"/>
      <c r="C49" s="131"/>
      <c r="D49" s="39"/>
      <c r="E49" s="39"/>
      <c r="F49" s="39"/>
      <c r="G49" s="40"/>
      <c r="H49" s="40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32"/>
      <c r="AF49" s="236"/>
      <c r="AG49" s="236"/>
    </row>
    <row r="50" spans="1:33" s="154" customFormat="1" x14ac:dyDescent="0.2">
      <c r="A50" s="24"/>
      <c r="B50" s="39"/>
      <c r="C50" s="135"/>
      <c r="D50" s="489"/>
      <c r="E50" s="489"/>
      <c r="F50" s="214"/>
      <c r="G50" s="40"/>
      <c r="H50" s="40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236"/>
      <c r="AG50" s="236"/>
    </row>
    <row r="51" spans="1:33" s="154" customFormat="1" x14ac:dyDescent="0.2">
      <c r="A51" s="24"/>
      <c r="B51" s="39"/>
      <c r="C51" s="135"/>
      <c r="D51" s="489"/>
      <c r="E51" s="489"/>
      <c r="F51" s="489"/>
      <c r="G51" s="40"/>
      <c r="H51" s="40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32"/>
      <c r="AF51" s="236"/>
      <c r="AG51" s="236"/>
    </row>
    <row r="52" spans="1:33" s="154" customFormat="1" x14ac:dyDescent="0.2">
      <c r="A52" s="24"/>
      <c r="B52" s="14"/>
      <c r="C52" s="131"/>
      <c r="D52" s="39"/>
      <c r="E52" s="39"/>
      <c r="F52" s="39"/>
      <c r="G52" s="40"/>
      <c r="H52" s="40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236"/>
      <c r="AG52" s="236"/>
    </row>
    <row r="53" spans="1:33" s="154" customFormat="1" x14ac:dyDescent="0.2">
      <c r="A53" s="24"/>
      <c r="B53" s="39"/>
      <c r="C53" s="606"/>
      <c r="D53" s="606"/>
      <c r="E53" s="39"/>
      <c r="F53" s="39"/>
      <c r="G53" s="40"/>
      <c r="H53" s="40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236"/>
      <c r="AG53" s="236"/>
    </row>
    <row r="54" spans="1:33" s="154" customFormat="1" x14ac:dyDescent="0.2">
      <c r="A54" s="24"/>
      <c r="B54" s="39"/>
      <c r="C54" s="131"/>
      <c r="D54" s="131"/>
      <c r="E54" s="39"/>
      <c r="F54" s="39"/>
      <c r="G54" s="40"/>
      <c r="H54" s="40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32"/>
      <c r="AF54" s="236"/>
      <c r="AG54" s="236"/>
    </row>
    <row r="55" spans="1:33" s="154" customFormat="1" x14ac:dyDescent="0.2">
      <c r="A55" s="24"/>
      <c r="B55" s="39"/>
      <c r="C55" s="39"/>
      <c r="D55" s="39"/>
      <c r="E55" s="39"/>
      <c r="F55" s="39"/>
      <c r="G55" s="40"/>
      <c r="H55" s="40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  <c r="AF55" s="236"/>
      <c r="AG55" s="236"/>
    </row>
    <row r="56" spans="1:33" s="154" customFormat="1" x14ac:dyDescent="0.2">
      <c r="A56" s="166"/>
      <c r="B56" s="14"/>
      <c r="C56" s="131"/>
      <c r="D56" s="39"/>
      <c r="E56" s="39"/>
      <c r="F56" s="39"/>
      <c r="G56" s="40"/>
      <c r="H56" s="40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32"/>
      <c r="AF56" s="236"/>
      <c r="AG56" s="236"/>
    </row>
    <row r="57" spans="1:33" s="21" customFormat="1" x14ac:dyDescent="0.2">
      <c r="A57" s="166"/>
      <c r="B57" s="39"/>
      <c r="C57" s="39"/>
      <c r="D57" s="39"/>
      <c r="E57" s="39"/>
      <c r="F57" s="39"/>
      <c r="G57" s="20"/>
      <c r="H57" s="20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4"/>
      <c r="T57" s="34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34"/>
      <c r="AF57" s="132"/>
      <c r="AG57" s="132"/>
    </row>
    <row r="58" spans="1:33" s="21" customFormat="1" x14ac:dyDescent="0.2">
      <c r="A58" s="166"/>
      <c r="B58" s="14"/>
      <c r="C58" s="39"/>
      <c r="D58" s="39"/>
      <c r="E58" s="39"/>
      <c r="F58" s="39"/>
      <c r="G58" s="20"/>
      <c r="H58" s="20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4"/>
      <c r="T58" s="34"/>
      <c r="U58" s="32"/>
      <c r="V58" s="32"/>
      <c r="W58" s="32"/>
      <c r="X58" s="32"/>
      <c r="Y58" s="32"/>
      <c r="Z58" s="32"/>
      <c r="AA58" s="32"/>
      <c r="AB58" s="32"/>
      <c r="AC58" s="32"/>
      <c r="AD58" s="32"/>
      <c r="AE58" s="34"/>
      <c r="AF58" s="132"/>
      <c r="AG58" s="132"/>
    </row>
    <row r="59" spans="1:33" s="21" customFormat="1" x14ac:dyDescent="0.2">
      <c r="A59" s="24"/>
      <c r="B59" s="39"/>
      <c r="C59" s="39"/>
      <c r="D59" s="39"/>
      <c r="E59" s="39"/>
      <c r="F59" s="39"/>
      <c r="G59" s="20"/>
      <c r="H59" s="20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4"/>
      <c r="T59" s="34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4"/>
      <c r="AF59" s="132"/>
      <c r="AG59" s="132"/>
    </row>
    <row r="60" spans="1:33" s="21" customFormat="1" x14ac:dyDescent="0.2">
      <c r="A60" s="166"/>
      <c r="B60" s="39"/>
      <c r="C60" s="39"/>
      <c r="D60" s="39"/>
      <c r="E60" s="39"/>
      <c r="F60" s="39"/>
      <c r="G60" s="20"/>
      <c r="H60" s="20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4"/>
      <c r="T60" s="34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34"/>
      <c r="AF60" s="132"/>
      <c r="AG60" s="132"/>
    </row>
    <row r="61" spans="1:33" s="21" customFormat="1" x14ac:dyDescent="0.2">
      <c r="A61" s="166"/>
      <c r="B61" s="39"/>
      <c r="C61" s="39"/>
      <c r="D61" s="39"/>
      <c r="E61" s="39"/>
      <c r="F61" s="39"/>
      <c r="G61" s="20"/>
      <c r="H61" s="20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4"/>
      <c r="T61" s="34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4"/>
      <c r="AF61" s="132"/>
      <c r="AG61" s="132"/>
    </row>
    <row r="62" spans="1:33" s="21" customFormat="1" x14ac:dyDescent="0.2">
      <c r="A62" s="166"/>
      <c r="B62" s="39"/>
      <c r="C62" s="39"/>
      <c r="D62" s="39"/>
      <c r="E62" s="39"/>
      <c r="F62" s="39"/>
      <c r="G62" s="20"/>
      <c r="H62" s="20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4"/>
      <c r="T62" s="34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4"/>
      <c r="AF62" s="132"/>
      <c r="AG62" s="132"/>
    </row>
    <row r="63" spans="1:33" s="21" customFormat="1" x14ac:dyDescent="0.2">
      <c r="A63" s="166"/>
      <c r="B63" s="39"/>
      <c r="C63" s="39"/>
      <c r="D63" s="39"/>
      <c r="E63" s="39"/>
      <c r="F63" s="39"/>
      <c r="G63" s="20"/>
      <c r="H63" s="20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4"/>
      <c r="T63" s="34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34"/>
      <c r="AF63" s="132"/>
      <c r="AG63" s="132"/>
    </row>
    <row r="64" spans="1:33" s="21" customFormat="1" x14ac:dyDescent="0.2">
      <c r="A64" s="151"/>
      <c r="B64" s="212"/>
      <c r="C64" s="212"/>
      <c r="D64" s="212"/>
      <c r="E64" s="212"/>
      <c r="F64" s="212"/>
      <c r="G64" s="20"/>
      <c r="H64" s="20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4"/>
      <c r="T64" s="34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34"/>
      <c r="AF64" s="132"/>
      <c r="AG64" s="132"/>
    </row>
    <row r="65" spans="1:33" s="21" customFormat="1" x14ac:dyDescent="0.2">
      <c r="A65" s="151"/>
      <c r="B65" s="212"/>
      <c r="C65" s="212"/>
      <c r="D65" s="212"/>
      <c r="E65" s="212"/>
      <c r="F65" s="212"/>
      <c r="G65" s="20"/>
      <c r="H65" s="20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4"/>
      <c r="T65" s="34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4"/>
      <c r="AF65" s="132"/>
      <c r="AG65" s="132"/>
    </row>
    <row r="66" spans="1:33" s="21" customFormat="1" x14ac:dyDescent="0.2">
      <c r="A66" s="151"/>
      <c r="B66" s="212"/>
      <c r="C66" s="212"/>
      <c r="D66" s="144"/>
      <c r="E66" s="144"/>
      <c r="F66" s="144"/>
      <c r="G66" s="20"/>
      <c r="H66" s="20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4"/>
      <c r="T66" s="34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34"/>
      <c r="AF66" s="132"/>
      <c r="AG66" s="132"/>
    </row>
    <row r="67" spans="1:33" s="21" customFormat="1" x14ac:dyDescent="0.2">
      <c r="A67" s="151"/>
      <c r="B67" s="39"/>
      <c r="C67" s="39"/>
      <c r="D67" s="39"/>
      <c r="E67" s="39"/>
      <c r="F67" s="39"/>
      <c r="G67" s="20"/>
      <c r="H67" s="20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4"/>
      <c r="T67" s="34"/>
      <c r="U67" s="32"/>
      <c r="V67" s="32"/>
      <c r="W67" s="32"/>
      <c r="X67" s="32"/>
      <c r="Y67" s="32"/>
      <c r="Z67" s="32"/>
      <c r="AA67" s="32"/>
      <c r="AB67" s="32"/>
      <c r="AC67" s="32"/>
      <c r="AD67" s="32"/>
      <c r="AE67" s="34"/>
      <c r="AF67" s="132"/>
      <c r="AG67" s="132"/>
    </row>
    <row r="68" spans="1:33" s="21" customFormat="1" x14ac:dyDescent="0.2">
      <c r="A68" s="166"/>
      <c r="B68" s="39"/>
      <c r="C68" s="39"/>
      <c r="D68" s="39"/>
      <c r="E68" s="39"/>
      <c r="F68" s="39"/>
      <c r="G68" s="20"/>
      <c r="H68" s="20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4"/>
      <c r="T68" s="34"/>
      <c r="U68" s="32"/>
      <c r="V68" s="32"/>
      <c r="W68" s="32"/>
      <c r="X68" s="32"/>
      <c r="Y68" s="32"/>
      <c r="Z68" s="32"/>
      <c r="AA68" s="32"/>
      <c r="AB68" s="32"/>
      <c r="AC68" s="32"/>
      <c r="AD68" s="32"/>
      <c r="AE68" s="34"/>
      <c r="AF68" s="132"/>
      <c r="AG68" s="132"/>
    </row>
    <row r="69" spans="1:33" s="21" customFormat="1" x14ac:dyDescent="0.2">
      <c r="A69" s="166"/>
      <c r="B69" s="39"/>
      <c r="C69" s="39"/>
      <c r="D69" s="39"/>
      <c r="E69" s="39"/>
      <c r="F69" s="39"/>
      <c r="G69" s="20"/>
      <c r="H69" s="20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4"/>
      <c r="T69" s="34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34"/>
      <c r="AF69" s="132"/>
      <c r="AG69" s="132"/>
    </row>
    <row r="70" spans="1:33" s="21" customFormat="1" x14ac:dyDescent="0.2">
      <c r="A70" s="166"/>
      <c r="B70" s="39"/>
      <c r="C70" s="39"/>
      <c r="D70" s="39"/>
      <c r="E70" s="39"/>
      <c r="F70" s="39"/>
      <c r="G70" s="20"/>
      <c r="H70" s="20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4"/>
      <c r="T70" s="34"/>
      <c r="U70" s="32"/>
      <c r="V70" s="32"/>
      <c r="W70" s="32"/>
      <c r="X70" s="32"/>
      <c r="Y70" s="32"/>
      <c r="Z70" s="32"/>
      <c r="AA70" s="32"/>
      <c r="AB70" s="32"/>
      <c r="AC70" s="32"/>
      <c r="AD70" s="32"/>
      <c r="AE70" s="34"/>
      <c r="AF70" s="132"/>
      <c r="AG70" s="132"/>
    </row>
    <row r="71" spans="1:33" s="21" customFormat="1" x14ac:dyDescent="0.2">
      <c r="A71" s="166"/>
      <c r="B71" s="39"/>
      <c r="C71" s="150"/>
      <c r="D71" s="39"/>
      <c r="E71" s="39"/>
      <c r="F71" s="39"/>
      <c r="G71" s="20"/>
      <c r="H71" s="20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4"/>
      <c r="T71" s="34"/>
      <c r="U71" s="32"/>
      <c r="V71" s="32"/>
      <c r="W71" s="32"/>
      <c r="X71" s="32"/>
      <c r="Y71" s="32"/>
      <c r="Z71" s="32"/>
      <c r="AA71" s="32"/>
      <c r="AB71" s="32"/>
      <c r="AC71" s="32"/>
      <c r="AD71" s="32"/>
      <c r="AE71" s="34"/>
      <c r="AF71" s="132"/>
      <c r="AG71" s="132"/>
    </row>
    <row r="72" spans="1:33" s="21" customFormat="1" x14ac:dyDescent="0.2">
      <c r="A72" s="166"/>
      <c r="B72" s="39"/>
      <c r="C72" s="150"/>
      <c r="D72" s="39"/>
      <c r="E72" s="39"/>
      <c r="F72" s="39"/>
      <c r="G72" s="20"/>
      <c r="H72" s="20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4"/>
      <c r="T72" s="34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34"/>
      <c r="AF72" s="132"/>
      <c r="AG72" s="132"/>
    </row>
    <row r="73" spans="1:33" s="21" customFormat="1" x14ac:dyDescent="0.2">
      <c r="A73" s="151"/>
      <c r="B73" s="39"/>
      <c r="C73" s="39"/>
      <c r="D73" s="39"/>
      <c r="E73" s="39"/>
      <c r="F73" s="39"/>
      <c r="G73" s="20"/>
      <c r="H73" s="20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4"/>
      <c r="T73" s="34"/>
      <c r="U73" s="32"/>
      <c r="V73" s="32"/>
      <c r="W73" s="32"/>
      <c r="X73" s="32"/>
      <c r="Y73" s="32"/>
      <c r="Z73" s="32"/>
      <c r="AA73" s="32"/>
      <c r="AB73" s="32"/>
      <c r="AC73" s="32"/>
      <c r="AD73" s="32"/>
      <c r="AE73" s="34"/>
      <c r="AF73" s="132"/>
      <c r="AG73" s="132"/>
    </row>
    <row r="74" spans="1:33" s="21" customFormat="1" x14ac:dyDescent="0.2">
      <c r="A74" s="166"/>
      <c r="B74" s="39"/>
      <c r="C74" s="39"/>
      <c r="D74" s="39"/>
      <c r="E74" s="39"/>
      <c r="F74" s="39"/>
      <c r="G74" s="20"/>
      <c r="H74" s="20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4"/>
      <c r="T74" s="34"/>
      <c r="U74" s="32"/>
      <c r="V74" s="32"/>
      <c r="W74" s="32"/>
      <c r="X74" s="32"/>
      <c r="Y74" s="32"/>
      <c r="Z74" s="32"/>
      <c r="AA74" s="32"/>
      <c r="AB74" s="32"/>
      <c r="AC74" s="32"/>
      <c r="AD74" s="32"/>
      <c r="AE74" s="34"/>
      <c r="AF74" s="132"/>
      <c r="AG74" s="132"/>
    </row>
    <row r="75" spans="1:33" s="21" customFormat="1" x14ac:dyDescent="0.2">
      <c r="A75" s="166"/>
      <c r="B75" s="39"/>
      <c r="C75" s="39"/>
      <c r="D75" s="39"/>
      <c r="E75" s="39"/>
      <c r="F75" s="39"/>
      <c r="G75" s="20"/>
      <c r="H75" s="20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4"/>
      <c r="T75" s="34"/>
      <c r="U75" s="32"/>
      <c r="V75" s="32"/>
      <c r="W75" s="32"/>
      <c r="X75" s="32"/>
      <c r="Y75" s="32"/>
      <c r="Z75" s="32"/>
      <c r="AA75" s="32"/>
      <c r="AB75" s="32"/>
      <c r="AC75" s="32"/>
      <c r="AD75" s="32"/>
      <c r="AE75" s="34"/>
      <c r="AF75" s="132"/>
      <c r="AG75" s="132"/>
    </row>
    <row r="76" spans="1:33" s="21" customFormat="1" x14ac:dyDescent="0.2">
      <c r="A76" s="151"/>
      <c r="B76" s="39"/>
      <c r="C76" s="39"/>
      <c r="D76" s="39"/>
      <c r="E76" s="39"/>
      <c r="F76" s="39"/>
      <c r="G76" s="20"/>
      <c r="H76" s="20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4"/>
      <c r="T76" s="34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34"/>
      <c r="AF76" s="132"/>
      <c r="AG76" s="132"/>
    </row>
    <row r="77" spans="1:33" s="21" customFormat="1" x14ac:dyDescent="0.2">
      <c r="A77" s="151"/>
      <c r="B77" s="39"/>
      <c r="C77" s="39"/>
      <c r="D77" s="39"/>
      <c r="E77" s="39"/>
      <c r="F77" s="39"/>
      <c r="G77" s="20" t="s">
        <v>261</v>
      </c>
      <c r="H77" s="20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4"/>
      <c r="T77" s="34"/>
      <c r="U77" s="32"/>
      <c r="V77" s="32"/>
      <c r="W77" s="32"/>
      <c r="X77" s="32"/>
      <c r="Y77" s="32"/>
      <c r="Z77" s="32"/>
      <c r="AA77" s="32"/>
      <c r="AB77" s="32"/>
      <c r="AC77" s="32"/>
      <c r="AD77" s="32"/>
      <c r="AE77" s="34"/>
      <c r="AF77" s="132"/>
      <c r="AG77" s="132"/>
    </row>
    <row r="78" spans="1:33" s="21" customFormat="1" x14ac:dyDescent="0.2">
      <c r="A78" s="151"/>
      <c r="B78" s="39"/>
      <c r="C78" s="39"/>
      <c r="D78" s="39"/>
      <c r="E78" s="39"/>
      <c r="F78" s="39"/>
      <c r="G78" s="20"/>
      <c r="H78" s="20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4"/>
      <c r="T78" s="34"/>
      <c r="U78" s="32"/>
      <c r="V78" s="32"/>
      <c r="W78" s="32"/>
      <c r="X78" s="32"/>
      <c r="Y78" s="32"/>
      <c r="Z78" s="32"/>
      <c r="AA78" s="32"/>
      <c r="AB78" s="32"/>
      <c r="AC78" s="32"/>
      <c r="AD78" s="32"/>
      <c r="AE78" s="34"/>
      <c r="AF78" s="132"/>
      <c r="AG78" s="132"/>
    </row>
    <row r="79" spans="1:33" s="21" customFormat="1" x14ac:dyDescent="0.2">
      <c r="A79" s="218"/>
      <c r="B79" s="153"/>
      <c r="C79" s="154"/>
      <c r="D79" s="150"/>
      <c r="E79" s="39"/>
      <c r="F79" s="39"/>
      <c r="G79" s="20"/>
      <c r="H79" s="20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132"/>
      <c r="AG79" s="132"/>
    </row>
    <row r="80" spans="1:33" s="21" customFormat="1" x14ac:dyDescent="0.2">
      <c r="A80" s="7"/>
      <c r="B80" s="153"/>
      <c r="C80" s="154"/>
      <c r="D80" s="150"/>
      <c r="E80" s="566"/>
      <c r="F80" s="566"/>
      <c r="G80" s="22" t="s">
        <v>184</v>
      </c>
      <c r="H80" s="22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132"/>
      <c r="AG80" s="132"/>
    </row>
    <row r="81" spans="1:33" s="21" customFormat="1" x14ac:dyDescent="0.2">
      <c r="A81" s="7"/>
      <c r="B81" s="155"/>
      <c r="C81" s="155"/>
      <c r="D81" s="155"/>
      <c r="E81" s="155"/>
      <c r="F81" s="155"/>
      <c r="G81" s="20"/>
      <c r="H81" s="20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132"/>
      <c r="AG81" s="132"/>
    </row>
    <row r="82" spans="1:33" s="21" customFormat="1" x14ac:dyDescent="0.2">
      <c r="A82" s="7"/>
      <c r="B82" s="3"/>
      <c r="C82" s="4"/>
      <c r="D82" s="5"/>
      <c r="E82" s="155"/>
      <c r="F82" s="155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132"/>
      <c r="AG82" s="132"/>
    </row>
    <row r="83" spans="1:33" s="21" customFormat="1" x14ac:dyDescent="0.2">
      <c r="A83" s="7"/>
      <c r="B83" s="3"/>
      <c r="C83" s="154"/>
      <c r="D83" s="157"/>
      <c r="E83" s="155"/>
      <c r="F83" s="155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132"/>
      <c r="AG83" s="132"/>
    </row>
    <row r="84" spans="1:33" s="21" customFormat="1" x14ac:dyDescent="0.2">
      <c r="A84" s="7"/>
      <c r="B84" s="155"/>
      <c r="C84" s="154"/>
      <c r="D84" s="157"/>
      <c r="E84" s="157"/>
      <c r="F84" s="155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132"/>
      <c r="AG84" s="132"/>
    </row>
    <row r="85" spans="1:33" s="21" customFormat="1" x14ac:dyDescent="0.2">
      <c r="A85" s="7"/>
      <c r="B85" s="155"/>
      <c r="C85" s="39"/>
      <c r="D85" s="154"/>
      <c r="E85" s="154"/>
      <c r="F85" s="155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132"/>
      <c r="AG85" s="132"/>
    </row>
    <row r="86" spans="1:33" s="21" customFormat="1" x14ac:dyDescent="0.2">
      <c r="A86" s="7"/>
      <c r="B86" s="155"/>
      <c r="C86" s="154"/>
      <c r="D86" s="39"/>
      <c r="E86" s="154"/>
      <c r="F86" s="155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132"/>
      <c r="AG86" s="132"/>
    </row>
    <row r="87" spans="1:33" s="21" customFormat="1" x14ac:dyDescent="0.2">
      <c r="A87" s="7"/>
      <c r="B87" s="155"/>
      <c r="C87" s="39"/>
      <c r="D87" s="158"/>
      <c r="E87" s="154"/>
      <c r="F87" s="155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132"/>
      <c r="AG87" s="132"/>
    </row>
    <row r="88" spans="1:33" s="21" customFormat="1" x14ac:dyDescent="0.2">
      <c r="A88" s="7"/>
      <c r="B88" s="155"/>
      <c r="C88" s="39"/>
      <c r="D88" s="158"/>
      <c r="E88" s="154"/>
      <c r="F88" s="155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132"/>
      <c r="AG88" s="132"/>
    </row>
    <row r="89" spans="1:33" s="21" customFormat="1" x14ac:dyDescent="0.2">
      <c r="A89" s="7"/>
      <c r="B89" s="155"/>
      <c r="C89" s="154"/>
      <c r="D89" s="39"/>
      <c r="E89" s="154"/>
      <c r="F89" s="155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132"/>
      <c r="AG89" s="132"/>
    </row>
    <row r="90" spans="1:33" s="21" customFormat="1" x14ac:dyDescent="0.2">
      <c r="A90" s="7"/>
      <c r="B90" s="155"/>
      <c r="C90" s="154"/>
      <c r="D90" s="154"/>
      <c r="E90" s="154"/>
      <c r="F90" s="154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132"/>
      <c r="AG90" s="132"/>
    </row>
    <row r="91" spans="1:33" s="21" customFormat="1" x14ac:dyDescent="0.2">
      <c r="A91" s="7"/>
      <c r="B91" s="155"/>
      <c r="C91" s="39"/>
      <c r="D91" s="525"/>
      <c r="E91" s="526"/>
      <c r="F91" s="526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132"/>
      <c r="AG91" s="132"/>
    </row>
    <row r="92" spans="1:33" s="21" customFormat="1" x14ac:dyDescent="0.2">
      <c r="A92" s="7"/>
      <c r="B92" s="155"/>
      <c r="C92" s="154"/>
      <c r="D92" s="158"/>
      <c r="E92" s="154"/>
      <c r="F92" s="154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132"/>
      <c r="AG92" s="132"/>
    </row>
    <row r="93" spans="1:33" s="21" customFormat="1" x14ac:dyDescent="0.2">
      <c r="A93" s="7"/>
      <c r="B93" s="155"/>
      <c r="C93" s="154"/>
      <c r="D93" s="158"/>
      <c r="E93" s="154"/>
      <c r="F93" s="154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132"/>
      <c r="AG93" s="132"/>
    </row>
    <row r="94" spans="1:33" s="21" customFormat="1" x14ac:dyDescent="0.2">
      <c r="A94" s="7"/>
      <c r="B94" s="3"/>
      <c r="C94" s="4"/>
      <c r="D94" s="157"/>
      <c r="E94" s="154"/>
      <c r="F94" s="154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132"/>
      <c r="AG94" s="132"/>
    </row>
    <row r="95" spans="1:33" s="21" customFormat="1" x14ac:dyDescent="0.2">
      <c r="A95" s="7"/>
      <c r="B95" s="155"/>
      <c r="C95" s="154"/>
      <c r="D95" s="154"/>
      <c r="E95" s="154"/>
      <c r="F95" s="154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132"/>
      <c r="AG95" s="132"/>
    </row>
    <row r="96" spans="1:33" s="21" customFormat="1" x14ac:dyDescent="0.2">
      <c r="A96" s="7"/>
      <c r="B96" s="155"/>
      <c r="C96" s="154"/>
      <c r="D96" s="163"/>
      <c r="E96" s="154"/>
      <c r="F96" s="154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132"/>
      <c r="AG96" s="132"/>
    </row>
    <row r="97" spans="1:33" s="21" customFormat="1" x14ac:dyDescent="0.2">
      <c r="A97" s="7"/>
      <c r="B97" s="155"/>
      <c r="C97" s="154"/>
      <c r="D97" s="164"/>
      <c r="E97" s="154"/>
      <c r="F97" s="154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132"/>
      <c r="AG97" s="132"/>
    </row>
    <row r="98" spans="1:33" s="21" customFormat="1" x14ac:dyDescent="0.2">
      <c r="A98" s="7"/>
      <c r="B98" s="155"/>
      <c r="C98" s="154"/>
      <c r="D98" s="164"/>
      <c r="E98" s="154"/>
      <c r="F98" s="154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132"/>
      <c r="AG98" s="132"/>
    </row>
    <row r="99" spans="1:33" s="21" customFormat="1" x14ac:dyDescent="0.2">
      <c r="A99" s="7"/>
      <c r="B99" s="155"/>
      <c r="C99" s="154"/>
      <c r="D99" s="163"/>
      <c r="E99" s="154"/>
      <c r="F99" s="154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132"/>
      <c r="AG99" s="132"/>
    </row>
    <row r="100" spans="1:33" s="21" customFormat="1" x14ac:dyDescent="0.2">
      <c r="A100" s="7"/>
      <c r="B100" s="155"/>
      <c r="C100" s="154"/>
      <c r="D100" s="164"/>
      <c r="E100" s="154"/>
      <c r="F100" s="154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132"/>
      <c r="AG100" s="132"/>
    </row>
    <row r="101" spans="1:33" s="21" customFormat="1" x14ac:dyDescent="0.2">
      <c r="A101" s="7"/>
      <c r="B101" s="155"/>
      <c r="C101" s="154"/>
      <c r="D101" s="164"/>
      <c r="E101" s="154"/>
      <c r="F101" s="154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132"/>
      <c r="AG101" s="132"/>
    </row>
    <row r="102" spans="1:33" s="21" customFormat="1" x14ac:dyDescent="0.2">
      <c r="A102" s="7"/>
      <c r="B102" s="155"/>
      <c r="C102" s="154"/>
      <c r="D102" s="154"/>
      <c r="E102" s="154"/>
      <c r="F102" s="154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132"/>
      <c r="AG102" s="132"/>
    </row>
    <row r="103" spans="1:33" s="21" customFormat="1" x14ac:dyDescent="0.2">
      <c r="A103" s="7"/>
      <c r="B103" s="155"/>
      <c r="C103" s="39"/>
      <c r="D103" s="158"/>
      <c r="E103" s="154"/>
      <c r="F103" s="154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132"/>
      <c r="AG103" s="132"/>
    </row>
    <row r="104" spans="1:33" s="21" customFormat="1" x14ac:dyDescent="0.2">
      <c r="A104" s="7"/>
      <c r="B104" s="155"/>
      <c r="C104" s="39"/>
      <c r="D104" s="158"/>
      <c r="E104" s="154"/>
      <c r="F104" s="154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132"/>
      <c r="AG104" s="132"/>
    </row>
    <row r="105" spans="1:33" s="21" customFormat="1" x14ac:dyDescent="0.2">
      <c r="A105" s="7"/>
      <c r="B105" s="155"/>
      <c r="C105" s="154"/>
      <c r="D105" s="154"/>
      <c r="E105" s="154"/>
      <c r="F105" s="154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132"/>
      <c r="AG105" s="132"/>
    </row>
    <row r="106" spans="1:33" s="21" customFormat="1" x14ac:dyDescent="0.2">
      <c r="A106" s="7"/>
      <c r="B106" s="155"/>
      <c r="C106" s="39"/>
      <c r="D106" s="525"/>
      <c r="E106" s="526"/>
      <c r="F106" s="526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132"/>
      <c r="AG106" s="132"/>
    </row>
    <row r="107" spans="1:33" s="21" customFormat="1" x14ac:dyDescent="0.2">
      <c r="A107" s="7"/>
      <c r="B107" s="155"/>
      <c r="C107" s="154"/>
      <c r="D107" s="158"/>
      <c r="E107" s="154"/>
      <c r="F107" s="154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132"/>
      <c r="AG107" s="132"/>
    </row>
    <row r="108" spans="1:33" s="21" customFormat="1" x14ac:dyDescent="0.2">
      <c r="A108" s="7"/>
      <c r="B108" s="155"/>
      <c r="C108" s="154"/>
      <c r="D108" s="164"/>
      <c r="E108" s="154"/>
      <c r="F108" s="154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132"/>
      <c r="AG108" s="132"/>
    </row>
    <row r="109" spans="1:33" s="21" customFormat="1" x14ac:dyDescent="0.2">
      <c r="A109" s="7"/>
      <c r="B109" s="155"/>
      <c r="C109" s="154"/>
      <c r="D109" s="164"/>
      <c r="E109" s="154"/>
      <c r="F109" s="154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132"/>
      <c r="AG109" s="132"/>
    </row>
    <row r="110" spans="1:33" s="21" customFormat="1" x14ac:dyDescent="0.2">
      <c r="A110" s="7"/>
      <c r="B110" s="155"/>
      <c r="C110" s="154"/>
      <c r="D110" s="158"/>
      <c r="E110" s="154"/>
      <c r="F110" s="154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132"/>
      <c r="AG110" s="132"/>
    </row>
    <row r="111" spans="1:33" s="21" customFormat="1" x14ac:dyDescent="0.2">
      <c r="A111" s="7"/>
      <c r="B111" s="155"/>
      <c r="C111" s="154"/>
      <c r="D111" s="164"/>
      <c r="E111" s="154"/>
      <c r="F111" s="154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132"/>
      <c r="AG111" s="132"/>
    </row>
    <row r="112" spans="1:33" s="21" customFormat="1" x14ac:dyDescent="0.2">
      <c r="A112" s="7"/>
      <c r="B112" s="155"/>
      <c r="C112" s="154"/>
      <c r="D112" s="164"/>
      <c r="E112" s="154"/>
      <c r="F112" s="154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132"/>
      <c r="AG112" s="132"/>
    </row>
    <row r="113" spans="1:33" s="21" customFormat="1" x14ac:dyDescent="0.2">
      <c r="A113" s="7"/>
      <c r="B113" s="3"/>
      <c r="C113" s="4"/>
      <c r="D113" s="157"/>
      <c r="E113" s="154"/>
      <c r="F113" s="154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132"/>
      <c r="AG113" s="132"/>
    </row>
    <row r="114" spans="1:33" s="21" customFormat="1" x14ac:dyDescent="0.2">
      <c r="A114" s="7"/>
      <c r="B114" s="155"/>
      <c r="C114" s="154"/>
      <c r="D114" s="157"/>
      <c r="E114" s="154"/>
      <c r="F114" s="154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132"/>
      <c r="AG114" s="132"/>
    </row>
    <row r="115" spans="1:33" s="21" customFormat="1" x14ac:dyDescent="0.2">
      <c r="A115" s="7"/>
      <c r="B115" s="155"/>
      <c r="C115" s="154"/>
      <c r="D115" s="157"/>
      <c r="E115" s="154"/>
      <c r="F115" s="154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132"/>
      <c r="AG115" s="132"/>
    </row>
    <row r="116" spans="1:33" s="21" customFormat="1" x14ac:dyDescent="0.2">
      <c r="A116" s="7"/>
      <c r="B116" s="155"/>
      <c r="C116" s="154"/>
      <c r="D116" s="157"/>
      <c r="E116" s="154"/>
      <c r="F116" s="154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132"/>
      <c r="AG116" s="132"/>
    </row>
    <row r="117" spans="1:33" s="21" customFormat="1" x14ac:dyDescent="0.2">
      <c r="A117" s="7"/>
      <c r="B117" s="155"/>
      <c r="C117" s="39"/>
      <c r="D117" s="525"/>
      <c r="E117" s="526"/>
      <c r="F117" s="526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132"/>
      <c r="AG117" s="132"/>
    </row>
    <row r="118" spans="1:33" s="21" customFormat="1" x14ac:dyDescent="0.2">
      <c r="A118" s="7"/>
      <c r="B118" s="155"/>
      <c r="C118" s="154"/>
      <c r="D118" s="158"/>
      <c r="E118" s="154"/>
      <c r="F118" s="126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132"/>
      <c r="AG118" s="132"/>
    </row>
    <row r="119" spans="1:33" s="21" customFormat="1" x14ac:dyDescent="0.2">
      <c r="A119" s="7"/>
      <c r="B119" s="155"/>
      <c r="C119" s="154"/>
      <c r="D119" s="158"/>
      <c r="E119" s="154"/>
      <c r="F119" s="126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132"/>
      <c r="AG119" s="132"/>
    </row>
    <row r="120" spans="1:33" s="21" customFormat="1" x14ac:dyDescent="0.2">
      <c r="A120" s="7"/>
      <c r="B120" s="6"/>
      <c r="C120" s="7"/>
      <c r="D120" s="154"/>
      <c r="E120" s="154"/>
      <c r="F120" s="154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132"/>
      <c r="AG120" s="132"/>
    </row>
    <row r="121" spans="1:33" s="21" customFormat="1" x14ac:dyDescent="0.2">
      <c r="A121" s="7"/>
      <c r="B121" s="153"/>
      <c r="C121" s="154"/>
      <c r="D121" s="154"/>
      <c r="E121" s="154"/>
      <c r="F121" s="154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132"/>
      <c r="AG121" s="132"/>
    </row>
    <row r="122" spans="1:33" s="21" customFormat="1" x14ac:dyDescent="0.2">
      <c r="A122" s="7"/>
      <c r="B122" s="153"/>
      <c r="C122" s="154"/>
      <c r="D122" s="158"/>
      <c r="E122" s="154"/>
      <c r="F122" s="154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132"/>
      <c r="AG122" s="132"/>
    </row>
    <row r="123" spans="1:33" s="21" customFormat="1" x14ac:dyDescent="0.2">
      <c r="A123" s="7"/>
      <c r="B123" s="153"/>
      <c r="C123" s="154"/>
      <c r="D123" s="158"/>
      <c r="E123" s="154"/>
      <c r="F123" s="154"/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132"/>
      <c r="AG123" s="132"/>
    </row>
    <row r="124" spans="1:33" s="21" customFormat="1" x14ac:dyDescent="0.2">
      <c r="A124" s="7"/>
      <c r="B124" s="153"/>
      <c r="C124" s="154"/>
      <c r="D124" s="150"/>
      <c r="E124" s="566"/>
      <c r="F124" s="566"/>
      <c r="G124" s="20"/>
      <c r="H124" s="20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132"/>
      <c r="AG124" s="132"/>
    </row>
    <row r="125" spans="1:33" x14ac:dyDescent="0.2">
      <c r="A125" s="7"/>
      <c r="B125" s="153"/>
      <c r="C125" s="154"/>
      <c r="D125" s="39"/>
      <c r="E125" s="39"/>
      <c r="F125" s="39"/>
      <c r="G125" s="20"/>
      <c r="H125" s="20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122"/>
      <c r="AF125" s="123"/>
      <c r="AG125" s="123"/>
    </row>
    <row r="126" spans="1:33" x14ac:dyDescent="0.2">
      <c r="A126" s="7"/>
      <c r="B126" s="153"/>
      <c r="C126" s="154"/>
      <c r="D126" s="150"/>
      <c r="E126" s="39"/>
      <c r="F126" s="39"/>
      <c r="G126" s="20"/>
      <c r="H126" s="20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122"/>
      <c r="AF126" s="123"/>
      <c r="AG126" s="123"/>
    </row>
    <row r="127" spans="1:33" x14ac:dyDescent="0.2">
      <c r="A127" s="7"/>
      <c r="B127" s="153"/>
      <c r="C127" s="154"/>
      <c r="D127" s="150"/>
      <c r="E127" s="39"/>
      <c r="F127" s="39"/>
      <c r="G127" s="20"/>
      <c r="H127" s="20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122"/>
      <c r="AF127" s="123"/>
      <c r="AG127" s="123"/>
    </row>
    <row r="128" spans="1:33" x14ac:dyDescent="0.2">
      <c r="A128" s="7"/>
      <c r="B128" s="153"/>
      <c r="C128" s="154"/>
      <c r="D128" s="150"/>
      <c r="E128" s="566"/>
      <c r="F128" s="566"/>
      <c r="G128" s="20"/>
      <c r="H128" s="20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122"/>
      <c r="AF128" s="123"/>
      <c r="AG128" s="123"/>
    </row>
    <row r="129" spans="1:33" x14ac:dyDescent="0.2">
      <c r="A129" s="154"/>
      <c r="B129" s="565"/>
      <c r="C129" s="565"/>
      <c r="D129" s="565"/>
      <c r="E129" s="565"/>
      <c r="F129" s="565"/>
      <c r="G129" s="20"/>
      <c r="H129" s="20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122"/>
      <c r="AF129" s="123"/>
      <c r="AG129" s="123"/>
    </row>
    <row r="130" spans="1:33" x14ac:dyDescent="0.2">
      <c r="A130" s="21"/>
      <c r="B130" s="21"/>
      <c r="C130" s="21"/>
      <c r="D130" s="21"/>
      <c r="E130" s="21"/>
      <c r="F130" s="21"/>
      <c r="G130" s="20"/>
      <c r="H130" s="20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 t="s">
        <v>184</v>
      </c>
      <c r="V130" s="34"/>
      <c r="W130" s="34"/>
      <c r="X130" s="34"/>
      <c r="Y130" s="34"/>
      <c r="Z130" s="34"/>
      <c r="AA130" s="34"/>
      <c r="AB130" s="34"/>
      <c r="AC130" s="34"/>
      <c r="AD130" s="34"/>
      <c r="AE130" s="122"/>
      <c r="AF130" s="123"/>
      <c r="AG130" s="123"/>
    </row>
    <row r="131" spans="1:33" x14ac:dyDescent="0.2">
      <c r="A131" s="21"/>
      <c r="B131" s="21"/>
      <c r="C131" s="21"/>
      <c r="D131" s="21"/>
      <c r="E131" s="21"/>
      <c r="F131" s="21"/>
      <c r="G131" s="20"/>
      <c r="H131" s="20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</row>
    <row r="132" spans="1:33" x14ac:dyDescent="0.2">
      <c r="A132" s="21"/>
      <c r="B132" s="21"/>
      <c r="C132" s="21"/>
      <c r="D132" s="21"/>
      <c r="E132" s="21"/>
      <c r="F132" s="21"/>
      <c r="G132" s="20"/>
      <c r="H132" s="20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</row>
    <row r="133" spans="1:33" x14ac:dyDescent="0.2">
      <c r="A133" s="21"/>
      <c r="B133" s="21"/>
      <c r="C133" s="21"/>
      <c r="D133" s="21"/>
      <c r="E133" s="21"/>
      <c r="F133" s="21"/>
      <c r="G133" s="20"/>
      <c r="H133" s="20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</row>
    <row r="134" spans="1:33" x14ac:dyDescent="0.2">
      <c r="A134" s="21"/>
      <c r="B134" s="21"/>
      <c r="C134" s="21"/>
      <c r="D134" s="21"/>
      <c r="E134" s="21"/>
      <c r="F134" s="21"/>
      <c r="G134" s="20"/>
      <c r="H134" s="20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</row>
    <row r="135" spans="1:33" x14ac:dyDescent="0.2">
      <c r="A135" s="21"/>
      <c r="B135" s="21"/>
      <c r="C135" s="21"/>
      <c r="D135" s="21"/>
      <c r="E135" s="21"/>
      <c r="F135" s="21"/>
      <c r="G135" s="20"/>
      <c r="H135" s="20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</row>
    <row r="136" spans="1:33" x14ac:dyDescent="0.2">
      <c r="A136" s="21"/>
      <c r="B136" s="21"/>
      <c r="C136" s="21"/>
      <c r="D136" s="21"/>
      <c r="E136" s="21"/>
      <c r="F136" s="21"/>
      <c r="G136" s="20"/>
      <c r="H136" s="20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</row>
    <row r="137" spans="1:33" x14ac:dyDescent="0.2">
      <c r="A137" s="21"/>
      <c r="B137" s="21"/>
      <c r="C137" s="21"/>
      <c r="D137" s="21"/>
      <c r="E137" s="21"/>
      <c r="F137" s="21"/>
      <c r="G137" s="20"/>
      <c r="H137" s="20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</row>
    <row r="138" spans="1:33" x14ac:dyDescent="0.2">
      <c r="A138" s="21"/>
      <c r="B138" s="21"/>
      <c r="C138" s="21"/>
      <c r="D138" s="21"/>
      <c r="E138" s="21"/>
      <c r="F138" s="21"/>
      <c r="G138" s="20"/>
      <c r="H138" s="20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</row>
    <row r="139" spans="1:33" x14ac:dyDescent="0.2">
      <c r="A139" s="21"/>
      <c r="B139" s="21"/>
      <c r="C139" s="21"/>
      <c r="D139" s="21"/>
      <c r="E139" s="21"/>
      <c r="F139" s="21"/>
      <c r="G139" s="20"/>
      <c r="H139" s="20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</row>
    <row r="140" spans="1:33" x14ac:dyDescent="0.2">
      <c r="A140" s="21"/>
      <c r="B140" s="21"/>
      <c r="C140" s="21"/>
      <c r="D140" s="21"/>
      <c r="E140" s="21"/>
      <c r="F140" s="21"/>
      <c r="G140" s="20"/>
      <c r="H140" s="20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</row>
    <row r="141" spans="1:33" x14ac:dyDescent="0.2">
      <c r="A141" s="21"/>
      <c r="B141" s="21"/>
      <c r="C141" s="21"/>
      <c r="D141" s="21"/>
      <c r="E141" s="21"/>
      <c r="F141" s="21"/>
      <c r="G141" s="20"/>
      <c r="H141" s="20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</row>
    <row r="142" spans="1:33" x14ac:dyDescent="0.2">
      <c r="A142" s="21"/>
      <c r="B142" s="21"/>
      <c r="C142" s="21"/>
      <c r="D142" s="21"/>
      <c r="E142" s="21"/>
      <c r="F142" s="21"/>
      <c r="G142" s="20"/>
      <c r="H142" s="20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</row>
    <row r="143" spans="1:33" x14ac:dyDescent="0.2">
      <c r="A143" s="21"/>
      <c r="B143" s="21"/>
      <c r="C143" s="21"/>
      <c r="D143" s="21"/>
      <c r="E143" s="21"/>
      <c r="F143" s="21"/>
      <c r="G143" s="20"/>
      <c r="H143" s="20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</row>
    <row r="144" spans="1:33" x14ac:dyDescent="0.2">
      <c r="A144" s="21"/>
      <c r="B144" s="21"/>
      <c r="C144" s="21"/>
      <c r="D144" s="21"/>
      <c r="E144" s="21"/>
      <c r="F144" s="21"/>
      <c r="G144" s="20"/>
      <c r="H144" s="20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</row>
    <row r="145" spans="1:30" x14ac:dyDescent="0.2">
      <c r="A145" s="21"/>
      <c r="B145" s="21"/>
      <c r="C145" s="21"/>
      <c r="D145" s="21"/>
      <c r="E145" s="21"/>
      <c r="F145" s="21"/>
      <c r="G145" s="20"/>
      <c r="H145" s="20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</row>
    <row r="146" spans="1:30" x14ac:dyDescent="0.2">
      <c r="A146" s="21"/>
      <c r="B146" s="21"/>
      <c r="C146" s="21"/>
      <c r="D146" s="21"/>
      <c r="E146" s="21"/>
      <c r="F146" s="21"/>
      <c r="G146" s="20"/>
      <c r="H146" s="20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</row>
    <row r="147" spans="1:30" x14ac:dyDescent="0.2">
      <c r="A147" s="21"/>
      <c r="B147" s="21"/>
      <c r="C147" s="21"/>
      <c r="D147" s="21"/>
      <c r="E147" s="21"/>
      <c r="F147" s="21"/>
      <c r="G147" s="20"/>
      <c r="H147" s="20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</row>
    <row r="148" spans="1:30" x14ac:dyDescent="0.2">
      <c r="A148" s="21"/>
      <c r="B148" s="21"/>
      <c r="C148" s="21"/>
      <c r="D148" s="21"/>
      <c r="E148" s="21"/>
      <c r="F148" s="21"/>
      <c r="G148" s="20"/>
      <c r="H148" s="20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</row>
    <row r="149" spans="1:30" x14ac:dyDescent="0.2">
      <c r="A149" s="21"/>
      <c r="B149" s="21"/>
      <c r="C149" s="21"/>
      <c r="D149" s="21"/>
      <c r="E149" s="21"/>
      <c r="F149" s="21"/>
      <c r="G149" s="20"/>
      <c r="H149" s="20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</row>
    <row r="150" spans="1:30" x14ac:dyDescent="0.2">
      <c r="A150" s="21"/>
      <c r="B150" s="21"/>
      <c r="C150" s="21"/>
      <c r="D150" s="21"/>
      <c r="E150" s="21"/>
      <c r="F150" s="21"/>
      <c r="G150" s="20"/>
      <c r="H150" s="20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</row>
    <row r="151" spans="1:30" x14ac:dyDescent="0.2">
      <c r="A151" s="21"/>
      <c r="B151" s="21"/>
      <c r="C151" s="21"/>
      <c r="D151" s="21"/>
      <c r="E151" s="21"/>
      <c r="F151" s="21"/>
      <c r="G151" s="20"/>
      <c r="H151" s="20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</row>
    <row r="152" spans="1:30" x14ac:dyDescent="0.2">
      <c r="A152" s="21"/>
      <c r="B152" s="21"/>
      <c r="C152" s="21"/>
      <c r="D152" s="21"/>
      <c r="E152" s="21"/>
      <c r="F152" s="21"/>
      <c r="G152" s="20"/>
      <c r="H152" s="20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</row>
    <row r="153" spans="1:30" x14ac:dyDescent="0.2">
      <c r="A153" s="21"/>
      <c r="B153" s="21"/>
      <c r="C153" s="21"/>
      <c r="D153" s="21"/>
      <c r="E153" s="21"/>
      <c r="F153" s="21"/>
      <c r="G153" s="20"/>
      <c r="H153" s="20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</row>
    <row r="154" spans="1:30" x14ac:dyDescent="0.2">
      <c r="A154" s="21"/>
      <c r="B154" s="21"/>
      <c r="C154" s="21"/>
      <c r="D154" s="21"/>
      <c r="E154" s="21"/>
      <c r="F154" s="21"/>
      <c r="G154" s="20"/>
      <c r="H154" s="20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</row>
    <row r="155" spans="1:30" x14ac:dyDescent="0.2">
      <c r="A155" s="21"/>
      <c r="B155" s="21"/>
      <c r="C155" s="21"/>
      <c r="D155" s="21"/>
      <c r="E155" s="21"/>
      <c r="F155" s="21"/>
      <c r="G155" s="20"/>
      <c r="H155" s="20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</row>
    <row r="156" spans="1:30" x14ac:dyDescent="0.2">
      <c r="A156" s="21"/>
      <c r="B156" s="21"/>
      <c r="C156" s="21"/>
      <c r="D156" s="21"/>
      <c r="E156" s="21"/>
      <c r="F156" s="21"/>
      <c r="G156" s="20"/>
      <c r="H156" s="20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</row>
    <row r="157" spans="1:30" x14ac:dyDescent="0.2">
      <c r="A157" s="21"/>
      <c r="B157" s="21"/>
      <c r="C157" s="21"/>
      <c r="D157" s="21"/>
      <c r="E157" s="21"/>
      <c r="F157" s="21"/>
      <c r="G157" s="20"/>
      <c r="H157" s="20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</row>
    <row r="158" spans="1:30" x14ac:dyDescent="0.2">
      <c r="A158" s="21"/>
      <c r="B158" s="21"/>
      <c r="C158" s="21"/>
      <c r="D158" s="21"/>
      <c r="E158" s="21"/>
      <c r="F158" s="21"/>
      <c r="G158" s="20"/>
      <c r="H158" s="20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</row>
    <row r="159" spans="1:30" x14ac:dyDescent="0.2">
      <c r="A159" s="21"/>
      <c r="B159" s="21"/>
      <c r="C159" s="21"/>
      <c r="D159" s="21"/>
      <c r="E159" s="21"/>
      <c r="F159" s="21"/>
      <c r="G159" s="20"/>
      <c r="H159" s="20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</row>
    <row r="160" spans="1:30" x14ac:dyDescent="0.2">
      <c r="A160" s="21"/>
      <c r="B160" s="21"/>
      <c r="C160" s="21"/>
      <c r="D160" s="21"/>
      <c r="E160" s="21"/>
      <c r="F160" s="21"/>
      <c r="G160" s="20"/>
      <c r="H160" s="20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</row>
    <row r="161" spans="1:30" x14ac:dyDescent="0.2">
      <c r="A161" s="21"/>
      <c r="B161" s="21"/>
      <c r="C161" s="21"/>
      <c r="D161" s="21"/>
      <c r="E161" s="21"/>
      <c r="F161" s="21"/>
      <c r="G161" s="20"/>
      <c r="H161" s="20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</row>
    <row r="162" spans="1:30" x14ac:dyDescent="0.2">
      <c r="A162" s="21"/>
      <c r="B162" s="21"/>
      <c r="C162" s="21"/>
      <c r="D162" s="21"/>
      <c r="E162" s="21"/>
      <c r="F162" s="21"/>
      <c r="G162" s="20"/>
      <c r="H162" s="20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</row>
    <row r="163" spans="1:30" x14ac:dyDescent="0.2">
      <c r="A163" s="21"/>
      <c r="B163" s="21"/>
      <c r="C163" s="21"/>
      <c r="D163" s="21"/>
      <c r="E163" s="21"/>
      <c r="F163" s="21"/>
      <c r="G163" s="20"/>
      <c r="H163" s="20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</row>
    <row r="164" spans="1:30" x14ac:dyDescent="0.2">
      <c r="A164" s="21"/>
      <c r="B164" s="21"/>
      <c r="C164" s="21"/>
      <c r="D164" s="21"/>
      <c r="E164" s="21"/>
      <c r="F164" s="21"/>
      <c r="G164" s="20"/>
      <c r="H164" s="20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</row>
    <row r="165" spans="1:30" x14ac:dyDescent="0.2">
      <c r="A165" s="21"/>
      <c r="B165" s="21"/>
      <c r="C165" s="21"/>
      <c r="D165" s="21"/>
      <c r="E165" s="21"/>
      <c r="F165" s="21"/>
      <c r="G165" s="20"/>
      <c r="H165" s="20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</row>
    <row r="166" spans="1:30" x14ac:dyDescent="0.2">
      <c r="A166" s="21"/>
      <c r="B166" s="21"/>
      <c r="C166" s="21"/>
      <c r="D166" s="21"/>
      <c r="E166" s="21"/>
      <c r="F166" s="21"/>
      <c r="G166" s="20"/>
      <c r="H166" s="20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</row>
    <row r="167" spans="1:30" x14ac:dyDescent="0.2">
      <c r="A167" s="21"/>
      <c r="B167" s="21"/>
      <c r="C167" s="21"/>
      <c r="D167" s="21"/>
      <c r="E167" s="21"/>
      <c r="F167" s="21"/>
      <c r="G167" s="20"/>
      <c r="H167" s="20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</row>
    <row r="168" spans="1:30" x14ac:dyDescent="0.2">
      <c r="A168" s="21"/>
      <c r="B168" s="21"/>
      <c r="C168" s="21"/>
      <c r="D168" s="21"/>
      <c r="E168" s="21"/>
      <c r="F168" s="21"/>
      <c r="G168" s="20"/>
      <c r="H168" s="20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</row>
    <row r="169" spans="1:30" x14ac:dyDescent="0.2">
      <c r="A169" s="21"/>
      <c r="B169" s="21"/>
      <c r="C169" s="21"/>
      <c r="D169" s="21"/>
      <c r="E169" s="21"/>
      <c r="F169" s="21"/>
      <c r="G169" s="20"/>
      <c r="H169" s="20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</row>
    <row r="170" spans="1:30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</row>
    <row r="171" spans="1:30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</row>
    <row r="172" spans="1:30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</row>
    <row r="173" spans="1:30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</row>
    <row r="174" spans="1:30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</row>
    <row r="175" spans="1:30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</row>
    <row r="176" spans="1:30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</row>
    <row r="177" spans="1:30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</row>
    <row r="178" spans="1:30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</row>
    <row r="179" spans="1:30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</row>
    <row r="180" spans="1:30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</row>
    <row r="181" spans="1:30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</row>
    <row r="182" spans="1:30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</row>
    <row r="183" spans="1:30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</row>
    <row r="184" spans="1:30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</row>
    <row r="185" spans="1:30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</row>
    <row r="186" spans="1:30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</row>
    <row r="187" spans="1:30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</row>
    <row r="188" spans="1:30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</row>
    <row r="189" spans="1:30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</row>
    <row r="190" spans="1:30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</row>
    <row r="191" spans="1:30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</row>
    <row r="192" spans="1:30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</row>
    <row r="193" spans="1:30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</row>
    <row r="194" spans="1:30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</row>
    <row r="195" spans="1:30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</row>
    <row r="196" spans="1:30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</row>
    <row r="197" spans="1:30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</row>
    <row r="198" spans="1:30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</row>
    <row r="199" spans="1:30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</row>
    <row r="200" spans="1:30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</row>
    <row r="201" spans="1:30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</row>
    <row r="202" spans="1:30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</row>
    <row r="203" spans="1:30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</row>
    <row r="204" spans="1:30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</row>
    <row r="205" spans="1:30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</row>
    <row r="206" spans="1:30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</row>
    <row r="207" spans="1:30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</row>
    <row r="208" spans="1:30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</row>
    <row r="209" spans="1:30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</row>
    <row r="210" spans="1:30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</row>
    <row r="211" spans="1:30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</row>
    <row r="212" spans="1:30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</row>
    <row r="213" spans="1:30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</row>
    <row r="214" spans="1:30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</row>
    <row r="215" spans="1:30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</row>
    <row r="216" spans="1:30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</row>
    <row r="217" spans="1:30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</row>
    <row r="218" spans="1:30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</row>
    <row r="219" spans="1:30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</row>
    <row r="220" spans="1:30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</row>
    <row r="221" spans="1:30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</row>
    <row r="222" spans="1:30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</row>
    <row r="223" spans="1:30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</row>
    <row r="224" spans="1:30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</row>
    <row r="225" spans="1:30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</row>
    <row r="226" spans="1:30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</row>
    <row r="227" spans="1:30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</row>
    <row r="228" spans="1:30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</row>
    <row r="229" spans="1:30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</row>
    <row r="230" spans="1:30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</row>
    <row r="231" spans="1:30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</row>
    <row r="232" spans="1:30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</row>
    <row r="233" spans="1:30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</row>
    <row r="234" spans="1:30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</row>
    <row r="235" spans="1:30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</row>
    <row r="236" spans="1:30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</row>
    <row r="237" spans="1:30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</row>
    <row r="238" spans="1:30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</row>
    <row r="239" spans="1:30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</row>
    <row r="240" spans="1:30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</row>
    <row r="241" spans="1:30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</row>
    <row r="242" spans="1:30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</row>
    <row r="243" spans="1:30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</row>
    <row r="244" spans="1:30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</row>
    <row r="245" spans="1:30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</row>
    <row r="246" spans="1:30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</row>
    <row r="247" spans="1:30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</row>
    <row r="248" spans="1:30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</row>
    <row r="249" spans="1:30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</row>
    <row r="250" spans="1:30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</row>
    <row r="251" spans="1:30" x14ac:dyDescent="0.2">
      <c r="A251" s="21"/>
      <c r="B251" s="21"/>
      <c r="C251" s="21"/>
      <c r="D251" s="21"/>
      <c r="E251" s="21"/>
      <c r="F251" s="21"/>
      <c r="G251" s="20"/>
      <c r="H251" s="20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</row>
    <row r="252" spans="1:30" x14ac:dyDescent="0.2">
      <c r="A252" s="21"/>
      <c r="B252" s="21"/>
      <c r="C252" s="21"/>
      <c r="D252" s="21"/>
      <c r="E252" s="21"/>
      <c r="F252" s="21"/>
      <c r="G252" s="20"/>
      <c r="H252" s="20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</row>
    <row r="253" spans="1:30" x14ac:dyDescent="0.2">
      <c r="A253" s="21"/>
      <c r="B253" s="21"/>
      <c r="C253" s="21"/>
      <c r="D253" s="21"/>
      <c r="E253" s="21"/>
      <c r="F253" s="21"/>
      <c r="G253" s="20"/>
      <c r="H253" s="20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</row>
    <row r="254" spans="1:30" x14ac:dyDescent="0.2">
      <c r="A254" s="21"/>
      <c r="B254" s="21"/>
      <c r="C254" s="21"/>
      <c r="D254" s="21"/>
      <c r="E254" s="21"/>
      <c r="F254" s="21"/>
      <c r="G254" s="20"/>
      <c r="H254" s="20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</row>
    <row r="255" spans="1:30" x14ac:dyDescent="0.2">
      <c r="A255" s="21"/>
      <c r="B255" s="21"/>
      <c r="C255" s="21"/>
      <c r="D255" s="21"/>
      <c r="E255" s="21"/>
      <c r="F255" s="21"/>
      <c r="G255" s="20"/>
      <c r="H255" s="20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</row>
  </sheetData>
  <sheetProtection password="B744" sheet="1" objects="1" scenarios="1" selectLockedCells="1"/>
  <mergeCells count="42">
    <mergeCell ref="H5:H9"/>
    <mergeCell ref="AC6:AD8"/>
    <mergeCell ref="A3:AD3"/>
    <mergeCell ref="Y6:Z8"/>
    <mergeCell ref="AA6:AB8"/>
    <mergeCell ref="U6:V8"/>
    <mergeCell ref="W6:X8"/>
    <mergeCell ref="AC5:AD5"/>
    <mergeCell ref="I6:J8"/>
    <mergeCell ref="K6:T6"/>
    <mergeCell ref="K7:L8"/>
    <mergeCell ref="M7:N8"/>
    <mergeCell ref="O7:P8"/>
    <mergeCell ref="U5:V5"/>
    <mergeCell ref="Q7:R8"/>
    <mergeCell ref="S7:T8"/>
    <mergeCell ref="W5:X5"/>
    <mergeCell ref="B129:F129"/>
    <mergeCell ref="E80:F80"/>
    <mergeCell ref="D91:F91"/>
    <mergeCell ref="D106:F106"/>
    <mergeCell ref="D117:F117"/>
    <mergeCell ref="E124:F124"/>
    <mergeCell ref="E128:F128"/>
    <mergeCell ref="I5:J5"/>
    <mergeCell ref="C53:D53"/>
    <mergeCell ref="A1:AD1"/>
    <mergeCell ref="A2:AD2"/>
    <mergeCell ref="D51:F51"/>
    <mergeCell ref="Y5:Z5"/>
    <mergeCell ref="AA5:AB5"/>
    <mergeCell ref="M5:N5"/>
    <mergeCell ref="O5:P5"/>
    <mergeCell ref="Q5:R5"/>
    <mergeCell ref="S5:T5"/>
    <mergeCell ref="K5:L5"/>
    <mergeCell ref="G5:G9"/>
    <mergeCell ref="A5:F9"/>
    <mergeCell ref="D50:E50"/>
    <mergeCell ref="C43:D43"/>
    <mergeCell ref="D44:F44"/>
    <mergeCell ref="D45:F45"/>
  </mergeCells>
  <phoneticPr fontId="0" type="noConversion"/>
  <dataValidations count="1">
    <dataValidation type="decimal" operator="lessThan" allowBlank="1" showInputMessage="1" showErrorMessage="1" sqref="I10:FN587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8b3&amp;8&amp;U
&amp;P of &amp;N&amp;C&amp;"Arial,Bold"&amp;8 MAXIMUM SAVINGS BANK, INC.  [ 03-070011 ]
 As of: June 30, 2019</oddHeader>
  </headerFooter>
  <drawing r:id="rId2"/>
  <legacyDrawing r:id="rId3"/>
  <controls>
    <mc:AlternateContent xmlns:mc="http://schemas.openxmlformats.org/markup-compatibility/2006">
      <mc:Choice Requires="x14">
        <control shapeId="22529" r:id="rId4" name="Label1">
          <controlPr defaultSize="0" autoLine="0" r:id="rId5">
            <anchor moveWithCells="1">
              <from>
                <xdr:col>7</xdr:col>
                <xdr:colOff>257175</xdr:colOff>
                <xdr:row>17</xdr:row>
                <xdr:rowOff>28575</xdr:rowOff>
              </from>
              <to>
                <xdr:col>7</xdr:col>
                <xdr:colOff>676275</xdr:colOff>
                <xdr:row>18</xdr:row>
                <xdr:rowOff>28575</xdr:rowOff>
              </to>
            </anchor>
          </controlPr>
        </control>
      </mc:Choice>
      <mc:Fallback>
        <control shapeId="22529" r:id="rId4" name="Label1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D42"/>
  <sheetViews>
    <sheetView zoomScale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E17" sqref="E17"/>
    </sheetView>
  </sheetViews>
  <sheetFormatPr defaultRowHeight="11.25" x14ac:dyDescent="0.2"/>
  <cols>
    <col min="1" max="4" width="2.7109375" style="1" customWidth="1"/>
    <col min="5" max="5" width="25.85546875" style="1" customWidth="1"/>
    <col min="6" max="6" width="21.7109375" style="1" hidden="1" customWidth="1"/>
    <col min="7" max="7" width="18.42578125" style="1" customWidth="1"/>
    <col min="8" max="8" width="9.85546875" style="1" customWidth="1"/>
    <col min="9" max="30" width="20.7109375" style="1" customWidth="1"/>
    <col min="31" max="16384" width="9.140625" style="1"/>
  </cols>
  <sheetData>
    <row r="1" spans="1:30" s="165" customFormat="1" ht="12.75" x14ac:dyDescent="0.2">
      <c r="A1" s="512" t="s">
        <v>419</v>
      </c>
      <c r="B1" s="512"/>
      <c r="C1" s="512"/>
      <c r="D1" s="512"/>
      <c r="E1" s="512"/>
      <c r="F1" s="512"/>
      <c r="G1" s="512"/>
      <c r="H1" s="512"/>
      <c r="I1" s="512"/>
      <c r="J1" s="512"/>
      <c r="K1" s="512"/>
      <c r="L1" s="512"/>
      <c r="M1" s="512"/>
      <c r="N1" s="512"/>
      <c r="O1" s="512"/>
      <c r="P1" s="512"/>
      <c r="Q1" s="512"/>
      <c r="R1" s="512"/>
      <c r="S1" s="512"/>
      <c r="T1" s="512"/>
      <c r="U1" s="512"/>
      <c r="V1" s="512"/>
      <c r="W1" s="512"/>
      <c r="X1" s="512"/>
      <c r="Y1" s="512"/>
      <c r="Z1" s="512"/>
      <c r="AA1" s="512"/>
      <c r="AB1" s="512"/>
      <c r="AC1" s="512"/>
      <c r="AD1" s="512"/>
    </row>
    <row r="2" spans="1:30" s="165" customFormat="1" ht="12.75" x14ac:dyDescent="0.2">
      <c r="A2" s="512" t="s">
        <v>325</v>
      </c>
      <c r="B2" s="512"/>
      <c r="C2" s="512"/>
      <c r="D2" s="512"/>
      <c r="E2" s="512"/>
      <c r="F2" s="512"/>
      <c r="G2" s="512"/>
      <c r="H2" s="512"/>
      <c r="I2" s="512"/>
      <c r="J2" s="512"/>
      <c r="K2" s="512"/>
      <c r="L2" s="512"/>
      <c r="M2" s="512"/>
      <c r="N2" s="512"/>
      <c r="O2" s="512"/>
      <c r="P2" s="512"/>
      <c r="Q2" s="512"/>
      <c r="R2" s="512"/>
      <c r="S2" s="512"/>
      <c r="T2" s="512"/>
      <c r="U2" s="512"/>
      <c r="V2" s="512"/>
      <c r="W2" s="512"/>
      <c r="X2" s="512"/>
      <c r="Y2" s="512"/>
      <c r="Z2" s="512"/>
      <c r="AA2" s="512"/>
      <c r="AB2" s="512"/>
      <c r="AC2" s="512"/>
      <c r="AD2" s="512"/>
    </row>
    <row r="3" spans="1:30" s="165" customFormat="1" ht="12.75" x14ac:dyDescent="0.2">
      <c r="A3" s="512" t="s">
        <v>391</v>
      </c>
      <c r="B3" s="512"/>
      <c r="C3" s="512"/>
      <c r="D3" s="512"/>
      <c r="E3" s="512"/>
      <c r="F3" s="512"/>
      <c r="G3" s="512"/>
      <c r="H3" s="512"/>
      <c r="I3" s="512"/>
      <c r="J3" s="512"/>
      <c r="K3" s="512"/>
      <c r="L3" s="512"/>
      <c r="M3" s="512"/>
      <c r="N3" s="512"/>
      <c r="O3" s="512"/>
      <c r="P3" s="512"/>
      <c r="Q3" s="512"/>
      <c r="R3" s="512"/>
      <c r="S3" s="512"/>
      <c r="T3" s="512"/>
      <c r="U3" s="512"/>
      <c r="V3" s="512"/>
      <c r="W3" s="512"/>
      <c r="X3" s="512"/>
      <c r="Y3" s="512"/>
      <c r="Z3" s="512"/>
      <c r="AA3" s="512"/>
      <c r="AB3" s="512"/>
      <c r="AC3" s="512"/>
      <c r="AD3" s="512"/>
    </row>
    <row r="4" spans="1:30" x14ac:dyDescent="0.2">
      <c r="A4" s="217"/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  <c r="S4" s="217"/>
      <c r="T4" s="217"/>
      <c r="U4" s="217"/>
      <c r="V4" s="217"/>
      <c r="W4" s="217"/>
      <c r="X4" s="217"/>
      <c r="Y4" s="217"/>
      <c r="Z4" s="217"/>
      <c r="AA4" s="217"/>
      <c r="AB4" s="217"/>
      <c r="AC4" s="217"/>
      <c r="AD4" s="217"/>
    </row>
    <row r="5" spans="1:30" x14ac:dyDescent="0.2">
      <c r="A5" s="504" t="s">
        <v>0</v>
      </c>
      <c r="B5" s="505"/>
      <c r="C5" s="505"/>
      <c r="D5" s="505"/>
      <c r="E5" s="505"/>
      <c r="F5" s="506"/>
      <c r="G5" s="496" t="s">
        <v>2</v>
      </c>
      <c r="H5" s="592" t="s">
        <v>414</v>
      </c>
      <c r="I5" s="518" t="s">
        <v>309</v>
      </c>
      <c r="J5" s="521"/>
      <c r="K5" s="518" t="s">
        <v>310</v>
      </c>
      <c r="L5" s="521"/>
      <c r="M5" s="580" t="s">
        <v>311</v>
      </c>
      <c r="N5" s="582"/>
      <c r="O5" s="580" t="s">
        <v>312</v>
      </c>
      <c r="P5" s="582"/>
      <c r="Q5" s="580" t="s">
        <v>313</v>
      </c>
      <c r="R5" s="582"/>
      <c r="S5" s="580" t="s">
        <v>314</v>
      </c>
      <c r="T5" s="582"/>
      <c r="U5" s="580" t="s">
        <v>315</v>
      </c>
      <c r="V5" s="582"/>
      <c r="W5" s="580" t="s">
        <v>316</v>
      </c>
      <c r="X5" s="582"/>
      <c r="Y5" s="580" t="s">
        <v>317</v>
      </c>
      <c r="Z5" s="582"/>
      <c r="AA5" s="580" t="s">
        <v>318</v>
      </c>
      <c r="AB5" s="582"/>
      <c r="AC5" s="580" t="s">
        <v>307</v>
      </c>
      <c r="AD5" s="582"/>
    </row>
    <row r="6" spans="1:30" x14ac:dyDescent="0.2">
      <c r="A6" s="507"/>
      <c r="B6" s="508"/>
      <c r="C6" s="508"/>
      <c r="D6" s="508"/>
      <c r="E6" s="508"/>
      <c r="F6" s="509"/>
      <c r="G6" s="497"/>
      <c r="H6" s="610"/>
      <c r="I6" s="592" t="s">
        <v>755</v>
      </c>
      <c r="J6" s="600"/>
      <c r="K6" s="518" t="s">
        <v>324</v>
      </c>
      <c r="L6" s="533"/>
      <c r="M6" s="533"/>
      <c r="N6" s="533"/>
      <c r="O6" s="533"/>
      <c r="P6" s="533"/>
      <c r="Q6" s="533"/>
      <c r="R6" s="533"/>
      <c r="S6" s="533"/>
      <c r="T6" s="521"/>
      <c r="U6" s="592" t="s">
        <v>319</v>
      </c>
      <c r="V6" s="600"/>
      <c r="W6" s="592" t="s">
        <v>320</v>
      </c>
      <c r="X6" s="600"/>
      <c r="Y6" s="592" t="s">
        <v>321</v>
      </c>
      <c r="Z6" s="600"/>
      <c r="AA6" s="592" t="s">
        <v>390</v>
      </c>
      <c r="AB6" s="600"/>
      <c r="AC6" s="592" t="s">
        <v>328</v>
      </c>
      <c r="AD6" s="600"/>
    </row>
    <row r="7" spans="1:30" x14ac:dyDescent="0.2">
      <c r="A7" s="507"/>
      <c r="B7" s="508"/>
      <c r="C7" s="508"/>
      <c r="D7" s="508"/>
      <c r="E7" s="508"/>
      <c r="F7" s="509"/>
      <c r="G7" s="497"/>
      <c r="H7" s="610"/>
      <c r="I7" s="593"/>
      <c r="J7" s="601"/>
      <c r="K7" s="504" t="s">
        <v>779</v>
      </c>
      <c r="L7" s="506"/>
      <c r="M7" s="504" t="s">
        <v>780</v>
      </c>
      <c r="N7" s="506"/>
      <c r="O7" s="504" t="s">
        <v>781</v>
      </c>
      <c r="P7" s="506"/>
      <c r="Q7" s="504" t="s">
        <v>782</v>
      </c>
      <c r="R7" s="506"/>
      <c r="S7" s="504" t="s">
        <v>308</v>
      </c>
      <c r="T7" s="506"/>
      <c r="U7" s="593"/>
      <c r="V7" s="601"/>
      <c r="W7" s="593"/>
      <c r="X7" s="601"/>
      <c r="Y7" s="593"/>
      <c r="Z7" s="601"/>
      <c r="AA7" s="593"/>
      <c r="AB7" s="601"/>
      <c r="AC7" s="593"/>
      <c r="AD7" s="601"/>
    </row>
    <row r="8" spans="1:30" x14ac:dyDescent="0.2">
      <c r="A8" s="507"/>
      <c r="B8" s="508"/>
      <c r="C8" s="508"/>
      <c r="D8" s="508"/>
      <c r="E8" s="508"/>
      <c r="F8" s="509"/>
      <c r="G8" s="497"/>
      <c r="H8" s="610"/>
      <c r="I8" s="593"/>
      <c r="J8" s="601"/>
      <c r="K8" s="491"/>
      <c r="L8" s="492"/>
      <c r="M8" s="491"/>
      <c r="N8" s="492"/>
      <c r="O8" s="491"/>
      <c r="P8" s="492"/>
      <c r="Q8" s="491"/>
      <c r="R8" s="492"/>
      <c r="S8" s="491"/>
      <c r="T8" s="492"/>
      <c r="U8" s="594"/>
      <c r="V8" s="602"/>
      <c r="W8" s="594"/>
      <c r="X8" s="602"/>
      <c r="Y8" s="594"/>
      <c r="Z8" s="602"/>
      <c r="AA8" s="594"/>
      <c r="AB8" s="602"/>
      <c r="AC8" s="594"/>
      <c r="AD8" s="602"/>
    </row>
    <row r="9" spans="1:30" x14ac:dyDescent="0.2">
      <c r="A9" s="507"/>
      <c r="B9" s="508"/>
      <c r="C9" s="508"/>
      <c r="D9" s="508"/>
      <c r="E9" s="508"/>
      <c r="F9" s="492"/>
      <c r="G9" s="498"/>
      <c r="H9" s="611"/>
      <c r="I9" s="37" t="s">
        <v>5</v>
      </c>
      <c r="J9" s="37" t="s">
        <v>6</v>
      </c>
      <c r="K9" s="37" t="s">
        <v>5</v>
      </c>
      <c r="L9" s="37" t="s">
        <v>6</v>
      </c>
      <c r="M9" s="37" t="s">
        <v>5</v>
      </c>
      <c r="N9" s="37" t="s">
        <v>6</v>
      </c>
      <c r="O9" s="37" t="s">
        <v>5</v>
      </c>
      <c r="P9" s="37" t="s">
        <v>6</v>
      </c>
      <c r="Q9" s="37" t="s">
        <v>5</v>
      </c>
      <c r="R9" s="37" t="s">
        <v>6</v>
      </c>
      <c r="S9" s="37" t="s">
        <v>5</v>
      </c>
      <c r="T9" s="37" t="s">
        <v>6</v>
      </c>
      <c r="U9" s="37" t="s">
        <v>5</v>
      </c>
      <c r="V9" s="37" t="s">
        <v>6</v>
      </c>
      <c r="W9" s="37" t="s">
        <v>5</v>
      </c>
      <c r="X9" s="37" t="s">
        <v>6</v>
      </c>
      <c r="Y9" s="37" t="s">
        <v>5</v>
      </c>
      <c r="Z9" s="37" t="s">
        <v>6</v>
      </c>
      <c r="AA9" s="37" t="s">
        <v>5</v>
      </c>
      <c r="AB9" s="37" t="s">
        <v>6</v>
      </c>
      <c r="AC9" s="37" t="s">
        <v>5</v>
      </c>
      <c r="AD9" s="37" t="s">
        <v>6</v>
      </c>
    </row>
    <row r="10" spans="1:30" x14ac:dyDescent="0.2">
      <c r="A10" s="377" t="s">
        <v>185</v>
      </c>
      <c r="B10" s="378"/>
      <c r="C10" s="378"/>
      <c r="D10" s="378"/>
      <c r="E10" s="379"/>
      <c r="F10" s="382"/>
      <c r="G10" s="320"/>
      <c r="H10" s="18"/>
      <c r="I10" s="78"/>
      <c r="J10" s="78"/>
      <c r="K10" s="78"/>
      <c r="L10" s="78"/>
      <c r="M10" s="78"/>
      <c r="N10" s="78"/>
      <c r="O10" s="78"/>
      <c r="P10" s="78"/>
      <c r="Q10" s="78"/>
      <c r="R10" s="78"/>
      <c r="S10" s="78"/>
      <c r="T10" s="78"/>
      <c r="U10" s="78"/>
      <c r="V10" s="78"/>
      <c r="W10" s="78"/>
      <c r="X10" s="78"/>
      <c r="Y10" s="78"/>
      <c r="Z10" s="78"/>
      <c r="AA10" s="78"/>
      <c r="AB10" s="78"/>
      <c r="AC10" s="78"/>
      <c r="AD10" s="78"/>
    </row>
    <row r="11" spans="1:30" x14ac:dyDescent="0.2">
      <c r="A11" s="380" t="s">
        <v>186</v>
      </c>
      <c r="B11" s="381" t="s">
        <v>187</v>
      </c>
      <c r="C11" s="355"/>
      <c r="D11" s="355"/>
      <c r="E11" s="382"/>
      <c r="F11" s="382"/>
      <c r="G11" s="458" t="s">
        <v>672</v>
      </c>
      <c r="H11" s="18"/>
      <c r="I11" s="78">
        <f t="shared" ref="I11:AB11" si="0">SUM(I12,I24,I25,I28)</f>
        <v>0</v>
      </c>
      <c r="J11" s="78">
        <f t="shared" si="0"/>
        <v>0</v>
      </c>
      <c r="K11" s="78">
        <f t="shared" si="0"/>
        <v>0</v>
      </c>
      <c r="L11" s="78">
        <f t="shared" si="0"/>
        <v>0</v>
      </c>
      <c r="M11" s="78">
        <f t="shared" si="0"/>
        <v>0</v>
      </c>
      <c r="N11" s="78">
        <f t="shared" si="0"/>
        <v>0</v>
      </c>
      <c r="O11" s="78">
        <f t="shared" si="0"/>
        <v>0</v>
      </c>
      <c r="P11" s="78">
        <f t="shared" si="0"/>
        <v>0</v>
      </c>
      <c r="Q11" s="78">
        <f t="shared" si="0"/>
        <v>0</v>
      </c>
      <c r="R11" s="78">
        <f t="shared" si="0"/>
        <v>0</v>
      </c>
      <c r="S11" s="78">
        <f t="shared" si="0"/>
        <v>0</v>
      </c>
      <c r="T11" s="78">
        <f t="shared" si="0"/>
        <v>0</v>
      </c>
      <c r="U11" s="78">
        <f t="shared" si="0"/>
        <v>0</v>
      </c>
      <c r="V11" s="78">
        <f t="shared" si="0"/>
        <v>0</v>
      </c>
      <c r="W11" s="78">
        <f t="shared" si="0"/>
        <v>0</v>
      </c>
      <c r="X11" s="78">
        <f t="shared" si="0"/>
        <v>0</v>
      </c>
      <c r="Y11" s="78">
        <f t="shared" si="0"/>
        <v>0</v>
      </c>
      <c r="Z11" s="78">
        <f t="shared" si="0"/>
        <v>0</v>
      </c>
      <c r="AA11" s="78">
        <f t="shared" si="0"/>
        <v>0</v>
      </c>
      <c r="AB11" s="78">
        <f t="shared" si="0"/>
        <v>0</v>
      </c>
      <c r="AC11" s="78">
        <f t="shared" ref="AC11:AD19" si="1">(I11+K11+M11+O11+Q11+S11+U11) - (W11+Y11)</f>
        <v>0</v>
      </c>
      <c r="AD11" s="78">
        <f t="shared" si="1"/>
        <v>0</v>
      </c>
    </row>
    <row r="12" spans="1:30" x14ac:dyDescent="0.2">
      <c r="A12" s="384"/>
      <c r="B12" s="385" t="s">
        <v>188</v>
      </c>
      <c r="C12" s="385" t="s">
        <v>823</v>
      </c>
      <c r="D12" s="385"/>
      <c r="E12" s="383"/>
      <c r="F12" s="382"/>
      <c r="G12" s="458" t="s">
        <v>673</v>
      </c>
      <c r="H12" s="18"/>
      <c r="I12" s="78">
        <f t="shared" ref="I12:AB12" si="2">SUM(I13,I19,I20)</f>
        <v>0</v>
      </c>
      <c r="J12" s="78">
        <f t="shared" si="2"/>
        <v>0</v>
      </c>
      <c r="K12" s="78">
        <f t="shared" si="2"/>
        <v>0</v>
      </c>
      <c r="L12" s="78">
        <f t="shared" si="2"/>
        <v>0</v>
      </c>
      <c r="M12" s="78">
        <f t="shared" si="2"/>
        <v>0</v>
      </c>
      <c r="N12" s="78">
        <f t="shared" si="2"/>
        <v>0</v>
      </c>
      <c r="O12" s="78">
        <f t="shared" si="2"/>
        <v>0</v>
      </c>
      <c r="P12" s="78">
        <f t="shared" si="2"/>
        <v>0</v>
      </c>
      <c r="Q12" s="78">
        <f t="shared" si="2"/>
        <v>0</v>
      </c>
      <c r="R12" s="78">
        <f t="shared" si="2"/>
        <v>0</v>
      </c>
      <c r="S12" s="78">
        <f t="shared" si="2"/>
        <v>0</v>
      </c>
      <c r="T12" s="78">
        <f t="shared" si="2"/>
        <v>0</v>
      </c>
      <c r="U12" s="78">
        <f t="shared" si="2"/>
        <v>0</v>
      </c>
      <c r="V12" s="78">
        <f t="shared" si="2"/>
        <v>0</v>
      </c>
      <c r="W12" s="78">
        <f t="shared" si="2"/>
        <v>0</v>
      </c>
      <c r="X12" s="78">
        <f t="shared" si="2"/>
        <v>0</v>
      </c>
      <c r="Y12" s="78">
        <f t="shared" si="2"/>
        <v>0</v>
      </c>
      <c r="Z12" s="78">
        <f t="shared" si="2"/>
        <v>0</v>
      </c>
      <c r="AA12" s="78">
        <f t="shared" si="2"/>
        <v>0</v>
      </c>
      <c r="AB12" s="78">
        <f t="shared" si="2"/>
        <v>0</v>
      </c>
      <c r="AC12" s="78">
        <f t="shared" si="1"/>
        <v>0</v>
      </c>
      <c r="AD12" s="78">
        <f t="shared" si="1"/>
        <v>0</v>
      </c>
    </row>
    <row r="13" spans="1:30" x14ac:dyDescent="0.2">
      <c r="A13" s="386"/>
      <c r="B13" s="355"/>
      <c r="C13" s="387" t="s">
        <v>19</v>
      </c>
      <c r="D13" s="355" t="s">
        <v>189</v>
      </c>
      <c r="E13" s="382"/>
      <c r="F13" s="382"/>
      <c r="G13" s="458" t="s">
        <v>674</v>
      </c>
      <c r="H13" s="18"/>
      <c r="I13" s="292">
        <f>I14+I15+I16</f>
        <v>0</v>
      </c>
      <c r="J13" s="292">
        <f t="shared" ref="J13:AB13" si="3">J14+J15+J16</f>
        <v>0</v>
      </c>
      <c r="K13" s="292">
        <f t="shared" si="3"/>
        <v>0</v>
      </c>
      <c r="L13" s="292">
        <f t="shared" si="3"/>
        <v>0</v>
      </c>
      <c r="M13" s="292">
        <f t="shared" si="3"/>
        <v>0</v>
      </c>
      <c r="N13" s="292">
        <f t="shared" si="3"/>
        <v>0</v>
      </c>
      <c r="O13" s="292">
        <f t="shared" si="3"/>
        <v>0</v>
      </c>
      <c r="P13" s="292">
        <f t="shared" si="3"/>
        <v>0</v>
      </c>
      <c r="Q13" s="292">
        <f t="shared" si="3"/>
        <v>0</v>
      </c>
      <c r="R13" s="292">
        <f t="shared" si="3"/>
        <v>0</v>
      </c>
      <c r="S13" s="292">
        <f t="shared" si="3"/>
        <v>0</v>
      </c>
      <c r="T13" s="292">
        <f t="shared" si="3"/>
        <v>0</v>
      </c>
      <c r="U13" s="292">
        <f t="shared" si="3"/>
        <v>0</v>
      </c>
      <c r="V13" s="292">
        <f t="shared" si="3"/>
        <v>0</v>
      </c>
      <c r="W13" s="292">
        <f t="shared" si="3"/>
        <v>0</v>
      </c>
      <c r="X13" s="292">
        <f t="shared" si="3"/>
        <v>0</v>
      </c>
      <c r="Y13" s="292">
        <f t="shared" si="3"/>
        <v>0</v>
      </c>
      <c r="Z13" s="292">
        <f t="shared" si="3"/>
        <v>0</v>
      </c>
      <c r="AA13" s="292">
        <f t="shared" si="3"/>
        <v>0</v>
      </c>
      <c r="AB13" s="292">
        <f t="shared" si="3"/>
        <v>0</v>
      </c>
      <c r="AC13" s="78">
        <f t="shared" si="1"/>
        <v>0</v>
      </c>
      <c r="AD13" s="78">
        <f t="shared" si="1"/>
        <v>0</v>
      </c>
    </row>
    <row r="14" spans="1:30" x14ac:dyDescent="0.2">
      <c r="A14" s="386"/>
      <c r="B14" s="355"/>
      <c r="C14" s="387"/>
      <c r="D14" s="355" t="s">
        <v>11</v>
      </c>
      <c r="E14" s="355" t="s">
        <v>789</v>
      </c>
      <c r="F14" s="383"/>
      <c r="G14" s="458" t="s">
        <v>829</v>
      </c>
      <c r="H14" s="18"/>
      <c r="I14" s="300"/>
      <c r="J14" s="300"/>
      <c r="K14" s="300"/>
      <c r="L14" s="300"/>
      <c r="M14" s="300"/>
      <c r="N14" s="300"/>
      <c r="O14" s="300"/>
      <c r="P14" s="300"/>
      <c r="Q14" s="300"/>
      <c r="R14" s="300"/>
      <c r="S14" s="300"/>
      <c r="T14" s="300"/>
      <c r="U14" s="300"/>
      <c r="V14" s="300"/>
      <c r="W14" s="300"/>
      <c r="X14" s="300"/>
      <c r="Y14" s="300"/>
      <c r="Z14" s="300"/>
      <c r="AA14" s="300"/>
      <c r="AB14" s="300"/>
      <c r="AC14" s="79"/>
      <c r="AD14" s="79"/>
    </row>
    <row r="15" spans="1:30" x14ac:dyDescent="0.2">
      <c r="A15" s="386"/>
      <c r="B15" s="355"/>
      <c r="C15" s="387"/>
      <c r="D15" s="355" t="s">
        <v>15</v>
      </c>
      <c r="E15" s="392" t="s">
        <v>790</v>
      </c>
      <c r="F15" s="383"/>
      <c r="G15" s="458" t="s">
        <v>830</v>
      </c>
      <c r="H15" s="18"/>
      <c r="I15" s="300"/>
      <c r="J15" s="300"/>
      <c r="K15" s="300"/>
      <c r="L15" s="300"/>
      <c r="M15" s="300"/>
      <c r="N15" s="300"/>
      <c r="O15" s="300"/>
      <c r="P15" s="300"/>
      <c r="Q15" s="300"/>
      <c r="R15" s="300"/>
      <c r="S15" s="300"/>
      <c r="T15" s="300"/>
      <c r="U15" s="300"/>
      <c r="V15" s="300"/>
      <c r="W15" s="300"/>
      <c r="X15" s="300"/>
      <c r="Y15" s="300"/>
      <c r="Z15" s="300"/>
      <c r="AA15" s="300"/>
      <c r="AB15" s="300"/>
      <c r="AC15" s="79"/>
      <c r="AD15" s="79"/>
    </row>
    <row r="16" spans="1:30" x14ac:dyDescent="0.2">
      <c r="A16" s="386"/>
      <c r="B16" s="355"/>
      <c r="C16" s="387"/>
      <c r="D16" s="355" t="s">
        <v>25</v>
      </c>
      <c r="E16" s="355" t="s">
        <v>791</v>
      </c>
      <c r="F16" s="383"/>
      <c r="G16" s="458" t="s">
        <v>831</v>
      </c>
      <c r="H16" s="85" t="s">
        <v>751</v>
      </c>
      <c r="I16" s="292">
        <f t="shared" ref="I16:AB16" si="4">SUM(I17:I18)</f>
        <v>0</v>
      </c>
      <c r="J16" s="292">
        <f t="shared" si="4"/>
        <v>0</v>
      </c>
      <c r="K16" s="292">
        <f t="shared" si="4"/>
        <v>0</v>
      </c>
      <c r="L16" s="292">
        <f t="shared" si="4"/>
        <v>0</v>
      </c>
      <c r="M16" s="292">
        <f t="shared" si="4"/>
        <v>0</v>
      </c>
      <c r="N16" s="292">
        <f t="shared" si="4"/>
        <v>0</v>
      </c>
      <c r="O16" s="292">
        <f t="shared" si="4"/>
        <v>0</v>
      </c>
      <c r="P16" s="292">
        <f t="shared" si="4"/>
        <v>0</v>
      </c>
      <c r="Q16" s="292">
        <f t="shared" si="4"/>
        <v>0</v>
      </c>
      <c r="R16" s="292">
        <f t="shared" si="4"/>
        <v>0</v>
      </c>
      <c r="S16" s="292">
        <f t="shared" si="4"/>
        <v>0</v>
      </c>
      <c r="T16" s="292">
        <f t="shared" si="4"/>
        <v>0</v>
      </c>
      <c r="U16" s="292">
        <f t="shared" si="4"/>
        <v>0</v>
      </c>
      <c r="V16" s="292">
        <f t="shared" si="4"/>
        <v>0</v>
      </c>
      <c r="W16" s="292">
        <f t="shared" si="4"/>
        <v>0</v>
      </c>
      <c r="X16" s="292">
        <f t="shared" si="4"/>
        <v>0</v>
      </c>
      <c r="Y16" s="292">
        <f t="shared" si="4"/>
        <v>0</v>
      </c>
      <c r="Z16" s="292">
        <f t="shared" si="4"/>
        <v>0</v>
      </c>
      <c r="AA16" s="292">
        <f t="shared" si="4"/>
        <v>0</v>
      </c>
      <c r="AB16" s="292">
        <f t="shared" si="4"/>
        <v>0</v>
      </c>
      <c r="AC16" s="78">
        <f t="shared" si="1"/>
        <v>0</v>
      </c>
      <c r="AD16" s="78">
        <f t="shared" si="1"/>
        <v>0</v>
      </c>
    </row>
    <row r="17" spans="1:30" x14ac:dyDescent="0.2">
      <c r="A17" s="129"/>
      <c r="B17" s="124"/>
      <c r="C17" s="149"/>
      <c r="D17" s="124"/>
      <c r="E17" s="310"/>
      <c r="F17" s="290"/>
      <c r="G17" s="458"/>
      <c r="H17" s="91">
        <v>1</v>
      </c>
      <c r="I17" s="81"/>
      <c r="J17" s="81"/>
      <c r="K17" s="81"/>
      <c r="L17" s="81"/>
      <c r="M17" s="81"/>
      <c r="N17" s="81"/>
      <c r="O17" s="81"/>
      <c r="P17" s="81"/>
      <c r="Q17" s="81"/>
      <c r="R17" s="81"/>
      <c r="S17" s="81"/>
      <c r="T17" s="81"/>
      <c r="U17" s="81"/>
      <c r="V17" s="81"/>
      <c r="W17" s="81"/>
      <c r="X17" s="81"/>
      <c r="Y17" s="81"/>
      <c r="Z17" s="81"/>
      <c r="AA17" s="81"/>
      <c r="AB17" s="81"/>
      <c r="AC17" s="78">
        <f>(I17+K17+M17+O17+Q17+S17+U17) - (W17+Y17)</f>
        <v>0</v>
      </c>
      <c r="AD17" s="78">
        <f>(J17+L17+N17+P17+R17+T17+V17) - (X17+Z17)</f>
        <v>0</v>
      </c>
    </row>
    <row r="18" spans="1:30" x14ac:dyDescent="0.2">
      <c r="A18" s="408"/>
      <c r="B18" s="392"/>
      <c r="C18" s="409"/>
      <c r="D18" s="392"/>
      <c r="E18" s="392"/>
      <c r="F18" s="383"/>
      <c r="G18" s="458"/>
      <c r="H18" s="239" t="str">
        <f>CHAR(132)</f>
        <v>„</v>
      </c>
      <c r="I18" s="317"/>
      <c r="J18" s="317"/>
      <c r="K18" s="317"/>
      <c r="L18" s="317"/>
      <c r="M18" s="317"/>
      <c r="N18" s="317"/>
      <c r="O18" s="317"/>
      <c r="P18" s="317"/>
      <c r="Q18" s="317"/>
      <c r="R18" s="317"/>
      <c r="S18" s="317"/>
      <c r="T18" s="317"/>
      <c r="U18" s="317"/>
      <c r="V18" s="317"/>
      <c r="W18" s="317"/>
      <c r="X18" s="317"/>
      <c r="Y18" s="317"/>
      <c r="Z18" s="317"/>
      <c r="AA18" s="317"/>
      <c r="AB18" s="317"/>
      <c r="AC18" s="78"/>
      <c r="AD18" s="78"/>
    </row>
    <row r="19" spans="1:30" x14ac:dyDescent="0.2">
      <c r="A19" s="384"/>
      <c r="B19" s="385"/>
      <c r="C19" s="390" t="s">
        <v>21</v>
      </c>
      <c r="D19" s="385" t="s">
        <v>326</v>
      </c>
      <c r="E19" s="383"/>
      <c r="F19" s="382"/>
      <c r="G19" s="458" t="s">
        <v>675</v>
      </c>
      <c r="H19" s="18"/>
      <c r="I19" s="82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2"/>
      <c r="X19" s="82"/>
      <c r="Y19" s="82"/>
      <c r="Z19" s="82"/>
      <c r="AA19" s="82"/>
      <c r="AB19" s="82"/>
      <c r="AC19" s="78">
        <f t="shared" si="1"/>
        <v>0</v>
      </c>
      <c r="AD19" s="78">
        <f t="shared" si="1"/>
        <v>0</v>
      </c>
    </row>
    <row r="20" spans="1:30" x14ac:dyDescent="0.2">
      <c r="A20" s="386"/>
      <c r="B20" s="355"/>
      <c r="C20" s="387" t="s">
        <v>60</v>
      </c>
      <c r="D20" s="355" t="s">
        <v>191</v>
      </c>
      <c r="E20" s="382"/>
      <c r="F20" s="382"/>
      <c r="G20" s="458" t="s">
        <v>676</v>
      </c>
      <c r="H20" s="18"/>
      <c r="I20" s="78">
        <f t="shared" ref="I20:AB20" si="5">SUM(I21,I22,I23)</f>
        <v>0</v>
      </c>
      <c r="J20" s="78">
        <f t="shared" si="5"/>
        <v>0</v>
      </c>
      <c r="K20" s="78">
        <f t="shared" si="5"/>
        <v>0</v>
      </c>
      <c r="L20" s="78">
        <f t="shared" si="5"/>
        <v>0</v>
      </c>
      <c r="M20" s="78">
        <f t="shared" si="5"/>
        <v>0</v>
      </c>
      <c r="N20" s="78">
        <f t="shared" si="5"/>
        <v>0</v>
      </c>
      <c r="O20" s="78">
        <f t="shared" si="5"/>
        <v>0</v>
      </c>
      <c r="P20" s="78">
        <f t="shared" si="5"/>
        <v>0</v>
      </c>
      <c r="Q20" s="78">
        <f t="shared" si="5"/>
        <v>0</v>
      </c>
      <c r="R20" s="78">
        <f t="shared" si="5"/>
        <v>0</v>
      </c>
      <c r="S20" s="78">
        <f t="shared" si="5"/>
        <v>0</v>
      </c>
      <c r="T20" s="78">
        <f t="shared" si="5"/>
        <v>0</v>
      </c>
      <c r="U20" s="78">
        <f t="shared" si="5"/>
        <v>0</v>
      </c>
      <c r="V20" s="78">
        <f t="shared" si="5"/>
        <v>0</v>
      </c>
      <c r="W20" s="78">
        <f t="shared" si="5"/>
        <v>0</v>
      </c>
      <c r="X20" s="78">
        <f t="shared" si="5"/>
        <v>0</v>
      </c>
      <c r="Y20" s="78">
        <f t="shared" si="5"/>
        <v>0</v>
      </c>
      <c r="Z20" s="78">
        <f t="shared" si="5"/>
        <v>0</v>
      </c>
      <c r="AA20" s="78">
        <f t="shared" si="5"/>
        <v>0</v>
      </c>
      <c r="AB20" s="78">
        <f t="shared" si="5"/>
        <v>0</v>
      </c>
      <c r="AC20" s="78">
        <f t="shared" ref="AC20:AD41" si="6">(I20+K20+M20+O20+Q20+S20+U20) - (W20+Y20)</f>
        <v>0</v>
      </c>
      <c r="AD20" s="78">
        <f t="shared" si="6"/>
        <v>0</v>
      </c>
    </row>
    <row r="21" spans="1:30" x14ac:dyDescent="0.2">
      <c r="A21" s="384"/>
      <c r="B21" s="385"/>
      <c r="C21" s="390"/>
      <c r="D21" s="385" t="s">
        <v>11</v>
      </c>
      <c r="E21" s="383" t="s">
        <v>192</v>
      </c>
      <c r="F21" s="382"/>
      <c r="G21" s="458" t="s">
        <v>677</v>
      </c>
      <c r="H21" s="18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78">
        <f t="shared" si="6"/>
        <v>0</v>
      </c>
      <c r="AD21" s="78">
        <f t="shared" si="6"/>
        <v>0</v>
      </c>
    </row>
    <row r="22" spans="1:30" x14ac:dyDescent="0.2">
      <c r="A22" s="386"/>
      <c r="B22" s="355"/>
      <c r="C22" s="355"/>
      <c r="D22" s="355" t="s">
        <v>15</v>
      </c>
      <c r="E22" s="382" t="s">
        <v>193</v>
      </c>
      <c r="F22" s="382"/>
      <c r="G22" s="458" t="s">
        <v>678</v>
      </c>
      <c r="H22" s="18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78">
        <f t="shared" si="6"/>
        <v>0</v>
      </c>
      <c r="AD22" s="78">
        <f t="shared" si="6"/>
        <v>0</v>
      </c>
    </row>
    <row r="23" spans="1:30" x14ac:dyDescent="0.2">
      <c r="A23" s="384"/>
      <c r="B23" s="385"/>
      <c r="C23" s="385"/>
      <c r="D23" s="385" t="s">
        <v>25</v>
      </c>
      <c r="E23" s="383" t="s">
        <v>194</v>
      </c>
      <c r="F23" s="382"/>
      <c r="G23" s="458" t="s">
        <v>679</v>
      </c>
      <c r="H23" s="18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78">
        <f t="shared" si="6"/>
        <v>0</v>
      </c>
      <c r="AD23" s="78">
        <f t="shared" si="6"/>
        <v>0</v>
      </c>
    </row>
    <row r="24" spans="1:30" x14ac:dyDescent="0.2">
      <c r="A24" s="386"/>
      <c r="B24" s="355" t="s">
        <v>195</v>
      </c>
      <c r="C24" s="355" t="s">
        <v>196</v>
      </c>
      <c r="D24" s="355"/>
      <c r="E24" s="382"/>
      <c r="F24" s="382"/>
      <c r="G24" s="458" t="s">
        <v>680</v>
      </c>
      <c r="H24" s="18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78">
        <f t="shared" si="6"/>
        <v>0</v>
      </c>
      <c r="AD24" s="78">
        <f t="shared" si="6"/>
        <v>0</v>
      </c>
    </row>
    <row r="25" spans="1:30" x14ac:dyDescent="0.2">
      <c r="A25" s="384"/>
      <c r="B25" s="385" t="s">
        <v>197</v>
      </c>
      <c r="C25" s="385" t="s">
        <v>198</v>
      </c>
      <c r="D25" s="385"/>
      <c r="E25" s="383"/>
      <c r="F25" s="382"/>
      <c r="G25" s="458" t="s">
        <v>681</v>
      </c>
      <c r="H25" s="18"/>
      <c r="I25" s="78">
        <f t="shared" ref="I25:AB25" si="7">SUM(I26,I27)</f>
        <v>0</v>
      </c>
      <c r="J25" s="78">
        <f t="shared" si="7"/>
        <v>0</v>
      </c>
      <c r="K25" s="78">
        <f t="shared" si="7"/>
        <v>0</v>
      </c>
      <c r="L25" s="78">
        <f t="shared" si="7"/>
        <v>0</v>
      </c>
      <c r="M25" s="78">
        <f t="shared" si="7"/>
        <v>0</v>
      </c>
      <c r="N25" s="78">
        <f t="shared" si="7"/>
        <v>0</v>
      </c>
      <c r="O25" s="78">
        <f t="shared" si="7"/>
        <v>0</v>
      </c>
      <c r="P25" s="78">
        <f t="shared" si="7"/>
        <v>0</v>
      </c>
      <c r="Q25" s="78">
        <f t="shared" si="7"/>
        <v>0</v>
      </c>
      <c r="R25" s="78">
        <f t="shared" si="7"/>
        <v>0</v>
      </c>
      <c r="S25" s="78">
        <f t="shared" si="7"/>
        <v>0</v>
      </c>
      <c r="T25" s="78">
        <f t="shared" si="7"/>
        <v>0</v>
      </c>
      <c r="U25" s="78">
        <f t="shared" si="7"/>
        <v>0</v>
      </c>
      <c r="V25" s="78">
        <f t="shared" si="7"/>
        <v>0</v>
      </c>
      <c r="W25" s="78">
        <f t="shared" si="7"/>
        <v>0</v>
      </c>
      <c r="X25" s="78">
        <f t="shared" si="7"/>
        <v>0</v>
      </c>
      <c r="Y25" s="78">
        <f t="shared" si="7"/>
        <v>0</v>
      </c>
      <c r="Z25" s="78">
        <f t="shared" si="7"/>
        <v>0</v>
      </c>
      <c r="AA25" s="78">
        <f t="shared" si="7"/>
        <v>0</v>
      </c>
      <c r="AB25" s="78">
        <f t="shared" si="7"/>
        <v>0</v>
      </c>
      <c r="AC25" s="78">
        <f t="shared" si="6"/>
        <v>0</v>
      </c>
      <c r="AD25" s="78">
        <f t="shared" si="6"/>
        <v>0</v>
      </c>
    </row>
    <row r="26" spans="1:30" x14ac:dyDescent="0.2">
      <c r="A26" s="386"/>
      <c r="B26" s="355"/>
      <c r="C26" s="387" t="s">
        <v>19</v>
      </c>
      <c r="D26" s="355" t="s">
        <v>199</v>
      </c>
      <c r="E26" s="382"/>
      <c r="F26" s="382"/>
      <c r="G26" s="458" t="s">
        <v>682</v>
      </c>
      <c r="H26" s="18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78">
        <f t="shared" si="6"/>
        <v>0</v>
      </c>
      <c r="AD26" s="78">
        <f t="shared" si="6"/>
        <v>0</v>
      </c>
    </row>
    <row r="27" spans="1:30" x14ac:dyDescent="0.2">
      <c r="A27" s="384"/>
      <c r="B27" s="385"/>
      <c r="C27" s="390" t="s">
        <v>21</v>
      </c>
      <c r="D27" s="391" t="s">
        <v>200</v>
      </c>
      <c r="E27" s="383"/>
      <c r="F27" s="382"/>
      <c r="G27" s="458" t="s">
        <v>683</v>
      </c>
      <c r="H27" s="18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78">
        <f t="shared" si="6"/>
        <v>0</v>
      </c>
      <c r="AD27" s="78">
        <f t="shared" si="6"/>
        <v>0</v>
      </c>
    </row>
    <row r="28" spans="1:30" x14ac:dyDescent="0.2">
      <c r="A28" s="386"/>
      <c r="B28" s="355" t="s">
        <v>201</v>
      </c>
      <c r="C28" s="355" t="s">
        <v>202</v>
      </c>
      <c r="D28" s="355"/>
      <c r="E28" s="382"/>
      <c r="F28" s="382"/>
      <c r="G28" s="458" t="s">
        <v>684</v>
      </c>
      <c r="H28" s="18"/>
      <c r="I28" s="78">
        <f t="shared" ref="I28:AB28" si="8">SUM(I29,I32)</f>
        <v>0</v>
      </c>
      <c r="J28" s="78">
        <f t="shared" si="8"/>
        <v>0</v>
      </c>
      <c r="K28" s="78">
        <f t="shared" si="8"/>
        <v>0</v>
      </c>
      <c r="L28" s="78">
        <f t="shared" si="8"/>
        <v>0</v>
      </c>
      <c r="M28" s="78">
        <f t="shared" si="8"/>
        <v>0</v>
      </c>
      <c r="N28" s="78">
        <f t="shared" si="8"/>
        <v>0</v>
      </c>
      <c r="O28" s="78">
        <f t="shared" si="8"/>
        <v>0</v>
      </c>
      <c r="P28" s="78">
        <f t="shared" si="8"/>
        <v>0</v>
      </c>
      <c r="Q28" s="78">
        <f t="shared" si="8"/>
        <v>0</v>
      </c>
      <c r="R28" s="78">
        <f t="shared" si="8"/>
        <v>0</v>
      </c>
      <c r="S28" s="78">
        <f t="shared" si="8"/>
        <v>0</v>
      </c>
      <c r="T28" s="78">
        <f t="shared" si="8"/>
        <v>0</v>
      </c>
      <c r="U28" s="78">
        <f t="shared" si="8"/>
        <v>0</v>
      </c>
      <c r="V28" s="78">
        <f t="shared" si="8"/>
        <v>0</v>
      </c>
      <c r="W28" s="78">
        <f t="shared" si="8"/>
        <v>0</v>
      </c>
      <c r="X28" s="78">
        <f t="shared" si="8"/>
        <v>0</v>
      </c>
      <c r="Y28" s="78">
        <f t="shared" si="8"/>
        <v>0</v>
      </c>
      <c r="Z28" s="78">
        <f t="shared" si="8"/>
        <v>0</v>
      </c>
      <c r="AA28" s="78">
        <f t="shared" si="8"/>
        <v>0</v>
      </c>
      <c r="AB28" s="78">
        <f t="shared" si="8"/>
        <v>0</v>
      </c>
      <c r="AC28" s="78">
        <f t="shared" si="6"/>
        <v>0</v>
      </c>
      <c r="AD28" s="78">
        <f t="shared" si="6"/>
        <v>0</v>
      </c>
    </row>
    <row r="29" spans="1:30" x14ac:dyDescent="0.2">
      <c r="A29" s="386"/>
      <c r="B29" s="355"/>
      <c r="C29" s="387" t="s">
        <v>19</v>
      </c>
      <c r="D29" s="385" t="s">
        <v>203</v>
      </c>
      <c r="E29" s="383"/>
      <c r="F29" s="382"/>
      <c r="G29" s="458" t="s">
        <v>685</v>
      </c>
      <c r="H29" s="18"/>
      <c r="I29" s="78">
        <f>I30+I31</f>
        <v>0</v>
      </c>
      <c r="J29" s="78">
        <f t="shared" ref="J29:AB29" si="9">J30+J31</f>
        <v>0</v>
      </c>
      <c r="K29" s="78">
        <f t="shared" si="9"/>
        <v>0</v>
      </c>
      <c r="L29" s="78">
        <f t="shared" si="9"/>
        <v>0</v>
      </c>
      <c r="M29" s="78">
        <f t="shared" si="9"/>
        <v>0</v>
      </c>
      <c r="N29" s="78">
        <f t="shared" si="9"/>
        <v>0</v>
      </c>
      <c r="O29" s="78">
        <f t="shared" si="9"/>
        <v>0</v>
      </c>
      <c r="P29" s="78">
        <f t="shared" si="9"/>
        <v>0</v>
      </c>
      <c r="Q29" s="78">
        <f t="shared" si="9"/>
        <v>0</v>
      </c>
      <c r="R29" s="78">
        <f t="shared" si="9"/>
        <v>0</v>
      </c>
      <c r="S29" s="78">
        <f t="shared" si="9"/>
        <v>0</v>
      </c>
      <c r="T29" s="78">
        <f t="shared" si="9"/>
        <v>0</v>
      </c>
      <c r="U29" s="78">
        <f t="shared" si="9"/>
        <v>0</v>
      </c>
      <c r="V29" s="78">
        <f t="shared" si="9"/>
        <v>0</v>
      </c>
      <c r="W29" s="78">
        <f t="shared" si="9"/>
        <v>0</v>
      </c>
      <c r="X29" s="78">
        <f t="shared" si="9"/>
        <v>0</v>
      </c>
      <c r="Y29" s="78">
        <f t="shared" si="9"/>
        <v>0</v>
      </c>
      <c r="Z29" s="78">
        <f t="shared" si="9"/>
        <v>0</v>
      </c>
      <c r="AA29" s="78">
        <f t="shared" si="9"/>
        <v>0</v>
      </c>
      <c r="AB29" s="78">
        <f t="shared" si="9"/>
        <v>0</v>
      </c>
      <c r="AC29" s="78">
        <f t="shared" si="6"/>
        <v>0</v>
      </c>
      <c r="AD29" s="78">
        <f t="shared" si="6"/>
        <v>0</v>
      </c>
    </row>
    <row r="30" spans="1:30" x14ac:dyDescent="0.2">
      <c r="A30" s="386"/>
      <c r="B30" s="355"/>
      <c r="C30" s="387"/>
      <c r="D30" s="355" t="s">
        <v>11</v>
      </c>
      <c r="E30" s="355" t="s">
        <v>792</v>
      </c>
      <c r="F30" s="383"/>
      <c r="G30" s="458" t="s">
        <v>832</v>
      </c>
      <c r="H30" s="18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78">
        <f t="shared" si="6"/>
        <v>0</v>
      </c>
      <c r="AD30" s="78">
        <f t="shared" si="6"/>
        <v>0</v>
      </c>
    </row>
    <row r="31" spans="1:30" x14ac:dyDescent="0.2">
      <c r="A31" s="384"/>
      <c r="B31" s="385"/>
      <c r="C31" s="390"/>
      <c r="D31" s="392" t="s">
        <v>15</v>
      </c>
      <c r="E31" s="355" t="s">
        <v>793</v>
      </c>
      <c r="F31" s="383"/>
      <c r="G31" s="458" t="s">
        <v>833</v>
      </c>
      <c r="H31" s="18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78">
        <f t="shared" si="6"/>
        <v>0</v>
      </c>
      <c r="AD31" s="78">
        <f t="shared" si="6"/>
        <v>0</v>
      </c>
    </row>
    <row r="32" spans="1:30" x14ac:dyDescent="0.2">
      <c r="A32" s="386"/>
      <c r="B32" s="355"/>
      <c r="C32" s="387" t="s">
        <v>21</v>
      </c>
      <c r="D32" s="355" t="s">
        <v>194</v>
      </c>
      <c r="E32" s="382"/>
      <c r="F32" s="382"/>
      <c r="G32" s="458" t="s">
        <v>686</v>
      </c>
      <c r="H32" s="18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78">
        <f t="shared" si="6"/>
        <v>0</v>
      </c>
      <c r="AD32" s="78">
        <f t="shared" si="6"/>
        <v>0</v>
      </c>
    </row>
    <row r="33" spans="1:30" x14ac:dyDescent="0.2">
      <c r="A33" s="393" t="s">
        <v>33</v>
      </c>
      <c r="B33" s="394" t="s">
        <v>204</v>
      </c>
      <c r="C33" s="385"/>
      <c r="D33" s="385"/>
      <c r="E33" s="383"/>
      <c r="F33" s="382"/>
      <c r="G33" s="458" t="s">
        <v>687</v>
      </c>
      <c r="H33" s="18"/>
      <c r="I33" s="77">
        <f t="shared" ref="I33:AB33" si="10">SUM(I34,I35,I36,I39)</f>
        <v>0</v>
      </c>
      <c r="J33" s="77">
        <f t="shared" si="10"/>
        <v>0</v>
      </c>
      <c r="K33" s="77">
        <f t="shared" si="10"/>
        <v>0</v>
      </c>
      <c r="L33" s="77">
        <f t="shared" si="10"/>
        <v>0</v>
      </c>
      <c r="M33" s="77">
        <f t="shared" si="10"/>
        <v>0</v>
      </c>
      <c r="N33" s="77">
        <f t="shared" si="10"/>
        <v>0</v>
      </c>
      <c r="O33" s="77">
        <f t="shared" si="10"/>
        <v>0</v>
      </c>
      <c r="P33" s="77">
        <f t="shared" si="10"/>
        <v>0</v>
      </c>
      <c r="Q33" s="77">
        <f t="shared" si="10"/>
        <v>0</v>
      </c>
      <c r="R33" s="77">
        <f t="shared" si="10"/>
        <v>0</v>
      </c>
      <c r="S33" s="77">
        <f t="shared" si="10"/>
        <v>0</v>
      </c>
      <c r="T33" s="77">
        <f t="shared" si="10"/>
        <v>0</v>
      </c>
      <c r="U33" s="77">
        <f t="shared" si="10"/>
        <v>0</v>
      </c>
      <c r="V33" s="77">
        <f t="shared" si="10"/>
        <v>0</v>
      </c>
      <c r="W33" s="77">
        <f t="shared" si="10"/>
        <v>0</v>
      </c>
      <c r="X33" s="77">
        <f t="shared" si="10"/>
        <v>0</v>
      </c>
      <c r="Y33" s="77">
        <f t="shared" si="10"/>
        <v>0</v>
      </c>
      <c r="Z33" s="77">
        <f t="shared" si="10"/>
        <v>0</v>
      </c>
      <c r="AA33" s="77">
        <f t="shared" si="10"/>
        <v>0</v>
      </c>
      <c r="AB33" s="77">
        <f t="shared" si="10"/>
        <v>0</v>
      </c>
      <c r="AC33" s="78">
        <f t="shared" si="6"/>
        <v>0</v>
      </c>
      <c r="AD33" s="78">
        <f t="shared" si="6"/>
        <v>0</v>
      </c>
    </row>
    <row r="34" spans="1:30" x14ac:dyDescent="0.2">
      <c r="A34" s="386"/>
      <c r="B34" s="355" t="s">
        <v>188</v>
      </c>
      <c r="C34" s="355" t="s">
        <v>205</v>
      </c>
      <c r="D34" s="355"/>
      <c r="E34" s="382"/>
      <c r="F34" s="382"/>
      <c r="G34" s="458" t="s">
        <v>688</v>
      </c>
      <c r="H34" s="18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78">
        <f t="shared" si="6"/>
        <v>0</v>
      </c>
      <c r="AD34" s="78">
        <f t="shared" si="6"/>
        <v>0</v>
      </c>
    </row>
    <row r="35" spans="1:30" x14ac:dyDescent="0.2">
      <c r="A35" s="384"/>
      <c r="B35" s="385" t="s">
        <v>195</v>
      </c>
      <c r="C35" s="385" t="s">
        <v>306</v>
      </c>
      <c r="D35" s="385"/>
      <c r="E35" s="383"/>
      <c r="F35" s="382"/>
      <c r="G35" s="458" t="s">
        <v>689</v>
      </c>
      <c r="H35" s="18"/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78">
        <f t="shared" si="6"/>
        <v>0</v>
      </c>
      <c r="AD35" s="78">
        <f t="shared" si="6"/>
        <v>0</v>
      </c>
    </row>
    <row r="36" spans="1:30" x14ac:dyDescent="0.2">
      <c r="A36" s="386"/>
      <c r="B36" s="355" t="s">
        <v>197</v>
      </c>
      <c r="C36" s="355" t="s">
        <v>198</v>
      </c>
      <c r="D36" s="355"/>
      <c r="E36" s="382"/>
      <c r="F36" s="382"/>
      <c r="G36" s="458" t="s">
        <v>690</v>
      </c>
      <c r="H36" s="18"/>
      <c r="I36" s="77">
        <f t="shared" ref="I36:AB36" si="11">SUM(I37,I38)</f>
        <v>0</v>
      </c>
      <c r="J36" s="77">
        <f t="shared" si="11"/>
        <v>0</v>
      </c>
      <c r="K36" s="77">
        <f t="shared" si="11"/>
        <v>0</v>
      </c>
      <c r="L36" s="77">
        <f t="shared" si="11"/>
        <v>0</v>
      </c>
      <c r="M36" s="77">
        <f t="shared" si="11"/>
        <v>0</v>
      </c>
      <c r="N36" s="77">
        <f t="shared" si="11"/>
        <v>0</v>
      </c>
      <c r="O36" s="77">
        <f t="shared" si="11"/>
        <v>0</v>
      </c>
      <c r="P36" s="77">
        <f t="shared" si="11"/>
        <v>0</v>
      </c>
      <c r="Q36" s="77">
        <f t="shared" si="11"/>
        <v>0</v>
      </c>
      <c r="R36" s="77">
        <f t="shared" si="11"/>
        <v>0</v>
      </c>
      <c r="S36" s="77">
        <f t="shared" si="11"/>
        <v>0</v>
      </c>
      <c r="T36" s="77">
        <f t="shared" si="11"/>
        <v>0</v>
      </c>
      <c r="U36" s="77">
        <f t="shared" si="11"/>
        <v>0</v>
      </c>
      <c r="V36" s="77">
        <f t="shared" si="11"/>
        <v>0</v>
      </c>
      <c r="W36" s="77">
        <f t="shared" si="11"/>
        <v>0</v>
      </c>
      <c r="X36" s="77">
        <f t="shared" si="11"/>
        <v>0</v>
      </c>
      <c r="Y36" s="77">
        <f t="shared" si="11"/>
        <v>0</v>
      </c>
      <c r="Z36" s="77">
        <f t="shared" si="11"/>
        <v>0</v>
      </c>
      <c r="AA36" s="77">
        <f t="shared" si="11"/>
        <v>0</v>
      </c>
      <c r="AB36" s="77">
        <f t="shared" si="11"/>
        <v>0</v>
      </c>
      <c r="AC36" s="78">
        <f t="shared" si="6"/>
        <v>0</v>
      </c>
      <c r="AD36" s="78">
        <f t="shared" si="6"/>
        <v>0</v>
      </c>
    </row>
    <row r="37" spans="1:30" x14ac:dyDescent="0.2">
      <c r="A37" s="384"/>
      <c r="B37" s="385"/>
      <c r="C37" s="390" t="s">
        <v>19</v>
      </c>
      <c r="D37" s="385" t="s">
        <v>207</v>
      </c>
      <c r="E37" s="383"/>
      <c r="F37" s="382"/>
      <c r="G37" s="458" t="s">
        <v>691</v>
      </c>
      <c r="H37" s="18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2"/>
      <c r="AA37" s="62"/>
      <c r="AB37" s="62"/>
      <c r="AC37" s="78">
        <f t="shared" si="6"/>
        <v>0</v>
      </c>
      <c r="AD37" s="78">
        <f t="shared" si="6"/>
        <v>0</v>
      </c>
    </row>
    <row r="38" spans="1:30" x14ac:dyDescent="0.2">
      <c r="A38" s="386"/>
      <c r="B38" s="355"/>
      <c r="C38" s="387" t="s">
        <v>21</v>
      </c>
      <c r="D38" s="395" t="s">
        <v>200</v>
      </c>
      <c r="E38" s="382"/>
      <c r="F38" s="382"/>
      <c r="G38" s="458" t="s">
        <v>692</v>
      </c>
      <c r="H38" s="18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78">
        <f t="shared" si="6"/>
        <v>0</v>
      </c>
      <c r="AD38" s="78">
        <f t="shared" si="6"/>
        <v>0</v>
      </c>
    </row>
    <row r="39" spans="1:30" x14ac:dyDescent="0.2">
      <c r="A39" s="384"/>
      <c r="B39" s="385" t="s">
        <v>201</v>
      </c>
      <c r="C39" s="385" t="s">
        <v>208</v>
      </c>
      <c r="D39" s="385"/>
      <c r="E39" s="383"/>
      <c r="F39" s="382"/>
      <c r="G39" s="458" t="s">
        <v>693</v>
      </c>
      <c r="H39" s="18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78">
        <f t="shared" si="6"/>
        <v>0</v>
      </c>
      <c r="AD39" s="78">
        <f t="shared" si="6"/>
        <v>0</v>
      </c>
    </row>
    <row r="40" spans="1:30" x14ac:dyDescent="0.2">
      <c r="A40" s="397" t="s">
        <v>48</v>
      </c>
      <c r="B40" s="381" t="s">
        <v>209</v>
      </c>
      <c r="C40" s="395"/>
      <c r="D40" s="355"/>
      <c r="E40" s="382"/>
      <c r="F40" s="382"/>
      <c r="G40" s="458" t="s">
        <v>694</v>
      </c>
      <c r="H40" s="18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62"/>
      <c r="Y40" s="62"/>
      <c r="Z40" s="62"/>
      <c r="AA40" s="62"/>
      <c r="AB40" s="62"/>
      <c r="AC40" s="78">
        <f t="shared" si="6"/>
        <v>0</v>
      </c>
      <c r="AD40" s="78">
        <f t="shared" si="6"/>
        <v>0</v>
      </c>
    </row>
    <row r="41" spans="1:30" x14ac:dyDescent="0.2">
      <c r="A41" s="446" t="s">
        <v>925</v>
      </c>
      <c r="B41" s="447"/>
      <c r="C41" s="447"/>
      <c r="D41" s="447"/>
      <c r="E41" s="448"/>
      <c r="F41" s="433"/>
      <c r="G41" s="458" t="s">
        <v>695</v>
      </c>
      <c r="H41" s="18"/>
      <c r="I41" s="77">
        <f t="shared" ref="I41:AB41" si="12">SUM(I11,I33,I40)</f>
        <v>0</v>
      </c>
      <c r="J41" s="77">
        <f t="shared" si="12"/>
        <v>0</v>
      </c>
      <c r="K41" s="77">
        <f t="shared" si="12"/>
        <v>0</v>
      </c>
      <c r="L41" s="77">
        <f t="shared" si="12"/>
        <v>0</v>
      </c>
      <c r="M41" s="77">
        <f t="shared" si="12"/>
        <v>0</v>
      </c>
      <c r="N41" s="77">
        <f t="shared" si="12"/>
        <v>0</v>
      </c>
      <c r="O41" s="77">
        <f t="shared" si="12"/>
        <v>0</v>
      </c>
      <c r="P41" s="77">
        <f t="shared" si="12"/>
        <v>0</v>
      </c>
      <c r="Q41" s="77">
        <f t="shared" si="12"/>
        <v>0</v>
      </c>
      <c r="R41" s="77">
        <f t="shared" si="12"/>
        <v>0</v>
      </c>
      <c r="S41" s="77">
        <f t="shared" si="12"/>
        <v>0</v>
      </c>
      <c r="T41" s="77">
        <f t="shared" si="12"/>
        <v>0</v>
      </c>
      <c r="U41" s="77">
        <f t="shared" si="12"/>
        <v>0</v>
      </c>
      <c r="V41" s="77">
        <f t="shared" si="12"/>
        <v>0</v>
      </c>
      <c r="W41" s="77">
        <f t="shared" si="12"/>
        <v>0</v>
      </c>
      <c r="X41" s="77">
        <f t="shared" si="12"/>
        <v>0</v>
      </c>
      <c r="Y41" s="77">
        <f t="shared" si="12"/>
        <v>0</v>
      </c>
      <c r="Z41" s="77">
        <f t="shared" si="12"/>
        <v>0</v>
      </c>
      <c r="AA41" s="77">
        <f t="shared" si="12"/>
        <v>0</v>
      </c>
      <c r="AB41" s="77">
        <f t="shared" si="12"/>
        <v>0</v>
      </c>
      <c r="AC41" s="78">
        <f t="shared" si="6"/>
        <v>0</v>
      </c>
      <c r="AD41" s="78">
        <f t="shared" si="6"/>
        <v>0</v>
      </c>
    </row>
    <row r="42" spans="1:30" x14ac:dyDescent="0.2">
      <c r="A42" s="113"/>
      <c r="B42" s="14"/>
      <c r="C42" s="131"/>
      <c r="D42" s="39"/>
      <c r="E42" s="136"/>
      <c r="F42" s="238"/>
      <c r="G42" s="52" t="s">
        <v>184</v>
      </c>
      <c r="H42" s="48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</row>
  </sheetData>
  <sheetProtection password="B944" sheet="1" objects="1" scenarios="1" selectLockedCells="1"/>
  <mergeCells count="29">
    <mergeCell ref="H5:H9"/>
    <mergeCell ref="A1:AD1"/>
    <mergeCell ref="A2:AD2"/>
    <mergeCell ref="A3:AD3"/>
    <mergeCell ref="A5:F9"/>
    <mergeCell ref="G5:G9"/>
    <mergeCell ref="I5:J5"/>
    <mergeCell ref="K5:L5"/>
    <mergeCell ref="M5:N5"/>
    <mergeCell ref="O5:P5"/>
    <mergeCell ref="AA5:AB5"/>
    <mergeCell ref="AC5:AD5"/>
    <mergeCell ref="I6:J8"/>
    <mergeCell ref="K6:T6"/>
    <mergeCell ref="U6:V8"/>
    <mergeCell ref="W6:X8"/>
    <mergeCell ref="Y6:Z8"/>
    <mergeCell ref="AA6:AB8"/>
    <mergeCell ref="AC6:AD8"/>
    <mergeCell ref="Q5:R5"/>
    <mergeCell ref="S7:T8"/>
    <mergeCell ref="K7:L8"/>
    <mergeCell ref="M7:N8"/>
    <mergeCell ref="O7:P8"/>
    <mergeCell ref="Q7:R8"/>
    <mergeCell ref="Y5:Z5"/>
    <mergeCell ref="S5:T5"/>
    <mergeCell ref="U5:V5"/>
    <mergeCell ref="W5:X5"/>
  </mergeCells>
  <phoneticPr fontId="0" type="noConversion"/>
  <dataValidations count="1">
    <dataValidation type="decimal" operator="lessThan" allowBlank="1" showInputMessage="1" showErrorMessage="1" sqref="I10:AD42">
      <formula1>1000000000000000</formula1>
    </dataValidation>
  </dataValidations>
  <printOptions horizontalCentered="1"/>
  <pageMargins left="0.25" right="0.25" top="1" bottom="0.5" header="0.5" footer="0.5"/>
  <pageSetup paperSize="9" scale="80" orientation="landscape" horizontalDpi="0" verticalDpi="0" r:id="rId1"/>
  <headerFooter alignWithMargins="0">
    <oddHeader>&amp;R&amp;"Arial,Bold"&amp;USchedule 8b4&amp;"Arial,Regular"&amp;U
&amp;"Arial,Bold"&amp;8&amp;P of &amp;N&amp;C&amp;"Arial,Bold"&amp;8 ALLIED BANKING CORP  [ 02-000000 ]
 As of: January 31, 2008</oddHeader>
  </headerFooter>
  <drawing r:id="rId2"/>
  <legacyDrawing r:id="rId3"/>
  <controls>
    <mc:AlternateContent xmlns:mc="http://schemas.openxmlformats.org/markup-compatibility/2006">
      <mc:Choice Requires="x14">
        <control shapeId="23553" r:id="rId4" name="Label1">
          <controlPr defaultSize="0" autoLine="0" r:id="rId5">
            <anchor moveWithCells="1">
              <from>
                <xdr:col>7</xdr:col>
                <xdr:colOff>238125</xdr:colOff>
                <xdr:row>17</xdr:row>
                <xdr:rowOff>28575</xdr:rowOff>
              </from>
              <to>
                <xdr:col>8</xdr:col>
                <xdr:colOff>0</xdr:colOff>
                <xdr:row>18</xdr:row>
                <xdr:rowOff>28575</xdr:rowOff>
              </to>
            </anchor>
          </controlPr>
        </control>
      </mc:Choice>
      <mc:Fallback>
        <control shapeId="23553" r:id="rId4" name="Label1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IV250"/>
  <sheetViews>
    <sheetView zoomScale="75" zoomScaleNormal="90" zoomScaleSheetLayoutView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2" sqref="I12"/>
    </sheetView>
  </sheetViews>
  <sheetFormatPr defaultRowHeight="11.25" x14ac:dyDescent="0.2"/>
  <cols>
    <col min="1" max="1" width="2.7109375" style="1" customWidth="1"/>
    <col min="2" max="2" width="3.5703125" style="1" customWidth="1"/>
    <col min="3" max="4" width="3" style="1" customWidth="1"/>
    <col min="5" max="5" width="25.85546875" style="1" customWidth="1"/>
    <col min="6" max="6" width="21.42578125" style="1" hidden="1" customWidth="1"/>
    <col min="7" max="7" width="17.85546875" style="9" customWidth="1"/>
    <col min="8" max="8" width="16.5703125" style="9" hidden="1" customWidth="1"/>
    <col min="9" max="13" width="20.7109375" style="1" customWidth="1"/>
    <col min="14" max="15" width="20.7109375" style="1" hidden="1" customWidth="1"/>
    <col min="16" max="21" width="20.7109375" style="1" customWidth="1"/>
    <col min="22" max="23" width="20.7109375" style="1" hidden="1" customWidth="1"/>
    <col min="24" max="29" width="20.7109375" style="1" customWidth="1"/>
    <col min="30" max="31" width="20.7109375" style="1" hidden="1" customWidth="1"/>
    <col min="32" max="32" width="20.7109375" style="1" customWidth="1"/>
    <col min="33" max="172" width="25.7109375" style="1" customWidth="1"/>
    <col min="173" max="16384" width="9.140625" style="1"/>
  </cols>
  <sheetData>
    <row r="1" spans="1:35" s="165" customFormat="1" ht="12.75" x14ac:dyDescent="0.2">
      <c r="A1" s="512" t="s">
        <v>393</v>
      </c>
      <c r="B1" s="512"/>
      <c r="C1" s="512"/>
      <c r="D1" s="512"/>
      <c r="E1" s="512"/>
      <c r="F1" s="512"/>
      <c r="G1" s="512"/>
      <c r="H1" s="512"/>
      <c r="I1" s="512"/>
      <c r="J1" s="512"/>
      <c r="K1" s="512"/>
      <c r="L1" s="512"/>
      <c r="M1" s="512"/>
      <c r="N1" s="512"/>
      <c r="O1" s="512"/>
      <c r="P1" s="512"/>
      <c r="Q1" s="512"/>
      <c r="R1" s="512"/>
      <c r="S1" s="512"/>
      <c r="T1" s="512"/>
      <c r="U1" s="512"/>
      <c r="V1" s="512"/>
      <c r="W1" s="512"/>
      <c r="X1" s="512"/>
      <c r="Y1" s="512"/>
      <c r="Z1" s="512"/>
      <c r="AA1" s="512"/>
      <c r="AB1" s="512"/>
      <c r="AC1" s="512"/>
      <c r="AD1" s="512"/>
      <c r="AE1" s="512"/>
      <c r="AF1" s="512"/>
    </row>
    <row r="2" spans="1:35" hidden="1" x14ac:dyDescent="0.2"/>
    <row r="3" spans="1:35" hidden="1" x14ac:dyDescent="0.2"/>
    <row r="4" spans="1:35" hidden="1" x14ac:dyDescent="0.2"/>
    <row r="6" spans="1:35" s="11" customFormat="1" ht="12.75" hidden="1" customHeight="1" x14ac:dyDescent="0.2"/>
    <row r="7" spans="1:35" s="11" customFormat="1" x14ac:dyDescent="0.2">
      <c r="A7" s="504" t="s">
        <v>0</v>
      </c>
      <c r="B7" s="505"/>
      <c r="C7" s="505"/>
      <c r="D7" s="505"/>
      <c r="E7" s="505"/>
      <c r="F7" s="506"/>
      <c r="G7" s="513" t="s">
        <v>2</v>
      </c>
      <c r="H7" s="45"/>
      <c r="I7" s="518" t="s">
        <v>394</v>
      </c>
      <c r="J7" s="519"/>
      <c r="K7" s="519"/>
      <c r="L7" s="519"/>
      <c r="M7" s="519"/>
      <c r="N7" s="519"/>
      <c r="O7" s="519"/>
      <c r="P7" s="520"/>
      <c r="Q7" s="518" t="s">
        <v>395</v>
      </c>
      <c r="R7" s="519"/>
      <c r="S7" s="519"/>
      <c r="T7" s="519"/>
      <c r="U7" s="519"/>
      <c r="V7" s="519"/>
      <c r="W7" s="519"/>
      <c r="X7" s="520"/>
      <c r="Y7" s="518" t="s">
        <v>396</v>
      </c>
      <c r="Z7" s="519"/>
      <c r="AA7" s="519"/>
      <c r="AB7" s="519"/>
      <c r="AC7" s="519"/>
      <c r="AD7" s="519"/>
      <c r="AE7" s="519"/>
      <c r="AF7" s="520"/>
    </row>
    <row r="8" spans="1:35" s="2" customFormat="1" x14ac:dyDescent="0.2">
      <c r="A8" s="507"/>
      <c r="B8" s="508"/>
      <c r="C8" s="508"/>
      <c r="D8" s="508"/>
      <c r="E8" s="508"/>
      <c r="F8" s="509"/>
      <c r="G8" s="513"/>
      <c r="H8" s="42"/>
      <c r="I8" s="497" t="s">
        <v>3</v>
      </c>
      <c r="J8" s="491" t="s">
        <v>4</v>
      </c>
      <c r="K8" s="492"/>
      <c r="L8" s="491" t="s">
        <v>7</v>
      </c>
      <c r="M8" s="510"/>
      <c r="N8" s="491" t="s">
        <v>397</v>
      </c>
      <c r="O8" s="510"/>
      <c r="P8" s="497" t="s">
        <v>68</v>
      </c>
      <c r="Q8" s="497" t="s">
        <v>3</v>
      </c>
      <c r="R8" s="491" t="s">
        <v>4</v>
      </c>
      <c r="S8" s="492"/>
      <c r="T8" s="491" t="s">
        <v>7</v>
      </c>
      <c r="U8" s="510"/>
      <c r="V8" s="491" t="s">
        <v>397</v>
      </c>
      <c r="W8" s="510"/>
      <c r="X8" s="497" t="s">
        <v>68</v>
      </c>
      <c r="Y8" s="497" t="s">
        <v>3</v>
      </c>
      <c r="Z8" s="491" t="s">
        <v>4</v>
      </c>
      <c r="AA8" s="492"/>
      <c r="AB8" s="491" t="s">
        <v>7</v>
      </c>
      <c r="AC8" s="510"/>
      <c r="AD8" s="491" t="s">
        <v>397</v>
      </c>
      <c r="AE8" s="510"/>
      <c r="AF8" s="497" t="s">
        <v>68</v>
      </c>
    </row>
    <row r="9" spans="1:35" s="2" customFormat="1" x14ac:dyDescent="0.2">
      <c r="A9" s="507"/>
      <c r="B9" s="508"/>
      <c r="C9" s="508"/>
      <c r="D9" s="508"/>
      <c r="E9" s="508"/>
      <c r="F9" s="509"/>
      <c r="G9" s="513"/>
      <c r="H9" s="43"/>
      <c r="I9" s="498"/>
      <c r="J9" s="8" t="s">
        <v>5</v>
      </c>
      <c r="K9" s="8" t="s">
        <v>6</v>
      </c>
      <c r="L9" s="8" t="s">
        <v>5</v>
      </c>
      <c r="M9" s="10" t="s">
        <v>6</v>
      </c>
      <c r="N9" s="8" t="s">
        <v>5</v>
      </c>
      <c r="O9" s="10" t="s">
        <v>6</v>
      </c>
      <c r="P9" s="498"/>
      <c r="Q9" s="498"/>
      <c r="R9" s="8" t="s">
        <v>5</v>
      </c>
      <c r="S9" s="8" t="s">
        <v>6</v>
      </c>
      <c r="T9" s="8" t="s">
        <v>5</v>
      </c>
      <c r="U9" s="10" t="s">
        <v>6</v>
      </c>
      <c r="V9" s="8" t="s">
        <v>5</v>
      </c>
      <c r="W9" s="10" t="s">
        <v>6</v>
      </c>
      <c r="X9" s="498"/>
      <c r="Y9" s="498"/>
      <c r="Z9" s="8" t="s">
        <v>5</v>
      </c>
      <c r="AA9" s="8" t="s">
        <v>6</v>
      </c>
      <c r="AB9" s="8" t="s">
        <v>5</v>
      </c>
      <c r="AC9" s="10" t="s">
        <v>6</v>
      </c>
      <c r="AD9" s="8" t="s">
        <v>5</v>
      </c>
      <c r="AE9" s="10" t="s">
        <v>6</v>
      </c>
      <c r="AF9" s="498"/>
    </row>
    <row r="10" spans="1:35" x14ac:dyDescent="0.2">
      <c r="A10" s="449" t="s">
        <v>186</v>
      </c>
      <c r="B10" s="450" t="s">
        <v>187</v>
      </c>
      <c r="C10" s="450"/>
      <c r="D10" s="450"/>
      <c r="E10" s="450"/>
      <c r="F10" s="379"/>
      <c r="G10" s="458" t="s">
        <v>398</v>
      </c>
      <c r="H10" s="18"/>
      <c r="I10" s="78">
        <f t="shared" ref="I10:O10" si="0">SUM(I11,I14,I17)</f>
        <v>0</v>
      </c>
      <c r="J10" s="78">
        <f>SUM(J11,J14,J17)</f>
        <v>0</v>
      </c>
      <c r="K10" s="78">
        <f>SUM(K11,K14,K17)</f>
        <v>0</v>
      </c>
      <c r="L10" s="371"/>
      <c r="M10" s="371"/>
      <c r="N10" s="78">
        <f t="shared" si="0"/>
        <v>0</v>
      </c>
      <c r="O10" s="78">
        <f t="shared" si="0"/>
        <v>0</v>
      </c>
      <c r="P10" s="78">
        <f t="shared" ref="P10:P25" si="1">SUM(I10,K10,M10, O10)</f>
        <v>0</v>
      </c>
      <c r="Q10" s="78">
        <f t="shared" ref="Q10:W10" si="2">SUM(Q11,Q14,Q17)</f>
        <v>0</v>
      </c>
      <c r="R10" s="78">
        <f>SUM(R11,R14,R17)</f>
        <v>0</v>
      </c>
      <c r="S10" s="78">
        <f>SUM(S11,S14,S17)</f>
        <v>0</v>
      </c>
      <c r="T10" s="371"/>
      <c r="U10" s="371"/>
      <c r="V10" s="78">
        <f t="shared" si="2"/>
        <v>0</v>
      </c>
      <c r="W10" s="78">
        <f t="shared" si="2"/>
        <v>0</v>
      </c>
      <c r="X10" s="78">
        <f t="shared" ref="X10:X25" si="3">SUM(Q10,S10,U10, W10)</f>
        <v>0</v>
      </c>
      <c r="Y10" s="78">
        <f t="shared" ref="Y10:AF10" si="4">I10-Q10</f>
        <v>0</v>
      </c>
      <c r="Z10" s="78">
        <f t="shared" ref="Z10:Z19" si="5">J10-R10</f>
        <v>0</v>
      </c>
      <c r="AA10" s="78">
        <f t="shared" ref="AA10:AA19" si="6">K10-S10</f>
        <v>0</v>
      </c>
      <c r="AB10" s="371"/>
      <c r="AC10" s="371"/>
      <c r="AD10" s="78">
        <f t="shared" si="4"/>
        <v>0</v>
      </c>
      <c r="AE10" s="78">
        <f t="shared" si="4"/>
        <v>0</v>
      </c>
      <c r="AF10" s="78">
        <f t="shared" si="4"/>
        <v>0</v>
      </c>
      <c r="AG10" s="122"/>
      <c r="AH10" s="123"/>
      <c r="AI10" s="123"/>
    </row>
    <row r="11" spans="1:35" x14ac:dyDescent="0.2">
      <c r="A11" s="380"/>
      <c r="B11" s="355" t="s">
        <v>188</v>
      </c>
      <c r="C11" s="355" t="s">
        <v>212</v>
      </c>
      <c r="D11" s="355"/>
      <c r="E11" s="382"/>
      <c r="F11" s="383"/>
      <c r="G11" s="458" t="s">
        <v>399</v>
      </c>
      <c r="H11" s="18"/>
      <c r="I11" s="78">
        <f>SUM(I12,I13)</f>
        <v>0</v>
      </c>
      <c r="J11" s="78">
        <f>SUM(J12,J13)</f>
        <v>0</v>
      </c>
      <c r="K11" s="78">
        <f>SUM(K12,K13)</f>
        <v>0</v>
      </c>
      <c r="L11" s="295"/>
      <c r="M11" s="295"/>
      <c r="N11" s="78">
        <f>SUM(N12,N13)</f>
        <v>0</v>
      </c>
      <c r="O11" s="78">
        <f>SUM(O12,O13)</f>
        <v>0</v>
      </c>
      <c r="P11" s="78">
        <f t="shared" si="1"/>
        <v>0</v>
      </c>
      <c r="Q11" s="78">
        <f>SUM(Q12,Q13)</f>
        <v>0</v>
      </c>
      <c r="R11" s="78">
        <f>SUM(R12,R13)</f>
        <v>0</v>
      </c>
      <c r="S11" s="78">
        <f>SUM(S12,S13)</f>
        <v>0</v>
      </c>
      <c r="T11" s="295"/>
      <c r="U11" s="295"/>
      <c r="V11" s="78">
        <f>SUM(V12,V13)</f>
        <v>0</v>
      </c>
      <c r="W11" s="78">
        <f>SUM(W12,W13)</f>
        <v>0</v>
      </c>
      <c r="X11" s="78">
        <f t="shared" si="3"/>
        <v>0</v>
      </c>
      <c r="Y11" s="78">
        <f t="shared" ref="Y11:Y19" si="7">I11-Q11</f>
        <v>0</v>
      </c>
      <c r="Z11" s="78">
        <f t="shared" si="5"/>
        <v>0</v>
      </c>
      <c r="AA11" s="78">
        <f t="shared" si="6"/>
        <v>0</v>
      </c>
      <c r="AB11" s="295"/>
      <c r="AC11" s="295"/>
      <c r="AD11" s="78">
        <f t="shared" ref="AD11:AD23" si="8">N11-V11</f>
        <v>0</v>
      </c>
      <c r="AE11" s="78">
        <f t="shared" ref="AE11:AE23" si="9">O11-W11</f>
        <v>0</v>
      </c>
      <c r="AF11" s="78">
        <f t="shared" ref="AF11:AF23" si="10">P11-X11</f>
        <v>0</v>
      </c>
      <c r="AG11" s="122"/>
      <c r="AH11" s="123"/>
      <c r="AI11" s="123"/>
    </row>
    <row r="12" spans="1:35" x14ac:dyDescent="0.2">
      <c r="A12" s="393"/>
      <c r="B12" s="385"/>
      <c r="C12" s="391"/>
      <c r="D12" s="385" t="s">
        <v>11</v>
      </c>
      <c r="E12" s="385" t="s">
        <v>400</v>
      </c>
      <c r="F12" s="451"/>
      <c r="G12" s="458" t="s">
        <v>401</v>
      </c>
      <c r="H12" s="18"/>
      <c r="I12" s="61"/>
      <c r="J12" s="62"/>
      <c r="K12" s="62"/>
      <c r="L12" s="60"/>
      <c r="M12" s="60"/>
      <c r="N12" s="62"/>
      <c r="O12" s="62"/>
      <c r="P12" s="78">
        <f t="shared" si="1"/>
        <v>0</v>
      </c>
      <c r="Q12" s="61"/>
      <c r="R12" s="62"/>
      <c r="S12" s="62"/>
      <c r="T12" s="60"/>
      <c r="U12" s="60"/>
      <c r="V12" s="62"/>
      <c r="W12" s="62"/>
      <c r="X12" s="78">
        <f t="shared" si="3"/>
        <v>0</v>
      </c>
      <c r="Y12" s="78">
        <f t="shared" si="7"/>
        <v>0</v>
      </c>
      <c r="Z12" s="78">
        <f t="shared" si="5"/>
        <v>0</v>
      </c>
      <c r="AA12" s="78">
        <f t="shared" si="6"/>
        <v>0</v>
      </c>
      <c r="AB12" s="295"/>
      <c r="AC12" s="295"/>
      <c r="AD12" s="78">
        <f t="shared" si="8"/>
        <v>0</v>
      </c>
      <c r="AE12" s="78">
        <f t="shared" si="9"/>
        <v>0</v>
      </c>
      <c r="AF12" s="78">
        <f t="shared" si="10"/>
        <v>0</v>
      </c>
      <c r="AG12" s="122"/>
      <c r="AH12" s="123"/>
      <c r="AI12" s="123"/>
    </row>
    <row r="13" spans="1:35" x14ac:dyDescent="0.2">
      <c r="A13" s="380"/>
      <c r="B13" s="355"/>
      <c r="C13" s="395"/>
      <c r="D13" s="355" t="s">
        <v>15</v>
      </c>
      <c r="E13" s="382" t="s">
        <v>194</v>
      </c>
      <c r="F13" s="451"/>
      <c r="G13" s="458" t="s">
        <v>402</v>
      </c>
      <c r="H13" s="18"/>
      <c r="I13" s="61"/>
      <c r="J13" s="62"/>
      <c r="K13" s="62"/>
      <c r="L13" s="60"/>
      <c r="M13" s="60"/>
      <c r="N13" s="62"/>
      <c r="O13" s="62"/>
      <c r="P13" s="78">
        <f t="shared" si="1"/>
        <v>0</v>
      </c>
      <c r="Q13" s="61"/>
      <c r="R13" s="62"/>
      <c r="S13" s="62"/>
      <c r="T13" s="60"/>
      <c r="U13" s="60"/>
      <c r="V13" s="62"/>
      <c r="W13" s="62"/>
      <c r="X13" s="78">
        <f t="shared" si="3"/>
        <v>0</v>
      </c>
      <c r="Y13" s="78">
        <f t="shared" si="7"/>
        <v>0</v>
      </c>
      <c r="Z13" s="78">
        <f t="shared" si="5"/>
        <v>0</v>
      </c>
      <c r="AA13" s="78">
        <f t="shared" si="6"/>
        <v>0</v>
      </c>
      <c r="AB13" s="295"/>
      <c r="AC13" s="295"/>
      <c r="AD13" s="78">
        <f t="shared" si="8"/>
        <v>0</v>
      </c>
      <c r="AE13" s="78">
        <f t="shared" si="9"/>
        <v>0</v>
      </c>
      <c r="AF13" s="78">
        <f t="shared" si="10"/>
        <v>0</v>
      </c>
      <c r="AG13" s="122"/>
      <c r="AH13" s="123"/>
      <c r="AI13" s="123"/>
    </row>
    <row r="14" spans="1:35" x14ac:dyDescent="0.2">
      <c r="A14" s="393"/>
      <c r="B14" s="385" t="s">
        <v>195</v>
      </c>
      <c r="C14" s="385" t="s">
        <v>198</v>
      </c>
      <c r="D14" s="385"/>
      <c r="E14" s="385"/>
      <c r="F14" s="451"/>
      <c r="G14" s="458" t="s">
        <v>403</v>
      </c>
      <c r="H14" s="18"/>
      <c r="I14" s="78">
        <f>SUM(I15,I16)</f>
        <v>0</v>
      </c>
      <c r="J14" s="78">
        <f>SUM(J15,J16)</f>
        <v>0</v>
      </c>
      <c r="K14" s="78">
        <f>SUM(K15,K16)</f>
        <v>0</v>
      </c>
      <c r="L14" s="295"/>
      <c r="M14" s="295"/>
      <c r="N14" s="78">
        <f>SUM(N15,N16)</f>
        <v>0</v>
      </c>
      <c r="O14" s="78">
        <f>SUM(O15,O16)</f>
        <v>0</v>
      </c>
      <c r="P14" s="78">
        <f t="shared" si="1"/>
        <v>0</v>
      </c>
      <c r="Q14" s="78">
        <f>SUM(Q15,Q16)</f>
        <v>0</v>
      </c>
      <c r="R14" s="78">
        <f>SUM(R15,R16)</f>
        <v>0</v>
      </c>
      <c r="S14" s="78">
        <f>SUM(S15,S16)</f>
        <v>0</v>
      </c>
      <c r="T14" s="295"/>
      <c r="U14" s="295"/>
      <c r="V14" s="78">
        <f>SUM(V15,V16)</f>
        <v>0</v>
      </c>
      <c r="W14" s="78">
        <f>SUM(W15,W16)</f>
        <v>0</v>
      </c>
      <c r="X14" s="78">
        <f t="shared" si="3"/>
        <v>0</v>
      </c>
      <c r="Y14" s="78">
        <f t="shared" si="7"/>
        <v>0</v>
      </c>
      <c r="Z14" s="78">
        <f t="shared" si="5"/>
        <v>0</v>
      </c>
      <c r="AA14" s="78">
        <f t="shared" si="6"/>
        <v>0</v>
      </c>
      <c r="AB14" s="295"/>
      <c r="AC14" s="295"/>
      <c r="AD14" s="78">
        <f t="shared" si="8"/>
        <v>0</v>
      </c>
      <c r="AE14" s="78">
        <f t="shared" si="9"/>
        <v>0</v>
      </c>
      <c r="AF14" s="78">
        <f t="shared" si="10"/>
        <v>0</v>
      </c>
      <c r="AG14" s="122"/>
      <c r="AH14" s="123"/>
      <c r="AI14" s="123"/>
    </row>
    <row r="15" spans="1:35" x14ac:dyDescent="0.2">
      <c r="A15" s="380"/>
      <c r="B15" s="355"/>
      <c r="C15" s="395">
        <v>-1</v>
      </c>
      <c r="D15" s="355" t="s">
        <v>199</v>
      </c>
      <c r="E15" s="382"/>
      <c r="F15" s="451"/>
      <c r="G15" s="458" t="s">
        <v>404</v>
      </c>
      <c r="H15" s="18"/>
      <c r="I15" s="61"/>
      <c r="J15" s="62"/>
      <c r="K15" s="62"/>
      <c r="L15" s="60"/>
      <c r="M15" s="60"/>
      <c r="N15" s="62"/>
      <c r="O15" s="62"/>
      <c r="P15" s="78">
        <f t="shared" si="1"/>
        <v>0</v>
      </c>
      <c r="Q15" s="61"/>
      <c r="R15" s="62"/>
      <c r="S15" s="62"/>
      <c r="T15" s="60"/>
      <c r="U15" s="60"/>
      <c r="V15" s="62"/>
      <c r="W15" s="62"/>
      <c r="X15" s="78">
        <f t="shared" si="3"/>
        <v>0</v>
      </c>
      <c r="Y15" s="78">
        <f t="shared" si="7"/>
        <v>0</v>
      </c>
      <c r="Z15" s="78">
        <f t="shared" si="5"/>
        <v>0</v>
      </c>
      <c r="AA15" s="78">
        <f t="shared" si="6"/>
        <v>0</v>
      </c>
      <c r="AB15" s="295"/>
      <c r="AC15" s="295"/>
      <c r="AD15" s="78">
        <f t="shared" si="8"/>
        <v>0</v>
      </c>
      <c r="AE15" s="78">
        <f t="shared" si="9"/>
        <v>0</v>
      </c>
      <c r="AF15" s="78">
        <f t="shared" si="10"/>
        <v>0</v>
      </c>
      <c r="AG15" s="122"/>
      <c r="AH15" s="123"/>
      <c r="AI15" s="123"/>
    </row>
    <row r="16" spans="1:35" x14ac:dyDescent="0.2">
      <c r="A16" s="393"/>
      <c r="B16" s="385"/>
      <c r="C16" s="391">
        <f>C15-1</f>
        <v>-2</v>
      </c>
      <c r="D16" s="385" t="s">
        <v>200</v>
      </c>
      <c r="E16" s="385"/>
      <c r="F16" s="451"/>
      <c r="G16" s="458" t="s">
        <v>405</v>
      </c>
      <c r="H16" s="18"/>
      <c r="I16" s="61"/>
      <c r="J16" s="62"/>
      <c r="K16" s="62"/>
      <c r="L16" s="60"/>
      <c r="M16" s="60"/>
      <c r="N16" s="62"/>
      <c r="O16" s="62"/>
      <c r="P16" s="78">
        <f t="shared" si="1"/>
        <v>0</v>
      </c>
      <c r="Q16" s="61"/>
      <c r="R16" s="62"/>
      <c r="S16" s="62"/>
      <c r="T16" s="60"/>
      <c r="U16" s="60"/>
      <c r="V16" s="62"/>
      <c r="W16" s="62"/>
      <c r="X16" s="78">
        <f t="shared" si="3"/>
        <v>0</v>
      </c>
      <c r="Y16" s="78">
        <f t="shared" si="7"/>
        <v>0</v>
      </c>
      <c r="Z16" s="78">
        <f t="shared" si="5"/>
        <v>0</v>
      </c>
      <c r="AA16" s="78">
        <f t="shared" si="6"/>
        <v>0</v>
      </c>
      <c r="AB16" s="295"/>
      <c r="AC16" s="295"/>
      <c r="AD16" s="78">
        <f t="shared" si="8"/>
        <v>0</v>
      </c>
      <c r="AE16" s="78">
        <f t="shared" si="9"/>
        <v>0</v>
      </c>
      <c r="AF16" s="78">
        <f t="shared" si="10"/>
        <v>0</v>
      </c>
      <c r="AG16" s="122"/>
      <c r="AH16" s="123"/>
      <c r="AI16" s="123"/>
    </row>
    <row r="17" spans="1:35" x14ac:dyDescent="0.2">
      <c r="A17" s="380"/>
      <c r="B17" s="355" t="s">
        <v>197</v>
      </c>
      <c r="C17" s="355" t="s">
        <v>202</v>
      </c>
      <c r="D17" s="355"/>
      <c r="E17" s="382"/>
      <c r="F17" s="451"/>
      <c r="G17" s="458" t="s">
        <v>406</v>
      </c>
      <c r="H17" s="18"/>
      <c r="I17" s="78">
        <f>SUM(I18,I19)</f>
        <v>0</v>
      </c>
      <c r="J17" s="78">
        <f>SUM(J18,J19)</f>
        <v>0</v>
      </c>
      <c r="K17" s="78">
        <f>SUM(K18,K19)</f>
        <v>0</v>
      </c>
      <c r="L17" s="295"/>
      <c r="M17" s="295"/>
      <c r="N17" s="78">
        <f>SUM(N18,N19)</f>
        <v>0</v>
      </c>
      <c r="O17" s="78">
        <f>SUM(O18,O19)</f>
        <v>0</v>
      </c>
      <c r="P17" s="78">
        <f t="shared" si="1"/>
        <v>0</v>
      </c>
      <c r="Q17" s="78">
        <f>SUM(Q18,Q19)</f>
        <v>0</v>
      </c>
      <c r="R17" s="78">
        <f>SUM(R18,R19)</f>
        <v>0</v>
      </c>
      <c r="S17" s="78">
        <f>SUM(S18,S19)</f>
        <v>0</v>
      </c>
      <c r="T17" s="295"/>
      <c r="U17" s="295"/>
      <c r="V17" s="78">
        <f>SUM(V18,V19)</f>
        <v>0</v>
      </c>
      <c r="W17" s="78">
        <f>SUM(W18,W19)</f>
        <v>0</v>
      </c>
      <c r="X17" s="78">
        <f t="shared" si="3"/>
        <v>0</v>
      </c>
      <c r="Y17" s="78">
        <f t="shared" si="7"/>
        <v>0</v>
      </c>
      <c r="Z17" s="78">
        <f t="shared" si="5"/>
        <v>0</v>
      </c>
      <c r="AA17" s="78">
        <f t="shared" si="6"/>
        <v>0</v>
      </c>
      <c r="AB17" s="295"/>
      <c r="AC17" s="295"/>
      <c r="AD17" s="78">
        <f t="shared" si="8"/>
        <v>0</v>
      </c>
      <c r="AE17" s="78">
        <f t="shared" si="9"/>
        <v>0</v>
      </c>
      <c r="AF17" s="78">
        <f t="shared" si="10"/>
        <v>0</v>
      </c>
      <c r="AG17" s="122"/>
      <c r="AH17" s="123"/>
      <c r="AI17" s="123"/>
    </row>
    <row r="18" spans="1:35" x14ac:dyDescent="0.2">
      <c r="A18" s="393"/>
      <c r="B18" s="385"/>
      <c r="C18" s="391">
        <v>-1</v>
      </c>
      <c r="D18" s="385" t="s">
        <v>203</v>
      </c>
      <c r="E18" s="385"/>
      <c r="F18" s="451"/>
      <c r="G18" s="458" t="s">
        <v>407</v>
      </c>
      <c r="H18" s="18"/>
      <c r="I18" s="61"/>
      <c r="J18" s="62"/>
      <c r="K18" s="62"/>
      <c r="L18" s="60"/>
      <c r="M18" s="60"/>
      <c r="N18" s="62"/>
      <c r="O18" s="62"/>
      <c r="P18" s="78">
        <f t="shared" si="1"/>
        <v>0</v>
      </c>
      <c r="Q18" s="61"/>
      <c r="R18" s="62"/>
      <c r="S18" s="62"/>
      <c r="T18" s="60"/>
      <c r="U18" s="60"/>
      <c r="V18" s="62"/>
      <c r="W18" s="62"/>
      <c r="X18" s="78">
        <f t="shared" si="3"/>
        <v>0</v>
      </c>
      <c r="Y18" s="78">
        <f t="shared" si="7"/>
        <v>0</v>
      </c>
      <c r="Z18" s="78">
        <f t="shared" si="5"/>
        <v>0</v>
      </c>
      <c r="AA18" s="78">
        <f t="shared" si="6"/>
        <v>0</v>
      </c>
      <c r="AB18" s="295"/>
      <c r="AC18" s="295"/>
      <c r="AD18" s="78">
        <f t="shared" si="8"/>
        <v>0</v>
      </c>
      <c r="AE18" s="78">
        <f t="shared" si="9"/>
        <v>0</v>
      </c>
      <c r="AF18" s="78">
        <f t="shared" si="10"/>
        <v>0</v>
      </c>
      <c r="AG18" s="122"/>
      <c r="AH18" s="123"/>
      <c r="AI18" s="123"/>
    </row>
    <row r="19" spans="1:35" x14ac:dyDescent="0.2">
      <c r="A19" s="380"/>
      <c r="B19" s="355"/>
      <c r="C19" s="395">
        <f>C18-1</f>
        <v>-2</v>
      </c>
      <c r="D19" s="355" t="s">
        <v>194</v>
      </c>
      <c r="E19" s="382"/>
      <c r="F19" s="451"/>
      <c r="G19" s="458" t="s">
        <v>408</v>
      </c>
      <c r="H19" s="18"/>
      <c r="I19" s="61"/>
      <c r="J19" s="62"/>
      <c r="K19" s="62"/>
      <c r="L19" s="60"/>
      <c r="M19" s="60"/>
      <c r="N19" s="62"/>
      <c r="O19" s="62"/>
      <c r="P19" s="78">
        <f t="shared" si="1"/>
        <v>0</v>
      </c>
      <c r="Q19" s="61"/>
      <c r="R19" s="62"/>
      <c r="S19" s="62"/>
      <c r="T19" s="60"/>
      <c r="U19" s="60"/>
      <c r="V19" s="62"/>
      <c r="W19" s="62"/>
      <c r="X19" s="78">
        <f t="shared" si="3"/>
        <v>0</v>
      </c>
      <c r="Y19" s="78">
        <f t="shared" si="7"/>
        <v>0</v>
      </c>
      <c r="Z19" s="78">
        <f t="shared" si="5"/>
        <v>0</v>
      </c>
      <c r="AA19" s="78">
        <f t="shared" si="6"/>
        <v>0</v>
      </c>
      <c r="AB19" s="295"/>
      <c r="AC19" s="295"/>
      <c r="AD19" s="78">
        <f t="shared" si="8"/>
        <v>0</v>
      </c>
      <c r="AE19" s="78">
        <f t="shared" si="9"/>
        <v>0</v>
      </c>
      <c r="AF19" s="78">
        <f t="shared" si="10"/>
        <v>0</v>
      </c>
      <c r="AG19" s="122"/>
      <c r="AH19" s="123"/>
      <c r="AI19" s="123"/>
    </row>
    <row r="20" spans="1:35" x14ac:dyDescent="0.2">
      <c r="A20" s="452" t="s">
        <v>33</v>
      </c>
      <c r="B20" s="394" t="s">
        <v>204</v>
      </c>
      <c r="C20" s="385"/>
      <c r="D20" s="385"/>
      <c r="E20" s="385"/>
      <c r="F20" s="383"/>
      <c r="G20" s="458" t="s">
        <v>409</v>
      </c>
      <c r="H20" s="18"/>
      <c r="I20" s="295"/>
      <c r="J20" s="78">
        <f>SUM(J21,J22)</f>
        <v>0</v>
      </c>
      <c r="K20" s="78">
        <f>SUM(K21,K22)</f>
        <v>0</v>
      </c>
      <c r="L20" s="295"/>
      <c r="M20" s="295"/>
      <c r="N20" s="78">
        <f>SUM(N21,N22)</f>
        <v>0</v>
      </c>
      <c r="O20" s="78">
        <f>SUM(O21,O22)</f>
        <v>0</v>
      </c>
      <c r="P20" s="78">
        <f t="shared" si="1"/>
        <v>0</v>
      </c>
      <c r="Q20" s="295"/>
      <c r="R20" s="78">
        <f>SUM(R21,R22)</f>
        <v>0</v>
      </c>
      <c r="S20" s="78">
        <f>SUM(S21,S22)</f>
        <v>0</v>
      </c>
      <c r="T20" s="295"/>
      <c r="U20" s="295"/>
      <c r="V20" s="78">
        <f>SUM(V21,V22)</f>
        <v>0</v>
      </c>
      <c r="W20" s="78">
        <f>SUM(W21,W22)</f>
        <v>0</v>
      </c>
      <c r="X20" s="78">
        <f t="shared" si="3"/>
        <v>0</v>
      </c>
      <c r="Y20" s="295"/>
      <c r="Z20" s="78">
        <f t="shared" ref="Z20:AA25" si="11">J20-R20</f>
        <v>0</v>
      </c>
      <c r="AA20" s="78">
        <f t="shared" si="11"/>
        <v>0</v>
      </c>
      <c r="AB20" s="295"/>
      <c r="AC20" s="295"/>
      <c r="AD20" s="78">
        <f t="shared" si="8"/>
        <v>0</v>
      </c>
      <c r="AE20" s="78">
        <f t="shared" si="9"/>
        <v>0</v>
      </c>
      <c r="AF20" s="78">
        <f t="shared" si="10"/>
        <v>0</v>
      </c>
      <c r="AG20" s="122"/>
      <c r="AH20" s="123"/>
      <c r="AI20" s="123"/>
    </row>
    <row r="21" spans="1:35" x14ac:dyDescent="0.2">
      <c r="A21" s="453"/>
      <c r="B21" s="355" t="s">
        <v>188</v>
      </c>
      <c r="C21" s="355" t="s">
        <v>198</v>
      </c>
      <c r="D21" s="355"/>
      <c r="E21" s="382"/>
      <c r="F21" s="383"/>
      <c r="G21" s="458" t="s">
        <v>410</v>
      </c>
      <c r="H21" s="18"/>
      <c r="I21" s="60"/>
      <c r="J21" s="61"/>
      <c r="K21" s="61"/>
      <c r="L21" s="60"/>
      <c r="M21" s="60"/>
      <c r="N21" s="62"/>
      <c r="O21" s="62"/>
      <c r="P21" s="78">
        <f t="shared" si="1"/>
        <v>0</v>
      </c>
      <c r="Q21" s="60"/>
      <c r="R21" s="61"/>
      <c r="S21" s="61"/>
      <c r="T21" s="60"/>
      <c r="U21" s="60"/>
      <c r="V21" s="62"/>
      <c r="W21" s="62"/>
      <c r="X21" s="78">
        <f t="shared" si="3"/>
        <v>0</v>
      </c>
      <c r="Y21" s="295"/>
      <c r="Z21" s="78">
        <f t="shared" si="11"/>
        <v>0</v>
      </c>
      <c r="AA21" s="78">
        <f t="shared" si="11"/>
        <v>0</v>
      </c>
      <c r="AB21" s="295"/>
      <c r="AC21" s="295"/>
      <c r="AD21" s="78">
        <f t="shared" si="8"/>
        <v>0</v>
      </c>
      <c r="AE21" s="78">
        <f t="shared" si="9"/>
        <v>0</v>
      </c>
      <c r="AF21" s="78">
        <f t="shared" si="10"/>
        <v>0</v>
      </c>
      <c r="AG21" s="122"/>
      <c r="AH21" s="123"/>
      <c r="AI21" s="123"/>
    </row>
    <row r="22" spans="1:35" x14ac:dyDescent="0.2">
      <c r="A22" s="453"/>
      <c r="B22" s="355" t="s">
        <v>195</v>
      </c>
      <c r="C22" s="355" t="s">
        <v>208</v>
      </c>
      <c r="D22" s="355"/>
      <c r="E22" s="382"/>
      <c r="F22" s="383"/>
      <c r="G22" s="458" t="s">
        <v>411</v>
      </c>
      <c r="H22" s="18"/>
      <c r="I22" s="60"/>
      <c r="J22" s="61"/>
      <c r="K22" s="61"/>
      <c r="L22" s="60"/>
      <c r="M22" s="60"/>
      <c r="N22" s="62"/>
      <c r="O22" s="62"/>
      <c r="P22" s="78">
        <f t="shared" si="1"/>
        <v>0</v>
      </c>
      <c r="Q22" s="60"/>
      <c r="R22" s="61"/>
      <c r="S22" s="61"/>
      <c r="T22" s="60"/>
      <c r="U22" s="60"/>
      <c r="V22" s="62"/>
      <c r="W22" s="62"/>
      <c r="X22" s="78">
        <f t="shared" si="3"/>
        <v>0</v>
      </c>
      <c r="Y22" s="295"/>
      <c r="Z22" s="78">
        <f t="shared" si="11"/>
        <v>0</v>
      </c>
      <c r="AA22" s="78">
        <f t="shared" si="11"/>
        <v>0</v>
      </c>
      <c r="AB22" s="295"/>
      <c r="AC22" s="295"/>
      <c r="AD22" s="78">
        <f t="shared" si="8"/>
        <v>0</v>
      </c>
      <c r="AE22" s="78">
        <f t="shared" si="9"/>
        <v>0</v>
      </c>
      <c r="AF22" s="78">
        <f t="shared" si="10"/>
        <v>0</v>
      </c>
      <c r="AG22" s="122"/>
      <c r="AH22" s="123"/>
      <c r="AI22" s="123"/>
    </row>
    <row r="23" spans="1:35" s="19" customFormat="1" x14ac:dyDescent="0.2">
      <c r="A23" s="620" t="s">
        <v>392</v>
      </c>
      <c r="B23" s="621"/>
      <c r="C23" s="621"/>
      <c r="D23" s="621"/>
      <c r="E23" s="621"/>
      <c r="F23" s="622"/>
      <c r="G23" s="458" t="s">
        <v>412</v>
      </c>
      <c r="H23" s="18"/>
      <c r="I23" s="78">
        <f t="shared" ref="I23:O23" si="12">SUM(I10,I20)</f>
        <v>0</v>
      </c>
      <c r="J23" s="78">
        <f t="shared" si="12"/>
        <v>0</v>
      </c>
      <c r="K23" s="78">
        <f t="shared" si="12"/>
        <v>0</v>
      </c>
      <c r="L23" s="371"/>
      <c r="M23" s="371"/>
      <c r="N23" s="78">
        <f t="shared" si="12"/>
        <v>0</v>
      </c>
      <c r="O23" s="78">
        <f t="shared" si="12"/>
        <v>0</v>
      </c>
      <c r="P23" s="78">
        <f t="shared" si="1"/>
        <v>0</v>
      </c>
      <c r="Q23" s="78">
        <f t="shared" ref="Q23:W23" si="13">SUM(Q10,Q20)</f>
        <v>0</v>
      </c>
      <c r="R23" s="78">
        <f t="shared" si="13"/>
        <v>0</v>
      </c>
      <c r="S23" s="78">
        <f t="shared" si="13"/>
        <v>0</v>
      </c>
      <c r="T23" s="371"/>
      <c r="U23" s="371"/>
      <c r="V23" s="78">
        <f t="shared" si="13"/>
        <v>0</v>
      </c>
      <c r="W23" s="78">
        <f t="shared" si="13"/>
        <v>0</v>
      </c>
      <c r="X23" s="78">
        <f t="shared" si="3"/>
        <v>0</v>
      </c>
      <c r="Y23" s="78">
        <f>I23-Q23</f>
        <v>0</v>
      </c>
      <c r="Z23" s="78">
        <f t="shared" si="11"/>
        <v>0</v>
      </c>
      <c r="AA23" s="78">
        <f t="shared" si="11"/>
        <v>0</v>
      </c>
      <c r="AB23" s="371"/>
      <c r="AC23" s="371"/>
      <c r="AD23" s="78">
        <f t="shared" si="8"/>
        <v>0</v>
      </c>
      <c r="AE23" s="78">
        <f t="shared" si="9"/>
        <v>0</v>
      </c>
      <c r="AF23" s="78">
        <f t="shared" si="10"/>
        <v>0</v>
      </c>
      <c r="AG23" s="133"/>
      <c r="AH23" s="134"/>
      <c r="AI23" s="134"/>
    </row>
    <row r="24" spans="1:35" s="21" customFormat="1" x14ac:dyDescent="0.2">
      <c r="A24" s="617" t="s">
        <v>834</v>
      </c>
      <c r="B24" s="617"/>
      <c r="C24" s="617"/>
      <c r="D24" s="617"/>
      <c r="E24" s="617"/>
      <c r="F24" s="617"/>
      <c r="G24" s="458"/>
      <c r="H24" s="18"/>
      <c r="I24" s="29"/>
      <c r="J24" s="29"/>
      <c r="K24" s="29"/>
      <c r="L24" s="297"/>
      <c r="M24" s="297"/>
      <c r="N24" s="29"/>
      <c r="O24" s="29"/>
      <c r="P24" s="78"/>
      <c r="Q24" s="29"/>
      <c r="R24" s="29"/>
      <c r="S24" s="29"/>
      <c r="T24" s="297"/>
      <c r="U24" s="297"/>
      <c r="V24" s="29"/>
      <c r="W24" s="29"/>
      <c r="X24" s="78"/>
      <c r="Y24" s="78"/>
      <c r="Z24" s="78"/>
      <c r="AA24" s="78"/>
      <c r="AB24" s="454"/>
      <c r="AC24" s="454"/>
      <c r="AD24" s="78"/>
      <c r="AE24" s="78"/>
      <c r="AF24" s="78"/>
      <c r="AG24" s="34"/>
      <c r="AH24" s="132"/>
      <c r="AI24" s="132"/>
    </row>
    <row r="25" spans="1:35" s="21" customFormat="1" x14ac:dyDescent="0.2">
      <c r="A25" s="424" t="s">
        <v>9</v>
      </c>
      <c r="B25" s="618" t="s">
        <v>794</v>
      </c>
      <c r="C25" s="619"/>
      <c r="D25" s="619"/>
      <c r="E25" s="619"/>
      <c r="F25" s="619"/>
      <c r="G25" s="458" t="s">
        <v>835</v>
      </c>
      <c r="H25" s="18"/>
      <c r="I25" s="61"/>
      <c r="J25" s="61"/>
      <c r="K25" s="61"/>
      <c r="L25" s="80"/>
      <c r="M25" s="80"/>
      <c r="N25" s="61"/>
      <c r="O25" s="61"/>
      <c r="P25" s="78">
        <f t="shared" si="1"/>
        <v>0</v>
      </c>
      <c r="Q25" s="61"/>
      <c r="R25" s="61"/>
      <c r="S25" s="61"/>
      <c r="T25" s="80"/>
      <c r="U25" s="80"/>
      <c r="V25" s="61"/>
      <c r="W25" s="61"/>
      <c r="X25" s="78">
        <f t="shared" si="3"/>
        <v>0</v>
      </c>
      <c r="Y25" s="78">
        <f>I25-Q25</f>
        <v>0</v>
      </c>
      <c r="Z25" s="78">
        <f t="shared" si="11"/>
        <v>0</v>
      </c>
      <c r="AA25" s="78">
        <f t="shared" si="11"/>
        <v>0</v>
      </c>
      <c r="AB25" s="371"/>
      <c r="AC25" s="371"/>
      <c r="AD25" s="78">
        <f>N25-V25</f>
        <v>0</v>
      </c>
      <c r="AE25" s="78">
        <f>O25-W25</f>
        <v>0</v>
      </c>
      <c r="AF25" s="78">
        <f>P25-X25</f>
        <v>0</v>
      </c>
      <c r="AG25" s="34"/>
      <c r="AH25" s="132"/>
      <c r="AI25" s="132"/>
    </row>
    <row r="26" spans="1:35" x14ac:dyDescent="0.2">
      <c r="A26" s="166"/>
      <c r="B26" s="39"/>
      <c r="C26" s="131"/>
      <c r="D26" s="39"/>
      <c r="E26" s="39"/>
      <c r="F26" s="128"/>
      <c r="G26" s="52" t="s">
        <v>184</v>
      </c>
      <c r="H26" s="23"/>
      <c r="I26" s="298"/>
      <c r="J26" s="299"/>
      <c r="K26" s="299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122"/>
      <c r="AH26" s="123"/>
      <c r="AI26" s="123"/>
    </row>
    <row r="27" spans="1:35" x14ac:dyDescent="0.2">
      <c r="A27" s="166"/>
      <c r="B27" s="39"/>
      <c r="C27" s="131"/>
      <c r="D27" s="39"/>
      <c r="E27" s="39"/>
      <c r="F27" s="128"/>
      <c r="G27" s="23"/>
      <c r="H27" s="23"/>
      <c r="I27" s="64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122"/>
      <c r="AH27" s="123"/>
      <c r="AI27" s="123"/>
    </row>
    <row r="28" spans="1:35" x14ac:dyDescent="0.2">
      <c r="A28" s="24"/>
      <c r="B28" s="14"/>
      <c r="C28" s="39"/>
      <c r="D28" s="39"/>
      <c r="E28" s="39"/>
      <c r="F28" s="128"/>
      <c r="G28" s="23"/>
      <c r="H28" s="23"/>
      <c r="I28" s="65"/>
      <c r="J28" s="31"/>
      <c r="K28" s="31"/>
      <c r="L28" s="31"/>
      <c r="M28" s="31"/>
      <c r="N28" s="31"/>
      <c r="O28" s="31"/>
      <c r="P28" s="28"/>
      <c r="Q28" s="31"/>
      <c r="R28" s="31"/>
      <c r="S28" s="31"/>
      <c r="T28" s="31"/>
      <c r="U28" s="31"/>
      <c r="V28" s="31"/>
      <c r="W28" s="31"/>
      <c r="X28" s="28"/>
      <c r="Y28" s="31"/>
      <c r="Z28" s="31"/>
      <c r="AA28" s="31"/>
      <c r="AB28" s="31"/>
      <c r="AC28" s="31"/>
      <c r="AD28" s="31"/>
      <c r="AE28" s="31"/>
      <c r="AF28" s="28"/>
      <c r="AG28" s="122"/>
      <c r="AH28" s="123"/>
      <c r="AI28" s="123"/>
    </row>
    <row r="29" spans="1:35" x14ac:dyDescent="0.2">
      <c r="A29" s="166"/>
      <c r="B29" s="39"/>
      <c r="C29" s="39"/>
      <c r="D29" s="39"/>
      <c r="E29" s="39"/>
      <c r="F29" s="128"/>
      <c r="G29" s="23"/>
      <c r="H29" s="23"/>
      <c r="I29" s="65"/>
      <c r="J29" s="31"/>
      <c r="K29" s="31"/>
      <c r="L29" s="31"/>
      <c r="M29" s="31"/>
      <c r="N29" s="31"/>
      <c r="O29" s="31"/>
      <c r="P29" s="28"/>
      <c r="Q29" s="31"/>
      <c r="R29" s="31"/>
      <c r="S29" s="31"/>
      <c r="T29" s="31"/>
      <c r="U29" s="31"/>
      <c r="V29" s="31"/>
      <c r="W29" s="31"/>
      <c r="X29" s="28"/>
      <c r="Y29" s="31"/>
      <c r="Z29" s="31"/>
      <c r="AA29" s="31"/>
      <c r="AB29" s="31"/>
      <c r="AC29" s="31"/>
      <c r="AD29" s="31"/>
      <c r="AE29" s="31"/>
      <c r="AF29" s="28"/>
      <c r="AG29" s="122"/>
      <c r="AH29" s="123"/>
      <c r="AI29" s="123"/>
    </row>
    <row r="30" spans="1:35" x14ac:dyDescent="0.2">
      <c r="A30" s="166"/>
      <c r="B30" s="39"/>
      <c r="C30" s="39"/>
      <c r="D30" s="39"/>
      <c r="E30" s="39"/>
      <c r="F30" s="128"/>
      <c r="G30" s="23"/>
      <c r="H30" s="23"/>
      <c r="I30" s="65"/>
      <c r="J30" s="31"/>
      <c r="K30" s="31"/>
      <c r="L30" s="31"/>
      <c r="M30" s="31"/>
      <c r="N30" s="31"/>
      <c r="O30" s="31"/>
      <c r="P30" s="28"/>
      <c r="Q30" s="31"/>
      <c r="R30" s="31"/>
      <c r="S30" s="31"/>
      <c r="T30" s="31"/>
      <c r="U30" s="31"/>
      <c r="V30" s="31"/>
      <c r="W30" s="31"/>
      <c r="X30" s="28"/>
      <c r="Y30" s="31"/>
      <c r="Z30" s="31"/>
      <c r="AA30" s="31"/>
      <c r="AB30" s="31"/>
      <c r="AC30" s="31"/>
      <c r="AD30" s="31"/>
      <c r="AE30" s="31"/>
      <c r="AF30" s="28"/>
      <c r="AG30" s="122"/>
      <c r="AH30" s="123"/>
      <c r="AI30" s="123"/>
    </row>
    <row r="31" spans="1:35" x14ac:dyDescent="0.2">
      <c r="A31" s="166"/>
      <c r="B31" s="39"/>
      <c r="C31" s="39"/>
      <c r="D31" s="39"/>
      <c r="E31" s="39"/>
      <c r="F31" s="128"/>
      <c r="G31" s="23"/>
      <c r="H31" s="23"/>
      <c r="I31" s="65"/>
      <c r="J31" s="31"/>
      <c r="K31" s="31"/>
      <c r="L31" s="31"/>
      <c r="M31" s="31"/>
      <c r="N31" s="31"/>
      <c r="O31" s="31"/>
      <c r="P31" s="28"/>
      <c r="Q31" s="31"/>
      <c r="R31" s="31"/>
      <c r="S31" s="31"/>
      <c r="T31" s="31"/>
      <c r="U31" s="31"/>
      <c r="V31" s="31"/>
      <c r="W31" s="31"/>
      <c r="X31" s="28"/>
      <c r="Y31" s="31"/>
      <c r="Z31" s="31"/>
      <c r="AA31" s="31"/>
      <c r="AB31" s="31"/>
      <c r="AC31" s="31"/>
      <c r="AD31" s="31"/>
      <c r="AE31" s="31"/>
      <c r="AF31" s="28"/>
      <c r="AG31" s="122"/>
      <c r="AH31" s="123"/>
      <c r="AI31" s="123"/>
    </row>
    <row r="32" spans="1:35" x14ac:dyDescent="0.2">
      <c r="A32" s="166"/>
      <c r="B32" s="39"/>
      <c r="C32" s="131"/>
      <c r="D32" s="39"/>
      <c r="E32" s="39"/>
      <c r="F32" s="128"/>
      <c r="G32" s="23"/>
      <c r="H32" s="23"/>
      <c r="I32" s="65"/>
      <c r="J32" s="31"/>
      <c r="K32" s="31"/>
      <c r="L32" s="31"/>
      <c r="M32" s="31"/>
      <c r="N32" s="31"/>
      <c r="O32" s="31"/>
      <c r="P32" s="28"/>
      <c r="Q32" s="31"/>
      <c r="R32" s="31"/>
      <c r="S32" s="31"/>
      <c r="T32" s="31"/>
      <c r="U32" s="31"/>
      <c r="V32" s="31"/>
      <c r="W32" s="31"/>
      <c r="X32" s="28"/>
      <c r="Y32" s="31"/>
      <c r="Z32" s="31"/>
      <c r="AA32" s="31"/>
      <c r="AB32" s="31"/>
      <c r="AC32" s="31"/>
      <c r="AD32" s="31"/>
      <c r="AE32" s="31"/>
      <c r="AF32" s="28"/>
      <c r="AG32" s="122"/>
      <c r="AH32" s="123"/>
      <c r="AI32" s="123"/>
    </row>
    <row r="33" spans="1:256" x14ac:dyDescent="0.2">
      <c r="A33" s="166"/>
      <c r="B33" s="39"/>
      <c r="C33" s="131"/>
      <c r="D33" s="39"/>
      <c r="E33" s="39"/>
      <c r="F33" s="128"/>
      <c r="G33" s="23"/>
      <c r="H33" s="20"/>
      <c r="I33" s="32"/>
      <c r="J33" s="31"/>
      <c r="K33" s="65"/>
      <c r="L33" s="31"/>
      <c r="M33" s="31"/>
      <c r="N33" s="31"/>
      <c r="O33" s="31"/>
      <c r="P33" s="28"/>
      <c r="Q33" s="31"/>
      <c r="R33" s="31"/>
      <c r="S33" s="31"/>
      <c r="T33" s="31"/>
      <c r="U33" s="31"/>
      <c r="V33" s="31"/>
      <c r="W33" s="31"/>
      <c r="X33" s="28"/>
      <c r="Y33" s="31"/>
      <c r="Z33" s="31"/>
      <c r="AA33" s="31"/>
      <c r="AB33" s="31"/>
      <c r="AC33" s="31"/>
      <c r="AD33" s="31"/>
      <c r="AE33" s="31"/>
      <c r="AF33" s="28"/>
      <c r="AG33" s="122"/>
      <c r="AH33" s="123"/>
      <c r="AI33" s="123"/>
    </row>
    <row r="34" spans="1:256" s="16" customFormat="1" x14ac:dyDescent="0.2">
      <c r="A34" s="166"/>
      <c r="B34" s="39"/>
      <c r="C34" s="39"/>
      <c r="D34" s="39"/>
      <c r="E34" s="39"/>
      <c r="F34" s="128"/>
      <c r="G34" s="23"/>
      <c r="H34" s="20"/>
      <c r="I34" s="32"/>
      <c r="J34" s="30"/>
      <c r="K34" s="30"/>
      <c r="L34" s="30"/>
      <c r="M34" s="30"/>
      <c r="N34" s="30"/>
      <c r="O34" s="30"/>
      <c r="P34" s="33"/>
      <c r="Q34" s="30"/>
      <c r="R34" s="30"/>
      <c r="S34" s="30"/>
      <c r="T34" s="30"/>
      <c r="U34" s="30"/>
      <c r="V34" s="32"/>
      <c r="W34" s="32"/>
      <c r="X34" s="64"/>
      <c r="Y34" s="31"/>
      <c r="Z34" s="31"/>
      <c r="AA34" s="31"/>
      <c r="AB34" s="31"/>
      <c r="AC34" s="31"/>
      <c r="AD34" s="31"/>
      <c r="AE34" s="31"/>
      <c r="AF34" s="28"/>
      <c r="AG34" s="34"/>
      <c r="AH34" s="132"/>
      <c r="AI34" s="132"/>
      <c r="AJ34" s="21"/>
      <c r="AK34" s="21"/>
      <c r="AL34" s="21"/>
      <c r="AM34" s="21"/>
      <c r="AN34" s="21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1"/>
      <c r="BB34" s="21"/>
      <c r="BC34" s="21"/>
      <c r="BD34" s="21"/>
      <c r="BE34" s="21"/>
      <c r="BF34" s="21"/>
      <c r="BG34" s="21"/>
      <c r="BH34" s="21"/>
      <c r="BI34" s="21"/>
      <c r="BJ34" s="21"/>
      <c r="BK34" s="21"/>
      <c r="BL34" s="21"/>
      <c r="BM34" s="21"/>
      <c r="BN34" s="21"/>
      <c r="BO34" s="21"/>
      <c r="BP34" s="21"/>
      <c r="BQ34" s="21"/>
      <c r="BR34" s="21"/>
      <c r="BS34" s="21"/>
      <c r="BT34" s="21"/>
      <c r="BU34" s="21"/>
      <c r="BV34" s="21"/>
      <c r="BW34" s="21"/>
      <c r="BX34" s="21"/>
      <c r="BY34" s="21"/>
      <c r="BZ34" s="21"/>
      <c r="CA34" s="21"/>
      <c r="CB34" s="21"/>
      <c r="CC34" s="21"/>
      <c r="CD34" s="21"/>
      <c r="CE34" s="21"/>
      <c r="CF34" s="21"/>
      <c r="CG34" s="21"/>
      <c r="CH34" s="21"/>
      <c r="CI34" s="21"/>
      <c r="CJ34" s="21"/>
      <c r="CK34" s="21"/>
      <c r="CL34" s="21"/>
      <c r="CM34" s="21"/>
      <c r="CN34" s="21"/>
      <c r="CO34" s="21"/>
      <c r="CP34" s="21"/>
      <c r="CQ34" s="21"/>
      <c r="CR34" s="21"/>
      <c r="CS34" s="21"/>
      <c r="CT34" s="21"/>
      <c r="CU34" s="21"/>
      <c r="CV34" s="21"/>
      <c r="CW34" s="21"/>
      <c r="CX34" s="21"/>
      <c r="CY34" s="21"/>
      <c r="CZ34" s="21"/>
      <c r="DA34" s="21"/>
      <c r="DB34" s="21"/>
      <c r="DC34" s="21"/>
      <c r="DD34" s="21"/>
      <c r="DE34" s="21"/>
      <c r="DF34" s="21"/>
      <c r="DG34" s="21"/>
      <c r="DH34" s="21"/>
      <c r="DI34" s="21"/>
      <c r="DJ34" s="21"/>
      <c r="DK34" s="21"/>
      <c r="DL34" s="21"/>
      <c r="DM34" s="21"/>
      <c r="DN34" s="21"/>
      <c r="DO34" s="21"/>
      <c r="DP34" s="21"/>
      <c r="DQ34" s="21"/>
      <c r="DR34" s="21"/>
      <c r="DS34" s="21"/>
      <c r="DT34" s="21"/>
      <c r="DU34" s="21"/>
      <c r="DV34" s="21"/>
      <c r="DW34" s="21"/>
      <c r="DX34" s="21"/>
      <c r="DY34" s="21"/>
      <c r="DZ34" s="21"/>
      <c r="EA34" s="21"/>
      <c r="EB34" s="21"/>
      <c r="EC34" s="21"/>
      <c r="ED34" s="21"/>
      <c r="EE34" s="21"/>
      <c r="EF34" s="21"/>
      <c r="EG34" s="21"/>
      <c r="EH34" s="21"/>
      <c r="EI34" s="21"/>
      <c r="EJ34" s="21"/>
      <c r="EK34" s="21"/>
      <c r="EL34" s="21"/>
      <c r="EM34" s="21"/>
      <c r="EN34" s="21"/>
      <c r="EO34" s="21"/>
      <c r="EP34" s="21"/>
      <c r="EQ34" s="21"/>
      <c r="ER34" s="21"/>
      <c r="ES34" s="21"/>
      <c r="ET34" s="21"/>
      <c r="EU34" s="21"/>
      <c r="EV34" s="21"/>
      <c r="EW34" s="21"/>
      <c r="EX34" s="21"/>
      <c r="EY34" s="21"/>
      <c r="EZ34" s="21"/>
      <c r="FA34" s="21"/>
      <c r="FB34" s="21"/>
      <c r="FC34" s="21"/>
      <c r="FD34" s="21"/>
      <c r="FE34" s="21"/>
      <c r="FF34" s="21"/>
      <c r="FG34" s="21"/>
      <c r="FH34" s="21"/>
      <c r="FI34" s="21"/>
      <c r="FJ34" s="21"/>
      <c r="FK34" s="21"/>
      <c r="FL34" s="21"/>
      <c r="FM34" s="21"/>
      <c r="FN34" s="21"/>
      <c r="FO34" s="21"/>
      <c r="FP34" s="21"/>
      <c r="FQ34" s="21"/>
      <c r="FR34" s="21"/>
      <c r="FS34" s="21"/>
      <c r="FT34" s="21"/>
      <c r="FU34" s="21"/>
      <c r="FV34" s="21"/>
      <c r="FW34" s="21"/>
      <c r="FX34" s="21"/>
      <c r="FY34" s="21"/>
      <c r="FZ34" s="21"/>
      <c r="GA34" s="21"/>
      <c r="GB34" s="21"/>
      <c r="GC34" s="21"/>
      <c r="GD34" s="21"/>
      <c r="GE34" s="21"/>
      <c r="GF34" s="21"/>
      <c r="GG34" s="21"/>
      <c r="GH34" s="21"/>
      <c r="GI34" s="21"/>
      <c r="GJ34" s="21"/>
      <c r="GK34" s="21"/>
      <c r="GL34" s="21"/>
      <c r="GM34" s="21"/>
      <c r="GN34" s="21"/>
      <c r="GO34" s="21"/>
      <c r="GP34" s="21"/>
      <c r="GQ34" s="21"/>
      <c r="GR34" s="21"/>
      <c r="GS34" s="21"/>
      <c r="GT34" s="21"/>
      <c r="GU34" s="21"/>
      <c r="GV34" s="21"/>
      <c r="GW34" s="21"/>
      <c r="GX34" s="21"/>
      <c r="GY34" s="21"/>
      <c r="GZ34" s="21"/>
      <c r="HA34" s="21"/>
      <c r="HB34" s="21"/>
      <c r="HC34" s="21"/>
      <c r="HD34" s="21"/>
      <c r="HE34" s="21"/>
      <c r="HF34" s="21"/>
      <c r="HG34" s="21"/>
      <c r="HH34" s="21"/>
      <c r="HI34" s="21"/>
      <c r="HJ34" s="21"/>
      <c r="HK34" s="21"/>
      <c r="HL34" s="21"/>
      <c r="HM34" s="21"/>
      <c r="HN34" s="21"/>
      <c r="HO34" s="21"/>
      <c r="HP34" s="21"/>
      <c r="HQ34" s="21"/>
      <c r="HR34" s="21"/>
      <c r="HS34" s="21"/>
      <c r="HT34" s="21"/>
      <c r="HU34" s="21"/>
      <c r="HV34" s="21"/>
      <c r="HW34" s="21"/>
      <c r="HX34" s="21"/>
      <c r="HY34" s="21"/>
      <c r="HZ34" s="21"/>
      <c r="IA34" s="21"/>
      <c r="IB34" s="21"/>
      <c r="IC34" s="21"/>
      <c r="ID34" s="21"/>
      <c r="IE34" s="21"/>
      <c r="IF34" s="21"/>
      <c r="IG34" s="21"/>
      <c r="IH34" s="21"/>
      <c r="II34" s="21"/>
      <c r="IJ34" s="21"/>
      <c r="IK34" s="21"/>
      <c r="IL34" s="21"/>
      <c r="IM34" s="21"/>
      <c r="IN34" s="21"/>
      <c r="IO34" s="21"/>
      <c r="IP34" s="21"/>
      <c r="IQ34" s="21"/>
      <c r="IR34" s="21"/>
      <c r="IS34" s="21"/>
      <c r="IT34" s="21"/>
      <c r="IU34" s="21"/>
      <c r="IV34" s="21"/>
    </row>
    <row r="35" spans="1:256" s="21" customFormat="1" x14ac:dyDescent="0.2">
      <c r="A35" s="66"/>
      <c r="B35" s="14"/>
      <c r="C35" s="131"/>
      <c r="D35" s="39"/>
      <c r="E35" s="39"/>
      <c r="F35" s="128"/>
      <c r="G35" s="23"/>
      <c r="H35" s="20"/>
      <c r="I35" s="32"/>
      <c r="J35" s="30"/>
      <c r="K35" s="30"/>
      <c r="L35" s="30"/>
      <c r="M35" s="30"/>
      <c r="N35" s="30"/>
      <c r="O35" s="30"/>
      <c r="P35" s="33"/>
      <c r="Q35" s="30"/>
      <c r="R35" s="30"/>
      <c r="S35" s="30"/>
      <c r="T35" s="30"/>
      <c r="U35" s="30"/>
      <c r="V35" s="30"/>
      <c r="W35" s="30"/>
      <c r="X35" s="33"/>
      <c r="Y35" s="30"/>
      <c r="Z35" s="30"/>
      <c r="AA35" s="30"/>
      <c r="AB35" s="30"/>
      <c r="AC35" s="30"/>
      <c r="AD35" s="30"/>
      <c r="AE35" s="30"/>
      <c r="AF35" s="33"/>
      <c r="AG35" s="33"/>
      <c r="AH35" s="132"/>
      <c r="AI35" s="132"/>
    </row>
    <row r="36" spans="1:256" s="21" customFormat="1" x14ac:dyDescent="0.2">
      <c r="A36" s="66"/>
      <c r="B36" s="14"/>
      <c r="C36" s="131"/>
      <c r="D36" s="39"/>
      <c r="E36" s="39"/>
      <c r="F36" s="128"/>
      <c r="G36" s="23"/>
      <c r="H36" s="20"/>
      <c r="I36" s="32"/>
      <c r="J36" s="30"/>
      <c r="K36" s="30"/>
      <c r="L36" s="30"/>
      <c r="M36" s="30"/>
      <c r="N36" s="30"/>
      <c r="O36" s="30"/>
      <c r="P36" s="33"/>
      <c r="Q36" s="30"/>
      <c r="R36" s="30"/>
      <c r="S36" s="30"/>
      <c r="T36" s="30"/>
      <c r="U36" s="30"/>
      <c r="V36" s="30"/>
      <c r="W36" s="30"/>
      <c r="X36" s="33"/>
      <c r="Y36" s="30"/>
      <c r="Z36" s="30"/>
      <c r="AA36" s="30"/>
      <c r="AB36" s="30"/>
      <c r="AC36" s="30"/>
      <c r="AD36" s="30"/>
      <c r="AE36" s="30"/>
      <c r="AF36" s="33"/>
      <c r="AG36" s="33"/>
      <c r="AH36" s="132"/>
      <c r="AI36" s="132"/>
    </row>
    <row r="37" spans="1:256" s="21" customFormat="1" x14ac:dyDescent="0.2">
      <c r="A37" s="14"/>
      <c r="B37" s="39"/>
      <c r="C37" s="131"/>
      <c r="D37" s="39"/>
      <c r="E37" s="39"/>
      <c r="F37" s="128"/>
      <c r="G37" s="23"/>
      <c r="H37" s="20"/>
      <c r="I37" s="32"/>
      <c r="J37" s="30"/>
      <c r="K37" s="30"/>
      <c r="L37" s="30"/>
      <c r="M37" s="30"/>
      <c r="N37" s="30"/>
      <c r="O37" s="30"/>
      <c r="P37" s="33"/>
      <c r="Q37" s="30"/>
      <c r="R37" s="30"/>
      <c r="S37" s="30"/>
      <c r="T37" s="30"/>
      <c r="U37" s="30"/>
      <c r="V37" s="30"/>
      <c r="W37" s="30"/>
      <c r="X37" s="33"/>
      <c r="Y37" s="30"/>
      <c r="Z37" s="30"/>
      <c r="AA37" s="30"/>
      <c r="AB37" s="30"/>
      <c r="AC37" s="30"/>
      <c r="AD37" s="30"/>
      <c r="AE37" s="30"/>
      <c r="AF37" s="33"/>
      <c r="AG37" s="33"/>
      <c r="AH37" s="132"/>
      <c r="AI37" s="132"/>
    </row>
    <row r="38" spans="1:256" s="21" customFormat="1" x14ac:dyDescent="0.2">
      <c r="A38" s="24"/>
      <c r="B38" s="14"/>
      <c r="C38" s="131"/>
      <c r="D38" s="39"/>
      <c r="E38" s="39"/>
      <c r="F38" s="128"/>
      <c r="G38" s="23"/>
      <c r="H38" s="20"/>
      <c r="I38" s="32"/>
      <c r="J38" s="30"/>
      <c r="K38" s="30"/>
      <c r="L38" s="30"/>
      <c r="M38" s="30"/>
      <c r="N38" s="30"/>
      <c r="O38" s="30"/>
      <c r="P38" s="33"/>
      <c r="Q38" s="30"/>
      <c r="R38" s="30"/>
      <c r="S38" s="30"/>
      <c r="T38" s="30"/>
      <c r="U38" s="30"/>
      <c r="V38" s="30"/>
      <c r="W38" s="30"/>
      <c r="X38" s="33"/>
      <c r="Y38" s="30"/>
      <c r="Z38" s="30"/>
      <c r="AA38" s="30"/>
      <c r="AB38" s="30"/>
      <c r="AC38" s="30"/>
      <c r="AD38" s="30"/>
      <c r="AE38" s="30"/>
      <c r="AF38" s="33"/>
      <c r="AG38" s="33"/>
      <c r="AH38" s="132"/>
      <c r="AI38" s="132"/>
    </row>
    <row r="39" spans="1:256" s="21" customFormat="1" x14ac:dyDescent="0.2">
      <c r="A39" s="166"/>
      <c r="B39" s="39"/>
      <c r="C39" s="214"/>
      <c r="D39" s="214"/>
      <c r="E39" s="214"/>
      <c r="F39" s="216"/>
      <c r="G39" s="23"/>
      <c r="H39" s="20"/>
      <c r="I39" s="32"/>
      <c r="J39" s="30"/>
      <c r="K39" s="30"/>
      <c r="L39" s="30"/>
      <c r="M39" s="30"/>
      <c r="N39" s="30"/>
      <c r="O39" s="30"/>
      <c r="P39" s="33"/>
      <c r="Q39" s="30"/>
      <c r="R39" s="30"/>
      <c r="S39" s="30"/>
      <c r="T39" s="30"/>
      <c r="U39" s="30"/>
      <c r="V39" s="30"/>
      <c r="W39" s="30"/>
      <c r="X39" s="33"/>
      <c r="Y39" s="30"/>
      <c r="Z39" s="30"/>
      <c r="AA39" s="30"/>
      <c r="AB39" s="30"/>
      <c r="AC39" s="30"/>
      <c r="AD39" s="30"/>
      <c r="AE39" s="30"/>
      <c r="AF39" s="33"/>
      <c r="AG39" s="33"/>
      <c r="AH39" s="132"/>
      <c r="AI39" s="132"/>
    </row>
    <row r="40" spans="1:256" s="21" customFormat="1" x14ac:dyDescent="0.2">
      <c r="A40" s="166"/>
      <c r="B40" s="39"/>
      <c r="C40" s="135"/>
      <c r="D40" s="214"/>
      <c r="E40" s="214"/>
      <c r="F40" s="216"/>
      <c r="G40" s="23"/>
      <c r="H40" s="20"/>
      <c r="I40" s="32"/>
      <c r="J40" s="30"/>
      <c r="K40" s="30"/>
      <c r="L40" s="30"/>
      <c r="M40" s="30"/>
      <c r="N40" s="30"/>
      <c r="O40" s="30"/>
      <c r="P40" s="33"/>
      <c r="Q40" s="30"/>
      <c r="R40" s="30"/>
      <c r="S40" s="30"/>
      <c r="T40" s="30"/>
      <c r="U40" s="30"/>
      <c r="V40" s="30"/>
      <c r="W40" s="30"/>
      <c r="X40" s="33"/>
      <c r="Y40" s="30"/>
      <c r="Z40" s="30"/>
      <c r="AA40" s="30"/>
      <c r="AB40" s="30"/>
      <c r="AC40" s="30"/>
      <c r="AD40" s="30"/>
      <c r="AE40" s="30"/>
      <c r="AF40" s="33"/>
      <c r="AG40" s="33"/>
      <c r="AH40" s="132"/>
      <c r="AI40" s="132"/>
    </row>
    <row r="41" spans="1:256" s="21" customFormat="1" x14ac:dyDescent="0.2">
      <c r="A41" s="166"/>
      <c r="B41" s="39"/>
      <c r="C41" s="135"/>
      <c r="D41" s="214"/>
      <c r="E41" s="214"/>
      <c r="F41" s="216"/>
      <c r="G41" s="23"/>
      <c r="H41" s="20"/>
      <c r="I41" s="32"/>
      <c r="J41" s="30"/>
      <c r="K41" s="30"/>
      <c r="L41" s="30"/>
      <c r="M41" s="30"/>
      <c r="N41" s="30"/>
      <c r="O41" s="30"/>
      <c r="P41" s="33"/>
      <c r="Q41" s="30"/>
      <c r="R41" s="30"/>
      <c r="S41" s="30"/>
      <c r="T41" s="30"/>
      <c r="U41" s="30"/>
      <c r="V41" s="30"/>
      <c r="W41" s="30"/>
      <c r="X41" s="33"/>
      <c r="Y41" s="30"/>
      <c r="Z41" s="30"/>
      <c r="AA41" s="30"/>
      <c r="AB41" s="30"/>
      <c r="AC41" s="30"/>
      <c r="AD41" s="30"/>
      <c r="AE41" s="30"/>
      <c r="AF41" s="33"/>
      <c r="AG41" s="33"/>
      <c r="AH41" s="132"/>
      <c r="AI41" s="132"/>
    </row>
    <row r="42" spans="1:256" s="21" customFormat="1" x14ac:dyDescent="0.2">
      <c r="A42" s="166"/>
      <c r="B42" s="39"/>
      <c r="C42" s="131"/>
      <c r="D42" s="39"/>
      <c r="E42" s="39"/>
      <c r="F42" s="128"/>
      <c r="G42" s="23"/>
      <c r="H42" s="20"/>
      <c r="I42" s="32"/>
      <c r="J42" s="30"/>
      <c r="K42" s="30"/>
      <c r="L42" s="30"/>
      <c r="M42" s="30"/>
      <c r="N42" s="30"/>
      <c r="O42" s="30"/>
      <c r="P42" s="33"/>
      <c r="Q42" s="30"/>
      <c r="R42" s="30"/>
      <c r="S42" s="30"/>
      <c r="T42" s="30"/>
      <c r="U42" s="30"/>
      <c r="V42" s="30"/>
      <c r="W42" s="30"/>
      <c r="X42" s="33"/>
      <c r="Y42" s="30"/>
      <c r="Z42" s="30"/>
      <c r="AA42" s="30"/>
      <c r="AB42" s="30"/>
      <c r="AC42" s="30"/>
      <c r="AD42" s="30"/>
      <c r="AE42" s="30"/>
      <c r="AF42" s="33"/>
      <c r="AG42" s="33"/>
      <c r="AH42" s="132"/>
      <c r="AI42" s="132"/>
    </row>
    <row r="43" spans="1:256" s="21" customFormat="1" x14ac:dyDescent="0.2">
      <c r="A43" s="166"/>
      <c r="B43" s="39"/>
      <c r="C43" s="131"/>
      <c r="D43" s="39"/>
      <c r="E43" s="39"/>
      <c r="F43" s="128"/>
      <c r="G43" s="23"/>
      <c r="H43" s="20"/>
      <c r="I43" s="32"/>
      <c r="J43" s="30"/>
      <c r="K43" s="30"/>
      <c r="L43" s="30"/>
      <c r="M43" s="30"/>
      <c r="N43" s="30"/>
      <c r="O43" s="30"/>
      <c r="P43" s="33"/>
      <c r="Q43" s="30"/>
      <c r="R43" s="30"/>
      <c r="S43" s="30"/>
      <c r="T43" s="30"/>
      <c r="U43" s="30"/>
      <c r="V43" s="30"/>
      <c r="W43" s="30"/>
      <c r="X43" s="33"/>
      <c r="Y43" s="30"/>
      <c r="Z43" s="30"/>
      <c r="AA43" s="30"/>
      <c r="AB43" s="30"/>
      <c r="AC43" s="30"/>
      <c r="AD43" s="30"/>
      <c r="AE43" s="30"/>
      <c r="AF43" s="33"/>
      <c r="AG43" s="33"/>
      <c r="AH43" s="132"/>
      <c r="AI43" s="132"/>
    </row>
    <row r="44" spans="1:256" s="21" customFormat="1" x14ac:dyDescent="0.2">
      <c r="A44" s="166"/>
      <c r="B44" s="39"/>
      <c r="C44" s="140"/>
      <c r="D44" s="39"/>
      <c r="E44" s="39"/>
      <c r="F44" s="128"/>
      <c r="G44" s="23"/>
      <c r="H44" s="20"/>
      <c r="I44" s="32"/>
      <c r="J44" s="30"/>
      <c r="K44" s="30"/>
      <c r="L44" s="30"/>
      <c r="M44" s="30"/>
      <c r="N44" s="30"/>
      <c r="O44" s="30"/>
      <c r="P44" s="33"/>
      <c r="Q44" s="30"/>
      <c r="R44" s="30"/>
      <c r="S44" s="30"/>
      <c r="T44" s="30"/>
      <c r="U44" s="30"/>
      <c r="V44" s="30"/>
      <c r="W44" s="30"/>
      <c r="X44" s="33"/>
      <c r="Y44" s="30"/>
      <c r="Z44" s="30"/>
      <c r="AA44" s="30"/>
      <c r="AB44" s="30"/>
      <c r="AC44" s="30"/>
      <c r="AD44" s="30"/>
      <c r="AE44" s="30"/>
      <c r="AF44" s="33"/>
      <c r="AG44" s="33"/>
      <c r="AH44" s="132"/>
      <c r="AI44" s="132"/>
    </row>
    <row r="45" spans="1:256" s="21" customFormat="1" x14ac:dyDescent="0.2">
      <c r="A45" s="166"/>
      <c r="B45" s="39"/>
      <c r="C45" s="131"/>
      <c r="D45" s="39"/>
      <c r="E45" s="39"/>
      <c r="F45" s="128"/>
      <c r="G45" s="23"/>
      <c r="H45" s="20"/>
      <c r="I45" s="32"/>
      <c r="J45" s="30"/>
      <c r="K45" s="30"/>
      <c r="L45" s="30"/>
      <c r="M45" s="30"/>
      <c r="N45" s="30"/>
      <c r="O45" s="30"/>
      <c r="P45" s="33"/>
      <c r="Q45" s="30"/>
      <c r="R45" s="30"/>
      <c r="S45" s="30"/>
      <c r="T45" s="30"/>
      <c r="U45" s="30"/>
      <c r="V45" s="30"/>
      <c r="W45" s="30"/>
      <c r="X45" s="33"/>
      <c r="Y45" s="30"/>
      <c r="Z45" s="30"/>
      <c r="AA45" s="30"/>
      <c r="AB45" s="30"/>
      <c r="AC45" s="30"/>
      <c r="AD45" s="30"/>
      <c r="AE45" s="30"/>
      <c r="AF45" s="33"/>
      <c r="AG45" s="33"/>
      <c r="AH45" s="132"/>
      <c r="AI45" s="132"/>
    </row>
    <row r="46" spans="1:256" s="21" customFormat="1" x14ac:dyDescent="0.2">
      <c r="A46" s="166"/>
      <c r="B46" s="39"/>
      <c r="C46" s="135"/>
      <c r="D46" s="214"/>
      <c r="E46" s="214"/>
      <c r="F46" s="216"/>
      <c r="G46" s="23"/>
      <c r="H46" s="20"/>
      <c r="I46" s="32"/>
      <c r="J46" s="30"/>
      <c r="K46" s="30"/>
      <c r="L46" s="30"/>
      <c r="M46" s="30"/>
      <c r="N46" s="30"/>
      <c r="O46" s="30"/>
      <c r="P46" s="33"/>
      <c r="Q46" s="30"/>
      <c r="R46" s="30"/>
      <c r="S46" s="30"/>
      <c r="T46" s="30"/>
      <c r="U46" s="30"/>
      <c r="V46" s="30"/>
      <c r="W46" s="30"/>
      <c r="X46" s="33"/>
      <c r="Y46" s="30"/>
      <c r="Z46" s="30"/>
      <c r="AA46" s="30"/>
      <c r="AB46" s="30"/>
      <c r="AC46" s="30"/>
      <c r="AD46" s="30"/>
      <c r="AE46" s="30"/>
      <c r="AF46" s="33"/>
      <c r="AG46" s="33"/>
      <c r="AH46" s="132"/>
      <c r="AI46" s="132"/>
    </row>
    <row r="47" spans="1:256" s="21" customFormat="1" x14ac:dyDescent="0.2">
      <c r="A47" s="166"/>
      <c r="B47" s="39"/>
      <c r="C47" s="135"/>
      <c r="D47" s="214"/>
      <c r="E47" s="214"/>
      <c r="F47" s="216"/>
      <c r="G47" s="23"/>
      <c r="H47" s="20"/>
      <c r="I47" s="32"/>
      <c r="J47" s="30"/>
      <c r="K47" s="30"/>
      <c r="L47" s="30"/>
      <c r="M47" s="30"/>
      <c r="N47" s="30"/>
      <c r="O47" s="30"/>
      <c r="P47" s="33"/>
      <c r="Q47" s="30"/>
      <c r="R47" s="30"/>
      <c r="S47" s="30"/>
      <c r="T47" s="30"/>
      <c r="U47" s="30"/>
      <c r="V47" s="30"/>
      <c r="W47" s="30"/>
      <c r="X47" s="33"/>
      <c r="Y47" s="30"/>
      <c r="Z47" s="30"/>
      <c r="AA47" s="30"/>
      <c r="AB47" s="30"/>
      <c r="AC47" s="30"/>
      <c r="AD47" s="30"/>
      <c r="AE47" s="30"/>
      <c r="AF47" s="33"/>
      <c r="AG47" s="33"/>
      <c r="AH47" s="132"/>
      <c r="AI47" s="132"/>
    </row>
    <row r="48" spans="1:256" s="21" customFormat="1" x14ac:dyDescent="0.2">
      <c r="A48" s="24"/>
      <c r="B48" s="14"/>
      <c r="C48" s="131"/>
      <c r="D48" s="39"/>
      <c r="E48" s="39"/>
      <c r="F48" s="128"/>
      <c r="G48" s="23"/>
      <c r="H48" s="20"/>
      <c r="I48" s="32"/>
      <c r="J48" s="30"/>
      <c r="K48" s="30"/>
      <c r="L48" s="30"/>
      <c r="M48" s="30"/>
      <c r="N48" s="30"/>
      <c r="O48" s="30"/>
      <c r="P48" s="33"/>
      <c r="Q48" s="30"/>
      <c r="R48" s="30"/>
      <c r="S48" s="30"/>
      <c r="T48" s="30"/>
      <c r="U48" s="30"/>
      <c r="V48" s="30"/>
      <c r="W48" s="30"/>
      <c r="X48" s="33"/>
      <c r="Y48" s="30"/>
      <c r="Z48" s="30"/>
      <c r="AA48" s="30"/>
      <c r="AB48" s="30"/>
      <c r="AC48" s="30"/>
      <c r="AD48" s="30"/>
      <c r="AE48" s="30"/>
      <c r="AF48" s="33"/>
      <c r="AG48" s="33"/>
      <c r="AH48" s="132"/>
      <c r="AI48" s="132"/>
    </row>
    <row r="49" spans="1:35" s="21" customFormat="1" x14ac:dyDescent="0.2">
      <c r="A49" s="24"/>
      <c r="B49" s="39"/>
      <c r="C49" s="131"/>
      <c r="D49" s="39"/>
      <c r="E49" s="39"/>
      <c r="F49" s="128"/>
      <c r="G49" s="23"/>
      <c r="H49" s="20"/>
      <c r="I49" s="32"/>
      <c r="J49" s="30"/>
      <c r="K49" s="30"/>
      <c r="L49" s="30"/>
      <c r="M49" s="30"/>
      <c r="N49" s="30"/>
      <c r="O49" s="30"/>
      <c r="P49" s="33"/>
      <c r="Q49" s="30"/>
      <c r="R49" s="30"/>
      <c r="S49" s="30"/>
      <c r="T49" s="30"/>
      <c r="U49" s="30"/>
      <c r="V49" s="30"/>
      <c r="W49" s="30"/>
      <c r="X49" s="33"/>
      <c r="Y49" s="30"/>
      <c r="Z49" s="30"/>
      <c r="AA49" s="30"/>
      <c r="AB49" s="30"/>
      <c r="AC49" s="30"/>
      <c r="AD49" s="30"/>
      <c r="AE49" s="30"/>
      <c r="AF49" s="33"/>
      <c r="AG49" s="33"/>
      <c r="AH49" s="132"/>
      <c r="AI49" s="132"/>
    </row>
    <row r="50" spans="1:35" s="21" customFormat="1" x14ac:dyDescent="0.2">
      <c r="A50" s="24"/>
      <c r="B50" s="39"/>
      <c r="C50" s="131"/>
      <c r="D50" s="39"/>
      <c r="E50" s="39"/>
      <c r="F50" s="128"/>
      <c r="G50" s="23"/>
      <c r="H50" s="20"/>
      <c r="I50" s="32"/>
      <c r="J50" s="30"/>
      <c r="K50" s="30"/>
      <c r="L50" s="30"/>
      <c r="M50" s="30"/>
      <c r="N50" s="30"/>
      <c r="O50" s="30"/>
      <c r="P50" s="33"/>
      <c r="Q50" s="30"/>
      <c r="R50" s="30"/>
      <c r="S50" s="30"/>
      <c r="T50" s="30"/>
      <c r="U50" s="30"/>
      <c r="V50" s="30"/>
      <c r="W50" s="30"/>
      <c r="X50" s="33"/>
      <c r="Y50" s="30"/>
      <c r="Z50" s="30"/>
      <c r="AA50" s="30"/>
      <c r="AB50" s="30"/>
      <c r="AC50" s="30"/>
      <c r="AD50" s="30"/>
      <c r="AE50" s="30"/>
      <c r="AF50" s="33"/>
      <c r="AG50" s="33"/>
      <c r="AH50" s="132"/>
      <c r="AI50" s="132"/>
    </row>
    <row r="51" spans="1:35" s="21" customFormat="1" x14ac:dyDescent="0.2">
      <c r="A51" s="166"/>
      <c r="B51" s="14"/>
      <c r="C51" s="131"/>
      <c r="D51" s="39"/>
      <c r="E51" s="39"/>
      <c r="F51" s="128"/>
      <c r="G51" s="23"/>
      <c r="H51" s="20"/>
      <c r="I51" s="32"/>
      <c r="J51" s="30"/>
      <c r="K51" s="30"/>
      <c r="L51" s="30"/>
      <c r="M51" s="30"/>
      <c r="N51" s="30"/>
      <c r="O51" s="30"/>
      <c r="P51" s="33"/>
      <c r="Q51" s="30"/>
      <c r="R51" s="30"/>
      <c r="S51" s="30"/>
      <c r="T51" s="30"/>
      <c r="U51" s="30"/>
      <c r="V51" s="30"/>
      <c r="W51" s="30"/>
      <c r="X51" s="33"/>
      <c r="Y51" s="30"/>
      <c r="Z51" s="30"/>
      <c r="AA51" s="30"/>
      <c r="AB51" s="30"/>
      <c r="AC51" s="30"/>
      <c r="AD51" s="30"/>
      <c r="AE51" s="30"/>
      <c r="AF51" s="33"/>
      <c r="AG51" s="33"/>
      <c r="AH51" s="132"/>
      <c r="AI51" s="132"/>
    </row>
    <row r="52" spans="1:35" s="21" customFormat="1" x14ac:dyDescent="0.2">
      <c r="A52" s="166"/>
      <c r="B52" s="39"/>
      <c r="C52" s="39"/>
      <c r="D52" s="39"/>
      <c r="E52" s="39"/>
      <c r="F52" s="128"/>
      <c r="G52" s="23"/>
      <c r="H52" s="20"/>
      <c r="I52" s="32"/>
      <c r="J52" s="30"/>
      <c r="K52" s="30"/>
      <c r="L52" s="30"/>
      <c r="M52" s="30"/>
      <c r="N52" s="30"/>
      <c r="O52" s="30"/>
      <c r="P52" s="33"/>
      <c r="Q52" s="30"/>
      <c r="R52" s="30"/>
      <c r="S52" s="30"/>
      <c r="T52" s="30"/>
      <c r="U52" s="30"/>
      <c r="V52" s="30"/>
      <c r="W52" s="30"/>
      <c r="X52" s="33"/>
      <c r="Y52" s="30"/>
      <c r="Z52" s="30"/>
      <c r="AA52" s="30"/>
      <c r="AB52" s="30"/>
      <c r="AC52" s="30"/>
      <c r="AD52" s="30"/>
      <c r="AE52" s="30"/>
      <c r="AF52" s="33"/>
      <c r="AG52" s="33"/>
      <c r="AH52" s="132"/>
      <c r="AI52" s="132"/>
    </row>
    <row r="53" spans="1:35" s="21" customFormat="1" x14ac:dyDescent="0.2">
      <c r="A53" s="166"/>
      <c r="B53" s="14"/>
      <c r="C53" s="39"/>
      <c r="D53" s="39"/>
      <c r="E53" s="39"/>
      <c r="F53" s="128"/>
      <c r="G53" s="23"/>
      <c r="H53" s="20"/>
      <c r="I53" s="32"/>
      <c r="J53" s="30"/>
      <c r="K53" s="30"/>
      <c r="L53" s="30"/>
      <c r="M53" s="30"/>
      <c r="N53" s="30"/>
      <c r="O53" s="30"/>
      <c r="P53" s="33"/>
      <c r="Q53" s="30"/>
      <c r="R53" s="30"/>
      <c r="S53" s="30"/>
      <c r="T53" s="30"/>
      <c r="U53" s="30"/>
      <c r="V53" s="30"/>
      <c r="W53" s="30"/>
      <c r="X53" s="33"/>
      <c r="Y53" s="30"/>
      <c r="Z53" s="30"/>
      <c r="AA53" s="30"/>
      <c r="AB53" s="30"/>
      <c r="AC53" s="30"/>
      <c r="AD53" s="30"/>
      <c r="AE53" s="30"/>
      <c r="AF53" s="33"/>
      <c r="AG53" s="33"/>
      <c r="AH53" s="132"/>
      <c r="AI53" s="132"/>
    </row>
    <row r="54" spans="1:35" s="21" customFormat="1" x14ac:dyDescent="0.2">
      <c r="A54" s="24"/>
      <c r="B54" s="39"/>
      <c r="C54" s="39"/>
      <c r="D54" s="39"/>
      <c r="E54" s="39"/>
      <c r="F54" s="128"/>
      <c r="G54" s="23"/>
      <c r="H54" s="20"/>
      <c r="I54" s="32"/>
      <c r="J54" s="30"/>
      <c r="K54" s="30"/>
      <c r="L54" s="30"/>
      <c r="M54" s="30"/>
      <c r="N54" s="30"/>
      <c r="O54" s="30"/>
      <c r="P54" s="33"/>
      <c r="Q54" s="30"/>
      <c r="R54" s="30"/>
      <c r="S54" s="30"/>
      <c r="T54" s="30"/>
      <c r="U54" s="30"/>
      <c r="V54" s="30"/>
      <c r="W54" s="30"/>
      <c r="X54" s="33"/>
      <c r="Y54" s="30"/>
      <c r="Z54" s="30"/>
      <c r="AA54" s="30"/>
      <c r="AB54" s="30"/>
      <c r="AC54" s="30"/>
      <c r="AD54" s="30"/>
      <c r="AE54" s="30"/>
      <c r="AF54" s="33"/>
      <c r="AG54" s="33"/>
      <c r="AH54" s="132"/>
      <c r="AI54" s="132"/>
    </row>
    <row r="55" spans="1:35" s="21" customFormat="1" x14ac:dyDescent="0.2">
      <c r="A55" s="166"/>
      <c r="B55" s="39"/>
      <c r="C55" s="39"/>
      <c r="D55" s="39"/>
      <c r="E55" s="39"/>
      <c r="F55" s="128"/>
      <c r="G55" s="23"/>
      <c r="H55" s="20"/>
      <c r="I55" s="32"/>
      <c r="J55" s="30"/>
      <c r="K55" s="30"/>
      <c r="L55" s="30"/>
      <c r="M55" s="30"/>
      <c r="N55" s="30"/>
      <c r="O55" s="30"/>
      <c r="P55" s="33"/>
      <c r="Q55" s="30"/>
      <c r="R55" s="30"/>
      <c r="S55" s="30"/>
      <c r="T55" s="30"/>
      <c r="U55" s="30"/>
      <c r="V55" s="30"/>
      <c r="W55" s="30"/>
      <c r="X55" s="33"/>
      <c r="Y55" s="30"/>
      <c r="Z55" s="30"/>
      <c r="AA55" s="30"/>
      <c r="AB55" s="30"/>
      <c r="AC55" s="30"/>
      <c r="AD55" s="30"/>
      <c r="AE55" s="30"/>
      <c r="AF55" s="33"/>
      <c r="AG55" s="33"/>
      <c r="AH55" s="132"/>
      <c r="AI55" s="132"/>
    </row>
    <row r="56" spans="1:35" s="21" customFormat="1" x14ac:dyDescent="0.2">
      <c r="A56" s="166"/>
      <c r="B56" s="39"/>
      <c r="C56" s="39"/>
      <c r="D56" s="39"/>
      <c r="E56" s="39"/>
      <c r="F56" s="128"/>
      <c r="G56" s="23"/>
      <c r="H56" s="20"/>
      <c r="I56" s="32"/>
      <c r="J56" s="30"/>
      <c r="K56" s="30"/>
      <c r="L56" s="30"/>
      <c r="M56" s="30"/>
      <c r="N56" s="30"/>
      <c r="O56" s="30"/>
      <c r="P56" s="33"/>
      <c r="Q56" s="30"/>
      <c r="R56" s="30"/>
      <c r="S56" s="30"/>
      <c r="T56" s="30"/>
      <c r="U56" s="30"/>
      <c r="V56" s="30"/>
      <c r="W56" s="30"/>
      <c r="X56" s="33"/>
      <c r="Y56" s="30"/>
      <c r="Z56" s="30"/>
      <c r="AA56" s="30"/>
      <c r="AB56" s="30"/>
      <c r="AC56" s="30"/>
      <c r="AD56" s="30"/>
      <c r="AE56" s="30"/>
      <c r="AF56" s="33"/>
      <c r="AG56" s="33"/>
      <c r="AH56" s="132"/>
      <c r="AI56" s="132"/>
    </row>
    <row r="57" spans="1:35" s="21" customFormat="1" x14ac:dyDescent="0.2">
      <c r="A57" s="166"/>
      <c r="B57" s="39"/>
      <c r="C57" s="39"/>
      <c r="D57" s="39"/>
      <c r="E57" s="39"/>
      <c r="F57" s="128"/>
      <c r="G57" s="23"/>
      <c r="H57" s="20"/>
      <c r="I57" s="32"/>
      <c r="J57" s="30"/>
      <c r="K57" s="30"/>
      <c r="L57" s="30"/>
      <c r="M57" s="30"/>
      <c r="N57" s="30"/>
      <c r="O57" s="30"/>
      <c r="P57" s="33"/>
      <c r="Q57" s="30"/>
      <c r="R57" s="30"/>
      <c r="S57" s="30"/>
      <c r="T57" s="30"/>
      <c r="U57" s="30"/>
      <c r="V57" s="30"/>
      <c r="W57" s="30"/>
      <c r="X57" s="33"/>
      <c r="Y57" s="30"/>
      <c r="Z57" s="30"/>
      <c r="AA57" s="30"/>
      <c r="AB57" s="30"/>
      <c r="AC57" s="30"/>
      <c r="AD57" s="30"/>
      <c r="AE57" s="30"/>
      <c r="AF57" s="33"/>
      <c r="AG57" s="33"/>
      <c r="AH57" s="132"/>
      <c r="AI57" s="132"/>
    </row>
    <row r="58" spans="1:35" s="21" customFormat="1" x14ac:dyDescent="0.2">
      <c r="A58" s="166"/>
      <c r="B58" s="39"/>
      <c r="C58" s="39"/>
      <c r="D58" s="39"/>
      <c r="E58" s="39"/>
      <c r="F58" s="128"/>
      <c r="G58" s="23"/>
      <c r="H58" s="20"/>
      <c r="I58" s="32"/>
      <c r="J58" s="30"/>
      <c r="K58" s="30"/>
      <c r="L58" s="30"/>
      <c r="M58" s="30"/>
      <c r="N58" s="30"/>
      <c r="O58" s="30"/>
      <c r="P58" s="33"/>
      <c r="Q58" s="30"/>
      <c r="R58" s="30"/>
      <c r="S58" s="30"/>
      <c r="T58" s="30"/>
      <c r="U58" s="30"/>
      <c r="V58" s="30"/>
      <c r="W58" s="30"/>
      <c r="X58" s="33"/>
      <c r="Y58" s="30"/>
      <c r="Z58" s="30"/>
      <c r="AA58" s="30"/>
      <c r="AB58" s="30"/>
      <c r="AC58" s="30"/>
      <c r="AD58" s="30"/>
      <c r="AE58" s="30"/>
      <c r="AF58" s="33"/>
      <c r="AG58" s="33"/>
      <c r="AH58" s="132"/>
      <c r="AI58" s="132"/>
    </row>
    <row r="59" spans="1:35" s="21" customFormat="1" x14ac:dyDescent="0.2">
      <c r="A59" s="151"/>
      <c r="B59" s="212"/>
      <c r="C59" s="212"/>
      <c r="D59" s="212"/>
      <c r="E59" s="212"/>
      <c r="F59" s="213"/>
      <c r="G59" s="23"/>
      <c r="H59" s="20"/>
      <c r="I59" s="32"/>
      <c r="J59" s="30"/>
      <c r="K59" s="30"/>
      <c r="L59" s="30"/>
      <c r="M59" s="30"/>
      <c r="N59" s="30"/>
      <c r="O59" s="30"/>
      <c r="P59" s="33"/>
      <c r="Q59" s="30"/>
      <c r="R59" s="30"/>
      <c r="S59" s="30"/>
      <c r="T59" s="30"/>
      <c r="U59" s="30"/>
      <c r="V59" s="30"/>
      <c r="W59" s="30"/>
      <c r="X59" s="33"/>
      <c r="Y59" s="30"/>
      <c r="Z59" s="30"/>
      <c r="AA59" s="30"/>
      <c r="AB59" s="30"/>
      <c r="AC59" s="30"/>
      <c r="AD59" s="30"/>
      <c r="AE59" s="30"/>
      <c r="AF59" s="33"/>
      <c r="AG59" s="33"/>
      <c r="AH59" s="132"/>
      <c r="AI59" s="132"/>
    </row>
    <row r="60" spans="1:35" s="21" customFormat="1" x14ac:dyDescent="0.2">
      <c r="A60" s="151"/>
      <c r="B60" s="212"/>
      <c r="C60" s="212"/>
      <c r="D60" s="212"/>
      <c r="E60" s="212"/>
      <c r="F60" s="213"/>
      <c r="G60" s="23"/>
      <c r="H60" s="20"/>
      <c r="I60" s="32"/>
      <c r="J60" s="30"/>
      <c r="K60" s="30"/>
      <c r="L60" s="30"/>
      <c r="M60" s="30"/>
      <c r="N60" s="30"/>
      <c r="O60" s="30"/>
      <c r="P60" s="33"/>
      <c r="Q60" s="30"/>
      <c r="R60" s="30"/>
      <c r="S60" s="30"/>
      <c r="T60" s="30"/>
      <c r="U60" s="30"/>
      <c r="V60" s="30"/>
      <c r="W60" s="30"/>
      <c r="X60" s="33"/>
      <c r="Y60" s="30"/>
      <c r="Z60" s="30"/>
      <c r="AA60" s="30"/>
      <c r="AB60" s="30"/>
      <c r="AC60" s="30"/>
      <c r="AD60" s="30"/>
      <c r="AE60" s="30"/>
      <c r="AF60" s="33"/>
      <c r="AG60" s="33"/>
      <c r="AH60" s="132"/>
      <c r="AI60" s="132"/>
    </row>
    <row r="61" spans="1:35" s="21" customFormat="1" x14ac:dyDescent="0.2">
      <c r="A61" s="151"/>
      <c r="B61" s="212"/>
      <c r="C61" s="212"/>
      <c r="D61" s="144"/>
      <c r="E61" s="144"/>
      <c r="F61" s="145"/>
      <c r="G61" s="23"/>
      <c r="H61" s="20"/>
      <c r="I61" s="32"/>
      <c r="J61" s="30"/>
      <c r="K61" s="30"/>
      <c r="L61" s="30"/>
      <c r="M61" s="30"/>
      <c r="N61" s="30"/>
      <c r="O61" s="30"/>
      <c r="P61" s="33"/>
      <c r="Q61" s="30"/>
      <c r="R61" s="30"/>
      <c r="S61" s="30"/>
      <c r="T61" s="30"/>
      <c r="U61" s="30"/>
      <c r="V61" s="30"/>
      <c r="W61" s="30"/>
      <c r="X61" s="33"/>
      <c r="Y61" s="30"/>
      <c r="Z61" s="30"/>
      <c r="AA61" s="30"/>
      <c r="AB61" s="30"/>
      <c r="AC61" s="30"/>
      <c r="AD61" s="30"/>
      <c r="AE61" s="30"/>
      <c r="AF61" s="33"/>
      <c r="AG61" s="33"/>
      <c r="AH61" s="132"/>
      <c r="AI61" s="132"/>
    </row>
    <row r="62" spans="1:35" s="21" customFormat="1" x14ac:dyDescent="0.2">
      <c r="A62" s="151"/>
      <c r="B62" s="39"/>
      <c r="C62" s="39"/>
      <c r="D62" s="39"/>
      <c r="E62" s="39"/>
      <c r="F62" s="128"/>
      <c r="G62" s="23"/>
      <c r="H62" s="20"/>
      <c r="I62" s="32"/>
      <c r="J62" s="30"/>
      <c r="K62" s="30"/>
      <c r="L62" s="30"/>
      <c r="M62" s="30"/>
      <c r="N62" s="30"/>
      <c r="O62" s="30"/>
      <c r="P62" s="33"/>
      <c r="Q62" s="30"/>
      <c r="R62" s="30"/>
      <c r="S62" s="30"/>
      <c r="T62" s="30"/>
      <c r="U62" s="30"/>
      <c r="V62" s="30"/>
      <c r="W62" s="30"/>
      <c r="X62" s="33"/>
      <c r="Y62" s="30"/>
      <c r="Z62" s="30"/>
      <c r="AA62" s="30"/>
      <c r="AB62" s="30"/>
      <c r="AC62" s="30"/>
      <c r="AD62" s="30"/>
      <c r="AE62" s="30"/>
      <c r="AF62" s="33"/>
      <c r="AG62" s="33"/>
      <c r="AH62" s="132"/>
      <c r="AI62" s="132"/>
    </row>
    <row r="63" spans="1:35" s="21" customFormat="1" x14ac:dyDescent="0.2">
      <c r="A63" s="127"/>
      <c r="B63" s="39"/>
      <c r="C63" s="39"/>
      <c r="D63" s="39"/>
      <c r="E63" s="39"/>
      <c r="F63" s="128"/>
      <c r="G63" s="23"/>
      <c r="H63" s="20"/>
      <c r="I63" s="32"/>
      <c r="J63" s="30"/>
      <c r="K63" s="30"/>
      <c r="L63" s="30"/>
      <c r="M63" s="30"/>
      <c r="N63" s="30"/>
      <c r="O63" s="30"/>
      <c r="P63" s="33"/>
      <c r="Q63" s="30"/>
      <c r="R63" s="30"/>
      <c r="S63" s="30"/>
      <c r="T63" s="30"/>
      <c r="U63" s="30"/>
      <c r="V63" s="30"/>
      <c r="W63" s="30"/>
      <c r="X63" s="33"/>
      <c r="Y63" s="30"/>
      <c r="Z63" s="30"/>
      <c r="AA63" s="30"/>
      <c r="AB63" s="30"/>
      <c r="AC63" s="30"/>
      <c r="AD63" s="30"/>
      <c r="AE63" s="30"/>
      <c r="AF63" s="33"/>
      <c r="AG63" s="33"/>
      <c r="AH63" s="132"/>
      <c r="AI63" s="132"/>
    </row>
    <row r="64" spans="1:35" s="21" customFormat="1" x14ac:dyDescent="0.2">
      <c r="A64" s="127"/>
      <c r="B64" s="39"/>
      <c r="C64" s="39"/>
      <c r="D64" s="39"/>
      <c r="E64" s="39"/>
      <c r="F64" s="128"/>
      <c r="G64" s="23"/>
      <c r="H64" s="20"/>
      <c r="I64" s="32"/>
      <c r="J64" s="30"/>
      <c r="K64" s="30"/>
      <c r="L64" s="30"/>
      <c r="M64" s="30"/>
      <c r="N64" s="30"/>
      <c r="O64" s="30"/>
      <c r="P64" s="33"/>
      <c r="Q64" s="30"/>
      <c r="R64" s="30"/>
      <c r="S64" s="30"/>
      <c r="T64" s="30"/>
      <c r="U64" s="30"/>
      <c r="V64" s="30"/>
      <c r="W64" s="30"/>
      <c r="X64" s="33"/>
      <c r="Y64" s="30"/>
      <c r="Z64" s="30"/>
      <c r="AA64" s="30"/>
      <c r="AB64" s="30"/>
      <c r="AC64" s="30"/>
      <c r="AD64" s="30"/>
      <c r="AE64" s="30"/>
      <c r="AF64" s="33"/>
      <c r="AG64" s="33"/>
      <c r="AH64" s="132"/>
      <c r="AI64" s="132"/>
    </row>
    <row r="65" spans="1:35" s="21" customFormat="1" x14ac:dyDescent="0.2">
      <c r="A65" s="127"/>
      <c r="B65" s="39"/>
      <c r="C65" s="39"/>
      <c r="D65" s="39"/>
      <c r="E65" s="39"/>
      <c r="F65" s="128"/>
      <c r="G65" s="23"/>
      <c r="H65" s="20"/>
      <c r="I65" s="32"/>
      <c r="J65" s="30"/>
      <c r="K65" s="30"/>
      <c r="L65" s="30"/>
      <c r="M65" s="30"/>
      <c r="N65" s="30"/>
      <c r="O65" s="30"/>
      <c r="P65" s="33"/>
      <c r="Q65" s="30"/>
      <c r="R65" s="30"/>
      <c r="S65" s="30"/>
      <c r="T65" s="30"/>
      <c r="U65" s="30"/>
      <c r="V65" s="30"/>
      <c r="W65" s="30"/>
      <c r="X65" s="33"/>
      <c r="Y65" s="30"/>
      <c r="Z65" s="30"/>
      <c r="AA65" s="30"/>
      <c r="AB65" s="30"/>
      <c r="AC65" s="30"/>
      <c r="AD65" s="30"/>
      <c r="AE65" s="30"/>
      <c r="AF65" s="33"/>
      <c r="AG65" s="33"/>
      <c r="AH65" s="132"/>
      <c r="AI65" s="132"/>
    </row>
    <row r="66" spans="1:35" s="21" customFormat="1" x14ac:dyDescent="0.2">
      <c r="A66" s="127"/>
      <c r="B66" s="39"/>
      <c r="C66" s="150"/>
      <c r="D66" s="39"/>
      <c r="E66" s="39"/>
      <c r="F66" s="128"/>
      <c r="G66" s="23"/>
      <c r="H66" s="20"/>
      <c r="I66" s="32"/>
      <c r="J66" s="30"/>
      <c r="K66" s="30"/>
      <c r="L66" s="30"/>
      <c r="M66" s="30"/>
      <c r="N66" s="30"/>
      <c r="O66" s="30"/>
      <c r="P66" s="33"/>
      <c r="Q66" s="30"/>
      <c r="R66" s="30"/>
      <c r="S66" s="30"/>
      <c r="T66" s="30"/>
      <c r="U66" s="30"/>
      <c r="V66" s="30"/>
      <c r="W66" s="30"/>
      <c r="X66" s="33"/>
      <c r="Y66" s="30"/>
      <c r="Z66" s="30"/>
      <c r="AA66" s="30"/>
      <c r="AB66" s="30"/>
      <c r="AC66" s="30"/>
      <c r="AD66" s="30"/>
      <c r="AE66" s="30"/>
      <c r="AF66" s="33"/>
      <c r="AG66" s="33"/>
      <c r="AH66" s="132"/>
      <c r="AI66" s="132"/>
    </row>
    <row r="67" spans="1:35" s="21" customFormat="1" x14ac:dyDescent="0.2">
      <c r="A67" s="127"/>
      <c r="B67" s="39"/>
      <c r="C67" s="150"/>
      <c r="D67" s="39"/>
      <c r="E67" s="39"/>
      <c r="F67" s="128"/>
      <c r="G67" s="23"/>
      <c r="H67" s="20"/>
      <c r="I67" s="32"/>
      <c r="J67" s="30"/>
      <c r="K67" s="30"/>
      <c r="L67" s="30"/>
      <c r="M67" s="30"/>
      <c r="N67" s="30"/>
      <c r="O67" s="30"/>
      <c r="P67" s="33"/>
      <c r="Q67" s="30"/>
      <c r="R67" s="30"/>
      <c r="S67" s="30"/>
      <c r="T67" s="30"/>
      <c r="U67" s="30"/>
      <c r="V67" s="30"/>
      <c r="W67" s="30"/>
      <c r="X67" s="33"/>
      <c r="Y67" s="30"/>
      <c r="Z67" s="30"/>
      <c r="AA67" s="30"/>
      <c r="AB67" s="30"/>
      <c r="AC67" s="30"/>
      <c r="AD67" s="30"/>
      <c r="AE67" s="30"/>
      <c r="AF67" s="33"/>
      <c r="AG67" s="33"/>
      <c r="AH67" s="132"/>
      <c r="AI67" s="132"/>
    </row>
    <row r="68" spans="1:35" s="21" customFormat="1" x14ac:dyDescent="0.2">
      <c r="A68" s="143"/>
      <c r="B68" s="39"/>
      <c r="C68" s="39"/>
      <c r="D68" s="39"/>
      <c r="E68" s="39"/>
      <c r="F68" s="128"/>
      <c r="G68" s="23"/>
      <c r="H68" s="20"/>
      <c r="I68" s="32"/>
      <c r="J68" s="30"/>
      <c r="K68" s="30"/>
      <c r="L68" s="30"/>
      <c r="M68" s="30"/>
      <c r="N68" s="30"/>
      <c r="O68" s="30"/>
      <c r="P68" s="33"/>
      <c r="Q68" s="30"/>
      <c r="R68" s="30"/>
      <c r="S68" s="30"/>
      <c r="T68" s="30"/>
      <c r="U68" s="30"/>
      <c r="V68" s="30"/>
      <c r="W68" s="30"/>
      <c r="X68" s="33"/>
      <c r="Y68" s="30"/>
      <c r="Z68" s="30"/>
      <c r="AA68" s="30"/>
      <c r="AB68" s="30"/>
      <c r="AC68" s="30"/>
      <c r="AD68" s="30"/>
      <c r="AE68" s="30"/>
      <c r="AF68" s="33"/>
      <c r="AG68" s="33"/>
      <c r="AH68" s="132"/>
      <c r="AI68" s="132"/>
    </row>
    <row r="69" spans="1:35" s="21" customFormat="1" x14ac:dyDescent="0.2">
      <c r="A69" s="127"/>
      <c r="B69" s="39"/>
      <c r="C69" s="39"/>
      <c r="D69" s="39"/>
      <c r="E69" s="39"/>
      <c r="F69" s="128"/>
      <c r="G69" s="23"/>
      <c r="H69" s="20"/>
      <c r="I69" s="32"/>
      <c r="J69" s="30"/>
      <c r="K69" s="30"/>
      <c r="L69" s="30"/>
      <c r="M69" s="30"/>
      <c r="N69" s="30"/>
      <c r="O69" s="30"/>
      <c r="P69" s="33"/>
      <c r="Q69" s="30"/>
      <c r="R69" s="30"/>
      <c r="S69" s="30"/>
      <c r="T69" s="30"/>
      <c r="U69" s="30"/>
      <c r="V69" s="30"/>
      <c r="W69" s="30"/>
      <c r="X69" s="33"/>
      <c r="Y69" s="30"/>
      <c r="Z69" s="30"/>
      <c r="AA69" s="30"/>
      <c r="AB69" s="30"/>
      <c r="AC69" s="30"/>
      <c r="AD69" s="30"/>
      <c r="AE69" s="30"/>
      <c r="AF69" s="33"/>
      <c r="AG69" s="33"/>
      <c r="AH69" s="132"/>
      <c r="AI69" s="132"/>
    </row>
    <row r="70" spans="1:35" s="21" customFormat="1" x14ac:dyDescent="0.2">
      <c r="A70" s="127"/>
      <c r="B70" s="39"/>
      <c r="C70" s="39"/>
      <c r="D70" s="39"/>
      <c r="E70" s="39"/>
      <c r="F70" s="128"/>
      <c r="G70" s="23"/>
      <c r="H70" s="20"/>
      <c r="I70" s="32"/>
      <c r="J70" s="30"/>
      <c r="K70" s="30"/>
      <c r="L70" s="30"/>
      <c r="M70" s="30"/>
      <c r="N70" s="30"/>
      <c r="O70" s="30"/>
      <c r="P70" s="33"/>
      <c r="Q70" s="30"/>
      <c r="R70" s="30"/>
      <c r="S70" s="30"/>
      <c r="T70" s="30"/>
      <c r="U70" s="30"/>
      <c r="V70" s="30"/>
      <c r="W70" s="30"/>
      <c r="X70" s="33"/>
      <c r="Y70" s="30"/>
      <c r="Z70" s="30"/>
      <c r="AA70" s="30"/>
      <c r="AB70" s="30"/>
      <c r="AC70" s="30"/>
      <c r="AD70" s="30"/>
      <c r="AE70" s="30"/>
      <c r="AF70" s="33"/>
      <c r="AG70" s="33"/>
      <c r="AH70" s="132"/>
      <c r="AI70" s="132"/>
    </row>
    <row r="71" spans="1:35" s="21" customFormat="1" x14ac:dyDescent="0.2">
      <c r="A71" s="143"/>
      <c r="B71" s="39"/>
      <c r="C71" s="39"/>
      <c r="D71" s="39"/>
      <c r="E71" s="39"/>
      <c r="F71" s="128"/>
      <c r="G71" s="23"/>
      <c r="H71" s="20"/>
      <c r="I71" s="32"/>
      <c r="J71" s="30"/>
      <c r="K71" s="30"/>
      <c r="L71" s="30"/>
      <c r="M71" s="30"/>
      <c r="N71" s="30"/>
      <c r="O71" s="30"/>
      <c r="P71" s="33"/>
      <c r="Q71" s="30"/>
      <c r="R71" s="30"/>
      <c r="S71" s="30"/>
      <c r="T71" s="30"/>
      <c r="U71" s="30"/>
      <c r="V71" s="30"/>
      <c r="W71" s="30"/>
      <c r="X71" s="33"/>
      <c r="Y71" s="30"/>
      <c r="Z71" s="30"/>
      <c r="AA71" s="30"/>
      <c r="AB71" s="30"/>
      <c r="AC71" s="30"/>
      <c r="AD71" s="30"/>
      <c r="AE71" s="30"/>
      <c r="AF71" s="33"/>
      <c r="AG71" s="33"/>
      <c r="AH71" s="132"/>
      <c r="AI71" s="132"/>
    </row>
    <row r="72" spans="1:35" s="21" customFormat="1" x14ac:dyDescent="0.2">
      <c r="A72" s="143"/>
      <c r="B72" s="39"/>
      <c r="C72" s="39"/>
      <c r="D72" s="39"/>
      <c r="E72" s="39"/>
      <c r="F72" s="128"/>
      <c r="G72" s="23" t="s">
        <v>261</v>
      </c>
      <c r="H72" s="20"/>
      <c r="I72" s="32"/>
      <c r="J72" s="30"/>
      <c r="K72" s="30"/>
      <c r="L72" s="30"/>
      <c r="M72" s="30"/>
      <c r="N72" s="30"/>
      <c r="O72" s="30"/>
      <c r="P72" s="33"/>
      <c r="Q72" s="30"/>
      <c r="R72" s="30"/>
      <c r="S72" s="30"/>
      <c r="T72" s="30"/>
      <c r="U72" s="30"/>
      <c r="V72" s="30"/>
      <c r="W72" s="30"/>
      <c r="X72" s="33"/>
      <c r="Y72" s="30"/>
      <c r="Z72" s="30"/>
      <c r="AA72" s="30"/>
      <c r="AB72" s="30"/>
      <c r="AC72" s="30"/>
      <c r="AD72" s="30"/>
      <c r="AE72" s="30"/>
      <c r="AF72" s="33"/>
      <c r="AG72" s="33"/>
      <c r="AH72" s="132"/>
      <c r="AI72" s="132"/>
    </row>
    <row r="73" spans="1:35" s="21" customFormat="1" x14ac:dyDescent="0.2">
      <c r="A73" s="200"/>
      <c r="B73" s="39"/>
      <c r="C73" s="39"/>
      <c r="D73" s="39"/>
      <c r="E73" s="39"/>
      <c r="F73" s="128"/>
      <c r="G73" s="23"/>
      <c r="H73" s="20"/>
      <c r="I73" s="32"/>
      <c r="J73" s="30"/>
      <c r="K73" s="30"/>
      <c r="L73" s="30"/>
      <c r="M73" s="30"/>
      <c r="N73" s="30"/>
      <c r="O73" s="30"/>
      <c r="P73" s="33"/>
      <c r="Q73" s="30"/>
      <c r="R73" s="30"/>
      <c r="S73" s="30"/>
      <c r="T73" s="30"/>
      <c r="U73" s="30"/>
      <c r="V73" s="30"/>
      <c r="W73" s="30"/>
      <c r="X73" s="33"/>
      <c r="Y73" s="30"/>
      <c r="Z73" s="30"/>
      <c r="AA73" s="30"/>
      <c r="AB73" s="30"/>
      <c r="AC73" s="30"/>
      <c r="AD73" s="30"/>
      <c r="AE73" s="30"/>
      <c r="AF73" s="33"/>
      <c r="AG73" s="33"/>
      <c r="AH73" s="132"/>
      <c r="AI73" s="132"/>
    </row>
    <row r="74" spans="1:35" s="21" customFormat="1" x14ac:dyDescent="0.2">
      <c r="A74" s="199"/>
      <c r="B74" s="153"/>
      <c r="C74" s="154"/>
      <c r="D74" s="150"/>
      <c r="E74" s="39"/>
      <c r="F74" s="128"/>
      <c r="G74" s="23"/>
      <c r="H74" s="20"/>
      <c r="I74" s="34"/>
      <c r="J74" s="33"/>
      <c r="K74" s="33"/>
      <c r="L74" s="33"/>
      <c r="M74" s="33"/>
      <c r="N74" s="33"/>
      <c r="O74" s="33"/>
      <c r="P74" s="33"/>
      <c r="Q74" s="33"/>
      <c r="R74" s="28"/>
      <c r="S74" s="34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F74" s="33"/>
      <c r="AG74" s="34"/>
      <c r="AH74" s="132"/>
      <c r="AI74" s="132"/>
    </row>
    <row r="75" spans="1:35" s="21" customFormat="1" x14ac:dyDescent="0.2">
      <c r="A75" s="7"/>
      <c r="B75" s="153"/>
      <c r="C75" s="154"/>
      <c r="D75" s="150"/>
      <c r="E75" s="39"/>
      <c r="F75" s="128"/>
      <c r="G75" s="67" t="s">
        <v>184</v>
      </c>
      <c r="H75" s="22"/>
      <c r="I75" s="34"/>
      <c r="J75" s="28"/>
      <c r="K75" s="28"/>
      <c r="L75" s="28"/>
      <c r="M75" s="28"/>
      <c r="N75" s="28"/>
      <c r="O75" s="28"/>
      <c r="P75" s="28"/>
      <c r="Q75" s="34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28"/>
      <c r="AF75" s="28"/>
      <c r="AG75" s="34"/>
      <c r="AH75" s="132"/>
      <c r="AI75" s="132"/>
    </row>
    <row r="76" spans="1:35" s="21" customFormat="1" x14ac:dyDescent="0.2">
      <c r="A76" s="7"/>
      <c r="B76" s="155"/>
      <c r="C76" s="155"/>
      <c r="D76" s="155"/>
      <c r="E76" s="155"/>
      <c r="F76" s="156"/>
      <c r="G76" s="12"/>
      <c r="H76" s="23"/>
      <c r="I76" s="64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34"/>
      <c r="AH76" s="132"/>
      <c r="AI76" s="132"/>
    </row>
    <row r="77" spans="1:35" s="21" customFormat="1" x14ac:dyDescent="0.2">
      <c r="A77" s="7"/>
      <c r="B77" s="3"/>
      <c r="C77" s="4"/>
      <c r="D77" s="5"/>
      <c r="E77" s="155"/>
      <c r="F77" s="156"/>
      <c r="G77" s="12"/>
      <c r="H77" s="12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28"/>
      <c r="AF77" s="28"/>
      <c r="AG77" s="34"/>
      <c r="AH77" s="132"/>
      <c r="AI77" s="132"/>
    </row>
    <row r="78" spans="1:35" s="21" customFormat="1" x14ac:dyDescent="0.2">
      <c r="A78" s="7"/>
      <c r="B78" s="3"/>
      <c r="C78" s="154"/>
      <c r="D78" s="157"/>
      <c r="E78" s="155"/>
      <c r="F78" s="156"/>
      <c r="G78" s="12"/>
      <c r="H78" s="12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34"/>
      <c r="AH78" s="132"/>
      <c r="AI78" s="132"/>
    </row>
    <row r="79" spans="1:35" s="21" customFormat="1" x14ac:dyDescent="0.2">
      <c r="A79" s="7"/>
      <c r="B79" s="155"/>
      <c r="C79" s="154"/>
      <c r="D79" s="157"/>
      <c r="E79" s="157"/>
      <c r="F79" s="156"/>
      <c r="G79" s="12"/>
      <c r="H79" s="12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34"/>
      <c r="AH79" s="132"/>
      <c r="AI79" s="132"/>
    </row>
    <row r="80" spans="1:35" s="21" customFormat="1" x14ac:dyDescent="0.2">
      <c r="A80" s="7"/>
      <c r="B80" s="155"/>
      <c r="C80" s="39"/>
      <c r="D80" s="154"/>
      <c r="E80" s="154"/>
      <c r="F80" s="156"/>
      <c r="G80" s="12"/>
      <c r="H80" s="12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34"/>
      <c r="AH80" s="132"/>
      <c r="AI80" s="132"/>
    </row>
    <row r="81" spans="1:35" s="21" customFormat="1" x14ac:dyDescent="0.2">
      <c r="A81" s="7"/>
      <c r="B81" s="155"/>
      <c r="C81" s="154"/>
      <c r="D81" s="39"/>
      <c r="E81" s="154"/>
      <c r="F81" s="156"/>
      <c r="G81" s="12"/>
      <c r="H81" s="12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28"/>
      <c r="AF81" s="28"/>
      <c r="AG81" s="34"/>
      <c r="AH81" s="132"/>
      <c r="AI81" s="132"/>
    </row>
    <row r="82" spans="1:35" s="21" customFormat="1" x14ac:dyDescent="0.2">
      <c r="A82" s="7"/>
      <c r="B82" s="155"/>
      <c r="C82" s="39"/>
      <c r="D82" s="158"/>
      <c r="E82" s="154"/>
      <c r="F82" s="156"/>
      <c r="G82" s="12"/>
      <c r="H82" s="12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34"/>
      <c r="AH82" s="132"/>
      <c r="AI82" s="132"/>
    </row>
    <row r="83" spans="1:35" s="21" customFormat="1" x14ac:dyDescent="0.2">
      <c r="A83" s="7"/>
      <c r="B83" s="155"/>
      <c r="C83" s="39"/>
      <c r="D83" s="158"/>
      <c r="E83" s="154"/>
      <c r="F83" s="156"/>
      <c r="G83" s="12"/>
      <c r="H83" s="12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28"/>
      <c r="AF83" s="28"/>
      <c r="AG83" s="34"/>
      <c r="AH83" s="132"/>
      <c r="AI83" s="132"/>
    </row>
    <row r="84" spans="1:35" s="21" customFormat="1" x14ac:dyDescent="0.2">
      <c r="A84" s="7"/>
      <c r="B84" s="155"/>
      <c r="C84" s="154"/>
      <c r="D84" s="39"/>
      <c r="E84" s="154"/>
      <c r="F84" s="156"/>
      <c r="G84" s="12"/>
      <c r="H84" s="12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28"/>
      <c r="AF84" s="28"/>
      <c r="AG84" s="34"/>
      <c r="AH84" s="132"/>
      <c r="AI84" s="132"/>
    </row>
    <row r="85" spans="1:35" s="21" customFormat="1" x14ac:dyDescent="0.2">
      <c r="A85" s="7"/>
      <c r="B85" s="155"/>
      <c r="C85" s="154"/>
      <c r="D85" s="154"/>
      <c r="E85" s="154"/>
      <c r="F85" s="159"/>
      <c r="G85" s="12"/>
      <c r="H85" s="12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34"/>
      <c r="AH85" s="132"/>
      <c r="AI85" s="132"/>
    </row>
    <row r="86" spans="1:35" s="21" customFormat="1" x14ac:dyDescent="0.2">
      <c r="A86" s="7"/>
      <c r="B86" s="155"/>
      <c r="C86" s="39"/>
      <c r="D86" s="160"/>
      <c r="E86" s="161"/>
      <c r="F86" s="162"/>
      <c r="G86" s="12"/>
      <c r="H86" s="12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34"/>
      <c r="AH86" s="132"/>
      <c r="AI86" s="132"/>
    </row>
    <row r="87" spans="1:35" s="21" customFormat="1" x14ac:dyDescent="0.2">
      <c r="A87" s="7"/>
      <c r="B87" s="155"/>
      <c r="C87" s="154"/>
      <c r="D87" s="158"/>
      <c r="E87" s="154"/>
      <c r="F87" s="159"/>
      <c r="G87" s="12"/>
      <c r="H87" s="12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34"/>
      <c r="AH87" s="132"/>
      <c r="AI87" s="132"/>
    </row>
    <row r="88" spans="1:35" s="21" customFormat="1" x14ac:dyDescent="0.2">
      <c r="A88" s="7"/>
      <c r="B88" s="155"/>
      <c r="C88" s="154"/>
      <c r="D88" s="158"/>
      <c r="E88" s="154"/>
      <c r="F88" s="159"/>
      <c r="G88" s="12"/>
      <c r="H88" s="12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34"/>
      <c r="AH88" s="132"/>
      <c r="AI88" s="132"/>
    </row>
    <row r="89" spans="1:35" s="21" customFormat="1" x14ac:dyDescent="0.2">
      <c r="A89" s="7"/>
      <c r="B89" s="3"/>
      <c r="C89" s="4"/>
      <c r="D89" s="157"/>
      <c r="E89" s="154"/>
      <c r="F89" s="159"/>
      <c r="G89" s="12"/>
      <c r="H89" s="12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28"/>
      <c r="AF89" s="28"/>
      <c r="AG89" s="34"/>
      <c r="AH89" s="132"/>
      <c r="AI89" s="132"/>
    </row>
    <row r="90" spans="1:35" s="21" customFormat="1" x14ac:dyDescent="0.2">
      <c r="A90" s="7"/>
      <c r="B90" s="155"/>
      <c r="C90" s="154"/>
      <c r="D90" s="154"/>
      <c r="E90" s="154"/>
      <c r="F90" s="159"/>
      <c r="G90" s="12"/>
      <c r="H90" s="12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34"/>
      <c r="AH90" s="132"/>
      <c r="AI90" s="132"/>
    </row>
    <row r="91" spans="1:35" s="21" customFormat="1" x14ac:dyDescent="0.2">
      <c r="A91" s="7"/>
      <c r="B91" s="155"/>
      <c r="C91" s="154"/>
      <c r="D91" s="163"/>
      <c r="E91" s="154"/>
      <c r="F91" s="159"/>
      <c r="G91" s="12"/>
      <c r="H91" s="12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34"/>
      <c r="AH91" s="132"/>
      <c r="AI91" s="132"/>
    </row>
    <row r="92" spans="1:35" s="21" customFormat="1" x14ac:dyDescent="0.2">
      <c r="A92" s="7"/>
      <c r="B92" s="155"/>
      <c r="C92" s="154"/>
      <c r="D92" s="164"/>
      <c r="E92" s="154"/>
      <c r="F92" s="159"/>
      <c r="G92" s="12"/>
      <c r="H92" s="12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34"/>
      <c r="AH92" s="132"/>
      <c r="AI92" s="132"/>
    </row>
    <row r="93" spans="1:35" s="21" customFormat="1" x14ac:dyDescent="0.2">
      <c r="A93" s="7"/>
      <c r="B93" s="155"/>
      <c r="C93" s="154"/>
      <c r="D93" s="164"/>
      <c r="E93" s="154"/>
      <c r="F93" s="159"/>
      <c r="G93" s="12"/>
      <c r="H93" s="12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34"/>
      <c r="AH93" s="132"/>
      <c r="AI93" s="132"/>
    </row>
    <row r="94" spans="1:35" s="21" customFormat="1" x14ac:dyDescent="0.2">
      <c r="A94" s="7"/>
      <c r="B94" s="155"/>
      <c r="C94" s="154"/>
      <c r="D94" s="163"/>
      <c r="E94" s="154"/>
      <c r="F94" s="159"/>
      <c r="G94" s="12"/>
      <c r="H94" s="12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34"/>
      <c r="AH94" s="132"/>
      <c r="AI94" s="132"/>
    </row>
    <row r="95" spans="1:35" s="21" customFormat="1" x14ac:dyDescent="0.2">
      <c r="A95" s="7"/>
      <c r="B95" s="155"/>
      <c r="C95" s="154"/>
      <c r="D95" s="164"/>
      <c r="E95" s="154"/>
      <c r="F95" s="159"/>
      <c r="G95" s="12"/>
      <c r="H95" s="12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34"/>
      <c r="AH95" s="132"/>
      <c r="AI95" s="132"/>
    </row>
    <row r="96" spans="1:35" s="21" customFormat="1" x14ac:dyDescent="0.2">
      <c r="A96" s="7"/>
      <c r="B96" s="155"/>
      <c r="C96" s="154"/>
      <c r="D96" s="164"/>
      <c r="E96" s="154"/>
      <c r="F96" s="159"/>
      <c r="G96" s="12"/>
      <c r="H96" s="12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34"/>
      <c r="AH96" s="132"/>
      <c r="AI96" s="132"/>
    </row>
    <row r="97" spans="1:35" s="21" customFormat="1" x14ac:dyDescent="0.2">
      <c r="A97" s="7"/>
      <c r="B97" s="155"/>
      <c r="C97" s="154"/>
      <c r="D97" s="154"/>
      <c r="E97" s="154"/>
      <c r="F97" s="159"/>
      <c r="G97" s="12"/>
      <c r="H97" s="12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34"/>
      <c r="AH97" s="132"/>
      <c r="AI97" s="132"/>
    </row>
    <row r="98" spans="1:35" s="21" customFormat="1" x14ac:dyDescent="0.2">
      <c r="A98" s="7"/>
      <c r="B98" s="155"/>
      <c r="C98" s="39"/>
      <c r="D98" s="158"/>
      <c r="E98" s="154"/>
      <c r="F98" s="159"/>
      <c r="G98" s="12"/>
      <c r="H98" s="12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28"/>
      <c r="AF98" s="28"/>
      <c r="AG98" s="34"/>
      <c r="AH98" s="132"/>
      <c r="AI98" s="132"/>
    </row>
    <row r="99" spans="1:35" s="21" customFormat="1" x14ac:dyDescent="0.2">
      <c r="A99" s="7"/>
      <c r="B99" s="155"/>
      <c r="C99" s="39"/>
      <c r="D99" s="158"/>
      <c r="E99" s="154"/>
      <c r="F99" s="159"/>
      <c r="G99" s="12"/>
      <c r="H99" s="12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28"/>
      <c r="AF99" s="28"/>
      <c r="AG99" s="34"/>
      <c r="AH99" s="132"/>
      <c r="AI99" s="132"/>
    </row>
    <row r="100" spans="1:35" s="21" customFormat="1" x14ac:dyDescent="0.2">
      <c r="A100" s="7"/>
      <c r="B100" s="155"/>
      <c r="C100" s="154"/>
      <c r="D100" s="154"/>
      <c r="E100" s="154"/>
      <c r="F100" s="159"/>
      <c r="G100" s="12"/>
      <c r="H100" s="12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34"/>
      <c r="AH100" s="132"/>
      <c r="AI100" s="132"/>
    </row>
    <row r="101" spans="1:35" s="21" customFormat="1" x14ac:dyDescent="0.2">
      <c r="A101" s="7"/>
      <c r="B101" s="155"/>
      <c r="C101" s="39"/>
      <c r="D101" s="160"/>
      <c r="E101" s="161"/>
      <c r="F101" s="162"/>
      <c r="G101" s="12"/>
      <c r="H101" s="12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28"/>
      <c r="AF101" s="28"/>
      <c r="AG101" s="34"/>
      <c r="AH101" s="132"/>
      <c r="AI101" s="132"/>
    </row>
    <row r="102" spans="1:35" s="21" customFormat="1" x14ac:dyDescent="0.2">
      <c r="A102" s="7"/>
      <c r="B102" s="155"/>
      <c r="C102" s="154"/>
      <c r="D102" s="158"/>
      <c r="E102" s="154"/>
      <c r="F102" s="159"/>
      <c r="G102" s="12"/>
      <c r="H102" s="12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28"/>
      <c r="AF102" s="28"/>
      <c r="AG102" s="34"/>
      <c r="AH102" s="132"/>
      <c r="AI102" s="132"/>
    </row>
    <row r="103" spans="1:35" s="21" customFormat="1" x14ac:dyDescent="0.2">
      <c r="A103" s="7"/>
      <c r="B103" s="155"/>
      <c r="C103" s="154"/>
      <c r="D103" s="164"/>
      <c r="E103" s="154"/>
      <c r="F103" s="159"/>
      <c r="G103" s="12"/>
      <c r="H103" s="12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34"/>
      <c r="AH103" s="132"/>
      <c r="AI103" s="132"/>
    </row>
    <row r="104" spans="1:35" s="21" customFormat="1" x14ac:dyDescent="0.2">
      <c r="A104" s="7"/>
      <c r="B104" s="155"/>
      <c r="C104" s="154"/>
      <c r="D104" s="164"/>
      <c r="E104" s="154"/>
      <c r="F104" s="159"/>
      <c r="G104" s="12"/>
      <c r="H104" s="12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28"/>
      <c r="AF104" s="28"/>
      <c r="AG104" s="34"/>
      <c r="AH104" s="132"/>
      <c r="AI104" s="132"/>
    </row>
    <row r="105" spans="1:35" s="21" customFormat="1" x14ac:dyDescent="0.2">
      <c r="A105" s="7"/>
      <c r="B105" s="155"/>
      <c r="C105" s="154"/>
      <c r="D105" s="158"/>
      <c r="E105" s="154"/>
      <c r="F105" s="159"/>
      <c r="G105" s="12"/>
      <c r="H105" s="12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28"/>
      <c r="AF105" s="28"/>
      <c r="AG105" s="34"/>
      <c r="AH105" s="132"/>
      <c r="AI105" s="132"/>
    </row>
    <row r="106" spans="1:35" s="21" customFormat="1" x14ac:dyDescent="0.2">
      <c r="A106" s="7"/>
      <c r="B106" s="155"/>
      <c r="C106" s="154"/>
      <c r="D106" s="164"/>
      <c r="E106" s="154"/>
      <c r="F106" s="159"/>
      <c r="G106" s="12"/>
      <c r="H106" s="12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34"/>
      <c r="AH106" s="132"/>
      <c r="AI106" s="132"/>
    </row>
    <row r="107" spans="1:35" s="21" customFormat="1" x14ac:dyDescent="0.2">
      <c r="A107" s="7"/>
      <c r="B107" s="155"/>
      <c r="C107" s="154"/>
      <c r="D107" s="164"/>
      <c r="E107" s="154"/>
      <c r="F107" s="159"/>
      <c r="G107" s="12"/>
      <c r="H107" s="12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28"/>
      <c r="AF107" s="28"/>
      <c r="AG107" s="34"/>
      <c r="AH107" s="132"/>
      <c r="AI107" s="132"/>
    </row>
    <row r="108" spans="1:35" s="21" customFormat="1" x14ac:dyDescent="0.2">
      <c r="A108" s="7"/>
      <c r="B108" s="3"/>
      <c r="C108" s="4"/>
      <c r="D108" s="157"/>
      <c r="E108" s="154"/>
      <c r="F108" s="159"/>
      <c r="G108" s="12"/>
      <c r="H108" s="12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28"/>
      <c r="AF108" s="28"/>
      <c r="AG108" s="34"/>
      <c r="AH108" s="132"/>
      <c r="AI108" s="132"/>
    </row>
    <row r="109" spans="1:35" s="21" customFormat="1" x14ac:dyDescent="0.2">
      <c r="A109" s="7"/>
      <c r="B109" s="155"/>
      <c r="C109" s="154"/>
      <c r="D109" s="157"/>
      <c r="E109" s="154"/>
      <c r="F109" s="159"/>
      <c r="G109" s="12"/>
      <c r="H109" s="12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34"/>
      <c r="AH109" s="132"/>
      <c r="AI109" s="132"/>
    </row>
    <row r="110" spans="1:35" s="21" customFormat="1" x14ac:dyDescent="0.2">
      <c r="A110" s="7"/>
      <c r="B110" s="155"/>
      <c r="C110" s="154"/>
      <c r="D110" s="157"/>
      <c r="E110" s="154"/>
      <c r="F110" s="159"/>
      <c r="G110" s="12"/>
      <c r="H110" s="12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34"/>
      <c r="AH110" s="132"/>
      <c r="AI110" s="132"/>
    </row>
    <row r="111" spans="1:35" s="21" customFormat="1" x14ac:dyDescent="0.2">
      <c r="A111" s="7"/>
      <c r="B111" s="155"/>
      <c r="C111" s="154"/>
      <c r="D111" s="157"/>
      <c r="E111" s="154"/>
      <c r="F111" s="159"/>
      <c r="G111" s="12"/>
      <c r="H111" s="12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28"/>
      <c r="AF111" s="28"/>
      <c r="AG111" s="34"/>
      <c r="AH111" s="132"/>
      <c r="AI111" s="132"/>
    </row>
    <row r="112" spans="1:35" s="21" customFormat="1" x14ac:dyDescent="0.2">
      <c r="A112" s="7"/>
      <c r="B112" s="155"/>
      <c r="C112" s="39"/>
      <c r="D112" s="160"/>
      <c r="E112" s="161"/>
      <c r="F112" s="162"/>
      <c r="G112" s="12"/>
      <c r="H112" s="12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28"/>
      <c r="AF112" s="28"/>
      <c r="AG112" s="34"/>
      <c r="AH112" s="132"/>
      <c r="AI112" s="132"/>
    </row>
    <row r="113" spans="1:35" s="21" customFormat="1" x14ac:dyDescent="0.2">
      <c r="A113" s="7"/>
      <c r="B113" s="155"/>
      <c r="C113" s="154"/>
      <c r="D113" s="158"/>
      <c r="E113" s="154"/>
      <c r="F113" s="110"/>
      <c r="G113" s="12"/>
      <c r="H113" s="12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34"/>
      <c r="AH113" s="132"/>
      <c r="AI113" s="132"/>
    </row>
    <row r="114" spans="1:35" s="21" customFormat="1" x14ac:dyDescent="0.2">
      <c r="A114" s="7"/>
      <c r="B114" s="155"/>
      <c r="C114" s="154"/>
      <c r="D114" s="158"/>
      <c r="E114" s="154"/>
      <c r="F114" s="110"/>
      <c r="G114" s="12"/>
      <c r="H114" s="12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28"/>
      <c r="AF114" s="28"/>
      <c r="AG114" s="34"/>
      <c r="AH114" s="132"/>
      <c r="AI114" s="132"/>
    </row>
    <row r="115" spans="1:35" s="21" customFormat="1" x14ac:dyDescent="0.2">
      <c r="A115" s="7"/>
      <c r="B115" s="6"/>
      <c r="C115" s="7"/>
      <c r="D115" s="154"/>
      <c r="E115" s="154"/>
      <c r="F115" s="159"/>
      <c r="G115" s="12"/>
      <c r="H115" s="12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28"/>
      <c r="AF115" s="28"/>
      <c r="AG115" s="34"/>
      <c r="AH115" s="132"/>
      <c r="AI115" s="132"/>
    </row>
    <row r="116" spans="1:35" s="21" customFormat="1" x14ac:dyDescent="0.2">
      <c r="A116" s="7"/>
      <c r="B116" s="153"/>
      <c r="C116" s="154"/>
      <c r="D116" s="154"/>
      <c r="E116" s="154"/>
      <c r="F116" s="159"/>
      <c r="G116" s="12"/>
      <c r="H116" s="12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28"/>
      <c r="AF116" s="28"/>
      <c r="AG116" s="34"/>
      <c r="AH116" s="132"/>
      <c r="AI116" s="132"/>
    </row>
    <row r="117" spans="1:35" s="21" customFormat="1" x14ac:dyDescent="0.2">
      <c r="A117" s="7"/>
      <c r="B117" s="153"/>
      <c r="C117" s="154"/>
      <c r="D117" s="158"/>
      <c r="E117" s="154"/>
      <c r="F117" s="159"/>
      <c r="G117" s="12"/>
      <c r="H117" s="12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8"/>
      <c r="AB117" s="28"/>
      <c r="AC117" s="28"/>
      <c r="AD117" s="28"/>
      <c r="AE117" s="28"/>
      <c r="AF117" s="28"/>
      <c r="AG117" s="34"/>
      <c r="AH117" s="132"/>
      <c r="AI117" s="132"/>
    </row>
    <row r="118" spans="1:35" s="21" customFormat="1" x14ac:dyDescent="0.2">
      <c r="A118" s="7"/>
      <c r="B118" s="153"/>
      <c r="C118" s="154"/>
      <c r="D118" s="158"/>
      <c r="E118" s="154"/>
      <c r="F118" s="159"/>
      <c r="G118" s="12"/>
      <c r="H118" s="12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28"/>
      <c r="AF118" s="28"/>
      <c r="AG118" s="34"/>
      <c r="AH118" s="132"/>
      <c r="AI118" s="132"/>
    </row>
    <row r="119" spans="1:35" s="21" customFormat="1" x14ac:dyDescent="0.2">
      <c r="A119" s="7"/>
      <c r="B119" s="153"/>
      <c r="C119" s="154"/>
      <c r="D119" s="150"/>
      <c r="E119" s="39"/>
      <c r="F119" s="128"/>
      <c r="G119" s="12"/>
      <c r="H119" s="12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28"/>
      <c r="AF119" s="28"/>
      <c r="AG119" s="34"/>
      <c r="AH119" s="132"/>
      <c r="AI119" s="132"/>
    </row>
    <row r="120" spans="1:35" x14ac:dyDescent="0.2">
      <c r="A120" s="7"/>
      <c r="B120" s="153"/>
      <c r="C120" s="154"/>
      <c r="D120" s="39"/>
      <c r="E120" s="39"/>
      <c r="F120" s="128"/>
      <c r="G120" s="12"/>
      <c r="H120" s="12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8"/>
      <c r="AG120" s="122"/>
      <c r="AH120" s="123"/>
      <c r="AI120" s="123"/>
    </row>
    <row r="121" spans="1:35" x14ac:dyDescent="0.2">
      <c r="A121" s="7"/>
      <c r="B121" s="153"/>
      <c r="C121" s="154"/>
      <c r="D121" s="150"/>
      <c r="E121" s="39"/>
      <c r="F121" s="128"/>
      <c r="G121" s="12"/>
      <c r="H121" s="12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28"/>
      <c r="AF121" s="28"/>
      <c r="AG121" s="122"/>
      <c r="AH121" s="123"/>
      <c r="AI121" s="123"/>
    </row>
    <row r="122" spans="1:35" x14ac:dyDescent="0.2">
      <c r="A122" s="7"/>
      <c r="B122" s="153"/>
      <c r="C122" s="154"/>
      <c r="D122" s="150"/>
      <c r="E122" s="39"/>
      <c r="F122" s="128"/>
      <c r="G122" s="12"/>
      <c r="H122" s="12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28"/>
      <c r="AF122" s="28"/>
      <c r="AG122" s="122"/>
      <c r="AH122" s="123"/>
      <c r="AI122" s="123"/>
    </row>
    <row r="123" spans="1:35" x14ac:dyDescent="0.2">
      <c r="A123" s="7"/>
      <c r="B123" s="153"/>
      <c r="C123" s="154"/>
      <c r="D123" s="150"/>
      <c r="E123" s="39"/>
      <c r="F123" s="128"/>
      <c r="G123" s="12"/>
      <c r="H123" s="12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122"/>
      <c r="AH123" s="123"/>
      <c r="AI123" s="123"/>
    </row>
    <row r="124" spans="1:35" x14ac:dyDescent="0.2">
      <c r="A124" s="154"/>
      <c r="B124" s="68"/>
      <c r="C124" s="68"/>
      <c r="D124" s="68"/>
      <c r="E124" s="68"/>
      <c r="F124" s="69"/>
      <c r="G124" s="12"/>
      <c r="H124" s="12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28"/>
      <c r="AF124" s="28"/>
      <c r="AG124" s="122"/>
      <c r="AH124" s="123"/>
      <c r="AI124" s="123"/>
    </row>
    <row r="125" spans="1:35" x14ac:dyDescent="0.2">
      <c r="A125" s="21"/>
      <c r="B125" s="21"/>
      <c r="C125" s="21"/>
      <c r="D125" s="21"/>
      <c r="E125" s="21"/>
      <c r="F125" s="70"/>
      <c r="G125" s="12"/>
      <c r="H125" s="12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28"/>
      <c r="AF125" s="28"/>
      <c r="AG125" s="122"/>
      <c r="AH125" s="123"/>
      <c r="AI125" s="123"/>
    </row>
    <row r="126" spans="1:35" x14ac:dyDescent="0.2">
      <c r="A126" s="21"/>
      <c r="B126" s="21"/>
      <c r="C126" s="21"/>
      <c r="D126" s="21"/>
      <c r="E126" s="21"/>
      <c r="F126" s="70"/>
      <c r="G126" s="12"/>
      <c r="H126" s="12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  <c r="AA126" s="71"/>
      <c r="AB126" s="71"/>
      <c r="AC126" s="71"/>
      <c r="AD126" s="71"/>
      <c r="AE126" s="71"/>
      <c r="AF126" s="71"/>
    </row>
    <row r="127" spans="1:35" x14ac:dyDescent="0.2">
      <c r="A127" s="21"/>
      <c r="B127" s="21"/>
      <c r="C127" s="21"/>
      <c r="D127" s="21"/>
      <c r="E127" s="21"/>
      <c r="F127" s="70"/>
      <c r="G127" s="12"/>
      <c r="H127" s="12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  <c r="AA127" s="71"/>
      <c r="AB127" s="71"/>
      <c r="AC127" s="71"/>
      <c r="AD127" s="71"/>
      <c r="AE127" s="71"/>
      <c r="AF127" s="71"/>
    </row>
    <row r="128" spans="1:35" x14ac:dyDescent="0.2">
      <c r="A128" s="21"/>
      <c r="B128" s="21"/>
      <c r="C128" s="21"/>
      <c r="D128" s="21"/>
      <c r="E128" s="21"/>
      <c r="F128" s="70"/>
      <c r="G128" s="12"/>
      <c r="H128" s="12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  <c r="AA128" s="71"/>
      <c r="AB128" s="71"/>
      <c r="AC128" s="71"/>
      <c r="AD128" s="71"/>
      <c r="AE128" s="71"/>
      <c r="AF128" s="71"/>
    </row>
    <row r="129" spans="1:32" x14ac:dyDescent="0.2">
      <c r="A129" s="21"/>
      <c r="B129" s="21"/>
      <c r="C129" s="21"/>
      <c r="D129" s="21"/>
      <c r="E129" s="21"/>
      <c r="F129" s="70"/>
      <c r="G129" s="12"/>
      <c r="H129" s="12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  <c r="AA129" s="71"/>
      <c r="AB129" s="71"/>
      <c r="AC129" s="71"/>
      <c r="AD129" s="71"/>
      <c r="AE129" s="71"/>
      <c r="AF129" s="71"/>
    </row>
    <row r="130" spans="1:32" x14ac:dyDescent="0.2">
      <c r="A130" s="21"/>
      <c r="B130" s="21"/>
      <c r="C130" s="21"/>
      <c r="D130" s="21"/>
      <c r="E130" s="21"/>
      <c r="F130" s="70"/>
      <c r="G130" s="12"/>
      <c r="H130" s="12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  <c r="AA130" s="71"/>
      <c r="AB130" s="71"/>
      <c r="AC130" s="71"/>
      <c r="AD130" s="71"/>
      <c r="AE130" s="71"/>
      <c r="AF130" s="71"/>
    </row>
    <row r="131" spans="1:32" x14ac:dyDescent="0.2">
      <c r="A131" s="21"/>
      <c r="B131" s="21"/>
      <c r="C131" s="21"/>
      <c r="D131" s="21"/>
      <c r="E131" s="21"/>
      <c r="F131" s="70"/>
      <c r="G131" s="12"/>
      <c r="H131" s="12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  <c r="AA131" s="71"/>
      <c r="AB131" s="71"/>
      <c r="AC131" s="71"/>
      <c r="AD131" s="71"/>
      <c r="AE131" s="71"/>
      <c r="AF131" s="71"/>
    </row>
    <row r="132" spans="1:32" x14ac:dyDescent="0.2">
      <c r="A132" s="21"/>
      <c r="B132" s="21"/>
      <c r="C132" s="21"/>
      <c r="D132" s="21"/>
      <c r="E132" s="21"/>
      <c r="F132" s="70"/>
      <c r="G132" s="12"/>
      <c r="H132" s="12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  <c r="AA132" s="71"/>
      <c r="AB132" s="71"/>
      <c r="AC132" s="71"/>
      <c r="AD132" s="71"/>
      <c r="AE132" s="71"/>
      <c r="AF132" s="71"/>
    </row>
    <row r="133" spans="1:32" x14ac:dyDescent="0.2">
      <c r="A133" s="21"/>
      <c r="B133" s="21"/>
      <c r="C133" s="21"/>
      <c r="D133" s="21"/>
      <c r="E133" s="21"/>
      <c r="F133" s="70"/>
      <c r="G133" s="12"/>
      <c r="H133" s="12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  <c r="AA133" s="71"/>
      <c r="AB133" s="71"/>
      <c r="AC133" s="71"/>
      <c r="AD133" s="71"/>
      <c r="AE133" s="71"/>
      <c r="AF133" s="71"/>
    </row>
    <row r="134" spans="1:32" x14ac:dyDescent="0.2">
      <c r="A134" s="21"/>
      <c r="B134" s="21"/>
      <c r="C134" s="21"/>
      <c r="D134" s="21"/>
      <c r="E134" s="21"/>
      <c r="F134" s="70"/>
      <c r="G134" s="12"/>
      <c r="H134" s="12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  <c r="AA134" s="71"/>
      <c r="AB134" s="71"/>
      <c r="AC134" s="71"/>
      <c r="AD134" s="71"/>
      <c r="AE134" s="71"/>
      <c r="AF134" s="71"/>
    </row>
    <row r="135" spans="1:32" x14ac:dyDescent="0.2">
      <c r="A135" s="21"/>
      <c r="B135" s="21"/>
      <c r="C135" s="21"/>
      <c r="D135" s="21"/>
      <c r="E135" s="21"/>
      <c r="F135" s="70"/>
      <c r="G135" s="12"/>
      <c r="H135" s="12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  <c r="AA135" s="71"/>
      <c r="AB135" s="71"/>
      <c r="AC135" s="71"/>
      <c r="AD135" s="71"/>
      <c r="AE135" s="71"/>
      <c r="AF135" s="71"/>
    </row>
    <row r="136" spans="1:32" x14ac:dyDescent="0.2">
      <c r="A136" s="21"/>
      <c r="B136" s="21"/>
      <c r="C136" s="21"/>
      <c r="D136" s="21"/>
      <c r="E136" s="21"/>
      <c r="F136" s="70"/>
      <c r="G136" s="12"/>
      <c r="H136" s="12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  <c r="AA136" s="71"/>
      <c r="AB136" s="71"/>
      <c r="AC136" s="71"/>
      <c r="AD136" s="71"/>
      <c r="AE136" s="71"/>
      <c r="AF136" s="71"/>
    </row>
    <row r="137" spans="1:32" x14ac:dyDescent="0.2">
      <c r="A137" s="21"/>
      <c r="B137" s="21"/>
      <c r="C137" s="21"/>
      <c r="D137" s="21"/>
      <c r="E137" s="21"/>
      <c r="F137" s="70"/>
      <c r="G137" s="12"/>
      <c r="H137" s="12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  <c r="AA137" s="71"/>
      <c r="AB137" s="71"/>
      <c r="AC137" s="71"/>
      <c r="AD137" s="71"/>
      <c r="AE137" s="71"/>
      <c r="AF137" s="71"/>
    </row>
    <row r="138" spans="1:32" x14ac:dyDescent="0.2">
      <c r="A138" s="21"/>
      <c r="B138" s="21"/>
      <c r="C138" s="21"/>
      <c r="D138" s="21"/>
      <c r="E138" s="21"/>
      <c r="F138" s="70"/>
      <c r="G138" s="12"/>
      <c r="H138" s="12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  <c r="AA138" s="71"/>
      <c r="AB138" s="71"/>
      <c r="AC138" s="71"/>
      <c r="AD138" s="71"/>
      <c r="AE138" s="71"/>
      <c r="AF138" s="71"/>
    </row>
    <row r="139" spans="1:32" x14ac:dyDescent="0.2">
      <c r="A139" s="21"/>
      <c r="B139" s="21"/>
      <c r="C139" s="21"/>
      <c r="D139" s="21"/>
      <c r="E139" s="21"/>
      <c r="F139" s="70"/>
      <c r="G139" s="12"/>
      <c r="H139" s="12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  <c r="AA139" s="71"/>
      <c r="AB139" s="71"/>
      <c r="AC139" s="71"/>
      <c r="AD139" s="71"/>
      <c r="AE139" s="71"/>
      <c r="AF139" s="71"/>
    </row>
    <row r="140" spans="1:32" x14ac:dyDescent="0.2">
      <c r="A140" s="21"/>
      <c r="B140" s="21"/>
      <c r="C140" s="21"/>
      <c r="D140" s="21"/>
      <c r="E140" s="21"/>
      <c r="F140" s="70"/>
      <c r="G140" s="12"/>
      <c r="H140" s="12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  <c r="AA140" s="71"/>
      <c r="AB140" s="71"/>
      <c r="AC140" s="71"/>
      <c r="AD140" s="71"/>
      <c r="AE140" s="71"/>
      <c r="AF140" s="71"/>
    </row>
    <row r="141" spans="1:32" x14ac:dyDescent="0.2">
      <c r="A141" s="21"/>
      <c r="B141" s="21"/>
      <c r="C141" s="21"/>
      <c r="D141" s="21"/>
      <c r="E141" s="21"/>
      <c r="F141" s="70"/>
      <c r="G141" s="12"/>
      <c r="H141" s="12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  <c r="AA141" s="71"/>
      <c r="AB141" s="71"/>
      <c r="AC141" s="71"/>
      <c r="AD141" s="71"/>
      <c r="AE141" s="71"/>
      <c r="AF141" s="71"/>
    </row>
    <row r="142" spans="1:32" x14ac:dyDescent="0.2">
      <c r="A142" s="21"/>
      <c r="B142" s="21"/>
      <c r="C142" s="21"/>
      <c r="D142" s="21"/>
      <c r="E142" s="21"/>
      <c r="F142" s="70"/>
      <c r="G142" s="12"/>
      <c r="H142" s="12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  <c r="AA142" s="71"/>
      <c r="AB142" s="71"/>
      <c r="AC142" s="71"/>
      <c r="AD142" s="71"/>
      <c r="AE142" s="71"/>
      <c r="AF142" s="71"/>
    </row>
    <row r="143" spans="1:32" x14ac:dyDescent="0.2">
      <c r="A143" s="21"/>
      <c r="B143" s="21"/>
      <c r="C143" s="21"/>
      <c r="D143" s="21"/>
      <c r="E143" s="21"/>
      <c r="F143" s="70"/>
      <c r="G143" s="12"/>
      <c r="H143" s="12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</row>
    <row r="144" spans="1:32" x14ac:dyDescent="0.2">
      <c r="A144" s="21"/>
      <c r="B144" s="21"/>
      <c r="C144" s="21"/>
      <c r="D144" s="21"/>
      <c r="E144" s="21"/>
      <c r="F144" s="70"/>
      <c r="G144" s="12"/>
      <c r="H144" s="12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  <c r="AA144" s="71"/>
      <c r="AB144" s="71"/>
      <c r="AC144" s="71"/>
      <c r="AD144" s="71"/>
      <c r="AE144" s="71"/>
      <c r="AF144" s="71"/>
    </row>
    <row r="145" spans="1:32" x14ac:dyDescent="0.2">
      <c r="A145" s="21"/>
      <c r="B145" s="21"/>
      <c r="C145" s="21"/>
      <c r="D145" s="21"/>
      <c r="E145" s="21"/>
      <c r="F145" s="70"/>
      <c r="G145" s="12"/>
      <c r="H145" s="12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  <c r="AA145" s="71"/>
      <c r="AB145" s="71"/>
      <c r="AC145" s="71"/>
      <c r="AD145" s="71"/>
      <c r="AE145" s="71"/>
      <c r="AF145" s="71"/>
    </row>
    <row r="146" spans="1:32" x14ac:dyDescent="0.2">
      <c r="A146" s="21"/>
      <c r="B146" s="21"/>
      <c r="C146" s="21"/>
      <c r="D146" s="21"/>
      <c r="E146" s="21"/>
      <c r="F146" s="70"/>
      <c r="G146" s="12"/>
      <c r="H146" s="12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  <c r="AA146" s="71"/>
      <c r="AB146" s="71"/>
      <c r="AC146" s="71"/>
      <c r="AD146" s="71"/>
      <c r="AE146" s="71"/>
      <c r="AF146" s="71"/>
    </row>
    <row r="147" spans="1:32" x14ac:dyDescent="0.2">
      <c r="A147" s="21"/>
      <c r="B147" s="21"/>
      <c r="C147" s="21"/>
      <c r="D147" s="21"/>
      <c r="E147" s="21"/>
      <c r="F147" s="70"/>
      <c r="G147" s="12"/>
      <c r="H147" s="12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  <c r="AA147" s="71"/>
      <c r="AB147" s="71"/>
      <c r="AC147" s="71"/>
      <c r="AD147" s="71"/>
      <c r="AE147" s="71"/>
      <c r="AF147" s="71"/>
    </row>
    <row r="148" spans="1:32" x14ac:dyDescent="0.2">
      <c r="A148" s="21"/>
      <c r="B148" s="21"/>
      <c r="C148" s="21"/>
      <c r="D148" s="21"/>
      <c r="E148" s="21"/>
      <c r="F148" s="70"/>
      <c r="G148" s="12"/>
      <c r="H148" s="12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  <c r="AA148" s="71"/>
      <c r="AB148" s="71"/>
      <c r="AC148" s="71"/>
      <c r="AD148" s="71"/>
      <c r="AE148" s="71"/>
      <c r="AF148" s="71"/>
    </row>
    <row r="149" spans="1:32" x14ac:dyDescent="0.2">
      <c r="A149" s="21"/>
      <c r="B149" s="21"/>
      <c r="C149" s="21"/>
      <c r="D149" s="21"/>
      <c r="E149" s="21"/>
      <c r="F149" s="70"/>
      <c r="G149" s="12"/>
      <c r="H149" s="12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  <c r="AA149" s="71"/>
      <c r="AB149" s="71"/>
      <c r="AC149" s="71"/>
      <c r="AD149" s="71"/>
      <c r="AE149" s="71"/>
      <c r="AF149" s="71"/>
    </row>
    <row r="150" spans="1:32" x14ac:dyDescent="0.2">
      <c r="A150" s="21"/>
      <c r="B150" s="21"/>
      <c r="C150" s="21"/>
      <c r="D150" s="21"/>
      <c r="E150" s="21"/>
      <c r="F150" s="70"/>
      <c r="G150" s="12"/>
      <c r="H150" s="12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  <c r="AA150" s="71"/>
      <c r="AB150" s="71"/>
      <c r="AC150" s="71"/>
      <c r="AD150" s="71"/>
      <c r="AE150" s="71"/>
      <c r="AF150" s="71"/>
    </row>
    <row r="151" spans="1:32" x14ac:dyDescent="0.2">
      <c r="A151" s="21"/>
      <c r="B151" s="21"/>
      <c r="C151" s="21"/>
      <c r="D151" s="21"/>
      <c r="E151" s="21"/>
      <c r="F151" s="70"/>
      <c r="G151" s="12"/>
      <c r="H151" s="12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  <c r="AA151" s="71"/>
      <c r="AB151" s="71"/>
      <c r="AC151" s="71"/>
      <c r="AD151" s="71"/>
      <c r="AE151" s="71"/>
      <c r="AF151" s="71"/>
    </row>
    <row r="152" spans="1:32" x14ac:dyDescent="0.2">
      <c r="A152" s="21"/>
      <c r="B152" s="21"/>
      <c r="C152" s="21"/>
      <c r="D152" s="21"/>
      <c r="E152" s="21"/>
      <c r="F152" s="70"/>
      <c r="G152" s="12"/>
      <c r="H152" s="12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  <c r="AA152" s="71"/>
      <c r="AB152" s="71"/>
      <c r="AC152" s="71"/>
      <c r="AD152" s="71"/>
      <c r="AE152" s="71"/>
      <c r="AF152" s="71"/>
    </row>
    <row r="153" spans="1:32" x14ac:dyDescent="0.2">
      <c r="A153" s="21"/>
      <c r="B153" s="21"/>
      <c r="C153" s="21"/>
      <c r="D153" s="21"/>
      <c r="E153" s="21"/>
      <c r="F153" s="70"/>
      <c r="G153" s="12"/>
      <c r="H153" s="12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  <c r="AA153" s="71"/>
      <c r="AB153" s="71"/>
      <c r="AC153" s="71"/>
      <c r="AD153" s="71"/>
      <c r="AE153" s="71"/>
      <c r="AF153" s="71"/>
    </row>
    <row r="154" spans="1:32" x14ac:dyDescent="0.2">
      <c r="A154" s="21"/>
      <c r="B154" s="21"/>
      <c r="C154" s="21"/>
      <c r="D154" s="21"/>
      <c r="E154" s="21"/>
      <c r="F154" s="70"/>
      <c r="G154" s="12"/>
      <c r="H154" s="12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  <c r="AA154" s="71"/>
      <c r="AB154" s="71"/>
      <c r="AC154" s="71"/>
      <c r="AD154" s="71"/>
      <c r="AE154" s="71"/>
      <c r="AF154" s="71"/>
    </row>
    <row r="155" spans="1:32" x14ac:dyDescent="0.2">
      <c r="A155" s="21"/>
      <c r="B155" s="21"/>
      <c r="C155" s="21"/>
      <c r="D155" s="21"/>
      <c r="E155" s="21"/>
      <c r="F155" s="70"/>
      <c r="G155" s="12"/>
      <c r="H155" s="12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  <c r="AA155" s="71"/>
      <c r="AB155" s="71"/>
      <c r="AC155" s="71"/>
      <c r="AD155" s="71"/>
      <c r="AE155" s="71"/>
      <c r="AF155" s="71"/>
    </row>
    <row r="156" spans="1:32" x14ac:dyDescent="0.2">
      <c r="A156" s="21"/>
      <c r="B156" s="21"/>
      <c r="C156" s="21"/>
      <c r="D156" s="21"/>
      <c r="E156" s="21"/>
      <c r="F156" s="70"/>
      <c r="G156" s="12"/>
      <c r="H156" s="12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  <c r="AA156" s="71"/>
      <c r="AB156" s="71"/>
      <c r="AC156" s="71"/>
      <c r="AD156" s="71"/>
      <c r="AE156" s="71"/>
      <c r="AF156" s="71"/>
    </row>
    <row r="157" spans="1:32" x14ac:dyDescent="0.2">
      <c r="A157" s="21"/>
      <c r="B157" s="21"/>
      <c r="C157" s="21"/>
      <c r="D157" s="21"/>
      <c r="E157" s="21"/>
      <c r="F157" s="70"/>
      <c r="G157" s="12"/>
      <c r="H157" s="12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  <c r="AA157" s="71"/>
      <c r="AB157" s="71"/>
      <c r="AC157" s="71"/>
      <c r="AD157" s="71"/>
      <c r="AE157" s="71"/>
      <c r="AF157" s="71"/>
    </row>
    <row r="158" spans="1:32" x14ac:dyDescent="0.2">
      <c r="A158" s="21"/>
      <c r="B158" s="21"/>
      <c r="C158" s="21"/>
      <c r="D158" s="21"/>
      <c r="E158" s="21"/>
      <c r="F158" s="70"/>
      <c r="G158" s="12"/>
      <c r="H158" s="12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  <c r="AA158" s="71"/>
      <c r="AB158" s="71"/>
      <c r="AC158" s="71"/>
      <c r="AD158" s="71"/>
      <c r="AE158" s="71"/>
      <c r="AF158" s="71"/>
    </row>
    <row r="159" spans="1:32" x14ac:dyDescent="0.2">
      <c r="A159" s="21"/>
      <c r="B159" s="21"/>
      <c r="C159" s="21"/>
      <c r="D159" s="21"/>
      <c r="E159" s="21"/>
      <c r="F159" s="70"/>
      <c r="G159" s="12"/>
      <c r="H159" s="12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  <c r="AA159" s="71"/>
      <c r="AB159" s="71"/>
      <c r="AC159" s="71"/>
      <c r="AD159" s="71"/>
      <c r="AE159" s="71"/>
      <c r="AF159" s="71"/>
    </row>
    <row r="160" spans="1:32" x14ac:dyDescent="0.2">
      <c r="A160" s="21"/>
      <c r="B160" s="21"/>
      <c r="C160" s="21"/>
      <c r="D160" s="21"/>
      <c r="E160" s="21"/>
      <c r="F160" s="70"/>
      <c r="G160" s="12"/>
      <c r="H160" s="12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  <c r="AA160" s="71"/>
      <c r="AB160" s="71"/>
      <c r="AC160" s="71"/>
      <c r="AD160" s="71"/>
      <c r="AE160" s="71"/>
      <c r="AF160" s="71"/>
    </row>
    <row r="161" spans="1:32" x14ac:dyDescent="0.2">
      <c r="A161" s="21"/>
      <c r="B161" s="21"/>
      <c r="C161" s="21"/>
      <c r="D161" s="21"/>
      <c r="E161" s="21"/>
      <c r="F161" s="70"/>
      <c r="G161" s="12"/>
      <c r="H161" s="12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  <c r="AA161" s="71"/>
      <c r="AB161" s="71"/>
      <c r="AC161" s="71"/>
      <c r="AD161" s="71"/>
      <c r="AE161" s="71"/>
      <c r="AF161" s="71"/>
    </row>
    <row r="162" spans="1:32" x14ac:dyDescent="0.2">
      <c r="A162" s="21"/>
      <c r="B162" s="21"/>
      <c r="C162" s="21"/>
      <c r="D162" s="21"/>
      <c r="E162" s="21"/>
      <c r="F162" s="70"/>
      <c r="G162" s="12"/>
      <c r="H162" s="12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  <c r="AA162" s="71"/>
      <c r="AB162" s="71"/>
      <c r="AC162" s="71"/>
      <c r="AD162" s="71"/>
      <c r="AE162" s="71"/>
      <c r="AF162" s="71"/>
    </row>
    <row r="163" spans="1:32" x14ac:dyDescent="0.2">
      <c r="A163" s="21"/>
      <c r="B163" s="21"/>
      <c r="C163" s="21"/>
      <c r="D163" s="21"/>
      <c r="E163" s="21"/>
      <c r="F163" s="70"/>
      <c r="G163" s="12"/>
      <c r="H163" s="12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  <c r="AA163" s="71"/>
      <c r="AB163" s="71"/>
      <c r="AC163" s="71"/>
      <c r="AD163" s="71"/>
      <c r="AE163" s="71"/>
      <c r="AF163" s="71"/>
    </row>
    <row r="164" spans="1:32" x14ac:dyDescent="0.2">
      <c r="A164" s="21"/>
      <c r="B164" s="21"/>
      <c r="C164" s="21"/>
      <c r="D164" s="21"/>
      <c r="E164" s="21"/>
      <c r="F164" s="70"/>
      <c r="G164" s="12"/>
      <c r="H164" s="12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  <c r="AA164" s="71"/>
      <c r="AB164" s="71"/>
      <c r="AC164" s="71"/>
      <c r="AD164" s="71"/>
      <c r="AE164" s="71"/>
      <c r="AF164" s="71"/>
    </row>
    <row r="165" spans="1:32" x14ac:dyDescent="0.2">
      <c r="A165" s="21"/>
      <c r="B165" s="21"/>
      <c r="C165" s="21"/>
      <c r="D165" s="21"/>
      <c r="E165" s="21"/>
      <c r="F165" s="70"/>
      <c r="G165" s="12"/>
      <c r="H165" s="12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  <c r="AA165" s="71"/>
      <c r="AB165" s="71"/>
      <c r="AC165" s="71"/>
      <c r="AD165" s="71"/>
      <c r="AE165" s="71"/>
      <c r="AF165" s="71"/>
    </row>
    <row r="166" spans="1:32" x14ac:dyDescent="0.2">
      <c r="A166" s="21"/>
      <c r="B166" s="21"/>
      <c r="C166" s="21"/>
      <c r="D166" s="21"/>
      <c r="E166" s="21"/>
      <c r="F166" s="70"/>
      <c r="G166" s="12"/>
      <c r="H166" s="12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  <c r="AA166" s="71"/>
      <c r="AB166" s="71"/>
      <c r="AC166" s="71"/>
      <c r="AD166" s="71"/>
      <c r="AE166" s="71"/>
      <c r="AF166" s="71"/>
    </row>
    <row r="167" spans="1:32" x14ac:dyDescent="0.2">
      <c r="A167" s="21"/>
      <c r="B167" s="21"/>
      <c r="C167" s="21"/>
      <c r="D167" s="21"/>
      <c r="E167" s="21"/>
      <c r="F167" s="70"/>
      <c r="G167" s="12"/>
      <c r="H167" s="12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  <c r="AA167" s="71"/>
      <c r="AB167" s="71"/>
      <c r="AC167" s="71"/>
      <c r="AD167" s="71"/>
      <c r="AE167" s="71"/>
      <c r="AF167" s="71"/>
    </row>
    <row r="168" spans="1:32" x14ac:dyDescent="0.2">
      <c r="A168" s="21"/>
      <c r="B168" s="21"/>
      <c r="C168" s="21"/>
      <c r="D168" s="21"/>
      <c r="E168" s="21"/>
      <c r="F168" s="70"/>
      <c r="G168" s="12"/>
      <c r="H168" s="12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  <c r="AA168" s="71"/>
      <c r="AB168" s="71"/>
      <c r="AC168" s="71"/>
      <c r="AD168" s="71"/>
      <c r="AE168" s="71"/>
      <c r="AF168" s="71"/>
    </row>
    <row r="169" spans="1:32" x14ac:dyDescent="0.2">
      <c r="A169" s="21"/>
      <c r="B169" s="21"/>
      <c r="C169" s="21"/>
      <c r="D169" s="21"/>
      <c r="E169" s="21"/>
      <c r="F169" s="70"/>
      <c r="G169" s="12"/>
      <c r="H169" s="12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  <c r="AA169" s="71"/>
      <c r="AB169" s="71"/>
      <c r="AC169" s="71"/>
      <c r="AD169" s="71"/>
      <c r="AE169" s="71"/>
      <c r="AF169" s="71"/>
    </row>
    <row r="170" spans="1:32" x14ac:dyDescent="0.2">
      <c r="A170" s="21"/>
      <c r="B170" s="21"/>
      <c r="C170" s="21"/>
      <c r="D170" s="21"/>
      <c r="E170" s="21"/>
      <c r="F170" s="21"/>
      <c r="G170" s="20"/>
      <c r="H170" s="20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  <c r="AE170" s="21"/>
      <c r="AF170" s="21"/>
    </row>
    <row r="171" spans="1:32" x14ac:dyDescent="0.2">
      <c r="A171" s="21"/>
      <c r="B171" s="21"/>
      <c r="C171" s="21"/>
      <c r="D171" s="21"/>
      <c r="E171" s="21"/>
      <c r="F171" s="21"/>
      <c r="G171" s="20"/>
      <c r="H171" s="20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  <c r="AE171" s="21"/>
      <c r="AF171" s="21"/>
    </row>
    <row r="172" spans="1:32" x14ac:dyDescent="0.2">
      <c r="A172" s="21"/>
      <c r="B172" s="21"/>
      <c r="C172" s="21"/>
      <c r="D172" s="21"/>
      <c r="E172" s="21"/>
      <c r="F172" s="21"/>
      <c r="G172" s="20"/>
      <c r="H172" s="20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  <c r="AE172" s="21"/>
      <c r="AF172" s="21"/>
    </row>
    <row r="173" spans="1:32" x14ac:dyDescent="0.2">
      <c r="A173" s="21"/>
      <c r="B173" s="21"/>
      <c r="C173" s="21"/>
      <c r="D173" s="21"/>
      <c r="E173" s="21"/>
      <c r="F173" s="21"/>
      <c r="G173" s="20"/>
      <c r="H173" s="20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</row>
    <row r="174" spans="1:32" x14ac:dyDescent="0.2">
      <c r="A174" s="21"/>
      <c r="B174" s="21"/>
      <c r="C174" s="21"/>
      <c r="D174" s="21"/>
      <c r="E174" s="21"/>
      <c r="F174" s="21"/>
      <c r="G174" s="20"/>
      <c r="H174" s="20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  <c r="AE174" s="21"/>
      <c r="AF174" s="21"/>
    </row>
    <row r="175" spans="1:32" x14ac:dyDescent="0.2">
      <c r="A175" s="21"/>
      <c r="B175" s="21"/>
      <c r="C175" s="21"/>
      <c r="D175" s="21"/>
      <c r="E175" s="21"/>
      <c r="F175" s="21"/>
      <c r="G175" s="20"/>
      <c r="H175" s="20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  <c r="AE175" s="21"/>
      <c r="AF175" s="21"/>
    </row>
    <row r="176" spans="1:32" x14ac:dyDescent="0.2">
      <c r="A176" s="21"/>
      <c r="B176" s="21"/>
      <c r="C176" s="21"/>
      <c r="D176" s="21"/>
      <c r="E176" s="21"/>
      <c r="F176" s="21"/>
      <c r="G176" s="20"/>
      <c r="H176" s="20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  <c r="AE176" s="21"/>
      <c r="AF176" s="21"/>
    </row>
    <row r="177" spans="1:32" x14ac:dyDescent="0.2">
      <c r="A177" s="21"/>
      <c r="B177" s="21"/>
      <c r="C177" s="21"/>
      <c r="D177" s="21"/>
      <c r="E177" s="21"/>
      <c r="F177" s="21"/>
      <c r="G177" s="20"/>
      <c r="H177" s="20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  <c r="AE177" s="21"/>
      <c r="AF177" s="21"/>
    </row>
    <row r="178" spans="1:32" x14ac:dyDescent="0.2">
      <c r="A178" s="21"/>
      <c r="B178" s="21"/>
      <c r="C178" s="21"/>
      <c r="D178" s="21"/>
      <c r="E178" s="21"/>
      <c r="F178" s="21"/>
      <c r="G178" s="20"/>
      <c r="H178" s="20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</row>
    <row r="179" spans="1:32" x14ac:dyDescent="0.2">
      <c r="A179" s="21"/>
      <c r="B179" s="21"/>
      <c r="C179" s="21"/>
      <c r="D179" s="21"/>
      <c r="E179" s="21"/>
      <c r="F179" s="21"/>
      <c r="G179" s="20"/>
      <c r="H179" s="20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  <c r="AE179" s="21"/>
      <c r="AF179" s="21"/>
    </row>
    <row r="180" spans="1:32" x14ac:dyDescent="0.2">
      <c r="A180" s="21"/>
      <c r="B180" s="21"/>
      <c r="C180" s="21"/>
      <c r="D180" s="21"/>
      <c r="E180" s="21"/>
      <c r="F180" s="21"/>
      <c r="G180" s="20"/>
      <c r="H180" s="20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</row>
    <row r="181" spans="1:32" x14ac:dyDescent="0.2">
      <c r="A181" s="21"/>
      <c r="B181" s="21"/>
      <c r="C181" s="21"/>
      <c r="D181" s="21"/>
      <c r="E181" s="21"/>
      <c r="F181" s="21"/>
      <c r="G181" s="20"/>
      <c r="H181" s="20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  <c r="AE181" s="21"/>
      <c r="AF181" s="21"/>
    </row>
    <row r="182" spans="1:32" x14ac:dyDescent="0.2">
      <c r="A182" s="21"/>
      <c r="B182" s="21"/>
      <c r="C182" s="21"/>
      <c r="D182" s="21"/>
      <c r="E182" s="21"/>
      <c r="F182" s="21"/>
      <c r="G182" s="20"/>
      <c r="H182" s="20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  <c r="AE182" s="21"/>
      <c r="AF182" s="21"/>
    </row>
    <row r="183" spans="1:32" x14ac:dyDescent="0.2">
      <c r="A183" s="21"/>
      <c r="B183" s="21"/>
      <c r="C183" s="21"/>
      <c r="D183" s="21"/>
      <c r="E183" s="21"/>
      <c r="F183" s="21"/>
      <c r="G183" s="20"/>
      <c r="H183" s="20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  <c r="AE183" s="21"/>
      <c r="AF183" s="21"/>
    </row>
    <row r="184" spans="1:32" x14ac:dyDescent="0.2">
      <c r="A184" s="21"/>
      <c r="B184" s="21"/>
      <c r="C184" s="21"/>
      <c r="D184" s="21"/>
      <c r="E184" s="21"/>
      <c r="F184" s="21"/>
      <c r="G184" s="20"/>
      <c r="H184" s="20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  <c r="AE184" s="21"/>
      <c r="AF184" s="21"/>
    </row>
    <row r="185" spans="1:32" x14ac:dyDescent="0.2">
      <c r="A185" s="21"/>
      <c r="B185" s="21"/>
      <c r="C185" s="21"/>
      <c r="D185" s="21"/>
      <c r="E185" s="21"/>
      <c r="F185" s="21"/>
      <c r="G185" s="20"/>
      <c r="H185" s="20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  <c r="AE185" s="21"/>
      <c r="AF185" s="21"/>
    </row>
    <row r="186" spans="1:32" x14ac:dyDescent="0.2">
      <c r="A186" s="21"/>
      <c r="B186" s="21"/>
      <c r="C186" s="21"/>
      <c r="D186" s="21"/>
      <c r="E186" s="21"/>
      <c r="F186" s="21"/>
      <c r="G186" s="20"/>
      <c r="H186" s="20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  <c r="AE186" s="21"/>
      <c r="AF186" s="21"/>
    </row>
    <row r="187" spans="1:32" x14ac:dyDescent="0.2">
      <c r="A187" s="21"/>
      <c r="B187" s="21"/>
      <c r="C187" s="21"/>
      <c r="D187" s="21"/>
      <c r="E187" s="21"/>
      <c r="F187" s="21"/>
      <c r="G187" s="20"/>
      <c r="H187" s="20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  <c r="AE187" s="21"/>
      <c r="AF187" s="21"/>
    </row>
    <row r="188" spans="1:32" x14ac:dyDescent="0.2">
      <c r="A188" s="21"/>
      <c r="B188" s="21"/>
      <c r="C188" s="21"/>
      <c r="D188" s="21"/>
      <c r="E188" s="21"/>
      <c r="F188" s="21"/>
      <c r="G188" s="20"/>
      <c r="H188" s="20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  <c r="AE188" s="21"/>
      <c r="AF188" s="21"/>
    </row>
    <row r="189" spans="1:32" x14ac:dyDescent="0.2">
      <c r="A189" s="21"/>
      <c r="B189" s="21"/>
      <c r="C189" s="21"/>
      <c r="D189" s="21"/>
      <c r="E189" s="21"/>
      <c r="F189" s="21"/>
      <c r="G189" s="20"/>
      <c r="H189" s="20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  <c r="AE189" s="21"/>
      <c r="AF189" s="21"/>
    </row>
    <row r="190" spans="1:32" x14ac:dyDescent="0.2">
      <c r="A190" s="21"/>
      <c r="B190" s="21"/>
      <c r="C190" s="21"/>
      <c r="D190" s="21"/>
      <c r="E190" s="21"/>
      <c r="F190" s="21"/>
      <c r="G190" s="20"/>
      <c r="H190" s="20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  <c r="AE190" s="21"/>
      <c r="AF190" s="21"/>
    </row>
    <row r="191" spans="1:32" x14ac:dyDescent="0.2">
      <c r="A191" s="21"/>
      <c r="B191" s="21"/>
      <c r="C191" s="21"/>
      <c r="D191" s="21"/>
      <c r="E191" s="21"/>
      <c r="F191" s="21"/>
      <c r="G191" s="20"/>
      <c r="H191" s="20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  <c r="AE191" s="21"/>
      <c r="AF191" s="21"/>
    </row>
    <row r="192" spans="1:32" x14ac:dyDescent="0.2">
      <c r="A192" s="21"/>
      <c r="B192" s="21"/>
      <c r="C192" s="21"/>
      <c r="D192" s="21"/>
      <c r="E192" s="21"/>
      <c r="F192" s="21"/>
      <c r="G192" s="20"/>
      <c r="H192" s="20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  <c r="AE192" s="21"/>
      <c r="AF192" s="21"/>
    </row>
    <row r="193" spans="1:32" x14ac:dyDescent="0.2">
      <c r="A193" s="21"/>
      <c r="B193" s="21"/>
      <c r="C193" s="21"/>
      <c r="D193" s="21"/>
      <c r="E193" s="21"/>
      <c r="F193" s="21"/>
      <c r="G193" s="20"/>
      <c r="H193" s="20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  <c r="AE193" s="21"/>
      <c r="AF193" s="21"/>
    </row>
    <row r="194" spans="1:32" x14ac:dyDescent="0.2">
      <c r="A194" s="21"/>
      <c r="B194" s="21"/>
      <c r="C194" s="21"/>
      <c r="D194" s="21"/>
      <c r="E194" s="21"/>
      <c r="F194" s="21"/>
      <c r="G194" s="20"/>
      <c r="H194" s="20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  <c r="AE194" s="21"/>
      <c r="AF194" s="21"/>
    </row>
    <row r="195" spans="1:32" x14ac:dyDescent="0.2">
      <c r="A195" s="21"/>
      <c r="B195" s="21"/>
      <c r="C195" s="21"/>
      <c r="D195" s="21"/>
      <c r="E195" s="21"/>
      <c r="F195" s="21"/>
      <c r="G195" s="20"/>
      <c r="H195" s="20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  <c r="AE195" s="21"/>
      <c r="AF195" s="21"/>
    </row>
    <row r="196" spans="1:32" x14ac:dyDescent="0.2">
      <c r="A196" s="21"/>
      <c r="B196" s="21"/>
      <c r="C196" s="21"/>
      <c r="D196" s="21"/>
      <c r="E196" s="21"/>
      <c r="F196" s="21"/>
      <c r="G196" s="20"/>
      <c r="H196" s="20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  <c r="AE196" s="21"/>
      <c r="AF196" s="21"/>
    </row>
    <row r="197" spans="1:32" x14ac:dyDescent="0.2">
      <c r="A197" s="21"/>
      <c r="B197" s="21"/>
      <c r="C197" s="21"/>
      <c r="D197" s="21"/>
      <c r="E197" s="21"/>
      <c r="F197" s="21"/>
      <c r="G197" s="20"/>
      <c r="H197" s="20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  <c r="AE197" s="21"/>
      <c r="AF197" s="21"/>
    </row>
    <row r="198" spans="1:32" x14ac:dyDescent="0.2">
      <c r="A198" s="21"/>
      <c r="B198" s="21"/>
      <c r="C198" s="21"/>
      <c r="D198" s="21"/>
      <c r="E198" s="21"/>
      <c r="F198" s="21"/>
      <c r="G198" s="20"/>
      <c r="H198" s="20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  <c r="AE198" s="21"/>
      <c r="AF198" s="21"/>
    </row>
    <row r="199" spans="1:32" x14ac:dyDescent="0.2">
      <c r="A199" s="21"/>
      <c r="B199" s="21"/>
      <c r="C199" s="21"/>
      <c r="D199" s="21"/>
      <c r="E199" s="21"/>
      <c r="F199" s="21"/>
      <c r="G199" s="20"/>
      <c r="H199" s="20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  <c r="AE199" s="21"/>
      <c r="AF199" s="21"/>
    </row>
    <row r="200" spans="1:32" x14ac:dyDescent="0.2">
      <c r="A200" s="21"/>
      <c r="B200" s="21"/>
      <c r="C200" s="21"/>
      <c r="D200" s="21"/>
      <c r="E200" s="21"/>
      <c r="F200" s="21"/>
      <c r="G200" s="20"/>
      <c r="H200" s="20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  <c r="AE200" s="21"/>
      <c r="AF200" s="21"/>
    </row>
    <row r="201" spans="1:32" x14ac:dyDescent="0.2">
      <c r="A201" s="21"/>
      <c r="B201" s="21"/>
      <c r="C201" s="21"/>
      <c r="D201" s="21"/>
      <c r="E201" s="21"/>
      <c r="F201" s="21"/>
      <c r="G201" s="20"/>
      <c r="H201" s="20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  <c r="AE201" s="21"/>
      <c r="AF201" s="21"/>
    </row>
    <row r="202" spans="1:32" x14ac:dyDescent="0.2">
      <c r="A202" s="21"/>
      <c r="B202" s="21"/>
      <c r="C202" s="21"/>
      <c r="D202" s="21"/>
      <c r="E202" s="21"/>
      <c r="F202" s="21"/>
      <c r="G202" s="20"/>
      <c r="H202" s="20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  <c r="AE202" s="21"/>
      <c r="AF202" s="21"/>
    </row>
    <row r="203" spans="1:32" x14ac:dyDescent="0.2">
      <c r="A203" s="21"/>
      <c r="B203" s="21"/>
      <c r="C203" s="21"/>
      <c r="D203" s="21"/>
      <c r="E203" s="21"/>
      <c r="F203" s="21"/>
      <c r="G203" s="20"/>
      <c r="H203" s="20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  <c r="AE203" s="21"/>
      <c r="AF203" s="21"/>
    </row>
    <row r="204" spans="1:32" x14ac:dyDescent="0.2">
      <c r="A204" s="21"/>
      <c r="B204" s="21"/>
      <c r="C204" s="21"/>
      <c r="D204" s="21"/>
      <c r="E204" s="21"/>
      <c r="F204" s="21"/>
      <c r="G204" s="20"/>
      <c r="H204" s="20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  <c r="AE204" s="21"/>
      <c r="AF204" s="21"/>
    </row>
    <row r="205" spans="1:32" x14ac:dyDescent="0.2">
      <c r="A205" s="21"/>
      <c r="B205" s="21"/>
      <c r="C205" s="21"/>
      <c r="D205" s="21"/>
      <c r="E205" s="21"/>
      <c r="F205" s="21"/>
      <c r="G205" s="20"/>
      <c r="H205" s="20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  <c r="AE205" s="21"/>
      <c r="AF205" s="21"/>
    </row>
    <row r="206" spans="1:32" x14ac:dyDescent="0.2">
      <c r="A206" s="21"/>
      <c r="B206" s="21"/>
      <c r="C206" s="21"/>
      <c r="D206" s="21"/>
      <c r="E206" s="21"/>
      <c r="F206" s="21"/>
      <c r="G206" s="20"/>
      <c r="H206" s="20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  <c r="AE206" s="21"/>
      <c r="AF206" s="21"/>
    </row>
    <row r="207" spans="1:32" x14ac:dyDescent="0.2">
      <c r="A207" s="21"/>
      <c r="B207" s="21"/>
      <c r="C207" s="21"/>
      <c r="D207" s="21"/>
      <c r="E207" s="21"/>
      <c r="F207" s="21"/>
      <c r="G207" s="20"/>
      <c r="H207" s="20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  <c r="AE207" s="21"/>
      <c r="AF207" s="21"/>
    </row>
    <row r="208" spans="1:32" x14ac:dyDescent="0.2">
      <c r="A208" s="21"/>
      <c r="B208" s="21"/>
      <c r="C208" s="21"/>
      <c r="D208" s="21"/>
      <c r="E208" s="21"/>
      <c r="F208" s="21"/>
      <c r="G208" s="20"/>
      <c r="H208" s="20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  <c r="AE208" s="21"/>
      <c r="AF208" s="21"/>
    </row>
    <row r="209" spans="1:32" x14ac:dyDescent="0.2">
      <c r="A209" s="21"/>
      <c r="B209" s="21"/>
      <c r="C209" s="21"/>
      <c r="D209" s="21"/>
      <c r="E209" s="21"/>
      <c r="F209" s="21"/>
      <c r="G209" s="20"/>
      <c r="H209" s="20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  <c r="AE209" s="21"/>
      <c r="AF209" s="21"/>
    </row>
    <row r="210" spans="1:32" x14ac:dyDescent="0.2">
      <c r="A210" s="21"/>
      <c r="B210" s="21"/>
      <c r="C210" s="21"/>
      <c r="D210" s="21"/>
      <c r="E210" s="21"/>
      <c r="F210" s="21"/>
      <c r="G210" s="20"/>
      <c r="H210" s="20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  <c r="AE210" s="21"/>
      <c r="AF210" s="21"/>
    </row>
    <row r="211" spans="1:32" x14ac:dyDescent="0.2">
      <c r="A211" s="21"/>
      <c r="B211" s="21"/>
      <c r="C211" s="21"/>
      <c r="D211" s="21"/>
      <c r="E211" s="21"/>
      <c r="F211" s="21"/>
      <c r="G211" s="20"/>
      <c r="H211" s="20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  <c r="AE211" s="21"/>
      <c r="AF211" s="21"/>
    </row>
    <row r="212" spans="1:32" x14ac:dyDescent="0.2">
      <c r="A212" s="21"/>
      <c r="B212" s="21"/>
      <c r="C212" s="21"/>
      <c r="D212" s="21"/>
      <c r="E212" s="21"/>
      <c r="F212" s="21"/>
      <c r="G212" s="20"/>
      <c r="H212" s="20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  <c r="AE212" s="21"/>
      <c r="AF212" s="21"/>
    </row>
    <row r="213" spans="1:32" x14ac:dyDescent="0.2">
      <c r="A213" s="21"/>
      <c r="B213" s="21"/>
      <c r="C213" s="21"/>
      <c r="D213" s="21"/>
      <c r="E213" s="21"/>
      <c r="F213" s="21"/>
      <c r="G213" s="20"/>
      <c r="H213" s="20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  <c r="AE213" s="21"/>
      <c r="AF213" s="21"/>
    </row>
    <row r="214" spans="1:32" x14ac:dyDescent="0.2">
      <c r="A214" s="21"/>
      <c r="B214" s="21"/>
      <c r="C214" s="21"/>
      <c r="D214" s="21"/>
      <c r="E214" s="21"/>
      <c r="F214" s="21"/>
      <c r="G214" s="20"/>
      <c r="H214" s="20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  <c r="AE214" s="21"/>
      <c r="AF214" s="21"/>
    </row>
    <row r="215" spans="1:32" x14ac:dyDescent="0.2">
      <c r="A215" s="21"/>
      <c r="B215" s="21"/>
      <c r="C215" s="21"/>
      <c r="D215" s="21"/>
      <c r="E215" s="21"/>
      <c r="F215" s="21"/>
      <c r="G215" s="20"/>
      <c r="H215" s="20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  <c r="AE215" s="21"/>
      <c r="AF215" s="21"/>
    </row>
    <row r="216" spans="1:32" x14ac:dyDescent="0.2">
      <c r="A216" s="21"/>
      <c r="B216" s="21"/>
      <c r="C216" s="21"/>
      <c r="D216" s="21"/>
      <c r="E216" s="21"/>
      <c r="F216" s="21"/>
      <c r="G216" s="20"/>
      <c r="H216" s="20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  <c r="AE216" s="21"/>
      <c r="AF216" s="21"/>
    </row>
    <row r="217" spans="1:32" x14ac:dyDescent="0.2">
      <c r="A217" s="21"/>
      <c r="B217" s="21"/>
      <c r="C217" s="21"/>
      <c r="D217" s="21"/>
      <c r="E217" s="21"/>
      <c r="F217" s="21"/>
      <c r="G217" s="20"/>
      <c r="H217" s="20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  <c r="AE217" s="21"/>
      <c r="AF217" s="21"/>
    </row>
    <row r="218" spans="1:32" x14ac:dyDescent="0.2">
      <c r="A218" s="21"/>
      <c r="B218" s="21"/>
      <c r="C218" s="21"/>
      <c r="D218" s="21"/>
      <c r="E218" s="21"/>
      <c r="F218" s="21"/>
      <c r="G218" s="20"/>
      <c r="H218" s="20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  <c r="AE218" s="21"/>
      <c r="AF218" s="21"/>
    </row>
    <row r="219" spans="1:32" x14ac:dyDescent="0.2">
      <c r="A219" s="21"/>
      <c r="B219" s="21"/>
      <c r="C219" s="21"/>
      <c r="D219" s="21"/>
      <c r="E219" s="21"/>
      <c r="F219" s="21"/>
      <c r="G219" s="20"/>
      <c r="H219" s="20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  <c r="AE219" s="21"/>
      <c r="AF219" s="21"/>
    </row>
    <row r="220" spans="1:32" x14ac:dyDescent="0.2">
      <c r="A220" s="21"/>
      <c r="B220" s="21"/>
      <c r="C220" s="21"/>
      <c r="D220" s="21"/>
      <c r="E220" s="21"/>
      <c r="F220" s="21"/>
      <c r="G220" s="20"/>
      <c r="H220" s="20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  <c r="AE220" s="21"/>
      <c r="AF220" s="21"/>
    </row>
    <row r="221" spans="1:32" x14ac:dyDescent="0.2">
      <c r="A221" s="21"/>
      <c r="B221" s="21"/>
      <c r="C221" s="21"/>
      <c r="D221" s="21"/>
      <c r="E221" s="21"/>
      <c r="F221" s="21"/>
      <c r="G221" s="20"/>
      <c r="H221" s="20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  <c r="AE221" s="21"/>
      <c r="AF221" s="21"/>
    </row>
    <row r="222" spans="1:32" x14ac:dyDescent="0.2">
      <c r="A222" s="21"/>
      <c r="B222" s="21"/>
      <c r="C222" s="21"/>
      <c r="D222" s="21"/>
      <c r="E222" s="21"/>
      <c r="F222" s="21"/>
      <c r="G222" s="20"/>
      <c r="H222" s="20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  <c r="AE222" s="21"/>
      <c r="AF222" s="21"/>
    </row>
    <row r="223" spans="1:32" x14ac:dyDescent="0.2">
      <c r="A223" s="21"/>
      <c r="B223" s="21"/>
      <c r="C223" s="21"/>
      <c r="D223" s="21"/>
      <c r="E223" s="21"/>
      <c r="F223" s="21"/>
      <c r="G223" s="20"/>
      <c r="H223" s="20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  <c r="AE223" s="21"/>
      <c r="AF223" s="21"/>
    </row>
    <row r="224" spans="1:32" x14ac:dyDescent="0.2">
      <c r="A224" s="21"/>
      <c r="B224" s="21"/>
      <c r="C224" s="21"/>
      <c r="D224" s="21"/>
      <c r="E224" s="21"/>
      <c r="F224" s="21"/>
      <c r="G224" s="20"/>
      <c r="H224" s="20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  <c r="AE224" s="21"/>
      <c r="AF224" s="21"/>
    </row>
    <row r="225" spans="1:32" x14ac:dyDescent="0.2">
      <c r="A225" s="21"/>
      <c r="B225" s="21"/>
      <c r="C225" s="21"/>
      <c r="D225" s="21"/>
      <c r="E225" s="21"/>
      <c r="F225" s="21"/>
      <c r="G225" s="20"/>
      <c r="H225" s="20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  <c r="AE225" s="21"/>
      <c r="AF225" s="21"/>
    </row>
    <row r="226" spans="1:32" x14ac:dyDescent="0.2">
      <c r="A226" s="21"/>
      <c r="B226" s="21"/>
      <c r="C226" s="21"/>
      <c r="D226" s="21"/>
      <c r="E226" s="21"/>
      <c r="F226" s="21"/>
      <c r="G226" s="20"/>
      <c r="H226" s="20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  <c r="AE226" s="21"/>
      <c r="AF226" s="21"/>
    </row>
    <row r="227" spans="1:32" x14ac:dyDescent="0.2">
      <c r="A227" s="21"/>
      <c r="B227" s="21"/>
      <c r="C227" s="21"/>
      <c r="D227" s="21"/>
      <c r="E227" s="21"/>
      <c r="F227" s="21"/>
      <c r="G227" s="20"/>
      <c r="H227" s="20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  <c r="AE227" s="21"/>
      <c r="AF227" s="21"/>
    </row>
    <row r="228" spans="1:32" x14ac:dyDescent="0.2">
      <c r="A228" s="21"/>
      <c r="B228" s="21"/>
      <c r="C228" s="21"/>
      <c r="D228" s="21"/>
      <c r="E228" s="21"/>
      <c r="F228" s="21"/>
      <c r="G228" s="20"/>
      <c r="H228" s="20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  <c r="AE228" s="21"/>
      <c r="AF228" s="21"/>
    </row>
    <row r="229" spans="1:32" x14ac:dyDescent="0.2">
      <c r="A229" s="21"/>
      <c r="B229" s="21"/>
      <c r="C229" s="21"/>
      <c r="D229" s="21"/>
      <c r="E229" s="21"/>
      <c r="F229" s="21"/>
      <c r="G229" s="20"/>
      <c r="H229" s="20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  <c r="AE229" s="21"/>
      <c r="AF229" s="21"/>
    </row>
    <row r="230" spans="1:32" x14ac:dyDescent="0.2">
      <c r="A230" s="21"/>
      <c r="B230" s="21"/>
      <c r="C230" s="21"/>
      <c r="D230" s="21"/>
      <c r="E230" s="21"/>
      <c r="F230" s="21"/>
      <c r="G230" s="20"/>
      <c r="H230" s="20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  <c r="AE230" s="21"/>
      <c r="AF230" s="21"/>
    </row>
    <row r="231" spans="1:32" x14ac:dyDescent="0.2">
      <c r="A231" s="21"/>
      <c r="B231" s="21"/>
      <c r="C231" s="21"/>
      <c r="D231" s="21"/>
      <c r="E231" s="21"/>
      <c r="F231" s="21"/>
      <c r="G231" s="20"/>
      <c r="H231" s="20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  <c r="AE231" s="21"/>
      <c r="AF231" s="21"/>
    </row>
    <row r="232" spans="1:32" x14ac:dyDescent="0.2">
      <c r="A232" s="21"/>
      <c r="B232" s="21"/>
      <c r="C232" s="21"/>
      <c r="D232" s="21"/>
      <c r="E232" s="21"/>
      <c r="F232" s="21"/>
      <c r="G232" s="20"/>
      <c r="H232" s="20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  <c r="AE232" s="21"/>
      <c r="AF232" s="21"/>
    </row>
    <row r="233" spans="1:32" x14ac:dyDescent="0.2">
      <c r="A233" s="21"/>
      <c r="B233" s="21"/>
      <c r="C233" s="21"/>
      <c r="D233" s="21"/>
      <c r="E233" s="21"/>
      <c r="F233" s="21"/>
      <c r="G233" s="20"/>
      <c r="H233" s="20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  <c r="AE233" s="21"/>
      <c r="AF233" s="21"/>
    </row>
    <row r="234" spans="1:32" x14ac:dyDescent="0.2">
      <c r="A234" s="21"/>
      <c r="B234" s="21"/>
      <c r="C234" s="21"/>
      <c r="D234" s="21"/>
      <c r="E234" s="21"/>
      <c r="F234" s="21"/>
      <c r="G234" s="20"/>
      <c r="H234" s="20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  <c r="AE234" s="21"/>
      <c r="AF234" s="21"/>
    </row>
    <row r="235" spans="1:32" x14ac:dyDescent="0.2">
      <c r="A235" s="21"/>
      <c r="B235" s="21"/>
      <c r="C235" s="21"/>
      <c r="D235" s="21"/>
      <c r="E235" s="21"/>
      <c r="F235" s="21"/>
      <c r="G235" s="20"/>
      <c r="H235" s="20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  <c r="AE235" s="21"/>
      <c r="AF235" s="21"/>
    </row>
    <row r="236" spans="1:32" x14ac:dyDescent="0.2">
      <c r="A236" s="21"/>
      <c r="B236" s="21"/>
      <c r="C236" s="21"/>
      <c r="D236" s="21"/>
      <c r="E236" s="21"/>
      <c r="F236" s="21"/>
      <c r="G236" s="20"/>
      <c r="H236" s="20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  <c r="AE236" s="21"/>
      <c r="AF236" s="21"/>
    </row>
    <row r="237" spans="1:32" x14ac:dyDescent="0.2">
      <c r="A237" s="21"/>
      <c r="B237" s="21"/>
      <c r="C237" s="21"/>
      <c r="D237" s="21"/>
      <c r="E237" s="21"/>
      <c r="F237" s="21"/>
      <c r="G237" s="20"/>
      <c r="H237" s="20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  <c r="AE237" s="21"/>
      <c r="AF237" s="21"/>
    </row>
    <row r="238" spans="1:32" x14ac:dyDescent="0.2">
      <c r="A238" s="21"/>
      <c r="B238" s="21"/>
      <c r="C238" s="21"/>
      <c r="D238" s="21"/>
      <c r="E238" s="21"/>
      <c r="F238" s="21"/>
      <c r="G238" s="20"/>
      <c r="H238" s="20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  <c r="AE238" s="21"/>
      <c r="AF238" s="21"/>
    </row>
    <row r="239" spans="1:32" x14ac:dyDescent="0.2">
      <c r="A239" s="21"/>
      <c r="B239" s="21"/>
      <c r="C239" s="21"/>
      <c r="D239" s="21"/>
      <c r="E239" s="21"/>
      <c r="F239" s="21"/>
      <c r="G239" s="20"/>
      <c r="H239" s="20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  <c r="AE239" s="21"/>
      <c r="AF239" s="21"/>
    </row>
    <row r="240" spans="1:32" x14ac:dyDescent="0.2">
      <c r="A240" s="21"/>
      <c r="B240" s="21"/>
      <c r="C240" s="21"/>
      <c r="D240" s="21"/>
      <c r="E240" s="21"/>
      <c r="F240" s="21"/>
      <c r="G240" s="20"/>
      <c r="H240" s="20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  <c r="AE240" s="21"/>
      <c r="AF240" s="21"/>
    </row>
    <row r="241" spans="1:32" x14ac:dyDescent="0.2">
      <c r="A241" s="21"/>
      <c r="B241" s="21"/>
      <c r="C241" s="21"/>
      <c r="D241" s="21"/>
      <c r="E241" s="21"/>
      <c r="F241" s="21"/>
      <c r="G241" s="20"/>
      <c r="H241" s="20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  <c r="AE241" s="21"/>
      <c r="AF241" s="21"/>
    </row>
    <row r="242" spans="1:32" x14ac:dyDescent="0.2">
      <c r="A242" s="21"/>
      <c r="B242" s="21"/>
      <c r="C242" s="21"/>
      <c r="D242" s="21"/>
      <c r="E242" s="21"/>
      <c r="F242" s="21"/>
      <c r="G242" s="20"/>
      <c r="H242" s="20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  <c r="AE242" s="21"/>
      <c r="AF242" s="21"/>
    </row>
    <row r="243" spans="1:32" x14ac:dyDescent="0.2">
      <c r="A243" s="21"/>
      <c r="B243" s="21"/>
      <c r="C243" s="21"/>
      <c r="D243" s="21"/>
      <c r="E243" s="21"/>
      <c r="F243" s="21"/>
      <c r="G243" s="20"/>
      <c r="H243" s="20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  <c r="AE243" s="21"/>
      <c r="AF243" s="21"/>
    </row>
    <row r="244" spans="1:32" x14ac:dyDescent="0.2">
      <c r="A244" s="21"/>
      <c r="B244" s="21"/>
      <c r="C244" s="21"/>
      <c r="D244" s="21"/>
      <c r="E244" s="21"/>
      <c r="F244" s="21"/>
      <c r="G244" s="20"/>
      <c r="H244" s="20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  <c r="AE244" s="21"/>
      <c r="AF244" s="21"/>
    </row>
    <row r="245" spans="1:32" x14ac:dyDescent="0.2">
      <c r="A245" s="21"/>
      <c r="B245" s="21"/>
      <c r="C245" s="21"/>
      <c r="D245" s="21"/>
      <c r="E245" s="21"/>
      <c r="F245" s="21"/>
      <c r="G245" s="20"/>
      <c r="H245" s="20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  <c r="AE245" s="21"/>
      <c r="AF245" s="21"/>
    </row>
    <row r="246" spans="1:32" x14ac:dyDescent="0.2">
      <c r="A246" s="21"/>
      <c r="B246" s="21"/>
      <c r="C246" s="21"/>
      <c r="D246" s="21"/>
      <c r="E246" s="21"/>
      <c r="F246" s="21"/>
      <c r="G246" s="20"/>
      <c r="H246" s="20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  <c r="AE246" s="21"/>
      <c r="AF246" s="21"/>
    </row>
    <row r="247" spans="1:32" x14ac:dyDescent="0.2">
      <c r="A247" s="21"/>
      <c r="B247" s="21"/>
      <c r="C247" s="21"/>
      <c r="D247" s="21"/>
      <c r="E247" s="21"/>
      <c r="F247" s="21"/>
      <c r="G247" s="20"/>
      <c r="H247" s="20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  <c r="AE247" s="21"/>
      <c r="AF247" s="21"/>
    </row>
    <row r="248" spans="1:32" x14ac:dyDescent="0.2">
      <c r="A248" s="21"/>
      <c r="B248" s="21"/>
      <c r="C248" s="21"/>
      <c r="D248" s="21"/>
      <c r="E248" s="21"/>
      <c r="F248" s="21"/>
      <c r="G248" s="20"/>
      <c r="H248" s="20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  <c r="AE248" s="21"/>
      <c r="AF248" s="21"/>
    </row>
    <row r="249" spans="1:32" x14ac:dyDescent="0.2">
      <c r="A249" s="21"/>
      <c r="B249" s="21"/>
      <c r="C249" s="21"/>
      <c r="D249" s="21"/>
      <c r="E249" s="21"/>
      <c r="F249" s="21"/>
      <c r="G249" s="20"/>
      <c r="H249" s="20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  <c r="AE249" s="21"/>
      <c r="AF249" s="21"/>
    </row>
    <row r="250" spans="1:32" x14ac:dyDescent="0.2">
      <c r="A250" s="21"/>
      <c r="B250" s="21"/>
      <c r="C250" s="21"/>
      <c r="D250" s="21"/>
      <c r="E250" s="21"/>
      <c r="F250" s="21"/>
      <c r="G250" s="20"/>
      <c r="H250" s="20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  <c r="AE250" s="21"/>
      <c r="AF250" s="21"/>
    </row>
  </sheetData>
  <sheetProtection password="F7D6" sheet="1" objects="1" scenarios="1" selectLockedCells="1"/>
  <mergeCells count="24">
    <mergeCell ref="A24:F24"/>
    <mergeCell ref="B25:F25"/>
    <mergeCell ref="A23:F23"/>
    <mergeCell ref="Y8:Y9"/>
    <mergeCell ref="AF8:AF9"/>
    <mergeCell ref="A7:F9"/>
    <mergeCell ref="A1:AF1"/>
    <mergeCell ref="Q7:X7"/>
    <mergeCell ref="Q8:Q9"/>
    <mergeCell ref="R8:S8"/>
    <mergeCell ref="T8:U8"/>
    <mergeCell ref="X8:X9"/>
    <mergeCell ref="Y7:AF7"/>
    <mergeCell ref="P8:P9"/>
    <mergeCell ref="I8:I9"/>
    <mergeCell ref="L8:M8"/>
    <mergeCell ref="G7:G9"/>
    <mergeCell ref="I7:P7"/>
    <mergeCell ref="J8:K8"/>
    <mergeCell ref="AD8:AE8"/>
    <mergeCell ref="Z8:AA8"/>
    <mergeCell ref="AB8:AC8"/>
    <mergeCell ref="N8:O8"/>
    <mergeCell ref="V8:W8"/>
  </mergeCells>
  <phoneticPr fontId="0" type="noConversion"/>
  <dataValidations count="2">
    <dataValidation type="decimal" operator="lessThan" allowBlank="1" showInputMessage="1" showErrorMessage="1" sqref="AG10:FP582 I26:AF582">
      <formula1>1000000000000000</formula1>
    </dataValidation>
    <dataValidation type="decimal" operator="greaterThanOrEqual" allowBlank="1" showInputMessage="1" showErrorMessage="1" sqref="I10:AF25">
      <formula1>0</formula1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9&amp;8&amp;U
&amp;P of &amp;N&amp;C&amp;"Arial,Bold"&amp;8 MAXIMUM SAVINGS BANK, INC.  [ 03-070011 ]
 As of: June 30, 2019</oddHead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1:X2274"/>
  <sheetViews>
    <sheetView zoomScale="75" zoomScaleNormal="75" zoomScaleSheetLayoutView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D11" sqref="D11:F11"/>
    </sheetView>
  </sheetViews>
  <sheetFormatPr defaultRowHeight="11.25" x14ac:dyDescent="0.2"/>
  <cols>
    <col min="1" max="1" width="2.7109375" style="1" customWidth="1"/>
    <col min="2" max="2" width="3.5703125" style="1" customWidth="1"/>
    <col min="3" max="3" width="3" style="1" customWidth="1"/>
    <col min="4" max="4" width="27.42578125" style="1" customWidth="1"/>
    <col min="5" max="5" width="3" style="1" hidden="1" customWidth="1"/>
    <col min="6" max="6" width="8" style="1" hidden="1" customWidth="1"/>
    <col min="7" max="7" width="19.7109375" style="9" customWidth="1"/>
    <col min="8" max="8" width="9.5703125" style="9" customWidth="1"/>
    <col min="9" max="18" width="20.7109375" style="1" customWidth="1"/>
    <col min="19" max="20" width="20.7109375" style="1" hidden="1" customWidth="1"/>
    <col min="21" max="21" width="20.7109375" style="1" customWidth="1"/>
    <col min="22" max="161" width="25.7109375" style="1" customWidth="1"/>
    <col min="162" max="16384" width="9.140625" style="1"/>
  </cols>
  <sheetData>
    <row r="1" spans="1:24" s="165" customFormat="1" ht="12.75" x14ac:dyDescent="0.2">
      <c r="A1" s="485" t="s">
        <v>974</v>
      </c>
      <c r="B1" s="485"/>
      <c r="C1" s="485"/>
      <c r="D1" s="485"/>
      <c r="E1" s="485"/>
      <c r="F1" s="485"/>
      <c r="G1" s="485"/>
      <c r="H1" s="485"/>
      <c r="I1" s="485"/>
      <c r="J1" s="485"/>
      <c r="K1" s="485"/>
      <c r="L1" s="485"/>
      <c r="M1" s="485"/>
      <c r="N1" s="485"/>
      <c r="O1" s="485"/>
      <c r="P1" s="485"/>
      <c r="Q1" s="485"/>
      <c r="R1" s="485"/>
      <c r="S1" s="485"/>
      <c r="T1" s="485"/>
      <c r="U1" s="485"/>
    </row>
    <row r="2" spans="1:24" s="165" customFormat="1" ht="12.75" customHeight="1" x14ac:dyDescent="0.2">
      <c r="A2" s="512" t="s">
        <v>413</v>
      </c>
      <c r="B2" s="512"/>
      <c r="C2" s="512"/>
      <c r="D2" s="512"/>
      <c r="E2" s="512"/>
      <c r="F2" s="512"/>
      <c r="G2" s="512"/>
      <c r="H2" s="512"/>
      <c r="I2" s="512"/>
      <c r="J2" s="512"/>
      <c r="K2" s="512"/>
      <c r="L2" s="512"/>
      <c r="M2" s="512"/>
      <c r="N2" s="512"/>
      <c r="O2" s="512"/>
      <c r="P2" s="512"/>
      <c r="Q2" s="512"/>
      <c r="R2" s="512"/>
      <c r="S2" s="512"/>
      <c r="T2" s="512"/>
      <c r="U2" s="512"/>
    </row>
    <row r="3" spans="1:24" ht="9.75" hidden="1" customHeight="1" x14ac:dyDescent="0.2"/>
    <row r="4" spans="1:24" ht="13.5" hidden="1" customHeight="1" x14ac:dyDescent="0.2"/>
    <row r="5" spans="1:24" ht="12" thickBot="1" x14ac:dyDescent="0.25"/>
    <row r="6" spans="1:24" s="11" customFormat="1" ht="12.75" customHeight="1" x14ac:dyDescent="0.2">
      <c r="A6" s="633" t="s">
        <v>0</v>
      </c>
      <c r="B6" s="634"/>
      <c r="C6" s="634"/>
      <c r="D6" s="634"/>
      <c r="E6" s="634"/>
      <c r="F6" s="635"/>
      <c r="G6" s="637" t="s">
        <v>2</v>
      </c>
      <c r="H6" s="626" t="s">
        <v>414</v>
      </c>
      <c r="I6" s="644" t="s">
        <v>415</v>
      </c>
      <c r="J6" s="634"/>
      <c r="K6" s="634"/>
      <c r="L6" s="634"/>
      <c r="M6" s="635"/>
      <c r="N6" s="638" t="s">
        <v>836</v>
      </c>
      <c r="O6" s="639"/>
      <c r="P6" s="639"/>
      <c r="Q6" s="640"/>
      <c r="R6" s="640"/>
      <c r="S6" s="640"/>
      <c r="T6" s="641"/>
      <c r="U6" s="630" t="s">
        <v>68</v>
      </c>
    </row>
    <row r="7" spans="1:24" s="11" customFormat="1" ht="22.5" customHeight="1" x14ac:dyDescent="0.2">
      <c r="A7" s="636"/>
      <c r="B7" s="508"/>
      <c r="C7" s="508"/>
      <c r="D7" s="508"/>
      <c r="E7" s="508"/>
      <c r="F7" s="509"/>
      <c r="G7" s="497"/>
      <c r="H7" s="587"/>
      <c r="I7" s="491"/>
      <c r="J7" s="510"/>
      <c r="K7" s="510"/>
      <c r="L7" s="510"/>
      <c r="M7" s="492"/>
      <c r="N7" s="594"/>
      <c r="O7" s="642"/>
      <c r="P7" s="642"/>
      <c r="Q7" s="643"/>
      <c r="R7" s="643"/>
      <c r="S7" s="643"/>
      <c r="T7" s="609"/>
      <c r="U7" s="631"/>
    </row>
    <row r="8" spans="1:24" s="2" customFormat="1" x14ac:dyDescent="0.2">
      <c r="A8" s="636"/>
      <c r="B8" s="508"/>
      <c r="C8" s="508"/>
      <c r="D8" s="508"/>
      <c r="E8" s="508"/>
      <c r="F8" s="509"/>
      <c r="G8" s="497"/>
      <c r="H8" s="587"/>
      <c r="I8" s="496" t="s">
        <v>416</v>
      </c>
      <c r="J8" s="493" t="s">
        <v>417</v>
      </c>
      <c r="K8" s="496" t="s">
        <v>418</v>
      </c>
      <c r="L8" s="496" t="s">
        <v>785</v>
      </c>
      <c r="M8" s="600" t="s">
        <v>419</v>
      </c>
      <c r="N8" s="497" t="s">
        <v>3</v>
      </c>
      <c r="O8" s="491" t="s">
        <v>4</v>
      </c>
      <c r="P8" s="492"/>
      <c r="Q8" s="491" t="s">
        <v>7</v>
      </c>
      <c r="R8" s="510"/>
      <c r="S8" s="491" t="s">
        <v>391</v>
      </c>
      <c r="T8" s="492"/>
      <c r="U8" s="631"/>
    </row>
    <row r="9" spans="1:24" s="2" customFormat="1" ht="27" customHeight="1" x14ac:dyDescent="0.2">
      <c r="A9" s="636"/>
      <c r="B9" s="508"/>
      <c r="C9" s="508"/>
      <c r="D9" s="508"/>
      <c r="E9" s="508"/>
      <c r="F9" s="509"/>
      <c r="G9" s="498"/>
      <c r="H9" s="588"/>
      <c r="I9" s="498"/>
      <c r="J9" s="588"/>
      <c r="K9" s="498"/>
      <c r="L9" s="498"/>
      <c r="M9" s="602"/>
      <c r="N9" s="498"/>
      <c r="O9" s="8" t="s">
        <v>5</v>
      </c>
      <c r="P9" s="8" t="s">
        <v>6</v>
      </c>
      <c r="Q9" s="8" t="s">
        <v>5</v>
      </c>
      <c r="R9" s="10" t="s">
        <v>6</v>
      </c>
      <c r="S9" s="8" t="s">
        <v>5</v>
      </c>
      <c r="T9" s="10" t="s">
        <v>6</v>
      </c>
      <c r="U9" s="632"/>
    </row>
    <row r="10" spans="1:24" x14ac:dyDescent="0.2">
      <c r="A10" s="242" t="s">
        <v>188</v>
      </c>
      <c r="B10" s="243" t="s">
        <v>420</v>
      </c>
      <c r="C10" s="235"/>
      <c r="D10" s="235"/>
      <c r="E10" s="244"/>
      <c r="F10" s="245"/>
      <c r="G10" s="460" t="s">
        <v>421</v>
      </c>
      <c r="H10" s="85" t="s">
        <v>751</v>
      </c>
      <c r="I10" s="78">
        <f t="shared" ref="I10:T10" si="0">SUM(I11:I12)</f>
        <v>0</v>
      </c>
      <c r="J10" s="78">
        <f t="shared" si="0"/>
        <v>0</v>
      </c>
      <c r="K10" s="78">
        <f t="shared" si="0"/>
        <v>0</v>
      </c>
      <c r="L10" s="78">
        <f t="shared" si="0"/>
        <v>0</v>
      </c>
      <c r="M10" s="78">
        <f t="shared" si="0"/>
        <v>0</v>
      </c>
      <c r="N10" s="78">
        <f t="shared" si="0"/>
        <v>0</v>
      </c>
      <c r="O10" s="78">
        <f t="shared" si="0"/>
        <v>0</v>
      </c>
      <c r="P10" s="78">
        <f t="shared" si="0"/>
        <v>0</v>
      </c>
      <c r="Q10" s="78">
        <f t="shared" si="0"/>
        <v>0</v>
      </c>
      <c r="R10" s="78">
        <f t="shared" si="0"/>
        <v>0</v>
      </c>
      <c r="S10" s="78">
        <f t="shared" si="0"/>
        <v>0</v>
      </c>
      <c r="T10" s="78">
        <f t="shared" si="0"/>
        <v>0</v>
      </c>
      <c r="U10" s="78">
        <f>I10+J10+K10+L10+M10+N10+P10+R10+T10</f>
        <v>0</v>
      </c>
      <c r="V10" s="122"/>
      <c r="W10" s="123"/>
      <c r="X10" s="123"/>
    </row>
    <row r="11" spans="1:24" x14ac:dyDescent="0.2">
      <c r="A11" s="116"/>
      <c r="B11" s="115"/>
      <c r="C11" s="149" t="s">
        <v>422</v>
      </c>
      <c r="D11" s="623"/>
      <c r="E11" s="624"/>
      <c r="F11" s="625"/>
      <c r="G11" s="471"/>
      <c r="H11" s="91">
        <v>1</v>
      </c>
      <c r="I11" s="81"/>
      <c r="J11" s="81"/>
      <c r="K11" s="81"/>
      <c r="L11" s="81"/>
      <c r="M11" s="81"/>
      <c r="N11" s="81"/>
      <c r="O11" s="81"/>
      <c r="P11" s="81"/>
      <c r="Q11" s="81"/>
      <c r="R11" s="81"/>
      <c r="S11" s="81"/>
      <c r="T11" s="81"/>
      <c r="U11" s="78">
        <f>I11+J11+K11+L11+M11+N11+P11+R11+T11</f>
        <v>0</v>
      </c>
      <c r="V11" s="122"/>
      <c r="W11" s="123"/>
      <c r="X11" s="123"/>
    </row>
    <row r="12" spans="1:24" s="221" customFormat="1" x14ac:dyDescent="0.2">
      <c r="A12" s="251"/>
      <c r="B12" s="252"/>
      <c r="C12" s="252"/>
      <c r="D12" s="627"/>
      <c r="E12" s="628"/>
      <c r="F12" s="629"/>
      <c r="G12" s="461"/>
      <c r="H12" s="239" t="str">
        <f>CHAR(132)</f>
        <v>„</v>
      </c>
      <c r="I12" s="109"/>
      <c r="J12" s="109"/>
      <c r="K12" s="109"/>
      <c r="L12" s="109"/>
      <c r="M12" s="109"/>
      <c r="N12" s="73"/>
      <c r="O12" s="73"/>
      <c r="P12" s="73"/>
      <c r="Q12" s="73"/>
      <c r="R12" s="73"/>
      <c r="S12" s="73"/>
      <c r="T12" s="73"/>
      <c r="U12" s="78"/>
      <c r="V12" s="224"/>
      <c r="W12" s="231"/>
      <c r="X12" s="231"/>
    </row>
    <row r="13" spans="1:24" x14ac:dyDescent="0.2">
      <c r="A13" s="246" t="s">
        <v>195</v>
      </c>
      <c r="B13" s="240" t="s">
        <v>423</v>
      </c>
      <c r="C13" s="21"/>
      <c r="D13" s="70"/>
      <c r="E13" s="154"/>
      <c r="F13" s="159"/>
      <c r="G13" s="460" t="s">
        <v>424</v>
      </c>
      <c r="H13" s="85" t="s">
        <v>752</v>
      </c>
      <c r="I13" s="78">
        <f t="shared" ref="I13:T13" si="1">SUM(I14:I15)</f>
        <v>0</v>
      </c>
      <c r="J13" s="78">
        <f t="shared" si="1"/>
        <v>0</v>
      </c>
      <c r="K13" s="78">
        <f t="shared" si="1"/>
        <v>0</v>
      </c>
      <c r="L13" s="78">
        <f t="shared" si="1"/>
        <v>0</v>
      </c>
      <c r="M13" s="78">
        <f t="shared" si="1"/>
        <v>0</v>
      </c>
      <c r="N13" s="78">
        <f t="shared" si="1"/>
        <v>0</v>
      </c>
      <c r="O13" s="78">
        <f t="shared" si="1"/>
        <v>0</v>
      </c>
      <c r="P13" s="78">
        <f t="shared" si="1"/>
        <v>0</v>
      </c>
      <c r="Q13" s="78">
        <f t="shared" si="1"/>
        <v>0</v>
      </c>
      <c r="R13" s="78">
        <f t="shared" si="1"/>
        <v>0</v>
      </c>
      <c r="S13" s="78">
        <f t="shared" si="1"/>
        <v>0</v>
      </c>
      <c r="T13" s="78">
        <f t="shared" si="1"/>
        <v>0</v>
      </c>
      <c r="U13" s="78">
        <f>I13+J13+K13+L13+M13+N13+P13+R13+T13</f>
        <v>0</v>
      </c>
      <c r="V13" s="122"/>
      <c r="W13" s="123"/>
      <c r="X13" s="123"/>
    </row>
    <row r="14" spans="1:24" x14ac:dyDescent="0.2">
      <c r="A14" s="129"/>
      <c r="B14" s="124"/>
      <c r="C14" s="198" t="s">
        <v>422</v>
      </c>
      <c r="D14" s="623"/>
      <c r="E14" s="624"/>
      <c r="F14" s="625"/>
      <c r="G14" s="471"/>
      <c r="H14" s="91">
        <v>1</v>
      </c>
      <c r="I14" s="81"/>
      <c r="J14" s="82"/>
      <c r="K14" s="82"/>
      <c r="L14" s="82"/>
      <c r="M14" s="82"/>
      <c r="N14" s="81"/>
      <c r="O14" s="81"/>
      <c r="P14" s="81"/>
      <c r="Q14" s="81"/>
      <c r="R14" s="81"/>
      <c r="S14" s="81"/>
      <c r="T14" s="81"/>
      <c r="U14" s="78">
        <f>I14+J14+K14+L14+M14+N14+P14+R14+T14</f>
        <v>0</v>
      </c>
      <c r="V14" s="122"/>
      <c r="W14" s="123"/>
      <c r="X14" s="123"/>
    </row>
    <row r="15" spans="1:24" x14ac:dyDescent="0.2">
      <c r="A15" s="129"/>
      <c r="B15" s="124"/>
      <c r="C15" s="130"/>
      <c r="D15" s="125"/>
      <c r="E15" s="39"/>
      <c r="F15" s="128"/>
      <c r="G15" s="471"/>
      <c r="H15" s="85" t="str">
        <f>CHAR(132)</f>
        <v>„</v>
      </c>
      <c r="I15" s="86"/>
      <c r="J15" s="86"/>
      <c r="K15" s="86"/>
      <c r="L15" s="86"/>
      <c r="M15" s="86"/>
      <c r="N15" s="29"/>
      <c r="O15" s="29"/>
      <c r="P15" s="29"/>
      <c r="Q15" s="29"/>
      <c r="R15" s="29"/>
      <c r="S15" s="29"/>
      <c r="T15" s="29"/>
      <c r="U15" s="78"/>
      <c r="V15" s="122"/>
      <c r="W15" s="123"/>
      <c r="X15" s="123"/>
    </row>
    <row r="16" spans="1:24" x14ac:dyDescent="0.2">
      <c r="A16" s="246" t="s">
        <v>197</v>
      </c>
      <c r="B16" s="240" t="s">
        <v>425</v>
      </c>
      <c r="C16" s="241"/>
      <c r="D16" s="21"/>
      <c r="E16" s="154"/>
      <c r="F16" s="159"/>
      <c r="G16" s="460" t="s">
        <v>426</v>
      </c>
      <c r="H16" s="85" t="s">
        <v>753</v>
      </c>
      <c r="I16" s="78">
        <f t="shared" ref="I16:T16" si="2">SUM(I17:I18)</f>
        <v>0</v>
      </c>
      <c r="J16" s="78">
        <f t="shared" si="2"/>
        <v>0</v>
      </c>
      <c r="K16" s="78">
        <f t="shared" si="2"/>
        <v>0</v>
      </c>
      <c r="L16" s="78">
        <f t="shared" si="2"/>
        <v>0</v>
      </c>
      <c r="M16" s="78">
        <f t="shared" si="2"/>
        <v>0</v>
      </c>
      <c r="N16" s="78">
        <f t="shared" si="2"/>
        <v>0</v>
      </c>
      <c r="O16" s="78">
        <f t="shared" si="2"/>
        <v>0</v>
      </c>
      <c r="P16" s="78">
        <f t="shared" si="2"/>
        <v>0</v>
      </c>
      <c r="Q16" s="78">
        <f t="shared" si="2"/>
        <v>0</v>
      </c>
      <c r="R16" s="78">
        <f t="shared" si="2"/>
        <v>0</v>
      </c>
      <c r="S16" s="78">
        <f t="shared" si="2"/>
        <v>0</v>
      </c>
      <c r="T16" s="78">
        <f t="shared" si="2"/>
        <v>0</v>
      </c>
      <c r="U16" s="78">
        <f>I16+J16+K16+L16+M16+N16+P16+R16+T16</f>
        <v>0</v>
      </c>
      <c r="V16" s="122"/>
      <c r="W16" s="123"/>
      <c r="X16" s="123"/>
    </row>
    <row r="17" spans="1:24" x14ac:dyDescent="0.2">
      <c r="A17" s="129"/>
      <c r="B17" s="124"/>
      <c r="C17" s="198" t="s">
        <v>422</v>
      </c>
      <c r="D17" s="623"/>
      <c r="E17" s="624"/>
      <c r="F17" s="625"/>
      <c r="G17" s="471"/>
      <c r="H17" s="91">
        <v>1</v>
      </c>
      <c r="I17" s="81"/>
      <c r="J17" s="81"/>
      <c r="K17" s="81"/>
      <c r="L17" s="81"/>
      <c r="M17" s="81"/>
      <c r="N17" s="81"/>
      <c r="O17" s="81"/>
      <c r="P17" s="81"/>
      <c r="Q17" s="81"/>
      <c r="R17" s="81"/>
      <c r="S17" s="81"/>
      <c r="T17" s="81"/>
      <c r="U17" s="78">
        <f>I17+J17+K17+L17+M17+N17+P17+R17+T17</f>
        <v>0</v>
      </c>
      <c r="V17" s="122"/>
      <c r="W17" s="123"/>
      <c r="X17" s="123"/>
    </row>
    <row r="18" spans="1:24" x14ac:dyDescent="0.2">
      <c r="A18" s="129"/>
      <c r="B18" s="124"/>
      <c r="C18" s="130"/>
      <c r="D18" s="125"/>
      <c r="E18" s="39"/>
      <c r="F18" s="128"/>
      <c r="G18" s="471"/>
      <c r="H18" s="85" t="str">
        <f>CHAR(132)</f>
        <v>„</v>
      </c>
      <c r="I18" s="86"/>
      <c r="J18" s="86"/>
      <c r="K18" s="86"/>
      <c r="L18" s="86"/>
      <c r="M18" s="86"/>
      <c r="N18" s="29"/>
      <c r="O18" s="29"/>
      <c r="P18" s="29"/>
      <c r="Q18" s="29"/>
      <c r="R18" s="29"/>
      <c r="S18" s="29"/>
      <c r="T18" s="29"/>
      <c r="U18" s="78"/>
      <c r="V18" s="122"/>
      <c r="W18" s="123"/>
      <c r="X18" s="123"/>
    </row>
    <row r="19" spans="1:24" s="235" customFormat="1" x14ac:dyDescent="0.2">
      <c r="A19" s="247" t="s">
        <v>392</v>
      </c>
      <c r="B19" s="248"/>
      <c r="C19" s="16"/>
      <c r="D19" s="16"/>
      <c r="E19" s="249"/>
      <c r="F19" s="250"/>
      <c r="G19" s="460" t="s">
        <v>427</v>
      </c>
      <c r="H19" s="18"/>
      <c r="I19" s="78">
        <f t="shared" ref="I19:T19" si="3">SUM(I10,I13,I16)</f>
        <v>0</v>
      </c>
      <c r="J19" s="78">
        <f t="shared" si="3"/>
        <v>0</v>
      </c>
      <c r="K19" s="78">
        <f t="shared" si="3"/>
        <v>0</v>
      </c>
      <c r="L19" s="78">
        <f t="shared" si="3"/>
        <v>0</v>
      </c>
      <c r="M19" s="78">
        <f t="shared" si="3"/>
        <v>0</v>
      </c>
      <c r="N19" s="78">
        <f t="shared" si="3"/>
        <v>0</v>
      </c>
      <c r="O19" s="78">
        <f t="shared" si="3"/>
        <v>0</v>
      </c>
      <c r="P19" s="78">
        <f t="shared" si="3"/>
        <v>0</v>
      </c>
      <c r="Q19" s="78">
        <f t="shared" si="3"/>
        <v>0</v>
      </c>
      <c r="R19" s="78">
        <f t="shared" si="3"/>
        <v>0</v>
      </c>
      <c r="S19" s="78">
        <f t="shared" si="3"/>
        <v>0</v>
      </c>
      <c r="T19" s="78">
        <f t="shared" si="3"/>
        <v>0</v>
      </c>
      <c r="U19" s="78">
        <f>I19+J19+K19+L19+M19+N19+P19+R19+T19</f>
        <v>0</v>
      </c>
      <c r="V19" s="233"/>
      <c r="W19" s="234"/>
      <c r="X19" s="234"/>
    </row>
    <row r="20" spans="1:24" s="21" customFormat="1" x14ac:dyDescent="0.2">
      <c r="A20" s="166"/>
      <c r="B20" s="39"/>
      <c r="C20" s="39"/>
      <c r="D20" s="39"/>
      <c r="E20" s="39"/>
      <c r="F20" s="39"/>
      <c r="G20" s="72" t="s">
        <v>184</v>
      </c>
      <c r="H20" s="72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132"/>
      <c r="X20" s="132"/>
    </row>
    <row r="21" spans="1:24" s="21" customFormat="1" x14ac:dyDescent="0.2">
      <c r="A21" s="83" t="s">
        <v>783</v>
      </c>
      <c r="B21" s="39"/>
      <c r="C21" s="131"/>
      <c r="D21" s="39"/>
      <c r="E21" s="39"/>
      <c r="F21" s="39"/>
      <c r="G21" s="20"/>
      <c r="H21" s="20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132"/>
      <c r="X21" s="132"/>
    </row>
    <row r="22" spans="1:24" s="21" customFormat="1" x14ac:dyDescent="0.2">
      <c r="A22" s="83"/>
      <c r="B22" s="39"/>
      <c r="C22" s="131"/>
      <c r="D22" s="39"/>
      <c r="E22" s="39"/>
      <c r="F22" s="39"/>
      <c r="G22" s="20"/>
      <c r="H22" s="20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132"/>
      <c r="X22" s="132"/>
    </row>
    <row r="23" spans="1:24" s="21" customFormat="1" x14ac:dyDescent="0.2">
      <c r="A23" s="166"/>
      <c r="B23" s="39"/>
      <c r="C23" s="39"/>
      <c r="D23" s="39"/>
      <c r="E23" s="39"/>
      <c r="F23" s="39"/>
      <c r="G23" s="20"/>
      <c r="H23" s="20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132"/>
      <c r="X23" s="132"/>
    </row>
    <row r="24" spans="1:24" s="21" customFormat="1" x14ac:dyDescent="0.2">
      <c r="A24" s="166"/>
      <c r="B24" s="39"/>
      <c r="C24" s="131"/>
      <c r="D24" s="39"/>
      <c r="E24" s="39"/>
      <c r="F24" s="39"/>
      <c r="G24" s="20"/>
      <c r="H24" s="20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132"/>
      <c r="X24" s="132"/>
    </row>
    <row r="25" spans="1:24" s="21" customFormat="1" x14ac:dyDescent="0.2">
      <c r="A25" s="166"/>
      <c r="B25" s="39"/>
      <c r="C25" s="131"/>
      <c r="D25" s="39"/>
      <c r="E25" s="39"/>
      <c r="F25" s="39"/>
      <c r="G25" s="20"/>
      <c r="H25" s="20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132"/>
      <c r="X25" s="132"/>
    </row>
    <row r="26" spans="1:24" s="21" customFormat="1" x14ac:dyDescent="0.2">
      <c r="A26" s="24"/>
      <c r="B26" s="14"/>
      <c r="C26" s="39"/>
      <c r="D26" s="39"/>
      <c r="E26" s="39"/>
      <c r="F26" s="39"/>
      <c r="G26" s="20"/>
      <c r="H26" s="20"/>
      <c r="I26" s="32"/>
      <c r="J26" s="32"/>
      <c r="K26" s="32"/>
      <c r="L26" s="32"/>
      <c r="M26" s="32"/>
      <c r="N26" s="34"/>
      <c r="O26" s="34"/>
      <c r="P26" s="34"/>
      <c r="Q26" s="34"/>
      <c r="R26" s="34"/>
      <c r="S26" s="34"/>
      <c r="T26" s="34"/>
      <c r="U26" s="32"/>
      <c r="V26" s="34"/>
      <c r="W26" s="132"/>
      <c r="X26" s="132"/>
    </row>
    <row r="27" spans="1:24" s="21" customFormat="1" x14ac:dyDescent="0.2">
      <c r="A27" s="166"/>
      <c r="B27" s="39"/>
      <c r="C27" s="39"/>
      <c r="D27" s="39"/>
      <c r="E27" s="39"/>
      <c r="F27" s="39"/>
      <c r="G27" s="20"/>
      <c r="H27" s="20"/>
      <c r="I27" s="32"/>
      <c r="J27" s="32"/>
      <c r="K27" s="32"/>
      <c r="L27" s="32"/>
      <c r="M27" s="32"/>
      <c r="N27" s="34"/>
      <c r="O27" s="34"/>
      <c r="P27" s="34"/>
      <c r="Q27" s="34"/>
      <c r="R27" s="34"/>
      <c r="S27" s="34"/>
      <c r="T27" s="34"/>
      <c r="U27" s="32"/>
      <c r="V27" s="34"/>
      <c r="W27" s="132"/>
      <c r="X27" s="132"/>
    </row>
    <row r="28" spans="1:24" s="21" customFormat="1" x14ac:dyDescent="0.2">
      <c r="A28" s="166"/>
      <c r="B28" s="39"/>
      <c r="C28" s="39"/>
      <c r="D28" s="39"/>
      <c r="E28" s="39"/>
      <c r="F28" s="39"/>
      <c r="G28" s="20"/>
      <c r="H28" s="20"/>
      <c r="I28" s="32"/>
      <c r="J28" s="32"/>
      <c r="K28" s="32"/>
      <c r="L28" s="32"/>
      <c r="M28" s="32"/>
      <c r="N28" s="34"/>
      <c r="O28" s="34"/>
      <c r="P28" s="34"/>
      <c r="Q28" s="34"/>
      <c r="R28" s="34"/>
      <c r="S28" s="34"/>
      <c r="T28" s="34"/>
      <c r="U28" s="32"/>
      <c r="V28" s="34"/>
      <c r="W28" s="132"/>
      <c r="X28" s="132"/>
    </row>
    <row r="29" spans="1:24" s="21" customFormat="1" x14ac:dyDescent="0.2">
      <c r="A29" s="166"/>
      <c r="B29" s="39"/>
      <c r="C29" s="39"/>
      <c r="D29" s="39"/>
      <c r="E29" s="39"/>
      <c r="F29" s="39"/>
      <c r="G29" s="20"/>
      <c r="H29" s="20"/>
      <c r="I29" s="32"/>
      <c r="J29" s="32"/>
      <c r="K29" s="32"/>
      <c r="L29" s="32"/>
      <c r="M29" s="32"/>
      <c r="N29" s="34"/>
      <c r="O29" s="34"/>
      <c r="P29" s="34"/>
      <c r="Q29" s="34"/>
      <c r="R29" s="34"/>
      <c r="S29" s="34"/>
      <c r="T29" s="34"/>
      <c r="U29" s="32"/>
      <c r="V29" s="34"/>
      <c r="W29" s="132"/>
      <c r="X29" s="132"/>
    </row>
    <row r="30" spans="1:24" s="21" customFormat="1" x14ac:dyDescent="0.2">
      <c r="A30" s="166"/>
      <c r="B30" s="39"/>
      <c r="C30" s="131"/>
      <c r="D30" s="39"/>
      <c r="E30" s="39"/>
      <c r="F30" s="39"/>
      <c r="G30" s="20"/>
      <c r="H30" s="20"/>
      <c r="I30" s="32"/>
      <c r="J30" s="32"/>
      <c r="K30" s="32"/>
      <c r="L30" s="32"/>
      <c r="M30" s="32"/>
      <c r="N30" s="34"/>
      <c r="O30" s="34"/>
      <c r="P30" s="34"/>
      <c r="Q30" s="34"/>
      <c r="R30" s="34"/>
      <c r="S30" s="34"/>
      <c r="T30" s="34"/>
      <c r="U30" s="32"/>
      <c r="V30" s="34"/>
      <c r="W30" s="132"/>
      <c r="X30" s="132"/>
    </row>
    <row r="31" spans="1:24" s="21" customFormat="1" x14ac:dyDescent="0.2">
      <c r="A31" s="166"/>
      <c r="B31" s="39"/>
      <c r="C31" s="131"/>
      <c r="D31" s="39"/>
      <c r="E31" s="39"/>
      <c r="F31" s="39"/>
      <c r="G31" s="20"/>
      <c r="H31" s="20"/>
      <c r="I31" s="32"/>
      <c r="J31" s="32"/>
      <c r="K31" s="32"/>
      <c r="L31" s="32"/>
      <c r="M31" s="32"/>
      <c r="N31" s="34"/>
      <c r="O31" s="34"/>
      <c r="P31" s="34"/>
      <c r="Q31" s="34"/>
      <c r="R31" s="34"/>
      <c r="S31" s="34"/>
      <c r="T31" s="34"/>
      <c r="U31" s="32"/>
      <c r="V31" s="34"/>
      <c r="W31" s="132"/>
      <c r="X31" s="132"/>
    </row>
    <row r="32" spans="1:24" s="21" customFormat="1" x14ac:dyDescent="0.2">
      <c r="A32" s="166"/>
      <c r="B32" s="39"/>
      <c r="C32" s="39"/>
      <c r="D32" s="39"/>
      <c r="E32" s="39"/>
      <c r="F32" s="39"/>
      <c r="G32" s="20"/>
      <c r="H32" s="20"/>
      <c r="I32" s="32"/>
      <c r="J32" s="32"/>
      <c r="K32" s="32"/>
      <c r="L32" s="32"/>
      <c r="M32" s="32"/>
      <c r="N32" s="34"/>
      <c r="O32" s="34"/>
      <c r="P32" s="34"/>
      <c r="Q32" s="34"/>
      <c r="R32" s="34"/>
      <c r="S32" s="34"/>
      <c r="T32" s="34"/>
      <c r="U32" s="32"/>
      <c r="V32" s="34"/>
      <c r="W32" s="132"/>
      <c r="X32" s="132"/>
    </row>
    <row r="33" spans="1:24" s="21" customFormat="1" x14ac:dyDescent="0.2">
      <c r="A33" s="66"/>
      <c r="B33" s="14"/>
      <c r="C33" s="131"/>
      <c r="D33" s="39"/>
      <c r="E33" s="39"/>
      <c r="F33" s="39"/>
      <c r="G33" s="20"/>
      <c r="H33" s="20"/>
      <c r="I33" s="32"/>
      <c r="J33" s="32"/>
      <c r="K33" s="32"/>
      <c r="L33" s="32"/>
      <c r="M33" s="32"/>
      <c r="N33" s="34"/>
      <c r="O33" s="34"/>
      <c r="P33" s="34"/>
      <c r="Q33" s="34"/>
      <c r="R33" s="34"/>
      <c r="S33" s="34"/>
      <c r="T33" s="34"/>
      <c r="U33" s="32"/>
      <c r="V33" s="34"/>
      <c r="W33" s="132"/>
      <c r="X33" s="132"/>
    </row>
    <row r="34" spans="1:24" s="21" customFormat="1" x14ac:dyDescent="0.2">
      <c r="A34" s="66"/>
      <c r="B34" s="14"/>
      <c r="C34" s="131"/>
      <c r="D34" s="39"/>
      <c r="E34" s="39"/>
      <c r="F34" s="39"/>
      <c r="G34" s="20"/>
      <c r="H34" s="20"/>
      <c r="I34" s="32"/>
      <c r="J34" s="32"/>
      <c r="K34" s="32"/>
      <c r="L34" s="32"/>
      <c r="M34" s="32"/>
      <c r="N34" s="34"/>
      <c r="O34" s="34"/>
      <c r="P34" s="34"/>
      <c r="Q34" s="34"/>
      <c r="R34" s="34"/>
      <c r="S34" s="34"/>
      <c r="T34" s="34"/>
      <c r="U34" s="32"/>
      <c r="V34" s="34"/>
      <c r="W34" s="132"/>
      <c r="X34" s="132"/>
    </row>
    <row r="35" spans="1:24" s="21" customFormat="1" x14ac:dyDescent="0.2">
      <c r="A35" s="14"/>
      <c r="B35" s="39"/>
      <c r="C35" s="131"/>
      <c r="D35" s="39"/>
      <c r="E35" s="39"/>
      <c r="F35" s="39"/>
      <c r="G35" s="20"/>
      <c r="H35" s="20"/>
      <c r="I35" s="32"/>
      <c r="J35" s="32"/>
      <c r="K35" s="32"/>
      <c r="L35" s="32"/>
      <c r="M35" s="32"/>
      <c r="N35" s="34"/>
      <c r="O35" s="34"/>
      <c r="P35" s="34"/>
      <c r="Q35" s="34"/>
      <c r="R35" s="34"/>
      <c r="S35" s="34"/>
      <c r="T35" s="34"/>
      <c r="U35" s="32"/>
      <c r="V35" s="34"/>
      <c r="W35" s="132"/>
      <c r="X35" s="132"/>
    </row>
    <row r="36" spans="1:24" s="21" customFormat="1" x14ac:dyDescent="0.2">
      <c r="A36" s="24"/>
      <c r="B36" s="14"/>
      <c r="C36" s="131"/>
      <c r="D36" s="39"/>
      <c r="E36" s="39"/>
      <c r="F36" s="39"/>
      <c r="G36" s="20"/>
      <c r="H36" s="20"/>
      <c r="I36" s="32"/>
      <c r="J36" s="32"/>
      <c r="K36" s="32"/>
      <c r="L36" s="32"/>
      <c r="M36" s="32"/>
      <c r="N36" s="34"/>
      <c r="O36" s="34"/>
      <c r="P36" s="34"/>
      <c r="Q36" s="34"/>
      <c r="R36" s="34"/>
      <c r="S36" s="34"/>
      <c r="T36" s="34"/>
      <c r="U36" s="32"/>
      <c r="V36" s="34"/>
      <c r="W36" s="132"/>
      <c r="X36" s="132"/>
    </row>
    <row r="37" spans="1:24" s="21" customFormat="1" x14ac:dyDescent="0.2">
      <c r="A37" s="166"/>
      <c r="B37" s="39"/>
      <c r="C37" s="214"/>
      <c r="D37" s="214"/>
      <c r="E37" s="214"/>
      <c r="F37" s="214"/>
      <c r="G37" s="20"/>
      <c r="H37" s="20"/>
      <c r="I37" s="32"/>
      <c r="J37" s="32"/>
      <c r="K37" s="32"/>
      <c r="L37" s="32"/>
      <c r="M37" s="32"/>
      <c r="N37" s="34"/>
      <c r="O37" s="34"/>
      <c r="P37" s="34"/>
      <c r="Q37" s="34"/>
      <c r="R37" s="34"/>
      <c r="S37" s="34"/>
      <c r="T37" s="34"/>
      <c r="U37" s="32"/>
      <c r="V37" s="34"/>
      <c r="W37" s="132"/>
      <c r="X37" s="132"/>
    </row>
    <row r="38" spans="1:24" s="21" customFormat="1" x14ac:dyDescent="0.2">
      <c r="A38" s="166"/>
      <c r="B38" s="39"/>
      <c r="C38" s="135"/>
      <c r="D38" s="214"/>
      <c r="E38" s="214"/>
      <c r="F38" s="214"/>
      <c r="G38" s="20"/>
      <c r="H38" s="20"/>
      <c r="I38" s="32"/>
      <c r="J38" s="32"/>
      <c r="K38" s="32"/>
      <c r="L38" s="32"/>
      <c r="M38" s="32"/>
      <c r="N38" s="34"/>
      <c r="O38" s="34"/>
      <c r="P38" s="34"/>
      <c r="Q38" s="34"/>
      <c r="R38" s="34"/>
      <c r="S38" s="34"/>
      <c r="T38" s="34"/>
      <c r="U38" s="32"/>
      <c r="V38" s="34"/>
      <c r="W38" s="132"/>
      <c r="X38" s="132"/>
    </row>
    <row r="39" spans="1:24" s="21" customFormat="1" x14ac:dyDescent="0.2">
      <c r="A39" s="166"/>
      <c r="B39" s="39"/>
      <c r="C39" s="135"/>
      <c r="D39" s="214"/>
      <c r="E39" s="214"/>
      <c r="F39" s="214"/>
      <c r="G39" s="20"/>
      <c r="H39" s="20"/>
      <c r="I39" s="32"/>
      <c r="J39" s="32"/>
      <c r="K39" s="32"/>
      <c r="L39" s="32"/>
      <c r="M39" s="32"/>
      <c r="N39" s="34"/>
      <c r="O39" s="34"/>
      <c r="P39" s="34"/>
      <c r="Q39" s="34"/>
      <c r="R39" s="34"/>
      <c r="S39" s="34"/>
      <c r="T39" s="34"/>
      <c r="U39" s="32"/>
      <c r="V39" s="34"/>
      <c r="W39" s="132"/>
      <c r="X39" s="132"/>
    </row>
    <row r="40" spans="1:24" s="21" customFormat="1" ht="9" customHeight="1" x14ac:dyDescent="0.2">
      <c r="A40" s="166"/>
      <c r="B40" s="39"/>
      <c r="C40" s="131"/>
      <c r="D40" s="39"/>
      <c r="E40" s="39"/>
      <c r="F40" s="39"/>
      <c r="G40" s="20"/>
      <c r="H40" s="20"/>
      <c r="I40" s="32"/>
      <c r="J40" s="32"/>
      <c r="K40" s="32"/>
      <c r="L40" s="32"/>
      <c r="M40" s="32"/>
      <c r="N40" s="34"/>
      <c r="O40" s="34"/>
      <c r="P40" s="34"/>
      <c r="Q40" s="34"/>
      <c r="R40" s="34"/>
      <c r="S40" s="34"/>
      <c r="T40" s="34"/>
      <c r="U40" s="32"/>
      <c r="V40" s="34"/>
      <c r="W40" s="132"/>
      <c r="X40" s="132"/>
    </row>
    <row r="41" spans="1:24" s="21" customFormat="1" x14ac:dyDescent="0.2">
      <c r="A41" s="166"/>
      <c r="B41" s="39"/>
      <c r="C41" s="131"/>
      <c r="D41" s="39"/>
      <c r="E41" s="39"/>
      <c r="F41" s="39"/>
      <c r="G41" s="20"/>
      <c r="H41" s="20"/>
      <c r="I41" s="32"/>
      <c r="J41" s="32"/>
      <c r="K41" s="32"/>
      <c r="L41" s="32"/>
      <c r="M41" s="32"/>
      <c r="N41" s="34"/>
      <c r="O41" s="34"/>
      <c r="P41" s="34"/>
      <c r="Q41" s="34"/>
      <c r="R41" s="34"/>
      <c r="S41" s="34"/>
      <c r="T41" s="34"/>
      <c r="U41" s="32"/>
      <c r="V41" s="34"/>
      <c r="W41" s="132"/>
      <c r="X41" s="132"/>
    </row>
    <row r="42" spans="1:24" s="21" customFormat="1" x14ac:dyDescent="0.2">
      <c r="A42" s="166"/>
      <c r="B42" s="39"/>
      <c r="C42" s="140"/>
      <c r="D42" s="39"/>
      <c r="E42" s="39"/>
      <c r="F42" s="39"/>
      <c r="G42" s="20"/>
      <c r="H42" s="20"/>
      <c r="I42" s="32"/>
      <c r="J42" s="32"/>
      <c r="K42" s="32"/>
      <c r="L42" s="32"/>
      <c r="M42" s="32"/>
      <c r="N42" s="34"/>
      <c r="O42" s="34"/>
      <c r="P42" s="34"/>
      <c r="Q42" s="34"/>
      <c r="R42" s="34"/>
      <c r="S42" s="34"/>
      <c r="T42" s="34"/>
      <c r="U42" s="32"/>
      <c r="V42" s="34"/>
      <c r="W42" s="132"/>
      <c r="X42" s="132"/>
    </row>
    <row r="43" spans="1:24" s="21" customFormat="1" x14ac:dyDescent="0.2">
      <c r="A43" s="166"/>
      <c r="B43" s="39"/>
      <c r="C43" s="131"/>
      <c r="D43" s="39"/>
      <c r="E43" s="39"/>
      <c r="F43" s="39"/>
      <c r="G43" s="20"/>
      <c r="H43" s="20"/>
      <c r="I43" s="32"/>
      <c r="J43" s="32"/>
      <c r="K43" s="32"/>
      <c r="L43" s="32"/>
      <c r="M43" s="32"/>
      <c r="N43" s="34"/>
      <c r="O43" s="34"/>
      <c r="P43" s="34"/>
      <c r="Q43" s="34"/>
      <c r="R43" s="34"/>
      <c r="S43" s="34"/>
      <c r="T43" s="34"/>
      <c r="U43" s="32"/>
      <c r="V43" s="34"/>
      <c r="W43" s="132"/>
      <c r="X43" s="132"/>
    </row>
    <row r="44" spans="1:24" s="21" customFormat="1" x14ac:dyDescent="0.2">
      <c r="A44" s="166"/>
      <c r="B44" s="39"/>
      <c r="C44" s="135"/>
      <c r="D44" s="214"/>
      <c r="E44" s="214"/>
      <c r="F44" s="214"/>
      <c r="G44" s="20"/>
      <c r="H44" s="20"/>
      <c r="I44" s="32"/>
      <c r="J44" s="32"/>
      <c r="K44" s="32"/>
      <c r="L44" s="32"/>
      <c r="M44" s="32"/>
      <c r="N44" s="34"/>
      <c r="O44" s="34"/>
      <c r="P44" s="34"/>
      <c r="Q44" s="34"/>
      <c r="R44" s="34"/>
      <c r="S44" s="34"/>
      <c r="T44" s="34"/>
      <c r="U44" s="32"/>
      <c r="V44" s="34"/>
      <c r="W44" s="132"/>
      <c r="X44" s="132"/>
    </row>
    <row r="45" spans="1:24" s="21" customFormat="1" x14ac:dyDescent="0.2">
      <c r="A45" s="166"/>
      <c r="B45" s="39"/>
      <c r="C45" s="135"/>
      <c r="D45" s="214"/>
      <c r="E45" s="214"/>
      <c r="F45" s="214"/>
      <c r="G45" s="20"/>
      <c r="H45" s="20"/>
      <c r="I45" s="32"/>
      <c r="J45" s="32"/>
      <c r="K45" s="32"/>
      <c r="L45" s="32"/>
      <c r="M45" s="32"/>
      <c r="N45" s="34"/>
      <c r="O45" s="34"/>
      <c r="P45" s="34"/>
      <c r="Q45" s="34"/>
      <c r="R45" s="34"/>
      <c r="S45" s="34"/>
      <c r="T45" s="34"/>
      <c r="U45" s="32"/>
      <c r="V45" s="34"/>
      <c r="W45" s="132"/>
      <c r="X45" s="132"/>
    </row>
    <row r="46" spans="1:24" s="21" customFormat="1" x14ac:dyDescent="0.2">
      <c r="A46" s="24"/>
      <c r="B46" s="14"/>
      <c r="C46" s="131"/>
      <c r="D46" s="39"/>
      <c r="E46" s="39"/>
      <c r="F46" s="39"/>
      <c r="G46" s="20"/>
      <c r="H46" s="20"/>
      <c r="I46" s="32"/>
      <c r="J46" s="32"/>
      <c r="K46" s="32"/>
      <c r="L46" s="32"/>
      <c r="M46" s="32"/>
      <c r="N46" s="34"/>
      <c r="O46" s="34"/>
      <c r="P46" s="34"/>
      <c r="Q46" s="34"/>
      <c r="R46" s="34"/>
      <c r="S46" s="34"/>
      <c r="T46" s="34"/>
      <c r="U46" s="32"/>
      <c r="V46" s="34"/>
      <c r="W46" s="132"/>
      <c r="X46" s="132"/>
    </row>
    <row r="47" spans="1:24" s="21" customFormat="1" x14ac:dyDescent="0.2">
      <c r="A47" s="24"/>
      <c r="B47" s="39"/>
      <c r="C47" s="131"/>
      <c r="D47" s="39"/>
      <c r="E47" s="39"/>
      <c r="F47" s="39"/>
      <c r="G47" s="20"/>
      <c r="H47" s="20"/>
      <c r="I47" s="32"/>
      <c r="J47" s="32"/>
      <c r="K47" s="32"/>
      <c r="L47" s="32"/>
      <c r="M47" s="32"/>
      <c r="N47" s="34"/>
      <c r="O47" s="34"/>
      <c r="P47" s="34"/>
      <c r="Q47" s="34"/>
      <c r="R47" s="34"/>
      <c r="S47" s="34"/>
      <c r="T47" s="34"/>
      <c r="U47" s="32"/>
      <c r="V47" s="34"/>
      <c r="W47" s="132"/>
      <c r="X47" s="132"/>
    </row>
    <row r="48" spans="1:24" s="21" customFormat="1" x14ac:dyDescent="0.2">
      <c r="A48" s="24"/>
      <c r="B48" s="39"/>
      <c r="C48" s="131"/>
      <c r="D48" s="39"/>
      <c r="E48" s="39"/>
      <c r="F48" s="39"/>
      <c r="G48" s="20"/>
      <c r="H48" s="20"/>
      <c r="I48" s="32"/>
      <c r="J48" s="32"/>
      <c r="K48" s="32"/>
      <c r="L48" s="32"/>
      <c r="M48" s="32"/>
      <c r="N48" s="34"/>
      <c r="O48" s="34"/>
      <c r="P48" s="34"/>
      <c r="Q48" s="34"/>
      <c r="R48" s="34"/>
      <c r="S48" s="34"/>
      <c r="T48" s="34"/>
      <c r="U48" s="32"/>
      <c r="V48" s="34"/>
      <c r="W48" s="132"/>
      <c r="X48" s="132"/>
    </row>
    <row r="49" spans="1:24" s="21" customFormat="1" x14ac:dyDescent="0.2">
      <c r="A49" s="166"/>
      <c r="B49" s="14"/>
      <c r="C49" s="131"/>
      <c r="D49" s="39"/>
      <c r="E49" s="39"/>
      <c r="F49" s="39"/>
      <c r="G49" s="20"/>
      <c r="H49" s="20"/>
      <c r="I49" s="32"/>
      <c r="J49" s="32"/>
      <c r="K49" s="32"/>
      <c r="L49" s="32"/>
      <c r="M49" s="32"/>
      <c r="N49" s="34"/>
      <c r="O49" s="34"/>
      <c r="P49" s="34"/>
      <c r="Q49" s="34"/>
      <c r="R49" s="34"/>
      <c r="S49" s="34"/>
      <c r="T49" s="34"/>
      <c r="U49" s="32"/>
      <c r="V49" s="34"/>
      <c r="W49" s="132"/>
      <c r="X49" s="132"/>
    </row>
    <row r="50" spans="1:24" s="21" customFormat="1" x14ac:dyDescent="0.2">
      <c r="A50" s="166"/>
      <c r="B50" s="39"/>
      <c r="C50" s="39"/>
      <c r="D50" s="39"/>
      <c r="E50" s="39"/>
      <c r="F50" s="39"/>
      <c r="G50" s="20"/>
      <c r="H50" s="20"/>
      <c r="I50" s="32"/>
      <c r="J50" s="32"/>
      <c r="K50" s="32"/>
      <c r="L50" s="32"/>
      <c r="M50" s="32"/>
      <c r="N50" s="34"/>
      <c r="O50" s="34"/>
      <c r="P50" s="34"/>
      <c r="Q50" s="34"/>
      <c r="R50" s="34"/>
      <c r="S50" s="34"/>
      <c r="T50" s="34"/>
      <c r="U50" s="32"/>
      <c r="V50" s="34"/>
      <c r="W50" s="132"/>
      <c r="X50" s="132"/>
    </row>
    <row r="51" spans="1:24" s="21" customFormat="1" x14ac:dyDescent="0.2">
      <c r="A51" s="166"/>
      <c r="B51" s="14"/>
      <c r="C51" s="39"/>
      <c r="D51" s="39"/>
      <c r="E51" s="39"/>
      <c r="F51" s="39"/>
      <c r="G51" s="20"/>
      <c r="H51" s="20"/>
      <c r="I51" s="32"/>
      <c r="J51" s="32"/>
      <c r="K51" s="32"/>
      <c r="L51" s="32"/>
      <c r="M51" s="32"/>
      <c r="N51" s="34"/>
      <c r="O51" s="34"/>
      <c r="P51" s="34"/>
      <c r="Q51" s="34"/>
      <c r="R51" s="34"/>
      <c r="S51" s="34"/>
      <c r="T51" s="34"/>
      <c r="U51" s="32"/>
      <c r="V51" s="34"/>
      <c r="W51" s="132"/>
      <c r="X51" s="132"/>
    </row>
    <row r="52" spans="1:24" s="21" customFormat="1" x14ac:dyDescent="0.2">
      <c r="A52" s="24"/>
      <c r="B52" s="39"/>
      <c r="C52" s="39"/>
      <c r="D52" s="39"/>
      <c r="E52" s="39"/>
      <c r="F52" s="39"/>
      <c r="G52" s="20"/>
      <c r="H52" s="20"/>
      <c r="I52" s="32"/>
      <c r="J52" s="32"/>
      <c r="K52" s="32"/>
      <c r="L52" s="32"/>
      <c r="M52" s="32"/>
      <c r="N52" s="34"/>
      <c r="O52" s="34"/>
      <c r="P52" s="34"/>
      <c r="Q52" s="34"/>
      <c r="R52" s="34"/>
      <c r="S52" s="34"/>
      <c r="T52" s="34"/>
      <c r="U52" s="32"/>
      <c r="V52" s="34"/>
      <c r="W52" s="132"/>
      <c r="X52" s="132"/>
    </row>
    <row r="53" spans="1:24" s="21" customFormat="1" x14ac:dyDescent="0.2">
      <c r="A53" s="166"/>
      <c r="B53" s="39"/>
      <c r="C53" s="39"/>
      <c r="D53" s="39"/>
      <c r="E53" s="39"/>
      <c r="F53" s="39"/>
      <c r="G53" s="20"/>
      <c r="H53" s="20"/>
      <c r="I53" s="32"/>
      <c r="J53" s="32"/>
      <c r="K53" s="32"/>
      <c r="L53" s="32"/>
      <c r="M53" s="32"/>
      <c r="N53" s="34"/>
      <c r="O53" s="34"/>
      <c r="P53" s="34"/>
      <c r="Q53" s="34"/>
      <c r="R53" s="34"/>
      <c r="S53" s="34"/>
      <c r="T53" s="34"/>
      <c r="U53" s="32"/>
      <c r="V53" s="34"/>
      <c r="W53" s="132"/>
      <c r="X53" s="132"/>
    </row>
    <row r="54" spans="1:24" s="21" customFormat="1" x14ac:dyDescent="0.2">
      <c r="A54" s="166"/>
      <c r="B54" s="39"/>
      <c r="C54" s="39"/>
      <c r="D54" s="39"/>
      <c r="E54" s="39"/>
      <c r="F54" s="39"/>
      <c r="G54" s="20"/>
      <c r="H54" s="20"/>
      <c r="I54" s="32"/>
      <c r="J54" s="32"/>
      <c r="K54" s="32"/>
      <c r="L54" s="32"/>
      <c r="M54" s="32"/>
      <c r="N54" s="34"/>
      <c r="O54" s="34"/>
      <c r="P54" s="34"/>
      <c r="Q54" s="34"/>
      <c r="R54" s="34"/>
      <c r="S54" s="34"/>
      <c r="T54" s="34"/>
      <c r="U54" s="32"/>
      <c r="V54" s="34"/>
      <c r="W54" s="132"/>
      <c r="X54" s="132"/>
    </row>
    <row r="55" spans="1:24" s="21" customFormat="1" x14ac:dyDescent="0.2">
      <c r="A55" s="166"/>
      <c r="B55" s="39"/>
      <c r="C55" s="39"/>
      <c r="D55" s="39"/>
      <c r="E55" s="39"/>
      <c r="F55" s="39"/>
      <c r="G55" s="20"/>
      <c r="H55" s="20"/>
      <c r="I55" s="32"/>
      <c r="J55" s="32"/>
      <c r="K55" s="32"/>
      <c r="L55" s="32"/>
      <c r="M55" s="32"/>
      <c r="N55" s="34"/>
      <c r="O55" s="34"/>
      <c r="P55" s="34"/>
      <c r="Q55" s="34"/>
      <c r="R55" s="34"/>
      <c r="S55" s="34"/>
      <c r="T55" s="34"/>
      <c r="U55" s="32"/>
      <c r="V55" s="34"/>
      <c r="W55" s="132"/>
      <c r="X55" s="132"/>
    </row>
    <row r="56" spans="1:24" s="21" customFormat="1" x14ac:dyDescent="0.2">
      <c r="A56" s="166"/>
      <c r="B56" s="39"/>
      <c r="C56" s="39"/>
      <c r="D56" s="39"/>
      <c r="E56" s="39"/>
      <c r="F56" s="39"/>
      <c r="G56" s="20"/>
      <c r="H56" s="20"/>
      <c r="I56" s="32"/>
      <c r="J56" s="32"/>
      <c r="K56" s="32"/>
      <c r="L56" s="32"/>
      <c r="M56" s="32"/>
      <c r="N56" s="34"/>
      <c r="O56" s="34"/>
      <c r="P56" s="34"/>
      <c r="Q56" s="34"/>
      <c r="R56" s="34"/>
      <c r="S56" s="34"/>
      <c r="T56" s="34"/>
      <c r="U56" s="32"/>
      <c r="V56" s="34"/>
      <c r="W56" s="132"/>
      <c r="X56" s="132"/>
    </row>
    <row r="57" spans="1:24" s="21" customFormat="1" x14ac:dyDescent="0.2">
      <c r="A57" s="151"/>
      <c r="B57" s="212"/>
      <c r="C57" s="212"/>
      <c r="D57" s="212"/>
      <c r="E57" s="212"/>
      <c r="F57" s="212"/>
      <c r="G57" s="20"/>
      <c r="H57" s="20"/>
      <c r="I57" s="32"/>
      <c r="J57" s="32"/>
      <c r="K57" s="32"/>
      <c r="L57" s="32"/>
      <c r="M57" s="32"/>
      <c r="N57" s="34"/>
      <c r="O57" s="34"/>
      <c r="P57" s="34"/>
      <c r="Q57" s="34"/>
      <c r="R57" s="34"/>
      <c r="S57" s="34"/>
      <c r="T57" s="34"/>
      <c r="U57" s="32"/>
      <c r="V57" s="34"/>
      <c r="W57" s="132"/>
      <c r="X57" s="132"/>
    </row>
    <row r="58" spans="1:24" s="21" customFormat="1" x14ac:dyDescent="0.2">
      <c r="A58" s="151"/>
      <c r="B58" s="212"/>
      <c r="C58" s="212"/>
      <c r="D58" s="212"/>
      <c r="E58" s="212"/>
      <c r="F58" s="212"/>
      <c r="G58" s="20"/>
      <c r="H58" s="20"/>
      <c r="I58" s="32"/>
      <c r="J58" s="32"/>
      <c r="K58" s="32"/>
      <c r="L58" s="32"/>
      <c r="M58" s="32"/>
      <c r="N58" s="34"/>
      <c r="O58" s="34"/>
      <c r="P58" s="34"/>
      <c r="Q58" s="34"/>
      <c r="R58" s="34"/>
      <c r="S58" s="34"/>
      <c r="T58" s="34"/>
      <c r="U58" s="32"/>
      <c r="V58" s="34"/>
      <c r="W58" s="132"/>
      <c r="X58" s="132"/>
    </row>
    <row r="59" spans="1:24" s="21" customFormat="1" x14ac:dyDescent="0.2">
      <c r="A59" s="151"/>
      <c r="B59" s="212"/>
      <c r="C59" s="212"/>
      <c r="D59" s="144"/>
      <c r="E59" s="144"/>
      <c r="F59" s="144"/>
      <c r="G59" s="20"/>
      <c r="H59" s="20"/>
      <c r="I59" s="32"/>
      <c r="J59" s="32"/>
      <c r="K59" s="32"/>
      <c r="L59" s="32"/>
      <c r="M59" s="32"/>
      <c r="N59" s="34"/>
      <c r="O59" s="34"/>
      <c r="P59" s="34"/>
      <c r="Q59" s="34"/>
      <c r="R59" s="34"/>
      <c r="S59" s="34"/>
      <c r="T59" s="34"/>
      <c r="U59" s="32"/>
      <c r="V59" s="34"/>
      <c r="W59" s="132"/>
      <c r="X59" s="132"/>
    </row>
    <row r="60" spans="1:24" s="21" customFormat="1" x14ac:dyDescent="0.2">
      <c r="A60" s="151"/>
      <c r="B60" s="39"/>
      <c r="C60" s="39"/>
      <c r="D60" s="39"/>
      <c r="E60" s="39"/>
      <c r="F60" s="39"/>
      <c r="G60" s="20"/>
      <c r="H60" s="20"/>
      <c r="I60" s="32"/>
      <c r="J60" s="32"/>
      <c r="K60" s="32"/>
      <c r="L60" s="32"/>
      <c r="M60" s="32"/>
      <c r="N60" s="34"/>
      <c r="O60" s="34"/>
      <c r="P60" s="34"/>
      <c r="Q60" s="34"/>
      <c r="R60" s="34"/>
      <c r="S60" s="34"/>
      <c r="T60" s="34"/>
      <c r="U60" s="32"/>
      <c r="V60" s="34"/>
      <c r="W60" s="132"/>
      <c r="X60" s="132"/>
    </row>
    <row r="61" spans="1:24" s="21" customFormat="1" x14ac:dyDescent="0.2">
      <c r="A61" s="166"/>
      <c r="B61" s="39"/>
      <c r="C61" s="39"/>
      <c r="D61" s="39"/>
      <c r="E61" s="39"/>
      <c r="F61" s="39"/>
      <c r="G61" s="20"/>
      <c r="H61" s="20"/>
      <c r="I61" s="32"/>
      <c r="J61" s="32"/>
      <c r="K61" s="32"/>
      <c r="L61" s="32"/>
      <c r="M61" s="32"/>
      <c r="N61" s="34"/>
      <c r="O61" s="34"/>
      <c r="P61" s="34"/>
      <c r="Q61" s="34"/>
      <c r="R61" s="34"/>
      <c r="S61" s="34"/>
      <c r="T61" s="34"/>
      <c r="U61" s="32"/>
      <c r="V61" s="34"/>
      <c r="W61" s="132"/>
      <c r="X61" s="132"/>
    </row>
    <row r="62" spans="1:24" s="21" customFormat="1" x14ac:dyDescent="0.2">
      <c r="A62" s="166"/>
      <c r="B62" s="39"/>
      <c r="C62" s="39"/>
      <c r="D62" s="39"/>
      <c r="E62" s="39"/>
      <c r="F62" s="39"/>
      <c r="G62" s="20"/>
      <c r="H62" s="20"/>
      <c r="I62" s="32"/>
      <c r="J62" s="32"/>
      <c r="K62" s="32"/>
      <c r="L62" s="32"/>
      <c r="M62" s="32"/>
      <c r="N62" s="34"/>
      <c r="O62" s="34"/>
      <c r="P62" s="34"/>
      <c r="Q62" s="34"/>
      <c r="R62" s="34"/>
      <c r="S62" s="34"/>
      <c r="T62" s="34"/>
      <c r="U62" s="32"/>
      <c r="V62" s="34"/>
      <c r="W62" s="132"/>
      <c r="X62" s="132"/>
    </row>
    <row r="63" spans="1:24" s="21" customFormat="1" x14ac:dyDescent="0.2">
      <c r="A63" s="166"/>
      <c r="B63" s="39"/>
      <c r="C63" s="39"/>
      <c r="D63" s="39"/>
      <c r="E63" s="39"/>
      <c r="F63" s="39"/>
      <c r="G63" s="20"/>
      <c r="H63" s="20"/>
      <c r="I63" s="32"/>
      <c r="J63" s="32"/>
      <c r="K63" s="32"/>
      <c r="L63" s="32"/>
      <c r="M63" s="32"/>
      <c r="N63" s="34"/>
      <c r="O63" s="34"/>
      <c r="P63" s="34"/>
      <c r="Q63" s="34"/>
      <c r="R63" s="34"/>
      <c r="S63" s="34"/>
      <c r="T63" s="34"/>
      <c r="U63" s="32"/>
      <c r="V63" s="34"/>
      <c r="W63" s="132"/>
      <c r="X63" s="132"/>
    </row>
    <row r="64" spans="1:24" s="21" customFormat="1" x14ac:dyDescent="0.2">
      <c r="A64" s="166"/>
      <c r="B64" s="39"/>
      <c r="C64" s="150"/>
      <c r="D64" s="39"/>
      <c r="E64" s="39"/>
      <c r="F64" s="39"/>
      <c r="G64" s="20"/>
      <c r="H64" s="20"/>
      <c r="I64" s="32"/>
      <c r="J64" s="32"/>
      <c r="K64" s="32"/>
      <c r="L64" s="32"/>
      <c r="M64" s="32"/>
      <c r="N64" s="34"/>
      <c r="O64" s="34"/>
      <c r="P64" s="34"/>
      <c r="Q64" s="34"/>
      <c r="R64" s="34"/>
      <c r="S64" s="34"/>
      <c r="T64" s="34"/>
      <c r="U64" s="32"/>
      <c r="V64" s="34"/>
      <c r="W64" s="132"/>
      <c r="X64" s="132"/>
    </row>
    <row r="65" spans="1:24" s="21" customFormat="1" x14ac:dyDescent="0.2">
      <c r="A65" s="166"/>
      <c r="B65" s="39"/>
      <c r="C65" s="150"/>
      <c r="D65" s="39"/>
      <c r="E65" s="39"/>
      <c r="F65" s="39"/>
      <c r="G65" s="20"/>
      <c r="H65" s="20"/>
      <c r="I65" s="32"/>
      <c r="J65" s="32"/>
      <c r="K65" s="32"/>
      <c r="L65" s="32"/>
      <c r="M65" s="32"/>
      <c r="N65" s="34"/>
      <c r="O65" s="34"/>
      <c r="P65" s="34"/>
      <c r="Q65" s="34"/>
      <c r="R65" s="34"/>
      <c r="S65" s="34"/>
      <c r="T65" s="34"/>
      <c r="U65" s="32"/>
      <c r="V65" s="34"/>
      <c r="W65" s="132"/>
      <c r="X65" s="132"/>
    </row>
    <row r="66" spans="1:24" s="21" customFormat="1" x14ac:dyDescent="0.2">
      <c r="A66" s="151"/>
      <c r="B66" s="39"/>
      <c r="C66" s="39"/>
      <c r="D66" s="39"/>
      <c r="E66" s="39"/>
      <c r="F66" s="39"/>
      <c r="G66" s="20"/>
      <c r="H66" s="20"/>
      <c r="I66" s="32"/>
      <c r="J66" s="32"/>
      <c r="K66" s="32"/>
      <c r="L66" s="32"/>
      <c r="M66" s="32"/>
      <c r="N66" s="34"/>
      <c r="O66" s="34"/>
      <c r="P66" s="34"/>
      <c r="Q66" s="34"/>
      <c r="R66" s="34"/>
      <c r="S66" s="34"/>
      <c r="T66" s="34"/>
      <c r="U66" s="32"/>
      <c r="V66" s="34"/>
      <c r="W66" s="132"/>
      <c r="X66" s="132"/>
    </row>
    <row r="67" spans="1:24" s="21" customFormat="1" x14ac:dyDescent="0.2">
      <c r="A67" s="166"/>
      <c r="B67" s="39"/>
      <c r="C67" s="39"/>
      <c r="D67" s="39"/>
      <c r="E67" s="39"/>
      <c r="F67" s="39"/>
      <c r="G67" s="20"/>
      <c r="H67" s="20"/>
      <c r="I67" s="32"/>
      <c r="J67" s="32"/>
      <c r="K67" s="32"/>
      <c r="L67" s="32"/>
      <c r="M67" s="32"/>
      <c r="N67" s="34"/>
      <c r="O67" s="34"/>
      <c r="P67" s="34"/>
      <c r="Q67" s="34"/>
      <c r="R67" s="34"/>
      <c r="S67" s="34"/>
      <c r="T67" s="34"/>
      <c r="U67" s="32"/>
      <c r="V67" s="34"/>
      <c r="W67" s="132"/>
      <c r="X67" s="132"/>
    </row>
    <row r="68" spans="1:24" s="21" customFormat="1" x14ac:dyDescent="0.2">
      <c r="A68" s="166"/>
      <c r="B68" s="39"/>
      <c r="C68" s="39"/>
      <c r="D68" s="39"/>
      <c r="E68" s="39"/>
      <c r="F68" s="39"/>
      <c r="G68" s="20"/>
      <c r="H68" s="20"/>
      <c r="I68" s="32"/>
      <c r="J68" s="32"/>
      <c r="K68" s="32"/>
      <c r="L68" s="32"/>
      <c r="M68" s="32"/>
      <c r="N68" s="34"/>
      <c r="O68" s="34"/>
      <c r="P68" s="34"/>
      <c r="Q68" s="34"/>
      <c r="R68" s="34"/>
      <c r="S68" s="34"/>
      <c r="T68" s="34"/>
      <c r="U68" s="32"/>
      <c r="V68" s="34"/>
      <c r="W68" s="132"/>
      <c r="X68" s="132"/>
    </row>
    <row r="69" spans="1:24" s="21" customFormat="1" x14ac:dyDescent="0.2">
      <c r="A69" s="151"/>
      <c r="B69" s="39"/>
      <c r="C69" s="39"/>
      <c r="D69" s="39"/>
      <c r="E69" s="39"/>
      <c r="F69" s="39"/>
      <c r="G69" s="20"/>
      <c r="H69" s="20"/>
      <c r="I69" s="32"/>
      <c r="J69" s="32"/>
      <c r="K69" s="32"/>
      <c r="L69" s="32"/>
      <c r="M69" s="32"/>
      <c r="N69" s="34"/>
      <c r="O69" s="34"/>
      <c r="P69" s="34"/>
      <c r="Q69" s="34"/>
      <c r="R69" s="34"/>
      <c r="S69" s="34"/>
      <c r="T69" s="34"/>
      <c r="U69" s="32"/>
      <c r="V69" s="34"/>
      <c r="W69" s="132"/>
      <c r="X69" s="132"/>
    </row>
    <row r="70" spans="1:24" s="21" customFormat="1" x14ac:dyDescent="0.2">
      <c r="A70" s="151"/>
      <c r="B70" s="39"/>
      <c r="C70" s="39"/>
      <c r="D70" s="39"/>
      <c r="E70" s="39"/>
      <c r="F70" s="39"/>
      <c r="G70" s="20" t="s">
        <v>261</v>
      </c>
      <c r="H70" s="20"/>
      <c r="I70" s="32"/>
      <c r="J70" s="32"/>
      <c r="K70" s="32"/>
      <c r="L70" s="32"/>
      <c r="M70" s="32"/>
      <c r="N70" s="34"/>
      <c r="O70" s="34"/>
      <c r="P70" s="34"/>
      <c r="Q70" s="34"/>
      <c r="R70" s="34"/>
      <c r="S70" s="34"/>
      <c r="T70" s="34"/>
      <c r="U70" s="32"/>
      <c r="V70" s="34"/>
      <c r="W70" s="132"/>
      <c r="X70" s="132"/>
    </row>
    <row r="71" spans="1:24" s="21" customFormat="1" x14ac:dyDescent="0.2">
      <c r="A71" s="151"/>
      <c r="B71" s="39"/>
      <c r="C71" s="39"/>
      <c r="D71" s="39"/>
      <c r="E71" s="39"/>
      <c r="F71" s="39"/>
      <c r="G71" s="20"/>
      <c r="H71" s="20"/>
      <c r="I71" s="32"/>
      <c r="J71" s="32"/>
      <c r="K71" s="32"/>
      <c r="L71" s="32"/>
      <c r="M71" s="32"/>
      <c r="N71" s="34"/>
      <c r="O71" s="34"/>
      <c r="P71" s="34"/>
      <c r="Q71" s="34"/>
      <c r="R71" s="34"/>
      <c r="S71" s="34"/>
      <c r="T71" s="34"/>
      <c r="U71" s="32"/>
      <c r="V71" s="34"/>
      <c r="W71" s="132"/>
      <c r="X71" s="132"/>
    </row>
    <row r="72" spans="1:24" s="21" customFormat="1" x14ac:dyDescent="0.2">
      <c r="A72" s="218"/>
      <c r="B72" s="153"/>
      <c r="C72" s="154"/>
      <c r="D72" s="150"/>
      <c r="E72" s="39"/>
      <c r="F72" s="39"/>
      <c r="G72" s="20"/>
      <c r="H72" s="20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132"/>
      <c r="X72" s="132"/>
    </row>
    <row r="73" spans="1:24" s="21" customFormat="1" x14ac:dyDescent="0.2">
      <c r="A73" s="7"/>
      <c r="B73" s="153"/>
      <c r="C73" s="154"/>
      <c r="D73" s="150"/>
      <c r="E73" s="39"/>
      <c r="F73" s="39"/>
      <c r="G73" s="22"/>
      <c r="H73" s="22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132"/>
      <c r="X73" s="132"/>
    </row>
    <row r="74" spans="1:24" s="21" customFormat="1" x14ac:dyDescent="0.2">
      <c r="A74" s="7"/>
      <c r="B74" s="155"/>
      <c r="C74" s="155"/>
      <c r="D74" s="155"/>
      <c r="E74" s="155"/>
      <c r="F74" s="155"/>
      <c r="G74" s="20"/>
      <c r="H74" s="20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132"/>
      <c r="X74" s="132"/>
    </row>
    <row r="75" spans="1:24" s="21" customFormat="1" x14ac:dyDescent="0.2">
      <c r="A75" s="7"/>
      <c r="B75" s="3"/>
      <c r="C75" s="4"/>
      <c r="D75" s="5"/>
      <c r="E75" s="155"/>
      <c r="F75" s="155"/>
      <c r="G75" s="20"/>
      <c r="H75" s="20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132"/>
      <c r="X75" s="132"/>
    </row>
    <row r="76" spans="1:24" s="21" customFormat="1" x14ac:dyDescent="0.2">
      <c r="A76" s="7"/>
      <c r="B76" s="3"/>
      <c r="C76" s="154"/>
      <c r="D76" s="157"/>
      <c r="E76" s="155"/>
      <c r="F76" s="155"/>
      <c r="G76" s="20"/>
      <c r="H76" s="20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132"/>
      <c r="X76" s="132"/>
    </row>
    <row r="77" spans="1:24" s="21" customFormat="1" x14ac:dyDescent="0.2">
      <c r="A77" s="7"/>
      <c r="B77" s="155"/>
      <c r="C77" s="154"/>
      <c r="D77" s="157"/>
      <c r="E77" s="157"/>
      <c r="F77" s="155"/>
      <c r="G77" s="20"/>
      <c r="H77" s="20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132"/>
      <c r="X77" s="132"/>
    </row>
    <row r="78" spans="1:24" s="21" customFormat="1" x14ac:dyDescent="0.2">
      <c r="A78" s="7"/>
      <c r="B78" s="155"/>
      <c r="C78" s="39"/>
      <c r="D78" s="154"/>
      <c r="E78" s="154"/>
      <c r="F78" s="155"/>
      <c r="G78" s="20"/>
      <c r="H78" s="20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132"/>
      <c r="X78" s="132"/>
    </row>
    <row r="79" spans="1:24" s="21" customFormat="1" x14ac:dyDescent="0.2">
      <c r="A79" s="7"/>
      <c r="B79" s="155"/>
      <c r="C79" s="154"/>
      <c r="D79" s="39"/>
      <c r="E79" s="154"/>
      <c r="F79" s="155"/>
      <c r="G79" s="20"/>
      <c r="H79" s="20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132"/>
      <c r="X79" s="132"/>
    </row>
    <row r="80" spans="1:24" s="21" customFormat="1" x14ac:dyDescent="0.2">
      <c r="A80" s="7"/>
      <c r="B80" s="155"/>
      <c r="C80" s="39"/>
      <c r="D80" s="158"/>
      <c r="E80" s="154"/>
      <c r="F80" s="155"/>
      <c r="G80" s="20"/>
      <c r="H80" s="20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132"/>
      <c r="X80" s="132"/>
    </row>
    <row r="81" spans="1:24" s="21" customFormat="1" x14ac:dyDescent="0.2">
      <c r="A81" s="7"/>
      <c r="B81" s="155"/>
      <c r="C81" s="39"/>
      <c r="D81" s="158"/>
      <c r="E81" s="154"/>
      <c r="F81" s="155"/>
      <c r="G81" s="20"/>
      <c r="H81" s="20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132"/>
      <c r="X81" s="132"/>
    </row>
    <row r="82" spans="1:24" s="21" customFormat="1" x14ac:dyDescent="0.2">
      <c r="A82" s="7"/>
      <c r="B82" s="155"/>
      <c r="C82" s="154"/>
      <c r="D82" s="39"/>
      <c r="E82" s="154"/>
      <c r="F82" s="155"/>
      <c r="G82" s="20"/>
      <c r="H82" s="20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132"/>
      <c r="X82" s="132"/>
    </row>
    <row r="83" spans="1:24" s="21" customFormat="1" x14ac:dyDescent="0.2">
      <c r="A83" s="7"/>
      <c r="B83" s="155"/>
      <c r="C83" s="154"/>
      <c r="D83" s="154"/>
      <c r="E83" s="154"/>
      <c r="F83" s="154"/>
      <c r="G83" s="20"/>
      <c r="H83" s="20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132"/>
      <c r="X83" s="132"/>
    </row>
    <row r="84" spans="1:24" s="21" customFormat="1" x14ac:dyDescent="0.2">
      <c r="A84" s="7"/>
      <c r="B84" s="155"/>
      <c r="C84" s="39"/>
      <c r="D84" s="160"/>
      <c r="E84" s="161"/>
      <c r="F84" s="161"/>
      <c r="G84" s="20"/>
      <c r="H84" s="20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132"/>
      <c r="X84" s="132"/>
    </row>
    <row r="85" spans="1:24" s="21" customFormat="1" x14ac:dyDescent="0.2">
      <c r="A85" s="7"/>
      <c r="B85" s="155"/>
      <c r="C85" s="154"/>
      <c r="D85" s="158"/>
      <c r="E85" s="154"/>
      <c r="F85" s="154"/>
      <c r="G85" s="20"/>
      <c r="H85" s="20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132"/>
      <c r="X85" s="132"/>
    </row>
    <row r="86" spans="1:24" s="21" customFormat="1" x14ac:dyDescent="0.2">
      <c r="A86" s="7"/>
      <c r="B86" s="155"/>
      <c r="C86" s="154"/>
      <c r="D86" s="158"/>
      <c r="E86" s="154"/>
      <c r="F86" s="154"/>
      <c r="G86" s="20"/>
      <c r="H86" s="20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132"/>
      <c r="X86" s="132"/>
    </row>
    <row r="87" spans="1:24" s="21" customFormat="1" x14ac:dyDescent="0.2">
      <c r="A87" s="7"/>
      <c r="B87" s="3"/>
      <c r="C87" s="4"/>
      <c r="D87" s="157"/>
      <c r="E87" s="154"/>
      <c r="F87" s="154"/>
      <c r="G87" s="20"/>
      <c r="H87" s="20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132"/>
      <c r="X87" s="132"/>
    </row>
    <row r="88" spans="1:24" s="21" customFormat="1" x14ac:dyDescent="0.2">
      <c r="A88" s="7"/>
      <c r="B88" s="155"/>
      <c r="C88" s="154"/>
      <c r="D88" s="154"/>
      <c r="E88" s="154"/>
      <c r="F88" s="154"/>
      <c r="G88" s="20"/>
      <c r="H88" s="20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132"/>
      <c r="X88" s="132"/>
    </row>
    <row r="89" spans="1:24" s="21" customFormat="1" x14ac:dyDescent="0.2">
      <c r="A89" s="7"/>
      <c r="B89" s="155"/>
      <c r="C89" s="154"/>
      <c r="D89" s="163"/>
      <c r="E89" s="154"/>
      <c r="F89" s="154"/>
      <c r="G89" s="20"/>
      <c r="H89" s="20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132"/>
      <c r="X89" s="132"/>
    </row>
    <row r="90" spans="1:24" s="21" customFormat="1" x14ac:dyDescent="0.2">
      <c r="A90" s="7"/>
      <c r="B90" s="155"/>
      <c r="C90" s="154"/>
      <c r="D90" s="164"/>
      <c r="E90" s="154"/>
      <c r="F90" s="154"/>
      <c r="G90" s="20"/>
      <c r="H90" s="20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132"/>
      <c r="X90" s="132"/>
    </row>
    <row r="91" spans="1:24" s="21" customFormat="1" x14ac:dyDescent="0.2">
      <c r="A91" s="7"/>
      <c r="B91" s="155"/>
      <c r="C91" s="154"/>
      <c r="D91" s="164"/>
      <c r="E91" s="154"/>
      <c r="F91" s="154"/>
      <c r="G91" s="20"/>
      <c r="H91" s="20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132"/>
      <c r="X91" s="132"/>
    </row>
    <row r="92" spans="1:24" s="21" customFormat="1" x14ac:dyDescent="0.2">
      <c r="A92" s="7"/>
      <c r="B92" s="155"/>
      <c r="C92" s="154"/>
      <c r="D92" s="163"/>
      <c r="E92" s="154"/>
      <c r="F92" s="154"/>
      <c r="G92" s="20"/>
      <c r="H92" s="20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132"/>
      <c r="X92" s="132"/>
    </row>
    <row r="93" spans="1:24" s="21" customFormat="1" x14ac:dyDescent="0.2">
      <c r="A93" s="7"/>
      <c r="B93" s="155"/>
      <c r="C93" s="154"/>
      <c r="D93" s="164"/>
      <c r="E93" s="154"/>
      <c r="F93" s="154"/>
      <c r="G93" s="20"/>
      <c r="H93" s="20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132"/>
      <c r="X93" s="132"/>
    </row>
    <row r="94" spans="1:24" s="21" customFormat="1" x14ac:dyDescent="0.2">
      <c r="A94" s="7"/>
      <c r="B94" s="155"/>
      <c r="C94" s="154"/>
      <c r="D94" s="164"/>
      <c r="E94" s="154"/>
      <c r="F94" s="154"/>
      <c r="G94" s="20"/>
      <c r="H94" s="20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132"/>
      <c r="X94" s="132"/>
    </row>
    <row r="95" spans="1:24" s="21" customFormat="1" x14ac:dyDescent="0.2">
      <c r="A95" s="7"/>
      <c r="B95" s="155"/>
      <c r="C95" s="154"/>
      <c r="D95" s="154"/>
      <c r="E95" s="154"/>
      <c r="F95" s="154"/>
      <c r="G95" s="20"/>
      <c r="H95" s="20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132"/>
      <c r="X95" s="132"/>
    </row>
    <row r="96" spans="1:24" s="21" customFormat="1" x14ac:dyDescent="0.2">
      <c r="A96" s="7"/>
      <c r="B96" s="155"/>
      <c r="C96" s="39"/>
      <c r="D96" s="158"/>
      <c r="E96" s="154"/>
      <c r="F96" s="154"/>
      <c r="G96" s="20"/>
      <c r="H96" s="20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132"/>
      <c r="X96" s="132"/>
    </row>
    <row r="97" spans="1:24" s="21" customFormat="1" x14ac:dyDescent="0.2">
      <c r="A97" s="7"/>
      <c r="B97" s="155"/>
      <c r="C97" s="39"/>
      <c r="D97" s="158"/>
      <c r="E97" s="154"/>
      <c r="F97" s="154"/>
      <c r="G97" s="20"/>
      <c r="H97" s="20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132"/>
      <c r="X97" s="132"/>
    </row>
    <row r="98" spans="1:24" s="21" customFormat="1" x14ac:dyDescent="0.2">
      <c r="A98" s="7"/>
      <c r="B98" s="155"/>
      <c r="C98" s="154"/>
      <c r="D98" s="154"/>
      <c r="E98" s="154"/>
      <c r="F98" s="154"/>
      <c r="G98" s="20"/>
      <c r="H98" s="20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132"/>
      <c r="X98" s="132"/>
    </row>
    <row r="99" spans="1:24" s="21" customFormat="1" x14ac:dyDescent="0.2">
      <c r="A99" s="7"/>
      <c r="B99" s="155"/>
      <c r="C99" s="39"/>
      <c r="D99" s="160"/>
      <c r="E99" s="161"/>
      <c r="F99" s="161"/>
      <c r="G99" s="20"/>
      <c r="H99" s="20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132"/>
      <c r="X99" s="132"/>
    </row>
    <row r="100" spans="1:24" s="21" customFormat="1" x14ac:dyDescent="0.2">
      <c r="A100" s="7"/>
      <c r="B100" s="155"/>
      <c r="C100" s="154"/>
      <c r="D100" s="158"/>
      <c r="E100" s="154"/>
      <c r="F100" s="154"/>
      <c r="G100" s="20"/>
      <c r="H100" s="20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132"/>
      <c r="X100" s="132"/>
    </row>
    <row r="101" spans="1:24" s="21" customFormat="1" x14ac:dyDescent="0.2">
      <c r="A101" s="7"/>
      <c r="B101" s="155"/>
      <c r="C101" s="154"/>
      <c r="D101" s="164"/>
      <c r="E101" s="154"/>
      <c r="F101" s="154"/>
      <c r="G101" s="20"/>
      <c r="H101" s="20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132"/>
      <c r="X101" s="132"/>
    </row>
    <row r="102" spans="1:24" s="21" customFormat="1" x14ac:dyDescent="0.2">
      <c r="A102" s="7"/>
      <c r="B102" s="155"/>
      <c r="C102" s="154"/>
      <c r="D102" s="164"/>
      <c r="E102" s="154"/>
      <c r="F102" s="154"/>
      <c r="G102" s="20"/>
      <c r="H102" s="20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132"/>
      <c r="X102" s="132"/>
    </row>
    <row r="103" spans="1:24" s="21" customFormat="1" x14ac:dyDescent="0.2">
      <c r="A103" s="7"/>
      <c r="B103" s="155"/>
      <c r="C103" s="154"/>
      <c r="D103" s="158"/>
      <c r="E103" s="154"/>
      <c r="F103" s="154"/>
      <c r="G103" s="20"/>
      <c r="H103" s="20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132"/>
      <c r="X103" s="132"/>
    </row>
    <row r="104" spans="1:24" s="21" customFormat="1" x14ac:dyDescent="0.2">
      <c r="A104" s="7"/>
      <c r="B104" s="155"/>
      <c r="C104" s="154"/>
      <c r="D104" s="164"/>
      <c r="E104" s="154"/>
      <c r="F104" s="154"/>
      <c r="G104" s="20"/>
      <c r="H104" s="20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132"/>
      <c r="X104" s="132"/>
    </row>
    <row r="105" spans="1:24" s="21" customFormat="1" x14ac:dyDescent="0.2">
      <c r="A105" s="7"/>
      <c r="B105" s="155"/>
      <c r="C105" s="154"/>
      <c r="D105" s="164"/>
      <c r="E105" s="154"/>
      <c r="F105" s="154"/>
      <c r="G105" s="20"/>
      <c r="H105" s="20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132"/>
      <c r="X105" s="132"/>
    </row>
    <row r="106" spans="1:24" s="21" customFormat="1" x14ac:dyDescent="0.2">
      <c r="A106" s="7"/>
      <c r="B106" s="3"/>
      <c r="C106" s="4"/>
      <c r="D106" s="157"/>
      <c r="E106" s="154"/>
      <c r="F106" s="154"/>
      <c r="G106" s="20"/>
      <c r="H106" s="20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132"/>
      <c r="X106" s="132"/>
    </row>
    <row r="107" spans="1:24" s="21" customFormat="1" x14ac:dyDescent="0.2">
      <c r="A107" s="7"/>
      <c r="B107" s="155"/>
      <c r="C107" s="154"/>
      <c r="D107" s="157"/>
      <c r="E107" s="154"/>
      <c r="F107" s="154"/>
      <c r="G107" s="20"/>
      <c r="H107" s="20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132"/>
      <c r="X107" s="132"/>
    </row>
    <row r="108" spans="1:24" s="21" customFormat="1" x14ac:dyDescent="0.2">
      <c r="A108" s="7"/>
      <c r="B108" s="155"/>
      <c r="C108" s="154"/>
      <c r="D108" s="157"/>
      <c r="E108" s="154"/>
      <c r="F108" s="154"/>
      <c r="G108" s="20"/>
      <c r="H108" s="20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132"/>
      <c r="X108" s="132"/>
    </row>
    <row r="109" spans="1:24" s="21" customFormat="1" x14ac:dyDescent="0.2">
      <c r="A109" s="7"/>
      <c r="B109" s="155"/>
      <c r="C109" s="154"/>
      <c r="D109" s="157"/>
      <c r="E109" s="154"/>
      <c r="F109" s="154"/>
      <c r="G109" s="20"/>
      <c r="H109" s="20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132"/>
      <c r="X109" s="132"/>
    </row>
    <row r="110" spans="1:24" s="21" customFormat="1" x14ac:dyDescent="0.2">
      <c r="A110" s="7"/>
      <c r="B110" s="155"/>
      <c r="C110" s="39"/>
      <c r="D110" s="160"/>
      <c r="E110" s="161"/>
      <c r="F110" s="161"/>
      <c r="G110" s="20"/>
      <c r="H110" s="20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132"/>
      <c r="X110" s="132"/>
    </row>
    <row r="111" spans="1:24" s="21" customFormat="1" x14ac:dyDescent="0.2">
      <c r="A111" s="7"/>
      <c r="B111" s="155"/>
      <c r="C111" s="154"/>
      <c r="D111" s="158"/>
      <c r="E111" s="154"/>
      <c r="F111" s="126"/>
      <c r="G111" s="20"/>
      <c r="H111" s="20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132"/>
      <c r="X111" s="132"/>
    </row>
    <row r="112" spans="1:24" s="21" customFormat="1" x14ac:dyDescent="0.2">
      <c r="A112" s="7"/>
      <c r="B112" s="155"/>
      <c r="C112" s="154"/>
      <c r="D112" s="158"/>
      <c r="E112" s="154"/>
      <c r="F112" s="126"/>
      <c r="G112" s="20"/>
      <c r="H112" s="20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132"/>
      <c r="X112" s="132"/>
    </row>
    <row r="113" spans="1:24" s="21" customFormat="1" x14ac:dyDescent="0.2">
      <c r="A113" s="7"/>
      <c r="B113" s="6"/>
      <c r="C113" s="7"/>
      <c r="D113" s="154"/>
      <c r="E113" s="154"/>
      <c r="F113" s="154"/>
      <c r="G113" s="20"/>
      <c r="H113" s="20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132"/>
      <c r="X113" s="132"/>
    </row>
    <row r="114" spans="1:24" s="21" customFormat="1" x14ac:dyDescent="0.2">
      <c r="A114" s="7"/>
      <c r="B114" s="153"/>
      <c r="C114" s="154"/>
      <c r="D114" s="154"/>
      <c r="E114" s="154"/>
      <c r="F114" s="154"/>
      <c r="G114" s="20"/>
      <c r="H114" s="20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132"/>
      <c r="X114" s="132"/>
    </row>
    <row r="115" spans="1:24" s="21" customFormat="1" x14ac:dyDescent="0.2">
      <c r="A115" s="7"/>
      <c r="B115" s="153"/>
      <c r="C115" s="154"/>
      <c r="D115" s="158"/>
      <c r="E115" s="154"/>
      <c r="F115" s="154"/>
      <c r="G115" s="20"/>
      <c r="H115" s="20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132"/>
      <c r="X115" s="132"/>
    </row>
    <row r="116" spans="1:24" s="21" customFormat="1" x14ac:dyDescent="0.2">
      <c r="A116" s="7"/>
      <c r="B116" s="153"/>
      <c r="C116" s="154"/>
      <c r="D116" s="158"/>
      <c r="E116" s="154"/>
      <c r="F116" s="154"/>
      <c r="G116" s="20"/>
      <c r="H116" s="20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132"/>
      <c r="X116" s="132"/>
    </row>
    <row r="117" spans="1:24" s="21" customFormat="1" x14ac:dyDescent="0.2">
      <c r="A117" s="7"/>
      <c r="B117" s="153"/>
      <c r="C117" s="154"/>
      <c r="D117" s="150"/>
      <c r="E117" s="39"/>
      <c r="F117" s="39"/>
      <c r="G117" s="20"/>
      <c r="H117" s="20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132"/>
      <c r="X117" s="132"/>
    </row>
    <row r="118" spans="1:24" s="21" customFormat="1" x14ac:dyDescent="0.2">
      <c r="A118" s="7"/>
      <c r="B118" s="153"/>
      <c r="C118" s="154"/>
      <c r="D118" s="39"/>
      <c r="E118" s="39"/>
      <c r="F118" s="39"/>
      <c r="G118" s="20"/>
      <c r="H118" s="20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132"/>
      <c r="X118" s="132"/>
    </row>
    <row r="119" spans="1:24" s="21" customFormat="1" x14ac:dyDescent="0.2">
      <c r="A119" s="7"/>
      <c r="B119" s="153"/>
      <c r="C119" s="154"/>
      <c r="D119" s="150"/>
      <c r="E119" s="39"/>
      <c r="F119" s="39"/>
      <c r="G119" s="20"/>
      <c r="H119" s="20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132"/>
      <c r="X119" s="132"/>
    </row>
    <row r="120" spans="1:24" s="21" customFormat="1" x14ac:dyDescent="0.2">
      <c r="A120" s="7"/>
      <c r="B120" s="153"/>
      <c r="C120" s="154"/>
      <c r="D120" s="150"/>
      <c r="E120" s="39"/>
      <c r="F120" s="39"/>
      <c r="G120" s="20"/>
      <c r="H120" s="20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132"/>
      <c r="X120" s="132"/>
    </row>
    <row r="121" spans="1:24" s="21" customFormat="1" x14ac:dyDescent="0.2">
      <c r="A121" s="7"/>
      <c r="B121" s="153"/>
      <c r="C121" s="154"/>
      <c r="D121" s="150"/>
      <c r="E121" s="39"/>
      <c r="F121" s="39"/>
      <c r="G121" s="20"/>
      <c r="H121" s="20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132"/>
      <c r="X121" s="132"/>
    </row>
    <row r="122" spans="1:24" s="21" customFormat="1" x14ac:dyDescent="0.2">
      <c r="A122" s="154"/>
      <c r="B122" s="68"/>
      <c r="C122" s="68"/>
      <c r="D122" s="68"/>
      <c r="E122" s="68"/>
      <c r="F122" s="68"/>
      <c r="G122" s="20"/>
      <c r="H122" s="20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132"/>
      <c r="X122" s="132"/>
    </row>
    <row r="123" spans="1:24" s="21" customFormat="1" x14ac:dyDescent="0.2">
      <c r="G123" s="20"/>
      <c r="H123" s="20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132"/>
      <c r="X123" s="132"/>
    </row>
    <row r="124" spans="1:24" s="21" customFormat="1" x14ac:dyDescent="0.2">
      <c r="G124" s="20"/>
      <c r="H124" s="20"/>
    </row>
    <row r="125" spans="1:24" s="21" customFormat="1" x14ac:dyDescent="0.2">
      <c r="G125" s="20"/>
      <c r="H125" s="20"/>
    </row>
    <row r="126" spans="1:24" s="21" customFormat="1" x14ac:dyDescent="0.2">
      <c r="G126" s="20"/>
      <c r="H126" s="20"/>
    </row>
    <row r="127" spans="1:24" s="21" customFormat="1" x14ac:dyDescent="0.2">
      <c r="G127" s="20"/>
      <c r="H127" s="20"/>
    </row>
    <row r="128" spans="1:24" s="21" customFormat="1" x14ac:dyDescent="0.2">
      <c r="G128" s="20"/>
      <c r="H128" s="20"/>
    </row>
    <row r="129" spans="7:8" s="21" customFormat="1" x14ac:dyDescent="0.2">
      <c r="G129" s="20"/>
      <c r="H129" s="20"/>
    </row>
    <row r="130" spans="7:8" s="21" customFormat="1" x14ac:dyDescent="0.2">
      <c r="G130" s="20"/>
      <c r="H130" s="20"/>
    </row>
    <row r="131" spans="7:8" s="21" customFormat="1" x14ac:dyDescent="0.2">
      <c r="G131" s="20"/>
      <c r="H131" s="20"/>
    </row>
    <row r="132" spans="7:8" s="21" customFormat="1" x14ac:dyDescent="0.2">
      <c r="G132" s="20"/>
      <c r="H132" s="20"/>
    </row>
    <row r="133" spans="7:8" s="21" customFormat="1" x14ac:dyDescent="0.2">
      <c r="G133" s="20"/>
      <c r="H133" s="20"/>
    </row>
    <row r="134" spans="7:8" s="21" customFormat="1" x14ac:dyDescent="0.2">
      <c r="G134" s="20"/>
      <c r="H134" s="20"/>
    </row>
    <row r="135" spans="7:8" s="21" customFormat="1" x14ac:dyDescent="0.2">
      <c r="G135" s="20"/>
      <c r="H135" s="20"/>
    </row>
    <row r="136" spans="7:8" s="21" customFormat="1" x14ac:dyDescent="0.2">
      <c r="G136" s="20"/>
      <c r="H136" s="20"/>
    </row>
    <row r="137" spans="7:8" s="21" customFormat="1" x14ac:dyDescent="0.2">
      <c r="G137" s="20"/>
      <c r="H137" s="20"/>
    </row>
    <row r="138" spans="7:8" s="21" customFormat="1" x14ac:dyDescent="0.2">
      <c r="G138" s="20"/>
      <c r="H138" s="20"/>
    </row>
    <row r="139" spans="7:8" s="21" customFormat="1" x14ac:dyDescent="0.2">
      <c r="G139" s="20"/>
      <c r="H139" s="20"/>
    </row>
    <row r="140" spans="7:8" s="21" customFormat="1" x14ac:dyDescent="0.2">
      <c r="G140" s="20"/>
      <c r="H140" s="20"/>
    </row>
    <row r="141" spans="7:8" s="21" customFormat="1" x14ac:dyDescent="0.2">
      <c r="G141" s="20"/>
      <c r="H141" s="20"/>
    </row>
    <row r="142" spans="7:8" s="21" customFormat="1" x14ac:dyDescent="0.2">
      <c r="G142" s="20"/>
      <c r="H142" s="20"/>
    </row>
    <row r="143" spans="7:8" s="21" customFormat="1" x14ac:dyDescent="0.2">
      <c r="G143" s="20"/>
      <c r="H143" s="20"/>
    </row>
    <row r="144" spans="7:8" s="21" customFormat="1" x14ac:dyDescent="0.2">
      <c r="G144" s="20"/>
      <c r="H144" s="20"/>
    </row>
    <row r="145" spans="7:8" s="21" customFormat="1" x14ac:dyDescent="0.2">
      <c r="G145" s="20"/>
      <c r="H145" s="20"/>
    </row>
    <row r="146" spans="7:8" s="21" customFormat="1" x14ac:dyDescent="0.2">
      <c r="G146" s="20"/>
      <c r="H146" s="20"/>
    </row>
    <row r="147" spans="7:8" s="21" customFormat="1" x14ac:dyDescent="0.2">
      <c r="G147" s="20"/>
      <c r="H147" s="20"/>
    </row>
    <row r="148" spans="7:8" s="21" customFormat="1" x14ac:dyDescent="0.2">
      <c r="G148" s="20"/>
      <c r="H148" s="20"/>
    </row>
    <row r="149" spans="7:8" s="21" customFormat="1" x14ac:dyDescent="0.2">
      <c r="G149" s="20"/>
      <c r="H149" s="20"/>
    </row>
    <row r="150" spans="7:8" s="21" customFormat="1" x14ac:dyDescent="0.2">
      <c r="G150" s="20"/>
      <c r="H150" s="20"/>
    </row>
    <row r="151" spans="7:8" s="21" customFormat="1" x14ac:dyDescent="0.2">
      <c r="G151" s="20"/>
      <c r="H151" s="20"/>
    </row>
    <row r="152" spans="7:8" s="21" customFormat="1" x14ac:dyDescent="0.2">
      <c r="G152" s="20"/>
      <c r="H152" s="20"/>
    </row>
    <row r="153" spans="7:8" s="21" customFormat="1" x14ac:dyDescent="0.2">
      <c r="G153" s="20"/>
      <c r="H153" s="20"/>
    </row>
    <row r="154" spans="7:8" s="21" customFormat="1" x14ac:dyDescent="0.2">
      <c r="G154" s="20"/>
      <c r="H154" s="20"/>
    </row>
    <row r="155" spans="7:8" s="21" customFormat="1" x14ac:dyDescent="0.2">
      <c r="G155" s="20"/>
      <c r="H155" s="20"/>
    </row>
    <row r="156" spans="7:8" s="21" customFormat="1" x14ac:dyDescent="0.2">
      <c r="G156" s="20"/>
      <c r="H156" s="20"/>
    </row>
    <row r="157" spans="7:8" s="21" customFormat="1" x14ac:dyDescent="0.2">
      <c r="G157" s="20"/>
      <c r="H157" s="20"/>
    </row>
    <row r="158" spans="7:8" s="21" customFormat="1" x14ac:dyDescent="0.2">
      <c r="G158" s="20"/>
      <c r="H158" s="20"/>
    </row>
    <row r="159" spans="7:8" s="21" customFormat="1" x14ac:dyDescent="0.2">
      <c r="G159" s="20"/>
      <c r="H159" s="20"/>
    </row>
    <row r="160" spans="7:8" s="21" customFormat="1" x14ac:dyDescent="0.2">
      <c r="G160" s="20"/>
      <c r="H160" s="20"/>
    </row>
    <row r="161" spans="7:8" s="21" customFormat="1" x14ac:dyDescent="0.2">
      <c r="G161" s="20"/>
      <c r="H161" s="20"/>
    </row>
    <row r="162" spans="7:8" s="21" customFormat="1" x14ac:dyDescent="0.2">
      <c r="G162" s="20"/>
      <c r="H162" s="20"/>
    </row>
    <row r="163" spans="7:8" s="21" customFormat="1" x14ac:dyDescent="0.2">
      <c r="G163" s="20"/>
      <c r="H163" s="20"/>
    </row>
    <row r="164" spans="7:8" s="21" customFormat="1" x14ac:dyDescent="0.2">
      <c r="G164" s="20"/>
      <c r="H164" s="20"/>
    </row>
    <row r="165" spans="7:8" s="21" customFormat="1" x14ac:dyDescent="0.2">
      <c r="G165" s="20"/>
      <c r="H165" s="20"/>
    </row>
    <row r="166" spans="7:8" s="21" customFormat="1" x14ac:dyDescent="0.2">
      <c r="G166" s="20"/>
      <c r="H166" s="20"/>
    </row>
    <row r="167" spans="7:8" s="21" customFormat="1" x14ac:dyDescent="0.2">
      <c r="G167" s="20"/>
      <c r="H167" s="20"/>
    </row>
    <row r="168" spans="7:8" s="21" customFormat="1" x14ac:dyDescent="0.2">
      <c r="G168" s="20"/>
      <c r="H168" s="20"/>
    </row>
    <row r="169" spans="7:8" s="21" customFormat="1" x14ac:dyDescent="0.2">
      <c r="G169" s="20"/>
      <c r="H169" s="20"/>
    </row>
    <row r="170" spans="7:8" s="21" customFormat="1" x14ac:dyDescent="0.2">
      <c r="G170" s="20"/>
      <c r="H170" s="20"/>
    </row>
    <row r="171" spans="7:8" s="21" customFormat="1" x14ac:dyDescent="0.2">
      <c r="G171" s="20"/>
      <c r="H171" s="20"/>
    </row>
    <row r="172" spans="7:8" s="21" customFormat="1" x14ac:dyDescent="0.2">
      <c r="G172" s="20"/>
      <c r="H172" s="20"/>
    </row>
    <row r="173" spans="7:8" s="21" customFormat="1" x14ac:dyDescent="0.2">
      <c r="G173" s="20"/>
      <c r="H173" s="20"/>
    </row>
    <row r="174" spans="7:8" s="21" customFormat="1" x14ac:dyDescent="0.2">
      <c r="G174" s="20"/>
      <c r="H174" s="20"/>
    </row>
    <row r="175" spans="7:8" s="21" customFormat="1" x14ac:dyDescent="0.2">
      <c r="G175" s="20"/>
      <c r="H175" s="20"/>
    </row>
    <row r="176" spans="7:8" s="21" customFormat="1" x14ac:dyDescent="0.2">
      <c r="G176" s="20"/>
      <c r="H176" s="20"/>
    </row>
    <row r="177" spans="7:8" s="21" customFormat="1" x14ac:dyDescent="0.2">
      <c r="G177" s="20"/>
      <c r="H177" s="20"/>
    </row>
    <row r="178" spans="7:8" s="21" customFormat="1" x14ac:dyDescent="0.2">
      <c r="G178" s="20"/>
      <c r="H178" s="20"/>
    </row>
    <row r="179" spans="7:8" s="21" customFormat="1" x14ac:dyDescent="0.2">
      <c r="G179" s="20"/>
      <c r="H179" s="20"/>
    </row>
    <row r="180" spans="7:8" s="21" customFormat="1" x14ac:dyDescent="0.2">
      <c r="G180" s="20"/>
      <c r="H180" s="20"/>
    </row>
    <row r="181" spans="7:8" s="21" customFormat="1" x14ac:dyDescent="0.2">
      <c r="G181" s="20"/>
      <c r="H181" s="20"/>
    </row>
    <row r="182" spans="7:8" s="21" customFormat="1" x14ac:dyDescent="0.2">
      <c r="G182" s="20"/>
      <c r="H182" s="20"/>
    </row>
    <row r="183" spans="7:8" s="21" customFormat="1" x14ac:dyDescent="0.2">
      <c r="G183" s="20"/>
      <c r="H183" s="20"/>
    </row>
    <row r="184" spans="7:8" s="21" customFormat="1" x14ac:dyDescent="0.2">
      <c r="G184" s="20"/>
      <c r="H184" s="20"/>
    </row>
    <row r="185" spans="7:8" s="21" customFormat="1" x14ac:dyDescent="0.2">
      <c r="G185" s="20"/>
      <c r="H185" s="20"/>
    </row>
    <row r="186" spans="7:8" s="21" customFormat="1" x14ac:dyDescent="0.2">
      <c r="G186" s="20"/>
      <c r="H186" s="20"/>
    </row>
    <row r="187" spans="7:8" s="21" customFormat="1" x14ac:dyDescent="0.2">
      <c r="G187" s="20"/>
      <c r="H187" s="20"/>
    </row>
    <row r="188" spans="7:8" s="21" customFormat="1" x14ac:dyDescent="0.2">
      <c r="G188" s="20"/>
      <c r="H188" s="20"/>
    </row>
    <row r="189" spans="7:8" s="21" customFormat="1" x14ac:dyDescent="0.2">
      <c r="G189" s="20"/>
      <c r="H189" s="20"/>
    </row>
    <row r="190" spans="7:8" s="21" customFormat="1" x14ac:dyDescent="0.2">
      <c r="G190" s="20"/>
      <c r="H190" s="20"/>
    </row>
    <row r="191" spans="7:8" s="21" customFormat="1" x14ac:dyDescent="0.2">
      <c r="G191" s="20"/>
      <c r="H191" s="20"/>
    </row>
    <row r="192" spans="7:8" s="21" customFormat="1" x14ac:dyDescent="0.2">
      <c r="G192" s="20"/>
      <c r="H192" s="20"/>
    </row>
    <row r="193" spans="7:8" s="21" customFormat="1" x14ac:dyDescent="0.2">
      <c r="G193" s="20"/>
      <c r="H193" s="20"/>
    </row>
    <row r="194" spans="7:8" s="21" customFormat="1" x14ac:dyDescent="0.2">
      <c r="G194" s="20"/>
      <c r="H194" s="20"/>
    </row>
    <row r="195" spans="7:8" s="21" customFormat="1" x14ac:dyDescent="0.2">
      <c r="G195" s="20"/>
      <c r="H195" s="20"/>
    </row>
    <row r="196" spans="7:8" s="21" customFormat="1" x14ac:dyDescent="0.2">
      <c r="G196" s="20"/>
      <c r="H196" s="20"/>
    </row>
    <row r="197" spans="7:8" s="21" customFormat="1" x14ac:dyDescent="0.2">
      <c r="G197" s="20"/>
      <c r="H197" s="20"/>
    </row>
    <row r="198" spans="7:8" s="21" customFormat="1" x14ac:dyDescent="0.2">
      <c r="G198" s="20"/>
      <c r="H198" s="20"/>
    </row>
    <row r="199" spans="7:8" s="21" customFormat="1" x14ac:dyDescent="0.2">
      <c r="G199" s="20"/>
      <c r="H199" s="20"/>
    </row>
    <row r="200" spans="7:8" s="21" customFormat="1" x14ac:dyDescent="0.2">
      <c r="G200" s="20"/>
      <c r="H200" s="20"/>
    </row>
    <row r="201" spans="7:8" s="21" customFormat="1" x14ac:dyDescent="0.2">
      <c r="G201" s="20"/>
      <c r="H201" s="20"/>
    </row>
    <row r="202" spans="7:8" s="21" customFormat="1" x14ac:dyDescent="0.2">
      <c r="G202" s="20"/>
      <c r="H202" s="20"/>
    </row>
    <row r="203" spans="7:8" s="21" customFormat="1" x14ac:dyDescent="0.2">
      <c r="G203" s="20"/>
      <c r="H203" s="20"/>
    </row>
    <row r="204" spans="7:8" s="21" customFormat="1" x14ac:dyDescent="0.2">
      <c r="G204" s="20"/>
      <c r="H204" s="20"/>
    </row>
    <row r="205" spans="7:8" s="21" customFormat="1" x14ac:dyDescent="0.2">
      <c r="G205" s="20"/>
      <c r="H205" s="20"/>
    </row>
    <row r="206" spans="7:8" s="21" customFormat="1" x14ac:dyDescent="0.2">
      <c r="G206" s="20"/>
      <c r="H206" s="20"/>
    </row>
    <row r="207" spans="7:8" s="21" customFormat="1" x14ac:dyDescent="0.2">
      <c r="G207" s="20"/>
      <c r="H207" s="20"/>
    </row>
    <row r="208" spans="7:8" s="21" customFormat="1" x14ac:dyDescent="0.2">
      <c r="G208" s="20"/>
      <c r="H208" s="20"/>
    </row>
    <row r="209" spans="7:8" s="21" customFormat="1" x14ac:dyDescent="0.2">
      <c r="G209" s="20"/>
      <c r="H209" s="20"/>
    </row>
    <row r="210" spans="7:8" s="21" customFormat="1" x14ac:dyDescent="0.2">
      <c r="G210" s="20"/>
      <c r="H210" s="20"/>
    </row>
    <row r="211" spans="7:8" s="21" customFormat="1" x14ac:dyDescent="0.2">
      <c r="G211" s="20"/>
      <c r="H211" s="20"/>
    </row>
    <row r="212" spans="7:8" s="21" customFormat="1" x14ac:dyDescent="0.2">
      <c r="G212" s="20"/>
      <c r="H212" s="20"/>
    </row>
    <row r="213" spans="7:8" s="21" customFormat="1" x14ac:dyDescent="0.2">
      <c r="G213" s="20"/>
      <c r="H213" s="20"/>
    </row>
    <row r="214" spans="7:8" s="21" customFormat="1" x14ac:dyDescent="0.2">
      <c r="G214" s="20"/>
      <c r="H214" s="20"/>
    </row>
    <row r="215" spans="7:8" s="21" customFormat="1" x14ac:dyDescent="0.2">
      <c r="G215" s="20"/>
      <c r="H215" s="20"/>
    </row>
    <row r="216" spans="7:8" s="21" customFormat="1" x14ac:dyDescent="0.2">
      <c r="G216" s="20"/>
      <c r="H216" s="20"/>
    </row>
    <row r="217" spans="7:8" s="21" customFormat="1" x14ac:dyDescent="0.2">
      <c r="G217" s="20"/>
      <c r="H217" s="20"/>
    </row>
    <row r="218" spans="7:8" s="21" customFormat="1" x14ac:dyDescent="0.2">
      <c r="G218" s="20"/>
      <c r="H218" s="20"/>
    </row>
    <row r="219" spans="7:8" s="21" customFormat="1" x14ac:dyDescent="0.2">
      <c r="G219" s="20"/>
      <c r="H219" s="20"/>
    </row>
    <row r="220" spans="7:8" s="21" customFormat="1" x14ac:dyDescent="0.2">
      <c r="G220" s="20"/>
      <c r="H220" s="20"/>
    </row>
    <row r="221" spans="7:8" s="21" customFormat="1" x14ac:dyDescent="0.2">
      <c r="G221" s="20"/>
      <c r="H221" s="20"/>
    </row>
    <row r="222" spans="7:8" s="21" customFormat="1" x14ac:dyDescent="0.2">
      <c r="G222" s="20"/>
      <c r="H222" s="20"/>
    </row>
    <row r="223" spans="7:8" s="21" customFormat="1" x14ac:dyDescent="0.2">
      <c r="G223" s="20"/>
      <c r="H223" s="20"/>
    </row>
    <row r="224" spans="7:8" s="21" customFormat="1" x14ac:dyDescent="0.2">
      <c r="G224" s="20"/>
      <c r="H224" s="20"/>
    </row>
    <row r="225" spans="7:8" s="21" customFormat="1" x14ac:dyDescent="0.2">
      <c r="G225" s="20"/>
      <c r="H225" s="20"/>
    </row>
    <row r="226" spans="7:8" s="21" customFormat="1" x14ac:dyDescent="0.2">
      <c r="G226" s="20"/>
      <c r="H226" s="20"/>
    </row>
    <row r="227" spans="7:8" s="21" customFormat="1" x14ac:dyDescent="0.2">
      <c r="G227" s="20"/>
      <c r="H227" s="20"/>
    </row>
    <row r="228" spans="7:8" s="21" customFormat="1" x14ac:dyDescent="0.2">
      <c r="G228" s="20"/>
      <c r="H228" s="20"/>
    </row>
    <row r="229" spans="7:8" s="21" customFormat="1" x14ac:dyDescent="0.2">
      <c r="G229" s="20"/>
      <c r="H229" s="20"/>
    </row>
    <row r="230" spans="7:8" s="21" customFormat="1" x14ac:dyDescent="0.2">
      <c r="G230" s="20"/>
      <c r="H230" s="20"/>
    </row>
    <row r="231" spans="7:8" s="21" customFormat="1" x14ac:dyDescent="0.2">
      <c r="G231" s="20"/>
      <c r="H231" s="20"/>
    </row>
    <row r="232" spans="7:8" s="21" customFormat="1" x14ac:dyDescent="0.2">
      <c r="G232" s="20"/>
      <c r="H232" s="20"/>
    </row>
    <row r="233" spans="7:8" s="21" customFormat="1" x14ac:dyDescent="0.2">
      <c r="G233" s="20"/>
      <c r="H233" s="20"/>
    </row>
    <row r="234" spans="7:8" s="21" customFormat="1" x14ac:dyDescent="0.2">
      <c r="G234" s="20"/>
      <c r="H234" s="20"/>
    </row>
    <row r="235" spans="7:8" s="21" customFormat="1" x14ac:dyDescent="0.2">
      <c r="G235" s="20"/>
      <c r="H235" s="20"/>
    </row>
    <row r="236" spans="7:8" s="21" customFormat="1" x14ac:dyDescent="0.2">
      <c r="G236" s="20"/>
      <c r="H236" s="20"/>
    </row>
    <row r="237" spans="7:8" s="21" customFormat="1" x14ac:dyDescent="0.2">
      <c r="G237" s="20"/>
      <c r="H237" s="20"/>
    </row>
    <row r="238" spans="7:8" s="21" customFormat="1" x14ac:dyDescent="0.2">
      <c r="G238" s="20"/>
      <c r="H238" s="20"/>
    </row>
    <row r="239" spans="7:8" s="21" customFormat="1" x14ac:dyDescent="0.2">
      <c r="G239" s="20"/>
      <c r="H239" s="20"/>
    </row>
    <row r="240" spans="7:8" s="21" customFormat="1" x14ac:dyDescent="0.2">
      <c r="G240" s="20"/>
      <c r="H240" s="20"/>
    </row>
    <row r="241" spans="7:8" s="21" customFormat="1" x14ac:dyDescent="0.2">
      <c r="G241" s="20"/>
      <c r="H241" s="20"/>
    </row>
    <row r="242" spans="7:8" s="21" customFormat="1" x14ac:dyDescent="0.2">
      <c r="G242" s="20"/>
      <c r="H242" s="20"/>
    </row>
    <row r="243" spans="7:8" s="21" customFormat="1" x14ac:dyDescent="0.2">
      <c r="G243" s="20"/>
      <c r="H243" s="20"/>
    </row>
    <row r="244" spans="7:8" s="21" customFormat="1" x14ac:dyDescent="0.2">
      <c r="G244" s="20"/>
      <c r="H244" s="20"/>
    </row>
    <row r="245" spans="7:8" s="21" customFormat="1" x14ac:dyDescent="0.2">
      <c r="G245" s="20"/>
      <c r="H245" s="20"/>
    </row>
    <row r="246" spans="7:8" s="21" customFormat="1" x14ac:dyDescent="0.2">
      <c r="G246" s="20"/>
      <c r="H246" s="20"/>
    </row>
    <row r="247" spans="7:8" s="21" customFormat="1" x14ac:dyDescent="0.2">
      <c r="G247" s="20"/>
      <c r="H247" s="20"/>
    </row>
    <row r="248" spans="7:8" s="21" customFormat="1" x14ac:dyDescent="0.2">
      <c r="G248" s="20"/>
      <c r="H248" s="20"/>
    </row>
    <row r="249" spans="7:8" s="21" customFormat="1" x14ac:dyDescent="0.2">
      <c r="G249" s="20"/>
      <c r="H249" s="20"/>
    </row>
    <row r="250" spans="7:8" s="21" customFormat="1" x14ac:dyDescent="0.2">
      <c r="G250" s="20"/>
      <c r="H250" s="20"/>
    </row>
    <row r="251" spans="7:8" s="21" customFormat="1" x14ac:dyDescent="0.2">
      <c r="G251" s="20"/>
      <c r="H251" s="20"/>
    </row>
    <row r="252" spans="7:8" s="21" customFormat="1" x14ac:dyDescent="0.2">
      <c r="G252" s="20"/>
      <c r="H252" s="20"/>
    </row>
    <row r="253" spans="7:8" s="21" customFormat="1" x14ac:dyDescent="0.2">
      <c r="G253" s="20"/>
      <c r="H253" s="20"/>
    </row>
    <row r="254" spans="7:8" s="21" customFormat="1" x14ac:dyDescent="0.2">
      <c r="G254" s="20"/>
      <c r="H254" s="20"/>
    </row>
    <row r="255" spans="7:8" s="21" customFormat="1" x14ac:dyDescent="0.2">
      <c r="G255" s="20"/>
      <c r="H255" s="20"/>
    </row>
    <row r="256" spans="7:8" s="21" customFormat="1" x14ac:dyDescent="0.2">
      <c r="G256" s="20"/>
      <c r="H256" s="20"/>
    </row>
    <row r="257" spans="7:8" s="21" customFormat="1" x14ac:dyDescent="0.2">
      <c r="G257" s="20"/>
      <c r="H257" s="20"/>
    </row>
    <row r="258" spans="7:8" s="21" customFormat="1" x14ac:dyDescent="0.2">
      <c r="G258" s="20"/>
      <c r="H258" s="20"/>
    </row>
    <row r="259" spans="7:8" s="21" customFormat="1" x14ac:dyDescent="0.2">
      <c r="G259" s="20"/>
      <c r="H259" s="20"/>
    </row>
    <row r="260" spans="7:8" s="21" customFormat="1" x14ac:dyDescent="0.2">
      <c r="G260" s="20"/>
      <c r="H260" s="20"/>
    </row>
    <row r="261" spans="7:8" s="21" customFormat="1" x14ac:dyDescent="0.2">
      <c r="G261" s="20"/>
      <c r="H261" s="20"/>
    </row>
    <row r="262" spans="7:8" s="21" customFormat="1" x14ac:dyDescent="0.2">
      <c r="G262" s="20"/>
      <c r="H262" s="20"/>
    </row>
    <row r="263" spans="7:8" s="21" customFormat="1" x14ac:dyDescent="0.2">
      <c r="G263" s="20"/>
      <c r="H263" s="20"/>
    </row>
    <row r="264" spans="7:8" s="21" customFormat="1" x14ac:dyDescent="0.2">
      <c r="G264" s="20"/>
      <c r="H264" s="20"/>
    </row>
    <row r="265" spans="7:8" s="21" customFormat="1" x14ac:dyDescent="0.2">
      <c r="G265" s="20"/>
      <c r="H265" s="20"/>
    </row>
    <row r="266" spans="7:8" s="21" customFormat="1" x14ac:dyDescent="0.2">
      <c r="G266" s="20"/>
      <c r="H266" s="20"/>
    </row>
    <row r="267" spans="7:8" s="21" customFormat="1" x14ac:dyDescent="0.2">
      <c r="G267" s="20"/>
      <c r="H267" s="20"/>
    </row>
    <row r="268" spans="7:8" s="21" customFormat="1" x14ac:dyDescent="0.2">
      <c r="G268" s="20"/>
      <c r="H268" s="20"/>
    </row>
    <row r="269" spans="7:8" s="21" customFormat="1" x14ac:dyDescent="0.2">
      <c r="G269" s="20"/>
      <c r="H269" s="20"/>
    </row>
    <row r="270" spans="7:8" s="21" customFormat="1" x14ac:dyDescent="0.2">
      <c r="G270" s="20"/>
      <c r="H270" s="20"/>
    </row>
    <row r="271" spans="7:8" s="21" customFormat="1" x14ac:dyDescent="0.2">
      <c r="G271" s="20"/>
      <c r="H271" s="20"/>
    </row>
    <row r="272" spans="7:8" s="21" customFormat="1" x14ac:dyDescent="0.2">
      <c r="G272" s="20"/>
      <c r="H272" s="20"/>
    </row>
    <row r="273" spans="7:8" s="21" customFormat="1" x14ac:dyDescent="0.2">
      <c r="G273" s="20"/>
      <c r="H273" s="20"/>
    </row>
    <row r="274" spans="7:8" s="21" customFormat="1" x14ac:dyDescent="0.2">
      <c r="G274" s="20"/>
      <c r="H274" s="20"/>
    </row>
    <row r="275" spans="7:8" s="21" customFormat="1" x14ac:dyDescent="0.2">
      <c r="G275" s="20"/>
      <c r="H275" s="20"/>
    </row>
    <row r="276" spans="7:8" s="21" customFormat="1" x14ac:dyDescent="0.2">
      <c r="G276" s="20"/>
      <c r="H276" s="20"/>
    </row>
    <row r="277" spans="7:8" s="21" customFormat="1" x14ac:dyDescent="0.2">
      <c r="G277" s="20"/>
      <c r="H277" s="20"/>
    </row>
    <row r="278" spans="7:8" s="21" customFormat="1" x14ac:dyDescent="0.2">
      <c r="G278" s="20"/>
      <c r="H278" s="20"/>
    </row>
    <row r="279" spans="7:8" s="21" customFormat="1" x14ac:dyDescent="0.2">
      <c r="G279" s="20"/>
      <c r="H279" s="20"/>
    </row>
    <row r="280" spans="7:8" s="21" customFormat="1" x14ac:dyDescent="0.2">
      <c r="G280" s="20"/>
      <c r="H280" s="20"/>
    </row>
    <row r="281" spans="7:8" s="21" customFormat="1" x14ac:dyDescent="0.2">
      <c r="G281" s="20"/>
      <c r="H281" s="20"/>
    </row>
    <row r="282" spans="7:8" s="21" customFormat="1" x14ac:dyDescent="0.2">
      <c r="G282" s="20"/>
      <c r="H282" s="20"/>
    </row>
    <row r="283" spans="7:8" s="21" customFormat="1" x14ac:dyDescent="0.2">
      <c r="G283" s="20"/>
      <c r="H283" s="20"/>
    </row>
    <row r="284" spans="7:8" s="21" customFormat="1" x14ac:dyDescent="0.2">
      <c r="G284" s="20"/>
      <c r="H284" s="20"/>
    </row>
    <row r="285" spans="7:8" s="21" customFormat="1" x14ac:dyDescent="0.2">
      <c r="G285" s="20"/>
      <c r="H285" s="20"/>
    </row>
    <row r="286" spans="7:8" s="21" customFormat="1" x14ac:dyDescent="0.2">
      <c r="G286" s="20"/>
      <c r="H286" s="20"/>
    </row>
    <row r="287" spans="7:8" s="21" customFormat="1" x14ac:dyDescent="0.2">
      <c r="G287" s="20"/>
      <c r="H287" s="20"/>
    </row>
    <row r="288" spans="7:8" s="21" customFormat="1" x14ac:dyDescent="0.2">
      <c r="G288" s="20"/>
      <c r="H288" s="20"/>
    </row>
    <row r="289" spans="7:8" s="21" customFormat="1" x14ac:dyDescent="0.2">
      <c r="G289" s="20"/>
      <c r="H289" s="20"/>
    </row>
    <row r="290" spans="7:8" s="21" customFormat="1" x14ac:dyDescent="0.2">
      <c r="G290" s="20"/>
      <c r="H290" s="20"/>
    </row>
    <row r="291" spans="7:8" s="21" customFormat="1" x14ac:dyDescent="0.2">
      <c r="G291" s="20"/>
      <c r="H291" s="20"/>
    </row>
    <row r="292" spans="7:8" s="21" customFormat="1" x14ac:dyDescent="0.2">
      <c r="G292" s="20"/>
      <c r="H292" s="20"/>
    </row>
    <row r="293" spans="7:8" s="21" customFormat="1" x14ac:dyDescent="0.2">
      <c r="G293" s="20"/>
      <c r="H293" s="20"/>
    </row>
    <row r="294" spans="7:8" s="21" customFormat="1" x14ac:dyDescent="0.2">
      <c r="G294" s="20"/>
      <c r="H294" s="20"/>
    </row>
    <row r="295" spans="7:8" s="21" customFormat="1" x14ac:dyDescent="0.2">
      <c r="G295" s="20"/>
      <c r="H295" s="20"/>
    </row>
    <row r="296" spans="7:8" s="21" customFormat="1" x14ac:dyDescent="0.2">
      <c r="G296" s="20"/>
      <c r="H296" s="20"/>
    </row>
    <row r="297" spans="7:8" s="21" customFormat="1" x14ac:dyDescent="0.2">
      <c r="G297" s="20"/>
      <c r="H297" s="20"/>
    </row>
    <row r="298" spans="7:8" s="21" customFormat="1" x14ac:dyDescent="0.2">
      <c r="G298" s="20"/>
      <c r="H298" s="20"/>
    </row>
    <row r="299" spans="7:8" s="21" customFormat="1" x14ac:dyDescent="0.2">
      <c r="G299" s="20"/>
      <c r="H299" s="20"/>
    </row>
    <row r="300" spans="7:8" s="21" customFormat="1" x14ac:dyDescent="0.2">
      <c r="G300" s="20"/>
      <c r="H300" s="20"/>
    </row>
    <row r="301" spans="7:8" s="21" customFormat="1" x14ac:dyDescent="0.2">
      <c r="G301" s="20"/>
      <c r="H301" s="20"/>
    </row>
    <row r="302" spans="7:8" s="21" customFormat="1" x14ac:dyDescent="0.2">
      <c r="G302" s="20"/>
      <c r="H302" s="20"/>
    </row>
    <row r="303" spans="7:8" s="21" customFormat="1" x14ac:dyDescent="0.2">
      <c r="G303" s="20"/>
      <c r="H303" s="20"/>
    </row>
    <row r="304" spans="7:8" s="21" customFormat="1" x14ac:dyDescent="0.2">
      <c r="G304" s="20"/>
      <c r="H304" s="20"/>
    </row>
    <row r="305" spans="7:8" s="21" customFormat="1" x14ac:dyDescent="0.2">
      <c r="G305" s="20"/>
      <c r="H305" s="20"/>
    </row>
    <row r="306" spans="7:8" s="21" customFormat="1" x14ac:dyDescent="0.2">
      <c r="G306" s="20"/>
      <c r="H306" s="20"/>
    </row>
    <row r="307" spans="7:8" s="21" customFormat="1" x14ac:dyDescent="0.2">
      <c r="G307" s="20"/>
      <c r="H307" s="20"/>
    </row>
    <row r="308" spans="7:8" s="21" customFormat="1" x14ac:dyDescent="0.2">
      <c r="G308" s="20"/>
      <c r="H308" s="20"/>
    </row>
    <row r="309" spans="7:8" s="21" customFormat="1" x14ac:dyDescent="0.2">
      <c r="G309" s="20"/>
      <c r="H309" s="20"/>
    </row>
    <row r="310" spans="7:8" s="21" customFormat="1" x14ac:dyDescent="0.2">
      <c r="G310" s="20"/>
      <c r="H310" s="20"/>
    </row>
    <row r="311" spans="7:8" s="21" customFormat="1" x14ac:dyDescent="0.2">
      <c r="G311" s="20"/>
      <c r="H311" s="20"/>
    </row>
    <row r="312" spans="7:8" s="21" customFormat="1" x14ac:dyDescent="0.2">
      <c r="G312" s="20"/>
      <c r="H312" s="20"/>
    </row>
    <row r="313" spans="7:8" s="21" customFormat="1" x14ac:dyDescent="0.2">
      <c r="G313" s="20"/>
      <c r="H313" s="20"/>
    </row>
    <row r="314" spans="7:8" s="21" customFormat="1" x14ac:dyDescent="0.2">
      <c r="G314" s="20"/>
      <c r="H314" s="20"/>
    </row>
    <row r="315" spans="7:8" s="21" customFormat="1" x14ac:dyDescent="0.2">
      <c r="G315" s="20"/>
      <c r="H315" s="20"/>
    </row>
    <row r="316" spans="7:8" s="21" customFormat="1" x14ac:dyDescent="0.2">
      <c r="G316" s="20"/>
      <c r="H316" s="20"/>
    </row>
    <row r="317" spans="7:8" s="21" customFormat="1" x14ac:dyDescent="0.2">
      <c r="G317" s="20"/>
      <c r="H317" s="20"/>
    </row>
    <row r="318" spans="7:8" s="21" customFormat="1" x14ac:dyDescent="0.2">
      <c r="G318" s="20"/>
      <c r="H318" s="20"/>
    </row>
    <row r="319" spans="7:8" s="21" customFormat="1" x14ac:dyDescent="0.2">
      <c r="G319" s="20"/>
      <c r="H319" s="20"/>
    </row>
    <row r="320" spans="7:8" s="21" customFormat="1" x14ac:dyDescent="0.2">
      <c r="G320" s="20"/>
      <c r="H320" s="20"/>
    </row>
    <row r="321" spans="7:8" s="21" customFormat="1" x14ac:dyDescent="0.2">
      <c r="G321" s="20"/>
      <c r="H321" s="20"/>
    </row>
    <row r="322" spans="7:8" s="21" customFormat="1" x14ac:dyDescent="0.2">
      <c r="G322" s="20"/>
      <c r="H322" s="20"/>
    </row>
    <row r="323" spans="7:8" s="21" customFormat="1" x14ac:dyDescent="0.2">
      <c r="G323" s="20"/>
      <c r="H323" s="20"/>
    </row>
    <row r="324" spans="7:8" s="21" customFormat="1" x14ac:dyDescent="0.2">
      <c r="G324" s="20"/>
      <c r="H324" s="20"/>
    </row>
    <row r="325" spans="7:8" s="21" customFormat="1" x14ac:dyDescent="0.2">
      <c r="G325" s="20"/>
      <c r="H325" s="20"/>
    </row>
    <row r="326" spans="7:8" s="21" customFormat="1" x14ac:dyDescent="0.2">
      <c r="G326" s="20"/>
      <c r="H326" s="20"/>
    </row>
    <row r="327" spans="7:8" s="21" customFormat="1" x14ac:dyDescent="0.2">
      <c r="G327" s="20"/>
      <c r="H327" s="20"/>
    </row>
    <row r="328" spans="7:8" s="21" customFormat="1" x14ac:dyDescent="0.2">
      <c r="G328" s="20"/>
      <c r="H328" s="20"/>
    </row>
    <row r="329" spans="7:8" s="21" customFormat="1" x14ac:dyDescent="0.2">
      <c r="G329" s="20"/>
      <c r="H329" s="20"/>
    </row>
    <row r="330" spans="7:8" s="21" customFormat="1" x14ac:dyDescent="0.2">
      <c r="G330" s="20"/>
      <c r="H330" s="20"/>
    </row>
    <row r="331" spans="7:8" s="21" customFormat="1" x14ac:dyDescent="0.2">
      <c r="G331" s="20"/>
      <c r="H331" s="20"/>
    </row>
    <row r="332" spans="7:8" s="21" customFormat="1" x14ac:dyDescent="0.2">
      <c r="G332" s="20"/>
      <c r="H332" s="20"/>
    </row>
    <row r="333" spans="7:8" s="21" customFormat="1" x14ac:dyDescent="0.2">
      <c r="G333" s="20"/>
      <c r="H333" s="20"/>
    </row>
    <row r="334" spans="7:8" s="21" customFormat="1" x14ac:dyDescent="0.2">
      <c r="G334" s="20"/>
      <c r="H334" s="20"/>
    </row>
    <row r="335" spans="7:8" s="21" customFormat="1" x14ac:dyDescent="0.2">
      <c r="G335" s="20"/>
      <c r="H335" s="20"/>
    </row>
    <row r="336" spans="7:8" s="21" customFormat="1" x14ac:dyDescent="0.2">
      <c r="G336" s="20"/>
      <c r="H336" s="20"/>
    </row>
    <row r="337" spans="7:8" s="21" customFormat="1" x14ac:dyDescent="0.2">
      <c r="G337" s="20"/>
      <c r="H337" s="20"/>
    </row>
    <row r="338" spans="7:8" s="21" customFormat="1" x14ac:dyDescent="0.2">
      <c r="G338" s="20"/>
      <c r="H338" s="20"/>
    </row>
    <row r="339" spans="7:8" s="21" customFormat="1" x14ac:dyDescent="0.2">
      <c r="G339" s="20"/>
      <c r="H339" s="20"/>
    </row>
    <row r="340" spans="7:8" s="21" customFormat="1" x14ac:dyDescent="0.2">
      <c r="G340" s="20"/>
      <c r="H340" s="20"/>
    </row>
    <row r="341" spans="7:8" s="21" customFormat="1" x14ac:dyDescent="0.2">
      <c r="G341" s="20"/>
      <c r="H341" s="20"/>
    </row>
    <row r="342" spans="7:8" s="21" customFormat="1" x14ac:dyDescent="0.2">
      <c r="G342" s="20"/>
      <c r="H342" s="20"/>
    </row>
    <row r="343" spans="7:8" s="21" customFormat="1" x14ac:dyDescent="0.2">
      <c r="G343" s="20"/>
      <c r="H343" s="20"/>
    </row>
    <row r="344" spans="7:8" s="21" customFormat="1" x14ac:dyDescent="0.2">
      <c r="G344" s="20"/>
      <c r="H344" s="20"/>
    </row>
    <row r="345" spans="7:8" s="21" customFormat="1" x14ac:dyDescent="0.2">
      <c r="G345" s="20"/>
      <c r="H345" s="20"/>
    </row>
    <row r="346" spans="7:8" s="21" customFormat="1" x14ac:dyDescent="0.2">
      <c r="G346" s="20"/>
      <c r="H346" s="20"/>
    </row>
    <row r="347" spans="7:8" s="21" customFormat="1" x14ac:dyDescent="0.2">
      <c r="G347" s="20"/>
      <c r="H347" s="20"/>
    </row>
    <row r="348" spans="7:8" s="21" customFormat="1" x14ac:dyDescent="0.2">
      <c r="G348" s="20"/>
      <c r="H348" s="20"/>
    </row>
    <row r="349" spans="7:8" s="21" customFormat="1" x14ac:dyDescent="0.2">
      <c r="G349" s="20"/>
      <c r="H349" s="20"/>
    </row>
    <row r="350" spans="7:8" s="21" customFormat="1" x14ac:dyDescent="0.2">
      <c r="G350" s="20"/>
      <c r="H350" s="20"/>
    </row>
    <row r="351" spans="7:8" s="21" customFormat="1" x14ac:dyDescent="0.2">
      <c r="G351" s="20"/>
      <c r="H351" s="20"/>
    </row>
    <row r="352" spans="7:8" s="21" customFormat="1" x14ac:dyDescent="0.2">
      <c r="G352" s="20"/>
      <c r="H352" s="20"/>
    </row>
    <row r="353" spans="7:8" s="21" customFormat="1" x14ac:dyDescent="0.2">
      <c r="G353" s="20"/>
      <c r="H353" s="20"/>
    </row>
    <row r="354" spans="7:8" s="21" customFormat="1" x14ac:dyDescent="0.2">
      <c r="G354" s="20"/>
      <c r="H354" s="20"/>
    </row>
    <row r="355" spans="7:8" s="21" customFormat="1" x14ac:dyDescent="0.2">
      <c r="G355" s="20"/>
      <c r="H355" s="20"/>
    </row>
    <row r="356" spans="7:8" s="21" customFormat="1" x14ac:dyDescent="0.2">
      <c r="G356" s="20"/>
      <c r="H356" s="20"/>
    </row>
    <row r="357" spans="7:8" s="21" customFormat="1" x14ac:dyDescent="0.2">
      <c r="G357" s="20"/>
      <c r="H357" s="20"/>
    </row>
    <row r="358" spans="7:8" s="21" customFormat="1" x14ac:dyDescent="0.2">
      <c r="G358" s="20"/>
      <c r="H358" s="20"/>
    </row>
    <row r="359" spans="7:8" s="21" customFormat="1" x14ac:dyDescent="0.2">
      <c r="G359" s="20"/>
      <c r="H359" s="20"/>
    </row>
    <row r="360" spans="7:8" s="21" customFormat="1" x14ac:dyDescent="0.2">
      <c r="G360" s="20"/>
      <c r="H360" s="20"/>
    </row>
    <row r="361" spans="7:8" s="21" customFormat="1" x14ac:dyDescent="0.2">
      <c r="G361" s="20"/>
      <c r="H361" s="20"/>
    </row>
    <row r="362" spans="7:8" s="21" customFormat="1" x14ac:dyDescent="0.2">
      <c r="G362" s="20"/>
      <c r="H362" s="20"/>
    </row>
    <row r="363" spans="7:8" s="21" customFormat="1" x14ac:dyDescent="0.2">
      <c r="G363" s="20"/>
      <c r="H363" s="20"/>
    </row>
    <row r="364" spans="7:8" s="21" customFormat="1" x14ac:dyDescent="0.2">
      <c r="G364" s="20"/>
      <c r="H364" s="20"/>
    </row>
    <row r="365" spans="7:8" s="21" customFormat="1" x14ac:dyDescent="0.2">
      <c r="G365" s="20"/>
      <c r="H365" s="20"/>
    </row>
    <row r="366" spans="7:8" s="21" customFormat="1" x14ac:dyDescent="0.2">
      <c r="G366" s="20"/>
      <c r="H366" s="20"/>
    </row>
    <row r="367" spans="7:8" s="21" customFormat="1" x14ac:dyDescent="0.2">
      <c r="G367" s="20"/>
      <c r="H367" s="20"/>
    </row>
    <row r="368" spans="7:8" s="21" customFormat="1" x14ac:dyDescent="0.2">
      <c r="G368" s="20"/>
      <c r="H368" s="20"/>
    </row>
    <row r="369" spans="7:8" s="21" customFormat="1" x14ac:dyDescent="0.2">
      <c r="G369" s="20"/>
      <c r="H369" s="20"/>
    </row>
    <row r="370" spans="7:8" s="21" customFormat="1" x14ac:dyDescent="0.2">
      <c r="G370" s="20"/>
      <c r="H370" s="20"/>
    </row>
    <row r="371" spans="7:8" s="21" customFormat="1" x14ac:dyDescent="0.2">
      <c r="G371" s="20"/>
      <c r="H371" s="20"/>
    </row>
    <row r="372" spans="7:8" s="21" customFormat="1" x14ac:dyDescent="0.2">
      <c r="G372" s="20"/>
      <c r="H372" s="20"/>
    </row>
    <row r="373" spans="7:8" s="21" customFormat="1" x14ac:dyDescent="0.2">
      <c r="G373" s="20"/>
      <c r="H373" s="20"/>
    </row>
    <row r="374" spans="7:8" s="21" customFormat="1" x14ac:dyDescent="0.2">
      <c r="G374" s="20"/>
      <c r="H374" s="20"/>
    </row>
    <row r="375" spans="7:8" s="21" customFormat="1" x14ac:dyDescent="0.2">
      <c r="G375" s="20"/>
      <c r="H375" s="20"/>
    </row>
    <row r="376" spans="7:8" s="21" customFormat="1" x14ac:dyDescent="0.2">
      <c r="G376" s="20"/>
      <c r="H376" s="20"/>
    </row>
    <row r="377" spans="7:8" s="21" customFormat="1" x14ac:dyDescent="0.2">
      <c r="G377" s="20"/>
      <c r="H377" s="20"/>
    </row>
    <row r="378" spans="7:8" s="21" customFormat="1" x14ac:dyDescent="0.2">
      <c r="G378" s="20"/>
      <c r="H378" s="20"/>
    </row>
    <row r="379" spans="7:8" s="21" customFormat="1" x14ac:dyDescent="0.2">
      <c r="G379" s="20"/>
      <c r="H379" s="20"/>
    </row>
    <row r="380" spans="7:8" s="21" customFormat="1" x14ac:dyDescent="0.2">
      <c r="G380" s="20"/>
      <c r="H380" s="20"/>
    </row>
    <row r="381" spans="7:8" s="21" customFormat="1" x14ac:dyDescent="0.2">
      <c r="G381" s="20"/>
      <c r="H381" s="20"/>
    </row>
    <row r="382" spans="7:8" s="21" customFormat="1" x14ac:dyDescent="0.2">
      <c r="G382" s="20"/>
      <c r="H382" s="20"/>
    </row>
    <row r="383" spans="7:8" s="21" customFormat="1" x14ac:dyDescent="0.2">
      <c r="G383" s="20"/>
      <c r="H383" s="20"/>
    </row>
    <row r="384" spans="7:8" s="21" customFormat="1" x14ac:dyDescent="0.2">
      <c r="G384" s="20"/>
      <c r="H384" s="20"/>
    </row>
    <row r="385" spans="7:8" s="21" customFormat="1" x14ac:dyDescent="0.2">
      <c r="G385" s="20"/>
      <c r="H385" s="20"/>
    </row>
    <row r="386" spans="7:8" s="21" customFormat="1" x14ac:dyDescent="0.2">
      <c r="G386" s="20"/>
      <c r="H386" s="20"/>
    </row>
    <row r="387" spans="7:8" s="21" customFormat="1" x14ac:dyDescent="0.2">
      <c r="G387" s="20"/>
      <c r="H387" s="20"/>
    </row>
    <row r="388" spans="7:8" s="21" customFormat="1" x14ac:dyDescent="0.2">
      <c r="G388" s="20"/>
      <c r="H388" s="20"/>
    </row>
    <row r="389" spans="7:8" s="21" customFormat="1" x14ac:dyDescent="0.2">
      <c r="G389" s="20"/>
      <c r="H389" s="20"/>
    </row>
    <row r="390" spans="7:8" s="21" customFormat="1" x14ac:dyDescent="0.2">
      <c r="G390" s="20"/>
      <c r="H390" s="20"/>
    </row>
    <row r="391" spans="7:8" s="21" customFormat="1" x14ac:dyDescent="0.2">
      <c r="G391" s="20"/>
      <c r="H391" s="20"/>
    </row>
    <row r="392" spans="7:8" s="21" customFormat="1" x14ac:dyDescent="0.2">
      <c r="G392" s="20"/>
      <c r="H392" s="20"/>
    </row>
    <row r="393" spans="7:8" s="21" customFormat="1" x14ac:dyDescent="0.2">
      <c r="G393" s="20"/>
      <c r="H393" s="20"/>
    </row>
    <row r="394" spans="7:8" s="21" customFormat="1" x14ac:dyDescent="0.2">
      <c r="G394" s="20"/>
      <c r="H394" s="20"/>
    </row>
    <row r="395" spans="7:8" s="21" customFormat="1" x14ac:dyDescent="0.2">
      <c r="G395" s="20"/>
      <c r="H395" s="20"/>
    </row>
    <row r="396" spans="7:8" s="21" customFormat="1" x14ac:dyDescent="0.2">
      <c r="G396" s="20"/>
      <c r="H396" s="20"/>
    </row>
    <row r="397" spans="7:8" s="21" customFormat="1" x14ac:dyDescent="0.2">
      <c r="G397" s="20"/>
      <c r="H397" s="20"/>
    </row>
    <row r="398" spans="7:8" s="21" customFormat="1" x14ac:dyDescent="0.2">
      <c r="G398" s="20"/>
      <c r="H398" s="20"/>
    </row>
    <row r="399" spans="7:8" s="21" customFormat="1" x14ac:dyDescent="0.2">
      <c r="G399" s="20"/>
      <c r="H399" s="20"/>
    </row>
    <row r="400" spans="7:8" s="21" customFormat="1" x14ac:dyDescent="0.2">
      <c r="G400" s="20"/>
      <c r="H400" s="20"/>
    </row>
    <row r="401" spans="7:8" s="21" customFormat="1" x14ac:dyDescent="0.2">
      <c r="G401" s="20"/>
      <c r="H401" s="20"/>
    </row>
    <row r="402" spans="7:8" s="21" customFormat="1" x14ac:dyDescent="0.2">
      <c r="G402" s="20"/>
      <c r="H402" s="20"/>
    </row>
    <row r="403" spans="7:8" s="21" customFormat="1" x14ac:dyDescent="0.2">
      <c r="G403" s="20"/>
      <c r="H403" s="20"/>
    </row>
    <row r="404" spans="7:8" s="21" customFormat="1" x14ac:dyDescent="0.2">
      <c r="G404" s="20"/>
      <c r="H404" s="20"/>
    </row>
    <row r="405" spans="7:8" s="21" customFormat="1" x14ac:dyDescent="0.2">
      <c r="G405" s="20"/>
      <c r="H405" s="20"/>
    </row>
    <row r="406" spans="7:8" s="21" customFormat="1" x14ac:dyDescent="0.2">
      <c r="G406" s="20"/>
      <c r="H406" s="20"/>
    </row>
    <row r="407" spans="7:8" s="21" customFormat="1" x14ac:dyDescent="0.2">
      <c r="G407" s="20"/>
      <c r="H407" s="20"/>
    </row>
    <row r="408" spans="7:8" s="21" customFormat="1" x14ac:dyDescent="0.2">
      <c r="G408" s="20"/>
      <c r="H408" s="20"/>
    </row>
    <row r="409" spans="7:8" s="21" customFormat="1" x14ac:dyDescent="0.2">
      <c r="G409" s="20"/>
      <c r="H409" s="20"/>
    </row>
    <row r="410" spans="7:8" s="21" customFormat="1" x14ac:dyDescent="0.2">
      <c r="G410" s="20"/>
      <c r="H410" s="20"/>
    </row>
    <row r="411" spans="7:8" s="21" customFormat="1" x14ac:dyDescent="0.2">
      <c r="G411" s="20"/>
      <c r="H411" s="20"/>
    </row>
    <row r="412" spans="7:8" s="21" customFormat="1" x14ac:dyDescent="0.2">
      <c r="G412" s="20"/>
      <c r="H412" s="20"/>
    </row>
    <row r="413" spans="7:8" s="21" customFormat="1" x14ac:dyDescent="0.2">
      <c r="G413" s="20"/>
      <c r="H413" s="20"/>
    </row>
    <row r="414" spans="7:8" s="21" customFormat="1" x14ac:dyDescent="0.2">
      <c r="G414" s="20"/>
      <c r="H414" s="20"/>
    </row>
    <row r="415" spans="7:8" s="21" customFormat="1" x14ac:dyDescent="0.2">
      <c r="G415" s="20"/>
      <c r="H415" s="20"/>
    </row>
    <row r="416" spans="7:8" s="21" customFormat="1" x14ac:dyDescent="0.2">
      <c r="G416" s="20"/>
      <c r="H416" s="20"/>
    </row>
    <row r="417" spans="7:8" s="21" customFormat="1" x14ac:dyDescent="0.2">
      <c r="G417" s="20"/>
      <c r="H417" s="20"/>
    </row>
    <row r="418" spans="7:8" s="21" customFormat="1" x14ac:dyDescent="0.2">
      <c r="G418" s="20"/>
      <c r="H418" s="20"/>
    </row>
    <row r="419" spans="7:8" s="21" customFormat="1" x14ac:dyDescent="0.2">
      <c r="G419" s="20"/>
      <c r="H419" s="20"/>
    </row>
    <row r="420" spans="7:8" s="21" customFormat="1" x14ac:dyDescent="0.2">
      <c r="G420" s="20"/>
      <c r="H420" s="20"/>
    </row>
    <row r="421" spans="7:8" s="21" customFormat="1" x14ac:dyDescent="0.2">
      <c r="G421" s="20"/>
      <c r="H421" s="20"/>
    </row>
    <row r="422" spans="7:8" s="21" customFormat="1" x14ac:dyDescent="0.2">
      <c r="G422" s="20"/>
      <c r="H422" s="20"/>
    </row>
    <row r="423" spans="7:8" s="21" customFormat="1" x14ac:dyDescent="0.2">
      <c r="G423" s="20"/>
      <c r="H423" s="20"/>
    </row>
    <row r="424" spans="7:8" s="21" customFormat="1" x14ac:dyDescent="0.2">
      <c r="G424" s="20"/>
      <c r="H424" s="20"/>
    </row>
    <row r="425" spans="7:8" s="21" customFormat="1" x14ac:dyDescent="0.2">
      <c r="G425" s="20"/>
      <c r="H425" s="20"/>
    </row>
    <row r="426" spans="7:8" s="21" customFormat="1" x14ac:dyDescent="0.2">
      <c r="G426" s="20"/>
      <c r="H426" s="20"/>
    </row>
    <row r="427" spans="7:8" s="21" customFormat="1" x14ac:dyDescent="0.2">
      <c r="G427" s="20"/>
      <c r="H427" s="20"/>
    </row>
    <row r="428" spans="7:8" s="21" customFormat="1" x14ac:dyDescent="0.2">
      <c r="G428" s="20"/>
      <c r="H428" s="20"/>
    </row>
    <row r="429" spans="7:8" s="21" customFormat="1" x14ac:dyDescent="0.2">
      <c r="G429" s="20"/>
      <c r="H429" s="20"/>
    </row>
    <row r="430" spans="7:8" s="21" customFormat="1" x14ac:dyDescent="0.2">
      <c r="G430" s="20"/>
      <c r="H430" s="20"/>
    </row>
    <row r="431" spans="7:8" s="21" customFormat="1" x14ac:dyDescent="0.2">
      <c r="G431" s="20"/>
      <c r="H431" s="20"/>
    </row>
    <row r="432" spans="7:8" s="21" customFormat="1" x14ac:dyDescent="0.2">
      <c r="G432" s="20"/>
      <c r="H432" s="20"/>
    </row>
    <row r="433" spans="7:8" s="21" customFormat="1" x14ac:dyDescent="0.2">
      <c r="G433" s="20"/>
      <c r="H433" s="20"/>
    </row>
    <row r="434" spans="7:8" s="21" customFormat="1" x14ac:dyDescent="0.2">
      <c r="G434" s="20"/>
      <c r="H434" s="20"/>
    </row>
    <row r="435" spans="7:8" s="21" customFormat="1" x14ac:dyDescent="0.2">
      <c r="G435" s="20"/>
      <c r="H435" s="20"/>
    </row>
    <row r="436" spans="7:8" s="21" customFormat="1" x14ac:dyDescent="0.2">
      <c r="G436" s="20"/>
      <c r="H436" s="20"/>
    </row>
    <row r="437" spans="7:8" s="21" customFormat="1" x14ac:dyDescent="0.2">
      <c r="G437" s="20"/>
      <c r="H437" s="20"/>
    </row>
    <row r="438" spans="7:8" s="21" customFormat="1" x14ac:dyDescent="0.2">
      <c r="G438" s="20"/>
      <c r="H438" s="20"/>
    </row>
    <row r="439" spans="7:8" s="21" customFormat="1" x14ac:dyDescent="0.2">
      <c r="G439" s="20"/>
      <c r="H439" s="20"/>
    </row>
    <row r="440" spans="7:8" s="21" customFormat="1" x14ac:dyDescent="0.2">
      <c r="G440" s="20"/>
      <c r="H440" s="20"/>
    </row>
    <row r="441" spans="7:8" s="21" customFormat="1" x14ac:dyDescent="0.2">
      <c r="G441" s="20"/>
      <c r="H441" s="20"/>
    </row>
    <row r="442" spans="7:8" s="21" customFormat="1" x14ac:dyDescent="0.2">
      <c r="G442" s="20"/>
      <c r="H442" s="20"/>
    </row>
    <row r="443" spans="7:8" s="21" customFormat="1" x14ac:dyDescent="0.2">
      <c r="G443" s="20"/>
      <c r="H443" s="20"/>
    </row>
    <row r="444" spans="7:8" s="21" customFormat="1" x14ac:dyDescent="0.2">
      <c r="G444" s="20"/>
      <c r="H444" s="20"/>
    </row>
    <row r="445" spans="7:8" s="21" customFormat="1" x14ac:dyDescent="0.2">
      <c r="G445" s="20"/>
      <c r="H445" s="20"/>
    </row>
    <row r="446" spans="7:8" s="21" customFormat="1" x14ac:dyDescent="0.2">
      <c r="G446" s="20"/>
      <c r="H446" s="20"/>
    </row>
    <row r="447" spans="7:8" s="21" customFormat="1" x14ac:dyDescent="0.2">
      <c r="G447" s="20"/>
      <c r="H447" s="20"/>
    </row>
    <row r="448" spans="7:8" s="21" customFormat="1" x14ac:dyDescent="0.2">
      <c r="G448" s="20"/>
      <c r="H448" s="20"/>
    </row>
    <row r="449" spans="7:8" s="21" customFormat="1" x14ac:dyDescent="0.2">
      <c r="G449" s="20"/>
      <c r="H449" s="20"/>
    </row>
    <row r="450" spans="7:8" s="21" customFormat="1" x14ac:dyDescent="0.2">
      <c r="G450" s="20"/>
      <c r="H450" s="20"/>
    </row>
    <row r="451" spans="7:8" s="21" customFormat="1" x14ac:dyDescent="0.2">
      <c r="G451" s="20"/>
      <c r="H451" s="20"/>
    </row>
    <row r="452" spans="7:8" s="21" customFormat="1" x14ac:dyDescent="0.2">
      <c r="G452" s="20"/>
      <c r="H452" s="20"/>
    </row>
    <row r="453" spans="7:8" s="21" customFormat="1" x14ac:dyDescent="0.2">
      <c r="G453" s="20"/>
      <c r="H453" s="20"/>
    </row>
    <row r="454" spans="7:8" s="21" customFormat="1" x14ac:dyDescent="0.2">
      <c r="G454" s="20"/>
      <c r="H454" s="20"/>
    </row>
    <row r="455" spans="7:8" s="21" customFormat="1" x14ac:dyDescent="0.2">
      <c r="G455" s="20"/>
      <c r="H455" s="20"/>
    </row>
    <row r="456" spans="7:8" s="21" customFormat="1" x14ac:dyDescent="0.2">
      <c r="G456" s="20"/>
      <c r="H456" s="20"/>
    </row>
    <row r="457" spans="7:8" s="21" customFormat="1" x14ac:dyDescent="0.2">
      <c r="G457" s="20"/>
      <c r="H457" s="20"/>
    </row>
    <row r="458" spans="7:8" s="21" customFormat="1" x14ac:dyDescent="0.2">
      <c r="G458" s="20"/>
      <c r="H458" s="20"/>
    </row>
    <row r="459" spans="7:8" s="21" customFormat="1" x14ac:dyDescent="0.2">
      <c r="G459" s="20"/>
      <c r="H459" s="20"/>
    </row>
    <row r="460" spans="7:8" s="21" customFormat="1" x14ac:dyDescent="0.2">
      <c r="G460" s="20"/>
      <c r="H460" s="20"/>
    </row>
    <row r="461" spans="7:8" s="21" customFormat="1" x14ac:dyDescent="0.2">
      <c r="G461" s="20"/>
      <c r="H461" s="20"/>
    </row>
    <row r="462" spans="7:8" s="21" customFormat="1" x14ac:dyDescent="0.2">
      <c r="G462" s="20"/>
      <c r="H462" s="20"/>
    </row>
    <row r="463" spans="7:8" s="21" customFormat="1" x14ac:dyDescent="0.2">
      <c r="G463" s="20"/>
      <c r="H463" s="20"/>
    </row>
    <row r="464" spans="7:8" s="21" customFormat="1" x14ac:dyDescent="0.2">
      <c r="G464" s="20"/>
      <c r="H464" s="20"/>
    </row>
    <row r="465" spans="7:8" s="21" customFormat="1" x14ac:dyDescent="0.2">
      <c r="G465" s="20"/>
      <c r="H465" s="20"/>
    </row>
    <row r="466" spans="7:8" s="21" customFormat="1" x14ac:dyDescent="0.2">
      <c r="G466" s="20"/>
      <c r="H466" s="20"/>
    </row>
    <row r="467" spans="7:8" s="21" customFormat="1" x14ac:dyDescent="0.2">
      <c r="G467" s="20"/>
      <c r="H467" s="20"/>
    </row>
    <row r="468" spans="7:8" s="21" customFormat="1" x14ac:dyDescent="0.2">
      <c r="G468" s="20"/>
      <c r="H468" s="20"/>
    </row>
    <row r="469" spans="7:8" s="21" customFormat="1" x14ac:dyDescent="0.2">
      <c r="G469" s="20"/>
      <c r="H469" s="20"/>
    </row>
    <row r="470" spans="7:8" s="21" customFormat="1" x14ac:dyDescent="0.2">
      <c r="G470" s="20"/>
      <c r="H470" s="20"/>
    </row>
    <row r="471" spans="7:8" s="21" customFormat="1" x14ac:dyDescent="0.2">
      <c r="G471" s="20"/>
      <c r="H471" s="20"/>
    </row>
    <row r="472" spans="7:8" s="21" customFormat="1" x14ac:dyDescent="0.2">
      <c r="G472" s="20"/>
      <c r="H472" s="20"/>
    </row>
    <row r="473" spans="7:8" s="21" customFormat="1" x14ac:dyDescent="0.2">
      <c r="G473" s="20"/>
      <c r="H473" s="20"/>
    </row>
    <row r="474" spans="7:8" s="21" customFormat="1" x14ac:dyDescent="0.2">
      <c r="G474" s="20"/>
      <c r="H474" s="20"/>
    </row>
    <row r="475" spans="7:8" s="21" customFormat="1" x14ac:dyDescent="0.2">
      <c r="G475" s="20"/>
      <c r="H475" s="20"/>
    </row>
    <row r="476" spans="7:8" s="21" customFormat="1" x14ac:dyDescent="0.2">
      <c r="G476" s="20"/>
      <c r="H476" s="20"/>
    </row>
    <row r="477" spans="7:8" s="21" customFormat="1" x14ac:dyDescent="0.2">
      <c r="G477" s="20"/>
      <c r="H477" s="20"/>
    </row>
    <row r="478" spans="7:8" s="21" customFormat="1" x14ac:dyDescent="0.2">
      <c r="G478" s="20"/>
      <c r="H478" s="20"/>
    </row>
    <row r="479" spans="7:8" s="21" customFormat="1" x14ac:dyDescent="0.2">
      <c r="G479" s="20"/>
      <c r="H479" s="20"/>
    </row>
    <row r="480" spans="7:8" s="21" customFormat="1" x14ac:dyDescent="0.2">
      <c r="G480" s="20"/>
      <c r="H480" s="20"/>
    </row>
    <row r="481" spans="7:8" s="21" customFormat="1" x14ac:dyDescent="0.2">
      <c r="G481" s="20"/>
      <c r="H481" s="20"/>
    </row>
    <row r="482" spans="7:8" s="21" customFormat="1" x14ac:dyDescent="0.2">
      <c r="G482" s="20"/>
      <c r="H482" s="20"/>
    </row>
    <row r="483" spans="7:8" s="21" customFormat="1" x14ac:dyDescent="0.2">
      <c r="G483" s="20"/>
      <c r="H483" s="20"/>
    </row>
    <row r="484" spans="7:8" s="21" customFormat="1" x14ac:dyDescent="0.2">
      <c r="G484" s="20"/>
      <c r="H484" s="20"/>
    </row>
    <row r="485" spans="7:8" s="21" customFormat="1" x14ac:dyDescent="0.2">
      <c r="G485" s="20"/>
      <c r="H485" s="20"/>
    </row>
    <row r="486" spans="7:8" s="21" customFormat="1" x14ac:dyDescent="0.2">
      <c r="G486" s="20"/>
      <c r="H486" s="20"/>
    </row>
    <row r="487" spans="7:8" s="21" customFormat="1" x14ac:dyDescent="0.2">
      <c r="G487" s="20"/>
      <c r="H487" s="20"/>
    </row>
    <row r="488" spans="7:8" s="21" customFormat="1" x14ac:dyDescent="0.2">
      <c r="G488" s="20"/>
      <c r="H488" s="20"/>
    </row>
    <row r="489" spans="7:8" s="21" customFormat="1" x14ac:dyDescent="0.2">
      <c r="G489" s="20"/>
      <c r="H489" s="20"/>
    </row>
    <row r="490" spans="7:8" s="21" customFormat="1" x14ac:dyDescent="0.2">
      <c r="G490" s="20"/>
      <c r="H490" s="20"/>
    </row>
    <row r="491" spans="7:8" s="21" customFormat="1" x14ac:dyDescent="0.2">
      <c r="G491" s="20"/>
      <c r="H491" s="20"/>
    </row>
    <row r="492" spans="7:8" s="21" customFormat="1" x14ac:dyDescent="0.2">
      <c r="G492" s="20"/>
      <c r="H492" s="20"/>
    </row>
    <row r="493" spans="7:8" s="21" customFormat="1" x14ac:dyDescent="0.2">
      <c r="G493" s="20"/>
      <c r="H493" s="20"/>
    </row>
    <row r="494" spans="7:8" s="21" customFormat="1" x14ac:dyDescent="0.2">
      <c r="G494" s="20"/>
      <c r="H494" s="20"/>
    </row>
    <row r="495" spans="7:8" s="21" customFormat="1" x14ac:dyDescent="0.2">
      <c r="G495" s="20"/>
      <c r="H495" s="20"/>
    </row>
    <row r="496" spans="7:8" s="21" customFormat="1" x14ac:dyDescent="0.2">
      <c r="G496" s="20"/>
      <c r="H496" s="20"/>
    </row>
    <row r="497" spans="7:8" s="21" customFormat="1" x14ac:dyDescent="0.2">
      <c r="G497" s="20"/>
      <c r="H497" s="20"/>
    </row>
    <row r="498" spans="7:8" s="21" customFormat="1" x14ac:dyDescent="0.2">
      <c r="G498" s="20"/>
      <c r="H498" s="20"/>
    </row>
    <row r="499" spans="7:8" s="21" customFormat="1" x14ac:dyDescent="0.2">
      <c r="G499" s="20"/>
      <c r="H499" s="20"/>
    </row>
    <row r="500" spans="7:8" s="21" customFormat="1" x14ac:dyDescent="0.2">
      <c r="G500" s="20"/>
      <c r="H500" s="20"/>
    </row>
    <row r="501" spans="7:8" s="21" customFormat="1" x14ac:dyDescent="0.2">
      <c r="G501" s="20"/>
      <c r="H501" s="20"/>
    </row>
    <row r="502" spans="7:8" s="21" customFormat="1" x14ac:dyDescent="0.2">
      <c r="G502" s="20"/>
      <c r="H502" s="20"/>
    </row>
    <row r="503" spans="7:8" s="21" customFormat="1" x14ac:dyDescent="0.2">
      <c r="G503" s="20"/>
      <c r="H503" s="20"/>
    </row>
    <row r="504" spans="7:8" s="21" customFormat="1" x14ac:dyDescent="0.2">
      <c r="G504" s="20"/>
      <c r="H504" s="20"/>
    </row>
    <row r="505" spans="7:8" s="21" customFormat="1" x14ac:dyDescent="0.2">
      <c r="G505" s="20"/>
      <c r="H505" s="20"/>
    </row>
    <row r="506" spans="7:8" s="21" customFormat="1" x14ac:dyDescent="0.2">
      <c r="G506" s="20"/>
      <c r="H506" s="20"/>
    </row>
    <row r="507" spans="7:8" s="21" customFormat="1" x14ac:dyDescent="0.2">
      <c r="G507" s="20"/>
      <c r="H507" s="20"/>
    </row>
    <row r="508" spans="7:8" s="21" customFormat="1" x14ac:dyDescent="0.2">
      <c r="G508" s="20"/>
      <c r="H508" s="20"/>
    </row>
    <row r="509" spans="7:8" s="21" customFormat="1" x14ac:dyDescent="0.2">
      <c r="G509" s="20"/>
      <c r="H509" s="20"/>
    </row>
    <row r="510" spans="7:8" s="21" customFormat="1" x14ac:dyDescent="0.2">
      <c r="G510" s="20"/>
      <c r="H510" s="20"/>
    </row>
    <row r="511" spans="7:8" s="21" customFormat="1" x14ac:dyDescent="0.2">
      <c r="G511" s="20"/>
      <c r="H511" s="20"/>
    </row>
    <row r="512" spans="7:8" s="21" customFormat="1" x14ac:dyDescent="0.2">
      <c r="G512" s="20"/>
      <c r="H512" s="20"/>
    </row>
    <row r="513" spans="7:8" s="21" customFormat="1" x14ac:dyDescent="0.2">
      <c r="G513" s="20"/>
      <c r="H513" s="20"/>
    </row>
    <row r="514" spans="7:8" s="21" customFormat="1" x14ac:dyDescent="0.2">
      <c r="G514" s="20"/>
      <c r="H514" s="20"/>
    </row>
    <row r="515" spans="7:8" s="21" customFormat="1" x14ac:dyDescent="0.2">
      <c r="G515" s="20"/>
      <c r="H515" s="20"/>
    </row>
    <row r="516" spans="7:8" s="21" customFormat="1" x14ac:dyDescent="0.2">
      <c r="G516" s="20"/>
      <c r="H516" s="20"/>
    </row>
    <row r="517" spans="7:8" s="21" customFormat="1" x14ac:dyDescent="0.2">
      <c r="G517" s="20"/>
      <c r="H517" s="20"/>
    </row>
    <row r="518" spans="7:8" s="21" customFormat="1" x14ac:dyDescent="0.2">
      <c r="G518" s="20"/>
      <c r="H518" s="20"/>
    </row>
    <row r="519" spans="7:8" s="21" customFormat="1" x14ac:dyDescent="0.2">
      <c r="G519" s="20"/>
      <c r="H519" s="20"/>
    </row>
    <row r="520" spans="7:8" s="21" customFormat="1" x14ac:dyDescent="0.2">
      <c r="G520" s="20"/>
      <c r="H520" s="20"/>
    </row>
    <row r="521" spans="7:8" s="21" customFormat="1" x14ac:dyDescent="0.2">
      <c r="G521" s="20"/>
      <c r="H521" s="20"/>
    </row>
    <row r="522" spans="7:8" s="21" customFormat="1" x14ac:dyDescent="0.2">
      <c r="G522" s="20"/>
      <c r="H522" s="20"/>
    </row>
    <row r="523" spans="7:8" s="21" customFormat="1" x14ac:dyDescent="0.2">
      <c r="G523" s="20"/>
      <c r="H523" s="20"/>
    </row>
    <row r="524" spans="7:8" s="21" customFormat="1" x14ac:dyDescent="0.2">
      <c r="G524" s="20"/>
      <c r="H524" s="20"/>
    </row>
    <row r="525" spans="7:8" s="21" customFormat="1" x14ac:dyDescent="0.2">
      <c r="G525" s="20"/>
      <c r="H525" s="20"/>
    </row>
    <row r="526" spans="7:8" s="21" customFormat="1" x14ac:dyDescent="0.2">
      <c r="G526" s="20"/>
      <c r="H526" s="20"/>
    </row>
    <row r="527" spans="7:8" s="21" customFormat="1" x14ac:dyDescent="0.2">
      <c r="G527" s="20"/>
      <c r="H527" s="20"/>
    </row>
    <row r="528" spans="7:8" s="21" customFormat="1" x14ac:dyDescent="0.2">
      <c r="G528" s="20"/>
      <c r="H528" s="20"/>
    </row>
    <row r="529" spans="7:8" s="21" customFormat="1" x14ac:dyDescent="0.2">
      <c r="G529" s="20"/>
      <c r="H529" s="20"/>
    </row>
    <row r="530" spans="7:8" s="21" customFormat="1" x14ac:dyDescent="0.2">
      <c r="G530" s="20"/>
      <c r="H530" s="20"/>
    </row>
    <row r="531" spans="7:8" s="21" customFormat="1" x14ac:dyDescent="0.2">
      <c r="G531" s="20"/>
      <c r="H531" s="20"/>
    </row>
    <row r="532" spans="7:8" s="21" customFormat="1" x14ac:dyDescent="0.2">
      <c r="G532" s="20"/>
      <c r="H532" s="20"/>
    </row>
    <row r="533" spans="7:8" s="21" customFormat="1" x14ac:dyDescent="0.2">
      <c r="G533" s="20"/>
      <c r="H533" s="20"/>
    </row>
    <row r="534" spans="7:8" s="21" customFormat="1" x14ac:dyDescent="0.2">
      <c r="G534" s="20"/>
      <c r="H534" s="20"/>
    </row>
    <row r="535" spans="7:8" s="21" customFormat="1" x14ac:dyDescent="0.2">
      <c r="G535" s="20"/>
      <c r="H535" s="20"/>
    </row>
    <row r="536" spans="7:8" s="21" customFormat="1" x14ac:dyDescent="0.2">
      <c r="G536" s="20"/>
      <c r="H536" s="20"/>
    </row>
    <row r="537" spans="7:8" s="21" customFormat="1" x14ac:dyDescent="0.2">
      <c r="G537" s="20"/>
      <c r="H537" s="20"/>
    </row>
    <row r="538" spans="7:8" s="21" customFormat="1" x14ac:dyDescent="0.2">
      <c r="G538" s="20"/>
      <c r="H538" s="20"/>
    </row>
    <row r="539" spans="7:8" s="21" customFormat="1" x14ac:dyDescent="0.2">
      <c r="G539" s="20"/>
      <c r="H539" s="20"/>
    </row>
    <row r="540" spans="7:8" s="21" customFormat="1" x14ac:dyDescent="0.2">
      <c r="G540" s="20"/>
      <c r="H540" s="20"/>
    </row>
    <row r="541" spans="7:8" s="21" customFormat="1" x14ac:dyDescent="0.2">
      <c r="G541" s="20"/>
      <c r="H541" s="20"/>
    </row>
    <row r="542" spans="7:8" s="21" customFormat="1" x14ac:dyDescent="0.2">
      <c r="G542" s="20"/>
      <c r="H542" s="20"/>
    </row>
    <row r="543" spans="7:8" s="21" customFormat="1" x14ac:dyDescent="0.2">
      <c r="G543" s="20"/>
      <c r="H543" s="20"/>
    </row>
    <row r="544" spans="7:8" s="21" customFormat="1" x14ac:dyDescent="0.2">
      <c r="G544" s="20"/>
      <c r="H544" s="20"/>
    </row>
    <row r="545" spans="7:8" s="21" customFormat="1" x14ac:dyDescent="0.2">
      <c r="G545" s="20"/>
      <c r="H545" s="20"/>
    </row>
    <row r="546" spans="7:8" s="21" customFormat="1" x14ac:dyDescent="0.2">
      <c r="G546" s="20"/>
      <c r="H546" s="20"/>
    </row>
    <row r="547" spans="7:8" s="21" customFormat="1" x14ac:dyDescent="0.2">
      <c r="G547" s="20"/>
      <c r="H547" s="20"/>
    </row>
    <row r="548" spans="7:8" s="21" customFormat="1" x14ac:dyDescent="0.2">
      <c r="G548" s="20"/>
      <c r="H548" s="20"/>
    </row>
    <row r="549" spans="7:8" s="21" customFormat="1" x14ac:dyDescent="0.2">
      <c r="G549" s="20"/>
      <c r="H549" s="20"/>
    </row>
    <row r="550" spans="7:8" s="21" customFormat="1" x14ac:dyDescent="0.2">
      <c r="G550" s="20"/>
      <c r="H550" s="20"/>
    </row>
    <row r="551" spans="7:8" s="21" customFormat="1" x14ac:dyDescent="0.2">
      <c r="G551" s="20"/>
      <c r="H551" s="20"/>
    </row>
    <row r="552" spans="7:8" s="21" customFormat="1" x14ac:dyDescent="0.2">
      <c r="G552" s="20"/>
      <c r="H552" s="20"/>
    </row>
    <row r="553" spans="7:8" s="21" customFormat="1" x14ac:dyDescent="0.2">
      <c r="G553" s="20"/>
      <c r="H553" s="20"/>
    </row>
    <row r="554" spans="7:8" s="21" customFormat="1" x14ac:dyDescent="0.2">
      <c r="G554" s="20"/>
      <c r="H554" s="20"/>
    </row>
    <row r="555" spans="7:8" s="21" customFormat="1" x14ac:dyDescent="0.2">
      <c r="G555" s="20"/>
      <c r="H555" s="20"/>
    </row>
    <row r="556" spans="7:8" s="21" customFormat="1" x14ac:dyDescent="0.2">
      <c r="G556" s="20"/>
      <c r="H556" s="20"/>
    </row>
    <row r="557" spans="7:8" s="21" customFormat="1" x14ac:dyDescent="0.2">
      <c r="G557" s="20"/>
      <c r="H557" s="20"/>
    </row>
    <row r="558" spans="7:8" s="21" customFormat="1" x14ac:dyDescent="0.2">
      <c r="G558" s="20"/>
      <c r="H558" s="20"/>
    </row>
    <row r="559" spans="7:8" s="21" customFormat="1" x14ac:dyDescent="0.2">
      <c r="G559" s="20"/>
      <c r="H559" s="20"/>
    </row>
    <row r="560" spans="7:8" s="21" customFormat="1" x14ac:dyDescent="0.2">
      <c r="G560" s="20"/>
      <c r="H560" s="20"/>
    </row>
    <row r="561" spans="7:8" s="21" customFormat="1" x14ac:dyDescent="0.2">
      <c r="G561" s="20"/>
      <c r="H561" s="20"/>
    </row>
    <row r="562" spans="7:8" s="21" customFormat="1" x14ac:dyDescent="0.2">
      <c r="G562" s="20"/>
      <c r="H562" s="20"/>
    </row>
    <row r="563" spans="7:8" s="21" customFormat="1" x14ac:dyDescent="0.2">
      <c r="G563" s="20"/>
      <c r="H563" s="20"/>
    </row>
    <row r="564" spans="7:8" s="21" customFormat="1" x14ac:dyDescent="0.2">
      <c r="G564" s="20"/>
      <c r="H564" s="20"/>
    </row>
    <row r="565" spans="7:8" s="21" customFormat="1" x14ac:dyDescent="0.2">
      <c r="G565" s="20"/>
      <c r="H565" s="20"/>
    </row>
    <row r="566" spans="7:8" s="21" customFormat="1" x14ac:dyDescent="0.2">
      <c r="G566" s="20"/>
      <c r="H566" s="20"/>
    </row>
    <row r="567" spans="7:8" s="21" customFormat="1" x14ac:dyDescent="0.2">
      <c r="G567" s="20"/>
      <c r="H567" s="20"/>
    </row>
    <row r="568" spans="7:8" s="21" customFormat="1" x14ac:dyDescent="0.2">
      <c r="G568" s="20"/>
      <c r="H568" s="20"/>
    </row>
    <row r="569" spans="7:8" s="21" customFormat="1" x14ac:dyDescent="0.2">
      <c r="G569" s="20"/>
      <c r="H569" s="20"/>
    </row>
    <row r="570" spans="7:8" s="21" customFormat="1" x14ac:dyDescent="0.2">
      <c r="G570" s="20"/>
      <c r="H570" s="20"/>
    </row>
    <row r="571" spans="7:8" s="21" customFormat="1" x14ac:dyDescent="0.2">
      <c r="G571" s="20"/>
      <c r="H571" s="20"/>
    </row>
    <row r="572" spans="7:8" s="21" customFormat="1" x14ac:dyDescent="0.2">
      <c r="G572" s="20"/>
      <c r="H572" s="20"/>
    </row>
    <row r="573" spans="7:8" s="21" customFormat="1" x14ac:dyDescent="0.2">
      <c r="G573" s="20"/>
      <c r="H573" s="20"/>
    </row>
    <row r="574" spans="7:8" s="21" customFormat="1" x14ac:dyDescent="0.2">
      <c r="G574" s="20"/>
      <c r="H574" s="20"/>
    </row>
    <row r="575" spans="7:8" s="21" customFormat="1" x14ac:dyDescent="0.2">
      <c r="G575" s="20"/>
      <c r="H575" s="20"/>
    </row>
    <row r="576" spans="7:8" s="21" customFormat="1" x14ac:dyDescent="0.2">
      <c r="G576" s="20"/>
      <c r="H576" s="20"/>
    </row>
    <row r="577" spans="7:8" s="21" customFormat="1" x14ac:dyDescent="0.2">
      <c r="G577" s="20"/>
      <c r="H577" s="20"/>
    </row>
    <row r="578" spans="7:8" s="21" customFormat="1" x14ac:dyDescent="0.2">
      <c r="G578" s="20"/>
      <c r="H578" s="20"/>
    </row>
    <row r="579" spans="7:8" s="21" customFormat="1" x14ac:dyDescent="0.2">
      <c r="G579" s="20"/>
      <c r="H579" s="20"/>
    </row>
    <row r="580" spans="7:8" s="21" customFormat="1" x14ac:dyDescent="0.2">
      <c r="G580" s="20"/>
      <c r="H580" s="20"/>
    </row>
    <row r="581" spans="7:8" s="21" customFormat="1" x14ac:dyDescent="0.2">
      <c r="G581" s="20"/>
      <c r="H581" s="20"/>
    </row>
    <row r="582" spans="7:8" s="21" customFormat="1" x14ac:dyDescent="0.2">
      <c r="G582" s="20"/>
      <c r="H582" s="20"/>
    </row>
    <row r="583" spans="7:8" s="21" customFormat="1" x14ac:dyDescent="0.2">
      <c r="G583" s="20"/>
      <c r="H583" s="20"/>
    </row>
    <row r="584" spans="7:8" s="21" customFormat="1" x14ac:dyDescent="0.2">
      <c r="G584" s="20"/>
      <c r="H584" s="20"/>
    </row>
    <row r="585" spans="7:8" s="21" customFormat="1" x14ac:dyDescent="0.2">
      <c r="G585" s="20"/>
      <c r="H585" s="20"/>
    </row>
    <row r="586" spans="7:8" s="21" customFormat="1" x14ac:dyDescent="0.2">
      <c r="G586" s="20"/>
      <c r="H586" s="20"/>
    </row>
    <row r="587" spans="7:8" s="21" customFormat="1" x14ac:dyDescent="0.2">
      <c r="G587" s="20"/>
      <c r="H587" s="20"/>
    </row>
    <row r="588" spans="7:8" s="21" customFormat="1" x14ac:dyDescent="0.2">
      <c r="G588" s="20"/>
      <c r="H588" s="20"/>
    </row>
    <row r="589" spans="7:8" s="21" customFormat="1" x14ac:dyDescent="0.2">
      <c r="G589" s="20"/>
      <c r="H589" s="20"/>
    </row>
    <row r="590" spans="7:8" s="21" customFormat="1" x14ac:dyDescent="0.2">
      <c r="G590" s="20"/>
      <c r="H590" s="20"/>
    </row>
    <row r="591" spans="7:8" s="21" customFormat="1" x14ac:dyDescent="0.2">
      <c r="G591" s="20"/>
      <c r="H591" s="20"/>
    </row>
    <row r="592" spans="7:8" s="21" customFormat="1" x14ac:dyDescent="0.2">
      <c r="G592" s="20"/>
      <c r="H592" s="20"/>
    </row>
    <row r="593" spans="7:8" s="21" customFormat="1" x14ac:dyDescent="0.2">
      <c r="G593" s="20"/>
      <c r="H593" s="20"/>
    </row>
    <row r="594" spans="7:8" s="21" customFormat="1" x14ac:dyDescent="0.2">
      <c r="G594" s="20"/>
      <c r="H594" s="20"/>
    </row>
    <row r="595" spans="7:8" s="21" customFormat="1" x14ac:dyDescent="0.2">
      <c r="G595" s="20"/>
      <c r="H595" s="20"/>
    </row>
    <row r="596" spans="7:8" s="21" customFormat="1" x14ac:dyDescent="0.2">
      <c r="G596" s="20"/>
      <c r="H596" s="20"/>
    </row>
    <row r="597" spans="7:8" s="21" customFormat="1" x14ac:dyDescent="0.2">
      <c r="G597" s="20"/>
      <c r="H597" s="20"/>
    </row>
    <row r="598" spans="7:8" s="21" customFormat="1" x14ac:dyDescent="0.2">
      <c r="G598" s="20"/>
      <c r="H598" s="20"/>
    </row>
    <row r="599" spans="7:8" s="21" customFormat="1" x14ac:dyDescent="0.2">
      <c r="G599" s="20"/>
      <c r="H599" s="20"/>
    </row>
    <row r="600" spans="7:8" s="21" customFormat="1" x14ac:dyDescent="0.2">
      <c r="G600" s="20"/>
      <c r="H600" s="20"/>
    </row>
    <row r="601" spans="7:8" s="21" customFormat="1" x14ac:dyDescent="0.2">
      <c r="G601" s="20"/>
      <c r="H601" s="20"/>
    </row>
    <row r="602" spans="7:8" s="21" customFormat="1" x14ac:dyDescent="0.2">
      <c r="G602" s="20"/>
      <c r="H602" s="20"/>
    </row>
    <row r="603" spans="7:8" s="21" customFormat="1" x14ac:dyDescent="0.2">
      <c r="G603" s="20"/>
      <c r="H603" s="20"/>
    </row>
    <row r="604" spans="7:8" s="21" customFormat="1" x14ac:dyDescent="0.2">
      <c r="G604" s="20"/>
      <c r="H604" s="20"/>
    </row>
    <row r="605" spans="7:8" s="21" customFormat="1" x14ac:dyDescent="0.2">
      <c r="G605" s="20"/>
      <c r="H605" s="20"/>
    </row>
    <row r="606" spans="7:8" s="21" customFormat="1" x14ac:dyDescent="0.2">
      <c r="G606" s="20"/>
      <c r="H606" s="20"/>
    </row>
    <row r="607" spans="7:8" s="21" customFormat="1" x14ac:dyDescent="0.2">
      <c r="G607" s="20"/>
      <c r="H607" s="20"/>
    </row>
    <row r="608" spans="7:8" s="21" customFormat="1" x14ac:dyDescent="0.2">
      <c r="G608" s="20"/>
      <c r="H608" s="20"/>
    </row>
    <row r="609" spans="7:8" s="21" customFormat="1" x14ac:dyDescent="0.2">
      <c r="G609" s="20"/>
      <c r="H609" s="20"/>
    </row>
    <row r="610" spans="7:8" s="21" customFormat="1" x14ac:dyDescent="0.2">
      <c r="G610" s="20"/>
      <c r="H610" s="20"/>
    </row>
    <row r="611" spans="7:8" s="21" customFormat="1" x14ac:dyDescent="0.2">
      <c r="G611" s="20"/>
      <c r="H611" s="20"/>
    </row>
    <row r="612" spans="7:8" s="21" customFormat="1" x14ac:dyDescent="0.2">
      <c r="G612" s="20"/>
      <c r="H612" s="20"/>
    </row>
    <row r="613" spans="7:8" s="21" customFormat="1" x14ac:dyDescent="0.2">
      <c r="G613" s="20"/>
      <c r="H613" s="20"/>
    </row>
    <row r="614" spans="7:8" s="21" customFormat="1" x14ac:dyDescent="0.2">
      <c r="G614" s="20"/>
      <c r="H614" s="20"/>
    </row>
    <row r="615" spans="7:8" s="21" customFormat="1" x14ac:dyDescent="0.2">
      <c r="G615" s="20"/>
      <c r="H615" s="20"/>
    </row>
    <row r="616" spans="7:8" s="21" customFormat="1" x14ac:dyDescent="0.2">
      <c r="G616" s="20"/>
      <c r="H616" s="20"/>
    </row>
    <row r="617" spans="7:8" s="21" customFormat="1" x14ac:dyDescent="0.2">
      <c r="G617" s="20"/>
      <c r="H617" s="20"/>
    </row>
    <row r="618" spans="7:8" s="21" customFormat="1" x14ac:dyDescent="0.2">
      <c r="G618" s="20"/>
      <c r="H618" s="20"/>
    </row>
    <row r="619" spans="7:8" s="21" customFormat="1" x14ac:dyDescent="0.2">
      <c r="G619" s="20"/>
      <c r="H619" s="20"/>
    </row>
    <row r="620" spans="7:8" s="21" customFormat="1" x14ac:dyDescent="0.2">
      <c r="G620" s="20"/>
      <c r="H620" s="20"/>
    </row>
    <row r="621" spans="7:8" s="21" customFormat="1" x14ac:dyDescent="0.2">
      <c r="G621" s="20"/>
      <c r="H621" s="20"/>
    </row>
    <row r="622" spans="7:8" s="21" customFormat="1" x14ac:dyDescent="0.2">
      <c r="G622" s="20"/>
      <c r="H622" s="20"/>
    </row>
    <row r="623" spans="7:8" s="21" customFormat="1" x14ac:dyDescent="0.2">
      <c r="G623" s="20"/>
      <c r="H623" s="20"/>
    </row>
    <row r="624" spans="7:8" s="21" customFormat="1" x14ac:dyDescent="0.2">
      <c r="G624" s="20"/>
      <c r="H624" s="20"/>
    </row>
    <row r="625" spans="7:8" s="21" customFormat="1" x14ac:dyDescent="0.2">
      <c r="G625" s="20"/>
      <c r="H625" s="20"/>
    </row>
    <row r="626" spans="7:8" s="21" customFormat="1" x14ac:dyDescent="0.2">
      <c r="G626" s="20"/>
      <c r="H626" s="20"/>
    </row>
    <row r="627" spans="7:8" s="21" customFormat="1" x14ac:dyDescent="0.2">
      <c r="G627" s="20"/>
      <c r="H627" s="20"/>
    </row>
    <row r="628" spans="7:8" s="21" customFormat="1" x14ac:dyDescent="0.2">
      <c r="G628" s="20"/>
      <c r="H628" s="20"/>
    </row>
    <row r="629" spans="7:8" s="21" customFormat="1" x14ac:dyDescent="0.2">
      <c r="G629" s="20"/>
      <c r="H629" s="20"/>
    </row>
    <row r="630" spans="7:8" s="21" customFormat="1" x14ac:dyDescent="0.2">
      <c r="G630" s="20"/>
      <c r="H630" s="20"/>
    </row>
    <row r="631" spans="7:8" s="21" customFormat="1" x14ac:dyDescent="0.2">
      <c r="G631" s="20"/>
      <c r="H631" s="20"/>
    </row>
    <row r="632" spans="7:8" s="21" customFormat="1" x14ac:dyDescent="0.2">
      <c r="G632" s="20"/>
      <c r="H632" s="20"/>
    </row>
    <row r="633" spans="7:8" s="21" customFormat="1" x14ac:dyDescent="0.2">
      <c r="G633" s="20"/>
      <c r="H633" s="20"/>
    </row>
    <row r="634" spans="7:8" s="21" customFormat="1" x14ac:dyDescent="0.2">
      <c r="G634" s="20"/>
      <c r="H634" s="20"/>
    </row>
    <row r="635" spans="7:8" s="21" customFormat="1" x14ac:dyDescent="0.2">
      <c r="G635" s="20"/>
      <c r="H635" s="20"/>
    </row>
    <row r="636" spans="7:8" s="21" customFormat="1" x14ac:dyDescent="0.2">
      <c r="G636" s="20"/>
      <c r="H636" s="20"/>
    </row>
    <row r="637" spans="7:8" s="21" customFormat="1" x14ac:dyDescent="0.2">
      <c r="G637" s="20"/>
      <c r="H637" s="20"/>
    </row>
    <row r="638" spans="7:8" s="21" customFormat="1" x14ac:dyDescent="0.2">
      <c r="G638" s="20"/>
      <c r="H638" s="20"/>
    </row>
    <row r="639" spans="7:8" s="21" customFormat="1" x14ac:dyDescent="0.2">
      <c r="G639" s="20"/>
      <c r="H639" s="20"/>
    </row>
    <row r="640" spans="7:8" s="21" customFormat="1" x14ac:dyDescent="0.2">
      <c r="G640" s="20"/>
      <c r="H640" s="20"/>
    </row>
    <row r="641" spans="7:8" s="21" customFormat="1" x14ac:dyDescent="0.2">
      <c r="G641" s="20"/>
      <c r="H641" s="20"/>
    </row>
    <row r="642" spans="7:8" s="21" customFormat="1" x14ac:dyDescent="0.2">
      <c r="G642" s="20"/>
      <c r="H642" s="20"/>
    </row>
    <row r="643" spans="7:8" s="21" customFormat="1" x14ac:dyDescent="0.2">
      <c r="G643" s="20"/>
      <c r="H643" s="20"/>
    </row>
    <row r="644" spans="7:8" s="21" customFormat="1" x14ac:dyDescent="0.2">
      <c r="G644" s="20"/>
      <c r="H644" s="20"/>
    </row>
    <row r="645" spans="7:8" s="21" customFormat="1" x14ac:dyDescent="0.2">
      <c r="G645" s="20"/>
      <c r="H645" s="20"/>
    </row>
    <row r="646" spans="7:8" s="21" customFormat="1" x14ac:dyDescent="0.2">
      <c r="G646" s="20"/>
      <c r="H646" s="20"/>
    </row>
    <row r="647" spans="7:8" s="21" customFormat="1" x14ac:dyDescent="0.2">
      <c r="G647" s="20"/>
      <c r="H647" s="20"/>
    </row>
    <row r="648" spans="7:8" s="21" customFormat="1" x14ac:dyDescent="0.2">
      <c r="G648" s="20"/>
      <c r="H648" s="20"/>
    </row>
    <row r="649" spans="7:8" s="21" customFormat="1" x14ac:dyDescent="0.2">
      <c r="G649" s="20"/>
      <c r="H649" s="20"/>
    </row>
    <row r="650" spans="7:8" s="21" customFormat="1" x14ac:dyDescent="0.2">
      <c r="G650" s="20"/>
      <c r="H650" s="20"/>
    </row>
    <row r="651" spans="7:8" s="21" customFormat="1" x14ac:dyDescent="0.2">
      <c r="G651" s="20"/>
      <c r="H651" s="20"/>
    </row>
    <row r="652" spans="7:8" s="21" customFormat="1" x14ac:dyDescent="0.2">
      <c r="G652" s="20"/>
      <c r="H652" s="20"/>
    </row>
    <row r="653" spans="7:8" s="21" customFormat="1" x14ac:dyDescent="0.2">
      <c r="G653" s="20"/>
      <c r="H653" s="20"/>
    </row>
    <row r="654" spans="7:8" s="21" customFormat="1" x14ac:dyDescent="0.2">
      <c r="G654" s="20"/>
      <c r="H654" s="20"/>
    </row>
    <row r="655" spans="7:8" s="21" customFormat="1" x14ac:dyDescent="0.2">
      <c r="G655" s="20"/>
      <c r="H655" s="20"/>
    </row>
    <row r="656" spans="7:8" s="21" customFormat="1" x14ac:dyDescent="0.2">
      <c r="G656" s="20"/>
      <c r="H656" s="20"/>
    </row>
    <row r="657" spans="7:8" s="21" customFormat="1" x14ac:dyDescent="0.2">
      <c r="G657" s="20"/>
      <c r="H657" s="20"/>
    </row>
    <row r="658" spans="7:8" s="21" customFormat="1" x14ac:dyDescent="0.2">
      <c r="G658" s="20"/>
      <c r="H658" s="20"/>
    </row>
    <row r="659" spans="7:8" s="21" customFormat="1" x14ac:dyDescent="0.2">
      <c r="G659" s="20"/>
      <c r="H659" s="20"/>
    </row>
    <row r="660" spans="7:8" s="21" customFormat="1" x14ac:dyDescent="0.2">
      <c r="G660" s="20"/>
      <c r="H660" s="20"/>
    </row>
    <row r="661" spans="7:8" s="21" customFormat="1" x14ac:dyDescent="0.2">
      <c r="G661" s="20"/>
      <c r="H661" s="20"/>
    </row>
    <row r="662" spans="7:8" s="21" customFormat="1" x14ac:dyDescent="0.2">
      <c r="G662" s="20"/>
      <c r="H662" s="20"/>
    </row>
    <row r="663" spans="7:8" s="21" customFormat="1" x14ac:dyDescent="0.2">
      <c r="G663" s="20"/>
      <c r="H663" s="20"/>
    </row>
    <row r="664" spans="7:8" s="21" customFormat="1" x14ac:dyDescent="0.2">
      <c r="G664" s="20"/>
      <c r="H664" s="20"/>
    </row>
    <row r="665" spans="7:8" s="21" customFormat="1" x14ac:dyDescent="0.2">
      <c r="G665" s="20"/>
      <c r="H665" s="20"/>
    </row>
    <row r="666" spans="7:8" s="21" customFormat="1" x14ac:dyDescent="0.2">
      <c r="G666" s="20"/>
      <c r="H666" s="20"/>
    </row>
    <row r="667" spans="7:8" s="21" customFormat="1" x14ac:dyDescent="0.2">
      <c r="G667" s="20"/>
      <c r="H667" s="20"/>
    </row>
    <row r="668" spans="7:8" s="21" customFormat="1" x14ac:dyDescent="0.2">
      <c r="G668" s="20"/>
      <c r="H668" s="20"/>
    </row>
    <row r="669" spans="7:8" s="21" customFormat="1" x14ac:dyDescent="0.2">
      <c r="G669" s="20"/>
      <c r="H669" s="20"/>
    </row>
    <row r="670" spans="7:8" s="21" customFormat="1" x14ac:dyDescent="0.2">
      <c r="G670" s="20"/>
      <c r="H670" s="20"/>
    </row>
    <row r="671" spans="7:8" s="21" customFormat="1" x14ac:dyDescent="0.2">
      <c r="G671" s="20"/>
      <c r="H671" s="20"/>
    </row>
    <row r="672" spans="7:8" s="21" customFormat="1" x14ac:dyDescent="0.2">
      <c r="G672" s="20"/>
      <c r="H672" s="20"/>
    </row>
    <row r="673" spans="7:8" s="21" customFormat="1" x14ac:dyDescent="0.2">
      <c r="G673" s="20"/>
      <c r="H673" s="20"/>
    </row>
    <row r="674" spans="7:8" s="21" customFormat="1" x14ac:dyDescent="0.2">
      <c r="G674" s="20"/>
      <c r="H674" s="20"/>
    </row>
    <row r="675" spans="7:8" s="21" customFormat="1" x14ac:dyDescent="0.2">
      <c r="G675" s="20"/>
      <c r="H675" s="20"/>
    </row>
    <row r="676" spans="7:8" s="21" customFormat="1" x14ac:dyDescent="0.2">
      <c r="G676" s="20"/>
      <c r="H676" s="20"/>
    </row>
    <row r="677" spans="7:8" s="21" customFormat="1" x14ac:dyDescent="0.2">
      <c r="G677" s="20"/>
      <c r="H677" s="20"/>
    </row>
    <row r="678" spans="7:8" s="21" customFormat="1" x14ac:dyDescent="0.2">
      <c r="G678" s="20"/>
      <c r="H678" s="20"/>
    </row>
    <row r="679" spans="7:8" s="21" customFormat="1" x14ac:dyDescent="0.2">
      <c r="G679" s="20"/>
      <c r="H679" s="20"/>
    </row>
    <row r="680" spans="7:8" s="21" customFormat="1" x14ac:dyDescent="0.2">
      <c r="G680" s="20"/>
      <c r="H680" s="20"/>
    </row>
    <row r="681" spans="7:8" s="21" customFormat="1" x14ac:dyDescent="0.2">
      <c r="G681" s="20"/>
      <c r="H681" s="20"/>
    </row>
    <row r="682" spans="7:8" s="21" customFormat="1" x14ac:dyDescent="0.2">
      <c r="G682" s="20"/>
      <c r="H682" s="20"/>
    </row>
    <row r="683" spans="7:8" s="21" customFormat="1" x14ac:dyDescent="0.2">
      <c r="G683" s="20"/>
      <c r="H683" s="20"/>
    </row>
    <row r="684" spans="7:8" s="21" customFormat="1" x14ac:dyDescent="0.2">
      <c r="G684" s="20"/>
      <c r="H684" s="20"/>
    </row>
    <row r="685" spans="7:8" s="21" customFormat="1" x14ac:dyDescent="0.2">
      <c r="G685" s="20"/>
      <c r="H685" s="20"/>
    </row>
    <row r="686" spans="7:8" s="21" customFormat="1" x14ac:dyDescent="0.2">
      <c r="G686" s="20"/>
      <c r="H686" s="20"/>
    </row>
    <row r="687" spans="7:8" s="21" customFormat="1" x14ac:dyDescent="0.2">
      <c r="G687" s="20"/>
      <c r="H687" s="20"/>
    </row>
    <row r="688" spans="7:8" s="21" customFormat="1" x14ac:dyDescent="0.2">
      <c r="G688" s="20"/>
      <c r="H688" s="20"/>
    </row>
    <row r="689" spans="7:8" s="21" customFormat="1" x14ac:dyDescent="0.2">
      <c r="G689" s="20"/>
      <c r="H689" s="20"/>
    </row>
    <row r="690" spans="7:8" s="21" customFormat="1" x14ac:dyDescent="0.2">
      <c r="G690" s="20"/>
      <c r="H690" s="20"/>
    </row>
    <row r="691" spans="7:8" s="21" customFormat="1" x14ac:dyDescent="0.2">
      <c r="G691" s="20"/>
      <c r="H691" s="20"/>
    </row>
    <row r="692" spans="7:8" s="21" customFormat="1" x14ac:dyDescent="0.2">
      <c r="G692" s="20"/>
      <c r="H692" s="20"/>
    </row>
    <row r="693" spans="7:8" s="21" customFormat="1" x14ac:dyDescent="0.2">
      <c r="G693" s="20"/>
      <c r="H693" s="20"/>
    </row>
    <row r="694" spans="7:8" s="21" customFormat="1" x14ac:dyDescent="0.2">
      <c r="G694" s="20"/>
      <c r="H694" s="20"/>
    </row>
    <row r="695" spans="7:8" s="21" customFormat="1" x14ac:dyDescent="0.2">
      <c r="G695" s="20"/>
      <c r="H695" s="20"/>
    </row>
    <row r="696" spans="7:8" s="21" customFormat="1" x14ac:dyDescent="0.2">
      <c r="G696" s="20"/>
      <c r="H696" s="20"/>
    </row>
    <row r="697" spans="7:8" s="21" customFormat="1" x14ac:dyDescent="0.2">
      <c r="G697" s="20"/>
      <c r="H697" s="20"/>
    </row>
    <row r="698" spans="7:8" s="21" customFormat="1" x14ac:dyDescent="0.2">
      <c r="G698" s="20"/>
      <c r="H698" s="20"/>
    </row>
    <row r="699" spans="7:8" s="21" customFormat="1" x14ac:dyDescent="0.2">
      <c r="G699" s="20"/>
      <c r="H699" s="20"/>
    </row>
    <row r="700" spans="7:8" s="21" customFormat="1" x14ac:dyDescent="0.2">
      <c r="G700" s="20"/>
      <c r="H700" s="20"/>
    </row>
    <row r="701" spans="7:8" s="21" customFormat="1" x14ac:dyDescent="0.2">
      <c r="G701" s="20"/>
      <c r="H701" s="20"/>
    </row>
    <row r="702" spans="7:8" s="21" customFormat="1" x14ac:dyDescent="0.2">
      <c r="G702" s="20"/>
      <c r="H702" s="20"/>
    </row>
    <row r="703" spans="7:8" s="21" customFormat="1" x14ac:dyDescent="0.2">
      <c r="G703" s="20"/>
      <c r="H703" s="20"/>
    </row>
    <row r="704" spans="7:8" s="21" customFormat="1" x14ac:dyDescent="0.2">
      <c r="G704" s="20"/>
      <c r="H704" s="20"/>
    </row>
    <row r="705" spans="7:8" s="21" customFormat="1" x14ac:dyDescent="0.2">
      <c r="G705" s="20"/>
      <c r="H705" s="20"/>
    </row>
    <row r="706" spans="7:8" s="21" customFormat="1" x14ac:dyDescent="0.2">
      <c r="G706" s="20"/>
      <c r="H706" s="20"/>
    </row>
    <row r="707" spans="7:8" s="21" customFormat="1" x14ac:dyDescent="0.2">
      <c r="G707" s="20"/>
      <c r="H707" s="20"/>
    </row>
    <row r="708" spans="7:8" s="21" customFormat="1" x14ac:dyDescent="0.2">
      <c r="G708" s="20"/>
      <c r="H708" s="20"/>
    </row>
    <row r="709" spans="7:8" s="21" customFormat="1" x14ac:dyDescent="0.2">
      <c r="G709" s="20"/>
      <c r="H709" s="20"/>
    </row>
    <row r="710" spans="7:8" s="21" customFormat="1" x14ac:dyDescent="0.2">
      <c r="G710" s="20"/>
      <c r="H710" s="20"/>
    </row>
    <row r="711" spans="7:8" s="21" customFormat="1" x14ac:dyDescent="0.2">
      <c r="G711" s="20"/>
      <c r="H711" s="20"/>
    </row>
    <row r="712" spans="7:8" s="21" customFormat="1" x14ac:dyDescent="0.2">
      <c r="G712" s="20"/>
      <c r="H712" s="20"/>
    </row>
    <row r="713" spans="7:8" s="21" customFormat="1" x14ac:dyDescent="0.2">
      <c r="G713" s="20"/>
      <c r="H713" s="20"/>
    </row>
    <row r="714" spans="7:8" s="21" customFormat="1" x14ac:dyDescent="0.2">
      <c r="G714" s="20"/>
      <c r="H714" s="20"/>
    </row>
    <row r="715" spans="7:8" s="21" customFormat="1" x14ac:dyDescent="0.2">
      <c r="G715" s="20"/>
      <c r="H715" s="20"/>
    </row>
    <row r="716" spans="7:8" s="21" customFormat="1" x14ac:dyDescent="0.2">
      <c r="G716" s="20"/>
      <c r="H716" s="20"/>
    </row>
    <row r="717" spans="7:8" s="21" customFormat="1" x14ac:dyDescent="0.2">
      <c r="G717" s="20"/>
      <c r="H717" s="20"/>
    </row>
    <row r="718" spans="7:8" s="21" customFormat="1" x14ac:dyDescent="0.2">
      <c r="G718" s="20"/>
      <c r="H718" s="20"/>
    </row>
    <row r="719" spans="7:8" s="21" customFormat="1" x14ac:dyDescent="0.2">
      <c r="G719" s="20"/>
      <c r="H719" s="20"/>
    </row>
    <row r="720" spans="7:8" s="21" customFormat="1" x14ac:dyDescent="0.2">
      <c r="G720" s="20"/>
      <c r="H720" s="20"/>
    </row>
    <row r="721" spans="7:8" s="21" customFormat="1" x14ac:dyDescent="0.2">
      <c r="G721" s="20"/>
      <c r="H721" s="20"/>
    </row>
    <row r="722" spans="7:8" s="21" customFormat="1" x14ac:dyDescent="0.2">
      <c r="G722" s="20"/>
      <c r="H722" s="20"/>
    </row>
    <row r="723" spans="7:8" s="21" customFormat="1" x14ac:dyDescent="0.2">
      <c r="G723" s="20"/>
      <c r="H723" s="20"/>
    </row>
    <row r="724" spans="7:8" s="21" customFormat="1" x14ac:dyDescent="0.2">
      <c r="G724" s="20"/>
      <c r="H724" s="20"/>
    </row>
    <row r="725" spans="7:8" s="21" customFormat="1" x14ac:dyDescent="0.2">
      <c r="G725" s="20"/>
      <c r="H725" s="20"/>
    </row>
    <row r="726" spans="7:8" s="21" customFormat="1" x14ac:dyDescent="0.2">
      <c r="G726" s="20"/>
      <c r="H726" s="20"/>
    </row>
    <row r="727" spans="7:8" s="21" customFormat="1" x14ac:dyDescent="0.2">
      <c r="G727" s="20"/>
      <c r="H727" s="20"/>
    </row>
    <row r="728" spans="7:8" s="21" customFormat="1" x14ac:dyDescent="0.2">
      <c r="G728" s="20"/>
      <c r="H728" s="20"/>
    </row>
    <row r="729" spans="7:8" s="21" customFormat="1" x14ac:dyDescent="0.2">
      <c r="G729" s="20"/>
      <c r="H729" s="20"/>
    </row>
    <row r="730" spans="7:8" s="21" customFormat="1" x14ac:dyDescent="0.2">
      <c r="G730" s="20"/>
      <c r="H730" s="20"/>
    </row>
    <row r="731" spans="7:8" s="21" customFormat="1" x14ac:dyDescent="0.2">
      <c r="G731" s="20"/>
      <c r="H731" s="20"/>
    </row>
    <row r="732" spans="7:8" s="21" customFormat="1" x14ac:dyDescent="0.2">
      <c r="G732" s="20"/>
      <c r="H732" s="20"/>
    </row>
    <row r="733" spans="7:8" s="21" customFormat="1" x14ac:dyDescent="0.2">
      <c r="G733" s="20"/>
      <c r="H733" s="20"/>
    </row>
    <row r="734" spans="7:8" s="21" customFormat="1" x14ac:dyDescent="0.2">
      <c r="G734" s="20"/>
      <c r="H734" s="20"/>
    </row>
    <row r="735" spans="7:8" s="21" customFormat="1" x14ac:dyDescent="0.2">
      <c r="G735" s="20"/>
      <c r="H735" s="20"/>
    </row>
    <row r="736" spans="7:8" s="21" customFormat="1" x14ac:dyDescent="0.2">
      <c r="G736" s="20"/>
      <c r="H736" s="20"/>
    </row>
    <row r="737" spans="7:8" s="21" customFormat="1" x14ac:dyDescent="0.2">
      <c r="G737" s="20"/>
      <c r="H737" s="20"/>
    </row>
    <row r="738" spans="7:8" s="21" customFormat="1" x14ac:dyDescent="0.2">
      <c r="G738" s="20"/>
      <c r="H738" s="20"/>
    </row>
    <row r="739" spans="7:8" s="21" customFormat="1" x14ac:dyDescent="0.2">
      <c r="G739" s="20"/>
      <c r="H739" s="20"/>
    </row>
    <row r="740" spans="7:8" s="21" customFormat="1" x14ac:dyDescent="0.2">
      <c r="G740" s="20"/>
      <c r="H740" s="20"/>
    </row>
    <row r="741" spans="7:8" s="21" customFormat="1" x14ac:dyDescent="0.2">
      <c r="G741" s="20"/>
      <c r="H741" s="20"/>
    </row>
    <row r="742" spans="7:8" s="21" customFormat="1" x14ac:dyDescent="0.2">
      <c r="G742" s="20"/>
      <c r="H742" s="20"/>
    </row>
    <row r="743" spans="7:8" s="21" customFormat="1" x14ac:dyDescent="0.2">
      <c r="G743" s="20"/>
      <c r="H743" s="20"/>
    </row>
    <row r="744" spans="7:8" s="21" customFormat="1" x14ac:dyDescent="0.2">
      <c r="G744" s="20"/>
      <c r="H744" s="20"/>
    </row>
    <row r="745" spans="7:8" s="21" customFormat="1" x14ac:dyDescent="0.2">
      <c r="G745" s="20"/>
      <c r="H745" s="20"/>
    </row>
    <row r="746" spans="7:8" s="21" customFormat="1" x14ac:dyDescent="0.2">
      <c r="G746" s="20"/>
      <c r="H746" s="20"/>
    </row>
    <row r="747" spans="7:8" s="21" customFormat="1" x14ac:dyDescent="0.2">
      <c r="G747" s="20"/>
      <c r="H747" s="20"/>
    </row>
    <row r="748" spans="7:8" s="21" customFormat="1" x14ac:dyDescent="0.2">
      <c r="G748" s="20"/>
      <c r="H748" s="20"/>
    </row>
    <row r="749" spans="7:8" s="21" customFormat="1" x14ac:dyDescent="0.2">
      <c r="G749" s="20"/>
      <c r="H749" s="20"/>
    </row>
    <row r="750" spans="7:8" s="21" customFormat="1" x14ac:dyDescent="0.2">
      <c r="G750" s="20"/>
      <c r="H750" s="20"/>
    </row>
    <row r="751" spans="7:8" s="21" customFormat="1" x14ac:dyDescent="0.2">
      <c r="G751" s="20"/>
      <c r="H751" s="20"/>
    </row>
    <row r="752" spans="7:8" s="21" customFormat="1" x14ac:dyDescent="0.2">
      <c r="G752" s="20"/>
      <c r="H752" s="20"/>
    </row>
    <row r="753" spans="7:8" s="21" customFormat="1" x14ac:dyDescent="0.2">
      <c r="G753" s="20"/>
      <c r="H753" s="20"/>
    </row>
    <row r="754" spans="7:8" s="21" customFormat="1" x14ac:dyDescent="0.2">
      <c r="G754" s="20"/>
      <c r="H754" s="20"/>
    </row>
    <row r="755" spans="7:8" s="21" customFormat="1" x14ac:dyDescent="0.2">
      <c r="G755" s="20"/>
      <c r="H755" s="20"/>
    </row>
    <row r="756" spans="7:8" s="21" customFormat="1" x14ac:dyDescent="0.2">
      <c r="G756" s="20"/>
      <c r="H756" s="20"/>
    </row>
    <row r="757" spans="7:8" s="21" customFormat="1" x14ac:dyDescent="0.2">
      <c r="G757" s="20"/>
      <c r="H757" s="20"/>
    </row>
    <row r="758" spans="7:8" s="21" customFormat="1" x14ac:dyDescent="0.2">
      <c r="G758" s="20"/>
      <c r="H758" s="20"/>
    </row>
    <row r="759" spans="7:8" s="21" customFormat="1" x14ac:dyDescent="0.2">
      <c r="G759" s="20"/>
      <c r="H759" s="20"/>
    </row>
    <row r="760" spans="7:8" s="21" customFormat="1" x14ac:dyDescent="0.2">
      <c r="G760" s="20"/>
      <c r="H760" s="20"/>
    </row>
    <row r="761" spans="7:8" s="21" customFormat="1" x14ac:dyDescent="0.2">
      <c r="G761" s="20"/>
      <c r="H761" s="20"/>
    </row>
    <row r="762" spans="7:8" s="21" customFormat="1" x14ac:dyDescent="0.2">
      <c r="G762" s="20"/>
      <c r="H762" s="20"/>
    </row>
    <row r="763" spans="7:8" s="21" customFormat="1" x14ac:dyDescent="0.2">
      <c r="G763" s="20"/>
      <c r="H763" s="20"/>
    </row>
    <row r="764" spans="7:8" s="21" customFormat="1" x14ac:dyDescent="0.2">
      <c r="G764" s="20"/>
      <c r="H764" s="20"/>
    </row>
    <row r="765" spans="7:8" s="21" customFormat="1" x14ac:dyDescent="0.2">
      <c r="G765" s="20"/>
      <c r="H765" s="20"/>
    </row>
    <row r="766" spans="7:8" s="21" customFormat="1" x14ac:dyDescent="0.2">
      <c r="G766" s="20"/>
      <c r="H766" s="20"/>
    </row>
    <row r="767" spans="7:8" s="21" customFormat="1" x14ac:dyDescent="0.2">
      <c r="G767" s="20"/>
      <c r="H767" s="20"/>
    </row>
    <row r="768" spans="7:8" s="21" customFormat="1" x14ac:dyDescent="0.2">
      <c r="G768" s="20"/>
      <c r="H768" s="20"/>
    </row>
    <row r="769" spans="7:8" s="21" customFormat="1" x14ac:dyDescent="0.2">
      <c r="G769" s="20"/>
      <c r="H769" s="20"/>
    </row>
    <row r="770" spans="7:8" s="21" customFormat="1" x14ac:dyDescent="0.2">
      <c r="G770" s="20"/>
      <c r="H770" s="20"/>
    </row>
    <row r="771" spans="7:8" s="21" customFormat="1" x14ac:dyDescent="0.2">
      <c r="G771" s="20"/>
      <c r="H771" s="20"/>
    </row>
    <row r="772" spans="7:8" s="21" customFormat="1" x14ac:dyDescent="0.2">
      <c r="G772" s="20"/>
      <c r="H772" s="20"/>
    </row>
    <row r="773" spans="7:8" s="21" customFormat="1" x14ac:dyDescent="0.2">
      <c r="G773" s="20"/>
      <c r="H773" s="20"/>
    </row>
    <row r="774" spans="7:8" s="21" customFormat="1" x14ac:dyDescent="0.2">
      <c r="G774" s="20"/>
      <c r="H774" s="20"/>
    </row>
    <row r="775" spans="7:8" s="21" customFormat="1" x14ac:dyDescent="0.2">
      <c r="G775" s="20"/>
      <c r="H775" s="20"/>
    </row>
    <row r="776" spans="7:8" s="21" customFormat="1" x14ac:dyDescent="0.2">
      <c r="G776" s="20"/>
      <c r="H776" s="20"/>
    </row>
    <row r="777" spans="7:8" s="21" customFormat="1" x14ac:dyDescent="0.2">
      <c r="G777" s="20"/>
      <c r="H777" s="20"/>
    </row>
    <row r="778" spans="7:8" s="21" customFormat="1" x14ac:dyDescent="0.2">
      <c r="G778" s="20"/>
      <c r="H778" s="20"/>
    </row>
    <row r="779" spans="7:8" s="21" customFormat="1" x14ac:dyDescent="0.2">
      <c r="G779" s="20"/>
      <c r="H779" s="20"/>
    </row>
    <row r="780" spans="7:8" s="21" customFormat="1" x14ac:dyDescent="0.2">
      <c r="G780" s="20"/>
      <c r="H780" s="20"/>
    </row>
    <row r="781" spans="7:8" s="21" customFormat="1" x14ac:dyDescent="0.2">
      <c r="G781" s="20"/>
      <c r="H781" s="20"/>
    </row>
    <row r="782" spans="7:8" s="21" customFormat="1" x14ac:dyDescent="0.2">
      <c r="G782" s="20"/>
      <c r="H782" s="20"/>
    </row>
    <row r="783" spans="7:8" s="21" customFormat="1" x14ac:dyDescent="0.2">
      <c r="G783" s="20"/>
      <c r="H783" s="20"/>
    </row>
    <row r="784" spans="7:8" s="21" customFormat="1" x14ac:dyDescent="0.2">
      <c r="G784" s="20"/>
      <c r="H784" s="20"/>
    </row>
    <row r="785" spans="7:8" s="21" customFormat="1" x14ac:dyDescent="0.2">
      <c r="G785" s="20"/>
      <c r="H785" s="20"/>
    </row>
    <row r="786" spans="7:8" s="21" customFormat="1" x14ac:dyDescent="0.2">
      <c r="G786" s="20"/>
      <c r="H786" s="20"/>
    </row>
    <row r="787" spans="7:8" s="21" customFormat="1" x14ac:dyDescent="0.2">
      <c r="G787" s="20"/>
      <c r="H787" s="20"/>
    </row>
    <row r="788" spans="7:8" s="21" customFormat="1" x14ac:dyDescent="0.2">
      <c r="G788" s="20"/>
      <c r="H788" s="20"/>
    </row>
    <row r="789" spans="7:8" s="21" customFormat="1" x14ac:dyDescent="0.2">
      <c r="G789" s="20"/>
      <c r="H789" s="20"/>
    </row>
    <row r="790" spans="7:8" s="21" customFormat="1" x14ac:dyDescent="0.2">
      <c r="G790" s="20"/>
      <c r="H790" s="20"/>
    </row>
    <row r="791" spans="7:8" s="21" customFormat="1" x14ac:dyDescent="0.2">
      <c r="G791" s="20"/>
      <c r="H791" s="20"/>
    </row>
    <row r="792" spans="7:8" s="21" customFormat="1" x14ac:dyDescent="0.2">
      <c r="G792" s="20"/>
      <c r="H792" s="20"/>
    </row>
    <row r="793" spans="7:8" s="21" customFormat="1" x14ac:dyDescent="0.2">
      <c r="G793" s="20"/>
      <c r="H793" s="20"/>
    </row>
    <row r="794" spans="7:8" s="21" customFormat="1" x14ac:dyDescent="0.2">
      <c r="G794" s="20"/>
      <c r="H794" s="20"/>
    </row>
    <row r="795" spans="7:8" s="21" customFormat="1" x14ac:dyDescent="0.2">
      <c r="G795" s="20"/>
      <c r="H795" s="20"/>
    </row>
    <row r="796" spans="7:8" s="21" customFormat="1" x14ac:dyDescent="0.2">
      <c r="G796" s="20"/>
      <c r="H796" s="20"/>
    </row>
    <row r="797" spans="7:8" s="21" customFormat="1" x14ac:dyDescent="0.2">
      <c r="G797" s="20"/>
      <c r="H797" s="20"/>
    </row>
    <row r="798" spans="7:8" s="21" customFormat="1" x14ac:dyDescent="0.2">
      <c r="G798" s="20"/>
      <c r="H798" s="20"/>
    </row>
    <row r="799" spans="7:8" s="21" customFormat="1" x14ac:dyDescent="0.2">
      <c r="G799" s="20"/>
      <c r="H799" s="20"/>
    </row>
    <row r="800" spans="7:8" s="21" customFormat="1" x14ac:dyDescent="0.2">
      <c r="G800" s="20"/>
      <c r="H800" s="20"/>
    </row>
    <row r="801" spans="7:8" s="21" customFormat="1" x14ac:dyDescent="0.2">
      <c r="G801" s="20"/>
      <c r="H801" s="20"/>
    </row>
    <row r="802" spans="7:8" s="21" customFormat="1" x14ac:dyDescent="0.2">
      <c r="G802" s="20"/>
      <c r="H802" s="20"/>
    </row>
    <row r="803" spans="7:8" s="21" customFormat="1" x14ac:dyDescent="0.2">
      <c r="G803" s="20"/>
      <c r="H803" s="20"/>
    </row>
    <row r="804" spans="7:8" s="21" customFormat="1" x14ac:dyDescent="0.2">
      <c r="G804" s="20"/>
      <c r="H804" s="20"/>
    </row>
    <row r="805" spans="7:8" s="21" customFormat="1" x14ac:dyDescent="0.2">
      <c r="G805" s="20"/>
      <c r="H805" s="20"/>
    </row>
    <row r="806" spans="7:8" s="21" customFormat="1" x14ac:dyDescent="0.2">
      <c r="G806" s="20"/>
      <c r="H806" s="20"/>
    </row>
    <row r="807" spans="7:8" s="21" customFormat="1" x14ac:dyDescent="0.2">
      <c r="G807" s="20"/>
      <c r="H807" s="20"/>
    </row>
    <row r="808" spans="7:8" s="21" customFormat="1" x14ac:dyDescent="0.2">
      <c r="G808" s="20"/>
      <c r="H808" s="20"/>
    </row>
    <row r="809" spans="7:8" s="21" customFormat="1" x14ac:dyDescent="0.2">
      <c r="G809" s="20"/>
      <c r="H809" s="20"/>
    </row>
    <row r="810" spans="7:8" s="21" customFormat="1" x14ac:dyDescent="0.2">
      <c r="G810" s="20"/>
      <c r="H810" s="20"/>
    </row>
    <row r="811" spans="7:8" s="21" customFormat="1" x14ac:dyDescent="0.2">
      <c r="G811" s="20"/>
      <c r="H811" s="20"/>
    </row>
    <row r="812" spans="7:8" s="21" customFormat="1" x14ac:dyDescent="0.2">
      <c r="G812" s="20"/>
      <c r="H812" s="20"/>
    </row>
    <row r="813" spans="7:8" s="21" customFormat="1" x14ac:dyDescent="0.2">
      <c r="G813" s="20"/>
      <c r="H813" s="20"/>
    </row>
    <row r="814" spans="7:8" s="21" customFormat="1" x14ac:dyDescent="0.2">
      <c r="G814" s="20"/>
      <c r="H814" s="20"/>
    </row>
    <row r="815" spans="7:8" s="21" customFormat="1" x14ac:dyDescent="0.2">
      <c r="G815" s="20"/>
      <c r="H815" s="20"/>
    </row>
    <row r="816" spans="7:8" s="21" customFormat="1" x14ac:dyDescent="0.2">
      <c r="G816" s="20"/>
      <c r="H816" s="20"/>
    </row>
    <row r="817" spans="7:8" s="21" customFormat="1" x14ac:dyDescent="0.2">
      <c r="G817" s="20"/>
      <c r="H817" s="20"/>
    </row>
    <row r="818" spans="7:8" s="21" customFormat="1" x14ac:dyDescent="0.2">
      <c r="G818" s="20"/>
      <c r="H818" s="20"/>
    </row>
    <row r="819" spans="7:8" s="21" customFormat="1" x14ac:dyDescent="0.2">
      <c r="G819" s="20"/>
      <c r="H819" s="20"/>
    </row>
    <row r="820" spans="7:8" s="21" customFormat="1" x14ac:dyDescent="0.2">
      <c r="G820" s="20"/>
      <c r="H820" s="20"/>
    </row>
    <row r="821" spans="7:8" s="21" customFormat="1" x14ac:dyDescent="0.2">
      <c r="G821" s="20"/>
      <c r="H821" s="20"/>
    </row>
    <row r="822" spans="7:8" s="21" customFormat="1" x14ac:dyDescent="0.2">
      <c r="G822" s="20"/>
      <c r="H822" s="20"/>
    </row>
    <row r="823" spans="7:8" s="21" customFormat="1" x14ac:dyDescent="0.2">
      <c r="G823" s="20"/>
      <c r="H823" s="20"/>
    </row>
    <row r="824" spans="7:8" s="21" customFormat="1" x14ac:dyDescent="0.2">
      <c r="G824" s="20"/>
      <c r="H824" s="20"/>
    </row>
    <row r="825" spans="7:8" s="21" customFormat="1" x14ac:dyDescent="0.2">
      <c r="G825" s="20"/>
      <c r="H825" s="20"/>
    </row>
    <row r="826" spans="7:8" s="21" customFormat="1" x14ac:dyDescent="0.2">
      <c r="G826" s="20"/>
      <c r="H826" s="20"/>
    </row>
    <row r="827" spans="7:8" s="21" customFormat="1" x14ac:dyDescent="0.2">
      <c r="G827" s="20"/>
      <c r="H827" s="20"/>
    </row>
    <row r="828" spans="7:8" s="21" customFormat="1" x14ac:dyDescent="0.2">
      <c r="G828" s="20"/>
      <c r="H828" s="20"/>
    </row>
    <row r="829" spans="7:8" s="21" customFormat="1" x14ac:dyDescent="0.2">
      <c r="G829" s="20"/>
      <c r="H829" s="20"/>
    </row>
    <row r="830" spans="7:8" s="21" customFormat="1" x14ac:dyDescent="0.2">
      <c r="G830" s="20"/>
      <c r="H830" s="20"/>
    </row>
    <row r="831" spans="7:8" s="21" customFormat="1" x14ac:dyDescent="0.2">
      <c r="G831" s="20"/>
      <c r="H831" s="20"/>
    </row>
    <row r="832" spans="7:8" s="21" customFormat="1" x14ac:dyDescent="0.2">
      <c r="G832" s="20"/>
      <c r="H832" s="20"/>
    </row>
    <row r="833" spans="7:8" s="21" customFormat="1" x14ac:dyDescent="0.2">
      <c r="G833" s="20"/>
      <c r="H833" s="20"/>
    </row>
    <row r="834" spans="7:8" s="21" customFormat="1" x14ac:dyDescent="0.2">
      <c r="G834" s="20"/>
      <c r="H834" s="20"/>
    </row>
    <row r="835" spans="7:8" s="21" customFormat="1" x14ac:dyDescent="0.2">
      <c r="G835" s="20"/>
      <c r="H835" s="20"/>
    </row>
    <row r="836" spans="7:8" s="21" customFormat="1" x14ac:dyDescent="0.2">
      <c r="G836" s="20"/>
      <c r="H836" s="20"/>
    </row>
    <row r="837" spans="7:8" s="21" customFormat="1" x14ac:dyDescent="0.2">
      <c r="G837" s="20"/>
      <c r="H837" s="20"/>
    </row>
    <row r="838" spans="7:8" s="21" customFormat="1" x14ac:dyDescent="0.2">
      <c r="G838" s="20"/>
      <c r="H838" s="20"/>
    </row>
    <row r="839" spans="7:8" s="21" customFormat="1" x14ac:dyDescent="0.2">
      <c r="G839" s="20"/>
      <c r="H839" s="20"/>
    </row>
    <row r="840" spans="7:8" s="21" customFormat="1" x14ac:dyDescent="0.2">
      <c r="G840" s="20"/>
      <c r="H840" s="20"/>
    </row>
    <row r="841" spans="7:8" s="21" customFormat="1" x14ac:dyDescent="0.2">
      <c r="G841" s="20"/>
      <c r="H841" s="20"/>
    </row>
    <row r="842" spans="7:8" s="21" customFormat="1" x14ac:dyDescent="0.2">
      <c r="G842" s="20"/>
      <c r="H842" s="20"/>
    </row>
    <row r="843" spans="7:8" s="21" customFormat="1" x14ac:dyDescent="0.2">
      <c r="G843" s="20"/>
      <c r="H843" s="20"/>
    </row>
    <row r="844" spans="7:8" s="21" customFormat="1" x14ac:dyDescent="0.2">
      <c r="G844" s="20"/>
      <c r="H844" s="20"/>
    </row>
    <row r="845" spans="7:8" s="21" customFormat="1" x14ac:dyDescent="0.2">
      <c r="G845" s="20"/>
      <c r="H845" s="20"/>
    </row>
    <row r="846" spans="7:8" s="21" customFormat="1" x14ac:dyDescent="0.2">
      <c r="G846" s="20"/>
      <c r="H846" s="20"/>
    </row>
    <row r="847" spans="7:8" s="21" customFormat="1" x14ac:dyDescent="0.2">
      <c r="G847" s="20"/>
      <c r="H847" s="20"/>
    </row>
    <row r="848" spans="7:8" s="21" customFormat="1" x14ac:dyDescent="0.2">
      <c r="G848" s="20"/>
      <c r="H848" s="20"/>
    </row>
    <row r="849" spans="7:8" s="21" customFormat="1" x14ac:dyDescent="0.2">
      <c r="G849" s="20"/>
      <c r="H849" s="20"/>
    </row>
    <row r="850" spans="7:8" s="21" customFormat="1" x14ac:dyDescent="0.2">
      <c r="G850" s="20"/>
      <c r="H850" s="20"/>
    </row>
    <row r="851" spans="7:8" s="21" customFormat="1" x14ac:dyDescent="0.2">
      <c r="G851" s="20"/>
      <c r="H851" s="20"/>
    </row>
    <row r="852" spans="7:8" s="21" customFormat="1" x14ac:dyDescent="0.2">
      <c r="G852" s="20"/>
      <c r="H852" s="20"/>
    </row>
    <row r="853" spans="7:8" s="21" customFormat="1" x14ac:dyDescent="0.2">
      <c r="G853" s="20"/>
      <c r="H853" s="20"/>
    </row>
    <row r="854" spans="7:8" s="21" customFormat="1" x14ac:dyDescent="0.2">
      <c r="G854" s="20"/>
      <c r="H854" s="20"/>
    </row>
    <row r="855" spans="7:8" s="21" customFormat="1" x14ac:dyDescent="0.2">
      <c r="G855" s="20"/>
      <c r="H855" s="20"/>
    </row>
    <row r="856" spans="7:8" s="21" customFormat="1" x14ac:dyDescent="0.2">
      <c r="G856" s="20"/>
      <c r="H856" s="20"/>
    </row>
    <row r="857" spans="7:8" s="21" customFormat="1" x14ac:dyDescent="0.2">
      <c r="G857" s="20"/>
      <c r="H857" s="20"/>
    </row>
    <row r="858" spans="7:8" s="21" customFormat="1" x14ac:dyDescent="0.2">
      <c r="G858" s="20"/>
      <c r="H858" s="20"/>
    </row>
    <row r="859" spans="7:8" s="21" customFormat="1" x14ac:dyDescent="0.2">
      <c r="G859" s="20"/>
      <c r="H859" s="20"/>
    </row>
    <row r="860" spans="7:8" s="21" customFormat="1" x14ac:dyDescent="0.2">
      <c r="G860" s="20"/>
      <c r="H860" s="20"/>
    </row>
    <row r="861" spans="7:8" s="21" customFormat="1" x14ac:dyDescent="0.2">
      <c r="G861" s="20"/>
      <c r="H861" s="20"/>
    </row>
    <row r="862" spans="7:8" s="21" customFormat="1" x14ac:dyDescent="0.2">
      <c r="G862" s="20"/>
      <c r="H862" s="20"/>
    </row>
    <row r="863" spans="7:8" s="21" customFormat="1" x14ac:dyDescent="0.2">
      <c r="G863" s="20"/>
      <c r="H863" s="20"/>
    </row>
    <row r="864" spans="7:8" s="21" customFormat="1" x14ac:dyDescent="0.2">
      <c r="G864" s="20"/>
      <c r="H864" s="20"/>
    </row>
    <row r="865" spans="7:8" s="21" customFormat="1" x14ac:dyDescent="0.2">
      <c r="G865" s="20"/>
      <c r="H865" s="20"/>
    </row>
    <row r="866" spans="7:8" s="21" customFormat="1" x14ac:dyDescent="0.2">
      <c r="G866" s="20"/>
      <c r="H866" s="20"/>
    </row>
    <row r="867" spans="7:8" s="21" customFormat="1" x14ac:dyDescent="0.2">
      <c r="G867" s="20"/>
      <c r="H867" s="20"/>
    </row>
    <row r="868" spans="7:8" s="21" customFormat="1" x14ac:dyDescent="0.2">
      <c r="G868" s="20"/>
      <c r="H868" s="20"/>
    </row>
    <row r="869" spans="7:8" s="21" customFormat="1" x14ac:dyDescent="0.2">
      <c r="G869" s="20"/>
      <c r="H869" s="20"/>
    </row>
    <row r="870" spans="7:8" s="21" customFormat="1" x14ac:dyDescent="0.2">
      <c r="G870" s="20"/>
      <c r="H870" s="20"/>
    </row>
    <row r="871" spans="7:8" s="21" customFormat="1" x14ac:dyDescent="0.2">
      <c r="G871" s="20"/>
      <c r="H871" s="20"/>
    </row>
    <row r="872" spans="7:8" s="21" customFormat="1" x14ac:dyDescent="0.2">
      <c r="G872" s="20"/>
      <c r="H872" s="20"/>
    </row>
    <row r="873" spans="7:8" s="21" customFormat="1" x14ac:dyDescent="0.2">
      <c r="G873" s="20"/>
      <c r="H873" s="20"/>
    </row>
    <row r="874" spans="7:8" s="21" customFormat="1" x14ac:dyDescent="0.2">
      <c r="G874" s="20"/>
      <c r="H874" s="20"/>
    </row>
    <row r="875" spans="7:8" s="21" customFormat="1" x14ac:dyDescent="0.2">
      <c r="G875" s="20"/>
      <c r="H875" s="20"/>
    </row>
    <row r="876" spans="7:8" s="21" customFormat="1" x14ac:dyDescent="0.2">
      <c r="G876" s="20"/>
      <c r="H876" s="20"/>
    </row>
    <row r="877" spans="7:8" s="21" customFormat="1" x14ac:dyDescent="0.2">
      <c r="G877" s="20"/>
      <c r="H877" s="20"/>
    </row>
    <row r="878" spans="7:8" s="21" customFormat="1" x14ac:dyDescent="0.2">
      <c r="G878" s="20"/>
      <c r="H878" s="20"/>
    </row>
    <row r="879" spans="7:8" s="21" customFormat="1" x14ac:dyDescent="0.2">
      <c r="G879" s="20"/>
      <c r="H879" s="20"/>
    </row>
    <row r="880" spans="7:8" s="21" customFormat="1" x14ac:dyDescent="0.2">
      <c r="G880" s="20"/>
      <c r="H880" s="20"/>
    </row>
    <row r="881" spans="7:8" s="21" customFormat="1" x14ac:dyDescent="0.2">
      <c r="G881" s="20"/>
      <c r="H881" s="20"/>
    </row>
    <row r="882" spans="7:8" s="21" customFormat="1" x14ac:dyDescent="0.2">
      <c r="G882" s="20"/>
      <c r="H882" s="20"/>
    </row>
    <row r="883" spans="7:8" s="21" customFormat="1" x14ac:dyDescent="0.2">
      <c r="G883" s="20"/>
      <c r="H883" s="20"/>
    </row>
    <row r="884" spans="7:8" s="21" customFormat="1" x14ac:dyDescent="0.2">
      <c r="G884" s="20"/>
      <c r="H884" s="20"/>
    </row>
    <row r="885" spans="7:8" s="21" customFormat="1" x14ac:dyDescent="0.2">
      <c r="G885" s="20"/>
      <c r="H885" s="20"/>
    </row>
    <row r="886" spans="7:8" s="21" customFormat="1" x14ac:dyDescent="0.2">
      <c r="G886" s="20"/>
      <c r="H886" s="20"/>
    </row>
    <row r="887" spans="7:8" s="21" customFormat="1" x14ac:dyDescent="0.2">
      <c r="G887" s="20"/>
      <c r="H887" s="20"/>
    </row>
    <row r="888" spans="7:8" s="21" customFormat="1" x14ac:dyDescent="0.2">
      <c r="G888" s="20"/>
      <c r="H888" s="20"/>
    </row>
    <row r="889" spans="7:8" s="21" customFormat="1" x14ac:dyDescent="0.2">
      <c r="G889" s="20"/>
      <c r="H889" s="20"/>
    </row>
    <row r="890" spans="7:8" s="21" customFormat="1" x14ac:dyDescent="0.2">
      <c r="G890" s="20"/>
      <c r="H890" s="20"/>
    </row>
    <row r="891" spans="7:8" s="21" customFormat="1" x14ac:dyDescent="0.2">
      <c r="G891" s="20"/>
      <c r="H891" s="20"/>
    </row>
    <row r="892" spans="7:8" s="21" customFormat="1" x14ac:dyDescent="0.2">
      <c r="G892" s="20"/>
      <c r="H892" s="20"/>
    </row>
    <row r="893" spans="7:8" s="21" customFormat="1" x14ac:dyDescent="0.2">
      <c r="G893" s="20"/>
      <c r="H893" s="20"/>
    </row>
    <row r="894" spans="7:8" s="21" customFormat="1" x14ac:dyDescent="0.2">
      <c r="G894" s="20"/>
      <c r="H894" s="20"/>
    </row>
    <row r="895" spans="7:8" s="21" customFormat="1" x14ac:dyDescent="0.2">
      <c r="G895" s="20"/>
      <c r="H895" s="20"/>
    </row>
    <row r="896" spans="7:8" s="21" customFormat="1" x14ac:dyDescent="0.2">
      <c r="G896" s="20"/>
      <c r="H896" s="20"/>
    </row>
    <row r="897" spans="7:8" s="21" customFormat="1" x14ac:dyDescent="0.2">
      <c r="G897" s="20"/>
      <c r="H897" s="20"/>
    </row>
    <row r="898" spans="7:8" s="21" customFormat="1" x14ac:dyDescent="0.2">
      <c r="G898" s="20"/>
      <c r="H898" s="20"/>
    </row>
    <row r="899" spans="7:8" s="21" customFormat="1" x14ac:dyDescent="0.2">
      <c r="G899" s="20"/>
      <c r="H899" s="20"/>
    </row>
    <row r="900" spans="7:8" s="21" customFormat="1" x14ac:dyDescent="0.2">
      <c r="G900" s="20"/>
      <c r="H900" s="20"/>
    </row>
    <row r="901" spans="7:8" s="21" customFormat="1" x14ac:dyDescent="0.2">
      <c r="G901" s="20"/>
      <c r="H901" s="20"/>
    </row>
    <row r="902" spans="7:8" s="21" customFormat="1" x14ac:dyDescent="0.2">
      <c r="G902" s="20"/>
      <c r="H902" s="20"/>
    </row>
    <row r="903" spans="7:8" s="21" customFormat="1" x14ac:dyDescent="0.2">
      <c r="G903" s="20"/>
      <c r="H903" s="20"/>
    </row>
    <row r="904" spans="7:8" s="21" customFormat="1" x14ac:dyDescent="0.2">
      <c r="G904" s="20"/>
      <c r="H904" s="20"/>
    </row>
    <row r="905" spans="7:8" s="21" customFormat="1" x14ac:dyDescent="0.2">
      <c r="G905" s="20"/>
      <c r="H905" s="20"/>
    </row>
    <row r="906" spans="7:8" s="21" customFormat="1" x14ac:dyDescent="0.2">
      <c r="G906" s="20"/>
      <c r="H906" s="20"/>
    </row>
    <row r="907" spans="7:8" s="21" customFormat="1" x14ac:dyDescent="0.2">
      <c r="G907" s="20"/>
      <c r="H907" s="20"/>
    </row>
    <row r="908" spans="7:8" s="21" customFormat="1" x14ac:dyDescent="0.2">
      <c r="G908" s="20"/>
      <c r="H908" s="20"/>
    </row>
    <row r="909" spans="7:8" s="21" customFormat="1" x14ac:dyDescent="0.2">
      <c r="G909" s="20"/>
      <c r="H909" s="20"/>
    </row>
    <row r="910" spans="7:8" s="21" customFormat="1" x14ac:dyDescent="0.2">
      <c r="G910" s="20"/>
      <c r="H910" s="20"/>
    </row>
    <row r="911" spans="7:8" s="21" customFormat="1" x14ac:dyDescent="0.2">
      <c r="G911" s="20"/>
      <c r="H911" s="20"/>
    </row>
    <row r="912" spans="7:8" s="21" customFormat="1" x14ac:dyDescent="0.2">
      <c r="G912" s="20"/>
      <c r="H912" s="20"/>
    </row>
    <row r="913" spans="7:8" s="21" customFormat="1" x14ac:dyDescent="0.2">
      <c r="G913" s="20"/>
      <c r="H913" s="20"/>
    </row>
    <row r="914" spans="7:8" s="21" customFormat="1" x14ac:dyDescent="0.2">
      <c r="G914" s="20"/>
      <c r="H914" s="20"/>
    </row>
    <row r="915" spans="7:8" s="21" customFormat="1" x14ac:dyDescent="0.2">
      <c r="G915" s="20"/>
      <c r="H915" s="20"/>
    </row>
    <row r="916" spans="7:8" s="21" customFormat="1" x14ac:dyDescent="0.2">
      <c r="G916" s="20"/>
      <c r="H916" s="20"/>
    </row>
    <row r="917" spans="7:8" s="21" customFormat="1" x14ac:dyDescent="0.2">
      <c r="G917" s="20"/>
      <c r="H917" s="20"/>
    </row>
    <row r="918" spans="7:8" s="21" customFormat="1" x14ac:dyDescent="0.2">
      <c r="G918" s="20"/>
      <c r="H918" s="20"/>
    </row>
    <row r="919" spans="7:8" s="21" customFormat="1" x14ac:dyDescent="0.2">
      <c r="G919" s="20"/>
      <c r="H919" s="20"/>
    </row>
    <row r="920" spans="7:8" s="21" customFormat="1" x14ac:dyDescent="0.2">
      <c r="G920" s="20"/>
      <c r="H920" s="20"/>
    </row>
    <row r="921" spans="7:8" s="21" customFormat="1" x14ac:dyDescent="0.2">
      <c r="G921" s="20"/>
      <c r="H921" s="20"/>
    </row>
    <row r="922" spans="7:8" s="21" customFormat="1" x14ac:dyDescent="0.2">
      <c r="G922" s="20"/>
      <c r="H922" s="20"/>
    </row>
    <row r="923" spans="7:8" s="21" customFormat="1" x14ac:dyDescent="0.2">
      <c r="G923" s="20"/>
      <c r="H923" s="20"/>
    </row>
    <row r="924" spans="7:8" s="21" customFormat="1" x14ac:dyDescent="0.2">
      <c r="G924" s="20"/>
      <c r="H924" s="20"/>
    </row>
    <row r="925" spans="7:8" s="21" customFormat="1" x14ac:dyDescent="0.2">
      <c r="G925" s="20"/>
      <c r="H925" s="20"/>
    </row>
    <row r="926" spans="7:8" s="21" customFormat="1" x14ac:dyDescent="0.2">
      <c r="G926" s="20"/>
      <c r="H926" s="20"/>
    </row>
    <row r="927" spans="7:8" s="21" customFormat="1" x14ac:dyDescent="0.2">
      <c r="G927" s="20"/>
      <c r="H927" s="20"/>
    </row>
    <row r="928" spans="7:8" s="21" customFormat="1" x14ac:dyDescent="0.2">
      <c r="G928" s="20"/>
      <c r="H928" s="20"/>
    </row>
    <row r="929" spans="7:8" s="21" customFormat="1" x14ac:dyDescent="0.2">
      <c r="G929" s="20"/>
      <c r="H929" s="20"/>
    </row>
    <row r="930" spans="7:8" s="21" customFormat="1" x14ac:dyDescent="0.2">
      <c r="G930" s="20"/>
      <c r="H930" s="20"/>
    </row>
    <row r="931" spans="7:8" s="21" customFormat="1" x14ac:dyDescent="0.2">
      <c r="G931" s="20"/>
      <c r="H931" s="20"/>
    </row>
    <row r="932" spans="7:8" s="21" customFormat="1" x14ac:dyDescent="0.2">
      <c r="G932" s="20"/>
      <c r="H932" s="20"/>
    </row>
    <row r="933" spans="7:8" s="21" customFormat="1" x14ac:dyDescent="0.2">
      <c r="G933" s="20"/>
      <c r="H933" s="20"/>
    </row>
    <row r="934" spans="7:8" s="21" customFormat="1" x14ac:dyDescent="0.2">
      <c r="G934" s="20"/>
      <c r="H934" s="20"/>
    </row>
    <row r="935" spans="7:8" s="21" customFormat="1" x14ac:dyDescent="0.2">
      <c r="G935" s="20"/>
      <c r="H935" s="20"/>
    </row>
    <row r="936" spans="7:8" s="21" customFormat="1" x14ac:dyDescent="0.2">
      <c r="G936" s="20"/>
      <c r="H936" s="20"/>
    </row>
    <row r="937" spans="7:8" s="21" customFormat="1" x14ac:dyDescent="0.2">
      <c r="G937" s="20"/>
      <c r="H937" s="20"/>
    </row>
    <row r="938" spans="7:8" s="21" customFormat="1" x14ac:dyDescent="0.2">
      <c r="G938" s="20"/>
      <c r="H938" s="20"/>
    </row>
    <row r="939" spans="7:8" s="21" customFormat="1" x14ac:dyDescent="0.2">
      <c r="G939" s="20"/>
      <c r="H939" s="20"/>
    </row>
    <row r="940" spans="7:8" s="21" customFormat="1" x14ac:dyDescent="0.2">
      <c r="G940" s="20"/>
      <c r="H940" s="20"/>
    </row>
    <row r="941" spans="7:8" s="21" customFormat="1" x14ac:dyDescent="0.2">
      <c r="G941" s="20"/>
      <c r="H941" s="20"/>
    </row>
    <row r="942" spans="7:8" s="21" customFormat="1" x14ac:dyDescent="0.2">
      <c r="G942" s="20"/>
      <c r="H942" s="20"/>
    </row>
    <row r="943" spans="7:8" s="21" customFormat="1" x14ac:dyDescent="0.2">
      <c r="G943" s="20"/>
      <c r="H943" s="20"/>
    </row>
    <row r="944" spans="7:8" s="21" customFormat="1" x14ac:dyDescent="0.2">
      <c r="G944" s="20"/>
      <c r="H944" s="20"/>
    </row>
    <row r="945" spans="7:8" s="21" customFormat="1" x14ac:dyDescent="0.2">
      <c r="G945" s="20"/>
      <c r="H945" s="20"/>
    </row>
    <row r="946" spans="7:8" s="21" customFormat="1" x14ac:dyDescent="0.2">
      <c r="G946" s="20"/>
      <c r="H946" s="20"/>
    </row>
    <row r="947" spans="7:8" s="21" customFormat="1" x14ac:dyDescent="0.2">
      <c r="G947" s="20"/>
      <c r="H947" s="20"/>
    </row>
    <row r="948" spans="7:8" s="21" customFormat="1" x14ac:dyDescent="0.2">
      <c r="G948" s="20"/>
      <c r="H948" s="20"/>
    </row>
    <row r="949" spans="7:8" s="21" customFormat="1" x14ac:dyDescent="0.2">
      <c r="G949" s="20"/>
      <c r="H949" s="20"/>
    </row>
    <row r="950" spans="7:8" s="21" customFormat="1" x14ac:dyDescent="0.2">
      <c r="G950" s="20"/>
      <c r="H950" s="20"/>
    </row>
    <row r="951" spans="7:8" s="21" customFormat="1" x14ac:dyDescent="0.2">
      <c r="G951" s="20"/>
      <c r="H951" s="20"/>
    </row>
    <row r="952" spans="7:8" s="21" customFormat="1" x14ac:dyDescent="0.2">
      <c r="G952" s="20"/>
      <c r="H952" s="20"/>
    </row>
    <row r="953" spans="7:8" s="21" customFormat="1" x14ac:dyDescent="0.2">
      <c r="G953" s="20"/>
      <c r="H953" s="20"/>
    </row>
    <row r="954" spans="7:8" s="21" customFormat="1" x14ac:dyDescent="0.2">
      <c r="G954" s="20"/>
      <c r="H954" s="20"/>
    </row>
    <row r="955" spans="7:8" s="21" customFormat="1" x14ac:dyDescent="0.2">
      <c r="G955" s="20"/>
      <c r="H955" s="20"/>
    </row>
    <row r="956" spans="7:8" s="21" customFormat="1" x14ac:dyDescent="0.2">
      <c r="G956" s="20"/>
      <c r="H956" s="20"/>
    </row>
    <row r="957" spans="7:8" s="21" customFormat="1" x14ac:dyDescent="0.2">
      <c r="G957" s="20"/>
      <c r="H957" s="20"/>
    </row>
    <row r="958" spans="7:8" s="21" customFormat="1" x14ac:dyDescent="0.2">
      <c r="G958" s="20"/>
      <c r="H958" s="20"/>
    </row>
    <row r="959" spans="7:8" s="21" customFormat="1" x14ac:dyDescent="0.2">
      <c r="G959" s="20"/>
      <c r="H959" s="20"/>
    </row>
    <row r="960" spans="7:8" s="21" customFormat="1" x14ac:dyDescent="0.2">
      <c r="G960" s="20"/>
      <c r="H960" s="20"/>
    </row>
    <row r="961" spans="7:8" s="21" customFormat="1" x14ac:dyDescent="0.2">
      <c r="G961" s="20"/>
      <c r="H961" s="20"/>
    </row>
    <row r="962" spans="7:8" s="21" customFormat="1" x14ac:dyDescent="0.2">
      <c r="G962" s="20"/>
      <c r="H962" s="20"/>
    </row>
    <row r="963" spans="7:8" s="21" customFormat="1" x14ac:dyDescent="0.2">
      <c r="G963" s="20"/>
      <c r="H963" s="20"/>
    </row>
    <row r="964" spans="7:8" s="21" customFormat="1" x14ac:dyDescent="0.2">
      <c r="G964" s="20"/>
      <c r="H964" s="20"/>
    </row>
    <row r="965" spans="7:8" s="21" customFormat="1" x14ac:dyDescent="0.2">
      <c r="G965" s="20"/>
      <c r="H965" s="20"/>
    </row>
    <row r="966" spans="7:8" s="21" customFormat="1" x14ac:dyDescent="0.2">
      <c r="G966" s="20"/>
      <c r="H966" s="20"/>
    </row>
    <row r="967" spans="7:8" s="21" customFormat="1" x14ac:dyDescent="0.2">
      <c r="G967" s="20"/>
      <c r="H967" s="20"/>
    </row>
    <row r="968" spans="7:8" s="21" customFormat="1" x14ac:dyDescent="0.2">
      <c r="G968" s="20"/>
      <c r="H968" s="20"/>
    </row>
    <row r="969" spans="7:8" s="21" customFormat="1" x14ac:dyDescent="0.2">
      <c r="G969" s="20"/>
      <c r="H969" s="20"/>
    </row>
    <row r="970" spans="7:8" s="21" customFormat="1" x14ac:dyDescent="0.2">
      <c r="G970" s="20"/>
      <c r="H970" s="20"/>
    </row>
    <row r="971" spans="7:8" s="21" customFormat="1" x14ac:dyDescent="0.2">
      <c r="G971" s="20"/>
      <c r="H971" s="20"/>
    </row>
    <row r="972" spans="7:8" s="21" customFormat="1" x14ac:dyDescent="0.2">
      <c r="G972" s="20"/>
      <c r="H972" s="20"/>
    </row>
    <row r="973" spans="7:8" s="21" customFormat="1" x14ac:dyDescent="0.2">
      <c r="G973" s="20"/>
      <c r="H973" s="20"/>
    </row>
    <row r="974" spans="7:8" s="21" customFormat="1" x14ac:dyDescent="0.2">
      <c r="G974" s="20"/>
      <c r="H974" s="20"/>
    </row>
    <row r="975" spans="7:8" s="21" customFormat="1" x14ac:dyDescent="0.2">
      <c r="G975" s="20"/>
      <c r="H975" s="20"/>
    </row>
    <row r="976" spans="7:8" s="21" customFormat="1" x14ac:dyDescent="0.2">
      <c r="G976" s="20"/>
      <c r="H976" s="20"/>
    </row>
    <row r="977" spans="7:8" s="21" customFormat="1" x14ac:dyDescent="0.2">
      <c r="G977" s="20"/>
      <c r="H977" s="20"/>
    </row>
    <row r="978" spans="7:8" s="21" customFormat="1" x14ac:dyDescent="0.2">
      <c r="G978" s="20"/>
      <c r="H978" s="20"/>
    </row>
    <row r="979" spans="7:8" s="21" customFormat="1" x14ac:dyDescent="0.2">
      <c r="G979" s="20"/>
      <c r="H979" s="20"/>
    </row>
    <row r="980" spans="7:8" s="21" customFormat="1" x14ac:dyDescent="0.2">
      <c r="G980" s="20"/>
      <c r="H980" s="20"/>
    </row>
    <row r="981" spans="7:8" s="21" customFormat="1" x14ac:dyDescent="0.2">
      <c r="G981" s="20"/>
      <c r="H981" s="20"/>
    </row>
    <row r="982" spans="7:8" s="21" customFormat="1" x14ac:dyDescent="0.2">
      <c r="G982" s="20"/>
      <c r="H982" s="20"/>
    </row>
    <row r="983" spans="7:8" s="21" customFormat="1" x14ac:dyDescent="0.2">
      <c r="G983" s="20"/>
      <c r="H983" s="20"/>
    </row>
    <row r="984" spans="7:8" s="21" customFormat="1" x14ac:dyDescent="0.2">
      <c r="G984" s="20"/>
      <c r="H984" s="20"/>
    </row>
    <row r="985" spans="7:8" s="21" customFormat="1" x14ac:dyDescent="0.2">
      <c r="G985" s="20"/>
      <c r="H985" s="20"/>
    </row>
    <row r="986" spans="7:8" s="21" customFormat="1" x14ac:dyDescent="0.2">
      <c r="G986" s="20"/>
      <c r="H986" s="20"/>
    </row>
    <row r="987" spans="7:8" s="21" customFormat="1" x14ac:dyDescent="0.2">
      <c r="G987" s="20"/>
      <c r="H987" s="20"/>
    </row>
    <row r="988" spans="7:8" s="21" customFormat="1" x14ac:dyDescent="0.2">
      <c r="G988" s="20"/>
      <c r="H988" s="20"/>
    </row>
    <row r="989" spans="7:8" s="21" customFormat="1" x14ac:dyDescent="0.2">
      <c r="G989" s="20"/>
      <c r="H989" s="20"/>
    </row>
    <row r="990" spans="7:8" s="21" customFormat="1" x14ac:dyDescent="0.2">
      <c r="G990" s="20"/>
      <c r="H990" s="20"/>
    </row>
    <row r="991" spans="7:8" s="21" customFormat="1" x14ac:dyDescent="0.2">
      <c r="G991" s="20"/>
      <c r="H991" s="20"/>
    </row>
    <row r="992" spans="7:8" s="21" customFormat="1" x14ac:dyDescent="0.2">
      <c r="G992" s="20"/>
      <c r="H992" s="20"/>
    </row>
    <row r="993" spans="7:8" s="21" customFormat="1" x14ac:dyDescent="0.2">
      <c r="G993" s="20"/>
      <c r="H993" s="20"/>
    </row>
    <row r="994" spans="7:8" s="21" customFormat="1" x14ac:dyDescent="0.2">
      <c r="G994" s="20"/>
      <c r="H994" s="20"/>
    </row>
    <row r="995" spans="7:8" s="21" customFormat="1" x14ac:dyDescent="0.2">
      <c r="G995" s="20"/>
      <c r="H995" s="20"/>
    </row>
    <row r="996" spans="7:8" s="21" customFormat="1" x14ac:dyDescent="0.2">
      <c r="G996" s="20"/>
      <c r="H996" s="20"/>
    </row>
    <row r="997" spans="7:8" s="21" customFormat="1" x14ac:dyDescent="0.2">
      <c r="G997" s="20"/>
      <c r="H997" s="20"/>
    </row>
    <row r="998" spans="7:8" s="21" customFormat="1" x14ac:dyDescent="0.2">
      <c r="G998" s="20"/>
      <c r="H998" s="20"/>
    </row>
    <row r="999" spans="7:8" s="21" customFormat="1" x14ac:dyDescent="0.2">
      <c r="G999" s="20"/>
      <c r="H999" s="20"/>
    </row>
    <row r="1000" spans="7:8" s="21" customFormat="1" x14ac:dyDescent="0.2">
      <c r="G1000" s="20"/>
      <c r="H1000" s="20"/>
    </row>
    <row r="1001" spans="7:8" s="21" customFormat="1" x14ac:dyDescent="0.2">
      <c r="G1001" s="20"/>
      <c r="H1001" s="20"/>
    </row>
    <row r="1002" spans="7:8" s="21" customFormat="1" x14ac:dyDescent="0.2">
      <c r="G1002" s="20"/>
      <c r="H1002" s="20"/>
    </row>
    <row r="1003" spans="7:8" s="21" customFormat="1" x14ac:dyDescent="0.2">
      <c r="G1003" s="20"/>
      <c r="H1003" s="20"/>
    </row>
    <row r="1004" spans="7:8" s="21" customFormat="1" x14ac:dyDescent="0.2">
      <c r="G1004" s="20"/>
      <c r="H1004" s="20"/>
    </row>
    <row r="1005" spans="7:8" s="21" customFormat="1" x14ac:dyDescent="0.2">
      <c r="G1005" s="20"/>
      <c r="H1005" s="20"/>
    </row>
    <row r="1006" spans="7:8" s="21" customFormat="1" x14ac:dyDescent="0.2">
      <c r="G1006" s="20"/>
      <c r="H1006" s="20"/>
    </row>
    <row r="1007" spans="7:8" s="21" customFormat="1" x14ac:dyDescent="0.2">
      <c r="G1007" s="20"/>
      <c r="H1007" s="20"/>
    </row>
    <row r="1008" spans="7:8" s="21" customFormat="1" x14ac:dyDescent="0.2">
      <c r="G1008" s="20"/>
      <c r="H1008" s="20"/>
    </row>
    <row r="1009" spans="7:8" s="21" customFormat="1" x14ac:dyDescent="0.2">
      <c r="G1009" s="20"/>
      <c r="H1009" s="20"/>
    </row>
    <row r="1010" spans="7:8" s="21" customFormat="1" x14ac:dyDescent="0.2">
      <c r="G1010" s="20"/>
      <c r="H1010" s="20"/>
    </row>
    <row r="1011" spans="7:8" s="21" customFormat="1" x14ac:dyDescent="0.2">
      <c r="G1011" s="20"/>
      <c r="H1011" s="20"/>
    </row>
    <row r="1012" spans="7:8" s="21" customFormat="1" x14ac:dyDescent="0.2">
      <c r="G1012" s="20"/>
      <c r="H1012" s="20"/>
    </row>
    <row r="1013" spans="7:8" s="21" customFormat="1" x14ac:dyDescent="0.2">
      <c r="G1013" s="20"/>
      <c r="H1013" s="20"/>
    </row>
    <row r="1014" spans="7:8" s="21" customFormat="1" x14ac:dyDescent="0.2">
      <c r="G1014" s="20"/>
      <c r="H1014" s="20"/>
    </row>
    <row r="1015" spans="7:8" s="21" customFormat="1" x14ac:dyDescent="0.2">
      <c r="G1015" s="20"/>
      <c r="H1015" s="20"/>
    </row>
    <row r="1016" spans="7:8" s="21" customFormat="1" x14ac:dyDescent="0.2">
      <c r="G1016" s="20"/>
      <c r="H1016" s="20"/>
    </row>
    <row r="1017" spans="7:8" s="21" customFormat="1" x14ac:dyDescent="0.2">
      <c r="G1017" s="20"/>
      <c r="H1017" s="20"/>
    </row>
    <row r="1018" spans="7:8" s="21" customFormat="1" x14ac:dyDescent="0.2">
      <c r="G1018" s="20"/>
      <c r="H1018" s="20"/>
    </row>
    <row r="1019" spans="7:8" s="21" customFormat="1" x14ac:dyDescent="0.2">
      <c r="G1019" s="20"/>
      <c r="H1019" s="20"/>
    </row>
    <row r="1020" spans="7:8" s="21" customFormat="1" x14ac:dyDescent="0.2">
      <c r="G1020" s="20"/>
      <c r="H1020" s="20"/>
    </row>
    <row r="1021" spans="7:8" s="21" customFormat="1" x14ac:dyDescent="0.2">
      <c r="G1021" s="20"/>
      <c r="H1021" s="20"/>
    </row>
    <row r="1022" spans="7:8" s="21" customFormat="1" x14ac:dyDescent="0.2">
      <c r="G1022" s="20"/>
      <c r="H1022" s="20"/>
    </row>
    <row r="1023" spans="7:8" s="21" customFormat="1" x14ac:dyDescent="0.2">
      <c r="G1023" s="20"/>
      <c r="H1023" s="20"/>
    </row>
    <row r="1024" spans="7:8" s="21" customFormat="1" x14ac:dyDescent="0.2">
      <c r="G1024" s="20"/>
      <c r="H1024" s="20"/>
    </row>
    <row r="1025" spans="7:8" s="21" customFormat="1" x14ac:dyDescent="0.2">
      <c r="G1025" s="20"/>
      <c r="H1025" s="20"/>
    </row>
    <row r="1026" spans="7:8" s="21" customFormat="1" x14ac:dyDescent="0.2">
      <c r="G1026" s="20"/>
      <c r="H1026" s="20"/>
    </row>
    <row r="1027" spans="7:8" s="21" customFormat="1" x14ac:dyDescent="0.2">
      <c r="G1027" s="20"/>
      <c r="H1027" s="20"/>
    </row>
    <row r="1028" spans="7:8" s="21" customFormat="1" x14ac:dyDescent="0.2">
      <c r="G1028" s="20"/>
      <c r="H1028" s="20"/>
    </row>
    <row r="1029" spans="7:8" s="21" customFormat="1" x14ac:dyDescent="0.2">
      <c r="G1029" s="20"/>
      <c r="H1029" s="20"/>
    </row>
    <row r="1030" spans="7:8" s="21" customFormat="1" x14ac:dyDescent="0.2">
      <c r="G1030" s="20"/>
      <c r="H1030" s="20"/>
    </row>
    <row r="1031" spans="7:8" s="21" customFormat="1" x14ac:dyDescent="0.2">
      <c r="G1031" s="20"/>
      <c r="H1031" s="20"/>
    </row>
    <row r="1032" spans="7:8" s="21" customFormat="1" x14ac:dyDescent="0.2">
      <c r="G1032" s="20"/>
      <c r="H1032" s="20"/>
    </row>
    <row r="1033" spans="7:8" s="21" customFormat="1" x14ac:dyDescent="0.2">
      <c r="G1033" s="20"/>
      <c r="H1033" s="20"/>
    </row>
    <row r="1034" spans="7:8" s="21" customFormat="1" x14ac:dyDescent="0.2">
      <c r="G1034" s="20"/>
      <c r="H1034" s="20"/>
    </row>
    <row r="1035" spans="7:8" s="21" customFormat="1" x14ac:dyDescent="0.2">
      <c r="G1035" s="20"/>
      <c r="H1035" s="20"/>
    </row>
    <row r="1036" spans="7:8" s="21" customFormat="1" x14ac:dyDescent="0.2">
      <c r="G1036" s="20"/>
      <c r="H1036" s="20"/>
    </row>
    <row r="1037" spans="7:8" s="21" customFormat="1" x14ac:dyDescent="0.2">
      <c r="G1037" s="20"/>
      <c r="H1037" s="20"/>
    </row>
    <row r="1038" spans="7:8" s="21" customFormat="1" x14ac:dyDescent="0.2">
      <c r="G1038" s="20"/>
      <c r="H1038" s="20"/>
    </row>
    <row r="1039" spans="7:8" s="21" customFormat="1" x14ac:dyDescent="0.2">
      <c r="G1039" s="20"/>
      <c r="H1039" s="20"/>
    </row>
    <row r="1040" spans="7:8" s="21" customFormat="1" x14ac:dyDescent="0.2">
      <c r="G1040" s="20"/>
      <c r="H1040" s="20"/>
    </row>
    <row r="1041" spans="7:8" s="21" customFormat="1" x14ac:dyDescent="0.2">
      <c r="G1041" s="20"/>
      <c r="H1041" s="20"/>
    </row>
    <row r="1042" spans="7:8" s="21" customFormat="1" x14ac:dyDescent="0.2">
      <c r="G1042" s="20"/>
      <c r="H1042" s="20"/>
    </row>
    <row r="1043" spans="7:8" s="21" customFormat="1" x14ac:dyDescent="0.2">
      <c r="G1043" s="20"/>
      <c r="H1043" s="20"/>
    </row>
    <row r="1044" spans="7:8" s="21" customFormat="1" x14ac:dyDescent="0.2">
      <c r="G1044" s="20"/>
      <c r="H1044" s="20"/>
    </row>
    <row r="1045" spans="7:8" s="21" customFormat="1" x14ac:dyDescent="0.2">
      <c r="G1045" s="20"/>
      <c r="H1045" s="20"/>
    </row>
    <row r="1046" spans="7:8" s="21" customFormat="1" x14ac:dyDescent="0.2">
      <c r="G1046" s="20"/>
      <c r="H1046" s="20"/>
    </row>
    <row r="1047" spans="7:8" s="21" customFormat="1" x14ac:dyDescent="0.2">
      <c r="G1047" s="20"/>
      <c r="H1047" s="20"/>
    </row>
    <row r="1048" spans="7:8" s="21" customFormat="1" x14ac:dyDescent="0.2">
      <c r="G1048" s="20"/>
      <c r="H1048" s="20"/>
    </row>
    <row r="1049" spans="7:8" s="21" customFormat="1" x14ac:dyDescent="0.2">
      <c r="G1049" s="20"/>
      <c r="H1049" s="20"/>
    </row>
    <row r="1050" spans="7:8" s="21" customFormat="1" x14ac:dyDescent="0.2">
      <c r="G1050" s="20"/>
      <c r="H1050" s="20"/>
    </row>
    <row r="1051" spans="7:8" s="21" customFormat="1" x14ac:dyDescent="0.2">
      <c r="G1051" s="20"/>
      <c r="H1051" s="20"/>
    </row>
    <row r="1052" spans="7:8" s="21" customFormat="1" x14ac:dyDescent="0.2">
      <c r="G1052" s="20"/>
      <c r="H1052" s="20"/>
    </row>
    <row r="1053" spans="7:8" s="21" customFormat="1" x14ac:dyDescent="0.2">
      <c r="G1053" s="20"/>
      <c r="H1053" s="20"/>
    </row>
    <row r="1054" spans="7:8" s="21" customFormat="1" x14ac:dyDescent="0.2">
      <c r="G1054" s="20"/>
      <c r="H1054" s="20"/>
    </row>
    <row r="1055" spans="7:8" s="21" customFormat="1" x14ac:dyDescent="0.2">
      <c r="G1055" s="20"/>
      <c r="H1055" s="20"/>
    </row>
    <row r="1056" spans="7:8" s="21" customFormat="1" x14ac:dyDescent="0.2">
      <c r="G1056" s="20"/>
      <c r="H1056" s="20"/>
    </row>
    <row r="1057" spans="7:8" s="21" customFormat="1" x14ac:dyDescent="0.2">
      <c r="G1057" s="20"/>
      <c r="H1057" s="20"/>
    </row>
    <row r="1058" spans="7:8" s="21" customFormat="1" x14ac:dyDescent="0.2">
      <c r="G1058" s="20"/>
      <c r="H1058" s="20"/>
    </row>
    <row r="1059" spans="7:8" s="21" customFormat="1" x14ac:dyDescent="0.2">
      <c r="G1059" s="20"/>
      <c r="H1059" s="20"/>
    </row>
    <row r="1060" spans="7:8" s="21" customFormat="1" x14ac:dyDescent="0.2">
      <c r="G1060" s="20"/>
      <c r="H1060" s="20"/>
    </row>
    <row r="1061" spans="7:8" s="21" customFormat="1" x14ac:dyDescent="0.2">
      <c r="G1061" s="20"/>
      <c r="H1061" s="20"/>
    </row>
    <row r="1062" spans="7:8" s="21" customFormat="1" x14ac:dyDescent="0.2">
      <c r="G1062" s="20"/>
      <c r="H1062" s="20"/>
    </row>
    <row r="1063" spans="7:8" s="21" customFormat="1" x14ac:dyDescent="0.2">
      <c r="G1063" s="20"/>
      <c r="H1063" s="20"/>
    </row>
    <row r="1064" spans="7:8" s="21" customFormat="1" x14ac:dyDescent="0.2">
      <c r="G1064" s="20"/>
      <c r="H1064" s="20"/>
    </row>
    <row r="1065" spans="7:8" s="21" customFormat="1" x14ac:dyDescent="0.2">
      <c r="G1065" s="20"/>
      <c r="H1065" s="20"/>
    </row>
    <row r="1066" spans="7:8" s="21" customFormat="1" x14ac:dyDescent="0.2">
      <c r="G1066" s="20"/>
      <c r="H1066" s="20"/>
    </row>
    <row r="1067" spans="7:8" s="21" customFormat="1" x14ac:dyDescent="0.2">
      <c r="G1067" s="20"/>
      <c r="H1067" s="20"/>
    </row>
    <row r="1068" spans="7:8" s="21" customFormat="1" x14ac:dyDescent="0.2">
      <c r="G1068" s="20"/>
      <c r="H1068" s="20"/>
    </row>
    <row r="1069" spans="7:8" s="21" customFormat="1" x14ac:dyDescent="0.2">
      <c r="G1069" s="20"/>
      <c r="H1069" s="20"/>
    </row>
    <row r="1070" spans="7:8" s="21" customFormat="1" x14ac:dyDescent="0.2">
      <c r="G1070" s="20"/>
      <c r="H1070" s="20"/>
    </row>
    <row r="1071" spans="7:8" s="21" customFormat="1" x14ac:dyDescent="0.2">
      <c r="G1071" s="20"/>
      <c r="H1071" s="20"/>
    </row>
    <row r="1072" spans="7:8" s="21" customFormat="1" x14ac:dyDescent="0.2">
      <c r="G1072" s="20"/>
      <c r="H1072" s="20"/>
    </row>
    <row r="1073" spans="7:8" s="21" customFormat="1" x14ac:dyDescent="0.2">
      <c r="G1073" s="20"/>
      <c r="H1073" s="20"/>
    </row>
    <row r="1074" spans="7:8" s="21" customFormat="1" x14ac:dyDescent="0.2">
      <c r="G1074" s="20"/>
      <c r="H1074" s="20"/>
    </row>
    <row r="1075" spans="7:8" s="21" customFormat="1" x14ac:dyDescent="0.2">
      <c r="G1075" s="20"/>
      <c r="H1075" s="20"/>
    </row>
    <row r="1076" spans="7:8" s="21" customFormat="1" x14ac:dyDescent="0.2">
      <c r="G1076" s="20"/>
      <c r="H1076" s="20"/>
    </row>
    <row r="1077" spans="7:8" s="21" customFormat="1" x14ac:dyDescent="0.2">
      <c r="G1077" s="20"/>
      <c r="H1077" s="20"/>
    </row>
    <row r="1078" spans="7:8" s="21" customFormat="1" x14ac:dyDescent="0.2">
      <c r="G1078" s="20"/>
      <c r="H1078" s="20"/>
    </row>
    <row r="1079" spans="7:8" s="21" customFormat="1" x14ac:dyDescent="0.2">
      <c r="G1079" s="20"/>
      <c r="H1079" s="20"/>
    </row>
    <row r="1080" spans="7:8" s="21" customFormat="1" x14ac:dyDescent="0.2">
      <c r="G1080" s="20"/>
      <c r="H1080" s="20"/>
    </row>
    <row r="1081" spans="7:8" s="21" customFormat="1" x14ac:dyDescent="0.2">
      <c r="G1081" s="20"/>
      <c r="H1081" s="20"/>
    </row>
    <row r="1082" spans="7:8" s="21" customFormat="1" x14ac:dyDescent="0.2">
      <c r="G1082" s="20"/>
      <c r="H1082" s="20"/>
    </row>
    <row r="1083" spans="7:8" s="21" customFormat="1" x14ac:dyDescent="0.2">
      <c r="G1083" s="20"/>
      <c r="H1083" s="20"/>
    </row>
    <row r="1084" spans="7:8" s="21" customFormat="1" x14ac:dyDescent="0.2">
      <c r="G1084" s="20"/>
      <c r="H1084" s="20"/>
    </row>
    <row r="1085" spans="7:8" s="21" customFormat="1" x14ac:dyDescent="0.2">
      <c r="G1085" s="20"/>
      <c r="H1085" s="20"/>
    </row>
    <row r="1086" spans="7:8" s="21" customFormat="1" x14ac:dyDescent="0.2">
      <c r="G1086" s="20"/>
      <c r="H1086" s="20"/>
    </row>
    <row r="1087" spans="7:8" s="21" customFormat="1" x14ac:dyDescent="0.2">
      <c r="G1087" s="20"/>
      <c r="H1087" s="20"/>
    </row>
    <row r="1088" spans="7:8" s="21" customFormat="1" x14ac:dyDescent="0.2">
      <c r="G1088" s="20"/>
      <c r="H1088" s="20"/>
    </row>
    <row r="1089" spans="7:8" s="21" customFormat="1" x14ac:dyDescent="0.2">
      <c r="G1089" s="20"/>
      <c r="H1089" s="20"/>
    </row>
    <row r="1090" spans="7:8" s="21" customFormat="1" x14ac:dyDescent="0.2">
      <c r="G1090" s="20"/>
      <c r="H1090" s="20"/>
    </row>
    <row r="1091" spans="7:8" s="21" customFormat="1" x14ac:dyDescent="0.2">
      <c r="G1091" s="20"/>
      <c r="H1091" s="20"/>
    </row>
    <row r="1092" spans="7:8" s="21" customFormat="1" x14ac:dyDescent="0.2">
      <c r="G1092" s="20"/>
      <c r="H1092" s="20"/>
    </row>
    <row r="1093" spans="7:8" s="21" customFormat="1" x14ac:dyDescent="0.2">
      <c r="G1093" s="20"/>
      <c r="H1093" s="20"/>
    </row>
    <row r="1094" spans="7:8" s="21" customFormat="1" x14ac:dyDescent="0.2">
      <c r="G1094" s="20"/>
      <c r="H1094" s="20"/>
    </row>
    <row r="1095" spans="7:8" s="21" customFormat="1" x14ac:dyDescent="0.2">
      <c r="G1095" s="20"/>
      <c r="H1095" s="20"/>
    </row>
    <row r="1096" spans="7:8" s="21" customFormat="1" x14ac:dyDescent="0.2">
      <c r="G1096" s="20"/>
      <c r="H1096" s="20"/>
    </row>
    <row r="1097" spans="7:8" s="21" customFormat="1" x14ac:dyDescent="0.2">
      <c r="G1097" s="20"/>
      <c r="H1097" s="20"/>
    </row>
    <row r="1098" spans="7:8" s="21" customFormat="1" x14ac:dyDescent="0.2">
      <c r="G1098" s="20"/>
      <c r="H1098" s="20"/>
    </row>
    <row r="1099" spans="7:8" s="21" customFormat="1" x14ac:dyDescent="0.2">
      <c r="G1099" s="20"/>
      <c r="H1099" s="20"/>
    </row>
    <row r="1100" spans="7:8" s="21" customFormat="1" x14ac:dyDescent="0.2">
      <c r="G1100" s="20"/>
      <c r="H1100" s="20"/>
    </row>
    <row r="1101" spans="7:8" s="21" customFormat="1" x14ac:dyDescent="0.2">
      <c r="G1101" s="20"/>
      <c r="H1101" s="20"/>
    </row>
    <row r="1102" spans="7:8" s="21" customFormat="1" x14ac:dyDescent="0.2">
      <c r="G1102" s="20"/>
      <c r="H1102" s="20"/>
    </row>
    <row r="1103" spans="7:8" s="21" customFormat="1" x14ac:dyDescent="0.2">
      <c r="G1103" s="20"/>
      <c r="H1103" s="20"/>
    </row>
    <row r="1104" spans="7:8" s="21" customFormat="1" x14ac:dyDescent="0.2">
      <c r="G1104" s="20"/>
      <c r="H1104" s="20"/>
    </row>
    <row r="1105" spans="7:8" s="21" customFormat="1" x14ac:dyDescent="0.2">
      <c r="G1105" s="20"/>
      <c r="H1105" s="20"/>
    </row>
    <row r="1106" spans="7:8" s="21" customFormat="1" x14ac:dyDescent="0.2">
      <c r="G1106" s="20"/>
      <c r="H1106" s="20"/>
    </row>
    <row r="1107" spans="7:8" s="21" customFormat="1" x14ac:dyDescent="0.2">
      <c r="G1107" s="20"/>
      <c r="H1107" s="20"/>
    </row>
    <row r="1108" spans="7:8" s="21" customFormat="1" x14ac:dyDescent="0.2">
      <c r="G1108" s="20"/>
      <c r="H1108" s="20"/>
    </row>
    <row r="1109" spans="7:8" s="21" customFormat="1" x14ac:dyDescent="0.2">
      <c r="G1109" s="20"/>
      <c r="H1109" s="20"/>
    </row>
    <row r="1110" spans="7:8" s="21" customFormat="1" x14ac:dyDescent="0.2">
      <c r="G1110" s="20"/>
      <c r="H1110" s="20"/>
    </row>
    <row r="1111" spans="7:8" s="21" customFormat="1" x14ac:dyDescent="0.2">
      <c r="G1111" s="20"/>
      <c r="H1111" s="20"/>
    </row>
    <row r="1112" spans="7:8" s="21" customFormat="1" x14ac:dyDescent="0.2">
      <c r="G1112" s="20"/>
      <c r="H1112" s="20"/>
    </row>
    <row r="1113" spans="7:8" s="21" customFormat="1" x14ac:dyDescent="0.2">
      <c r="G1113" s="20"/>
      <c r="H1113" s="20"/>
    </row>
    <row r="1114" spans="7:8" s="21" customFormat="1" x14ac:dyDescent="0.2">
      <c r="G1114" s="20"/>
      <c r="H1114" s="20"/>
    </row>
    <row r="1115" spans="7:8" s="21" customFormat="1" x14ac:dyDescent="0.2">
      <c r="G1115" s="20"/>
      <c r="H1115" s="20"/>
    </row>
    <row r="1116" spans="7:8" s="21" customFormat="1" x14ac:dyDescent="0.2">
      <c r="G1116" s="20"/>
      <c r="H1116" s="20"/>
    </row>
    <row r="1117" spans="7:8" s="21" customFormat="1" x14ac:dyDescent="0.2">
      <c r="G1117" s="20"/>
      <c r="H1117" s="20"/>
    </row>
    <row r="1118" spans="7:8" s="21" customFormat="1" x14ac:dyDescent="0.2">
      <c r="G1118" s="20"/>
      <c r="H1118" s="20"/>
    </row>
    <row r="1119" spans="7:8" s="21" customFormat="1" x14ac:dyDescent="0.2">
      <c r="G1119" s="20"/>
      <c r="H1119" s="20"/>
    </row>
    <row r="1120" spans="7:8" s="21" customFormat="1" x14ac:dyDescent="0.2">
      <c r="G1120" s="20"/>
      <c r="H1120" s="20"/>
    </row>
    <row r="1121" spans="7:8" s="21" customFormat="1" x14ac:dyDescent="0.2">
      <c r="G1121" s="20"/>
      <c r="H1121" s="20"/>
    </row>
    <row r="1122" spans="7:8" s="21" customFormat="1" x14ac:dyDescent="0.2">
      <c r="G1122" s="20"/>
      <c r="H1122" s="20"/>
    </row>
    <row r="1123" spans="7:8" s="21" customFormat="1" x14ac:dyDescent="0.2">
      <c r="G1123" s="20"/>
      <c r="H1123" s="20"/>
    </row>
    <row r="1124" spans="7:8" s="21" customFormat="1" x14ac:dyDescent="0.2">
      <c r="G1124" s="20"/>
      <c r="H1124" s="20"/>
    </row>
    <row r="1125" spans="7:8" s="21" customFormat="1" x14ac:dyDescent="0.2">
      <c r="G1125" s="20"/>
      <c r="H1125" s="20"/>
    </row>
    <row r="1126" spans="7:8" s="21" customFormat="1" x14ac:dyDescent="0.2">
      <c r="G1126" s="20"/>
      <c r="H1126" s="20"/>
    </row>
    <row r="1127" spans="7:8" s="21" customFormat="1" x14ac:dyDescent="0.2">
      <c r="G1127" s="20"/>
      <c r="H1127" s="20"/>
    </row>
    <row r="1128" spans="7:8" s="21" customFormat="1" x14ac:dyDescent="0.2">
      <c r="G1128" s="20"/>
      <c r="H1128" s="20"/>
    </row>
    <row r="1129" spans="7:8" s="21" customFormat="1" x14ac:dyDescent="0.2">
      <c r="G1129" s="20"/>
      <c r="H1129" s="20"/>
    </row>
    <row r="1130" spans="7:8" s="21" customFormat="1" x14ac:dyDescent="0.2">
      <c r="G1130" s="20"/>
      <c r="H1130" s="20"/>
    </row>
    <row r="1131" spans="7:8" s="21" customFormat="1" x14ac:dyDescent="0.2">
      <c r="G1131" s="20"/>
      <c r="H1131" s="20"/>
    </row>
    <row r="1132" spans="7:8" s="21" customFormat="1" x14ac:dyDescent="0.2">
      <c r="G1132" s="20"/>
      <c r="H1132" s="20"/>
    </row>
    <row r="1133" spans="7:8" s="21" customFormat="1" x14ac:dyDescent="0.2">
      <c r="G1133" s="20"/>
      <c r="H1133" s="20"/>
    </row>
    <row r="1134" spans="7:8" s="21" customFormat="1" x14ac:dyDescent="0.2">
      <c r="G1134" s="20"/>
      <c r="H1134" s="20"/>
    </row>
    <row r="1135" spans="7:8" s="21" customFormat="1" x14ac:dyDescent="0.2">
      <c r="G1135" s="20"/>
      <c r="H1135" s="20"/>
    </row>
    <row r="1136" spans="7:8" s="21" customFormat="1" x14ac:dyDescent="0.2">
      <c r="G1136" s="20"/>
      <c r="H1136" s="20"/>
    </row>
    <row r="1137" spans="7:8" s="21" customFormat="1" x14ac:dyDescent="0.2">
      <c r="G1137" s="20"/>
      <c r="H1137" s="20"/>
    </row>
    <row r="1138" spans="7:8" s="21" customFormat="1" x14ac:dyDescent="0.2">
      <c r="G1138" s="20"/>
      <c r="H1138" s="20"/>
    </row>
    <row r="1139" spans="7:8" s="21" customFormat="1" x14ac:dyDescent="0.2">
      <c r="G1139" s="20"/>
      <c r="H1139" s="20"/>
    </row>
    <row r="1140" spans="7:8" s="21" customFormat="1" x14ac:dyDescent="0.2">
      <c r="G1140" s="20"/>
      <c r="H1140" s="20"/>
    </row>
    <row r="1141" spans="7:8" s="21" customFormat="1" x14ac:dyDescent="0.2">
      <c r="G1141" s="20"/>
      <c r="H1141" s="20"/>
    </row>
    <row r="1142" spans="7:8" s="21" customFormat="1" x14ac:dyDescent="0.2">
      <c r="G1142" s="20"/>
      <c r="H1142" s="20"/>
    </row>
    <row r="1143" spans="7:8" s="21" customFormat="1" x14ac:dyDescent="0.2">
      <c r="G1143" s="20"/>
      <c r="H1143" s="20"/>
    </row>
    <row r="1144" spans="7:8" s="21" customFormat="1" x14ac:dyDescent="0.2">
      <c r="G1144" s="20"/>
      <c r="H1144" s="20"/>
    </row>
    <row r="1145" spans="7:8" s="21" customFormat="1" x14ac:dyDescent="0.2">
      <c r="G1145" s="20"/>
      <c r="H1145" s="20"/>
    </row>
    <row r="1146" spans="7:8" s="21" customFormat="1" x14ac:dyDescent="0.2">
      <c r="G1146" s="20"/>
      <c r="H1146" s="20"/>
    </row>
    <row r="1147" spans="7:8" s="21" customFormat="1" x14ac:dyDescent="0.2">
      <c r="G1147" s="20"/>
      <c r="H1147" s="20"/>
    </row>
    <row r="1148" spans="7:8" s="21" customFormat="1" x14ac:dyDescent="0.2">
      <c r="G1148" s="20"/>
      <c r="H1148" s="20"/>
    </row>
    <row r="1149" spans="7:8" s="21" customFormat="1" x14ac:dyDescent="0.2">
      <c r="G1149" s="20"/>
      <c r="H1149" s="20"/>
    </row>
    <row r="1150" spans="7:8" s="21" customFormat="1" x14ac:dyDescent="0.2">
      <c r="G1150" s="20"/>
      <c r="H1150" s="20"/>
    </row>
    <row r="1151" spans="7:8" s="21" customFormat="1" x14ac:dyDescent="0.2">
      <c r="G1151" s="20"/>
      <c r="H1151" s="20"/>
    </row>
    <row r="1152" spans="7:8" s="21" customFormat="1" x14ac:dyDescent="0.2">
      <c r="G1152" s="20"/>
      <c r="H1152" s="20"/>
    </row>
    <row r="1153" spans="7:8" s="21" customFormat="1" x14ac:dyDescent="0.2">
      <c r="G1153" s="20"/>
      <c r="H1153" s="20"/>
    </row>
    <row r="1154" spans="7:8" s="21" customFormat="1" x14ac:dyDescent="0.2">
      <c r="G1154" s="20"/>
      <c r="H1154" s="20"/>
    </row>
    <row r="1155" spans="7:8" s="21" customFormat="1" x14ac:dyDescent="0.2">
      <c r="G1155" s="20"/>
      <c r="H1155" s="20"/>
    </row>
    <row r="1156" spans="7:8" s="21" customFormat="1" x14ac:dyDescent="0.2">
      <c r="G1156" s="20"/>
      <c r="H1156" s="20"/>
    </row>
    <row r="1157" spans="7:8" s="21" customFormat="1" x14ac:dyDescent="0.2">
      <c r="G1157" s="20"/>
      <c r="H1157" s="20"/>
    </row>
    <row r="1158" spans="7:8" s="21" customFormat="1" x14ac:dyDescent="0.2">
      <c r="G1158" s="20"/>
      <c r="H1158" s="20"/>
    </row>
    <row r="1159" spans="7:8" s="21" customFormat="1" x14ac:dyDescent="0.2">
      <c r="G1159" s="20"/>
      <c r="H1159" s="20"/>
    </row>
    <row r="1160" spans="7:8" s="21" customFormat="1" x14ac:dyDescent="0.2">
      <c r="G1160" s="20"/>
      <c r="H1160" s="20"/>
    </row>
    <row r="1161" spans="7:8" s="21" customFormat="1" x14ac:dyDescent="0.2">
      <c r="G1161" s="20"/>
      <c r="H1161" s="20"/>
    </row>
    <row r="1162" spans="7:8" s="21" customFormat="1" x14ac:dyDescent="0.2">
      <c r="G1162" s="20"/>
      <c r="H1162" s="20"/>
    </row>
    <row r="1163" spans="7:8" s="21" customFormat="1" x14ac:dyDescent="0.2">
      <c r="G1163" s="20"/>
      <c r="H1163" s="20"/>
    </row>
    <row r="1164" spans="7:8" s="21" customFormat="1" x14ac:dyDescent="0.2">
      <c r="G1164" s="20"/>
      <c r="H1164" s="20"/>
    </row>
    <row r="1165" spans="7:8" s="21" customFormat="1" x14ac:dyDescent="0.2">
      <c r="G1165" s="20"/>
      <c r="H1165" s="20"/>
    </row>
    <row r="1166" spans="7:8" s="21" customFormat="1" x14ac:dyDescent="0.2">
      <c r="G1166" s="20"/>
      <c r="H1166" s="20"/>
    </row>
    <row r="1167" spans="7:8" s="21" customFormat="1" x14ac:dyDescent="0.2">
      <c r="G1167" s="20"/>
      <c r="H1167" s="20"/>
    </row>
    <row r="1168" spans="7:8" s="21" customFormat="1" x14ac:dyDescent="0.2">
      <c r="G1168" s="20"/>
      <c r="H1168" s="20"/>
    </row>
    <row r="1169" spans="7:8" s="21" customFormat="1" x14ac:dyDescent="0.2">
      <c r="G1169" s="20"/>
      <c r="H1169" s="20"/>
    </row>
    <row r="1170" spans="7:8" s="21" customFormat="1" x14ac:dyDescent="0.2">
      <c r="G1170" s="20"/>
      <c r="H1170" s="20"/>
    </row>
    <row r="1171" spans="7:8" s="21" customFormat="1" x14ac:dyDescent="0.2">
      <c r="G1171" s="20"/>
      <c r="H1171" s="20"/>
    </row>
    <row r="1172" spans="7:8" s="21" customFormat="1" x14ac:dyDescent="0.2">
      <c r="G1172" s="20"/>
      <c r="H1172" s="20"/>
    </row>
    <row r="1173" spans="7:8" s="21" customFormat="1" x14ac:dyDescent="0.2">
      <c r="G1173" s="20"/>
      <c r="H1173" s="20"/>
    </row>
    <row r="1174" spans="7:8" s="21" customFormat="1" x14ac:dyDescent="0.2">
      <c r="G1174" s="20"/>
      <c r="H1174" s="20"/>
    </row>
    <row r="1175" spans="7:8" s="21" customFormat="1" x14ac:dyDescent="0.2">
      <c r="G1175" s="20"/>
      <c r="H1175" s="20"/>
    </row>
    <row r="1176" spans="7:8" s="21" customFormat="1" x14ac:dyDescent="0.2">
      <c r="G1176" s="20"/>
      <c r="H1176" s="20"/>
    </row>
    <row r="1177" spans="7:8" s="21" customFormat="1" x14ac:dyDescent="0.2">
      <c r="G1177" s="20"/>
      <c r="H1177" s="20"/>
    </row>
    <row r="1178" spans="7:8" s="21" customFormat="1" x14ac:dyDescent="0.2">
      <c r="G1178" s="20"/>
      <c r="H1178" s="20"/>
    </row>
    <row r="1179" spans="7:8" s="21" customFormat="1" x14ac:dyDescent="0.2">
      <c r="G1179" s="20"/>
      <c r="H1179" s="20"/>
    </row>
    <row r="1180" spans="7:8" s="21" customFormat="1" x14ac:dyDescent="0.2">
      <c r="G1180" s="20"/>
      <c r="H1180" s="20"/>
    </row>
    <row r="1181" spans="7:8" s="21" customFormat="1" x14ac:dyDescent="0.2">
      <c r="G1181" s="20"/>
      <c r="H1181" s="20"/>
    </row>
    <row r="1182" spans="7:8" s="21" customFormat="1" x14ac:dyDescent="0.2">
      <c r="G1182" s="20"/>
      <c r="H1182" s="20"/>
    </row>
    <row r="1183" spans="7:8" s="21" customFormat="1" x14ac:dyDescent="0.2">
      <c r="G1183" s="20"/>
      <c r="H1183" s="20"/>
    </row>
    <row r="1184" spans="7:8" s="21" customFormat="1" x14ac:dyDescent="0.2">
      <c r="G1184" s="20"/>
      <c r="H1184" s="20"/>
    </row>
    <row r="1185" spans="7:8" s="21" customFormat="1" x14ac:dyDescent="0.2">
      <c r="G1185" s="20"/>
      <c r="H1185" s="20"/>
    </row>
    <row r="1186" spans="7:8" s="21" customFormat="1" x14ac:dyDescent="0.2">
      <c r="G1186" s="20"/>
      <c r="H1186" s="20"/>
    </row>
    <row r="1187" spans="7:8" s="21" customFormat="1" x14ac:dyDescent="0.2">
      <c r="G1187" s="20"/>
      <c r="H1187" s="20"/>
    </row>
    <row r="1188" spans="7:8" s="21" customFormat="1" x14ac:dyDescent="0.2">
      <c r="G1188" s="20"/>
      <c r="H1188" s="20"/>
    </row>
    <row r="1189" spans="7:8" s="21" customFormat="1" x14ac:dyDescent="0.2">
      <c r="G1189" s="20"/>
      <c r="H1189" s="20"/>
    </row>
    <row r="1190" spans="7:8" s="21" customFormat="1" x14ac:dyDescent="0.2">
      <c r="G1190" s="20"/>
      <c r="H1190" s="20"/>
    </row>
    <row r="1191" spans="7:8" s="21" customFormat="1" x14ac:dyDescent="0.2">
      <c r="G1191" s="20"/>
      <c r="H1191" s="20"/>
    </row>
    <row r="1192" spans="7:8" s="21" customFormat="1" x14ac:dyDescent="0.2">
      <c r="G1192" s="20"/>
      <c r="H1192" s="20"/>
    </row>
    <row r="1193" spans="7:8" s="21" customFormat="1" x14ac:dyDescent="0.2">
      <c r="G1193" s="20"/>
      <c r="H1193" s="20"/>
    </row>
    <row r="1194" spans="7:8" s="21" customFormat="1" x14ac:dyDescent="0.2">
      <c r="G1194" s="20"/>
      <c r="H1194" s="20"/>
    </row>
    <row r="1195" spans="7:8" s="21" customFormat="1" x14ac:dyDescent="0.2">
      <c r="G1195" s="20"/>
      <c r="H1195" s="20"/>
    </row>
    <row r="1196" spans="7:8" s="21" customFormat="1" x14ac:dyDescent="0.2">
      <c r="G1196" s="20"/>
      <c r="H1196" s="20"/>
    </row>
    <row r="1197" spans="7:8" s="21" customFormat="1" x14ac:dyDescent="0.2">
      <c r="G1197" s="20"/>
      <c r="H1197" s="20"/>
    </row>
    <row r="1198" spans="7:8" s="21" customFormat="1" x14ac:dyDescent="0.2">
      <c r="G1198" s="20"/>
      <c r="H1198" s="20"/>
    </row>
    <row r="1199" spans="7:8" s="21" customFormat="1" x14ac:dyDescent="0.2">
      <c r="G1199" s="20"/>
      <c r="H1199" s="20"/>
    </row>
    <row r="1200" spans="7:8" s="21" customFormat="1" x14ac:dyDescent="0.2">
      <c r="G1200" s="20"/>
      <c r="H1200" s="20"/>
    </row>
    <row r="1201" spans="7:8" s="21" customFormat="1" x14ac:dyDescent="0.2">
      <c r="G1201" s="20"/>
      <c r="H1201" s="20"/>
    </row>
    <row r="1202" spans="7:8" s="21" customFormat="1" x14ac:dyDescent="0.2">
      <c r="G1202" s="20"/>
      <c r="H1202" s="20"/>
    </row>
    <row r="1203" spans="7:8" s="21" customFormat="1" x14ac:dyDescent="0.2">
      <c r="G1203" s="20"/>
      <c r="H1203" s="20"/>
    </row>
    <row r="1204" spans="7:8" s="21" customFormat="1" x14ac:dyDescent="0.2">
      <c r="G1204" s="20"/>
      <c r="H1204" s="20"/>
    </row>
    <row r="1205" spans="7:8" s="21" customFormat="1" x14ac:dyDescent="0.2">
      <c r="G1205" s="20"/>
      <c r="H1205" s="20"/>
    </row>
    <row r="1206" spans="7:8" s="21" customFormat="1" x14ac:dyDescent="0.2">
      <c r="G1206" s="20"/>
      <c r="H1206" s="20"/>
    </row>
    <row r="1207" spans="7:8" s="21" customFormat="1" x14ac:dyDescent="0.2">
      <c r="G1207" s="20"/>
      <c r="H1207" s="20"/>
    </row>
    <row r="1208" spans="7:8" s="21" customFormat="1" x14ac:dyDescent="0.2">
      <c r="G1208" s="20"/>
      <c r="H1208" s="20"/>
    </row>
    <row r="1209" spans="7:8" s="21" customFormat="1" x14ac:dyDescent="0.2">
      <c r="G1209" s="20"/>
      <c r="H1209" s="20"/>
    </row>
    <row r="1210" spans="7:8" s="21" customFormat="1" x14ac:dyDescent="0.2">
      <c r="G1210" s="20"/>
      <c r="H1210" s="20"/>
    </row>
    <row r="1211" spans="7:8" s="21" customFormat="1" x14ac:dyDescent="0.2">
      <c r="G1211" s="20"/>
      <c r="H1211" s="20"/>
    </row>
    <row r="1212" spans="7:8" s="21" customFormat="1" x14ac:dyDescent="0.2">
      <c r="G1212" s="20"/>
      <c r="H1212" s="20"/>
    </row>
    <row r="1213" spans="7:8" s="21" customFormat="1" x14ac:dyDescent="0.2">
      <c r="G1213" s="20"/>
      <c r="H1213" s="20"/>
    </row>
    <row r="1214" spans="7:8" s="21" customFormat="1" x14ac:dyDescent="0.2">
      <c r="G1214" s="20"/>
      <c r="H1214" s="20"/>
    </row>
    <row r="1215" spans="7:8" s="21" customFormat="1" x14ac:dyDescent="0.2">
      <c r="G1215" s="20"/>
      <c r="H1215" s="20"/>
    </row>
    <row r="1216" spans="7:8" s="21" customFormat="1" x14ac:dyDescent="0.2">
      <c r="G1216" s="20"/>
      <c r="H1216" s="20"/>
    </row>
    <row r="1217" spans="7:8" s="21" customFormat="1" x14ac:dyDescent="0.2">
      <c r="G1217" s="20"/>
      <c r="H1217" s="20"/>
    </row>
    <row r="1218" spans="7:8" s="21" customFormat="1" x14ac:dyDescent="0.2">
      <c r="G1218" s="20"/>
      <c r="H1218" s="20"/>
    </row>
    <row r="1219" spans="7:8" s="21" customFormat="1" x14ac:dyDescent="0.2">
      <c r="G1219" s="20"/>
      <c r="H1219" s="20"/>
    </row>
    <row r="1220" spans="7:8" s="21" customFormat="1" x14ac:dyDescent="0.2">
      <c r="G1220" s="20"/>
      <c r="H1220" s="20"/>
    </row>
    <row r="1221" spans="7:8" s="21" customFormat="1" x14ac:dyDescent="0.2">
      <c r="G1221" s="20"/>
      <c r="H1221" s="20"/>
    </row>
    <row r="1222" spans="7:8" s="21" customFormat="1" x14ac:dyDescent="0.2">
      <c r="G1222" s="20"/>
      <c r="H1222" s="20"/>
    </row>
    <row r="1223" spans="7:8" s="21" customFormat="1" x14ac:dyDescent="0.2">
      <c r="G1223" s="20"/>
      <c r="H1223" s="20"/>
    </row>
    <row r="1224" spans="7:8" s="21" customFormat="1" x14ac:dyDescent="0.2">
      <c r="G1224" s="20"/>
      <c r="H1224" s="20"/>
    </row>
    <row r="1225" spans="7:8" s="21" customFormat="1" x14ac:dyDescent="0.2">
      <c r="G1225" s="20"/>
      <c r="H1225" s="20"/>
    </row>
    <row r="1226" spans="7:8" s="21" customFormat="1" x14ac:dyDescent="0.2">
      <c r="G1226" s="20"/>
      <c r="H1226" s="20"/>
    </row>
    <row r="1227" spans="7:8" s="21" customFormat="1" x14ac:dyDescent="0.2">
      <c r="G1227" s="20"/>
      <c r="H1227" s="20"/>
    </row>
    <row r="1228" spans="7:8" s="21" customFormat="1" x14ac:dyDescent="0.2">
      <c r="G1228" s="20"/>
      <c r="H1228" s="20"/>
    </row>
    <row r="1229" spans="7:8" s="21" customFormat="1" x14ac:dyDescent="0.2">
      <c r="G1229" s="20"/>
      <c r="H1229" s="20"/>
    </row>
    <row r="1230" spans="7:8" s="21" customFormat="1" x14ac:dyDescent="0.2">
      <c r="G1230" s="20"/>
      <c r="H1230" s="20"/>
    </row>
    <row r="1231" spans="7:8" s="21" customFormat="1" x14ac:dyDescent="0.2">
      <c r="G1231" s="20"/>
      <c r="H1231" s="20"/>
    </row>
    <row r="1232" spans="7:8" s="21" customFormat="1" x14ac:dyDescent="0.2">
      <c r="G1232" s="20"/>
      <c r="H1232" s="20"/>
    </row>
    <row r="1233" spans="7:8" s="21" customFormat="1" x14ac:dyDescent="0.2">
      <c r="G1233" s="20"/>
      <c r="H1233" s="20"/>
    </row>
    <row r="1234" spans="7:8" s="21" customFormat="1" x14ac:dyDescent="0.2">
      <c r="G1234" s="20"/>
      <c r="H1234" s="20"/>
    </row>
    <row r="1235" spans="7:8" s="21" customFormat="1" x14ac:dyDescent="0.2">
      <c r="G1235" s="20"/>
      <c r="H1235" s="20"/>
    </row>
    <row r="1236" spans="7:8" s="21" customFormat="1" x14ac:dyDescent="0.2">
      <c r="G1236" s="20"/>
      <c r="H1236" s="20"/>
    </row>
    <row r="1237" spans="7:8" s="21" customFormat="1" x14ac:dyDescent="0.2">
      <c r="G1237" s="20"/>
      <c r="H1237" s="20"/>
    </row>
    <row r="1238" spans="7:8" s="21" customFormat="1" x14ac:dyDescent="0.2">
      <c r="G1238" s="20"/>
      <c r="H1238" s="20"/>
    </row>
    <row r="1239" spans="7:8" s="21" customFormat="1" x14ac:dyDescent="0.2">
      <c r="G1239" s="20"/>
      <c r="H1239" s="20"/>
    </row>
    <row r="1240" spans="7:8" s="21" customFormat="1" x14ac:dyDescent="0.2">
      <c r="G1240" s="20"/>
      <c r="H1240" s="20"/>
    </row>
    <row r="1241" spans="7:8" s="21" customFormat="1" x14ac:dyDescent="0.2">
      <c r="G1241" s="20"/>
      <c r="H1241" s="20"/>
    </row>
    <row r="1242" spans="7:8" s="21" customFormat="1" x14ac:dyDescent="0.2">
      <c r="G1242" s="20"/>
      <c r="H1242" s="20"/>
    </row>
    <row r="1243" spans="7:8" s="21" customFormat="1" x14ac:dyDescent="0.2">
      <c r="G1243" s="20"/>
      <c r="H1243" s="20"/>
    </row>
    <row r="1244" spans="7:8" s="21" customFormat="1" x14ac:dyDescent="0.2">
      <c r="G1244" s="20"/>
      <c r="H1244" s="20"/>
    </row>
    <row r="1245" spans="7:8" s="21" customFormat="1" x14ac:dyDescent="0.2">
      <c r="G1245" s="20"/>
      <c r="H1245" s="20"/>
    </row>
    <row r="1246" spans="7:8" s="21" customFormat="1" x14ac:dyDescent="0.2">
      <c r="G1246" s="20"/>
      <c r="H1246" s="20"/>
    </row>
    <row r="1247" spans="7:8" s="21" customFormat="1" x14ac:dyDescent="0.2">
      <c r="G1247" s="20"/>
      <c r="H1247" s="20"/>
    </row>
    <row r="1248" spans="7:8" s="21" customFormat="1" x14ac:dyDescent="0.2">
      <c r="G1248" s="20"/>
      <c r="H1248" s="20"/>
    </row>
    <row r="1249" spans="7:8" s="21" customFormat="1" x14ac:dyDescent="0.2">
      <c r="G1249" s="20"/>
      <c r="H1249" s="20"/>
    </row>
    <row r="1250" spans="7:8" s="21" customFormat="1" x14ac:dyDescent="0.2">
      <c r="G1250" s="20"/>
      <c r="H1250" s="20"/>
    </row>
    <row r="1251" spans="7:8" s="21" customFormat="1" x14ac:dyDescent="0.2">
      <c r="G1251" s="20"/>
      <c r="H1251" s="20"/>
    </row>
    <row r="1252" spans="7:8" s="21" customFormat="1" x14ac:dyDescent="0.2">
      <c r="G1252" s="20"/>
      <c r="H1252" s="20"/>
    </row>
    <row r="1253" spans="7:8" s="21" customFormat="1" x14ac:dyDescent="0.2">
      <c r="G1253" s="20"/>
      <c r="H1253" s="20"/>
    </row>
    <row r="1254" spans="7:8" s="21" customFormat="1" x14ac:dyDescent="0.2">
      <c r="G1254" s="20"/>
      <c r="H1254" s="20"/>
    </row>
    <row r="1255" spans="7:8" s="21" customFormat="1" x14ac:dyDescent="0.2">
      <c r="G1255" s="20"/>
      <c r="H1255" s="20"/>
    </row>
    <row r="1256" spans="7:8" s="21" customFormat="1" x14ac:dyDescent="0.2">
      <c r="G1256" s="20"/>
      <c r="H1256" s="20"/>
    </row>
    <row r="1257" spans="7:8" s="21" customFormat="1" x14ac:dyDescent="0.2">
      <c r="G1257" s="20"/>
      <c r="H1257" s="20"/>
    </row>
    <row r="1258" spans="7:8" s="21" customFormat="1" x14ac:dyDescent="0.2">
      <c r="G1258" s="20"/>
      <c r="H1258" s="20"/>
    </row>
    <row r="1259" spans="7:8" s="21" customFormat="1" x14ac:dyDescent="0.2">
      <c r="G1259" s="20"/>
      <c r="H1259" s="20"/>
    </row>
    <row r="1260" spans="7:8" s="21" customFormat="1" x14ac:dyDescent="0.2">
      <c r="G1260" s="20"/>
      <c r="H1260" s="20"/>
    </row>
    <row r="1261" spans="7:8" s="21" customFormat="1" x14ac:dyDescent="0.2">
      <c r="G1261" s="20"/>
      <c r="H1261" s="20"/>
    </row>
    <row r="1262" spans="7:8" s="21" customFormat="1" x14ac:dyDescent="0.2">
      <c r="G1262" s="20"/>
      <c r="H1262" s="20"/>
    </row>
    <row r="1263" spans="7:8" s="21" customFormat="1" x14ac:dyDescent="0.2">
      <c r="G1263" s="20"/>
      <c r="H1263" s="20"/>
    </row>
    <row r="1264" spans="7:8" s="21" customFormat="1" x14ac:dyDescent="0.2">
      <c r="G1264" s="20"/>
      <c r="H1264" s="20"/>
    </row>
    <row r="1265" spans="7:8" s="21" customFormat="1" x14ac:dyDescent="0.2">
      <c r="G1265" s="20"/>
      <c r="H1265" s="20"/>
    </row>
    <row r="1266" spans="7:8" s="21" customFormat="1" x14ac:dyDescent="0.2">
      <c r="G1266" s="20"/>
      <c r="H1266" s="20"/>
    </row>
    <row r="1267" spans="7:8" s="21" customFormat="1" x14ac:dyDescent="0.2">
      <c r="G1267" s="20"/>
      <c r="H1267" s="20"/>
    </row>
    <row r="1268" spans="7:8" s="21" customFormat="1" x14ac:dyDescent="0.2">
      <c r="G1268" s="20"/>
      <c r="H1268" s="20"/>
    </row>
    <row r="1269" spans="7:8" s="21" customFormat="1" x14ac:dyDescent="0.2">
      <c r="G1269" s="20"/>
      <c r="H1269" s="20"/>
    </row>
    <row r="1270" spans="7:8" s="21" customFormat="1" x14ac:dyDescent="0.2">
      <c r="G1270" s="20"/>
      <c r="H1270" s="20"/>
    </row>
    <row r="1271" spans="7:8" s="21" customFormat="1" x14ac:dyDescent="0.2">
      <c r="G1271" s="20"/>
      <c r="H1271" s="20"/>
    </row>
    <row r="1272" spans="7:8" s="21" customFormat="1" x14ac:dyDescent="0.2">
      <c r="G1272" s="20"/>
      <c r="H1272" s="20"/>
    </row>
    <row r="1273" spans="7:8" s="21" customFormat="1" x14ac:dyDescent="0.2">
      <c r="G1273" s="20"/>
      <c r="H1273" s="20"/>
    </row>
    <row r="1274" spans="7:8" s="21" customFormat="1" x14ac:dyDescent="0.2">
      <c r="G1274" s="20"/>
      <c r="H1274" s="20"/>
    </row>
    <row r="1275" spans="7:8" s="21" customFormat="1" x14ac:dyDescent="0.2">
      <c r="G1275" s="20"/>
      <c r="H1275" s="20"/>
    </row>
    <row r="1276" spans="7:8" s="21" customFormat="1" x14ac:dyDescent="0.2">
      <c r="G1276" s="20"/>
      <c r="H1276" s="20"/>
    </row>
    <row r="1277" spans="7:8" s="21" customFormat="1" x14ac:dyDescent="0.2">
      <c r="G1277" s="20"/>
      <c r="H1277" s="20"/>
    </row>
    <row r="1278" spans="7:8" s="21" customFormat="1" x14ac:dyDescent="0.2">
      <c r="G1278" s="20"/>
      <c r="H1278" s="20"/>
    </row>
    <row r="1279" spans="7:8" s="21" customFormat="1" x14ac:dyDescent="0.2">
      <c r="G1279" s="20"/>
      <c r="H1279" s="20"/>
    </row>
    <row r="1280" spans="7:8" s="21" customFormat="1" x14ac:dyDescent="0.2">
      <c r="G1280" s="20"/>
      <c r="H1280" s="20"/>
    </row>
    <row r="1281" spans="7:8" s="21" customFormat="1" x14ac:dyDescent="0.2">
      <c r="G1281" s="20"/>
      <c r="H1281" s="20"/>
    </row>
    <row r="1282" spans="7:8" s="21" customFormat="1" x14ac:dyDescent="0.2">
      <c r="G1282" s="20"/>
      <c r="H1282" s="20"/>
    </row>
    <row r="1283" spans="7:8" s="21" customFormat="1" x14ac:dyDescent="0.2">
      <c r="G1283" s="20"/>
      <c r="H1283" s="20"/>
    </row>
    <row r="1284" spans="7:8" s="21" customFormat="1" x14ac:dyDescent="0.2">
      <c r="G1284" s="20"/>
      <c r="H1284" s="20"/>
    </row>
    <row r="1285" spans="7:8" s="21" customFormat="1" x14ac:dyDescent="0.2">
      <c r="G1285" s="20"/>
      <c r="H1285" s="20"/>
    </row>
    <row r="1286" spans="7:8" s="21" customFormat="1" x14ac:dyDescent="0.2">
      <c r="G1286" s="20"/>
      <c r="H1286" s="20"/>
    </row>
    <row r="1287" spans="7:8" s="21" customFormat="1" x14ac:dyDescent="0.2">
      <c r="G1287" s="20"/>
      <c r="H1287" s="20"/>
    </row>
    <row r="1288" spans="7:8" s="21" customFormat="1" x14ac:dyDescent="0.2">
      <c r="G1288" s="20"/>
      <c r="H1288" s="20"/>
    </row>
    <row r="1289" spans="7:8" s="21" customFormat="1" x14ac:dyDescent="0.2">
      <c r="G1289" s="20"/>
      <c r="H1289" s="20"/>
    </row>
    <row r="1290" spans="7:8" s="21" customFormat="1" x14ac:dyDescent="0.2">
      <c r="G1290" s="20"/>
      <c r="H1290" s="20"/>
    </row>
    <row r="1291" spans="7:8" s="21" customFormat="1" x14ac:dyDescent="0.2">
      <c r="G1291" s="20"/>
      <c r="H1291" s="20"/>
    </row>
    <row r="1292" spans="7:8" s="21" customFormat="1" x14ac:dyDescent="0.2">
      <c r="G1292" s="20"/>
      <c r="H1292" s="20"/>
    </row>
    <row r="1293" spans="7:8" s="21" customFormat="1" x14ac:dyDescent="0.2">
      <c r="G1293" s="20"/>
      <c r="H1293" s="20"/>
    </row>
    <row r="1294" spans="7:8" s="21" customFormat="1" x14ac:dyDescent="0.2">
      <c r="G1294" s="20"/>
      <c r="H1294" s="20"/>
    </row>
    <row r="1295" spans="7:8" s="21" customFormat="1" x14ac:dyDescent="0.2">
      <c r="G1295" s="20"/>
      <c r="H1295" s="20"/>
    </row>
    <row r="1296" spans="7:8" s="21" customFormat="1" x14ac:dyDescent="0.2">
      <c r="G1296" s="20"/>
      <c r="H1296" s="20"/>
    </row>
    <row r="1297" spans="7:8" s="21" customFormat="1" x14ac:dyDescent="0.2">
      <c r="G1297" s="20"/>
      <c r="H1297" s="20"/>
    </row>
    <row r="1298" spans="7:8" s="21" customFormat="1" x14ac:dyDescent="0.2">
      <c r="G1298" s="20"/>
      <c r="H1298" s="20"/>
    </row>
    <row r="1299" spans="7:8" s="21" customFormat="1" x14ac:dyDescent="0.2">
      <c r="G1299" s="20"/>
      <c r="H1299" s="20"/>
    </row>
    <row r="1300" spans="7:8" s="21" customFormat="1" x14ac:dyDescent="0.2">
      <c r="G1300" s="20"/>
      <c r="H1300" s="20"/>
    </row>
    <row r="1301" spans="7:8" s="21" customFormat="1" x14ac:dyDescent="0.2">
      <c r="G1301" s="20"/>
      <c r="H1301" s="20"/>
    </row>
    <row r="1302" spans="7:8" s="21" customFormat="1" x14ac:dyDescent="0.2">
      <c r="G1302" s="20"/>
      <c r="H1302" s="20"/>
    </row>
    <row r="1303" spans="7:8" s="21" customFormat="1" x14ac:dyDescent="0.2">
      <c r="G1303" s="20"/>
      <c r="H1303" s="20"/>
    </row>
    <row r="1304" spans="7:8" s="21" customFormat="1" x14ac:dyDescent="0.2">
      <c r="G1304" s="20"/>
      <c r="H1304" s="20"/>
    </row>
    <row r="1305" spans="7:8" s="21" customFormat="1" x14ac:dyDescent="0.2">
      <c r="G1305" s="20"/>
      <c r="H1305" s="20"/>
    </row>
    <row r="1306" spans="7:8" s="21" customFormat="1" x14ac:dyDescent="0.2">
      <c r="G1306" s="20"/>
      <c r="H1306" s="20"/>
    </row>
    <row r="1307" spans="7:8" s="21" customFormat="1" x14ac:dyDescent="0.2">
      <c r="G1307" s="20"/>
      <c r="H1307" s="20"/>
    </row>
    <row r="1308" spans="7:8" s="21" customFormat="1" x14ac:dyDescent="0.2">
      <c r="G1308" s="20"/>
      <c r="H1308" s="20"/>
    </row>
    <row r="1309" spans="7:8" s="21" customFormat="1" x14ac:dyDescent="0.2">
      <c r="G1309" s="20"/>
      <c r="H1309" s="20"/>
    </row>
    <row r="1310" spans="7:8" s="21" customFormat="1" x14ac:dyDescent="0.2">
      <c r="G1310" s="20"/>
      <c r="H1310" s="20"/>
    </row>
    <row r="1311" spans="7:8" s="21" customFormat="1" x14ac:dyDescent="0.2">
      <c r="G1311" s="20"/>
      <c r="H1311" s="20"/>
    </row>
    <row r="1312" spans="7:8" s="21" customFormat="1" x14ac:dyDescent="0.2">
      <c r="G1312" s="20"/>
      <c r="H1312" s="20"/>
    </row>
    <row r="1313" spans="7:8" s="21" customFormat="1" x14ac:dyDescent="0.2">
      <c r="G1313" s="20"/>
      <c r="H1313" s="20"/>
    </row>
    <row r="1314" spans="7:8" s="21" customFormat="1" x14ac:dyDescent="0.2">
      <c r="G1314" s="20"/>
      <c r="H1314" s="20"/>
    </row>
    <row r="1315" spans="7:8" s="21" customFormat="1" x14ac:dyDescent="0.2">
      <c r="G1315" s="20"/>
      <c r="H1315" s="20"/>
    </row>
    <row r="1316" spans="7:8" s="21" customFormat="1" x14ac:dyDescent="0.2">
      <c r="G1316" s="20"/>
      <c r="H1316" s="20"/>
    </row>
    <row r="1317" spans="7:8" s="21" customFormat="1" x14ac:dyDescent="0.2">
      <c r="G1317" s="20"/>
      <c r="H1317" s="20"/>
    </row>
    <row r="1318" spans="7:8" s="21" customFormat="1" x14ac:dyDescent="0.2">
      <c r="G1318" s="20"/>
      <c r="H1318" s="20"/>
    </row>
    <row r="1319" spans="7:8" s="21" customFormat="1" x14ac:dyDescent="0.2">
      <c r="G1319" s="20"/>
      <c r="H1319" s="20"/>
    </row>
    <row r="1320" spans="7:8" s="21" customFormat="1" x14ac:dyDescent="0.2">
      <c r="G1320" s="20"/>
      <c r="H1320" s="20"/>
    </row>
    <row r="1321" spans="7:8" s="21" customFormat="1" x14ac:dyDescent="0.2">
      <c r="G1321" s="20"/>
      <c r="H1321" s="20"/>
    </row>
    <row r="1322" spans="7:8" s="21" customFormat="1" x14ac:dyDescent="0.2">
      <c r="G1322" s="20"/>
      <c r="H1322" s="20"/>
    </row>
    <row r="1323" spans="7:8" s="21" customFormat="1" x14ac:dyDescent="0.2">
      <c r="G1323" s="20"/>
      <c r="H1323" s="20"/>
    </row>
    <row r="1324" spans="7:8" s="21" customFormat="1" x14ac:dyDescent="0.2">
      <c r="G1324" s="20"/>
      <c r="H1324" s="20"/>
    </row>
    <row r="1325" spans="7:8" s="21" customFormat="1" x14ac:dyDescent="0.2">
      <c r="G1325" s="20"/>
      <c r="H1325" s="20"/>
    </row>
    <row r="1326" spans="7:8" s="21" customFormat="1" x14ac:dyDescent="0.2">
      <c r="G1326" s="20"/>
      <c r="H1326" s="20"/>
    </row>
    <row r="1327" spans="7:8" s="21" customFormat="1" x14ac:dyDescent="0.2">
      <c r="G1327" s="20"/>
      <c r="H1327" s="20"/>
    </row>
    <row r="1328" spans="7:8" s="21" customFormat="1" x14ac:dyDescent="0.2">
      <c r="G1328" s="20"/>
      <c r="H1328" s="20"/>
    </row>
    <row r="1329" spans="7:8" s="21" customFormat="1" x14ac:dyDescent="0.2">
      <c r="G1329" s="20"/>
      <c r="H1329" s="20"/>
    </row>
    <row r="1330" spans="7:8" s="21" customFormat="1" x14ac:dyDescent="0.2">
      <c r="G1330" s="20"/>
      <c r="H1330" s="20"/>
    </row>
    <row r="1331" spans="7:8" s="21" customFormat="1" x14ac:dyDescent="0.2">
      <c r="G1331" s="20"/>
      <c r="H1331" s="20"/>
    </row>
    <row r="1332" spans="7:8" s="21" customFormat="1" x14ac:dyDescent="0.2">
      <c r="G1332" s="20"/>
      <c r="H1332" s="20"/>
    </row>
    <row r="1333" spans="7:8" s="21" customFormat="1" x14ac:dyDescent="0.2">
      <c r="G1333" s="20"/>
      <c r="H1333" s="20"/>
    </row>
    <row r="1334" spans="7:8" s="21" customFormat="1" x14ac:dyDescent="0.2">
      <c r="G1334" s="20"/>
      <c r="H1334" s="20"/>
    </row>
    <row r="1335" spans="7:8" s="21" customFormat="1" x14ac:dyDescent="0.2">
      <c r="G1335" s="20"/>
      <c r="H1335" s="20"/>
    </row>
    <row r="1336" spans="7:8" s="21" customFormat="1" x14ac:dyDescent="0.2">
      <c r="G1336" s="20"/>
      <c r="H1336" s="20"/>
    </row>
    <row r="1337" spans="7:8" s="21" customFormat="1" x14ac:dyDescent="0.2">
      <c r="G1337" s="20"/>
      <c r="H1337" s="20"/>
    </row>
    <row r="1338" spans="7:8" s="21" customFormat="1" x14ac:dyDescent="0.2">
      <c r="G1338" s="20"/>
      <c r="H1338" s="20"/>
    </row>
    <row r="1339" spans="7:8" s="21" customFormat="1" x14ac:dyDescent="0.2">
      <c r="G1339" s="20"/>
      <c r="H1339" s="20"/>
    </row>
    <row r="1340" spans="7:8" s="21" customFormat="1" x14ac:dyDescent="0.2">
      <c r="G1340" s="20"/>
      <c r="H1340" s="20"/>
    </row>
    <row r="1341" spans="7:8" s="21" customFormat="1" x14ac:dyDescent="0.2">
      <c r="G1341" s="20"/>
      <c r="H1341" s="20"/>
    </row>
    <row r="1342" spans="7:8" s="21" customFormat="1" x14ac:dyDescent="0.2">
      <c r="G1342" s="20"/>
      <c r="H1342" s="20"/>
    </row>
    <row r="1343" spans="7:8" s="21" customFormat="1" x14ac:dyDescent="0.2">
      <c r="G1343" s="20"/>
      <c r="H1343" s="20"/>
    </row>
    <row r="1344" spans="7:8" s="21" customFormat="1" x14ac:dyDescent="0.2">
      <c r="G1344" s="20"/>
      <c r="H1344" s="20"/>
    </row>
    <row r="1345" spans="7:8" s="21" customFormat="1" x14ac:dyDescent="0.2">
      <c r="G1345" s="20"/>
      <c r="H1345" s="20"/>
    </row>
    <row r="1346" spans="7:8" s="21" customFormat="1" x14ac:dyDescent="0.2">
      <c r="G1346" s="20"/>
      <c r="H1346" s="20"/>
    </row>
    <row r="1347" spans="7:8" s="21" customFormat="1" x14ac:dyDescent="0.2">
      <c r="G1347" s="20"/>
      <c r="H1347" s="20"/>
    </row>
    <row r="1348" spans="7:8" s="21" customFormat="1" x14ac:dyDescent="0.2">
      <c r="G1348" s="20"/>
      <c r="H1348" s="20"/>
    </row>
    <row r="1349" spans="7:8" s="21" customFormat="1" x14ac:dyDescent="0.2">
      <c r="G1349" s="20"/>
      <c r="H1349" s="20"/>
    </row>
    <row r="1350" spans="7:8" s="21" customFormat="1" x14ac:dyDescent="0.2">
      <c r="G1350" s="20"/>
      <c r="H1350" s="20"/>
    </row>
    <row r="1351" spans="7:8" s="21" customFormat="1" x14ac:dyDescent="0.2">
      <c r="G1351" s="20"/>
      <c r="H1351" s="20"/>
    </row>
    <row r="1352" spans="7:8" s="21" customFormat="1" x14ac:dyDescent="0.2">
      <c r="G1352" s="20"/>
      <c r="H1352" s="20"/>
    </row>
    <row r="1353" spans="7:8" s="21" customFormat="1" x14ac:dyDescent="0.2">
      <c r="G1353" s="20"/>
      <c r="H1353" s="20"/>
    </row>
    <row r="1354" spans="7:8" s="21" customFormat="1" x14ac:dyDescent="0.2">
      <c r="G1354" s="20"/>
      <c r="H1354" s="20"/>
    </row>
    <row r="1355" spans="7:8" s="21" customFormat="1" x14ac:dyDescent="0.2">
      <c r="G1355" s="20"/>
      <c r="H1355" s="20"/>
    </row>
    <row r="1356" spans="7:8" s="21" customFormat="1" x14ac:dyDescent="0.2">
      <c r="G1356" s="20"/>
      <c r="H1356" s="20"/>
    </row>
    <row r="1357" spans="7:8" s="21" customFormat="1" x14ac:dyDescent="0.2">
      <c r="G1357" s="20"/>
      <c r="H1357" s="20"/>
    </row>
    <row r="1358" spans="7:8" s="21" customFormat="1" x14ac:dyDescent="0.2">
      <c r="G1358" s="20"/>
      <c r="H1358" s="20"/>
    </row>
    <row r="1359" spans="7:8" s="21" customFormat="1" x14ac:dyDescent="0.2">
      <c r="G1359" s="20"/>
      <c r="H1359" s="20"/>
    </row>
    <row r="1360" spans="7:8" s="21" customFormat="1" x14ac:dyDescent="0.2">
      <c r="G1360" s="20"/>
      <c r="H1360" s="20"/>
    </row>
    <row r="1361" spans="7:8" s="21" customFormat="1" x14ac:dyDescent="0.2">
      <c r="G1361" s="20"/>
      <c r="H1361" s="20"/>
    </row>
    <row r="1362" spans="7:8" s="21" customFormat="1" x14ac:dyDescent="0.2">
      <c r="G1362" s="20"/>
      <c r="H1362" s="20"/>
    </row>
    <row r="1363" spans="7:8" s="21" customFormat="1" x14ac:dyDescent="0.2">
      <c r="G1363" s="20"/>
      <c r="H1363" s="20"/>
    </row>
    <row r="1364" spans="7:8" s="21" customFormat="1" x14ac:dyDescent="0.2">
      <c r="G1364" s="20"/>
      <c r="H1364" s="20"/>
    </row>
    <row r="1365" spans="7:8" s="21" customFormat="1" x14ac:dyDescent="0.2">
      <c r="G1365" s="20"/>
      <c r="H1365" s="20"/>
    </row>
    <row r="1366" spans="7:8" s="21" customFormat="1" x14ac:dyDescent="0.2">
      <c r="G1366" s="20"/>
      <c r="H1366" s="20"/>
    </row>
    <row r="1367" spans="7:8" s="21" customFormat="1" x14ac:dyDescent="0.2">
      <c r="G1367" s="20"/>
      <c r="H1367" s="20"/>
    </row>
    <row r="1368" spans="7:8" s="21" customFormat="1" x14ac:dyDescent="0.2">
      <c r="G1368" s="20"/>
      <c r="H1368" s="20"/>
    </row>
    <row r="1369" spans="7:8" s="21" customFormat="1" x14ac:dyDescent="0.2">
      <c r="G1369" s="20"/>
      <c r="H1369" s="20"/>
    </row>
    <row r="1370" spans="7:8" s="21" customFormat="1" x14ac:dyDescent="0.2">
      <c r="G1370" s="20"/>
      <c r="H1370" s="20"/>
    </row>
    <row r="1371" spans="7:8" s="21" customFormat="1" x14ac:dyDescent="0.2">
      <c r="G1371" s="20"/>
      <c r="H1371" s="20"/>
    </row>
    <row r="1372" spans="7:8" s="21" customFormat="1" x14ac:dyDescent="0.2">
      <c r="G1372" s="20"/>
      <c r="H1372" s="20"/>
    </row>
    <row r="1373" spans="7:8" s="21" customFormat="1" x14ac:dyDescent="0.2">
      <c r="G1373" s="20"/>
      <c r="H1373" s="20"/>
    </row>
    <row r="1374" spans="7:8" s="21" customFormat="1" x14ac:dyDescent="0.2">
      <c r="G1374" s="20"/>
      <c r="H1374" s="20"/>
    </row>
    <row r="1375" spans="7:8" s="21" customFormat="1" x14ac:dyDescent="0.2">
      <c r="G1375" s="20"/>
      <c r="H1375" s="20"/>
    </row>
    <row r="1376" spans="7:8" s="21" customFormat="1" x14ac:dyDescent="0.2">
      <c r="G1376" s="20"/>
      <c r="H1376" s="20"/>
    </row>
    <row r="1377" spans="7:8" s="21" customFormat="1" x14ac:dyDescent="0.2">
      <c r="G1377" s="20"/>
      <c r="H1377" s="20"/>
    </row>
    <row r="1378" spans="7:8" s="21" customFormat="1" x14ac:dyDescent="0.2">
      <c r="G1378" s="20"/>
      <c r="H1378" s="20"/>
    </row>
    <row r="1379" spans="7:8" s="21" customFormat="1" x14ac:dyDescent="0.2">
      <c r="G1379" s="20"/>
      <c r="H1379" s="20"/>
    </row>
    <row r="1380" spans="7:8" s="21" customFormat="1" x14ac:dyDescent="0.2">
      <c r="G1380" s="20"/>
      <c r="H1380" s="20"/>
    </row>
    <row r="1381" spans="7:8" s="21" customFormat="1" x14ac:dyDescent="0.2">
      <c r="G1381" s="20"/>
      <c r="H1381" s="20"/>
    </row>
    <row r="1382" spans="7:8" s="21" customFormat="1" x14ac:dyDescent="0.2">
      <c r="G1382" s="20"/>
      <c r="H1382" s="20"/>
    </row>
    <row r="1383" spans="7:8" s="21" customFormat="1" x14ac:dyDescent="0.2">
      <c r="G1383" s="20"/>
      <c r="H1383" s="20"/>
    </row>
    <row r="1384" spans="7:8" s="21" customFormat="1" x14ac:dyDescent="0.2">
      <c r="G1384" s="20"/>
      <c r="H1384" s="20"/>
    </row>
    <row r="1385" spans="7:8" s="21" customFormat="1" x14ac:dyDescent="0.2">
      <c r="G1385" s="20"/>
      <c r="H1385" s="20"/>
    </row>
    <row r="1386" spans="7:8" s="21" customFormat="1" x14ac:dyDescent="0.2">
      <c r="G1386" s="20"/>
      <c r="H1386" s="20"/>
    </row>
    <row r="1387" spans="7:8" s="21" customFormat="1" x14ac:dyDescent="0.2">
      <c r="G1387" s="20"/>
      <c r="H1387" s="20"/>
    </row>
    <row r="1388" spans="7:8" s="21" customFormat="1" x14ac:dyDescent="0.2">
      <c r="G1388" s="20"/>
      <c r="H1388" s="20"/>
    </row>
    <row r="1389" spans="7:8" s="21" customFormat="1" x14ac:dyDescent="0.2">
      <c r="G1389" s="20"/>
      <c r="H1389" s="20"/>
    </row>
    <row r="1390" spans="7:8" s="21" customFormat="1" x14ac:dyDescent="0.2">
      <c r="G1390" s="20"/>
      <c r="H1390" s="20"/>
    </row>
    <row r="1391" spans="7:8" s="21" customFormat="1" x14ac:dyDescent="0.2">
      <c r="G1391" s="20"/>
      <c r="H1391" s="20"/>
    </row>
    <row r="1392" spans="7:8" s="21" customFormat="1" x14ac:dyDescent="0.2">
      <c r="G1392" s="20"/>
      <c r="H1392" s="20"/>
    </row>
    <row r="1393" spans="7:8" s="21" customFormat="1" x14ac:dyDescent="0.2">
      <c r="G1393" s="20"/>
      <c r="H1393" s="20"/>
    </row>
    <row r="1394" spans="7:8" s="21" customFormat="1" x14ac:dyDescent="0.2">
      <c r="G1394" s="20"/>
      <c r="H1394" s="20"/>
    </row>
    <row r="1395" spans="7:8" s="21" customFormat="1" x14ac:dyDescent="0.2">
      <c r="G1395" s="20"/>
      <c r="H1395" s="20"/>
    </row>
    <row r="1396" spans="7:8" s="21" customFormat="1" x14ac:dyDescent="0.2">
      <c r="G1396" s="20"/>
      <c r="H1396" s="20"/>
    </row>
    <row r="1397" spans="7:8" s="21" customFormat="1" x14ac:dyDescent="0.2">
      <c r="G1397" s="20"/>
      <c r="H1397" s="20"/>
    </row>
    <row r="1398" spans="7:8" s="21" customFormat="1" x14ac:dyDescent="0.2">
      <c r="G1398" s="20"/>
      <c r="H1398" s="20"/>
    </row>
    <row r="1399" spans="7:8" s="21" customFormat="1" x14ac:dyDescent="0.2">
      <c r="G1399" s="20"/>
      <c r="H1399" s="20"/>
    </row>
    <row r="1400" spans="7:8" s="21" customFormat="1" x14ac:dyDescent="0.2">
      <c r="G1400" s="20"/>
      <c r="H1400" s="20"/>
    </row>
    <row r="1401" spans="7:8" s="21" customFormat="1" x14ac:dyDescent="0.2">
      <c r="G1401" s="20"/>
      <c r="H1401" s="20"/>
    </row>
    <row r="1402" spans="7:8" s="21" customFormat="1" x14ac:dyDescent="0.2">
      <c r="G1402" s="20"/>
      <c r="H1402" s="20"/>
    </row>
    <row r="1403" spans="7:8" s="21" customFormat="1" x14ac:dyDescent="0.2">
      <c r="G1403" s="20"/>
      <c r="H1403" s="20"/>
    </row>
    <row r="1404" spans="7:8" s="21" customFormat="1" x14ac:dyDescent="0.2">
      <c r="G1404" s="20"/>
      <c r="H1404" s="20"/>
    </row>
    <row r="1405" spans="7:8" s="21" customFormat="1" x14ac:dyDescent="0.2">
      <c r="G1405" s="20"/>
      <c r="H1405" s="20"/>
    </row>
    <row r="1406" spans="7:8" s="21" customFormat="1" x14ac:dyDescent="0.2">
      <c r="G1406" s="20"/>
      <c r="H1406" s="20"/>
    </row>
    <row r="1407" spans="7:8" s="21" customFormat="1" x14ac:dyDescent="0.2">
      <c r="G1407" s="20"/>
      <c r="H1407" s="20"/>
    </row>
    <row r="1408" spans="7:8" s="21" customFormat="1" x14ac:dyDescent="0.2">
      <c r="G1408" s="20"/>
      <c r="H1408" s="20"/>
    </row>
    <row r="1409" spans="7:8" s="21" customFormat="1" x14ac:dyDescent="0.2">
      <c r="G1409" s="20"/>
      <c r="H1409" s="20"/>
    </row>
    <row r="1410" spans="7:8" s="21" customFormat="1" x14ac:dyDescent="0.2">
      <c r="G1410" s="20"/>
      <c r="H1410" s="20"/>
    </row>
    <row r="1411" spans="7:8" s="21" customFormat="1" x14ac:dyDescent="0.2">
      <c r="G1411" s="20"/>
      <c r="H1411" s="20"/>
    </row>
    <row r="1412" spans="7:8" s="21" customFormat="1" x14ac:dyDescent="0.2">
      <c r="G1412" s="20"/>
      <c r="H1412" s="20"/>
    </row>
    <row r="1413" spans="7:8" s="21" customFormat="1" x14ac:dyDescent="0.2">
      <c r="G1413" s="20"/>
      <c r="H1413" s="20"/>
    </row>
    <row r="1414" spans="7:8" s="21" customFormat="1" x14ac:dyDescent="0.2">
      <c r="G1414" s="20"/>
      <c r="H1414" s="20"/>
    </row>
    <row r="1415" spans="7:8" s="21" customFormat="1" x14ac:dyDescent="0.2">
      <c r="G1415" s="20"/>
      <c r="H1415" s="20"/>
    </row>
    <row r="1416" spans="7:8" s="21" customFormat="1" x14ac:dyDescent="0.2">
      <c r="G1416" s="20"/>
      <c r="H1416" s="20"/>
    </row>
    <row r="1417" spans="7:8" s="21" customFormat="1" x14ac:dyDescent="0.2">
      <c r="G1417" s="20"/>
      <c r="H1417" s="20"/>
    </row>
    <row r="1418" spans="7:8" s="21" customFormat="1" x14ac:dyDescent="0.2">
      <c r="G1418" s="20"/>
      <c r="H1418" s="20"/>
    </row>
    <row r="1419" spans="7:8" s="21" customFormat="1" x14ac:dyDescent="0.2">
      <c r="G1419" s="20"/>
      <c r="H1419" s="20"/>
    </row>
    <row r="1420" spans="7:8" s="21" customFormat="1" x14ac:dyDescent="0.2">
      <c r="G1420" s="20"/>
      <c r="H1420" s="20"/>
    </row>
    <row r="1421" spans="7:8" s="21" customFormat="1" x14ac:dyDescent="0.2">
      <c r="G1421" s="20"/>
      <c r="H1421" s="20"/>
    </row>
    <row r="1422" spans="7:8" s="21" customFormat="1" x14ac:dyDescent="0.2">
      <c r="G1422" s="20"/>
      <c r="H1422" s="20"/>
    </row>
    <row r="1423" spans="7:8" s="21" customFormat="1" x14ac:dyDescent="0.2">
      <c r="G1423" s="20"/>
      <c r="H1423" s="20"/>
    </row>
    <row r="1424" spans="7:8" s="21" customFormat="1" x14ac:dyDescent="0.2">
      <c r="G1424" s="20"/>
      <c r="H1424" s="20"/>
    </row>
    <row r="1425" spans="7:8" s="21" customFormat="1" x14ac:dyDescent="0.2">
      <c r="G1425" s="20"/>
      <c r="H1425" s="20"/>
    </row>
    <row r="1426" spans="7:8" s="21" customFormat="1" x14ac:dyDescent="0.2">
      <c r="G1426" s="20"/>
      <c r="H1426" s="20"/>
    </row>
    <row r="1427" spans="7:8" s="21" customFormat="1" x14ac:dyDescent="0.2">
      <c r="G1427" s="20"/>
      <c r="H1427" s="20"/>
    </row>
    <row r="1428" spans="7:8" s="21" customFormat="1" x14ac:dyDescent="0.2">
      <c r="G1428" s="20"/>
      <c r="H1428" s="20"/>
    </row>
    <row r="1429" spans="7:8" s="21" customFormat="1" x14ac:dyDescent="0.2">
      <c r="G1429" s="20"/>
      <c r="H1429" s="20"/>
    </row>
    <row r="1430" spans="7:8" s="21" customFormat="1" x14ac:dyDescent="0.2">
      <c r="G1430" s="20"/>
      <c r="H1430" s="20"/>
    </row>
    <row r="1431" spans="7:8" s="21" customFormat="1" x14ac:dyDescent="0.2">
      <c r="G1431" s="20"/>
      <c r="H1431" s="20"/>
    </row>
    <row r="1432" spans="7:8" s="21" customFormat="1" x14ac:dyDescent="0.2">
      <c r="G1432" s="20"/>
      <c r="H1432" s="20"/>
    </row>
    <row r="1433" spans="7:8" s="21" customFormat="1" x14ac:dyDescent="0.2">
      <c r="G1433" s="20"/>
      <c r="H1433" s="20"/>
    </row>
    <row r="1434" spans="7:8" s="21" customFormat="1" x14ac:dyDescent="0.2">
      <c r="G1434" s="20"/>
      <c r="H1434" s="20"/>
    </row>
    <row r="1435" spans="7:8" s="21" customFormat="1" x14ac:dyDescent="0.2">
      <c r="G1435" s="20"/>
      <c r="H1435" s="20"/>
    </row>
    <row r="1436" spans="7:8" s="21" customFormat="1" x14ac:dyDescent="0.2">
      <c r="G1436" s="20"/>
      <c r="H1436" s="20"/>
    </row>
    <row r="1437" spans="7:8" s="21" customFormat="1" x14ac:dyDescent="0.2">
      <c r="G1437" s="20"/>
      <c r="H1437" s="20"/>
    </row>
    <row r="1438" spans="7:8" s="21" customFormat="1" x14ac:dyDescent="0.2">
      <c r="G1438" s="20"/>
      <c r="H1438" s="20"/>
    </row>
    <row r="1439" spans="7:8" s="21" customFormat="1" x14ac:dyDescent="0.2">
      <c r="G1439" s="20"/>
      <c r="H1439" s="20"/>
    </row>
    <row r="1440" spans="7:8" s="21" customFormat="1" x14ac:dyDescent="0.2">
      <c r="G1440" s="20"/>
      <c r="H1440" s="20"/>
    </row>
    <row r="1441" spans="7:8" s="21" customFormat="1" x14ac:dyDescent="0.2">
      <c r="G1441" s="20"/>
      <c r="H1441" s="20"/>
    </row>
    <row r="1442" spans="7:8" s="21" customFormat="1" x14ac:dyDescent="0.2">
      <c r="G1442" s="20"/>
      <c r="H1442" s="20"/>
    </row>
    <row r="1443" spans="7:8" s="21" customFormat="1" x14ac:dyDescent="0.2">
      <c r="G1443" s="20"/>
      <c r="H1443" s="20"/>
    </row>
    <row r="1444" spans="7:8" s="21" customFormat="1" x14ac:dyDescent="0.2">
      <c r="G1444" s="20"/>
      <c r="H1444" s="20"/>
    </row>
    <row r="1445" spans="7:8" s="21" customFormat="1" x14ac:dyDescent="0.2">
      <c r="G1445" s="20"/>
      <c r="H1445" s="20"/>
    </row>
    <row r="1446" spans="7:8" s="21" customFormat="1" x14ac:dyDescent="0.2">
      <c r="G1446" s="20"/>
      <c r="H1446" s="20"/>
    </row>
    <row r="1447" spans="7:8" s="21" customFormat="1" x14ac:dyDescent="0.2">
      <c r="G1447" s="20"/>
      <c r="H1447" s="20"/>
    </row>
    <row r="1448" spans="7:8" s="21" customFormat="1" x14ac:dyDescent="0.2">
      <c r="G1448" s="20"/>
      <c r="H1448" s="20"/>
    </row>
    <row r="1449" spans="7:8" s="21" customFormat="1" x14ac:dyDescent="0.2">
      <c r="G1449" s="20"/>
      <c r="H1449" s="20"/>
    </row>
    <row r="1450" spans="7:8" s="21" customFormat="1" x14ac:dyDescent="0.2">
      <c r="G1450" s="20"/>
      <c r="H1450" s="20"/>
    </row>
    <row r="1451" spans="7:8" s="21" customFormat="1" x14ac:dyDescent="0.2">
      <c r="G1451" s="20"/>
      <c r="H1451" s="20"/>
    </row>
    <row r="1452" spans="7:8" s="21" customFormat="1" x14ac:dyDescent="0.2">
      <c r="G1452" s="20"/>
      <c r="H1452" s="20"/>
    </row>
    <row r="1453" spans="7:8" s="21" customFormat="1" x14ac:dyDescent="0.2">
      <c r="G1453" s="20"/>
      <c r="H1453" s="20"/>
    </row>
    <row r="1454" spans="7:8" s="21" customFormat="1" x14ac:dyDescent="0.2">
      <c r="G1454" s="20"/>
      <c r="H1454" s="20"/>
    </row>
    <row r="1455" spans="7:8" s="21" customFormat="1" x14ac:dyDescent="0.2">
      <c r="G1455" s="20"/>
      <c r="H1455" s="20"/>
    </row>
    <row r="1456" spans="7:8" s="21" customFormat="1" x14ac:dyDescent="0.2">
      <c r="G1456" s="20"/>
      <c r="H1456" s="20"/>
    </row>
    <row r="1457" spans="7:8" s="21" customFormat="1" x14ac:dyDescent="0.2">
      <c r="G1457" s="20"/>
      <c r="H1457" s="20"/>
    </row>
    <row r="1458" spans="7:8" s="21" customFormat="1" x14ac:dyDescent="0.2">
      <c r="G1458" s="20"/>
      <c r="H1458" s="20"/>
    </row>
    <row r="1459" spans="7:8" s="21" customFormat="1" x14ac:dyDescent="0.2">
      <c r="G1459" s="20"/>
      <c r="H1459" s="20"/>
    </row>
    <row r="1460" spans="7:8" s="21" customFormat="1" x14ac:dyDescent="0.2">
      <c r="G1460" s="20"/>
      <c r="H1460" s="20"/>
    </row>
    <row r="1461" spans="7:8" s="21" customFormat="1" x14ac:dyDescent="0.2">
      <c r="G1461" s="20"/>
      <c r="H1461" s="20"/>
    </row>
    <row r="1462" spans="7:8" s="21" customFormat="1" x14ac:dyDescent="0.2">
      <c r="G1462" s="20"/>
      <c r="H1462" s="20"/>
    </row>
    <row r="1463" spans="7:8" s="21" customFormat="1" x14ac:dyDescent="0.2">
      <c r="G1463" s="20"/>
      <c r="H1463" s="20"/>
    </row>
    <row r="1464" spans="7:8" s="21" customFormat="1" x14ac:dyDescent="0.2">
      <c r="G1464" s="20"/>
      <c r="H1464" s="20"/>
    </row>
    <row r="1465" spans="7:8" s="21" customFormat="1" x14ac:dyDescent="0.2">
      <c r="G1465" s="20"/>
      <c r="H1465" s="20"/>
    </row>
    <row r="1466" spans="7:8" s="21" customFormat="1" x14ac:dyDescent="0.2">
      <c r="G1466" s="20"/>
      <c r="H1466" s="20"/>
    </row>
    <row r="1467" spans="7:8" s="21" customFormat="1" x14ac:dyDescent="0.2">
      <c r="G1467" s="20"/>
      <c r="H1467" s="20"/>
    </row>
    <row r="1468" spans="7:8" s="21" customFormat="1" x14ac:dyDescent="0.2">
      <c r="G1468" s="20"/>
      <c r="H1468" s="20"/>
    </row>
    <row r="1469" spans="7:8" s="21" customFormat="1" x14ac:dyDescent="0.2">
      <c r="G1469" s="20"/>
      <c r="H1469" s="20"/>
    </row>
    <row r="1470" spans="7:8" s="21" customFormat="1" x14ac:dyDescent="0.2">
      <c r="G1470" s="20"/>
      <c r="H1470" s="20"/>
    </row>
    <row r="1471" spans="7:8" s="21" customFormat="1" x14ac:dyDescent="0.2">
      <c r="G1471" s="20"/>
      <c r="H1471" s="20"/>
    </row>
    <row r="1472" spans="7:8" s="21" customFormat="1" x14ac:dyDescent="0.2">
      <c r="G1472" s="20"/>
      <c r="H1472" s="20"/>
    </row>
    <row r="1473" spans="7:8" s="21" customFormat="1" x14ac:dyDescent="0.2">
      <c r="G1473" s="20"/>
      <c r="H1473" s="20"/>
    </row>
    <row r="1474" spans="7:8" s="21" customFormat="1" x14ac:dyDescent="0.2">
      <c r="G1474" s="20"/>
      <c r="H1474" s="20"/>
    </row>
    <row r="1475" spans="7:8" s="21" customFormat="1" x14ac:dyDescent="0.2">
      <c r="G1475" s="20"/>
      <c r="H1475" s="20"/>
    </row>
    <row r="1476" spans="7:8" s="21" customFormat="1" x14ac:dyDescent="0.2">
      <c r="G1476" s="20"/>
      <c r="H1476" s="20"/>
    </row>
    <row r="1477" spans="7:8" s="21" customFormat="1" x14ac:dyDescent="0.2">
      <c r="G1477" s="20"/>
      <c r="H1477" s="20"/>
    </row>
    <row r="1478" spans="7:8" s="21" customFormat="1" x14ac:dyDescent="0.2">
      <c r="G1478" s="20"/>
      <c r="H1478" s="20"/>
    </row>
    <row r="1479" spans="7:8" s="21" customFormat="1" x14ac:dyDescent="0.2">
      <c r="G1479" s="20"/>
      <c r="H1479" s="20"/>
    </row>
    <row r="1480" spans="7:8" s="21" customFormat="1" x14ac:dyDescent="0.2">
      <c r="G1480" s="20"/>
      <c r="H1480" s="20"/>
    </row>
    <row r="1481" spans="7:8" s="21" customFormat="1" x14ac:dyDescent="0.2">
      <c r="G1481" s="20"/>
      <c r="H1481" s="20"/>
    </row>
    <row r="1482" spans="7:8" s="21" customFormat="1" x14ac:dyDescent="0.2">
      <c r="G1482" s="20"/>
      <c r="H1482" s="20"/>
    </row>
    <row r="1483" spans="7:8" s="21" customFormat="1" x14ac:dyDescent="0.2">
      <c r="G1483" s="20"/>
      <c r="H1483" s="20"/>
    </row>
    <row r="1484" spans="7:8" s="21" customFormat="1" x14ac:dyDescent="0.2">
      <c r="G1484" s="20"/>
      <c r="H1484" s="20"/>
    </row>
    <row r="1485" spans="7:8" s="21" customFormat="1" x14ac:dyDescent="0.2">
      <c r="G1485" s="20"/>
      <c r="H1485" s="20"/>
    </row>
    <row r="1486" spans="7:8" s="21" customFormat="1" x14ac:dyDescent="0.2">
      <c r="G1486" s="20"/>
      <c r="H1486" s="20"/>
    </row>
    <row r="1487" spans="7:8" s="21" customFormat="1" x14ac:dyDescent="0.2">
      <c r="G1487" s="20"/>
      <c r="H1487" s="20"/>
    </row>
    <row r="1488" spans="7:8" s="21" customFormat="1" x14ac:dyDescent="0.2">
      <c r="G1488" s="20"/>
      <c r="H1488" s="20"/>
    </row>
    <row r="1489" spans="7:8" s="21" customFormat="1" x14ac:dyDescent="0.2">
      <c r="G1489" s="20"/>
      <c r="H1489" s="20"/>
    </row>
    <row r="1490" spans="7:8" s="21" customFormat="1" x14ac:dyDescent="0.2">
      <c r="G1490" s="20"/>
      <c r="H1490" s="20"/>
    </row>
    <row r="1491" spans="7:8" s="21" customFormat="1" x14ac:dyDescent="0.2">
      <c r="G1491" s="20"/>
      <c r="H1491" s="20"/>
    </row>
    <row r="1492" spans="7:8" s="21" customFormat="1" x14ac:dyDescent="0.2">
      <c r="G1492" s="20"/>
      <c r="H1492" s="20"/>
    </row>
    <row r="1493" spans="7:8" s="21" customFormat="1" x14ac:dyDescent="0.2">
      <c r="G1493" s="20"/>
      <c r="H1493" s="20"/>
    </row>
    <row r="1494" spans="7:8" s="21" customFormat="1" x14ac:dyDescent="0.2">
      <c r="G1494" s="20"/>
      <c r="H1494" s="20"/>
    </row>
    <row r="1495" spans="7:8" s="21" customFormat="1" x14ac:dyDescent="0.2">
      <c r="G1495" s="20"/>
      <c r="H1495" s="20"/>
    </row>
    <row r="1496" spans="7:8" s="21" customFormat="1" x14ac:dyDescent="0.2">
      <c r="G1496" s="20"/>
      <c r="H1496" s="20"/>
    </row>
    <row r="1497" spans="7:8" s="21" customFormat="1" x14ac:dyDescent="0.2">
      <c r="G1497" s="20"/>
      <c r="H1497" s="20"/>
    </row>
    <row r="1498" spans="7:8" s="21" customFormat="1" x14ac:dyDescent="0.2">
      <c r="G1498" s="20"/>
      <c r="H1498" s="20"/>
    </row>
    <row r="1499" spans="7:8" s="21" customFormat="1" x14ac:dyDescent="0.2">
      <c r="G1499" s="20"/>
      <c r="H1499" s="20"/>
    </row>
    <row r="1500" spans="7:8" s="21" customFormat="1" x14ac:dyDescent="0.2">
      <c r="G1500" s="20"/>
      <c r="H1500" s="20"/>
    </row>
    <row r="1501" spans="7:8" s="21" customFormat="1" x14ac:dyDescent="0.2">
      <c r="G1501" s="20"/>
      <c r="H1501" s="20"/>
    </row>
    <row r="1502" spans="7:8" s="21" customFormat="1" x14ac:dyDescent="0.2">
      <c r="G1502" s="20"/>
      <c r="H1502" s="20"/>
    </row>
    <row r="1503" spans="7:8" s="21" customFormat="1" x14ac:dyDescent="0.2">
      <c r="G1503" s="20"/>
      <c r="H1503" s="20"/>
    </row>
    <row r="1504" spans="7:8" s="21" customFormat="1" x14ac:dyDescent="0.2">
      <c r="G1504" s="20"/>
      <c r="H1504" s="20"/>
    </row>
    <row r="1505" spans="7:8" s="21" customFormat="1" x14ac:dyDescent="0.2">
      <c r="G1505" s="20"/>
      <c r="H1505" s="20"/>
    </row>
    <row r="1506" spans="7:8" s="21" customFormat="1" x14ac:dyDescent="0.2">
      <c r="G1506" s="20"/>
      <c r="H1506" s="20"/>
    </row>
    <row r="1507" spans="7:8" s="21" customFormat="1" x14ac:dyDescent="0.2">
      <c r="G1507" s="20"/>
      <c r="H1507" s="20"/>
    </row>
    <row r="1508" spans="7:8" s="21" customFormat="1" x14ac:dyDescent="0.2">
      <c r="G1508" s="20"/>
      <c r="H1508" s="20"/>
    </row>
    <row r="1509" spans="7:8" s="21" customFormat="1" x14ac:dyDescent="0.2">
      <c r="G1509" s="20"/>
      <c r="H1509" s="20"/>
    </row>
    <row r="1510" spans="7:8" s="21" customFormat="1" x14ac:dyDescent="0.2">
      <c r="G1510" s="20"/>
      <c r="H1510" s="20"/>
    </row>
    <row r="1511" spans="7:8" s="21" customFormat="1" x14ac:dyDescent="0.2">
      <c r="G1511" s="20"/>
      <c r="H1511" s="20"/>
    </row>
    <row r="1512" spans="7:8" s="21" customFormat="1" x14ac:dyDescent="0.2">
      <c r="G1512" s="20"/>
      <c r="H1512" s="20"/>
    </row>
    <row r="1513" spans="7:8" s="21" customFormat="1" x14ac:dyDescent="0.2">
      <c r="G1513" s="20"/>
      <c r="H1513" s="20"/>
    </row>
    <row r="1514" spans="7:8" s="21" customFormat="1" x14ac:dyDescent="0.2">
      <c r="G1514" s="20"/>
      <c r="H1514" s="20"/>
    </row>
    <row r="1515" spans="7:8" s="21" customFormat="1" x14ac:dyDescent="0.2">
      <c r="G1515" s="20"/>
      <c r="H1515" s="20"/>
    </row>
    <row r="1516" spans="7:8" s="21" customFormat="1" x14ac:dyDescent="0.2">
      <c r="G1516" s="20"/>
      <c r="H1516" s="20"/>
    </row>
    <row r="1517" spans="7:8" s="21" customFormat="1" x14ac:dyDescent="0.2">
      <c r="G1517" s="20"/>
      <c r="H1517" s="20"/>
    </row>
    <row r="1518" spans="7:8" s="21" customFormat="1" x14ac:dyDescent="0.2">
      <c r="G1518" s="20"/>
      <c r="H1518" s="20"/>
    </row>
    <row r="1519" spans="7:8" s="21" customFormat="1" x14ac:dyDescent="0.2">
      <c r="G1519" s="20"/>
      <c r="H1519" s="20"/>
    </row>
    <row r="1520" spans="7:8" s="21" customFormat="1" x14ac:dyDescent="0.2">
      <c r="G1520" s="20"/>
      <c r="H1520" s="20"/>
    </row>
    <row r="1521" spans="7:8" s="21" customFormat="1" x14ac:dyDescent="0.2">
      <c r="G1521" s="20"/>
      <c r="H1521" s="20"/>
    </row>
    <row r="1522" spans="7:8" s="21" customFormat="1" x14ac:dyDescent="0.2">
      <c r="G1522" s="20"/>
      <c r="H1522" s="20"/>
    </row>
    <row r="1523" spans="7:8" s="21" customFormat="1" x14ac:dyDescent="0.2">
      <c r="G1523" s="20"/>
      <c r="H1523" s="20"/>
    </row>
    <row r="1524" spans="7:8" s="21" customFormat="1" x14ac:dyDescent="0.2">
      <c r="G1524" s="20"/>
      <c r="H1524" s="20"/>
    </row>
    <row r="1525" spans="7:8" s="21" customFormat="1" x14ac:dyDescent="0.2">
      <c r="G1525" s="20"/>
      <c r="H1525" s="20"/>
    </row>
    <row r="1526" spans="7:8" s="21" customFormat="1" x14ac:dyDescent="0.2">
      <c r="G1526" s="20"/>
      <c r="H1526" s="20"/>
    </row>
    <row r="1527" spans="7:8" s="21" customFormat="1" x14ac:dyDescent="0.2">
      <c r="G1527" s="20"/>
      <c r="H1527" s="20"/>
    </row>
    <row r="1528" spans="7:8" s="21" customFormat="1" x14ac:dyDescent="0.2">
      <c r="G1528" s="20"/>
      <c r="H1528" s="20"/>
    </row>
    <row r="1529" spans="7:8" s="21" customFormat="1" x14ac:dyDescent="0.2">
      <c r="G1529" s="20"/>
      <c r="H1529" s="20"/>
    </row>
    <row r="1530" spans="7:8" s="21" customFormat="1" x14ac:dyDescent="0.2">
      <c r="G1530" s="20"/>
      <c r="H1530" s="20"/>
    </row>
    <row r="1531" spans="7:8" s="21" customFormat="1" x14ac:dyDescent="0.2">
      <c r="G1531" s="20"/>
      <c r="H1531" s="20"/>
    </row>
    <row r="1532" spans="7:8" s="21" customFormat="1" x14ac:dyDescent="0.2">
      <c r="G1532" s="20"/>
      <c r="H1532" s="20"/>
    </row>
    <row r="1533" spans="7:8" s="21" customFormat="1" x14ac:dyDescent="0.2">
      <c r="G1533" s="20"/>
      <c r="H1533" s="20"/>
    </row>
    <row r="1534" spans="7:8" s="21" customFormat="1" x14ac:dyDescent="0.2">
      <c r="G1534" s="20"/>
      <c r="H1534" s="20"/>
    </row>
    <row r="1535" spans="7:8" s="21" customFormat="1" x14ac:dyDescent="0.2">
      <c r="G1535" s="20"/>
      <c r="H1535" s="20"/>
    </row>
    <row r="1536" spans="7:8" s="21" customFormat="1" x14ac:dyDescent="0.2">
      <c r="G1536" s="20"/>
      <c r="H1536" s="20"/>
    </row>
    <row r="1537" spans="7:8" s="21" customFormat="1" x14ac:dyDescent="0.2">
      <c r="G1537" s="20"/>
      <c r="H1537" s="20"/>
    </row>
    <row r="1538" spans="7:8" s="21" customFormat="1" x14ac:dyDescent="0.2">
      <c r="G1538" s="20"/>
      <c r="H1538" s="20"/>
    </row>
    <row r="1539" spans="7:8" s="21" customFormat="1" x14ac:dyDescent="0.2">
      <c r="G1539" s="20"/>
      <c r="H1539" s="20"/>
    </row>
    <row r="1540" spans="7:8" s="21" customFormat="1" x14ac:dyDescent="0.2">
      <c r="G1540" s="20"/>
      <c r="H1540" s="20"/>
    </row>
    <row r="1541" spans="7:8" s="21" customFormat="1" x14ac:dyDescent="0.2">
      <c r="G1541" s="20"/>
      <c r="H1541" s="20"/>
    </row>
    <row r="1542" spans="7:8" s="21" customFormat="1" x14ac:dyDescent="0.2">
      <c r="G1542" s="20"/>
      <c r="H1542" s="20"/>
    </row>
    <row r="1543" spans="7:8" s="21" customFormat="1" x14ac:dyDescent="0.2">
      <c r="G1543" s="20"/>
      <c r="H1543" s="20"/>
    </row>
    <row r="1544" spans="7:8" s="21" customFormat="1" x14ac:dyDescent="0.2">
      <c r="G1544" s="20"/>
      <c r="H1544" s="20"/>
    </row>
    <row r="1545" spans="7:8" s="21" customFormat="1" x14ac:dyDescent="0.2">
      <c r="G1545" s="20"/>
      <c r="H1545" s="20"/>
    </row>
    <row r="1546" spans="7:8" s="21" customFormat="1" x14ac:dyDescent="0.2">
      <c r="G1546" s="20"/>
      <c r="H1546" s="20"/>
    </row>
    <row r="1547" spans="7:8" s="21" customFormat="1" x14ac:dyDescent="0.2">
      <c r="G1547" s="20"/>
      <c r="H1547" s="20"/>
    </row>
    <row r="1548" spans="7:8" s="21" customFormat="1" x14ac:dyDescent="0.2">
      <c r="G1548" s="20"/>
      <c r="H1548" s="20"/>
    </row>
    <row r="1549" spans="7:8" s="21" customFormat="1" x14ac:dyDescent="0.2">
      <c r="G1549" s="20"/>
      <c r="H1549" s="20"/>
    </row>
    <row r="1550" spans="7:8" s="21" customFormat="1" x14ac:dyDescent="0.2">
      <c r="G1550" s="20"/>
      <c r="H1550" s="20"/>
    </row>
    <row r="1551" spans="7:8" s="21" customFormat="1" x14ac:dyDescent="0.2">
      <c r="G1551" s="20"/>
      <c r="H1551" s="20"/>
    </row>
    <row r="1552" spans="7:8" s="21" customFormat="1" x14ac:dyDescent="0.2">
      <c r="G1552" s="20"/>
      <c r="H1552" s="20"/>
    </row>
    <row r="1553" spans="7:8" s="21" customFormat="1" x14ac:dyDescent="0.2">
      <c r="G1553" s="20"/>
      <c r="H1553" s="20"/>
    </row>
    <row r="1554" spans="7:8" s="21" customFormat="1" x14ac:dyDescent="0.2">
      <c r="G1554" s="20"/>
      <c r="H1554" s="20"/>
    </row>
    <row r="1555" spans="7:8" s="21" customFormat="1" x14ac:dyDescent="0.2">
      <c r="G1555" s="20"/>
      <c r="H1555" s="20"/>
    </row>
    <row r="1556" spans="7:8" s="21" customFormat="1" x14ac:dyDescent="0.2">
      <c r="G1556" s="20"/>
      <c r="H1556" s="20"/>
    </row>
    <row r="1557" spans="7:8" s="21" customFormat="1" x14ac:dyDescent="0.2">
      <c r="G1557" s="20"/>
      <c r="H1557" s="20"/>
    </row>
    <row r="1558" spans="7:8" s="21" customFormat="1" x14ac:dyDescent="0.2">
      <c r="G1558" s="20"/>
      <c r="H1558" s="20"/>
    </row>
    <row r="1559" spans="7:8" s="21" customFormat="1" x14ac:dyDescent="0.2">
      <c r="G1559" s="20"/>
      <c r="H1559" s="20"/>
    </row>
    <row r="1560" spans="7:8" s="21" customFormat="1" x14ac:dyDescent="0.2">
      <c r="G1560" s="20"/>
      <c r="H1560" s="20"/>
    </row>
    <row r="1561" spans="7:8" s="21" customFormat="1" x14ac:dyDescent="0.2">
      <c r="G1561" s="20"/>
      <c r="H1561" s="20"/>
    </row>
    <row r="1562" spans="7:8" s="21" customFormat="1" x14ac:dyDescent="0.2">
      <c r="G1562" s="20"/>
      <c r="H1562" s="20"/>
    </row>
    <row r="1563" spans="7:8" s="21" customFormat="1" x14ac:dyDescent="0.2">
      <c r="G1563" s="20"/>
      <c r="H1563" s="20"/>
    </row>
    <row r="1564" spans="7:8" s="21" customFormat="1" x14ac:dyDescent="0.2">
      <c r="G1564" s="20"/>
      <c r="H1564" s="20"/>
    </row>
    <row r="1565" spans="7:8" s="21" customFormat="1" x14ac:dyDescent="0.2">
      <c r="G1565" s="20"/>
      <c r="H1565" s="20"/>
    </row>
    <row r="1566" spans="7:8" s="21" customFormat="1" x14ac:dyDescent="0.2">
      <c r="G1566" s="20"/>
      <c r="H1566" s="20"/>
    </row>
    <row r="1567" spans="7:8" s="21" customFormat="1" x14ac:dyDescent="0.2">
      <c r="G1567" s="20"/>
      <c r="H1567" s="20"/>
    </row>
    <row r="1568" spans="7:8" s="21" customFormat="1" x14ac:dyDescent="0.2">
      <c r="G1568" s="20"/>
      <c r="H1568" s="20"/>
    </row>
    <row r="1569" spans="7:8" s="21" customFormat="1" x14ac:dyDescent="0.2">
      <c r="G1569" s="20"/>
      <c r="H1569" s="20"/>
    </row>
    <row r="1570" spans="7:8" s="21" customFormat="1" x14ac:dyDescent="0.2">
      <c r="G1570" s="20"/>
      <c r="H1570" s="20"/>
    </row>
    <row r="1571" spans="7:8" s="21" customFormat="1" x14ac:dyDescent="0.2">
      <c r="G1571" s="20"/>
      <c r="H1571" s="20"/>
    </row>
    <row r="1572" spans="7:8" s="21" customFormat="1" x14ac:dyDescent="0.2">
      <c r="G1572" s="20"/>
      <c r="H1572" s="20"/>
    </row>
    <row r="1573" spans="7:8" s="21" customFormat="1" x14ac:dyDescent="0.2">
      <c r="G1573" s="20"/>
      <c r="H1573" s="20"/>
    </row>
    <row r="1574" spans="7:8" s="21" customFormat="1" x14ac:dyDescent="0.2">
      <c r="G1574" s="20"/>
      <c r="H1574" s="20"/>
    </row>
    <row r="1575" spans="7:8" s="21" customFormat="1" x14ac:dyDescent="0.2">
      <c r="G1575" s="20"/>
      <c r="H1575" s="20"/>
    </row>
    <row r="1576" spans="7:8" s="21" customFormat="1" x14ac:dyDescent="0.2">
      <c r="G1576" s="20"/>
      <c r="H1576" s="20"/>
    </row>
    <row r="1577" spans="7:8" s="21" customFormat="1" x14ac:dyDescent="0.2">
      <c r="G1577" s="20"/>
      <c r="H1577" s="20"/>
    </row>
    <row r="1578" spans="7:8" s="21" customFormat="1" x14ac:dyDescent="0.2">
      <c r="G1578" s="20"/>
      <c r="H1578" s="20"/>
    </row>
    <row r="1579" spans="7:8" s="21" customFormat="1" x14ac:dyDescent="0.2">
      <c r="G1579" s="20"/>
      <c r="H1579" s="20"/>
    </row>
    <row r="1580" spans="7:8" s="21" customFormat="1" x14ac:dyDescent="0.2">
      <c r="G1580" s="20"/>
      <c r="H1580" s="20"/>
    </row>
    <row r="1581" spans="7:8" s="21" customFormat="1" x14ac:dyDescent="0.2">
      <c r="G1581" s="20"/>
      <c r="H1581" s="20"/>
    </row>
    <row r="1582" spans="7:8" s="21" customFormat="1" x14ac:dyDescent="0.2">
      <c r="G1582" s="20"/>
      <c r="H1582" s="20"/>
    </row>
    <row r="1583" spans="7:8" s="21" customFormat="1" x14ac:dyDescent="0.2">
      <c r="G1583" s="20"/>
      <c r="H1583" s="20"/>
    </row>
    <row r="1584" spans="7:8" s="21" customFormat="1" x14ac:dyDescent="0.2">
      <c r="G1584" s="20"/>
      <c r="H1584" s="20"/>
    </row>
    <row r="1585" spans="7:8" s="21" customFormat="1" x14ac:dyDescent="0.2">
      <c r="G1585" s="20"/>
      <c r="H1585" s="20"/>
    </row>
    <row r="1586" spans="7:8" s="21" customFormat="1" x14ac:dyDescent="0.2">
      <c r="G1586" s="20"/>
      <c r="H1586" s="20"/>
    </row>
    <row r="1587" spans="7:8" s="21" customFormat="1" x14ac:dyDescent="0.2">
      <c r="G1587" s="20"/>
      <c r="H1587" s="20"/>
    </row>
    <row r="1588" spans="7:8" s="21" customFormat="1" x14ac:dyDescent="0.2">
      <c r="G1588" s="20"/>
      <c r="H1588" s="20"/>
    </row>
    <row r="1589" spans="7:8" s="21" customFormat="1" x14ac:dyDescent="0.2">
      <c r="G1589" s="20"/>
      <c r="H1589" s="20"/>
    </row>
    <row r="1590" spans="7:8" s="21" customFormat="1" x14ac:dyDescent="0.2">
      <c r="G1590" s="20"/>
      <c r="H1590" s="20"/>
    </row>
    <row r="1591" spans="7:8" s="21" customFormat="1" x14ac:dyDescent="0.2">
      <c r="G1591" s="20"/>
      <c r="H1591" s="20"/>
    </row>
    <row r="1592" spans="7:8" s="21" customFormat="1" x14ac:dyDescent="0.2">
      <c r="G1592" s="20"/>
      <c r="H1592" s="20"/>
    </row>
    <row r="1593" spans="7:8" s="21" customFormat="1" x14ac:dyDescent="0.2">
      <c r="G1593" s="20"/>
      <c r="H1593" s="20"/>
    </row>
    <row r="1594" spans="7:8" s="21" customFormat="1" x14ac:dyDescent="0.2">
      <c r="G1594" s="20"/>
      <c r="H1594" s="20"/>
    </row>
    <row r="1595" spans="7:8" s="21" customFormat="1" x14ac:dyDescent="0.2">
      <c r="G1595" s="20"/>
      <c r="H1595" s="20"/>
    </row>
    <row r="1596" spans="7:8" s="21" customFormat="1" x14ac:dyDescent="0.2">
      <c r="G1596" s="20"/>
      <c r="H1596" s="20"/>
    </row>
    <row r="1597" spans="7:8" s="21" customFormat="1" x14ac:dyDescent="0.2">
      <c r="G1597" s="20"/>
      <c r="H1597" s="20"/>
    </row>
    <row r="1598" spans="7:8" s="21" customFormat="1" x14ac:dyDescent="0.2">
      <c r="G1598" s="20"/>
      <c r="H1598" s="20"/>
    </row>
    <row r="1599" spans="7:8" s="21" customFormat="1" x14ac:dyDescent="0.2">
      <c r="G1599" s="20"/>
      <c r="H1599" s="20"/>
    </row>
    <row r="1600" spans="7:8" s="21" customFormat="1" x14ac:dyDescent="0.2">
      <c r="G1600" s="20"/>
      <c r="H1600" s="20"/>
    </row>
    <row r="1601" spans="7:8" s="21" customFormat="1" x14ac:dyDescent="0.2">
      <c r="G1601" s="20"/>
      <c r="H1601" s="20"/>
    </row>
    <row r="1602" spans="7:8" s="21" customFormat="1" x14ac:dyDescent="0.2">
      <c r="G1602" s="20"/>
      <c r="H1602" s="20"/>
    </row>
    <row r="1603" spans="7:8" s="21" customFormat="1" x14ac:dyDescent="0.2">
      <c r="G1603" s="20"/>
      <c r="H1603" s="20"/>
    </row>
    <row r="1604" spans="7:8" s="21" customFormat="1" x14ac:dyDescent="0.2">
      <c r="G1604" s="20"/>
      <c r="H1604" s="20"/>
    </row>
    <row r="1605" spans="7:8" s="21" customFormat="1" x14ac:dyDescent="0.2">
      <c r="G1605" s="20"/>
      <c r="H1605" s="20"/>
    </row>
    <row r="1606" spans="7:8" s="21" customFormat="1" x14ac:dyDescent="0.2">
      <c r="G1606" s="20"/>
      <c r="H1606" s="20"/>
    </row>
    <row r="1607" spans="7:8" s="21" customFormat="1" x14ac:dyDescent="0.2">
      <c r="G1607" s="20"/>
      <c r="H1607" s="20"/>
    </row>
    <row r="1608" spans="7:8" s="21" customFormat="1" x14ac:dyDescent="0.2">
      <c r="G1608" s="20"/>
      <c r="H1608" s="20"/>
    </row>
    <row r="1609" spans="7:8" s="21" customFormat="1" x14ac:dyDescent="0.2">
      <c r="G1609" s="20"/>
      <c r="H1609" s="20"/>
    </row>
    <row r="1610" spans="7:8" s="21" customFormat="1" x14ac:dyDescent="0.2">
      <c r="G1610" s="20"/>
      <c r="H1610" s="20"/>
    </row>
    <row r="1611" spans="7:8" s="21" customFormat="1" x14ac:dyDescent="0.2">
      <c r="G1611" s="20"/>
      <c r="H1611" s="20"/>
    </row>
    <row r="1612" spans="7:8" s="21" customFormat="1" x14ac:dyDescent="0.2">
      <c r="G1612" s="20"/>
      <c r="H1612" s="20"/>
    </row>
    <row r="1613" spans="7:8" s="21" customFormat="1" x14ac:dyDescent="0.2">
      <c r="G1613" s="20"/>
      <c r="H1613" s="20"/>
    </row>
    <row r="1614" spans="7:8" s="21" customFormat="1" x14ac:dyDescent="0.2">
      <c r="G1614" s="20"/>
      <c r="H1614" s="20"/>
    </row>
    <row r="1615" spans="7:8" s="21" customFormat="1" x14ac:dyDescent="0.2">
      <c r="G1615" s="20"/>
      <c r="H1615" s="20"/>
    </row>
    <row r="1616" spans="7:8" s="21" customFormat="1" x14ac:dyDescent="0.2">
      <c r="G1616" s="20"/>
      <c r="H1616" s="20"/>
    </row>
    <row r="1617" spans="7:8" s="21" customFormat="1" x14ac:dyDescent="0.2">
      <c r="G1617" s="20"/>
      <c r="H1617" s="20"/>
    </row>
    <row r="1618" spans="7:8" s="21" customFormat="1" x14ac:dyDescent="0.2">
      <c r="G1618" s="20"/>
      <c r="H1618" s="20"/>
    </row>
    <row r="1619" spans="7:8" s="21" customFormat="1" x14ac:dyDescent="0.2">
      <c r="G1619" s="20"/>
      <c r="H1619" s="20"/>
    </row>
    <row r="1620" spans="7:8" s="21" customFormat="1" x14ac:dyDescent="0.2">
      <c r="G1620" s="20"/>
      <c r="H1620" s="20"/>
    </row>
    <row r="1621" spans="7:8" s="21" customFormat="1" x14ac:dyDescent="0.2">
      <c r="G1621" s="20"/>
      <c r="H1621" s="20"/>
    </row>
    <row r="1622" spans="7:8" s="21" customFormat="1" x14ac:dyDescent="0.2">
      <c r="G1622" s="20"/>
      <c r="H1622" s="20"/>
    </row>
    <row r="1623" spans="7:8" s="21" customFormat="1" x14ac:dyDescent="0.2">
      <c r="G1623" s="20"/>
      <c r="H1623" s="20"/>
    </row>
    <row r="1624" spans="7:8" s="21" customFormat="1" x14ac:dyDescent="0.2">
      <c r="G1624" s="20"/>
      <c r="H1624" s="20"/>
    </row>
    <row r="1625" spans="7:8" s="21" customFormat="1" x14ac:dyDescent="0.2">
      <c r="G1625" s="20"/>
      <c r="H1625" s="20"/>
    </row>
    <row r="1626" spans="7:8" s="21" customFormat="1" x14ac:dyDescent="0.2">
      <c r="G1626" s="20"/>
      <c r="H1626" s="20"/>
    </row>
    <row r="1627" spans="7:8" s="21" customFormat="1" x14ac:dyDescent="0.2">
      <c r="G1627" s="20"/>
      <c r="H1627" s="20"/>
    </row>
    <row r="1628" spans="7:8" s="21" customFormat="1" x14ac:dyDescent="0.2">
      <c r="G1628" s="20"/>
      <c r="H1628" s="20"/>
    </row>
    <row r="1629" spans="7:8" s="21" customFormat="1" x14ac:dyDescent="0.2">
      <c r="G1629" s="20"/>
      <c r="H1629" s="20"/>
    </row>
    <row r="1630" spans="7:8" s="21" customFormat="1" x14ac:dyDescent="0.2">
      <c r="G1630" s="20"/>
      <c r="H1630" s="20"/>
    </row>
    <row r="1631" spans="7:8" s="21" customFormat="1" x14ac:dyDescent="0.2">
      <c r="G1631" s="20"/>
      <c r="H1631" s="20"/>
    </row>
    <row r="1632" spans="7:8" s="21" customFormat="1" x14ac:dyDescent="0.2">
      <c r="G1632" s="20"/>
      <c r="H1632" s="20"/>
    </row>
    <row r="1633" spans="7:8" s="21" customFormat="1" x14ac:dyDescent="0.2">
      <c r="G1633" s="20"/>
      <c r="H1633" s="20"/>
    </row>
    <row r="1634" spans="7:8" s="21" customFormat="1" x14ac:dyDescent="0.2">
      <c r="G1634" s="20"/>
      <c r="H1634" s="20"/>
    </row>
    <row r="1635" spans="7:8" s="21" customFormat="1" x14ac:dyDescent="0.2">
      <c r="G1635" s="20"/>
      <c r="H1635" s="20"/>
    </row>
    <row r="1636" spans="7:8" s="21" customFormat="1" x14ac:dyDescent="0.2">
      <c r="G1636" s="20"/>
      <c r="H1636" s="20"/>
    </row>
    <row r="1637" spans="7:8" s="21" customFormat="1" x14ac:dyDescent="0.2">
      <c r="G1637" s="20"/>
      <c r="H1637" s="20"/>
    </row>
    <row r="1638" spans="7:8" s="21" customFormat="1" x14ac:dyDescent="0.2">
      <c r="G1638" s="20"/>
      <c r="H1638" s="20"/>
    </row>
    <row r="1639" spans="7:8" s="21" customFormat="1" x14ac:dyDescent="0.2">
      <c r="G1639" s="20"/>
      <c r="H1639" s="20"/>
    </row>
    <row r="1640" spans="7:8" s="21" customFormat="1" x14ac:dyDescent="0.2">
      <c r="G1640" s="20"/>
      <c r="H1640" s="20"/>
    </row>
    <row r="1641" spans="7:8" s="21" customFormat="1" x14ac:dyDescent="0.2">
      <c r="G1641" s="20"/>
      <c r="H1641" s="20"/>
    </row>
    <row r="1642" spans="7:8" s="21" customFormat="1" x14ac:dyDescent="0.2">
      <c r="G1642" s="20"/>
      <c r="H1642" s="20"/>
    </row>
    <row r="1643" spans="7:8" s="21" customFormat="1" x14ac:dyDescent="0.2">
      <c r="G1643" s="20"/>
      <c r="H1643" s="20"/>
    </row>
    <row r="1644" spans="7:8" s="21" customFormat="1" x14ac:dyDescent="0.2">
      <c r="G1644" s="20"/>
      <c r="H1644" s="20"/>
    </row>
    <row r="1645" spans="7:8" s="21" customFormat="1" x14ac:dyDescent="0.2">
      <c r="G1645" s="20"/>
      <c r="H1645" s="20"/>
    </row>
    <row r="1646" spans="7:8" s="21" customFormat="1" x14ac:dyDescent="0.2">
      <c r="G1646" s="20"/>
      <c r="H1646" s="20"/>
    </row>
    <row r="1647" spans="7:8" s="21" customFormat="1" x14ac:dyDescent="0.2">
      <c r="G1647" s="20"/>
      <c r="H1647" s="20"/>
    </row>
    <row r="1648" spans="7:8" s="21" customFormat="1" x14ac:dyDescent="0.2">
      <c r="G1648" s="20"/>
      <c r="H1648" s="20"/>
    </row>
    <row r="1649" spans="7:8" s="21" customFormat="1" x14ac:dyDescent="0.2">
      <c r="G1649" s="20"/>
      <c r="H1649" s="20"/>
    </row>
    <row r="1650" spans="7:8" s="21" customFormat="1" x14ac:dyDescent="0.2">
      <c r="G1650" s="20"/>
      <c r="H1650" s="20"/>
    </row>
    <row r="1651" spans="7:8" s="21" customFormat="1" x14ac:dyDescent="0.2">
      <c r="G1651" s="20"/>
      <c r="H1651" s="20"/>
    </row>
    <row r="1652" spans="7:8" s="21" customFormat="1" x14ac:dyDescent="0.2">
      <c r="G1652" s="20"/>
      <c r="H1652" s="20"/>
    </row>
    <row r="1653" spans="7:8" s="21" customFormat="1" x14ac:dyDescent="0.2">
      <c r="G1653" s="20"/>
      <c r="H1653" s="20"/>
    </row>
    <row r="1654" spans="7:8" s="21" customFormat="1" x14ac:dyDescent="0.2">
      <c r="G1654" s="20"/>
      <c r="H1654" s="20"/>
    </row>
    <row r="1655" spans="7:8" s="21" customFormat="1" x14ac:dyDescent="0.2">
      <c r="G1655" s="20"/>
      <c r="H1655" s="20"/>
    </row>
    <row r="1656" spans="7:8" s="21" customFormat="1" x14ac:dyDescent="0.2">
      <c r="G1656" s="20"/>
      <c r="H1656" s="20"/>
    </row>
    <row r="1657" spans="7:8" s="21" customFormat="1" x14ac:dyDescent="0.2">
      <c r="G1657" s="20"/>
      <c r="H1657" s="20"/>
    </row>
    <row r="1658" spans="7:8" s="21" customFormat="1" x14ac:dyDescent="0.2">
      <c r="G1658" s="20"/>
      <c r="H1658" s="20"/>
    </row>
    <row r="1659" spans="7:8" s="21" customFormat="1" x14ac:dyDescent="0.2">
      <c r="G1659" s="20"/>
      <c r="H1659" s="20"/>
    </row>
    <row r="1660" spans="7:8" s="21" customFormat="1" x14ac:dyDescent="0.2">
      <c r="G1660" s="20"/>
      <c r="H1660" s="20"/>
    </row>
    <row r="1661" spans="7:8" s="21" customFormat="1" x14ac:dyDescent="0.2">
      <c r="G1661" s="20"/>
      <c r="H1661" s="20"/>
    </row>
    <row r="1662" spans="7:8" s="21" customFormat="1" x14ac:dyDescent="0.2">
      <c r="G1662" s="20"/>
      <c r="H1662" s="20"/>
    </row>
    <row r="1663" spans="7:8" s="21" customFormat="1" x14ac:dyDescent="0.2">
      <c r="G1663" s="20"/>
      <c r="H1663" s="20"/>
    </row>
    <row r="1664" spans="7:8" s="21" customFormat="1" x14ac:dyDescent="0.2">
      <c r="G1664" s="20"/>
      <c r="H1664" s="20"/>
    </row>
    <row r="1665" spans="7:8" s="21" customFormat="1" x14ac:dyDescent="0.2">
      <c r="G1665" s="20"/>
      <c r="H1665" s="20"/>
    </row>
    <row r="1666" spans="7:8" s="21" customFormat="1" x14ac:dyDescent="0.2">
      <c r="G1666" s="20"/>
      <c r="H1666" s="20"/>
    </row>
    <row r="1667" spans="7:8" s="21" customFormat="1" x14ac:dyDescent="0.2">
      <c r="G1667" s="20"/>
      <c r="H1667" s="20"/>
    </row>
    <row r="1668" spans="7:8" s="21" customFormat="1" x14ac:dyDescent="0.2">
      <c r="G1668" s="20"/>
      <c r="H1668" s="20"/>
    </row>
    <row r="1669" spans="7:8" s="21" customFormat="1" x14ac:dyDescent="0.2">
      <c r="G1669" s="20"/>
      <c r="H1669" s="20"/>
    </row>
    <row r="1670" spans="7:8" s="21" customFormat="1" x14ac:dyDescent="0.2">
      <c r="G1670" s="20"/>
      <c r="H1670" s="20"/>
    </row>
    <row r="1671" spans="7:8" s="21" customFormat="1" x14ac:dyDescent="0.2">
      <c r="G1671" s="20"/>
      <c r="H1671" s="20"/>
    </row>
    <row r="1672" spans="7:8" s="21" customFormat="1" x14ac:dyDescent="0.2">
      <c r="G1672" s="20"/>
      <c r="H1672" s="20"/>
    </row>
    <row r="1673" spans="7:8" s="21" customFormat="1" x14ac:dyDescent="0.2">
      <c r="G1673" s="20"/>
      <c r="H1673" s="20"/>
    </row>
    <row r="1674" spans="7:8" s="21" customFormat="1" x14ac:dyDescent="0.2">
      <c r="G1674" s="20"/>
      <c r="H1674" s="20"/>
    </row>
    <row r="1675" spans="7:8" s="21" customFormat="1" x14ac:dyDescent="0.2">
      <c r="G1675" s="20"/>
      <c r="H1675" s="20"/>
    </row>
    <row r="1676" spans="7:8" s="21" customFormat="1" x14ac:dyDescent="0.2">
      <c r="G1676" s="20"/>
      <c r="H1676" s="20"/>
    </row>
    <row r="1677" spans="7:8" s="21" customFormat="1" x14ac:dyDescent="0.2">
      <c r="G1677" s="20"/>
      <c r="H1677" s="20"/>
    </row>
    <row r="1678" spans="7:8" s="21" customFormat="1" x14ac:dyDescent="0.2">
      <c r="G1678" s="20"/>
      <c r="H1678" s="20"/>
    </row>
    <row r="1679" spans="7:8" s="21" customFormat="1" x14ac:dyDescent="0.2">
      <c r="G1679" s="20"/>
      <c r="H1679" s="20"/>
    </row>
    <row r="1680" spans="7:8" s="21" customFormat="1" x14ac:dyDescent="0.2">
      <c r="G1680" s="20"/>
      <c r="H1680" s="20"/>
    </row>
    <row r="1681" spans="7:8" s="21" customFormat="1" x14ac:dyDescent="0.2">
      <c r="G1681" s="20"/>
      <c r="H1681" s="20"/>
    </row>
    <row r="1682" spans="7:8" s="21" customFormat="1" x14ac:dyDescent="0.2">
      <c r="G1682" s="20"/>
      <c r="H1682" s="20"/>
    </row>
    <row r="1683" spans="7:8" s="21" customFormat="1" x14ac:dyDescent="0.2">
      <c r="G1683" s="20"/>
      <c r="H1683" s="20"/>
    </row>
    <row r="1684" spans="7:8" s="21" customFormat="1" x14ac:dyDescent="0.2">
      <c r="G1684" s="20"/>
      <c r="H1684" s="20"/>
    </row>
    <row r="1685" spans="7:8" s="21" customFormat="1" x14ac:dyDescent="0.2">
      <c r="G1685" s="20"/>
      <c r="H1685" s="20"/>
    </row>
    <row r="1686" spans="7:8" s="21" customFormat="1" x14ac:dyDescent="0.2">
      <c r="G1686" s="20"/>
      <c r="H1686" s="20"/>
    </row>
    <row r="1687" spans="7:8" s="21" customFormat="1" x14ac:dyDescent="0.2">
      <c r="G1687" s="20"/>
      <c r="H1687" s="20"/>
    </row>
    <row r="1688" spans="7:8" s="21" customFormat="1" x14ac:dyDescent="0.2">
      <c r="G1688" s="20"/>
      <c r="H1688" s="20"/>
    </row>
    <row r="1689" spans="7:8" s="21" customFormat="1" x14ac:dyDescent="0.2">
      <c r="G1689" s="20"/>
      <c r="H1689" s="20"/>
    </row>
    <row r="1690" spans="7:8" s="21" customFormat="1" x14ac:dyDescent="0.2">
      <c r="G1690" s="20"/>
      <c r="H1690" s="20"/>
    </row>
    <row r="1691" spans="7:8" s="21" customFormat="1" x14ac:dyDescent="0.2">
      <c r="G1691" s="20"/>
      <c r="H1691" s="20"/>
    </row>
    <row r="1692" spans="7:8" s="21" customFormat="1" x14ac:dyDescent="0.2">
      <c r="G1692" s="20"/>
      <c r="H1692" s="20"/>
    </row>
    <row r="1693" spans="7:8" s="21" customFormat="1" x14ac:dyDescent="0.2">
      <c r="G1693" s="20"/>
      <c r="H1693" s="20"/>
    </row>
    <row r="1694" spans="7:8" s="21" customFormat="1" x14ac:dyDescent="0.2">
      <c r="G1694" s="20"/>
      <c r="H1694" s="20"/>
    </row>
    <row r="1695" spans="7:8" s="21" customFormat="1" x14ac:dyDescent="0.2">
      <c r="G1695" s="20"/>
      <c r="H1695" s="20"/>
    </row>
    <row r="1696" spans="7:8" s="21" customFormat="1" x14ac:dyDescent="0.2">
      <c r="G1696" s="20"/>
      <c r="H1696" s="20"/>
    </row>
    <row r="1697" spans="7:8" s="21" customFormat="1" x14ac:dyDescent="0.2">
      <c r="G1697" s="20"/>
      <c r="H1697" s="20"/>
    </row>
    <row r="1698" spans="7:8" s="21" customFormat="1" x14ac:dyDescent="0.2">
      <c r="G1698" s="20"/>
      <c r="H1698" s="20"/>
    </row>
    <row r="1699" spans="7:8" s="21" customFormat="1" x14ac:dyDescent="0.2">
      <c r="G1699" s="20"/>
      <c r="H1699" s="20"/>
    </row>
    <row r="1700" spans="7:8" s="21" customFormat="1" x14ac:dyDescent="0.2">
      <c r="G1700" s="20"/>
      <c r="H1700" s="20"/>
    </row>
    <row r="1701" spans="7:8" s="21" customFormat="1" x14ac:dyDescent="0.2">
      <c r="G1701" s="20"/>
      <c r="H1701" s="20"/>
    </row>
    <row r="1702" spans="7:8" s="21" customFormat="1" x14ac:dyDescent="0.2">
      <c r="G1702" s="20"/>
      <c r="H1702" s="20"/>
    </row>
    <row r="1703" spans="7:8" s="21" customFormat="1" x14ac:dyDescent="0.2">
      <c r="G1703" s="20"/>
      <c r="H1703" s="20"/>
    </row>
    <row r="1704" spans="7:8" s="21" customFormat="1" x14ac:dyDescent="0.2">
      <c r="G1704" s="20"/>
      <c r="H1704" s="20"/>
    </row>
    <row r="1705" spans="7:8" s="21" customFormat="1" x14ac:dyDescent="0.2">
      <c r="G1705" s="20"/>
      <c r="H1705" s="20"/>
    </row>
    <row r="1706" spans="7:8" s="21" customFormat="1" x14ac:dyDescent="0.2">
      <c r="G1706" s="20"/>
      <c r="H1706" s="20"/>
    </row>
    <row r="1707" spans="7:8" s="21" customFormat="1" x14ac:dyDescent="0.2">
      <c r="G1707" s="20"/>
      <c r="H1707" s="20"/>
    </row>
    <row r="1708" spans="7:8" s="21" customFormat="1" x14ac:dyDescent="0.2">
      <c r="G1708" s="20"/>
      <c r="H1708" s="20"/>
    </row>
    <row r="1709" spans="7:8" s="21" customFormat="1" x14ac:dyDescent="0.2">
      <c r="G1709" s="20"/>
      <c r="H1709" s="20"/>
    </row>
    <row r="1710" spans="7:8" s="21" customFormat="1" x14ac:dyDescent="0.2">
      <c r="G1710" s="20"/>
      <c r="H1710" s="20"/>
    </row>
    <row r="1711" spans="7:8" s="21" customFormat="1" x14ac:dyDescent="0.2">
      <c r="G1711" s="20"/>
      <c r="H1711" s="20"/>
    </row>
    <row r="1712" spans="7:8" s="21" customFormat="1" x14ac:dyDescent="0.2">
      <c r="G1712" s="20"/>
      <c r="H1712" s="20"/>
    </row>
    <row r="1713" spans="7:8" s="21" customFormat="1" x14ac:dyDescent="0.2">
      <c r="G1713" s="20"/>
      <c r="H1713" s="20"/>
    </row>
    <row r="1714" spans="7:8" s="21" customFormat="1" x14ac:dyDescent="0.2">
      <c r="G1714" s="20"/>
      <c r="H1714" s="20"/>
    </row>
    <row r="1715" spans="7:8" s="21" customFormat="1" x14ac:dyDescent="0.2">
      <c r="G1715" s="20"/>
      <c r="H1715" s="20"/>
    </row>
    <row r="1716" spans="7:8" s="21" customFormat="1" x14ac:dyDescent="0.2">
      <c r="G1716" s="20"/>
      <c r="H1716" s="20"/>
    </row>
    <row r="1717" spans="7:8" s="21" customFormat="1" x14ac:dyDescent="0.2">
      <c r="G1717" s="20"/>
      <c r="H1717" s="20"/>
    </row>
    <row r="1718" spans="7:8" s="21" customFormat="1" x14ac:dyDescent="0.2">
      <c r="G1718" s="20"/>
      <c r="H1718" s="20"/>
    </row>
    <row r="1719" spans="7:8" s="21" customFormat="1" x14ac:dyDescent="0.2">
      <c r="G1719" s="20"/>
      <c r="H1719" s="20"/>
    </row>
    <row r="1720" spans="7:8" s="21" customFormat="1" x14ac:dyDescent="0.2">
      <c r="G1720" s="20"/>
      <c r="H1720" s="20"/>
    </row>
    <row r="1721" spans="7:8" s="21" customFormat="1" x14ac:dyDescent="0.2">
      <c r="G1721" s="20"/>
      <c r="H1721" s="20"/>
    </row>
    <row r="1722" spans="7:8" s="21" customFormat="1" x14ac:dyDescent="0.2">
      <c r="G1722" s="20"/>
      <c r="H1722" s="20"/>
    </row>
    <row r="1723" spans="7:8" s="21" customFormat="1" x14ac:dyDescent="0.2">
      <c r="G1723" s="20"/>
      <c r="H1723" s="20"/>
    </row>
    <row r="1724" spans="7:8" s="21" customFormat="1" x14ac:dyDescent="0.2">
      <c r="G1724" s="20"/>
      <c r="H1724" s="20"/>
    </row>
    <row r="1725" spans="7:8" s="21" customFormat="1" x14ac:dyDescent="0.2">
      <c r="G1725" s="20"/>
      <c r="H1725" s="20"/>
    </row>
    <row r="1726" spans="7:8" s="21" customFormat="1" x14ac:dyDescent="0.2">
      <c r="G1726" s="20"/>
      <c r="H1726" s="20"/>
    </row>
    <row r="1727" spans="7:8" s="21" customFormat="1" x14ac:dyDescent="0.2">
      <c r="G1727" s="20"/>
      <c r="H1727" s="20"/>
    </row>
    <row r="1728" spans="7:8" s="21" customFormat="1" x14ac:dyDescent="0.2">
      <c r="G1728" s="20"/>
      <c r="H1728" s="20"/>
    </row>
    <row r="1729" spans="7:8" s="21" customFormat="1" x14ac:dyDescent="0.2">
      <c r="G1729" s="20"/>
      <c r="H1729" s="20"/>
    </row>
    <row r="1730" spans="7:8" s="21" customFormat="1" x14ac:dyDescent="0.2">
      <c r="G1730" s="20"/>
      <c r="H1730" s="20"/>
    </row>
    <row r="1731" spans="7:8" s="21" customFormat="1" x14ac:dyDescent="0.2">
      <c r="G1731" s="20"/>
      <c r="H1731" s="20"/>
    </row>
    <row r="1732" spans="7:8" s="21" customFormat="1" x14ac:dyDescent="0.2">
      <c r="G1732" s="20"/>
      <c r="H1732" s="20"/>
    </row>
    <row r="1733" spans="7:8" s="21" customFormat="1" x14ac:dyDescent="0.2">
      <c r="G1733" s="20"/>
      <c r="H1733" s="20"/>
    </row>
    <row r="1734" spans="7:8" s="21" customFormat="1" x14ac:dyDescent="0.2">
      <c r="G1734" s="20"/>
      <c r="H1734" s="20"/>
    </row>
    <row r="1735" spans="7:8" s="21" customFormat="1" x14ac:dyDescent="0.2">
      <c r="G1735" s="20"/>
      <c r="H1735" s="20"/>
    </row>
    <row r="1736" spans="7:8" s="21" customFormat="1" x14ac:dyDescent="0.2">
      <c r="G1736" s="20"/>
      <c r="H1736" s="20"/>
    </row>
    <row r="1737" spans="7:8" s="21" customFormat="1" x14ac:dyDescent="0.2">
      <c r="G1737" s="20"/>
      <c r="H1737" s="20"/>
    </row>
    <row r="1738" spans="7:8" s="21" customFormat="1" x14ac:dyDescent="0.2">
      <c r="G1738" s="20"/>
      <c r="H1738" s="20"/>
    </row>
    <row r="1739" spans="7:8" s="21" customFormat="1" x14ac:dyDescent="0.2">
      <c r="G1739" s="20"/>
      <c r="H1739" s="20"/>
    </row>
    <row r="1740" spans="7:8" s="21" customFormat="1" x14ac:dyDescent="0.2">
      <c r="G1740" s="20"/>
      <c r="H1740" s="20"/>
    </row>
    <row r="1741" spans="7:8" s="21" customFormat="1" x14ac:dyDescent="0.2">
      <c r="G1741" s="20"/>
      <c r="H1741" s="20"/>
    </row>
    <row r="1742" spans="7:8" s="21" customFormat="1" x14ac:dyDescent="0.2">
      <c r="G1742" s="20"/>
      <c r="H1742" s="20"/>
    </row>
    <row r="1743" spans="7:8" s="21" customFormat="1" x14ac:dyDescent="0.2">
      <c r="G1743" s="20"/>
      <c r="H1743" s="20"/>
    </row>
    <row r="1744" spans="7:8" s="21" customFormat="1" x14ac:dyDescent="0.2">
      <c r="G1744" s="20"/>
      <c r="H1744" s="20"/>
    </row>
    <row r="1745" spans="7:8" s="21" customFormat="1" x14ac:dyDescent="0.2">
      <c r="G1745" s="20"/>
      <c r="H1745" s="20"/>
    </row>
    <row r="1746" spans="7:8" s="21" customFormat="1" x14ac:dyDescent="0.2">
      <c r="G1746" s="20"/>
      <c r="H1746" s="20"/>
    </row>
    <row r="1747" spans="7:8" s="21" customFormat="1" x14ac:dyDescent="0.2">
      <c r="G1747" s="20"/>
      <c r="H1747" s="20"/>
    </row>
    <row r="1748" spans="7:8" s="21" customFormat="1" x14ac:dyDescent="0.2">
      <c r="G1748" s="20"/>
      <c r="H1748" s="20"/>
    </row>
    <row r="1749" spans="7:8" s="21" customFormat="1" x14ac:dyDescent="0.2">
      <c r="G1749" s="20"/>
      <c r="H1749" s="20"/>
    </row>
    <row r="1750" spans="7:8" s="21" customFormat="1" x14ac:dyDescent="0.2">
      <c r="G1750" s="20"/>
      <c r="H1750" s="20"/>
    </row>
    <row r="1751" spans="7:8" s="21" customFormat="1" x14ac:dyDescent="0.2">
      <c r="G1751" s="20"/>
      <c r="H1751" s="20"/>
    </row>
    <row r="1752" spans="7:8" s="21" customFormat="1" x14ac:dyDescent="0.2">
      <c r="G1752" s="20"/>
      <c r="H1752" s="20"/>
    </row>
    <row r="1753" spans="7:8" s="21" customFormat="1" x14ac:dyDescent="0.2">
      <c r="G1753" s="20"/>
      <c r="H1753" s="20"/>
    </row>
    <row r="1754" spans="7:8" s="21" customFormat="1" x14ac:dyDescent="0.2">
      <c r="G1754" s="20"/>
      <c r="H1754" s="20"/>
    </row>
    <row r="1755" spans="7:8" s="21" customFormat="1" x14ac:dyDescent="0.2">
      <c r="G1755" s="20"/>
      <c r="H1755" s="20"/>
    </row>
    <row r="1756" spans="7:8" s="21" customFormat="1" x14ac:dyDescent="0.2">
      <c r="G1756" s="20"/>
      <c r="H1756" s="20"/>
    </row>
    <row r="1757" spans="7:8" s="21" customFormat="1" x14ac:dyDescent="0.2">
      <c r="G1757" s="20"/>
      <c r="H1757" s="20"/>
    </row>
    <row r="1758" spans="7:8" s="21" customFormat="1" x14ac:dyDescent="0.2">
      <c r="G1758" s="20"/>
      <c r="H1758" s="20"/>
    </row>
    <row r="1759" spans="7:8" s="21" customFormat="1" x14ac:dyDescent="0.2">
      <c r="G1759" s="20"/>
      <c r="H1759" s="20"/>
    </row>
    <row r="1760" spans="7:8" s="21" customFormat="1" x14ac:dyDescent="0.2">
      <c r="G1760" s="20"/>
      <c r="H1760" s="20"/>
    </row>
    <row r="1761" spans="7:8" s="21" customFormat="1" x14ac:dyDescent="0.2">
      <c r="G1761" s="20"/>
      <c r="H1761" s="20"/>
    </row>
    <row r="1762" spans="7:8" s="21" customFormat="1" x14ac:dyDescent="0.2">
      <c r="G1762" s="20"/>
      <c r="H1762" s="20"/>
    </row>
    <row r="1763" spans="7:8" s="21" customFormat="1" x14ac:dyDescent="0.2">
      <c r="G1763" s="20"/>
      <c r="H1763" s="20"/>
    </row>
    <row r="1764" spans="7:8" s="21" customFormat="1" x14ac:dyDescent="0.2">
      <c r="G1764" s="20"/>
      <c r="H1764" s="20"/>
    </row>
    <row r="1765" spans="7:8" s="21" customFormat="1" x14ac:dyDescent="0.2">
      <c r="G1765" s="20"/>
      <c r="H1765" s="20"/>
    </row>
    <row r="1766" spans="7:8" s="21" customFormat="1" x14ac:dyDescent="0.2">
      <c r="G1766" s="20"/>
      <c r="H1766" s="20"/>
    </row>
    <row r="1767" spans="7:8" s="21" customFormat="1" x14ac:dyDescent="0.2">
      <c r="G1767" s="20"/>
      <c r="H1767" s="20"/>
    </row>
    <row r="1768" spans="7:8" s="21" customFormat="1" x14ac:dyDescent="0.2">
      <c r="G1768" s="20"/>
      <c r="H1768" s="20"/>
    </row>
    <row r="1769" spans="7:8" s="21" customFormat="1" x14ac:dyDescent="0.2">
      <c r="G1769" s="20"/>
      <c r="H1769" s="20"/>
    </row>
    <row r="1770" spans="7:8" s="21" customFormat="1" x14ac:dyDescent="0.2">
      <c r="G1770" s="20"/>
      <c r="H1770" s="20"/>
    </row>
    <row r="1771" spans="7:8" s="21" customFormat="1" x14ac:dyDescent="0.2">
      <c r="G1771" s="20"/>
      <c r="H1771" s="20"/>
    </row>
    <row r="1772" spans="7:8" s="21" customFormat="1" x14ac:dyDescent="0.2">
      <c r="G1772" s="20"/>
      <c r="H1772" s="20"/>
    </row>
    <row r="1773" spans="7:8" s="21" customFormat="1" x14ac:dyDescent="0.2">
      <c r="G1773" s="20"/>
      <c r="H1773" s="20"/>
    </row>
    <row r="1774" spans="7:8" s="21" customFormat="1" x14ac:dyDescent="0.2">
      <c r="G1774" s="20"/>
      <c r="H1774" s="20"/>
    </row>
    <row r="1775" spans="7:8" s="21" customFormat="1" x14ac:dyDescent="0.2">
      <c r="G1775" s="20"/>
      <c r="H1775" s="20"/>
    </row>
    <row r="1776" spans="7:8" s="21" customFormat="1" x14ac:dyDescent="0.2">
      <c r="G1776" s="20"/>
      <c r="H1776" s="20"/>
    </row>
    <row r="1777" spans="7:8" s="21" customFormat="1" x14ac:dyDescent="0.2">
      <c r="G1777" s="20"/>
      <c r="H1777" s="20"/>
    </row>
    <row r="1778" spans="7:8" s="21" customFormat="1" x14ac:dyDescent="0.2">
      <c r="G1778" s="20"/>
      <c r="H1778" s="20"/>
    </row>
    <row r="1779" spans="7:8" s="21" customFormat="1" x14ac:dyDescent="0.2">
      <c r="G1779" s="20"/>
      <c r="H1779" s="20"/>
    </row>
    <row r="1780" spans="7:8" s="21" customFormat="1" x14ac:dyDescent="0.2">
      <c r="G1780" s="20"/>
      <c r="H1780" s="20"/>
    </row>
    <row r="1781" spans="7:8" s="21" customFormat="1" x14ac:dyDescent="0.2">
      <c r="G1781" s="20"/>
      <c r="H1781" s="20"/>
    </row>
    <row r="1782" spans="7:8" s="21" customFormat="1" x14ac:dyDescent="0.2">
      <c r="G1782" s="20"/>
      <c r="H1782" s="20"/>
    </row>
    <row r="1783" spans="7:8" s="21" customFormat="1" x14ac:dyDescent="0.2">
      <c r="G1783" s="20"/>
      <c r="H1783" s="20"/>
    </row>
    <row r="1784" spans="7:8" s="21" customFormat="1" x14ac:dyDescent="0.2">
      <c r="G1784" s="20"/>
      <c r="H1784" s="20"/>
    </row>
    <row r="1785" spans="7:8" s="21" customFormat="1" x14ac:dyDescent="0.2">
      <c r="G1785" s="20"/>
      <c r="H1785" s="20"/>
    </row>
    <row r="1786" spans="7:8" s="21" customFormat="1" x14ac:dyDescent="0.2">
      <c r="G1786" s="20"/>
      <c r="H1786" s="20"/>
    </row>
    <row r="1787" spans="7:8" s="21" customFormat="1" x14ac:dyDescent="0.2">
      <c r="G1787" s="20"/>
      <c r="H1787" s="20"/>
    </row>
    <row r="1788" spans="7:8" s="21" customFormat="1" x14ac:dyDescent="0.2">
      <c r="G1788" s="20"/>
      <c r="H1788" s="20"/>
    </row>
    <row r="1789" spans="7:8" s="21" customFormat="1" x14ac:dyDescent="0.2">
      <c r="G1789" s="20"/>
      <c r="H1789" s="20"/>
    </row>
    <row r="1790" spans="7:8" s="21" customFormat="1" x14ac:dyDescent="0.2">
      <c r="G1790" s="20"/>
      <c r="H1790" s="20"/>
    </row>
    <row r="1791" spans="7:8" s="21" customFormat="1" x14ac:dyDescent="0.2">
      <c r="G1791" s="20"/>
      <c r="H1791" s="20"/>
    </row>
    <row r="1792" spans="7:8" s="21" customFormat="1" x14ac:dyDescent="0.2">
      <c r="G1792" s="20"/>
      <c r="H1792" s="20"/>
    </row>
    <row r="1793" spans="7:8" s="21" customFormat="1" x14ac:dyDescent="0.2">
      <c r="G1793" s="20"/>
      <c r="H1793" s="20"/>
    </row>
    <row r="1794" spans="7:8" s="21" customFormat="1" x14ac:dyDescent="0.2">
      <c r="G1794" s="20"/>
      <c r="H1794" s="20"/>
    </row>
    <row r="1795" spans="7:8" s="21" customFormat="1" x14ac:dyDescent="0.2">
      <c r="G1795" s="20"/>
      <c r="H1795" s="20"/>
    </row>
    <row r="1796" spans="7:8" s="21" customFormat="1" x14ac:dyDescent="0.2">
      <c r="G1796" s="20"/>
      <c r="H1796" s="20"/>
    </row>
    <row r="1797" spans="7:8" s="21" customFormat="1" x14ac:dyDescent="0.2">
      <c r="G1797" s="20"/>
      <c r="H1797" s="20"/>
    </row>
    <row r="1798" spans="7:8" s="21" customFormat="1" x14ac:dyDescent="0.2">
      <c r="G1798" s="20"/>
      <c r="H1798" s="20"/>
    </row>
    <row r="1799" spans="7:8" s="21" customFormat="1" x14ac:dyDescent="0.2">
      <c r="G1799" s="20"/>
      <c r="H1799" s="20"/>
    </row>
    <row r="1800" spans="7:8" s="21" customFormat="1" x14ac:dyDescent="0.2">
      <c r="G1800" s="20"/>
      <c r="H1800" s="20"/>
    </row>
    <row r="1801" spans="7:8" s="21" customFormat="1" x14ac:dyDescent="0.2">
      <c r="G1801" s="20"/>
      <c r="H1801" s="20"/>
    </row>
    <row r="1802" spans="7:8" s="21" customFormat="1" x14ac:dyDescent="0.2">
      <c r="G1802" s="20"/>
      <c r="H1802" s="20"/>
    </row>
    <row r="1803" spans="7:8" s="21" customFormat="1" x14ac:dyDescent="0.2">
      <c r="G1803" s="20"/>
      <c r="H1803" s="20"/>
    </row>
    <row r="1804" spans="7:8" s="21" customFormat="1" x14ac:dyDescent="0.2">
      <c r="G1804" s="20"/>
      <c r="H1804" s="20"/>
    </row>
    <row r="1805" spans="7:8" s="21" customFormat="1" x14ac:dyDescent="0.2">
      <c r="G1805" s="20"/>
      <c r="H1805" s="20"/>
    </row>
    <row r="1806" spans="7:8" s="21" customFormat="1" x14ac:dyDescent="0.2">
      <c r="G1806" s="20"/>
      <c r="H1806" s="20"/>
    </row>
    <row r="1807" spans="7:8" s="21" customFormat="1" x14ac:dyDescent="0.2">
      <c r="G1807" s="20"/>
      <c r="H1807" s="20"/>
    </row>
    <row r="1808" spans="7:8" s="21" customFormat="1" x14ac:dyDescent="0.2">
      <c r="G1808" s="20"/>
      <c r="H1808" s="20"/>
    </row>
    <row r="1809" spans="7:8" s="21" customFormat="1" x14ac:dyDescent="0.2">
      <c r="G1809" s="20"/>
      <c r="H1809" s="20"/>
    </row>
    <row r="1810" spans="7:8" s="21" customFormat="1" x14ac:dyDescent="0.2">
      <c r="G1810" s="20"/>
      <c r="H1810" s="20"/>
    </row>
    <row r="1811" spans="7:8" s="21" customFormat="1" x14ac:dyDescent="0.2">
      <c r="G1811" s="20"/>
      <c r="H1811" s="20"/>
    </row>
    <row r="1812" spans="7:8" s="21" customFormat="1" x14ac:dyDescent="0.2">
      <c r="G1812" s="20"/>
      <c r="H1812" s="20"/>
    </row>
    <row r="1813" spans="7:8" s="21" customFormat="1" x14ac:dyDescent="0.2">
      <c r="G1813" s="20"/>
      <c r="H1813" s="20"/>
    </row>
    <row r="1814" spans="7:8" s="21" customFormat="1" x14ac:dyDescent="0.2">
      <c r="G1814" s="20"/>
      <c r="H1814" s="20"/>
    </row>
    <row r="1815" spans="7:8" s="21" customFormat="1" x14ac:dyDescent="0.2">
      <c r="G1815" s="20"/>
      <c r="H1815" s="20"/>
    </row>
    <row r="1816" spans="7:8" s="21" customFormat="1" x14ac:dyDescent="0.2">
      <c r="G1816" s="20"/>
      <c r="H1816" s="20"/>
    </row>
    <row r="1817" spans="7:8" s="21" customFormat="1" x14ac:dyDescent="0.2">
      <c r="G1817" s="20"/>
      <c r="H1817" s="20"/>
    </row>
    <row r="1818" spans="7:8" s="21" customFormat="1" x14ac:dyDescent="0.2">
      <c r="G1818" s="20"/>
      <c r="H1818" s="20"/>
    </row>
    <row r="1819" spans="7:8" s="21" customFormat="1" x14ac:dyDescent="0.2">
      <c r="G1819" s="20"/>
      <c r="H1819" s="20"/>
    </row>
    <row r="1820" spans="7:8" s="21" customFormat="1" x14ac:dyDescent="0.2">
      <c r="G1820" s="20"/>
      <c r="H1820" s="20"/>
    </row>
    <row r="1821" spans="7:8" s="21" customFormat="1" x14ac:dyDescent="0.2">
      <c r="G1821" s="20"/>
      <c r="H1821" s="20"/>
    </row>
    <row r="1822" spans="7:8" s="21" customFormat="1" x14ac:dyDescent="0.2">
      <c r="G1822" s="20"/>
      <c r="H1822" s="20"/>
    </row>
    <row r="1823" spans="7:8" s="21" customFormat="1" x14ac:dyDescent="0.2">
      <c r="G1823" s="20"/>
      <c r="H1823" s="20"/>
    </row>
    <row r="1824" spans="7:8" s="21" customFormat="1" x14ac:dyDescent="0.2">
      <c r="G1824" s="20"/>
      <c r="H1824" s="20"/>
    </row>
    <row r="1825" spans="7:8" s="21" customFormat="1" x14ac:dyDescent="0.2">
      <c r="G1825" s="20"/>
      <c r="H1825" s="20"/>
    </row>
    <row r="1826" spans="7:8" s="21" customFormat="1" x14ac:dyDescent="0.2">
      <c r="G1826" s="20"/>
      <c r="H1826" s="20"/>
    </row>
    <row r="1827" spans="7:8" s="21" customFormat="1" x14ac:dyDescent="0.2">
      <c r="G1827" s="20"/>
      <c r="H1827" s="20"/>
    </row>
    <row r="1828" spans="7:8" s="21" customFormat="1" x14ac:dyDescent="0.2">
      <c r="G1828" s="20"/>
      <c r="H1828" s="20"/>
    </row>
    <row r="1829" spans="7:8" s="21" customFormat="1" x14ac:dyDescent="0.2">
      <c r="G1829" s="20"/>
      <c r="H1829" s="20"/>
    </row>
    <row r="1830" spans="7:8" s="21" customFormat="1" x14ac:dyDescent="0.2">
      <c r="G1830" s="20"/>
      <c r="H1830" s="20"/>
    </row>
    <row r="1831" spans="7:8" s="21" customFormat="1" x14ac:dyDescent="0.2">
      <c r="G1831" s="20"/>
      <c r="H1831" s="20"/>
    </row>
    <row r="1832" spans="7:8" s="21" customFormat="1" x14ac:dyDescent="0.2">
      <c r="G1832" s="20"/>
      <c r="H1832" s="20"/>
    </row>
    <row r="1833" spans="7:8" s="21" customFormat="1" x14ac:dyDescent="0.2">
      <c r="G1833" s="20"/>
      <c r="H1833" s="20"/>
    </row>
    <row r="1834" spans="7:8" s="21" customFormat="1" x14ac:dyDescent="0.2">
      <c r="G1834" s="20"/>
      <c r="H1834" s="20"/>
    </row>
    <row r="1835" spans="7:8" s="21" customFormat="1" x14ac:dyDescent="0.2">
      <c r="G1835" s="20"/>
      <c r="H1835" s="20"/>
    </row>
    <row r="1836" spans="7:8" s="21" customFormat="1" x14ac:dyDescent="0.2">
      <c r="G1836" s="20"/>
      <c r="H1836" s="20"/>
    </row>
    <row r="1837" spans="7:8" s="21" customFormat="1" x14ac:dyDescent="0.2">
      <c r="G1837" s="20"/>
      <c r="H1837" s="20"/>
    </row>
    <row r="1838" spans="7:8" s="21" customFormat="1" x14ac:dyDescent="0.2">
      <c r="G1838" s="20"/>
      <c r="H1838" s="20"/>
    </row>
    <row r="1839" spans="7:8" s="21" customFormat="1" x14ac:dyDescent="0.2">
      <c r="G1839" s="20"/>
      <c r="H1839" s="20"/>
    </row>
    <row r="1840" spans="7:8" s="21" customFormat="1" x14ac:dyDescent="0.2">
      <c r="G1840" s="20"/>
      <c r="H1840" s="20"/>
    </row>
    <row r="1841" spans="7:8" s="21" customFormat="1" x14ac:dyDescent="0.2">
      <c r="G1841" s="20"/>
      <c r="H1841" s="20"/>
    </row>
    <row r="1842" spans="7:8" s="21" customFormat="1" x14ac:dyDescent="0.2">
      <c r="G1842" s="20"/>
      <c r="H1842" s="20"/>
    </row>
    <row r="1843" spans="7:8" s="21" customFormat="1" x14ac:dyDescent="0.2">
      <c r="G1843" s="20"/>
      <c r="H1843" s="20"/>
    </row>
    <row r="1844" spans="7:8" s="21" customFormat="1" x14ac:dyDescent="0.2">
      <c r="G1844" s="20"/>
      <c r="H1844" s="20"/>
    </row>
    <row r="1845" spans="7:8" s="21" customFormat="1" x14ac:dyDescent="0.2">
      <c r="G1845" s="20"/>
      <c r="H1845" s="20"/>
    </row>
    <row r="1846" spans="7:8" s="21" customFormat="1" x14ac:dyDescent="0.2">
      <c r="G1846" s="20"/>
      <c r="H1846" s="20"/>
    </row>
    <row r="1847" spans="7:8" s="21" customFormat="1" x14ac:dyDescent="0.2">
      <c r="G1847" s="20"/>
      <c r="H1847" s="20"/>
    </row>
    <row r="1848" spans="7:8" s="21" customFormat="1" x14ac:dyDescent="0.2">
      <c r="G1848" s="20"/>
      <c r="H1848" s="20"/>
    </row>
    <row r="1849" spans="7:8" s="21" customFormat="1" x14ac:dyDescent="0.2">
      <c r="G1849" s="20"/>
      <c r="H1849" s="20"/>
    </row>
    <row r="1850" spans="7:8" s="21" customFormat="1" x14ac:dyDescent="0.2">
      <c r="G1850" s="20"/>
      <c r="H1850" s="20"/>
    </row>
    <row r="1851" spans="7:8" s="21" customFormat="1" x14ac:dyDescent="0.2">
      <c r="G1851" s="20"/>
      <c r="H1851" s="20"/>
    </row>
    <row r="1852" spans="7:8" s="21" customFormat="1" x14ac:dyDescent="0.2">
      <c r="G1852" s="20"/>
      <c r="H1852" s="20"/>
    </row>
    <row r="1853" spans="7:8" s="21" customFormat="1" x14ac:dyDescent="0.2">
      <c r="G1853" s="20"/>
      <c r="H1853" s="20"/>
    </row>
    <row r="1854" spans="7:8" s="21" customFormat="1" x14ac:dyDescent="0.2">
      <c r="G1854" s="20"/>
      <c r="H1854" s="20"/>
    </row>
    <row r="1855" spans="7:8" s="21" customFormat="1" x14ac:dyDescent="0.2">
      <c r="G1855" s="20"/>
      <c r="H1855" s="20"/>
    </row>
    <row r="1856" spans="7:8" s="21" customFormat="1" x14ac:dyDescent="0.2">
      <c r="G1856" s="20"/>
      <c r="H1856" s="20"/>
    </row>
    <row r="1857" spans="7:8" s="21" customFormat="1" x14ac:dyDescent="0.2">
      <c r="G1857" s="20"/>
      <c r="H1857" s="20"/>
    </row>
    <row r="1858" spans="7:8" s="21" customFormat="1" x14ac:dyDescent="0.2">
      <c r="G1858" s="20"/>
      <c r="H1858" s="20"/>
    </row>
    <row r="1859" spans="7:8" s="21" customFormat="1" x14ac:dyDescent="0.2">
      <c r="G1859" s="20"/>
      <c r="H1859" s="20"/>
    </row>
    <row r="1860" spans="7:8" s="21" customFormat="1" x14ac:dyDescent="0.2">
      <c r="G1860" s="20"/>
      <c r="H1860" s="20"/>
    </row>
    <row r="1861" spans="7:8" s="21" customFormat="1" x14ac:dyDescent="0.2">
      <c r="G1861" s="20"/>
      <c r="H1861" s="20"/>
    </row>
    <row r="1862" spans="7:8" s="21" customFormat="1" x14ac:dyDescent="0.2">
      <c r="G1862" s="20"/>
      <c r="H1862" s="20"/>
    </row>
    <row r="1863" spans="7:8" s="21" customFormat="1" x14ac:dyDescent="0.2">
      <c r="G1863" s="20"/>
      <c r="H1863" s="20"/>
    </row>
    <row r="1864" spans="7:8" s="21" customFormat="1" x14ac:dyDescent="0.2">
      <c r="G1864" s="20"/>
      <c r="H1864" s="20"/>
    </row>
    <row r="1865" spans="7:8" s="21" customFormat="1" x14ac:dyDescent="0.2">
      <c r="G1865" s="20"/>
      <c r="H1865" s="20"/>
    </row>
    <row r="1866" spans="7:8" s="21" customFormat="1" x14ac:dyDescent="0.2">
      <c r="G1866" s="20"/>
      <c r="H1866" s="20"/>
    </row>
    <row r="1867" spans="7:8" s="21" customFormat="1" x14ac:dyDescent="0.2">
      <c r="G1867" s="20"/>
      <c r="H1867" s="20"/>
    </row>
    <row r="1868" spans="7:8" s="21" customFormat="1" x14ac:dyDescent="0.2">
      <c r="G1868" s="20"/>
      <c r="H1868" s="20"/>
    </row>
    <row r="1869" spans="7:8" s="21" customFormat="1" x14ac:dyDescent="0.2">
      <c r="G1869" s="20"/>
      <c r="H1869" s="20"/>
    </row>
    <row r="1870" spans="7:8" s="21" customFormat="1" x14ac:dyDescent="0.2">
      <c r="G1870" s="20"/>
      <c r="H1870" s="20"/>
    </row>
    <row r="1871" spans="7:8" s="21" customFormat="1" x14ac:dyDescent="0.2">
      <c r="G1871" s="20"/>
      <c r="H1871" s="20"/>
    </row>
    <row r="1872" spans="7:8" s="21" customFormat="1" x14ac:dyDescent="0.2">
      <c r="G1872" s="20"/>
      <c r="H1872" s="20"/>
    </row>
    <row r="1873" spans="7:8" s="21" customFormat="1" x14ac:dyDescent="0.2">
      <c r="G1873" s="20"/>
      <c r="H1873" s="20"/>
    </row>
    <row r="1874" spans="7:8" s="21" customFormat="1" x14ac:dyDescent="0.2">
      <c r="G1874" s="20"/>
      <c r="H1874" s="20"/>
    </row>
    <row r="1875" spans="7:8" s="21" customFormat="1" x14ac:dyDescent="0.2">
      <c r="G1875" s="20"/>
      <c r="H1875" s="20"/>
    </row>
    <row r="1876" spans="7:8" s="21" customFormat="1" x14ac:dyDescent="0.2">
      <c r="G1876" s="20"/>
      <c r="H1876" s="20"/>
    </row>
    <row r="1877" spans="7:8" s="21" customFormat="1" x14ac:dyDescent="0.2">
      <c r="G1877" s="20"/>
      <c r="H1877" s="20"/>
    </row>
    <row r="1878" spans="7:8" s="21" customFormat="1" x14ac:dyDescent="0.2">
      <c r="G1878" s="20"/>
      <c r="H1878" s="20"/>
    </row>
    <row r="1879" spans="7:8" s="21" customFormat="1" x14ac:dyDescent="0.2">
      <c r="G1879" s="20"/>
      <c r="H1879" s="20"/>
    </row>
    <row r="1880" spans="7:8" s="21" customFormat="1" x14ac:dyDescent="0.2">
      <c r="G1880" s="20"/>
      <c r="H1880" s="20"/>
    </row>
    <row r="1881" spans="7:8" s="21" customFormat="1" x14ac:dyDescent="0.2">
      <c r="G1881" s="20"/>
      <c r="H1881" s="20"/>
    </row>
    <row r="1882" spans="7:8" s="21" customFormat="1" x14ac:dyDescent="0.2">
      <c r="G1882" s="20"/>
      <c r="H1882" s="20"/>
    </row>
    <row r="1883" spans="7:8" s="21" customFormat="1" x14ac:dyDescent="0.2">
      <c r="G1883" s="20"/>
      <c r="H1883" s="20"/>
    </row>
    <row r="1884" spans="7:8" s="21" customFormat="1" x14ac:dyDescent="0.2">
      <c r="G1884" s="20"/>
      <c r="H1884" s="20"/>
    </row>
    <row r="1885" spans="7:8" s="21" customFormat="1" x14ac:dyDescent="0.2">
      <c r="G1885" s="20"/>
      <c r="H1885" s="20"/>
    </row>
    <row r="1886" spans="7:8" s="21" customFormat="1" x14ac:dyDescent="0.2">
      <c r="G1886" s="20"/>
      <c r="H1886" s="20"/>
    </row>
    <row r="1887" spans="7:8" s="21" customFormat="1" x14ac:dyDescent="0.2">
      <c r="G1887" s="20"/>
      <c r="H1887" s="20"/>
    </row>
    <row r="1888" spans="7:8" s="21" customFormat="1" x14ac:dyDescent="0.2">
      <c r="G1888" s="20"/>
      <c r="H1888" s="20"/>
    </row>
    <row r="1889" spans="7:8" s="21" customFormat="1" x14ac:dyDescent="0.2">
      <c r="G1889" s="20"/>
      <c r="H1889" s="20"/>
    </row>
    <row r="1890" spans="7:8" s="21" customFormat="1" x14ac:dyDescent="0.2">
      <c r="G1890" s="20"/>
      <c r="H1890" s="20"/>
    </row>
    <row r="1891" spans="7:8" s="21" customFormat="1" x14ac:dyDescent="0.2">
      <c r="G1891" s="20"/>
      <c r="H1891" s="20"/>
    </row>
    <row r="1892" spans="7:8" s="21" customFormat="1" x14ac:dyDescent="0.2">
      <c r="G1892" s="20"/>
      <c r="H1892" s="20"/>
    </row>
    <row r="1893" spans="7:8" s="21" customFormat="1" x14ac:dyDescent="0.2">
      <c r="G1893" s="20"/>
      <c r="H1893" s="20"/>
    </row>
    <row r="1894" spans="7:8" s="21" customFormat="1" x14ac:dyDescent="0.2">
      <c r="G1894" s="20"/>
      <c r="H1894" s="20"/>
    </row>
    <row r="1895" spans="7:8" s="21" customFormat="1" x14ac:dyDescent="0.2">
      <c r="G1895" s="20"/>
      <c r="H1895" s="20"/>
    </row>
    <row r="1896" spans="7:8" s="21" customFormat="1" x14ac:dyDescent="0.2">
      <c r="G1896" s="20"/>
      <c r="H1896" s="20"/>
    </row>
    <row r="1897" spans="7:8" s="21" customFormat="1" x14ac:dyDescent="0.2">
      <c r="G1897" s="20"/>
      <c r="H1897" s="20"/>
    </row>
    <row r="1898" spans="7:8" s="21" customFormat="1" x14ac:dyDescent="0.2">
      <c r="G1898" s="20"/>
      <c r="H1898" s="20"/>
    </row>
    <row r="1899" spans="7:8" s="21" customFormat="1" x14ac:dyDescent="0.2">
      <c r="G1899" s="20"/>
      <c r="H1899" s="20"/>
    </row>
    <row r="1900" spans="7:8" s="21" customFormat="1" x14ac:dyDescent="0.2">
      <c r="G1900" s="20"/>
      <c r="H1900" s="20"/>
    </row>
    <row r="1901" spans="7:8" s="21" customFormat="1" x14ac:dyDescent="0.2">
      <c r="G1901" s="20"/>
      <c r="H1901" s="20"/>
    </row>
    <row r="1902" spans="7:8" s="21" customFormat="1" x14ac:dyDescent="0.2">
      <c r="G1902" s="20"/>
      <c r="H1902" s="20"/>
    </row>
    <row r="1903" spans="7:8" s="21" customFormat="1" x14ac:dyDescent="0.2">
      <c r="G1903" s="20"/>
      <c r="H1903" s="20"/>
    </row>
    <row r="1904" spans="7:8" s="21" customFormat="1" x14ac:dyDescent="0.2">
      <c r="G1904" s="20"/>
      <c r="H1904" s="20"/>
    </row>
    <row r="1905" spans="7:8" s="21" customFormat="1" x14ac:dyDescent="0.2">
      <c r="G1905" s="20"/>
      <c r="H1905" s="20"/>
    </row>
    <row r="1906" spans="7:8" s="21" customFormat="1" x14ac:dyDescent="0.2">
      <c r="G1906" s="20"/>
      <c r="H1906" s="20"/>
    </row>
    <row r="1907" spans="7:8" s="21" customFormat="1" x14ac:dyDescent="0.2">
      <c r="G1907" s="20"/>
      <c r="H1907" s="20"/>
    </row>
    <row r="1908" spans="7:8" s="21" customFormat="1" x14ac:dyDescent="0.2">
      <c r="G1908" s="20"/>
      <c r="H1908" s="20"/>
    </row>
    <row r="1909" spans="7:8" s="21" customFormat="1" x14ac:dyDescent="0.2">
      <c r="G1909" s="20"/>
      <c r="H1909" s="20"/>
    </row>
    <row r="1910" spans="7:8" s="21" customFormat="1" x14ac:dyDescent="0.2">
      <c r="G1910" s="20"/>
      <c r="H1910" s="20"/>
    </row>
    <row r="1911" spans="7:8" s="21" customFormat="1" x14ac:dyDescent="0.2">
      <c r="G1911" s="20"/>
      <c r="H1911" s="20"/>
    </row>
    <row r="1912" spans="7:8" s="21" customFormat="1" x14ac:dyDescent="0.2">
      <c r="G1912" s="20"/>
      <c r="H1912" s="20"/>
    </row>
    <row r="1913" spans="7:8" s="21" customFormat="1" x14ac:dyDescent="0.2">
      <c r="G1913" s="20"/>
      <c r="H1913" s="20"/>
    </row>
    <row r="1914" spans="7:8" s="21" customFormat="1" x14ac:dyDescent="0.2">
      <c r="G1914" s="20"/>
      <c r="H1914" s="20"/>
    </row>
    <row r="1915" spans="7:8" s="21" customFormat="1" x14ac:dyDescent="0.2">
      <c r="G1915" s="20"/>
      <c r="H1915" s="20"/>
    </row>
    <row r="1916" spans="7:8" s="21" customFormat="1" x14ac:dyDescent="0.2">
      <c r="G1916" s="20"/>
      <c r="H1916" s="20"/>
    </row>
    <row r="1917" spans="7:8" s="21" customFormat="1" x14ac:dyDescent="0.2">
      <c r="G1917" s="20"/>
      <c r="H1917" s="20"/>
    </row>
    <row r="1918" spans="7:8" s="21" customFormat="1" x14ac:dyDescent="0.2">
      <c r="G1918" s="20"/>
      <c r="H1918" s="20"/>
    </row>
    <row r="1919" spans="7:8" s="21" customFormat="1" x14ac:dyDescent="0.2">
      <c r="G1919" s="20"/>
      <c r="H1919" s="20"/>
    </row>
    <row r="1920" spans="7:8" s="21" customFormat="1" x14ac:dyDescent="0.2">
      <c r="G1920" s="20"/>
      <c r="H1920" s="20"/>
    </row>
    <row r="1921" spans="7:8" s="21" customFormat="1" x14ac:dyDescent="0.2">
      <c r="G1921" s="20"/>
      <c r="H1921" s="20"/>
    </row>
    <row r="1922" spans="7:8" s="21" customFormat="1" x14ac:dyDescent="0.2">
      <c r="G1922" s="20"/>
      <c r="H1922" s="20"/>
    </row>
    <row r="1923" spans="7:8" s="21" customFormat="1" x14ac:dyDescent="0.2">
      <c r="G1923" s="20"/>
      <c r="H1923" s="20"/>
    </row>
    <row r="1924" spans="7:8" s="21" customFormat="1" x14ac:dyDescent="0.2">
      <c r="G1924" s="20"/>
      <c r="H1924" s="20"/>
    </row>
    <row r="1925" spans="7:8" s="21" customFormat="1" x14ac:dyDescent="0.2">
      <c r="G1925" s="20"/>
      <c r="H1925" s="20"/>
    </row>
    <row r="1926" spans="7:8" s="21" customFormat="1" x14ac:dyDescent="0.2">
      <c r="G1926" s="20"/>
      <c r="H1926" s="20"/>
    </row>
    <row r="1927" spans="7:8" s="21" customFormat="1" x14ac:dyDescent="0.2">
      <c r="G1927" s="20"/>
      <c r="H1927" s="20"/>
    </row>
    <row r="1928" spans="7:8" s="21" customFormat="1" x14ac:dyDescent="0.2">
      <c r="G1928" s="20"/>
      <c r="H1928" s="20"/>
    </row>
    <row r="1929" spans="7:8" s="21" customFormat="1" x14ac:dyDescent="0.2">
      <c r="G1929" s="20"/>
      <c r="H1929" s="20"/>
    </row>
    <row r="1930" spans="7:8" s="21" customFormat="1" x14ac:dyDescent="0.2">
      <c r="G1930" s="20"/>
      <c r="H1930" s="20"/>
    </row>
    <row r="1931" spans="7:8" s="21" customFormat="1" x14ac:dyDescent="0.2">
      <c r="G1931" s="20"/>
      <c r="H1931" s="20"/>
    </row>
    <row r="1932" spans="7:8" s="21" customFormat="1" x14ac:dyDescent="0.2">
      <c r="G1932" s="20"/>
      <c r="H1932" s="20"/>
    </row>
    <row r="1933" spans="7:8" s="21" customFormat="1" x14ac:dyDescent="0.2">
      <c r="G1933" s="20"/>
      <c r="H1933" s="20"/>
    </row>
    <row r="1934" spans="7:8" s="21" customFormat="1" x14ac:dyDescent="0.2">
      <c r="G1934" s="20"/>
      <c r="H1934" s="20"/>
    </row>
    <row r="1935" spans="7:8" s="21" customFormat="1" x14ac:dyDescent="0.2">
      <c r="G1935" s="20"/>
      <c r="H1935" s="20"/>
    </row>
    <row r="1936" spans="7:8" s="21" customFormat="1" x14ac:dyDescent="0.2">
      <c r="G1936" s="20"/>
      <c r="H1936" s="20"/>
    </row>
    <row r="1937" spans="7:8" s="21" customFormat="1" x14ac:dyDescent="0.2">
      <c r="G1937" s="20"/>
      <c r="H1937" s="20"/>
    </row>
    <row r="1938" spans="7:8" s="21" customFormat="1" x14ac:dyDescent="0.2">
      <c r="G1938" s="20"/>
      <c r="H1938" s="20"/>
    </row>
    <row r="1939" spans="7:8" s="21" customFormat="1" x14ac:dyDescent="0.2">
      <c r="G1939" s="20"/>
      <c r="H1939" s="20"/>
    </row>
    <row r="1940" spans="7:8" s="21" customFormat="1" x14ac:dyDescent="0.2">
      <c r="G1940" s="20"/>
      <c r="H1940" s="20"/>
    </row>
    <row r="1941" spans="7:8" s="21" customFormat="1" x14ac:dyDescent="0.2">
      <c r="G1941" s="20"/>
      <c r="H1941" s="20"/>
    </row>
    <row r="1942" spans="7:8" s="21" customFormat="1" x14ac:dyDescent="0.2">
      <c r="G1942" s="20"/>
      <c r="H1942" s="20"/>
    </row>
    <row r="1943" spans="7:8" s="21" customFormat="1" x14ac:dyDescent="0.2">
      <c r="G1943" s="20"/>
      <c r="H1943" s="20"/>
    </row>
    <row r="1944" spans="7:8" s="21" customFormat="1" x14ac:dyDescent="0.2">
      <c r="G1944" s="20"/>
      <c r="H1944" s="20"/>
    </row>
    <row r="1945" spans="7:8" s="21" customFormat="1" x14ac:dyDescent="0.2">
      <c r="G1945" s="20"/>
      <c r="H1945" s="20"/>
    </row>
    <row r="1946" spans="7:8" s="21" customFormat="1" x14ac:dyDescent="0.2">
      <c r="G1946" s="20"/>
      <c r="H1946" s="20"/>
    </row>
    <row r="1947" spans="7:8" s="21" customFormat="1" x14ac:dyDescent="0.2">
      <c r="G1947" s="20"/>
      <c r="H1947" s="20"/>
    </row>
    <row r="1948" spans="7:8" s="21" customFormat="1" x14ac:dyDescent="0.2">
      <c r="G1948" s="20"/>
      <c r="H1948" s="20"/>
    </row>
    <row r="1949" spans="7:8" s="21" customFormat="1" x14ac:dyDescent="0.2">
      <c r="G1949" s="20"/>
      <c r="H1949" s="20"/>
    </row>
    <row r="1950" spans="7:8" s="21" customFormat="1" x14ac:dyDescent="0.2">
      <c r="G1950" s="20"/>
      <c r="H1950" s="20"/>
    </row>
    <row r="1951" spans="7:8" s="21" customFormat="1" x14ac:dyDescent="0.2">
      <c r="G1951" s="20"/>
      <c r="H1951" s="20"/>
    </row>
    <row r="1952" spans="7:8" s="21" customFormat="1" x14ac:dyDescent="0.2">
      <c r="G1952" s="20"/>
      <c r="H1952" s="20"/>
    </row>
    <row r="1953" spans="7:8" s="21" customFormat="1" x14ac:dyDescent="0.2">
      <c r="G1953" s="20"/>
      <c r="H1953" s="20"/>
    </row>
    <row r="1954" spans="7:8" s="21" customFormat="1" x14ac:dyDescent="0.2">
      <c r="G1954" s="20"/>
      <c r="H1954" s="20"/>
    </row>
    <row r="1955" spans="7:8" s="21" customFormat="1" x14ac:dyDescent="0.2">
      <c r="G1955" s="20"/>
      <c r="H1955" s="20"/>
    </row>
    <row r="1956" spans="7:8" s="21" customFormat="1" x14ac:dyDescent="0.2">
      <c r="G1956" s="20"/>
      <c r="H1956" s="20"/>
    </row>
    <row r="1957" spans="7:8" s="21" customFormat="1" x14ac:dyDescent="0.2">
      <c r="G1957" s="20"/>
      <c r="H1957" s="20"/>
    </row>
    <row r="1958" spans="7:8" s="21" customFormat="1" x14ac:dyDescent="0.2">
      <c r="G1958" s="20"/>
      <c r="H1958" s="20"/>
    </row>
    <row r="1959" spans="7:8" s="21" customFormat="1" x14ac:dyDescent="0.2">
      <c r="G1959" s="20"/>
      <c r="H1959" s="20"/>
    </row>
    <row r="1960" spans="7:8" s="21" customFormat="1" x14ac:dyDescent="0.2">
      <c r="G1960" s="20"/>
      <c r="H1960" s="20"/>
    </row>
    <row r="1961" spans="7:8" s="21" customFormat="1" x14ac:dyDescent="0.2">
      <c r="G1961" s="20"/>
      <c r="H1961" s="20"/>
    </row>
    <row r="1962" spans="7:8" s="21" customFormat="1" x14ac:dyDescent="0.2">
      <c r="G1962" s="20"/>
      <c r="H1962" s="20"/>
    </row>
    <row r="1963" spans="7:8" s="21" customFormat="1" x14ac:dyDescent="0.2">
      <c r="G1963" s="20"/>
      <c r="H1963" s="20"/>
    </row>
    <row r="1964" spans="7:8" s="21" customFormat="1" x14ac:dyDescent="0.2">
      <c r="G1964" s="20"/>
      <c r="H1964" s="20"/>
    </row>
    <row r="1965" spans="7:8" s="21" customFormat="1" x14ac:dyDescent="0.2">
      <c r="G1965" s="20"/>
      <c r="H1965" s="20"/>
    </row>
    <row r="1966" spans="7:8" s="21" customFormat="1" x14ac:dyDescent="0.2">
      <c r="G1966" s="20"/>
      <c r="H1966" s="20"/>
    </row>
    <row r="1967" spans="7:8" s="21" customFormat="1" x14ac:dyDescent="0.2">
      <c r="G1967" s="20"/>
      <c r="H1967" s="20"/>
    </row>
    <row r="1968" spans="7:8" s="21" customFormat="1" x14ac:dyDescent="0.2">
      <c r="G1968" s="20"/>
      <c r="H1968" s="20"/>
    </row>
    <row r="1969" spans="7:8" s="21" customFormat="1" x14ac:dyDescent="0.2">
      <c r="G1969" s="20"/>
      <c r="H1969" s="20"/>
    </row>
    <row r="1970" spans="7:8" s="21" customFormat="1" x14ac:dyDescent="0.2">
      <c r="G1970" s="20"/>
      <c r="H1970" s="20"/>
    </row>
    <row r="1971" spans="7:8" s="21" customFormat="1" x14ac:dyDescent="0.2">
      <c r="G1971" s="20"/>
      <c r="H1971" s="20"/>
    </row>
    <row r="1972" spans="7:8" s="21" customFormat="1" x14ac:dyDescent="0.2">
      <c r="G1972" s="20"/>
      <c r="H1972" s="20"/>
    </row>
    <row r="1973" spans="7:8" s="21" customFormat="1" x14ac:dyDescent="0.2">
      <c r="G1973" s="20"/>
      <c r="H1973" s="20"/>
    </row>
    <row r="1974" spans="7:8" s="21" customFormat="1" x14ac:dyDescent="0.2">
      <c r="G1974" s="20"/>
      <c r="H1974" s="20"/>
    </row>
    <row r="1975" spans="7:8" s="21" customFormat="1" x14ac:dyDescent="0.2">
      <c r="G1975" s="20"/>
      <c r="H1975" s="20"/>
    </row>
    <row r="1976" spans="7:8" s="21" customFormat="1" x14ac:dyDescent="0.2">
      <c r="G1976" s="20"/>
      <c r="H1976" s="20"/>
    </row>
    <row r="1977" spans="7:8" s="21" customFormat="1" x14ac:dyDescent="0.2">
      <c r="G1977" s="20"/>
      <c r="H1977" s="20"/>
    </row>
    <row r="1978" spans="7:8" s="21" customFormat="1" x14ac:dyDescent="0.2">
      <c r="G1978" s="20"/>
      <c r="H1978" s="20"/>
    </row>
    <row r="1979" spans="7:8" s="21" customFormat="1" x14ac:dyDescent="0.2">
      <c r="G1979" s="20"/>
      <c r="H1979" s="20"/>
    </row>
    <row r="1980" spans="7:8" s="21" customFormat="1" x14ac:dyDescent="0.2">
      <c r="G1980" s="20"/>
      <c r="H1980" s="20"/>
    </row>
    <row r="1981" spans="7:8" s="21" customFormat="1" x14ac:dyDescent="0.2">
      <c r="G1981" s="20"/>
      <c r="H1981" s="20"/>
    </row>
    <row r="1982" spans="7:8" s="21" customFormat="1" x14ac:dyDescent="0.2">
      <c r="G1982" s="20"/>
      <c r="H1982" s="20"/>
    </row>
    <row r="1983" spans="7:8" s="21" customFormat="1" x14ac:dyDescent="0.2">
      <c r="G1983" s="20"/>
      <c r="H1983" s="20"/>
    </row>
    <row r="1984" spans="7:8" s="21" customFormat="1" x14ac:dyDescent="0.2">
      <c r="G1984" s="20"/>
      <c r="H1984" s="20"/>
    </row>
    <row r="1985" spans="7:8" s="21" customFormat="1" x14ac:dyDescent="0.2">
      <c r="G1985" s="20"/>
      <c r="H1985" s="20"/>
    </row>
    <row r="1986" spans="7:8" s="21" customFormat="1" x14ac:dyDescent="0.2">
      <c r="G1986" s="20"/>
      <c r="H1986" s="20"/>
    </row>
    <row r="1987" spans="7:8" s="21" customFormat="1" x14ac:dyDescent="0.2">
      <c r="G1987" s="20"/>
      <c r="H1987" s="20"/>
    </row>
    <row r="1988" spans="7:8" s="21" customFormat="1" x14ac:dyDescent="0.2">
      <c r="G1988" s="20"/>
      <c r="H1988" s="20"/>
    </row>
    <row r="1989" spans="7:8" s="21" customFormat="1" x14ac:dyDescent="0.2">
      <c r="G1989" s="20"/>
      <c r="H1989" s="20"/>
    </row>
    <row r="1990" spans="7:8" s="21" customFormat="1" x14ac:dyDescent="0.2">
      <c r="G1990" s="20"/>
      <c r="H1990" s="20"/>
    </row>
    <row r="1991" spans="7:8" s="21" customFormat="1" x14ac:dyDescent="0.2">
      <c r="G1991" s="20"/>
      <c r="H1991" s="20"/>
    </row>
    <row r="1992" spans="7:8" s="21" customFormat="1" x14ac:dyDescent="0.2">
      <c r="G1992" s="20"/>
      <c r="H1992" s="20"/>
    </row>
    <row r="1993" spans="7:8" s="21" customFormat="1" x14ac:dyDescent="0.2">
      <c r="G1993" s="20"/>
      <c r="H1993" s="20"/>
    </row>
    <row r="1994" spans="7:8" s="21" customFormat="1" x14ac:dyDescent="0.2">
      <c r="G1994" s="20"/>
      <c r="H1994" s="20"/>
    </row>
    <row r="1995" spans="7:8" s="21" customFormat="1" x14ac:dyDescent="0.2">
      <c r="G1995" s="20"/>
      <c r="H1995" s="20"/>
    </row>
    <row r="1996" spans="7:8" s="21" customFormat="1" x14ac:dyDescent="0.2">
      <c r="G1996" s="20"/>
      <c r="H1996" s="20"/>
    </row>
    <row r="1997" spans="7:8" s="21" customFormat="1" x14ac:dyDescent="0.2">
      <c r="G1997" s="20"/>
      <c r="H1997" s="20"/>
    </row>
    <row r="1998" spans="7:8" s="21" customFormat="1" x14ac:dyDescent="0.2">
      <c r="G1998" s="20"/>
      <c r="H1998" s="20"/>
    </row>
    <row r="1999" spans="7:8" s="21" customFormat="1" x14ac:dyDescent="0.2">
      <c r="G1999" s="20"/>
      <c r="H1999" s="20"/>
    </row>
    <row r="2000" spans="7:8" s="21" customFormat="1" x14ac:dyDescent="0.2">
      <c r="G2000" s="20"/>
      <c r="H2000" s="20"/>
    </row>
    <row r="2001" spans="7:8" s="21" customFormat="1" x14ac:dyDescent="0.2">
      <c r="G2001" s="20"/>
      <c r="H2001" s="20"/>
    </row>
    <row r="2002" spans="7:8" s="21" customFormat="1" x14ac:dyDescent="0.2">
      <c r="G2002" s="20"/>
      <c r="H2002" s="20"/>
    </row>
    <row r="2003" spans="7:8" s="21" customFormat="1" x14ac:dyDescent="0.2">
      <c r="G2003" s="20"/>
      <c r="H2003" s="20"/>
    </row>
    <row r="2004" spans="7:8" s="21" customFormat="1" x14ac:dyDescent="0.2">
      <c r="G2004" s="20"/>
      <c r="H2004" s="20"/>
    </row>
    <row r="2005" spans="7:8" s="21" customFormat="1" x14ac:dyDescent="0.2">
      <c r="G2005" s="20"/>
      <c r="H2005" s="20"/>
    </row>
    <row r="2006" spans="7:8" s="21" customFormat="1" x14ac:dyDescent="0.2">
      <c r="G2006" s="20"/>
      <c r="H2006" s="20"/>
    </row>
    <row r="2007" spans="7:8" s="21" customFormat="1" x14ac:dyDescent="0.2">
      <c r="G2007" s="20"/>
      <c r="H2007" s="20"/>
    </row>
    <row r="2008" spans="7:8" s="21" customFormat="1" x14ac:dyDescent="0.2">
      <c r="G2008" s="20"/>
      <c r="H2008" s="20"/>
    </row>
    <row r="2009" spans="7:8" s="21" customFormat="1" x14ac:dyDescent="0.2">
      <c r="G2009" s="20"/>
      <c r="H2009" s="20"/>
    </row>
    <row r="2010" spans="7:8" s="21" customFormat="1" x14ac:dyDescent="0.2">
      <c r="G2010" s="20"/>
      <c r="H2010" s="20"/>
    </row>
    <row r="2011" spans="7:8" s="21" customFormat="1" x14ac:dyDescent="0.2">
      <c r="G2011" s="20"/>
      <c r="H2011" s="20"/>
    </row>
    <row r="2012" spans="7:8" s="21" customFormat="1" x14ac:dyDescent="0.2">
      <c r="G2012" s="20"/>
      <c r="H2012" s="20"/>
    </row>
    <row r="2013" spans="7:8" s="21" customFormat="1" x14ac:dyDescent="0.2">
      <c r="G2013" s="20"/>
      <c r="H2013" s="20"/>
    </row>
    <row r="2014" spans="7:8" s="21" customFormat="1" x14ac:dyDescent="0.2">
      <c r="G2014" s="20"/>
      <c r="H2014" s="20"/>
    </row>
    <row r="2015" spans="7:8" s="21" customFormat="1" x14ac:dyDescent="0.2">
      <c r="G2015" s="20"/>
      <c r="H2015" s="20"/>
    </row>
    <row r="2016" spans="7:8" s="21" customFormat="1" x14ac:dyDescent="0.2">
      <c r="G2016" s="20"/>
      <c r="H2016" s="20"/>
    </row>
    <row r="2017" spans="7:8" s="21" customFormat="1" x14ac:dyDescent="0.2">
      <c r="G2017" s="20"/>
      <c r="H2017" s="20"/>
    </row>
    <row r="2018" spans="7:8" s="21" customFormat="1" x14ac:dyDescent="0.2">
      <c r="G2018" s="20"/>
      <c r="H2018" s="20"/>
    </row>
    <row r="2019" spans="7:8" s="21" customFormat="1" x14ac:dyDescent="0.2">
      <c r="G2019" s="20"/>
      <c r="H2019" s="20"/>
    </row>
    <row r="2020" spans="7:8" s="21" customFormat="1" x14ac:dyDescent="0.2">
      <c r="G2020" s="20"/>
      <c r="H2020" s="20"/>
    </row>
    <row r="2021" spans="7:8" s="21" customFormat="1" x14ac:dyDescent="0.2">
      <c r="G2021" s="20"/>
      <c r="H2021" s="20"/>
    </row>
    <row r="2022" spans="7:8" s="21" customFormat="1" x14ac:dyDescent="0.2">
      <c r="G2022" s="20"/>
      <c r="H2022" s="20"/>
    </row>
    <row r="2023" spans="7:8" s="21" customFormat="1" x14ac:dyDescent="0.2">
      <c r="G2023" s="20"/>
      <c r="H2023" s="20"/>
    </row>
    <row r="2024" spans="7:8" s="21" customFormat="1" x14ac:dyDescent="0.2">
      <c r="G2024" s="20"/>
      <c r="H2024" s="20"/>
    </row>
    <row r="2025" spans="7:8" s="21" customFormat="1" x14ac:dyDescent="0.2">
      <c r="G2025" s="20"/>
      <c r="H2025" s="20"/>
    </row>
    <row r="2026" spans="7:8" s="21" customFormat="1" x14ac:dyDescent="0.2">
      <c r="G2026" s="20"/>
      <c r="H2026" s="20"/>
    </row>
    <row r="2027" spans="7:8" s="21" customFormat="1" x14ac:dyDescent="0.2">
      <c r="G2027" s="20"/>
      <c r="H2027" s="20"/>
    </row>
    <row r="2028" spans="7:8" s="21" customFormat="1" x14ac:dyDescent="0.2">
      <c r="G2028" s="20"/>
      <c r="H2028" s="20"/>
    </row>
    <row r="2029" spans="7:8" s="21" customFormat="1" x14ac:dyDescent="0.2">
      <c r="G2029" s="20"/>
      <c r="H2029" s="20"/>
    </row>
    <row r="2030" spans="7:8" s="21" customFormat="1" x14ac:dyDescent="0.2">
      <c r="G2030" s="20"/>
      <c r="H2030" s="20"/>
    </row>
    <row r="2031" spans="7:8" s="21" customFormat="1" x14ac:dyDescent="0.2">
      <c r="G2031" s="20"/>
      <c r="H2031" s="20"/>
    </row>
    <row r="2032" spans="7:8" s="21" customFormat="1" x14ac:dyDescent="0.2">
      <c r="G2032" s="20"/>
      <c r="H2032" s="20"/>
    </row>
    <row r="2033" spans="7:8" s="21" customFormat="1" x14ac:dyDescent="0.2">
      <c r="G2033" s="20"/>
      <c r="H2033" s="20"/>
    </row>
    <row r="2034" spans="7:8" s="21" customFormat="1" x14ac:dyDescent="0.2">
      <c r="G2034" s="20"/>
      <c r="H2034" s="20"/>
    </row>
    <row r="2035" spans="7:8" s="21" customFormat="1" x14ac:dyDescent="0.2">
      <c r="G2035" s="20"/>
      <c r="H2035" s="20"/>
    </row>
    <row r="2036" spans="7:8" s="21" customFormat="1" x14ac:dyDescent="0.2">
      <c r="G2036" s="20"/>
      <c r="H2036" s="20"/>
    </row>
    <row r="2037" spans="7:8" s="21" customFormat="1" x14ac:dyDescent="0.2">
      <c r="G2037" s="20"/>
      <c r="H2037" s="20"/>
    </row>
    <row r="2038" spans="7:8" s="21" customFormat="1" x14ac:dyDescent="0.2">
      <c r="G2038" s="20"/>
      <c r="H2038" s="20"/>
    </row>
    <row r="2039" spans="7:8" s="21" customFormat="1" x14ac:dyDescent="0.2">
      <c r="G2039" s="20"/>
      <c r="H2039" s="20"/>
    </row>
    <row r="2040" spans="7:8" s="21" customFormat="1" x14ac:dyDescent="0.2">
      <c r="G2040" s="20"/>
      <c r="H2040" s="20"/>
    </row>
    <row r="2041" spans="7:8" s="21" customFormat="1" x14ac:dyDescent="0.2">
      <c r="G2041" s="20"/>
      <c r="H2041" s="20"/>
    </row>
    <row r="2042" spans="7:8" s="21" customFormat="1" x14ac:dyDescent="0.2">
      <c r="G2042" s="20"/>
      <c r="H2042" s="20"/>
    </row>
    <row r="2043" spans="7:8" s="21" customFormat="1" x14ac:dyDescent="0.2">
      <c r="G2043" s="20"/>
      <c r="H2043" s="20"/>
    </row>
    <row r="2044" spans="7:8" s="21" customFormat="1" x14ac:dyDescent="0.2">
      <c r="G2044" s="20"/>
      <c r="H2044" s="20"/>
    </row>
    <row r="2045" spans="7:8" s="21" customFormat="1" x14ac:dyDescent="0.2">
      <c r="G2045" s="20"/>
      <c r="H2045" s="20"/>
    </row>
    <row r="2046" spans="7:8" s="21" customFormat="1" x14ac:dyDescent="0.2">
      <c r="G2046" s="20"/>
      <c r="H2046" s="20"/>
    </row>
    <row r="2047" spans="7:8" s="21" customFormat="1" x14ac:dyDescent="0.2">
      <c r="G2047" s="20"/>
      <c r="H2047" s="20"/>
    </row>
    <row r="2048" spans="7:8" s="21" customFormat="1" x14ac:dyDescent="0.2">
      <c r="G2048" s="20"/>
      <c r="H2048" s="20"/>
    </row>
    <row r="2049" spans="7:8" s="21" customFormat="1" x14ac:dyDescent="0.2">
      <c r="G2049" s="20"/>
      <c r="H2049" s="20"/>
    </row>
    <row r="2050" spans="7:8" s="21" customFormat="1" x14ac:dyDescent="0.2">
      <c r="G2050" s="20"/>
      <c r="H2050" s="20"/>
    </row>
    <row r="2051" spans="7:8" s="21" customFormat="1" x14ac:dyDescent="0.2">
      <c r="G2051" s="20"/>
      <c r="H2051" s="20"/>
    </row>
    <row r="2052" spans="7:8" s="21" customFormat="1" x14ac:dyDescent="0.2">
      <c r="G2052" s="20"/>
      <c r="H2052" s="20"/>
    </row>
    <row r="2053" spans="7:8" s="21" customFormat="1" x14ac:dyDescent="0.2">
      <c r="G2053" s="20"/>
      <c r="H2053" s="20"/>
    </row>
    <row r="2054" spans="7:8" s="21" customFormat="1" x14ac:dyDescent="0.2">
      <c r="G2054" s="20"/>
      <c r="H2054" s="20"/>
    </row>
    <row r="2055" spans="7:8" s="21" customFormat="1" x14ac:dyDescent="0.2">
      <c r="G2055" s="20"/>
      <c r="H2055" s="20"/>
    </row>
    <row r="2056" spans="7:8" s="21" customFormat="1" x14ac:dyDescent="0.2">
      <c r="G2056" s="20"/>
      <c r="H2056" s="20"/>
    </row>
    <row r="2057" spans="7:8" s="21" customFormat="1" x14ac:dyDescent="0.2">
      <c r="G2057" s="20"/>
      <c r="H2057" s="20"/>
    </row>
    <row r="2058" spans="7:8" s="21" customFormat="1" x14ac:dyDescent="0.2">
      <c r="G2058" s="20"/>
      <c r="H2058" s="20"/>
    </row>
    <row r="2059" spans="7:8" s="21" customFormat="1" x14ac:dyDescent="0.2">
      <c r="G2059" s="20"/>
      <c r="H2059" s="20"/>
    </row>
    <row r="2060" spans="7:8" s="21" customFormat="1" x14ac:dyDescent="0.2">
      <c r="G2060" s="20"/>
      <c r="H2060" s="20"/>
    </row>
    <row r="2061" spans="7:8" s="21" customFormat="1" x14ac:dyDescent="0.2">
      <c r="G2061" s="20"/>
      <c r="H2061" s="20"/>
    </row>
    <row r="2062" spans="7:8" s="21" customFormat="1" x14ac:dyDescent="0.2">
      <c r="G2062" s="20"/>
      <c r="H2062" s="20"/>
    </row>
    <row r="2063" spans="7:8" s="21" customFormat="1" x14ac:dyDescent="0.2">
      <c r="G2063" s="20"/>
      <c r="H2063" s="20"/>
    </row>
    <row r="2064" spans="7:8" s="21" customFormat="1" x14ac:dyDescent="0.2">
      <c r="G2064" s="20"/>
      <c r="H2064" s="20"/>
    </row>
    <row r="2065" spans="7:8" s="21" customFormat="1" x14ac:dyDescent="0.2">
      <c r="G2065" s="20"/>
      <c r="H2065" s="20"/>
    </row>
    <row r="2066" spans="7:8" s="21" customFormat="1" x14ac:dyDescent="0.2">
      <c r="G2066" s="20"/>
      <c r="H2066" s="20"/>
    </row>
    <row r="2067" spans="7:8" s="21" customFormat="1" x14ac:dyDescent="0.2">
      <c r="G2067" s="20"/>
      <c r="H2067" s="20"/>
    </row>
    <row r="2068" spans="7:8" s="21" customFormat="1" x14ac:dyDescent="0.2">
      <c r="G2068" s="20"/>
      <c r="H2068" s="20"/>
    </row>
    <row r="2069" spans="7:8" s="21" customFormat="1" x14ac:dyDescent="0.2">
      <c r="G2069" s="20"/>
      <c r="H2069" s="20"/>
    </row>
    <row r="2070" spans="7:8" s="21" customFormat="1" x14ac:dyDescent="0.2">
      <c r="G2070" s="20"/>
      <c r="H2070" s="20"/>
    </row>
    <row r="2071" spans="7:8" s="21" customFormat="1" x14ac:dyDescent="0.2">
      <c r="G2071" s="20"/>
      <c r="H2071" s="20"/>
    </row>
    <row r="2072" spans="7:8" s="21" customFormat="1" x14ac:dyDescent="0.2">
      <c r="G2072" s="20"/>
      <c r="H2072" s="20"/>
    </row>
    <row r="2073" spans="7:8" s="21" customFormat="1" x14ac:dyDescent="0.2">
      <c r="G2073" s="20"/>
      <c r="H2073" s="20"/>
    </row>
    <row r="2074" spans="7:8" s="21" customFormat="1" x14ac:dyDescent="0.2">
      <c r="G2074" s="20"/>
      <c r="H2074" s="20"/>
    </row>
    <row r="2075" spans="7:8" s="21" customFormat="1" x14ac:dyDescent="0.2">
      <c r="G2075" s="20"/>
      <c r="H2075" s="20"/>
    </row>
    <row r="2076" spans="7:8" s="21" customFormat="1" x14ac:dyDescent="0.2">
      <c r="G2076" s="20"/>
      <c r="H2076" s="20"/>
    </row>
    <row r="2077" spans="7:8" s="21" customFormat="1" x14ac:dyDescent="0.2">
      <c r="G2077" s="20"/>
      <c r="H2077" s="20"/>
    </row>
    <row r="2078" spans="7:8" s="21" customFormat="1" x14ac:dyDescent="0.2">
      <c r="G2078" s="20"/>
      <c r="H2078" s="20"/>
    </row>
    <row r="2079" spans="7:8" s="21" customFormat="1" x14ac:dyDescent="0.2">
      <c r="G2079" s="20"/>
      <c r="H2079" s="20"/>
    </row>
    <row r="2080" spans="7:8" s="21" customFormat="1" x14ac:dyDescent="0.2">
      <c r="G2080" s="20"/>
      <c r="H2080" s="20"/>
    </row>
    <row r="2081" spans="7:8" s="21" customFormat="1" x14ac:dyDescent="0.2">
      <c r="G2081" s="20"/>
      <c r="H2081" s="20"/>
    </row>
    <row r="2082" spans="7:8" s="21" customFormat="1" x14ac:dyDescent="0.2">
      <c r="G2082" s="20"/>
      <c r="H2082" s="20"/>
    </row>
    <row r="2083" spans="7:8" s="21" customFormat="1" x14ac:dyDescent="0.2">
      <c r="G2083" s="20"/>
      <c r="H2083" s="20"/>
    </row>
    <row r="2084" spans="7:8" s="21" customFormat="1" x14ac:dyDescent="0.2">
      <c r="G2084" s="20"/>
      <c r="H2084" s="20"/>
    </row>
    <row r="2085" spans="7:8" s="21" customFormat="1" x14ac:dyDescent="0.2">
      <c r="G2085" s="20"/>
      <c r="H2085" s="20"/>
    </row>
    <row r="2086" spans="7:8" s="21" customFormat="1" x14ac:dyDescent="0.2">
      <c r="G2086" s="20"/>
      <c r="H2086" s="20"/>
    </row>
    <row r="2087" spans="7:8" s="21" customFormat="1" x14ac:dyDescent="0.2">
      <c r="G2087" s="20"/>
      <c r="H2087" s="20"/>
    </row>
    <row r="2088" spans="7:8" s="21" customFormat="1" x14ac:dyDescent="0.2">
      <c r="G2088" s="20"/>
      <c r="H2088" s="20"/>
    </row>
    <row r="2089" spans="7:8" s="21" customFormat="1" x14ac:dyDescent="0.2">
      <c r="G2089" s="20"/>
      <c r="H2089" s="20"/>
    </row>
    <row r="2090" spans="7:8" s="21" customFormat="1" x14ac:dyDescent="0.2">
      <c r="G2090" s="20"/>
      <c r="H2090" s="20"/>
    </row>
    <row r="2091" spans="7:8" s="21" customFormat="1" x14ac:dyDescent="0.2">
      <c r="G2091" s="20"/>
      <c r="H2091" s="20"/>
    </row>
    <row r="2092" spans="7:8" s="21" customFormat="1" x14ac:dyDescent="0.2">
      <c r="G2092" s="20"/>
      <c r="H2092" s="20"/>
    </row>
    <row r="2093" spans="7:8" s="21" customFormat="1" x14ac:dyDescent="0.2">
      <c r="G2093" s="20"/>
      <c r="H2093" s="20"/>
    </row>
    <row r="2094" spans="7:8" s="21" customFormat="1" x14ac:dyDescent="0.2">
      <c r="G2094" s="20"/>
      <c r="H2094" s="20"/>
    </row>
    <row r="2095" spans="7:8" s="21" customFormat="1" x14ac:dyDescent="0.2">
      <c r="G2095" s="20"/>
      <c r="H2095" s="20"/>
    </row>
    <row r="2096" spans="7:8" s="21" customFormat="1" x14ac:dyDescent="0.2">
      <c r="G2096" s="20"/>
      <c r="H2096" s="20"/>
    </row>
    <row r="2097" spans="7:8" s="21" customFormat="1" x14ac:dyDescent="0.2">
      <c r="G2097" s="20"/>
      <c r="H2097" s="20"/>
    </row>
    <row r="2098" spans="7:8" s="21" customFormat="1" x14ac:dyDescent="0.2">
      <c r="G2098" s="20"/>
      <c r="H2098" s="20"/>
    </row>
    <row r="2099" spans="7:8" s="21" customFormat="1" x14ac:dyDescent="0.2">
      <c r="G2099" s="20"/>
      <c r="H2099" s="20"/>
    </row>
    <row r="2100" spans="7:8" s="21" customFormat="1" x14ac:dyDescent="0.2">
      <c r="G2100" s="20"/>
      <c r="H2100" s="20"/>
    </row>
    <row r="2101" spans="7:8" s="21" customFormat="1" x14ac:dyDescent="0.2">
      <c r="G2101" s="20"/>
      <c r="H2101" s="20"/>
    </row>
    <row r="2102" spans="7:8" s="21" customFormat="1" x14ac:dyDescent="0.2">
      <c r="G2102" s="20"/>
      <c r="H2102" s="20"/>
    </row>
    <row r="2103" spans="7:8" s="21" customFormat="1" x14ac:dyDescent="0.2">
      <c r="G2103" s="20"/>
      <c r="H2103" s="20"/>
    </row>
    <row r="2104" spans="7:8" s="21" customFormat="1" x14ac:dyDescent="0.2">
      <c r="G2104" s="20"/>
      <c r="H2104" s="20"/>
    </row>
    <row r="2105" spans="7:8" s="21" customFormat="1" x14ac:dyDescent="0.2">
      <c r="G2105" s="20"/>
      <c r="H2105" s="20"/>
    </row>
    <row r="2106" spans="7:8" s="21" customFormat="1" x14ac:dyDescent="0.2">
      <c r="G2106" s="20"/>
      <c r="H2106" s="20"/>
    </row>
    <row r="2107" spans="7:8" s="21" customFormat="1" x14ac:dyDescent="0.2">
      <c r="G2107" s="20"/>
      <c r="H2107" s="20"/>
    </row>
    <row r="2108" spans="7:8" s="21" customFormat="1" x14ac:dyDescent="0.2">
      <c r="G2108" s="20"/>
      <c r="H2108" s="20"/>
    </row>
    <row r="2109" spans="7:8" s="21" customFormat="1" x14ac:dyDescent="0.2">
      <c r="G2109" s="20"/>
      <c r="H2109" s="20"/>
    </row>
    <row r="2110" spans="7:8" s="21" customFormat="1" x14ac:dyDescent="0.2">
      <c r="G2110" s="20"/>
      <c r="H2110" s="20"/>
    </row>
    <row r="2111" spans="7:8" s="21" customFormat="1" x14ac:dyDescent="0.2">
      <c r="G2111" s="20"/>
      <c r="H2111" s="20"/>
    </row>
    <row r="2112" spans="7:8" s="21" customFormat="1" x14ac:dyDescent="0.2">
      <c r="G2112" s="20"/>
      <c r="H2112" s="20"/>
    </row>
    <row r="2113" spans="7:8" s="21" customFormat="1" x14ac:dyDescent="0.2">
      <c r="G2113" s="20"/>
      <c r="H2113" s="20"/>
    </row>
    <row r="2114" spans="7:8" s="21" customFormat="1" x14ac:dyDescent="0.2">
      <c r="G2114" s="20"/>
      <c r="H2114" s="20"/>
    </row>
    <row r="2115" spans="7:8" s="21" customFormat="1" x14ac:dyDescent="0.2">
      <c r="G2115" s="20"/>
      <c r="H2115" s="20"/>
    </row>
    <row r="2116" spans="7:8" s="21" customFormat="1" x14ac:dyDescent="0.2">
      <c r="G2116" s="20"/>
      <c r="H2116" s="20"/>
    </row>
    <row r="2117" spans="7:8" s="21" customFormat="1" x14ac:dyDescent="0.2">
      <c r="G2117" s="20"/>
      <c r="H2117" s="20"/>
    </row>
    <row r="2118" spans="7:8" s="21" customFormat="1" x14ac:dyDescent="0.2">
      <c r="G2118" s="20"/>
      <c r="H2118" s="20"/>
    </row>
    <row r="2119" spans="7:8" s="21" customFormat="1" x14ac:dyDescent="0.2">
      <c r="G2119" s="20"/>
      <c r="H2119" s="20"/>
    </row>
    <row r="2120" spans="7:8" s="21" customFormat="1" x14ac:dyDescent="0.2">
      <c r="G2120" s="20"/>
      <c r="H2120" s="20"/>
    </row>
    <row r="2121" spans="7:8" s="21" customFormat="1" x14ac:dyDescent="0.2">
      <c r="G2121" s="20"/>
      <c r="H2121" s="20"/>
    </row>
    <row r="2122" spans="7:8" s="21" customFormat="1" x14ac:dyDescent="0.2">
      <c r="G2122" s="20"/>
      <c r="H2122" s="20"/>
    </row>
    <row r="2123" spans="7:8" s="21" customFormat="1" x14ac:dyDescent="0.2">
      <c r="G2123" s="20"/>
      <c r="H2123" s="20"/>
    </row>
    <row r="2124" spans="7:8" s="21" customFormat="1" x14ac:dyDescent="0.2">
      <c r="G2124" s="20"/>
      <c r="H2124" s="20"/>
    </row>
    <row r="2125" spans="7:8" s="21" customFormat="1" x14ac:dyDescent="0.2">
      <c r="G2125" s="20"/>
      <c r="H2125" s="20"/>
    </row>
    <row r="2126" spans="7:8" s="21" customFormat="1" x14ac:dyDescent="0.2">
      <c r="G2126" s="20"/>
      <c r="H2126" s="20"/>
    </row>
    <row r="2127" spans="7:8" s="21" customFormat="1" x14ac:dyDescent="0.2">
      <c r="G2127" s="20"/>
      <c r="H2127" s="20"/>
    </row>
    <row r="2128" spans="7:8" s="21" customFormat="1" x14ac:dyDescent="0.2">
      <c r="G2128" s="20"/>
      <c r="H2128" s="20"/>
    </row>
    <row r="2129" spans="7:8" s="21" customFormat="1" x14ac:dyDescent="0.2">
      <c r="G2129" s="20"/>
      <c r="H2129" s="20"/>
    </row>
    <row r="2130" spans="7:8" s="21" customFormat="1" x14ac:dyDescent="0.2">
      <c r="G2130" s="20"/>
      <c r="H2130" s="20"/>
    </row>
    <row r="2131" spans="7:8" s="21" customFormat="1" x14ac:dyDescent="0.2">
      <c r="G2131" s="20"/>
      <c r="H2131" s="20"/>
    </row>
    <row r="2132" spans="7:8" s="21" customFormat="1" x14ac:dyDescent="0.2">
      <c r="G2132" s="20"/>
      <c r="H2132" s="20"/>
    </row>
    <row r="2133" spans="7:8" s="21" customFormat="1" x14ac:dyDescent="0.2">
      <c r="G2133" s="20"/>
      <c r="H2133" s="20"/>
    </row>
    <row r="2134" spans="7:8" s="21" customFormat="1" x14ac:dyDescent="0.2">
      <c r="G2134" s="20"/>
      <c r="H2134" s="20"/>
    </row>
    <row r="2135" spans="7:8" s="21" customFormat="1" x14ac:dyDescent="0.2">
      <c r="G2135" s="20"/>
      <c r="H2135" s="20"/>
    </row>
    <row r="2136" spans="7:8" s="21" customFormat="1" x14ac:dyDescent="0.2">
      <c r="G2136" s="20"/>
      <c r="H2136" s="20"/>
    </row>
    <row r="2137" spans="7:8" s="21" customFormat="1" x14ac:dyDescent="0.2">
      <c r="G2137" s="20"/>
      <c r="H2137" s="20"/>
    </row>
    <row r="2138" spans="7:8" s="21" customFormat="1" x14ac:dyDescent="0.2">
      <c r="G2138" s="20"/>
      <c r="H2138" s="20"/>
    </row>
    <row r="2139" spans="7:8" s="21" customFormat="1" x14ac:dyDescent="0.2">
      <c r="G2139" s="20"/>
      <c r="H2139" s="20"/>
    </row>
    <row r="2140" spans="7:8" s="21" customFormat="1" x14ac:dyDescent="0.2">
      <c r="G2140" s="20"/>
      <c r="H2140" s="20"/>
    </row>
    <row r="2141" spans="7:8" s="21" customFormat="1" x14ac:dyDescent="0.2">
      <c r="G2141" s="20"/>
      <c r="H2141" s="20"/>
    </row>
    <row r="2142" spans="7:8" s="21" customFormat="1" x14ac:dyDescent="0.2">
      <c r="G2142" s="20"/>
      <c r="H2142" s="20"/>
    </row>
    <row r="2143" spans="7:8" s="21" customFormat="1" x14ac:dyDescent="0.2">
      <c r="G2143" s="20"/>
      <c r="H2143" s="20"/>
    </row>
    <row r="2144" spans="7:8" s="21" customFormat="1" x14ac:dyDescent="0.2">
      <c r="G2144" s="20"/>
      <c r="H2144" s="20"/>
    </row>
    <row r="2145" spans="7:8" s="21" customFormat="1" x14ac:dyDescent="0.2">
      <c r="G2145" s="20"/>
      <c r="H2145" s="20"/>
    </row>
    <row r="2146" spans="7:8" s="21" customFormat="1" x14ac:dyDescent="0.2">
      <c r="G2146" s="20"/>
      <c r="H2146" s="20"/>
    </row>
    <row r="2147" spans="7:8" s="21" customFormat="1" x14ac:dyDescent="0.2">
      <c r="G2147" s="20"/>
      <c r="H2147" s="20"/>
    </row>
    <row r="2148" spans="7:8" s="21" customFormat="1" x14ac:dyDescent="0.2">
      <c r="G2148" s="20"/>
      <c r="H2148" s="20"/>
    </row>
    <row r="2149" spans="7:8" s="21" customFormat="1" x14ac:dyDescent="0.2">
      <c r="G2149" s="20"/>
      <c r="H2149" s="20"/>
    </row>
    <row r="2150" spans="7:8" s="21" customFormat="1" x14ac:dyDescent="0.2">
      <c r="G2150" s="20"/>
      <c r="H2150" s="20"/>
    </row>
    <row r="2151" spans="7:8" s="21" customFormat="1" x14ac:dyDescent="0.2">
      <c r="G2151" s="20"/>
      <c r="H2151" s="20"/>
    </row>
    <row r="2152" spans="7:8" s="21" customFormat="1" x14ac:dyDescent="0.2">
      <c r="G2152" s="20"/>
      <c r="H2152" s="20"/>
    </row>
    <row r="2153" spans="7:8" s="21" customFormat="1" x14ac:dyDescent="0.2">
      <c r="G2153" s="20"/>
      <c r="H2153" s="20"/>
    </row>
    <row r="2154" spans="7:8" s="21" customFormat="1" x14ac:dyDescent="0.2">
      <c r="G2154" s="20"/>
      <c r="H2154" s="20"/>
    </row>
    <row r="2155" spans="7:8" s="21" customFormat="1" x14ac:dyDescent="0.2">
      <c r="G2155" s="20"/>
      <c r="H2155" s="20"/>
    </row>
    <row r="2156" spans="7:8" s="21" customFormat="1" x14ac:dyDescent="0.2">
      <c r="G2156" s="20"/>
      <c r="H2156" s="20"/>
    </row>
    <row r="2157" spans="7:8" s="21" customFormat="1" x14ac:dyDescent="0.2">
      <c r="G2157" s="20"/>
      <c r="H2157" s="20"/>
    </row>
    <row r="2158" spans="7:8" s="21" customFormat="1" x14ac:dyDescent="0.2">
      <c r="G2158" s="20"/>
      <c r="H2158" s="20"/>
    </row>
    <row r="2159" spans="7:8" s="21" customFormat="1" x14ac:dyDescent="0.2">
      <c r="G2159" s="20"/>
      <c r="H2159" s="20"/>
    </row>
    <row r="2160" spans="7:8" s="21" customFormat="1" x14ac:dyDescent="0.2">
      <c r="G2160" s="20"/>
      <c r="H2160" s="20"/>
    </row>
    <row r="2161" spans="7:8" s="21" customFormat="1" x14ac:dyDescent="0.2">
      <c r="G2161" s="20"/>
      <c r="H2161" s="20"/>
    </row>
    <row r="2162" spans="7:8" s="21" customFormat="1" x14ac:dyDescent="0.2">
      <c r="G2162" s="20"/>
      <c r="H2162" s="20"/>
    </row>
    <row r="2163" spans="7:8" s="21" customFormat="1" x14ac:dyDescent="0.2">
      <c r="G2163" s="20"/>
      <c r="H2163" s="20"/>
    </row>
    <row r="2164" spans="7:8" s="21" customFormat="1" x14ac:dyDescent="0.2">
      <c r="G2164" s="20"/>
      <c r="H2164" s="20"/>
    </row>
    <row r="2165" spans="7:8" s="21" customFormat="1" x14ac:dyDescent="0.2">
      <c r="G2165" s="20"/>
      <c r="H2165" s="20"/>
    </row>
    <row r="2166" spans="7:8" s="21" customFormat="1" x14ac:dyDescent="0.2">
      <c r="G2166" s="20"/>
      <c r="H2166" s="20"/>
    </row>
    <row r="2167" spans="7:8" s="21" customFormat="1" x14ac:dyDescent="0.2">
      <c r="G2167" s="20"/>
      <c r="H2167" s="20"/>
    </row>
    <row r="2168" spans="7:8" s="21" customFormat="1" x14ac:dyDescent="0.2">
      <c r="G2168" s="20"/>
      <c r="H2168" s="20"/>
    </row>
    <row r="2169" spans="7:8" s="21" customFormat="1" x14ac:dyDescent="0.2">
      <c r="G2169" s="20"/>
      <c r="H2169" s="20"/>
    </row>
    <row r="2170" spans="7:8" s="21" customFormat="1" x14ac:dyDescent="0.2">
      <c r="G2170" s="20"/>
      <c r="H2170" s="20"/>
    </row>
    <row r="2171" spans="7:8" s="21" customFormat="1" x14ac:dyDescent="0.2">
      <c r="G2171" s="20"/>
      <c r="H2171" s="20"/>
    </row>
    <row r="2172" spans="7:8" s="21" customFormat="1" x14ac:dyDescent="0.2">
      <c r="G2172" s="20"/>
      <c r="H2172" s="20"/>
    </row>
    <row r="2173" spans="7:8" s="21" customFormat="1" x14ac:dyDescent="0.2">
      <c r="G2173" s="20"/>
      <c r="H2173" s="20"/>
    </row>
    <row r="2174" spans="7:8" s="21" customFormat="1" x14ac:dyDescent="0.2">
      <c r="G2174" s="20"/>
      <c r="H2174" s="20"/>
    </row>
    <row r="2175" spans="7:8" s="21" customFormat="1" x14ac:dyDescent="0.2">
      <c r="G2175" s="20"/>
      <c r="H2175" s="20"/>
    </row>
    <row r="2176" spans="7:8" s="21" customFormat="1" x14ac:dyDescent="0.2">
      <c r="G2176" s="20"/>
      <c r="H2176" s="20"/>
    </row>
    <row r="2177" spans="7:8" s="21" customFormat="1" x14ac:dyDescent="0.2">
      <c r="G2177" s="20"/>
      <c r="H2177" s="20"/>
    </row>
    <row r="2178" spans="7:8" s="21" customFormat="1" x14ac:dyDescent="0.2">
      <c r="G2178" s="20"/>
      <c r="H2178" s="20"/>
    </row>
    <row r="2179" spans="7:8" s="21" customFormat="1" x14ac:dyDescent="0.2">
      <c r="G2179" s="20"/>
      <c r="H2179" s="20"/>
    </row>
    <row r="2180" spans="7:8" s="21" customFormat="1" x14ac:dyDescent="0.2">
      <c r="G2180" s="20"/>
      <c r="H2180" s="20"/>
    </row>
    <row r="2181" spans="7:8" s="21" customFormat="1" x14ac:dyDescent="0.2">
      <c r="G2181" s="20"/>
      <c r="H2181" s="20"/>
    </row>
    <row r="2182" spans="7:8" s="21" customFormat="1" x14ac:dyDescent="0.2">
      <c r="G2182" s="20"/>
      <c r="H2182" s="20"/>
    </row>
    <row r="2183" spans="7:8" s="21" customFormat="1" x14ac:dyDescent="0.2">
      <c r="G2183" s="20"/>
      <c r="H2183" s="20"/>
    </row>
    <row r="2184" spans="7:8" s="21" customFormat="1" x14ac:dyDescent="0.2">
      <c r="G2184" s="20"/>
      <c r="H2184" s="20"/>
    </row>
    <row r="2185" spans="7:8" s="21" customFormat="1" x14ac:dyDescent="0.2">
      <c r="G2185" s="20"/>
      <c r="H2185" s="20"/>
    </row>
    <row r="2186" spans="7:8" s="21" customFormat="1" x14ac:dyDescent="0.2">
      <c r="G2186" s="20"/>
      <c r="H2186" s="20"/>
    </row>
    <row r="2187" spans="7:8" s="21" customFormat="1" x14ac:dyDescent="0.2">
      <c r="G2187" s="20"/>
      <c r="H2187" s="20"/>
    </row>
    <row r="2188" spans="7:8" s="21" customFormat="1" x14ac:dyDescent="0.2">
      <c r="G2188" s="20"/>
      <c r="H2188" s="20"/>
    </row>
    <row r="2189" spans="7:8" s="21" customFormat="1" x14ac:dyDescent="0.2">
      <c r="G2189" s="20"/>
      <c r="H2189" s="20"/>
    </row>
    <row r="2190" spans="7:8" s="21" customFormat="1" x14ac:dyDescent="0.2">
      <c r="G2190" s="20"/>
      <c r="H2190" s="20"/>
    </row>
    <row r="2191" spans="7:8" s="21" customFormat="1" x14ac:dyDescent="0.2">
      <c r="G2191" s="20"/>
      <c r="H2191" s="20"/>
    </row>
    <row r="2192" spans="7:8" s="21" customFormat="1" x14ac:dyDescent="0.2">
      <c r="G2192" s="20"/>
      <c r="H2192" s="20"/>
    </row>
    <row r="2193" spans="7:8" s="21" customFormat="1" x14ac:dyDescent="0.2">
      <c r="G2193" s="20"/>
      <c r="H2193" s="20"/>
    </row>
    <row r="2194" spans="7:8" s="21" customFormat="1" x14ac:dyDescent="0.2">
      <c r="G2194" s="20"/>
      <c r="H2194" s="20"/>
    </row>
    <row r="2195" spans="7:8" s="21" customFormat="1" x14ac:dyDescent="0.2">
      <c r="G2195" s="20"/>
      <c r="H2195" s="20"/>
    </row>
    <row r="2196" spans="7:8" s="21" customFormat="1" x14ac:dyDescent="0.2">
      <c r="G2196" s="20"/>
      <c r="H2196" s="20"/>
    </row>
    <row r="2197" spans="7:8" s="21" customFormat="1" x14ac:dyDescent="0.2">
      <c r="G2197" s="20"/>
      <c r="H2197" s="20"/>
    </row>
    <row r="2198" spans="7:8" s="21" customFormat="1" x14ac:dyDescent="0.2">
      <c r="G2198" s="20"/>
      <c r="H2198" s="20"/>
    </row>
    <row r="2199" spans="7:8" s="21" customFormat="1" x14ac:dyDescent="0.2">
      <c r="G2199" s="20"/>
      <c r="H2199" s="20"/>
    </row>
    <row r="2200" spans="7:8" s="21" customFormat="1" x14ac:dyDescent="0.2">
      <c r="G2200" s="20"/>
      <c r="H2200" s="20"/>
    </row>
    <row r="2201" spans="7:8" s="21" customFormat="1" x14ac:dyDescent="0.2">
      <c r="G2201" s="20"/>
      <c r="H2201" s="20"/>
    </row>
    <row r="2202" spans="7:8" s="21" customFormat="1" x14ac:dyDescent="0.2">
      <c r="G2202" s="20"/>
      <c r="H2202" s="20"/>
    </row>
    <row r="2203" spans="7:8" s="21" customFormat="1" x14ac:dyDescent="0.2">
      <c r="G2203" s="20"/>
      <c r="H2203" s="20"/>
    </row>
    <row r="2204" spans="7:8" s="21" customFormat="1" x14ac:dyDescent="0.2">
      <c r="G2204" s="20"/>
      <c r="H2204" s="20"/>
    </row>
    <row r="2205" spans="7:8" s="21" customFormat="1" x14ac:dyDescent="0.2">
      <c r="G2205" s="20"/>
      <c r="H2205" s="20"/>
    </row>
    <row r="2206" spans="7:8" s="21" customFormat="1" x14ac:dyDescent="0.2">
      <c r="G2206" s="20"/>
      <c r="H2206" s="20"/>
    </row>
    <row r="2207" spans="7:8" s="21" customFormat="1" x14ac:dyDescent="0.2">
      <c r="G2207" s="20"/>
      <c r="H2207" s="20"/>
    </row>
    <row r="2208" spans="7:8" s="21" customFormat="1" x14ac:dyDescent="0.2">
      <c r="G2208" s="20"/>
      <c r="H2208" s="20"/>
    </row>
    <row r="2209" spans="7:8" s="21" customFormat="1" x14ac:dyDescent="0.2">
      <c r="G2209" s="20"/>
      <c r="H2209" s="20"/>
    </row>
    <row r="2210" spans="7:8" s="21" customFormat="1" x14ac:dyDescent="0.2">
      <c r="G2210" s="20"/>
      <c r="H2210" s="20"/>
    </row>
    <row r="2211" spans="7:8" s="21" customFormat="1" x14ac:dyDescent="0.2">
      <c r="G2211" s="20"/>
      <c r="H2211" s="20"/>
    </row>
    <row r="2212" spans="7:8" s="21" customFormat="1" x14ac:dyDescent="0.2">
      <c r="G2212" s="20"/>
      <c r="H2212" s="20"/>
    </row>
    <row r="2213" spans="7:8" s="21" customFormat="1" x14ac:dyDescent="0.2">
      <c r="G2213" s="20"/>
      <c r="H2213" s="20"/>
    </row>
    <row r="2214" spans="7:8" s="21" customFormat="1" x14ac:dyDescent="0.2">
      <c r="G2214" s="20"/>
      <c r="H2214" s="20"/>
    </row>
    <row r="2215" spans="7:8" s="21" customFormat="1" x14ac:dyDescent="0.2">
      <c r="G2215" s="20"/>
      <c r="H2215" s="20"/>
    </row>
    <row r="2216" spans="7:8" s="21" customFormat="1" x14ac:dyDescent="0.2">
      <c r="G2216" s="20"/>
      <c r="H2216" s="20"/>
    </row>
    <row r="2217" spans="7:8" s="21" customFormat="1" x14ac:dyDescent="0.2">
      <c r="G2217" s="20"/>
      <c r="H2217" s="20"/>
    </row>
    <row r="2218" spans="7:8" s="21" customFormat="1" x14ac:dyDescent="0.2">
      <c r="G2218" s="20"/>
      <c r="H2218" s="20"/>
    </row>
    <row r="2219" spans="7:8" s="21" customFormat="1" x14ac:dyDescent="0.2">
      <c r="G2219" s="20"/>
      <c r="H2219" s="20"/>
    </row>
    <row r="2220" spans="7:8" s="21" customFormat="1" x14ac:dyDescent="0.2">
      <c r="G2220" s="20"/>
      <c r="H2220" s="20"/>
    </row>
    <row r="2221" spans="7:8" s="21" customFormat="1" x14ac:dyDescent="0.2">
      <c r="G2221" s="20"/>
      <c r="H2221" s="20"/>
    </row>
    <row r="2222" spans="7:8" s="21" customFormat="1" x14ac:dyDescent="0.2">
      <c r="G2222" s="20"/>
      <c r="H2222" s="20"/>
    </row>
    <row r="2223" spans="7:8" s="21" customFormat="1" x14ac:dyDescent="0.2">
      <c r="G2223" s="20"/>
      <c r="H2223" s="20"/>
    </row>
    <row r="2224" spans="7:8" s="21" customFormat="1" x14ac:dyDescent="0.2">
      <c r="G2224" s="20"/>
      <c r="H2224" s="20"/>
    </row>
    <row r="2225" spans="7:8" s="21" customFormat="1" x14ac:dyDescent="0.2">
      <c r="G2225" s="20"/>
      <c r="H2225" s="20"/>
    </row>
    <row r="2226" spans="7:8" s="21" customFormat="1" x14ac:dyDescent="0.2">
      <c r="G2226" s="20"/>
      <c r="H2226" s="20"/>
    </row>
    <row r="2227" spans="7:8" s="21" customFormat="1" x14ac:dyDescent="0.2">
      <c r="G2227" s="20"/>
      <c r="H2227" s="20"/>
    </row>
    <row r="2228" spans="7:8" s="21" customFormat="1" x14ac:dyDescent="0.2">
      <c r="G2228" s="20"/>
      <c r="H2228" s="20"/>
    </row>
    <row r="2229" spans="7:8" s="21" customFormat="1" x14ac:dyDescent="0.2">
      <c r="G2229" s="20"/>
      <c r="H2229" s="20"/>
    </row>
    <row r="2230" spans="7:8" s="21" customFormat="1" x14ac:dyDescent="0.2">
      <c r="G2230" s="20"/>
      <c r="H2230" s="20"/>
    </row>
    <row r="2231" spans="7:8" s="21" customFormat="1" x14ac:dyDescent="0.2">
      <c r="G2231" s="20"/>
      <c r="H2231" s="20"/>
    </row>
    <row r="2232" spans="7:8" s="21" customFormat="1" x14ac:dyDescent="0.2">
      <c r="G2232" s="20"/>
      <c r="H2232" s="20"/>
    </row>
    <row r="2233" spans="7:8" s="21" customFormat="1" x14ac:dyDescent="0.2">
      <c r="G2233" s="20"/>
      <c r="H2233" s="20"/>
    </row>
    <row r="2234" spans="7:8" s="21" customFormat="1" x14ac:dyDescent="0.2">
      <c r="G2234" s="20"/>
      <c r="H2234" s="20"/>
    </row>
    <row r="2235" spans="7:8" s="21" customFormat="1" x14ac:dyDescent="0.2">
      <c r="G2235" s="20"/>
      <c r="H2235" s="20"/>
    </row>
    <row r="2236" spans="7:8" s="21" customFormat="1" x14ac:dyDescent="0.2">
      <c r="G2236" s="20"/>
      <c r="H2236" s="20"/>
    </row>
    <row r="2237" spans="7:8" s="21" customFormat="1" x14ac:dyDescent="0.2">
      <c r="G2237" s="20"/>
      <c r="H2237" s="20"/>
    </row>
    <row r="2238" spans="7:8" s="21" customFormat="1" x14ac:dyDescent="0.2">
      <c r="G2238" s="20"/>
      <c r="H2238" s="20"/>
    </row>
    <row r="2239" spans="7:8" s="21" customFormat="1" x14ac:dyDescent="0.2">
      <c r="G2239" s="20"/>
      <c r="H2239" s="20"/>
    </row>
    <row r="2240" spans="7:8" s="21" customFormat="1" x14ac:dyDescent="0.2">
      <c r="G2240" s="20"/>
      <c r="H2240" s="20"/>
    </row>
    <row r="2241" spans="7:8" s="21" customFormat="1" x14ac:dyDescent="0.2">
      <c r="G2241" s="20"/>
      <c r="H2241" s="20"/>
    </row>
    <row r="2242" spans="7:8" s="21" customFormat="1" x14ac:dyDescent="0.2">
      <c r="G2242" s="20"/>
      <c r="H2242" s="20"/>
    </row>
    <row r="2243" spans="7:8" s="21" customFormat="1" x14ac:dyDescent="0.2">
      <c r="G2243" s="20"/>
      <c r="H2243" s="20"/>
    </row>
    <row r="2244" spans="7:8" s="21" customFormat="1" x14ac:dyDescent="0.2">
      <c r="G2244" s="20"/>
      <c r="H2244" s="20"/>
    </row>
    <row r="2245" spans="7:8" s="21" customFormat="1" x14ac:dyDescent="0.2">
      <c r="G2245" s="20"/>
      <c r="H2245" s="20"/>
    </row>
    <row r="2246" spans="7:8" s="21" customFormat="1" x14ac:dyDescent="0.2">
      <c r="G2246" s="20"/>
      <c r="H2246" s="20"/>
    </row>
    <row r="2247" spans="7:8" s="21" customFormat="1" x14ac:dyDescent="0.2">
      <c r="G2247" s="20"/>
      <c r="H2247" s="20"/>
    </row>
    <row r="2248" spans="7:8" s="21" customFormat="1" x14ac:dyDescent="0.2">
      <c r="G2248" s="20"/>
      <c r="H2248" s="20"/>
    </row>
    <row r="2249" spans="7:8" s="21" customFormat="1" x14ac:dyDescent="0.2">
      <c r="G2249" s="20"/>
      <c r="H2249" s="20"/>
    </row>
    <row r="2250" spans="7:8" s="21" customFormat="1" x14ac:dyDescent="0.2">
      <c r="G2250" s="20"/>
      <c r="H2250" s="20"/>
    </row>
    <row r="2251" spans="7:8" s="21" customFormat="1" x14ac:dyDescent="0.2">
      <c r="G2251" s="20"/>
      <c r="H2251" s="20"/>
    </row>
    <row r="2252" spans="7:8" s="21" customFormat="1" x14ac:dyDescent="0.2">
      <c r="G2252" s="20"/>
      <c r="H2252" s="20"/>
    </row>
    <row r="2253" spans="7:8" s="21" customFormat="1" x14ac:dyDescent="0.2">
      <c r="G2253" s="20"/>
      <c r="H2253" s="20"/>
    </row>
    <row r="2254" spans="7:8" s="21" customFormat="1" x14ac:dyDescent="0.2">
      <c r="G2254" s="20"/>
      <c r="H2254" s="20"/>
    </row>
    <row r="2255" spans="7:8" s="21" customFormat="1" x14ac:dyDescent="0.2">
      <c r="G2255" s="20"/>
      <c r="H2255" s="20"/>
    </row>
    <row r="2256" spans="7:8" s="21" customFormat="1" x14ac:dyDescent="0.2">
      <c r="G2256" s="20"/>
      <c r="H2256" s="20"/>
    </row>
    <row r="2257" spans="7:8" s="21" customFormat="1" x14ac:dyDescent="0.2">
      <c r="G2257" s="20"/>
      <c r="H2257" s="20"/>
    </row>
    <row r="2258" spans="7:8" s="21" customFormat="1" x14ac:dyDescent="0.2">
      <c r="G2258" s="20"/>
      <c r="H2258" s="20"/>
    </row>
    <row r="2259" spans="7:8" s="21" customFormat="1" x14ac:dyDescent="0.2">
      <c r="G2259" s="20"/>
      <c r="H2259" s="20"/>
    </row>
    <row r="2260" spans="7:8" s="21" customFormat="1" x14ac:dyDescent="0.2">
      <c r="G2260" s="20"/>
      <c r="H2260" s="20"/>
    </row>
    <row r="2261" spans="7:8" s="21" customFormat="1" x14ac:dyDescent="0.2">
      <c r="G2261" s="20"/>
      <c r="H2261" s="20"/>
    </row>
    <row r="2262" spans="7:8" s="21" customFormat="1" x14ac:dyDescent="0.2">
      <c r="G2262" s="20"/>
      <c r="H2262" s="20"/>
    </row>
    <row r="2263" spans="7:8" s="21" customFormat="1" x14ac:dyDescent="0.2">
      <c r="G2263" s="20"/>
      <c r="H2263" s="20"/>
    </row>
    <row r="2264" spans="7:8" s="21" customFormat="1" x14ac:dyDescent="0.2">
      <c r="G2264" s="20"/>
      <c r="H2264" s="20"/>
    </row>
    <row r="2265" spans="7:8" s="21" customFormat="1" x14ac:dyDescent="0.2">
      <c r="G2265" s="20"/>
      <c r="H2265" s="20"/>
    </row>
    <row r="2266" spans="7:8" s="21" customFormat="1" x14ac:dyDescent="0.2">
      <c r="G2266" s="20"/>
      <c r="H2266" s="20"/>
    </row>
    <row r="2267" spans="7:8" s="21" customFormat="1" x14ac:dyDescent="0.2">
      <c r="G2267" s="20"/>
      <c r="H2267" s="20"/>
    </row>
    <row r="2268" spans="7:8" s="21" customFormat="1" x14ac:dyDescent="0.2">
      <c r="G2268" s="20"/>
      <c r="H2268" s="20"/>
    </row>
    <row r="2269" spans="7:8" s="21" customFormat="1" x14ac:dyDescent="0.2">
      <c r="G2269" s="20"/>
      <c r="H2269" s="20"/>
    </row>
    <row r="2270" spans="7:8" s="21" customFormat="1" x14ac:dyDescent="0.2">
      <c r="G2270" s="20"/>
      <c r="H2270" s="20"/>
    </row>
    <row r="2271" spans="7:8" s="21" customFormat="1" x14ac:dyDescent="0.2">
      <c r="G2271" s="20"/>
      <c r="H2271" s="20"/>
    </row>
    <row r="2272" spans="7:8" s="21" customFormat="1" x14ac:dyDescent="0.2">
      <c r="G2272" s="20"/>
      <c r="H2272" s="20"/>
    </row>
    <row r="2273" spans="7:8" s="21" customFormat="1" x14ac:dyDescent="0.2">
      <c r="G2273" s="20"/>
      <c r="H2273" s="20"/>
    </row>
    <row r="2274" spans="7:8" s="21" customFormat="1" x14ac:dyDescent="0.2">
      <c r="G2274" s="20"/>
      <c r="H2274" s="20"/>
    </row>
  </sheetData>
  <sheetProtection password="9C58" sheet="1" objects="1" scenarios="1" selectLockedCells="1"/>
  <mergeCells count="20">
    <mergeCell ref="U6:U9"/>
    <mergeCell ref="A2:U2"/>
    <mergeCell ref="A6:F9"/>
    <mergeCell ref="G6:G9"/>
    <mergeCell ref="N6:T7"/>
    <mergeCell ref="I6:M7"/>
    <mergeCell ref="J8:J9"/>
    <mergeCell ref="N8:N9"/>
    <mergeCell ref="O8:P8"/>
    <mergeCell ref="Q8:R8"/>
    <mergeCell ref="S8:T8"/>
    <mergeCell ref="D17:F17"/>
    <mergeCell ref="H6:H9"/>
    <mergeCell ref="D11:F11"/>
    <mergeCell ref="K8:K9"/>
    <mergeCell ref="I8:I9"/>
    <mergeCell ref="M8:M9"/>
    <mergeCell ref="D14:F14"/>
    <mergeCell ref="D12:F12"/>
    <mergeCell ref="L8:L9"/>
  </mergeCells>
  <phoneticPr fontId="0" type="noConversion"/>
  <dataValidations count="2">
    <dataValidation type="decimal" operator="lessThan" allowBlank="1" showInputMessage="1" showErrorMessage="1" sqref="I12:T13 I10:T10 I18:T580 I15:T16 U10:FE580">
      <formula1>1000000000000000</formula1>
    </dataValidation>
    <dataValidation type="decimal" allowBlank="1" showInputMessage="1" showErrorMessage="1" sqref="I17:T17 I14:T14 I11:T11">
      <formula1>0</formula1>
      <formula2>1000000000000000</formula2>
    </dataValidation>
  </dataValidations>
  <printOptions horizontalCentered="1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41&amp;8&amp;U
&amp;P of &amp;N&amp;C&amp;"Arial,Bold"&amp;8 MAXIMUM SAVINGS BANK, INC.  [ 03-070011 ]
 As of: June 30, 2019</oddHeader>
  </headerFooter>
  <drawing r:id="rId2"/>
  <legacyDrawing r:id="rId3"/>
  <controls>
    <mc:AlternateContent xmlns:mc="http://schemas.openxmlformats.org/markup-compatibility/2006">
      <mc:Choice Requires="x14">
        <control shapeId="1027" r:id="rId4" name="Label_c">
          <controlPr defaultSize="0" autoLine="0" r:id="rId5">
            <anchor moveWithCells="1">
              <from>
                <xdr:col>7</xdr:col>
                <xdr:colOff>247650</xdr:colOff>
                <xdr:row>17</xdr:row>
                <xdr:rowOff>38100</xdr:rowOff>
              </from>
              <to>
                <xdr:col>7</xdr:col>
                <xdr:colOff>628650</xdr:colOff>
                <xdr:row>18</xdr:row>
                <xdr:rowOff>19050</xdr:rowOff>
              </to>
            </anchor>
          </controlPr>
        </control>
      </mc:Choice>
      <mc:Fallback>
        <control shapeId="1027" r:id="rId4" name="Label_c"/>
      </mc:Fallback>
    </mc:AlternateContent>
    <mc:AlternateContent xmlns:mc="http://schemas.openxmlformats.org/markup-compatibility/2006">
      <mc:Choice Requires="x14">
        <control shapeId="1026" r:id="rId6" name="Label_b">
          <controlPr defaultSize="0" autoLine="0" r:id="rId7">
            <anchor moveWithCells="1">
              <from>
                <xdr:col>7</xdr:col>
                <xdr:colOff>247650</xdr:colOff>
                <xdr:row>14</xdr:row>
                <xdr:rowOff>38100</xdr:rowOff>
              </from>
              <to>
                <xdr:col>7</xdr:col>
                <xdr:colOff>628650</xdr:colOff>
                <xdr:row>15</xdr:row>
                <xdr:rowOff>19050</xdr:rowOff>
              </to>
            </anchor>
          </controlPr>
        </control>
      </mc:Choice>
      <mc:Fallback>
        <control shapeId="1026" r:id="rId6" name="Label_b"/>
      </mc:Fallback>
    </mc:AlternateContent>
    <mc:AlternateContent xmlns:mc="http://schemas.openxmlformats.org/markup-compatibility/2006">
      <mc:Choice Requires="x14">
        <control shapeId="1025" r:id="rId8" name="Label_a">
          <controlPr defaultSize="0" autoLine="0" r:id="rId9">
            <anchor moveWithCells="1">
              <from>
                <xdr:col>7</xdr:col>
                <xdr:colOff>247650</xdr:colOff>
                <xdr:row>11</xdr:row>
                <xdr:rowOff>38100</xdr:rowOff>
              </from>
              <to>
                <xdr:col>7</xdr:col>
                <xdr:colOff>628650</xdr:colOff>
                <xdr:row>12</xdr:row>
                <xdr:rowOff>19050</xdr:rowOff>
              </to>
            </anchor>
          </controlPr>
        </control>
      </mc:Choice>
      <mc:Fallback>
        <control shapeId="1025" r:id="rId8" name="Label_a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124"/>
  <sheetViews>
    <sheetView tabSelected="1" topLeftCell="B1" workbookViewId="0"/>
  </sheetViews>
  <sheetFormatPr defaultRowHeight="12.75" x14ac:dyDescent="0.2"/>
  <cols>
    <col min="1" max="1" width="43.85546875" style="487" hidden="1" customWidth="1"/>
    <col min="2" max="16384" width="9.140625" style="487"/>
  </cols>
  <sheetData>
    <row r="1" spans="1:1" x14ac:dyDescent="0.2">
      <c r="A1" s="486" t="s">
        <v>976</v>
      </c>
    </row>
    <row r="2" spans="1:1" x14ac:dyDescent="0.2">
      <c r="A2" s="486">
        <v>3</v>
      </c>
    </row>
    <row r="3" spans="1:1" x14ac:dyDescent="0.2">
      <c r="A3" s="486">
        <v>70011</v>
      </c>
    </row>
    <row r="4" spans="1:1" x14ac:dyDescent="0.2">
      <c r="A4" s="486">
        <v>8888</v>
      </c>
    </row>
    <row r="5" spans="1:1" x14ac:dyDescent="0.2">
      <c r="A5" s="486">
        <v>5</v>
      </c>
    </row>
    <row r="6" spans="1:1" x14ac:dyDescent="0.2">
      <c r="A6" s="486">
        <v>2019</v>
      </c>
    </row>
    <row r="7" spans="1:1" x14ac:dyDescent="0.2">
      <c r="A7" s="486">
        <v>20190630</v>
      </c>
    </row>
    <row r="8" spans="1:1" x14ac:dyDescent="0.2">
      <c r="A8" s="487" t="s">
        <v>784</v>
      </c>
    </row>
    <row r="9" spans="1:1" x14ac:dyDescent="0.2">
      <c r="A9" s="487" t="s">
        <v>975</v>
      </c>
    </row>
    <row r="10" spans="1:1" x14ac:dyDescent="0.2">
      <c r="A10" s="488">
        <v>1</v>
      </c>
    </row>
    <row r="20" spans="1:1" x14ac:dyDescent="0.2">
      <c r="A20" s="487">
        <v>9</v>
      </c>
    </row>
    <row r="21" spans="1:1" x14ac:dyDescent="0.2">
      <c r="A21" s="487">
        <v>2018</v>
      </c>
    </row>
    <row r="50" spans="1:1" x14ac:dyDescent="0.2">
      <c r="A50" s="487" t="s">
        <v>966</v>
      </c>
    </row>
    <row r="51" spans="1:1" x14ac:dyDescent="0.2">
      <c r="A51" s="487" t="s">
        <v>893</v>
      </c>
    </row>
    <row r="52" spans="1:1" x14ac:dyDescent="0.2">
      <c r="A52" s="487" t="s">
        <v>894</v>
      </c>
    </row>
    <row r="53" spans="1:1" x14ac:dyDescent="0.2">
      <c r="A53" s="487" t="s">
        <v>895</v>
      </c>
    </row>
    <row r="54" spans="1:1" x14ac:dyDescent="0.2">
      <c r="A54" s="487" t="s">
        <v>896</v>
      </c>
    </row>
    <row r="55" spans="1:1" x14ac:dyDescent="0.2">
      <c r="A55" s="487" t="s">
        <v>949</v>
      </c>
    </row>
    <row r="56" spans="1:1" x14ac:dyDescent="0.2">
      <c r="A56" s="487" t="s">
        <v>936</v>
      </c>
    </row>
    <row r="57" spans="1:1" x14ac:dyDescent="0.2">
      <c r="A57" s="487" t="s">
        <v>950</v>
      </c>
    </row>
    <row r="58" spans="1:1" x14ac:dyDescent="0.2">
      <c r="A58" s="487" t="s">
        <v>951</v>
      </c>
    </row>
    <row r="59" spans="1:1" x14ac:dyDescent="0.2">
      <c r="A59" s="487" t="s">
        <v>928</v>
      </c>
    </row>
    <row r="60" spans="1:1" x14ac:dyDescent="0.2">
      <c r="A60" s="487" t="s">
        <v>952</v>
      </c>
    </row>
    <row r="61" spans="1:1" x14ac:dyDescent="0.2">
      <c r="A61" s="487" t="s">
        <v>939</v>
      </c>
    </row>
    <row r="62" spans="1:1" x14ac:dyDescent="0.2">
      <c r="A62" s="487" t="s">
        <v>937</v>
      </c>
    </row>
    <row r="63" spans="1:1" x14ac:dyDescent="0.2">
      <c r="A63" s="487" t="s">
        <v>926</v>
      </c>
    </row>
    <row r="64" spans="1:1" x14ac:dyDescent="0.2">
      <c r="A64" s="487" t="s">
        <v>897</v>
      </c>
    </row>
    <row r="65" spans="1:1" x14ac:dyDescent="0.2">
      <c r="A65" s="487" t="s">
        <v>953</v>
      </c>
    </row>
    <row r="66" spans="1:1" x14ac:dyDescent="0.2">
      <c r="A66" s="487" t="s">
        <v>898</v>
      </c>
    </row>
    <row r="67" spans="1:1" x14ac:dyDescent="0.2">
      <c r="A67" s="487" t="s">
        <v>944</v>
      </c>
    </row>
    <row r="68" spans="1:1" x14ac:dyDescent="0.2">
      <c r="A68" s="487" t="s">
        <v>899</v>
      </c>
    </row>
    <row r="69" spans="1:1" x14ac:dyDescent="0.2">
      <c r="A69" s="487" t="s">
        <v>954</v>
      </c>
    </row>
    <row r="70" spans="1:1" x14ac:dyDescent="0.2">
      <c r="A70" s="487" t="s">
        <v>955</v>
      </c>
    </row>
    <row r="71" spans="1:1" x14ac:dyDescent="0.2">
      <c r="A71" s="487" t="s">
        <v>948</v>
      </c>
    </row>
    <row r="72" spans="1:1" x14ac:dyDescent="0.2">
      <c r="A72" s="487" t="s">
        <v>929</v>
      </c>
    </row>
    <row r="73" spans="1:1" x14ac:dyDescent="0.2">
      <c r="A73" s="487" t="s">
        <v>900</v>
      </c>
    </row>
    <row r="74" spans="1:1" x14ac:dyDescent="0.2">
      <c r="A74" s="487" t="s">
        <v>901</v>
      </c>
    </row>
    <row r="75" spans="1:1" x14ac:dyDescent="0.2">
      <c r="A75" s="487" t="s">
        <v>956</v>
      </c>
    </row>
    <row r="76" spans="1:1" x14ac:dyDescent="0.2">
      <c r="A76" s="487" t="s">
        <v>902</v>
      </c>
    </row>
    <row r="77" spans="1:1" x14ac:dyDescent="0.2">
      <c r="A77" s="487" t="s">
        <v>903</v>
      </c>
    </row>
    <row r="78" spans="1:1" x14ac:dyDescent="0.2">
      <c r="A78" s="487" t="s">
        <v>904</v>
      </c>
    </row>
    <row r="79" spans="1:1" x14ac:dyDescent="0.2">
      <c r="A79" s="487" t="s">
        <v>905</v>
      </c>
    </row>
    <row r="80" spans="1:1" x14ac:dyDescent="0.2">
      <c r="A80" s="487" t="s">
        <v>906</v>
      </c>
    </row>
    <row r="81" spans="1:1" x14ac:dyDescent="0.2">
      <c r="A81" s="487" t="s">
        <v>907</v>
      </c>
    </row>
    <row r="82" spans="1:1" x14ac:dyDescent="0.2">
      <c r="A82" s="487" t="s">
        <v>908</v>
      </c>
    </row>
    <row r="83" spans="1:1" x14ac:dyDescent="0.2">
      <c r="A83" s="487" t="s">
        <v>909</v>
      </c>
    </row>
    <row r="84" spans="1:1" x14ac:dyDescent="0.2">
      <c r="A84" s="487" t="s">
        <v>910</v>
      </c>
    </row>
    <row r="85" spans="1:1" x14ac:dyDescent="0.2">
      <c r="A85" s="487" t="s">
        <v>911</v>
      </c>
    </row>
    <row r="86" spans="1:1" x14ac:dyDescent="0.2">
      <c r="A86" s="487" t="s">
        <v>957</v>
      </c>
    </row>
    <row r="87" spans="1:1" x14ac:dyDescent="0.2">
      <c r="A87" s="487" t="s">
        <v>945</v>
      </c>
    </row>
    <row r="88" spans="1:1" x14ac:dyDescent="0.2">
      <c r="A88" s="487" t="s">
        <v>968</v>
      </c>
    </row>
    <row r="89" spans="1:1" x14ac:dyDescent="0.2">
      <c r="A89" s="487" t="s">
        <v>912</v>
      </c>
    </row>
    <row r="90" spans="1:1" x14ac:dyDescent="0.2">
      <c r="A90" s="487" t="s">
        <v>913</v>
      </c>
    </row>
    <row r="91" spans="1:1" x14ac:dyDescent="0.2">
      <c r="A91" s="487" t="s">
        <v>958</v>
      </c>
    </row>
    <row r="92" spans="1:1" x14ac:dyDescent="0.2">
      <c r="A92" s="487" t="s">
        <v>914</v>
      </c>
    </row>
    <row r="93" spans="1:1" x14ac:dyDescent="0.2">
      <c r="A93" s="487" t="s">
        <v>930</v>
      </c>
    </row>
    <row r="94" spans="1:1" x14ac:dyDescent="0.2">
      <c r="A94" s="487" t="s">
        <v>959</v>
      </c>
    </row>
    <row r="95" spans="1:1" x14ac:dyDescent="0.2">
      <c r="A95" s="487" t="s">
        <v>960</v>
      </c>
    </row>
    <row r="96" spans="1:1" x14ac:dyDescent="0.2">
      <c r="A96" s="487" t="s">
        <v>915</v>
      </c>
    </row>
    <row r="97" spans="1:1" x14ac:dyDescent="0.2">
      <c r="A97" s="487" t="s">
        <v>938</v>
      </c>
    </row>
    <row r="98" spans="1:1" x14ac:dyDescent="0.2">
      <c r="A98" s="487" t="s">
        <v>961</v>
      </c>
    </row>
    <row r="99" spans="1:1" x14ac:dyDescent="0.2">
      <c r="A99" s="487" t="s">
        <v>940</v>
      </c>
    </row>
    <row r="100" spans="1:1" x14ac:dyDescent="0.2">
      <c r="A100" s="487" t="s">
        <v>916</v>
      </c>
    </row>
    <row r="101" spans="1:1" x14ac:dyDescent="0.2">
      <c r="A101" s="487" t="s">
        <v>931</v>
      </c>
    </row>
    <row r="102" spans="1:1" x14ac:dyDescent="0.2">
      <c r="A102" s="487" t="s">
        <v>917</v>
      </c>
    </row>
    <row r="103" spans="1:1" x14ac:dyDescent="0.2">
      <c r="A103" s="487" t="s">
        <v>932</v>
      </c>
    </row>
    <row r="104" spans="1:1" x14ac:dyDescent="0.2">
      <c r="A104" s="487" t="s">
        <v>935</v>
      </c>
    </row>
    <row r="105" spans="1:1" x14ac:dyDescent="0.2">
      <c r="A105" s="487" t="s">
        <v>946</v>
      </c>
    </row>
    <row r="106" spans="1:1" x14ac:dyDescent="0.2">
      <c r="A106" s="487" t="s">
        <v>962</v>
      </c>
    </row>
    <row r="107" spans="1:1" x14ac:dyDescent="0.2">
      <c r="A107" s="487" t="s">
        <v>943</v>
      </c>
    </row>
    <row r="108" spans="1:1" x14ac:dyDescent="0.2">
      <c r="A108" s="487" t="s">
        <v>918</v>
      </c>
    </row>
    <row r="109" spans="1:1" x14ac:dyDescent="0.2">
      <c r="A109" s="487" t="s">
        <v>927</v>
      </c>
    </row>
    <row r="110" spans="1:1" x14ac:dyDescent="0.2">
      <c r="A110" s="487" t="s">
        <v>947</v>
      </c>
    </row>
    <row r="111" spans="1:1" x14ac:dyDescent="0.2">
      <c r="A111" s="487" t="s">
        <v>933</v>
      </c>
    </row>
    <row r="112" spans="1:1" x14ac:dyDescent="0.2">
      <c r="A112" s="487" t="s">
        <v>919</v>
      </c>
    </row>
    <row r="113" spans="1:1" x14ac:dyDescent="0.2">
      <c r="A113" s="487" t="s">
        <v>942</v>
      </c>
    </row>
    <row r="114" spans="1:1" x14ac:dyDescent="0.2">
      <c r="A114" s="487" t="s">
        <v>963</v>
      </c>
    </row>
    <row r="115" spans="1:1" x14ac:dyDescent="0.2">
      <c r="A115" s="487" t="s">
        <v>920</v>
      </c>
    </row>
    <row r="116" spans="1:1" x14ac:dyDescent="0.2">
      <c r="A116" s="487" t="s">
        <v>967</v>
      </c>
    </row>
    <row r="117" spans="1:1" x14ac:dyDescent="0.2">
      <c r="A117" s="487" t="s">
        <v>921</v>
      </c>
    </row>
    <row r="118" spans="1:1" x14ac:dyDescent="0.2">
      <c r="A118" s="487" t="s">
        <v>922</v>
      </c>
    </row>
    <row r="119" spans="1:1" x14ac:dyDescent="0.2">
      <c r="A119" s="487" t="s">
        <v>923</v>
      </c>
    </row>
    <row r="120" spans="1:1" x14ac:dyDescent="0.2">
      <c r="A120" s="487" t="s">
        <v>965</v>
      </c>
    </row>
    <row r="121" spans="1:1" x14ac:dyDescent="0.2">
      <c r="A121" s="487" t="s">
        <v>934</v>
      </c>
    </row>
    <row r="122" spans="1:1" x14ac:dyDescent="0.2">
      <c r="A122" s="487" t="s">
        <v>964</v>
      </c>
    </row>
    <row r="123" spans="1:1" x14ac:dyDescent="0.2">
      <c r="A123" s="487" t="s">
        <v>924</v>
      </c>
    </row>
    <row r="124" spans="1:1" x14ac:dyDescent="0.2">
      <c r="A124" s="487" t="s">
        <v>887</v>
      </c>
    </row>
  </sheetData>
  <sheetProtection password="CF79" sheet="1" objects="1" scenarios="1" selectLockedCells="1"/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3</vt:lpstr>
      <vt:lpstr>3A</vt:lpstr>
      <vt:lpstr>4</vt:lpstr>
      <vt:lpstr>4A</vt:lpstr>
      <vt:lpstr>5</vt:lpstr>
      <vt:lpstr>6</vt:lpstr>
      <vt:lpstr>6A</vt:lpstr>
      <vt:lpstr>6B</vt:lpstr>
      <vt:lpstr>6B1</vt:lpstr>
      <vt:lpstr>6B2</vt:lpstr>
      <vt:lpstr>6B3</vt:lpstr>
      <vt:lpstr>6B4</vt:lpstr>
      <vt:lpstr>7</vt:lpstr>
      <vt:lpstr>7A</vt:lpstr>
      <vt:lpstr>7C</vt:lpstr>
      <vt:lpstr>7C1</vt:lpstr>
      <vt:lpstr>7C2</vt:lpstr>
      <vt:lpstr>7C3</vt:lpstr>
      <vt:lpstr>7C4</vt:lpstr>
      <vt:lpstr>8</vt:lpstr>
      <vt:lpstr>8B</vt:lpstr>
      <vt:lpstr>8B1</vt:lpstr>
      <vt:lpstr>8B2</vt:lpstr>
      <vt:lpstr>8B3</vt:lpstr>
      <vt:lpstr>8B4</vt:lpstr>
      <vt:lpstr>9</vt:lpstr>
      <vt:lpstr>41</vt:lpstr>
      <vt:lpstr>Bank</vt:lpstr>
      <vt:lpstr>'3'!Print_Area</vt:lpstr>
      <vt:lpstr>'3A'!Print_Area</vt:lpstr>
      <vt:lpstr>'4'!Print_Area</vt:lpstr>
      <vt:lpstr>'41'!Print_Area</vt:lpstr>
      <vt:lpstr>'4A'!Print_Area</vt:lpstr>
      <vt:lpstr>'5'!Print_Area</vt:lpstr>
      <vt:lpstr>'6'!Print_Area</vt:lpstr>
      <vt:lpstr>'6A'!Print_Area</vt:lpstr>
      <vt:lpstr>'6B'!Print_Area</vt:lpstr>
      <vt:lpstr>'6B1'!Print_Area</vt:lpstr>
      <vt:lpstr>'6B2'!Print_Area</vt:lpstr>
      <vt:lpstr>'6B3'!Print_Area</vt:lpstr>
      <vt:lpstr>'6B4'!Print_Area</vt:lpstr>
      <vt:lpstr>'7'!Print_Area</vt:lpstr>
      <vt:lpstr>'7A'!Print_Area</vt:lpstr>
      <vt:lpstr>'7C'!Print_Area</vt:lpstr>
      <vt:lpstr>'7C1'!Print_Area</vt:lpstr>
      <vt:lpstr>'7C2'!Print_Area</vt:lpstr>
      <vt:lpstr>'7C3'!Print_Area</vt:lpstr>
      <vt:lpstr>'7C4'!Print_Area</vt:lpstr>
      <vt:lpstr>'8'!Print_Area</vt:lpstr>
      <vt:lpstr>'8B'!Print_Area</vt:lpstr>
      <vt:lpstr>'8B1'!Print_Area</vt:lpstr>
      <vt:lpstr>'8B2'!Print_Area</vt:lpstr>
      <vt:lpstr>'8B3'!Print_Area</vt:lpstr>
      <vt:lpstr>'8B4'!Print_Area</vt:lpstr>
      <vt:lpstr>'9'!Print_Area</vt:lpstr>
      <vt:lpstr>'3'!Print_Titles</vt:lpstr>
      <vt:lpstr>'3A'!Print_Titles</vt:lpstr>
      <vt:lpstr>'4'!Print_Titles</vt:lpstr>
      <vt:lpstr>'41'!Print_Titles</vt:lpstr>
      <vt:lpstr>'4A'!Print_Titles</vt:lpstr>
      <vt:lpstr>'5'!Print_Titles</vt:lpstr>
      <vt:lpstr>'6'!Print_Titles</vt:lpstr>
      <vt:lpstr>'6A'!Print_Titles</vt:lpstr>
      <vt:lpstr>'6B'!Print_Titles</vt:lpstr>
      <vt:lpstr>'6B1'!Print_Titles</vt:lpstr>
      <vt:lpstr>'6B2'!Print_Titles</vt:lpstr>
      <vt:lpstr>'6B3'!Print_Titles</vt:lpstr>
      <vt:lpstr>'6B4'!Print_Titles</vt:lpstr>
      <vt:lpstr>'7'!Print_Titles</vt:lpstr>
      <vt:lpstr>'7A'!Print_Titles</vt:lpstr>
      <vt:lpstr>'7C'!Print_Titles</vt:lpstr>
      <vt:lpstr>'7C1'!Print_Titles</vt:lpstr>
      <vt:lpstr>'7C2'!Print_Titles</vt:lpstr>
      <vt:lpstr>'7C3'!Print_Titles</vt:lpstr>
      <vt:lpstr>'7C4'!Print_Titles</vt:lpstr>
      <vt:lpstr>'8'!Print_Titles</vt:lpstr>
      <vt:lpstr>'8B'!Print_Titles</vt:lpstr>
      <vt:lpstr>'8B1'!Print_Titles</vt:lpstr>
      <vt:lpstr>'8B2'!Print_Titles</vt:lpstr>
      <vt:lpstr>'8B3'!Print_Titles</vt:lpstr>
      <vt:lpstr>'8B4'!Print_Titles</vt:lpstr>
      <vt:lpstr>'9'!Print_Titles</vt:lpstr>
    </vt:vector>
  </TitlesOfParts>
  <Company>BSP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2007-01-15T03:07:30Z</cp:lastPrinted>
  <dcterms:created xsi:type="dcterms:W3CDTF">2005-10-27T02:15:47Z</dcterms:created>
  <dcterms:modified xsi:type="dcterms:W3CDTF">2019-09-20T06:04:35Z</dcterms:modified>
</cp:coreProperties>
</file>