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4.xml" ContentType="application/vnd.openxmlformats-officedocument.spreadsheetml.comments+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01\Desktop\BSP Format\Micro Small and Medium Enterprises\"/>
    </mc:Choice>
  </mc:AlternateContent>
  <workbookProtection workbookAlgorithmName="SHA-512" workbookHashValue="dz8zuTBfMTkRpCwGmilK0zmzG+IFmwi32/0wyng/QR3IdfHU901y6J4xx5Evw6VTym1X67p6+LD6UtVQMAKaAQ==" workbookSaltValue="P9GffFOZyLWv+xo9GLzONw==" workbookSpinCount="100000" lockStructure="1"/>
  <bookViews>
    <workbookView xWindow="30" yWindow="-240" windowWidth="19215" windowHeight="8325" tabRatio="712" firstSheet="1" activeTab="1"/>
  </bookViews>
  <sheets>
    <sheet name="Bank" sheetId="35" state="hidden" r:id="rId1"/>
    <sheet name="Conso" sheetId="34" r:id="rId2"/>
    <sheet name="Main Report" sheetId="24" r:id="rId3"/>
    <sheet name="1A" sheetId="30" r:id="rId4"/>
    <sheet name="1A-1" sheetId="31" r:id="rId5"/>
    <sheet name="1A-2" sheetId="32" r:id="rId6"/>
    <sheet name="1A-3" sheetId="33" r:id="rId7"/>
    <sheet name="1B" sheetId="25" r:id="rId8"/>
    <sheet name="1B1" sheetId="29" r:id="rId9"/>
    <sheet name="1B2" sheetId="37" r:id="rId10"/>
    <sheet name="2" sheetId="27" r:id="rId11"/>
  </sheets>
  <functionGroups builtInGroupCount="18"/>
  <definedNames>
    <definedName name="_xlnm.Print_Area" localSheetId="3">'1A'!$A$1:$I$33</definedName>
    <definedName name="_xlnm.Print_Area" localSheetId="5">'1A-2'!$A$1:$I$18</definedName>
    <definedName name="_xlnm.Print_Area" localSheetId="6">'1A-3'!$A$1:$W$27</definedName>
    <definedName name="_xlnm.Print_Area" localSheetId="7">'1B'!$A$1:$M$46</definedName>
    <definedName name="_xlnm.Print_Area" localSheetId="8">'1B1'!$A$1:$W$27</definedName>
    <definedName name="_xlnm.Print_Area" localSheetId="9">'1B2'!$A$1:$I$37</definedName>
    <definedName name="_xlnm.Print_Area" localSheetId="10">'2'!$A$1:$N$32</definedName>
    <definedName name="_xlnm.Print_Area" localSheetId="1">Conso!$A$1:$L$37</definedName>
    <definedName name="_xlnm.Print_Area" localSheetId="2">'Main Report'!$A$1:$I$30</definedName>
    <definedName name="_xlnm.Print_Titles" localSheetId="6">'1A-3'!$A:$H,'1A-3'!$1:$5</definedName>
    <definedName name="_xlnm.Print_Titles" localSheetId="8">'1B1'!$A:$H,'1B1'!$1:$5</definedName>
  </definedNames>
  <calcPr calcId="152511" fullCalcOnLoad="1"/>
</workbook>
</file>

<file path=xl/calcChain.xml><?xml version="1.0" encoding="utf-8"?>
<calcChain xmlns="http://schemas.openxmlformats.org/spreadsheetml/2006/main">
  <c r="L31" i="34" l="1"/>
  <c r="I19" i="25"/>
  <c r="L22" i="34"/>
  <c r="K20" i="25"/>
  <c r="M20" i="25" s="1"/>
  <c r="M19" i="25" s="1"/>
  <c r="L19" i="25"/>
  <c r="J19" i="25"/>
  <c r="I14" i="30"/>
  <c r="J27" i="34"/>
  <c r="J30" i="34" s="1"/>
  <c r="J32" i="34"/>
  <c r="J18" i="34"/>
  <c r="J23" i="34"/>
  <c r="J33" i="34"/>
  <c r="J14" i="34"/>
  <c r="J24" i="34"/>
  <c r="J13" i="34"/>
  <c r="J21" i="34"/>
  <c r="H33" i="34"/>
  <c r="H24" i="34"/>
  <c r="A12" i="31"/>
  <c r="H12" i="31"/>
  <c r="J13" i="31"/>
  <c r="I18" i="30"/>
  <c r="I23" i="30"/>
  <c r="L14" i="27"/>
  <c r="K10" i="27"/>
  <c r="K18" i="27" s="1"/>
  <c r="K14" i="27"/>
  <c r="N14" i="27" s="1"/>
  <c r="O12" i="33"/>
  <c r="U12" i="33" s="1"/>
  <c r="P12" i="33"/>
  <c r="V12" i="33" s="1"/>
  <c r="V11" i="33" s="1"/>
  <c r="V22" i="33" s="1"/>
  <c r="O19" i="33"/>
  <c r="U19" i="33"/>
  <c r="P19" i="33"/>
  <c r="V19" i="33"/>
  <c r="V18" i="33" s="1"/>
  <c r="L10" i="27"/>
  <c r="L18" i="27" s="1"/>
  <c r="L26" i="25" s="1"/>
  <c r="L23" i="25" s="1"/>
  <c r="I27" i="24" s="1"/>
  <c r="I29" i="34" s="1"/>
  <c r="L29" i="34" s="1"/>
  <c r="P19" i="29"/>
  <c r="V19" i="29"/>
  <c r="W19" i="29" s="1"/>
  <c r="W18" i="29" s="1"/>
  <c r="O19" i="29"/>
  <c r="I14" i="32"/>
  <c r="I19" i="30" s="1"/>
  <c r="L13" i="25"/>
  <c r="L10" i="25" s="1"/>
  <c r="L16" i="25"/>
  <c r="I13" i="25"/>
  <c r="I10" i="25"/>
  <c r="I16" i="25"/>
  <c r="J13" i="25"/>
  <c r="J10" i="25" s="1"/>
  <c r="K10" i="25" s="1"/>
  <c r="J16" i="25"/>
  <c r="K16" i="25" s="1"/>
  <c r="M16" i="25" s="1"/>
  <c r="H18" i="34"/>
  <c r="H23" i="34"/>
  <c r="H27" i="34"/>
  <c r="H32" i="34"/>
  <c r="H14" i="34"/>
  <c r="H30" i="34"/>
  <c r="H13" i="34"/>
  <c r="H21" i="34"/>
  <c r="U19" i="29"/>
  <c r="H12" i="32"/>
  <c r="H20" i="33"/>
  <c r="H13" i="33"/>
  <c r="H14" i="37"/>
  <c r="Q19" i="33"/>
  <c r="H29" i="37"/>
  <c r="H25" i="37"/>
  <c r="H18" i="37"/>
  <c r="H20" i="29"/>
  <c r="H13" i="29"/>
  <c r="J11" i="33"/>
  <c r="J22" i="33" s="1"/>
  <c r="J18" i="33"/>
  <c r="K12" i="33"/>
  <c r="K11" i="33"/>
  <c r="K19" i="33"/>
  <c r="K18" i="33" s="1"/>
  <c r="L11" i="33"/>
  <c r="L22" i="33" s="1"/>
  <c r="L18" i="33"/>
  <c r="M11" i="33"/>
  <c r="M18" i="33"/>
  <c r="M22" i="33" s="1"/>
  <c r="N12" i="33"/>
  <c r="Q12" i="33" s="1"/>
  <c r="Q11" i="33" s="1"/>
  <c r="Q22" i="33" s="1"/>
  <c r="N19" i="33"/>
  <c r="N18" i="33"/>
  <c r="O18" i="33"/>
  <c r="P11" i="33"/>
  <c r="P18" i="33"/>
  <c r="P22" i="33"/>
  <c r="Q18" i="33"/>
  <c r="R11" i="33"/>
  <c r="R22" i="33" s="1"/>
  <c r="R18" i="33"/>
  <c r="S11" i="33"/>
  <c r="S22" i="33" s="1"/>
  <c r="S18" i="33"/>
  <c r="T12" i="33"/>
  <c r="T11" i="33"/>
  <c r="T22" i="33" s="1"/>
  <c r="T19" i="33"/>
  <c r="T18" i="33"/>
  <c r="I11" i="33"/>
  <c r="I18" i="33"/>
  <c r="I22" i="33" s="1"/>
  <c r="M14" i="27"/>
  <c r="I27" i="37"/>
  <c r="I31" i="37" s="1"/>
  <c r="I23" i="37"/>
  <c r="I16" i="37"/>
  <c r="I12" i="37"/>
  <c r="I20" i="37" s="1"/>
  <c r="O12" i="29"/>
  <c r="U12" i="29" s="1"/>
  <c r="P12" i="29"/>
  <c r="V12" i="29" s="1"/>
  <c r="V11" i="29" s="1"/>
  <c r="V22" i="29" s="1"/>
  <c r="J16" i="27"/>
  <c r="J15" i="27"/>
  <c r="J14" i="27" s="1"/>
  <c r="I14" i="27"/>
  <c r="N16" i="27"/>
  <c r="N15" i="27"/>
  <c r="T19" i="29"/>
  <c r="Q19" i="29"/>
  <c r="N19" i="29"/>
  <c r="N18" i="29" s="1"/>
  <c r="L11" i="29"/>
  <c r="L22" i="29" s="1"/>
  <c r="L18" i="29"/>
  <c r="M11" i="29"/>
  <c r="M22" i="29" s="1"/>
  <c r="M18" i="29"/>
  <c r="N12" i="29"/>
  <c r="N11" i="29" s="1"/>
  <c r="O18" i="29"/>
  <c r="P18" i="29"/>
  <c r="Q18" i="29"/>
  <c r="K12" i="29"/>
  <c r="Q12" i="29" s="1"/>
  <c r="Q11" i="29" s="1"/>
  <c r="Q22" i="29" s="1"/>
  <c r="R11" i="29"/>
  <c r="R18" i="29"/>
  <c r="R22" i="29"/>
  <c r="S11" i="29"/>
  <c r="S22" i="29" s="1"/>
  <c r="S18" i="29"/>
  <c r="T18" i="29"/>
  <c r="T12" i="29"/>
  <c r="T11" i="29"/>
  <c r="T22" i="29" s="1"/>
  <c r="U18" i="29"/>
  <c r="J11" i="29"/>
  <c r="J22" i="29" s="1"/>
  <c r="J18" i="29"/>
  <c r="K11" i="29"/>
  <c r="K22" i="29" s="1"/>
  <c r="K19" i="29"/>
  <c r="K18" i="29"/>
  <c r="I11" i="29"/>
  <c r="I22" i="29" s="1"/>
  <c r="I18" i="29"/>
  <c r="K21" i="25"/>
  <c r="K19" i="25"/>
  <c r="J12" i="27"/>
  <c r="J11" i="27"/>
  <c r="J10" i="27" s="1"/>
  <c r="J18" i="27" s="1"/>
  <c r="N11" i="27"/>
  <c r="N12" i="27"/>
  <c r="M10" i="27"/>
  <c r="M18" i="27"/>
  <c r="L33" i="25"/>
  <c r="I10" i="27"/>
  <c r="I18" i="27" s="1"/>
  <c r="I22" i="27"/>
  <c r="K11" i="25"/>
  <c r="M11" i="25"/>
  <c r="K12" i="25"/>
  <c r="M12" i="25"/>
  <c r="K13" i="25"/>
  <c r="K14" i="25"/>
  <c r="M14" i="25"/>
  <c r="K15" i="25"/>
  <c r="M15" i="25"/>
  <c r="K17" i="25"/>
  <c r="M17" i="25"/>
  <c r="K18" i="25"/>
  <c r="M18" i="25"/>
  <c r="M24" i="25"/>
  <c r="M25" i="25"/>
  <c r="K31" i="25"/>
  <c r="M31" i="25"/>
  <c r="K32" i="25"/>
  <c r="M32" i="25"/>
  <c r="I33" i="25"/>
  <c r="J33" i="25"/>
  <c r="K33" i="25" s="1"/>
  <c r="M33" i="25" s="1"/>
  <c r="K34" i="25"/>
  <c r="M34" i="25"/>
  <c r="K35" i="25"/>
  <c r="M35" i="25"/>
  <c r="K36" i="25"/>
  <c r="M36" i="25"/>
  <c r="K37" i="25"/>
  <c r="M37" i="25"/>
  <c r="U18" i="33"/>
  <c r="V18" i="29"/>
  <c r="N10" i="27"/>
  <c r="M21" i="25"/>
  <c r="I33" i="37" l="1"/>
  <c r="K22" i="33"/>
  <c r="M10" i="25"/>
  <c r="I19" i="24"/>
  <c r="I19" i="34" s="1"/>
  <c r="L19" i="34" s="1"/>
  <c r="W12" i="33"/>
  <c r="W11" i="33" s="1"/>
  <c r="U11" i="33"/>
  <c r="U22" i="33" s="1"/>
  <c r="I20" i="30" s="1"/>
  <c r="I24" i="30" s="1"/>
  <c r="I26" i="30" s="1"/>
  <c r="I10" i="24" s="1"/>
  <c r="W12" i="29"/>
  <c r="W11" i="29" s="1"/>
  <c r="W22" i="29" s="1"/>
  <c r="U11" i="29"/>
  <c r="U22" i="29" s="1"/>
  <c r="N22" i="29"/>
  <c r="I26" i="24"/>
  <c r="L28" i="25"/>
  <c r="N18" i="27"/>
  <c r="K26" i="25"/>
  <c r="O11" i="29"/>
  <c r="O22" i="29" s="1"/>
  <c r="O11" i="33"/>
  <c r="O22" i="33" s="1"/>
  <c r="N11" i="33"/>
  <c r="N22" i="33" s="1"/>
  <c r="M13" i="25"/>
  <c r="P11" i="29"/>
  <c r="P22" i="29" s="1"/>
  <c r="W19" i="33"/>
  <c r="W18" i="33" s="1"/>
  <c r="I14" i="24" l="1"/>
  <c r="I14" i="34" s="1"/>
  <c r="L14" i="34" s="1"/>
  <c r="I22" i="24"/>
  <c r="I13" i="24"/>
  <c r="I13" i="34" s="1"/>
  <c r="L13" i="34" s="1"/>
  <c r="I10" i="34"/>
  <c r="I29" i="24"/>
  <c r="M26" i="25"/>
  <c r="K23" i="25"/>
  <c r="W22" i="33"/>
  <c r="I25" i="24"/>
  <c r="I28" i="34"/>
  <c r="L28" i="34" s="1"/>
  <c r="M23" i="25" l="1"/>
  <c r="I20" i="24"/>
  <c r="I20" i="34" s="1"/>
  <c r="L20" i="34" s="1"/>
  <c r="K28" i="25"/>
  <c r="I24" i="34"/>
  <c r="L10" i="34"/>
  <c r="I33" i="34"/>
  <c r="I28" i="24"/>
  <c r="I30" i="34" s="1"/>
  <c r="L30" i="34" s="1"/>
  <c r="I27" i="34"/>
  <c r="I32" i="34" l="1"/>
  <c r="L32" i="34" s="1"/>
  <c r="L27" i="34"/>
  <c r="I18" i="24"/>
  <c r="M28" i="25"/>
  <c r="L33" i="34"/>
  <c r="L24" i="34"/>
  <c r="I21" i="24" l="1"/>
  <c r="I21" i="34" s="1"/>
  <c r="L21" i="34" s="1"/>
  <c r="I18" i="34"/>
  <c r="I23" i="34" l="1"/>
  <c r="L23" i="34" s="1"/>
  <c r="L18" i="34"/>
</calcChain>
</file>

<file path=xl/comments1.xml><?xml version="1.0" encoding="utf-8"?>
<comments xmlns="http://schemas.openxmlformats.org/spreadsheetml/2006/main">
  <authors>
    <author xml:space="preserve"> </author>
  </authors>
  <commentList>
    <comment ref="B11" authorId="0" shapeId="0">
      <text>
        <r>
          <rPr>
            <b/>
            <sz val="8"/>
            <color indexed="81"/>
            <rFont val="Tahoma"/>
          </rPr>
          <t xml:space="preserve"> enter Provider</t>
        </r>
      </text>
    </comment>
    <comment ref="I11" authorId="0" shapeId="0">
      <text>
        <r>
          <rPr>
            <sz val="8"/>
            <color indexed="81"/>
            <rFont val="Tahoma"/>
          </rPr>
          <t>enter Conduit</t>
        </r>
      </text>
    </comment>
  </commentList>
</comments>
</file>

<file path=xl/comments2.xml><?xml version="1.0" encoding="utf-8"?>
<comments xmlns="http://schemas.openxmlformats.org/spreadsheetml/2006/main">
  <authors>
    <author xml:space="preserve"> </author>
  </authors>
  <commentList>
    <comment ref="B11" authorId="0" shapeId="0">
      <text>
        <r>
          <rPr>
            <b/>
            <sz val="8"/>
            <color indexed="81"/>
            <rFont val="Tahoma"/>
          </rPr>
          <t>Enter Financing Program</t>
        </r>
      </text>
    </comment>
  </commentList>
</comments>
</file>

<file path=xl/comments3.xml><?xml version="1.0" encoding="utf-8"?>
<comments xmlns="http://schemas.openxmlformats.org/spreadsheetml/2006/main">
  <authors>
    <author xml:space="preserve"> </author>
  </authors>
  <commentList>
    <comment ref="B12" authorId="0" shapeId="0">
      <text>
        <r>
          <rPr>
            <b/>
            <sz val="8"/>
            <color indexed="81"/>
            <rFont val="Tahoma"/>
          </rPr>
          <t xml:space="preserve"> Enter Bank Name</t>
        </r>
      </text>
    </comment>
    <comment ref="B19" authorId="0" shapeId="0">
      <text>
        <r>
          <rPr>
            <b/>
            <sz val="8"/>
            <color indexed="81"/>
            <rFont val="Tahoma"/>
          </rPr>
          <t>Enter Bank Name</t>
        </r>
      </text>
    </comment>
  </commentList>
</comments>
</file>

<file path=xl/comments4.xml><?xml version="1.0" encoding="utf-8"?>
<comments xmlns="http://schemas.openxmlformats.org/spreadsheetml/2006/main">
  <authors>
    <author xml:space="preserve"> </author>
  </authors>
  <commentList>
    <comment ref="B12" authorId="0" shapeId="0">
      <text>
        <r>
          <rPr>
            <b/>
            <sz val="8"/>
            <color indexed="81"/>
            <rFont val="Tahoma"/>
          </rPr>
          <t>enter Bank Name</t>
        </r>
      </text>
    </comment>
    <comment ref="B19" authorId="0" shapeId="0">
      <text>
        <r>
          <rPr>
            <b/>
            <sz val="8"/>
            <color indexed="81"/>
            <rFont val="Tahoma"/>
          </rPr>
          <t>enter Bank name</t>
        </r>
      </text>
    </comment>
  </commentList>
</comments>
</file>

<file path=xl/comments5.xml><?xml version="1.0" encoding="utf-8"?>
<comments xmlns="http://schemas.openxmlformats.org/spreadsheetml/2006/main">
  <authors>
    <author xml:space="preserve"> </author>
  </authors>
  <commentList>
    <comment ref="B13" authorId="0" shapeId="0">
      <text>
        <r>
          <rPr>
            <b/>
            <sz val="8"/>
            <color indexed="81"/>
            <rFont val="Tahoma"/>
          </rPr>
          <t>enter Name</t>
        </r>
      </text>
    </comment>
    <comment ref="B17" authorId="0" shapeId="0">
      <text>
        <r>
          <rPr>
            <b/>
            <sz val="8"/>
            <color indexed="81"/>
            <rFont val="Tahoma"/>
          </rPr>
          <t>enter Name</t>
        </r>
      </text>
    </comment>
    <comment ref="B24" authorId="0" shapeId="0">
      <text>
        <r>
          <rPr>
            <b/>
            <sz val="8"/>
            <color indexed="81"/>
            <rFont val="Tahoma"/>
          </rPr>
          <t>enter Name</t>
        </r>
      </text>
    </comment>
    <comment ref="B28" authorId="0" shapeId="0">
      <text>
        <r>
          <rPr>
            <b/>
            <sz val="8"/>
            <color indexed="81"/>
            <rFont val="Tahoma"/>
          </rPr>
          <t>enter Name</t>
        </r>
      </text>
    </comment>
  </commentList>
</comments>
</file>

<file path=xl/sharedStrings.xml><?xml version="1.0" encoding="utf-8"?>
<sst xmlns="http://schemas.openxmlformats.org/spreadsheetml/2006/main" count="1351" uniqueCount="1100">
  <si>
    <t>Parent bank with majority-owned subsidiary bank/s may be allowed to report compliance on a groupwide basis so that excess compliance of any bank in the group may be used as compliance for any deficient bank in the group, by submitting this form, together with and supported by the individual reports of the bank and its subsidiary bank/s duly signed by each bank's authorized signatory.</t>
  </si>
  <si>
    <t xml:space="preserve">Number of columns depend on the number of subsidiary banks. </t>
  </si>
  <si>
    <t>(For Banks with Subsidiary Bank/s)</t>
  </si>
  <si>
    <t>Name of Provider of Wholesale Funds and Description of Targeted Beneficiaries</t>
  </si>
  <si>
    <t>CREDIT ALLOCATION FOR MICRO SMALL AND MEDIUM ENTERPRISES</t>
  </si>
  <si>
    <t>5/</t>
  </si>
  <si>
    <t>6/</t>
  </si>
  <si>
    <t>7/</t>
  </si>
  <si>
    <t>8/</t>
  </si>
  <si>
    <t xml:space="preserve">I. </t>
  </si>
  <si>
    <t>Name of Bank/Quasi-Bank</t>
  </si>
  <si>
    <t>Name of PFI without Quasi-Banking Authority</t>
  </si>
  <si>
    <t>Micro and Small Enterprises (MSEs) Credit (P (Item I)  x 8%)</t>
  </si>
  <si>
    <t>Medium Enterprises (MEs) Credit (P (Item I)  x 2%)</t>
  </si>
  <si>
    <t>Medium Enterprises (MEs) Credit (P (Item I) x 2%)</t>
  </si>
  <si>
    <t>Micro and Small Enterprises (MSEs) Credit  (P (Item I) x 8%)</t>
  </si>
  <si>
    <t xml:space="preserve">II. </t>
  </si>
  <si>
    <t xml:space="preserve">III. </t>
  </si>
  <si>
    <t>Total Loan Portfolio 2/</t>
  </si>
  <si>
    <t>Less: Exclusions from Total Loan Portfolio</t>
  </si>
  <si>
    <t>Attached to the Report on the Utilization of Loanable Funds Generated Which Were Set Aside for Agrarian Reform/Other Agricultural Credit, if used as compliance with PD 717 (or Agri-Agra Law) and/or to the Report on Compliance with Mandatory Credit Allocation Required under RA No. 6977, as amended by RA Nos. 8289 and 9501 (or Magna Carta for Micro, Small and Medium Enterprises) if used as compliance with RA No. 6977, as amended.</t>
  </si>
  <si>
    <t xml:space="preserve"> </t>
  </si>
  <si>
    <t xml:space="preserve">  1/  </t>
  </si>
  <si>
    <t>To be validated against Schedule 1B-1 of previous quarter.</t>
  </si>
  <si>
    <t>Report only the number of borrowers under Items I.1, I.2 and I.3a.</t>
  </si>
  <si>
    <t>Funds loaned by or rediscounted with government-owned banks and other government financial institutions (GFIs) to accredited private banking and other financial institutions for on-lending to BMBEs shall be eligible as part of alternative compliance for PD 717 or for RA No. 6977, as amended, of both the government-owned banks and the accredited private banks at the maximum amount of 100% of their outstanding balance each.</t>
  </si>
  <si>
    <t>$$1</t>
  </si>
  <si>
    <r>
      <t xml:space="preserve">Subsidiary Bank </t>
    </r>
    <r>
      <rPr>
        <b/>
        <sz val="6"/>
        <rFont val="Arial"/>
        <family val="2"/>
      </rPr>
      <t>1/ 2/</t>
    </r>
  </si>
  <si>
    <t>WITHOUT QUASI-BANKING AUTHORITY OTHER THAN THOSE FOR ON-LENDING TO</t>
  </si>
  <si>
    <t>a</t>
  </si>
  <si>
    <t>ALLIED SAVINGS BANK</t>
  </si>
  <si>
    <t>ASIATRUST DEV BANK</t>
  </si>
  <si>
    <t>ASPAC RURAL BANK INC</t>
  </si>
  <si>
    <t>BACLARAN RB INC</t>
  </si>
  <si>
    <t>BALANGA RURAL BANK, INC.</t>
  </si>
  <si>
    <t>BALIUAG RB INC</t>
  </si>
  <si>
    <t>BANCO BATANGAN INC(A RB)</t>
  </si>
  <si>
    <t>BANCO FILIPINO SMB</t>
  </si>
  <si>
    <t>BANCO MAXIMO INC (A RURAL BANK)</t>
  </si>
  <si>
    <t>BANCO NG MASA (A MF-ORIENTED RB)</t>
  </si>
  <si>
    <t>BANGKO CARRASCAL INC (A RB)</t>
  </si>
  <si>
    <t>BANGKO PANGASINAN-A RB INC</t>
  </si>
  <si>
    <t>BANGKO PASIG(RURAL BANK)</t>
  </si>
  <si>
    <t>BANGKO RURAL NG MAGARAO(CAM SUR)INC</t>
  </si>
  <si>
    <t>BANK OF CALAPE</t>
  </si>
  <si>
    <t>BANK OF FLORIDA INC (A RB)</t>
  </si>
  <si>
    <t>BANK ONE SAVINGS AND TRUST CORP.</t>
  </si>
  <si>
    <t>BATAAN COOPERATIVE BANK</t>
  </si>
  <si>
    <t>BATAAN DEVELOPMENT BANK</t>
  </si>
  <si>
    <t>BATANGAS RB FOR COOP INC</t>
  </si>
  <si>
    <t>BENGUET CENTER BANK INC A RB</t>
  </si>
  <si>
    <t>BHF RURAL BANK INC</t>
  </si>
  <si>
    <t>BINAN RURAL BANK INC</t>
  </si>
  <si>
    <t>FIRST TAGUM RURAL BANK INC</t>
  </si>
  <si>
    <t>BINANGONAN RB INC</t>
  </si>
  <si>
    <t>BOLBOK RB INC</t>
  </si>
  <si>
    <t>BUTUAN CITY RB INC</t>
  </si>
  <si>
    <t>CABANATUAN CITY RB INC</t>
  </si>
  <si>
    <t>PRODUCERS SAVINGS BANK CORPORATION</t>
  </si>
  <si>
    <t>CAGSAWA RURAL BANK INC</t>
  </si>
  <si>
    <t>CAMILING RB INC</t>
  </si>
  <si>
    <t>CAPIZ SETTLERS COOPERATIVE RB INC</t>
  </si>
  <si>
    <t>CAVITE RURAL BANKING CORP</t>
  </si>
  <si>
    <t>CEBUANA LHUILLIER RB INC</t>
  </si>
  <si>
    <t>CENTRAL EQUITY RURAL BANK INC</t>
  </si>
  <si>
    <t>CITIBANK SAVINGS INC</t>
  </si>
  <si>
    <t>CITIZEN'S RB(CABIAO) INC</t>
  </si>
  <si>
    <t>CITYSTATE SAVINGS BANK INC</t>
  </si>
  <si>
    <t>CLASSIC RURAL BANK INC</t>
  </si>
  <si>
    <t>COOP BANK OF AGUSAN DEL SUR</t>
  </si>
  <si>
    <t>COOP BANK OF AURORA</t>
  </si>
  <si>
    <t>COOP BANK OF CAMARINES NORTE</t>
  </si>
  <si>
    <t>COOP BANK OF CAVITE</t>
  </si>
  <si>
    <t>COOP BANK OF LA UNION</t>
  </si>
  <si>
    <t>COOP BANK OF MT PROVINCE</t>
  </si>
  <si>
    <t>COOP BANK OF NEGROS ORIENTAL</t>
  </si>
  <si>
    <t>COOP BANK OF PALAWAN</t>
  </si>
  <si>
    <t>COOP BANK OF QUEZON PROVINCE</t>
  </si>
  <si>
    <t>COOP BANK OF SURIGAO DEL SUR</t>
  </si>
  <si>
    <t>COOP BANK OF ZAMBALES</t>
  </si>
  <si>
    <t>COOP RB OF BULACAN INC</t>
  </si>
  <si>
    <t>COOPERATIVE BANK OF CEBU</t>
  </si>
  <si>
    <t>CORDILLERA SAVINGS BANK INC</t>
  </si>
  <si>
    <t>CROWN BANK, INC (A RB)</t>
  </si>
  <si>
    <t>CUYAPO RB INC</t>
  </si>
  <si>
    <t>DE LA O RURAL BANK INC</t>
  </si>
  <si>
    <t>DIAMOND RURAL BANK INC</t>
  </si>
  <si>
    <t>DUMAGUETE RB INC</t>
  </si>
  <si>
    <t>EMERALD RURAL BANK INC</t>
  </si>
  <si>
    <t>EMPIRE RURAL BANK INC</t>
  </si>
  <si>
    <t>ENTREPRENUER RB INC</t>
  </si>
  <si>
    <t>EXPRESS SAVINGS BANK INC</t>
  </si>
  <si>
    <t>FARMERS RB INC</t>
  </si>
  <si>
    <t>FARMERS SAVINGS &amp; LOAN BANK INC</t>
  </si>
  <si>
    <t>FIL-AGRO RURAL BANK INC</t>
  </si>
  <si>
    <t>FILIPINO SAVERS BANK INC (A RB)</t>
  </si>
  <si>
    <t>FIRST AGRO-INDUSTRIAL RB INC</t>
  </si>
  <si>
    <t>FIRST COMMUNITY BANK INC (RB)</t>
  </si>
  <si>
    <t>FIRST CONSOLIDATED BANK INC (A PDB)</t>
  </si>
  <si>
    <t>NEW COVENANT BANK INC(A RURAL BANK)</t>
  </si>
  <si>
    <t>OPPORTUNITY KAUSWAGAN BANK(A MF TB)</t>
  </si>
  <si>
    <t>FIRST MIDLAND RURAL BANK INC</t>
  </si>
  <si>
    <t>FIRST STATE RURAL BANK INC</t>
  </si>
  <si>
    <t>FIRST UNITED FARMERS RB INC</t>
  </si>
  <si>
    <t>FRONTIER RURAL BANK INC</t>
  </si>
  <si>
    <t>GATEWAY RURAL BANK INC</t>
  </si>
  <si>
    <t>GMA RB OF CAVITE INC</t>
  </si>
  <si>
    <t>GOLDEN RB OF THE PHILS</t>
  </si>
  <si>
    <t>GRAND-AGRI RURAL BANK</t>
  </si>
  <si>
    <t>GROWERS RURAL BANK (GRB) INC</t>
  </si>
  <si>
    <t>GUAGUA RURAL BANK INC</t>
  </si>
  <si>
    <t>GUAGUA SAVERS BANK(A RB) INC</t>
  </si>
  <si>
    <t>HSBC SAVINGS BANK(PHILS) INC</t>
  </si>
  <si>
    <t>IBALON RURAL BANK INC</t>
  </si>
  <si>
    <t>ILOCOS SUR COOPERATIVE BANK</t>
  </si>
  <si>
    <t>ILOILO CITY DEVELOPMENT BANK</t>
  </si>
  <si>
    <t>IMUS RURAL BANK INC</t>
  </si>
  <si>
    <t>INSULAR RURAL BANK</t>
  </si>
  <si>
    <t>INTER-ASIA DEVELOPMENT BANK</t>
  </si>
  <si>
    <t>ISLA BANK(A THRIFT BANK) INC</t>
  </si>
  <si>
    <t>JANIUAY RURAL BANK INC</t>
  </si>
  <si>
    <t>KALUYAGAN RURAL BANK INC</t>
  </si>
  <si>
    <t>KEY RURAL BANK INC</t>
  </si>
  <si>
    <t>LAGAWE HIGHLANDS RB INC</t>
  </si>
  <si>
    <t>LAPU-LAPU RB INC</t>
  </si>
  <si>
    <t>LBC DEVELOPMENT BANK</t>
  </si>
  <si>
    <t>LEMERY SAVINGS &amp; LOAN BANK, INC.</t>
  </si>
  <si>
    <t>LIFE SAVINGS BANK INC</t>
  </si>
  <si>
    <t>LIMCOMA RURAL BANK INC</t>
  </si>
  <si>
    <t>LIPA BANK INC (A RB)</t>
  </si>
  <si>
    <t>LUDB BANK INC (A RB)</t>
  </si>
  <si>
    <t>LUZON DEVELOPMENT BANK</t>
  </si>
  <si>
    <t>MAHARLIKA RURAL BANK INC</t>
  </si>
  <si>
    <t>MALARAYAT RB INC</t>
  </si>
  <si>
    <t>MALASIQUI PROGRESSIVE SLB, INC</t>
  </si>
  <si>
    <t>MALAYBALAY RB INC</t>
  </si>
  <si>
    <t>MAMBAJAO COMMUNITY RURAL BAN INC</t>
  </si>
  <si>
    <t>MERCHANTS SAVINGS &amp; LOAN ASSN INC</t>
  </si>
  <si>
    <t>METRO CEBU PUBLIC SAVINGS BANK</t>
  </si>
  <si>
    <t>PRIDE STAR DEVELOPMENT BANK INC</t>
  </si>
  <si>
    <t>METRO SOUTH COOP BANK</t>
  </si>
  <si>
    <t>MILLENNIUM BANK INC-A RB</t>
  </si>
  <si>
    <t>MONEY MALL RB INC</t>
  </si>
  <si>
    <t>NATIONAL TEACHERS &amp; EMP. COOP BANK</t>
  </si>
  <si>
    <t>NEGROS COOPERATIVE BANK</t>
  </si>
  <si>
    <t>ADVANTAGE BANK CORP (A MF RB)</t>
  </si>
  <si>
    <t>ANILAO BANK (RB ANILAO (ILOILO) INC</t>
  </si>
  <si>
    <t>BANCO ALABANG INC (A RURAL BANK)</t>
  </si>
  <si>
    <t>BANGKO BUENA CONSOLIDATED INC(A RB)</t>
  </si>
  <si>
    <t>CARD SME BANK INC A THRIFT BANK</t>
  </si>
  <si>
    <t>FAR EASTERN BANK (A RURAL BANK) INC</t>
  </si>
  <si>
    <t>LAGUNA PRESTIGE BANKING CORP (A RB)</t>
  </si>
  <si>
    <t>OWN BANK THE RB OF CAVITE CITY INC</t>
  </si>
  <si>
    <t>RURAL BANK OF INDANG (CAVITE) INC</t>
  </si>
  <si>
    <t>NEW RB OF AGONCILLO INC</t>
  </si>
  <si>
    <t>NEW RB OF SAN LEONARDO(N.E.) INC</t>
  </si>
  <si>
    <t>NEW RB OF VICTORIAS INC</t>
  </si>
  <si>
    <t>NORTHPOINT DEV'T BANK INC</t>
  </si>
  <si>
    <t>ONE NETWORK RB INC</t>
  </si>
  <si>
    <t>PAMPANGA DEVELOPMENT BANK</t>
  </si>
  <si>
    <t>PANGASINAN BANK (A RB) INC</t>
  </si>
  <si>
    <t>PEOPLE'S RB(GEN SANTOS CITY) INC</t>
  </si>
  <si>
    <t>PHIL RURAL BNKG(PR BANK)</t>
  </si>
  <si>
    <t>PHIL SAVINGS BANK</t>
  </si>
  <si>
    <t>PLANTERS DEVELOPMENT BANK</t>
  </si>
  <si>
    <t>PROVIDENCE RURAL BANK INC</t>
  </si>
  <si>
    <t>QUEZON CAPITAL RB INC</t>
  </si>
  <si>
    <t>QUEZON TRADERS RB OF CANDELARIA INC</t>
  </si>
  <si>
    <t>RB OF AGNO INC</t>
  </si>
  <si>
    <t>RB OF AGOO INC</t>
  </si>
  <si>
    <t>RB OF ALAMINOS (LAGUNA) INC</t>
  </si>
  <si>
    <t>RB OF ALAMINOS (PANGASINAN) INC</t>
  </si>
  <si>
    <t>RB OF ALITAGTAG INC</t>
  </si>
  <si>
    <t>RB OF AMADEO(CAVITE)INC</t>
  </si>
  <si>
    <t>RB OF ANGADANAN INC</t>
  </si>
  <si>
    <t>RB OF ANGELES INC</t>
  </si>
  <si>
    <t>RB OF ANGONO INC</t>
  </si>
  <si>
    <t>RB OF ANTIPOLO INC</t>
  </si>
  <si>
    <t>RB OF APALIT INC</t>
  </si>
  <si>
    <t>SAMPAGUITA SAVINGS BANK INC</t>
  </si>
  <si>
    <t>UNITED OVERSEAS BANK PHILIPPINES</t>
  </si>
  <si>
    <t>BANCO SUAL (A RURAL BANK) INC</t>
  </si>
  <si>
    <t>BANK OF MAKATI (A RURAL BANK) INC</t>
  </si>
  <si>
    <t>BAYBANK INC (A RURAL BANK)</t>
  </si>
  <si>
    <t>INNOVATIVE BANK INC (A RURAL BANK)</t>
  </si>
  <si>
    <t>OCCIDENTAL MINDORO RURAL BANK INC</t>
  </si>
  <si>
    <t>PHILIPPINE SME BANK INC A RB</t>
  </si>
  <si>
    <t>RBT BANK INC A RURAL BANK</t>
  </si>
  <si>
    <t>RB OF ARITAO INC</t>
  </si>
  <si>
    <t>RB OF ATIMONAN INC</t>
  </si>
  <si>
    <t>RB OF BACNOTAN INC</t>
  </si>
  <si>
    <t>RB OF BACOLOD CITY INC</t>
  </si>
  <si>
    <t>RB OF BAGUIO INC</t>
  </si>
  <si>
    <t>RB OF BALER INC</t>
  </si>
  <si>
    <t>RB OF BAROTAC NUEVO INC</t>
  </si>
  <si>
    <t>RB OF BATAC INC</t>
  </si>
  <si>
    <t>RB OF BAUANG INC</t>
  </si>
  <si>
    <t>RB OF BAY INC</t>
  </si>
  <si>
    <t>RB OF BAYOMBONG INC</t>
  </si>
  <si>
    <t>RB OF BINGAWAN INC</t>
  </si>
  <si>
    <t>RB OF BURAUEN INC</t>
  </si>
  <si>
    <t>RB OF BUSTOS INC</t>
  </si>
  <si>
    <t>RB OF CABATUAN (ILOILO) INC</t>
  </si>
  <si>
    <t>RB OF CADIZ INC</t>
  </si>
  <si>
    <t>RB OF CAINTA INC</t>
  </si>
  <si>
    <t>RB OF CALACA INC</t>
  </si>
  <si>
    <t>RURAL BANK OF LOBOC INC</t>
  </si>
  <si>
    <t>RB OF CALASIAO INC</t>
  </si>
  <si>
    <t>RB OF CALAUAN INC</t>
  </si>
  <si>
    <t>RB OF CALBAYOG CITY INC</t>
  </si>
  <si>
    <t>RB OF CALOOCAN INC</t>
  </si>
  <si>
    <t>RB OF CALUBIAN INC</t>
  </si>
  <si>
    <t>RB OF COTABATO INC</t>
  </si>
  <si>
    <t>RB OF CUENCA INC</t>
  </si>
  <si>
    <t>RB OF DAO INC</t>
  </si>
  <si>
    <t>RB OF DASMARINAS INC</t>
  </si>
  <si>
    <t>RB OF DATU PAGLAS INC</t>
  </si>
  <si>
    <t>RB OF DIGOS INC</t>
  </si>
  <si>
    <t>RB OF DOLORES (QUEZON) INC</t>
  </si>
  <si>
    <t>RB OF DUMANGAS INC</t>
  </si>
  <si>
    <t>RB OF GARCIA-HERNANDEZ INC</t>
  </si>
  <si>
    <t>BANGKO BUENA CONSOLIDATED INC.</t>
  </si>
  <si>
    <t>RURAL BANK OF INDANG (CAVITE), INC.</t>
  </si>
  <si>
    <t>LAGUNA PRESTIGE BANKING CORPORATION, (A RURAL BANK)</t>
  </si>
  <si>
    <t>OWN BANK, THE RURAL BANK OF CAVITE CITY, INC.</t>
  </si>
  <si>
    <t>RB OF GENERAL TRIAS INC</t>
  </si>
  <si>
    <t>RB OF GIGAQUIT INC</t>
  </si>
  <si>
    <t>RB OF GINGOOG INC</t>
  </si>
  <si>
    <t>RB OF GOA INC</t>
  </si>
  <si>
    <t>RB OF GUINOBATAN INC</t>
  </si>
  <si>
    <t>RB OF HILONGOS INC</t>
  </si>
  <si>
    <t>RB OF IBAJAY INC</t>
  </si>
  <si>
    <t>RB OF ILIGAN CITY INC</t>
  </si>
  <si>
    <t>RB OF ILOILO CITY INC</t>
  </si>
  <si>
    <t>RB OF INFANTA INC</t>
  </si>
  <si>
    <t>RB OF IROSIN INC</t>
  </si>
  <si>
    <t>RB OF JAEN INC</t>
  </si>
  <si>
    <t>RB OF JORDAN INC</t>
  </si>
  <si>
    <t>$$2</t>
  </si>
  <si>
    <t>$$3</t>
  </si>
  <si>
    <t>'168100000000000000</t>
  </si>
  <si>
    <t>RB OF KAWIT INC</t>
  </si>
  <si>
    <t>RB OF KOLAMBUGAN INC</t>
  </si>
  <si>
    <t>RB OF LA TRINIDAD INC</t>
  </si>
  <si>
    <t>RB OF LABRADOR INC</t>
  </si>
  <si>
    <t>RB OF LOBO INC</t>
  </si>
  <si>
    <t>CAPITOL CITY BANK INC A RURAL BANK</t>
  </si>
  <si>
    <t>RB OF LUNA (ISABELA) INC</t>
  </si>
  <si>
    <t>RB OF LUNA (K-APAYAO)INC</t>
  </si>
  <si>
    <t>RB OF LUNA (LA UNION) INC</t>
  </si>
  <si>
    <t>RB OF LUPAO INC</t>
  </si>
  <si>
    <t>RB OF MA-AO INC</t>
  </si>
  <si>
    <t>RB OF MABALACAT INC</t>
  </si>
  <si>
    <t>RB OF MABINI (BATANGAS) INC</t>
  </si>
  <si>
    <t>RB OF MAJAYJAY INC</t>
  </si>
  <si>
    <t>RB OF MALINAO (AKLAN) INC</t>
  </si>
  <si>
    <t>RB OF MALOLOS INC</t>
  </si>
  <si>
    <t>RB OF MAMBUSAO INC</t>
  </si>
  <si>
    <t>RB OF MANJUYOD INC</t>
  </si>
  <si>
    <t>RB OF MAPANDAN INC</t>
  </si>
  <si>
    <t>RB OF MARAGONDON INC</t>
  </si>
  <si>
    <t>RB OF MARILAG (STA MARIA, LAG)INC</t>
  </si>
  <si>
    <t>RB OF MATANAO INC</t>
  </si>
  <si>
    <t>RB OF MATI INC</t>
  </si>
  <si>
    <t>RB OF MAUBAN INC</t>
  </si>
  <si>
    <t>RB OF MAWAB INC</t>
  </si>
  <si>
    <t>AL-AMANAH ISLAMIC INV BNK OF THE PH</t>
  </si>
  <si>
    <t>BANCO BAKUN INC (A RURAL BANK)</t>
  </si>
  <si>
    <t>BANCO CARMONA INC A RURAL BANK</t>
  </si>
  <si>
    <t>BANCO DE AREVALO INC (A RURAL BANK)</t>
  </si>
  <si>
    <t>BANGKO KABAYAN (A RURAL BANK) INC</t>
  </si>
  <si>
    <t>BANGKO MAGSAYSAY (ISABELA) INC-A RB</t>
  </si>
  <si>
    <t>BANK OF CHINA LIMITED-MANILA BRANCH</t>
  </si>
  <si>
    <t>CANTILAN BANK INC (A RURAL BANK)</t>
  </si>
  <si>
    <t>CARD BANK INC (A MF RB)</t>
  </si>
  <si>
    <t>CHINA BANK SAVINGS INC</t>
  </si>
  <si>
    <t>COOP BANK OF COTABATO</t>
  </si>
  <si>
    <t>COOP BANK OF MISAMIS ORIENTAL</t>
  </si>
  <si>
    <t>COOPERATIVE BANK OF ILOILO</t>
  </si>
  <si>
    <t>COOPERATIVE BANK OF NUEVA VIZCAYA</t>
  </si>
  <si>
    <t>COOPERATIVE BANK OF TARLAC INC</t>
  </si>
  <si>
    <t>COUNTRYSIDE RB OF PALAUIG(ZAMBALES)</t>
  </si>
  <si>
    <t>EQUICOM SAVINGS BANK INC</t>
  </si>
  <si>
    <t>FIRST MINDORO MICROFINANCE RB INC</t>
  </si>
  <si>
    <t>FIRST PROVINCIAL BANK INC (A RB)</t>
  </si>
  <si>
    <t>JP MORGAN CHASE BANK NATIONAL ASSN.</t>
  </si>
  <si>
    <t>KORONADAL RURAL BANK INC</t>
  </si>
  <si>
    <t>LEGAZPI SAVINGS BANK INC</t>
  </si>
  <si>
    <t>LIBERTY SAVINGS BANK INC</t>
  </si>
  <si>
    <t>MASANTOL RURAL BANK INC</t>
  </si>
  <si>
    <t>MEGA INT'L COMM'L BANK CO LTD</t>
  </si>
  <si>
    <t>MT CARMEL RURAL BANK INC</t>
  </si>
  <si>
    <t>MVSM BANK (A RURAL BANK SINCE 1953)</t>
  </si>
  <si>
    <t>NORTH PACIFIC BANKING CORP (A RB)</t>
  </si>
  <si>
    <t>PARTNER RURAL BANK (COTABATO) INC</t>
  </si>
  <si>
    <t>PHILIPPINE BUSINESS BANK INC A SB</t>
  </si>
  <si>
    <t>PROGRESSIVE BANK INC(PROG.A RB INC)</t>
  </si>
  <si>
    <t>PROGRESSIVE RURAL BANK INC</t>
  </si>
  <si>
    <t>RBG IMPERIAL BANK INC(A RURAL BANK)</t>
  </si>
  <si>
    <t>RB OF PLACER (SURIGAO DEL NORTE)INC</t>
  </si>
  <si>
    <t>RIZAL COMM'L BANKING CORP</t>
  </si>
  <si>
    <t>RURAL BANK OF MAASIN (SO LEYTE) INC</t>
  </si>
  <si>
    <t>SILANGAN SAVINGS &amp; LOAN BANK INC</t>
  </si>
  <si>
    <t>THE BNK OF TOKYO-MITSUBISHI UFJ LTD</t>
  </si>
  <si>
    <t>THE REAL BANK (A THRIFT BANK) INC</t>
  </si>
  <si>
    <t>VILLAGE BANK INC (A THRIFT BANK)</t>
  </si>
  <si>
    <t>RB OF MENDEZ INC</t>
  </si>
  <si>
    <t>RB OF MEXICO INC</t>
  </si>
  <si>
    <t>RB OF MIDSAYAP INC</t>
  </si>
  <si>
    <t>RB OF MONTALBAN INC</t>
  </si>
  <si>
    <t>RB OF NABAS INC</t>
  </si>
  <si>
    <t>RB OF NAGCARLAN INC</t>
  </si>
  <si>
    <t>RB OF NAGUILIAN (LA UNION) INC</t>
  </si>
  <si>
    <t>RB OF NAIC INC</t>
  </si>
  <si>
    <t>RB OF NASUGBU INC</t>
  </si>
  <si>
    <t>RB OF NAVAL INC</t>
  </si>
  <si>
    <t>RB OF NEW CORELLA INC</t>
  </si>
  <si>
    <t>RB OF NORZAGARAY INC</t>
  </si>
  <si>
    <t>RB OF ODIONGAN INC</t>
  </si>
  <si>
    <t>RB OF PADRE BURGOS (SO LEYTE) INC</t>
  </si>
  <si>
    <t>RB OF PAETE INC</t>
  </si>
  <si>
    <t>RB OF PAGADIAN INC</t>
  </si>
  <si>
    <t>RB OF PAGBILAO INC</t>
  </si>
  <si>
    <t>RB OF PAMPLONA (CAMARINES SUR) INC</t>
  </si>
  <si>
    <t>RB OF PAMPLONA(NEGROS OR) INC</t>
  </si>
  <si>
    <t>RB OF MANDAUE INC</t>
  </si>
  <si>
    <t>RB OF PANAY INC</t>
  </si>
  <si>
    <t>RB OF PILAR (BATAAN) INC</t>
  </si>
  <si>
    <t>RB OF PILAR (SORSOGON) INC</t>
  </si>
  <si>
    <t>RB OF PINAMALAYAN INC</t>
  </si>
  <si>
    <t>RB OF PLARIDEL (BULACAN) INC</t>
  </si>
  <si>
    <t>RB OF PLARIDEL (MISAMIS OCC) INC</t>
  </si>
  <si>
    <t>RB OF POTOTAN INC</t>
  </si>
  <si>
    <t>RB OF POZORRUBIO INC</t>
  </si>
  <si>
    <t>x</t>
  </si>
  <si>
    <t>RB OF PRES ROXAS (NO COTABATO) INC</t>
  </si>
  <si>
    <t>RB OF PURA INC</t>
  </si>
  <si>
    <t>RB OF QUEZON (NUEVA ECIJA) INC</t>
  </si>
  <si>
    <t>RB OF RIZAL (LAGUNA) INC</t>
  </si>
  <si>
    <t>RB OF RIZAL (ZAMBOANGA DEL NORTE)</t>
  </si>
  <si>
    <t>RB OF ROSARIO (LA UNION) INC</t>
  </si>
  <si>
    <t>RB OF ROXAS (OR MINDORO) INC</t>
  </si>
  <si>
    <t>RB OF SALINAS INC</t>
  </si>
  <si>
    <t>RB OF SAN ANTONIO(QUEZON) INC</t>
  </si>
  <si>
    <t>RB OF SAN FERNANDO (C S), INC</t>
  </si>
  <si>
    <t>RB OF SAN FERNANDO (CEBU) INC</t>
  </si>
  <si>
    <t>RB OF SAN JOSE (CAMARINES SUR) INC</t>
  </si>
  <si>
    <t>RB OF SAN JUAN (SO LEYTE) INC</t>
  </si>
  <si>
    <t>RB OF SAN LORENZO RUIZ (SINILOAN)</t>
  </si>
  <si>
    <t>RB OF SAN LUIS (BAT) INC</t>
  </si>
  <si>
    <t>RB OF SAN LUIS (PAMPANGA) INC</t>
  </si>
  <si>
    <t>RB OF SAN MANUEL (ISABELA) INC</t>
  </si>
  <si>
    <t>RB OF SAN MARCELINO INC</t>
  </si>
  <si>
    <t>RB OF SAN MATEO(ISABELA) INC</t>
  </si>
  <si>
    <t>RB OF SAN MIGUEL (ILOILO) INC</t>
  </si>
  <si>
    <t>RB OF SAN NICOLAS (PANGASINAN) INC</t>
  </si>
  <si>
    <t>RB OF SAN QUINTIN INC</t>
  </si>
  <si>
    <t>RB OF SAN RAFAEL (BULACAN) INC</t>
  </si>
  <si>
    <t>RB OF SAPIAN INC</t>
  </si>
  <si>
    <t>RB OF SILAY CITY INC</t>
  </si>
  <si>
    <t>RB OF STA BARBARA (ILOILO) INC</t>
  </si>
  <si>
    <t>RB OF STA MARIA (ILOCOS SUR) INC</t>
  </si>
  <si>
    <t>RB OF STA ROSA (LAGUNA) INC</t>
  </si>
  <si>
    <t>PENBANK INC (A PDB)</t>
  </si>
  <si>
    <t>RB OF STO TOMAS(BAT) INC</t>
  </si>
  <si>
    <t>RB OF STO TOMAS(DAVAO N)</t>
  </si>
  <si>
    <t>RB OF TAAL INC</t>
  </si>
  <si>
    <t>RB OF TAGAYTAY CITY INC</t>
  </si>
  <si>
    <t>RB OF TAGUDIN INC</t>
  </si>
  <si>
    <t>RB OF TALISAY (BATANGAS) INC</t>
  </si>
  <si>
    <t>RB OF TALISAY (CEBU) INC</t>
  </si>
  <si>
    <t>RB OF TAMPAKAN (SO COTABATO) INC</t>
  </si>
  <si>
    <t>RB OF TANJAY INC</t>
  </si>
  <si>
    <t>RB OF TARLAC INC</t>
  </si>
  <si>
    <t>RB OF TAYABAS INC</t>
  </si>
  <si>
    <t>RB OF TUDELA INC</t>
  </si>
  <si>
    <t>RB OF VALENCIA (BUKIDNON) INC</t>
  </si>
  <si>
    <t>RB OF VALENCIA (NEGROS OR) INC</t>
  </si>
  <si>
    <t>RB OF VICTORIA (OR MINDORO) INC</t>
  </si>
  <si>
    <t>RB OF VICTORIA INC</t>
  </si>
  <si>
    <t>RB OF ZAPOTE INC</t>
  </si>
  <si>
    <t>RCBC SAVINGS BANK INC</t>
  </si>
  <si>
    <t>RODRIGUEZ RB INC</t>
  </si>
  <si>
    <t>SALUG VALLEY RB INC</t>
  </si>
  <si>
    <t>SAN BARTOLOME RURAL BANK INC</t>
  </si>
  <si>
    <t>SAN FERNANDO RB INC</t>
  </si>
  <si>
    <t>SAN FRANCISCO DEL MONTE RB INC</t>
  </si>
  <si>
    <t>SARANGANI RURAL BANK INC</t>
  </si>
  <si>
    <t>SAVIOUR RURAL BANK INC</t>
  </si>
  <si>
    <t>BRIDGEWAY RURAL BANKING CORPORATION</t>
  </si>
  <si>
    <t>SECURED BANK INC (A RB)</t>
  </si>
  <si>
    <t>SMART BANK (RURAL BANK) INC</t>
  </si>
  <si>
    <t>SORSOGON PROVINCIAL COOP BANK</t>
  </si>
  <si>
    <t>SOUTHERN LEYTE COOP BANK</t>
  </si>
  <si>
    <t>STERLING BANK OF ASIA INC (A SB)</t>
  </si>
  <si>
    <t>SUGBUANON RB INC</t>
  </si>
  <si>
    <t>SUMMIT BANK (RB OF TUBLAY INC)</t>
  </si>
  <si>
    <t>SUMMIT RB OF LIPA CITY INC</t>
  </si>
  <si>
    <t>SURIGAO CITY EVERGREEN RB INC</t>
  </si>
  <si>
    <t>SURIGAONON RURAL BANKING CORP</t>
  </si>
  <si>
    <t>SYNERGY RURAL BANK INC</t>
  </si>
  <si>
    <t>TAMARAW RB INC</t>
  </si>
  <si>
    <t>TANAY RB INC</t>
  </si>
  <si>
    <t>TIAONG RB INC</t>
  </si>
  <si>
    <t>TOWER DEVELOPMENT BANK</t>
  </si>
  <si>
    <t>TURUMBA RB OF PAKIL INC</t>
  </si>
  <si>
    <t>UCPB SAVINGS BANK</t>
  </si>
  <si>
    <t>UNILINK BANK INC ( A RB)</t>
  </si>
  <si>
    <t>UNITED CONSUMERS RB INC</t>
  </si>
  <si>
    <t>UNITED PEOPLE'S RB INC</t>
  </si>
  <si>
    <t>UNITY BANK (A RB) INC</t>
  </si>
  <si>
    <t>UPLAND RB OF DALAGUETE(CEBU) INC</t>
  </si>
  <si>
    <t>UTILITY BANK INC (A RB)</t>
  </si>
  <si>
    <t>VALIANT RURAL BANK INC</t>
  </si>
  <si>
    <t>VIGAN BANCO RURAL INCORPORADA</t>
  </si>
  <si>
    <t>VIZCAYA BANK A RURAL BANK INC</t>
  </si>
  <si>
    <t>WOMEN'S RURAL BANK INC</t>
  </si>
  <si>
    <t>WORLD PARTNERS BANK (A THRIFT BANK)</t>
  </si>
  <si>
    <t>XAVIER-PUNLA RURAL BANK INC</t>
  </si>
  <si>
    <t>ZAMBOANGA CITY RB INC</t>
  </si>
  <si>
    <t>1ST VALLEY BANK INC (A RB)</t>
  </si>
  <si>
    <t>5 SPEED RURAL BANK INC</t>
  </si>
  <si>
    <t>(5)</t>
  </si>
  <si>
    <t>(4)</t>
  </si>
  <si>
    <t>(3)</t>
  </si>
  <si>
    <t>(2)</t>
  </si>
  <si>
    <t>(1)</t>
  </si>
  <si>
    <t>140200000000000000</t>
  </si>
  <si>
    <t>140150300000000000</t>
  </si>
  <si>
    <t>Total</t>
  </si>
  <si>
    <t>Account Code</t>
  </si>
  <si>
    <t>a.</t>
  </si>
  <si>
    <t>$$$</t>
  </si>
  <si>
    <t>TOTAL</t>
  </si>
  <si>
    <t>Loans and Receivables Arising from Repurchase Agreements, Certificates of Assignment/Participation with Recourse and Securities Lending and Borrowing Transactions</t>
  </si>
  <si>
    <t>Total Loan Portfolio</t>
  </si>
  <si>
    <t>NEW RURAL BANK OF TAGKAWAYAN INC</t>
  </si>
  <si>
    <t>Wholesale lending of a bank to conduit non-bank financial institutions without quasi-banking authority other than for on-lending to MSMEs (Sch. 1A-1)</t>
  </si>
  <si>
    <t>Loans granted under special financing programs other than those for MSMEs (Sch. 1A-2)</t>
  </si>
  <si>
    <t>140100000000000000</t>
  </si>
  <si>
    <t>140180000000000000</t>
  </si>
  <si>
    <t>168050000000000000</t>
  </si>
  <si>
    <t>168100000000000000</t>
  </si>
  <si>
    <t>168150000000000000</t>
  </si>
  <si>
    <t>168200000000000000</t>
  </si>
  <si>
    <t>168250000000000000</t>
  </si>
  <si>
    <t>Total Exclusions from Loan Portfolio</t>
  </si>
  <si>
    <t>168000000000000000</t>
  </si>
  <si>
    <t>III. Total Loan Portfolio Net of Exclusions (I - II)</t>
  </si>
  <si>
    <t>140180500000000000</t>
  </si>
  <si>
    <t>1.</t>
  </si>
  <si>
    <t>2.</t>
  </si>
  <si>
    <t>3.</t>
  </si>
  <si>
    <t>_a</t>
  </si>
  <si>
    <t>_b</t>
  </si>
  <si>
    <t>_c</t>
  </si>
  <si>
    <t>Seq No</t>
  </si>
  <si>
    <t>1</t>
  </si>
  <si>
    <t>Micro</t>
  </si>
  <si>
    <t>Small</t>
  </si>
  <si>
    <t>Medium</t>
  </si>
  <si>
    <t>Micro and Small</t>
  </si>
  <si>
    <t>Schedule 1A</t>
  </si>
  <si>
    <t>Name of Conduit NBFIs</t>
  </si>
  <si>
    <t>Schedule 1A-1</t>
  </si>
  <si>
    <t>WHOLESALE LENDING OF A BANK TO CONDUIT NON-BANK FINANCIAL INSTITUTIONS (NBFIs)</t>
  </si>
  <si>
    <t>AB CAPITAL AND INVESTMENT CORPORATION</t>
  </si>
  <si>
    <t>BDO LEASING AND FINANCE INC</t>
  </si>
  <si>
    <t>BPI CAPITAL CORPORATION</t>
  </si>
  <si>
    <t>GM BANK OF LUZON INC (A RURAL BANK)</t>
  </si>
  <si>
    <t>INSULAR INVESTMENT AND TRUST CORPORATION</t>
  </si>
  <si>
    <t>METROBANK CARD CORPORATION(A FINANCE COMPANY)</t>
  </si>
  <si>
    <t>MULTINATIONAL INVESTMENT BANCORPORATION</t>
  </si>
  <si>
    <t>PENTACAPITAL AND INVESTMENT</t>
  </si>
  <si>
    <t>PHILIPPINE COMMERCIAL CAPITAL, INC.</t>
  </si>
  <si>
    <t>PHILIPPINE DEPOSITORY AND TRUST CORP.</t>
  </si>
  <si>
    <t>STATE INVESTMENT TRUST, INC.</t>
  </si>
  <si>
    <t>WISE CAPITAL INVESTMENT AND TRUST CO., INC.</t>
  </si>
  <si>
    <t>MICRO, SMALL AND MEDIUM ENTERPRISES</t>
  </si>
  <si>
    <t>Schedule 1A-2</t>
  </si>
  <si>
    <t>LOANS GRANTED UNDER SPECIAL FINANCING PROGRAM OTHER THAN</t>
  </si>
  <si>
    <t>FOR MICRO, SMALL AND MEDIUM ENTERPRISES</t>
  </si>
  <si>
    <t>LOANS GRANTED TO MICRO, SMALL AND MEDIUM ENTERPRISES OTHER THAN TO BMBEs</t>
  </si>
  <si>
    <t>Schedule 1A-3</t>
  </si>
  <si>
    <t xml:space="preserve">I.  </t>
  </si>
  <si>
    <t>Total Loan Portfolio Net of Exclusions (Schedule 1A)</t>
  </si>
  <si>
    <t xml:space="preserve">II.  </t>
  </si>
  <si>
    <t>Minimum Amount Required to be Allocated for:</t>
  </si>
  <si>
    <t>A.</t>
  </si>
  <si>
    <t>140180500000000001</t>
  </si>
  <si>
    <t>B.</t>
  </si>
  <si>
    <t>140180500000000002</t>
  </si>
  <si>
    <t xml:space="preserve">III.  </t>
  </si>
  <si>
    <t>Compliance with Prescribed Allocation of Loan Portfolio to Micro, Small and Medium Enterprises</t>
  </si>
  <si>
    <t>Additional information:</t>
  </si>
  <si>
    <t>Micro and Small Enterprises</t>
  </si>
  <si>
    <t>1. Total eligible investment for MSEs (Sch. 1B)</t>
  </si>
  <si>
    <t>140180500000100001</t>
  </si>
  <si>
    <t>a. Direct compliance for MSEs</t>
  </si>
  <si>
    <t>140180500000110001</t>
  </si>
  <si>
    <t>b. Alternative compliance for MSEs</t>
  </si>
  <si>
    <t>140180500000120001</t>
  </si>
  <si>
    <t>2. Excess/(Deficiency) (III.A.1 - II.A)</t>
  </si>
  <si>
    <t>140180500000210001</t>
  </si>
  <si>
    <t>3. Percentage of compliance for MSEs (III.A.1/ I)</t>
  </si>
  <si>
    <t>140180500000300001</t>
  </si>
  <si>
    <t>Medium Enterprises</t>
  </si>
  <si>
    <t>1. Total eligible investments for MEs (Sch. 1B)</t>
  </si>
  <si>
    <t>140180500000100002</t>
  </si>
  <si>
    <t xml:space="preserve">a. Direct compliance for MEs </t>
  </si>
  <si>
    <t>140180500000110002</t>
  </si>
  <si>
    <t xml:space="preserve">b. Alternative compliance for MEs </t>
  </si>
  <si>
    <t>140180500000120002</t>
  </si>
  <si>
    <t>2. Excess/(Deficiency) (III.B.1 - II.B)</t>
  </si>
  <si>
    <t>140180500000210002</t>
  </si>
  <si>
    <t>3. Percentage of compliance for MEs [(III.B.1)/ I]</t>
  </si>
  <si>
    <t>140180500000300002</t>
  </si>
  <si>
    <t>Report the amortized cost of loans (gross of allowance for credit losses)</t>
  </si>
  <si>
    <t>Report exposures other than those booked in the FCDU/EFCDU</t>
  </si>
  <si>
    <t>Credit exposures may be used as alternative compliance for either or both MSEs or/and MEs.</t>
  </si>
  <si>
    <t>SME Unified Lending Opportunities for National Growth (SULONG)</t>
  </si>
  <si>
    <t>As of Current Quarter</t>
  </si>
  <si>
    <t>Micro 1/</t>
  </si>
  <si>
    <t>Small 1/</t>
  </si>
  <si>
    <t>Direct Compliance 2/</t>
  </si>
  <si>
    <t>140180500000110000</t>
  </si>
  <si>
    <t xml:space="preserve">1. </t>
  </si>
  <si>
    <t>140180500500110000</t>
  </si>
  <si>
    <t>140180501000110000</t>
  </si>
  <si>
    <t>140180501500110000</t>
  </si>
  <si>
    <t>4.</t>
  </si>
  <si>
    <t>Purchase/discount on a "with or without recourse" basis of MSME receivables other than BMBE receivables</t>
  </si>
  <si>
    <t>140180502000110000</t>
  </si>
  <si>
    <t>a.  With recourse basis</t>
  </si>
  <si>
    <t>b.  Without recourse basis</t>
  </si>
  <si>
    <t>5.</t>
  </si>
  <si>
    <t>140180502500110000</t>
  </si>
  <si>
    <t>b.  Participating non-bank financial institutions without quasi-banking authority</t>
  </si>
  <si>
    <t>Alternative Compliance 2/</t>
  </si>
  <si>
    <t>140180500000120000</t>
  </si>
  <si>
    <t>140180500500120000</t>
  </si>
  <si>
    <t>140180501000120000</t>
  </si>
  <si>
    <t>Loans granted to BMBEs (Sch. 2)</t>
  </si>
  <si>
    <t>140180501500120000</t>
  </si>
  <si>
    <t>Total Compliance (I + II)</t>
  </si>
  <si>
    <t>140180500000100000</t>
  </si>
  <si>
    <t>140180500500600000</t>
  </si>
  <si>
    <t>140180501000600000</t>
  </si>
  <si>
    <t>140180501500600000</t>
  </si>
  <si>
    <t>a. NCR</t>
  </si>
  <si>
    <t>140180501500610000</t>
  </si>
  <si>
    <t>b. Luzon (other than NCR)</t>
  </si>
  <si>
    <t>140180501500620000</t>
  </si>
  <si>
    <t>c. Visayas</t>
  </si>
  <si>
    <t>140180501500630000</t>
  </si>
  <si>
    <t>d. Mindanao</t>
  </si>
  <si>
    <t>140180501500640000</t>
  </si>
  <si>
    <t>Outstanding Loans to BMBEs 2/</t>
  </si>
  <si>
    <t>Maximum Amount Eligible for RA No. 6977 and/or PD 717 Compliance</t>
  </si>
  <si>
    <t>Amount Used as Compliance</t>
  </si>
  <si>
    <t>Total Amount Used as Compliance with RA No. 6977 and PD 717</t>
  </si>
  <si>
    <t>With RA No. 6977 5/</t>
  </si>
  <si>
    <t>With PD 717</t>
  </si>
  <si>
    <t>MSE</t>
  </si>
  <si>
    <t>ME</t>
  </si>
  <si>
    <t xml:space="preserve">Loans Directly Granted to BMBEs </t>
  </si>
  <si>
    <t>140180501505120000</t>
  </si>
  <si>
    <t>Own funds 3/</t>
  </si>
  <si>
    <t>140180501505121000</t>
  </si>
  <si>
    <t>Funds from government-owned banks and other government financial institutions 4/</t>
  </si>
  <si>
    <t>140180501505122000</t>
  </si>
  <si>
    <t>Loans Granted by Government Owned Banks to Accredited Private Banking and Other Financial Institutions for On-Lending to BMBEs  4/</t>
  </si>
  <si>
    <t>140180500510120000</t>
  </si>
  <si>
    <t xml:space="preserve">Total Loans Granted to BMBEs (I + II) </t>
  </si>
  <si>
    <t>Number of borrowers under Items I.1 and I.2</t>
  </si>
  <si>
    <t>140180501505600000</t>
  </si>
  <si>
    <t>Geographical distribution of outstanding loans</t>
  </si>
  <si>
    <t>BPI GLOBE BANKO INC A SAVINGS BANK</t>
  </si>
  <si>
    <t>140180501510600000</t>
  </si>
  <si>
    <t>140180501510610000</t>
  </si>
  <si>
    <t>140180501510620000</t>
  </si>
  <si>
    <t>140180501510630000</t>
  </si>
  <si>
    <t>140180501510640000</t>
  </si>
  <si>
    <t>Report the amortized cost of loans (gross of allowance for credit losses).</t>
  </si>
  <si>
    <t>Geographical distribution of outstanding loans under Items I.1, I.2 and I.3a</t>
  </si>
  <si>
    <t>1ST MACRO BANK INC (A RURAL BANK)</t>
  </si>
  <si>
    <t>BANCO DE MINDORO INC (A RURAL BANK)</t>
  </si>
  <si>
    <t>BANGKO RURAL NG SAN TEODORO, INC</t>
  </si>
  <si>
    <t>BDO ELITE SAVINGS BANK INC</t>
  </si>
  <si>
    <t>CENTURY SAVINGS BANK CORPORATION</t>
  </si>
  <si>
    <t>CSFIRST BANK INC - A RURAL BANK</t>
  </si>
  <si>
    <t>D' ASIAN HILLS BANK INC (A RB)</t>
  </si>
  <si>
    <t>FIRST INTEGRITY BNK INC (RB BAILEN)</t>
  </si>
  <si>
    <t>Loans granted to BMBEs shall be computed at twice the amount of the outstanding balance of the loans: Provided, That loans used as alternative compliance with PD 717 which were computed twice their outstanding balance shall no longer be eligible as compliance with RA No. 6977, as amended, during the same period and vice-versa: Provided, further, That said loans may be used as alternative compliance with both PD 717 and RA No. 6977, as amended, at the same time at the maximum amount of 100% of their outstanding balance each.</t>
  </si>
  <si>
    <t>Loans used as alternative compliance with RA No. 6977, as amended, computed at either twice their outstanding balance or their maximum amount of 100% may be used as alternative compliance for either or both the prescribed portions of loan portfolio to be allocated to micro and small enterprises (MSEs) and medium enterprises (MEs), respectively, as long as the aggregate amount used does not exceed twice their outstanding balance or their maximum amount of 100%, as the case may be.</t>
  </si>
  <si>
    <t>Medium 1/</t>
  </si>
  <si>
    <t>Consolidated MSME</t>
  </si>
  <si>
    <t>CONSOLIDATED REPORT ON COMPLIANCE WITH MANDATORY CREDIT ALLOCATION</t>
  </si>
  <si>
    <t>Total eligible investment for MSEs (Sch. 1B)</t>
  </si>
  <si>
    <t>Direct compliance for MSEs</t>
  </si>
  <si>
    <t>b.</t>
  </si>
  <si>
    <t>Alternative compliance for MSEs</t>
  </si>
  <si>
    <t>Excess/(Deficiency) (III.A.1 - II.A)</t>
  </si>
  <si>
    <t>Excess compliance of a bank/s used by another bank/s</t>
  </si>
  <si>
    <t>140180500000220001</t>
  </si>
  <si>
    <t>Total compliance for MSEs (III.A.1 + III.A.3)</t>
  </si>
  <si>
    <t>140180500000200001</t>
  </si>
  <si>
    <t>Percentage of compliance for MSEs (III.A.4/ I )</t>
  </si>
  <si>
    <t>Total eligible investment for MEs (Sch. 1B)</t>
  </si>
  <si>
    <t>Direct compliance for MEs</t>
  </si>
  <si>
    <t>RACSO'S BANK INC (A RURAL BANK)</t>
  </si>
  <si>
    <t>Alternative compliance for MEs</t>
  </si>
  <si>
    <t>Excess/(Deficiency) (III.B.1 - II.B)</t>
  </si>
  <si>
    <t>140180500000220002</t>
  </si>
  <si>
    <t>Total compliance for MEs (III.B.1 + III.B.3)</t>
  </si>
  <si>
    <t>140180500000200002</t>
  </si>
  <si>
    <t>Outstanding Loans 2/</t>
  </si>
  <si>
    <t>Special Financing Program 1/</t>
  </si>
  <si>
    <t>1/</t>
  </si>
  <si>
    <t>2/</t>
  </si>
  <si>
    <t>Specify type of special financing [e.g., Industrial Guarantee and Loan Fund, Agricultural Loan Fund, Kabalikat sa Pagpapaunlad ng Industriya (KASAPI), etc.]</t>
  </si>
  <si>
    <t>Amount</t>
  </si>
  <si>
    <t>Main Report</t>
  </si>
  <si>
    <t>Schedule 1B</t>
  </si>
  <si>
    <t>Schedule 1B1</t>
  </si>
  <si>
    <t>Schedule 2</t>
  </si>
  <si>
    <t xml:space="preserve">COMPUTATION OF TOTAL LOAN PORTFOLIO FOR PURPOSES OF </t>
  </si>
  <si>
    <t>Report loans other than those booked in the FCDU/EFCDU.</t>
  </si>
  <si>
    <t>Validated against the FRP of previous quarter.</t>
  </si>
  <si>
    <t xml:space="preserve">Report the amortized cost of loans (gross of allowance for credit losses). </t>
  </si>
  <si>
    <t>REQUIRED UNDER R.A. 6977 (As amended by R.A. Nos. 8289 and 9501) 1/</t>
  </si>
  <si>
    <t>Bank / Parent Bank 1/</t>
  </si>
  <si>
    <t>Outstanding Loans as of Previous Quarter 1/</t>
  </si>
  <si>
    <t>Interbank Loan Receivables 3/</t>
  </si>
  <si>
    <t>Loans and Receivables 3/</t>
  </si>
  <si>
    <t>Loans and Receivables Arising from Repurchase Agreements, Certificates of Assignment/Participation with Recourse and Securities Lending and Borrowing Transactions 3/</t>
  </si>
  <si>
    <r>
      <t xml:space="preserve">Oustanding Loans </t>
    </r>
    <r>
      <rPr>
        <sz val="8"/>
        <rFont val="Arial"/>
        <family val="2"/>
      </rPr>
      <t>1/</t>
    </r>
  </si>
  <si>
    <t/>
  </si>
  <si>
    <t>- Solo Reports</t>
  </si>
  <si>
    <t>v1.0</t>
  </si>
  <si>
    <t>ALLIED BANKING CORP</t>
  </si>
  <si>
    <t>ANZ BANKING GROUP LTD</t>
  </si>
  <si>
    <t>ASIA UNITED BANK CORPORATION</t>
  </si>
  <si>
    <t>BANGKOK BANK PUBLIC CO LTD</t>
  </si>
  <si>
    <t>BANK OF AMERICA N.A.</t>
  </si>
  <si>
    <t>BANK OF COMMERCE</t>
  </si>
  <si>
    <t>BANK OF THE PHIL ISLANDS</t>
  </si>
  <si>
    <t>BDO PRIVATE BANK, INC.</t>
  </si>
  <si>
    <t>CHINA BANKING CORP</t>
  </si>
  <si>
    <t>CITIBANK, N.A.</t>
  </si>
  <si>
    <t>DEUTSCHE BANK AG</t>
  </si>
  <si>
    <t>DEVELOPMENT BANK OF THE PHIL</t>
  </si>
  <si>
    <t>EAST WEST BANKING CORP</t>
  </si>
  <si>
    <t>EXPORT AND INDUSTRY BANK INC</t>
  </si>
  <si>
    <t>HONGKONG &amp; SHANGHAI BANKING CORP</t>
  </si>
  <si>
    <t>INTERNATIONALE NEDERLANDEN GROEP BK</t>
  </si>
  <si>
    <t>KOREA EXCHANGE BANK</t>
  </si>
  <si>
    <t>LAND BANK OF THE  PHILIPPINES</t>
  </si>
  <si>
    <t>MAYBANK PHILIPPINES INC</t>
  </si>
  <si>
    <t>METROPOLITAN BANK &amp; TCO</t>
  </si>
  <si>
    <t>PHIL BANK OF COMMUNICATIONS</t>
  </si>
  <si>
    <t>PHIL NATIONAL BANK</t>
  </si>
  <si>
    <t>PHIL TRUST COMPANY</t>
  </si>
  <si>
    <t>PHILIPPINE VETERANS BANK</t>
  </si>
  <si>
    <t>SECURITY BANK CORP</t>
  </si>
  <si>
    <t>STANDARD CHARTERED BANK</t>
  </si>
  <si>
    <t>UNION BANK OF THE PHILS</t>
  </si>
  <si>
    <t>UNITED COCONUT PLANTERS BANK</t>
  </si>
  <si>
    <t>Percentage of compliance for MEs (III.B.4/ I)</t>
  </si>
  <si>
    <t>Interbank loans receivable other than (a) wholesale lending of a bank to conduit banks/quasi-banks for on-lending to MSMEs, and (b) rediscounting facility granted to another bank for loans to MSMEs 4/</t>
  </si>
  <si>
    <t>Loans granted to MSMEs other than to BMBEs, to the extent funded by wholesale lending of or rediscounted with another bank (Sch. 1A-3)</t>
  </si>
  <si>
    <t>(6)</t>
  </si>
  <si>
    <t>(7)</t>
  </si>
  <si>
    <t>ROBINSONS BANK CORPORATION</t>
  </si>
  <si>
    <t>Agrarian reform credits/other agricultural loans granted under P.D. 717, other than those eligible for compliance with the mandatory allocation of credits for MSMEs</t>
  </si>
  <si>
    <t>Development loans incentives under R.A. No. 7721 granted by banks other than branches of foreign banks</t>
  </si>
  <si>
    <t>168220000000000000</t>
  </si>
  <si>
    <t>168240000000000000</t>
  </si>
  <si>
    <t xml:space="preserve">DETERMINING AMOUNT OF MANDATORY CREDIT ALLOCATION FOR </t>
  </si>
  <si>
    <t>Total deductions from Interbank Loans Receivable shall be validated against the sum of Item I.4.a of Schedule 1B and Item II.1 of Schedule 2 of the previous quarter.</t>
  </si>
  <si>
    <t>3/</t>
  </si>
  <si>
    <t>4/</t>
  </si>
  <si>
    <t xml:space="preserve">Name of Bank </t>
  </si>
  <si>
    <t>WHICH ARE FUNDED BY WHOLESALE LENDING OF OR REDISCOUNTED WITH ANOTHER BANK 1/</t>
  </si>
  <si>
    <t xml:space="preserve">A. </t>
  </si>
  <si>
    <t>Which Granted Wholesale Loans</t>
  </si>
  <si>
    <t>Wholesalers' Funds  3/</t>
  </si>
  <si>
    <t>Own Funds</t>
  </si>
  <si>
    <t xml:space="preserve">B. </t>
  </si>
  <si>
    <t>Which Granted Rediscounting Facility</t>
  </si>
  <si>
    <t>168200000000000200</t>
  </si>
  <si>
    <t>168200000000000100</t>
  </si>
  <si>
    <t>Outstanding Retail Loans Granted 2/</t>
  </si>
  <si>
    <t>Only this amount shall be deducted from the total loan portfolio.</t>
  </si>
  <si>
    <t>Actual extension of loans to eligible MSMEs other than to BMBEs, excluding those to the extent funded by wholesale lending of or rediscounted with another bank as shown in Sch 1B-1 3/</t>
  </si>
  <si>
    <t>Purchase of eligible MSME loans under Item1 above on a "without recourse" basis from other banks and other financial institutions</t>
  </si>
  <si>
    <t>Wholesale lending or rediscounting facility granted to participating financial institutions (PFIs) for on-lending to MSMEs as shown in Sch 1B-2 other than those for on-lending to BMBEs 4/</t>
  </si>
  <si>
    <t>a.  Participating banks/quasi-banks 5/</t>
  </si>
  <si>
    <t>Commercial letters of credit outstanding, net of margin deposits, for the account of MSMEs</t>
  </si>
  <si>
    <t>a.  Commercial letters of credit outstanding</t>
  </si>
  <si>
    <t>RNG COASTAL BANK INC(A RURAL BANK)</t>
  </si>
  <si>
    <t>b.  Margin deposits for commercial letters of credit outstanding</t>
  </si>
  <si>
    <t>Paid subscription/purchase of liability instruments of SB Corporation  6/</t>
  </si>
  <si>
    <t>Paid subscription of preferred shares of stock of the SB Corporation 6/</t>
  </si>
  <si>
    <t>Number of borrowers other than BMBEs  7/</t>
  </si>
  <si>
    <t>Loans extended under the SULONG  Program 8/</t>
  </si>
  <si>
    <t xml:space="preserve">This shall include loans granted to export, import and domestic micro and small and medium scale traders other than to BMBEs, excluding those to the extent funded by wholesale lending of or rediscounted with another bank </t>
  </si>
  <si>
    <t>This shall include wholesale lending to participating financial institutions (PFIs) for on-lending to export, import, and domestic micro and small scale traders, other than to BMBEs.</t>
  </si>
  <si>
    <t>This amount shall be validated against Schedule 1A next quarter, i.e. Interbank Loans Receivable in FRP minus this amount and Item II.1 of Schedule 2 shall equal Item II.I of Schedule IA next quarter.</t>
  </si>
  <si>
    <t>140180502000111000</t>
  </si>
  <si>
    <t>140180502000112000</t>
  </si>
  <si>
    <t>140180502500113000</t>
  </si>
  <si>
    <t>140180502500114000</t>
  </si>
  <si>
    <t>140180503000110000</t>
  </si>
  <si>
    <t>140180503005110000</t>
  </si>
  <si>
    <t>140180503010110000</t>
  </si>
  <si>
    <t>REPORT ON COMPLIANCE WITH MANDATORY CREDIT ALLOCATION</t>
  </si>
  <si>
    <t>REQUIRED UNDER R. A. 6977 (As amended by R. A. Nos. 8289 and 9501)</t>
  </si>
  <si>
    <t>DETAILS OF ELIGIBLE INVESTMENTS FOR COMPLIANCE WITH THE REQUIRED</t>
  </si>
  <si>
    <t>LOANS GRANTED TO MICRO SMALL AND MEDIUM ENTERPRISES OTHER THAN TO BMBEs</t>
  </si>
  <si>
    <t>140180501000110100</t>
  </si>
  <si>
    <t>Rediscounted Amount 3/</t>
  </si>
  <si>
    <t>Unrediscounted Amount</t>
  </si>
  <si>
    <t>140180501000110200</t>
  </si>
  <si>
    <t>Schedule 1B2</t>
  </si>
  <si>
    <t xml:space="preserve">MICRO SMALL AND MEDIUM ENTERPRISES OTHER THAN TO BMBEs </t>
  </si>
  <si>
    <t>Amount Granted/Rediscounted 1/</t>
  </si>
  <si>
    <t>Which Received Wholesale Loans</t>
  </si>
  <si>
    <t>WHOLESALE LENDING OR REDISCOUNTING FACILITY GRANTED TO PARTICIPATING</t>
  </si>
  <si>
    <t xml:space="preserve">FINANCIAL INSTITUTIONS (PFI) FOR ON-LENDING TO  </t>
  </si>
  <si>
    <t>140180502500113100</t>
  </si>
  <si>
    <t>Which Availed of Rediscounting Facility</t>
  </si>
  <si>
    <t>140180502500113200</t>
  </si>
  <si>
    <t>Total Loans Granted/Rediscounted 2/</t>
  </si>
  <si>
    <t>140180502500114100</t>
  </si>
  <si>
    <t>140180502500114200</t>
  </si>
  <si>
    <t>_d</t>
  </si>
  <si>
    <t>LOANS GRANTED TO BMBEs  1/</t>
  </si>
  <si>
    <t>Banks/quasi-banks</t>
  </si>
  <si>
    <t>Non-bank financial institutions without quasi-banking authority</t>
  </si>
  <si>
    <t>140180500510123000</t>
  </si>
  <si>
    <t>140180500510124000</t>
  </si>
  <si>
    <t>To be validated against Schedule 1A-3 of the next quarter.</t>
  </si>
  <si>
    <t>Only this amount shall be excluded as compliance.</t>
  </si>
  <si>
    <t xml:space="preserve">1/ </t>
  </si>
  <si>
    <t xml:space="preserve">2/ </t>
  </si>
  <si>
    <t>AURORABANK (A MF-ORIENTED RB) INC</t>
  </si>
  <si>
    <t>PHIL RESOURCES SB CORP (PR SB)</t>
  </si>
  <si>
    <t>ATR-KIM ENG CAP PARTNERS INC</t>
  </si>
  <si>
    <t>BANCO DIPOLOG INC A RURAL BANK</t>
  </si>
  <si>
    <t>COMMON WEALTH RB INC</t>
  </si>
  <si>
    <t>ONE NETWORK BANK INC (A RB)</t>
  </si>
  <si>
    <t>SUN SAVINGS BANK INC</t>
  </si>
  <si>
    <t>BDO UNIBANK INC</t>
  </si>
  <si>
    <t>MISAMIS BANK INC A RURAL BANK</t>
  </si>
  <si>
    <t>QUEZON COCONUT BANK INC (A TB)</t>
  </si>
  <si>
    <t>RURAL BANK OF RONDA INC</t>
  </si>
  <si>
    <t>BANCO COOPERATIVA DE ZAMBOANGA</t>
  </si>
  <si>
    <t xml:space="preserve">COMSAVINGS BANK                    </t>
  </si>
  <si>
    <t xml:space="preserve">RURAL BANK OF LINGAYEN INC         </t>
  </si>
  <si>
    <t>LIBERTY BANK (A RURAL BANK) INC</t>
  </si>
  <si>
    <t xml:space="preserve">MARITIME SAVINGS BANK CORPORATION  </t>
  </si>
  <si>
    <t xml:space="preserve">PROGRESS SAVINGS AND LOAN BANK INC </t>
  </si>
  <si>
    <t xml:space="preserve">RB OF TALUGTUG (NE) INC            </t>
  </si>
  <si>
    <t xml:space="preserve">VALIANT BANK INC (A RURAL BANK)    </t>
  </si>
  <si>
    <t>BANK OF ORMOC, INC. (A RURAL BANK)</t>
  </si>
  <si>
    <t>PEOPLES BANK OF CARAGA, INC. (A RURAL BANK)</t>
  </si>
  <si>
    <t>SECURITY BANK SAVINGS CORPORATION</t>
  </si>
  <si>
    <t>ENTERPRISE BANK INC (A THRIFT BANK)</t>
  </si>
  <si>
    <t>COOPERATIVE BANK OF AGUSAN NORTE-BUTUAN CITY</t>
  </si>
  <si>
    <t>COOPERATIVE RURAL BANK OF BOHOL</t>
  </si>
  <si>
    <t>COUNTRYSIDE COOP RB OF BATANGAS</t>
  </si>
  <si>
    <t>CAVITE UNITED RURAL BANK CORP</t>
  </si>
  <si>
    <t>SG BANK - A RURAL BANK INC</t>
  </si>
  <si>
    <t>AGRIBUSINESS RURAL BANK INC</t>
  </si>
  <si>
    <t>AGRICOM RURAL BANK INC</t>
  </si>
  <si>
    <t>ALIAGA FARMERS RURAL BANK INC</t>
  </si>
  <si>
    <t>AMA RURAL BANK OF MANDALUYONG INC</t>
  </si>
  <si>
    <t>ASIAN CONSUMERS BANK INC - A RB</t>
  </si>
  <si>
    <t>BAGONG BANGKO RURAL NG MALABANG (LS</t>
  </si>
  <si>
    <t>BANCO RURAL DE GEN TINIO (BRGT) INC</t>
  </si>
  <si>
    <t>BANCO RURAL DE ISLA CORDOVA (CEBU)</t>
  </si>
  <si>
    <t>BANCO SANTIAGO DE LIBON INC</t>
  </si>
  <si>
    <t>BANGKO NUESTRA SRA DEL PILAR INC</t>
  </si>
  <si>
    <t>BANGKO RURAL NG PASACAO(CAM SUR)INC</t>
  </si>
  <si>
    <t>BANGKO RURAL NG TAGOLOAN (MIS OR)</t>
  </si>
  <si>
    <t>BANKO ZAMBALENO INC (BZI) (A RB)</t>
  </si>
  <si>
    <t>BANNAWAG BANK INC (A RURAL BANK)</t>
  </si>
  <si>
    <t>BATAAN SAVINGS AND LOAN BANK</t>
  </si>
  <si>
    <t>BPI DIRECT SAVINGS BANK INC</t>
  </si>
  <si>
    <t>BPI FAMILY SAVINGS BANK INC</t>
  </si>
  <si>
    <t>BUILDERS' RURAL BANK INC</t>
  </si>
  <si>
    <t>BUKIDNON BANK INC (A RURAL BANK)</t>
  </si>
  <si>
    <t>BUKIDNON COOPERATIVE BANK</t>
  </si>
  <si>
    <t>BUSINESS AND CONSUMERS BANK (A DB)</t>
  </si>
  <si>
    <t>CENTURY RURAL BANK INC</t>
  </si>
  <si>
    <t>CITY SAVINGS BANK INC</t>
  </si>
  <si>
    <t>COMMTY RB OF CATMON (CEBU) INC</t>
  </si>
  <si>
    <t>COMMTY RB OF CLARIN (MIS OCC) INC</t>
  </si>
  <si>
    <t>COMMTY RB OF DAPITAN CITY INC</t>
  </si>
  <si>
    <t>COMMTY RB OF DINGRAS (ILOCOS NO)INC</t>
  </si>
  <si>
    <t>COMMTY RB OF MAGALLON (MP NO) INC</t>
  </si>
  <si>
    <t>COMMTY RB OF MAGSAYSAY (DVO DS) INC</t>
  </si>
  <si>
    <t>COMMTY RB OF MEDELLIN (CEBU) INC</t>
  </si>
  <si>
    <t>COMMTY RB OF ROMBLON (ROMBLON) INC</t>
  </si>
  <si>
    <t>COMMTY RB OF SAN FELIPE (ZAMB) INC</t>
  </si>
  <si>
    <t>COMMTY RB OF SAN GABRIEL (LU) INC</t>
  </si>
  <si>
    <t>COMMUNITY BANK (RB OF ALFONSO INC)</t>
  </si>
  <si>
    <t>COOP BANK OF BENGUET (CBB)</t>
  </si>
  <si>
    <t>COOP BANK OF CAGAYAN</t>
  </si>
  <si>
    <t>COOP BANK OF DAVAO DEL SUR (CBDS)</t>
  </si>
  <si>
    <t>COOP BANK OF PAMPANGA INC(COOPBANK)</t>
  </si>
  <si>
    <t>COOPERATIVE BANK OF ILOCOS NORTE</t>
  </si>
  <si>
    <t>COOPERATIVE BANK OF LEYTE</t>
  </si>
  <si>
    <t>CORDILLERA BANK INC (A RURAL BANK)</t>
  </si>
  <si>
    <t>COUNTRY RB OF TAGIG INC</t>
  </si>
  <si>
    <t>DUMAGUETE CITY DEV BANK INC</t>
  </si>
  <si>
    <t>DUNGGANON BANK (A MF TB) INC</t>
  </si>
  <si>
    <t>EAST COAST RB OF HAGONOY INC</t>
  </si>
  <si>
    <t>EASTERN RIZAL (JALAJALA) RURAL BANK</t>
  </si>
  <si>
    <t>ENTERPRISE CAPITAL BANK INC(TAG RB)</t>
  </si>
  <si>
    <t>FARM BANK INC (A RURAL BANK)</t>
  </si>
  <si>
    <t>FILIDIAN RURAL BANK OF ANTIPOLO INC</t>
  </si>
  <si>
    <t>FIRST COMMUNITY COOP BANK OF MIS OC</t>
  </si>
  <si>
    <t>FIRST ISABELA COOP BANK INC(FICOBNK</t>
  </si>
  <si>
    <t>FIRST NAGA RURAL BANK INC</t>
  </si>
  <si>
    <t>GREEN BANK INC (A RURAL BANK)</t>
  </si>
  <si>
    <t>HIGHLAND RURAL BANK INC</t>
  </si>
  <si>
    <t>HIYAS BANKING CORPORATION</t>
  </si>
  <si>
    <t>ILOCANDIA COMMUNITY BANK (RB OF PAS</t>
  </si>
  <si>
    <t>KATIPUNAN BANK (ZAMB DN) INC "A RB"</t>
  </si>
  <si>
    <t>LA CONSOLACION RURAL BANK INC</t>
  </si>
  <si>
    <t>MACTAN RURAL BANK (LAPU-LAPU) INC</t>
  </si>
  <si>
    <t>MALAYAN BANK SAVINGS AND MORT BANK</t>
  </si>
  <si>
    <t>MALLIG PLAINS RURAL BANK (ISABELA)</t>
  </si>
  <si>
    <t>MASAGANA RURAL BANK (G NAT NE) INC</t>
  </si>
  <si>
    <t>MASUWERTE RB OF BACOOR (CAVITE) INC</t>
  </si>
  <si>
    <t>MEGA RURAL BANK (LUCENA CITY) INC</t>
  </si>
  <si>
    <t>MEYCAUAYAN SECOND RURAL BANK INC</t>
  </si>
  <si>
    <t>MICROFINANCE MAXIMUM SB INC</t>
  </si>
  <si>
    <t>MOUNT MAKILING RURAL BANK INC</t>
  </si>
  <si>
    <t>MUNICIPAL RB OF LIBMANAN(CAM SUR)IN</t>
  </si>
  <si>
    <t>MUNICIPAL RB OF NABUA (CAM SUR) INC</t>
  </si>
  <si>
    <t>NAAWAN COMMUNITY RB (MIS OR) INC</t>
  </si>
  <si>
    <t>NEW RB OF BINALBAGAN (NEG OCC) INC</t>
  </si>
  <si>
    <t>OCC. MINDORO COOP BANK (OMCB)</t>
  </si>
  <si>
    <t>OPTIMUM DEVELOPMENT BANK INC</t>
  </si>
  <si>
    <t>OR TAMARAW RB OF NAUJAN(OR MDO) INC</t>
  </si>
  <si>
    <t>ORMON BANK(RB OF MULANAY(QUEZON)INC</t>
  </si>
  <si>
    <t>PACIFIC ACE SAVINGS BANK INC</t>
  </si>
  <si>
    <t>PANGUIL BAY RB OF OZAMIZ INC</t>
  </si>
  <si>
    <t>PENAFRANCIA RB OF CALABANGA (CS)INC</t>
  </si>
  <si>
    <t>PHIL POSTAL SAVINGS BANK INC</t>
  </si>
  <si>
    <t>PLANBANK "RB OF CANLUBANG PLANTERS</t>
  </si>
  <si>
    <t>PRES JOSE P LAUREL RB (TANAUAN BAT)</t>
  </si>
  <si>
    <t>PROVIDENT RB OF STA CRUZ(LAGUNA)INC</t>
  </si>
  <si>
    <t>QUEEN CITY DB INC OR QUEENBANK A TB</t>
  </si>
  <si>
    <t>RANG-AY BANK INC (A RURAL BANK)</t>
  </si>
  <si>
    <t>RB OF ABUCAY (BATAAN) INC</t>
  </si>
  <si>
    <t>RB OF ALABAT (QUEZON) INC</t>
  </si>
  <si>
    <t>RB OF ALABEL (SARANGANI) INC</t>
  </si>
  <si>
    <t>RB OF ALICIA (ISABELA) INC</t>
  </si>
  <si>
    <t>RB OF ALIMODIAN (ILOILO) INC</t>
  </si>
  <si>
    <t>RB OF ALTAVAS (AKLAN) INC</t>
  </si>
  <si>
    <t>RB OF AMLAN (NEGROS ORIENTAL) INC</t>
  </si>
  <si>
    <t>RB OF ANDA (PANGASINAN) INC</t>
  </si>
  <si>
    <t>RB OF ANGAT (BULACAN) INC</t>
  </si>
  <si>
    <t>RB OF BACO (ORIENTAL MINDORO) INC</t>
  </si>
  <si>
    <t>RB OF BACONG (NEGROS ORIENTAL) INC</t>
  </si>
  <si>
    <t>RB OF BADIANGAN (ILOILO) INC</t>
  </si>
  <si>
    <t>RB OF BAGABAG (N.V.)INC</t>
  </si>
  <si>
    <t>RB OF BAGAC BATAAN INC</t>
  </si>
  <si>
    <t>RB OF BALETE (AKLAN) INC</t>
  </si>
  <si>
    <t>RB OF BALINGASAG (MISAMIS OR) INC</t>
  </si>
  <si>
    <t>RB OF BALUNGAO (PANGASINAN) INC</t>
  </si>
  <si>
    <t>RB OF BAMBANG (NUEVA VIZCAYA) INC</t>
  </si>
  <si>
    <t>RB OF BANAYOYO (ILOCOS SUR) INC</t>
  </si>
  <si>
    <t>RB OF BANGA (AKLAN) INC</t>
  </si>
  <si>
    <t>RB OF BANGAR (LA UNION) INC</t>
  </si>
  <si>
    <t>RB OF BANSUD (ORIENTAL MINDORO) INC</t>
  </si>
  <si>
    <t>RB OF BARILI (CEBU) INC</t>
  </si>
  <si>
    <t>RB OF BAROTAC VIEJO (ILOILO) INC</t>
  </si>
  <si>
    <t>RB OF BASAY (NEGROS ORIENTAL) INC</t>
  </si>
  <si>
    <t>RB OF BASEY (SAMAR) INC</t>
  </si>
  <si>
    <t>RB OF BATO (LEYTE) INC</t>
  </si>
  <si>
    <t>RB OF BAYAMBANG (PANGASINAN) INC</t>
  </si>
  <si>
    <t>RB OF BAYAWAN (NEGROS ORIENTAL) INC</t>
  </si>
  <si>
    <t>RB OF BOGO (CEBU) INC</t>
  </si>
  <si>
    <t>RB OF BOLINAO (PANG) INC</t>
  </si>
  <si>
    <t>RB OF BONGABONG (OR MINDORO) INC</t>
  </si>
  <si>
    <t>RB OF BONIFACIO (MISAMIS OCC) INC</t>
  </si>
  <si>
    <t>RB OF BONTOC (MT PROVINCE) INC</t>
  </si>
  <si>
    <t>RB OF BORONGAN (EASTERN SAMAR) INC</t>
  </si>
  <si>
    <t>RB OF BROOKE'S POINT (PALAWAN) INC</t>
  </si>
  <si>
    <t>RB OF BUCAY (ABRA) INC</t>
  </si>
  <si>
    <t>RB OF BUENAVISTA (AGUSAN DN) INC</t>
  </si>
  <si>
    <t>RB OF BUGASONG (ANTIQUE) INC</t>
  </si>
  <si>
    <t>RB OF BUGUIAS (BENGUET) INC</t>
  </si>
  <si>
    <t>RB OF CABA (LA UNION) INC</t>
  </si>
  <si>
    <t>RB OF CABADBARAN (AGUSAN) INC</t>
  </si>
  <si>
    <t>RB OF CABANGAN (ZAMBALES) INC</t>
  </si>
  <si>
    <t>RB OF CABUGAO (ILOCOS SUR) INC</t>
  </si>
  <si>
    <t>RB OF CALAMBA (LAGUNA) INC</t>
  </si>
  <si>
    <t>RB OF CALINOG (ILOILO) INC</t>
  </si>
  <si>
    <t>RB OF CAMALIG (ALBAY) INC</t>
  </si>
  <si>
    <t>RB OF CANDELARIA INC</t>
  </si>
  <si>
    <t>RB OF CAPALONGA (CAM NORTE) INC</t>
  </si>
  <si>
    <t>RB OF CARDONA (RIZAL) INC</t>
  </si>
  <si>
    <t>RB OF CASIGURAN (AURORA) INC</t>
  </si>
  <si>
    <t>RB OF CATUBIG (NORTHERN SAMAR) INC</t>
  </si>
  <si>
    <t>RB OF CAUAYAN INC</t>
  </si>
  <si>
    <t>RB OF CAVINTI (LAGUNA) INC</t>
  </si>
  <si>
    <t>RB OF CENTRAL PANGASINAN (BAYAMBANG</t>
  </si>
  <si>
    <t>RB OF CLAVERIA (CAGAYAN) INC</t>
  </si>
  <si>
    <t>RB OF COMPOSTELA (DAVAO DN) INC</t>
  </si>
  <si>
    <t>RB OF CUARTERO (CAPIZ) INC</t>
  </si>
  <si>
    <t>RB OF CUYO (PALAWAN) INC</t>
  </si>
  <si>
    <t>RB OF DONA R TRINIDAD (BULACAN) INC</t>
  </si>
  <si>
    <t>RB OF DONSOL (SORSOGON) INC</t>
  </si>
  <si>
    <t>RB OF DULAG (LEYTE) INC</t>
  </si>
  <si>
    <t>RB OF DUPAX (NUEVA VIZCAYA) INC</t>
  </si>
  <si>
    <t>RB OF EL SALVADOR (MISAMIS OR) INC</t>
  </si>
  <si>
    <t>RB OF ESCALANTE (NEGROS OCC) INC</t>
  </si>
  <si>
    <t>RB OF GAINZA (CAMARINES SUR) INC</t>
  </si>
  <si>
    <t>RB OF GALIMUYOD (ILOCOS SUR) INC</t>
  </si>
  <si>
    <t>RB OF GANDARA (SAMAR) INC</t>
  </si>
  <si>
    <t>RB OF GATTARAN (CAGAYAN) INC</t>
  </si>
  <si>
    <t>RB OF GENERAL LUNA (QUEZON) INC</t>
  </si>
  <si>
    <t>RB OF GITAGUM(MISAMIS ORIENTAL) INC</t>
  </si>
  <si>
    <t>RB OF GLORIA (OR MIN) INC</t>
  </si>
  <si>
    <t>RB OF GUIHULNGAN (NEGROS OR) INC</t>
  </si>
  <si>
    <t>RB OF GUIUAN (EASTERN SAMAR) INC</t>
  </si>
  <si>
    <t>RB OF HAGONOY (DAVAO DEL SUR) INC</t>
  </si>
  <si>
    <t>RB OF HERMOSA (BATAAN) INC</t>
  </si>
  <si>
    <t>RB OF HINDANG (LEYTE) INC</t>
  </si>
  <si>
    <t>RB OF HINUNDAYAN (SO LEYTE) INC</t>
  </si>
  <si>
    <t>RB OF ILOG (NEGROS OCCIDENTAL) INC</t>
  </si>
  <si>
    <t>RB OF INITAO (MISAMIS ORIENTAL) INC</t>
  </si>
  <si>
    <t>RB OF ITOGON (BENGUET) INC</t>
  </si>
  <si>
    <t>RB OF JAMINDAN (CAPIZ) INC</t>
  </si>
  <si>
    <t>RB OF JAVIER (LEYTE) INC</t>
  </si>
  <si>
    <t>RB OF JIMENEZ (MISAMIS OCC) INC</t>
  </si>
  <si>
    <t>RB OF JOSE PANGANIBAN(CAM NORTE)INC</t>
  </si>
  <si>
    <t>RB OF KABASALAN (ZAMB DS) INC</t>
  </si>
  <si>
    <t>RB OF KAPALONG (DAVAO) INC</t>
  </si>
  <si>
    <t>RB OF KAROMATAN (LANAO DN) INC</t>
  </si>
  <si>
    <t>RB OF KIAMBA (SARANGANI) INC</t>
  </si>
  <si>
    <t>RB OF KIBAWE (BUKIDNON) INC</t>
  </si>
  <si>
    <t>RB OF KINOGITAN (MISAMIS OR) INC</t>
  </si>
  <si>
    <t>RB OF LA PAZ INC</t>
  </si>
  <si>
    <t>RB OF LABASON (ZAMBOANGA DN) INC</t>
  </si>
  <si>
    <t>RB OF LANUZA (SURIGAO DEL SUR) INC</t>
  </si>
  <si>
    <t>RB OF LARENA (SIQUIJOR) INC</t>
  </si>
  <si>
    <t>RB OF LEBAK (SULTAN KUDARAT) INC</t>
  </si>
  <si>
    <t>RB OF LEGANES (ILOILO) INC</t>
  </si>
  <si>
    <t>RB OF LEMERY INC</t>
  </si>
  <si>
    <t>RB OF LILOY (ZAMBOANGA DN) INC</t>
  </si>
  <si>
    <t>RB OF LIMAY (BATAAN) INC</t>
  </si>
  <si>
    <t>RB OF LIPA CITY (BATANGAS) INC</t>
  </si>
  <si>
    <t>RB OF LOON (BOHOL) INC</t>
  </si>
  <si>
    <t>RB OF LOPEZ JAENA (MISAMIS OCC) INC</t>
  </si>
  <si>
    <t>RB OF LORETO(SURIGAO DEL NORTE) INC</t>
  </si>
  <si>
    <t>RB OF LUCBAN (QUEZON) INC</t>
  </si>
  <si>
    <t>RB OF LUISIANA (LAGUNA) INC</t>
  </si>
  <si>
    <t>RB OF LUMBAN (LAGUNA) INC</t>
  </si>
  <si>
    <t>RB OF MABITAC (LAGUNA) INC</t>
  </si>
  <si>
    <t>RB OF MADDELA (QUIRINO) INC</t>
  </si>
  <si>
    <t>RB OF MADRIDEJOS (CEBU) INC</t>
  </si>
  <si>
    <t>RB OF MAGDALENA (LAGUNA) INC</t>
  </si>
  <si>
    <t>RB OF MAGSINGAL (ILOCOS SUR) INC</t>
  </si>
  <si>
    <t>RB OF MAHAPLAG (LEYTE) INC</t>
  </si>
  <si>
    <t>RB OF MAIGO (LANAO DEL NORTE) INC</t>
  </si>
  <si>
    <t>RB OF MAKATO (AKLAN) INC</t>
  </si>
  <si>
    <t>RB OF MALITBOG (SOUTHERN LEYTE) INC</t>
  </si>
  <si>
    <t>RB OF MANAPLA (NEG OCC) INC</t>
  </si>
  <si>
    <t>RB OF MANGALDAN INC(BANGKO RURAL NG</t>
  </si>
  <si>
    <t>RB OF MANOLO FORTICH BUKIDNON INC</t>
  </si>
  <si>
    <t>RB OF MANUKAN (ZAMBOANGA DN) INC</t>
  </si>
  <si>
    <t>RB OF MARIA AURORA (QUEZON) INC</t>
  </si>
  <si>
    <t>RB OF MATAG-OB (LEYTE) INC</t>
  </si>
  <si>
    <t>RB OF MEDINA (MISAMIS ORIENTAL) INC</t>
  </si>
  <si>
    <t>RB OF MIAGAO (ILOILO) INC</t>
  </si>
  <si>
    <t>RB OF M'LANG (COTABATO) INC</t>
  </si>
  <si>
    <t>RB OF MONTEVISTA (DAVAO DN) INC</t>
  </si>
  <si>
    <t>RB OF NABUNTURAN (DAVAO DN) INC</t>
  </si>
  <si>
    <t>RB OF NEW WASHINGTON (AKLAN) INC</t>
  </si>
  <si>
    <t>RB OF NORALA (S COTABATO) INC</t>
  </si>
  <si>
    <t>RB OF OCAMPO (CAMARINES SUR) INC</t>
  </si>
  <si>
    <t>RB OF OROQUIETA (MIS OCC) INC</t>
  </si>
  <si>
    <t>RB OF OSLOB (CEBU) INC</t>
  </si>
  <si>
    <t>RB OF OTON (ILOILO) INC</t>
  </si>
  <si>
    <t>RB OF PANA-ON (MIS OCC) INC</t>
  </si>
  <si>
    <t>RB OF PANDI (BULACAN) INC</t>
  </si>
  <si>
    <t>RB OF PANGIL (LAGUNA) INC</t>
  </si>
  <si>
    <t>RB OF PARACALE(CAMARINES NORTE) INC</t>
  </si>
  <si>
    <t>RB OF PAVIA (ILOILO) INC</t>
  </si>
  <si>
    <t>RB OF POLA (ORIENTAL MINDORO) INC</t>
  </si>
  <si>
    <t>RB OF POLOMOLOK(SOUTH COTABATO) INC</t>
  </si>
  <si>
    <t>RB OF PORAC (PAMPANGA) INC</t>
  </si>
  <si>
    <t>RB OF PRES MANUEL A ROXAS (Z DN)INC</t>
  </si>
  <si>
    <t>RB OF PRES QUIRINO (S KUDARAT) INC</t>
  </si>
  <si>
    <t>RB OF PUERTO GALERA (OR MINDORO)INC</t>
  </si>
  <si>
    <t>RB OF RAGAY (CAMARINES SUR) INC</t>
  </si>
  <si>
    <t>RB OF RAMON (ISABELA) INC</t>
  </si>
  <si>
    <t>RB OF REINA MERCEDES (ISABELA) INC</t>
  </si>
  <si>
    <t>RB OF RIZAL (KALINGA-APAYAO)INC</t>
  </si>
  <si>
    <t>RB OF SAGADA(MOUNTAIN PROVINCE)INC</t>
  </si>
  <si>
    <t>RB OF SAGAY INC</t>
  </si>
  <si>
    <t>RB OF SALCEDO (ILOCOS SUR) INC</t>
  </si>
  <si>
    <t>RB OF SALUG(ZAMBOANGA DEL NORTE)INC</t>
  </si>
  <si>
    <t>RB OF SAMPALOC (QUEZON) INC</t>
  </si>
  <si>
    <t>RB OF SAN AGUSTIN (ISABELA) INC</t>
  </si>
  <si>
    <t>RB OF SAN ENRIQUE (ILOILO) INC</t>
  </si>
  <si>
    <t>RB OF SAN FABIAN (PANGASINAN) INC</t>
  </si>
  <si>
    <t>RB OF SAN JACINTO (MASBATE) INC</t>
  </si>
  <si>
    <t>RB OF SAN NARCISO INC</t>
  </si>
  <si>
    <t>RB OF SAN PASCUAL(OBANDO BUL) INC</t>
  </si>
  <si>
    <t>RB OF SAN VICENTE (CAM NORTE) INC</t>
  </si>
  <si>
    <t>RB OF SANCHEZ MIRA (CAGAYAN) INC</t>
  </si>
  <si>
    <t>RB OF SANTA FE (ROMBLON) INC</t>
  </si>
  <si>
    <t>RB OF SASMUAN (PAMPANGA) INC</t>
  </si>
  <si>
    <t>RB OF SEVEN LAKES (SAN PABLO) INC</t>
  </si>
  <si>
    <t>RB OF SIATON (SIATON NEGROS OR) INC</t>
  </si>
  <si>
    <t>RB OF SIBALOM (ANTIQUE) INC</t>
  </si>
  <si>
    <t>RB OF SIBULAN NEGROS ORIENTAL INC</t>
  </si>
  <si>
    <t>RB OF SIOCON (ZAMBOANGA DN) INC</t>
  </si>
  <si>
    <t>RB OF SIPOCOT (CAMARINES SUR) INC</t>
  </si>
  <si>
    <t>RB OF SOCORRO (ORIENTAL MINDORO)INC</t>
  </si>
  <si>
    <t>RB OF SOLANO (NUEVA VIZCAYA) INC</t>
  </si>
  <si>
    <t>RB OF STA CATALINA NEGROS OR INC</t>
  </si>
  <si>
    <t>RB OF STA ELENA (CAMS NORTE) INC</t>
  </si>
  <si>
    <t>RB OF STA IGNACIA INC</t>
  </si>
  <si>
    <t>RB OF STA MAGDALENA (SORSOGON) INC</t>
  </si>
  <si>
    <t>RB OF STA ROSA DE LIMA (PANIQUI)INC</t>
  </si>
  <si>
    <t>RB OF SUDIPEN (LA UNION) INC</t>
  </si>
  <si>
    <t>RB OF TABUK (KALINGA_APAYAO) INC</t>
  </si>
  <si>
    <t>RB OF TAFT (EASTERN SAMAR) INC</t>
  </si>
  <si>
    <t>RB OF TANDAG (SURIGAO DEL SUR) INC</t>
  </si>
  <si>
    <t>RB OF TANGUB CITY (MIS OCC) INC</t>
  </si>
  <si>
    <t>RB OF TAYSAN (BATANGAS) INC</t>
  </si>
  <si>
    <t>RB OF TERESA (RIZAL) INC</t>
  </si>
  <si>
    <t>RB OF TIBIAO (ANTIQUE) INC</t>
  </si>
  <si>
    <t>RB OF TIGAON CAMARINES SUR INC</t>
  </si>
  <si>
    <t>RB OF TIGBAUAN (ILOILO) INC</t>
  </si>
  <si>
    <t>RB OF TUMAUINI (ISABELA) INC</t>
  </si>
  <si>
    <t>RB OF VILLAVERDE (NUEVA VIZCAYA)INC</t>
  </si>
  <si>
    <t>RB OF VILLAVICIOSA (ABRA) INC</t>
  </si>
  <si>
    <t>RB OF ZARRAGA (ILOILO) INC</t>
  </si>
  <si>
    <t>RIZAL RURAL BANK (TAYTAY RIZAL)</t>
  </si>
  <si>
    <t>RURAL BANK OF SAN JUAN INC</t>
  </si>
  <si>
    <t>RURAL BANK OF TANZA (CAVITE) INC</t>
  </si>
  <si>
    <t>RURAL BNK OF SAN JOSE DEL MONTE INC</t>
  </si>
  <si>
    <t>SADIRI RURAL BANK (SJ ILOCOS S) INC</t>
  </si>
  <si>
    <t>SECOND RB OF SAN LUIS PAMPANGA INC</t>
  </si>
  <si>
    <t>SECOND RB OF VALENZUELA (MM) INC</t>
  </si>
  <si>
    <t>SIAM BANK (A RURAL BANK) INC</t>
  </si>
  <si>
    <t>SIARGAO BANK (A RURAL BANK) INC</t>
  </si>
  <si>
    <t>SILAHIS BANK INC (A RURAL BANK)</t>
  </si>
  <si>
    <t>SOUTH BANK (A RURAL BANK) INC</t>
  </si>
  <si>
    <t>SOUTHEAST COUNTRY BANK INC (A RB)</t>
  </si>
  <si>
    <t>ST MICHAEL RB OF TARLAC (TARLAC)INC</t>
  </si>
  <si>
    <t>STA MARIA RURAL BANK INC</t>
  </si>
  <si>
    <t>STO NINO RURAL BANK(TERNATE CAV)INC</t>
  </si>
  <si>
    <t>STO ROSARIO RURAL BANK INC</t>
  </si>
  <si>
    <t>SUNRISE RURAL BANK (ROSARIO BAT)INC</t>
  </si>
  <si>
    <t>TALISAY RURAL BANK INC</t>
  </si>
  <si>
    <t>THE PALAWAN BANK (PALAWAN DB) INC</t>
  </si>
  <si>
    <t>WEALTH DEVELOPMENT BANK CORPORATION</t>
  </si>
  <si>
    <t>XAVIER TIBOD BANK INC (A MFRB)</t>
  </si>
  <si>
    <t>ZAMBOANGA DEL NORTE COOPERATIVE BNK</t>
  </si>
  <si>
    <t>BANCO LAGUNA INC (A RB SINCE 1965)</t>
  </si>
  <si>
    <t>BANK OF LUBAO (A RURAL BANK) INC</t>
  </si>
  <si>
    <t>TOWNCALL RURAL BANK INC</t>
  </si>
  <si>
    <t>UNIVERSAL RB OF LOPEZ (QUEZON) INC</t>
  </si>
  <si>
    <t>UNIVERSITY SAVINGS BANK INC</t>
  </si>
  <si>
    <t>VISIONBANK INC A RURAL BANK</t>
  </si>
  <si>
    <t>ZAMBALES RURAL BANK INC</t>
  </si>
  <si>
    <t>CONSOLIDATED COOPERATIVE BANK</t>
  </si>
  <si>
    <t>RB OF PADRE GARCIA INC</t>
  </si>
  <si>
    <t>AGRICULTURAL BANK OF THE PHIL INC</t>
  </si>
  <si>
    <t>CARITAS BANCO NG MASA INC (A MFRB)</t>
  </si>
  <si>
    <t>COUNTRY BUILDERS BANK INC (A RB)</t>
  </si>
  <si>
    <t>BANCO DE CALAMBA INC (A RURAL BANK)</t>
  </si>
  <si>
    <t>RB OF STO DOMINGO (NUEVA ECIJA) INC</t>
  </si>
  <si>
    <t>BANKWAYS INC (A RURAL BANK)</t>
  </si>
  <si>
    <t>EAST WEST RURAL BANK INC</t>
  </si>
  <si>
    <t>PALM TREE BANK INC (A RURAL BANK)</t>
  </si>
  <si>
    <t>MARAYO BANK INC (A RURAL BANK)</t>
  </si>
  <si>
    <t>MIZUHO BANK LTD - MANILA BRANCH</t>
  </si>
  <si>
    <t>1ST VALLEY BANK INC A DEVT BANK</t>
  </si>
  <si>
    <t>CTBC BANK (PHILIPPINES) CORP</t>
  </si>
  <si>
    <t>BANGKO NOVELETA INC A RURAL BANK</t>
  </si>
  <si>
    <t>LIFEBANK- A RURAL BANK</t>
  </si>
  <si>
    <t>TONGYANG SAVINGS BANK INC</t>
  </si>
  <si>
    <t>MBANK PHILIPPINES (A TB) INC</t>
  </si>
  <si>
    <t>NEW RURAK BANK OF SAN LEONRADO, INC.</t>
  </si>
  <si>
    <t>4</t>
  </si>
  <si>
    <t>040656</t>
  </si>
  <si>
    <t>9999</t>
  </si>
  <si>
    <t>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</si>
</sst>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7" formatCode="000000"/>
    <numFmt numFmtId="178" formatCode="0.0"/>
    <numFmt numFmtId="182" formatCode="General_)"/>
  </numFmts>
  <fonts count="25" x14ac:knownFonts="1">
    <font>
      <sz val="11"/>
      <color theme="1"/>
      <name val="Calibri"/>
      <family val="2"/>
      <scheme val="minor"/>
    </font>
    <font>
      <sz val="10"/>
      <name val="Arial"/>
      <family val="2"/>
    </font>
    <font>
      <sz val="8"/>
      <name val="Arial"/>
      <family val="2"/>
    </font>
    <font>
      <sz val="8"/>
      <color indexed="8"/>
      <name val="Arial"/>
      <family val="2"/>
    </font>
    <font>
      <b/>
      <sz val="8"/>
      <name val="Arial"/>
      <family val="2"/>
    </font>
    <font>
      <sz val="8"/>
      <color indexed="48"/>
      <name val="Arial"/>
      <family val="2"/>
    </font>
    <font>
      <b/>
      <sz val="11"/>
      <color indexed="8"/>
      <name val="Calibri"/>
      <family val="2"/>
    </font>
    <font>
      <sz val="8"/>
      <color indexed="9"/>
      <name val="Arial"/>
      <family val="2"/>
    </font>
    <font>
      <sz val="8"/>
      <name val="Calibri"/>
      <family val="2"/>
    </font>
    <font>
      <sz val="8"/>
      <color indexed="12"/>
      <name val="Arial"/>
      <family val="2"/>
    </font>
    <font>
      <sz val="9"/>
      <name val="Arial Narrow"/>
      <family val="2"/>
    </font>
    <font>
      <u/>
      <sz val="9"/>
      <name val="Arial Narrow"/>
      <family val="2"/>
    </font>
    <font>
      <sz val="8"/>
      <name val="Arial Narrow"/>
      <family val="2"/>
    </font>
    <font>
      <sz val="10"/>
      <name val="Arial"/>
    </font>
    <font>
      <sz val="8"/>
      <name val="Arial"/>
    </font>
    <font>
      <sz val="10"/>
      <color indexed="48"/>
      <name val="Arial"/>
    </font>
    <font>
      <b/>
      <sz val="8"/>
      <color indexed="8"/>
      <name val="Arial"/>
      <family val="2"/>
    </font>
    <font>
      <sz val="8"/>
      <color indexed="8"/>
      <name val="Calibri"/>
      <family val="2"/>
    </font>
    <font>
      <sz val="9"/>
      <name val="Arial"/>
      <family val="2"/>
    </font>
    <font>
      <sz val="8"/>
      <color indexed="81"/>
      <name val="Tahoma"/>
    </font>
    <font>
      <b/>
      <sz val="8"/>
      <color indexed="81"/>
      <name val="Tahoma"/>
    </font>
    <font>
      <sz val="9"/>
      <color indexed="9"/>
      <name val="Arial"/>
      <family val="2"/>
    </font>
    <font>
      <sz val="12"/>
      <name val="Helv"/>
    </font>
    <font>
      <b/>
      <sz val="6"/>
      <name val="Arial"/>
      <family val="2"/>
    </font>
    <font>
      <sz val="11"/>
      <color indexed="48"/>
      <name val="Calibri"/>
      <family val="2"/>
    </font>
  </fonts>
  <fills count="9">
    <fill>
      <patternFill patternType="none"/>
    </fill>
    <fill>
      <patternFill patternType="gray125"/>
    </fill>
    <fill>
      <patternFill patternType="solid">
        <fgColor indexed="45"/>
        <bgColor indexed="64"/>
      </patternFill>
    </fill>
    <fill>
      <patternFill patternType="solid">
        <fgColor indexed="9"/>
        <bgColor indexed="64"/>
      </patternFill>
    </fill>
    <fill>
      <patternFill patternType="solid">
        <fgColor indexed="48"/>
        <bgColor indexed="64"/>
      </patternFill>
    </fill>
    <fill>
      <patternFill patternType="solid">
        <fgColor indexed="31"/>
        <bgColor indexed="64"/>
      </patternFill>
    </fill>
    <fill>
      <patternFill patternType="solid">
        <fgColor indexed="55"/>
        <bgColor indexed="64"/>
      </patternFill>
    </fill>
    <fill>
      <patternFill patternType="solid">
        <fgColor indexed="13"/>
        <bgColor indexed="64"/>
      </patternFill>
    </fill>
    <fill>
      <patternFill patternType="solid">
        <fgColor indexed="23"/>
        <bgColor indexed="64"/>
      </patternFill>
    </fill>
  </fills>
  <borders count="61">
    <border>
      <left/>
      <right/>
      <top/>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double">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double">
        <color indexed="64"/>
      </left>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double">
        <color indexed="64"/>
      </top>
      <bottom style="double">
        <color indexed="64"/>
      </bottom>
      <diagonal/>
    </border>
    <border>
      <left/>
      <right style="thin">
        <color indexed="64"/>
      </right>
      <top style="double">
        <color indexed="64"/>
      </top>
      <bottom/>
      <diagonal/>
    </border>
    <border>
      <left style="double">
        <color indexed="64"/>
      </left>
      <right/>
      <top style="double">
        <color indexed="64"/>
      </top>
      <bottom/>
      <diagonal/>
    </border>
    <border>
      <left/>
      <right/>
      <top style="double">
        <color indexed="64"/>
      </top>
      <bottom/>
      <diagonal/>
    </border>
    <border>
      <left style="thin">
        <color indexed="64"/>
      </left>
      <right/>
      <top style="double">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double">
        <color indexed="64"/>
      </bottom>
      <diagonal/>
    </border>
    <border>
      <left style="thin">
        <color indexed="64"/>
      </left>
      <right style="double">
        <color indexed="64"/>
      </right>
      <top style="double">
        <color indexed="64"/>
      </top>
      <bottom/>
      <diagonal/>
    </border>
    <border>
      <left style="thin">
        <color indexed="64"/>
      </left>
      <right/>
      <top style="double">
        <color indexed="64"/>
      </top>
      <bottom/>
      <diagonal/>
    </border>
    <border>
      <left style="thin">
        <color indexed="64"/>
      </left>
      <right/>
      <top/>
      <bottom style="double">
        <color indexed="64"/>
      </bottom>
      <diagonal/>
    </border>
    <border>
      <left/>
      <right style="double">
        <color indexed="64"/>
      </right>
      <top style="thin">
        <color indexed="64"/>
      </top>
      <bottom style="thin">
        <color indexed="64"/>
      </bottom>
      <diagonal/>
    </border>
    <border>
      <left style="thin">
        <color indexed="64"/>
      </left>
      <right style="double">
        <color indexed="64"/>
      </right>
      <top/>
      <bottom style="double">
        <color indexed="64"/>
      </bottom>
      <diagonal/>
    </border>
    <border>
      <left/>
      <right style="double">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double">
        <color indexed="64"/>
      </right>
      <top style="double">
        <color indexed="64"/>
      </top>
      <bottom/>
      <diagonal/>
    </border>
    <border>
      <left/>
      <right style="double">
        <color indexed="64"/>
      </right>
      <top/>
      <bottom/>
      <diagonal/>
    </border>
    <border>
      <left/>
      <right style="double">
        <color indexed="64"/>
      </right>
      <top/>
      <bottom style="double">
        <color indexed="64"/>
      </bottom>
      <diagonal/>
    </border>
    <border>
      <left/>
      <right style="double">
        <color indexed="64"/>
      </right>
      <top style="thin">
        <color indexed="64"/>
      </top>
      <bottom/>
      <diagonal/>
    </border>
    <border>
      <left/>
      <right style="double">
        <color indexed="64"/>
      </right>
      <top/>
      <bottom style="thin">
        <color indexed="64"/>
      </bottom>
      <diagonal/>
    </border>
  </borders>
  <cellStyleXfs count="4">
    <xf numFmtId="0" fontId="0" fillId="0" borderId="0"/>
    <xf numFmtId="0" fontId="1" fillId="0" borderId="0"/>
    <xf numFmtId="0" fontId="13" fillId="0" borderId="0"/>
    <xf numFmtId="178" fontId="22" fillId="0" borderId="0"/>
  </cellStyleXfs>
  <cellXfs count="666">
    <xf numFmtId="0" fontId="0" fillId="0" borderId="0" xfId="0"/>
    <xf numFmtId="0" fontId="2" fillId="0" borderId="0" xfId="1" applyFont="1" applyProtection="1"/>
    <xf numFmtId="49" fontId="2" fillId="0" borderId="0" xfId="1" applyNumberFormat="1" applyFont="1" applyAlignment="1" applyProtection="1">
      <alignment horizontal="center"/>
    </xf>
    <xf numFmtId="49" fontId="2" fillId="0" borderId="1" xfId="1" quotePrefix="1" applyNumberFormat="1" applyFont="1" applyFill="1" applyBorder="1" applyAlignment="1" applyProtection="1">
      <alignment horizontal="center" vertical="top"/>
    </xf>
    <xf numFmtId="0" fontId="2" fillId="0" borderId="1" xfId="1" applyFont="1" applyBorder="1" applyProtection="1"/>
    <xf numFmtId="0" fontId="2" fillId="0" borderId="2" xfId="1" applyFont="1" applyBorder="1" applyProtection="1"/>
    <xf numFmtId="0" fontId="2" fillId="0" borderId="3" xfId="1" applyFont="1" applyFill="1" applyBorder="1" applyAlignment="1" applyProtection="1">
      <alignment vertical="top"/>
    </xf>
    <xf numFmtId="0" fontId="2" fillId="0" borderId="4" xfId="1" applyFont="1" applyBorder="1" applyAlignment="1" applyProtection="1">
      <alignment vertical="top"/>
    </xf>
    <xf numFmtId="0" fontId="2" fillId="0" borderId="5" xfId="1" applyFont="1" applyBorder="1" applyProtection="1"/>
    <xf numFmtId="0" fontId="2" fillId="0" borderId="6" xfId="1" applyFont="1" applyBorder="1" applyProtection="1"/>
    <xf numFmtId="0" fontId="2" fillId="0" borderId="7" xfId="1" applyFont="1" applyFill="1" applyBorder="1" applyAlignment="1" applyProtection="1">
      <alignment vertical="top"/>
    </xf>
    <xf numFmtId="49" fontId="2" fillId="0" borderId="5" xfId="1" quotePrefix="1" applyNumberFormat="1" applyFont="1" applyFill="1" applyBorder="1" applyAlignment="1" applyProtection="1">
      <alignment horizontal="center" vertical="top"/>
    </xf>
    <xf numFmtId="0" fontId="2" fillId="0" borderId="8" xfId="1" quotePrefix="1" applyFont="1" applyBorder="1" applyAlignment="1" applyProtection="1">
      <alignment vertical="top"/>
    </xf>
    <xf numFmtId="49" fontId="2" fillId="0" borderId="5" xfId="1" quotePrefix="1" applyNumberFormat="1" applyFont="1" applyBorder="1" applyAlignment="1" applyProtection="1">
      <alignment horizontal="center" vertical="top"/>
    </xf>
    <xf numFmtId="0" fontId="2" fillId="0" borderId="7" xfId="1" applyFont="1" applyBorder="1" applyAlignment="1" applyProtection="1">
      <alignment vertical="top"/>
    </xf>
    <xf numFmtId="0" fontId="2" fillId="0" borderId="0" xfId="1" applyFont="1" applyBorder="1" applyProtection="1"/>
    <xf numFmtId="49" fontId="2" fillId="0" borderId="0" xfId="1" applyNumberFormat="1" applyFont="1" applyBorder="1" applyAlignment="1" applyProtection="1">
      <alignment horizontal="center"/>
    </xf>
    <xf numFmtId="0" fontId="4" fillId="0" borderId="0" xfId="1" applyFont="1" applyBorder="1" applyAlignment="1" applyProtection="1">
      <alignment horizontal="center"/>
    </xf>
    <xf numFmtId="49" fontId="7" fillId="0" borderId="0" xfId="1" applyNumberFormat="1" applyFont="1" applyAlignment="1" applyProtection="1">
      <alignment horizontal="center"/>
    </xf>
    <xf numFmtId="0" fontId="2" fillId="0" borderId="7" xfId="1" applyFont="1" applyFill="1" applyBorder="1" applyAlignment="1" applyProtection="1">
      <alignment vertical="top" wrapText="1"/>
    </xf>
    <xf numFmtId="0" fontId="4" fillId="0" borderId="9" xfId="1" applyFont="1" applyBorder="1" applyAlignment="1" applyProtection="1">
      <alignment horizontal="left" vertical="top"/>
    </xf>
    <xf numFmtId="49" fontId="2" fillId="0" borderId="10" xfId="1" quotePrefix="1" applyNumberFormat="1" applyFont="1" applyFill="1" applyBorder="1" applyAlignment="1" applyProtection="1">
      <alignment horizontal="center" vertical="top"/>
    </xf>
    <xf numFmtId="2" fontId="5" fillId="0" borderId="1" xfId="1" applyNumberFormat="1" applyFont="1" applyBorder="1" applyProtection="1"/>
    <xf numFmtId="0" fontId="4" fillId="0" borderId="9" xfId="1" quotePrefix="1" applyFont="1" applyBorder="1" applyAlignment="1" applyProtection="1">
      <alignment horizontal="left" vertical="top"/>
    </xf>
    <xf numFmtId="0" fontId="2" fillId="0" borderId="11" xfId="1" applyFont="1" applyBorder="1" applyAlignment="1" applyProtection="1">
      <alignment horizontal="center" vertical="top"/>
    </xf>
    <xf numFmtId="0" fontId="2" fillId="0" borderId="12" xfId="1" applyFont="1" applyBorder="1" applyProtection="1"/>
    <xf numFmtId="49" fontId="2" fillId="0" borderId="13" xfId="1" applyNumberFormat="1" applyFont="1" applyFill="1" applyBorder="1" applyAlignment="1" applyProtection="1">
      <alignment horizontal="center" vertical="top"/>
    </xf>
    <xf numFmtId="0" fontId="4" fillId="0" borderId="8" xfId="1" quotePrefix="1" applyFont="1" applyBorder="1" applyAlignment="1" applyProtection="1">
      <alignment horizontal="left" vertical="top"/>
    </xf>
    <xf numFmtId="0" fontId="2" fillId="0" borderId="14" xfId="1" applyFont="1" applyBorder="1" applyAlignment="1" applyProtection="1">
      <alignment vertical="top"/>
    </xf>
    <xf numFmtId="0" fontId="2" fillId="0" borderId="15" xfId="1" applyFont="1" applyBorder="1" applyProtection="1"/>
    <xf numFmtId="49" fontId="2" fillId="0" borderId="10" xfId="1" quotePrefix="1" applyNumberFormat="1" applyFont="1" applyBorder="1" applyAlignment="1" applyProtection="1">
      <alignment horizontal="center" vertical="top"/>
    </xf>
    <xf numFmtId="2" fontId="7" fillId="0" borderId="5" xfId="1" applyNumberFormat="1" applyFont="1" applyBorder="1" applyProtection="1"/>
    <xf numFmtId="0" fontId="4" fillId="0" borderId="0" xfId="1" applyFont="1" applyBorder="1" applyAlignment="1" applyProtection="1"/>
    <xf numFmtId="0" fontId="2" fillId="0" borderId="16" xfId="1" applyFont="1" applyFill="1" applyBorder="1" applyProtection="1"/>
    <xf numFmtId="2" fontId="5" fillId="0" borderId="17" xfId="1" applyNumberFormat="1" applyFont="1" applyBorder="1" applyProtection="1"/>
    <xf numFmtId="0" fontId="4" fillId="0" borderId="0" xfId="1" applyFont="1" applyBorder="1" applyAlignment="1" applyProtection="1">
      <alignment horizontal="right"/>
    </xf>
    <xf numFmtId="0" fontId="4" fillId="0" borderId="0" xfId="1" applyFont="1" applyAlignment="1" applyProtection="1"/>
    <xf numFmtId="49" fontId="4" fillId="0" borderId="0" xfId="1" applyNumberFormat="1" applyFont="1" applyAlignment="1" applyProtection="1">
      <alignment horizontal="center"/>
    </xf>
    <xf numFmtId="0" fontId="4" fillId="0" borderId="0" xfId="1" applyFont="1" applyAlignment="1" applyProtection="1">
      <alignment horizontal="center"/>
    </xf>
    <xf numFmtId="0" fontId="4" fillId="0" borderId="0" xfId="1" applyFont="1" applyProtection="1"/>
    <xf numFmtId="0" fontId="2" fillId="0" borderId="0" xfId="1" applyFont="1" applyAlignment="1" applyProtection="1">
      <alignment horizontal="left"/>
    </xf>
    <xf numFmtId="0" fontId="2" fillId="0" borderId="0" xfId="1" applyFont="1" applyAlignment="1" applyProtection="1">
      <alignment horizontal="center"/>
    </xf>
    <xf numFmtId="0" fontId="2" fillId="2" borderId="18" xfId="1" applyFont="1" applyFill="1" applyBorder="1" applyAlignment="1" applyProtection="1">
      <alignment horizontal="center"/>
    </xf>
    <xf numFmtId="0" fontId="2" fillId="2" borderId="5" xfId="1" applyFont="1" applyFill="1" applyBorder="1" applyAlignment="1" applyProtection="1">
      <alignment horizontal="center"/>
    </xf>
    <xf numFmtId="0" fontId="4" fillId="2" borderId="1" xfId="1" applyFont="1" applyFill="1" applyBorder="1" applyAlignment="1" applyProtection="1">
      <alignment horizontal="center" vertical="center" wrapText="1"/>
    </xf>
    <xf numFmtId="0" fontId="4" fillId="0" borderId="0" xfId="1" applyFont="1" applyAlignment="1" applyProtection="1">
      <alignment horizontal="center" vertical="center" wrapText="1"/>
    </xf>
    <xf numFmtId="0" fontId="2" fillId="0" borderId="19" xfId="1" quotePrefix="1" applyFont="1" applyFill="1" applyBorder="1" applyAlignment="1" applyProtection="1">
      <alignment horizontal="center" vertical="top"/>
    </xf>
    <xf numFmtId="0" fontId="2" fillId="0" borderId="20" xfId="1" applyFont="1" applyFill="1" applyBorder="1" applyAlignment="1" applyProtection="1">
      <alignment vertical="top"/>
    </xf>
    <xf numFmtId="0" fontId="2" fillId="0" borderId="20" xfId="1" applyFont="1" applyBorder="1" applyAlignment="1" applyProtection="1">
      <alignment vertical="top"/>
    </xf>
    <xf numFmtId="0" fontId="2" fillId="0" borderId="21" xfId="1" applyFont="1" applyBorder="1" applyAlignment="1" applyProtection="1">
      <alignment vertical="top"/>
    </xf>
    <xf numFmtId="0" fontId="2" fillId="0" borderId="0" xfId="1" applyFont="1" applyAlignment="1" applyProtection="1">
      <alignment vertical="top"/>
    </xf>
    <xf numFmtId="0" fontId="2" fillId="0" borderId="8" xfId="1" quotePrefix="1" applyFont="1" applyFill="1" applyBorder="1" applyAlignment="1" applyProtection="1">
      <alignment horizontal="center" vertical="top"/>
    </xf>
    <xf numFmtId="0" fontId="2" fillId="0" borderId="6" xfId="1" applyFont="1" applyFill="1" applyBorder="1" applyAlignment="1" applyProtection="1">
      <alignment vertical="top"/>
    </xf>
    <xf numFmtId="0" fontId="2" fillId="0" borderId="8" xfId="1" applyFont="1" applyFill="1" applyBorder="1" applyAlignment="1" applyProtection="1">
      <alignment horizontal="center" vertical="top"/>
    </xf>
    <xf numFmtId="0" fontId="2" fillId="0" borderId="8" xfId="1" applyFont="1" applyFill="1" applyBorder="1" applyAlignment="1" applyProtection="1">
      <alignment horizontal="left" vertical="top"/>
    </xf>
    <xf numFmtId="0" fontId="2" fillId="0" borderId="7" xfId="1" quotePrefix="1" applyFont="1" applyFill="1" applyBorder="1" applyAlignment="1" applyProtection="1">
      <alignment vertical="top"/>
    </xf>
    <xf numFmtId="0" fontId="2" fillId="0" borderId="4" xfId="1" quotePrefix="1" applyFont="1" applyFill="1" applyBorder="1" applyAlignment="1" applyProtection="1">
      <alignment horizontal="center" vertical="top"/>
    </xf>
    <xf numFmtId="0" fontId="2" fillId="0" borderId="3" xfId="1" quotePrefix="1" applyFont="1" applyFill="1" applyBorder="1" applyAlignment="1" applyProtection="1">
      <alignment vertical="top"/>
    </xf>
    <xf numFmtId="0" fontId="2" fillId="0" borderId="2" xfId="1" applyFont="1" applyFill="1" applyBorder="1" applyAlignment="1" applyProtection="1">
      <alignment vertical="top"/>
    </xf>
    <xf numFmtId="0" fontId="2" fillId="0" borderId="0" xfId="1" quotePrefix="1" applyFont="1" applyFill="1" applyBorder="1" applyAlignment="1" applyProtection="1">
      <alignment horizontal="center" vertical="top"/>
    </xf>
    <xf numFmtId="0" fontId="2" fillId="0" borderId="0" xfId="1" quotePrefix="1" applyFont="1" applyFill="1" applyBorder="1" applyAlignment="1" applyProtection="1">
      <alignment vertical="top"/>
    </xf>
    <xf numFmtId="0" fontId="2" fillId="0" borderId="0" xfId="1" applyFont="1" applyFill="1" applyBorder="1" applyAlignment="1" applyProtection="1">
      <alignment vertical="top"/>
    </xf>
    <xf numFmtId="49" fontId="2" fillId="0" borderId="0" xfId="1" quotePrefix="1" applyNumberFormat="1" applyFont="1" applyBorder="1" applyAlignment="1" applyProtection="1">
      <alignment horizontal="center" vertical="top"/>
    </xf>
    <xf numFmtId="4" fontId="9" fillId="0" borderId="0" xfId="1" applyNumberFormat="1" applyFont="1" applyBorder="1" applyAlignment="1" applyProtection="1">
      <alignment horizontal="right" vertical="top"/>
    </xf>
    <xf numFmtId="49" fontId="7" fillId="0" borderId="0" xfId="1" applyNumberFormat="1" applyFont="1" applyBorder="1" applyAlignment="1" applyProtection="1">
      <alignment horizontal="center"/>
    </xf>
    <xf numFmtId="0" fontId="4" fillId="0" borderId="1" xfId="1" applyFont="1" applyFill="1" applyBorder="1" applyAlignment="1" applyProtection="1">
      <alignment horizontal="center" vertical="center" wrapText="1"/>
    </xf>
    <xf numFmtId="0" fontId="4" fillId="3" borderId="1" xfId="1" applyFont="1" applyFill="1" applyBorder="1" applyAlignment="1" applyProtection="1">
      <alignment horizontal="center" vertical="center" wrapText="1"/>
    </xf>
    <xf numFmtId="2" fontId="5" fillId="0" borderId="22" xfId="1" applyNumberFormat="1" applyFont="1" applyBorder="1" applyProtection="1"/>
    <xf numFmtId="0" fontId="2" fillId="0" borderId="0" xfId="1" applyFont="1" applyBorder="1" applyAlignment="1" applyProtection="1">
      <alignment vertical="top"/>
    </xf>
    <xf numFmtId="49" fontId="2" fillId="0" borderId="0" xfId="1" quotePrefix="1" applyNumberFormat="1" applyFont="1" applyFill="1" applyBorder="1" applyAlignment="1" applyProtection="1">
      <alignment horizontal="center" vertical="top"/>
    </xf>
    <xf numFmtId="2" fontId="5" fillId="0" borderId="0" xfId="1" applyNumberFormat="1" applyFont="1" applyBorder="1" applyProtection="1"/>
    <xf numFmtId="4" fontId="3" fillId="0" borderId="0" xfId="1" applyNumberFormat="1" applyFont="1" applyBorder="1" applyAlignment="1" applyProtection="1">
      <alignment horizontal="right" vertical="top"/>
    </xf>
    <xf numFmtId="0" fontId="11" fillId="0" borderId="0" xfId="0" applyFont="1" applyBorder="1" applyProtection="1"/>
    <xf numFmtId="0" fontId="10" fillId="0" borderId="0" xfId="0" applyFont="1" applyBorder="1" applyProtection="1"/>
    <xf numFmtId="2" fontId="7" fillId="0" borderId="13" xfId="1" applyNumberFormat="1" applyFont="1" applyBorder="1" applyProtection="1"/>
    <xf numFmtId="0" fontId="2" fillId="0" borderId="11" xfId="1" applyFont="1" applyBorder="1" applyAlignment="1" applyProtection="1">
      <alignment vertical="top"/>
    </xf>
    <xf numFmtId="4" fontId="9" fillId="0" borderId="23" xfId="1" applyNumberFormat="1" applyFont="1" applyFill="1" applyBorder="1" applyAlignment="1" applyProtection="1">
      <alignment horizontal="right" vertical="top"/>
    </xf>
    <xf numFmtId="2" fontId="9" fillId="0" borderId="23" xfId="1" applyNumberFormat="1" applyFont="1" applyBorder="1" applyProtection="1"/>
    <xf numFmtId="0" fontId="2" fillId="0" borderId="9" xfId="1" quotePrefix="1" applyFont="1" applyFill="1" applyBorder="1" applyAlignment="1" applyProtection="1">
      <alignment horizontal="center" vertical="top"/>
    </xf>
    <xf numFmtId="0" fontId="2" fillId="0" borderId="11" xfId="1" applyFont="1" applyFill="1" applyBorder="1" applyAlignment="1" applyProtection="1">
      <alignment vertical="top"/>
    </xf>
    <xf numFmtId="0" fontId="2" fillId="0" borderId="12" xfId="1" applyFont="1" applyBorder="1" applyAlignment="1" applyProtection="1">
      <alignment vertical="top"/>
    </xf>
    <xf numFmtId="49" fontId="2" fillId="0" borderId="13" xfId="1" quotePrefix="1" applyNumberFormat="1" applyFont="1" applyBorder="1" applyAlignment="1" applyProtection="1">
      <alignment horizontal="center" vertical="top"/>
    </xf>
    <xf numFmtId="2" fontId="2" fillId="0" borderId="5" xfId="1" applyNumberFormat="1" applyFont="1" applyBorder="1" applyProtection="1"/>
    <xf numFmtId="2" fontId="9" fillId="0" borderId="13" xfId="1" applyNumberFormat="1" applyFont="1" applyFill="1" applyBorder="1" applyProtection="1"/>
    <xf numFmtId="0" fontId="2" fillId="0" borderId="11" xfId="1" applyFont="1" applyBorder="1" applyAlignment="1" applyProtection="1">
      <alignment horizontal="left" vertical="top"/>
    </xf>
    <xf numFmtId="0" fontId="2" fillId="0" borderId="7" xfId="1" applyFont="1" applyBorder="1" applyAlignment="1" applyProtection="1">
      <alignment horizontal="left" vertical="top"/>
    </xf>
    <xf numFmtId="0" fontId="4" fillId="2" borderId="24" xfId="1" applyFont="1" applyFill="1" applyBorder="1" applyAlignment="1" applyProtection="1">
      <alignment horizontal="center" vertical="center" wrapText="1"/>
    </xf>
    <xf numFmtId="0" fontId="4" fillId="2" borderId="25" xfId="1" applyFont="1" applyFill="1" applyBorder="1" applyAlignment="1" applyProtection="1">
      <alignment horizontal="center" vertical="center" wrapText="1"/>
    </xf>
    <xf numFmtId="0" fontId="4" fillId="2" borderId="26" xfId="1" applyFont="1" applyFill="1" applyBorder="1" applyAlignment="1" applyProtection="1">
      <alignment horizontal="center" vertical="center" wrapText="1"/>
    </xf>
    <xf numFmtId="0" fontId="4" fillId="2" borderId="0" xfId="1" applyFont="1" applyFill="1" applyBorder="1" applyAlignment="1" applyProtection="1">
      <alignment horizontal="center" vertical="center" wrapText="1"/>
    </xf>
    <xf numFmtId="0" fontId="4" fillId="2" borderId="27" xfId="1" applyFont="1" applyFill="1" applyBorder="1" applyAlignment="1" applyProtection="1">
      <alignment horizontal="center" vertical="center" wrapText="1"/>
    </xf>
    <xf numFmtId="0" fontId="4" fillId="2" borderId="28" xfId="1" applyFont="1" applyFill="1" applyBorder="1" applyAlignment="1" applyProtection="1">
      <alignment horizontal="center" vertical="center" wrapText="1"/>
    </xf>
    <xf numFmtId="0" fontId="4" fillId="2" borderId="29" xfId="1" applyFont="1" applyFill="1" applyBorder="1" applyAlignment="1" applyProtection="1">
      <alignment horizontal="center" vertical="center" wrapText="1"/>
    </xf>
    <xf numFmtId="0" fontId="4" fillId="2" borderId="30" xfId="1" applyFont="1" applyFill="1" applyBorder="1" applyAlignment="1" applyProtection="1">
      <alignment horizontal="center" vertical="center" wrapText="1"/>
    </xf>
    <xf numFmtId="0" fontId="2" fillId="0" borderId="13" xfId="1" applyFont="1" applyBorder="1" applyProtection="1"/>
    <xf numFmtId="0" fontId="2" fillId="0" borderId="7" xfId="1" quotePrefix="1" applyFont="1" applyBorder="1" applyAlignment="1" applyProtection="1">
      <alignment vertical="top"/>
    </xf>
    <xf numFmtId="49" fontId="2" fillId="0" borderId="5" xfId="1" applyNumberFormat="1" applyFont="1" applyFill="1" applyBorder="1" applyAlignment="1" applyProtection="1">
      <alignment horizontal="center" vertical="top"/>
    </xf>
    <xf numFmtId="0" fontId="4" fillId="0" borderId="0" xfId="1" applyNumberFormat="1" applyFont="1" applyBorder="1" applyAlignment="1" applyProtection="1">
      <alignment horizontal="center"/>
    </xf>
    <xf numFmtId="0" fontId="2" fillId="0" borderId="0" xfId="1" applyNumberFormat="1" applyFont="1" applyProtection="1"/>
    <xf numFmtId="0" fontId="2" fillId="0" borderId="0" xfId="1" applyNumberFormat="1" applyFont="1" applyBorder="1" applyProtection="1"/>
    <xf numFmtId="0" fontId="2" fillId="0" borderId="8" xfId="1" quotePrefix="1" applyNumberFormat="1" applyFont="1" applyBorder="1" applyAlignment="1" applyProtection="1">
      <alignment vertical="top"/>
    </xf>
    <xf numFmtId="0" fontId="2" fillId="0" borderId="7" xfId="1" applyNumberFormat="1" applyFont="1" applyBorder="1" applyAlignment="1" applyProtection="1">
      <alignment vertical="top"/>
    </xf>
    <xf numFmtId="0" fontId="2" fillId="0" borderId="6" xfId="1" applyNumberFormat="1" applyFont="1" applyBorder="1" applyProtection="1"/>
    <xf numFmtId="0" fontId="2" fillId="0" borderId="5" xfId="1" applyNumberFormat="1" applyFont="1" applyBorder="1" applyProtection="1"/>
    <xf numFmtId="0" fontId="2" fillId="0" borderId="7" xfId="1" applyNumberFormat="1" applyFont="1" applyFill="1" applyBorder="1" applyAlignment="1" applyProtection="1">
      <alignment vertical="top"/>
    </xf>
    <xf numFmtId="0" fontId="2" fillId="0" borderId="7" xfId="1" applyNumberFormat="1" applyFont="1" applyFill="1" applyBorder="1" applyAlignment="1" applyProtection="1">
      <alignment vertical="top" wrapText="1"/>
    </xf>
    <xf numFmtId="0" fontId="0" fillId="0" borderId="7" xfId="0" applyNumberFormat="1" applyBorder="1" applyAlignment="1" applyProtection="1">
      <alignment wrapText="1"/>
    </xf>
    <xf numFmtId="0" fontId="0" fillId="0" borderId="6" xfId="0" applyNumberFormat="1" applyBorder="1" applyAlignment="1" applyProtection="1">
      <alignment wrapText="1"/>
    </xf>
    <xf numFmtId="0" fontId="4" fillId="0" borderId="9" xfId="1" applyNumberFormat="1" applyFont="1" applyBorder="1" applyAlignment="1" applyProtection="1">
      <alignment horizontal="left" vertical="top"/>
    </xf>
    <xf numFmtId="0" fontId="2" fillId="0" borderId="31" xfId="1" quotePrefix="1" applyNumberFormat="1" applyFont="1" applyBorder="1" applyAlignment="1" applyProtection="1">
      <alignment vertical="top"/>
    </xf>
    <xf numFmtId="0" fontId="2" fillId="0" borderId="14" xfId="1" applyNumberFormat="1" applyFont="1" applyBorder="1" applyAlignment="1" applyProtection="1">
      <alignment vertical="top" wrapText="1"/>
    </xf>
    <xf numFmtId="0" fontId="2" fillId="0" borderId="10" xfId="1" applyNumberFormat="1" applyFont="1" applyBorder="1" applyProtection="1"/>
    <xf numFmtId="0" fontId="0" fillId="0" borderId="14" xfId="0" applyNumberFormat="1" applyBorder="1" applyAlignment="1" applyProtection="1">
      <alignment wrapText="1"/>
    </xf>
    <xf numFmtId="0" fontId="0" fillId="0" borderId="15" xfId="0" applyNumberFormat="1" applyBorder="1" applyAlignment="1" applyProtection="1">
      <alignment wrapText="1"/>
    </xf>
    <xf numFmtId="0" fontId="2" fillId="0" borderId="4" xfId="1" applyNumberFormat="1" applyFont="1" applyBorder="1" applyAlignment="1" applyProtection="1">
      <alignment vertical="top"/>
    </xf>
    <xf numFmtId="0" fontId="2" fillId="0" borderId="3" xfId="1" applyNumberFormat="1" applyFont="1" applyFill="1" applyBorder="1" applyAlignment="1" applyProtection="1">
      <alignment vertical="top"/>
    </xf>
    <xf numFmtId="0" fontId="2" fillId="0" borderId="2" xfId="1" applyNumberFormat="1" applyFont="1" applyBorder="1" applyProtection="1"/>
    <xf numFmtId="0" fontId="2" fillId="0" borderId="1" xfId="1" applyNumberFormat="1" applyFont="1" applyBorder="1" applyProtection="1"/>
    <xf numFmtId="0" fontId="2" fillId="0" borderId="1" xfId="1" quotePrefix="1" applyNumberFormat="1" applyFont="1" applyFill="1" applyBorder="1" applyAlignment="1" applyProtection="1">
      <alignment horizontal="center" vertical="top"/>
    </xf>
    <xf numFmtId="0" fontId="5" fillId="0" borderId="17" xfId="1" applyNumberFormat="1" applyFont="1" applyBorder="1" applyProtection="1"/>
    <xf numFmtId="0" fontId="7" fillId="0" borderId="0" xfId="1" applyNumberFormat="1" applyFont="1" applyAlignment="1" applyProtection="1">
      <alignment horizontal="center"/>
    </xf>
    <xf numFmtId="0" fontId="2" fillId="0" borderId="0" xfId="1" applyNumberFormat="1" applyFont="1" applyAlignment="1" applyProtection="1">
      <alignment horizontal="center"/>
    </xf>
    <xf numFmtId="0" fontId="12" fillId="0" borderId="0" xfId="0" applyFont="1" applyFill="1" applyAlignment="1" applyProtection="1">
      <alignment horizontal="center" vertical="top"/>
    </xf>
    <xf numFmtId="2" fontId="9" fillId="0" borderId="10" xfId="1" applyNumberFormat="1" applyFont="1" applyBorder="1" applyAlignment="1" applyProtection="1">
      <alignment wrapText="1"/>
    </xf>
    <xf numFmtId="2" fontId="2" fillId="0" borderId="16" xfId="1" applyNumberFormat="1" applyFont="1" applyFill="1" applyBorder="1" applyProtection="1"/>
    <xf numFmtId="0" fontId="3" fillId="0" borderId="6" xfId="0" applyFont="1" applyBorder="1" applyAlignment="1" applyProtection="1">
      <alignment wrapText="1"/>
    </xf>
    <xf numFmtId="0" fontId="3" fillId="0" borderId="7" xfId="0" applyFont="1" applyBorder="1" applyAlignment="1" applyProtection="1">
      <alignment wrapText="1"/>
    </xf>
    <xf numFmtId="0" fontId="3" fillId="0" borderId="7" xfId="0" quotePrefix="1" applyFont="1" applyBorder="1" applyAlignment="1" applyProtection="1">
      <alignment wrapText="1"/>
    </xf>
    <xf numFmtId="0" fontId="4" fillId="0" borderId="0" xfId="1" applyNumberFormat="1" applyFont="1" applyBorder="1" applyAlignment="1" applyProtection="1"/>
    <xf numFmtId="0" fontId="4" fillId="0" borderId="8" xfId="1" applyNumberFormat="1" applyFont="1" applyBorder="1" applyAlignment="1" applyProtection="1">
      <alignment horizontal="left" vertical="top"/>
    </xf>
    <xf numFmtId="0" fontId="2" fillId="0" borderId="0" xfId="1" applyNumberFormat="1" applyFont="1" applyBorder="1" applyAlignment="1" applyProtection="1">
      <alignment vertical="top"/>
    </xf>
    <xf numFmtId="0" fontId="2" fillId="0" borderId="0" xfId="1" applyNumberFormat="1" applyFont="1" applyFill="1" applyBorder="1" applyAlignment="1" applyProtection="1">
      <alignment vertical="top"/>
    </xf>
    <xf numFmtId="0" fontId="2" fillId="0" borderId="0" xfId="1" quotePrefix="1" applyNumberFormat="1" applyFont="1" applyFill="1" applyBorder="1" applyAlignment="1" applyProtection="1">
      <alignment horizontal="center" vertical="top"/>
    </xf>
    <xf numFmtId="0" fontId="5" fillId="0" borderId="0" xfId="1" applyNumberFormat="1" applyFont="1" applyBorder="1" applyProtection="1"/>
    <xf numFmtId="49" fontId="15" fillId="4" borderId="0" xfId="2" applyNumberFormat="1" applyFont="1" applyFill="1" applyProtection="1">
      <protection locked="0"/>
    </xf>
    <xf numFmtId="49" fontId="13" fillId="4" borderId="0" xfId="2" applyNumberFormat="1" applyFill="1"/>
    <xf numFmtId="0" fontId="13" fillId="4" borderId="0" xfId="2" applyFill="1"/>
    <xf numFmtId="0" fontId="15" fillId="4" borderId="0" xfId="2" applyFont="1" applyFill="1" applyProtection="1">
      <protection locked="0"/>
    </xf>
    <xf numFmtId="0" fontId="15" fillId="4" borderId="0" xfId="2" quotePrefix="1" applyFont="1" applyFill="1"/>
    <xf numFmtId="0" fontId="15" fillId="4" borderId="0" xfId="2" applyFont="1" applyFill="1"/>
    <xf numFmtId="0" fontId="2" fillId="0" borderId="7" xfId="1" quotePrefix="1" applyFont="1" applyBorder="1" applyAlignment="1" applyProtection="1">
      <alignment horizontal="center" vertical="top"/>
    </xf>
    <xf numFmtId="0" fontId="2" fillId="0" borderId="6" xfId="1" quotePrefix="1" applyFont="1" applyBorder="1" applyAlignment="1" applyProtection="1">
      <alignment horizontal="center" vertical="top"/>
    </xf>
    <xf numFmtId="0" fontId="4" fillId="5" borderId="24" xfId="1" applyFont="1" applyFill="1" applyBorder="1" applyAlignment="1" applyProtection="1">
      <alignment horizontal="center" vertical="center" wrapText="1"/>
    </xf>
    <xf numFmtId="0" fontId="4" fillId="0" borderId="11" xfId="1" applyFont="1" applyBorder="1" applyAlignment="1" applyProtection="1">
      <alignment vertical="top"/>
    </xf>
    <xf numFmtId="2" fontId="9" fillId="0" borderId="32" xfId="1" applyNumberFormat="1" applyFont="1" applyBorder="1" applyAlignment="1" applyProtection="1">
      <alignment wrapText="1"/>
    </xf>
    <xf numFmtId="0" fontId="4" fillId="0" borderId="7" xfId="1" applyFont="1" applyBorder="1" applyAlignment="1" applyProtection="1">
      <alignment vertical="top"/>
    </xf>
    <xf numFmtId="0" fontId="2" fillId="0" borderId="9" xfId="1" applyFont="1" applyBorder="1" applyAlignment="1" applyProtection="1">
      <alignment horizontal="center" vertical="top"/>
    </xf>
    <xf numFmtId="49" fontId="2" fillId="0" borderId="33" xfId="1" applyNumberFormat="1" applyFont="1" applyFill="1" applyBorder="1" applyAlignment="1" applyProtection="1">
      <alignment horizontal="center" vertical="top"/>
    </xf>
    <xf numFmtId="0" fontId="2" fillId="0" borderId="33" xfId="1" applyFont="1" applyFill="1" applyBorder="1" applyProtection="1"/>
    <xf numFmtId="0" fontId="2" fillId="0" borderId="34" xfId="1" applyFont="1" applyFill="1" applyBorder="1" applyProtection="1"/>
    <xf numFmtId="2" fontId="9" fillId="0" borderId="35" xfId="1" applyNumberFormat="1" applyFont="1" applyBorder="1" applyAlignment="1" applyProtection="1">
      <alignment wrapText="1"/>
    </xf>
    <xf numFmtId="0" fontId="2" fillId="0" borderId="36" xfId="1" applyFont="1" applyFill="1" applyBorder="1" applyProtection="1"/>
    <xf numFmtId="0" fontId="2" fillId="0" borderId="5" xfId="1" applyFont="1" applyFill="1" applyBorder="1" applyProtection="1"/>
    <xf numFmtId="2" fontId="9" fillId="0" borderId="5" xfId="1" applyNumberFormat="1" applyFont="1" applyFill="1" applyBorder="1" applyProtection="1"/>
    <xf numFmtId="49" fontId="2" fillId="0" borderId="6" xfId="1" applyNumberFormat="1" applyFont="1" applyFill="1" applyBorder="1" applyAlignment="1" applyProtection="1">
      <alignment horizontal="center" vertical="top"/>
    </xf>
    <xf numFmtId="0" fontId="4" fillId="0" borderId="26" xfId="1" quotePrefix="1" applyFont="1" applyBorder="1" applyAlignment="1" applyProtection="1">
      <alignment horizontal="left" vertical="top"/>
    </xf>
    <xf numFmtId="0" fontId="2" fillId="0" borderId="0" xfId="1" applyFont="1" applyBorder="1" applyAlignment="1" applyProtection="1">
      <alignment horizontal="left" vertical="top"/>
    </xf>
    <xf numFmtId="0" fontId="2" fillId="0" borderId="0" xfId="1" applyFont="1" applyBorder="1" applyAlignment="1" applyProtection="1">
      <alignment horizontal="center" vertical="top"/>
    </xf>
    <xf numFmtId="0" fontId="2" fillId="0" borderId="27" xfId="1" applyFont="1" applyBorder="1" applyProtection="1"/>
    <xf numFmtId="0" fontId="2" fillId="0" borderId="7" xfId="1" applyFont="1" applyBorder="1" applyAlignment="1" applyProtection="1">
      <alignment horizontal="center" vertical="top"/>
    </xf>
    <xf numFmtId="0" fontId="4" fillId="5" borderId="17" xfId="1" applyFont="1" applyFill="1" applyBorder="1" applyAlignment="1" applyProtection="1">
      <alignment horizontal="center" vertical="center" wrapText="1"/>
    </xf>
    <xf numFmtId="2" fontId="2" fillId="0" borderId="33" xfId="1" applyNumberFormat="1" applyFont="1" applyBorder="1" applyProtection="1"/>
    <xf numFmtId="0" fontId="9" fillId="0" borderId="33" xfId="1" applyFont="1" applyFill="1" applyBorder="1" applyProtection="1"/>
    <xf numFmtId="0" fontId="2" fillId="0" borderId="9" xfId="1" applyFont="1" applyBorder="1" applyAlignment="1" applyProtection="1">
      <alignment horizontal="left" vertical="top"/>
    </xf>
    <xf numFmtId="2" fontId="2" fillId="0" borderId="23" xfId="1" applyNumberFormat="1" applyFont="1" applyFill="1" applyBorder="1" applyProtection="1"/>
    <xf numFmtId="0" fontId="4" fillId="5" borderId="5" xfId="1" applyFont="1" applyFill="1" applyBorder="1" applyAlignment="1" applyProtection="1">
      <alignment horizontal="center" vertical="center" wrapText="1"/>
    </xf>
    <xf numFmtId="2" fontId="2" fillId="0" borderId="13" xfId="1" applyNumberFormat="1" applyFont="1" applyFill="1" applyBorder="1" applyProtection="1"/>
    <xf numFmtId="2" fontId="2" fillId="0" borderId="37" xfId="1" applyNumberFormat="1" applyFont="1" applyFill="1" applyBorder="1" applyProtection="1"/>
    <xf numFmtId="2" fontId="2" fillId="0" borderId="5" xfId="1" applyNumberFormat="1" applyFont="1" applyFill="1" applyBorder="1" applyProtection="1"/>
    <xf numFmtId="2" fontId="2" fillId="0" borderId="34" xfId="1" applyNumberFormat="1" applyFont="1" applyBorder="1" applyProtection="1"/>
    <xf numFmtId="0" fontId="2" fillId="0" borderId="10" xfId="1" applyFont="1" applyFill="1" applyBorder="1" applyProtection="1"/>
    <xf numFmtId="2" fontId="2" fillId="0" borderId="33" xfId="1" applyNumberFormat="1" applyFont="1" applyFill="1" applyBorder="1" applyProtection="1"/>
    <xf numFmtId="2" fontId="2" fillId="0" borderId="34" xfId="1" applyNumberFormat="1" applyFont="1" applyFill="1" applyBorder="1" applyProtection="1"/>
    <xf numFmtId="0" fontId="2" fillId="0" borderId="5" xfId="1" quotePrefix="1" applyNumberFormat="1" applyFont="1" applyBorder="1" applyAlignment="1" applyProtection="1">
      <alignment horizontal="center"/>
    </xf>
    <xf numFmtId="0" fontId="2" fillId="0" borderId="5" xfId="1" quotePrefix="1" applyNumberFormat="1" applyFont="1" applyFill="1" applyBorder="1" applyAlignment="1" applyProtection="1">
      <alignment horizontal="center"/>
    </xf>
    <xf numFmtId="0" fontId="2" fillId="0" borderId="10" xfId="1" quotePrefix="1" applyNumberFormat="1" applyFont="1" applyFill="1" applyBorder="1" applyAlignment="1" applyProtection="1">
      <alignment horizontal="center"/>
    </xf>
    <xf numFmtId="49" fontId="2" fillId="0" borderId="18" xfId="1" quotePrefix="1" applyNumberFormat="1" applyFont="1" applyBorder="1" applyAlignment="1" applyProtection="1">
      <alignment horizontal="center"/>
    </xf>
    <xf numFmtId="49" fontId="2" fillId="0" borderId="5" xfId="1" quotePrefix="1" applyNumberFormat="1" applyFont="1" applyBorder="1" applyAlignment="1" applyProtection="1">
      <alignment horizontal="center"/>
    </xf>
    <xf numFmtId="49" fontId="2" fillId="0" borderId="1" xfId="1" quotePrefix="1" applyNumberFormat="1" applyFont="1" applyBorder="1" applyAlignment="1" applyProtection="1">
      <alignment horizontal="center"/>
    </xf>
    <xf numFmtId="0" fontId="2" fillId="0" borderId="0" xfId="1" applyFont="1" applyAlignment="1" applyProtection="1">
      <alignment vertical="top" wrapText="1"/>
    </xf>
    <xf numFmtId="0" fontId="2" fillId="0" borderId="0" xfId="1" applyFont="1" applyAlignment="1" applyProtection="1">
      <alignment horizontal="left" vertical="top"/>
    </xf>
    <xf numFmtId="0" fontId="2" fillId="0" borderId="0" xfId="1" applyFont="1" applyFill="1" applyBorder="1" applyAlignment="1" applyProtection="1">
      <alignment horizontal="left" vertical="top"/>
    </xf>
    <xf numFmtId="49" fontId="2" fillId="0" borderId="0" xfId="1" quotePrefix="1" applyNumberFormat="1" applyFont="1" applyBorder="1" applyAlignment="1" applyProtection="1">
      <alignment horizontal="left" vertical="top"/>
    </xf>
    <xf numFmtId="4" fontId="9" fillId="0" borderId="0" xfId="1" applyNumberFormat="1" applyFont="1" applyBorder="1" applyAlignment="1" applyProtection="1">
      <alignment horizontal="left" vertical="top"/>
    </xf>
    <xf numFmtId="4" fontId="3" fillId="0" borderId="0" xfId="1" applyNumberFormat="1" applyFont="1" applyBorder="1" applyAlignment="1" applyProtection="1">
      <alignment horizontal="left" vertical="top"/>
    </xf>
    <xf numFmtId="4" fontId="9" fillId="0" borderId="13" xfId="1" applyNumberFormat="1" applyFont="1" applyFill="1" applyBorder="1" applyAlignment="1" applyProtection="1">
      <alignment horizontal="right"/>
    </xf>
    <xf numFmtId="4" fontId="9" fillId="0" borderId="16" xfId="1" applyNumberFormat="1" applyFont="1" applyFill="1" applyBorder="1" applyAlignment="1" applyProtection="1">
      <alignment horizontal="right"/>
    </xf>
    <xf numFmtId="4" fontId="2" fillId="0" borderId="5" xfId="1" applyNumberFormat="1" applyFont="1" applyFill="1" applyBorder="1" applyAlignment="1" applyProtection="1">
      <alignment horizontal="right"/>
      <protection locked="0"/>
    </xf>
    <xf numFmtId="4" fontId="9" fillId="0" borderId="23" xfId="1" applyNumberFormat="1" applyFont="1" applyFill="1" applyBorder="1" applyAlignment="1" applyProtection="1">
      <alignment horizontal="right"/>
    </xf>
    <xf numFmtId="4" fontId="9" fillId="0" borderId="5" xfId="1" applyNumberFormat="1" applyFont="1" applyFill="1" applyBorder="1" applyAlignment="1" applyProtection="1">
      <alignment horizontal="right"/>
    </xf>
    <xf numFmtId="4" fontId="9" fillId="0" borderId="38" xfId="1" applyNumberFormat="1" applyFont="1" applyBorder="1" applyAlignment="1" applyProtection="1">
      <alignment horizontal="right"/>
    </xf>
    <xf numFmtId="4" fontId="2" fillId="0" borderId="38" xfId="1" applyNumberFormat="1" applyFont="1" applyBorder="1" applyAlignment="1" applyProtection="1">
      <alignment horizontal="right"/>
    </xf>
    <xf numFmtId="4" fontId="2" fillId="0" borderId="5" xfId="1" applyNumberFormat="1" applyFont="1" applyFill="1" applyBorder="1" applyAlignment="1" applyProtection="1">
      <alignment horizontal="right"/>
    </xf>
    <xf numFmtId="4" fontId="3" fillId="0" borderId="38" xfId="1" applyNumberFormat="1" applyFont="1" applyBorder="1" applyAlignment="1" applyProtection="1">
      <alignment horizontal="right"/>
    </xf>
    <xf numFmtId="4" fontId="9" fillId="6" borderId="5" xfId="1" applyNumberFormat="1" applyFont="1" applyFill="1" applyBorder="1" applyAlignment="1" applyProtection="1">
      <alignment horizontal="right"/>
    </xf>
    <xf numFmtId="4" fontId="3" fillId="6" borderId="38" xfId="1" applyNumberFormat="1" applyFont="1" applyFill="1" applyBorder="1" applyAlignment="1" applyProtection="1">
      <alignment horizontal="right"/>
    </xf>
    <xf numFmtId="4" fontId="9" fillId="6" borderId="23" xfId="1" applyNumberFormat="1" applyFont="1" applyFill="1" applyBorder="1" applyAlignment="1" applyProtection="1">
      <alignment horizontal="right"/>
    </xf>
    <xf numFmtId="4" fontId="2" fillId="0" borderId="1" xfId="1" applyNumberFormat="1" applyFont="1" applyFill="1" applyBorder="1" applyAlignment="1" applyProtection="1">
      <alignment horizontal="right"/>
      <protection locked="0"/>
    </xf>
    <xf numFmtId="4" fontId="9" fillId="6" borderId="1" xfId="1" applyNumberFormat="1" applyFont="1" applyFill="1" applyBorder="1" applyAlignment="1" applyProtection="1">
      <alignment horizontal="right"/>
    </xf>
    <xf numFmtId="4" fontId="3" fillId="6" borderId="22" xfId="1" applyNumberFormat="1" applyFont="1" applyFill="1" applyBorder="1" applyAlignment="1" applyProtection="1">
      <alignment horizontal="right"/>
    </xf>
    <xf numFmtId="4" fontId="9" fillId="6" borderId="17" xfId="1" applyNumberFormat="1" applyFont="1" applyFill="1" applyBorder="1" applyAlignment="1" applyProtection="1">
      <alignment horizontal="right"/>
    </xf>
    <xf numFmtId="49" fontId="2" fillId="0" borderId="13" xfId="1" quotePrefix="1" applyNumberFormat="1" applyFont="1" applyBorder="1" applyAlignment="1" applyProtection="1">
      <alignment horizontal="center"/>
    </xf>
    <xf numFmtId="0" fontId="2" fillId="0" borderId="5" xfId="1" applyFont="1" applyFill="1" applyBorder="1" applyProtection="1">
      <protection locked="0"/>
    </xf>
    <xf numFmtId="2" fontId="2" fillId="0" borderId="38" xfId="1" applyNumberFormat="1" applyFont="1" applyFill="1" applyBorder="1" applyProtection="1"/>
    <xf numFmtId="3" fontId="2" fillId="0" borderId="5" xfId="1" applyNumberFormat="1" applyFont="1" applyFill="1" applyBorder="1" applyAlignment="1" applyProtection="1">
      <alignment horizontal="right"/>
      <protection locked="0"/>
    </xf>
    <xf numFmtId="0" fontId="2" fillId="0" borderId="7" xfId="1" applyNumberFormat="1" applyFont="1" applyBorder="1" applyAlignment="1" applyProtection="1">
      <alignment vertical="top" wrapText="1"/>
    </xf>
    <xf numFmtId="0" fontId="4" fillId="2" borderId="39" xfId="1" applyFont="1" applyFill="1" applyBorder="1" applyAlignment="1" applyProtection="1">
      <alignment horizontal="center" vertical="center"/>
    </xf>
    <xf numFmtId="0" fontId="4" fillId="2" borderId="40" xfId="1" applyFont="1" applyFill="1" applyBorder="1" applyAlignment="1" applyProtection="1">
      <alignment horizontal="center" vertical="center"/>
    </xf>
    <xf numFmtId="0" fontId="0" fillId="0" borderId="27" xfId="0" applyBorder="1" applyAlignment="1" applyProtection="1">
      <alignment horizontal="center" vertical="center"/>
    </xf>
    <xf numFmtId="0" fontId="0" fillId="0" borderId="30" xfId="0" applyBorder="1" applyAlignment="1" applyProtection="1">
      <alignment horizontal="center" vertical="center"/>
    </xf>
    <xf numFmtId="0" fontId="4" fillId="2" borderId="40" xfId="1" applyFont="1" applyFill="1" applyBorder="1" applyAlignment="1" applyProtection="1">
      <alignment horizontal="left" vertical="center"/>
    </xf>
    <xf numFmtId="0" fontId="0" fillId="0" borderId="27" xfId="0" applyBorder="1" applyAlignment="1" applyProtection="1">
      <alignment horizontal="left" vertical="center"/>
    </xf>
    <xf numFmtId="0" fontId="0" fillId="0" borderId="30" xfId="0" applyBorder="1" applyAlignment="1" applyProtection="1">
      <alignment horizontal="left" vertical="center"/>
    </xf>
    <xf numFmtId="0" fontId="4" fillId="2" borderId="22" xfId="1" applyFont="1" applyFill="1" applyBorder="1" applyAlignment="1" applyProtection="1">
      <alignment horizontal="center" vertical="center" wrapText="1"/>
    </xf>
    <xf numFmtId="0" fontId="4" fillId="0" borderId="12" xfId="1" applyFont="1" applyBorder="1" applyProtection="1"/>
    <xf numFmtId="49" fontId="2" fillId="0" borderId="13" xfId="1" quotePrefix="1" applyNumberFormat="1" applyFont="1" applyFill="1" applyBorder="1" applyAlignment="1" applyProtection="1">
      <alignment horizontal="center" vertical="top"/>
    </xf>
    <xf numFmtId="0" fontId="2" fillId="0" borderId="8" xfId="1" applyFont="1" applyBorder="1" applyAlignment="1" applyProtection="1">
      <alignment vertical="top"/>
    </xf>
    <xf numFmtId="0" fontId="2" fillId="0" borderId="6" xfId="1" applyFont="1" applyBorder="1" applyAlignment="1" applyProtection="1">
      <alignment vertical="top"/>
    </xf>
    <xf numFmtId="0" fontId="4" fillId="0" borderId="6" xfId="1" applyFont="1" applyBorder="1" applyAlignment="1" applyProtection="1">
      <alignment vertical="top"/>
    </xf>
    <xf numFmtId="0" fontId="2" fillId="2" borderId="6" xfId="1" quotePrefix="1" applyFont="1" applyFill="1" applyBorder="1" applyAlignment="1" applyProtection="1">
      <alignment horizontal="center" vertical="top"/>
    </xf>
    <xf numFmtId="0" fontId="16" fillId="2" borderId="39" xfId="0" applyFont="1" applyFill="1" applyBorder="1" applyAlignment="1" applyProtection="1">
      <alignment horizontal="center" vertical="center"/>
    </xf>
    <xf numFmtId="0" fontId="2" fillId="0" borderId="12" xfId="1" applyFont="1" applyBorder="1" applyAlignment="1" applyProtection="1">
      <alignment horizontal="center" vertical="top"/>
    </xf>
    <xf numFmtId="0" fontId="2" fillId="0" borderId="8" xfId="1" applyFont="1" applyBorder="1" applyAlignment="1" applyProtection="1">
      <alignment horizontal="left" vertical="top"/>
    </xf>
    <xf numFmtId="0" fontId="4" fillId="0" borderId="15" xfId="1" quotePrefix="1" applyFont="1" applyBorder="1" applyAlignment="1" applyProtection="1">
      <alignment horizontal="center" vertical="top"/>
    </xf>
    <xf numFmtId="0" fontId="4" fillId="0" borderId="8" xfId="1" quotePrefix="1" applyFont="1" applyBorder="1" applyAlignment="1" applyProtection="1">
      <alignment vertical="top"/>
    </xf>
    <xf numFmtId="0" fontId="4" fillId="0" borderId="7" xfId="1" quotePrefix="1" applyFont="1" applyBorder="1" applyAlignment="1" applyProtection="1">
      <alignment vertical="top"/>
    </xf>
    <xf numFmtId="0" fontId="4" fillId="0" borderId="6" xfId="1" applyFont="1" applyBorder="1" applyProtection="1"/>
    <xf numFmtId="0" fontId="2" fillId="0" borderId="9" xfId="1" quotePrefix="1" applyFont="1" applyBorder="1" applyAlignment="1" applyProtection="1">
      <alignment horizontal="left" vertical="top"/>
    </xf>
    <xf numFmtId="0" fontId="2" fillId="0" borderId="0" xfId="1" applyFont="1" applyAlignment="1" applyProtection="1">
      <alignment horizontal="center" vertical="top" wrapText="1"/>
    </xf>
    <xf numFmtId="0" fontId="2" fillId="0" borderId="0" xfId="0" applyFont="1" applyBorder="1" applyAlignment="1" applyProtection="1">
      <alignment horizontal="center"/>
    </xf>
    <xf numFmtId="0" fontId="2" fillId="0" borderId="0" xfId="0" applyFont="1" applyBorder="1" applyProtection="1"/>
    <xf numFmtId="0" fontId="2" fillId="0" borderId="0" xfId="0" applyFont="1" applyFill="1" applyBorder="1" applyAlignment="1" applyProtection="1">
      <alignment horizontal="center"/>
    </xf>
    <xf numFmtId="0" fontId="2" fillId="0" borderId="0" xfId="0" applyFont="1" applyFill="1" applyAlignment="1" applyProtection="1">
      <alignment horizontal="center" vertical="top"/>
    </xf>
    <xf numFmtId="0" fontId="2" fillId="0" borderId="0" xfId="0" applyFont="1" applyFill="1" applyAlignment="1" applyProtection="1">
      <alignment horizontal="center"/>
    </xf>
    <xf numFmtId="0" fontId="2" fillId="0" borderId="0" xfId="0" applyFont="1" applyFill="1" applyProtection="1"/>
    <xf numFmtId="0" fontId="2" fillId="0" borderId="0" xfId="0" applyFont="1" applyFill="1" applyBorder="1" applyProtection="1"/>
    <xf numFmtId="0" fontId="2" fillId="0" borderId="0" xfId="0" applyFont="1" applyBorder="1" applyAlignment="1" applyProtection="1">
      <alignment horizontal="left" vertical="top"/>
    </xf>
    <xf numFmtId="0" fontId="2" fillId="0" borderId="0" xfId="0" applyFont="1" applyBorder="1" applyAlignment="1" applyProtection="1">
      <alignment horizontal="center" vertical="top"/>
    </xf>
    <xf numFmtId="0" fontId="4" fillId="5" borderId="2" xfId="1" applyFont="1" applyFill="1" applyBorder="1" applyAlignment="1" applyProtection="1">
      <alignment horizontal="center" vertical="center" wrapText="1"/>
    </xf>
    <xf numFmtId="0" fontId="4" fillId="5" borderId="1" xfId="1" applyFont="1" applyFill="1" applyBorder="1" applyAlignment="1" applyProtection="1">
      <alignment horizontal="center" vertical="center" wrapText="1"/>
    </xf>
    <xf numFmtId="0" fontId="3" fillId="0" borderId="0" xfId="0" applyFont="1" applyAlignment="1">
      <alignment vertical="top" wrapText="1"/>
    </xf>
    <xf numFmtId="0" fontId="4" fillId="0" borderId="7" xfId="1" applyNumberFormat="1" applyFont="1" applyFill="1" applyBorder="1" applyAlignment="1" applyProtection="1">
      <alignment vertical="top"/>
    </xf>
    <xf numFmtId="0" fontId="2" fillId="0" borderId="7" xfId="1" quotePrefix="1" applyNumberFormat="1" applyFont="1" applyBorder="1" applyAlignment="1" applyProtection="1">
      <alignment vertical="top"/>
    </xf>
    <xf numFmtId="0" fontId="2" fillId="0" borderId="7" xfId="1" quotePrefix="1" applyNumberFormat="1" applyFont="1" applyFill="1" applyBorder="1" applyAlignment="1" applyProtection="1">
      <alignment vertical="top"/>
    </xf>
    <xf numFmtId="0" fontId="2" fillId="0" borderId="7" xfId="1" quotePrefix="1" applyNumberFormat="1" applyFont="1" applyFill="1" applyBorder="1" applyAlignment="1" applyProtection="1">
      <alignment vertical="top" wrapText="1"/>
    </xf>
    <xf numFmtId="0" fontId="2" fillId="0" borderId="7" xfId="1" applyNumberFormat="1" applyFont="1" applyBorder="1" applyAlignment="1" applyProtection="1">
      <alignment wrapText="1"/>
    </xf>
    <xf numFmtId="0" fontId="2" fillId="2" borderId="0" xfId="1" applyNumberFormat="1" applyFont="1" applyFill="1" applyBorder="1" applyAlignment="1" applyProtection="1"/>
    <xf numFmtId="0" fontId="2" fillId="2" borderId="29" xfId="1" applyNumberFormat="1" applyFont="1" applyFill="1" applyBorder="1" applyAlignment="1" applyProtection="1"/>
    <xf numFmtId="0" fontId="4" fillId="0" borderId="11" xfId="1" applyNumberFormat="1" applyFont="1" applyBorder="1" applyAlignment="1" applyProtection="1">
      <alignment horizontal="left" vertical="top"/>
    </xf>
    <xf numFmtId="0" fontId="2" fillId="0" borderId="11" xfId="1" applyNumberFormat="1" applyFont="1" applyBorder="1" applyAlignment="1" applyProtection="1">
      <alignment horizontal="center" vertical="top"/>
    </xf>
    <xf numFmtId="0" fontId="2" fillId="0" borderId="12" xfId="1" applyNumberFormat="1" applyFont="1" applyBorder="1" applyProtection="1"/>
    <xf numFmtId="0" fontId="2" fillId="2" borderId="28" xfId="1" applyNumberFormat="1" applyFont="1" applyFill="1" applyBorder="1" applyAlignment="1" applyProtection="1"/>
    <xf numFmtId="0" fontId="2" fillId="0" borderId="13" xfId="1" applyNumberFormat="1" applyFont="1" applyBorder="1" applyProtection="1"/>
    <xf numFmtId="0" fontId="2" fillId="0" borderId="13" xfId="1" applyNumberFormat="1" applyFont="1" applyFill="1" applyBorder="1" applyAlignment="1" applyProtection="1">
      <alignment horizontal="center" vertical="top"/>
    </xf>
    <xf numFmtId="0" fontId="2" fillId="0" borderId="16" xfId="1" applyNumberFormat="1" applyFont="1" applyFill="1" applyBorder="1" applyProtection="1"/>
    <xf numFmtId="0" fontId="4" fillId="2" borderId="41" xfId="1" applyNumberFormat="1" applyFont="1" applyFill="1" applyBorder="1" applyAlignment="1" applyProtection="1">
      <alignment horizontal="center"/>
    </xf>
    <xf numFmtId="0" fontId="4" fillId="2" borderId="42" xfId="1" applyNumberFormat="1" applyFont="1" applyFill="1" applyBorder="1" applyAlignment="1" applyProtection="1">
      <alignment horizontal="center"/>
    </xf>
    <xf numFmtId="0" fontId="4" fillId="0" borderId="42" xfId="1" applyNumberFormat="1" applyFont="1" applyBorder="1" applyAlignment="1" applyProtection="1">
      <alignment horizontal="center"/>
    </xf>
    <xf numFmtId="0" fontId="2" fillId="2" borderId="26" xfId="1" applyNumberFormat="1" applyFont="1" applyFill="1" applyBorder="1" applyAlignment="1" applyProtection="1"/>
    <xf numFmtId="0" fontId="2" fillId="0" borderId="20" xfId="1" applyNumberFormat="1" applyFont="1" applyBorder="1" applyProtection="1"/>
    <xf numFmtId="0" fontId="4" fillId="2" borderId="3" xfId="1" applyNumberFormat="1" applyFont="1" applyFill="1" applyBorder="1" applyAlignment="1" applyProtection="1">
      <alignment horizontal="center" vertical="center" wrapText="1"/>
    </xf>
    <xf numFmtId="0" fontId="2" fillId="0" borderId="42" xfId="1" applyFont="1" applyBorder="1" applyProtection="1"/>
    <xf numFmtId="0" fontId="4" fillId="2" borderId="41" xfId="1" applyFont="1" applyFill="1" applyBorder="1" applyAlignment="1" applyProtection="1">
      <alignment vertical="center" wrapText="1"/>
    </xf>
    <xf numFmtId="0" fontId="4" fillId="2" borderId="26" xfId="1" applyFont="1" applyFill="1" applyBorder="1" applyAlignment="1" applyProtection="1">
      <alignment vertical="center" wrapText="1"/>
    </xf>
    <xf numFmtId="0" fontId="4" fillId="2" borderId="43" xfId="1" applyFont="1" applyFill="1" applyBorder="1" applyAlignment="1" applyProtection="1">
      <alignment horizontal="center" vertical="center" wrapText="1"/>
    </xf>
    <xf numFmtId="0" fontId="18" fillId="0" borderId="0" xfId="0" applyFont="1" applyFill="1" applyAlignment="1" applyProtection="1">
      <alignment vertical="center" wrapText="1"/>
    </xf>
    <xf numFmtId="0" fontId="2" fillId="0" borderId="0" xfId="1" applyFont="1" applyAlignment="1" applyProtection="1">
      <alignment wrapText="1"/>
    </xf>
    <xf numFmtId="0" fontId="2" fillId="0" borderId="0" xfId="0" applyFont="1" applyFill="1" applyAlignment="1" applyProtection="1">
      <alignment wrapText="1"/>
    </xf>
    <xf numFmtId="0" fontId="2" fillId="0" borderId="0" xfId="0" applyFont="1" applyFill="1" applyAlignment="1" applyProtection="1">
      <alignment horizontal="left"/>
    </xf>
    <xf numFmtId="49" fontId="2" fillId="0" borderId="33" xfId="1" quotePrefix="1" applyNumberFormat="1" applyFont="1" applyBorder="1" applyAlignment="1" applyProtection="1">
      <alignment horizontal="center" vertical="top"/>
    </xf>
    <xf numFmtId="2" fontId="9" fillId="0" borderId="13" xfId="1" applyNumberFormat="1" applyFont="1" applyBorder="1" applyProtection="1"/>
    <xf numFmtId="2" fontId="9" fillId="0" borderId="16" xfId="1" applyNumberFormat="1" applyFont="1" applyBorder="1" applyProtection="1"/>
    <xf numFmtId="0" fontId="16" fillId="2" borderId="30" xfId="0" applyFont="1" applyFill="1" applyBorder="1" applyAlignment="1" applyProtection="1">
      <alignment horizontal="center" vertical="center"/>
    </xf>
    <xf numFmtId="0" fontId="2" fillId="0" borderId="0" xfId="1" applyFont="1" applyBorder="1" applyAlignment="1" applyProtection="1">
      <alignment wrapText="1"/>
    </xf>
    <xf numFmtId="0" fontId="2" fillId="0" borderId="0" xfId="0" applyFont="1" applyBorder="1" applyAlignment="1" applyProtection="1">
      <alignment vertical="top" wrapText="1"/>
    </xf>
    <xf numFmtId="0" fontId="2" fillId="2" borderId="29" xfId="1" applyFont="1" applyFill="1" applyBorder="1" applyAlignment="1" applyProtection="1"/>
    <xf numFmtId="0" fontId="2" fillId="2" borderId="41" xfId="1" applyFont="1" applyFill="1" applyBorder="1" applyAlignment="1" applyProtection="1"/>
    <xf numFmtId="0" fontId="2" fillId="2" borderId="42" xfId="1" applyFont="1" applyFill="1" applyBorder="1" applyAlignment="1" applyProtection="1"/>
    <xf numFmtId="0" fontId="2" fillId="0" borderId="42" xfId="1" applyFont="1" applyBorder="1" applyAlignment="1" applyProtection="1">
      <alignment horizontal="center"/>
    </xf>
    <xf numFmtId="0" fontId="2" fillId="2" borderId="26" xfId="1" applyFont="1" applyFill="1" applyBorder="1" applyAlignment="1" applyProtection="1"/>
    <xf numFmtId="0" fontId="2" fillId="2" borderId="0" xfId="1" applyFont="1" applyFill="1" applyBorder="1" applyAlignment="1" applyProtection="1"/>
    <xf numFmtId="0" fontId="2" fillId="2" borderId="28" xfId="1" applyFont="1" applyFill="1" applyBorder="1" applyAlignment="1" applyProtection="1"/>
    <xf numFmtId="0" fontId="2" fillId="2" borderId="44" xfId="1" applyFont="1" applyFill="1" applyBorder="1" applyAlignment="1" applyProtection="1">
      <alignment horizontal="center"/>
    </xf>
    <xf numFmtId="0" fontId="2" fillId="2" borderId="38" xfId="1" applyFont="1" applyFill="1" applyBorder="1" applyAlignment="1" applyProtection="1">
      <alignment horizontal="center"/>
    </xf>
    <xf numFmtId="0" fontId="2" fillId="0" borderId="0" xfId="0" applyFont="1" applyFill="1" applyBorder="1" applyAlignment="1" applyProtection="1">
      <alignment horizontal="left"/>
    </xf>
    <xf numFmtId="0" fontId="2" fillId="0" borderId="9" xfId="1" quotePrefix="1" applyFont="1" applyBorder="1" applyAlignment="1" applyProtection="1">
      <alignment vertical="top"/>
    </xf>
    <xf numFmtId="0" fontId="2" fillId="0" borderId="12" xfId="1" quotePrefix="1" applyFont="1" applyBorder="1" applyAlignment="1" applyProtection="1">
      <alignment horizontal="center" vertical="top"/>
    </xf>
    <xf numFmtId="0" fontId="17" fillId="0" borderId="0" xfId="0" applyFont="1" applyAlignment="1" applyProtection="1">
      <alignment wrapText="1"/>
    </xf>
    <xf numFmtId="0" fontId="2" fillId="0" borderId="7" xfId="1" applyFont="1" applyBorder="1" applyProtection="1"/>
    <xf numFmtId="0" fontId="2" fillId="0" borderId="8" xfId="1" applyFont="1" applyBorder="1" applyProtection="1"/>
    <xf numFmtId="0" fontId="2" fillId="0" borderId="0" xfId="0" applyFont="1" applyFill="1" applyAlignment="1" applyProtection="1">
      <alignment horizontal="left" vertical="center"/>
    </xf>
    <xf numFmtId="0" fontId="4" fillId="0" borderId="11" xfId="1" applyFont="1" applyBorder="1" applyAlignment="1" applyProtection="1">
      <alignment horizontal="left" vertical="top"/>
    </xf>
    <xf numFmtId="0" fontId="4" fillId="2" borderId="28" xfId="1" applyFont="1" applyFill="1" applyBorder="1" applyAlignment="1" applyProtection="1">
      <alignment vertical="center" wrapText="1"/>
    </xf>
    <xf numFmtId="0" fontId="2" fillId="0" borderId="45" xfId="1" applyFont="1" applyBorder="1" applyProtection="1"/>
    <xf numFmtId="49" fontId="2" fillId="0" borderId="38" xfId="1" applyNumberFormat="1" applyFont="1" applyFill="1" applyBorder="1" applyAlignment="1" applyProtection="1">
      <alignment horizontal="center" vertical="top"/>
    </xf>
    <xf numFmtId="182" fontId="21" fillId="0" borderId="5" xfId="3" applyNumberFormat="1" applyFont="1" applyFill="1" applyBorder="1" applyAlignment="1" applyProtection="1">
      <alignment horizontal="center" vertical="top"/>
    </xf>
    <xf numFmtId="0" fontId="2" fillId="0" borderId="39" xfId="1" applyFont="1" applyBorder="1" applyProtection="1"/>
    <xf numFmtId="0" fontId="4" fillId="0" borderId="31" xfId="1" quotePrefix="1" applyFont="1" applyBorder="1" applyAlignment="1" applyProtection="1">
      <alignment horizontal="left" vertical="top"/>
    </xf>
    <xf numFmtId="182" fontId="21" fillId="0" borderId="10" xfId="3" applyNumberFormat="1" applyFont="1" applyFill="1" applyBorder="1" applyAlignment="1" applyProtection="1">
      <alignment horizontal="center" vertical="top"/>
    </xf>
    <xf numFmtId="0" fontId="2" fillId="0" borderId="8" xfId="1" quotePrefix="1" applyFont="1" applyBorder="1" applyAlignment="1" applyProtection="1">
      <alignment horizontal="center" vertical="top"/>
    </xf>
    <xf numFmtId="0" fontId="2" fillId="0" borderId="8" xfId="1" quotePrefix="1" applyFont="1" applyBorder="1" applyAlignment="1" applyProtection="1">
      <alignment horizontal="center"/>
    </xf>
    <xf numFmtId="0" fontId="2" fillId="0" borderId="31" xfId="1" quotePrefix="1" applyFont="1" applyBorder="1" applyAlignment="1" applyProtection="1">
      <alignment horizontal="center" vertical="top"/>
    </xf>
    <xf numFmtId="0" fontId="2" fillId="0" borderId="14" xfId="1" applyFont="1" applyBorder="1" applyAlignment="1" applyProtection="1">
      <alignment horizontal="center" vertical="top"/>
    </xf>
    <xf numFmtId="49" fontId="2" fillId="0" borderId="32" xfId="1" applyNumberFormat="1" applyFont="1" applyFill="1" applyBorder="1" applyAlignment="1" applyProtection="1">
      <alignment horizontal="center" vertical="top"/>
    </xf>
    <xf numFmtId="2" fontId="2" fillId="0" borderId="15" xfId="1" applyNumberFormat="1" applyFont="1" applyFill="1" applyBorder="1" applyProtection="1"/>
    <xf numFmtId="2" fontId="2" fillId="0" borderId="10" xfId="1" applyNumberFormat="1" applyFont="1" applyFill="1" applyBorder="1" applyProtection="1"/>
    <xf numFmtId="2" fontId="2" fillId="0" borderId="32" xfId="1" applyNumberFormat="1" applyFont="1" applyFill="1" applyBorder="1" applyProtection="1"/>
    <xf numFmtId="0" fontId="2" fillId="0" borderId="14" xfId="1" applyFont="1" applyBorder="1" applyAlignment="1" applyProtection="1">
      <alignment horizontal="left" vertical="top"/>
    </xf>
    <xf numFmtId="49" fontId="2" fillId="0" borderId="10" xfId="1" applyNumberFormat="1" applyFont="1" applyFill="1" applyBorder="1" applyAlignment="1" applyProtection="1">
      <alignment horizontal="center" vertical="top"/>
    </xf>
    <xf numFmtId="2" fontId="9" fillId="0" borderId="10" xfId="1" applyNumberFormat="1" applyFont="1" applyFill="1" applyBorder="1" applyProtection="1"/>
    <xf numFmtId="0" fontId="2" fillId="0" borderId="31" xfId="1" quotePrefix="1" applyFont="1" applyBorder="1" applyAlignment="1" applyProtection="1">
      <alignment vertical="top"/>
    </xf>
    <xf numFmtId="0" fontId="4" fillId="0" borderId="14" xfId="1" applyFont="1" applyBorder="1" applyAlignment="1" applyProtection="1">
      <alignment vertical="top"/>
    </xf>
    <xf numFmtId="0" fontId="4" fillId="0" borderId="15" xfId="1" applyFont="1" applyBorder="1" applyProtection="1"/>
    <xf numFmtId="0" fontId="4" fillId="7" borderId="24" xfId="1" applyFont="1" applyFill="1" applyBorder="1" applyAlignment="1" applyProtection="1">
      <alignment horizontal="center" vertical="center" wrapText="1"/>
      <protection locked="0"/>
    </xf>
    <xf numFmtId="49" fontId="4" fillId="2" borderId="25" xfId="1" applyNumberFormat="1" applyFont="1" applyFill="1" applyBorder="1" applyAlignment="1" applyProtection="1">
      <alignment horizontal="center" vertical="center"/>
    </xf>
    <xf numFmtId="49" fontId="4" fillId="2" borderId="33" xfId="1" applyNumberFormat="1" applyFont="1" applyFill="1" applyBorder="1" applyAlignment="1" applyProtection="1">
      <alignment horizontal="center" vertical="center"/>
    </xf>
    <xf numFmtId="49" fontId="4" fillId="2" borderId="24" xfId="1" applyNumberFormat="1" applyFont="1" applyFill="1" applyBorder="1" applyAlignment="1" applyProtection="1">
      <alignment horizontal="center" vertical="center"/>
    </xf>
    <xf numFmtId="49" fontId="4" fillId="2" borderId="1" xfId="1" applyNumberFormat="1" applyFont="1" applyFill="1" applyBorder="1" applyAlignment="1" applyProtection="1">
      <alignment horizontal="center" vertical="center" wrapText="1"/>
    </xf>
    <xf numFmtId="0" fontId="4" fillId="2" borderId="42" xfId="1" applyNumberFormat="1" applyFont="1" applyFill="1" applyBorder="1" applyAlignment="1" applyProtection="1">
      <alignment horizontal="center" vertical="center"/>
    </xf>
    <xf numFmtId="0" fontId="4" fillId="2" borderId="0" xfId="1" applyNumberFormat="1" applyFont="1" applyFill="1" applyBorder="1" applyAlignment="1" applyProtection="1">
      <alignment horizontal="center" vertical="center"/>
    </xf>
    <xf numFmtId="0" fontId="4" fillId="2" borderId="29" xfId="1" applyNumberFormat="1" applyFont="1" applyFill="1" applyBorder="1" applyAlignment="1" applyProtection="1">
      <alignment horizontal="center" vertical="center"/>
    </xf>
    <xf numFmtId="0" fontId="2" fillId="0" borderId="37" xfId="1" applyNumberFormat="1" applyFont="1" applyFill="1" applyBorder="1" applyAlignment="1" applyProtection="1">
      <alignment horizontal="center" vertical="top"/>
    </xf>
    <xf numFmtId="0" fontId="2" fillId="0" borderId="38" xfId="1" quotePrefix="1" applyNumberFormat="1" applyFont="1" applyBorder="1" applyAlignment="1" applyProtection="1">
      <alignment horizontal="center"/>
    </xf>
    <xf numFmtId="0" fontId="2" fillId="0" borderId="38" xfId="1" quotePrefix="1" applyNumberFormat="1" applyFont="1" applyFill="1" applyBorder="1" applyAlignment="1" applyProtection="1">
      <alignment horizontal="center"/>
    </xf>
    <xf numFmtId="0" fontId="2" fillId="0" borderId="32" xfId="1" quotePrefix="1" applyNumberFormat="1" applyFont="1" applyFill="1" applyBorder="1" applyAlignment="1" applyProtection="1">
      <alignment horizontal="center"/>
    </xf>
    <xf numFmtId="0" fontId="2" fillId="0" borderId="22" xfId="1" quotePrefix="1" applyNumberFormat="1" applyFont="1" applyFill="1" applyBorder="1" applyAlignment="1" applyProtection="1">
      <alignment horizontal="center" vertical="top"/>
    </xf>
    <xf numFmtId="49" fontId="4" fillId="2" borderId="42" xfId="1" applyNumberFormat="1" applyFont="1" applyFill="1" applyBorder="1" applyAlignment="1" applyProtection="1">
      <alignment horizontal="center" vertical="center" wrapText="1"/>
    </xf>
    <xf numFmtId="49" fontId="4" fillId="2" borderId="0" xfId="1" applyNumberFormat="1" applyFont="1" applyFill="1" applyBorder="1" applyAlignment="1" applyProtection="1">
      <alignment horizontal="center" vertical="center" wrapText="1"/>
    </xf>
    <xf numFmtId="49" fontId="4" fillId="2" borderId="29" xfId="1" applyNumberFormat="1" applyFont="1" applyFill="1" applyBorder="1" applyAlignment="1" applyProtection="1">
      <alignment horizontal="center" vertical="center" wrapText="1"/>
    </xf>
    <xf numFmtId="49" fontId="4" fillId="2" borderId="44" xfId="1" applyNumberFormat="1" applyFont="1" applyFill="1" applyBorder="1" applyAlignment="1" applyProtection="1">
      <alignment horizontal="center" vertical="center" wrapText="1"/>
    </xf>
    <xf numFmtId="49" fontId="4" fillId="2" borderId="32" xfId="1" applyNumberFormat="1" applyFont="1" applyFill="1" applyBorder="1" applyAlignment="1" applyProtection="1">
      <alignment horizontal="center" vertical="center" wrapText="1"/>
    </xf>
    <xf numFmtId="49" fontId="2" fillId="0" borderId="44" xfId="1" quotePrefix="1" applyNumberFormat="1" applyFont="1" applyBorder="1" applyAlignment="1" applyProtection="1">
      <alignment horizontal="center"/>
    </xf>
    <xf numFmtId="49" fontId="2" fillId="0" borderId="38" xfId="1" quotePrefix="1" applyNumberFormat="1" applyFont="1" applyBorder="1" applyAlignment="1" applyProtection="1">
      <alignment horizontal="center"/>
    </xf>
    <xf numFmtId="49" fontId="2" fillId="0" borderId="22" xfId="1" quotePrefix="1" applyNumberFormat="1" applyFont="1" applyBorder="1" applyAlignment="1" applyProtection="1">
      <alignment horizontal="center"/>
    </xf>
    <xf numFmtId="0" fontId="2" fillId="0" borderId="9" xfId="1" quotePrefix="1" applyFont="1" applyBorder="1" applyAlignment="1" applyProtection="1">
      <alignment horizontal="center" vertical="top"/>
    </xf>
    <xf numFmtId="2" fontId="9" fillId="0" borderId="35" xfId="1" applyNumberFormat="1" applyFont="1" applyFill="1" applyBorder="1" applyProtection="1"/>
    <xf numFmtId="0" fontId="2" fillId="0" borderId="7" xfId="1" applyFont="1" applyBorder="1" applyAlignment="1" applyProtection="1">
      <alignment horizontal="left"/>
    </xf>
    <xf numFmtId="0" fontId="2" fillId="0" borderId="6" xfId="1" applyFont="1" applyBorder="1" applyAlignment="1" applyProtection="1">
      <alignment horizontal="left"/>
    </xf>
    <xf numFmtId="0" fontId="2" fillId="0" borderId="15" xfId="1" applyFont="1" applyBorder="1" applyAlignment="1" applyProtection="1">
      <alignment horizontal="left" vertical="top"/>
    </xf>
    <xf numFmtId="0" fontId="2" fillId="0" borderId="6" xfId="1" applyFont="1" applyBorder="1" applyAlignment="1" applyProtection="1">
      <alignment horizontal="left" vertical="top"/>
    </xf>
    <xf numFmtId="167" fontId="4" fillId="7" borderId="5" xfId="1" applyNumberFormat="1" applyFont="1" applyFill="1" applyBorder="1" applyAlignment="1" applyProtection="1">
      <alignment horizontal="center" vertical="center" wrapText="1"/>
      <protection locked="0"/>
    </xf>
    <xf numFmtId="0" fontId="3" fillId="0" borderId="6" xfId="0" applyFont="1" applyBorder="1" applyAlignment="1" applyProtection="1">
      <alignment horizontal="left" wrapText="1"/>
    </xf>
    <xf numFmtId="0" fontId="4" fillId="2" borderId="33" xfId="1" applyFont="1" applyFill="1" applyBorder="1" applyAlignment="1" applyProtection="1">
      <alignment horizontal="center" vertical="center" wrapText="1"/>
    </xf>
    <xf numFmtId="0" fontId="4" fillId="2" borderId="46" xfId="1" applyFont="1" applyFill="1" applyBorder="1" applyAlignment="1" applyProtection="1">
      <alignment horizontal="center" vertical="center" wrapText="1"/>
    </xf>
    <xf numFmtId="0" fontId="4" fillId="2" borderId="36" xfId="1" applyFont="1" applyFill="1" applyBorder="1" applyAlignment="1" applyProtection="1">
      <alignment horizontal="center" vertical="center" wrapText="1"/>
    </xf>
    <xf numFmtId="0" fontId="4" fillId="2" borderId="42" xfId="1" applyFont="1" applyFill="1" applyBorder="1" applyAlignment="1" applyProtection="1">
      <alignment horizontal="center" vertical="center" wrapText="1"/>
    </xf>
    <xf numFmtId="4" fontId="2" fillId="0" borderId="16" xfId="1" applyNumberFormat="1" applyFont="1" applyFill="1" applyBorder="1" applyProtection="1"/>
    <xf numFmtId="4" fontId="5" fillId="0" borderId="5" xfId="1" applyNumberFormat="1" applyFont="1" applyBorder="1" applyProtection="1"/>
    <xf numFmtId="4" fontId="2" fillId="0" borderId="5" xfId="1" applyNumberFormat="1" applyFont="1" applyBorder="1" applyProtection="1"/>
    <xf numFmtId="4" fontId="5" fillId="0" borderId="23" xfId="1" applyNumberFormat="1" applyFont="1" applyBorder="1" applyProtection="1"/>
    <xf numFmtId="4" fontId="9" fillId="0" borderId="5" xfId="1" applyNumberFormat="1" applyFont="1" applyBorder="1" applyProtection="1"/>
    <xf numFmtId="4" fontId="9" fillId="0" borderId="23" xfId="1" applyNumberFormat="1" applyFont="1" applyFill="1" applyBorder="1" applyProtection="1"/>
    <xf numFmtId="4" fontId="2" fillId="0" borderId="5" xfId="1" applyNumberFormat="1" applyFont="1" applyBorder="1" applyProtection="1">
      <protection locked="0"/>
    </xf>
    <xf numFmtId="4" fontId="9" fillId="0" borderId="23" xfId="1" applyNumberFormat="1" applyFont="1" applyBorder="1" applyProtection="1"/>
    <xf numFmtId="4" fontId="5" fillId="0" borderId="1" xfId="1" applyNumberFormat="1" applyFont="1" applyBorder="1" applyProtection="1"/>
    <xf numFmtId="4" fontId="2" fillId="0" borderId="1" xfId="1" applyNumberFormat="1" applyFont="1" applyBorder="1" applyProtection="1"/>
    <xf numFmtId="4" fontId="5" fillId="0" borderId="17" xfId="1" applyNumberFormat="1" applyFont="1" applyBorder="1" applyProtection="1"/>
    <xf numFmtId="4" fontId="2" fillId="0" borderId="7" xfId="1" applyNumberFormat="1" applyFont="1" applyFill="1" applyBorder="1" applyAlignment="1" applyProtection="1">
      <alignment vertical="top" wrapText="1"/>
    </xf>
    <xf numFmtId="10" fontId="9" fillId="0" borderId="5" xfId="1" applyNumberFormat="1" applyFont="1" applyBorder="1" applyProtection="1"/>
    <xf numFmtId="10" fontId="9" fillId="0" borderId="23" xfId="1" applyNumberFormat="1" applyFont="1" applyBorder="1" applyProtection="1"/>
    <xf numFmtId="4" fontId="4" fillId="0" borderId="0" xfId="1" applyNumberFormat="1" applyFont="1" applyAlignment="1" applyProtection="1">
      <alignment horizontal="center"/>
    </xf>
    <xf numFmtId="4" fontId="4" fillId="0" borderId="0" xfId="1" applyNumberFormat="1" applyFont="1" applyProtection="1"/>
    <xf numFmtId="4" fontId="4" fillId="0" borderId="0" xfId="1" applyNumberFormat="1" applyFont="1" applyAlignment="1" applyProtection="1"/>
    <xf numFmtId="4" fontId="2" fillId="0" borderId="0" xfId="1" applyNumberFormat="1" applyFont="1" applyProtection="1"/>
    <xf numFmtId="4" fontId="2" fillId="0" borderId="0" xfId="1" applyNumberFormat="1" applyFont="1" applyAlignment="1" applyProtection="1">
      <alignment horizontal="center"/>
    </xf>
    <xf numFmtId="4" fontId="2" fillId="2" borderId="18" xfId="1" applyNumberFormat="1" applyFont="1" applyFill="1" applyBorder="1" applyAlignment="1" applyProtection="1">
      <alignment horizontal="center"/>
    </xf>
    <xf numFmtId="4" fontId="4" fillId="2" borderId="47" xfId="1" applyNumberFormat="1" applyFont="1" applyFill="1" applyBorder="1" applyAlignment="1" applyProtection="1">
      <alignment horizontal="center" vertical="center" wrapText="1"/>
    </xf>
    <xf numFmtId="4" fontId="2" fillId="2" borderId="5" xfId="1" applyNumberFormat="1" applyFont="1" applyFill="1" applyBorder="1" applyAlignment="1" applyProtection="1">
      <alignment horizontal="center"/>
    </xf>
    <xf numFmtId="4" fontId="4" fillId="2" borderId="34" xfId="1" applyNumberFormat="1" applyFont="1" applyFill="1" applyBorder="1" applyAlignment="1" applyProtection="1">
      <alignment horizontal="center" vertical="center" wrapText="1"/>
    </xf>
    <xf numFmtId="4" fontId="4" fillId="2" borderId="1" xfId="1" applyNumberFormat="1" applyFont="1" applyFill="1" applyBorder="1" applyAlignment="1" applyProtection="1">
      <alignment horizontal="center" vertical="center" wrapText="1"/>
    </xf>
    <xf numFmtId="4" fontId="4" fillId="2" borderId="48" xfId="1" applyNumberFormat="1" applyFont="1" applyFill="1" applyBorder="1" applyAlignment="1" applyProtection="1">
      <alignment horizontal="center" vertical="center" wrapText="1"/>
    </xf>
    <xf numFmtId="4" fontId="4" fillId="0" borderId="0" xfId="1" applyNumberFormat="1" applyFont="1" applyAlignment="1" applyProtection="1">
      <alignment horizontal="center" vertical="center" wrapText="1"/>
    </xf>
    <xf numFmtId="4" fontId="4" fillId="0" borderId="19" xfId="1" quotePrefix="1" applyNumberFormat="1" applyFont="1" applyFill="1" applyBorder="1" applyAlignment="1" applyProtection="1">
      <alignment horizontal="center" vertical="top"/>
    </xf>
    <xf numFmtId="4" fontId="4" fillId="0" borderId="20" xfId="1" applyNumberFormat="1" applyFont="1" applyFill="1" applyBorder="1" applyAlignment="1" applyProtection="1">
      <alignment vertical="top"/>
    </xf>
    <xf numFmtId="4" fontId="2" fillId="0" borderId="20" xfId="1" applyNumberFormat="1" applyFont="1" applyBorder="1" applyAlignment="1" applyProtection="1">
      <alignment vertical="top"/>
    </xf>
    <xf numFmtId="4" fontId="2" fillId="0" borderId="21" xfId="1" applyNumberFormat="1" applyFont="1" applyBorder="1" applyAlignment="1" applyProtection="1">
      <alignment vertical="top"/>
    </xf>
    <xf numFmtId="4" fontId="2" fillId="0" borderId="18" xfId="1" quotePrefix="1" applyNumberFormat="1" applyFont="1" applyBorder="1" applyAlignment="1" applyProtection="1">
      <alignment horizontal="center" vertical="top"/>
    </xf>
    <xf numFmtId="4" fontId="2" fillId="0" borderId="20" xfId="1" quotePrefix="1" applyNumberFormat="1" applyFont="1" applyBorder="1" applyAlignment="1" applyProtection="1">
      <alignment horizontal="center" vertical="top"/>
    </xf>
    <xf numFmtId="4" fontId="2" fillId="0" borderId="0" xfId="1" applyNumberFormat="1" applyFont="1" applyAlignment="1" applyProtection="1">
      <alignment vertical="top"/>
    </xf>
    <xf numFmtId="4" fontId="2" fillId="0" borderId="8" xfId="1" quotePrefix="1" applyNumberFormat="1" applyFont="1" applyFill="1" applyBorder="1" applyAlignment="1" applyProtection="1">
      <alignment horizontal="center" vertical="top"/>
    </xf>
    <xf numFmtId="4" fontId="2" fillId="0" borderId="7" xfId="1" applyNumberFormat="1" applyFont="1" applyFill="1" applyBorder="1" applyAlignment="1" applyProtection="1">
      <alignment vertical="top"/>
    </xf>
    <xf numFmtId="4" fontId="2" fillId="0" borderId="6" xfId="1" applyNumberFormat="1" applyFont="1" applyFill="1" applyBorder="1" applyAlignment="1" applyProtection="1">
      <alignment vertical="top"/>
    </xf>
    <xf numFmtId="4" fontId="2" fillId="0" borderId="5" xfId="1" quotePrefix="1" applyNumberFormat="1" applyFont="1" applyBorder="1" applyAlignment="1" applyProtection="1">
      <alignment horizontal="center" vertical="top"/>
    </xf>
    <xf numFmtId="4" fontId="2" fillId="0" borderId="38" xfId="1" quotePrefix="1" applyNumberFormat="1" applyFont="1" applyBorder="1" applyAlignment="1" applyProtection="1">
      <alignment horizontal="center" vertical="top"/>
    </xf>
    <xf numFmtId="4" fontId="4" fillId="0" borderId="8" xfId="1" applyNumberFormat="1" applyFont="1" applyFill="1" applyBorder="1" applyAlignment="1" applyProtection="1">
      <alignment horizontal="center" vertical="top"/>
    </xf>
    <xf numFmtId="4" fontId="4" fillId="0" borderId="7" xfId="1" applyNumberFormat="1" applyFont="1" applyFill="1" applyBorder="1" applyAlignment="1" applyProtection="1">
      <alignment vertical="top"/>
    </xf>
    <xf numFmtId="4" fontId="2" fillId="0" borderId="8" xfId="1" applyNumberFormat="1" applyFont="1" applyFill="1" applyBorder="1" applyAlignment="1" applyProtection="1">
      <alignment horizontal="center" vertical="top"/>
    </xf>
    <xf numFmtId="4" fontId="2" fillId="0" borderId="7" xfId="1" quotePrefix="1" applyNumberFormat="1" applyFont="1" applyFill="1" applyBorder="1" applyAlignment="1" applyProtection="1">
      <alignment vertical="top"/>
    </xf>
    <xf numFmtId="4" fontId="2" fillId="0" borderId="7" xfId="1" quotePrefix="1" applyNumberFormat="1" applyFont="1" applyBorder="1" applyAlignment="1" applyProtection="1">
      <alignment horizontal="center" vertical="top"/>
    </xf>
    <xf numFmtId="4" fontId="2" fillId="0" borderId="4" xfId="1" quotePrefix="1" applyNumberFormat="1" applyFont="1" applyFill="1" applyBorder="1" applyAlignment="1" applyProtection="1">
      <alignment horizontal="center" vertical="top"/>
    </xf>
    <xf numFmtId="4" fontId="2" fillId="0" borderId="3" xfId="1" quotePrefix="1" applyNumberFormat="1" applyFont="1" applyFill="1" applyBorder="1" applyAlignment="1" applyProtection="1">
      <alignment vertical="top"/>
    </xf>
    <xf numFmtId="4" fontId="2" fillId="0" borderId="3" xfId="1" applyNumberFormat="1" applyFont="1" applyFill="1" applyBorder="1" applyAlignment="1" applyProtection="1">
      <alignment vertical="top"/>
    </xf>
    <xf numFmtId="4" fontId="2" fillId="0" borderId="2" xfId="1" applyNumberFormat="1" applyFont="1" applyFill="1" applyBorder="1" applyAlignment="1" applyProtection="1">
      <alignment vertical="top"/>
    </xf>
    <xf numFmtId="4" fontId="2" fillId="0" borderId="1" xfId="1" quotePrefix="1" applyNumberFormat="1" applyFont="1" applyBorder="1" applyAlignment="1" applyProtection="1">
      <alignment horizontal="center" vertical="top"/>
    </xf>
    <xf numFmtId="4" fontId="2" fillId="0" borderId="22" xfId="1" quotePrefix="1" applyNumberFormat="1" applyFont="1" applyBorder="1" applyAlignment="1" applyProtection="1">
      <alignment horizontal="center" vertical="top"/>
    </xf>
    <xf numFmtId="4" fontId="2" fillId="0" borderId="0" xfId="1" applyNumberFormat="1" applyFont="1" applyBorder="1" applyProtection="1"/>
    <xf numFmtId="4" fontId="7" fillId="0" borderId="0" xfId="1" applyNumberFormat="1" applyFont="1" applyBorder="1" applyAlignment="1" applyProtection="1">
      <alignment horizontal="center"/>
    </xf>
    <xf numFmtId="4" fontId="2" fillId="0" borderId="0" xfId="1" quotePrefix="1" applyNumberFormat="1" applyFont="1" applyFill="1" applyBorder="1" applyAlignment="1" applyProtection="1">
      <alignment horizontal="center" vertical="top"/>
    </xf>
    <xf numFmtId="4" fontId="2" fillId="0" borderId="0" xfId="1" quotePrefix="1" applyNumberFormat="1" applyFont="1" applyFill="1" applyBorder="1" applyAlignment="1" applyProtection="1">
      <alignment vertical="top"/>
    </xf>
    <xf numFmtId="4" fontId="2" fillId="0" borderId="0" xfId="1" applyNumberFormat="1" applyFont="1" applyFill="1" applyBorder="1" applyAlignment="1" applyProtection="1">
      <alignment vertical="top"/>
    </xf>
    <xf numFmtId="4" fontId="2" fillId="0" borderId="0" xfId="1" quotePrefix="1" applyNumberFormat="1" applyFont="1" applyBorder="1" applyAlignment="1" applyProtection="1">
      <alignment horizontal="center" vertical="top"/>
    </xf>
    <xf numFmtId="4" fontId="2" fillId="0" borderId="0" xfId="1" applyNumberFormat="1" applyFont="1" applyBorder="1" applyAlignment="1" applyProtection="1">
      <alignment horizontal="center"/>
    </xf>
    <xf numFmtId="10" fontId="9" fillId="0" borderId="23" xfId="1" applyNumberFormat="1" applyFont="1" applyFill="1" applyBorder="1" applyAlignment="1" applyProtection="1">
      <alignment horizontal="right" vertical="top"/>
    </xf>
    <xf numFmtId="10" fontId="9" fillId="0" borderId="17" xfId="1" applyNumberFormat="1" applyFont="1" applyFill="1" applyBorder="1" applyAlignment="1" applyProtection="1">
      <alignment horizontal="right" vertical="top"/>
    </xf>
    <xf numFmtId="4" fontId="2" fillId="0" borderId="23" xfId="1" applyNumberFormat="1" applyFont="1" applyBorder="1" applyProtection="1">
      <protection locked="0"/>
    </xf>
    <xf numFmtId="4" fontId="9" fillId="0" borderId="35" xfId="1" applyNumberFormat="1" applyFont="1" applyBorder="1" applyProtection="1"/>
    <xf numFmtId="4" fontId="5" fillId="0" borderId="35" xfId="1" applyNumberFormat="1" applyFont="1" applyBorder="1" applyProtection="1"/>
    <xf numFmtId="4" fontId="2" fillId="0" borderId="23" xfId="1" applyNumberFormat="1" applyFont="1" applyFill="1" applyBorder="1" applyProtection="1">
      <protection locked="0"/>
    </xf>
    <xf numFmtId="4" fontId="2" fillId="0" borderId="23" xfId="1" applyNumberFormat="1" applyFont="1" applyFill="1" applyBorder="1" applyProtection="1"/>
    <xf numFmtId="4" fontId="2" fillId="0" borderId="49" xfId="1" applyNumberFormat="1" applyFont="1" applyFill="1" applyBorder="1" applyProtection="1"/>
    <xf numFmtId="4" fontId="2" fillId="0" borderId="5" xfId="1" applyNumberFormat="1" applyFont="1" applyFill="1" applyBorder="1" applyProtection="1">
      <protection locked="0"/>
    </xf>
    <xf numFmtId="4" fontId="9" fillId="0" borderId="5" xfId="1" applyNumberFormat="1" applyFont="1" applyFill="1" applyBorder="1" applyProtection="1"/>
    <xf numFmtId="4" fontId="2" fillId="0" borderId="38" xfId="1" applyNumberFormat="1" applyFont="1" applyFill="1" applyBorder="1" applyProtection="1">
      <protection locked="0"/>
    </xf>
    <xf numFmtId="4" fontId="9" fillId="0" borderId="5" xfId="1" applyNumberFormat="1" applyFont="1" applyBorder="1" applyAlignment="1" applyProtection="1">
      <alignment wrapText="1"/>
    </xf>
    <xf numFmtId="4" fontId="9" fillId="0" borderId="23" xfId="1" applyNumberFormat="1" applyFont="1" applyBorder="1" applyAlignment="1" applyProtection="1">
      <alignment wrapText="1"/>
    </xf>
    <xf numFmtId="4" fontId="2" fillId="0" borderId="6" xfId="1" applyNumberFormat="1" applyFont="1" applyFill="1" applyBorder="1" applyProtection="1"/>
    <xf numFmtId="4" fontId="2" fillId="0" borderId="5" xfId="1" applyNumberFormat="1" applyFont="1" applyFill="1" applyBorder="1" applyProtection="1"/>
    <xf numFmtId="4" fontId="2" fillId="0" borderId="38" xfId="1" applyNumberFormat="1" applyFont="1" applyFill="1" applyBorder="1" applyProtection="1"/>
    <xf numFmtId="4" fontId="2" fillId="0" borderId="15" xfId="1" applyNumberFormat="1" applyFont="1" applyFill="1" applyBorder="1" applyProtection="1"/>
    <xf numFmtId="4" fontId="2" fillId="0" borderId="10" xfId="1" applyNumberFormat="1" applyFont="1" applyFill="1" applyBorder="1" applyProtection="1"/>
    <xf numFmtId="4" fontId="2" fillId="0" borderId="32" xfId="1" applyNumberFormat="1" applyFont="1" applyFill="1" applyBorder="1" applyProtection="1"/>
    <xf numFmtId="4" fontId="2" fillId="0" borderId="35" xfId="1" applyNumberFormat="1" applyFont="1" applyFill="1" applyBorder="1" applyProtection="1"/>
    <xf numFmtId="4" fontId="9" fillId="0" borderId="10" xfId="1" applyNumberFormat="1" applyFont="1" applyBorder="1" applyAlignment="1" applyProtection="1">
      <alignment wrapText="1"/>
    </xf>
    <xf numFmtId="4" fontId="9" fillId="0" borderId="35" xfId="1" applyNumberFormat="1" applyFont="1" applyBorder="1" applyAlignment="1" applyProtection="1">
      <alignment wrapText="1"/>
    </xf>
    <xf numFmtId="4" fontId="9" fillId="0" borderId="16" xfId="1" applyNumberFormat="1" applyFont="1" applyBorder="1" applyProtection="1"/>
    <xf numFmtId="4" fontId="2" fillId="0" borderId="38" xfId="1" applyNumberFormat="1" applyFont="1" applyBorder="1" applyProtection="1">
      <protection locked="0"/>
    </xf>
    <xf numFmtId="4" fontId="9" fillId="0" borderId="38" xfId="1" applyNumberFormat="1" applyFont="1" applyBorder="1" applyProtection="1"/>
    <xf numFmtId="4" fontId="2" fillId="0" borderId="10" xfId="1" applyNumberFormat="1" applyFont="1" applyBorder="1" applyProtection="1"/>
    <xf numFmtId="4" fontId="9" fillId="0" borderId="10" xfId="1" applyNumberFormat="1" applyFont="1" applyFill="1" applyBorder="1" applyProtection="1"/>
    <xf numFmtId="4" fontId="9" fillId="0" borderId="44" xfId="1" applyNumberFormat="1" applyFont="1" applyFill="1" applyBorder="1" applyAlignment="1" applyProtection="1">
      <alignment horizontal="right"/>
    </xf>
    <xf numFmtId="4" fontId="2" fillId="0" borderId="38" xfId="1" applyNumberFormat="1" applyFont="1" applyBorder="1" applyAlignment="1" applyProtection="1">
      <alignment horizontal="right"/>
      <protection locked="0"/>
    </xf>
    <xf numFmtId="4" fontId="9" fillId="0" borderId="7" xfId="1" applyNumberFormat="1" applyFont="1" applyBorder="1" applyAlignment="1" applyProtection="1">
      <alignment horizontal="right"/>
    </xf>
    <xf numFmtId="4" fontId="9" fillId="8" borderId="38" xfId="1" applyNumberFormat="1" applyFont="1" applyFill="1" applyBorder="1" applyAlignment="1" applyProtection="1">
      <alignment horizontal="right"/>
    </xf>
    <xf numFmtId="4" fontId="3" fillId="8" borderId="38" xfId="1" applyNumberFormat="1" applyFont="1" applyFill="1" applyBorder="1" applyAlignment="1" applyProtection="1">
      <alignment horizontal="right"/>
    </xf>
    <xf numFmtId="4" fontId="3" fillId="0" borderId="7" xfId="1" applyNumberFormat="1" applyFont="1" applyBorder="1" applyAlignment="1" applyProtection="1">
      <alignment horizontal="right"/>
    </xf>
    <xf numFmtId="4" fontId="2" fillId="0" borderId="22" xfId="1" applyNumberFormat="1" applyFont="1" applyBorder="1" applyAlignment="1" applyProtection="1">
      <alignment horizontal="right"/>
      <protection locked="0"/>
    </xf>
    <xf numFmtId="4" fontId="9" fillId="0" borderId="1" xfId="1" applyNumberFormat="1" applyFont="1" applyFill="1" applyBorder="1" applyAlignment="1" applyProtection="1">
      <alignment horizontal="right"/>
    </xf>
    <xf numFmtId="4" fontId="2" fillId="0" borderId="1" xfId="1" applyNumberFormat="1" applyFont="1" applyBorder="1" applyAlignment="1" applyProtection="1">
      <alignment horizontal="right"/>
      <protection locked="0"/>
    </xf>
    <xf numFmtId="4" fontId="9" fillId="0" borderId="17" xfId="1" applyNumberFormat="1" applyFont="1" applyFill="1" applyBorder="1" applyAlignment="1" applyProtection="1">
      <alignment horizontal="right"/>
    </xf>
    <xf numFmtId="0" fontId="7" fillId="0" borderId="0" xfId="1" applyFont="1" applyBorder="1" applyProtection="1">
      <protection hidden="1"/>
    </xf>
    <xf numFmtId="0" fontId="7" fillId="0" borderId="0" xfId="1" applyFont="1" applyBorder="1" applyProtection="1"/>
    <xf numFmtId="0" fontId="4" fillId="2" borderId="36" xfId="1" applyFont="1" applyFill="1" applyBorder="1" applyAlignment="1" applyProtection="1">
      <alignment vertical="center" wrapText="1"/>
    </xf>
    <xf numFmtId="0" fontId="4" fillId="2" borderId="50" xfId="1" applyFont="1" applyFill="1" applyBorder="1" applyAlignment="1" applyProtection="1">
      <alignment vertical="center" wrapText="1"/>
    </xf>
    <xf numFmtId="0" fontId="7" fillId="0" borderId="0" xfId="1" applyFont="1" applyProtection="1"/>
    <xf numFmtId="0" fontId="4" fillId="2" borderId="13" xfId="1" applyFont="1" applyFill="1" applyBorder="1" applyAlignment="1" applyProtection="1">
      <alignment vertical="center" wrapText="1"/>
    </xf>
    <xf numFmtId="0" fontId="4" fillId="2" borderId="41" xfId="1" applyFont="1" applyFill="1" applyBorder="1" applyAlignment="1" applyProtection="1">
      <alignment horizontal="center" vertical="center" wrapText="1"/>
    </xf>
    <xf numFmtId="0" fontId="4" fillId="2" borderId="40" xfId="1" applyFont="1" applyFill="1" applyBorder="1" applyAlignment="1" applyProtection="1">
      <alignment horizontal="center" vertical="center" wrapText="1"/>
    </xf>
    <xf numFmtId="0" fontId="4" fillId="2" borderId="21" xfId="1" applyFont="1" applyFill="1" applyBorder="1" applyAlignment="1" applyProtection="1">
      <alignment horizontal="center" vertical="center" wrapText="1"/>
    </xf>
    <xf numFmtId="0" fontId="3" fillId="0" borderId="7" xfId="0" applyFont="1" applyBorder="1" applyAlignment="1" applyProtection="1">
      <alignment horizontal="left"/>
    </xf>
    <xf numFmtId="0" fontId="3" fillId="0" borderId="7" xfId="0" applyFont="1" applyBorder="1" applyAlignment="1" applyProtection="1"/>
    <xf numFmtId="3" fontId="2" fillId="0" borderId="38" xfId="1" applyNumberFormat="1" applyFont="1" applyBorder="1" applyAlignment="1" applyProtection="1">
      <alignment horizontal="right"/>
      <protection locked="0"/>
    </xf>
    <xf numFmtId="3" fontId="9" fillId="0" borderId="5" xfId="1" applyNumberFormat="1" applyFont="1" applyFill="1" applyBorder="1" applyAlignment="1" applyProtection="1">
      <alignment horizontal="right"/>
    </xf>
    <xf numFmtId="3" fontId="9" fillId="0" borderId="23" xfId="1" applyNumberFormat="1" applyFont="1" applyFill="1" applyBorder="1" applyAlignment="1" applyProtection="1">
      <alignment horizontal="right"/>
    </xf>
    <xf numFmtId="39" fontId="9" fillId="0" borderId="5" xfId="1" applyNumberFormat="1" applyFont="1" applyBorder="1" applyProtection="1"/>
    <xf numFmtId="39" fontId="9" fillId="0" borderId="23" xfId="1" applyNumberFormat="1" applyFont="1" applyFill="1" applyBorder="1" applyProtection="1"/>
    <xf numFmtId="39" fontId="9" fillId="0" borderId="23" xfId="1" applyNumberFormat="1" applyFont="1" applyBorder="1" applyProtection="1"/>
    <xf numFmtId="39" fontId="9" fillId="0" borderId="13" xfId="1" applyNumberFormat="1" applyFont="1" applyFill="1" applyBorder="1" applyProtection="1"/>
    <xf numFmtId="39" fontId="2" fillId="0" borderId="13" xfId="1" applyNumberFormat="1" applyFont="1" applyFill="1" applyBorder="1" applyProtection="1">
      <protection locked="0"/>
    </xf>
    <xf numFmtId="39" fontId="9" fillId="0" borderId="16" xfId="1" applyNumberFormat="1" applyFont="1" applyFill="1" applyBorder="1" applyProtection="1"/>
    <xf numFmtId="39" fontId="2" fillId="0" borderId="5" xfId="1" applyNumberFormat="1" applyFont="1" applyBorder="1" applyProtection="1">
      <protection locked="0"/>
    </xf>
    <xf numFmtId="39" fontId="9" fillId="0" borderId="51" xfId="1" applyNumberFormat="1" applyFont="1" applyFill="1" applyBorder="1" applyAlignment="1" applyProtection="1">
      <alignment horizontal="right" vertical="top"/>
    </xf>
    <xf numFmtId="39" fontId="9" fillId="0" borderId="23" xfId="1" applyNumberFormat="1" applyFont="1" applyFill="1" applyBorder="1" applyAlignment="1" applyProtection="1">
      <alignment horizontal="right" vertical="top"/>
    </xf>
    <xf numFmtId="39" fontId="9" fillId="0" borderId="49" xfId="1" applyNumberFormat="1" applyFont="1" applyBorder="1" applyAlignment="1" applyProtection="1">
      <alignment horizontal="right" vertical="top"/>
    </xf>
    <xf numFmtId="39" fontId="9" fillId="0" borderId="49" xfId="1" applyNumberFormat="1" applyFont="1" applyFill="1" applyBorder="1" applyAlignment="1" applyProtection="1">
      <alignment horizontal="right" vertical="top"/>
    </xf>
    <xf numFmtId="0" fontId="24" fillId="4" borderId="0" xfId="0" applyFont="1" applyFill="1"/>
    <xf numFmtId="49" fontId="7" fillId="0" borderId="5" xfId="1" quotePrefix="1" applyNumberFormat="1" applyFont="1" applyFill="1" applyBorder="1" applyAlignment="1" applyProtection="1">
      <alignment horizontal="center" vertical="top"/>
    </xf>
    <xf numFmtId="4" fontId="2" fillId="0" borderId="23" xfId="1" applyNumberFormat="1" applyFont="1" applyBorder="1" applyProtection="1"/>
    <xf numFmtId="2" fontId="2" fillId="0" borderId="18" xfId="1" applyNumberFormat="1" applyFont="1" applyFill="1" applyBorder="1" applyProtection="1"/>
    <xf numFmtId="182" fontId="21" fillId="0" borderId="8" xfId="3" applyNumberFormat="1" applyFont="1" applyFill="1" applyBorder="1" applyAlignment="1" applyProtection="1">
      <alignment horizontal="center" vertical="top"/>
    </xf>
    <xf numFmtId="2" fontId="2" fillId="0" borderId="46" xfId="1" applyNumberFormat="1" applyFont="1" applyFill="1" applyBorder="1" applyProtection="1"/>
    <xf numFmtId="2" fontId="7" fillId="0" borderId="19" xfId="1" applyNumberFormat="1" applyFont="1" applyBorder="1" applyProtection="1"/>
    <xf numFmtId="0" fontId="2" fillId="0" borderId="7" xfId="1" applyFont="1" applyBorder="1" applyAlignment="1" applyProtection="1">
      <alignment vertical="top"/>
      <protection locked="0"/>
    </xf>
    <xf numFmtId="39" fontId="2" fillId="0" borderId="8" xfId="1" quotePrefix="1" applyNumberFormat="1" applyFont="1" applyBorder="1" applyAlignment="1" applyProtection="1">
      <alignment vertical="top"/>
    </xf>
    <xf numFmtId="10" fontId="2" fillId="0" borderId="8" xfId="1" quotePrefix="1" applyNumberFormat="1" applyFont="1" applyBorder="1" applyAlignment="1" applyProtection="1">
      <alignment vertical="top"/>
    </xf>
    <xf numFmtId="0" fontId="4" fillId="2" borderId="47" xfId="1" applyFont="1" applyFill="1" applyBorder="1" applyAlignment="1" applyProtection="1">
      <alignment horizontal="center" vertical="center" wrapText="1"/>
    </xf>
    <xf numFmtId="0" fontId="4" fillId="2" borderId="34" xfId="1" applyFont="1" applyFill="1" applyBorder="1" applyAlignment="1" applyProtection="1">
      <alignment vertical="center" wrapText="1"/>
    </xf>
    <xf numFmtId="167" fontId="4" fillId="7" borderId="34" xfId="1" applyNumberFormat="1" applyFont="1" applyFill="1" applyBorder="1" applyAlignment="1" applyProtection="1">
      <alignment horizontal="center" vertical="center" wrapText="1"/>
      <protection locked="0"/>
    </xf>
    <xf numFmtId="0" fontId="4" fillId="7" borderId="48" xfId="1" applyFont="1" applyFill="1" applyBorder="1" applyAlignment="1" applyProtection="1">
      <alignment horizontal="center" vertical="center" wrapText="1"/>
      <protection locked="0"/>
    </xf>
    <xf numFmtId="4" fontId="2" fillId="0" borderId="38" xfId="1" applyNumberFormat="1" applyFont="1" applyBorder="1" applyProtection="1"/>
    <xf numFmtId="39" fontId="9" fillId="0" borderId="38" xfId="1" applyNumberFormat="1" applyFont="1" applyBorder="1" applyProtection="1"/>
    <xf numFmtId="10" fontId="9" fillId="0" borderId="38" xfId="1" applyNumberFormat="1" applyFont="1" applyBorder="1" applyProtection="1"/>
    <xf numFmtId="49" fontId="2" fillId="0" borderId="22" xfId="1" quotePrefix="1" applyNumberFormat="1" applyFont="1" applyFill="1" applyBorder="1" applyAlignment="1" applyProtection="1">
      <alignment horizontal="center" vertical="top"/>
    </xf>
    <xf numFmtId="39" fontId="2" fillId="0" borderId="37" xfId="1" applyNumberFormat="1" applyFont="1" applyFill="1" applyBorder="1" applyProtection="1">
      <protection locked="0"/>
    </xf>
    <xf numFmtId="39" fontId="2" fillId="0" borderId="13" xfId="1" applyNumberFormat="1" applyFont="1" applyFill="1" applyBorder="1" applyProtection="1"/>
    <xf numFmtId="39" fontId="2" fillId="0" borderId="37" xfId="1" applyNumberFormat="1" applyFont="1" applyFill="1" applyBorder="1" applyProtection="1"/>
    <xf numFmtId="39" fontId="2" fillId="0" borderId="16" xfId="1" applyNumberFormat="1" applyFont="1" applyFill="1" applyBorder="1" applyProtection="1"/>
    <xf numFmtId="39" fontId="2" fillId="0" borderId="5" xfId="1" applyNumberFormat="1" applyFont="1" applyBorder="1" applyProtection="1"/>
    <xf numFmtId="39" fontId="5" fillId="0" borderId="5" xfId="1" applyNumberFormat="1" applyFont="1" applyBorder="1" applyProtection="1"/>
    <xf numFmtId="39" fontId="2" fillId="0" borderId="38" xfId="1" applyNumberFormat="1" applyFont="1" applyBorder="1" applyProtection="1"/>
    <xf numFmtId="39" fontId="5" fillId="0" borderId="23" xfId="1" applyNumberFormat="1" applyFont="1" applyBorder="1" applyProtection="1"/>
    <xf numFmtId="39" fontId="2" fillId="0" borderId="38" xfId="1" applyNumberFormat="1" applyFont="1" applyBorder="1" applyProtection="1">
      <protection locked="0"/>
    </xf>
    <xf numFmtId="0" fontId="0" fillId="4" borderId="0" xfId="0" applyFill="1"/>
    <xf numFmtId="0" fontId="2" fillId="0" borderId="0" xfId="1" applyFont="1" applyAlignment="1" applyProtection="1">
      <alignment horizontal="left" vertical="justify" wrapText="1"/>
    </xf>
    <xf numFmtId="0" fontId="4" fillId="0" borderId="7" xfId="1" applyFont="1" applyFill="1" applyBorder="1" applyAlignment="1" applyProtection="1">
      <alignment horizontal="left" vertical="justify" wrapText="1"/>
    </xf>
    <xf numFmtId="0" fontId="4" fillId="0" borderId="6" xfId="1" applyFont="1" applyFill="1" applyBorder="1" applyAlignment="1" applyProtection="1">
      <alignment horizontal="left" vertical="justify" wrapText="1"/>
    </xf>
    <xf numFmtId="0" fontId="4" fillId="0" borderId="0" xfId="1" applyFont="1" applyBorder="1" applyAlignment="1" applyProtection="1">
      <alignment horizontal="center"/>
    </xf>
    <xf numFmtId="4" fontId="2" fillId="0" borderId="0" xfId="1" applyNumberFormat="1" applyFont="1" applyAlignment="1" applyProtection="1">
      <alignment horizontal="left" wrapText="1"/>
    </xf>
    <xf numFmtId="4" fontId="2" fillId="0" borderId="0" xfId="1" applyNumberFormat="1" applyFont="1" applyBorder="1" applyAlignment="1" applyProtection="1">
      <alignment horizontal="left" wrapText="1"/>
    </xf>
    <xf numFmtId="4" fontId="4" fillId="0" borderId="7" xfId="1" applyNumberFormat="1" applyFont="1" applyFill="1" applyBorder="1" applyAlignment="1" applyProtection="1">
      <alignment vertical="top" wrapText="1"/>
    </xf>
    <xf numFmtId="4" fontId="6" fillId="0" borderId="7" xfId="0" applyNumberFormat="1" applyFont="1" applyBorder="1" applyAlignment="1" applyProtection="1">
      <alignment vertical="top" wrapText="1"/>
    </xf>
    <xf numFmtId="4" fontId="6" fillId="0" borderId="6" xfId="0" applyNumberFormat="1" applyFont="1" applyBorder="1" applyAlignment="1" applyProtection="1">
      <alignment vertical="top" wrapText="1"/>
    </xf>
    <xf numFmtId="4" fontId="3" fillId="0" borderId="7" xfId="0" applyNumberFormat="1" applyFont="1" applyBorder="1" applyAlignment="1" applyProtection="1">
      <alignment vertical="top" wrapText="1"/>
    </xf>
    <xf numFmtId="4" fontId="0" fillId="0" borderId="6" xfId="0" applyNumberFormat="1" applyBorder="1" applyAlignment="1" applyProtection="1">
      <alignment vertical="top" wrapText="1"/>
    </xf>
    <xf numFmtId="4" fontId="4" fillId="0" borderId="0" xfId="1" applyNumberFormat="1" applyFont="1" applyAlignment="1" applyProtection="1">
      <alignment horizontal="center"/>
    </xf>
    <xf numFmtId="4" fontId="2" fillId="0" borderId="7" xfId="1" applyNumberFormat="1" applyFont="1" applyFill="1" applyBorder="1" applyAlignment="1" applyProtection="1">
      <alignment vertical="top"/>
    </xf>
    <xf numFmtId="4" fontId="0" fillId="0" borderId="7" xfId="0" applyNumberFormat="1" applyBorder="1" applyAlignment="1" applyProtection="1">
      <alignment vertical="top"/>
    </xf>
    <xf numFmtId="4" fontId="0" fillId="0" borderId="6" xfId="0" applyNumberFormat="1" applyBorder="1" applyAlignment="1" applyProtection="1">
      <alignment vertical="top"/>
    </xf>
    <xf numFmtId="4" fontId="2" fillId="0" borderId="7" xfId="1" applyNumberFormat="1" applyFont="1" applyFill="1" applyBorder="1" applyAlignment="1" applyProtection="1">
      <alignment vertical="top" wrapText="1"/>
    </xf>
    <xf numFmtId="4" fontId="0" fillId="0" borderId="7" xfId="0" applyNumberFormat="1" applyBorder="1" applyAlignment="1" applyProtection="1">
      <alignment vertical="top" wrapText="1"/>
    </xf>
    <xf numFmtId="4" fontId="4" fillId="2" borderId="52" xfId="1" applyNumberFormat="1" applyFont="1" applyFill="1" applyBorder="1" applyAlignment="1" applyProtection="1">
      <alignment horizontal="center" vertical="center" wrapText="1"/>
    </xf>
    <xf numFmtId="4" fontId="4" fillId="2" borderId="23" xfId="1" applyNumberFormat="1" applyFont="1" applyFill="1" applyBorder="1" applyAlignment="1" applyProtection="1">
      <alignment horizontal="center" vertical="center" wrapText="1"/>
    </xf>
    <xf numFmtId="4" fontId="4" fillId="2" borderId="17" xfId="1" applyNumberFormat="1" applyFont="1" applyFill="1" applyBorder="1" applyAlignment="1" applyProtection="1">
      <alignment horizontal="center" vertical="center" wrapText="1"/>
    </xf>
    <xf numFmtId="4" fontId="4" fillId="2" borderId="53" xfId="1" applyNumberFormat="1" applyFont="1" applyFill="1" applyBorder="1" applyAlignment="1" applyProtection="1">
      <alignment horizontal="center" vertical="center" wrapText="1"/>
    </xf>
    <xf numFmtId="4" fontId="4" fillId="2" borderId="18" xfId="1" applyNumberFormat="1" applyFont="1" applyFill="1" applyBorder="1" applyAlignment="1" applyProtection="1">
      <alignment horizontal="center" vertical="center" wrapText="1"/>
    </xf>
    <xf numFmtId="4" fontId="4" fillId="2" borderId="54" xfId="1" applyNumberFormat="1" applyFont="1" applyFill="1" applyBorder="1" applyAlignment="1" applyProtection="1">
      <alignment horizontal="center" vertical="center" wrapText="1"/>
    </xf>
    <xf numFmtId="4" fontId="4" fillId="2" borderId="5" xfId="1" applyNumberFormat="1" applyFont="1" applyFill="1" applyBorder="1" applyAlignment="1" applyProtection="1">
      <alignment horizontal="center" vertical="center" wrapText="1"/>
    </xf>
    <xf numFmtId="4" fontId="4" fillId="2" borderId="55" xfId="1" applyNumberFormat="1" applyFont="1" applyFill="1" applyBorder="1" applyAlignment="1" applyProtection="1">
      <alignment horizontal="center" vertical="center" wrapText="1"/>
    </xf>
    <xf numFmtId="4" fontId="4" fillId="2" borderId="1" xfId="1" applyNumberFormat="1" applyFont="1" applyFill="1" applyBorder="1" applyAlignment="1" applyProtection="1">
      <alignment horizontal="center" vertical="center" wrapText="1"/>
    </xf>
    <xf numFmtId="4" fontId="4" fillId="2" borderId="25" xfId="1" applyNumberFormat="1" applyFont="1" applyFill="1" applyBorder="1" applyAlignment="1" applyProtection="1">
      <alignment horizontal="center" vertical="center" wrapText="1"/>
    </xf>
    <xf numFmtId="4" fontId="4" fillId="2" borderId="33" xfId="1" applyNumberFormat="1" applyFont="1" applyFill="1" applyBorder="1" applyAlignment="1" applyProtection="1">
      <alignment horizontal="center" vertical="center" wrapText="1"/>
    </xf>
    <xf numFmtId="4" fontId="4" fillId="2" borderId="24" xfId="1" applyNumberFormat="1" applyFont="1" applyFill="1" applyBorder="1" applyAlignment="1" applyProtection="1">
      <alignment horizontal="center" vertical="center" wrapText="1"/>
    </xf>
    <xf numFmtId="0" fontId="3" fillId="0" borderId="7" xfId="0" applyNumberFormat="1" applyFont="1" applyBorder="1" applyAlignment="1" applyProtection="1">
      <alignment horizontal="left" wrapText="1"/>
    </xf>
    <xf numFmtId="0" fontId="0" fillId="0" borderId="7" xfId="0" applyBorder="1" applyAlignment="1">
      <alignment horizontal="left" wrapText="1"/>
    </xf>
    <xf numFmtId="0" fontId="0" fillId="0" borderId="6" xfId="0" applyBorder="1" applyAlignment="1">
      <alignment horizontal="left" wrapText="1"/>
    </xf>
    <xf numFmtId="0" fontId="4" fillId="2" borderId="25" xfId="1" applyNumberFormat="1" applyFont="1" applyFill="1" applyBorder="1" applyAlignment="1" applyProtection="1">
      <alignment horizontal="center" vertical="center"/>
    </xf>
    <xf numFmtId="0" fontId="4" fillId="2" borderId="33" xfId="1" applyNumberFormat="1" applyFont="1" applyFill="1" applyBorder="1" applyAlignment="1" applyProtection="1">
      <alignment horizontal="center" vertical="center"/>
    </xf>
    <xf numFmtId="0" fontId="4" fillId="2" borderId="24" xfId="1" applyNumberFormat="1" applyFont="1" applyFill="1" applyBorder="1" applyAlignment="1" applyProtection="1">
      <alignment horizontal="center" vertical="center"/>
    </xf>
    <xf numFmtId="0" fontId="4" fillId="2" borderId="56" xfId="1" applyNumberFormat="1" applyFont="1" applyFill="1" applyBorder="1" applyAlignment="1" applyProtection="1">
      <alignment horizontal="center" vertical="center" wrapText="1"/>
    </xf>
    <xf numFmtId="0" fontId="4" fillId="2" borderId="57" xfId="1" applyNumberFormat="1" applyFont="1" applyFill="1" applyBorder="1" applyAlignment="1" applyProtection="1">
      <alignment horizontal="center" vertical="center" wrapText="1"/>
    </xf>
    <xf numFmtId="0" fontId="4" fillId="2" borderId="58" xfId="1" applyNumberFormat="1" applyFont="1" applyFill="1" applyBorder="1" applyAlignment="1" applyProtection="1">
      <alignment horizontal="center" vertical="center" wrapText="1"/>
    </xf>
    <xf numFmtId="0" fontId="4" fillId="0" borderId="0" xfId="1" applyNumberFormat="1" applyFont="1" applyBorder="1" applyAlignment="1" applyProtection="1">
      <alignment horizontal="center"/>
    </xf>
    <xf numFmtId="0" fontId="3" fillId="0" borderId="7" xfId="0" applyNumberFormat="1" applyFont="1" applyBorder="1" applyAlignment="1" applyProtection="1">
      <alignment horizontal="left" vertical="justify" wrapText="1"/>
    </xf>
    <xf numFmtId="0" fontId="0" fillId="0" borderId="7" xfId="0" applyBorder="1" applyAlignment="1">
      <alignment horizontal="left" vertical="justify" wrapText="1"/>
    </xf>
    <xf numFmtId="0" fontId="0" fillId="0" borderId="6" xfId="0" applyBorder="1" applyAlignment="1">
      <alignment horizontal="left" vertical="justify" wrapText="1"/>
    </xf>
    <xf numFmtId="0" fontId="2" fillId="0" borderId="0" xfId="0" applyFont="1" applyFill="1" applyAlignment="1" applyProtection="1">
      <alignment horizontal="left" vertical="top" wrapText="1"/>
    </xf>
    <xf numFmtId="0" fontId="3" fillId="0" borderId="7" xfId="0" applyNumberFormat="1" applyFont="1" applyBorder="1" applyAlignment="1" applyProtection="1">
      <alignment horizontal="left" vertical="top" wrapText="1"/>
    </xf>
    <xf numFmtId="0" fontId="0" fillId="0" borderId="7" xfId="0" applyBorder="1" applyAlignment="1">
      <alignment wrapText="1"/>
    </xf>
    <xf numFmtId="0" fontId="0" fillId="0" borderId="6" xfId="0" applyBorder="1" applyAlignment="1">
      <alignment wrapText="1"/>
    </xf>
    <xf numFmtId="0" fontId="3" fillId="0" borderId="7" xfId="0" applyNumberFormat="1" applyFont="1" applyBorder="1" applyAlignment="1" applyProtection="1">
      <alignment wrapText="1"/>
    </xf>
    <xf numFmtId="0" fontId="3" fillId="0" borderId="6" xfId="0" applyNumberFormat="1" applyFont="1" applyBorder="1" applyAlignment="1" applyProtection="1">
      <alignment wrapText="1"/>
    </xf>
    <xf numFmtId="0" fontId="2" fillId="0" borderId="7" xfId="1" applyFont="1" applyBorder="1" applyAlignment="1" applyProtection="1">
      <alignment horizontal="left" vertical="top"/>
      <protection locked="0"/>
    </xf>
    <xf numFmtId="0" fontId="2" fillId="0" borderId="6" xfId="1" applyFont="1" applyBorder="1" applyAlignment="1" applyProtection="1">
      <alignment horizontal="left" vertical="top"/>
      <protection locked="0"/>
    </xf>
    <xf numFmtId="0" fontId="4" fillId="2" borderId="56" xfId="1" applyFont="1" applyFill="1" applyBorder="1" applyAlignment="1" applyProtection="1">
      <alignment horizontal="center" vertical="center" wrapText="1"/>
    </xf>
    <xf numFmtId="0" fontId="4" fillId="2" borderId="57" xfId="1" applyFont="1" applyFill="1" applyBorder="1" applyAlignment="1" applyProtection="1">
      <alignment horizontal="center" vertical="center" wrapText="1"/>
    </xf>
    <xf numFmtId="0" fontId="4" fillId="2" borderId="58" xfId="1" applyFont="1" applyFill="1" applyBorder="1" applyAlignment="1" applyProtection="1">
      <alignment horizontal="center" vertical="center" wrapText="1"/>
    </xf>
    <xf numFmtId="0" fontId="4" fillId="2" borderId="42" xfId="1" applyFont="1" applyFill="1" applyBorder="1" applyAlignment="1" applyProtection="1">
      <alignment horizontal="center" vertical="center" wrapText="1"/>
    </xf>
    <xf numFmtId="0" fontId="4" fillId="2" borderId="0" xfId="1" applyFont="1" applyFill="1" applyBorder="1" applyAlignment="1" applyProtection="1">
      <alignment horizontal="center" vertical="center" wrapText="1"/>
    </xf>
    <xf numFmtId="0" fontId="4" fillId="2" borderId="29" xfId="1" applyFont="1" applyFill="1" applyBorder="1" applyAlignment="1" applyProtection="1">
      <alignment horizontal="center" vertical="center" wrapText="1"/>
    </xf>
    <xf numFmtId="49" fontId="4" fillId="2" borderId="25" xfId="1" applyNumberFormat="1" applyFont="1" applyFill="1" applyBorder="1" applyAlignment="1" applyProtection="1">
      <alignment horizontal="center" vertical="center"/>
    </xf>
    <xf numFmtId="49" fontId="4" fillId="2" borderId="33" xfId="1" applyNumberFormat="1" applyFont="1" applyFill="1" applyBorder="1" applyAlignment="1" applyProtection="1">
      <alignment horizontal="center" vertical="center"/>
    </xf>
    <xf numFmtId="49" fontId="4" fillId="2" borderId="24" xfId="1" applyNumberFormat="1" applyFont="1" applyFill="1" applyBorder="1" applyAlignment="1" applyProtection="1">
      <alignment horizontal="center" vertical="center"/>
    </xf>
    <xf numFmtId="0" fontId="4" fillId="2" borderId="25" xfId="1" applyFont="1" applyFill="1" applyBorder="1" applyAlignment="1" applyProtection="1">
      <alignment horizontal="center" vertical="center" wrapText="1"/>
    </xf>
    <xf numFmtId="0" fontId="4" fillId="2" borderId="33" xfId="1" applyFont="1" applyFill="1" applyBorder="1" applyAlignment="1" applyProtection="1">
      <alignment horizontal="center" vertical="center" wrapText="1"/>
    </xf>
    <xf numFmtId="0" fontId="4" fillId="2" borderId="24" xfId="1" applyFont="1" applyFill="1" applyBorder="1" applyAlignment="1" applyProtection="1">
      <alignment horizontal="center" vertical="center" wrapText="1"/>
    </xf>
    <xf numFmtId="0" fontId="2" fillId="0" borderId="0" xfId="1" applyFont="1" applyAlignment="1" applyProtection="1">
      <alignment horizontal="left" wrapText="1"/>
    </xf>
    <xf numFmtId="0" fontId="4" fillId="2" borderId="41" xfId="1" applyFont="1" applyFill="1" applyBorder="1" applyAlignment="1" applyProtection="1">
      <alignment horizontal="center" vertical="center"/>
    </xf>
    <xf numFmtId="0" fontId="4" fillId="2" borderId="42" xfId="1" applyFont="1" applyFill="1" applyBorder="1" applyAlignment="1" applyProtection="1">
      <alignment horizontal="center" vertical="center"/>
    </xf>
    <xf numFmtId="0" fontId="4" fillId="2" borderId="40" xfId="1" applyFont="1" applyFill="1" applyBorder="1" applyAlignment="1" applyProtection="1">
      <alignment horizontal="center" vertical="center"/>
    </xf>
    <xf numFmtId="0" fontId="4" fillId="2" borderId="28" xfId="1" applyFont="1" applyFill="1" applyBorder="1" applyAlignment="1" applyProtection="1">
      <alignment horizontal="center" vertical="center"/>
    </xf>
    <xf numFmtId="0" fontId="4" fillId="2" borderId="29" xfId="1" applyFont="1" applyFill="1" applyBorder="1" applyAlignment="1" applyProtection="1">
      <alignment horizontal="center" vertical="center"/>
    </xf>
    <xf numFmtId="0" fontId="4" fillId="2" borderId="30" xfId="1" applyFont="1" applyFill="1" applyBorder="1" applyAlignment="1" applyProtection="1">
      <alignment horizontal="center" vertical="center"/>
    </xf>
    <xf numFmtId="0" fontId="4" fillId="2" borderId="46" xfId="1" applyFont="1" applyFill="1" applyBorder="1" applyAlignment="1" applyProtection="1">
      <alignment horizontal="center" vertical="center"/>
    </xf>
    <xf numFmtId="0" fontId="4" fillId="2" borderId="50" xfId="1" applyFont="1" applyFill="1" applyBorder="1" applyAlignment="1" applyProtection="1">
      <alignment horizontal="center" vertical="center"/>
    </xf>
    <xf numFmtId="0" fontId="2" fillId="0" borderId="7" xfId="1" applyFont="1" applyBorder="1" applyAlignment="1" applyProtection="1">
      <alignment horizontal="left"/>
      <protection locked="0"/>
    </xf>
    <xf numFmtId="0" fontId="2" fillId="0" borderId="6" xfId="1" applyFont="1" applyBorder="1" applyAlignment="1" applyProtection="1">
      <alignment horizontal="left"/>
      <protection locked="0"/>
    </xf>
    <xf numFmtId="0" fontId="4" fillId="5" borderId="35" xfId="1" applyFont="1" applyFill="1" applyBorder="1" applyAlignment="1" applyProtection="1">
      <alignment horizontal="center" vertical="center" wrapText="1"/>
    </xf>
    <xf numFmtId="0" fontId="4" fillId="5" borderId="16" xfId="1" applyFont="1" applyFill="1" applyBorder="1" applyAlignment="1" applyProtection="1">
      <alignment horizontal="center" vertical="center" wrapText="1"/>
    </xf>
    <xf numFmtId="0" fontId="4" fillId="5" borderId="10" xfId="1" applyFont="1" applyFill="1" applyBorder="1" applyAlignment="1" applyProtection="1">
      <alignment horizontal="center" vertical="center" wrapText="1"/>
    </xf>
    <xf numFmtId="0" fontId="4" fillId="5" borderId="13" xfId="1" applyFont="1" applyFill="1" applyBorder="1" applyAlignment="1" applyProtection="1">
      <alignment horizontal="center" vertical="center" wrapText="1"/>
    </xf>
    <xf numFmtId="0" fontId="10" fillId="0" borderId="0" xfId="0" applyFont="1" applyFill="1" applyAlignment="1" applyProtection="1">
      <alignment horizontal="left" wrapText="1"/>
    </xf>
    <xf numFmtId="0" fontId="2" fillId="0" borderId="0" xfId="0" applyFont="1" applyFill="1" applyAlignment="1" applyProtection="1">
      <alignment horizontal="left" wrapText="1"/>
    </xf>
    <xf numFmtId="0" fontId="4" fillId="2" borderId="31" xfId="1" applyFont="1" applyFill="1" applyBorder="1" applyAlignment="1" applyProtection="1">
      <alignment horizontal="center" vertical="center"/>
    </xf>
    <xf numFmtId="0" fontId="4" fillId="2" borderId="14" xfId="1" applyFont="1" applyFill="1" applyBorder="1" applyAlignment="1" applyProtection="1">
      <alignment horizontal="center" vertical="center"/>
    </xf>
    <xf numFmtId="0" fontId="4" fillId="2" borderId="15" xfId="1" applyFont="1" applyFill="1" applyBorder="1" applyAlignment="1" applyProtection="1">
      <alignment horizontal="center" vertical="center"/>
    </xf>
    <xf numFmtId="0" fontId="4" fillId="2" borderId="9" xfId="1" applyFont="1" applyFill="1" applyBorder="1" applyAlignment="1" applyProtection="1">
      <alignment horizontal="center" vertical="center"/>
    </xf>
    <xf numFmtId="0" fontId="4" fillId="2" borderId="11" xfId="1" applyFont="1" applyFill="1" applyBorder="1" applyAlignment="1" applyProtection="1">
      <alignment horizontal="center" vertical="center"/>
    </xf>
    <xf numFmtId="0" fontId="4" fillId="2" borderId="12" xfId="1" applyFont="1" applyFill="1" applyBorder="1" applyAlignment="1" applyProtection="1">
      <alignment horizontal="center" vertical="center"/>
    </xf>
    <xf numFmtId="0" fontId="4" fillId="2" borderId="44" xfId="1" applyFont="1" applyFill="1" applyBorder="1" applyAlignment="1" applyProtection="1">
      <alignment horizontal="center" vertical="center"/>
    </xf>
    <xf numFmtId="0" fontId="4" fillId="2" borderId="20" xfId="1" applyFont="1" applyFill="1" applyBorder="1" applyAlignment="1" applyProtection="1">
      <alignment horizontal="center" vertical="center"/>
    </xf>
    <xf numFmtId="0" fontId="0" fillId="2" borderId="20" xfId="0" applyFill="1" applyBorder="1" applyAlignment="1" applyProtection="1">
      <alignment horizontal="center" vertical="center"/>
    </xf>
    <xf numFmtId="0" fontId="0" fillId="2" borderId="51" xfId="0" applyFill="1" applyBorder="1" applyAlignment="1" applyProtection="1">
      <alignment horizontal="center" vertical="center"/>
    </xf>
    <xf numFmtId="0" fontId="0" fillId="0" borderId="26" xfId="0" applyBorder="1" applyAlignment="1" applyProtection="1">
      <alignment horizontal="center" vertical="center"/>
    </xf>
    <xf numFmtId="0" fontId="0" fillId="0" borderId="0" xfId="0" applyBorder="1" applyAlignment="1" applyProtection="1">
      <alignment horizontal="center" vertical="center"/>
    </xf>
    <xf numFmtId="0" fontId="0" fillId="0" borderId="27" xfId="0" applyBorder="1" applyAlignment="1" applyProtection="1">
      <alignment horizontal="center" vertical="center"/>
    </xf>
    <xf numFmtId="0" fontId="0" fillId="0" borderId="28" xfId="0" applyBorder="1" applyAlignment="1" applyProtection="1">
      <alignment horizontal="center" vertical="center"/>
    </xf>
    <xf numFmtId="0" fontId="0" fillId="0" borderId="29" xfId="0" applyBorder="1" applyAlignment="1" applyProtection="1">
      <alignment horizontal="center" vertical="center"/>
    </xf>
    <xf numFmtId="0" fontId="0" fillId="0" borderId="30" xfId="0" applyBorder="1" applyAlignment="1" applyProtection="1">
      <alignment horizontal="center" vertical="center"/>
    </xf>
    <xf numFmtId="0" fontId="0" fillId="2" borderId="33" xfId="0" applyFill="1" applyBorder="1" applyAlignment="1" applyProtection="1">
      <alignment horizontal="center" vertical="center" wrapText="1"/>
    </xf>
    <xf numFmtId="0" fontId="0" fillId="2" borderId="24" xfId="0" applyFill="1" applyBorder="1" applyAlignment="1" applyProtection="1">
      <alignment horizontal="center" vertical="center" wrapText="1"/>
    </xf>
    <xf numFmtId="0" fontId="4" fillId="5" borderId="32" xfId="1" applyFont="1" applyFill="1" applyBorder="1" applyAlignment="1" applyProtection="1">
      <alignment horizontal="center" vertical="center" wrapText="1"/>
    </xf>
    <xf numFmtId="0" fontId="4" fillId="5" borderId="14" xfId="1" applyFont="1" applyFill="1" applyBorder="1" applyAlignment="1" applyProtection="1">
      <alignment horizontal="center" vertical="center" wrapText="1"/>
    </xf>
    <xf numFmtId="0" fontId="4" fillId="5" borderId="59" xfId="1" applyFont="1" applyFill="1" applyBorder="1" applyAlignment="1" applyProtection="1">
      <alignment horizontal="center" vertical="center" wrapText="1"/>
    </xf>
    <xf numFmtId="0" fontId="4" fillId="5" borderId="37" xfId="1" applyFont="1" applyFill="1" applyBorder="1" applyAlignment="1" applyProtection="1">
      <alignment horizontal="center" vertical="center" wrapText="1"/>
    </xf>
    <xf numFmtId="0" fontId="4" fillId="5" borderId="11" xfId="1" applyFont="1" applyFill="1" applyBorder="1" applyAlignment="1" applyProtection="1">
      <alignment horizontal="center" vertical="center" wrapText="1"/>
    </xf>
    <xf numFmtId="0" fontId="4" fillId="5" borderId="60" xfId="1" applyFont="1" applyFill="1" applyBorder="1" applyAlignment="1" applyProtection="1">
      <alignment horizontal="center" vertical="center" wrapText="1"/>
    </xf>
    <xf numFmtId="0" fontId="4" fillId="5" borderId="38" xfId="1" applyFont="1" applyFill="1" applyBorder="1" applyAlignment="1" applyProtection="1">
      <alignment horizontal="center" vertical="center"/>
    </xf>
    <xf numFmtId="0" fontId="4" fillId="5" borderId="7" xfId="1" applyFont="1" applyFill="1" applyBorder="1" applyAlignment="1" applyProtection="1">
      <alignment horizontal="center" vertical="center"/>
    </xf>
    <xf numFmtId="0" fontId="4" fillId="5" borderId="6" xfId="1" applyFont="1" applyFill="1" applyBorder="1" applyAlignment="1" applyProtection="1">
      <alignment horizontal="center" vertical="center"/>
    </xf>
    <xf numFmtId="0" fontId="4" fillId="5" borderId="32" xfId="1" applyFont="1" applyFill="1" applyBorder="1" applyAlignment="1" applyProtection="1">
      <alignment horizontal="center" vertical="center"/>
    </xf>
    <xf numFmtId="0" fontId="4" fillId="5" borderId="14" xfId="1" applyFont="1" applyFill="1" applyBorder="1" applyAlignment="1" applyProtection="1">
      <alignment horizontal="center" vertical="center"/>
    </xf>
    <xf numFmtId="0" fontId="4" fillId="5" borderId="15" xfId="1" applyFont="1" applyFill="1" applyBorder="1" applyAlignment="1" applyProtection="1">
      <alignment horizontal="center" vertical="center"/>
    </xf>
    <xf numFmtId="0" fontId="4" fillId="5" borderId="37" xfId="1" applyFont="1" applyFill="1" applyBorder="1" applyAlignment="1" applyProtection="1">
      <alignment horizontal="center" vertical="center"/>
    </xf>
    <xf numFmtId="0" fontId="4" fillId="5" borderId="11" xfId="1" applyFont="1" applyFill="1" applyBorder="1" applyAlignment="1" applyProtection="1">
      <alignment horizontal="center" vertical="center"/>
    </xf>
    <xf numFmtId="0" fontId="4" fillId="5" borderId="12" xfId="1" applyFont="1" applyFill="1" applyBorder="1" applyAlignment="1" applyProtection="1">
      <alignment horizontal="center" vertical="center"/>
    </xf>
    <xf numFmtId="49" fontId="4" fillId="2" borderId="10" xfId="1" applyNumberFormat="1" applyFont="1" applyFill="1" applyBorder="1" applyAlignment="1" applyProtection="1">
      <alignment horizontal="center" vertical="center"/>
    </xf>
    <xf numFmtId="49" fontId="4" fillId="2" borderId="13" xfId="1" applyNumberFormat="1" applyFont="1" applyFill="1" applyBorder="1" applyAlignment="1" applyProtection="1">
      <alignment horizontal="center" vertical="center"/>
    </xf>
    <xf numFmtId="49" fontId="4" fillId="2" borderId="10" xfId="1" applyNumberFormat="1" applyFont="1" applyFill="1" applyBorder="1" applyAlignment="1" applyProtection="1">
      <alignment horizontal="center" vertical="center" wrapText="1"/>
    </xf>
    <xf numFmtId="49" fontId="4" fillId="2" borderId="13" xfId="1" applyNumberFormat="1" applyFont="1" applyFill="1" applyBorder="1" applyAlignment="1" applyProtection="1">
      <alignment horizontal="center" vertical="center" wrapText="1"/>
    </xf>
    <xf numFmtId="0" fontId="4" fillId="0" borderId="0" xfId="1" applyFont="1" applyAlignment="1" applyProtection="1">
      <alignment horizontal="center"/>
    </xf>
    <xf numFmtId="0" fontId="4" fillId="5" borderId="15" xfId="1" applyFont="1" applyFill="1" applyBorder="1" applyAlignment="1" applyProtection="1">
      <alignment horizontal="center" vertical="center" wrapText="1"/>
    </xf>
    <xf numFmtId="0" fontId="2" fillId="0" borderId="7" xfId="1" applyFont="1" applyFill="1" applyBorder="1" applyAlignment="1" applyProtection="1">
      <alignment vertical="top" wrapText="1"/>
    </xf>
    <xf numFmtId="0" fontId="0" fillId="0" borderId="7" xfId="0" applyBorder="1" applyAlignment="1" applyProtection="1">
      <alignment vertical="top" wrapText="1"/>
    </xf>
    <xf numFmtId="0" fontId="0" fillId="0" borderId="6" xfId="0" applyBorder="1" applyAlignment="1" applyProtection="1">
      <alignment vertical="top" wrapText="1"/>
    </xf>
    <xf numFmtId="0" fontId="0" fillId="0" borderId="7" xfId="0" applyBorder="1" applyProtection="1"/>
    <xf numFmtId="0" fontId="0" fillId="0" borderId="6" xfId="0" applyBorder="1" applyProtection="1"/>
    <xf numFmtId="0" fontId="4" fillId="5" borderId="50" xfId="1" applyFont="1" applyFill="1" applyBorder="1" applyAlignment="1" applyProtection="1">
      <alignment horizontal="center" vertical="center" wrapText="1"/>
    </xf>
    <xf numFmtId="0" fontId="4" fillId="2" borderId="44" xfId="1" applyFont="1" applyFill="1" applyBorder="1" applyAlignment="1" applyProtection="1">
      <alignment horizontal="center"/>
    </xf>
    <xf numFmtId="0" fontId="4" fillId="2" borderId="20" xfId="1" applyFont="1" applyFill="1" applyBorder="1" applyAlignment="1" applyProtection="1">
      <alignment horizontal="center"/>
    </xf>
    <xf numFmtId="0" fontId="4" fillId="2" borderId="51" xfId="1" applyFont="1" applyFill="1" applyBorder="1" applyAlignment="1" applyProtection="1">
      <alignment horizontal="center"/>
    </xf>
    <xf numFmtId="49" fontId="4" fillId="2" borderId="18" xfId="1" applyNumberFormat="1" applyFont="1" applyFill="1" applyBorder="1" applyAlignment="1" applyProtection="1">
      <alignment horizontal="center" vertical="center" wrapText="1"/>
    </xf>
    <xf numFmtId="49" fontId="4" fillId="2" borderId="5" xfId="1" applyNumberFormat="1" applyFont="1" applyFill="1" applyBorder="1" applyAlignment="1" applyProtection="1">
      <alignment horizontal="center" vertical="center" wrapText="1"/>
    </xf>
    <xf numFmtId="49" fontId="4" fillId="2" borderId="1" xfId="1" applyNumberFormat="1" applyFont="1" applyFill="1" applyBorder="1" applyAlignment="1" applyProtection="1">
      <alignment horizontal="center" vertical="center" wrapText="1"/>
    </xf>
    <xf numFmtId="0" fontId="4" fillId="2" borderId="53" xfId="1" applyFont="1" applyFill="1" applyBorder="1" applyAlignment="1" applyProtection="1">
      <alignment horizontal="center" vertical="center" wrapText="1"/>
    </xf>
    <xf numFmtId="0" fontId="4" fillId="2" borderId="18" xfId="1" applyFont="1" applyFill="1" applyBorder="1" applyAlignment="1" applyProtection="1">
      <alignment horizontal="center" vertical="center" wrapText="1"/>
    </xf>
    <xf numFmtId="0" fontId="4" fillId="2" borderId="54" xfId="1" applyFont="1" applyFill="1" applyBorder="1" applyAlignment="1" applyProtection="1">
      <alignment horizontal="center" vertical="center" wrapText="1"/>
    </xf>
    <xf numFmtId="0" fontId="4" fillId="2" borderId="5" xfId="1" applyFont="1" applyFill="1" applyBorder="1" applyAlignment="1" applyProtection="1">
      <alignment horizontal="center" vertical="center" wrapText="1"/>
    </xf>
    <xf numFmtId="0" fontId="4" fillId="2" borderId="55" xfId="1" applyFont="1" applyFill="1" applyBorder="1" applyAlignment="1" applyProtection="1">
      <alignment horizontal="center" vertical="center" wrapText="1"/>
    </xf>
    <xf numFmtId="0" fontId="4" fillId="2" borderId="1" xfId="1" applyFont="1" applyFill="1" applyBorder="1" applyAlignment="1" applyProtection="1">
      <alignment horizontal="center" vertical="center" wrapText="1"/>
    </xf>
    <xf numFmtId="0" fontId="4" fillId="5" borderId="24" xfId="1" applyFont="1" applyFill="1" applyBorder="1" applyAlignment="1" applyProtection="1">
      <alignment horizontal="center" vertical="center" wrapText="1"/>
    </xf>
    <xf numFmtId="0" fontId="2" fillId="0" borderId="7" xfId="1" applyFont="1" applyFill="1" applyBorder="1" applyAlignment="1" applyProtection="1">
      <alignment horizontal="left" wrapText="1"/>
    </xf>
    <xf numFmtId="0" fontId="0" fillId="0" borderId="7" xfId="0" applyBorder="1" applyAlignment="1" applyProtection="1">
      <alignment horizontal="left" wrapText="1"/>
    </xf>
    <xf numFmtId="0" fontId="0" fillId="0" borderId="6" xfId="0" applyBorder="1" applyAlignment="1" applyProtection="1">
      <alignment horizontal="left" wrapText="1"/>
    </xf>
    <xf numFmtId="0" fontId="2" fillId="0" borderId="0" xfId="1" applyFont="1" applyBorder="1" applyAlignment="1" applyProtection="1">
      <alignment horizontal="left" wrapText="1"/>
    </xf>
    <xf numFmtId="0" fontId="4" fillId="5" borderId="25" xfId="1" applyFont="1" applyFill="1" applyBorder="1" applyAlignment="1" applyProtection="1">
      <alignment horizontal="center" vertical="center" wrapText="1"/>
    </xf>
    <xf numFmtId="0" fontId="4" fillId="5" borderId="46" xfId="1" applyFont="1" applyFill="1" applyBorder="1" applyAlignment="1" applyProtection="1">
      <alignment horizontal="center" vertical="center" wrapText="1"/>
    </xf>
    <xf numFmtId="0" fontId="16" fillId="2" borderId="41" xfId="0" applyFont="1" applyFill="1" applyBorder="1" applyAlignment="1" applyProtection="1">
      <alignment horizontal="center" vertical="center"/>
    </xf>
    <xf numFmtId="0" fontId="16" fillId="2" borderId="42" xfId="0" applyFont="1" applyFill="1" applyBorder="1" applyAlignment="1" applyProtection="1">
      <alignment horizontal="center" vertical="center"/>
    </xf>
    <xf numFmtId="0" fontId="16" fillId="2" borderId="40" xfId="0" applyFont="1" applyFill="1" applyBorder="1" applyAlignment="1" applyProtection="1">
      <alignment horizontal="center" vertical="center"/>
    </xf>
    <xf numFmtId="0" fontId="16" fillId="2" borderId="28" xfId="0" applyFont="1" applyFill="1" applyBorder="1" applyAlignment="1" applyProtection="1">
      <alignment horizontal="center" vertical="center"/>
    </xf>
    <xf numFmtId="0" fontId="16" fillId="2" borderId="29" xfId="0" applyFont="1" applyFill="1" applyBorder="1" applyAlignment="1" applyProtection="1">
      <alignment horizontal="center" vertical="center"/>
    </xf>
    <xf numFmtId="0" fontId="16" fillId="2" borderId="30" xfId="0" applyFont="1" applyFill="1" applyBorder="1" applyAlignment="1" applyProtection="1">
      <alignment horizontal="center" vertical="center"/>
    </xf>
    <xf numFmtId="0" fontId="16" fillId="2" borderId="25" xfId="0" applyFont="1" applyFill="1" applyBorder="1" applyAlignment="1" applyProtection="1">
      <alignment horizontal="center" vertical="center" wrapText="1"/>
    </xf>
    <xf numFmtId="0" fontId="16" fillId="2" borderId="24" xfId="0" applyFont="1" applyFill="1" applyBorder="1" applyAlignment="1" applyProtection="1">
      <alignment horizontal="center" vertical="center" wrapText="1"/>
    </xf>
    <xf numFmtId="0" fontId="4" fillId="2" borderId="46" xfId="1" applyFont="1" applyFill="1" applyBorder="1" applyAlignment="1" applyProtection="1">
      <alignment horizontal="center" vertical="center" wrapText="1"/>
    </xf>
    <xf numFmtId="0" fontId="4" fillId="2" borderId="36" xfId="1" applyFont="1" applyFill="1" applyBorder="1" applyAlignment="1" applyProtection="1">
      <alignment horizontal="center" vertical="center" wrapText="1"/>
    </xf>
    <xf numFmtId="0" fontId="4" fillId="2" borderId="50" xfId="1" applyFont="1" applyFill="1" applyBorder="1" applyAlignment="1" applyProtection="1">
      <alignment horizontal="center" vertical="center" wrapText="1"/>
    </xf>
    <xf numFmtId="0" fontId="4" fillId="2" borderId="41" xfId="1" applyFont="1" applyFill="1" applyBorder="1" applyAlignment="1" applyProtection="1">
      <alignment horizontal="left" vertical="center"/>
    </xf>
    <xf numFmtId="0" fontId="4" fillId="2" borderId="42" xfId="1" applyFont="1" applyFill="1" applyBorder="1" applyAlignment="1" applyProtection="1">
      <alignment horizontal="left" vertical="center"/>
    </xf>
    <xf numFmtId="0" fontId="4" fillId="2" borderId="40" xfId="1" applyFont="1" applyFill="1" applyBorder="1" applyAlignment="1" applyProtection="1">
      <alignment horizontal="left" vertical="center"/>
    </xf>
    <xf numFmtId="0" fontId="0" fillId="0" borderId="26" xfId="0" applyBorder="1" applyAlignment="1" applyProtection="1">
      <alignment horizontal="left" vertical="center"/>
    </xf>
    <xf numFmtId="0" fontId="0" fillId="0" borderId="0" xfId="0" applyBorder="1" applyAlignment="1" applyProtection="1">
      <alignment horizontal="left" vertical="center"/>
    </xf>
    <xf numFmtId="0" fontId="0" fillId="0" borderId="27" xfId="0" applyBorder="1" applyAlignment="1" applyProtection="1">
      <alignment horizontal="left" vertical="center"/>
    </xf>
    <xf numFmtId="0" fontId="0" fillId="0" borderId="28" xfId="0" applyBorder="1" applyAlignment="1" applyProtection="1">
      <alignment horizontal="left" vertical="center"/>
    </xf>
    <xf numFmtId="0" fontId="0" fillId="0" borderId="29" xfId="0" applyBorder="1" applyAlignment="1" applyProtection="1">
      <alignment horizontal="left" vertical="center"/>
    </xf>
    <xf numFmtId="0" fontId="0" fillId="0" borderId="30" xfId="0" applyBorder="1" applyAlignment="1" applyProtection="1">
      <alignment horizontal="left" vertical="center"/>
    </xf>
    <xf numFmtId="49" fontId="4" fillId="2" borderId="25" xfId="1" applyNumberFormat="1" applyFont="1" applyFill="1" applyBorder="1" applyAlignment="1" applyProtection="1">
      <alignment horizontal="center" vertical="center" wrapText="1"/>
    </xf>
    <xf numFmtId="49" fontId="4" fillId="2" borderId="33" xfId="1" applyNumberFormat="1" applyFont="1" applyFill="1" applyBorder="1" applyAlignment="1" applyProtection="1">
      <alignment horizontal="center" vertical="center" wrapText="1"/>
    </xf>
    <xf numFmtId="49" fontId="4" fillId="2" borderId="24" xfId="1" applyNumberFormat="1" applyFont="1" applyFill="1" applyBorder="1" applyAlignment="1" applyProtection="1">
      <alignment horizontal="center" vertical="center" wrapText="1"/>
    </xf>
    <xf numFmtId="0" fontId="4" fillId="5" borderId="29" xfId="1" applyFont="1" applyFill="1" applyBorder="1" applyAlignment="1" applyProtection="1">
      <alignment horizontal="center" vertical="center" wrapText="1"/>
    </xf>
    <xf numFmtId="0" fontId="2" fillId="0" borderId="0" xfId="0" applyFont="1" applyBorder="1" applyAlignment="1" applyProtection="1">
      <alignment horizontal="left" vertical="top" wrapText="1"/>
    </xf>
    <xf numFmtId="0" fontId="2" fillId="0" borderId="7" xfId="1" applyFont="1" applyFill="1" applyBorder="1" applyAlignment="1" applyProtection="1">
      <alignment horizontal="left" vertical="center" wrapText="1"/>
    </xf>
    <xf numFmtId="0" fontId="0" fillId="0" borderId="7"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0" xfId="0" applyAlignment="1" applyProtection="1">
      <alignment horizontal="left" vertical="top" wrapText="1"/>
    </xf>
    <xf numFmtId="0" fontId="4" fillId="5" borderId="7" xfId="1" applyFont="1" applyFill="1" applyBorder="1" applyAlignment="1" applyProtection="1">
      <alignment horizontal="center" vertical="center" wrapText="1"/>
    </xf>
    <xf numFmtId="0" fontId="4" fillId="5" borderId="6" xfId="1" applyFont="1" applyFill="1" applyBorder="1" applyAlignment="1" applyProtection="1">
      <alignment horizontal="center" vertical="center" wrapText="1"/>
    </xf>
  </cellXfs>
  <cellStyles count="4">
    <cellStyle name="Normal" xfId="0" builtinId="0"/>
    <cellStyle name="Normal 2" xfId="1"/>
    <cellStyle name="Normal_KB-SOLO-CNTINGNTlaine" xfId="2"/>
    <cellStyle name="Normal_Revised - RBCSOC"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5</xdr:row>
          <xdr:rowOff>171450</xdr:rowOff>
        </xdr:from>
        <xdr:to>
          <xdr:col>4</xdr:col>
          <xdr:colOff>571500</xdr:colOff>
          <xdr:row>8</xdr:row>
          <xdr:rowOff>66675</xdr:rowOff>
        </xdr:to>
        <xdr:sp macro="" textlink="">
          <xdr:nvSpPr>
            <xdr:cNvPr id="26625" name="cmdNew" hidden="1">
              <a:extLst>
                <a:ext uri="{63B3BB69-23CF-44E3-9099-C40C66FF867C}">
                  <a14:compatExt spid="_x0000_s26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5</xdr:row>
          <xdr:rowOff>171450</xdr:rowOff>
        </xdr:from>
        <xdr:to>
          <xdr:col>4</xdr:col>
          <xdr:colOff>1685925</xdr:colOff>
          <xdr:row>8</xdr:row>
          <xdr:rowOff>66675</xdr:rowOff>
        </xdr:to>
        <xdr:sp macro="" textlink="">
          <xdr:nvSpPr>
            <xdr:cNvPr id="26626" name="cmdDel" hidden="1">
              <a:extLst>
                <a:ext uri="{63B3BB69-23CF-44E3-9099-C40C66FF867C}">
                  <a14:compatExt spid="_x0000_s26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11</xdr:row>
          <xdr:rowOff>19050</xdr:rowOff>
        </xdr:from>
        <xdr:to>
          <xdr:col>7</xdr:col>
          <xdr:colOff>228600</xdr:colOff>
          <xdr:row>11</xdr:row>
          <xdr:rowOff>142875</xdr:rowOff>
        </xdr:to>
        <xdr:sp macro="" textlink="">
          <xdr:nvSpPr>
            <xdr:cNvPr id="23556" name="Label_b" hidden="1">
              <a:extLst>
                <a:ext uri="{63B3BB69-23CF-44E3-9099-C40C66FF867C}">
                  <a14:compatExt spid="_x0000_s235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9525</xdr:rowOff>
        </xdr:from>
        <xdr:to>
          <xdr:col>1</xdr:col>
          <xdr:colOff>28575</xdr:colOff>
          <xdr:row>11</xdr:row>
          <xdr:rowOff>133350</xdr:rowOff>
        </xdr:to>
        <xdr:sp macro="" textlink="">
          <xdr:nvSpPr>
            <xdr:cNvPr id="23563" name="Label_a" hidden="1">
              <a:extLst>
                <a:ext uri="{63B3BB69-23CF-44E3-9099-C40C66FF867C}">
                  <a14:compatExt spid="_x0000_s235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11</xdr:row>
          <xdr:rowOff>9525</xdr:rowOff>
        </xdr:from>
        <xdr:to>
          <xdr:col>8</xdr:col>
          <xdr:colOff>0</xdr:colOff>
          <xdr:row>11</xdr:row>
          <xdr:rowOff>133350</xdr:rowOff>
        </xdr:to>
        <xdr:sp macro="" textlink="">
          <xdr:nvSpPr>
            <xdr:cNvPr id="24577" name="Label_a"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12</xdr:row>
          <xdr:rowOff>0</xdr:rowOff>
        </xdr:from>
        <xdr:to>
          <xdr:col>8</xdr:col>
          <xdr:colOff>0</xdr:colOff>
          <xdr:row>12</xdr:row>
          <xdr:rowOff>123825</xdr:rowOff>
        </xdr:to>
        <xdr:sp macro="" textlink="">
          <xdr:nvSpPr>
            <xdr:cNvPr id="25601" name="Label_a"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19</xdr:row>
          <xdr:rowOff>9525</xdr:rowOff>
        </xdr:from>
        <xdr:to>
          <xdr:col>8</xdr:col>
          <xdr:colOff>0</xdr:colOff>
          <xdr:row>19</xdr:row>
          <xdr:rowOff>133350</xdr:rowOff>
        </xdr:to>
        <xdr:sp macro="" textlink="">
          <xdr:nvSpPr>
            <xdr:cNvPr id="25603" name="Label_b" hidden="1">
              <a:extLst>
                <a:ext uri="{63B3BB69-23CF-44E3-9099-C40C66FF867C}">
                  <a14:compatExt spid="_x0000_s25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12</xdr:row>
          <xdr:rowOff>9525</xdr:rowOff>
        </xdr:from>
        <xdr:to>
          <xdr:col>8</xdr:col>
          <xdr:colOff>0</xdr:colOff>
          <xdr:row>12</xdr:row>
          <xdr:rowOff>133350</xdr:rowOff>
        </xdr:to>
        <xdr:sp macro="" textlink="">
          <xdr:nvSpPr>
            <xdr:cNvPr id="22529" name="Label_a"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19</xdr:row>
          <xdr:rowOff>9525</xdr:rowOff>
        </xdr:from>
        <xdr:to>
          <xdr:col>8</xdr:col>
          <xdr:colOff>0</xdr:colOff>
          <xdr:row>19</xdr:row>
          <xdr:rowOff>133350</xdr:rowOff>
        </xdr:to>
        <xdr:sp macro="" textlink="">
          <xdr:nvSpPr>
            <xdr:cNvPr id="22530" name="Label_b"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13</xdr:row>
          <xdr:rowOff>9525</xdr:rowOff>
        </xdr:from>
        <xdr:to>
          <xdr:col>8</xdr:col>
          <xdr:colOff>0</xdr:colOff>
          <xdr:row>13</xdr:row>
          <xdr:rowOff>133350</xdr:rowOff>
        </xdr:to>
        <xdr:sp macro="" textlink="">
          <xdr:nvSpPr>
            <xdr:cNvPr id="28673" name="Label_a"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17</xdr:row>
          <xdr:rowOff>9525</xdr:rowOff>
        </xdr:from>
        <xdr:to>
          <xdr:col>7</xdr:col>
          <xdr:colOff>228600</xdr:colOff>
          <xdr:row>17</xdr:row>
          <xdr:rowOff>133350</xdr:rowOff>
        </xdr:to>
        <xdr:sp macro="" textlink="">
          <xdr:nvSpPr>
            <xdr:cNvPr id="28674" name="Label_b" hidden="1">
              <a:extLst>
                <a:ext uri="{63B3BB69-23CF-44E3-9099-C40C66FF867C}">
                  <a14:compatExt spid="_x0000_s28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24</xdr:row>
          <xdr:rowOff>9525</xdr:rowOff>
        </xdr:from>
        <xdr:to>
          <xdr:col>7</xdr:col>
          <xdr:colOff>228600</xdr:colOff>
          <xdr:row>24</xdr:row>
          <xdr:rowOff>133350</xdr:rowOff>
        </xdr:to>
        <xdr:sp macro="" textlink="">
          <xdr:nvSpPr>
            <xdr:cNvPr id="28675" name="Label_c" hidden="1">
              <a:extLst>
                <a:ext uri="{63B3BB69-23CF-44E3-9099-C40C66FF867C}">
                  <a14:compatExt spid="_x0000_s28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28</xdr:row>
          <xdr:rowOff>9525</xdr:rowOff>
        </xdr:from>
        <xdr:to>
          <xdr:col>8</xdr:col>
          <xdr:colOff>0</xdr:colOff>
          <xdr:row>28</xdr:row>
          <xdr:rowOff>133350</xdr:rowOff>
        </xdr:to>
        <xdr:sp macro="" textlink="">
          <xdr:nvSpPr>
            <xdr:cNvPr id="28676" name="Label_d" hidden="1">
              <a:extLst>
                <a:ext uri="{63B3BB69-23CF-44E3-9099-C40C66FF867C}">
                  <a14:compatExt spid="_x0000_s28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11.emf"/><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938"/>
  <sheetViews>
    <sheetView topLeftCell="B1" workbookViewId="0"/>
  </sheetViews>
  <sheetFormatPr defaultColWidth="5.85546875" defaultRowHeight="12.75" x14ac:dyDescent="0.2"/>
  <cols>
    <col min="1" max="1" width="41.7109375" style="139" hidden="1" customWidth="1"/>
    <col min="2" max="16384" width="5.85546875" style="136"/>
  </cols>
  <sheetData>
    <row r="1" spans="1:2" x14ac:dyDescent="0.2">
      <c r="A1" s="134" t="s">
        <v>1095</v>
      </c>
      <c r="B1" s="135" t="s">
        <v>637</v>
      </c>
    </row>
    <row r="2" spans="1:2" x14ac:dyDescent="0.2">
      <c r="A2" s="134" t="s">
        <v>1096</v>
      </c>
      <c r="B2" s="135" t="s">
        <v>637</v>
      </c>
    </row>
    <row r="3" spans="1:2" x14ac:dyDescent="0.2">
      <c r="A3" s="134" t="s">
        <v>1097</v>
      </c>
      <c r="B3" s="135" t="s">
        <v>637</v>
      </c>
    </row>
    <row r="4" spans="1:2" x14ac:dyDescent="0.2">
      <c r="A4" s="134" t="s">
        <v>1098</v>
      </c>
      <c r="B4" s="135" t="s">
        <v>637</v>
      </c>
    </row>
    <row r="5" spans="1:2" x14ac:dyDescent="0.2">
      <c r="A5" s="134">
        <v>2</v>
      </c>
      <c r="B5" s="135" t="s">
        <v>637</v>
      </c>
    </row>
    <row r="6" spans="1:2" x14ac:dyDescent="0.2">
      <c r="A6" s="134" t="s">
        <v>1099</v>
      </c>
      <c r="B6" s="136" t="s">
        <v>637</v>
      </c>
    </row>
    <row r="7" spans="1:2" x14ac:dyDescent="0.2">
      <c r="A7" s="137">
        <v>20170930</v>
      </c>
      <c r="B7" s="136" t="s">
        <v>637</v>
      </c>
    </row>
    <row r="8" spans="1:2" x14ac:dyDescent="0.2">
      <c r="A8" s="138" t="s">
        <v>638</v>
      </c>
    </row>
    <row r="9" spans="1:2" x14ac:dyDescent="0.2">
      <c r="A9" s="139" t="s">
        <v>639</v>
      </c>
    </row>
    <row r="50" spans="1:2" ht="15" x14ac:dyDescent="0.25">
      <c r="A50" s="464" t="s">
        <v>585</v>
      </c>
      <c r="B50" s="491"/>
    </row>
    <row r="51" spans="1:2" ht="15" x14ac:dyDescent="0.25">
      <c r="A51" s="464" t="s">
        <v>420</v>
      </c>
      <c r="B51" s="491"/>
    </row>
    <row r="52" spans="1:2" ht="15" x14ac:dyDescent="0.25">
      <c r="A52" s="464" t="s">
        <v>1089</v>
      </c>
      <c r="B52" s="491"/>
    </row>
    <row r="53" spans="1:2" ht="15" x14ac:dyDescent="0.25">
      <c r="A53" s="464" t="s">
        <v>421</v>
      </c>
      <c r="B53" s="491"/>
    </row>
    <row r="54" spans="1:2" ht="15" x14ac:dyDescent="0.25">
      <c r="A54" s="464" t="s">
        <v>466</v>
      </c>
      <c r="B54" s="491"/>
    </row>
    <row r="55" spans="1:2" ht="15" x14ac:dyDescent="0.25">
      <c r="A55" s="464" t="s">
        <v>145</v>
      </c>
      <c r="B55" s="491"/>
    </row>
    <row r="56" spans="1:2" ht="15" x14ac:dyDescent="0.25">
      <c r="A56" s="464" t="s">
        <v>774</v>
      </c>
      <c r="B56" s="491"/>
    </row>
    <row r="57" spans="1:2" ht="15" x14ac:dyDescent="0.25">
      <c r="A57" s="464" t="s">
        <v>775</v>
      </c>
      <c r="B57" s="491"/>
    </row>
    <row r="58" spans="1:2" ht="15" x14ac:dyDescent="0.25">
      <c r="A58" s="464" t="s">
        <v>1079</v>
      </c>
      <c r="B58" s="491"/>
    </row>
    <row r="59" spans="1:2" ht="15" x14ac:dyDescent="0.25">
      <c r="A59" s="464" t="s">
        <v>266</v>
      </c>
      <c r="B59" s="491"/>
    </row>
    <row r="60" spans="1:2" ht="15" x14ac:dyDescent="0.25">
      <c r="A60" s="464" t="s">
        <v>776</v>
      </c>
      <c r="B60" s="491"/>
    </row>
    <row r="61" spans="1:2" ht="15" x14ac:dyDescent="0.25">
      <c r="A61" s="464" t="s">
        <v>640</v>
      </c>
      <c r="B61" s="491"/>
    </row>
    <row r="62" spans="1:2" ht="15" x14ac:dyDescent="0.25">
      <c r="A62" s="464" t="s">
        <v>30</v>
      </c>
      <c r="B62" s="491"/>
    </row>
    <row r="63" spans="1:2" ht="15" x14ac:dyDescent="0.25">
      <c r="A63" s="464" t="s">
        <v>777</v>
      </c>
      <c r="B63" s="491"/>
    </row>
    <row r="64" spans="1:2" ht="15" x14ac:dyDescent="0.25">
      <c r="A64" s="464" t="s">
        <v>146</v>
      </c>
      <c r="B64" s="491"/>
    </row>
    <row r="65" spans="1:2" ht="15" x14ac:dyDescent="0.25">
      <c r="A65" s="464" t="s">
        <v>641</v>
      </c>
      <c r="B65" s="491"/>
    </row>
    <row r="66" spans="1:2" ht="15" x14ac:dyDescent="0.25">
      <c r="A66" s="464" t="s">
        <v>642</v>
      </c>
      <c r="B66" s="491"/>
    </row>
    <row r="67" spans="1:2" ht="15" x14ac:dyDescent="0.25">
      <c r="A67" s="464" t="s">
        <v>778</v>
      </c>
      <c r="B67" s="491"/>
    </row>
    <row r="68" spans="1:2" ht="15" x14ac:dyDescent="0.25">
      <c r="A68" s="464" t="s">
        <v>31</v>
      </c>
      <c r="B68" s="491"/>
    </row>
    <row r="69" spans="1:2" ht="15" x14ac:dyDescent="0.25">
      <c r="A69" s="464" t="s">
        <v>32</v>
      </c>
      <c r="B69" s="491"/>
    </row>
    <row r="70" spans="1:2" ht="15" x14ac:dyDescent="0.25">
      <c r="A70" s="464" t="s">
        <v>748</v>
      </c>
      <c r="B70" s="491"/>
    </row>
    <row r="71" spans="1:2" ht="15" x14ac:dyDescent="0.25">
      <c r="A71" s="464" t="s">
        <v>746</v>
      </c>
      <c r="B71" s="491"/>
    </row>
    <row r="72" spans="1:2" ht="15" x14ac:dyDescent="0.25">
      <c r="A72" s="464" t="s">
        <v>33</v>
      </c>
      <c r="B72" s="491"/>
    </row>
    <row r="73" spans="1:2" ht="15" x14ac:dyDescent="0.25">
      <c r="A73" s="464" t="s">
        <v>779</v>
      </c>
      <c r="B73" s="491"/>
    </row>
    <row r="74" spans="1:2" ht="15" x14ac:dyDescent="0.25">
      <c r="A74" s="464" t="s">
        <v>34</v>
      </c>
      <c r="B74" s="491"/>
    </row>
    <row r="75" spans="1:2" ht="15" x14ac:dyDescent="0.25">
      <c r="A75" s="464" t="s">
        <v>35</v>
      </c>
      <c r="B75" s="491"/>
    </row>
    <row r="76" spans="1:2" ht="15" x14ac:dyDescent="0.25">
      <c r="A76" s="464" t="s">
        <v>147</v>
      </c>
      <c r="B76" s="491"/>
    </row>
    <row r="77" spans="1:2" ht="15" x14ac:dyDescent="0.25">
      <c r="A77" s="464" t="s">
        <v>267</v>
      </c>
      <c r="B77" s="491"/>
    </row>
    <row r="78" spans="1:2" ht="15" x14ac:dyDescent="0.25">
      <c r="A78" s="464" t="s">
        <v>36</v>
      </c>
      <c r="B78" s="491"/>
    </row>
    <row r="79" spans="1:2" ht="15" x14ac:dyDescent="0.25">
      <c r="A79" s="464" t="s">
        <v>268</v>
      </c>
      <c r="B79" s="491"/>
    </row>
    <row r="80" spans="1:2" ht="15" x14ac:dyDescent="0.25">
      <c r="A80" s="464" t="s">
        <v>757</v>
      </c>
      <c r="B80" s="491"/>
    </row>
    <row r="81" spans="1:2" ht="15" x14ac:dyDescent="0.25">
      <c r="A81" s="464" t="s">
        <v>269</v>
      </c>
      <c r="B81" s="491"/>
    </row>
    <row r="82" spans="1:2" ht="15" x14ac:dyDescent="0.25">
      <c r="A82" s="464" t="s">
        <v>1082</v>
      </c>
      <c r="B82" s="491"/>
    </row>
    <row r="83" spans="1:2" ht="15" x14ac:dyDescent="0.25">
      <c r="A83" s="464" t="s">
        <v>586</v>
      </c>
      <c r="B83" s="491"/>
    </row>
    <row r="84" spans="1:2" ht="15" x14ac:dyDescent="0.25">
      <c r="A84" s="464" t="s">
        <v>749</v>
      </c>
      <c r="B84" s="491"/>
    </row>
    <row r="85" spans="1:2" ht="15" x14ac:dyDescent="0.25">
      <c r="A85" s="464" t="s">
        <v>749</v>
      </c>
      <c r="B85" s="491"/>
    </row>
    <row r="86" spans="1:2" ht="15" x14ac:dyDescent="0.25">
      <c r="A86" s="464" t="s">
        <v>37</v>
      </c>
      <c r="B86" s="491"/>
    </row>
    <row r="87" spans="1:2" ht="15" x14ac:dyDescent="0.25">
      <c r="A87" s="464" t="s">
        <v>1070</v>
      </c>
      <c r="B87" s="491"/>
    </row>
    <row r="88" spans="1:2" ht="15" x14ac:dyDescent="0.25">
      <c r="A88" s="464" t="s">
        <v>38</v>
      </c>
      <c r="B88" s="491"/>
    </row>
    <row r="89" spans="1:2" ht="15" x14ac:dyDescent="0.25">
      <c r="A89" s="464" t="s">
        <v>39</v>
      </c>
      <c r="B89" s="491"/>
    </row>
    <row r="90" spans="1:2" ht="15" x14ac:dyDescent="0.25">
      <c r="A90" s="464" t="s">
        <v>780</v>
      </c>
      <c r="B90" s="491"/>
    </row>
    <row r="91" spans="1:2" ht="15" x14ac:dyDescent="0.25">
      <c r="A91" s="464" t="s">
        <v>781</v>
      </c>
      <c r="B91" s="491"/>
    </row>
    <row r="92" spans="1:2" ht="15" x14ac:dyDescent="0.25">
      <c r="A92" s="464" t="s">
        <v>782</v>
      </c>
      <c r="B92" s="491"/>
    </row>
    <row r="93" spans="1:2" ht="15" x14ac:dyDescent="0.25">
      <c r="A93" s="464" t="s">
        <v>181</v>
      </c>
      <c r="B93" s="491"/>
    </row>
    <row r="94" spans="1:2" ht="15" x14ac:dyDescent="0.25">
      <c r="A94" s="464" t="s">
        <v>148</v>
      </c>
      <c r="B94" s="491"/>
    </row>
    <row r="95" spans="1:2" ht="15" x14ac:dyDescent="0.25">
      <c r="A95" s="464" t="s">
        <v>221</v>
      </c>
      <c r="B95" s="491"/>
    </row>
    <row r="96" spans="1:2" ht="15" x14ac:dyDescent="0.25">
      <c r="A96" s="464" t="s">
        <v>40</v>
      </c>
      <c r="B96" s="491"/>
    </row>
    <row r="97" spans="1:2" ht="15" x14ac:dyDescent="0.25">
      <c r="A97" s="464" t="s">
        <v>270</v>
      </c>
      <c r="B97" s="491"/>
    </row>
    <row r="98" spans="1:2" ht="15" x14ac:dyDescent="0.25">
      <c r="A98" s="464" t="s">
        <v>271</v>
      </c>
      <c r="B98" s="491"/>
    </row>
    <row r="99" spans="1:2" ht="15" x14ac:dyDescent="0.25">
      <c r="A99" s="464" t="s">
        <v>1091</v>
      </c>
      <c r="B99" s="491"/>
    </row>
    <row r="100" spans="1:2" ht="15" x14ac:dyDescent="0.25">
      <c r="A100" s="464" t="s">
        <v>783</v>
      </c>
      <c r="B100" s="491"/>
    </row>
    <row r="101" spans="1:2" ht="15" x14ac:dyDescent="0.25">
      <c r="A101" s="464" t="s">
        <v>41</v>
      </c>
      <c r="B101" s="491"/>
    </row>
    <row r="102" spans="1:2" ht="15" x14ac:dyDescent="0.25">
      <c r="A102" s="464" t="s">
        <v>42</v>
      </c>
      <c r="B102" s="491"/>
    </row>
    <row r="103" spans="1:2" ht="15" x14ac:dyDescent="0.25">
      <c r="A103" s="464" t="s">
        <v>43</v>
      </c>
      <c r="B103" s="491"/>
    </row>
    <row r="104" spans="1:2" ht="15" x14ac:dyDescent="0.25">
      <c r="A104" s="464" t="s">
        <v>784</v>
      </c>
      <c r="B104" s="491"/>
    </row>
    <row r="105" spans="1:2" ht="15" x14ac:dyDescent="0.25">
      <c r="A105" s="464" t="s">
        <v>587</v>
      </c>
      <c r="B105" s="491"/>
    </row>
    <row r="106" spans="1:2" ht="15" x14ac:dyDescent="0.25">
      <c r="A106" s="464" t="s">
        <v>785</v>
      </c>
      <c r="B106" s="491"/>
    </row>
    <row r="107" spans="1:2" ht="15" x14ac:dyDescent="0.25">
      <c r="A107" s="464" t="s">
        <v>643</v>
      </c>
      <c r="B107" s="491"/>
    </row>
    <row r="108" spans="1:2" ht="15" x14ac:dyDescent="0.25">
      <c r="A108" s="464" t="s">
        <v>644</v>
      </c>
      <c r="B108" s="491"/>
    </row>
    <row r="109" spans="1:2" ht="15" x14ac:dyDescent="0.25">
      <c r="A109" s="464" t="s">
        <v>44</v>
      </c>
      <c r="B109" s="491"/>
    </row>
    <row r="110" spans="1:2" ht="15" x14ac:dyDescent="0.25">
      <c r="A110" s="464" t="s">
        <v>272</v>
      </c>
      <c r="B110" s="491"/>
    </row>
    <row r="111" spans="1:2" ht="15" x14ac:dyDescent="0.25">
      <c r="A111" s="464" t="s">
        <v>645</v>
      </c>
      <c r="B111" s="491"/>
    </row>
    <row r="112" spans="1:2" ht="15" x14ac:dyDescent="0.25">
      <c r="A112" s="464" t="s">
        <v>45</v>
      </c>
      <c r="B112" s="491"/>
    </row>
    <row r="113" spans="1:2" ht="15" x14ac:dyDescent="0.25">
      <c r="A113" s="464" t="s">
        <v>1071</v>
      </c>
      <c r="B113" s="491"/>
    </row>
    <row r="114" spans="1:2" ht="15" x14ac:dyDescent="0.25">
      <c r="A114" s="464" t="s">
        <v>182</v>
      </c>
      <c r="B114" s="491"/>
    </row>
    <row r="115" spans="1:2" ht="15" x14ac:dyDescent="0.25">
      <c r="A115" s="464" t="s">
        <v>765</v>
      </c>
      <c r="B115" s="491"/>
    </row>
    <row r="116" spans="1:2" ht="15" x14ac:dyDescent="0.25">
      <c r="A116" s="464" t="s">
        <v>646</v>
      </c>
      <c r="B116" s="491"/>
    </row>
    <row r="117" spans="1:2" ht="15" x14ac:dyDescent="0.25">
      <c r="A117" s="464" t="s">
        <v>46</v>
      </c>
      <c r="B117" s="491"/>
    </row>
    <row r="118" spans="1:2" ht="15" x14ac:dyDescent="0.25">
      <c r="A118" s="464" t="s">
        <v>786</v>
      </c>
      <c r="B118" s="491"/>
    </row>
    <row r="119" spans="1:2" ht="15" x14ac:dyDescent="0.25">
      <c r="A119" s="464" t="s">
        <v>786</v>
      </c>
      <c r="B119" s="491"/>
    </row>
    <row r="120" spans="1:2" ht="15" x14ac:dyDescent="0.25">
      <c r="A120" s="464" t="s">
        <v>1084</v>
      </c>
      <c r="B120" s="491"/>
    </row>
    <row r="121" spans="1:2" ht="15" x14ac:dyDescent="0.25">
      <c r="A121" s="464" t="s">
        <v>787</v>
      </c>
      <c r="B121" s="491"/>
    </row>
    <row r="122" spans="1:2" ht="15" x14ac:dyDescent="0.25">
      <c r="A122" s="464" t="s">
        <v>47</v>
      </c>
      <c r="B122" s="491"/>
    </row>
    <row r="123" spans="1:2" ht="15" x14ac:dyDescent="0.25">
      <c r="A123" s="464" t="s">
        <v>48</v>
      </c>
      <c r="B123" s="491"/>
    </row>
    <row r="124" spans="1:2" ht="15" x14ac:dyDescent="0.25">
      <c r="A124" s="464" t="s">
        <v>788</v>
      </c>
      <c r="B124" s="491"/>
    </row>
    <row r="125" spans="1:2" ht="15" x14ac:dyDescent="0.25">
      <c r="A125" s="464" t="s">
        <v>49</v>
      </c>
      <c r="B125" s="491"/>
    </row>
    <row r="126" spans="1:2" ht="15" x14ac:dyDescent="0.25">
      <c r="A126" s="464" t="s">
        <v>183</v>
      </c>
      <c r="B126" s="491"/>
    </row>
    <row r="127" spans="1:2" ht="15" x14ac:dyDescent="0.25">
      <c r="A127" s="464" t="s">
        <v>588</v>
      </c>
      <c r="B127" s="491"/>
    </row>
    <row r="128" spans="1:2" ht="15" x14ac:dyDescent="0.25">
      <c r="A128" s="464" t="s">
        <v>467</v>
      </c>
      <c r="B128" s="491"/>
    </row>
    <row r="129" spans="1:2" ht="15" x14ac:dyDescent="0.25">
      <c r="A129" s="464" t="s">
        <v>647</v>
      </c>
      <c r="B129" s="491"/>
    </row>
    <row r="130" spans="1:2" ht="15" x14ac:dyDescent="0.25">
      <c r="A130" s="464" t="s">
        <v>753</v>
      </c>
      <c r="B130" s="491"/>
    </row>
    <row r="131" spans="1:2" ht="15" x14ac:dyDescent="0.25">
      <c r="A131" s="464" t="s">
        <v>50</v>
      </c>
      <c r="B131" s="491"/>
    </row>
    <row r="132" spans="1:2" ht="15" x14ac:dyDescent="0.25">
      <c r="A132" s="464" t="s">
        <v>51</v>
      </c>
      <c r="B132" s="491"/>
    </row>
    <row r="133" spans="1:2" ht="15" x14ac:dyDescent="0.25">
      <c r="A133" s="464" t="s">
        <v>52</v>
      </c>
      <c r="B133" s="491"/>
    </row>
    <row r="134" spans="1:2" ht="15" x14ac:dyDescent="0.25">
      <c r="A134" s="464" t="s">
        <v>54</v>
      </c>
      <c r="B134" s="491"/>
    </row>
    <row r="135" spans="1:2" ht="15" x14ac:dyDescent="0.25">
      <c r="A135" s="464" t="s">
        <v>55</v>
      </c>
      <c r="B135" s="491"/>
    </row>
    <row r="136" spans="1:2" ht="15" x14ac:dyDescent="0.25">
      <c r="A136" s="464" t="s">
        <v>468</v>
      </c>
      <c r="B136" s="491"/>
    </row>
    <row r="137" spans="1:2" ht="15" x14ac:dyDescent="0.25">
      <c r="A137" s="464" t="s">
        <v>789</v>
      </c>
      <c r="B137" s="491"/>
    </row>
    <row r="138" spans="1:2" ht="15" x14ac:dyDescent="0.25">
      <c r="A138" s="464" t="s">
        <v>790</v>
      </c>
      <c r="B138" s="491"/>
    </row>
    <row r="139" spans="1:2" ht="15" x14ac:dyDescent="0.25">
      <c r="A139" s="464" t="s">
        <v>577</v>
      </c>
      <c r="B139" s="491"/>
    </row>
    <row r="140" spans="1:2" ht="15" x14ac:dyDescent="0.25">
      <c r="A140" s="464" t="s">
        <v>389</v>
      </c>
      <c r="B140" s="491"/>
    </row>
    <row r="141" spans="1:2" ht="15" x14ac:dyDescent="0.25">
      <c r="A141" s="464" t="s">
        <v>791</v>
      </c>
      <c r="B141" s="491"/>
    </row>
    <row r="142" spans="1:2" ht="15" x14ac:dyDescent="0.25">
      <c r="A142" s="464" t="s">
        <v>792</v>
      </c>
      <c r="B142" s="491"/>
    </row>
    <row r="143" spans="1:2" ht="15" x14ac:dyDescent="0.25">
      <c r="A143" s="464" t="s">
        <v>793</v>
      </c>
      <c r="B143" s="491"/>
    </row>
    <row r="144" spans="1:2" ht="15" x14ac:dyDescent="0.25">
      <c r="A144" s="464" t="s">
        <v>794</v>
      </c>
      <c r="B144" s="491"/>
    </row>
    <row r="145" spans="1:2" ht="15" x14ac:dyDescent="0.25">
      <c r="A145" s="464" t="s">
        <v>56</v>
      </c>
      <c r="B145" s="491"/>
    </row>
    <row r="146" spans="1:2" ht="15" x14ac:dyDescent="0.25">
      <c r="A146" s="464" t="s">
        <v>57</v>
      </c>
      <c r="B146" s="491"/>
    </row>
    <row r="147" spans="1:2" ht="15" x14ac:dyDescent="0.25">
      <c r="A147" s="464" t="s">
        <v>59</v>
      </c>
      <c r="B147" s="491"/>
    </row>
    <row r="148" spans="1:2" ht="15" x14ac:dyDescent="0.25">
      <c r="A148" s="464" t="s">
        <v>60</v>
      </c>
      <c r="B148" s="491"/>
    </row>
    <row r="149" spans="1:2" ht="15" x14ac:dyDescent="0.25">
      <c r="A149" s="464" t="s">
        <v>273</v>
      </c>
      <c r="B149" s="491"/>
    </row>
    <row r="150" spans="1:2" ht="15" x14ac:dyDescent="0.25">
      <c r="A150" s="464" t="s">
        <v>246</v>
      </c>
      <c r="B150" s="491"/>
    </row>
    <row r="151" spans="1:2" ht="15" x14ac:dyDescent="0.25">
      <c r="A151" s="464" t="s">
        <v>61</v>
      </c>
      <c r="B151" s="491"/>
    </row>
    <row r="152" spans="1:2" ht="15" x14ac:dyDescent="0.25">
      <c r="A152" s="464" t="s">
        <v>274</v>
      </c>
      <c r="B152" s="491"/>
    </row>
    <row r="153" spans="1:2" ht="15" x14ac:dyDescent="0.25">
      <c r="A153" s="464" t="s">
        <v>149</v>
      </c>
      <c r="B153" s="491"/>
    </row>
    <row r="154" spans="1:2" ht="15" x14ac:dyDescent="0.25">
      <c r="A154" s="464" t="s">
        <v>1080</v>
      </c>
      <c r="B154" s="491"/>
    </row>
    <row r="155" spans="1:2" ht="15" x14ac:dyDescent="0.25">
      <c r="A155" s="464" t="s">
        <v>62</v>
      </c>
      <c r="B155" s="491"/>
    </row>
    <row r="156" spans="1:2" ht="15" x14ac:dyDescent="0.25">
      <c r="A156" s="464" t="s">
        <v>772</v>
      </c>
      <c r="B156" s="491"/>
    </row>
    <row r="157" spans="1:2" ht="15" x14ac:dyDescent="0.25">
      <c r="A157" s="464" t="s">
        <v>63</v>
      </c>
      <c r="B157" s="491"/>
    </row>
    <row r="158" spans="1:2" ht="15" x14ac:dyDescent="0.25">
      <c r="A158" s="464" t="s">
        <v>64</v>
      </c>
      <c r="B158" s="491"/>
    </row>
    <row r="159" spans="1:2" ht="15" x14ac:dyDescent="0.25">
      <c r="A159" s="464" t="s">
        <v>795</v>
      </c>
      <c r="B159" s="491"/>
    </row>
    <row r="160" spans="1:2" ht="15" x14ac:dyDescent="0.25">
      <c r="A160" s="464" t="s">
        <v>589</v>
      </c>
      <c r="B160" s="491"/>
    </row>
    <row r="161" spans="1:2" ht="15" x14ac:dyDescent="0.25">
      <c r="A161" s="464" t="s">
        <v>275</v>
      </c>
      <c r="B161" s="491"/>
    </row>
    <row r="162" spans="1:2" ht="15" x14ac:dyDescent="0.25">
      <c r="A162" s="464" t="s">
        <v>648</v>
      </c>
      <c r="B162" s="491"/>
    </row>
    <row r="163" spans="1:2" ht="15" x14ac:dyDescent="0.25">
      <c r="A163" s="464" t="s">
        <v>65</v>
      </c>
      <c r="B163" s="491"/>
    </row>
    <row r="164" spans="1:2" ht="15" x14ac:dyDescent="0.25">
      <c r="A164" s="464" t="s">
        <v>649</v>
      </c>
      <c r="B164" s="491"/>
    </row>
    <row r="165" spans="1:2" ht="15" x14ac:dyDescent="0.25">
      <c r="A165" s="464" t="s">
        <v>66</v>
      </c>
      <c r="B165" s="491"/>
    </row>
    <row r="166" spans="1:2" ht="15" x14ac:dyDescent="0.25">
      <c r="A166" s="464" t="s">
        <v>796</v>
      </c>
      <c r="B166" s="491"/>
    </row>
    <row r="167" spans="1:2" ht="15" x14ac:dyDescent="0.25">
      <c r="A167" s="464" t="s">
        <v>67</v>
      </c>
      <c r="B167" s="491"/>
    </row>
    <row r="168" spans="1:2" ht="15" x14ac:dyDescent="0.25">
      <c r="A168" s="464" t="s">
        <v>68</v>
      </c>
      <c r="B168" s="491"/>
    </row>
    <row r="169" spans="1:2" ht="15" x14ac:dyDescent="0.25">
      <c r="A169" s="464" t="s">
        <v>750</v>
      </c>
      <c r="B169" s="491"/>
    </row>
    <row r="170" spans="1:2" ht="15" x14ac:dyDescent="0.25">
      <c r="A170" s="464" t="s">
        <v>750</v>
      </c>
      <c r="B170" s="491"/>
    </row>
    <row r="171" spans="1:2" ht="15" x14ac:dyDescent="0.25">
      <c r="A171" s="464" t="s">
        <v>797</v>
      </c>
      <c r="B171" s="491"/>
    </row>
    <row r="172" spans="1:2" ht="15" x14ac:dyDescent="0.25">
      <c r="A172" s="464" t="s">
        <v>798</v>
      </c>
      <c r="B172" s="491"/>
    </row>
    <row r="173" spans="1:2" ht="15" x14ac:dyDescent="0.25">
      <c r="A173" s="464" t="s">
        <v>799</v>
      </c>
      <c r="B173" s="491"/>
    </row>
    <row r="174" spans="1:2" ht="15" x14ac:dyDescent="0.25">
      <c r="A174" s="464" t="s">
        <v>800</v>
      </c>
      <c r="B174" s="491"/>
    </row>
    <row r="175" spans="1:2" ht="15" x14ac:dyDescent="0.25">
      <c r="A175" s="464" t="s">
        <v>801</v>
      </c>
      <c r="B175" s="491"/>
    </row>
    <row r="176" spans="1:2" ht="15" x14ac:dyDescent="0.25">
      <c r="A176" s="464" t="s">
        <v>802</v>
      </c>
      <c r="B176" s="491"/>
    </row>
    <row r="177" spans="1:2" ht="15" x14ac:dyDescent="0.25">
      <c r="A177" s="464" t="s">
        <v>803</v>
      </c>
      <c r="B177" s="491"/>
    </row>
    <row r="178" spans="1:2" ht="15" x14ac:dyDescent="0.25">
      <c r="A178" s="464" t="s">
        <v>804</v>
      </c>
      <c r="B178" s="491"/>
    </row>
    <row r="179" spans="1:2" ht="15" x14ac:dyDescent="0.25">
      <c r="A179" s="464" t="s">
        <v>805</v>
      </c>
      <c r="B179" s="491"/>
    </row>
    <row r="180" spans="1:2" ht="15" x14ac:dyDescent="0.25">
      <c r="A180" s="464" t="s">
        <v>806</v>
      </c>
      <c r="B180" s="491"/>
    </row>
    <row r="181" spans="1:2" ht="15" x14ac:dyDescent="0.25">
      <c r="A181" s="464" t="s">
        <v>807</v>
      </c>
      <c r="B181" s="491"/>
    </row>
    <row r="182" spans="1:2" ht="15" x14ac:dyDescent="0.25">
      <c r="A182" s="464" t="s">
        <v>758</v>
      </c>
      <c r="B182" s="491"/>
    </row>
    <row r="183" spans="1:2" ht="15" x14ac:dyDescent="0.25">
      <c r="A183" s="464" t="s">
        <v>1077</v>
      </c>
      <c r="B183" s="491"/>
    </row>
    <row r="184" spans="1:2" ht="15" x14ac:dyDescent="0.25">
      <c r="A184" s="464" t="s">
        <v>69</v>
      </c>
      <c r="B184" s="491"/>
    </row>
    <row r="185" spans="1:2" ht="15" x14ac:dyDescent="0.25">
      <c r="A185" s="464" t="s">
        <v>70</v>
      </c>
      <c r="B185" s="491"/>
    </row>
    <row r="186" spans="1:2" ht="15" x14ac:dyDescent="0.25">
      <c r="A186" s="464" t="s">
        <v>808</v>
      </c>
      <c r="B186" s="491"/>
    </row>
    <row r="187" spans="1:2" ht="15" x14ac:dyDescent="0.25">
      <c r="A187" s="464" t="s">
        <v>809</v>
      </c>
      <c r="B187" s="491"/>
    </row>
    <row r="188" spans="1:2" ht="15" x14ac:dyDescent="0.25">
      <c r="A188" s="464" t="s">
        <v>71</v>
      </c>
      <c r="B188" s="491"/>
    </row>
    <row r="189" spans="1:2" ht="15" x14ac:dyDescent="0.25">
      <c r="A189" s="464" t="s">
        <v>72</v>
      </c>
      <c r="B189" s="491"/>
    </row>
    <row r="190" spans="1:2" ht="15" x14ac:dyDescent="0.25">
      <c r="A190" s="464" t="s">
        <v>276</v>
      </c>
      <c r="B190" s="491"/>
    </row>
    <row r="191" spans="1:2" ht="15" x14ac:dyDescent="0.25">
      <c r="A191" s="464" t="s">
        <v>810</v>
      </c>
      <c r="B191" s="491"/>
    </row>
    <row r="192" spans="1:2" ht="15" x14ac:dyDescent="0.25">
      <c r="A192" s="464" t="s">
        <v>73</v>
      </c>
      <c r="B192" s="491"/>
    </row>
    <row r="193" spans="1:2" ht="15" x14ac:dyDescent="0.25">
      <c r="A193" s="464" t="s">
        <v>277</v>
      </c>
      <c r="B193" s="491"/>
    </row>
    <row r="194" spans="1:2" ht="15" x14ac:dyDescent="0.25">
      <c r="A194" s="464" t="s">
        <v>74</v>
      </c>
      <c r="B194" s="491"/>
    </row>
    <row r="195" spans="1:2" ht="15" x14ac:dyDescent="0.25">
      <c r="A195" s="464" t="s">
        <v>75</v>
      </c>
      <c r="B195" s="491"/>
    </row>
    <row r="196" spans="1:2" ht="15" x14ac:dyDescent="0.25">
      <c r="A196" s="464" t="s">
        <v>76</v>
      </c>
      <c r="B196" s="491"/>
    </row>
    <row r="197" spans="1:2" ht="15" x14ac:dyDescent="0.25">
      <c r="A197" s="464" t="s">
        <v>811</v>
      </c>
      <c r="B197" s="491"/>
    </row>
    <row r="198" spans="1:2" ht="15" x14ac:dyDescent="0.25">
      <c r="A198" s="464" t="s">
        <v>77</v>
      </c>
      <c r="B198" s="491"/>
    </row>
    <row r="199" spans="1:2" ht="15" x14ac:dyDescent="0.25">
      <c r="A199" s="464" t="s">
        <v>78</v>
      </c>
      <c r="B199" s="491"/>
    </row>
    <row r="200" spans="1:2" ht="15" x14ac:dyDescent="0.25">
      <c r="A200" s="464" t="s">
        <v>79</v>
      </c>
      <c r="B200" s="491"/>
    </row>
    <row r="201" spans="1:2" ht="15" x14ac:dyDescent="0.25">
      <c r="A201" s="464" t="s">
        <v>80</v>
      </c>
      <c r="B201" s="491"/>
    </row>
    <row r="202" spans="1:2" ht="15" x14ac:dyDescent="0.25">
      <c r="A202" s="464" t="s">
        <v>769</v>
      </c>
      <c r="B202" s="491"/>
    </row>
    <row r="203" spans="1:2" ht="15" x14ac:dyDescent="0.25">
      <c r="A203" s="464" t="s">
        <v>81</v>
      </c>
      <c r="B203" s="491"/>
    </row>
    <row r="204" spans="1:2" ht="15" x14ac:dyDescent="0.25">
      <c r="A204" s="464" t="s">
        <v>812</v>
      </c>
      <c r="B204" s="491"/>
    </row>
    <row r="205" spans="1:2" ht="15" x14ac:dyDescent="0.25">
      <c r="A205" s="464" t="s">
        <v>278</v>
      </c>
      <c r="B205" s="491"/>
    </row>
    <row r="206" spans="1:2" ht="15" x14ac:dyDescent="0.25">
      <c r="A206" s="464" t="s">
        <v>813</v>
      </c>
      <c r="B206" s="491"/>
    </row>
    <row r="207" spans="1:2" ht="15" x14ac:dyDescent="0.25">
      <c r="A207" s="464" t="s">
        <v>279</v>
      </c>
      <c r="B207" s="491"/>
    </row>
    <row r="208" spans="1:2" ht="15" x14ac:dyDescent="0.25">
      <c r="A208" s="464" t="s">
        <v>280</v>
      </c>
      <c r="B208" s="491"/>
    </row>
    <row r="209" spans="1:2" ht="15" x14ac:dyDescent="0.25">
      <c r="A209" s="464" t="s">
        <v>770</v>
      </c>
      <c r="B209" s="491"/>
    </row>
    <row r="210" spans="1:2" ht="15" x14ac:dyDescent="0.25">
      <c r="A210" s="464" t="s">
        <v>814</v>
      </c>
      <c r="B210" s="491"/>
    </row>
    <row r="211" spans="1:2" ht="15" x14ac:dyDescent="0.25">
      <c r="A211" s="464" t="s">
        <v>82</v>
      </c>
      <c r="B211" s="491"/>
    </row>
    <row r="212" spans="1:2" ht="15" x14ac:dyDescent="0.25">
      <c r="A212" s="464" t="s">
        <v>1081</v>
      </c>
      <c r="B212" s="491"/>
    </row>
    <row r="213" spans="1:2" ht="15" x14ac:dyDescent="0.25">
      <c r="A213" s="464" t="s">
        <v>815</v>
      </c>
      <c r="B213" s="491"/>
    </row>
    <row r="214" spans="1:2" ht="15" x14ac:dyDescent="0.25">
      <c r="A214" s="464" t="s">
        <v>771</v>
      </c>
      <c r="B214" s="491"/>
    </row>
    <row r="215" spans="1:2" ht="15" x14ac:dyDescent="0.25">
      <c r="A215" s="464" t="s">
        <v>281</v>
      </c>
      <c r="B215" s="491"/>
    </row>
    <row r="216" spans="1:2" ht="15" x14ac:dyDescent="0.25">
      <c r="A216" s="464" t="s">
        <v>83</v>
      </c>
      <c r="B216" s="491"/>
    </row>
    <row r="217" spans="1:2" ht="15" x14ac:dyDescent="0.25">
      <c r="A217" s="464" t="s">
        <v>590</v>
      </c>
      <c r="B217" s="491"/>
    </row>
    <row r="218" spans="1:2" ht="15" x14ac:dyDescent="0.25">
      <c r="A218" s="464" t="s">
        <v>1090</v>
      </c>
      <c r="B218" s="491"/>
    </row>
    <row r="219" spans="1:2" ht="15" x14ac:dyDescent="0.25">
      <c r="A219" s="464" t="s">
        <v>84</v>
      </c>
      <c r="B219" s="491"/>
    </row>
    <row r="220" spans="1:2" ht="15" x14ac:dyDescent="0.25">
      <c r="A220" s="464" t="s">
        <v>591</v>
      </c>
      <c r="B220" s="491"/>
    </row>
    <row r="221" spans="1:2" ht="15" x14ac:dyDescent="0.25">
      <c r="A221" s="464" t="s">
        <v>85</v>
      </c>
      <c r="B221" s="491"/>
    </row>
    <row r="222" spans="1:2" ht="15" x14ac:dyDescent="0.25">
      <c r="A222" s="464" t="s">
        <v>650</v>
      </c>
      <c r="B222" s="491"/>
    </row>
    <row r="223" spans="1:2" ht="15" x14ac:dyDescent="0.25">
      <c r="A223" s="464" t="s">
        <v>651</v>
      </c>
      <c r="B223" s="491"/>
    </row>
    <row r="224" spans="1:2" ht="15" x14ac:dyDescent="0.25">
      <c r="A224" s="464" t="s">
        <v>86</v>
      </c>
      <c r="B224" s="491"/>
    </row>
    <row r="225" spans="1:2" ht="15" x14ac:dyDescent="0.25">
      <c r="A225" s="464" t="s">
        <v>816</v>
      </c>
      <c r="B225" s="491"/>
    </row>
    <row r="226" spans="1:2" ht="15" x14ac:dyDescent="0.25">
      <c r="A226" s="464" t="s">
        <v>87</v>
      </c>
      <c r="B226" s="491"/>
    </row>
    <row r="227" spans="1:2" ht="15" x14ac:dyDescent="0.25">
      <c r="A227" s="464" t="s">
        <v>817</v>
      </c>
      <c r="B227" s="491"/>
    </row>
    <row r="228" spans="1:2" ht="15" x14ac:dyDescent="0.25">
      <c r="A228" s="464" t="s">
        <v>818</v>
      </c>
      <c r="B228" s="491"/>
    </row>
    <row r="229" spans="1:2" ht="15" x14ac:dyDescent="0.25">
      <c r="A229" s="464" t="s">
        <v>652</v>
      </c>
      <c r="B229" s="491"/>
    </row>
    <row r="230" spans="1:2" ht="15" x14ac:dyDescent="0.25">
      <c r="A230" s="464" t="s">
        <v>1085</v>
      </c>
      <c r="B230" s="491"/>
    </row>
    <row r="231" spans="1:2" ht="15" x14ac:dyDescent="0.25">
      <c r="A231" s="464" t="s">
        <v>819</v>
      </c>
      <c r="B231" s="491"/>
    </row>
    <row r="232" spans="1:2" ht="15" x14ac:dyDescent="0.25">
      <c r="A232" s="464" t="s">
        <v>88</v>
      </c>
      <c r="B232" s="491"/>
    </row>
    <row r="233" spans="1:2" ht="15" x14ac:dyDescent="0.25">
      <c r="A233" s="464" t="s">
        <v>89</v>
      </c>
      <c r="B233" s="491"/>
    </row>
    <row r="234" spans="1:2" ht="15" x14ac:dyDescent="0.25">
      <c r="A234" s="464" t="s">
        <v>768</v>
      </c>
      <c r="B234" s="491"/>
    </row>
    <row r="235" spans="1:2" ht="15" x14ac:dyDescent="0.25">
      <c r="A235" s="464" t="s">
        <v>820</v>
      </c>
      <c r="B235" s="491"/>
    </row>
    <row r="236" spans="1:2" ht="15" x14ac:dyDescent="0.25">
      <c r="A236" s="464" t="s">
        <v>90</v>
      </c>
      <c r="B236" s="491"/>
    </row>
    <row r="237" spans="1:2" ht="15" x14ac:dyDescent="0.25">
      <c r="A237" s="464" t="s">
        <v>282</v>
      </c>
      <c r="B237" s="491"/>
    </row>
    <row r="238" spans="1:2" ht="15" x14ac:dyDescent="0.25">
      <c r="A238" s="464" t="s">
        <v>653</v>
      </c>
      <c r="B238" s="491"/>
    </row>
    <row r="239" spans="1:2" ht="15" x14ac:dyDescent="0.25">
      <c r="A239" s="464" t="s">
        <v>91</v>
      </c>
      <c r="B239" s="491"/>
    </row>
    <row r="240" spans="1:2" ht="15" x14ac:dyDescent="0.25">
      <c r="A240" s="464" t="s">
        <v>150</v>
      </c>
      <c r="B240" s="491"/>
    </row>
    <row r="241" spans="1:2" ht="15" x14ac:dyDescent="0.25">
      <c r="A241" s="464" t="s">
        <v>821</v>
      </c>
      <c r="B241" s="491"/>
    </row>
    <row r="242" spans="1:2" ht="15" x14ac:dyDescent="0.25">
      <c r="A242" s="464" t="s">
        <v>92</v>
      </c>
      <c r="B242" s="491"/>
    </row>
    <row r="243" spans="1:2" ht="15" x14ac:dyDescent="0.25">
      <c r="A243" s="464" t="s">
        <v>93</v>
      </c>
      <c r="B243" s="491"/>
    </row>
    <row r="244" spans="1:2" ht="15" x14ac:dyDescent="0.25">
      <c r="A244" s="464" t="s">
        <v>94</v>
      </c>
      <c r="B244" s="491"/>
    </row>
    <row r="245" spans="1:2" ht="15" x14ac:dyDescent="0.25">
      <c r="A245" s="464" t="s">
        <v>822</v>
      </c>
      <c r="B245" s="491"/>
    </row>
    <row r="246" spans="1:2" ht="15" x14ac:dyDescent="0.25">
      <c r="A246" s="464" t="s">
        <v>95</v>
      </c>
      <c r="B246" s="491"/>
    </row>
    <row r="247" spans="1:2" ht="15" x14ac:dyDescent="0.25">
      <c r="A247" s="464" t="s">
        <v>96</v>
      </c>
      <c r="B247" s="491"/>
    </row>
    <row r="248" spans="1:2" ht="15" x14ac:dyDescent="0.25">
      <c r="A248" s="464" t="s">
        <v>97</v>
      </c>
      <c r="B248" s="491"/>
    </row>
    <row r="249" spans="1:2" ht="15" x14ac:dyDescent="0.25">
      <c r="A249" s="464" t="s">
        <v>823</v>
      </c>
      <c r="B249" s="491"/>
    </row>
    <row r="250" spans="1:2" ht="15" x14ac:dyDescent="0.25">
      <c r="A250" s="464" t="s">
        <v>98</v>
      </c>
      <c r="B250" s="491"/>
    </row>
    <row r="251" spans="1:2" ht="15" x14ac:dyDescent="0.25">
      <c r="A251" s="464" t="s">
        <v>592</v>
      </c>
      <c r="B251" s="491"/>
    </row>
    <row r="252" spans="1:2" ht="15" x14ac:dyDescent="0.25">
      <c r="A252" s="464" t="s">
        <v>824</v>
      </c>
      <c r="B252" s="491"/>
    </row>
    <row r="253" spans="1:2" ht="15" x14ac:dyDescent="0.25">
      <c r="A253" s="464" t="s">
        <v>101</v>
      </c>
      <c r="B253" s="491"/>
    </row>
    <row r="254" spans="1:2" ht="15" x14ac:dyDescent="0.25">
      <c r="A254" s="464" t="s">
        <v>283</v>
      </c>
      <c r="B254" s="491"/>
    </row>
    <row r="255" spans="1:2" ht="15" x14ac:dyDescent="0.25">
      <c r="A255" s="464" t="s">
        <v>825</v>
      </c>
      <c r="B255" s="491"/>
    </row>
    <row r="256" spans="1:2" ht="15" x14ac:dyDescent="0.25">
      <c r="A256" s="464" t="s">
        <v>284</v>
      </c>
      <c r="B256" s="491"/>
    </row>
    <row r="257" spans="1:2" ht="15" x14ac:dyDescent="0.25">
      <c r="A257" s="464" t="s">
        <v>102</v>
      </c>
      <c r="B257" s="491"/>
    </row>
    <row r="258" spans="1:2" ht="15" x14ac:dyDescent="0.25">
      <c r="A258" s="464" t="s">
        <v>53</v>
      </c>
      <c r="B258" s="491"/>
    </row>
    <row r="259" spans="1:2" ht="15" x14ac:dyDescent="0.25">
      <c r="A259" s="464" t="s">
        <v>103</v>
      </c>
      <c r="B259" s="491"/>
    </row>
    <row r="260" spans="1:2" ht="15" x14ac:dyDescent="0.25">
      <c r="A260" s="464" t="s">
        <v>104</v>
      </c>
      <c r="B260" s="491"/>
    </row>
    <row r="261" spans="1:2" ht="15" x14ac:dyDescent="0.25">
      <c r="A261" s="464" t="s">
        <v>105</v>
      </c>
      <c r="B261" s="491"/>
    </row>
    <row r="262" spans="1:2" ht="15" x14ac:dyDescent="0.25">
      <c r="A262" s="464" t="s">
        <v>469</v>
      </c>
      <c r="B262" s="491"/>
    </row>
    <row r="263" spans="1:2" ht="15" x14ac:dyDescent="0.25">
      <c r="A263" s="464" t="s">
        <v>106</v>
      </c>
      <c r="B263" s="491"/>
    </row>
    <row r="264" spans="1:2" ht="15" x14ac:dyDescent="0.25">
      <c r="A264" s="464" t="s">
        <v>107</v>
      </c>
      <c r="B264" s="491"/>
    </row>
    <row r="265" spans="1:2" ht="15" x14ac:dyDescent="0.25">
      <c r="A265" s="464" t="s">
        <v>108</v>
      </c>
      <c r="B265" s="491"/>
    </row>
    <row r="266" spans="1:2" ht="15" x14ac:dyDescent="0.25">
      <c r="A266" s="464" t="s">
        <v>826</v>
      </c>
      <c r="B266" s="491"/>
    </row>
    <row r="267" spans="1:2" ht="15" x14ac:dyDescent="0.25">
      <c r="A267" s="464" t="s">
        <v>109</v>
      </c>
      <c r="B267" s="491"/>
    </row>
    <row r="268" spans="1:2" ht="15" x14ac:dyDescent="0.25">
      <c r="A268" s="464" t="s">
        <v>110</v>
      </c>
      <c r="B268" s="491"/>
    </row>
    <row r="269" spans="1:2" ht="15" x14ac:dyDescent="0.25">
      <c r="A269" s="464" t="s">
        <v>111</v>
      </c>
      <c r="B269" s="491"/>
    </row>
    <row r="270" spans="1:2" ht="15" x14ac:dyDescent="0.25">
      <c r="A270" s="464" t="s">
        <v>827</v>
      </c>
      <c r="B270" s="491"/>
    </row>
    <row r="271" spans="1:2" ht="15" x14ac:dyDescent="0.25">
      <c r="A271" s="464" t="s">
        <v>828</v>
      </c>
      <c r="B271" s="491"/>
    </row>
    <row r="272" spans="1:2" ht="15" x14ac:dyDescent="0.25">
      <c r="A272" s="464" t="s">
        <v>654</v>
      </c>
      <c r="B272" s="491"/>
    </row>
    <row r="273" spans="1:2" ht="15" x14ac:dyDescent="0.25">
      <c r="A273" s="464" t="s">
        <v>112</v>
      </c>
      <c r="B273" s="491"/>
    </row>
    <row r="274" spans="1:2" ht="15" x14ac:dyDescent="0.25">
      <c r="A274" s="464" t="s">
        <v>113</v>
      </c>
      <c r="B274" s="491"/>
    </row>
    <row r="275" spans="1:2" ht="15" x14ac:dyDescent="0.25">
      <c r="A275" s="464" t="s">
        <v>829</v>
      </c>
      <c r="B275" s="491"/>
    </row>
    <row r="276" spans="1:2" ht="15" x14ac:dyDescent="0.25">
      <c r="A276" s="464" t="s">
        <v>114</v>
      </c>
      <c r="B276" s="491"/>
    </row>
    <row r="277" spans="1:2" ht="15" x14ac:dyDescent="0.25">
      <c r="A277" s="464" t="s">
        <v>115</v>
      </c>
      <c r="B277" s="491"/>
    </row>
    <row r="278" spans="1:2" ht="15" x14ac:dyDescent="0.25">
      <c r="A278" s="464" t="s">
        <v>116</v>
      </c>
      <c r="B278" s="491"/>
    </row>
    <row r="279" spans="1:2" ht="15" x14ac:dyDescent="0.25">
      <c r="A279" s="464" t="s">
        <v>184</v>
      </c>
      <c r="B279" s="491"/>
    </row>
    <row r="280" spans="1:2" ht="15" x14ac:dyDescent="0.25">
      <c r="A280" s="464" t="s">
        <v>470</v>
      </c>
      <c r="B280" s="491"/>
    </row>
    <row r="281" spans="1:2" ht="15" x14ac:dyDescent="0.25">
      <c r="A281" s="464" t="s">
        <v>117</v>
      </c>
      <c r="B281" s="491"/>
    </row>
    <row r="282" spans="1:2" ht="15" x14ac:dyDescent="0.25">
      <c r="A282" s="464" t="s">
        <v>118</v>
      </c>
      <c r="B282" s="491"/>
    </row>
    <row r="283" spans="1:2" ht="15" x14ac:dyDescent="0.25">
      <c r="A283" s="464" t="s">
        <v>655</v>
      </c>
      <c r="B283" s="491"/>
    </row>
    <row r="284" spans="1:2" ht="15" x14ac:dyDescent="0.25">
      <c r="A284" s="464" t="s">
        <v>119</v>
      </c>
      <c r="B284" s="491"/>
    </row>
    <row r="285" spans="1:2" ht="15" x14ac:dyDescent="0.25">
      <c r="A285" s="464" t="s">
        <v>120</v>
      </c>
      <c r="B285" s="491"/>
    </row>
    <row r="286" spans="1:2" ht="15" x14ac:dyDescent="0.25">
      <c r="A286" s="464" t="s">
        <v>285</v>
      </c>
      <c r="B286" s="491"/>
    </row>
    <row r="287" spans="1:2" ht="15" x14ac:dyDescent="0.25">
      <c r="A287" s="464" t="s">
        <v>121</v>
      </c>
      <c r="B287" s="491"/>
    </row>
    <row r="288" spans="1:2" ht="15" x14ac:dyDescent="0.25">
      <c r="A288" s="464" t="s">
        <v>830</v>
      </c>
      <c r="B288" s="491"/>
    </row>
    <row r="289" spans="1:2" ht="15" x14ac:dyDescent="0.25">
      <c r="A289" s="464" t="s">
        <v>122</v>
      </c>
      <c r="B289" s="491"/>
    </row>
    <row r="290" spans="1:2" ht="15" x14ac:dyDescent="0.25">
      <c r="A290" s="464" t="s">
        <v>656</v>
      </c>
      <c r="B290" s="491"/>
    </row>
    <row r="291" spans="1:2" ht="15" x14ac:dyDescent="0.25">
      <c r="A291" s="464" t="s">
        <v>286</v>
      </c>
      <c r="B291" s="491"/>
    </row>
    <row r="292" spans="1:2" ht="15" x14ac:dyDescent="0.25">
      <c r="A292" s="464" t="s">
        <v>831</v>
      </c>
      <c r="B292" s="491"/>
    </row>
    <row r="293" spans="1:2" ht="15" x14ac:dyDescent="0.25">
      <c r="A293" s="464" t="s">
        <v>123</v>
      </c>
      <c r="B293" s="491"/>
    </row>
    <row r="294" spans="1:2" ht="15" x14ac:dyDescent="0.25">
      <c r="A294" s="464" t="s">
        <v>151</v>
      </c>
      <c r="B294" s="491"/>
    </row>
    <row r="295" spans="1:2" ht="15" x14ac:dyDescent="0.25">
      <c r="A295" s="464" t="s">
        <v>223</v>
      </c>
      <c r="B295" s="491"/>
    </row>
    <row r="296" spans="1:2" ht="15" x14ac:dyDescent="0.25">
      <c r="A296" s="464" t="s">
        <v>657</v>
      </c>
      <c r="B296" s="491"/>
    </row>
    <row r="297" spans="1:2" ht="15" x14ac:dyDescent="0.25">
      <c r="A297" s="464" t="s">
        <v>124</v>
      </c>
      <c r="B297" s="491"/>
    </row>
    <row r="298" spans="1:2" ht="15" x14ac:dyDescent="0.25">
      <c r="A298" s="464" t="s">
        <v>125</v>
      </c>
      <c r="B298" s="491"/>
    </row>
    <row r="299" spans="1:2" ht="15" x14ac:dyDescent="0.25">
      <c r="A299" s="464" t="s">
        <v>287</v>
      </c>
      <c r="B299" s="491"/>
    </row>
    <row r="300" spans="1:2" ht="15" x14ac:dyDescent="0.25">
      <c r="A300" s="464" t="s">
        <v>126</v>
      </c>
      <c r="B300" s="491"/>
    </row>
    <row r="301" spans="1:2" ht="15" x14ac:dyDescent="0.25">
      <c r="A301" s="464" t="s">
        <v>760</v>
      </c>
      <c r="B301" s="491"/>
    </row>
    <row r="302" spans="1:2" ht="15" x14ac:dyDescent="0.25">
      <c r="A302" s="464" t="s">
        <v>288</v>
      </c>
      <c r="B302" s="491"/>
    </row>
    <row r="303" spans="1:2" ht="15" x14ac:dyDescent="0.25">
      <c r="A303" s="464" t="s">
        <v>127</v>
      </c>
      <c r="B303" s="491"/>
    </row>
    <row r="304" spans="1:2" ht="15" x14ac:dyDescent="0.25">
      <c r="A304" s="464" t="s">
        <v>1092</v>
      </c>
      <c r="B304" s="491"/>
    </row>
    <row r="305" spans="1:2" ht="15" x14ac:dyDescent="0.25">
      <c r="A305" s="464" t="s">
        <v>128</v>
      </c>
      <c r="B305" s="491"/>
    </row>
    <row r="306" spans="1:2" ht="15" x14ac:dyDescent="0.25">
      <c r="A306" s="464" t="s">
        <v>129</v>
      </c>
      <c r="B306" s="491"/>
    </row>
    <row r="307" spans="1:2" ht="15" x14ac:dyDescent="0.25">
      <c r="A307" s="464" t="s">
        <v>130</v>
      </c>
      <c r="B307" s="491"/>
    </row>
    <row r="308" spans="1:2" ht="15" x14ac:dyDescent="0.25">
      <c r="A308" s="464" t="s">
        <v>131</v>
      </c>
      <c r="B308" s="491"/>
    </row>
    <row r="309" spans="1:2" ht="15" x14ac:dyDescent="0.25">
      <c r="A309" s="464" t="s">
        <v>832</v>
      </c>
      <c r="B309" s="491"/>
    </row>
    <row r="310" spans="1:2" ht="15" x14ac:dyDescent="0.25">
      <c r="A310" s="464" t="s">
        <v>132</v>
      </c>
      <c r="B310" s="491"/>
    </row>
    <row r="311" spans="1:2" ht="15" x14ac:dyDescent="0.25">
      <c r="A311" s="464" t="s">
        <v>133</v>
      </c>
      <c r="B311" s="491"/>
    </row>
    <row r="312" spans="1:2" ht="15" x14ac:dyDescent="0.25">
      <c r="A312" s="464" t="s">
        <v>134</v>
      </c>
      <c r="B312" s="491"/>
    </row>
    <row r="313" spans="1:2" ht="15" x14ac:dyDescent="0.25">
      <c r="A313" s="464" t="s">
        <v>833</v>
      </c>
      <c r="B313" s="491"/>
    </row>
    <row r="314" spans="1:2" ht="15" x14ac:dyDescent="0.25">
      <c r="A314" s="464" t="s">
        <v>135</v>
      </c>
      <c r="B314" s="491"/>
    </row>
    <row r="315" spans="1:2" ht="15" x14ac:dyDescent="0.25">
      <c r="A315" s="464" t="s">
        <v>834</v>
      </c>
      <c r="B315" s="491"/>
    </row>
    <row r="316" spans="1:2" ht="15" x14ac:dyDescent="0.25">
      <c r="A316" s="464" t="s">
        <v>136</v>
      </c>
      <c r="B316" s="491"/>
    </row>
    <row r="317" spans="1:2" ht="15" x14ac:dyDescent="0.25">
      <c r="A317" s="464" t="s">
        <v>1087</v>
      </c>
      <c r="B317" s="491"/>
    </row>
    <row r="318" spans="1:2" ht="15" x14ac:dyDescent="0.25">
      <c r="A318" s="464" t="s">
        <v>761</v>
      </c>
      <c r="B318" s="491"/>
    </row>
    <row r="319" spans="1:2" ht="15" x14ac:dyDescent="0.25">
      <c r="A319" s="464" t="s">
        <v>835</v>
      </c>
      <c r="B319" s="491"/>
    </row>
    <row r="320" spans="1:2" ht="15" x14ac:dyDescent="0.25">
      <c r="A320" s="464" t="s">
        <v>289</v>
      </c>
      <c r="B320" s="491"/>
    </row>
    <row r="321" spans="1:2" ht="15" x14ac:dyDescent="0.25">
      <c r="A321" s="464" t="s">
        <v>836</v>
      </c>
      <c r="B321" s="491"/>
    </row>
    <row r="322" spans="1:2" ht="15" x14ac:dyDescent="0.25">
      <c r="A322" s="464" t="s">
        <v>658</v>
      </c>
      <c r="B322" s="491"/>
    </row>
    <row r="323" spans="1:2" ht="15" x14ac:dyDescent="0.25">
      <c r="A323" s="464" t="s">
        <v>1094</v>
      </c>
      <c r="B323" s="491"/>
    </row>
    <row r="324" spans="1:2" ht="15" x14ac:dyDescent="0.25">
      <c r="A324" s="464" t="s">
        <v>290</v>
      </c>
      <c r="B324" s="491"/>
    </row>
    <row r="325" spans="1:2" ht="15" x14ac:dyDescent="0.25">
      <c r="A325" s="464" t="s">
        <v>837</v>
      </c>
      <c r="B325" s="491"/>
    </row>
    <row r="326" spans="1:2" ht="15" x14ac:dyDescent="0.25">
      <c r="A326" s="464" t="s">
        <v>137</v>
      </c>
      <c r="B326" s="491"/>
    </row>
    <row r="327" spans="1:2" ht="15" x14ac:dyDescent="0.25">
      <c r="A327" s="464" t="s">
        <v>138</v>
      </c>
      <c r="B327" s="491"/>
    </row>
    <row r="328" spans="1:2" ht="15" x14ac:dyDescent="0.25">
      <c r="A328" s="464" t="s">
        <v>140</v>
      </c>
      <c r="B328" s="491"/>
    </row>
    <row r="329" spans="1:2" ht="15" x14ac:dyDescent="0.25">
      <c r="A329" s="464" t="s">
        <v>471</v>
      </c>
      <c r="B329" s="491"/>
    </row>
    <row r="330" spans="1:2" ht="15" x14ac:dyDescent="0.25">
      <c r="A330" s="464" t="s">
        <v>659</v>
      </c>
      <c r="B330" s="491"/>
    </row>
    <row r="331" spans="1:2" ht="15" x14ac:dyDescent="0.25">
      <c r="A331" s="464" t="s">
        <v>838</v>
      </c>
      <c r="B331" s="491"/>
    </row>
    <row r="332" spans="1:2" ht="15" x14ac:dyDescent="0.25">
      <c r="A332" s="464" t="s">
        <v>839</v>
      </c>
      <c r="B332" s="491"/>
    </row>
    <row r="333" spans="1:2" ht="15" x14ac:dyDescent="0.25">
      <c r="A333" s="464" t="s">
        <v>141</v>
      </c>
      <c r="B333" s="491"/>
    </row>
    <row r="334" spans="1:2" ht="15" x14ac:dyDescent="0.25">
      <c r="A334" s="464" t="s">
        <v>754</v>
      </c>
      <c r="B334" s="491"/>
    </row>
    <row r="335" spans="1:2" ht="15" x14ac:dyDescent="0.25">
      <c r="A335" s="464" t="s">
        <v>1088</v>
      </c>
      <c r="B335" s="491"/>
    </row>
    <row r="336" spans="1:2" ht="15" x14ac:dyDescent="0.25">
      <c r="A336" s="464" t="s">
        <v>142</v>
      </c>
      <c r="B336" s="491"/>
    </row>
    <row r="337" spans="1:2" ht="15" x14ac:dyDescent="0.25">
      <c r="A337" s="464" t="s">
        <v>840</v>
      </c>
      <c r="B337" s="491"/>
    </row>
    <row r="338" spans="1:2" ht="15" x14ac:dyDescent="0.25">
      <c r="A338" s="464" t="s">
        <v>291</v>
      </c>
      <c r="B338" s="491"/>
    </row>
    <row r="339" spans="1:2" ht="15" x14ac:dyDescent="0.25">
      <c r="A339" s="464" t="s">
        <v>472</v>
      </c>
      <c r="B339" s="491"/>
    </row>
    <row r="340" spans="1:2" ht="15" x14ac:dyDescent="0.25">
      <c r="A340" s="464" t="s">
        <v>841</v>
      </c>
      <c r="B340" s="491"/>
    </row>
    <row r="341" spans="1:2" ht="15" x14ac:dyDescent="0.25">
      <c r="A341" s="464" t="s">
        <v>842</v>
      </c>
      <c r="B341" s="491"/>
    </row>
    <row r="342" spans="1:2" ht="15" x14ac:dyDescent="0.25">
      <c r="A342" s="464" t="s">
        <v>292</v>
      </c>
      <c r="B342" s="491"/>
    </row>
    <row r="343" spans="1:2" ht="15" x14ac:dyDescent="0.25">
      <c r="A343" s="464" t="s">
        <v>843</v>
      </c>
      <c r="B343" s="491"/>
    </row>
    <row r="344" spans="1:2" ht="15" x14ac:dyDescent="0.25">
      <c r="A344" s="464" t="s">
        <v>143</v>
      </c>
      <c r="B344" s="491"/>
    </row>
    <row r="345" spans="1:2" ht="15" x14ac:dyDescent="0.25">
      <c r="A345" s="464" t="s">
        <v>144</v>
      </c>
      <c r="B345" s="491"/>
    </row>
    <row r="346" spans="1:2" ht="15" x14ac:dyDescent="0.25">
      <c r="A346" s="464" t="s">
        <v>99</v>
      </c>
      <c r="B346" s="491"/>
    </row>
    <row r="347" spans="1:2" ht="15" x14ac:dyDescent="0.25">
      <c r="A347" s="464" t="s">
        <v>154</v>
      </c>
      <c r="B347" s="491"/>
    </row>
    <row r="348" spans="1:2" ht="15" x14ac:dyDescent="0.25">
      <c r="A348" s="464" t="s">
        <v>844</v>
      </c>
      <c r="B348" s="491"/>
    </row>
    <row r="349" spans="1:2" ht="15" x14ac:dyDescent="0.25">
      <c r="A349" s="464" t="s">
        <v>155</v>
      </c>
      <c r="B349" s="491"/>
    </row>
    <row r="350" spans="1:2" ht="15" x14ac:dyDescent="0.25">
      <c r="A350" s="464" t="s">
        <v>156</v>
      </c>
      <c r="B350" s="491"/>
    </row>
    <row r="351" spans="1:2" ht="15" x14ac:dyDescent="0.25">
      <c r="A351" s="464" t="s">
        <v>436</v>
      </c>
      <c r="B351" s="491"/>
    </row>
    <row r="352" spans="1:2" ht="15" x14ac:dyDescent="0.25">
      <c r="A352" s="464" t="s">
        <v>293</v>
      </c>
      <c r="B352" s="491"/>
    </row>
    <row r="353" spans="1:2" ht="15" x14ac:dyDescent="0.25">
      <c r="A353" s="464" t="s">
        <v>157</v>
      </c>
      <c r="B353" s="491"/>
    </row>
    <row r="354" spans="1:2" ht="15" x14ac:dyDescent="0.25">
      <c r="A354" s="464" t="s">
        <v>845</v>
      </c>
      <c r="B354" s="491"/>
    </row>
    <row r="355" spans="1:2" ht="15" x14ac:dyDescent="0.25">
      <c r="A355" s="464" t="s">
        <v>185</v>
      </c>
      <c r="B355" s="491"/>
    </row>
    <row r="356" spans="1:2" ht="15" x14ac:dyDescent="0.25">
      <c r="A356" s="464" t="s">
        <v>751</v>
      </c>
      <c r="B356" s="491"/>
    </row>
    <row r="357" spans="1:2" ht="15" x14ac:dyDescent="0.25">
      <c r="A357" s="464" t="s">
        <v>158</v>
      </c>
      <c r="B357" s="491"/>
    </row>
    <row r="358" spans="1:2" ht="15" x14ac:dyDescent="0.25">
      <c r="A358" s="464" t="s">
        <v>100</v>
      </c>
      <c r="B358" s="491"/>
    </row>
    <row r="359" spans="1:2" ht="15" x14ac:dyDescent="0.25">
      <c r="A359" s="464" t="s">
        <v>846</v>
      </c>
      <c r="B359" s="491"/>
    </row>
    <row r="360" spans="1:2" ht="15" x14ac:dyDescent="0.25">
      <c r="A360" s="464" t="s">
        <v>847</v>
      </c>
      <c r="B360" s="491"/>
    </row>
    <row r="361" spans="1:2" ht="15" x14ac:dyDescent="0.25">
      <c r="A361" s="464" t="s">
        <v>848</v>
      </c>
      <c r="B361" s="491"/>
    </row>
    <row r="362" spans="1:2" ht="15" x14ac:dyDescent="0.25">
      <c r="A362" s="464" t="s">
        <v>152</v>
      </c>
      <c r="B362" s="491"/>
    </row>
    <row r="363" spans="1:2" ht="15" x14ac:dyDescent="0.25">
      <c r="A363" s="464" t="s">
        <v>224</v>
      </c>
      <c r="B363" s="491"/>
    </row>
    <row r="364" spans="1:2" ht="15" x14ac:dyDescent="0.25">
      <c r="A364" s="464" t="s">
        <v>849</v>
      </c>
      <c r="B364" s="491"/>
    </row>
    <row r="365" spans="1:2" ht="15" x14ac:dyDescent="0.25">
      <c r="A365" s="464" t="s">
        <v>1086</v>
      </c>
      <c r="B365" s="491"/>
    </row>
    <row r="366" spans="1:2" ht="15" x14ac:dyDescent="0.25">
      <c r="A366" s="464" t="s">
        <v>159</v>
      </c>
      <c r="B366" s="491"/>
    </row>
    <row r="367" spans="1:2" ht="15" x14ac:dyDescent="0.25">
      <c r="A367" s="464" t="s">
        <v>160</v>
      </c>
      <c r="B367" s="491"/>
    </row>
    <row r="368" spans="1:2" ht="15" x14ac:dyDescent="0.25">
      <c r="A368" s="464" t="s">
        <v>850</v>
      </c>
      <c r="B368" s="491"/>
    </row>
    <row r="369" spans="1:2" ht="15" x14ac:dyDescent="0.25">
      <c r="A369" s="464" t="s">
        <v>294</v>
      </c>
      <c r="B369" s="491"/>
    </row>
    <row r="370" spans="1:2" ht="15" x14ac:dyDescent="0.25">
      <c r="A370" s="464" t="s">
        <v>851</v>
      </c>
      <c r="B370" s="491"/>
    </row>
    <row r="371" spans="1:2" ht="15" x14ac:dyDescent="0.25">
      <c r="A371" s="464" t="s">
        <v>363</v>
      </c>
      <c r="B371" s="491"/>
    </row>
    <row r="372" spans="1:2" ht="15" x14ac:dyDescent="0.25">
      <c r="A372" s="464" t="s">
        <v>473</v>
      </c>
      <c r="B372" s="491"/>
    </row>
    <row r="373" spans="1:2" ht="15" x14ac:dyDescent="0.25">
      <c r="A373" s="464" t="s">
        <v>766</v>
      </c>
      <c r="B373" s="491"/>
    </row>
    <row r="374" spans="1:2" ht="15" x14ac:dyDescent="0.25">
      <c r="A374" s="464" t="s">
        <v>161</v>
      </c>
      <c r="B374" s="491"/>
    </row>
    <row r="375" spans="1:2" ht="15" x14ac:dyDescent="0.25">
      <c r="A375" s="464" t="s">
        <v>660</v>
      </c>
      <c r="B375" s="491"/>
    </row>
    <row r="376" spans="1:2" ht="15" x14ac:dyDescent="0.25">
      <c r="A376" s="464" t="s">
        <v>661</v>
      </c>
      <c r="B376" s="491"/>
    </row>
    <row r="377" spans="1:2" ht="15" x14ac:dyDescent="0.25">
      <c r="A377" s="464" t="s">
        <v>852</v>
      </c>
      <c r="B377" s="491"/>
    </row>
    <row r="378" spans="1:2" ht="15" x14ac:dyDescent="0.25">
      <c r="A378" s="464" t="s">
        <v>747</v>
      </c>
      <c r="B378" s="491"/>
    </row>
    <row r="379" spans="1:2" ht="15" x14ac:dyDescent="0.25">
      <c r="A379" s="464" t="s">
        <v>162</v>
      </c>
      <c r="B379" s="491"/>
    </row>
    <row r="380" spans="1:2" ht="15" x14ac:dyDescent="0.25">
      <c r="A380" s="464" t="s">
        <v>163</v>
      </c>
      <c r="B380" s="491"/>
    </row>
    <row r="381" spans="1:2" ht="15" x14ac:dyDescent="0.25">
      <c r="A381" s="464" t="s">
        <v>662</v>
      </c>
      <c r="B381" s="491"/>
    </row>
    <row r="382" spans="1:2" ht="15" x14ac:dyDescent="0.25">
      <c r="A382" s="464" t="s">
        <v>295</v>
      </c>
      <c r="B382" s="491"/>
    </row>
    <row r="383" spans="1:2" ht="15" x14ac:dyDescent="0.25">
      <c r="A383" s="464" t="s">
        <v>474</v>
      </c>
      <c r="B383" s="491"/>
    </row>
    <row r="384" spans="1:2" ht="15" x14ac:dyDescent="0.25">
      <c r="A384" s="464" t="s">
        <v>475</v>
      </c>
      <c r="B384" s="491"/>
    </row>
    <row r="385" spans="1:2" ht="15" x14ac:dyDescent="0.25">
      <c r="A385" s="464" t="s">
        <v>186</v>
      </c>
      <c r="B385" s="491"/>
    </row>
    <row r="386" spans="1:2" ht="15" x14ac:dyDescent="0.25">
      <c r="A386" s="464" t="s">
        <v>663</v>
      </c>
      <c r="B386" s="491"/>
    </row>
    <row r="387" spans="1:2" ht="15" x14ac:dyDescent="0.25">
      <c r="A387" s="464" t="s">
        <v>853</v>
      </c>
      <c r="B387" s="491"/>
    </row>
    <row r="388" spans="1:2" ht="15" x14ac:dyDescent="0.25">
      <c r="A388" s="464" t="s">
        <v>164</v>
      </c>
      <c r="B388" s="491"/>
    </row>
    <row r="389" spans="1:2" ht="15" x14ac:dyDescent="0.25">
      <c r="A389" s="464" t="s">
        <v>854</v>
      </c>
      <c r="B389" s="491"/>
    </row>
    <row r="390" spans="1:2" ht="15" x14ac:dyDescent="0.25">
      <c r="A390" s="464" t="s">
        <v>139</v>
      </c>
      <c r="B390" s="491"/>
    </row>
    <row r="391" spans="1:2" ht="15" x14ac:dyDescent="0.25">
      <c r="A391" s="464" t="s">
        <v>58</v>
      </c>
      <c r="B391" s="491"/>
    </row>
    <row r="392" spans="1:2" ht="15" x14ac:dyDescent="0.25">
      <c r="A392" s="464" t="s">
        <v>762</v>
      </c>
      <c r="B392" s="491"/>
    </row>
    <row r="393" spans="1:2" ht="15" x14ac:dyDescent="0.25">
      <c r="A393" s="464" t="s">
        <v>296</v>
      </c>
      <c r="B393" s="491"/>
    </row>
    <row r="394" spans="1:2" ht="15" x14ac:dyDescent="0.25">
      <c r="A394" s="464" t="s">
        <v>297</v>
      </c>
      <c r="B394" s="491"/>
    </row>
    <row r="395" spans="1:2" ht="15" x14ac:dyDescent="0.25">
      <c r="A395" s="464" t="s">
        <v>165</v>
      </c>
      <c r="B395" s="491"/>
    </row>
    <row r="396" spans="1:2" ht="15" x14ac:dyDescent="0.25">
      <c r="A396" s="464" t="s">
        <v>855</v>
      </c>
      <c r="B396" s="491"/>
    </row>
    <row r="397" spans="1:2" ht="15" x14ac:dyDescent="0.25">
      <c r="A397" s="464" t="s">
        <v>856</v>
      </c>
      <c r="B397" s="491"/>
    </row>
    <row r="398" spans="1:2" ht="15" x14ac:dyDescent="0.25">
      <c r="A398" s="464" t="s">
        <v>166</v>
      </c>
      <c r="B398" s="491"/>
    </row>
    <row r="399" spans="1:2" ht="15" x14ac:dyDescent="0.25">
      <c r="A399" s="464" t="s">
        <v>755</v>
      </c>
      <c r="B399" s="491"/>
    </row>
    <row r="400" spans="1:2" ht="15" x14ac:dyDescent="0.25">
      <c r="A400" s="464" t="s">
        <v>167</v>
      </c>
      <c r="B400" s="491"/>
    </row>
    <row r="401" spans="1:2" ht="15" x14ac:dyDescent="0.25">
      <c r="A401" s="464" t="s">
        <v>610</v>
      </c>
      <c r="B401" s="491"/>
    </row>
    <row r="402" spans="1:2" ht="15" x14ac:dyDescent="0.25">
      <c r="A402" s="464" t="s">
        <v>857</v>
      </c>
      <c r="B402" s="491"/>
    </row>
    <row r="403" spans="1:2" ht="15" x14ac:dyDescent="0.25">
      <c r="A403" s="464" t="s">
        <v>858</v>
      </c>
      <c r="B403" s="491"/>
    </row>
    <row r="404" spans="1:2" ht="15" x14ac:dyDescent="0.25">
      <c r="A404" s="464" t="s">
        <v>168</v>
      </c>
      <c r="B404" s="491"/>
    </row>
    <row r="405" spans="1:2" ht="15" x14ac:dyDescent="0.25">
      <c r="A405" s="464" t="s">
        <v>169</v>
      </c>
      <c r="B405" s="491"/>
    </row>
    <row r="406" spans="1:2" ht="15" x14ac:dyDescent="0.25">
      <c r="A406" s="464" t="s">
        <v>859</v>
      </c>
      <c r="B406" s="491"/>
    </row>
    <row r="407" spans="1:2" ht="15" x14ac:dyDescent="0.25">
      <c r="A407" s="464" t="s">
        <v>860</v>
      </c>
      <c r="B407" s="491"/>
    </row>
    <row r="408" spans="1:2" ht="15" x14ac:dyDescent="0.25">
      <c r="A408" s="464" t="s">
        <v>170</v>
      </c>
      <c r="B408" s="491"/>
    </row>
    <row r="409" spans="1:2" ht="15" x14ac:dyDescent="0.25">
      <c r="A409" s="464" t="s">
        <v>171</v>
      </c>
      <c r="B409" s="491"/>
    </row>
    <row r="410" spans="1:2" ht="15" x14ac:dyDescent="0.25">
      <c r="A410" s="464" t="s">
        <v>861</v>
      </c>
      <c r="B410" s="491"/>
    </row>
    <row r="411" spans="1:2" ht="15" x14ac:dyDescent="0.25">
      <c r="A411" s="464" t="s">
        <v>862</v>
      </c>
      <c r="B411" s="491"/>
    </row>
    <row r="412" spans="1:2" ht="15" x14ac:dyDescent="0.25">
      <c r="A412" s="464" t="s">
        <v>172</v>
      </c>
      <c r="B412" s="491"/>
    </row>
    <row r="413" spans="1:2" ht="15" x14ac:dyDescent="0.25">
      <c r="A413" s="464" t="s">
        <v>863</v>
      </c>
      <c r="B413" s="491"/>
    </row>
    <row r="414" spans="1:2" ht="15" x14ac:dyDescent="0.25">
      <c r="A414" s="464" t="s">
        <v>173</v>
      </c>
      <c r="B414" s="491"/>
    </row>
    <row r="415" spans="1:2" ht="15" x14ac:dyDescent="0.25">
      <c r="A415" s="464" t="s">
        <v>864</v>
      </c>
      <c r="B415" s="491"/>
    </row>
    <row r="416" spans="1:2" ht="15" x14ac:dyDescent="0.25">
      <c r="A416" s="464" t="s">
        <v>865</v>
      </c>
      <c r="B416" s="491"/>
    </row>
    <row r="417" spans="1:2" ht="15" x14ac:dyDescent="0.25">
      <c r="A417" s="464" t="s">
        <v>174</v>
      </c>
      <c r="B417" s="491"/>
    </row>
    <row r="418" spans="1:2" ht="15" x14ac:dyDescent="0.25">
      <c r="A418" s="464" t="s">
        <v>866</v>
      </c>
      <c r="B418" s="491"/>
    </row>
    <row r="419" spans="1:2" ht="15" x14ac:dyDescent="0.25">
      <c r="A419" s="464" t="s">
        <v>175</v>
      </c>
      <c r="B419" s="491"/>
    </row>
    <row r="420" spans="1:2" ht="15" x14ac:dyDescent="0.25">
      <c r="A420" s="464" t="s">
        <v>176</v>
      </c>
      <c r="B420" s="491"/>
    </row>
    <row r="421" spans="1:2" ht="15" x14ac:dyDescent="0.25">
      <c r="A421" s="464" t="s">
        <v>177</v>
      </c>
      <c r="B421" s="491"/>
    </row>
    <row r="422" spans="1:2" ht="15" x14ac:dyDescent="0.25">
      <c r="A422" s="464" t="s">
        <v>178</v>
      </c>
      <c r="B422" s="491"/>
    </row>
    <row r="423" spans="1:2" ht="15" x14ac:dyDescent="0.25">
      <c r="A423" s="464" t="s">
        <v>188</v>
      </c>
      <c r="B423" s="491"/>
    </row>
    <row r="424" spans="1:2" ht="15" x14ac:dyDescent="0.25">
      <c r="A424" s="464" t="s">
        <v>189</v>
      </c>
      <c r="B424" s="491"/>
    </row>
    <row r="425" spans="1:2" ht="15" x14ac:dyDescent="0.25">
      <c r="A425" s="464" t="s">
        <v>190</v>
      </c>
      <c r="B425" s="491"/>
    </row>
    <row r="426" spans="1:2" ht="15" x14ac:dyDescent="0.25">
      <c r="A426" s="464" t="s">
        <v>867</v>
      </c>
      <c r="B426" s="491"/>
    </row>
    <row r="427" spans="1:2" ht="15" x14ac:dyDescent="0.25">
      <c r="A427" s="464" t="s">
        <v>191</v>
      </c>
      <c r="B427" s="491"/>
    </row>
    <row r="428" spans="1:2" ht="15" x14ac:dyDescent="0.25">
      <c r="A428" s="464" t="s">
        <v>868</v>
      </c>
      <c r="B428" s="491"/>
    </row>
    <row r="429" spans="1:2" ht="15" x14ac:dyDescent="0.25">
      <c r="A429" s="464" t="s">
        <v>869</v>
      </c>
      <c r="B429" s="491"/>
    </row>
    <row r="430" spans="1:2" ht="15" x14ac:dyDescent="0.25">
      <c r="A430" s="464" t="s">
        <v>870</v>
      </c>
      <c r="B430" s="491"/>
    </row>
    <row r="431" spans="1:2" ht="15" x14ac:dyDescent="0.25">
      <c r="A431" s="464" t="s">
        <v>871</v>
      </c>
      <c r="B431" s="491"/>
    </row>
    <row r="432" spans="1:2" ht="15" x14ac:dyDescent="0.25">
      <c r="A432" s="464" t="s">
        <v>192</v>
      </c>
      <c r="B432" s="491"/>
    </row>
    <row r="433" spans="1:2" ht="15" x14ac:dyDescent="0.25">
      <c r="A433" s="464" t="s">
        <v>193</v>
      </c>
      <c r="B433" s="491"/>
    </row>
    <row r="434" spans="1:2" ht="15" x14ac:dyDescent="0.25">
      <c r="A434" s="464" t="s">
        <v>872</v>
      </c>
      <c r="B434" s="491"/>
    </row>
    <row r="435" spans="1:2" ht="15" x14ac:dyDescent="0.25">
      <c r="A435" s="464" t="s">
        <v>873</v>
      </c>
      <c r="B435" s="491"/>
    </row>
    <row r="436" spans="1:2" ht="15" x14ac:dyDescent="0.25">
      <c r="A436" s="464" t="s">
        <v>874</v>
      </c>
      <c r="B436" s="491"/>
    </row>
    <row r="437" spans="1:2" ht="15" x14ac:dyDescent="0.25">
      <c r="A437" s="464" t="s">
        <v>875</v>
      </c>
      <c r="B437" s="491"/>
    </row>
    <row r="438" spans="1:2" ht="15" x14ac:dyDescent="0.25">
      <c r="A438" s="464" t="s">
        <v>876</v>
      </c>
      <c r="B438" s="491"/>
    </row>
    <row r="439" spans="1:2" ht="15" x14ac:dyDescent="0.25">
      <c r="A439" s="464" t="s">
        <v>877</v>
      </c>
      <c r="B439" s="491"/>
    </row>
    <row r="440" spans="1:2" ht="15" x14ac:dyDescent="0.25">
      <c r="A440" s="464" t="s">
        <v>878</v>
      </c>
      <c r="B440" s="491"/>
    </row>
    <row r="441" spans="1:2" ht="15" x14ac:dyDescent="0.25">
      <c r="A441" s="464" t="s">
        <v>879</v>
      </c>
      <c r="B441" s="491"/>
    </row>
    <row r="442" spans="1:2" ht="15" x14ac:dyDescent="0.25">
      <c r="A442" s="464" t="s">
        <v>880</v>
      </c>
      <c r="B442" s="491"/>
    </row>
    <row r="443" spans="1:2" ht="15" x14ac:dyDescent="0.25">
      <c r="A443" s="464" t="s">
        <v>194</v>
      </c>
      <c r="B443" s="491"/>
    </row>
    <row r="444" spans="1:2" ht="15" x14ac:dyDescent="0.25">
      <c r="A444" s="464" t="s">
        <v>881</v>
      </c>
      <c r="B444" s="491"/>
    </row>
    <row r="445" spans="1:2" ht="15" x14ac:dyDescent="0.25">
      <c r="A445" s="464" t="s">
        <v>882</v>
      </c>
      <c r="B445" s="491"/>
    </row>
    <row r="446" spans="1:2" ht="15" x14ac:dyDescent="0.25">
      <c r="A446" s="464" t="s">
        <v>883</v>
      </c>
      <c r="B446" s="491"/>
    </row>
    <row r="447" spans="1:2" ht="15" x14ac:dyDescent="0.25">
      <c r="A447" s="464" t="s">
        <v>195</v>
      </c>
      <c r="B447" s="491"/>
    </row>
    <row r="448" spans="1:2" ht="15" x14ac:dyDescent="0.25">
      <c r="A448" s="464" t="s">
        <v>884</v>
      </c>
      <c r="B448" s="491"/>
    </row>
    <row r="449" spans="1:2" ht="15" x14ac:dyDescent="0.25">
      <c r="A449" s="464" t="s">
        <v>196</v>
      </c>
      <c r="B449" s="491"/>
    </row>
    <row r="450" spans="1:2" ht="15" x14ac:dyDescent="0.25">
      <c r="A450" s="464" t="s">
        <v>197</v>
      </c>
      <c r="B450" s="491"/>
    </row>
    <row r="451" spans="1:2" ht="15" x14ac:dyDescent="0.25">
      <c r="A451" s="464" t="s">
        <v>885</v>
      </c>
      <c r="B451" s="491"/>
    </row>
    <row r="452" spans="1:2" ht="15" x14ac:dyDescent="0.25">
      <c r="A452" s="464" t="s">
        <v>886</v>
      </c>
      <c r="B452" s="491"/>
    </row>
    <row r="453" spans="1:2" ht="15" x14ac:dyDescent="0.25">
      <c r="A453" s="464" t="s">
        <v>198</v>
      </c>
      <c r="B453" s="491"/>
    </row>
    <row r="454" spans="1:2" ht="15" x14ac:dyDescent="0.25">
      <c r="A454" s="464" t="s">
        <v>199</v>
      </c>
      <c r="B454" s="491"/>
    </row>
    <row r="455" spans="1:2" ht="15" x14ac:dyDescent="0.25">
      <c r="A455" s="464" t="s">
        <v>887</v>
      </c>
      <c r="B455" s="491"/>
    </row>
    <row r="456" spans="1:2" ht="15" x14ac:dyDescent="0.25">
      <c r="A456" s="464" t="s">
        <v>888</v>
      </c>
      <c r="B456" s="491"/>
    </row>
    <row r="457" spans="1:2" ht="15" x14ac:dyDescent="0.25">
      <c r="A457" s="464" t="s">
        <v>889</v>
      </c>
      <c r="B457" s="491"/>
    </row>
    <row r="458" spans="1:2" ht="15" x14ac:dyDescent="0.25">
      <c r="A458" s="464" t="s">
        <v>890</v>
      </c>
      <c r="B458" s="491"/>
    </row>
    <row r="459" spans="1:2" ht="15" x14ac:dyDescent="0.25">
      <c r="A459" s="464" t="s">
        <v>891</v>
      </c>
      <c r="B459" s="491"/>
    </row>
    <row r="460" spans="1:2" ht="15" x14ac:dyDescent="0.25">
      <c r="A460" s="464" t="s">
        <v>892</v>
      </c>
      <c r="B460" s="491"/>
    </row>
    <row r="461" spans="1:2" ht="15" x14ac:dyDescent="0.25">
      <c r="A461" s="464" t="s">
        <v>893</v>
      </c>
      <c r="B461" s="491"/>
    </row>
    <row r="462" spans="1:2" ht="15" x14ac:dyDescent="0.25">
      <c r="A462" s="464" t="s">
        <v>894</v>
      </c>
      <c r="B462" s="491"/>
    </row>
    <row r="463" spans="1:2" ht="15" x14ac:dyDescent="0.25">
      <c r="A463" s="464" t="s">
        <v>895</v>
      </c>
      <c r="B463" s="491"/>
    </row>
    <row r="464" spans="1:2" ht="15" x14ac:dyDescent="0.25">
      <c r="A464" s="464" t="s">
        <v>896</v>
      </c>
      <c r="B464" s="491"/>
    </row>
    <row r="465" spans="1:2" ht="15" x14ac:dyDescent="0.25">
      <c r="A465" s="464" t="s">
        <v>897</v>
      </c>
      <c r="B465" s="491"/>
    </row>
    <row r="466" spans="1:2" ht="15" x14ac:dyDescent="0.25">
      <c r="A466" s="464" t="s">
        <v>200</v>
      </c>
      <c r="B466" s="491"/>
    </row>
    <row r="467" spans="1:2" ht="15" x14ac:dyDescent="0.25">
      <c r="A467" s="464" t="s">
        <v>201</v>
      </c>
      <c r="B467" s="491"/>
    </row>
    <row r="468" spans="1:2" ht="15" x14ac:dyDescent="0.25">
      <c r="A468" s="464" t="s">
        <v>898</v>
      </c>
      <c r="B468" s="491"/>
    </row>
    <row r="469" spans="1:2" ht="15" x14ac:dyDescent="0.25">
      <c r="A469" s="464" t="s">
        <v>899</v>
      </c>
      <c r="B469" s="491"/>
    </row>
    <row r="470" spans="1:2" ht="15" x14ac:dyDescent="0.25">
      <c r="A470" s="464" t="s">
        <v>900</v>
      </c>
      <c r="B470" s="491"/>
    </row>
    <row r="471" spans="1:2" ht="15" x14ac:dyDescent="0.25">
      <c r="A471" s="464" t="s">
        <v>202</v>
      </c>
      <c r="B471" s="491"/>
    </row>
    <row r="472" spans="1:2" ht="15" x14ac:dyDescent="0.25">
      <c r="A472" s="464" t="s">
        <v>901</v>
      </c>
      <c r="B472" s="491"/>
    </row>
    <row r="473" spans="1:2" ht="15" x14ac:dyDescent="0.25">
      <c r="A473" s="464" t="s">
        <v>203</v>
      </c>
      <c r="B473" s="491"/>
    </row>
    <row r="474" spans="1:2" ht="15" x14ac:dyDescent="0.25">
      <c r="A474" s="464" t="s">
        <v>204</v>
      </c>
      <c r="B474" s="491"/>
    </row>
    <row r="475" spans="1:2" ht="15" x14ac:dyDescent="0.25">
      <c r="A475" s="464" t="s">
        <v>205</v>
      </c>
      <c r="B475" s="491"/>
    </row>
    <row r="476" spans="1:2" ht="15" x14ac:dyDescent="0.25">
      <c r="A476" s="464" t="s">
        <v>902</v>
      </c>
      <c r="B476" s="491"/>
    </row>
    <row r="477" spans="1:2" ht="15" x14ac:dyDescent="0.25">
      <c r="A477" s="464" t="s">
        <v>207</v>
      </c>
      <c r="B477" s="491"/>
    </row>
    <row r="478" spans="1:2" ht="15" x14ac:dyDescent="0.25">
      <c r="A478" s="464" t="s">
        <v>208</v>
      </c>
      <c r="B478" s="491"/>
    </row>
    <row r="479" spans="1:2" ht="15" x14ac:dyDescent="0.25">
      <c r="A479" s="464" t="s">
        <v>209</v>
      </c>
      <c r="B479" s="491"/>
    </row>
    <row r="480" spans="1:2" ht="15" x14ac:dyDescent="0.25">
      <c r="A480" s="464" t="s">
        <v>903</v>
      </c>
      <c r="B480" s="491"/>
    </row>
    <row r="481" spans="1:2" ht="15" x14ac:dyDescent="0.25">
      <c r="A481" s="464" t="s">
        <v>210</v>
      </c>
      <c r="B481" s="491"/>
    </row>
    <row r="482" spans="1:2" ht="15" x14ac:dyDescent="0.25">
      <c r="A482" s="464" t="s">
        <v>211</v>
      </c>
      <c r="B482" s="491"/>
    </row>
    <row r="483" spans="1:2" ht="15" x14ac:dyDescent="0.25">
      <c r="A483" s="464" t="s">
        <v>904</v>
      </c>
      <c r="B483" s="491"/>
    </row>
    <row r="484" spans="1:2" ht="15" x14ac:dyDescent="0.25">
      <c r="A484" s="464" t="s">
        <v>905</v>
      </c>
      <c r="B484" s="491"/>
    </row>
    <row r="485" spans="1:2" ht="15" x14ac:dyDescent="0.25">
      <c r="A485" s="464" t="s">
        <v>906</v>
      </c>
      <c r="B485" s="491"/>
    </row>
    <row r="486" spans="1:2" ht="15" x14ac:dyDescent="0.25">
      <c r="A486" s="464" t="s">
        <v>907</v>
      </c>
      <c r="B486" s="491"/>
    </row>
    <row r="487" spans="1:2" ht="15" x14ac:dyDescent="0.25">
      <c r="A487" s="464" t="s">
        <v>908</v>
      </c>
      <c r="B487" s="491"/>
    </row>
    <row r="488" spans="1:2" ht="15" x14ac:dyDescent="0.25">
      <c r="A488" s="464" t="s">
        <v>909</v>
      </c>
      <c r="B488" s="491"/>
    </row>
    <row r="489" spans="1:2" ht="15" x14ac:dyDescent="0.25">
      <c r="A489" s="464" t="s">
        <v>910</v>
      </c>
      <c r="B489" s="491"/>
    </row>
    <row r="490" spans="1:2" ht="15" x14ac:dyDescent="0.25">
      <c r="A490" s="464" t="s">
        <v>911</v>
      </c>
      <c r="B490" s="491"/>
    </row>
    <row r="491" spans="1:2" ht="15" x14ac:dyDescent="0.25">
      <c r="A491" s="464" t="s">
        <v>912</v>
      </c>
      <c r="B491" s="491"/>
    </row>
    <row r="492" spans="1:2" ht="15" x14ac:dyDescent="0.25">
      <c r="A492" s="464" t="s">
        <v>913</v>
      </c>
      <c r="B492" s="491"/>
    </row>
    <row r="493" spans="1:2" ht="15" x14ac:dyDescent="0.25">
      <c r="A493" s="464" t="s">
        <v>914</v>
      </c>
      <c r="B493" s="491"/>
    </row>
    <row r="494" spans="1:2" ht="15" x14ac:dyDescent="0.25">
      <c r="A494" s="464" t="s">
        <v>212</v>
      </c>
      <c r="B494" s="491"/>
    </row>
    <row r="495" spans="1:2" ht="15" x14ac:dyDescent="0.25">
      <c r="A495" s="464" t="s">
        <v>915</v>
      </c>
      <c r="B495" s="491"/>
    </row>
    <row r="496" spans="1:2" ht="15" x14ac:dyDescent="0.25">
      <c r="A496" s="464" t="s">
        <v>213</v>
      </c>
      <c r="B496" s="491"/>
    </row>
    <row r="497" spans="1:2" ht="15" x14ac:dyDescent="0.25">
      <c r="A497" s="464" t="s">
        <v>916</v>
      </c>
      <c r="B497" s="491"/>
    </row>
    <row r="498" spans="1:2" ht="15" x14ac:dyDescent="0.25">
      <c r="A498" s="464" t="s">
        <v>214</v>
      </c>
      <c r="B498" s="491"/>
    </row>
    <row r="499" spans="1:2" ht="15" x14ac:dyDescent="0.25">
      <c r="A499" s="464" t="s">
        <v>215</v>
      </c>
      <c r="B499" s="491"/>
    </row>
    <row r="500" spans="1:2" ht="15" x14ac:dyDescent="0.25">
      <c r="A500" s="464" t="s">
        <v>216</v>
      </c>
      <c r="B500" s="491"/>
    </row>
    <row r="501" spans="1:2" ht="15" x14ac:dyDescent="0.25">
      <c r="A501" s="464" t="s">
        <v>217</v>
      </c>
      <c r="B501" s="491"/>
    </row>
    <row r="502" spans="1:2" ht="15" x14ac:dyDescent="0.25">
      <c r="A502" s="464" t="s">
        <v>218</v>
      </c>
      <c r="B502" s="491"/>
    </row>
    <row r="503" spans="1:2" ht="15" x14ac:dyDescent="0.25">
      <c r="A503" s="464" t="s">
        <v>917</v>
      </c>
      <c r="B503" s="491"/>
    </row>
    <row r="504" spans="1:2" ht="15" x14ac:dyDescent="0.25">
      <c r="A504" s="464" t="s">
        <v>918</v>
      </c>
      <c r="B504" s="491"/>
    </row>
    <row r="505" spans="1:2" ht="15" x14ac:dyDescent="0.25">
      <c r="A505" s="464" t="s">
        <v>919</v>
      </c>
      <c r="B505" s="491"/>
    </row>
    <row r="506" spans="1:2" ht="15" x14ac:dyDescent="0.25">
      <c r="A506" s="464" t="s">
        <v>219</v>
      </c>
      <c r="B506" s="491"/>
    </row>
    <row r="507" spans="1:2" ht="15" x14ac:dyDescent="0.25">
      <c r="A507" s="464" t="s">
        <v>920</v>
      </c>
      <c r="B507" s="491"/>
    </row>
    <row r="508" spans="1:2" ht="15" x14ac:dyDescent="0.25">
      <c r="A508" s="464" t="s">
        <v>921</v>
      </c>
      <c r="B508" s="491"/>
    </row>
    <row r="509" spans="1:2" ht="15" x14ac:dyDescent="0.25">
      <c r="A509" s="464" t="s">
        <v>922</v>
      </c>
      <c r="B509" s="491"/>
    </row>
    <row r="510" spans="1:2" ht="15" x14ac:dyDescent="0.25">
      <c r="A510" s="464" t="s">
        <v>923</v>
      </c>
      <c r="B510" s="491"/>
    </row>
    <row r="511" spans="1:2" ht="15" x14ac:dyDescent="0.25">
      <c r="A511" s="464" t="s">
        <v>924</v>
      </c>
      <c r="B511" s="491"/>
    </row>
    <row r="512" spans="1:2" ht="15" x14ac:dyDescent="0.25">
      <c r="A512" s="464" t="s">
        <v>925</v>
      </c>
      <c r="B512" s="491"/>
    </row>
    <row r="513" spans="1:2" ht="15" x14ac:dyDescent="0.25">
      <c r="A513" s="464" t="s">
        <v>220</v>
      </c>
      <c r="B513" s="491"/>
    </row>
    <row r="514" spans="1:2" ht="15" x14ac:dyDescent="0.25">
      <c r="A514" s="464" t="s">
        <v>926</v>
      </c>
      <c r="B514" s="491"/>
    </row>
    <row r="515" spans="1:2" ht="15" x14ac:dyDescent="0.25">
      <c r="A515" s="464" t="s">
        <v>927</v>
      </c>
      <c r="B515" s="491"/>
    </row>
    <row r="516" spans="1:2" ht="15" x14ac:dyDescent="0.25">
      <c r="A516" s="464" t="s">
        <v>225</v>
      </c>
      <c r="B516" s="491"/>
    </row>
    <row r="517" spans="1:2" ht="15" x14ac:dyDescent="0.25">
      <c r="A517" s="464" t="s">
        <v>226</v>
      </c>
      <c r="B517" s="491"/>
    </row>
    <row r="518" spans="1:2" ht="15" x14ac:dyDescent="0.25">
      <c r="A518" s="464" t="s">
        <v>227</v>
      </c>
      <c r="B518" s="491"/>
    </row>
    <row r="519" spans="1:2" ht="15" x14ac:dyDescent="0.25">
      <c r="A519" s="464" t="s">
        <v>928</v>
      </c>
      <c r="B519" s="491"/>
    </row>
    <row r="520" spans="1:2" ht="15" x14ac:dyDescent="0.25">
      <c r="A520" s="464" t="s">
        <v>929</v>
      </c>
      <c r="B520" s="491"/>
    </row>
    <row r="521" spans="1:2" ht="15" x14ac:dyDescent="0.25">
      <c r="A521" s="464" t="s">
        <v>228</v>
      </c>
      <c r="B521" s="491"/>
    </row>
    <row r="522" spans="1:2" ht="15" x14ac:dyDescent="0.25">
      <c r="A522" s="464" t="s">
        <v>930</v>
      </c>
      <c r="B522" s="491"/>
    </row>
    <row r="523" spans="1:2" ht="15" x14ac:dyDescent="0.25">
      <c r="A523" s="464" t="s">
        <v>229</v>
      </c>
      <c r="B523" s="491"/>
    </row>
    <row r="524" spans="1:2" ht="15" x14ac:dyDescent="0.25">
      <c r="A524" s="464" t="s">
        <v>931</v>
      </c>
      <c r="B524" s="491"/>
    </row>
    <row r="525" spans="1:2" ht="15" x14ac:dyDescent="0.25">
      <c r="A525" s="464" t="s">
        <v>932</v>
      </c>
      <c r="B525" s="491"/>
    </row>
    <row r="526" spans="1:2" ht="15" x14ac:dyDescent="0.25">
      <c r="A526" s="464" t="s">
        <v>933</v>
      </c>
      <c r="B526" s="491"/>
    </row>
    <row r="527" spans="1:2" ht="15" x14ac:dyDescent="0.25">
      <c r="A527" s="464" t="s">
        <v>230</v>
      </c>
      <c r="B527" s="491"/>
    </row>
    <row r="528" spans="1:2" ht="15" x14ac:dyDescent="0.25">
      <c r="A528" s="464" t="s">
        <v>934</v>
      </c>
      <c r="B528" s="491"/>
    </row>
    <row r="529" spans="1:2" ht="15" x14ac:dyDescent="0.25">
      <c r="A529" s="464" t="s">
        <v>935</v>
      </c>
      <c r="B529" s="491"/>
    </row>
    <row r="530" spans="1:2" ht="15" x14ac:dyDescent="0.25">
      <c r="A530" s="464" t="s">
        <v>231</v>
      </c>
      <c r="B530" s="491"/>
    </row>
    <row r="531" spans="1:2" ht="15" x14ac:dyDescent="0.25">
      <c r="A531" s="464" t="s">
        <v>232</v>
      </c>
      <c r="B531" s="491"/>
    </row>
    <row r="532" spans="1:2" ht="15" x14ac:dyDescent="0.25">
      <c r="A532" s="464" t="s">
        <v>936</v>
      </c>
      <c r="B532" s="491"/>
    </row>
    <row r="533" spans="1:2" ht="15" x14ac:dyDescent="0.25">
      <c r="A533" s="464" t="s">
        <v>233</v>
      </c>
      <c r="B533" s="491"/>
    </row>
    <row r="534" spans="1:2" ht="15" x14ac:dyDescent="0.25">
      <c r="A534" s="464" t="s">
        <v>234</v>
      </c>
      <c r="B534" s="491"/>
    </row>
    <row r="535" spans="1:2" ht="15" x14ac:dyDescent="0.25">
      <c r="A535" s="464" t="s">
        <v>937</v>
      </c>
      <c r="B535" s="491"/>
    </row>
    <row r="536" spans="1:2" ht="15" x14ac:dyDescent="0.25">
      <c r="A536" s="464" t="s">
        <v>235</v>
      </c>
      <c r="B536" s="491"/>
    </row>
    <row r="537" spans="1:2" ht="15" x14ac:dyDescent="0.25">
      <c r="A537" s="464" t="s">
        <v>938</v>
      </c>
      <c r="B537" s="491"/>
    </row>
    <row r="538" spans="1:2" ht="15" x14ac:dyDescent="0.25">
      <c r="A538" s="464" t="s">
        <v>236</v>
      </c>
      <c r="B538" s="491"/>
    </row>
    <row r="539" spans="1:2" ht="15" x14ac:dyDescent="0.25">
      <c r="A539" s="464" t="s">
        <v>939</v>
      </c>
      <c r="B539" s="491"/>
    </row>
    <row r="540" spans="1:2" ht="15" x14ac:dyDescent="0.25">
      <c r="A540" s="464" t="s">
        <v>940</v>
      </c>
      <c r="B540" s="491"/>
    </row>
    <row r="541" spans="1:2" ht="15" x14ac:dyDescent="0.25">
      <c r="A541" s="464" t="s">
        <v>941</v>
      </c>
      <c r="B541" s="491"/>
    </row>
    <row r="542" spans="1:2" ht="15" x14ac:dyDescent="0.25">
      <c r="A542" s="464" t="s">
        <v>237</v>
      </c>
      <c r="B542" s="491"/>
    </row>
    <row r="543" spans="1:2" ht="15" x14ac:dyDescent="0.25">
      <c r="A543" s="464" t="s">
        <v>942</v>
      </c>
      <c r="B543" s="491"/>
    </row>
    <row r="544" spans="1:2" ht="15" x14ac:dyDescent="0.25">
      <c r="A544" s="464" t="s">
        <v>943</v>
      </c>
      <c r="B544" s="491"/>
    </row>
    <row r="545" spans="1:2" ht="15" x14ac:dyDescent="0.25">
      <c r="A545" s="464" t="s">
        <v>944</v>
      </c>
      <c r="B545" s="491"/>
    </row>
    <row r="546" spans="1:2" ht="15" x14ac:dyDescent="0.25">
      <c r="A546" s="464" t="s">
        <v>945</v>
      </c>
      <c r="B546" s="491"/>
    </row>
    <row r="547" spans="1:2" ht="15" x14ac:dyDescent="0.25">
      <c r="A547" s="464" t="s">
        <v>241</v>
      </c>
      <c r="B547" s="491"/>
    </row>
    <row r="548" spans="1:2" ht="15" x14ac:dyDescent="0.25">
      <c r="A548" s="464" t="s">
        <v>946</v>
      </c>
      <c r="B548" s="491"/>
    </row>
    <row r="549" spans="1:2" ht="15" x14ac:dyDescent="0.25">
      <c r="A549" s="464" t="s">
        <v>947</v>
      </c>
      <c r="B549" s="491"/>
    </row>
    <row r="550" spans="1:2" ht="15" x14ac:dyDescent="0.25">
      <c r="A550" s="464" t="s">
        <v>948</v>
      </c>
      <c r="B550" s="491"/>
    </row>
    <row r="551" spans="1:2" ht="15" x14ac:dyDescent="0.25">
      <c r="A551" s="464" t="s">
        <v>242</v>
      </c>
      <c r="B551" s="491"/>
    </row>
    <row r="552" spans="1:2" ht="15" x14ac:dyDescent="0.25">
      <c r="A552" s="464" t="s">
        <v>949</v>
      </c>
      <c r="B552" s="491"/>
    </row>
    <row r="553" spans="1:2" ht="15" x14ac:dyDescent="0.25">
      <c r="A553" s="464" t="s">
        <v>243</v>
      </c>
      <c r="B553" s="491"/>
    </row>
    <row r="554" spans="1:2" ht="15" x14ac:dyDescent="0.25">
      <c r="A554" s="464" t="s">
        <v>950</v>
      </c>
      <c r="B554" s="491"/>
    </row>
    <row r="555" spans="1:2" ht="15" x14ac:dyDescent="0.25">
      <c r="A555" s="464" t="s">
        <v>244</v>
      </c>
      <c r="B555" s="491"/>
    </row>
    <row r="556" spans="1:2" ht="15" x14ac:dyDescent="0.25">
      <c r="A556" s="464" t="s">
        <v>951</v>
      </c>
      <c r="B556" s="491"/>
    </row>
    <row r="557" spans="1:2" ht="15" x14ac:dyDescent="0.25">
      <c r="A557" s="464" t="s">
        <v>952</v>
      </c>
      <c r="B557" s="491"/>
    </row>
    <row r="558" spans="1:2" ht="15" x14ac:dyDescent="0.25">
      <c r="A558" s="464" t="s">
        <v>953</v>
      </c>
      <c r="B558" s="491"/>
    </row>
    <row r="559" spans="1:2" ht="15" x14ac:dyDescent="0.25">
      <c r="A559" s="464" t="s">
        <v>954</v>
      </c>
      <c r="B559" s="491"/>
    </row>
    <row r="560" spans="1:2" ht="15" x14ac:dyDescent="0.25">
      <c r="A560" s="464" t="s">
        <v>955</v>
      </c>
      <c r="B560" s="491"/>
    </row>
    <row r="561" spans="1:2" ht="15" x14ac:dyDescent="0.25">
      <c r="A561" s="464" t="s">
        <v>956</v>
      </c>
      <c r="B561" s="491"/>
    </row>
    <row r="562" spans="1:2" ht="15" x14ac:dyDescent="0.25">
      <c r="A562" s="464" t="s">
        <v>957</v>
      </c>
      <c r="B562" s="491"/>
    </row>
    <row r="563" spans="1:2" ht="15" x14ac:dyDescent="0.25">
      <c r="A563" s="464" t="s">
        <v>958</v>
      </c>
      <c r="B563" s="491"/>
    </row>
    <row r="564" spans="1:2" ht="15" x14ac:dyDescent="0.25">
      <c r="A564" s="464" t="s">
        <v>245</v>
      </c>
      <c r="B564" s="491"/>
    </row>
    <row r="565" spans="1:2" ht="15" x14ac:dyDescent="0.25">
      <c r="A565" s="464" t="s">
        <v>959</v>
      </c>
      <c r="B565" s="491"/>
    </row>
    <row r="566" spans="1:2" ht="15" x14ac:dyDescent="0.25">
      <c r="A566" s="464" t="s">
        <v>960</v>
      </c>
      <c r="B566" s="491"/>
    </row>
    <row r="567" spans="1:2" ht="15" x14ac:dyDescent="0.25">
      <c r="A567" s="464" t="s">
        <v>961</v>
      </c>
      <c r="B567" s="491"/>
    </row>
    <row r="568" spans="1:2" ht="15" x14ac:dyDescent="0.25">
      <c r="A568" s="464" t="s">
        <v>962</v>
      </c>
      <c r="B568" s="491"/>
    </row>
    <row r="569" spans="1:2" ht="15" x14ac:dyDescent="0.25">
      <c r="A569" s="464" t="s">
        <v>963</v>
      </c>
      <c r="B569" s="491"/>
    </row>
    <row r="570" spans="1:2" ht="15" x14ac:dyDescent="0.25">
      <c r="A570" s="464" t="s">
        <v>964</v>
      </c>
      <c r="B570" s="491"/>
    </row>
    <row r="571" spans="1:2" ht="15" x14ac:dyDescent="0.25">
      <c r="A571" s="464" t="s">
        <v>247</v>
      </c>
      <c r="B571" s="491"/>
    </row>
    <row r="572" spans="1:2" ht="15" x14ac:dyDescent="0.25">
      <c r="A572" s="464" t="s">
        <v>248</v>
      </c>
      <c r="B572" s="491"/>
    </row>
    <row r="573" spans="1:2" ht="15" x14ac:dyDescent="0.25">
      <c r="A573" s="464" t="s">
        <v>249</v>
      </c>
      <c r="B573" s="491"/>
    </row>
    <row r="574" spans="1:2" ht="15" x14ac:dyDescent="0.25">
      <c r="A574" s="464" t="s">
        <v>250</v>
      </c>
      <c r="B574" s="491"/>
    </row>
    <row r="575" spans="1:2" ht="15" x14ac:dyDescent="0.25">
      <c r="A575" s="464" t="s">
        <v>251</v>
      </c>
      <c r="B575" s="491"/>
    </row>
    <row r="576" spans="1:2" ht="15" x14ac:dyDescent="0.25">
      <c r="A576" s="464" t="s">
        <v>252</v>
      </c>
      <c r="B576" s="491"/>
    </row>
    <row r="577" spans="1:2" ht="15" x14ac:dyDescent="0.25">
      <c r="A577" s="464" t="s">
        <v>253</v>
      </c>
      <c r="B577" s="491"/>
    </row>
    <row r="578" spans="1:2" ht="15" x14ac:dyDescent="0.25">
      <c r="A578" s="464" t="s">
        <v>965</v>
      </c>
      <c r="B578" s="491"/>
    </row>
    <row r="579" spans="1:2" ht="15" x14ac:dyDescent="0.25">
      <c r="A579" s="464" t="s">
        <v>966</v>
      </c>
      <c r="B579" s="491"/>
    </row>
    <row r="580" spans="1:2" ht="15" x14ac:dyDescent="0.25">
      <c r="A580" s="464" t="s">
        <v>967</v>
      </c>
      <c r="B580" s="491"/>
    </row>
    <row r="581" spans="1:2" ht="15" x14ac:dyDescent="0.25">
      <c r="A581" s="464" t="s">
        <v>968</v>
      </c>
      <c r="B581" s="491"/>
    </row>
    <row r="582" spans="1:2" ht="15" x14ac:dyDescent="0.25">
      <c r="A582" s="464" t="s">
        <v>969</v>
      </c>
      <c r="B582" s="491"/>
    </row>
    <row r="583" spans="1:2" ht="15" x14ac:dyDescent="0.25">
      <c r="A583" s="464" t="s">
        <v>970</v>
      </c>
      <c r="B583" s="491"/>
    </row>
    <row r="584" spans="1:2" ht="15" x14ac:dyDescent="0.25">
      <c r="A584" s="464" t="s">
        <v>971</v>
      </c>
      <c r="B584" s="491"/>
    </row>
    <row r="585" spans="1:2" ht="15" x14ac:dyDescent="0.25">
      <c r="A585" s="464" t="s">
        <v>254</v>
      </c>
      <c r="B585" s="491"/>
    </row>
    <row r="586" spans="1:2" ht="15" x14ac:dyDescent="0.25">
      <c r="A586" s="464" t="s">
        <v>972</v>
      </c>
      <c r="B586" s="491"/>
    </row>
    <row r="587" spans="1:2" ht="15" x14ac:dyDescent="0.25">
      <c r="A587" s="464" t="s">
        <v>255</v>
      </c>
      <c r="B587" s="491"/>
    </row>
    <row r="588" spans="1:2" ht="15" x14ac:dyDescent="0.25">
      <c r="A588" s="464" t="s">
        <v>973</v>
      </c>
      <c r="B588" s="491"/>
    </row>
    <row r="589" spans="1:2" ht="15" x14ac:dyDescent="0.25">
      <c r="A589" s="464" t="s">
        <v>256</v>
      </c>
      <c r="B589" s="491"/>
    </row>
    <row r="590" spans="1:2" ht="15" x14ac:dyDescent="0.25">
      <c r="A590" s="464" t="s">
        <v>257</v>
      </c>
      <c r="B590" s="491"/>
    </row>
    <row r="591" spans="1:2" ht="15" x14ac:dyDescent="0.25">
      <c r="A591" s="464" t="s">
        <v>974</v>
      </c>
      <c r="B591" s="491"/>
    </row>
    <row r="592" spans="1:2" ht="15" x14ac:dyDescent="0.25">
      <c r="A592" s="464" t="s">
        <v>325</v>
      </c>
      <c r="B592" s="491"/>
    </row>
    <row r="593" spans="1:2" ht="15" x14ac:dyDescent="0.25">
      <c r="A593" s="464" t="s">
        <v>975</v>
      </c>
      <c r="B593" s="491"/>
    </row>
    <row r="594" spans="1:2" ht="15" x14ac:dyDescent="0.25">
      <c r="A594" s="464" t="s">
        <v>258</v>
      </c>
      <c r="B594" s="491"/>
    </row>
    <row r="595" spans="1:2" ht="15" x14ac:dyDescent="0.25">
      <c r="A595" s="464" t="s">
        <v>976</v>
      </c>
      <c r="B595" s="491"/>
    </row>
    <row r="596" spans="1:2" ht="15" x14ac:dyDescent="0.25">
      <c r="A596" s="464" t="s">
        <v>977</v>
      </c>
      <c r="B596" s="491"/>
    </row>
    <row r="597" spans="1:2" ht="15" x14ac:dyDescent="0.25">
      <c r="A597" s="464" t="s">
        <v>259</v>
      </c>
      <c r="B597" s="491"/>
    </row>
    <row r="598" spans="1:2" ht="15" x14ac:dyDescent="0.25">
      <c r="A598" s="464" t="s">
        <v>260</v>
      </c>
      <c r="B598" s="491"/>
    </row>
    <row r="599" spans="1:2" ht="15" x14ac:dyDescent="0.25">
      <c r="A599" s="464" t="s">
        <v>978</v>
      </c>
      <c r="B599" s="491"/>
    </row>
    <row r="600" spans="1:2" ht="15" x14ac:dyDescent="0.25">
      <c r="A600" s="464" t="s">
        <v>261</v>
      </c>
      <c r="B600" s="491"/>
    </row>
    <row r="601" spans="1:2" ht="15" x14ac:dyDescent="0.25">
      <c r="A601" s="464" t="s">
        <v>979</v>
      </c>
      <c r="B601" s="491"/>
    </row>
    <row r="602" spans="1:2" ht="15" x14ac:dyDescent="0.25">
      <c r="A602" s="464" t="s">
        <v>262</v>
      </c>
      <c r="B602" s="491"/>
    </row>
    <row r="603" spans="1:2" ht="15" x14ac:dyDescent="0.25">
      <c r="A603" s="464" t="s">
        <v>263</v>
      </c>
      <c r="B603" s="491"/>
    </row>
    <row r="604" spans="1:2" ht="15" x14ac:dyDescent="0.25">
      <c r="A604" s="464" t="s">
        <v>264</v>
      </c>
      <c r="B604" s="491"/>
    </row>
    <row r="605" spans="1:2" ht="15" x14ac:dyDescent="0.25">
      <c r="A605" s="464" t="s">
        <v>265</v>
      </c>
      <c r="B605" s="491"/>
    </row>
    <row r="606" spans="1:2" ht="15" x14ac:dyDescent="0.25">
      <c r="A606" s="464" t="s">
        <v>980</v>
      </c>
      <c r="B606" s="491"/>
    </row>
    <row r="607" spans="1:2" ht="15" x14ac:dyDescent="0.25">
      <c r="A607" s="464" t="s">
        <v>306</v>
      </c>
      <c r="B607" s="491"/>
    </row>
    <row r="608" spans="1:2" ht="15" x14ac:dyDescent="0.25">
      <c r="A608" s="464" t="s">
        <v>307</v>
      </c>
      <c r="B608" s="491"/>
    </row>
    <row r="609" spans="1:2" ht="15" x14ac:dyDescent="0.25">
      <c r="A609" s="464" t="s">
        <v>981</v>
      </c>
      <c r="B609" s="491"/>
    </row>
    <row r="610" spans="1:2" ht="15" x14ac:dyDescent="0.25">
      <c r="A610" s="464" t="s">
        <v>308</v>
      </c>
      <c r="B610" s="491"/>
    </row>
    <row r="611" spans="1:2" ht="15" x14ac:dyDescent="0.25">
      <c r="A611" s="464" t="s">
        <v>982</v>
      </c>
      <c r="B611" s="491"/>
    </row>
    <row r="612" spans="1:2" ht="15" x14ac:dyDescent="0.25">
      <c r="A612" s="464" t="s">
        <v>309</v>
      </c>
      <c r="B612" s="491"/>
    </row>
    <row r="613" spans="1:2" ht="15" x14ac:dyDescent="0.25">
      <c r="A613" s="464" t="s">
        <v>983</v>
      </c>
      <c r="B613" s="491"/>
    </row>
    <row r="614" spans="1:2" ht="15" x14ac:dyDescent="0.25">
      <c r="A614" s="464" t="s">
        <v>310</v>
      </c>
      <c r="B614" s="491"/>
    </row>
    <row r="615" spans="1:2" ht="15" x14ac:dyDescent="0.25">
      <c r="A615" s="464" t="s">
        <v>984</v>
      </c>
      <c r="B615" s="491"/>
    </row>
    <row r="616" spans="1:2" ht="15" x14ac:dyDescent="0.25">
      <c r="A616" s="464" t="s">
        <v>311</v>
      </c>
      <c r="B616" s="491"/>
    </row>
    <row r="617" spans="1:2" ht="15" x14ac:dyDescent="0.25">
      <c r="A617" s="464" t="s">
        <v>312</v>
      </c>
      <c r="B617" s="491"/>
    </row>
    <row r="618" spans="1:2" ht="15" x14ac:dyDescent="0.25">
      <c r="A618" s="464" t="s">
        <v>313</v>
      </c>
      <c r="B618" s="491"/>
    </row>
    <row r="619" spans="1:2" ht="15" x14ac:dyDescent="0.25">
      <c r="A619" s="464" t="s">
        <v>314</v>
      </c>
      <c r="B619" s="491"/>
    </row>
    <row r="620" spans="1:2" ht="15" x14ac:dyDescent="0.25">
      <c r="A620" s="464" t="s">
        <v>315</v>
      </c>
      <c r="B620" s="491"/>
    </row>
    <row r="621" spans="1:2" ht="15" x14ac:dyDescent="0.25">
      <c r="A621" s="464" t="s">
        <v>316</v>
      </c>
      <c r="B621" s="491"/>
    </row>
    <row r="622" spans="1:2" ht="15" x14ac:dyDescent="0.25">
      <c r="A622" s="464" t="s">
        <v>985</v>
      </c>
      <c r="B622" s="491"/>
    </row>
    <row r="623" spans="1:2" ht="15" x14ac:dyDescent="0.25">
      <c r="A623" s="464" t="s">
        <v>986</v>
      </c>
      <c r="B623" s="491"/>
    </row>
    <row r="624" spans="1:2" ht="15" x14ac:dyDescent="0.25">
      <c r="A624" s="464" t="s">
        <v>317</v>
      </c>
      <c r="B624" s="491"/>
    </row>
    <row r="625" spans="1:2" ht="15" x14ac:dyDescent="0.25">
      <c r="A625" s="464" t="s">
        <v>987</v>
      </c>
      <c r="B625" s="491"/>
    </row>
    <row r="626" spans="1:2" ht="15" x14ac:dyDescent="0.25">
      <c r="A626" s="464" t="s">
        <v>318</v>
      </c>
      <c r="B626" s="491"/>
    </row>
    <row r="627" spans="1:2" ht="15" x14ac:dyDescent="0.25">
      <c r="A627" s="464" t="s">
        <v>988</v>
      </c>
      <c r="B627" s="491"/>
    </row>
    <row r="628" spans="1:2" ht="15" x14ac:dyDescent="0.25">
      <c r="A628" s="464" t="s">
        <v>989</v>
      </c>
      <c r="B628" s="491"/>
    </row>
    <row r="629" spans="1:2" ht="15" x14ac:dyDescent="0.25">
      <c r="A629" s="464" t="s">
        <v>990</v>
      </c>
      <c r="B629" s="491"/>
    </row>
    <row r="630" spans="1:2" ht="15" x14ac:dyDescent="0.25">
      <c r="A630" s="464" t="s">
        <v>319</v>
      </c>
      <c r="B630" s="491"/>
    </row>
    <row r="631" spans="1:2" ht="15" x14ac:dyDescent="0.25">
      <c r="A631" s="464" t="s">
        <v>1078</v>
      </c>
      <c r="B631" s="491"/>
    </row>
    <row r="632" spans="1:2" ht="15" x14ac:dyDescent="0.25">
      <c r="A632" s="464" t="s">
        <v>320</v>
      </c>
      <c r="B632" s="491"/>
    </row>
    <row r="633" spans="1:2" ht="15" x14ac:dyDescent="0.25">
      <c r="A633" s="464" t="s">
        <v>321</v>
      </c>
      <c r="B633" s="491"/>
    </row>
    <row r="634" spans="1:2" ht="15" x14ac:dyDescent="0.25">
      <c r="A634" s="464" t="s">
        <v>322</v>
      </c>
      <c r="B634" s="491"/>
    </row>
    <row r="635" spans="1:2" ht="15" x14ac:dyDescent="0.25">
      <c r="A635" s="464" t="s">
        <v>323</v>
      </c>
      <c r="B635" s="491"/>
    </row>
    <row r="636" spans="1:2" ht="15" x14ac:dyDescent="0.25">
      <c r="A636" s="464" t="s">
        <v>324</v>
      </c>
      <c r="B636" s="491"/>
    </row>
    <row r="637" spans="1:2" ht="15" x14ac:dyDescent="0.25">
      <c r="A637" s="464" t="s">
        <v>991</v>
      </c>
      <c r="B637" s="491"/>
    </row>
    <row r="638" spans="1:2" ht="15" x14ac:dyDescent="0.25">
      <c r="A638" s="464" t="s">
        <v>326</v>
      </c>
      <c r="B638" s="491"/>
    </row>
    <row r="639" spans="1:2" ht="15" x14ac:dyDescent="0.25">
      <c r="A639" s="464" t="s">
        <v>992</v>
      </c>
      <c r="B639" s="491"/>
    </row>
    <row r="640" spans="1:2" ht="15" x14ac:dyDescent="0.25">
      <c r="A640" s="464" t="s">
        <v>993</v>
      </c>
      <c r="B640" s="491"/>
    </row>
    <row r="641" spans="1:2" ht="15" x14ac:dyDescent="0.25">
      <c r="A641" s="464" t="s">
        <v>994</v>
      </c>
      <c r="B641" s="491"/>
    </row>
    <row r="642" spans="1:2" ht="15" x14ac:dyDescent="0.25">
      <c r="A642" s="464" t="s">
        <v>995</v>
      </c>
      <c r="B642" s="491"/>
    </row>
    <row r="643" spans="1:2" ht="15" x14ac:dyDescent="0.25">
      <c r="A643" s="464" t="s">
        <v>327</v>
      </c>
      <c r="B643" s="491"/>
    </row>
    <row r="644" spans="1:2" ht="15" x14ac:dyDescent="0.25">
      <c r="A644" s="464" t="s">
        <v>328</v>
      </c>
      <c r="B644" s="491"/>
    </row>
    <row r="645" spans="1:2" ht="15" x14ac:dyDescent="0.25">
      <c r="A645" s="464" t="s">
        <v>329</v>
      </c>
      <c r="B645" s="491"/>
    </row>
    <row r="646" spans="1:2" ht="15" x14ac:dyDescent="0.25">
      <c r="A646" s="464" t="s">
        <v>299</v>
      </c>
      <c r="B646" s="491"/>
    </row>
    <row r="647" spans="1:2" ht="15" x14ac:dyDescent="0.25">
      <c r="A647" s="464" t="s">
        <v>330</v>
      </c>
      <c r="B647" s="491"/>
    </row>
    <row r="648" spans="1:2" ht="15" x14ac:dyDescent="0.25">
      <c r="A648" s="464" t="s">
        <v>331</v>
      </c>
      <c r="B648" s="491"/>
    </row>
    <row r="649" spans="1:2" ht="15" x14ac:dyDescent="0.25">
      <c r="A649" s="464" t="s">
        <v>996</v>
      </c>
      <c r="B649" s="491"/>
    </row>
    <row r="650" spans="1:2" ht="15" x14ac:dyDescent="0.25">
      <c r="A650" s="464" t="s">
        <v>997</v>
      </c>
      <c r="B650" s="491"/>
    </row>
    <row r="651" spans="1:2" ht="15" x14ac:dyDescent="0.25">
      <c r="A651" s="464" t="s">
        <v>998</v>
      </c>
      <c r="B651" s="491"/>
    </row>
    <row r="652" spans="1:2" ht="15" x14ac:dyDescent="0.25">
      <c r="A652" s="464" t="s">
        <v>332</v>
      </c>
      <c r="B652" s="491"/>
    </row>
    <row r="653" spans="1:2" ht="15" x14ac:dyDescent="0.25">
      <c r="A653" s="464" t="s">
        <v>333</v>
      </c>
      <c r="B653" s="491"/>
    </row>
    <row r="654" spans="1:2" ht="15" x14ac:dyDescent="0.25">
      <c r="A654" s="464" t="s">
        <v>999</v>
      </c>
      <c r="B654" s="491"/>
    </row>
    <row r="655" spans="1:2" ht="15" x14ac:dyDescent="0.25">
      <c r="A655" s="464" t="s">
        <v>1000</v>
      </c>
      <c r="B655" s="491"/>
    </row>
    <row r="656" spans="1:2" ht="15" x14ac:dyDescent="0.25">
      <c r="A656" s="464" t="s">
        <v>335</v>
      </c>
      <c r="B656" s="491"/>
    </row>
    <row r="657" spans="1:2" ht="15" x14ac:dyDescent="0.25">
      <c r="A657" s="464" t="s">
        <v>1001</v>
      </c>
      <c r="B657" s="491"/>
    </row>
    <row r="658" spans="1:2" ht="15" x14ac:dyDescent="0.25">
      <c r="A658" s="464" t="s">
        <v>336</v>
      </c>
      <c r="B658" s="491"/>
    </row>
    <row r="659" spans="1:2" ht="15" x14ac:dyDescent="0.25">
      <c r="A659" s="464" t="s">
        <v>337</v>
      </c>
      <c r="B659" s="491"/>
    </row>
    <row r="660" spans="1:2" ht="15" x14ac:dyDescent="0.25">
      <c r="A660" s="464" t="s">
        <v>1002</v>
      </c>
      <c r="B660" s="491"/>
    </row>
    <row r="661" spans="1:2" ht="15" x14ac:dyDescent="0.25">
      <c r="A661" s="464" t="s">
        <v>1003</v>
      </c>
      <c r="B661" s="491"/>
    </row>
    <row r="662" spans="1:2" ht="15" x14ac:dyDescent="0.25">
      <c r="A662" s="464" t="s">
        <v>1004</v>
      </c>
      <c r="B662" s="491"/>
    </row>
    <row r="663" spans="1:2" ht="15" x14ac:dyDescent="0.25">
      <c r="A663" s="464" t="s">
        <v>1005</v>
      </c>
      <c r="B663" s="491"/>
    </row>
    <row r="664" spans="1:2" ht="15" x14ac:dyDescent="0.25">
      <c r="A664" s="464" t="s">
        <v>338</v>
      </c>
      <c r="B664" s="491"/>
    </row>
    <row r="665" spans="1:2" ht="15" x14ac:dyDescent="0.25">
      <c r="A665" s="464" t="s">
        <v>339</v>
      </c>
      <c r="B665" s="491"/>
    </row>
    <row r="666" spans="1:2" ht="15" x14ac:dyDescent="0.25">
      <c r="A666" s="464" t="s">
        <v>340</v>
      </c>
      <c r="B666" s="491"/>
    </row>
    <row r="667" spans="1:2" ht="15" x14ac:dyDescent="0.25">
      <c r="A667" s="464" t="s">
        <v>341</v>
      </c>
      <c r="B667" s="491"/>
    </row>
    <row r="668" spans="1:2" ht="15" x14ac:dyDescent="0.25">
      <c r="A668" s="464" t="s">
        <v>1006</v>
      </c>
      <c r="B668" s="491"/>
    </row>
    <row r="669" spans="1:2" ht="15" x14ac:dyDescent="0.25">
      <c r="A669" s="464" t="s">
        <v>1007</v>
      </c>
      <c r="B669" s="491"/>
    </row>
    <row r="670" spans="1:2" ht="15" x14ac:dyDescent="0.25">
      <c r="A670" s="464" t="s">
        <v>1008</v>
      </c>
      <c r="B670" s="491"/>
    </row>
    <row r="671" spans="1:2" ht="15" x14ac:dyDescent="0.25">
      <c r="A671" s="464" t="s">
        <v>342</v>
      </c>
      <c r="B671" s="491"/>
    </row>
    <row r="672" spans="1:2" ht="15" x14ac:dyDescent="0.25">
      <c r="A672" s="464" t="s">
        <v>1009</v>
      </c>
      <c r="B672" s="491"/>
    </row>
    <row r="673" spans="1:2" ht="15" x14ac:dyDescent="0.25">
      <c r="A673" s="464" t="s">
        <v>1010</v>
      </c>
      <c r="B673" s="491"/>
    </row>
    <row r="674" spans="1:2" ht="15" x14ac:dyDescent="0.25">
      <c r="A674" s="464" t="s">
        <v>1011</v>
      </c>
      <c r="B674" s="491"/>
    </row>
    <row r="675" spans="1:2" ht="15" x14ac:dyDescent="0.25">
      <c r="A675" s="464" t="s">
        <v>343</v>
      </c>
      <c r="B675" s="491"/>
    </row>
    <row r="676" spans="1:2" ht="15" x14ac:dyDescent="0.25">
      <c r="A676" s="464" t="s">
        <v>1012</v>
      </c>
      <c r="B676" s="491"/>
    </row>
    <row r="677" spans="1:2" ht="15" x14ac:dyDescent="0.25">
      <c r="A677" s="464" t="s">
        <v>1013</v>
      </c>
      <c r="B677" s="491"/>
    </row>
    <row r="678" spans="1:2" ht="15" x14ac:dyDescent="0.25">
      <c r="A678" s="464" t="s">
        <v>344</v>
      </c>
      <c r="B678" s="491"/>
    </row>
    <row r="679" spans="1:2" ht="15" x14ac:dyDescent="0.25">
      <c r="A679" s="464" t="s">
        <v>345</v>
      </c>
      <c r="B679" s="491"/>
    </row>
    <row r="680" spans="1:2" ht="15" x14ac:dyDescent="0.25">
      <c r="A680" s="464" t="s">
        <v>1014</v>
      </c>
      <c r="B680" s="491"/>
    </row>
    <row r="681" spans="1:2" ht="15" x14ac:dyDescent="0.25">
      <c r="A681" s="464" t="s">
        <v>346</v>
      </c>
      <c r="B681" s="491"/>
    </row>
    <row r="682" spans="1:2" ht="15" x14ac:dyDescent="0.25">
      <c r="A682" s="464" t="s">
        <v>347</v>
      </c>
      <c r="B682" s="491"/>
    </row>
    <row r="683" spans="1:2" ht="15" x14ac:dyDescent="0.25">
      <c r="A683" s="464" t="s">
        <v>348</v>
      </c>
      <c r="B683" s="491"/>
    </row>
    <row r="684" spans="1:2" ht="15" x14ac:dyDescent="0.25">
      <c r="A684" s="464" t="s">
        <v>349</v>
      </c>
      <c r="B684" s="491"/>
    </row>
    <row r="685" spans="1:2" ht="15" x14ac:dyDescent="0.25">
      <c r="A685" s="464" t="s">
        <v>350</v>
      </c>
      <c r="B685" s="491"/>
    </row>
    <row r="686" spans="1:2" ht="15" x14ac:dyDescent="0.25">
      <c r="A686" s="464" t="s">
        <v>351</v>
      </c>
      <c r="B686" s="491"/>
    </row>
    <row r="687" spans="1:2" ht="15" x14ac:dyDescent="0.25">
      <c r="A687" s="464" t="s">
        <v>352</v>
      </c>
      <c r="B687" s="491"/>
    </row>
    <row r="688" spans="1:2" ht="15" x14ac:dyDescent="0.25">
      <c r="A688" s="464" t="s">
        <v>353</v>
      </c>
      <c r="B688" s="491"/>
    </row>
    <row r="689" spans="1:2" ht="15" x14ac:dyDescent="0.25">
      <c r="A689" s="464" t="s">
        <v>354</v>
      </c>
      <c r="B689" s="491"/>
    </row>
    <row r="690" spans="1:2" ht="15" x14ac:dyDescent="0.25">
      <c r="A690" s="464" t="s">
        <v>1015</v>
      </c>
      <c r="B690" s="491"/>
    </row>
    <row r="691" spans="1:2" ht="15" x14ac:dyDescent="0.25">
      <c r="A691" s="464" t="s">
        <v>355</v>
      </c>
      <c r="B691" s="491"/>
    </row>
    <row r="692" spans="1:2" ht="15" x14ac:dyDescent="0.25">
      <c r="A692" s="464" t="s">
        <v>1016</v>
      </c>
      <c r="B692" s="491"/>
    </row>
    <row r="693" spans="1:2" ht="15" x14ac:dyDescent="0.25">
      <c r="A693" s="464" t="s">
        <v>356</v>
      </c>
      <c r="B693" s="491"/>
    </row>
    <row r="694" spans="1:2" ht="15" x14ac:dyDescent="0.25">
      <c r="A694" s="464" t="s">
        <v>357</v>
      </c>
      <c r="B694" s="491"/>
    </row>
    <row r="695" spans="1:2" ht="15" x14ac:dyDescent="0.25">
      <c r="A695" s="464" t="s">
        <v>1017</v>
      </c>
      <c r="B695" s="491"/>
    </row>
    <row r="696" spans="1:2" ht="15" x14ac:dyDescent="0.25">
      <c r="A696" s="464" t="s">
        <v>1018</v>
      </c>
      <c r="B696" s="491"/>
    </row>
    <row r="697" spans="1:2" ht="15" x14ac:dyDescent="0.25">
      <c r="A697" s="464" t="s">
        <v>1019</v>
      </c>
      <c r="B697" s="491"/>
    </row>
    <row r="698" spans="1:2" ht="15" x14ac:dyDescent="0.25">
      <c r="A698" s="464" t="s">
        <v>358</v>
      </c>
      <c r="B698" s="491"/>
    </row>
    <row r="699" spans="1:2" ht="15" x14ac:dyDescent="0.25">
      <c r="A699" s="464" t="s">
        <v>1020</v>
      </c>
      <c r="B699" s="491"/>
    </row>
    <row r="700" spans="1:2" ht="15" x14ac:dyDescent="0.25">
      <c r="A700" s="464" t="s">
        <v>1021</v>
      </c>
      <c r="B700" s="491"/>
    </row>
    <row r="701" spans="1:2" ht="15" x14ac:dyDescent="0.25">
      <c r="A701" s="464" t="s">
        <v>1022</v>
      </c>
      <c r="B701" s="491"/>
    </row>
    <row r="702" spans="1:2" ht="15" x14ac:dyDescent="0.25">
      <c r="A702" s="464" t="s">
        <v>1023</v>
      </c>
      <c r="B702" s="491"/>
    </row>
    <row r="703" spans="1:2" ht="15" x14ac:dyDescent="0.25">
      <c r="A703" s="464" t="s">
        <v>1024</v>
      </c>
      <c r="B703" s="491"/>
    </row>
    <row r="704" spans="1:2" ht="15" x14ac:dyDescent="0.25">
      <c r="A704" s="464" t="s">
        <v>359</v>
      </c>
      <c r="B704" s="491"/>
    </row>
    <row r="705" spans="1:2" ht="15" x14ac:dyDescent="0.25">
      <c r="A705" s="464" t="s">
        <v>1025</v>
      </c>
      <c r="B705" s="491"/>
    </row>
    <row r="706" spans="1:2" ht="15" x14ac:dyDescent="0.25">
      <c r="A706" s="464" t="s">
        <v>1026</v>
      </c>
      <c r="B706" s="491"/>
    </row>
    <row r="707" spans="1:2" ht="15" x14ac:dyDescent="0.25">
      <c r="A707" s="464" t="s">
        <v>1027</v>
      </c>
      <c r="B707" s="491"/>
    </row>
    <row r="708" spans="1:2" ht="15" x14ac:dyDescent="0.25">
      <c r="A708" s="464" t="s">
        <v>1028</v>
      </c>
      <c r="B708" s="491"/>
    </row>
    <row r="709" spans="1:2" ht="15" x14ac:dyDescent="0.25">
      <c r="A709" s="464" t="s">
        <v>360</v>
      </c>
      <c r="B709" s="491"/>
    </row>
    <row r="710" spans="1:2" ht="15" x14ac:dyDescent="0.25">
      <c r="A710" s="464" t="s">
        <v>1029</v>
      </c>
      <c r="B710" s="491"/>
    </row>
    <row r="711" spans="1:2" ht="15" x14ac:dyDescent="0.25">
      <c r="A711" s="464" t="s">
        <v>1030</v>
      </c>
      <c r="B711" s="491"/>
    </row>
    <row r="712" spans="1:2" ht="15" x14ac:dyDescent="0.25">
      <c r="A712" s="464" t="s">
        <v>1031</v>
      </c>
      <c r="B712" s="491"/>
    </row>
    <row r="713" spans="1:2" ht="15" x14ac:dyDescent="0.25">
      <c r="A713" s="464" t="s">
        <v>1032</v>
      </c>
      <c r="B713" s="491"/>
    </row>
    <row r="714" spans="1:2" ht="15" x14ac:dyDescent="0.25">
      <c r="A714" s="464" t="s">
        <v>361</v>
      </c>
      <c r="B714" s="491"/>
    </row>
    <row r="715" spans="1:2" ht="15" x14ac:dyDescent="0.25">
      <c r="A715" s="464" t="s">
        <v>362</v>
      </c>
      <c r="B715" s="491"/>
    </row>
    <row r="716" spans="1:2" ht="15" x14ac:dyDescent="0.25">
      <c r="A716" s="464" t="s">
        <v>1033</v>
      </c>
      <c r="B716" s="491"/>
    </row>
    <row r="717" spans="1:2" ht="15" x14ac:dyDescent="0.25">
      <c r="A717" s="464" t="s">
        <v>1083</v>
      </c>
      <c r="B717" s="491"/>
    </row>
    <row r="718" spans="1:2" ht="15" x14ac:dyDescent="0.25">
      <c r="A718" s="464" t="s">
        <v>364</v>
      </c>
      <c r="B718" s="491"/>
    </row>
    <row r="719" spans="1:2" ht="15" x14ac:dyDescent="0.25">
      <c r="A719" s="464" t="s">
        <v>365</v>
      </c>
      <c r="B719" s="491"/>
    </row>
    <row r="720" spans="1:2" ht="15" x14ac:dyDescent="0.25">
      <c r="A720" s="464" t="s">
        <v>1034</v>
      </c>
      <c r="B720" s="491"/>
    </row>
    <row r="721" spans="1:2" ht="15" x14ac:dyDescent="0.25">
      <c r="A721" s="464" t="s">
        <v>366</v>
      </c>
      <c r="B721" s="491"/>
    </row>
    <row r="722" spans="1:2" ht="15" x14ac:dyDescent="0.25">
      <c r="A722" s="464" t="s">
        <v>1035</v>
      </c>
      <c r="B722" s="491"/>
    </row>
    <row r="723" spans="1:2" ht="15" x14ac:dyDescent="0.25">
      <c r="A723" s="464" t="s">
        <v>1036</v>
      </c>
      <c r="B723" s="491"/>
    </row>
    <row r="724" spans="1:2" ht="15" x14ac:dyDescent="0.25">
      <c r="A724" s="464" t="s">
        <v>367</v>
      </c>
      <c r="B724" s="491"/>
    </row>
    <row r="725" spans="1:2" ht="15" x14ac:dyDescent="0.25">
      <c r="A725" s="464" t="s">
        <v>368</v>
      </c>
      <c r="B725" s="491"/>
    </row>
    <row r="726" spans="1:2" ht="15" x14ac:dyDescent="0.25">
      <c r="A726" s="464" t="s">
        <v>369</v>
      </c>
      <c r="B726" s="491"/>
    </row>
    <row r="727" spans="1:2" ht="15" x14ac:dyDescent="0.25">
      <c r="A727" s="464" t="s">
        <v>370</v>
      </c>
      <c r="B727" s="491"/>
    </row>
    <row r="728" spans="1:2" ht="15" x14ac:dyDescent="0.25">
      <c r="A728" s="464" t="s">
        <v>763</v>
      </c>
      <c r="B728" s="491"/>
    </row>
    <row r="729" spans="1:2" ht="15" x14ac:dyDescent="0.25">
      <c r="A729" s="464" t="s">
        <v>371</v>
      </c>
      <c r="B729" s="491"/>
    </row>
    <row r="730" spans="1:2" ht="15" x14ac:dyDescent="0.25">
      <c r="A730" s="464" t="s">
        <v>1037</v>
      </c>
      <c r="B730" s="491"/>
    </row>
    <row r="731" spans="1:2" ht="15" x14ac:dyDescent="0.25">
      <c r="A731" s="464" t="s">
        <v>1038</v>
      </c>
      <c r="B731" s="491"/>
    </row>
    <row r="732" spans="1:2" ht="15" x14ac:dyDescent="0.25">
      <c r="A732" s="464" t="s">
        <v>372</v>
      </c>
      <c r="B732" s="491"/>
    </row>
    <row r="733" spans="1:2" ht="15" x14ac:dyDescent="0.25">
      <c r="A733" s="464" t="s">
        <v>373</v>
      </c>
      <c r="B733" s="491"/>
    </row>
    <row r="734" spans="1:2" ht="15" x14ac:dyDescent="0.25">
      <c r="A734" s="464" t="s">
        <v>374</v>
      </c>
      <c r="B734" s="491"/>
    </row>
    <row r="735" spans="1:2" ht="15" x14ac:dyDescent="0.25">
      <c r="A735" s="464" t="s">
        <v>1039</v>
      </c>
      <c r="B735" s="491"/>
    </row>
    <row r="736" spans="1:2" ht="15" x14ac:dyDescent="0.25">
      <c r="A736" s="464" t="s">
        <v>1040</v>
      </c>
      <c r="B736" s="491"/>
    </row>
    <row r="737" spans="1:2" ht="15" x14ac:dyDescent="0.25">
      <c r="A737" s="464" t="s">
        <v>1041</v>
      </c>
      <c r="B737" s="491"/>
    </row>
    <row r="738" spans="1:2" ht="15" x14ac:dyDescent="0.25">
      <c r="A738" s="464" t="s">
        <v>1042</v>
      </c>
      <c r="B738" s="491"/>
    </row>
    <row r="739" spans="1:2" ht="15" x14ac:dyDescent="0.25">
      <c r="A739" s="464" t="s">
        <v>1043</v>
      </c>
      <c r="B739" s="491"/>
    </row>
    <row r="740" spans="1:2" ht="15" x14ac:dyDescent="0.25">
      <c r="A740" s="464" t="s">
        <v>375</v>
      </c>
      <c r="B740" s="491"/>
    </row>
    <row r="741" spans="1:2" ht="15" x14ac:dyDescent="0.25">
      <c r="A741" s="464" t="s">
        <v>1044</v>
      </c>
      <c r="B741" s="491"/>
    </row>
    <row r="742" spans="1:2" ht="15" x14ac:dyDescent="0.25">
      <c r="A742" s="464" t="s">
        <v>376</v>
      </c>
      <c r="B742" s="491"/>
    </row>
    <row r="743" spans="1:2" ht="15" x14ac:dyDescent="0.25">
      <c r="A743" s="464" t="s">
        <v>377</v>
      </c>
      <c r="B743" s="491"/>
    </row>
    <row r="744" spans="1:2" ht="15" x14ac:dyDescent="0.25">
      <c r="A744" s="464" t="s">
        <v>378</v>
      </c>
      <c r="B744" s="491"/>
    </row>
    <row r="745" spans="1:2" ht="15" x14ac:dyDescent="0.25">
      <c r="A745" s="464" t="s">
        <v>379</v>
      </c>
      <c r="B745" s="491"/>
    </row>
    <row r="746" spans="1:2" ht="15" x14ac:dyDescent="0.25">
      <c r="A746" s="464" t="s">
        <v>1045</v>
      </c>
      <c r="B746" s="491"/>
    </row>
    <row r="747" spans="1:2" ht="15" x14ac:dyDescent="0.25">
      <c r="A747" s="464" t="s">
        <v>1046</v>
      </c>
      <c r="B747" s="491"/>
    </row>
    <row r="748" spans="1:2" ht="15" x14ac:dyDescent="0.25">
      <c r="A748" s="464" t="s">
        <v>380</v>
      </c>
      <c r="B748" s="491"/>
    </row>
    <row r="749" spans="1:2" ht="15" x14ac:dyDescent="0.25">
      <c r="A749" s="464" t="s">
        <v>1047</v>
      </c>
      <c r="B749" s="491"/>
    </row>
    <row r="750" spans="1:2" ht="15" x14ac:dyDescent="0.25">
      <c r="A750" s="464" t="s">
        <v>298</v>
      </c>
      <c r="B750" s="491"/>
    </row>
    <row r="751" spans="1:2" ht="15" x14ac:dyDescent="0.25">
      <c r="A751" s="464" t="s">
        <v>187</v>
      </c>
      <c r="B751" s="491"/>
    </row>
    <row r="752" spans="1:2" ht="15" x14ac:dyDescent="0.25">
      <c r="A752" s="464" t="s">
        <v>381</v>
      </c>
      <c r="B752" s="491"/>
    </row>
    <row r="753" spans="1:2" ht="15" x14ac:dyDescent="0.25">
      <c r="A753" s="464" t="s">
        <v>300</v>
      </c>
      <c r="B753" s="491"/>
    </row>
    <row r="754" spans="1:2" ht="15" x14ac:dyDescent="0.25">
      <c r="A754" s="464" t="s">
        <v>1048</v>
      </c>
      <c r="B754" s="491"/>
    </row>
    <row r="755" spans="1:2" ht="15" x14ac:dyDescent="0.25">
      <c r="A755" s="464" t="s">
        <v>700</v>
      </c>
      <c r="B755" s="491"/>
    </row>
    <row r="756" spans="1:2" ht="15" x14ac:dyDescent="0.25">
      <c r="A756" s="464" t="s">
        <v>673</v>
      </c>
      <c r="B756" s="491"/>
    </row>
    <row r="757" spans="1:2" ht="15" x14ac:dyDescent="0.25">
      <c r="A757" s="464" t="s">
        <v>382</v>
      </c>
      <c r="B757" s="491"/>
    </row>
    <row r="758" spans="1:2" ht="15" x14ac:dyDescent="0.25">
      <c r="A758" s="464" t="s">
        <v>153</v>
      </c>
      <c r="B758" s="491"/>
    </row>
    <row r="759" spans="1:2" ht="15" x14ac:dyDescent="0.25">
      <c r="A759" s="464" t="s">
        <v>222</v>
      </c>
      <c r="B759" s="491"/>
    </row>
    <row r="760" spans="1:2" ht="15" x14ac:dyDescent="0.25">
      <c r="A760" s="464" t="s">
        <v>759</v>
      </c>
      <c r="B760" s="491"/>
    </row>
    <row r="761" spans="1:2" ht="15" x14ac:dyDescent="0.25">
      <c r="A761" s="464" t="s">
        <v>206</v>
      </c>
      <c r="B761" s="491"/>
    </row>
    <row r="762" spans="1:2" ht="15" x14ac:dyDescent="0.25">
      <c r="A762" s="464" t="s">
        <v>301</v>
      </c>
      <c r="B762" s="491"/>
    </row>
    <row r="763" spans="1:2" ht="15" x14ac:dyDescent="0.25">
      <c r="A763" s="464" t="s">
        <v>756</v>
      </c>
      <c r="B763" s="491"/>
    </row>
    <row r="764" spans="1:2" ht="15" x14ac:dyDescent="0.25">
      <c r="A764" s="464" t="s">
        <v>1049</v>
      </c>
      <c r="B764" s="491"/>
    </row>
    <row r="765" spans="1:2" ht="15" x14ac:dyDescent="0.25">
      <c r="A765" s="464" t="s">
        <v>1050</v>
      </c>
      <c r="B765" s="491"/>
    </row>
    <row r="766" spans="1:2" ht="15" x14ac:dyDescent="0.25">
      <c r="A766" s="464" t="s">
        <v>1051</v>
      </c>
      <c r="B766" s="491"/>
    </row>
    <row r="767" spans="1:2" ht="15" x14ac:dyDescent="0.25">
      <c r="A767" s="464" t="s">
        <v>1052</v>
      </c>
      <c r="B767" s="491"/>
    </row>
    <row r="768" spans="1:2" ht="15" x14ac:dyDescent="0.25">
      <c r="A768" s="464" t="s">
        <v>383</v>
      </c>
      <c r="B768" s="491"/>
    </row>
    <row r="769" spans="1:2" ht="15" x14ac:dyDescent="0.25">
      <c r="A769" s="464" t="s">
        <v>179</v>
      </c>
      <c r="B769" s="491"/>
    </row>
    <row r="770" spans="1:2" ht="15" x14ac:dyDescent="0.25">
      <c r="A770" s="464" t="s">
        <v>384</v>
      </c>
      <c r="B770" s="491"/>
    </row>
    <row r="771" spans="1:2" ht="15" x14ac:dyDescent="0.25">
      <c r="A771" s="464" t="s">
        <v>385</v>
      </c>
      <c r="B771" s="491"/>
    </row>
    <row r="772" spans="1:2" ht="15" x14ac:dyDescent="0.25">
      <c r="A772" s="464" t="s">
        <v>386</v>
      </c>
      <c r="B772" s="491"/>
    </row>
    <row r="773" spans="1:2" ht="15" x14ac:dyDescent="0.25">
      <c r="A773" s="464" t="s">
        <v>387</v>
      </c>
      <c r="B773" s="491"/>
    </row>
    <row r="774" spans="1:2" ht="15" x14ac:dyDescent="0.25">
      <c r="A774" s="464" t="s">
        <v>388</v>
      </c>
      <c r="B774" s="491"/>
    </row>
    <row r="775" spans="1:2" ht="15" x14ac:dyDescent="0.25">
      <c r="A775" s="464" t="s">
        <v>1053</v>
      </c>
      <c r="B775" s="491"/>
    </row>
    <row r="776" spans="1:2" ht="15" x14ac:dyDescent="0.25">
      <c r="A776" s="464" t="s">
        <v>1054</v>
      </c>
      <c r="B776" s="491"/>
    </row>
    <row r="777" spans="1:2" ht="15" x14ac:dyDescent="0.25">
      <c r="A777" s="464" t="s">
        <v>390</v>
      </c>
      <c r="B777" s="491"/>
    </row>
    <row r="778" spans="1:2" ht="15" x14ac:dyDescent="0.25">
      <c r="A778" s="464" t="s">
        <v>664</v>
      </c>
      <c r="B778" s="491"/>
    </row>
    <row r="779" spans="1:2" ht="15" x14ac:dyDescent="0.25">
      <c r="A779" s="464" t="s">
        <v>767</v>
      </c>
      <c r="B779" s="491"/>
    </row>
    <row r="780" spans="1:2" ht="15" x14ac:dyDescent="0.25">
      <c r="A780" s="464" t="s">
        <v>773</v>
      </c>
      <c r="B780" s="491"/>
    </row>
    <row r="781" spans="1:2" ht="15" x14ac:dyDescent="0.25">
      <c r="A781" s="464" t="s">
        <v>1055</v>
      </c>
      <c r="B781" s="491"/>
    </row>
    <row r="782" spans="1:2" ht="15" x14ac:dyDescent="0.25">
      <c r="A782" s="464" t="s">
        <v>1056</v>
      </c>
      <c r="B782" s="491"/>
    </row>
    <row r="783" spans="1:2" ht="15" x14ac:dyDescent="0.25">
      <c r="A783" s="464" t="s">
        <v>1057</v>
      </c>
      <c r="B783" s="491"/>
    </row>
    <row r="784" spans="1:2" ht="15" x14ac:dyDescent="0.25">
      <c r="A784" s="464" t="s">
        <v>302</v>
      </c>
      <c r="B784" s="491"/>
    </row>
    <row r="785" spans="1:2" ht="15" x14ac:dyDescent="0.25">
      <c r="A785" s="464" t="s">
        <v>391</v>
      </c>
      <c r="B785" s="491"/>
    </row>
    <row r="786" spans="1:2" ht="15" x14ac:dyDescent="0.25">
      <c r="A786" s="464" t="s">
        <v>392</v>
      </c>
      <c r="B786" s="491"/>
    </row>
    <row r="787" spans="1:2" ht="15" x14ac:dyDescent="0.25">
      <c r="A787" s="464" t="s">
        <v>1058</v>
      </c>
      <c r="B787" s="491"/>
    </row>
    <row r="788" spans="1:2" ht="15" x14ac:dyDescent="0.25">
      <c r="A788" s="464" t="s">
        <v>1059</v>
      </c>
      <c r="B788" s="491"/>
    </row>
    <row r="789" spans="1:2" ht="15" x14ac:dyDescent="0.25">
      <c r="A789" s="464" t="s">
        <v>393</v>
      </c>
      <c r="B789" s="491"/>
    </row>
    <row r="790" spans="1:2" ht="15" x14ac:dyDescent="0.25">
      <c r="A790" s="464" t="s">
        <v>1060</v>
      </c>
      <c r="B790" s="491"/>
    </row>
    <row r="791" spans="1:2" ht="15" x14ac:dyDescent="0.25">
      <c r="A791" s="464" t="s">
        <v>1061</v>
      </c>
      <c r="B791" s="491"/>
    </row>
    <row r="792" spans="1:2" ht="15" x14ac:dyDescent="0.25">
      <c r="A792" s="464" t="s">
        <v>665</v>
      </c>
      <c r="B792" s="491"/>
    </row>
    <row r="793" spans="1:2" ht="15" x14ac:dyDescent="0.25">
      <c r="A793" s="464" t="s">
        <v>476</v>
      </c>
      <c r="B793" s="491"/>
    </row>
    <row r="794" spans="1:2" ht="15" x14ac:dyDescent="0.25">
      <c r="A794" s="464" t="s">
        <v>394</v>
      </c>
      <c r="B794" s="491"/>
    </row>
    <row r="795" spans="1:2" ht="15" x14ac:dyDescent="0.25">
      <c r="A795" s="464" t="s">
        <v>1062</v>
      </c>
      <c r="B795" s="491"/>
    </row>
    <row r="796" spans="1:2" ht="15" x14ac:dyDescent="0.25">
      <c r="A796" s="464" t="s">
        <v>1063</v>
      </c>
      <c r="B796" s="491"/>
    </row>
    <row r="797" spans="1:2" ht="15" x14ac:dyDescent="0.25">
      <c r="A797" s="464" t="s">
        <v>395</v>
      </c>
      <c r="B797" s="491"/>
    </row>
    <row r="798" spans="1:2" ht="15" x14ac:dyDescent="0.25">
      <c r="A798" s="464" t="s">
        <v>396</v>
      </c>
      <c r="B798" s="491"/>
    </row>
    <row r="799" spans="1:2" ht="15" x14ac:dyDescent="0.25">
      <c r="A799" s="464" t="s">
        <v>397</v>
      </c>
      <c r="B799" s="491"/>
    </row>
    <row r="800" spans="1:2" ht="15" x14ac:dyDescent="0.25">
      <c r="A800" s="464" t="s">
        <v>752</v>
      </c>
      <c r="B800" s="491"/>
    </row>
    <row r="801" spans="1:2" ht="15" x14ac:dyDescent="0.25">
      <c r="A801" s="464" t="s">
        <v>752</v>
      </c>
      <c r="B801" s="491"/>
    </row>
    <row r="802" spans="1:2" ht="15" x14ac:dyDescent="0.25">
      <c r="A802" s="464" t="s">
        <v>1064</v>
      </c>
      <c r="B802" s="491"/>
    </row>
    <row r="803" spans="1:2" ht="15" x14ac:dyDescent="0.25">
      <c r="A803" s="464" t="s">
        <v>398</v>
      </c>
      <c r="B803" s="491"/>
    </row>
    <row r="804" spans="1:2" ht="15" x14ac:dyDescent="0.25">
      <c r="A804" s="464" t="s">
        <v>399</v>
      </c>
      <c r="B804" s="491"/>
    </row>
    <row r="805" spans="1:2" ht="15" x14ac:dyDescent="0.25">
      <c r="A805" s="464" t="s">
        <v>400</v>
      </c>
      <c r="B805" s="491"/>
    </row>
    <row r="806" spans="1:2" ht="15" x14ac:dyDescent="0.25">
      <c r="A806" s="464" t="s">
        <v>1065</v>
      </c>
      <c r="B806" s="491"/>
    </row>
    <row r="807" spans="1:2" ht="15" x14ac:dyDescent="0.25">
      <c r="A807" s="464" t="s">
        <v>401</v>
      </c>
      <c r="B807" s="491"/>
    </row>
    <row r="808" spans="1:2" ht="15" x14ac:dyDescent="0.25">
      <c r="A808" s="464" t="s">
        <v>402</v>
      </c>
      <c r="B808" s="491"/>
    </row>
    <row r="809" spans="1:2" ht="15" x14ac:dyDescent="0.25">
      <c r="A809" s="464" t="s">
        <v>303</v>
      </c>
      <c r="B809" s="491"/>
    </row>
    <row r="810" spans="1:2" ht="15" x14ac:dyDescent="0.25">
      <c r="A810" s="464" t="s">
        <v>1066</v>
      </c>
      <c r="B810" s="491"/>
    </row>
    <row r="811" spans="1:2" ht="15" x14ac:dyDescent="0.25">
      <c r="A811" s="464" t="s">
        <v>304</v>
      </c>
      <c r="B811" s="491"/>
    </row>
    <row r="812" spans="1:2" ht="15" x14ac:dyDescent="0.25">
      <c r="A812" s="464" t="s">
        <v>403</v>
      </c>
      <c r="B812" s="491"/>
    </row>
    <row r="813" spans="1:2" ht="15" x14ac:dyDescent="0.25">
      <c r="A813" s="464" t="s">
        <v>1093</v>
      </c>
      <c r="B813" s="491"/>
    </row>
    <row r="814" spans="1:2" ht="15" x14ac:dyDescent="0.25">
      <c r="A814" s="464" t="s">
        <v>404</v>
      </c>
      <c r="B814" s="491"/>
    </row>
    <row r="815" spans="1:2" ht="15" x14ac:dyDescent="0.25">
      <c r="A815" s="464" t="s">
        <v>1072</v>
      </c>
      <c r="B815" s="491"/>
    </row>
    <row r="816" spans="1:2" ht="15" x14ac:dyDescent="0.25">
      <c r="A816" s="464" t="s">
        <v>405</v>
      </c>
      <c r="B816" s="491"/>
    </row>
    <row r="817" spans="1:2" ht="15" x14ac:dyDescent="0.25">
      <c r="A817" s="464" t="s">
        <v>406</v>
      </c>
      <c r="B817" s="491"/>
    </row>
    <row r="818" spans="1:2" ht="15" x14ac:dyDescent="0.25">
      <c r="A818" s="464" t="s">
        <v>407</v>
      </c>
      <c r="B818" s="491"/>
    </row>
    <row r="819" spans="1:2" ht="15" x14ac:dyDescent="0.25">
      <c r="A819" s="464" t="s">
        <v>666</v>
      </c>
      <c r="B819" s="491"/>
    </row>
    <row r="820" spans="1:2" ht="15" x14ac:dyDescent="0.25">
      <c r="A820" s="464" t="s">
        <v>667</v>
      </c>
      <c r="B820" s="491"/>
    </row>
    <row r="821" spans="1:2" ht="15" x14ac:dyDescent="0.25">
      <c r="A821" s="464" t="s">
        <v>408</v>
      </c>
      <c r="B821" s="491"/>
    </row>
    <row r="822" spans="1:2" ht="15" x14ac:dyDescent="0.25">
      <c r="A822" s="464" t="s">
        <v>180</v>
      </c>
      <c r="B822" s="491"/>
    </row>
    <row r="823" spans="1:2" ht="15" x14ac:dyDescent="0.25">
      <c r="A823" s="464" t="s">
        <v>409</v>
      </c>
      <c r="B823" s="491"/>
    </row>
    <row r="824" spans="1:2" ht="15" x14ac:dyDescent="0.25">
      <c r="A824" s="464" t="s">
        <v>410</v>
      </c>
      <c r="B824" s="491"/>
    </row>
    <row r="825" spans="1:2" ht="15" x14ac:dyDescent="0.25">
      <c r="A825" s="464" t="s">
        <v>1073</v>
      </c>
      <c r="B825" s="491"/>
    </row>
    <row r="826" spans="1:2" ht="15" x14ac:dyDescent="0.25">
      <c r="A826" s="464" t="s">
        <v>1074</v>
      </c>
      <c r="B826" s="491"/>
    </row>
    <row r="827" spans="1:2" ht="15" x14ac:dyDescent="0.25">
      <c r="A827" s="464" t="s">
        <v>411</v>
      </c>
      <c r="B827" s="491"/>
    </row>
    <row r="828" spans="1:2" ht="15" x14ac:dyDescent="0.25">
      <c r="A828" s="464" t="s">
        <v>412</v>
      </c>
      <c r="B828" s="491"/>
    </row>
    <row r="829" spans="1:2" ht="15" x14ac:dyDescent="0.25">
      <c r="A829" s="464" t="s">
        <v>764</v>
      </c>
      <c r="B829" s="491"/>
    </row>
    <row r="830" spans="1:2" ht="15" x14ac:dyDescent="0.25">
      <c r="A830" s="464" t="s">
        <v>413</v>
      </c>
      <c r="B830" s="491"/>
    </row>
    <row r="831" spans="1:2" ht="15" x14ac:dyDescent="0.25">
      <c r="A831" s="464" t="s">
        <v>414</v>
      </c>
      <c r="B831" s="491"/>
    </row>
    <row r="832" spans="1:2" ht="15" x14ac:dyDescent="0.25">
      <c r="A832" s="464" t="s">
        <v>305</v>
      </c>
      <c r="B832" s="491"/>
    </row>
    <row r="833" spans="1:2" ht="15" x14ac:dyDescent="0.25">
      <c r="A833" s="464" t="s">
        <v>1075</v>
      </c>
      <c r="B833" s="491"/>
    </row>
    <row r="834" spans="1:2" ht="15" x14ac:dyDescent="0.25">
      <c r="A834" s="464" t="s">
        <v>415</v>
      </c>
      <c r="B834" s="491"/>
    </row>
    <row r="835" spans="1:2" ht="15" x14ac:dyDescent="0.25">
      <c r="A835" s="464" t="s">
        <v>1067</v>
      </c>
      <c r="B835" s="491"/>
    </row>
    <row r="836" spans="1:2" ht="15" x14ac:dyDescent="0.25">
      <c r="A836" s="464" t="s">
        <v>477</v>
      </c>
      <c r="B836" s="491"/>
    </row>
    <row r="837" spans="1:2" ht="15" x14ac:dyDescent="0.25">
      <c r="A837" s="464" t="s">
        <v>416</v>
      </c>
      <c r="B837" s="491"/>
    </row>
    <row r="838" spans="1:2" ht="15" x14ac:dyDescent="0.25">
      <c r="A838" s="464" t="s">
        <v>417</v>
      </c>
      <c r="B838" s="491"/>
    </row>
    <row r="839" spans="1:2" ht="15" x14ac:dyDescent="0.25">
      <c r="A839" s="464" t="s">
        <v>1068</v>
      </c>
      <c r="B839" s="491"/>
    </row>
    <row r="840" spans="1:2" ht="15" x14ac:dyDescent="0.25">
      <c r="A840" s="464" t="s">
        <v>418</v>
      </c>
      <c r="B840" s="491"/>
    </row>
    <row r="841" spans="1:2" ht="15" x14ac:dyDescent="0.25">
      <c r="A841" s="464" t="s">
        <v>1076</v>
      </c>
      <c r="B841" s="491"/>
    </row>
    <row r="842" spans="1:2" ht="15" x14ac:dyDescent="0.25">
      <c r="A842" s="464" t="s">
        <v>419</v>
      </c>
      <c r="B842" s="491"/>
    </row>
    <row r="843" spans="1:2" ht="15" x14ac:dyDescent="0.25">
      <c r="A843" s="464" t="s">
        <v>1069</v>
      </c>
      <c r="B843" s="491"/>
    </row>
    <row r="844" spans="1:2" ht="15" x14ac:dyDescent="0.25">
      <c r="A844" s="464" t="s">
        <v>334</v>
      </c>
      <c r="B844" s="491"/>
    </row>
    <row r="845" spans="1:2" ht="15" x14ac:dyDescent="0.25">
      <c r="A845" s="464"/>
      <c r="B845" s="491"/>
    </row>
    <row r="846" spans="1:2" ht="15" x14ac:dyDescent="0.25">
      <c r="A846" s="464"/>
      <c r="B846" s="491"/>
    </row>
    <row r="847" spans="1:2" ht="15" x14ac:dyDescent="0.25">
      <c r="A847" s="464"/>
      <c r="B847" s="491"/>
    </row>
    <row r="848" spans="1:2" ht="15" x14ac:dyDescent="0.25">
      <c r="A848" s="464"/>
      <c r="B848" s="491"/>
    </row>
    <row r="849" spans="1:2" ht="15" x14ac:dyDescent="0.25">
      <c r="A849" s="464"/>
      <c r="B849" s="491"/>
    </row>
    <row r="850" spans="1:2" ht="15" x14ac:dyDescent="0.25">
      <c r="A850" s="464"/>
      <c r="B850" s="491"/>
    </row>
    <row r="851" spans="1:2" ht="15" x14ac:dyDescent="0.25">
      <c r="A851" s="464"/>
      <c r="B851" s="491"/>
    </row>
    <row r="852" spans="1:2" ht="15" x14ac:dyDescent="0.25">
      <c r="A852" s="464"/>
      <c r="B852" s="491"/>
    </row>
    <row r="853" spans="1:2" ht="15" x14ac:dyDescent="0.25">
      <c r="A853" s="464"/>
      <c r="B853" s="491"/>
    </row>
    <row r="854" spans="1:2" ht="15" x14ac:dyDescent="0.25">
      <c r="A854" s="464"/>
      <c r="B854" s="491"/>
    </row>
    <row r="855" spans="1:2" ht="15" x14ac:dyDescent="0.25">
      <c r="A855" s="464"/>
      <c r="B855" s="491"/>
    </row>
    <row r="856" spans="1:2" ht="15" x14ac:dyDescent="0.25">
      <c r="A856" s="464"/>
      <c r="B856" s="491"/>
    </row>
    <row r="857" spans="1:2" ht="15" x14ac:dyDescent="0.25">
      <c r="A857" s="464"/>
      <c r="B857" s="491"/>
    </row>
    <row r="858" spans="1:2" ht="15" x14ac:dyDescent="0.25">
      <c r="A858" s="464"/>
      <c r="B858" s="491"/>
    </row>
    <row r="859" spans="1:2" ht="15" x14ac:dyDescent="0.25">
      <c r="A859" s="464"/>
      <c r="B859" s="491"/>
    </row>
    <row r="860" spans="1:2" ht="15" x14ac:dyDescent="0.25">
      <c r="A860" s="464"/>
      <c r="B860" s="491"/>
    </row>
    <row r="861" spans="1:2" ht="15" x14ac:dyDescent="0.25">
      <c r="A861" s="464"/>
      <c r="B861" s="491"/>
    </row>
    <row r="862" spans="1:2" ht="15" x14ac:dyDescent="0.25">
      <c r="A862" s="464"/>
      <c r="B862" s="491"/>
    </row>
    <row r="863" spans="1:2" ht="15" x14ac:dyDescent="0.25">
      <c r="A863" s="464"/>
      <c r="B863" s="491"/>
    </row>
    <row r="864" spans="1:2" ht="15" x14ac:dyDescent="0.25">
      <c r="A864" s="464"/>
      <c r="B864" s="491"/>
    </row>
    <row r="865" spans="1:2" ht="15" x14ac:dyDescent="0.25">
      <c r="A865" s="464"/>
      <c r="B865" s="491"/>
    </row>
    <row r="866" spans="1:2" ht="15" x14ac:dyDescent="0.25">
      <c r="A866" s="464"/>
      <c r="B866" s="491"/>
    </row>
    <row r="867" spans="1:2" ht="15" x14ac:dyDescent="0.25">
      <c r="A867" s="464"/>
      <c r="B867" s="491"/>
    </row>
    <row r="868" spans="1:2" ht="15" x14ac:dyDescent="0.25">
      <c r="A868" s="464"/>
      <c r="B868" s="491"/>
    </row>
    <row r="869" spans="1:2" ht="15" x14ac:dyDescent="0.25">
      <c r="A869" s="464"/>
      <c r="B869" s="491"/>
    </row>
    <row r="870" spans="1:2" ht="15" x14ac:dyDescent="0.25">
      <c r="A870" s="464"/>
      <c r="B870" s="491"/>
    </row>
    <row r="871" spans="1:2" ht="15" x14ac:dyDescent="0.25">
      <c r="A871" s="464"/>
      <c r="B871" s="491"/>
    </row>
    <row r="872" spans="1:2" ht="15" x14ac:dyDescent="0.25">
      <c r="A872" s="464"/>
      <c r="B872" s="491"/>
    </row>
    <row r="873" spans="1:2" ht="15" x14ac:dyDescent="0.25">
      <c r="A873" s="464"/>
      <c r="B873" s="491"/>
    </row>
    <row r="874" spans="1:2" ht="15" x14ac:dyDescent="0.25">
      <c r="A874" s="464"/>
      <c r="B874" s="491"/>
    </row>
    <row r="875" spans="1:2" ht="15" x14ac:dyDescent="0.25">
      <c r="A875" s="464"/>
      <c r="B875" s="491"/>
    </row>
    <row r="876" spans="1:2" ht="15" x14ac:dyDescent="0.25">
      <c r="A876" s="464"/>
      <c r="B876" s="491"/>
    </row>
    <row r="877" spans="1:2" ht="15" x14ac:dyDescent="0.25">
      <c r="A877" s="464"/>
      <c r="B877" s="491"/>
    </row>
    <row r="878" spans="1:2" ht="15" x14ac:dyDescent="0.25">
      <c r="A878" s="464"/>
    </row>
    <row r="879" spans="1:2" ht="15" x14ac:dyDescent="0.25">
      <c r="A879" s="464"/>
    </row>
    <row r="880" spans="1:2" ht="15" x14ac:dyDescent="0.25">
      <c r="A880" s="464"/>
    </row>
    <row r="881" spans="1:1" ht="15" x14ac:dyDescent="0.25">
      <c r="A881" s="464"/>
    </row>
    <row r="882" spans="1:1" ht="15" x14ac:dyDescent="0.25">
      <c r="A882" s="464"/>
    </row>
    <row r="883" spans="1:1" ht="15" x14ac:dyDescent="0.25">
      <c r="A883" s="464"/>
    </row>
    <row r="884" spans="1:1" ht="15" x14ac:dyDescent="0.25">
      <c r="A884" s="464"/>
    </row>
    <row r="885" spans="1:1" ht="15" x14ac:dyDescent="0.25">
      <c r="A885" s="464"/>
    </row>
    <row r="886" spans="1:1" ht="15" x14ac:dyDescent="0.25">
      <c r="A886" s="464"/>
    </row>
    <row r="887" spans="1:1" ht="15" x14ac:dyDescent="0.25">
      <c r="A887" s="464"/>
    </row>
    <row r="888" spans="1:1" ht="15" x14ac:dyDescent="0.25">
      <c r="A888" s="464"/>
    </row>
    <row r="889" spans="1:1" ht="15" x14ac:dyDescent="0.25">
      <c r="A889" s="464"/>
    </row>
    <row r="890" spans="1:1" ht="15" x14ac:dyDescent="0.25">
      <c r="A890" s="464"/>
    </row>
    <row r="891" spans="1:1" ht="15" x14ac:dyDescent="0.25">
      <c r="A891" s="464"/>
    </row>
    <row r="892" spans="1:1" ht="15" x14ac:dyDescent="0.25">
      <c r="A892" s="464"/>
    </row>
    <row r="893" spans="1:1" ht="15" x14ac:dyDescent="0.25">
      <c r="A893" s="464"/>
    </row>
    <row r="894" spans="1:1" ht="15" x14ac:dyDescent="0.25">
      <c r="A894" s="464"/>
    </row>
    <row r="895" spans="1:1" ht="15" x14ac:dyDescent="0.25">
      <c r="A895" s="464"/>
    </row>
    <row r="896" spans="1:1" ht="15" x14ac:dyDescent="0.25">
      <c r="A896" s="464"/>
    </row>
    <row r="897" spans="1:1" ht="15" x14ac:dyDescent="0.25">
      <c r="A897" s="464"/>
    </row>
    <row r="898" spans="1:1" ht="15" x14ac:dyDescent="0.25">
      <c r="A898" s="464"/>
    </row>
    <row r="899" spans="1:1" ht="15" x14ac:dyDescent="0.25">
      <c r="A899" s="464"/>
    </row>
    <row r="900" spans="1:1" ht="15" x14ac:dyDescent="0.25">
      <c r="A900" s="464"/>
    </row>
    <row r="901" spans="1:1" ht="15" x14ac:dyDescent="0.25">
      <c r="A901" s="464"/>
    </row>
    <row r="902" spans="1:1" ht="15" x14ac:dyDescent="0.25">
      <c r="A902" s="464"/>
    </row>
    <row r="903" spans="1:1" ht="15" x14ac:dyDescent="0.25">
      <c r="A903" s="464"/>
    </row>
    <row r="904" spans="1:1" ht="15" x14ac:dyDescent="0.25">
      <c r="A904" s="464"/>
    </row>
    <row r="905" spans="1:1" ht="15" x14ac:dyDescent="0.25">
      <c r="A905" s="464"/>
    </row>
    <row r="906" spans="1:1" ht="15" x14ac:dyDescent="0.25">
      <c r="A906" s="464"/>
    </row>
    <row r="907" spans="1:1" ht="15" x14ac:dyDescent="0.25">
      <c r="A907" s="464"/>
    </row>
    <row r="908" spans="1:1" ht="15" x14ac:dyDescent="0.25">
      <c r="A908" s="464"/>
    </row>
    <row r="909" spans="1:1" ht="15" x14ac:dyDescent="0.25">
      <c r="A909" s="464"/>
    </row>
    <row r="910" spans="1:1" ht="15" x14ac:dyDescent="0.25">
      <c r="A910" s="464"/>
    </row>
    <row r="911" spans="1:1" ht="15" x14ac:dyDescent="0.25">
      <c r="A911" s="464"/>
    </row>
    <row r="912" spans="1:1" ht="15" x14ac:dyDescent="0.25">
      <c r="A912" s="464"/>
    </row>
    <row r="913" spans="1:1" ht="15" x14ac:dyDescent="0.25">
      <c r="A913" s="464"/>
    </row>
    <row r="914" spans="1:1" ht="15" x14ac:dyDescent="0.25">
      <c r="A914" s="464"/>
    </row>
    <row r="915" spans="1:1" ht="15" x14ac:dyDescent="0.25">
      <c r="A915" s="464"/>
    </row>
    <row r="916" spans="1:1" ht="15" x14ac:dyDescent="0.25">
      <c r="A916" s="464"/>
    </row>
    <row r="917" spans="1:1" ht="15" x14ac:dyDescent="0.25">
      <c r="A917" s="464"/>
    </row>
    <row r="918" spans="1:1" ht="15" x14ac:dyDescent="0.25">
      <c r="A918" s="464"/>
    </row>
    <row r="919" spans="1:1" ht="15" x14ac:dyDescent="0.25">
      <c r="A919" s="464"/>
    </row>
    <row r="920" spans="1:1" ht="15" x14ac:dyDescent="0.25">
      <c r="A920" s="464"/>
    </row>
    <row r="921" spans="1:1" ht="15" x14ac:dyDescent="0.25">
      <c r="A921" s="464"/>
    </row>
    <row r="922" spans="1:1" ht="15" x14ac:dyDescent="0.25">
      <c r="A922" s="464"/>
    </row>
    <row r="923" spans="1:1" ht="15" x14ac:dyDescent="0.25">
      <c r="A923" s="464"/>
    </row>
    <row r="924" spans="1:1" ht="15" x14ac:dyDescent="0.25">
      <c r="A924" s="464"/>
    </row>
    <row r="925" spans="1:1" ht="15" x14ac:dyDescent="0.25">
      <c r="A925" s="464"/>
    </row>
    <row r="926" spans="1:1" ht="15" x14ac:dyDescent="0.25">
      <c r="A926" s="464"/>
    </row>
    <row r="927" spans="1:1" ht="15" x14ac:dyDescent="0.25">
      <c r="A927" s="464"/>
    </row>
    <row r="928" spans="1:1" ht="15" x14ac:dyDescent="0.25">
      <c r="A928" s="464"/>
    </row>
    <row r="929" spans="1:1" ht="15" x14ac:dyDescent="0.25">
      <c r="A929" s="464"/>
    </row>
    <row r="930" spans="1:1" ht="15" x14ac:dyDescent="0.25">
      <c r="A930" s="464"/>
    </row>
    <row r="931" spans="1:1" ht="15" x14ac:dyDescent="0.25">
      <c r="A931" s="464"/>
    </row>
    <row r="932" spans="1:1" ht="15" x14ac:dyDescent="0.25">
      <c r="A932" s="464"/>
    </row>
    <row r="933" spans="1:1" ht="15" x14ac:dyDescent="0.25">
      <c r="A933" s="464"/>
    </row>
    <row r="934" spans="1:1" ht="15" x14ac:dyDescent="0.25">
      <c r="A934" s="464"/>
    </row>
    <row r="935" spans="1:1" ht="15" x14ac:dyDescent="0.25">
      <c r="A935" s="464"/>
    </row>
    <row r="936" spans="1:1" ht="15" x14ac:dyDescent="0.25">
      <c r="A936" s="464"/>
    </row>
    <row r="937" spans="1:1" ht="15" x14ac:dyDescent="0.25">
      <c r="A937" s="464"/>
    </row>
    <row r="938" spans="1:1" ht="15" x14ac:dyDescent="0.25">
      <c r="A938" s="464"/>
    </row>
  </sheetData>
  <sheetProtection sheet="1" objects="1" scenarios="1"/>
  <phoneticPr fontId="14"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sheetPr>
  <dimension ref="A1:N37"/>
  <sheetViews>
    <sheetView tabSelected="1" zoomScaleNormal="100" zoomScaleSheetLayoutView="100" workbookViewId="0">
      <selection activeCell="I14" sqref="I14"/>
    </sheetView>
  </sheetViews>
  <sheetFormatPr defaultRowHeight="11.25" x14ac:dyDescent="0.2"/>
  <cols>
    <col min="1" max="4" width="2.7109375" style="1" customWidth="1"/>
    <col min="5" max="5" width="31.5703125" style="1" customWidth="1"/>
    <col min="6" max="6" width="31.5703125" style="1" hidden="1" customWidth="1"/>
    <col min="7" max="7" width="18.5703125" style="1" customWidth="1"/>
    <col min="8" max="8" width="18.5703125" style="1" hidden="1" customWidth="1"/>
    <col min="9" max="9" width="16.5703125" style="2" customWidth="1"/>
    <col min="10" max="10" width="16.5703125" style="1" customWidth="1"/>
    <col min="11" max="11" width="16.5703125" style="1" hidden="1" customWidth="1"/>
    <col min="12" max="12" width="16.5703125" style="1" customWidth="1"/>
    <col min="13" max="13" width="15.7109375" style="1" customWidth="1"/>
    <col min="14" max="16384" width="9.140625" style="1"/>
  </cols>
  <sheetData>
    <row r="1" spans="1:14" ht="12" customHeight="1" x14ac:dyDescent="0.2">
      <c r="A1" s="495" t="s">
        <v>597</v>
      </c>
      <c r="B1" s="495"/>
      <c r="C1" s="495"/>
      <c r="D1" s="495"/>
      <c r="E1" s="495"/>
      <c r="F1" s="495"/>
      <c r="G1" s="495"/>
      <c r="H1" s="495"/>
      <c r="I1" s="495"/>
      <c r="J1" s="495"/>
      <c r="K1" s="17"/>
      <c r="L1" s="17" t="s">
        <v>596</v>
      </c>
    </row>
    <row r="2" spans="1:14" ht="12" customHeight="1" x14ac:dyDescent="0.2">
      <c r="A2" s="495" t="s">
        <v>630</v>
      </c>
      <c r="B2" s="495"/>
      <c r="C2" s="495"/>
      <c r="D2" s="495"/>
      <c r="E2" s="495"/>
      <c r="F2" s="495"/>
      <c r="G2" s="495"/>
      <c r="H2" s="495"/>
      <c r="I2" s="495"/>
      <c r="J2" s="495"/>
      <c r="K2" s="17"/>
      <c r="L2" s="32"/>
      <c r="M2" s="17"/>
    </row>
    <row r="3" spans="1:14" ht="12" customHeight="1" x14ac:dyDescent="0.2">
      <c r="A3" s="495" t="s">
        <v>2</v>
      </c>
      <c r="B3" s="495"/>
      <c r="C3" s="495"/>
      <c r="D3" s="495"/>
      <c r="E3" s="495"/>
      <c r="F3" s="495"/>
      <c r="G3" s="495"/>
      <c r="H3" s="495"/>
      <c r="I3" s="495"/>
      <c r="J3" s="495"/>
      <c r="K3" s="17"/>
      <c r="L3" s="32"/>
      <c r="M3" s="17"/>
    </row>
    <row r="4" spans="1:14" ht="12" customHeight="1" x14ac:dyDescent="0.2">
      <c r="A4" s="32"/>
      <c r="B4" s="32"/>
      <c r="C4" s="32"/>
      <c r="D4" s="32"/>
      <c r="E4" s="32"/>
      <c r="F4" s="32"/>
      <c r="G4" s="32"/>
      <c r="H4" s="32"/>
      <c r="I4" s="32"/>
      <c r="L4" s="32"/>
      <c r="M4" s="32"/>
    </row>
    <row r="5" spans="1:14" ht="12" customHeight="1" thickBot="1" x14ac:dyDescent="0.25">
      <c r="A5" s="15"/>
      <c r="B5" s="15"/>
      <c r="C5" s="15"/>
      <c r="D5" s="15"/>
      <c r="E5" s="15"/>
      <c r="F5" s="15"/>
      <c r="G5" s="15"/>
      <c r="H5" s="15"/>
      <c r="I5" s="16"/>
      <c r="J5" s="439"/>
      <c r="K5" s="439"/>
      <c r="L5" s="439" t="s">
        <v>29</v>
      </c>
      <c r="M5" s="440"/>
    </row>
    <row r="6" spans="1:14" ht="18" customHeight="1" thickTop="1" thickBot="1" x14ac:dyDescent="0.25">
      <c r="A6" s="445"/>
      <c r="B6" s="345"/>
      <c r="C6" s="345"/>
      <c r="D6" s="345"/>
      <c r="E6" s="446"/>
      <c r="F6" s="447"/>
      <c r="G6" s="314"/>
      <c r="H6" s="314"/>
      <c r="I6" s="87"/>
      <c r="J6" s="87" t="s">
        <v>27</v>
      </c>
      <c r="K6" s="474"/>
      <c r="L6" s="343"/>
    </row>
    <row r="7" spans="1:14" ht="12" hidden="1" customHeight="1" thickTop="1" thickBot="1" x14ac:dyDescent="0.25">
      <c r="A7" s="88"/>
      <c r="B7" s="89"/>
      <c r="C7" s="89"/>
      <c r="D7" s="89"/>
      <c r="E7" s="90"/>
      <c r="F7" s="446"/>
      <c r="G7" s="315"/>
      <c r="H7" s="315"/>
      <c r="I7" s="342"/>
      <c r="J7" s="444"/>
      <c r="K7" s="475" t="s">
        <v>26</v>
      </c>
      <c r="L7" s="441" t="s">
        <v>26</v>
      </c>
      <c r="M7" s="443" t="s">
        <v>238</v>
      </c>
      <c r="N7" s="1" t="s">
        <v>239</v>
      </c>
    </row>
    <row r="8" spans="1:14" ht="12" customHeight="1" thickTop="1" x14ac:dyDescent="0.2">
      <c r="A8" s="88"/>
      <c r="B8" s="89"/>
      <c r="C8" s="89"/>
      <c r="D8" s="89"/>
      <c r="E8" s="90"/>
      <c r="F8" s="446"/>
      <c r="G8" s="315" t="s">
        <v>430</v>
      </c>
      <c r="H8" s="315"/>
      <c r="I8" s="342" t="s">
        <v>631</v>
      </c>
      <c r="J8" s="340"/>
      <c r="K8" s="476"/>
      <c r="L8" s="344" t="s">
        <v>429</v>
      </c>
    </row>
    <row r="9" spans="1:14" ht="12" customHeight="1" thickBot="1" x14ac:dyDescent="0.25">
      <c r="A9" s="91"/>
      <c r="B9" s="92"/>
      <c r="C9" s="92"/>
      <c r="D9" s="92"/>
      <c r="E9" s="93"/>
      <c r="F9" s="93"/>
      <c r="G9" s="316"/>
      <c r="H9" s="316"/>
      <c r="I9" s="86"/>
      <c r="J9" s="313"/>
      <c r="K9" s="477"/>
      <c r="L9" s="442"/>
    </row>
    <row r="10" spans="1:14" ht="12" customHeight="1" thickTop="1" x14ac:dyDescent="0.2">
      <c r="A10" s="20" t="s">
        <v>9</v>
      </c>
      <c r="B10" s="291" t="s">
        <v>485</v>
      </c>
      <c r="C10" s="24"/>
      <c r="D10" s="24"/>
      <c r="E10" s="25"/>
      <c r="F10" s="94"/>
      <c r="G10" s="26" t="s">
        <v>449</v>
      </c>
      <c r="H10" s="457"/>
      <c r="I10" s="456">
        <f>'Main Report'!I10</f>
        <v>0</v>
      </c>
      <c r="J10" s="457"/>
      <c r="K10" s="482"/>
      <c r="L10" s="458">
        <f>SUM(I10:K10)</f>
        <v>0</v>
      </c>
    </row>
    <row r="11" spans="1:14" ht="12" customHeight="1" x14ac:dyDescent="0.2">
      <c r="A11" s="20"/>
      <c r="B11" s="24"/>
      <c r="C11" s="24"/>
      <c r="D11" s="24"/>
      <c r="E11" s="25"/>
      <c r="F11" s="94"/>
      <c r="G11" s="26"/>
      <c r="H11" s="483"/>
      <c r="I11" s="483"/>
      <c r="J11" s="483"/>
      <c r="K11" s="484"/>
      <c r="L11" s="485"/>
    </row>
    <row r="12" spans="1:14" ht="12" customHeight="1" x14ac:dyDescent="0.2">
      <c r="A12" s="20" t="s">
        <v>16</v>
      </c>
      <c r="B12" s="143" t="s">
        <v>487</v>
      </c>
      <c r="C12" s="75"/>
      <c r="D12" s="75"/>
      <c r="E12" s="25"/>
      <c r="F12" s="8"/>
      <c r="G12" s="13"/>
      <c r="H12" s="486"/>
      <c r="I12" s="487"/>
      <c r="J12" s="486"/>
      <c r="K12" s="488"/>
      <c r="L12" s="489"/>
    </row>
    <row r="13" spans="1:14" ht="12" customHeight="1" x14ac:dyDescent="0.2">
      <c r="A13" s="12"/>
      <c r="B13" s="14" t="s">
        <v>488</v>
      </c>
      <c r="C13" s="10" t="s">
        <v>12</v>
      </c>
      <c r="D13" s="10"/>
      <c r="E13" s="9"/>
      <c r="F13" s="8"/>
      <c r="G13" s="96" t="s">
        <v>489</v>
      </c>
      <c r="H13" s="453">
        <f>H10*0.08</f>
        <v>0</v>
      </c>
      <c r="I13" s="453">
        <f>'Main Report'!I13</f>
        <v>0</v>
      </c>
      <c r="J13" s="453">
        <f>J10*0.08</f>
        <v>0</v>
      </c>
      <c r="K13" s="479"/>
      <c r="L13" s="454">
        <f>SUM(I13:K13)</f>
        <v>0</v>
      </c>
    </row>
    <row r="14" spans="1:14" ht="12" customHeight="1" x14ac:dyDescent="0.2">
      <c r="A14" s="12"/>
      <c r="B14" s="14" t="s">
        <v>490</v>
      </c>
      <c r="C14" s="449" t="s">
        <v>13</v>
      </c>
      <c r="D14" s="126"/>
      <c r="E14" s="125"/>
      <c r="F14" s="8"/>
      <c r="G14" s="96" t="s">
        <v>491</v>
      </c>
      <c r="H14" s="453">
        <f>H10*0.02</f>
        <v>0</v>
      </c>
      <c r="I14" s="453">
        <f>'Main Report'!I14</f>
        <v>0</v>
      </c>
      <c r="J14" s="453">
        <f>J10*0.02</f>
        <v>0</v>
      </c>
      <c r="K14" s="479"/>
      <c r="L14" s="454">
        <f>SUM(I14:K14)</f>
        <v>0</v>
      </c>
    </row>
    <row r="15" spans="1:14" ht="12" customHeight="1" x14ac:dyDescent="0.2">
      <c r="A15" s="12"/>
      <c r="B15" s="19"/>
      <c r="C15" s="14"/>
      <c r="D15" s="126"/>
      <c r="E15" s="125"/>
      <c r="F15" s="8"/>
      <c r="G15" s="96"/>
      <c r="H15" s="348"/>
      <c r="I15" s="347"/>
      <c r="J15" s="348"/>
      <c r="K15" s="478"/>
      <c r="L15" s="349"/>
    </row>
    <row r="16" spans="1:14" ht="24" customHeight="1" x14ac:dyDescent="0.2">
      <c r="A16" s="20" t="s">
        <v>17</v>
      </c>
      <c r="B16" s="493" t="s">
        <v>493</v>
      </c>
      <c r="C16" s="493"/>
      <c r="D16" s="493"/>
      <c r="E16" s="494"/>
      <c r="F16" s="8"/>
      <c r="G16" s="96"/>
      <c r="H16" s="348"/>
      <c r="I16" s="347"/>
      <c r="J16" s="348"/>
      <c r="K16" s="478"/>
      <c r="L16" s="349"/>
    </row>
    <row r="17" spans="1:12" ht="12" customHeight="1" x14ac:dyDescent="0.2">
      <c r="A17" s="12"/>
      <c r="B17" s="14" t="s">
        <v>488</v>
      </c>
      <c r="C17" s="10" t="s">
        <v>495</v>
      </c>
      <c r="D17" s="126"/>
      <c r="E17" s="125"/>
      <c r="F17" s="8"/>
      <c r="G17" s="96"/>
      <c r="H17" s="348"/>
      <c r="I17" s="347"/>
      <c r="J17" s="348"/>
      <c r="K17" s="478"/>
      <c r="L17" s="349"/>
    </row>
    <row r="18" spans="1:12" ht="12" customHeight="1" x14ac:dyDescent="0.2">
      <c r="A18" s="12"/>
      <c r="B18" s="19"/>
      <c r="C18" s="127" t="s">
        <v>450</v>
      </c>
      <c r="D18" s="448" t="s">
        <v>598</v>
      </c>
      <c r="E18" s="341"/>
      <c r="F18" s="8"/>
      <c r="G18" s="96" t="s">
        <v>497</v>
      </c>
      <c r="H18" s="453">
        <f>SUM(H19:H20)</f>
        <v>0</v>
      </c>
      <c r="I18" s="453">
        <f>'Main Report'!I18</f>
        <v>0</v>
      </c>
      <c r="J18" s="453">
        <f>SUM(J19:J20)</f>
        <v>0</v>
      </c>
      <c r="K18" s="479"/>
      <c r="L18" s="454">
        <f t="shared" ref="L18:L23" si="0">SUM(I18:K18)</f>
        <v>0</v>
      </c>
    </row>
    <row r="19" spans="1:12" ht="12" customHeight="1" x14ac:dyDescent="0.2">
      <c r="A19" s="12"/>
      <c r="B19" s="19"/>
      <c r="C19" s="126"/>
      <c r="D19" s="126" t="s">
        <v>431</v>
      </c>
      <c r="E19" s="125" t="s">
        <v>599</v>
      </c>
      <c r="F19" s="8"/>
      <c r="G19" s="96" t="s">
        <v>499</v>
      </c>
      <c r="H19" s="459"/>
      <c r="I19" s="453">
        <f>'Main Report'!I19</f>
        <v>0</v>
      </c>
      <c r="J19" s="459"/>
      <c r="K19" s="490"/>
      <c r="L19" s="454">
        <f t="shared" si="0"/>
        <v>0</v>
      </c>
    </row>
    <row r="20" spans="1:12" ht="12" customHeight="1" x14ac:dyDescent="0.2">
      <c r="A20" s="12"/>
      <c r="B20" s="19"/>
      <c r="C20" s="126"/>
      <c r="D20" s="126" t="s">
        <v>600</v>
      </c>
      <c r="E20" s="125" t="s">
        <v>601</v>
      </c>
      <c r="F20" s="8"/>
      <c r="G20" s="96" t="s">
        <v>501</v>
      </c>
      <c r="H20" s="459"/>
      <c r="I20" s="453">
        <f>'Main Report'!I20</f>
        <v>0</v>
      </c>
      <c r="J20" s="459"/>
      <c r="K20" s="490"/>
      <c r="L20" s="454">
        <f t="shared" si="0"/>
        <v>0</v>
      </c>
    </row>
    <row r="21" spans="1:12" ht="12" customHeight="1" x14ac:dyDescent="0.2">
      <c r="A21" s="12"/>
      <c r="B21" s="19"/>
      <c r="C21" s="127" t="s">
        <v>451</v>
      </c>
      <c r="D21" s="448" t="s">
        <v>602</v>
      </c>
      <c r="E21" s="341"/>
      <c r="F21" s="8"/>
      <c r="G21" s="96" t="s">
        <v>503</v>
      </c>
      <c r="H21" s="453">
        <f>H18-H13</f>
        <v>0</v>
      </c>
      <c r="I21" s="453">
        <f>'Main Report'!I21</f>
        <v>0</v>
      </c>
      <c r="J21" s="453">
        <f>J18-J13</f>
        <v>0</v>
      </c>
      <c r="K21" s="479"/>
      <c r="L21" s="454">
        <f t="shared" si="0"/>
        <v>0</v>
      </c>
    </row>
    <row r="22" spans="1:12" ht="12" customHeight="1" x14ac:dyDescent="0.2">
      <c r="A22" s="12"/>
      <c r="B22" s="19"/>
      <c r="C22" s="127" t="s">
        <v>452</v>
      </c>
      <c r="D22" s="448" t="s">
        <v>603</v>
      </c>
      <c r="E22" s="341"/>
      <c r="F22" s="8"/>
      <c r="G22" s="96" t="s">
        <v>604</v>
      </c>
      <c r="H22" s="459"/>
      <c r="I22" s="459"/>
      <c r="J22" s="459"/>
      <c r="K22" s="490"/>
      <c r="L22" s="454">
        <f t="shared" si="0"/>
        <v>0</v>
      </c>
    </row>
    <row r="23" spans="1:12" ht="12" customHeight="1" x14ac:dyDescent="0.2">
      <c r="A23" s="12"/>
      <c r="B23" s="19"/>
      <c r="C23" s="127" t="s">
        <v>530</v>
      </c>
      <c r="D23" s="448" t="s">
        <v>605</v>
      </c>
      <c r="E23" s="341"/>
      <c r="F23" s="8"/>
      <c r="G23" s="96" t="s">
        <v>606</v>
      </c>
      <c r="H23" s="453">
        <f>H18+H22</f>
        <v>0</v>
      </c>
      <c r="I23" s="453">
        <f>I18+I22</f>
        <v>0</v>
      </c>
      <c r="J23" s="453">
        <f>J18+J22</f>
        <v>0</v>
      </c>
      <c r="K23" s="479"/>
      <c r="L23" s="454">
        <f t="shared" si="0"/>
        <v>0</v>
      </c>
    </row>
    <row r="24" spans="1:12" ht="12" customHeight="1" x14ac:dyDescent="0.2">
      <c r="A24" s="12"/>
      <c r="B24" s="19"/>
      <c r="C24" s="127" t="s">
        <v>535</v>
      </c>
      <c r="D24" s="448" t="s">
        <v>607</v>
      </c>
      <c r="E24" s="341"/>
      <c r="F24" s="8"/>
      <c r="G24" s="96" t="s">
        <v>505</v>
      </c>
      <c r="H24" s="358">
        <f>IF(H10&lt;&gt;0,H23/H10,0)</f>
        <v>0</v>
      </c>
      <c r="I24" s="358">
        <f>IF(I10&lt;&gt;0,I23/I10,0)</f>
        <v>0</v>
      </c>
      <c r="J24" s="358">
        <f>IF(J10&lt;&gt;0,J23/J10,0)</f>
        <v>0</v>
      </c>
      <c r="K24" s="480"/>
      <c r="L24" s="359">
        <f>IF(L10&lt;&gt;0,L23/L10,0)</f>
        <v>0</v>
      </c>
    </row>
    <row r="25" spans="1:12" ht="12" customHeight="1" x14ac:dyDescent="0.2">
      <c r="A25" s="12"/>
      <c r="B25" s="19"/>
      <c r="C25" s="126"/>
      <c r="D25" s="126"/>
      <c r="E25" s="125"/>
      <c r="F25" s="8"/>
      <c r="G25" s="96"/>
      <c r="H25" s="348"/>
      <c r="I25" s="347"/>
      <c r="J25" s="348"/>
      <c r="K25" s="478"/>
      <c r="L25" s="349"/>
    </row>
    <row r="26" spans="1:12" ht="12" customHeight="1" x14ac:dyDescent="0.2">
      <c r="A26" s="12"/>
      <c r="B26" s="14" t="s">
        <v>490</v>
      </c>
      <c r="C26" s="10" t="s">
        <v>506</v>
      </c>
      <c r="D26" s="126"/>
      <c r="E26" s="125"/>
      <c r="F26" s="8"/>
      <c r="G26" s="96"/>
      <c r="H26" s="348"/>
      <c r="I26" s="347"/>
      <c r="J26" s="348"/>
      <c r="K26" s="478"/>
      <c r="L26" s="349"/>
    </row>
    <row r="27" spans="1:12" ht="12" customHeight="1" x14ac:dyDescent="0.2">
      <c r="A27" s="12"/>
      <c r="B27" s="19"/>
      <c r="C27" s="127" t="s">
        <v>450</v>
      </c>
      <c r="D27" s="448" t="s">
        <v>608</v>
      </c>
      <c r="E27" s="341"/>
      <c r="F27" s="8"/>
      <c r="G27" s="96" t="s">
        <v>508</v>
      </c>
      <c r="H27" s="453">
        <f>H28+H29</f>
        <v>0</v>
      </c>
      <c r="I27" s="453">
        <f>'Main Report'!I25</f>
        <v>0</v>
      </c>
      <c r="J27" s="453">
        <f>J28+J29</f>
        <v>0</v>
      </c>
      <c r="K27" s="479"/>
      <c r="L27" s="454">
        <f t="shared" ref="L27:L32" si="1">SUM(I27:K27)</f>
        <v>0</v>
      </c>
    </row>
    <row r="28" spans="1:12" ht="12" customHeight="1" x14ac:dyDescent="0.2">
      <c r="A28" s="12"/>
      <c r="B28" s="19"/>
      <c r="C28" s="126"/>
      <c r="D28" s="449" t="s">
        <v>431</v>
      </c>
      <c r="E28" s="125" t="s">
        <v>609</v>
      </c>
      <c r="F28" s="8"/>
      <c r="G28" s="96" t="s">
        <v>510</v>
      </c>
      <c r="H28" s="459"/>
      <c r="I28" s="453">
        <f>'Main Report'!I26</f>
        <v>0</v>
      </c>
      <c r="J28" s="459"/>
      <c r="K28" s="490"/>
      <c r="L28" s="454">
        <f t="shared" si="1"/>
        <v>0</v>
      </c>
    </row>
    <row r="29" spans="1:12" ht="12" customHeight="1" x14ac:dyDescent="0.2">
      <c r="A29" s="12"/>
      <c r="B29" s="19"/>
      <c r="C29" s="126"/>
      <c r="D29" s="449" t="s">
        <v>600</v>
      </c>
      <c r="E29" s="125" t="s">
        <v>611</v>
      </c>
      <c r="F29" s="8"/>
      <c r="G29" s="96" t="s">
        <v>512</v>
      </c>
      <c r="H29" s="459"/>
      <c r="I29" s="453">
        <f>'Main Report'!I27</f>
        <v>0</v>
      </c>
      <c r="J29" s="459"/>
      <c r="K29" s="490"/>
      <c r="L29" s="454">
        <f t="shared" si="1"/>
        <v>0</v>
      </c>
    </row>
    <row r="30" spans="1:12" ht="12" customHeight="1" x14ac:dyDescent="0.2">
      <c r="A30" s="12"/>
      <c r="B30" s="19"/>
      <c r="C30" s="127" t="s">
        <v>451</v>
      </c>
      <c r="D30" s="448" t="s">
        <v>612</v>
      </c>
      <c r="E30" s="341"/>
      <c r="F30" s="8"/>
      <c r="G30" s="96" t="s">
        <v>514</v>
      </c>
      <c r="H30" s="453">
        <f>H27-H14</f>
        <v>0</v>
      </c>
      <c r="I30" s="453">
        <f>'Main Report'!I28</f>
        <v>0</v>
      </c>
      <c r="J30" s="453">
        <f>J27-J14</f>
        <v>0</v>
      </c>
      <c r="K30" s="479"/>
      <c r="L30" s="455">
        <f t="shared" si="1"/>
        <v>0</v>
      </c>
    </row>
    <row r="31" spans="1:12" ht="12" customHeight="1" x14ac:dyDescent="0.2">
      <c r="A31" s="12"/>
      <c r="B31" s="19"/>
      <c r="C31" s="127" t="s">
        <v>452</v>
      </c>
      <c r="D31" s="448" t="s">
        <v>603</v>
      </c>
      <c r="E31" s="341"/>
      <c r="F31" s="8"/>
      <c r="G31" s="96" t="s">
        <v>613</v>
      </c>
      <c r="H31" s="459"/>
      <c r="I31" s="459"/>
      <c r="J31" s="459"/>
      <c r="K31" s="490"/>
      <c r="L31" s="454">
        <f t="shared" si="1"/>
        <v>0</v>
      </c>
    </row>
    <row r="32" spans="1:12" ht="12" customHeight="1" x14ac:dyDescent="0.2">
      <c r="A32" s="472"/>
      <c r="B32" s="19"/>
      <c r="C32" s="127" t="s">
        <v>530</v>
      </c>
      <c r="D32" s="448" t="s">
        <v>614</v>
      </c>
      <c r="E32" s="341"/>
      <c r="F32" s="8"/>
      <c r="G32" s="96" t="s">
        <v>615</v>
      </c>
      <c r="H32" s="453">
        <f>H27+H31</f>
        <v>0</v>
      </c>
      <c r="I32" s="453">
        <f>I27+I31</f>
        <v>0</v>
      </c>
      <c r="J32" s="453">
        <f>J27+J31</f>
        <v>0</v>
      </c>
      <c r="K32" s="479"/>
      <c r="L32" s="455">
        <f t="shared" si="1"/>
        <v>0</v>
      </c>
    </row>
    <row r="33" spans="1:13" ht="12" customHeight="1" x14ac:dyDescent="0.2">
      <c r="A33" s="473"/>
      <c r="B33" s="19"/>
      <c r="C33" s="127" t="s">
        <v>535</v>
      </c>
      <c r="D33" s="448" t="s">
        <v>668</v>
      </c>
      <c r="E33" s="341"/>
      <c r="F33" s="8"/>
      <c r="G33" s="96" t="s">
        <v>516</v>
      </c>
      <c r="H33" s="358">
        <f>IF(H10&lt;&gt;0,H32/H10,0)</f>
        <v>0</v>
      </c>
      <c r="I33" s="358">
        <f>IF(I10&lt;&gt;0,I32/I10,0)</f>
        <v>0</v>
      </c>
      <c r="J33" s="358">
        <f>IF(J10&lt;&gt;0,J32/J10,0)</f>
        <v>0</v>
      </c>
      <c r="K33" s="480"/>
      <c r="L33" s="359">
        <f>IF(L10&lt;&gt;0,L32/L10,0)</f>
        <v>0</v>
      </c>
    </row>
    <row r="34" spans="1:13" ht="12" customHeight="1" thickBot="1" x14ac:dyDescent="0.25">
      <c r="A34" s="7"/>
      <c r="B34" s="6"/>
      <c r="C34" s="6"/>
      <c r="D34" s="6"/>
      <c r="E34" s="5"/>
      <c r="F34" s="4"/>
      <c r="G34" s="3"/>
      <c r="H34" s="3"/>
      <c r="I34" s="354"/>
      <c r="J34" s="355"/>
      <c r="K34" s="481"/>
      <c r="L34" s="356"/>
    </row>
    <row r="35" spans="1:13" ht="12" thickTop="1" x14ac:dyDescent="0.2">
      <c r="G35" s="18" t="s">
        <v>432</v>
      </c>
      <c r="H35" s="18"/>
      <c r="I35" s="1"/>
    </row>
    <row r="36" spans="1:13" ht="36" customHeight="1" x14ac:dyDescent="0.2">
      <c r="A36" s="228" t="s">
        <v>744</v>
      </c>
      <c r="B36" s="492" t="s">
        <v>0</v>
      </c>
      <c r="C36" s="492"/>
      <c r="D36" s="492"/>
      <c r="E36" s="492"/>
      <c r="F36" s="492"/>
      <c r="G36" s="492"/>
      <c r="H36" s="492"/>
      <c r="I36" s="492"/>
      <c r="J36" s="492"/>
      <c r="K36" s="492"/>
      <c r="L36" s="492"/>
      <c r="M36" s="179"/>
    </row>
    <row r="37" spans="1:13" ht="12" customHeight="1" x14ac:dyDescent="0.2">
      <c r="A37" s="41" t="s">
        <v>745</v>
      </c>
      <c r="B37" s="1" t="s">
        <v>1</v>
      </c>
    </row>
  </sheetData>
  <sheetProtection sheet="1" objects="1" scenarios="1"/>
  <mergeCells count="5">
    <mergeCell ref="B36:L36"/>
    <mergeCell ref="B16:E16"/>
    <mergeCell ref="A1:J1"/>
    <mergeCell ref="A2:J2"/>
    <mergeCell ref="A3:J3"/>
  </mergeCells>
  <phoneticPr fontId="0" type="noConversion"/>
  <dataValidations count="5">
    <dataValidation type="decimal" allowBlank="1" showInputMessage="1" showErrorMessage="1" sqref="L34 I34:J34 H15:L21 H23:L26 H32:J33 H27:J30 K27:K33 L27:L30 L32:L33">
      <formula1>0</formula1>
      <formula2>999999999999999</formula2>
    </dataValidation>
    <dataValidation type="textLength" showInputMessage="1" showErrorMessage="1" error="Limit bank name to 10 characters." prompt="Please enter a Bank Name" sqref="J9:K9">
      <formula1>1</formula1>
      <formula2>50</formula2>
    </dataValidation>
    <dataValidation type="whole" allowBlank="1" showInputMessage="1" showErrorMessage="1" prompt="Please enter a 6 figure Bank Code" sqref="J8:K8">
      <formula1>1</formula1>
      <formula2>999999</formula2>
    </dataValidation>
    <dataValidation type="decimal" operator="lessThan" allowBlank="1" showInputMessage="1" showErrorMessage="1" sqref="H22:L22 H31:J31 L31">
      <formula1>999999999999999</formula1>
    </dataValidation>
    <dataValidation type="decimal" allowBlank="1" showInputMessage="1" showErrorMessage="1" sqref="H10:L14">
      <formula1>0</formula1>
      <formula2>999999999999999</formula2>
    </dataValidation>
  </dataValidations>
  <printOptions horizontalCentered="1"/>
  <pageMargins left="0.25" right="0.25" top="1" bottom="0.5" header="0.5" footer="0.5"/>
  <pageSetup paperSize="9" scale="80"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6626" r:id="rId4" name="cmdDel">
          <controlPr locked="0" defaultSize="0" print="0" autoFill="0" autoLine="0" autoPict="0" r:id="rId5">
            <anchor moveWithCells="1">
              <from>
                <xdr:col>4</xdr:col>
                <xdr:colOff>723900</xdr:colOff>
                <xdr:row>5</xdr:row>
                <xdr:rowOff>171450</xdr:rowOff>
              </from>
              <to>
                <xdr:col>4</xdr:col>
                <xdr:colOff>1685925</xdr:colOff>
                <xdr:row>8</xdr:row>
                <xdr:rowOff>66675</xdr:rowOff>
              </to>
            </anchor>
          </controlPr>
        </control>
      </mc:Choice>
      <mc:Fallback>
        <control shapeId="26626" r:id="rId4" name="cmdDel"/>
      </mc:Fallback>
    </mc:AlternateContent>
    <mc:AlternateContent xmlns:mc="http://schemas.openxmlformats.org/markup-compatibility/2006">
      <mc:Choice Requires="x14">
        <control shapeId="26625" r:id="rId6" name="cmdNew">
          <controlPr locked="0" defaultSize="0" print="0" autoFill="0" autoLine="0" autoPict="0" r:id="rId7">
            <anchor moveWithCells="1">
              <from>
                <xdr:col>2</xdr:col>
                <xdr:colOff>28575</xdr:colOff>
                <xdr:row>5</xdr:row>
                <xdr:rowOff>171450</xdr:rowOff>
              </from>
              <to>
                <xdr:col>4</xdr:col>
                <xdr:colOff>571500</xdr:colOff>
                <xdr:row>8</xdr:row>
                <xdr:rowOff>66675</xdr:rowOff>
              </to>
            </anchor>
          </controlPr>
        </control>
      </mc:Choice>
      <mc:Fallback>
        <control shapeId="26625" r:id="rId6" name="cmdNew"/>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sheetPr>
  <dimension ref="A1:Q112"/>
  <sheetViews>
    <sheetView view="pageBreakPreview" zoomScaleNormal="100" workbookViewId="0">
      <selection activeCell="G22" sqref="G22"/>
    </sheetView>
  </sheetViews>
  <sheetFormatPr defaultRowHeight="11.25" x14ac:dyDescent="0.2"/>
  <cols>
    <col min="1" max="4" width="2.7109375" style="363" customWidth="1"/>
    <col min="5" max="5" width="31.5703125" style="363" customWidth="1"/>
    <col min="6" max="6" width="30.5703125" style="363" hidden="1" customWidth="1"/>
    <col min="7" max="7" width="18.5703125" style="363" customWidth="1"/>
    <col min="8" max="8" width="18.5703125" style="363" hidden="1" customWidth="1"/>
    <col min="9" max="9" width="16.5703125" style="364" customWidth="1"/>
    <col min="10" max="16384" width="9.140625" style="363"/>
  </cols>
  <sheetData>
    <row r="1" spans="1:17" s="361" customFormat="1" ht="12" customHeight="1" x14ac:dyDescent="0.2">
      <c r="A1" s="503" t="s">
        <v>716</v>
      </c>
      <c r="B1" s="503"/>
      <c r="C1" s="503"/>
      <c r="D1" s="503"/>
      <c r="E1" s="503"/>
      <c r="F1" s="503"/>
      <c r="G1" s="503"/>
      <c r="H1" s="360"/>
      <c r="I1" s="360" t="s">
        <v>622</v>
      </c>
      <c r="J1" s="360"/>
      <c r="K1" s="360"/>
      <c r="L1" s="360"/>
      <c r="M1" s="360"/>
      <c r="N1" s="360"/>
      <c r="O1" s="360"/>
      <c r="P1" s="360"/>
      <c r="Q1" s="360"/>
    </row>
    <row r="2" spans="1:17" s="361" customFormat="1" ht="12" customHeight="1" x14ac:dyDescent="0.2">
      <c r="A2" s="503" t="s">
        <v>717</v>
      </c>
      <c r="B2" s="503"/>
      <c r="C2" s="503"/>
      <c r="D2" s="503"/>
      <c r="E2" s="503"/>
      <c r="F2" s="503"/>
      <c r="G2" s="503"/>
      <c r="H2" s="360"/>
      <c r="I2" s="362"/>
      <c r="J2" s="360"/>
      <c r="K2" s="360"/>
      <c r="L2" s="360"/>
      <c r="M2" s="360"/>
      <c r="N2" s="360"/>
      <c r="O2" s="360"/>
      <c r="P2" s="360"/>
      <c r="Q2" s="360"/>
    </row>
    <row r="3" spans="1:17" ht="12" customHeight="1" x14ac:dyDescent="0.2">
      <c r="A3" s="362"/>
      <c r="B3" s="362"/>
      <c r="C3" s="362"/>
      <c r="D3" s="362"/>
      <c r="E3" s="362"/>
      <c r="F3" s="362"/>
      <c r="G3" s="362"/>
      <c r="H3" s="362"/>
      <c r="I3" s="360"/>
      <c r="J3" s="360"/>
      <c r="K3" s="360"/>
      <c r="L3" s="360"/>
      <c r="M3" s="360"/>
      <c r="N3" s="360"/>
      <c r="O3" s="360"/>
      <c r="P3" s="360"/>
      <c r="Q3" s="360"/>
    </row>
    <row r="4" spans="1:17" ht="12" customHeight="1" x14ac:dyDescent="0.2">
      <c r="B4" s="362"/>
      <c r="C4" s="362"/>
      <c r="D4" s="362"/>
      <c r="E4" s="362"/>
      <c r="F4" s="362"/>
      <c r="G4" s="362"/>
      <c r="H4" s="362"/>
      <c r="I4" s="362"/>
      <c r="J4" s="364"/>
      <c r="K4" s="364"/>
      <c r="L4" s="364"/>
      <c r="M4" s="364"/>
      <c r="N4" s="364"/>
      <c r="O4" s="364"/>
      <c r="P4" s="364"/>
      <c r="Q4" s="364"/>
    </row>
    <row r="5" spans="1:17" ht="12" customHeight="1" x14ac:dyDescent="0.2">
      <c r="B5" s="362"/>
      <c r="C5" s="362"/>
      <c r="D5" s="362"/>
      <c r="E5" s="362"/>
      <c r="F5" s="362"/>
      <c r="G5" s="362"/>
      <c r="H5" s="362"/>
      <c r="I5" s="362"/>
      <c r="J5" s="364"/>
      <c r="K5" s="364"/>
      <c r="L5" s="364"/>
      <c r="M5" s="364"/>
      <c r="N5" s="364"/>
      <c r="O5" s="364"/>
      <c r="P5" s="364"/>
      <c r="Q5" s="364"/>
    </row>
    <row r="6" spans="1:17" ht="12" customHeight="1" thickBot="1" x14ac:dyDescent="0.25">
      <c r="A6" s="364"/>
      <c r="B6" s="364"/>
      <c r="C6" s="364"/>
      <c r="D6" s="364"/>
      <c r="E6" s="364"/>
      <c r="F6" s="364"/>
      <c r="G6" s="364"/>
      <c r="H6" s="364"/>
      <c r="J6" s="364"/>
      <c r="K6" s="364"/>
      <c r="L6" s="364"/>
      <c r="M6" s="364"/>
      <c r="N6" s="364"/>
      <c r="O6" s="364"/>
      <c r="P6" s="364"/>
      <c r="Q6" s="364"/>
    </row>
    <row r="7" spans="1:17" ht="12" customHeight="1" thickTop="1" x14ac:dyDescent="0.2">
      <c r="A7" s="512"/>
      <c r="B7" s="513"/>
      <c r="C7" s="513"/>
      <c r="D7" s="513"/>
      <c r="E7" s="513"/>
      <c r="F7" s="365"/>
      <c r="G7" s="518" t="s">
        <v>430</v>
      </c>
      <c r="H7" s="366"/>
      <c r="I7" s="509" t="s">
        <v>621</v>
      </c>
      <c r="J7" s="364"/>
      <c r="K7" s="364"/>
      <c r="L7" s="364"/>
      <c r="M7" s="364"/>
      <c r="N7" s="364"/>
      <c r="O7" s="364"/>
      <c r="P7" s="364"/>
      <c r="Q7" s="364"/>
    </row>
    <row r="8" spans="1:17" ht="12" customHeight="1" x14ac:dyDescent="0.2">
      <c r="A8" s="514"/>
      <c r="B8" s="515"/>
      <c r="C8" s="515"/>
      <c r="D8" s="515"/>
      <c r="E8" s="515"/>
      <c r="F8" s="367"/>
      <c r="G8" s="519"/>
      <c r="H8" s="368"/>
      <c r="I8" s="510"/>
      <c r="J8" s="364"/>
      <c r="K8" s="364"/>
      <c r="L8" s="364"/>
      <c r="M8" s="364"/>
      <c r="N8" s="364"/>
      <c r="O8" s="364"/>
      <c r="P8" s="364"/>
      <c r="Q8" s="364"/>
    </row>
    <row r="9" spans="1:17" s="371" customFormat="1" ht="12" customHeight="1" thickBot="1" x14ac:dyDescent="0.3">
      <c r="A9" s="516"/>
      <c r="B9" s="517"/>
      <c r="C9" s="517"/>
      <c r="D9" s="517"/>
      <c r="E9" s="517"/>
      <c r="F9" s="369"/>
      <c r="G9" s="520"/>
      <c r="H9" s="370"/>
      <c r="I9" s="511"/>
    </row>
    <row r="10" spans="1:17" s="378" customFormat="1" ht="12" customHeight="1" thickTop="1" x14ac:dyDescent="0.25">
      <c r="A10" s="372" t="s">
        <v>484</v>
      </c>
      <c r="B10" s="373" t="s">
        <v>485</v>
      </c>
      <c r="C10" s="374"/>
      <c r="D10" s="374"/>
      <c r="E10" s="375"/>
      <c r="F10" s="374"/>
      <c r="G10" s="376" t="s">
        <v>449</v>
      </c>
      <c r="H10" s="377"/>
      <c r="I10" s="460">
        <f>'1A'!I26</f>
        <v>0</v>
      </c>
    </row>
    <row r="11" spans="1:17" s="378" customFormat="1" ht="12" customHeight="1" x14ac:dyDescent="0.25">
      <c r="A11" s="379"/>
      <c r="B11" s="380"/>
      <c r="C11" s="380"/>
      <c r="D11" s="380"/>
      <c r="E11" s="381"/>
      <c r="F11" s="380"/>
      <c r="G11" s="382"/>
      <c r="H11" s="383"/>
      <c r="I11" s="76"/>
    </row>
    <row r="12" spans="1:17" s="378" customFormat="1" ht="12" customHeight="1" x14ac:dyDescent="0.25">
      <c r="A12" s="384" t="s">
        <v>486</v>
      </c>
      <c r="B12" s="385" t="s">
        <v>487</v>
      </c>
      <c r="C12" s="385"/>
      <c r="D12" s="380"/>
      <c r="E12" s="381"/>
      <c r="F12" s="380"/>
      <c r="G12" s="382"/>
      <c r="H12" s="383"/>
      <c r="I12" s="76"/>
    </row>
    <row r="13" spans="1:17" s="378" customFormat="1" ht="12" customHeight="1" x14ac:dyDescent="0.25">
      <c r="A13" s="386"/>
      <c r="B13" s="380" t="s">
        <v>488</v>
      </c>
      <c r="C13" s="504" t="s">
        <v>15</v>
      </c>
      <c r="D13" s="505"/>
      <c r="E13" s="506"/>
      <c r="F13" s="380"/>
      <c r="G13" s="382" t="s">
        <v>489</v>
      </c>
      <c r="H13" s="383"/>
      <c r="I13" s="461">
        <f>I10*0.08</f>
        <v>0</v>
      </c>
    </row>
    <row r="14" spans="1:17" s="378" customFormat="1" ht="12" customHeight="1" x14ac:dyDescent="0.25">
      <c r="A14" s="386"/>
      <c r="B14" s="380" t="s">
        <v>490</v>
      </c>
      <c r="C14" s="507" t="s">
        <v>14</v>
      </c>
      <c r="D14" s="508"/>
      <c r="E14" s="502"/>
      <c r="F14" s="380"/>
      <c r="G14" s="382" t="s">
        <v>491</v>
      </c>
      <c r="H14" s="383"/>
      <c r="I14" s="461">
        <f>I10*0.02</f>
        <v>0</v>
      </c>
    </row>
    <row r="15" spans="1:17" s="378" customFormat="1" ht="12" customHeight="1" x14ac:dyDescent="0.25">
      <c r="A15" s="379"/>
      <c r="B15" s="380"/>
      <c r="C15" s="380"/>
      <c r="D15" s="380"/>
      <c r="E15" s="381"/>
      <c r="F15" s="380"/>
      <c r="G15" s="382"/>
      <c r="H15" s="383"/>
      <c r="I15" s="76"/>
    </row>
    <row r="16" spans="1:17" s="378" customFormat="1" ht="24" customHeight="1" x14ac:dyDescent="0.25">
      <c r="A16" s="384" t="s">
        <v>492</v>
      </c>
      <c r="B16" s="498" t="s">
        <v>493</v>
      </c>
      <c r="C16" s="499"/>
      <c r="D16" s="499"/>
      <c r="E16" s="500"/>
      <c r="F16" s="380"/>
      <c r="G16" s="382"/>
      <c r="H16" s="383"/>
      <c r="I16" s="76"/>
    </row>
    <row r="17" spans="1:9" s="378" customFormat="1" x14ac:dyDescent="0.25">
      <c r="A17" s="379"/>
      <c r="B17" s="380" t="s">
        <v>488</v>
      </c>
      <c r="C17" s="380" t="s">
        <v>495</v>
      </c>
      <c r="D17" s="380"/>
      <c r="E17" s="381"/>
      <c r="F17" s="380"/>
      <c r="G17" s="382"/>
      <c r="H17" s="383"/>
      <c r="I17" s="76"/>
    </row>
    <row r="18" spans="1:9" s="378" customFormat="1" x14ac:dyDescent="0.25">
      <c r="A18" s="379"/>
      <c r="B18" s="387"/>
      <c r="C18" s="380" t="s">
        <v>496</v>
      </c>
      <c r="D18" s="380"/>
      <c r="E18" s="381"/>
      <c r="F18" s="380"/>
      <c r="G18" s="382" t="s">
        <v>497</v>
      </c>
      <c r="H18" s="383"/>
      <c r="I18" s="461">
        <f>'1B'!K28</f>
        <v>0</v>
      </c>
    </row>
    <row r="19" spans="1:9" s="378" customFormat="1" ht="12" customHeight="1" x14ac:dyDescent="0.25">
      <c r="A19" s="379"/>
      <c r="B19" s="387"/>
      <c r="C19" s="357"/>
      <c r="D19" s="501" t="s">
        <v>498</v>
      </c>
      <c r="E19" s="502"/>
      <c r="F19" s="380"/>
      <c r="G19" s="382" t="s">
        <v>499</v>
      </c>
      <c r="H19" s="383"/>
      <c r="I19" s="461">
        <f>'1B'!K10</f>
        <v>0</v>
      </c>
    </row>
    <row r="20" spans="1:9" s="378" customFormat="1" x14ac:dyDescent="0.25">
      <c r="A20" s="379"/>
      <c r="B20" s="387"/>
      <c r="C20" s="380"/>
      <c r="D20" s="380" t="s">
        <v>500</v>
      </c>
      <c r="E20" s="381"/>
      <c r="F20" s="380"/>
      <c r="G20" s="382" t="s">
        <v>501</v>
      </c>
      <c r="H20" s="383"/>
      <c r="I20" s="461">
        <f>'1B'!K23</f>
        <v>0</v>
      </c>
    </row>
    <row r="21" spans="1:9" s="378" customFormat="1" x14ac:dyDescent="0.25">
      <c r="A21" s="379"/>
      <c r="B21" s="387"/>
      <c r="C21" s="380" t="s">
        <v>502</v>
      </c>
      <c r="D21" s="380"/>
      <c r="E21" s="381"/>
      <c r="F21" s="380"/>
      <c r="G21" s="382" t="s">
        <v>503</v>
      </c>
      <c r="H21" s="383"/>
      <c r="I21" s="461">
        <f>I18-I13</f>
        <v>0</v>
      </c>
    </row>
    <row r="22" spans="1:9" s="378" customFormat="1" x14ac:dyDescent="0.25">
      <c r="A22" s="379"/>
      <c r="B22" s="387"/>
      <c r="C22" s="380" t="s">
        <v>504</v>
      </c>
      <c r="D22" s="380"/>
      <c r="E22" s="381"/>
      <c r="F22" s="380"/>
      <c r="G22" s="382" t="s">
        <v>505</v>
      </c>
      <c r="H22" s="383"/>
      <c r="I22" s="402">
        <f>IF(I10&lt;&gt;0,I18/I10,0)</f>
        <v>0</v>
      </c>
    </row>
    <row r="23" spans="1:9" s="378" customFormat="1" x14ac:dyDescent="0.25">
      <c r="A23" s="379"/>
      <c r="B23" s="387"/>
      <c r="C23" s="380"/>
      <c r="D23" s="380"/>
      <c r="E23" s="381"/>
      <c r="F23" s="380"/>
      <c r="G23" s="382"/>
      <c r="H23" s="383"/>
      <c r="I23" s="76"/>
    </row>
    <row r="24" spans="1:9" s="378" customFormat="1" x14ac:dyDescent="0.25">
      <c r="A24" s="379"/>
      <c r="B24" s="380" t="s">
        <v>490</v>
      </c>
      <c r="C24" s="380" t="s">
        <v>506</v>
      </c>
      <c r="D24" s="380"/>
      <c r="E24" s="381"/>
      <c r="F24" s="380"/>
      <c r="G24" s="382"/>
      <c r="H24" s="383"/>
      <c r="I24" s="76"/>
    </row>
    <row r="25" spans="1:9" s="378" customFormat="1" x14ac:dyDescent="0.25">
      <c r="A25" s="379"/>
      <c r="B25" s="387"/>
      <c r="C25" s="380" t="s">
        <v>507</v>
      </c>
      <c r="D25" s="380"/>
      <c r="E25" s="381"/>
      <c r="F25" s="380"/>
      <c r="G25" s="382" t="s">
        <v>508</v>
      </c>
      <c r="H25" s="383"/>
      <c r="I25" s="461">
        <f>I26+I27</f>
        <v>0</v>
      </c>
    </row>
    <row r="26" spans="1:9" s="378" customFormat="1" ht="12" customHeight="1" x14ac:dyDescent="0.25">
      <c r="A26" s="379"/>
      <c r="B26" s="387"/>
      <c r="C26" s="357"/>
      <c r="D26" s="501" t="s">
        <v>509</v>
      </c>
      <c r="E26" s="502"/>
      <c r="F26" s="380"/>
      <c r="G26" s="382" t="s">
        <v>510</v>
      </c>
      <c r="H26" s="388"/>
      <c r="I26" s="462">
        <f>'1B'!L10</f>
        <v>0</v>
      </c>
    </row>
    <row r="27" spans="1:9" s="378" customFormat="1" x14ac:dyDescent="0.25">
      <c r="A27" s="379"/>
      <c r="B27" s="387"/>
      <c r="C27" s="380"/>
      <c r="D27" s="380" t="s">
        <v>511</v>
      </c>
      <c r="E27" s="381"/>
      <c r="F27" s="380"/>
      <c r="G27" s="382" t="s">
        <v>512</v>
      </c>
      <c r="H27" s="388"/>
      <c r="I27" s="462">
        <f>'1B'!L23</f>
        <v>0</v>
      </c>
    </row>
    <row r="28" spans="1:9" s="378" customFormat="1" x14ac:dyDescent="0.25">
      <c r="A28" s="379"/>
      <c r="B28" s="387"/>
      <c r="C28" s="380" t="s">
        <v>513</v>
      </c>
      <c r="D28" s="380"/>
      <c r="E28" s="381"/>
      <c r="F28" s="380"/>
      <c r="G28" s="382" t="s">
        <v>514</v>
      </c>
      <c r="H28" s="388"/>
      <c r="I28" s="463">
        <f>I25-I14</f>
        <v>0</v>
      </c>
    </row>
    <row r="29" spans="1:9" s="378" customFormat="1" ht="12" thickBot="1" x14ac:dyDescent="0.3">
      <c r="A29" s="389"/>
      <c r="B29" s="390"/>
      <c r="C29" s="391" t="s">
        <v>515</v>
      </c>
      <c r="D29" s="391"/>
      <c r="E29" s="392"/>
      <c r="F29" s="391"/>
      <c r="G29" s="393" t="s">
        <v>516</v>
      </c>
      <c r="H29" s="394"/>
      <c r="I29" s="403">
        <f>IF(I10&lt;&gt;0,I25/I10,0)</f>
        <v>0</v>
      </c>
    </row>
    <row r="30" spans="1:9" ht="12" thickTop="1" x14ac:dyDescent="0.2">
      <c r="A30" s="395"/>
      <c r="B30" s="395"/>
      <c r="C30" s="395"/>
      <c r="D30" s="395"/>
      <c r="E30" s="395"/>
      <c r="F30" s="395"/>
      <c r="G30" s="396" t="s">
        <v>432</v>
      </c>
      <c r="H30" s="396"/>
      <c r="I30" s="395"/>
    </row>
    <row r="31" spans="1:9" s="378" customFormat="1" x14ac:dyDescent="0.25">
      <c r="A31" s="397"/>
      <c r="B31" s="398"/>
      <c r="C31" s="399"/>
      <c r="D31" s="399"/>
      <c r="E31" s="399"/>
      <c r="F31" s="399"/>
      <c r="G31" s="400"/>
      <c r="H31" s="400"/>
      <c r="I31" s="63"/>
    </row>
    <row r="32" spans="1:9" x14ac:dyDescent="0.2">
      <c r="A32" s="395"/>
      <c r="B32" s="395"/>
      <c r="C32" s="395"/>
      <c r="D32" s="395"/>
      <c r="E32" s="395"/>
      <c r="F32" s="395"/>
      <c r="G32" s="395"/>
      <c r="H32" s="395"/>
      <c r="I32" s="401"/>
    </row>
    <row r="33" spans="1:9" x14ac:dyDescent="0.2">
      <c r="A33" s="395"/>
      <c r="B33" s="395"/>
      <c r="C33" s="395"/>
      <c r="D33" s="395"/>
      <c r="E33" s="395"/>
      <c r="F33" s="395"/>
      <c r="G33" s="395"/>
      <c r="H33" s="395"/>
      <c r="I33" s="401"/>
    </row>
    <row r="34" spans="1:9" x14ac:dyDescent="0.2">
      <c r="A34" s="395"/>
      <c r="B34" s="395"/>
      <c r="C34" s="395"/>
      <c r="D34" s="395"/>
      <c r="E34" s="395"/>
      <c r="F34" s="395"/>
      <c r="G34" s="395"/>
      <c r="H34" s="395"/>
      <c r="I34" s="401"/>
    </row>
    <row r="35" spans="1:9" x14ac:dyDescent="0.2">
      <c r="A35" s="395"/>
      <c r="B35" s="395"/>
      <c r="C35" s="395"/>
      <c r="D35" s="395"/>
      <c r="E35" s="395"/>
      <c r="F35" s="395"/>
      <c r="G35" s="395"/>
      <c r="H35" s="395"/>
      <c r="I35" s="401"/>
    </row>
    <row r="36" spans="1:9" x14ac:dyDescent="0.2">
      <c r="A36" s="395"/>
      <c r="B36" s="395"/>
      <c r="C36" s="395"/>
      <c r="D36" s="395"/>
      <c r="E36" s="395"/>
      <c r="F36" s="395"/>
      <c r="G36" s="395"/>
      <c r="H36" s="395"/>
      <c r="I36" s="401"/>
    </row>
    <row r="37" spans="1:9" x14ac:dyDescent="0.2">
      <c r="A37" s="395"/>
      <c r="B37" s="395"/>
      <c r="C37" s="395"/>
      <c r="D37" s="395"/>
      <c r="E37" s="395"/>
      <c r="F37" s="395"/>
      <c r="G37" s="395"/>
      <c r="H37" s="395"/>
      <c r="I37" s="401"/>
    </row>
    <row r="38" spans="1:9" ht="23.25" customHeight="1" x14ac:dyDescent="0.2">
      <c r="A38" s="395"/>
      <c r="B38" s="395"/>
      <c r="C38" s="497"/>
      <c r="D38" s="497"/>
      <c r="E38" s="497"/>
      <c r="F38" s="395"/>
      <c r="G38" s="395"/>
      <c r="H38" s="395"/>
      <c r="I38" s="401"/>
    </row>
    <row r="39" spans="1:9" x14ac:dyDescent="0.2">
      <c r="A39" s="395"/>
      <c r="B39" s="395"/>
      <c r="C39" s="395"/>
      <c r="D39" s="395"/>
      <c r="E39" s="395"/>
      <c r="F39" s="395"/>
      <c r="G39" s="395"/>
      <c r="H39" s="395"/>
      <c r="I39" s="401"/>
    </row>
    <row r="40" spans="1:9" x14ac:dyDescent="0.2">
      <c r="A40" s="395"/>
      <c r="B40" s="395"/>
      <c r="C40" s="395"/>
      <c r="D40" s="395"/>
      <c r="E40" s="395"/>
      <c r="F40" s="395"/>
      <c r="G40" s="395"/>
      <c r="H40" s="395"/>
      <c r="I40" s="401"/>
    </row>
    <row r="41" spans="1:9" x14ac:dyDescent="0.2">
      <c r="A41" s="395"/>
      <c r="B41" s="395"/>
      <c r="C41" s="395"/>
      <c r="D41" s="395"/>
      <c r="E41" s="395"/>
      <c r="F41" s="395"/>
      <c r="G41" s="395"/>
      <c r="H41" s="395"/>
      <c r="I41" s="401"/>
    </row>
    <row r="42" spans="1:9" x14ac:dyDescent="0.2">
      <c r="A42" s="395"/>
      <c r="B42" s="395"/>
      <c r="C42" s="395"/>
      <c r="D42" s="395"/>
      <c r="E42" s="395"/>
      <c r="F42" s="395"/>
      <c r="G42" s="395"/>
      <c r="H42" s="395"/>
      <c r="I42" s="401"/>
    </row>
    <row r="43" spans="1:9" x14ac:dyDescent="0.2">
      <c r="A43" s="395"/>
      <c r="B43" s="395"/>
      <c r="C43" s="395"/>
      <c r="D43" s="395"/>
      <c r="E43" s="395"/>
      <c r="F43" s="395"/>
      <c r="G43" s="395"/>
      <c r="H43" s="395"/>
      <c r="I43" s="401"/>
    </row>
    <row r="44" spans="1:9" x14ac:dyDescent="0.2">
      <c r="A44" s="395"/>
      <c r="B44" s="395"/>
      <c r="C44" s="395"/>
      <c r="D44" s="395"/>
      <c r="E44" s="395"/>
      <c r="F44" s="395"/>
      <c r="G44" s="395"/>
      <c r="H44" s="395"/>
      <c r="I44" s="401"/>
    </row>
    <row r="49" spans="9:9" ht="33.75" customHeight="1" x14ac:dyDescent="0.2"/>
    <row r="51" spans="9:9" ht="45" customHeight="1" x14ac:dyDescent="0.2">
      <c r="I51" s="363"/>
    </row>
    <row r="110" spans="2:5" ht="22.5" customHeight="1" x14ac:dyDescent="0.2">
      <c r="C110" s="496"/>
      <c r="D110" s="496"/>
      <c r="E110" s="496"/>
    </row>
    <row r="111" spans="2:5" ht="23.25" customHeight="1" x14ac:dyDescent="0.2">
      <c r="C111" s="496"/>
      <c r="D111" s="496"/>
      <c r="E111" s="496"/>
    </row>
    <row r="112" spans="2:5" ht="22.5" customHeight="1" x14ac:dyDescent="0.2">
      <c r="B112" s="496"/>
      <c r="C112" s="496"/>
      <c r="D112" s="496"/>
      <c r="E112" s="496"/>
    </row>
  </sheetData>
  <sheetProtection sheet="1" objects="1" scenarios="1"/>
  <mergeCells count="14">
    <mergeCell ref="A1:G1"/>
    <mergeCell ref="A2:G2"/>
    <mergeCell ref="C13:E13"/>
    <mergeCell ref="C14:E14"/>
    <mergeCell ref="I7:I9"/>
    <mergeCell ref="A7:E9"/>
    <mergeCell ref="G7:G9"/>
    <mergeCell ref="C111:E111"/>
    <mergeCell ref="B112:E112"/>
    <mergeCell ref="C38:E38"/>
    <mergeCell ref="C110:E110"/>
    <mergeCell ref="B16:E16"/>
    <mergeCell ref="D19:E19"/>
    <mergeCell ref="D26:E26"/>
  </mergeCells>
  <phoneticPr fontId="8" type="noConversion"/>
  <dataValidations count="1">
    <dataValidation type="decimal" allowBlank="1" showInputMessage="1" showErrorMessage="1" sqref="A1:XFD1048576">
      <formula1>0</formula1>
      <formula2>999999999999999</formula2>
    </dataValidation>
  </dataValidations>
  <printOptions horizontalCentered="1"/>
  <pageMargins left="0.15" right="0.55000000000000004" top="1" bottom="0.26" header="0.5" footer="0.25"/>
  <pageSetup paperSize="9" scale="80" orientation="landscape" horizontalDpi="4294967294" verticalDpi="300" r:id="rId1"/>
  <headerFooter alignWithMargins="0">
    <oddHeader>&amp;L&amp;"Arial,Bold"&amp;8
&amp;R&amp;"Arial,Bold"&amp;8Page &amp;P of &amp;N&amp;C&amp;"Arial,Bold"&amp;8 NEW RURAK BANK OF SAN LEONRADO, INC.  [ 04-040656 ]
 As of: September 30, 2017</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J34"/>
  <sheetViews>
    <sheetView topLeftCell="A12" zoomScaleNormal="100" zoomScaleSheetLayoutView="100" workbookViewId="0">
      <selection activeCell="I18" sqref="I18"/>
    </sheetView>
  </sheetViews>
  <sheetFormatPr defaultRowHeight="11.25" x14ac:dyDescent="0.2"/>
  <cols>
    <col min="1" max="4" width="2.7109375" style="98" customWidth="1"/>
    <col min="5" max="5" width="31.5703125" style="98" customWidth="1"/>
    <col min="6" max="6" width="31.5703125" style="98" hidden="1" customWidth="1"/>
    <col min="7" max="7" width="18.5703125" style="98" customWidth="1"/>
    <col min="8" max="8" width="18.5703125" style="98" hidden="1" customWidth="1"/>
    <col min="9" max="9" width="16.5703125" style="121" customWidth="1"/>
    <col min="10" max="10" width="15.7109375" style="98" customWidth="1"/>
    <col min="11" max="16384" width="9.140625" style="98"/>
  </cols>
  <sheetData>
    <row r="1" spans="1:10" ht="12" customHeight="1" x14ac:dyDescent="0.2">
      <c r="A1" s="530" t="s">
        <v>626</v>
      </c>
      <c r="B1" s="530"/>
      <c r="C1" s="530"/>
      <c r="D1" s="530"/>
      <c r="E1" s="530"/>
      <c r="F1" s="530"/>
      <c r="G1" s="530"/>
      <c r="H1" s="97"/>
      <c r="I1" s="97" t="s">
        <v>462</v>
      </c>
    </row>
    <row r="2" spans="1:10" ht="12" customHeight="1" x14ac:dyDescent="0.2">
      <c r="A2" s="530" t="s">
        <v>678</v>
      </c>
      <c r="B2" s="530"/>
      <c r="C2" s="530"/>
      <c r="D2" s="530"/>
      <c r="E2" s="530"/>
      <c r="F2" s="530"/>
      <c r="G2" s="530"/>
      <c r="H2" s="97"/>
      <c r="I2" s="128"/>
      <c r="J2" s="97"/>
    </row>
    <row r="3" spans="1:10" ht="12" customHeight="1" x14ac:dyDescent="0.2">
      <c r="A3" s="530" t="s">
        <v>478</v>
      </c>
      <c r="B3" s="530"/>
      <c r="C3" s="530"/>
      <c r="D3" s="530"/>
      <c r="E3" s="530"/>
      <c r="F3" s="530"/>
      <c r="G3" s="530"/>
      <c r="H3" s="97"/>
      <c r="I3" s="128"/>
      <c r="J3" s="97"/>
    </row>
    <row r="4" spans="1:10" ht="12" customHeight="1" x14ac:dyDescent="0.2">
      <c r="A4" s="97"/>
      <c r="B4" s="97"/>
      <c r="C4" s="97"/>
      <c r="D4" s="97"/>
      <c r="E4" s="97"/>
      <c r="F4" s="97"/>
      <c r="G4" s="97"/>
      <c r="H4" s="97"/>
      <c r="I4" s="128"/>
      <c r="J4" s="97"/>
    </row>
    <row r="5" spans="1:10" ht="12" customHeight="1" x14ac:dyDescent="0.2">
      <c r="B5" s="128"/>
      <c r="C5" s="128"/>
      <c r="D5" s="128"/>
      <c r="E5" s="128"/>
      <c r="F5" s="128"/>
      <c r="G5" s="128"/>
      <c r="H5" s="128"/>
      <c r="I5" s="128"/>
      <c r="J5" s="128"/>
    </row>
    <row r="6" spans="1:10" ht="12" customHeight="1" thickBot="1" x14ac:dyDescent="0.25">
      <c r="B6" s="128"/>
      <c r="C6" s="128"/>
      <c r="D6" s="128"/>
      <c r="E6" s="128"/>
      <c r="F6" s="128"/>
      <c r="G6" s="128"/>
      <c r="H6" s="128"/>
      <c r="I6" s="128"/>
      <c r="J6" s="128"/>
    </row>
    <row r="7" spans="1:10" ht="12" customHeight="1" thickTop="1" thickBot="1" x14ac:dyDescent="0.25">
      <c r="A7" s="255"/>
      <c r="B7" s="256"/>
      <c r="C7" s="256"/>
      <c r="D7" s="256"/>
      <c r="E7" s="256"/>
      <c r="F7" s="257"/>
      <c r="G7" s="524" t="s">
        <v>430</v>
      </c>
      <c r="H7" s="318"/>
      <c r="I7" s="527" t="s">
        <v>632</v>
      </c>
      <c r="J7" s="97"/>
    </row>
    <row r="8" spans="1:10" ht="12" customHeight="1" thickTop="1" x14ac:dyDescent="0.2">
      <c r="A8" s="258"/>
      <c r="B8" s="246"/>
      <c r="C8" s="246"/>
      <c r="D8" s="246"/>
      <c r="E8" s="246"/>
      <c r="F8" s="259"/>
      <c r="G8" s="525"/>
      <c r="H8" s="319"/>
      <c r="I8" s="528"/>
      <c r="J8" s="99"/>
    </row>
    <row r="9" spans="1:10" ht="12" customHeight="1" thickBot="1" x14ac:dyDescent="0.25">
      <c r="A9" s="251"/>
      <c r="B9" s="247"/>
      <c r="C9" s="247"/>
      <c r="D9" s="247"/>
      <c r="E9" s="247"/>
      <c r="F9" s="260"/>
      <c r="G9" s="526"/>
      <c r="H9" s="320"/>
      <c r="I9" s="529"/>
    </row>
    <row r="10" spans="1:10" ht="12" customHeight="1" thickTop="1" x14ac:dyDescent="0.2">
      <c r="A10" s="108" t="s">
        <v>9</v>
      </c>
      <c r="B10" s="248" t="s">
        <v>18</v>
      </c>
      <c r="C10" s="249"/>
      <c r="D10" s="249"/>
      <c r="E10" s="250"/>
      <c r="F10" s="252"/>
      <c r="G10" s="253"/>
      <c r="H10" s="321"/>
      <c r="I10" s="254"/>
    </row>
    <row r="11" spans="1:10" ht="12" customHeight="1" x14ac:dyDescent="0.2">
      <c r="A11" s="100"/>
      <c r="B11" s="242" t="s">
        <v>450</v>
      </c>
      <c r="C11" s="101" t="s">
        <v>633</v>
      </c>
      <c r="D11" s="101"/>
      <c r="E11" s="102"/>
      <c r="F11" s="103"/>
      <c r="G11" s="173" t="s">
        <v>439</v>
      </c>
      <c r="H11" s="322"/>
      <c r="I11" s="404"/>
    </row>
    <row r="12" spans="1:10" ht="12" customHeight="1" x14ac:dyDescent="0.2">
      <c r="A12" s="100"/>
      <c r="B12" s="243" t="s">
        <v>451</v>
      </c>
      <c r="C12" s="104" t="s">
        <v>634</v>
      </c>
      <c r="D12" s="104"/>
      <c r="E12" s="102"/>
      <c r="F12" s="103"/>
      <c r="G12" s="174" t="s">
        <v>428</v>
      </c>
      <c r="H12" s="323"/>
      <c r="I12" s="404"/>
    </row>
    <row r="13" spans="1:10" ht="45.75" customHeight="1" x14ac:dyDescent="0.25">
      <c r="A13" s="100"/>
      <c r="B13" s="244" t="s">
        <v>452</v>
      </c>
      <c r="C13" s="535" t="s">
        <v>635</v>
      </c>
      <c r="D13" s="536"/>
      <c r="E13" s="537"/>
      <c r="F13" s="103"/>
      <c r="G13" s="174" t="s">
        <v>427</v>
      </c>
      <c r="H13" s="323"/>
      <c r="I13" s="404"/>
    </row>
    <row r="14" spans="1:10" ht="12" customHeight="1" x14ac:dyDescent="0.2">
      <c r="A14" s="100"/>
      <c r="B14" s="105"/>
      <c r="C14" s="538" t="s">
        <v>435</v>
      </c>
      <c r="D14" s="538"/>
      <c r="E14" s="539"/>
      <c r="F14" s="103"/>
      <c r="G14" s="174" t="s">
        <v>440</v>
      </c>
      <c r="H14" s="323"/>
      <c r="I14" s="353">
        <f>SUM(I11:I13)</f>
        <v>0</v>
      </c>
    </row>
    <row r="15" spans="1:10" ht="12" customHeight="1" x14ac:dyDescent="0.25">
      <c r="A15" s="100"/>
      <c r="B15" s="105"/>
      <c r="C15" s="106"/>
      <c r="D15" s="106"/>
      <c r="E15" s="107"/>
      <c r="F15" s="103"/>
      <c r="G15" s="174"/>
      <c r="H15" s="323"/>
      <c r="I15" s="349"/>
    </row>
    <row r="16" spans="1:10" ht="12" customHeight="1" x14ac:dyDescent="0.2">
      <c r="A16" s="108" t="s">
        <v>16</v>
      </c>
      <c r="B16" s="241" t="s">
        <v>19</v>
      </c>
      <c r="C16" s="104"/>
      <c r="D16" s="104"/>
      <c r="E16" s="102"/>
      <c r="F16" s="103"/>
      <c r="G16" s="174"/>
      <c r="H16" s="323"/>
      <c r="I16" s="349"/>
    </row>
    <row r="17" spans="1:10" ht="45.75" customHeight="1" x14ac:dyDescent="0.25">
      <c r="A17" s="100" t="s">
        <v>426</v>
      </c>
      <c r="B17" s="245"/>
      <c r="C17" s="521" t="s">
        <v>669</v>
      </c>
      <c r="D17" s="522"/>
      <c r="E17" s="523"/>
      <c r="F17" s="103"/>
      <c r="G17" s="174" t="s">
        <v>441</v>
      </c>
      <c r="H17" s="323"/>
      <c r="I17" s="404"/>
    </row>
    <row r="18" spans="1:10" ht="36" customHeight="1" x14ac:dyDescent="0.25">
      <c r="A18" s="100" t="s">
        <v>425</v>
      </c>
      <c r="B18" s="205"/>
      <c r="C18" s="521" t="s">
        <v>437</v>
      </c>
      <c r="D18" s="522"/>
      <c r="E18" s="523"/>
      <c r="F18" s="103"/>
      <c r="G18" s="174" t="s">
        <v>442</v>
      </c>
      <c r="H18" s="323"/>
      <c r="I18" s="353">
        <f>'1A-1'!J13</f>
        <v>0</v>
      </c>
    </row>
    <row r="19" spans="1:10" ht="24" customHeight="1" x14ac:dyDescent="0.25">
      <c r="A19" s="100" t="s">
        <v>424</v>
      </c>
      <c r="B19" s="205"/>
      <c r="C19" s="521" t="s">
        <v>438</v>
      </c>
      <c r="D19" s="522"/>
      <c r="E19" s="523"/>
      <c r="F19" s="103"/>
      <c r="G19" s="174" t="s">
        <v>443</v>
      </c>
      <c r="H19" s="323"/>
      <c r="I19" s="353">
        <f>'1A-2'!I14</f>
        <v>0</v>
      </c>
    </row>
    <row r="20" spans="1:10" ht="36" customHeight="1" x14ac:dyDescent="0.25">
      <c r="A20" s="100" t="s">
        <v>423</v>
      </c>
      <c r="B20" s="205"/>
      <c r="C20" s="521" t="s">
        <v>670</v>
      </c>
      <c r="D20" s="522"/>
      <c r="E20" s="523"/>
      <c r="F20" s="103"/>
      <c r="G20" s="174" t="s">
        <v>444</v>
      </c>
      <c r="H20" s="323"/>
      <c r="I20" s="353">
        <f>'1A-3'!U22</f>
        <v>0</v>
      </c>
    </row>
    <row r="21" spans="1:10" ht="36" customHeight="1" x14ac:dyDescent="0.25">
      <c r="A21" s="100" t="s">
        <v>422</v>
      </c>
      <c r="B21" s="205"/>
      <c r="C21" s="521" t="s">
        <v>674</v>
      </c>
      <c r="D21" s="522"/>
      <c r="E21" s="523"/>
      <c r="F21" s="103"/>
      <c r="G21" s="174" t="s">
        <v>676</v>
      </c>
      <c r="H21" s="323"/>
      <c r="I21" s="404"/>
    </row>
    <row r="22" spans="1:10" ht="24" customHeight="1" x14ac:dyDescent="0.25">
      <c r="A22" s="100" t="s">
        <v>671</v>
      </c>
      <c r="B22" s="205"/>
      <c r="C22" s="521" t="s">
        <v>675</v>
      </c>
      <c r="D22" s="522"/>
      <c r="E22" s="523"/>
      <c r="F22" s="103"/>
      <c r="G22" s="174" t="s">
        <v>677</v>
      </c>
      <c r="H22" s="323"/>
      <c r="I22" s="404"/>
    </row>
    <row r="23" spans="1:10" ht="48" customHeight="1" x14ac:dyDescent="0.2">
      <c r="A23" s="100" t="s">
        <v>672</v>
      </c>
      <c r="B23" s="205"/>
      <c r="C23" s="531" t="s">
        <v>434</v>
      </c>
      <c r="D23" s="532"/>
      <c r="E23" s="533"/>
      <c r="F23" s="103"/>
      <c r="G23" s="174" t="s">
        <v>445</v>
      </c>
      <c r="H23" s="323"/>
      <c r="I23" s="353">
        <f>I13</f>
        <v>0</v>
      </c>
    </row>
    <row r="24" spans="1:10" ht="12" customHeight="1" x14ac:dyDescent="0.2">
      <c r="A24" s="109"/>
      <c r="B24" s="110"/>
      <c r="C24" s="538" t="s">
        <v>446</v>
      </c>
      <c r="D24" s="538"/>
      <c r="E24" s="539"/>
      <c r="F24" s="111"/>
      <c r="G24" s="174" t="s">
        <v>447</v>
      </c>
      <c r="H24" s="324"/>
      <c r="I24" s="405">
        <f>SUM(I17:I23)</f>
        <v>0</v>
      </c>
    </row>
    <row r="25" spans="1:10" ht="12" customHeight="1" x14ac:dyDescent="0.25">
      <c r="A25" s="109"/>
      <c r="B25" s="110"/>
      <c r="C25" s="112"/>
      <c r="D25" s="112"/>
      <c r="E25" s="113"/>
      <c r="F25" s="111"/>
      <c r="G25" s="175"/>
      <c r="H25" s="324"/>
      <c r="I25" s="406"/>
    </row>
    <row r="26" spans="1:10" ht="12" customHeight="1" x14ac:dyDescent="0.25">
      <c r="A26" s="129" t="s">
        <v>448</v>
      </c>
      <c r="B26" s="110"/>
      <c r="C26" s="112"/>
      <c r="D26" s="112"/>
      <c r="E26" s="113"/>
      <c r="F26" s="111"/>
      <c r="G26" s="174" t="s">
        <v>449</v>
      </c>
      <c r="H26" s="323"/>
      <c r="I26" s="353">
        <f>I14-I24</f>
        <v>0</v>
      </c>
    </row>
    <row r="27" spans="1:10" ht="12" customHeight="1" thickBot="1" x14ac:dyDescent="0.25">
      <c r="A27" s="114"/>
      <c r="B27" s="115"/>
      <c r="C27" s="115"/>
      <c r="D27" s="115"/>
      <c r="E27" s="116"/>
      <c r="F27" s="117"/>
      <c r="G27" s="118"/>
      <c r="H27" s="325"/>
      <c r="I27" s="119"/>
    </row>
    <row r="28" spans="1:10" ht="12" customHeight="1" thickTop="1" x14ac:dyDescent="0.2">
      <c r="A28" s="130"/>
      <c r="B28" s="131"/>
      <c r="C28" s="131"/>
      <c r="D28" s="131"/>
      <c r="E28" s="99"/>
      <c r="F28" s="99"/>
      <c r="G28" s="120" t="s">
        <v>432</v>
      </c>
      <c r="H28" s="120"/>
      <c r="I28" s="133"/>
    </row>
    <row r="29" spans="1:10" ht="12" customHeight="1" x14ac:dyDescent="0.2">
      <c r="A29" s="229" t="s">
        <v>618</v>
      </c>
      <c r="B29" s="230" t="s">
        <v>583</v>
      </c>
      <c r="D29" s="131"/>
      <c r="E29" s="99"/>
      <c r="F29" s="99"/>
      <c r="G29" s="99"/>
      <c r="H29" s="99"/>
      <c r="I29" s="132"/>
      <c r="J29" s="133"/>
    </row>
    <row r="30" spans="1:10" ht="12" customHeight="1" x14ac:dyDescent="0.2">
      <c r="A30" s="229" t="s">
        <v>619</v>
      </c>
      <c r="B30" s="230" t="s">
        <v>627</v>
      </c>
      <c r="D30" s="131"/>
      <c r="E30" s="99"/>
      <c r="F30" s="99"/>
      <c r="G30" s="99"/>
      <c r="H30" s="99"/>
      <c r="I30" s="132"/>
      <c r="J30" s="133"/>
    </row>
    <row r="31" spans="1:10" ht="12" customHeight="1" x14ac:dyDescent="0.2">
      <c r="A31" s="229" t="s">
        <v>680</v>
      </c>
      <c r="B31" s="230" t="s">
        <v>628</v>
      </c>
      <c r="D31" s="131"/>
      <c r="E31" s="99"/>
      <c r="F31" s="99"/>
      <c r="G31" s="99"/>
      <c r="H31" s="99"/>
      <c r="I31" s="132"/>
      <c r="J31" s="133"/>
    </row>
    <row r="32" spans="1:10" ht="12" customHeight="1" x14ac:dyDescent="0.2">
      <c r="A32" s="231" t="s">
        <v>681</v>
      </c>
      <c r="B32" s="534" t="s">
        <v>679</v>
      </c>
      <c r="C32" s="534"/>
      <c r="D32" s="534"/>
      <c r="E32" s="534"/>
      <c r="F32" s="534"/>
      <c r="G32" s="534"/>
      <c r="H32" s="534"/>
      <c r="I32" s="534"/>
      <c r="J32" s="240"/>
    </row>
    <row r="33" spans="1:10" ht="12" customHeight="1" x14ac:dyDescent="0.2">
      <c r="A33" s="130"/>
      <c r="B33" s="534"/>
      <c r="C33" s="534"/>
      <c r="D33" s="534"/>
      <c r="E33" s="534"/>
      <c r="F33" s="534"/>
      <c r="G33" s="534"/>
      <c r="H33" s="534"/>
      <c r="I33" s="534"/>
      <c r="J33" s="240"/>
    </row>
    <row r="34" spans="1:10" ht="12" customHeight="1" x14ac:dyDescent="0.25">
      <c r="B34" s="72"/>
      <c r="C34" s="73"/>
      <c r="I34" s="98"/>
    </row>
  </sheetData>
  <sheetProtection sheet="1" objects="1" scenarios="1"/>
  <mergeCells count="16">
    <mergeCell ref="C23:E23"/>
    <mergeCell ref="B32:I33"/>
    <mergeCell ref="C13:E13"/>
    <mergeCell ref="C17:E17"/>
    <mergeCell ref="C18:E18"/>
    <mergeCell ref="C19:E19"/>
    <mergeCell ref="C20:E20"/>
    <mergeCell ref="C21:E21"/>
    <mergeCell ref="C14:E14"/>
    <mergeCell ref="C24:E24"/>
    <mergeCell ref="C22:E22"/>
    <mergeCell ref="G7:G9"/>
    <mergeCell ref="I7:I9"/>
    <mergeCell ref="A1:G1"/>
    <mergeCell ref="A2:G2"/>
    <mergeCell ref="A3:G3"/>
  </mergeCells>
  <phoneticPr fontId="0" type="noConversion"/>
  <dataValidations count="2">
    <dataValidation type="decimal" allowBlank="1" showInputMessage="1" showErrorMessage="1" error="Invalid Input." sqref="J29:J31 I10 I27:I28">
      <formula1>-999999999999.99</formula1>
      <formula2>999999999999.99</formula2>
    </dataValidation>
    <dataValidation type="decimal" allowBlank="1" showInputMessage="1" showErrorMessage="1" error="Invalid Input." sqref="I11:I26">
      <formula1>0</formula1>
      <formula2>999999999999999</formula2>
    </dataValidation>
  </dataValidations>
  <printOptions horizontalCentered="1"/>
  <pageMargins left="0.25" right="0.25" top="1" bottom="0.5" header="0.5" footer="0.5"/>
  <pageSetup paperSize="9" scale="75" orientation="landscape" r:id="rId1"/>
  <headerFooter alignWithMargins="0">
    <oddHeader>&amp;R&amp;"Arial,Bold"&amp;8Page &amp;P of &amp;N&amp;C&amp;"Arial,Bold"&amp;8 NEW RURAK BANK OF SAN LEONRADO, INC.  [ 04-040656 ]
 As of: September 30, 2017</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4"/>
  </sheetPr>
  <dimension ref="A1:K17"/>
  <sheetViews>
    <sheetView view="pageBreakPreview" zoomScaleNormal="100" zoomScaleSheetLayoutView="100" workbookViewId="0">
      <selection activeCell="J13" sqref="J13"/>
    </sheetView>
  </sheetViews>
  <sheetFormatPr defaultRowHeight="11.25" x14ac:dyDescent="0.2"/>
  <cols>
    <col min="1" max="4" width="2.7109375" style="1" customWidth="1"/>
    <col min="5" max="5" width="31.5703125" style="1" customWidth="1"/>
    <col min="6" max="6" width="30.7109375" style="1" hidden="1" customWidth="1"/>
    <col min="7" max="7" width="18.5703125" style="1" customWidth="1"/>
    <col min="8" max="8" width="3.5703125" style="2" customWidth="1"/>
    <col min="9" max="9" width="18.5703125" style="1" customWidth="1"/>
    <col min="10" max="10" width="16.5703125" style="1" customWidth="1"/>
    <col min="11" max="11" width="15.7109375" style="1" customWidth="1"/>
    <col min="12" max="16384" width="9.140625" style="1"/>
  </cols>
  <sheetData>
    <row r="1" spans="1:11" ht="12" customHeight="1" x14ac:dyDescent="0.2">
      <c r="A1" s="495" t="s">
        <v>465</v>
      </c>
      <c r="B1" s="495"/>
      <c r="C1" s="495"/>
      <c r="D1" s="495"/>
      <c r="E1" s="495"/>
      <c r="F1" s="495"/>
      <c r="G1" s="495"/>
      <c r="H1" s="495"/>
      <c r="I1" s="495"/>
      <c r="J1" s="17" t="s">
        <v>464</v>
      </c>
      <c r="K1" s="17"/>
    </row>
    <row r="2" spans="1:11" ht="12" customHeight="1" x14ac:dyDescent="0.2">
      <c r="A2" s="495" t="s">
        <v>28</v>
      </c>
      <c r="B2" s="495"/>
      <c r="C2" s="495"/>
      <c r="D2" s="495"/>
      <c r="E2" s="495"/>
      <c r="F2" s="495"/>
      <c r="G2" s="495"/>
      <c r="H2" s="495"/>
      <c r="I2" s="495"/>
      <c r="J2" s="32"/>
      <c r="K2" s="17"/>
    </row>
    <row r="3" spans="1:11" ht="12" customHeight="1" x14ac:dyDescent="0.2">
      <c r="A3" s="495" t="s">
        <v>478</v>
      </c>
      <c r="B3" s="495"/>
      <c r="C3" s="495"/>
      <c r="D3" s="495"/>
      <c r="E3" s="495"/>
      <c r="F3" s="495"/>
      <c r="G3" s="495"/>
      <c r="H3" s="495"/>
      <c r="I3" s="495"/>
      <c r="J3" s="32"/>
      <c r="K3" s="15"/>
    </row>
    <row r="4" spans="1:11" ht="12" customHeight="1" x14ac:dyDescent="0.2">
      <c r="B4" s="32"/>
      <c r="C4" s="32"/>
      <c r="D4" s="32"/>
      <c r="E4" s="32"/>
      <c r="F4" s="32"/>
      <c r="G4" s="32"/>
      <c r="H4" s="32"/>
      <c r="I4" s="32"/>
      <c r="J4" s="32"/>
      <c r="K4" s="32"/>
    </row>
    <row r="5" spans="1:11" ht="12" customHeight="1" x14ac:dyDescent="0.2">
      <c r="B5" s="32"/>
      <c r="C5" s="32"/>
      <c r="D5" s="32"/>
      <c r="E5" s="32"/>
      <c r="F5" s="32"/>
      <c r="G5" s="32"/>
      <c r="H5" s="32"/>
      <c r="I5" s="32"/>
      <c r="J5" s="32"/>
      <c r="K5" s="32"/>
    </row>
    <row r="6" spans="1:11" ht="12" customHeight="1" thickBot="1" x14ac:dyDescent="0.25">
      <c r="B6" s="32"/>
      <c r="C6" s="32"/>
      <c r="D6" s="32"/>
      <c r="E6" s="32"/>
      <c r="F6" s="32"/>
      <c r="G6" s="32"/>
      <c r="H6" s="32"/>
      <c r="I6" s="32"/>
      <c r="J6" s="32"/>
      <c r="K6" s="32"/>
    </row>
    <row r="7" spans="1:11" ht="12" customHeight="1" thickTop="1" thickBot="1" x14ac:dyDescent="0.25">
      <c r="A7" s="262"/>
      <c r="B7" s="545" t="s">
        <v>3</v>
      </c>
      <c r="C7" s="545"/>
      <c r="D7" s="545"/>
      <c r="E7" s="545"/>
      <c r="F7" s="261"/>
      <c r="G7" s="548" t="s">
        <v>430</v>
      </c>
      <c r="H7" s="545" t="s">
        <v>456</v>
      </c>
      <c r="I7" s="551" t="s">
        <v>463</v>
      </c>
      <c r="J7" s="542" t="s">
        <v>636</v>
      </c>
      <c r="K7" s="15"/>
    </row>
    <row r="8" spans="1:11" ht="12" customHeight="1" thickTop="1" thickBot="1" x14ac:dyDescent="0.25">
      <c r="A8" s="263"/>
      <c r="B8" s="546"/>
      <c r="C8" s="546"/>
      <c r="D8" s="546"/>
      <c r="E8" s="546"/>
      <c r="F8" s="264"/>
      <c r="G8" s="549"/>
      <c r="H8" s="546"/>
      <c r="I8" s="552"/>
      <c r="J8" s="543"/>
    </row>
    <row r="9" spans="1:11" ht="12" customHeight="1" thickTop="1" thickBot="1" x14ac:dyDescent="0.25">
      <c r="A9" s="292"/>
      <c r="B9" s="547"/>
      <c r="C9" s="547"/>
      <c r="D9" s="547"/>
      <c r="E9" s="547"/>
      <c r="F9" s="293"/>
      <c r="G9" s="550"/>
      <c r="H9" s="547"/>
      <c r="I9" s="553"/>
      <c r="J9" s="544"/>
    </row>
    <row r="10" spans="1:11" ht="12" customHeight="1" thickTop="1" x14ac:dyDescent="0.2">
      <c r="A10" s="470" t="s">
        <v>453</v>
      </c>
      <c r="B10" s="85"/>
      <c r="C10" s="159"/>
      <c r="D10" s="159"/>
      <c r="E10" s="226"/>
      <c r="F10" s="226"/>
      <c r="G10" s="465" t="s">
        <v>240</v>
      </c>
      <c r="H10" s="31" t="s">
        <v>454</v>
      </c>
      <c r="I10" s="8"/>
      <c r="J10" s="77"/>
    </row>
    <row r="11" spans="1:11" ht="12" customHeight="1" x14ac:dyDescent="0.2">
      <c r="A11" s="301">
        <v>1</v>
      </c>
      <c r="B11" s="540"/>
      <c r="C11" s="540"/>
      <c r="D11" s="540"/>
      <c r="E11" s="541"/>
      <c r="F11" s="9"/>
      <c r="G11" s="96"/>
      <c r="H11" s="96" t="s">
        <v>457</v>
      </c>
      <c r="I11" s="202"/>
      <c r="J11" s="407"/>
    </row>
    <row r="12" spans="1:11" ht="12" customHeight="1" x14ac:dyDescent="0.2">
      <c r="A12" s="468" t="str">
        <f>CHAR(132)</f>
        <v>„</v>
      </c>
      <c r="B12" s="471"/>
      <c r="C12" s="471"/>
      <c r="D12" s="471"/>
      <c r="E12" s="471"/>
      <c r="F12" s="9"/>
      <c r="G12" s="294"/>
      <c r="H12" s="295" t="str">
        <f>CHAR(132)</f>
        <v>„</v>
      </c>
      <c r="I12" s="152"/>
      <c r="J12" s="408"/>
    </row>
    <row r="13" spans="1:11" ht="12" customHeight="1" x14ac:dyDescent="0.2">
      <c r="A13" s="289"/>
      <c r="B13" s="84"/>
      <c r="C13" s="24"/>
      <c r="D13" s="24"/>
      <c r="E13" s="214" t="s">
        <v>433</v>
      </c>
      <c r="F13" s="226"/>
      <c r="G13" s="11" t="s">
        <v>442</v>
      </c>
      <c r="H13" s="8"/>
      <c r="I13" s="152"/>
      <c r="J13" s="353">
        <f>SUM(J11:J12)</f>
        <v>0</v>
      </c>
    </row>
    <row r="14" spans="1:11" ht="12" customHeight="1" thickBot="1" x14ac:dyDescent="0.25">
      <c r="A14" s="7"/>
      <c r="B14" s="6"/>
      <c r="C14" s="6"/>
      <c r="D14" s="6"/>
      <c r="E14" s="5"/>
      <c r="F14" s="5"/>
      <c r="G14" s="3"/>
      <c r="H14" s="3"/>
      <c r="I14" s="22"/>
      <c r="J14" s="34"/>
    </row>
    <row r="15" spans="1:11" ht="12" customHeight="1" thickTop="1" x14ac:dyDescent="0.2">
      <c r="A15" s="68"/>
      <c r="B15" s="61"/>
      <c r="C15" s="61"/>
      <c r="D15" s="61"/>
      <c r="E15" s="15"/>
      <c r="F15" s="15"/>
      <c r="G15" s="18" t="s">
        <v>432</v>
      </c>
      <c r="I15" s="70"/>
      <c r="J15" s="70"/>
      <c r="K15" s="70"/>
    </row>
    <row r="16" spans="1:11" ht="12" customHeight="1" x14ac:dyDescent="0.2">
      <c r="A16" s="232" t="s">
        <v>618</v>
      </c>
      <c r="B16" s="290" t="s">
        <v>629</v>
      </c>
      <c r="C16" s="265"/>
      <c r="D16" s="265"/>
      <c r="E16" s="265"/>
      <c r="F16" s="265"/>
      <c r="G16" s="265"/>
      <c r="H16" s="265"/>
      <c r="I16" s="265"/>
      <c r="J16" s="265"/>
      <c r="K16" s="265"/>
    </row>
    <row r="17" spans="8:8" ht="12" customHeight="1" x14ac:dyDescent="0.2">
      <c r="H17" s="18"/>
    </row>
  </sheetData>
  <sheetProtection sheet="1" objects="1" scenarios="1"/>
  <mergeCells count="9">
    <mergeCell ref="B11:E11"/>
    <mergeCell ref="J7:J9"/>
    <mergeCell ref="B7:E9"/>
    <mergeCell ref="A1:I1"/>
    <mergeCell ref="A2:I2"/>
    <mergeCell ref="A3:I3"/>
    <mergeCell ref="G7:G9"/>
    <mergeCell ref="H7:H9"/>
    <mergeCell ref="I7:I9"/>
  </mergeCells>
  <phoneticPr fontId="0" type="noConversion"/>
  <dataValidations count="2">
    <dataValidation type="decimal" allowBlank="1" showInputMessage="1" showErrorMessage="1" sqref="J10">
      <formula1>-999999999999.99</formula1>
      <formula2>999999999999.99</formula2>
    </dataValidation>
    <dataValidation type="decimal" allowBlank="1" showInputMessage="1" showErrorMessage="1" sqref="J11:J13">
      <formula1>0</formula1>
      <formula2>999999999999999</formula2>
    </dataValidation>
  </dataValidations>
  <printOptions horizontalCentered="1"/>
  <pageMargins left="0.25" right="0.25" top="1" bottom="0.5" header="0.5" footer="0.5"/>
  <pageSetup paperSize="9" scale="75"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3563" r:id="rId4" name="Label_a">
          <controlPr defaultSize="0" autoLine="0" r:id="rId5">
            <anchor moveWithCells="1">
              <from>
                <xdr:col>0</xdr:col>
                <xdr:colOff>0</xdr:colOff>
                <xdr:row>11</xdr:row>
                <xdr:rowOff>9525</xdr:rowOff>
              </from>
              <to>
                <xdr:col>1</xdr:col>
                <xdr:colOff>28575</xdr:colOff>
                <xdr:row>11</xdr:row>
                <xdr:rowOff>133350</xdr:rowOff>
              </to>
            </anchor>
          </controlPr>
        </control>
      </mc:Choice>
      <mc:Fallback>
        <control shapeId="23563" r:id="rId4" name="Label_a"/>
      </mc:Fallback>
    </mc:AlternateContent>
    <mc:AlternateContent xmlns:mc="http://schemas.openxmlformats.org/markup-compatibility/2006">
      <mc:Choice Requires="x14">
        <control shapeId="23556" r:id="rId6" name="Label_b">
          <controlPr defaultSize="0" autoLine="0" r:id="rId7">
            <anchor moveWithCells="1">
              <from>
                <xdr:col>7</xdr:col>
                <xdr:colOff>19050</xdr:colOff>
                <xdr:row>11</xdr:row>
                <xdr:rowOff>19050</xdr:rowOff>
              </from>
              <to>
                <xdr:col>7</xdr:col>
                <xdr:colOff>228600</xdr:colOff>
                <xdr:row>11</xdr:row>
                <xdr:rowOff>142875</xdr:rowOff>
              </to>
            </anchor>
          </controlPr>
        </control>
      </mc:Choice>
      <mc:Fallback>
        <control shapeId="23556" r:id="rId6" name="Label_b"/>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4"/>
  </sheetPr>
  <dimension ref="A1:M18"/>
  <sheetViews>
    <sheetView zoomScaleNormal="100" zoomScaleSheetLayoutView="100" workbookViewId="0">
      <selection activeCell="J24" sqref="J24"/>
    </sheetView>
  </sheetViews>
  <sheetFormatPr defaultRowHeight="11.25" x14ac:dyDescent="0.2"/>
  <cols>
    <col min="1" max="1" width="2.85546875" style="1" customWidth="1"/>
    <col min="2" max="4" width="2.7109375" style="1" customWidth="1"/>
    <col min="5" max="5" width="31.5703125" style="1" customWidth="1"/>
    <col min="6" max="6" width="30.7109375" style="1" hidden="1" customWidth="1"/>
    <col min="7" max="7" width="18.5703125" style="1" customWidth="1"/>
    <col min="8" max="8" width="3.5703125" style="2" customWidth="1"/>
    <col min="9" max="9" width="16.5703125" style="2" customWidth="1"/>
    <col min="10" max="10" width="15.7109375" style="1" customWidth="1"/>
    <col min="11" max="16384" width="9.140625" style="1"/>
  </cols>
  <sheetData>
    <row r="1" spans="1:13" ht="12" customHeight="1" x14ac:dyDescent="0.2">
      <c r="A1" s="495" t="s">
        <v>480</v>
      </c>
      <c r="B1" s="495"/>
      <c r="C1" s="495"/>
      <c r="D1" s="495"/>
      <c r="E1" s="495"/>
      <c r="F1" s="495"/>
      <c r="G1" s="495"/>
      <c r="H1" s="495"/>
      <c r="I1" s="17" t="s">
        <v>479</v>
      </c>
      <c r="J1" s="17"/>
      <c r="K1" s="17"/>
    </row>
    <row r="2" spans="1:13" ht="12" customHeight="1" x14ac:dyDescent="0.2">
      <c r="A2" s="495" t="s">
        <v>481</v>
      </c>
      <c r="B2" s="495"/>
      <c r="C2" s="495"/>
      <c r="D2" s="495"/>
      <c r="E2" s="495"/>
      <c r="F2" s="495"/>
      <c r="G2" s="495"/>
      <c r="H2" s="495"/>
      <c r="I2" s="32"/>
      <c r="J2" s="35"/>
      <c r="K2" s="17"/>
    </row>
    <row r="3" spans="1:13" ht="12" customHeight="1" x14ac:dyDescent="0.2">
      <c r="A3" s="17"/>
      <c r="B3" s="17"/>
      <c r="C3" s="17"/>
      <c r="D3" s="17"/>
      <c r="E3" s="17"/>
      <c r="F3" s="17"/>
      <c r="G3" s="17"/>
      <c r="H3" s="17"/>
      <c r="I3" s="17"/>
      <c r="J3" s="17"/>
      <c r="K3" s="17"/>
      <c r="L3" s="17"/>
      <c r="M3" s="15"/>
    </row>
    <row r="4" spans="1:13" ht="12" customHeight="1" x14ac:dyDescent="0.2">
      <c r="B4" s="32"/>
      <c r="C4" s="32"/>
      <c r="D4" s="32"/>
      <c r="E4" s="32"/>
      <c r="F4" s="32"/>
      <c r="G4" s="32"/>
      <c r="H4" s="32"/>
      <c r="I4" s="32"/>
      <c r="J4" s="32"/>
      <c r="K4" s="32"/>
      <c r="L4" s="32"/>
      <c r="M4" s="32"/>
    </row>
    <row r="5" spans="1:13" ht="12" customHeight="1" x14ac:dyDescent="0.2">
      <c r="B5" s="32"/>
      <c r="C5" s="32"/>
      <c r="D5" s="32"/>
      <c r="E5" s="32"/>
      <c r="F5" s="32"/>
      <c r="G5" s="32"/>
      <c r="H5" s="32"/>
      <c r="I5" s="32"/>
      <c r="J5" s="32"/>
      <c r="K5" s="32"/>
      <c r="L5" s="32"/>
      <c r="M5" s="32"/>
    </row>
    <row r="6" spans="1:13" ht="12" customHeight="1" x14ac:dyDescent="0.2">
      <c r="A6" s="17"/>
      <c r="B6" s="17"/>
      <c r="C6" s="17"/>
      <c r="D6" s="17"/>
      <c r="E6" s="17"/>
      <c r="F6" s="17"/>
      <c r="G6" s="17"/>
      <c r="H6" s="17"/>
      <c r="I6" s="17"/>
      <c r="J6" s="17"/>
      <c r="K6" s="17"/>
      <c r="L6" s="17"/>
      <c r="M6" s="15"/>
    </row>
    <row r="7" spans="1:13" ht="12" customHeight="1" thickBot="1" x14ac:dyDescent="0.25">
      <c r="A7" s="15"/>
      <c r="B7" s="15"/>
      <c r="C7" s="15"/>
      <c r="D7" s="15"/>
      <c r="E7" s="15"/>
      <c r="F7" s="15"/>
      <c r="G7" s="15"/>
      <c r="H7" s="15"/>
      <c r="I7" s="16"/>
      <c r="J7" s="15"/>
      <c r="K7" s="15"/>
      <c r="L7" s="15"/>
      <c r="M7" s="15"/>
    </row>
    <row r="8" spans="1:13" ht="12" customHeight="1" thickTop="1" thickBot="1" x14ac:dyDescent="0.25">
      <c r="A8" s="555" t="s">
        <v>617</v>
      </c>
      <c r="B8" s="556"/>
      <c r="C8" s="556"/>
      <c r="D8" s="556"/>
      <c r="E8" s="557"/>
      <c r="F8" s="206"/>
      <c r="G8" s="548" t="s">
        <v>430</v>
      </c>
      <c r="H8" s="551" t="s">
        <v>456</v>
      </c>
      <c r="I8" s="561" t="s">
        <v>616</v>
      </c>
    </row>
    <row r="9" spans="1:13" ht="12" customHeight="1" thickTop="1" thickBot="1" x14ac:dyDescent="0.25">
      <c r="A9" s="558"/>
      <c r="B9" s="559"/>
      <c r="C9" s="559"/>
      <c r="D9" s="559"/>
      <c r="E9" s="560"/>
      <c r="F9" s="296"/>
      <c r="G9" s="550"/>
      <c r="H9" s="553"/>
      <c r="I9" s="562"/>
    </row>
    <row r="10" spans="1:13" ht="12" customHeight="1" thickTop="1" x14ac:dyDescent="0.2">
      <c r="A10" s="27"/>
      <c r="B10" s="159"/>
      <c r="C10" s="159"/>
      <c r="D10" s="159"/>
      <c r="E10" s="226"/>
      <c r="F10" s="226"/>
      <c r="G10" s="465" t="s">
        <v>443</v>
      </c>
      <c r="H10" s="31" t="s">
        <v>453</v>
      </c>
      <c r="I10" s="77"/>
    </row>
    <row r="11" spans="1:13" ht="12" customHeight="1" x14ac:dyDescent="0.2">
      <c r="A11" s="299" t="s">
        <v>457</v>
      </c>
      <c r="B11" s="563"/>
      <c r="C11" s="563"/>
      <c r="D11" s="563"/>
      <c r="E11" s="564"/>
      <c r="F11" s="9"/>
      <c r="G11" s="96"/>
      <c r="H11" s="96" t="s">
        <v>457</v>
      </c>
      <c r="I11" s="407"/>
    </row>
    <row r="12" spans="1:13" ht="12" customHeight="1" x14ac:dyDescent="0.2">
      <c r="A12" s="299"/>
      <c r="B12" s="336"/>
      <c r="C12" s="336"/>
      <c r="D12" s="336"/>
      <c r="E12" s="337"/>
      <c r="F12" s="9"/>
      <c r="G12" s="294"/>
      <c r="H12" s="295" t="str">
        <f>CHAR(132)</f>
        <v>„</v>
      </c>
      <c r="I12" s="409"/>
    </row>
    <row r="13" spans="1:13" ht="12" customHeight="1" x14ac:dyDescent="0.2">
      <c r="A13" s="23"/>
      <c r="B13" s="28"/>
      <c r="C13" s="28"/>
      <c r="D13" s="28"/>
      <c r="E13" s="29"/>
      <c r="F13" s="29"/>
      <c r="G13" s="30"/>
      <c r="H13" s="30"/>
      <c r="I13" s="406"/>
    </row>
    <row r="14" spans="1:13" ht="12" customHeight="1" x14ac:dyDescent="0.2">
      <c r="A14" s="27"/>
      <c r="B14" s="159"/>
      <c r="C14" s="159"/>
      <c r="D14" s="159"/>
      <c r="E14" s="226" t="s">
        <v>433</v>
      </c>
      <c r="F14" s="226"/>
      <c r="G14" s="11" t="s">
        <v>443</v>
      </c>
      <c r="H14" s="288"/>
      <c r="I14" s="353">
        <f>SUM(I11:I12)</f>
        <v>0</v>
      </c>
    </row>
    <row r="15" spans="1:13" ht="12" customHeight="1" thickBot="1" x14ac:dyDescent="0.25">
      <c r="A15" s="7"/>
      <c r="B15" s="6"/>
      <c r="C15" s="6"/>
      <c r="D15" s="6"/>
      <c r="E15" s="5"/>
      <c r="F15" s="5"/>
      <c r="G15" s="3"/>
      <c r="H15" s="3"/>
      <c r="I15" s="34"/>
    </row>
    <row r="16" spans="1:13" ht="12" customHeight="1" thickTop="1" x14ac:dyDescent="0.2">
      <c r="G16" s="18" t="s">
        <v>432</v>
      </c>
      <c r="I16" s="18"/>
    </row>
    <row r="17" spans="1:10" ht="24" customHeight="1" x14ac:dyDescent="0.2">
      <c r="A17" s="232" t="s">
        <v>618</v>
      </c>
      <c r="B17" s="554" t="s">
        <v>620</v>
      </c>
      <c r="C17" s="554"/>
      <c r="D17" s="554"/>
      <c r="E17" s="554"/>
      <c r="F17" s="554"/>
      <c r="G17" s="554"/>
      <c r="H17" s="554"/>
      <c r="I17" s="554"/>
      <c r="J17" s="266"/>
    </row>
    <row r="18" spans="1:10" ht="12" customHeight="1" x14ac:dyDescent="0.2">
      <c r="A18" s="41" t="s">
        <v>619</v>
      </c>
      <c r="B18" s="268" t="s">
        <v>583</v>
      </c>
      <c r="C18" s="267"/>
      <c r="D18" s="267"/>
      <c r="E18" s="267"/>
      <c r="F18" s="267"/>
      <c r="G18" s="267"/>
      <c r="H18" s="267"/>
      <c r="I18" s="267"/>
      <c r="J18" s="267"/>
    </row>
  </sheetData>
  <sheetProtection sheet="1" objects="1" scenarios="1"/>
  <mergeCells count="8">
    <mergeCell ref="A1:H1"/>
    <mergeCell ref="A2:H2"/>
    <mergeCell ref="B17:I17"/>
    <mergeCell ref="A8:E9"/>
    <mergeCell ref="G8:G9"/>
    <mergeCell ref="H8:H9"/>
    <mergeCell ref="I8:I9"/>
    <mergeCell ref="B11:E11"/>
  </mergeCells>
  <phoneticPr fontId="0" type="noConversion"/>
  <dataValidations count="1">
    <dataValidation type="decimal" allowBlank="1" showInputMessage="1" showErrorMessage="1" sqref="I11:I14">
      <formula1>0</formula1>
      <formula2>999999999999999</formula2>
    </dataValidation>
  </dataValidations>
  <printOptions horizontalCentered="1"/>
  <pageMargins left="0.25" right="0.25" top="1" bottom="0.5" header="0.5" footer="0.5"/>
  <pageSetup paperSize="9" scale="80"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4577" r:id="rId4" name="Label_a">
          <controlPr defaultSize="0" autoLine="0" r:id="rId5">
            <anchor moveWithCells="1">
              <from>
                <xdr:col>7</xdr:col>
                <xdr:colOff>28575</xdr:colOff>
                <xdr:row>11</xdr:row>
                <xdr:rowOff>9525</xdr:rowOff>
              </from>
              <to>
                <xdr:col>8</xdr:col>
                <xdr:colOff>0</xdr:colOff>
                <xdr:row>11</xdr:row>
                <xdr:rowOff>133350</xdr:rowOff>
              </to>
            </anchor>
          </controlPr>
        </control>
      </mc:Choice>
      <mc:Fallback>
        <control shapeId="24577" r:id="rId4" name="Label_a"/>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4"/>
  </sheetPr>
  <dimension ref="A1:X28"/>
  <sheetViews>
    <sheetView view="pageBreakPreview" topLeftCell="P1" zoomScaleNormal="100" zoomScaleSheetLayoutView="100" workbookViewId="0">
      <selection activeCell="U18" sqref="U18"/>
    </sheetView>
  </sheetViews>
  <sheetFormatPr defaultRowHeight="11.25" x14ac:dyDescent="0.2"/>
  <cols>
    <col min="1" max="1" width="2.85546875" style="1" customWidth="1"/>
    <col min="2" max="4" width="2.7109375" style="1" customWidth="1"/>
    <col min="5" max="5" width="31.5703125" style="1" customWidth="1"/>
    <col min="6" max="6" width="30.7109375" style="1" hidden="1" customWidth="1"/>
    <col min="7" max="7" width="18.5703125" style="1" customWidth="1"/>
    <col min="8" max="8" width="3.5703125" style="2" customWidth="1"/>
    <col min="9" max="9" width="16.5703125" style="2" customWidth="1"/>
    <col min="10" max="24" width="16.5703125" style="1" customWidth="1"/>
    <col min="25" max="16384" width="9.140625" style="1"/>
  </cols>
  <sheetData>
    <row r="1" spans="1:24" ht="12" customHeight="1" x14ac:dyDescent="0.2">
      <c r="A1" s="495" t="s">
        <v>482</v>
      </c>
      <c r="B1" s="495"/>
      <c r="C1" s="495"/>
      <c r="D1" s="495"/>
      <c r="E1" s="495"/>
      <c r="F1" s="495"/>
      <c r="G1" s="495"/>
      <c r="H1" s="495"/>
      <c r="I1" s="495"/>
      <c r="J1" s="495"/>
      <c r="K1" s="495"/>
      <c r="L1" s="495"/>
      <c r="M1" s="495"/>
      <c r="N1" s="495"/>
      <c r="O1" s="495"/>
      <c r="P1" s="495"/>
      <c r="Q1" s="495"/>
      <c r="R1" s="495"/>
      <c r="S1" s="495"/>
      <c r="T1" s="17"/>
      <c r="U1" s="17"/>
      <c r="V1" s="17"/>
      <c r="W1" s="17" t="s">
        <v>483</v>
      </c>
    </row>
    <row r="2" spans="1:24" ht="12" customHeight="1" x14ac:dyDescent="0.2">
      <c r="A2" s="495" t="s">
        <v>683</v>
      </c>
      <c r="B2" s="495"/>
      <c r="C2" s="495"/>
      <c r="D2" s="495"/>
      <c r="E2" s="495"/>
      <c r="F2" s="495"/>
      <c r="G2" s="495"/>
      <c r="H2" s="495"/>
      <c r="I2" s="495"/>
      <c r="J2" s="495"/>
      <c r="K2" s="495"/>
      <c r="L2" s="495"/>
      <c r="M2" s="495"/>
      <c r="N2" s="495"/>
      <c r="O2" s="495"/>
      <c r="P2" s="495"/>
      <c r="Q2" s="495"/>
      <c r="R2" s="495"/>
      <c r="S2" s="495"/>
      <c r="T2" s="17"/>
      <c r="U2" s="17"/>
      <c r="V2" s="17"/>
      <c r="W2" s="35"/>
      <c r="X2" s="35"/>
    </row>
    <row r="3" spans="1:24" ht="12" customHeight="1" x14ac:dyDescent="0.2">
      <c r="A3" s="17"/>
      <c r="B3" s="17"/>
      <c r="C3" s="17"/>
      <c r="D3" s="17"/>
      <c r="E3" s="17"/>
      <c r="F3" s="17"/>
      <c r="G3" s="17"/>
      <c r="H3" s="17"/>
      <c r="I3" s="17"/>
      <c r="J3" s="17"/>
      <c r="K3" s="17"/>
      <c r="L3" s="17"/>
      <c r="M3" s="15"/>
      <c r="N3" s="15"/>
      <c r="O3" s="15"/>
      <c r="P3" s="15"/>
      <c r="Q3" s="15"/>
      <c r="R3" s="15"/>
      <c r="S3" s="15"/>
      <c r="T3" s="15"/>
      <c r="U3" s="15"/>
      <c r="V3" s="15"/>
      <c r="W3" s="15"/>
      <c r="X3" s="15"/>
    </row>
    <row r="4" spans="1:24" ht="12" customHeight="1" x14ac:dyDescent="0.2">
      <c r="B4" s="32"/>
      <c r="C4" s="32"/>
      <c r="D4" s="32"/>
      <c r="E4" s="32"/>
      <c r="F4" s="32"/>
      <c r="G4" s="32"/>
      <c r="H4" s="32"/>
      <c r="I4" s="32"/>
      <c r="J4" s="32"/>
      <c r="K4" s="32"/>
      <c r="L4" s="32"/>
      <c r="M4" s="32"/>
      <c r="N4" s="32"/>
      <c r="O4" s="32"/>
      <c r="P4" s="32"/>
      <c r="Q4" s="32"/>
      <c r="R4" s="32"/>
      <c r="S4" s="32"/>
      <c r="T4" s="32"/>
      <c r="U4" s="32"/>
      <c r="V4" s="32"/>
      <c r="W4" s="32"/>
      <c r="X4" s="32"/>
    </row>
    <row r="5" spans="1:24" ht="12" customHeight="1" thickBot="1" x14ac:dyDescent="0.25">
      <c r="A5" s="15"/>
      <c r="B5" s="15"/>
      <c r="C5" s="15"/>
      <c r="D5" s="15"/>
      <c r="E5" s="15"/>
      <c r="F5" s="15"/>
      <c r="G5" s="15"/>
      <c r="H5" s="16"/>
      <c r="I5" s="16"/>
      <c r="J5" s="15"/>
      <c r="K5" s="15"/>
      <c r="L5" s="15"/>
      <c r="M5" s="15"/>
      <c r="N5" s="15"/>
      <c r="O5" s="15"/>
      <c r="P5" s="15"/>
      <c r="Q5" s="15"/>
      <c r="R5" s="15"/>
      <c r="S5" s="15"/>
      <c r="T5" s="15"/>
      <c r="U5" s="15"/>
      <c r="V5" s="15"/>
      <c r="W5" s="15"/>
      <c r="X5" s="15"/>
    </row>
    <row r="6" spans="1:24" ht="12" customHeight="1" thickTop="1" x14ac:dyDescent="0.2">
      <c r="A6" s="555" t="s">
        <v>682</v>
      </c>
      <c r="B6" s="556"/>
      <c r="C6" s="556"/>
      <c r="D6" s="556"/>
      <c r="E6" s="557"/>
      <c r="F6" s="207"/>
      <c r="G6" s="548" t="s">
        <v>430</v>
      </c>
      <c r="H6" s="551" t="s">
        <v>456</v>
      </c>
      <c r="I6" s="577" t="s">
        <v>692</v>
      </c>
      <c r="J6" s="578"/>
      <c r="K6" s="578"/>
      <c r="L6" s="579"/>
      <c r="M6" s="579"/>
      <c r="N6" s="579"/>
      <c r="O6" s="579"/>
      <c r="P6" s="579"/>
      <c r="Q6" s="579"/>
      <c r="R6" s="579"/>
      <c r="S6" s="579"/>
      <c r="T6" s="579"/>
      <c r="U6" s="579"/>
      <c r="V6" s="579"/>
      <c r="W6" s="580"/>
    </row>
    <row r="7" spans="1:24" ht="12" customHeight="1" x14ac:dyDescent="0.2">
      <c r="A7" s="581"/>
      <c r="B7" s="582"/>
      <c r="C7" s="582"/>
      <c r="D7" s="582"/>
      <c r="E7" s="583"/>
      <c r="F7" s="208"/>
      <c r="G7" s="549"/>
      <c r="H7" s="587"/>
      <c r="I7" s="595" t="s">
        <v>461</v>
      </c>
      <c r="J7" s="596"/>
      <c r="K7" s="596"/>
      <c r="L7" s="596"/>
      <c r="M7" s="596"/>
      <c r="N7" s="596"/>
      <c r="O7" s="596"/>
      <c r="P7" s="596"/>
      <c r="Q7" s="597"/>
      <c r="R7" s="598" t="s">
        <v>460</v>
      </c>
      <c r="S7" s="599"/>
      <c r="T7" s="600"/>
      <c r="U7" s="589" t="s">
        <v>429</v>
      </c>
      <c r="V7" s="590"/>
      <c r="W7" s="591"/>
    </row>
    <row r="8" spans="1:24" ht="12" customHeight="1" x14ac:dyDescent="0.2">
      <c r="A8" s="581"/>
      <c r="B8" s="582"/>
      <c r="C8" s="582"/>
      <c r="D8" s="582"/>
      <c r="E8" s="583"/>
      <c r="F8" s="208"/>
      <c r="G8" s="549"/>
      <c r="H8" s="587"/>
      <c r="I8" s="595" t="s">
        <v>458</v>
      </c>
      <c r="J8" s="596"/>
      <c r="K8" s="597"/>
      <c r="L8" s="595" t="s">
        <v>459</v>
      </c>
      <c r="M8" s="596"/>
      <c r="N8" s="597"/>
      <c r="O8" s="595" t="s">
        <v>429</v>
      </c>
      <c r="P8" s="596"/>
      <c r="Q8" s="597"/>
      <c r="R8" s="601"/>
      <c r="S8" s="602"/>
      <c r="T8" s="603"/>
      <c r="U8" s="592"/>
      <c r="V8" s="593"/>
      <c r="W8" s="594"/>
    </row>
    <row r="9" spans="1:24" ht="12" customHeight="1" thickBot="1" x14ac:dyDescent="0.25">
      <c r="A9" s="584"/>
      <c r="B9" s="585"/>
      <c r="C9" s="585"/>
      <c r="D9" s="585"/>
      <c r="E9" s="586"/>
      <c r="F9" s="209"/>
      <c r="G9" s="550"/>
      <c r="H9" s="588"/>
      <c r="I9" s="142" t="s">
        <v>686</v>
      </c>
      <c r="J9" s="142" t="s">
        <v>687</v>
      </c>
      <c r="K9" s="142" t="s">
        <v>429</v>
      </c>
      <c r="L9" s="142" t="s">
        <v>686</v>
      </c>
      <c r="M9" s="142" t="s">
        <v>687</v>
      </c>
      <c r="N9" s="142" t="s">
        <v>429</v>
      </c>
      <c r="O9" s="142" t="s">
        <v>686</v>
      </c>
      <c r="P9" s="142" t="s">
        <v>687</v>
      </c>
      <c r="Q9" s="142" t="s">
        <v>429</v>
      </c>
      <c r="R9" s="142" t="s">
        <v>686</v>
      </c>
      <c r="S9" s="142" t="s">
        <v>687</v>
      </c>
      <c r="T9" s="239" t="s">
        <v>429</v>
      </c>
      <c r="U9" s="239" t="s">
        <v>686</v>
      </c>
      <c r="V9" s="142" t="s">
        <v>687</v>
      </c>
      <c r="W9" s="160" t="s">
        <v>429</v>
      </c>
    </row>
    <row r="10" spans="1:24" ht="12" customHeight="1" thickTop="1" x14ac:dyDescent="0.2">
      <c r="A10" s="23"/>
      <c r="B10" s="24"/>
      <c r="C10" s="24"/>
      <c r="D10" s="24"/>
      <c r="E10" s="25"/>
      <c r="F10" s="25"/>
      <c r="G10" s="147"/>
      <c r="H10" s="147"/>
      <c r="I10" s="171"/>
      <c r="J10" s="171"/>
      <c r="K10" s="171"/>
      <c r="L10" s="171"/>
      <c r="M10" s="171"/>
      <c r="N10" s="171"/>
      <c r="O10" s="171"/>
      <c r="P10" s="171"/>
      <c r="Q10" s="171"/>
      <c r="R10" s="171"/>
      <c r="S10" s="172"/>
      <c r="T10" s="171"/>
      <c r="U10" s="171"/>
      <c r="V10" s="171"/>
      <c r="W10" s="469"/>
    </row>
    <row r="11" spans="1:24" ht="12" customHeight="1" x14ac:dyDescent="0.2">
      <c r="A11" s="163" t="s">
        <v>684</v>
      </c>
      <c r="B11" s="75" t="s">
        <v>685</v>
      </c>
      <c r="C11" s="75"/>
      <c r="D11" s="75"/>
      <c r="E11" s="25"/>
      <c r="F11" s="25"/>
      <c r="G11" s="13" t="s">
        <v>691</v>
      </c>
      <c r="H11" s="31" t="s">
        <v>453</v>
      </c>
      <c r="I11" s="350">
        <f t="shared" ref="I11:W11" si="0">SUM(I12:I13)</f>
        <v>0</v>
      </c>
      <c r="J11" s="350">
        <f t="shared" si="0"/>
        <v>0</v>
      </c>
      <c r="K11" s="350">
        <f t="shared" si="0"/>
        <v>0</v>
      </c>
      <c r="L11" s="350">
        <f t="shared" si="0"/>
        <v>0</v>
      </c>
      <c r="M11" s="350">
        <f t="shared" si="0"/>
        <v>0</v>
      </c>
      <c r="N11" s="350">
        <f t="shared" si="0"/>
        <v>0</v>
      </c>
      <c r="O11" s="350">
        <f t="shared" si="0"/>
        <v>0</v>
      </c>
      <c r="P11" s="350">
        <f t="shared" si="0"/>
        <v>0</v>
      </c>
      <c r="Q11" s="350">
        <f t="shared" si="0"/>
        <v>0</v>
      </c>
      <c r="R11" s="350">
        <f t="shared" si="0"/>
        <v>0</v>
      </c>
      <c r="S11" s="350">
        <f t="shared" si="0"/>
        <v>0</v>
      </c>
      <c r="T11" s="350">
        <f t="shared" si="0"/>
        <v>0</v>
      </c>
      <c r="U11" s="350">
        <f t="shared" si="0"/>
        <v>0</v>
      </c>
      <c r="V11" s="350">
        <f t="shared" si="0"/>
        <v>0</v>
      </c>
      <c r="W11" s="353">
        <f t="shared" si="0"/>
        <v>0</v>
      </c>
    </row>
    <row r="12" spans="1:24" ht="12" customHeight="1" x14ac:dyDescent="0.2">
      <c r="A12" s="299" t="s">
        <v>457</v>
      </c>
      <c r="B12" s="540"/>
      <c r="C12" s="540"/>
      <c r="D12" s="540"/>
      <c r="E12" s="541"/>
      <c r="F12" s="9"/>
      <c r="G12" s="96"/>
      <c r="H12" s="96" t="s">
        <v>457</v>
      </c>
      <c r="I12" s="410"/>
      <c r="J12" s="410"/>
      <c r="K12" s="411">
        <f>I12+J12</f>
        <v>0</v>
      </c>
      <c r="L12" s="410"/>
      <c r="M12" s="410"/>
      <c r="N12" s="411">
        <f>L12+M12</f>
        <v>0</v>
      </c>
      <c r="O12" s="411">
        <f>I12+L12</f>
        <v>0</v>
      </c>
      <c r="P12" s="411">
        <f>J12+M12</f>
        <v>0</v>
      </c>
      <c r="Q12" s="411">
        <f>K12+N12</f>
        <v>0</v>
      </c>
      <c r="R12" s="410"/>
      <c r="S12" s="412"/>
      <c r="T12" s="411">
        <f>R12+S12</f>
        <v>0</v>
      </c>
      <c r="U12" s="411">
        <f>O12+R12</f>
        <v>0</v>
      </c>
      <c r="V12" s="411">
        <f>P12+S12</f>
        <v>0</v>
      </c>
      <c r="W12" s="351">
        <f>U12+V12</f>
        <v>0</v>
      </c>
    </row>
    <row r="13" spans="1:24" ht="12" customHeight="1" x14ac:dyDescent="0.2">
      <c r="A13" s="334"/>
      <c r="B13" s="307"/>
      <c r="C13" s="307"/>
      <c r="D13" s="307"/>
      <c r="E13" s="338"/>
      <c r="F13" s="29"/>
      <c r="G13" s="303"/>
      <c r="H13" s="295" t="str">
        <f>CHAR(132)</f>
        <v>„</v>
      </c>
      <c r="I13" s="304"/>
      <c r="J13" s="305"/>
      <c r="K13" s="309"/>
      <c r="L13" s="305"/>
      <c r="M13" s="305"/>
      <c r="N13" s="309"/>
      <c r="O13" s="309"/>
      <c r="P13" s="309"/>
      <c r="Q13" s="309"/>
      <c r="R13" s="305"/>
      <c r="S13" s="306"/>
      <c r="T13" s="309"/>
      <c r="U13" s="309"/>
      <c r="V13" s="309"/>
      <c r="W13" s="335"/>
    </row>
    <row r="14" spans="1:24" ht="12" customHeight="1" x14ac:dyDescent="0.2">
      <c r="A14" s="334"/>
      <c r="B14" s="307"/>
      <c r="C14" s="307"/>
      <c r="D14" s="307"/>
      <c r="E14" s="338"/>
      <c r="F14" s="29"/>
      <c r="G14" s="303"/>
      <c r="H14" s="96"/>
      <c r="I14" s="304"/>
      <c r="J14" s="305"/>
      <c r="K14" s="309"/>
      <c r="L14" s="305"/>
      <c r="M14" s="305"/>
      <c r="N14" s="309"/>
      <c r="O14" s="309"/>
      <c r="P14" s="309"/>
      <c r="Q14" s="309"/>
      <c r="R14" s="305"/>
      <c r="S14" s="306"/>
      <c r="T14" s="309"/>
      <c r="U14" s="309"/>
      <c r="V14" s="309"/>
      <c r="W14" s="335"/>
    </row>
    <row r="15" spans="1:24" ht="12" customHeight="1" x14ac:dyDescent="0.2">
      <c r="A15" s="571" t="s">
        <v>682</v>
      </c>
      <c r="B15" s="572"/>
      <c r="C15" s="572"/>
      <c r="D15" s="572"/>
      <c r="E15" s="573"/>
      <c r="F15" s="219"/>
      <c r="G15" s="604" t="s">
        <v>430</v>
      </c>
      <c r="H15" s="606" t="s">
        <v>456</v>
      </c>
      <c r="I15" s="567" t="s">
        <v>721</v>
      </c>
      <c r="J15" s="567" t="s">
        <v>722</v>
      </c>
      <c r="K15" s="567" t="s">
        <v>429</v>
      </c>
      <c r="L15" s="567" t="s">
        <v>721</v>
      </c>
      <c r="M15" s="567" t="s">
        <v>722</v>
      </c>
      <c r="N15" s="567" t="s">
        <v>429</v>
      </c>
      <c r="O15" s="567" t="s">
        <v>721</v>
      </c>
      <c r="P15" s="567" t="s">
        <v>722</v>
      </c>
      <c r="Q15" s="567" t="s">
        <v>429</v>
      </c>
      <c r="R15" s="567" t="s">
        <v>721</v>
      </c>
      <c r="S15" s="567" t="s">
        <v>722</v>
      </c>
      <c r="T15" s="567" t="s">
        <v>429</v>
      </c>
      <c r="U15" s="567" t="s">
        <v>721</v>
      </c>
      <c r="V15" s="567" t="s">
        <v>722</v>
      </c>
      <c r="W15" s="565" t="s">
        <v>429</v>
      </c>
    </row>
    <row r="16" spans="1:24" ht="12" customHeight="1" x14ac:dyDescent="0.2">
      <c r="A16" s="574"/>
      <c r="B16" s="575"/>
      <c r="C16" s="575"/>
      <c r="D16" s="575"/>
      <c r="E16" s="576"/>
      <c r="F16" s="219"/>
      <c r="G16" s="605"/>
      <c r="H16" s="607"/>
      <c r="I16" s="568"/>
      <c r="J16" s="568"/>
      <c r="K16" s="568"/>
      <c r="L16" s="568"/>
      <c r="M16" s="568"/>
      <c r="N16" s="568"/>
      <c r="O16" s="568"/>
      <c r="P16" s="568"/>
      <c r="Q16" s="568"/>
      <c r="R16" s="568"/>
      <c r="S16" s="568"/>
      <c r="T16" s="568"/>
      <c r="U16" s="568"/>
      <c r="V16" s="568"/>
      <c r="W16" s="566"/>
    </row>
    <row r="17" spans="1:23" ht="12" customHeight="1" x14ac:dyDescent="0.2">
      <c r="A17" s="146"/>
      <c r="B17" s="140"/>
      <c r="C17" s="140"/>
      <c r="D17" s="140"/>
      <c r="E17" s="141"/>
      <c r="F17" s="141"/>
      <c r="G17" s="11"/>
      <c r="H17" s="13"/>
      <c r="I17" s="123"/>
      <c r="J17" s="123"/>
      <c r="K17" s="123"/>
      <c r="L17" s="123"/>
      <c r="M17" s="123"/>
      <c r="N17" s="123"/>
      <c r="O17" s="123"/>
      <c r="P17" s="123"/>
      <c r="Q17" s="123"/>
      <c r="R17" s="123"/>
      <c r="S17" s="144"/>
      <c r="T17" s="123"/>
      <c r="U17" s="123"/>
      <c r="V17" s="123"/>
      <c r="W17" s="150"/>
    </row>
    <row r="18" spans="1:23" ht="12" customHeight="1" x14ac:dyDescent="0.2">
      <c r="A18" s="163" t="s">
        <v>688</v>
      </c>
      <c r="B18" s="75" t="s">
        <v>689</v>
      </c>
      <c r="C18" s="75"/>
      <c r="D18" s="75"/>
      <c r="E18" s="25"/>
      <c r="F18" s="25"/>
      <c r="G18" s="81" t="s">
        <v>690</v>
      </c>
      <c r="H18" s="74" t="s">
        <v>454</v>
      </c>
      <c r="I18" s="413">
        <f t="shared" ref="I18:W18" si="1">SUM(I19:I20)</f>
        <v>0</v>
      </c>
      <c r="J18" s="413">
        <f t="shared" si="1"/>
        <v>0</v>
      </c>
      <c r="K18" s="413">
        <f t="shared" si="1"/>
        <v>0</v>
      </c>
      <c r="L18" s="413">
        <f t="shared" si="1"/>
        <v>0</v>
      </c>
      <c r="M18" s="413">
        <f t="shared" si="1"/>
        <v>0</v>
      </c>
      <c r="N18" s="413">
        <f t="shared" si="1"/>
        <v>0</v>
      </c>
      <c r="O18" s="413">
        <f t="shared" si="1"/>
        <v>0</v>
      </c>
      <c r="P18" s="413">
        <f t="shared" si="1"/>
        <v>0</v>
      </c>
      <c r="Q18" s="413">
        <f t="shared" si="1"/>
        <v>0</v>
      </c>
      <c r="R18" s="413">
        <f t="shared" si="1"/>
        <v>0</v>
      </c>
      <c r="S18" s="413">
        <f t="shared" si="1"/>
        <v>0</v>
      </c>
      <c r="T18" s="413">
        <f t="shared" si="1"/>
        <v>0</v>
      </c>
      <c r="U18" s="413">
        <f t="shared" si="1"/>
        <v>0</v>
      </c>
      <c r="V18" s="413">
        <f t="shared" si="1"/>
        <v>0</v>
      </c>
      <c r="W18" s="414">
        <f t="shared" si="1"/>
        <v>0</v>
      </c>
    </row>
    <row r="19" spans="1:23" ht="12" customHeight="1" x14ac:dyDescent="0.2">
      <c r="A19" s="299" t="s">
        <v>457</v>
      </c>
      <c r="B19" s="540"/>
      <c r="C19" s="540"/>
      <c r="D19" s="540"/>
      <c r="E19" s="541"/>
      <c r="F19" s="9"/>
      <c r="G19" s="96"/>
      <c r="H19" s="96" t="s">
        <v>457</v>
      </c>
      <c r="I19" s="410"/>
      <c r="J19" s="410"/>
      <c r="K19" s="411">
        <f>I19+J19</f>
        <v>0</v>
      </c>
      <c r="L19" s="410"/>
      <c r="M19" s="410"/>
      <c r="N19" s="411">
        <f>L19+M19</f>
        <v>0</v>
      </c>
      <c r="O19" s="411">
        <f>I19+L19</f>
        <v>0</v>
      </c>
      <c r="P19" s="411">
        <f>J19+M19</f>
        <v>0</v>
      </c>
      <c r="Q19" s="411">
        <f>O19+P19</f>
        <v>0</v>
      </c>
      <c r="R19" s="410"/>
      <c r="S19" s="412"/>
      <c r="T19" s="411">
        <f>R19+S19</f>
        <v>0</v>
      </c>
      <c r="U19" s="411">
        <f>O19+R19</f>
        <v>0</v>
      </c>
      <c r="V19" s="411">
        <f>P19+S19</f>
        <v>0</v>
      </c>
      <c r="W19" s="351">
        <f>U19+V19</f>
        <v>0</v>
      </c>
    </row>
    <row r="20" spans="1:23" ht="12" customHeight="1" x14ac:dyDescent="0.2">
      <c r="A20" s="299"/>
      <c r="B20" s="85"/>
      <c r="C20" s="85"/>
      <c r="D20" s="85"/>
      <c r="E20" s="339"/>
      <c r="F20" s="9"/>
      <c r="G20" s="294"/>
      <c r="H20" s="295" t="str">
        <f>CHAR(132)</f>
        <v>„</v>
      </c>
      <c r="I20" s="415"/>
      <c r="J20" s="416"/>
      <c r="K20" s="411"/>
      <c r="L20" s="416"/>
      <c r="M20" s="416"/>
      <c r="N20" s="411"/>
      <c r="O20" s="411"/>
      <c r="P20" s="411"/>
      <c r="Q20" s="411"/>
      <c r="R20" s="416"/>
      <c r="S20" s="417"/>
      <c r="T20" s="411"/>
      <c r="U20" s="411"/>
      <c r="V20" s="411"/>
      <c r="W20" s="351"/>
    </row>
    <row r="21" spans="1:23" ht="12" customHeight="1" x14ac:dyDescent="0.2">
      <c r="A21" s="297"/>
      <c r="B21" s="302"/>
      <c r="C21" s="302"/>
      <c r="D21" s="302"/>
      <c r="E21" s="29"/>
      <c r="F21" s="29"/>
      <c r="G21" s="303"/>
      <c r="H21" s="298"/>
      <c r="I21" s="418"/>
      <c r="J21" s="419"/>
      <c r="K21" s="419"/>
      <c r="L21" s="419"/>
      <c r="M21" s="419"/>
      <c r="N21" s="419"/>
      <c r="O21" s="419"/>
      <c r="P21" s="419"/>
      <c r="Q21" s="419"/>
      <c r="R21" s="419"/>
      <c r="S21" s="420"/>
      <c r="T21" s="419"/>
      <c r="U21" s="419"/>
      <c r="V21" s="419"/>
      <c r="W21" s="421"/>
    </row>
    <row r="22" spans="1:23" ht="12" customHeight="1" x14ac:dyDescent="0.2">
      <c r="A22" s="216"/>
      <c r="B22" s="95"/>
      <c r="C22" s="95"/>
      <c r="D22" s="95"/>
      <c r="E22" s="218" t="s">
        <v>433</v>
      </c>
      <c r="F22" s="141"/>
      <c r="G22" s="11" t="s">
        <v>444</v>
      </c>
      <c r="H22" s="30"/>
      <c r="I22" s="422">
        <f t="shared" ref="I22:W22" si="2">I11+I18</f>
        <v>0</v>
      </c>
      <c r="J22" s="422">
        <f t="shared" si="2"/>
        <v>0</v>
      </c>
      <c r="K22" s="422">
        <f t="shared" si="2"/>
        <v>0</v>
      </c>
      <c r="L22" s="422">
        <f t="shared" si="2"/>
        <v>0</v>
      </c>
      <c r="M22" s="422">
        <f t="shared" si="2"/>
        <v>0</v>
      </c>
      <c r="N22" s="422">
        <f t="shared" si="2"/>
        <v>0</v>
      </c>
      <c r="O22" s="422">
        <f t="shared" si="2"/>
        <v>0</v>
      </c>
      <c r="P22" s="422">
        <f t="shared" si="2"/>
        <v>0</v>
      </c>
      <c r="Q22" s="422">
        <f t="shared" si="2"/>
        <v>0</v>
      </c>
      <c r="R22" s="422">
        <f t="shared" si="2"/>
        <v>0</v>
      </c>
      <c r="S22" s="422">
        <f t="shared" si="2"/>
        <v>0</v>
      </c>
      <c r="T22" s="422">
        <f t="shared" si="2"/>
        <v>0</v>
      </c>
      <c r="U22" s="422">
        <f t="shared" si="2"/>
        <v>0</v>
      </c>
      <c r="V22" s="422">
        <f t="shared" si="2"/>
        <v>0</v>
      </c>
      <c r="W22" s="423">
        <f t="shared" si="2"/>
        <v>0</v>
      </c>
    </row>
    <row r="23" spans="1:23" ht="12" customHeight="1" thickBot="1" x14ac:dyDescent="0.25">
      <c r="A23" s="7"/>
      <c r="B23" s="6"/>
      <c r="C23" s="6"/>
      <c r="D23" s="6"/>
      <c r="E23" s="5"/>
      <c r="F23" s="5"/>
      <c r="G23" s="3"/>
      <c r="H23" s="3"/>
      <c r="I23" s="22"/>
      <c r="J23" s="22"/>
      <c r="K23" s="22"/>
      <c r="L23" s="22"/>
      <c r="M23" s="22"/>
      <c r="N23" s="22"/>
      <c r="O23" s="22"/>
      <c r="P23" s="22"/>
      <c r="Q23" s="22"/>
      <c r="R23" s="22"/>
      <c r="S23" s="67"/>
      <c r="T23" s="22"/>
      <c r="U23" s="22"/>
      <c r="V23" s="22"/>
      <c r="W23" s="34"/>
    </row>
    <row r="24" spans="1:23" ht="12" customHeight="1" thickTop="1" x14ac:dyDescent="0.2">
      <c r="G24" s="18" t="s">
        <v>432</v>
      </c>
      <c r="H24" s="18"/>
      <c r="I24" s="1"/>
    </row>
    <row r="25" spans="1:23" ht="12" customHeight="1" x14ac:dyDescent="0.2">
      <c r="A25" s="232" t="s">
        <v>22</v>
      </c>
      <c r="B25" s="570" t="s">
        <v>23</v>
      </c>
      <c r="C25" s="570"/>
      <c r="D25" s="570"/>
      <c r="E25" s="570"/>
      <c r="F25" s="570"/>
      <c r="G25" s="570"/>
      <c r="H25" s="570"/>
      <c r="I25" s="570"/>
    </row>
    <row r="26" spans="1:23" ht="12" customHeight="1" x14ac:dyDescent="0.2">
      <c r="A26" s="41" t="s">
        <v>619</v>
      </c>
      <c r="B26" s="1" t="s">
        <v>583</v>
      </c>
      <c r="H26" s="18"/>
      <c r="I26" s="18"/>
    </row>
    <row r="27" spans="1:23" ht="12" customHeight="1" x14ac:dyDescent="0.2">
      <c r="A27" s="41" t="s">
        <v>680</v>
      </c>
      <c r="B27" s="1" t="s">
        <v>693</v>
      </c>
      <c r="H27" s="18"/>
      <c r="I27" s="18"/>
    </row>
    <row r="28" spans="1:23" ht="13.5" x14ac:dyDescent="0.25">
      <c r="A28" s="122"/>
      <c r="B28" s="569"/>
      <c r="C28" s="569"/>
      <c r="D28" s="569"/>
      <c r="E28" s="569"/>
      <c r="F28" s="569"/>
      <c r="G28" s="569"/>
      <c r="H28" s="569"/>
      <c r="I28" s="569"/>
    </row>
  </sheetData>
  <sheetProtection sheet="1" objects="1" scenarios="1"/>
  <mergeCells count="34">
    <mergeCell ref="I8:K8"/>
    <mergeCell ref="L8:N8"/>
    <mergeCell ref="G15:G16"/>
    <mergeCell ref="H15:H16"/>
    <mergeCell ref="I15:I16"/>
    <mergeCell ref="J15:J16"/>
    <mergeCell ref="A1:S1"/>
    <mergeCell ref="A2:S2"/>
    <mergeCell ref="I6:W6"/>
    <mergeCell ref="A6:E9"/>
    <mergeCell ref="G6:G9"/>
    <mergeCell ref="H6:H9"/>
    <mergeCell ref="U7:W8"/>
    <mergeCell ref="O8:Q8"/>
    <mergeCell ref="I7:Q7"/>
    <mergeCell ref="R7:T8"/>
    <mergeCell ref="R15:R16"/>
    <mergeCell ref="K15:K16"/>
    <mergeCell ref="L15:L16"/>
    <mergeCell ref="M15:M16"/>
    <mergeCell ref="N15:N16"/>
    <mergeCell ref="B28:I28"/>
    <mergeCell ref="B25:I25"/>
    <mergeCell ref="A15:E16"/>
    <mergeCell ref="B12:E12"/>
    <mergeCell ref="B19:E19"/>
    <mergeCell ref="W15:W16"/>
    <mergeCell ref="S15:S16"/>
    <mergeCell ref="T15:T16"/>
    <mergeCell ref="U15:U16"/>
    <mergeCell ref="V15:V16"/>
    <mergeCell ref="O15:O16"/>
    <mergeCell ref="P15:P16"/>
    <mergeCell ref="Q15:Q16"/>
  </mergeCells>
  <phoneticPr fontId="0" type="noConversion"/>
  <dataValidations count="2">
    <dataValidation type="decimal" allowBlank="1" showInputMessage="1" showErrorMessage="1" sqref="I13:W14 I10:W10 I17:W17">
      <formula1>-999999999999.99</formula1>
      <formula2>999999999999.99</formula2>
    </dataValidation>
    <dataValidation type="decimal" allowBlank="1" showInputMessage="1" showErrorMessage="1" sqref="I11:W12 I18:W22">
      <formula1>0</formula1>
      <formula2>999999999999999</formula2>
    </dataValidation>
  </dataValidations>
  <printOptions horizontalCentered="1"/>
  <pageMargins left="0.25" right="0.25" top="1" bottom="0.5" header="0.5" footer="0.5"/>
  <pageSetup paperSize="9" scale="75"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5603" r:id="rId4" name="Label_b">
          <controlPr defaultSize="0" autoLine="0" r:id="rId5">
            <anchor moveWithCells="1">
              <from>
                <xdr:col>7</xdr:col>
                <xdr:colOff>28575</xdr:colOff>
                <xdr:row>19</xdr:row>
                <xdr:rowOff>9525</xdr:rowOff>
              </from>
              <to>
                <xdr:col>8</xdr:col>
                <xdr:colOff>0</xdr:colOff>
                <xdr:row>19</xdr:row>
                <xdr:rowOff>133350</xdr:rowOff>
              </to>
            </anchor>
          </controlPr>
        </control>
      </mc:Choice>
      <mc:Fallback>
        <control shapeId="25603" r:id="rId4" name="Label_b"/>
      </mc:Fallback>
    </mc:AlternateContent>
    <mc:AlternateContent xmlns:mc="http://schemas.openxmlformats.org/markup-compatibility/2006">
      <mc:Choice Requires="x14">
        <control shapeId="25601" r:id="rId6" name="Label_a">
          <controlPr defaultSize="0" autoLine="0" r:id="rId7">
            <anchor moveWithCells="1">
              <from>
                <xdr:col>7</xdr:col>
                <xdr:colOff>28575</xdr:colOff>
                <xdr:row>12</xdr:row>
                <xdr:rowOff>0</xdr:rowOff>
              </from>
              <to>
                <xdr:col>8</xdr:col>
                <xdr:colOff>0</xdr:colOff>
                <xdr:row>12</xdr:row>
                <xdr:rowOff>123825</xdr:rowOff>
              </to>
            </anchor>
          </controlPr>
        </control>
      </mc:Choice>
      <mc:Fallback>
        <control shapeId="25601" r:id="rId6" name="Label_a"/>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sheetPr>
  <dimension ref="A1:V128"/>
  <sheetViews>
    <sheetView view="pageBreakPreview" topLeftCell="A13" zoomScaleNormal="100" workbookViewId="0">
      <selection activeCell="G23" sqref="G23"/>
    </sheetView>
  </sheetViews>
  <sheetFormatPr defaultRowHeight="11.25" x14ac:dyDescent="0.2"/>
  <cols>
    <col min="1" max="4" width="2.7109375" style="1" customWidth="1"/>
    <col min="5" max="5" width="31.5703125" style="1" customWidth="1"/>
    <col min="6" max="6" width="30.5703125" style="1" hidden="1" customWidth="1"/>
    <col min="7" max="7" width="18.5703125" style="1" customWidth="1"/>
    <col min="8" max="8" width="18.5703125" style="1" hidden="1" customWidth="1"/>
    <col min="9" max="9" width="16.5703125" style="2" customWidth="1"/>
    <col min="10" max="13" width="16.5703125" style="1" customWidth="1"/>
    <col min="14" max="14" width="15.7109375" style="1" customWidth="1"/>
    <col min="15" max="16384" width="9.140625" style="1"/>
  </cols>
  <sheetData>
    <row r="1" spans="1:22" s="39" customFormat="1" ht="12" customHeight="1" x14ac:dyDescent="0.2">
      <c r="A1" s="608" t="s">
        <v>718</v>
      </c>
      <c r="B1" s="608"/>
      <c r="C1" s="608"/>
      <c r="D1" s="608"/>
      <c r="E1" s="608"/>
      <c r="F1" s="608"/>
      <c r="G1" s="608"/>
      <c r="H1" s="608"/>
      <c r="I1" s="608"/>
      <c r="J1" s="608"/>
      <c r="K1" s="608"/>
      <c r="L1" s="608"/>
      <c r="M1" s="38" t="s">
        <v>623</v>
      </c>
      <c r="O1" s="38"/>
      <c r="P1" s="38"/>
      <c r="Q1" s="38"/>
      <c r="R1" s="38"/>
      <c r="S1" s="38"/>
      <c r="T1" s="38"/>
      <c r="U1" s="38"/>
      <c r="V1" s="38"/>
    </row>
    <row r="2" spans="1:22" s="39" customFormat="1" ht="12" customHeight="1" x14ac:dyDescent="0.2">
      <c r="A2" s="608" t="s">
        <v>4</v>
      </c>
      <c r="B2" s="608"/>
      <c r="C2" s="608"/>
      <c r="D2" s="608"/>
      <c r="E2" s="608"/>
      <c r="F2" s="608"/>
      <c r="G2" s="608"/>
      <c r="H2" s="608"/>
      <c r="I2" s="608"/>
      <c r="J2" s="608"/>
      <c r="K2" s="608"/>
      <c r="L2" s="608"/>
      <c r="M2" s="36"/>
      <c r="N2" s="36"/>
      <c r="O2" s="38"/>
      <c r="P2" s="38"/>
      <c r="Q2" s="38"/>
      <c r="R2" s="38"/>
      <c r="S2" s="38"/>
      <c r="T2" s="38"/>
      <c r="U2" s="38"/>
      <c r="V2" s="38"/>
    </row>
    <row r="3" spans="1:22" ht="12" customHeight="1" x14ac:dyDescent="0.2">
      <c r="A3" s="36"/>
      <c r="B3" s="36"/>
      <c r="C3" s="36"/>
      <c r="D3" s="36"/>
      <c r="E3" s="36"/>
      <c r="F3" s="36"/>
      <c r="G3" s="36"/>
      <c r="H3" s="36"/>
      <c r="I3" s="37"/>
      <c r="J3" s="36"/>
      <c r="K3" s="36"/>
      <c r="L3" s="36"/>
      <c r="M3" s="36"/>
      <c r="N3" s="36"/>
      <c r="O3" s="38"/>
      <c r="P3" s="38"/>
      <c r="Q3" s="38"/>
      <c r="R3" s="38"/>
      <c r="S3" s="38"/>
      <c r="T3" s="38"/>
      <c r="U3" s="38"/>
      <c r="V3" s="38"/>
    </row>
    <row r="4" spans="1:22" ht="12" customHeight="1" x14ac:dyDescent="0.2">
      <c r="N4" s="41"/>
      <c r="O4" s="41"/>
      <c r="P4" s="41"/>
      <c r="Q4" s="41"/>
      <c r="R4" s="41"/>
      <c r="S4" s="41"/>
      <c r="T4" s="41"/>
      <c r="U4" s="41"/>
      <c r="V4" s="41"/>
    </row>
    <row r="5" spans="1:22" ht="12" customHeight="1" x14ac:dyDescent="0.2">
      <c r="N5" s="41"/>
      <c r="O5" s="41"/>
      <c r="P5" s="41"/>
      <c r="Q5" s="41"/>
      <c r="R5" s="41"/>
      <c r="S5" s="41"/>
      <c r="T5" s="41"/>
      <c r="U5" s="41"/>
      <c r="V5" s="41"/>
    </row>
    <row r="6" spans="1:22" ht="12" customHeight="1" thickBot="1" x14ac:dyDescent="0.25">
      <c r="A6" s="41"/>
      <c r="B6" s="41"/>
      <c r="C6" s="41"/>
      <c r="D6" s="41"/>
      <c r="E6" s="41"/>
      <c r="F6" s="41"/>
      <c r="G6" s="41"/>
      <c r="H6" s="41"/>
      <c r="J6" s="41"/>
      <c r="K6" s="41"/>
      <c r="L6" s="41"/>
      <c r="M6" s="41"/>
      <c r="N6" s="41"/>
      <c r="O6" s="41"/>
      <c r="P6" s="41"/>
      <c r="Q6" s="41"/>
      <c r="R6" s="41"/>
      <c r="S6" s="41"/>
      <c r="T6" s="41"/>
      <c r="U6" s="41"/>
      <c r="V6" s="41"/>
    </row>
    <row r="7" spans="1:22" ht="12" customHeight="1" thickTop="1" x14ac:dyDescent="0.2">
      <c r="A7" s="622"/>
      <c r="B7" s="623"/>
      <c r="C7" s="623"/>
      <c r="D7" s="623"/>
      <c r="E7" s="623"/>
      <c r="F7" s="42"/>
      <c r="G7" s="619" t="s">
        <v>430</v>
      </c>
      <c r="H7" s="329"/>
      <c r="I7" s="616" t="s">
        <v>521</v>
      </c>
      <c r="J7" s="617"/>
      <c r="K7" s="617"/>
      <c r="L7" s="617"/>
      <c r="M7" s="618"/>
      <c r="N7" s="41"/>
      <c r="O7" s="41"/>
      <c r="P7" s="41"/>
      <c r="Q7" s="41"/>
      <c r="R7" s="41"/>
      <c r="S7" s="41"/>
      <c r="T7" s="41"/>
      <c r="U7" s="41"/>
    </row>
    <row r="8" spans="1:22" ht="12" customHeight="1" x14ac:dyDescent="0.2">
      <c r="A8" s="624"/>
      <c r="B8" s="625"/>
      <c r="C8" s="625"/>
      <c r="D8" s="625"/>
      <c r="E8" s="625"/>
      <c r="F8" s="43"/>
      <c r="G8" s="620"/>
      <c r="H8" s="330"/>
      <c r="I8" s="589" t="s">
        <v>461</v>
      </c>
      <c r="J8" s="590"/>
      <c r="K8" s="609"/>
      <c r="L8" s="567" t="s">
        <v>595</v>
      </c>
      <c r="M8" s="565" t="s">
        <v>429</v>
      </c>
      <c r="N8" s="41"/>
      <c r="O8" s="41"/>
      <c r="P8" s="41"/>
      <c r="Q8" s="41"/>
      <c r="R8" s="41"/>
      <c r="S8" s="41"/>
      <c r="T8" s="41"/>
      <c r="U8" s="41"/>
    </row>
    <row r="9" spans="1:22" s="45" customFormat="1" ht="12" customHeight="1" thickBot="1" x14ac:dyDescent="0.3">
      <c r="A9" s="626"/>
      <c r="B9" s="627"/>
      <c r="C9" s="627"/>
      <c r="D9" s="627"/>
      <c r="E9" s="627"/>
      <c r="F9" s="44"/>
      <c r="G9" s="621"/>
      <c r="H9" s="317"/>
      <c r="I9" s="65" t="s">
        <v>522</v>
      </c>
      <c r="J9" s="66" t="s">
        <v>523</v>
      </c>
      <c r="K9" s="66" t="s">
        <v>429</v>
      </c>
      <c r="L9" s="628"/>
      <c r="M9" s="615"/>
    </row>
    <row r="10" spans="1:22" s="50" customFormat="1" ht="12" customHeight="1" thickTop="1" x14ac:dyDescent="0.2">
      <c r="A10" s="46" t="s">
        <v>484</v>
      </c>
      <c r="B10" s="47" t="s">
        <v>524</v>
      </c>
      <c r="C10" s="48"/>
      <c r="D10" s="48"/>
      <c r="E10" s="49"/>
      <c r="F10" s="48"/>
      <c r="G10" s="176" t="s">
        <v>525</v>
      </c>
      <c r="H10" s="331"/>
      <c r="I10" s="429">
        <f>I11+I12+I13+I16+I19</f>
        <v>0</v>
      </c>
      <c r="J10" s="429">
        <f>J11+J12+J13+J16+J19</f>
        <v>0</v>
      </c>
      <c r="K10" s="185">
        <f t="shared" ref="K10:K18" si="0">I10+J10</f>
        <v>0</v>
      </c>
      <c r="L10" s="429">
        <f>L11+L12+L13+L16+L19</f>
        <v>0</v>
      </c>
      <c r="M10" s="186">
        <f t="shared" ref="M10:M18" si="1">K10+L10</f>
        <v>0</v>
      </c>
    </row>
    <row r="11" spans="1:22" s="50" customFormat="1" ht="48" customHeight="1" x14ac:dyDescent="0.25">
      <c r="A11" s="53"/>
      <c r="B11" s="55" t="s">
        <v>526</v>
      </c>
      <c r="C11" s="610" t="s">
        <v>694</v>
      </c>
      <c r="D11" s="613"/>
      <c r="E11" s="614"/>
      <c r="F11" s="10"/>
      <c r="G11" s="177" t="s">
        <v>527</v>
      </c>
      <c r="H11" s="332"/>
      <c r="I11" s="430"/>
      <c r="J11" s="430"/>
      <c r="K11" s="189">
        <f t="shared" si="0"/>
        <v>0</v>
      </c>
      <c r="L11" s="430"/>
      <c r="M11" s="188">
        <f t="shared" si="1"/>
        <v>0</v>
      </c>
    </row>
    <row r="12" spans="1:22" s="50" customFormat="1" ht="36" customHeight="1" x14ac:dyDescent="0.25">
      <c r="A12" s="53"/>
      <c r="B12" s="55" t="s">
        <v>451</v>
      </c>
      <c r="C12" s="610" t="s">
        <v>695</v>
      </c>
      <c r="D12" s="613"/>
      <c r="E12" s="614"/>
      <c r="F12" s="10"/>
      <c r="G12" s="177" t="s">
        <v>529</v>
      </c>
      <c r="H12" s="332"/>
      <c r="I12" s="430"/>
      <c r="J12" s="430"/>
      <c r="K12" s="189">
        <f t="shared" si="0"/>
        <v>0</v>
      </c>
      <c r="L12" s="430"/>
      <c r="M12" s="188">
        <f t="shared" si="1"/>
        <v>0</v>
      </c>
    </row>
    <row r="13" spans="1:22" s="50" customFormat="1" ht="24" customHeight="1" x14ac:dyDescent="0.25">
      <c r="A13" s="51"/>
      <c r="B13" s="55" t="s">
        <v>452</v>
      </c>
      <c r="C13" s="610" t="s">
        <v>531</v>
      </c>
      <c r="D13" s="613"/>
      <c r="E13" s="614"/>
      <c r="F13" s="14"/>
      <c r="G13" s="177" t="s">
        <v>532</v>
      </c>
      <c r="H13" s="332"/>
      <c r="I13" s="190">
        <f>I14+I15</f>
        <v>0</v>
      </c>
      <c r="J13" s="190">
        <f>J14+J15</f>
        <v>0</v>
      </c>
      <c r="K13" s="189">
        <f t="shared" si="0"/>
        <v>0</v>
      </c>
      <c r="L13" s="190">
        <f>L14+L15</f>
        <v>0</v>
      </c>
      <c r="M13" s="188">
        <f t="shared" si="1"/>
        <v>0</v>
      </c>
    </row>
    <row r="14" spans="1:22" s="50" customFormat="1" ht="12" customHeight="1" x14ac:dyDescent="0.2">
      <c r="A14" s="53"/>
      <c r="B14" s="10"/>
      <c r="C14" s="10" t="s">
        <v>533</v>
      </c>
      <c r="D14" s="10"/>
      <c r="E14" s="52"/>
      <c r="F14" s="10"/>
      <c r="G14" s="177" t="s">
        <v>709</v>
      </c>
      <c r="H14" s="332"/>
      <c r="I14" s="430"/>
      <c r="J14" s="430"/>
      <c r="K14" s="189">
        <f t="shared" si="0"/>
        <v>0</v>
      </c>
      <c r="L14" s="430"/>
      <c r="M14" s="188">
        <f t="shared" si="1"/>
        <v>0</v>
      </c>
    </row>
    <row r="15" spans="1:22" s="50" customFormat="1" ht="12" customHeight="1" x14ac:dyDescent="0.2">
      <c r="A15" s="53"/>
      <c r="B15" s="10"/>
      <c r="C15" s="10" t="s">
        <v>534</v>
      </c>
      <c r="D15" s="10"/>
      <c r="E15" s="52"/>
      <c r="F15" s="10"/>
      <c r="G15" s="177" t="s">
        <v>710</v>
      </c>
      <c r="H15" s="332"/>
      <c r="I15" s="430"/>
      <c r="J15" s="430"/>
      <c r="K15" s="189">
        <f t="shared" si="0"/>
        <v>0</v>
      </c>
      <c r="L15" s="430"/>
      <c r="M15" s="188">
        <f t="shared" si="1"/>
        <v>0</v>
      </c>
    </row>
    <row r="16" spans="1:22" s="50" customFormat="1" ht="48" customHeight="1" x14ac:dyDescent="0.25">
      <c r="A16" s="51"/>
      <c r="B16" s="55" t="s">
        <v>530</v>
      </c>
      <c r="C16" s="610" t="s">
        <v>696</v>
      </c>
      <c r="D16" s="613"/>
      <c r="E16" s="614"/>
      <c r="F16" s="14"/>
      <c r="G16" s="177" t="s">
        <v>536</v>
      </c>
      <c r="H16" s="332"/>
      <c r="I16" s="190">
        <f>I17+I18</f>
        <v>0</v>
      </c>
      <c r="J16" s="190">
        <f>J17+J18</f>
        <v>0</v>
      </c>
      <c r="K16" s="189">
        <f t="shared" si="0"/>
        <v>0</v>
      </c>
      <c r="L16" s="190">
        <f>L17+L18</f>
        <v>0</v>
      </c>
      <c r="M16" s="188">
        <f t="shared" si="1"/>
        <v>0</v>
      </c>
    </row>
    <row r="17" spans="1:13" s="50" customFormat="1" ht="12" customHeight="1" x14ac:dyDescent="0.2">
      <c r="A17" s="53"/>
      <c r="B17" s="10"/>
      <c r="C17" s="10" t="s">
        <v>697</v>
      </c>
      <c r="D17" s="10"/>
      <c r="E17" s="52"/>
      <c r="F17" s="10"/>
      <c r="G17" s="177" t="s">
        <v>711</v>
      </c>
      <c r="H17" s="332"/>
      <c r="I17" s="430"/>
      <c r="J17" s="430"/>
      <c r="K17" s="189">
        <f t="shared" si="0"/>
        <v>0</v>
      </c>
      <c r="L17" s="430"/>
      <c r="M17" s="188">
        <f t="shared" si="1"/>
        <v>0</v>
      </c>
    </row>
    <row r="18" spans="1:13" s="50" customFormat="1" ht="24" customHeight="1" x14ac:dyDescent="0.25">
      <c r="A18" s="53"/>
      <c r="B18" s="10"/>
      <c r="C18" s="610" t="s">
        <v>537</v>
      </c>
      <c r="D18" s="613"/>
      <c r="E18" s="614"/>
      <c r="F18" s="10"/>
      <c r="G18" s="177" t="s">
        <v>712</v>
      </c>
      <c r="H18" s="332"/>
      <c r="I18" s="430"/>
      <c r="J18" s="430"/>
      <c r="K18" s="189">
        <f t="shared" si="0"/>
        <v>0</v>
      </c>
      <c r="L18" s="430"/>
      <c r="M18" s="188">
        <f t="shared" si="1"/>
        <v>0</v>
      </c>
    </row>
    <row r="19" spans="1:13" s="50" customFormat="1" ht="24" customHeight="1" x14ac:dyDescent="0.25">
      <c r="A19" s="51"/>
      <c r="B19" s="55" t="s">
        <v>535</v>
      </c>
      <c r="C19" s="629" t="s">
        <v>698</v>
      </c>
      <c r="D19" s="630"/>
      <c r="E19" s="631"/>
      <c r="F19" s="14"/>
      <c r="G19" s="177" t="s">
        <v>713</v>
      </c>
      <c r="H19" s="332"/>
      <c r="I19" s="190">
        <f>I20-I21</f>
        <v>0</v>
      </c>
      <c r="J19" s="190">
        <f>J20-J21</f>
        <v>0</v>
      </c>
      <c r="K19" s="189">
        <f>K20-K21</f>
        <v>0</v>
      </c>
      <c r="L19" s="190">
        <f>L20-L21</f>
        <v>0</v>
      </c>
      <c r="M19" s="188">
        <f>M20-M21</f>
        <v>0</v>
      </c>
    </row>
    <row r="20" spans="1:13" s="50" customFormat="1" ht="12" customHeight="1" x14ac:dyDescent="0.2">
      <c r="A20" s="53"/>
      <c r="B20" s="10"/>
      <c r="C20" s="10" t="s">
        <v>699</v>
      </c>
      <c r="D20" s="10"/>
      <c r="E20" s="52"/>
      <c r="F20" s="10"/>
      <c r="G20" s="177" t="s">
        <v>714</v>
      </c>
      <c r="H20" s="332"/>
      <c r="I20" s="430"/>
      <c r="J20" s="430"/>
      <c r="K20" s="189">
        <f>I20+J20</f>
        <v>0</v>
      </c>
      <c r="L20" s="430"/>
      <c r="M20" s="188">
        <f>K20+L20</f>
        <v>0</v>
      </c>
    </row>
    <row r="21" spans="1:13" s="50" customFormat="1" ht="12" customHeight="1" x14ac:dyDescent="0.25">
      <c r="A21" s="53"/>
      <c r="B21" s="10"/>
      <c r="C21" s="610" t="s">
        <v>701</v>
      </c>
      <c r="D21" s="613"/>
      <c r="E21" s="614"/>
      <c r="F21" s="10"/>
      <c r="G21" s="177" t="s">
        <v>715</v>
      </c>
      <c r="H21" s="332"/>
      <c r="I21" s="430"/>
      <c r="J21" s="430"/>
      <c r="K21" s="189">
        <f>I21+J21</f>
        <v>0</v>
      </c>
      <c r="L21" s="430"/>
      <c r="M21" s="188">
        <f>K21+L21</f>
        <v>0</v>
      </c>
    </row>
    <row r="22" spans="1:13" s="50" customFormat="1" ht="12" customHeight="1" x14ac:dyDescent="0.2">
      <c r="A22" s="51"/>
      <c r="B22" s="10"/>
      <c r="C22" s="10"/>
      <c r="D22" s="10"/>
      <c r="E22" s="52"/>
      <c r="F22" s="10"/>
      <c r="G22" s="177"/>
      <c r="H22" s="332"/>
      <c r="I22" s="190"/>
      <c r="J22" s="190"/>
      <c r="K22" s="189"/>
      <c r="L22" s="431"/>
      <c r="M22" s="188"/>
    </row>
    <row r="23" spans="1:13" s="50" customFormat="1" ht="12" customHeight="1" x14ac:dyDescent="0.2">
      <c r="A23" s="53" t="s">
        <v>486</v>
      </c>
      <c r="B23" s="10" t="s">
        <v>538</v>
      </c>
      <c r="C23" s="10"/>
      <c r="D23" s="10"/>
      <c r="E23" s="52"/>
      <c r="F23" s="10"/>
      <c r="G23" s="177" t="s">
        <v>539</v>
      </c>
      <c r="H23" s="332"/>
      <c r="I23" s="432"/>
      <c r="J23" s="432"/>
      <c r="K23" s="189">
        <f>K24+K25+K26</f>
        <v>0</v>
      </c>
      <c r="L23" s="189">
        <f>L24+L25+L26</f>
        <v>0</v>
      </c>
      <c r="M23" s="188">
        <f>K23+L23</f>
        <v>0</v>
      </c>
    </row>
    <row r="24" spans="1:13" s="50" customFormat="1" ht="24" customHeight="1" x14ac:dyDescent="0.2">
      <c r="A24" s="53"/>
      <c r="B24" s="55" t="s">
        <v>450</v>
      </c>
      <c r="C24" s="610" t="s">
        <v>702</v>
      </c>
      <c r="D24" s="611"/>
      <c r="E24" s="612"/>
      <c r="F24" s="10"/>
      <c r="G24" s="177" t="s">
        <v>540</v>
      </c>
      <c r="H24" s="332"/>
      <c r="I24" s="433"/>
      <c r="J24" s="433"/>
      <c r="K24" s="430"/>
      <c r="L24" s="430"/>
      <c r="M24" s="188">
        <f>K24+L24</f>
        <v>0</v>
      </c>
    </row>
    <row r="25" spans="1:13" s="50" customFormat="1" ht="24" customHeight="1" x14ac:dyDescent="0.2">
      <c r="A25" s="53"/>
      <c r="B25" s="55" t="s">
        <v>451</v>
      </c>
      <c r="C25" s="610" t="s">
        <v>703</v>
      </c>
      <c r="D25" s="611"/>
      <c r="E25" s="612"/>
      <c r="F25" s="10"/>
      <c r="G25" s="177" t="s">
        <v>541</v>
      </c>
      <c r="H25" s="332"/>
      <c r="I25" s="433"/>
      <c r="J25" s="433"/>
      <c r="K25" s="430"/>
      <c r="L25" s="430"/>
      <c r="M25" s="188">
        <f>K25+L25</f>
        <v>0</v>
      </c>
    </row>
    <row r="26" spans="1:13" s="50" customFormat="1" ht="12" customHeight="1" x14ac:dyDescent="0.2">
      <c r="A26" s="53"/>
      <c r="B26" s="55" t="s">
        <v>452</v>
      </c>
      <c r="C26" s="10" t="s">
        <v>542</v>
      </c>
      <c r="D26" s="10"/>
      <c r="E26" s="52"/>
      <c r="F26" s="10"/>
      <c r="G26" s="177" t="s">
        <v>543</v>
      </c>
      <c r="H26" s="332"/>
      <c r="I26" s="433"/>
      <c r="J26" s="433"/>
      <c r="K26" s="190">
        <f>'2'!K18</f>
        <v>0</v>
      </c>
      <c r="L26" s="190">
        <f>'2'!L18</f>
        <v>0</v>
      </c>
      <c r="M26" s="188">
        <f>K26+L26</f>
        <v>0</v>
      </c>
    </row>
    <row r="27" spans="1:13" s="50" customFormat="1" ht="12" customHeight="1" x14ac:dyDescent="0.2">
      <c r="A27" s="51"/>
      <c r="B27" s="10"/>
      <c r="C27" s="10"/>
      <c r="D27" s="10"/>
      <c r="E27" s="52"/>
      <c r="F27" s="10"/>
      <c r="G27" s="177"/>
      <c r="H27" s="332"/>
      <c r="I27" s="193"/>
      <c r="J27" s="193"/>
      <c r="K27" s="189"/>
      <c r="L27" s="434"/>
      <c r="M27" s="188"/>
    </row>
    <row r="28" spans="1:13" s="50" customFormat="1" ht="12" customHeight="1" x14ac:dyDescent="0.2">
      <c r="A28" s="53" t="s">
        <v>492</v>
      </c>
      <c r="B28" s="10" t="s">
        <v>544</v>
      </c>
      <c r="C28" s="10"/>
      <c r="D28" s="10"/>
      <c r="E28" s="52"/>
      <c r="F28" s="10"/>
      <c r="G28" s="177" t="s">
        <v>545</v>
      </c>
      <c r="H28" s="332"/>
      <c r="I28" s="432"/>
      <c r="J28" s="432"/>
      <c r="K28" s="189">
        <f>K10+K23</f>
        <v>0</v>
      </c>
      <c r="L28" s="190">
        <f>L10+L23</f>
        <v>0</v>
      </c>
      <c r="M28" s="188">
        <f>K28+L28</f>
        <v>0</v>
      </c>
    </row>
    <row r="29" spans="1:13" s="50" customFormat="1" ht="12" customHeight="1" x14ac:dyDescent="0.2">
      <c r="A29" s="53"/>
      <c r="B29" s="10"/>
      <c r="C29" s="10"/>
      <c r="D29" s="10"/>
      <c r="E29" s="52"/>
      <c r="F29" s="10"/>
      <c r="G29" s="177"/>
      <c r="H29" s="332"/>
      <c r="I29" s="193"/>
      <c r="J29" s="193"/>
      <c r="K29" s="189"/>
      <c r="L29" s="434"/>
      <c r="M29" s="188"/>
    </row>
    <row r="30" spans="1:13" s="50" customFormat="1" ht="12" customHeight="1" x14ac:dyDescent="0.2">
      <c r="A30" s="54" t="s">
        <v>494</v>
      </c>
      <c r="B30" s="10"/>
      <c r="C30" s="10"/>
      <c r="D30" s="10"/>
      <c r="E30" s="52"/>
      <c r="F30" s="10"/>
      <c r="G30" s="177"/>
      <c r="H30" s="332"/>
      <c r="I30" s="193"/>
      <c r="J30" s="193"/>
      <c r="K30" s="189"/>
      <c r="L30" s="434"/>
      <c r="M30" s="188"/>
    </row>
    <row r="31" spans="1:13" s="50" customFormat="1" ht="12" customHeight="1" x14ac:dyDescent="0.2">
      <c r="A31" s="51"/>
      <c r="B31" s="55" t="s">
        <v>450</v>
      </c>
      <c r="C31" s="10" t="s">
        <v>704</v>
      </c>
      <c r="D31" s="10"/>
      <c r="E31" s="52"/>
      <c r="F31" s="10"/>
      <c r="G31" s="177" t="s">
        <v>546</v>
      </c>
      <c r="H31" s="332"/>
      <c r="I31" s="450"/>
      <c r="J31" s="450"/>
      <c r="K31" s="451">
        <f t="shared" ref="K31:K37" si="2">I31+J31</f>
        <v>0</v>
      </c>
      <c r="L31" s="450"/>
      <c r="M31" s="452">
        <f t="shared" ref="M31:M37" si="3">K31+L31</f>
        <v>0</v>
      </c>
    </row>
    <row r="32" spans="1:13" s="50" customFormat="1" ht="12" customHeight="1" x14ac:dyDescent="0.2">
      <c r="A32" s="51"/>
      <c r="B32" s="55" t="s">
        <v>451</v>
      </c>
      <c r="C32" s="10" t="s">
        <v>705</v>
      </c>
      <c r="D32" s="10"/>
      <c r="E32" s="52"/>
      <c r="F32" s="10"/>
      <c r="G32" s="177" t="s">
        <v>547</v>
      </c>
      <c r="H32" s="332"/>
      <c r="I32" s="430"/>
      <c r="J32" s="430"/>
      <c r="K32" s="189">
        <f t="shared" si="2"/>
        <v>0</v>
      </c>
      <c r="L32" s="430"/>
      <c r="M32" s="188">
        <f t="shared" si="3"/>
        <v>0</v>
      </c>
    </row>
    <row r="33" spans="1:14" s="50" customFormat="1" ht="24" customHeight="1" x14ac:dyDescent="0.2">
      <c r="A33" s="51"/>
      <c r="B33" s="55" t="s">
        <v>452</v>
      </c>
      <c r="C33" s="610" t="s">
        <v>584</v>
      </c>
      <c r="D33" s="611"/>
      <c r="E33" s="612"/>
      <c r="F33" s="10"/>
      <c r="G33" s="177" t="s">
        <v>548</v>
      </c>
      <c r="H33" s="332"/>
      <c r="I33" s="190">
        <f>I34+I35+I36+I37</f>
        <v>0</v>
      </c>
      <c r="J33" s="190">
        <f>J34+J35+J36+J37</f>
        <v>0</v>
      </c>
      <c r="K33" s="189">
        <f t="shared" si="2"/>
        <v>0</v>
      </c>
      <c r="L33" s="190">
        <f>L34+L35+L36+L37</f>
        <v>0</v>
      </c>
      <c r="M33" s="188">
        <f t="shared" si="3"/>
        <v>0</v>
      </c>
    </row>
    <row r="34" spans="1:14" s="50" customFormat="1" ht="12" customHeight="1" x14ac:dyDescent="0.2">
      <c r="A34" s="51"/>
      <c r="B34" s="55"/>
      <c r="C34" s="10" t="s">
        <v>549</v>
      </c>
      <c r="D34" s="10"/>
      <c r="E34" s="52"/>
      <c r="F34" s="10"/>
      <c r="G34" s="177" t="s">
        <v>550</v>
      </c>
      <c r="H34" s="332"/>
      <c r="I34" s="430"/>
      <c r="J34" s="430"/>
      <c r="K34" s="189">
        <f t="shared" si="2"/>
        <v>0</v>
      </c>
      <c r="L34" s="430"/>
      <c r="M34" s="188">
        <f t="shared" si="3"/>
        <v>0</v>
      </c>
    </row>
    <row r="35" spans="1:14" s="50" customFormat="1" ht="12" customHeight="1" x14ac:dyDescent="0.2">
      <c r="A35" s="51"/>
      <c r="B35" s="55"/>
      <c r="C35" s="10" t="s">
        <v>551</v>
      </c>
      <c r="D35" s="10"/>
      <c r="E35" s="52"/>
      <c r="F35" s="10"/>
      <c r="G35" s="177" t="s">
        <v>552</v>
      </c>
      <c r="H35" s="332"/>
      <c r="I35" s="430"/>
      <c r="J35" s="430"/>
      <c r="K35" s="189">
        <f t="shared" si="2"/>
        <v>0</v>
      </c>
      <c r="L35" s="430"/>
      <c r="M35" s="188">
        <f t="shared" si="3"/>
        <v>0</v>
      </c>
    </row>
    <row r="36" spans="1:14" s="50" customFormat="1" ht="12" customHeight="1" x14ac:dyDescent="0.2">
      <c r="A36" s="51"/>
      <c r="B36" s="55"/>
      <c r="C36" s="10" t="s">
        <v>553</v>
      </c>
      <c r="D36" s="10"/>
      <c r="E36" s="52"/>
      <c r="F36" s="10"/>
      <c r="G36" s="177" t="s">
        <v>554</v>
      </c>
      <c r="H36" s="332"/>
      <c r="I36" s="430"/>
      <c r="J36" s="430"/>
      <c r="K36" s="189">
        <f t="shared" si="2"/>
        <v>0</v>
      </c>
      <c r="L36" s="430"/>
      <c r="M36" s="188">
        <f t="shared" si="3"/>
        <v>0</v>
      </c>
    </row>
    <row r="37" spans="1:14" s="50" customFormat="1" ht="12" customHeight="1" thickBot="1" x14ac:dyDescent="0.25">
      <c r="A37" s="56"/>
      <c r="B37" s="57"/>
      <c r="C37" s="6" t="s">
        <v>555</v>
      </c>
      <c r="D37" s="6"/>
      <c r="E37" s="58"/>
      <c r="F37" s="6"/>
      <c r="G37" s="178" t="s">
        <v>556</v>
      </c>
      <c r="H37" s="333"/>
      <c r="I37" s="435"/>
      <c r="J37" s="435"/>
      <c r="K37" s="436">
        <f t="shared" si="2"/>
        <v>0</v>
      </c>
      <c r="L37" s="437"/>
      <c r="M37" s="438">
        <f t="shared" si="3"/>
        <v>0</v>
      </c>
    </row>
    <row r="38" spans="1:14" s="50" customFormat="1" ht="12" customHeight="1" thickTop="1" x14ac:dyDescent="0.2">
      <c r="A38" s="59"/>
      <c r="B38" s="60"/>
      <c r="C38" s="61"/>
      <c r="D38" s="61"/>
      <c r="E38" s="61"/>
      <c r="F38" s="61"/>
      <c r="G38" s="64" t="s">
        <v>432</v>
      </c>
      <c r="H38" s="64"/>
      <c r="I38" s="71"/>
      <c r="J38" s="71"/>
      <c r="K38" s="71"/>
      <c r="L38" s="71"/>
      <c r="M38" s="63"/>
    </row>
    <row r="39" spans="1:14" s="50" customFormat="1" ht="12" customHeight="1" x14ac:dyDescent="0.2">
      <c r="A39" s="233" t="s">
        <v>618</v>
      </c>
      <c r="B39" s="234" t="s">
        <v>517</v>
      </c>
      <c r="D39" s="61"/>
      <c r="E39" s="61"/>
      <c r="F39" s="61"/>
      <c r="G39" s="61"/>
      <c r="H39" s="61"/>
      <c r="I39" s="62"/>
      <c r="J39" s="71"/>
      <c r="K39" s="71"/>
      <c r="L39" s="71"/>
      <c r="M39" s="71"/>
      <c r="N39" s="63"/>
    </row>
    <row r="40" spans="1:14" s="50" customFormat="1" ht="12" customHeight="1" x14ac:dyDescent="0.2">
      <c r="A40" s="233" t="s">
        <v>619</v>
      </c>
      <c r="B40" s="235" t="s">
        <v>518</v>
      </c>
      <c r="D40" s="61"/>
      <c r="E40" s="61"/>
      <c r="F40" s="61"/>
      <c r="G40" s="61"/>
      <c r="H40" s="61"/>
      <c r="I40" s="62"/>
      <c r="J40" s="71"/>
      <c r="K40" s="71"/>
      <c r="L40" s="71"/>
      <c r="M40" s="71"/>
      <c r="N40" s="63"/>
    </row>
    <row r="41" spans="1:14" s="50" customFormat="1" ht="12" customHeight="1" x14ac:dyDescent="0.2">
      <c r="A41" s="231" t="s">
        <v>680</v>
      </c>
      <c r="B41" s="284" t="s">
        <v>706</v>
      </c>
      <c r="C41" s="287"/>
      <c r="D41" s="287"/>
      <c r="E41" s="287"/>
      <c r="F41" s="287"/>
      <c r="G41" s="287"/>
      <c r="H41" s="287"/>
      <c r="I41" s="287"/>
      <c r="J41" s="287"/>
      <c r="K41" s="287"/>
      <c r="L41" s="287"/>
      <c r="M41" s="287"/>
      <c r="N41" s="287"/>
    </row>
    <row r="42" spans="1:14" s="50" customFormat="1" ht="12" customHeight="1" x14ac:dyDescent="0.2">
      <c r="A42" s="231" t="s">
        <v>681</v>
      </c>
      <c r="B42" s="235" t="s">
        <v>707</v>
      </c>
      <c r="D42" s="61"/>
      <c r="E42" s="61"/>
      <c r="F42" s="61"/>
      <c r="G42" s="61"/>
      <c r="H42" s="61"/>
      <c r="I42" s="62"/>
      <c r="J42" s="71"/>
      <c r="K42" s="71"/>
      <c r="L42" s="71"/>
      <c r="M42" s="71"/>
      <c r="N42" s="63"/>
    </row>
    <row r="43" spans="1:14" s="50" customFormat="1" ht="12" customHeight="1" x14ac:dyDescent="0.2">
      <c r="A43" s="231" t="s">
        <v>5</v>
      </c>
      <c r="B43" s="235" t="s">
        <v>708</v>
      </c>
      <c r="D43" s="61"/>
      <c r="E43" s="61"/>
      <c r="F43" s="61"/>
      <c r="G43" s="61"/>
      <c r="H43" s="61"/>
      <c r="I43" s="62"/>
      <c r="J43" s="71"/>
      <c r="K43" s="71"/>
      <c r="L43" s="71"/>
      <c r="M43" s="71"/>
      <c r="N43" s="63"/>
    </row>
    <row r="44" spans="1:14" s="50" customFormat="1" ht="12" customHeight="1" x14ac:dyDescent="0.2">
      <c r="A44" s="231" t="s">
        <v>6</v>
      </c>
      <c r="B44" s="235" t="s">
        <v>519</v>
      </c>
      <c r="D44" s="61"/>
      <c r="E44" s="61"/>
      <c r="F44" s="61"/>
      <c r="G44" s="61"/>
      <c r="H44" s="61"/>
      <c r="I44" s="62"/>
      <c r="J44" s="71"/>
      <c r="K44" s="71"/>
      <c r="L44" s="71"/>
      <c r="M44" s="71"/>
      <c r="N44" s="63"/>
    </row>
    <row r="45" spans="1:14" s="50" customFormat="1" ht="12" customHeight="1" x14ac:dyDescent="0.2">
      <c r="A45" s="231" t="s">
        <v>7</v>
      </c>
      <c r="B45" s="234" t="s">
        <v>24</v>
      </c>
      <c r="D45" s="61"/>
      <c r="E45" s="61"/>
      <c r="F45" s="61"/>
      <c r="G45" s="61"/>
      <c r="H45" s="61"/>
      <c r="I45" s="62"/>
      <c r="J45" s="71"/>
      <c r="K45" s="71"/>
      <c r="L45" s="71"/>
      <c r="M45" s="71"/>
      <c r="N45" s="63"/>
    </row>
    <row r="46" spans="1:14" s="50" customFormat="1" ht="12" customHeight="1" x14ac:dyDescent="0.2">
      <c r="A46" s="231" t="s">
        <v>8</v>
      </c>
      <c r="B46" s="235" t="s">
        <v>520</v>
      </c>
      <c r="D46" s="61"/>
      <c r="E46" s="61"/>
      <c r="F46" s="61"/>
      <c r="G46" s="61"/>
      <c r="H46" s="61"/>
      <c r="I46" s="62"/>
      <c r="J46" s="71"/>
      <c r="K46" s="71"/>
      <c r="L46" s="71"/>
      <c r="M46" s="71"/>
      <c r="N46" s="63"/>
    </row>
    <row r="47" spans="1:14" x14ac:dyDescent="0.2">
      <c r="A47" s="15"/>
      <c r="B47" s="15"/>
      <c r="C47" s="15"/>
      <c r="D47" s="15"/>
      <c r="E47" s="15"/>
      <c r="F47" s="15"/>
      <c r="G47" s="15"/>
      <c r="H47" s="15"/>
      <c r="J47" s="15"/>
      <c r="K47" s="15"/>
      <c r="L47" s="15"/>
      <c r="M47" s="15"/>
      <c r="N47" s="15"/>
    </row>
    <row r="48" spans="1:14" x14ac:dyDescent="0.2">
      <c r="A48" s="15"/>
      <c r="B48" s="15"/>
      <c r="C48" s="15"/>
      <c r="D48" s="15"/>
      <c r="E48" s="15"/>
      <c r="F48" s="15"/>
      <c r="G48" s="15"/>
      <c r="H48" s="15"/>
      <c r="I48" s="16"/>
    </row>
    <row r="49" spans="1:9" x14ac:dyDescent="0.2">
      <c r="A49" s="15"/>
      <c r="B49" s="15"/>
      <c r="C49" s="15"/>
      <c r="D49" s="15"/>
      <c r="E49" s="15"/>
      <c r="F49" s="15"/>
      <c r="G49" s="15"/>
      <c r="H49" s="15"/>
      <c r="I49" s="16"/>
    </row>
    <row r="50" spans="1:9" x14ac:dyDescent="0.2">
      <c r="A50" s="15"/>
      <c r="B50" s="15"/>
      <c r="C50" s="15"/>
      <c r="D50" s="15"/>
      <c r="E50" s="15"/>
      <c r="F50" s="15"/>
      <c r="G50" s="15"/>
      <c r="H50" s="15"/>
      <c r="I50" s="16"/>
    </row>
    <row r="51" spans="1:9" x14ac:dyDescent="0.2">
      <c r="A51" s="15"/>
      <c r="B51" s="15"/>
      <c r="C51" s="15"/>
      <c r="D51" s="15"/>
      <c r="E51" s="15"/>
      <c r="F51" s="15"/>
      <c r="G51" s="15"/>
      <c r="H51" s="15"/>
      <c r="I51" s="16"/>
    </row>
    <row r="52" spans="1:9" x14ac:dyDescent="0.2">
      <c r="A52" s="15"/>
      <c r="B52" s="15"/>
      <c r="C52" s="15"/>
      <c r="D52" s="15"/>
      <c r="E52" s="15"/>
      <c r="F52" s="15"/>
      <c r="G52" s="15"/>
      <c r="H52" s="15"/>
      <c r="I52" s="16"/>
    </row>
    <row r="53" spans="1:9" x14ac:dyDescent="0.2">
      <c r="A53" s="15"/>
      <c r="B53" s="15"/>
      <c r="C53" s="15"/>
      <c r="D53" s="15"/>
      <c r="E53" s="15"/>
      <c r="F53" s="15"/>
      <c r="G53" s="15"/>
      <c r="H53" s="15"/>
      <c r="I53" s="16"/>
    </row>
    <row r="54" spans="1:9" ht="23.25" customHeight="1" x14ac:dyDescent="0.2">
      <c r="A54" s="15"/>
      <c r="B54" s="15"/>
      <c r="C54" s="632"/>
      <c r="D54" s="632"/>
      <c r="E54" s="632"/>
      <c r="F54" s="15"/>
      <c r="G54" s="15"/>
      <c r="H54" s="15"/>
      <c r="I54" s="16"/>
    </row>
    <row r="55" spans="1:9" x14ac:dyDescent="0.2">
      <c r="A55" s="15"/>
      <c r="B55" s="15"/>
      <c r="C55" s="15"/>
      <c r="D55" s="15"/>
      <c r="E55" s="15"/>
      <c r="F55" s="15"/>
      <c r="G55" s="15"/>
      <c r="H55" s="15"/>
      <c r="I55" s="16"/>
    </row>
    <row r="56" spans="1:9" x14ac:dyDescent="0.2">
      <c r="A56" s="15"/>
      <c r="B56" s="15"/>
      <c r="C56" s="15"/>
      <c r="D56" s="15"/>
      <c r="E56" s="15"/>
      <c r="F56" s="15"/>
      <c r="G56" s="15"/>
      <c r="H56" s="15"/>
      <c r="I56" s="16"/>
    </row>
    <row r="57" spans="1:9" x14ac:dyDescent="0.2">
      <c r="A57" s="15"/>
      <c r="B57" s="15"/>
      <c r="C57" s="15"/>
      <c r="D57" s="15"/>
      <c r="E57" s="15"/>
      <c r="F57" s="15"/>
      <c r="G57" s="15"/>
      <c r="H57" s="15"/>
      <c r="I57" s="16"/>
    </row>
    <row r="58" spans="1:9" x14ac:dyDescent="0.2">
      <c r="A58" s="15"/>
      <c r="B58" s="15"/>
      <c r="C58" s="15"/>
      <c r="D58" s="15"/>
      <c r="E58" s="15"/>
      <c r="F58" s="15"/>
      <c r="G58" s="15"/>
      <c r="H58" s="15"/>
      <c r="I58" s="16"/>
    </row>
    <row r="59" spans="1:9" x14ac:dyDescent="0.2">
      <c r="A59" s="15"/>
      <c r="B59" s="15"/>
      <c r="C59" s="15"/>
      <c r="D59" s="15"/>
      <c r="E59" s="15"/>
      <c r="F59" s="15"/>
      <c r="G59" s="15"/>
      <c r="H59" s="15"/>
      <c r="I59" s="16"/>
    </row>
    <row r="60" spans="1:9" x14ac:dyDescent="0.2">
      <c r="A60" s="15"/>
      <c r="B60" s="15"/>
      <c r="C60" s="15"/>
      <c r="D60" s="15"/>
      <c r="E60" s="15"/>
      <c r="F60" s="15"/>
      <c r="G60" s="15"/>
      <c r="H60" s="15"/>
      <c r="I60" s="16"/>
    </row>
    <row r="65" spans="9:9" ht="33.75" customHeight="1" x14ac:dyDescent="0.2"/>
    <row r="67" spans="9:9" ht="45" customHeight="1" x14ac:dyDescent="0.2">
      <c r="I67" s="1"/>
    </row>
    <row r="126" spans="2:5" ht="22.5" customHeight="1" x14ac:dyDescent="0.2">
      <c r="C126" s="554"/>
      <c r="D126" s="554"/>
      <c r="E126" s="554"/>
    </row>
    <row r="127" spans="2:5" ht="23.25" customHeight="1" x14ac:dyDescent="0.2">
      <c r="C127" s="554"/>
      <c r="D127" s="554"/>
      <c r="E127" s="554"/>
    </row>
    <row r="128" spans="2:5" ht="22.5" customHeight="1" x14ac:dyDescent="0.2">
      <c r="B128" s="554"/>
      <c r="C128" s="554"/>
      <c r="D128" s="554"/>
      <c r="E128" s="554"/>
    </row>
  </sheetData>
  <sheetProtection sheet="1" objects="1" scenarios="1"/>
  <mergeCells count="22">
    <mergeCell ref="B128:E128"/>
    <mergeCell ref="C11:E11"/>
    <mergeCell ref="C18:E18"/>
    <mergeCell ref="C24:E24"/>
    <mergeCell ref="C16:E16"/>
    <mergeCell ref="C19:E19"/>
    <mergeCell ref="C21:E21"/>
    <mergeCell ref="C25:E25"/>
    <mergeCell ref="C54:E54"/>
    <mergeCell ref="M8:M9"/>
    <mergeCell ref="I7:M7"/>
    <mergeCell ref="G7:G9"/>
    <mergeCell ref="A7:E9"/>
    <mergeCell ref="L8:L9"/>
    <mergeCell ref="C127:E127"/>
    <mergeCell ref="A1:L1"/>
    <mergeCell ref="A2:L2"/>
    <mergeCell ref="I8:K8"/>
    <mergeCell ref="C126:E126"/>
    <mergeCell ref="C33:E33"/>
    <mergeCell ref="C12:E12"/>
    <mergeCell ref="C13:E13"/>
  </mergeCells>
  <phoneticPr fontId="8" type="noConversion"/>
  <dataValidations count="2">
    <dataValidation type="decimal" allowBlank="1" showInputMessage="1" showErrorMessage="1" sqref="I10:M30 I32:M37">
      <formula1>0</formula1>
      <formula2>999999999999999</formula2>
    </dataValidation>
    <dataValidation type="whole" allowBlank="1" showInputMessage="1" showErrorMessage="1" sqref="I31:M31">
      <formula1>0</formula1>
      <formula2>999999999999999</formula2>
    </dataValidation>
  </dataValidations>
  <printOptions horizontalCentered="1"/>
  <pageMargins left="0.15" right="0.55000000000000004" top="1" bottom="0.26" header="0.5" footer="0.25"/>
  <pageSetup paperSize="5" scale="75" orientation="landscape" horizontalDpi="4294967294" verticalDpi="300" r:id="rId1"/>
  <headerFooter alignWithMargins="0">
    <oddHeader>&amp;L&amp;"Arial,Bold"&amp;8
&amp;R&amp;"Arial,Bold"&amp;8Page &amp;P of &amp;N&amp;C&amp;"Arial,Bold"&amp;8 NEW RURAK BANK OF SAN LEONRADO, INC.  [ 04-040656 ]
 As of: September 30, 2017</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4"/>
  </sheetPr>
  <dimension ref="A1:X28"/>
  <sheetViews>
    <sheetView view="pageBreakPreview" topLeftCell="A5" zoomScaleNormal="100" zoomScaleSheetLayoutView="100" workbookViewId="0">
      <selection activeCell="G18" sqref="G18"/>
    </sheetView>
  </sheetViews>
  <sheetFormatPr defaultRowHeight="11.25" x14ac:dyDescent="0.2"/>
  <cols>
    <col min="1" max="4" width="2.7109375" style="1" customWidth="1"/>
    <col min="5" max="5" width="31.5703125" style="1" customWidth="1"/>
    <col min="6" max="6" width="25.28515625" style="1" hidden="1" customWidth="1"/>
    <col min="7" max="7" width="18.5703125" style="1" customWidth="1"/>
    <col min="8" max="8" width="3.5703125" style="2" customWidth="1"/>
    <col min="9" max="9" width="16.5703125" style="2" customWidth="1"/>
    <col min="10" max="23" width="16.5703125" style="1" customWidth="1"/>
    <col min="24" max="24" width="15.7109375" style="1" customWidth="1"/>
    <col min="25" max="16384" width="9.140625" style="1"/>
  </cols>
  <sheetData>
    <row r="1" spans="1:24" ht="12" customHeight="1" x14ac:dyDescent="0.2">
      <c r="A1" s="495" t="s">
        <v>719</v>
      </c>
      <c r="B1" s="495"/>
      <c r="C1" s="495"/>
      <c r="D1" s="495"/>
      <c r="E1" s="495"/>
      <c r="F1" s="495"/>
      <c r="G1" s="495"/>
      <c r="H1" s="495"/>
      <c r="I1" s="495"/>
      <c r="J1" s="495"/>
      <c r="K1" s="495"/>
      <c r="L1" s="495"/>
      <c r="M1" s="495"/>
      <c r="N1" s="495"/>
      <c r="O1" s="495"/>
      <c r="P1" s="495"/>
      <c r="Q1" s="17"/>
      <c r="R1" s="17"/>
      <c r="S1" s="17"/>
      <c r="T1" s="17"/>
      <c r="U1" s="17"/>
      <c r="V1" s="17"/>
      <c r="W1" s="17" t="s">
        <v>624</v>
      </c>
    </row>
    <row r="2" spans="1:24" ht="12" customHeight="1" x14ac:dyDescent="0.2">
      <c r="A2" s="495" t="s">
        <v>683</v>
      </c>
      <c r="B2" s="495"/>
      <c r="C2" s="495"/>
      <c r="D2" s="495"/>
      <c r="E2" s="495"/>
      <c r="F2" s="495"/>
      <c r="G2" s="495"/>
      <c r="H2" s="495"/>
      <c r="I2" s="495"/>
      <c r="J2" s="495"/>
      <c r="K2" s="495"/>
      <c r="L2" s="495"/>
      <c r="M2" s="495"/>
      <c r="N2" s="495"/>
      <c r="O2" s="495"/>
      <c r="P2" s="495"/>
      <c r="Q2" s="17"/>
      <c r="R2" s="17"/>
      <c r="S2" s="17"/>
      <c r="T2" s="17"/>
      <c r="U2" s="17"/>
      <c r="V2" s="17"/>
      <c r="W2" s="17"/>
      <c r="X2" s="17"/>
    </row>
    <row r="3" spans="1:24" ht="12" customHeight="1" x14ac:dyDescent="0.2">
      <c r="A3" s="17"/>
      <c r="B3" s="17"/>
      <c r="C3" s="17"/>
      <c r="D3" s="17"/>
      <c r="E3" s="17"/>
      <c r="F3" s="17"/>
      <c r="G3" s="17"/>
      <c r="H3" s="17"/>
      <c r="I3" s="17"/>
      <c r="J3" s="17"/>
      <c r="K3" s="17"/>
      <c r="L3" s="17"/>
      <c r="M3" s="17"/>
      <c r="N3" s="17"/>
      <c r="O3" s="17"/>
      <c r="P3" s="17"/>
      <c r="Q3" s="17"/>
      <c r="R3" s="17"/>
      <c r="S3" s="17"/>
      <c r="T3" s="17"/>
      <c r="U3" s="17"/>
      <c r="V3" s="17"/>
      <c r="W3" s="17"/>
      <c r="X3" s="17"/>
    </row>
    <row r="4" spans="1:24" ht="12" customHeight="1" x14ac:dyDescent="0.2">
      <c r="A4" s="17"/>
      <c r="B4" s="17"/>
      <c r="C4" s="17"/>
      <c r="D4" s="17"/>
      <c r="E4" s="17"/>
      <c r="F4" s="17"/>
      <c r="G4" s="17"/>
      <c r="H4" s="17"/>
      <c r="I4" s="17"/>
      <c r="J4" s="17"/>
      <c r="K4" s="17"/>
      <c r="L4" s="17"/>
      <c r="M4" s="17"/>
      <c r="N4" s="17"/>
      <c r="O4" s="17"/>
      <c r="P4" s="17"/>
      <c r="Q4" s="17"/>
      <c r="R4" s="17"/>
      <c r="S4" s="17"/>
      <c r="T4" s="17"/>
      <c r="U4" s="17"/>
      <c r="V4" s="17"/>
      <c r="W4" s="17"/>
      <c r="X4" s="17"/>
    </row>
    <row r="5" spans="1:24" ht="12" customHeight="1" thickBot="1" x14ac:dyDescent="0.25">
      <c r="A5" s="32"/>
      <c r="B5" s="32"/>
      <c r="C5" s="32"/>
      <c r="D5" s="32"/>
      <c r="E5" s="32"/>
      <c r="F5" s="32"/>
      <c r="G5" s="32"/>
      <c r="H5" s="32"/>
      <c r="I5" s="32"/>
      <c r="J5" s="32"/>
      <c r="K5" s="32"/>
      <c r="L5" s="32"/>
      <c r="M5" s="32"/>
      <c r="N5" s="32"/>
      <c r="O5" s="32"/>
      <c r="P5" s="32"/>
      <c r="Q5" s="32"/>
      <c r="R5" s="32"/>
      <c r="S5" s="32"/>
      <c r="T5" s="32"/>
      <c r="U5" s="32"/>
      <c r="V5" s="32"/>
      <c r="W5" s="32"/>
      <c r="X5" s="32"/>
    </row>
    <row r="6" spans="1:24" ht="12" customHeight="1" thickTop="1" x14ac:dyDescent="0.2">
      <c r="A6" s="555" t="s">
        <v>682</v>
      </c>
      <c r="B6" s="556"/>
      <c r="C6" s="556"/>
      <c r="D6" s="556"/>
      <c r="E6" s="557"/>
      <c r="F6" s="207"/>
      <c r="G6" s="548" t="s">
        <v>430</v>
      </c>
      <c r="H6" s="551" t="s">
        <v>456</v>
      </c>
      <c r="I6" s="577" t="s">
        <v>692</v>
      </c>
      <c r="J6" s="578"/>
      <c r="K6" s="578"/>
      <c r="L6" s="579"/>
      <c r="M6" s="579"/>
      <c r="N6" s="579"/>
      <c r="O6" s="579"/>
      <c r="P6" s="579"/>
      <c r="Q6" s="579"/>
      <c r="R6" s="579"/>
      <c r="S6" s="579"/>
      <c r="T6" s="579"/>
      <c r="U6" s="579"/>
      <c r="V6" s="579"/>
      <c r="W6" s="580"/>
    </row>
    <row r="7" spans="1:24" ht="12" customHeight="1" x14ac:dyDescent="0.2">
      <c r="A7" s="581"/>
      <c r="B7" s="582"/>
      <c r="C7" s="582"/>
      <c r="D7" s="582"/>
      <c r="E7" s="583"/>
      <c r="F7" s="208"/>
      <c r="G7" s="549"/>
      <c r="H7" s="587"/>
      <c r="I7" s="595" t="s">
        <v>461</v>
      </c>
      <c r="J7" s="596"/>
      <c r="K7" s="596"/>
      <c r="L7" s="596"/>
      <c r="M7" s="596"/>
      <c r="N7" s="596"/>
      <c r="O7" s="596"/>
      <c r="P7" s="596"/>
      <c r="Q7" s="597"/>
      <c r="R7" s="598" t="s">
        <v>460</v>
      </c>
      <c r="S7" s="599"/>
      <c r="T7" s="600"/>
      <c r="U7" s="589" t="s">
        <v>429</v>
      </c>
      <c r="V7" s="590"/>
      <c r="W7" s="591"/>
    </row>
    <row r="8" spans="1:24" ht="12" customHeight="1" x14ac:dyDescent="0.2">
      <c r="A8" s="581"/>
      <c r="B8" s="582"/>
      <c r="C8" s="582"/>
      <c r="D8" s="582"/>
      <c r="E8" s="583"/>
      <c r="F8" s="208"/>
      <c r="G8" s="549"/>
      <c r="H8" s="587"/>
      <c r="I8" s="595" t="s">
        <v>458</v>
      </c>
      <c r="J8" s="596"/>
      <c r="K8" s="597"/>
      <c r="L8" s="595" t="s">
        <v>459</v>
      </c>
      <c r="M8" s="596"/>
      <c r="N8" s="597"/>
      <c r="O8" s="595" t="s">
        <v>429</v>
      </c>
      <c r="P8" s="596"/>
      <c r="Q8" s="597"/>
      <c r="R8" s="601"/>
      <c r="S8" s="602"/>
      <c r="T8" s="603"/>
      <c r="U8" s="592"/>
      <c r="V8" s="593"/>
      <c r="W8" s="594"/>
    </row>
    <row r="9" spans="1:24" ht="12" customHeight="1" thickBot="1" x14ac:dyDescent="0.25">
      <c r="A9" s="584"/>
      <c r="B9" s="585"/>
      <c r="C9" s="585"/>
      <c r="D9" s="585"/>
      <c r="E9" s="586"/>
      <c r="F9" s="209"/>
      <c r="G9" s="550"/>
      <c r="H9" s="588"/>
      <c r="I9" s="142" t="s">
        <v>686</v>
      </c>
      <c r="J9" s="142" t="s">
        <v>687</v>
      </c>
      <c r="K9" s="142" t="s">
        <v>429</v>
      </c>
      <c r="L9" s="142" t="s">
        <v>686</v>
      </c>
      <c r="M9" s="142" t="s">
        <v>687</v>
      </c>
      <c r="N9" s="142" t="s">
        <v>429</v>
      </c>
      <c r="O9" s="165" t="s">
        <v>686</v>
      </c>
      <c r="P9" s="165" t="s">
        <v>687</v>
      </c>
      <c r="Q9" s="142" t="s">
        <v>429</v>
      </c>
      <c r="R9" s="142" t="s">
        <v>686</v>
      </c>
      <c r="S9" s="142" t="s">
        <v>687</v>
      </c>
      <c r="T9" s="142" t="s">
        <v>429</v>
      </c>
      <c r="U9" s="142" t="s">
        <v>686</v>
      </c>
      <c r="V9" s="142" t="s">
        <v>687</v>
      </c>
      <c r="W9" s="160" t="s">
        <v>429</v>
      </c>
    </row>
    <row r="10" spans="1:24" ht="12" customHeight="1" thickTop="1" x14ac:dyDescent="0.2">
      <c r="A10" s="23"/>
      <c r="B10" s="84"/>
      <c r="C10" s="24"/>
      <c r="D10" s="24"/>
      <c r="E10" s="25"/>
      <c r="F10" s="25"/>
      <c r="G10" s="26"/>
      <c r="H10" s="31"/>
      <c r="I10" s="169"/>
      <c r="J10" s="166"/>
      <c r="K10" s="83"/>
      <c r="L10" s="167"/>
      <c r="M10" s="167"/>
      <c r="N10" s="166"/>
      <c r="O10" s="168"/>
      <c r="P10" s="168"/>
      <c r="Q10" s="166"/>
      <c r="R10" s="167"/>
      <c r="S10" s="167"/>
      <c r="T10" s="467"/>
      <c r="U10" s="467"/>
      <c r="V10" s="167"/>
      <c r="W10" s="124"/>
    </row>
    <row r="11" spans="1:24" ht="12" customHeight="1" x14ac:dyDescent="0.2">
      <c r="A11" s="222" t="s">
        <v>488</v>
      </c>
      <c r="B11" s="85" t="s">
        <v>685</v>
      </c>
      <c r="C11" s="24"/>
      <c r="D11" s="24"/>
      <c r="E11" s="25"/>
      <c r="F11" s="25"/>
      <c r="G11" s="26" t="s">
        <v>720</v>
      </c>
      <c r="H11" s="31" t="s">
        <v>453</v>
      </c>
      <c r="I11" s="413">
        <f t="shared" ref="I11:W11" si="0">SUM(I12:I13)</f>
        <v>0</v>
      </c>
      <c r="J11" s="413">
        <f t="shared" si="0"/>
        <v>0</v>
      </c>
      <c r="K11" s="413">
        <f t="shared" si="0"/>
        <v>0</v>
      </c>
      <c r="L11" s="413">
        <f t="shared" si="0"/>
        <v>0</v>
      </c>
      <c r="M11" s="413">
        <f t="shared" si="0"/>
        <v>0</v>
      </c>
      <c r="N11" s="413">
        <f t="shared" si="0"/>
        <v>0</v>
      </c>
      <c r="O11" s="413">
        <f t="shared" si="0"/>
        <v>0</v>
      </c>
      <c r="P11" s="413">
        <f t="shared" si="0"/>
        <v>0</v>
      </c>
      <c r="Q11" s="413">
        <f t="shared" si="0"/>
        <v>0</v>
      </c>
      <c r="R11" s="413">
        <f t="shared" si="0"/>
        <v>0</v>
      </c>
      <c r="S11" s="413">
        <f t="shared" si="0"/>
        <v>0</v>
      </c>
      <c r="T11" s="413">
        <f t="shared" si="0"/>
        <v>0</v>
      </c>
      <c r="U11" s="413">
        <f t="shared" si="0"/>
        <v>0</v>
      </c>
      <c r="V11" s="413">
        <f t="shared" si="0"/>
        <v>0</v>
      </c>
      <c r="W11" s="414">
        <f t="shared" si="0"/>
        <v>0</v>
      </c>
    </row>
    <row r="12" spans="1:24" ht="12" customHeight="1" x14ac:dyDescent="0.2">
      <c r="A12" s="300" t="s">
        <v>457</v>
      </c>
      <c r="B12" s="563"/>
      <c r="C12" s="563"/>
      <c r="D12" s="563"/>
      <c r="E12" s="564"/>
      <c r="F12" s="9"/>
      <c r="G12" s="96"/>
      <c r="H12" s="96" t="s">
        <v>457</v>
      </c>
      <c r="I12" s="352"/>
      <c r="J12" s="352"/>
      <c r="K12" s="350">
        <f>I12+J12</f>
        <v>0</v>
      </c>
      <c r="L12" s="352"/>
      <c r="M12" s="425"/>
      <c r="N12" s="350">
        <f>L12+M12</f>
        <v>0</v>
      </c>
      <c r="O12" s="350">
        <f>I12+L12</f>
        <v>0</v>
      </c>
      <c r="P12" s="350">
        <f>J12+M12</f>
        <v>0</v>
      </c>
      <c r="Q12" s="350">
        <f>K12+N12</f>
        <v>0</v>
      </c>
      <c r="R12" s="425"/>
      <c r="S12" s="425"/>
      <c r="T12" s="350">
        <f>R12+S12</f>
        <v>0</v>
      </c>
      <c r="U12" s="350">
        <f>O12+R12</f>
        <v>0</v>
      </c>
      <c r="V12" s="426">
        <f>P12+S12</f>
        <v>0</v>
      </c>
      <c r="W12" s="353">
        <f>U12+V12</f>
        <v>0</v>
      </c>
    </row>
    <row r="13" spans="1:24" ht="12" customHeight="1" x14ac:dyDescent="0.2">
      <c r="A13" s="27"/>
      <c r="B13" s="85"/>
      <c r="C13" s="159"/>
      <c r="D13" s="159"/>
      <c r="E13" s="9"/>
      <c r="F13" s="9"/>
      <c r="G13" s="96"/>
      <c r="H13" s="295" t="str">
        <f>CHAR(132)</f>
        <v>„</v>
      </c>
      <c r="I13" s="82"/>
      <c r="J13" s="168"/>
      <c r="K13" s="153"/>
      <c r="L13" s="203"/>
      <c r="M13" s="203"/>
      <c r="N13" s="168"/>
      <c r="O13" s="168"/>
      <c r="P13" s="168"/>
      <c r="Q13" s="168"/>
      <c r="R13" s="203"/>
      <c r="S13" s="203"/>
      <c r="T13" s="168"/>
      <c r="U13" s="168"/>
      <c r="V13" s="203"/>
      <c r="W13" s="164"/>
    </row>
    <row r="14" spans="1:24" ht="12" customHeight="1" thickBot="1" x14ac:dyDescent="0.25">
      <c r="A14" s="155"/>
      <c r="B14" s="156"/>
      <c r="C14" s="157"/>
      <c r="D14" s="157"/>
      <c r="E14" s="158"/>
      <c r="F14" s="158"/>
      <c r="G14" s="147"/>
      <c r="H14" s="147"/>
      <c r="I14" s="161"/>
      <c r="J14" s="148"/>
      <c r="K14" s="162"/>
      <c r="L14" s="149"/>
      <c r="M14" s="149"/>
      <c r="N14" s="148"/>
      <c r="O14" s="170"/>
      <c r="P14" s="170"/>
      <c r="Q14" s="148"/>
      <c r="R14" s="149"/>
      <c r="S14" s="149"/>
      <c r="T14" s="148"/>
      <c r="U14" s="148"/>
      <c r="V14" s="149"/>
      <c r="W14" s="151"/>
    </row>
    <row r="15" spans="1:24" ht="12" customHeight="1" thickTop="1" thickBot="1" x14ac:dyDescent="0.25">
      <c r="A15" s="635" t="s">
        <v>682</v>
      </c>
      <c r="B15" s="636"/>
      <c r="C15" s="636"/>
      <c r="D15" s="636"/>
      <c r="E15" s="637"/>
      <c r="F15" s="220"/>
      <c r="G15" s="548" t="s">
        <v>430</v>
      </c>
      <c r="H15" s="641" t="s">
        <v>456</v>
      </c>
      <c r="I15" s="633" t="s">
        <v>721</v>
      </c>
      <c r="J15" s="633" t="s">
        <v>722</v>
      </c>
      <c r="K15" s="633" t="s">
        <v>429</v>
      </c>
      <c r="L15" s="633" t="s">
        <v>721</v>
      </c>
      <c r="M15" s="633" t="s">
        <v>722</v>
      </c>
      <c r="N15" s="633" t="s">
        <v>429</v>
      </c>
      <c r="O15" s="633" t="s">
        <v>721</v>
      </c>
      <c r="P15" s="633" t="s">
        <v>722</v>
      </c>
      <c r="Q15" s="633" t="s">
        <v>429</v>
      </c>
      <c r="R15" s="633" t="s">
        <v>721</v>
      </c>
      <c r="S15" s="633" t="s">
        <v>722</v>
      </c>
      <c r="T15" s="633" t="s">
        <v>429</v>
      </c>
      <c r="U15" s="633" t="s">
        <v>721</v>
      </c>
      <c r="V15" s="633" t="s">
        <v>722</v>
      </c>
      <c r="W15" s="634" t="s">
        <v>429</v>
      </c>
    </row>
    <row r="16" spans="1:24" ht="12" customHeight="1" thickTop="1" thickBot="1" x14ac:dyDescent="0.25">
      <c r="A16" s="638"/>
      <c r="B16" s="639"/>
      <c r="C16" s="639"/>
      <c r="D16" s="639"/>
      <c r="E16" s="640"/>
      <c r="F16" s="272"/>
      <c r="G16" s="550"/>
      <c r="H16" s="642"/>
      <c r="I16" s="628"/>
      <c r="J16" s="628"/>
      <c r="K16" s="628"/>
      <c r="L16" s="628"/>
      <c r="M16" s="628"/>
      <c r="N16" s="628"/>
      <c r="O16" s="628"/>
      <c r="P16" s="628"/>
      <c r="Q16" s="628"/>
      <c r="R16" s="628"/>
      <c r="S16" s="628"/>
      <c r="T16" s="628"/>
      <c r="U16" s="628"/>
      <c r="V16" s="628"/>
      <c r="W16" s="615"/>
    </row>
    <row r="17" spans="1:24" ht="12" customHeight="1" thickTop="1" x14ac:dyDescent="0.2">
      <c r="A17" s="146"/>
      <c r="B17" s="24"/>
      <c r="C17" s="24"/>
      <c r="D17" s="24"/>
      <c r="E17" s="221"/>
      <c r="F17" s="221"/>
      <c r="G17" s="215"/>
      <c r="H17" s="269"/>
      <c r="I17" s="270"/>
      <c r="J17" s="270"/>
      <c r="K17" s="270"/>
      <c r="L17" s="270"/>
      <c r="M17" s="270"/>
      <c r="N17" s="270"/>
      <c r="O17" s="270"/>
      <c r="P17" s="270"/>
      <c r="Q17" s="270"/>
      <c r="R17" s="270"/>
      <c r="S17" s="270"/>
      <c r="T17" s="270"/>
      <c r="U17" s="270"/>
      <c r="V17" s="270"/>
      <c r="W17" s="271"/>
    </row>
    <row r="18" spans="1:24" ht="12" customHeight="1" x14ac:dyDescent="0.2">
      <c r="A18" s="222" t="s">
        <v>490</v>
      </c>
      <c r="B18" s="85" t="s">
        <v>689</v>
      </c>
      <c r="C18" s="24"/>
      <c r="D18" s="24"/>
      <c r="E18" s="25"/>
      <c r="F18" s="25"/>
      <c r="G18" s="215" t="s">
        <v>723</v>
      </c>
      <c r="H18" s="31" t="s">
        <v>454</v>
      </c>
      <c r="I18" s="413">
        <f t="shared" ref="I18:W18" si="1">SUM(I19:I20)</f>
        <v>0</v>
      </c>
      <c r="J18" s="413">
        <f t="shared" si="1"/>
        <v>0</v>
      </c>
      <c r="K18" s="413">
        <f t="shared" si="1"/>
        <v>0</v>
      </c>
      <c r="L18" s="413">
        <f t="shared" si="1"/>
        <v>0</v>
      </c>
      <c r="M18" s="413">
        <f t="shared" si="1"/>
        <v>0</v>
      </c>
      <c r="N18" s="413">
        <f t="shared" si="1"/>
        <v>0</v>
      </c>
      <c r="O18" s="413">
        <f t="shared" si="1"/>
        <v>0</v>
      </c>
      <c r="P18" s="413">
        <f t="shared" si="1"/>
        <v>0</v>
      </c>
      <c r="Q18" s="413">
        <f t="shared" si="1"/>
        <v>0</v>
      </c>
      <c r="R18" s="413">
        <f t="shared" si="1"/>
        <v>0</v>
      </c>
      <c r="S18" s="413">
        <f t="shared" si="1"/>
        <v>0</v>
      </c>
      <c r="T18" s="413">
        <f t="shared" si="1"/>
        <v>0</v>
      </c>
      <c r="U18" s="413">
        <f t="shared" si="1"/>
        <v>0</v>
      </c>
      <c r="V18" s="413">
        <f t="shared" si="1"/>
        <v>0</v>
      </c>
      <c r="W18" s="414">
        <f t="shared" si="1"/>
        <v>0</v>
      </c>
    </row>
    <row r="19" spans="1:24" ht="12" customHeight="1" x14ac:dyDescent="0.2">
      <c r="A19" s="300" t="s">
        <v>457</v>
      </c>
      <c r="B19" s="563"/>
      <c r="C19" s="563"/>
      <c r="D19" s="563"/>
      <c r="E19" s="564"/>
      <c r="F19" s="9"/>
      <c r="G19" s="96"/>
      <c r="H19" s="96" t="s">
        <v>457</v>
      </c>
      <c r="I19" s="352"/>
      <c r="J19" s="352"/>
      <c r="K19" s="350">
        <f>I19+J19</f>
        <v>0</v>
      </c>
      <c r="L19" s="352"/>
      <c r="M19" s="352"/>
      <c r="N19" s="350">
        <f>L19+M19</f>
        <v>0</v>
      </c>
      <c r="O19" s="350">
        <f>I19+L19</f>
        <v>0</v>
      </c>
      <c r="P19" s="350">
        <f>J19+M19</f>
        <v>0</v>
      </c>
      <c r="Q19" s="350">
        <f>O19+P19</f>
        <v>0</v>
      </c>
      <c r="R19" s="352"/>
      <c r="S19" s="352"/>
      <c r="T19" s="350">
        <f>R19+S19</f>
        <v>0</v>
      </c>
      <c r="U19" s="350">
        <f>O19+R19</f>
        <v>0</v>
      </c>
      <c r="V19" s="426">
        <f>P19+S19</f>
        <v>0</v>
      </c>
      <c r="W19" s="353">
        <f>U19+V19</f>
        <v>0</v>
      </c>
    </row>
    <row r="20" spans="1:24" ht="12" customHeight="1" x14ac:dyDescent="0.2">
      <c r="A20" s="27"/>
      <c r="B20" s="85"/>
      <c r="C20" s="159"/>
      <c r="D20" s="159"/>
      <c r="E20" s="9"/>
      <c r="F20" s="9"/>
      <c r="G20" s="96"/>
      <c r="H20" s="295" t="str">
        <f>CHAR(132)</f>
        <v>„</v>
      </c>
      <c r="I20" s="348"/>
      <c r="J20" s="416"/>
      <c r="K20" s="411"/>
      <c r="L20" s="417"/>
      <c r="M20" s="417"/>
      <c r="N20" s="416"/>
      <c r="O20" s="416"/>
      <c r="P20" s="416"/>
      <c r="Q20" s="416"/>
      <c r="R20" s="417"/>
      <c r="S20" s="417"/>
      <c r="T20" s="416"/>
      <c r="U20" s="416"/>
      <c r="V20" s="417"/>
      <c r="W20" s="408"/>
    </row>
    <row r="21" spans="1:24" ht="12" customHeight="1" x14ac:dyDescent="0.2">
      <c r="A21" s="297"/>
      <c r="B21" s="307"/>
      <c r="C21" s="302"/>
      <c r="D21" s="302"/>
      <c r="E21" s="29"/>
      <c r="F21" s="29"/>
      <c r="G21" s="308"/>
      <c r="H21" s="308"/>
      <c r="I21" s="427"/>
      <c r="J21" s="419"/>
      <c r="K21" s="428"/>
      <c r="L21" s="420"/>
      <c r="M21" s="420"/>
      <c r="N21" s="419"/>
      <c r="O21" s="419"/>
      <c r="P21" s="420"/>
      <c r="Q21" s="419"/>
      <c r="R21" s="420"/>
      <c r="S21" s="420"/>
      <c r="T21" s="419"/>
      <c r="U21" s="419"/>
      <c r="V21" s="420"/>
      <c r="W21" s="421"/>
    </row>
    <row r="22" spans="1:24" ht="12" customHeight="1" x14ac:dyDescent="0.2">
      <c r="A22" s="216"/>
      <c r="B22" s="14"/>
      <c r="C22" s="14"/>
      <c r="D22" s="14"/>
      <c r="E22" s="218" t="s">
        <v>433</v>
      </c>
      <c r="F22" s="218"/>
      <c r="G22" s="11" t="s">
        <v>528</v>
      </c>
      <c r="H22" s="30"/>
      <c r="I22" s="350">
        <f t="shared" ref="I22:W22" si="2">I11+I18</f>
        <v>0</v>
      </c>
      <c r="J22" s="350">
        <f t="shared" si="2"/>
        <v>0</v>
      </c>
      <c r="K22" s="350">
        <f t="shared" si="2"/>
        <v>0</v>
      </c>
      <c r="L22" s="350">
        <f t="shared" si="2"/>
        <v>0</v>
      </c>
      <c r="M22" s="350">
        <f t="shared" si="2"/>
        <v>0</v>
      </c>
      <c r="N22" s="350">
        <f t="shared" si="2"/>
        <v>0</v>
      </c>
      <c r="O22" s="350">
        <f t="shared" si="2"/>
        <v>0</v>
      </c>
      <c r="P22" s="350">
        <f t="shared" si="2"/>
        <v>0</v>
      </c>
      <c r="Q22" s="350">
        <f t="shared" si="2"/>
        <v>0</v>
      </c>
      <c r="R22" s="350">
        <f t="shared" si="2"/>
        <v>0</v>
      </c>
      <c r="S22" s="350">
        <f t="shared" si="2"/>
        <v>0</v>
      </c>
      <c r="T22" s="350">
        <f t="shared" si="2"/>
        <v>0</v>
      </c>
      <c r="U22" s="350">
        <f t="shared" si="2"/>
        <v>0</v>
      </c>
      <c r="V22" s="350">
        <f t="shared" si="2"/>
        <v>0</v>
      </c>
      <c r="W22" s="353">
        <f t="shared" si="2"/>
        <v>0</v>
      </c>
    </row>
    <row r="23" spans="1:24" ht="12" customHeight="1" thickBot="1" x14ac:dyDescent="0.25">
      <c r="A23" s="7"/>
      <c r="B23" s="6"/>
      <c r="C23" s="6"/>
      <c r="D23" s="6"/>
      <c r="E23" s="5"/>
      <c r="F23" s="5"/>
      <c r="G23" s="3"/>
      <c r="H23" s="3"/>
      <c r="I23" s="22"/>
      <c r="J23" s="22"/>
      <c r="K23" s="22"/>
      <c r="L23" s="67"/>
      <c r="M23" s="67"/>
      <c r="N23" s="22"/>
      <c r="O23" s="22"/>
      <c r="P23" s="67"/>
      <c r="Q23" s="22"/>
      <c r="R23" s="67"/>
      <c r="S23" s="67"/>
      <c r="T23" s="22"/>
      <c r="U23" s="22"/>
      <c r="V23" s="67"/>
      <c r="W23" s="34"/>
    </row>
    <row r="24" spans="1:24" ht="12" customHeight="1" thickTop="1" x14ac:dyDescent="0.2">
      <c r="G24" s="18" t="s">
        <v>432</v>
      </c>
      <c r="H24" s="18"/>
      <c r="I24" s="1"/>
    </row>
    <row r="25" spans="1:24" ht="12" customHeight="1" x14ac:dyDescent="0.2">
      <c r="A25" s="157" t="s">
        <v>618</v>
      </c>
      <c r="B25" s="68" t="s">
        <v>742</v>
      </c>
      <c r="C25" s="61"/>
      <c r="D25" s="61"/>
      <c r="E25" s="15"/>
      <c r="F25" s="15"/>
      <c r="G25" s="15"/>
      <c r="H25" s="69"/>
      <c r="I25" s="69"/>
      <c r="J25" s="70"/>
      <c r="K25" s="70"/>
      <c r="L25" s="70"/>
      <c r="M25" s="70"/>
      <c r="N25" s="70"/>
      <c r="O25" s="70"/>
      <c r="P25" s="70"/>
      <c r="Q25" s="70"/>
      <c r="R25" s="70"/>
      <c r="S25" s="70"/>
      <c r="T25" s="70"/>
      <c r="U25" s="70"/>
      <c r="V25" s="70"/>
      <c r="W25" s="70"/>
      <c r="X25" s="70"/>
    </row>
    <row r="26" spans="1:24" ht="12" customHeight="1" x14ac:dyDescent="0.2">
      <c r="A26" s="157" t="s">
        <v>619</v>
      </c>
      <c r="B26" s="68" t="s">
        <v>583</v>
      </c>
      <c r="C26" s="61"/>
      <c r="D26" s="61"/>
      <c r="E26" s="15"/>
      <c r="F26" s="15"/>
      <c r="G26" s="15"/>
      <c r="H26" s="69"/>
      <c r="I26" s="69"/>
      <c r="J26" s="70"/>
      <c r="K26" s="70"/>
      <c r="L26" s="70"/>
      <c r="M26" s="70"/>
      <c r="N26" s="70"/>
      <c r="O26" s="70"/>
      <c r="P26" s="70"/>
      <c r="Q26" s="70"/>
      <c r="R26" s="70"/>
      <c r="S26" s="70"/>
      <c r="T26" s="70"/>
      <c r="U26" s="70"/>
      <c r="V26" s="70"/>
      <c r="W26" s="70"/>
      <c r="X26" s="70"/>
    </row>
    <row r="27" spans="1:24" ht="12" customHeight="1" x14ac:dyDescent="0.2">
      <c r="A27" s="157" t="s">
        <v>680</v>
      </c>
      <c r="B27" s="68" t="s">
        <v>743</v>
      </c>
      <c r="C27" s="61"/>
      <c r="D27" s="61"/>
      <c r="E27" s="15"/>
      <c r="F27" s="15"/>
      <c r="G27" s="15"/>
      <c r="H27" s="69"/>
      <c r="I27" s="69"/>
      <c r="J27" s="70"/>
      <c r="K27" s="70"/>
      <c r="L27" s="70"/>
      <c r="M27" s="70"/>
      <c r="N27" s="70"/>
      <c r="O27" s="70"/>
      <c r="P27" s="70"/>
      <c r="Q27" s="70"/>
      <c r="R27" s="70"/>
      <c r="S27" s="70"/>
      <c r="T27" s="70"/>
      <c r="U27" s="70"/>
      <c r="V27" s="70"/>
      <c r="W27" s="70"/>
      <c r="X27" s="70"/>
    </row>
    <row r="28" spans="1:24" x14ac:dyDescent="0.2">
      <c r="H28" s="18"/>
      <c r="I28" s="18"/>
    </row>
  </sheetData>
  <sheetProtection sheet="1" objects="1" scenarios="1"/>
  <mergeCells count="32">
    <mergeCell ref="R7:T8"/>
    <mergeCell ref="U7:W8"/>
    <mergeCell ref="A15:E16"/>
    <mergeCell ref="G15:G16"/>
    <mergeCell ref="H15:H16"/>
    <mergeCell ref="I15:I16"/>
    <mergeCell ref="P15:P16"/>
    <mergeCell ref="Q15:Q16"/>
    <mergeCell ref="K15:K16"/>
    <mergeCell ref="L15:L16"/>
    <mergeCell ref="A1:P1"/>
    <mergeCell ref="A2:P2"/>
    <mergeCell ref="A6:E9"/>
    <mergeCell ref="G6:G9"/>
    <mergeCell ref="H6:H9"/>
    <mergeCell ref="I6:W6"/>
    <mergeCell ref="I8:K8"/>
    <mergeCell ref="L8:N8"/>
    <mergeCell ref="O8:Q8"/>
    <mergeCell ref="I7:Q7"/>
    <mergeCell ref="R15:R16"/>
    <mergeCell ref="W15:W16"/>
    <mergeCell ref="S15:S16"/>
    <mergeCell ref="T15:T16"/>
    <mergeCell ref="U15:U16"/>
    <mergeCell ref="V15:V16"/>
    <mergeCell ref="N15:N16"/>
    <mergeCell ref="O15:O16"/>
    <mergeCell ref="M15:M16"/>
    <mergeCell ref="J15:J16"/>
    <mergeCell ref="B12:E12"/>
    <mergeCell ref="B19:E19"/>
  </mergeCells>
  <phoneticPr fontId="0" type="noConversion"/>
  <dataValidations count="2">
    <dataValidation type="decimal" allowBlank="1" showInputMessage="1" showErrorMessage="1" sqref="I13:W13 I17:W17 I10:W10">
      <formula1>-999999999999999</formula1>
      <formula2>999999999999999</formula2>
    </dataValidation>
    <dataValidation type="decimal" allowBlank="1" showInputMessage="1" showErrorMessage="1" sqref="I11:W12 I18:W22">
      <formula1>0</formula1>
      <formula2>999999999999999</formula2>
    </dataValidation>
  </dataValidations>
  <printOptions horizontalCentered="1"/>
  <pageMargins left="0.25" right="0.25" top="1" bottom="0.5" header="0.5" footer="0.5"/>
  <pageSetup paperSize="9" scale="75"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2530" r:id="rId4" name="Label_b">
          <controlPr defaultSize="0" autoLine="0" r:id="rId5">
            <anchor moveWithCells="1">
              <from>
                <xdr:col>7</xdr:col>
                <xdr:colOff>28575</xdr:colOff>
                <xdr:row>19</xdr:row>
                <xdr:rowOff>9525</xdr:rowOff>
              </from>
              <to>
                <xdr:col>8</xdr:col>
                <xdr:colOff>0</xdr:colOff>
                <xdr:row>19</xdr:row>
                <xdr:rowOff>133350</xdr:rowOff>
              </to>
            </anchor>
          </controlPr>
        </control>
      </mc:Choice>
      <mc:Fallback>
        <control shapeId="22530" r:id="rId4" name="Label_b"/>
      </mc:Fallback>
    </mc:AlternateContent>
    <mc:AlternateContent xmlns:mc="http://schemas.openxmlformats.org/markup-compatibility/2006">
      <mc:Choice Requires="x14">
        <control shapeId="22529" r:id="rId6" name="Label_a">
          <controlPr defaultSize="0" autoLine="0" r:id="rId7">
            <anchor moveWithCells="1">
              <from>
                <xdr:col>7</xdr:col>
                <xdr:colOff>28575</xdr:colOff>
                <xdr:row>12</xdr:row>
                <xdr:rowOff>9525</xdr:rowOff>
              </from>
              <to>
                <xdr:col>8</xdr:col>
                <xdr:colOff>0</xdr:colOff>
                <xdr:row>12</xdr:row>
                <xdr:rowOff>133350</xdr:rowOff>
              </to>
            </anchor>
          </controlPr>
        </control>
      </mc:Choice>
      <mc:Fallback>
        <control shapeId="22529" r:id="rId6" name="Label_a"/>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4"/>
  </sheetPr>
  <dimension ref="A1:J38"/>
  <sheetViews>
    <sheetView zoomScaleNormal="100" zoomScaleSheetLayoutView="100" workbookViewId="0">
      <selection activeCell="G20" sqref="G20"/>
    </sheetView>
  </sheetViews>
  <sheetFormatPr defaultRowHeight="11.25" x14ac:dyDescent="0.2"/>
  <cols>
    <col min="1" max="4" width="2.7109375" style="1" customWidth="1"/>
    <col min="5" max="5" width="31.5703125" style="1" customWidth="1"/>
    <col min="6" max="6" width="30.7109375" style="1" hidden="1" customWidth="1"/>
    <col min="7" max="7" width="18.5703125" style="1" customWidth="1"/>
    <col min="8" max="8" width="3.5703125" style="2" customWidth="1"/>
    <col min="9" max="9" width="16.5703125" style="2" customWidth="1"/>
    <col min="10" max="10" width="16.5703125" style="1" customWidth="1"/>
    <col min="11" max="16384" width="9.140625" style="1"/>
  </cols>
  <sheetData>
    <row r="1" spans="1:10" ht="12" customHeight="1" x14ac:dyDescent="0.2">
      <c r="A1" s="495" t="s">
        <v>728</v>
      </c>
      <c r="B1" s="495"/>
      <c r="C1" s="495"/>
      <c r="D1" s="495"/>
      <c r="E1" s="495"/>
      <c r="F1" s="495"/>
      <c r="G1" s="495"/>
      <c r="H1" s="495"/>
      <c r="I1" s="17" t="s">
        <v>724</v>
      </c>
    </row>
    <row r="2" spans="1:10" ht="12" customHeight="1" x14ac:dyDescent="0.2">
      <c r="A2" s="495" t="s">
        <v>729</v>
      </c>
      <c r="B2" s="495"/>
      <c r="C2" s="495"/>
      <c r="D2" s="495"/>
      <c r="E2" s="495"/>
      <c r="F2" s="495"/>
      <c r="G2" s="495"/>
      <c r="H2" s="495"/>
      <c r="I2" s="32"/>
      <c r="J2" s="17"/>
    </row>
    <row r="3" spans="1:10" ht="12" customHeight="1" x14ac:dyDescent="0.2">
      <c r="A3" s="495" t="s">
        <v>725</v>
      </c>
      <c r="B3" s="495"/>
      <c r="C3" s="495"/>
      <c r="D3" s="495"/>
      <c r="E3" s="495"/>
      <c r="F3" s="495"/>
      <c r="G3" s="495"/>
      <c r="H3" s="495"/>
      <c r="I3" s="32"/>
      <c r="J3" s="17"/>
    </row>
    <row r="4" spans="1:10" ht="12" customHeight="1" x14ac:dyDescent="0.2"/>
    <row r="5" spans="1:10" ht="12" customHeight="1" x14ac:dyDescent="0.2">
      <c r="A5" s="17"/>
      <c r="B5" s="17"/>
      <c r="C5" s="17"/>
      <c r="D5" s="17"/>
      <c r="E5" s="17"/>
      <c r="F5" s="17"/>
      <c r="G5" s="17"/>
      <c r="H5" s="17"/>
      <c r="I5" s="17"/>
      <c r="J5" s="17"/>
    </row>
    <row r="6" spans="1:10" ht="12" customHeight="1" thickBot="1" x14ac:dyDescent="0.25">
      <c r="A6" s="32"/>
      <c r="B6" s="32"/>
      <c r="C6" s="32"/>
      <c r="D6" s="32"/>
      <c r="E6" s="32"/>
      <c r="F6" s="32"/>
      <c r="G6" s="32"/>
      <c r="H6" s="32"/>
      <c r="I6" s="32"/>
      <c r="J6" s="32"/>
    </row>
    <row r="7" spans="1:10" ht="12" customHeight="1" thickTop="1" x14ac:dyDescent="0.2">
      <c r="A7" s="646"/>
      <c r="B7" s="647"/>
      <c r="C7" s="647"/>
      <c r="D7" s="647"/>
      <c r="E7" s="648"/>
      <c r="F7" s="210"/>
      <c r="G7" s="548" t="s">
        <v>430</v>
      </c>
      <c r="H7" s="551" t="s">
        <v>456</v>
      </c>
      <c r="I7" s="643" t="s">
        <v>726</v>
      </c>
    </row>
    <row r="8" spans="1:10" ht="12" customHeight="1" x14ac:dyDescent="0.2">
      <c r="A8" s="649"/>
      <c r="B8" s="650"/>
      <c r="C8" s="650"/>
      <c r="D8" s="650"/>
      <c r="E8" s="651"/>
      <c r="F8" s="211"/>
      <c r="G8" s="549"/>
      <c r="H8" s="587"/>
      <c r="I8" s="644"/>
    </row>
    <row r="9" spans="1:10" ht="12" customHeight="1" thickBot="1" x14ac:dyDescent="0.25">
      <c r="A9" s="652"/>
      <c r="B9" s="653"/>
      <c r="C9" s="653"/>
      <c r="D9" s="653"/>
      <c r="E9" s="654"/>
      <c r="F9" s="212"/>
      <c r="G9" s="550"/>
      <c r="H9" s="588"/>
      <c r="I9" s="645"/>
    </row>
    <row r="10" spans="1:10" ht="12" customHeight="1" thickTop="1" x14ac:dyDescent="0.2">
      <c r="A10" s="23"/>
      <c r="B10" s="84"/>
      <c r="C10" s="24"/>
      <c r="D10" s="24"/>
      <c r="E10" s="25"/>
      <c r="F10" s="25"/>
      <c r="G10" s="26"/>
      <c r="H10" s="26"/>
      <c r="I10" s="124"/>
    </row>
    <row r="11" spans="1:10" ht="12" customHeight="1" x14ac:dyDescent="0.2">
      <c r="A11" s="227" t="s">
        <v>9</v>
      </c>
      <c r="B11" s="156" t="s">
        <v>10</v>
      </c>
      <c r="C11" s="24"/>
      <c r="D11" s="24"/>
      <c r="E11" s="25"/>
      <c r="F11" s="25"/>
      <c r="G11" s="26"/>
      <c r="H11" s="74"/>
      <c r="I11" s="33"/>
    </row>
    <row r="12" spans="1:10" ht="12" customHeight="1" x14ac:dyDescent="0.2">
      <c r="A12" s="163" t="s">
        <v>488</v>
      </c>
      <c r="B12" s="85" t="s">
        <v>727</v>
      </c>
      <c r="C12" s="84"/>
      <c r="D12" s="24"/>
      <c r="E12" s="25"/>
      <c r="F12" s="25"/>
      <c r="G12" s="26" t="s">
        <v>730</v>
      </c>
      <c r="H12" s="31" t="s">
        <v>453</v>
      </c>
      <c r="I12" s="414">
        <f>SUM(I13:I14)</f>
        <v>0</v>
      </c>
    </row>
    <row r="13" spans="1:10" ht="12" customHeight="1" x14ac:dyDescent="0.2">
      <c r="A13" s="299" t="s">
        <v>457</v>
      </c>
      <c r="B13" s="540" t="s">
        <v>21</v>
      </c>
      <c r="C13" s="540"/>
      <c r="D13" s="540"/>
      <c r="E13" s="541"/>
      <c r="F13" s="9"/>
      <c r="G13" s="96"/>
      <c r="H13" s="96" t="s">
        <v>457</v>
      </c>
      <c r="I13" s="404"/>
    </row>
    <row r="14" spans="1:10" ht="12" customHeight="1" x14ac:dyDescent="0.2">
      <c r="A14" s="299"/>
      <c r="B14" s="85"/>
      <c r="C14" s="85"/>
      <c r="D14" s="85"/>
      <c r="E14" s="339"/>
      <c r="F14" s="9"/>
      <c r="G14" s="96"/>
      <c r="H14" s="295" t="str">
        <f>CHAR(132)</f>
        <v>„</v>
      </c>
      <c r="I14" s="466"/>
    </row>
    <row r="15" spans="1:10" ht="12" customHeight="1" x14ac:dyDescent="0.2">
      <c r="A15" s="27"/>
      <c r="B15" s="85"/>
      <c r="C15" s="159"/>
      <c r="D15" s="159"/>
      <c r="E15" s="9"/>
      <c r="F15" s="9"/>
      <c r="G15" s="154"/>
      <c r="H15" s="96"/>
      <c r="I15" s="408"/>
    </row>
    <row r="16" spans="1:10" ht="12" customHeight="1" x14ac:dyDescent="0.2">
      <c r="A16" s="222" t="s">
        <v>490</v>
      </c>
      <c r="B16" s="85" t="s">
        <v>731</v>
      </c>
      <c r="C16" s="84"/>
      <c r="D16" s="24"/>
      <c r="E16" s="25"/>
      <c r="F16" s="25"/>
      <c r="G16" s="26" t="s">
        <v>732</v>
      </c>
      <c r="H16" s="31" t="s">
        <v>454</v>
      </c>
      <c r="I16" s="414">
        <f>SUM(I17:I18)</f>
        <v>0</v>
      </c>
    </row>
    <row r="17" spans="1:9" ht="12" customHeight="1" x14ac:dyDescent="0.2">
      <c r="A17" s="299" t="s">
        <v>457</v>
      </c>
      <c r="B17" s="540"/>
      <c r="C17" s="540"/>
      <c r="D17" s="540"/>
      <c r="E17" s="541"/>
      <c r="F17" s="9"/>
      <c r="G17" s="96"/>
      <c r="H17" s="96" t="s">
        <v>457</v>
      </c>
      <c r="I17" s="404"/>
    </row>
    <row r="18" spans="1:9" ht="12" customHeight="1" x14ac:dyDescent="0.2">
      <c r="A18" s="27"/>
      <c r="B18" s="85"/>
      <c r="C18" s="159"/>
      <c r="D18" s="159"/>
      <c r="E18" s="9"/>
      <c r="F18" s="9"/>
      <c r="G18" s="96"/>
      <c r="H18" s="295" t="str">
        <f>CHAR(132)</f>
        <v>„</v>
      </c>
      <c r="I18" s="408"/>
    </row>
    <row r="19" spans="1:9" ht="12" customHeight="1" x14ac:dyDescent="0.2">
      <c r="A19" s="23"/>
      <c r="B19" s="84"/>
      <c r="C19" s="24"/>
      <c r="D19" s="24"/>
      <c r="E19" s="25"/>
      <c r="F19" s="25"/>
      <c r="G19" s="26"/>
      <c r="H19" s="26"/>
      <c r="I19" s="346"/>
    </row>
    <row r="20" spans="1:9" ht="12" customHeight="1" x14ac:dyDescent="0.2">
      <c r="A20" s="12"/>
      <c r="B20" s="145" t="s">
        <v>733</v>
      </c>
      <c r="C20" s="14"/>
      <c r="D20" s="14"/>
      <c r="E20" s="226"/>
      <c r="F20" s="9"/>
      <c r="G20" s="11" t="s">
        <v>711</v>
      </c>
      <c r="H20" s="13"/>
      <c r="I20" s="353">
        <f>I12+I16</f>
        <v>0</v>
      </c>
    </row>
    <row r="21" spans="1:9" ht="12" customHeight="1" x14ac:dyDescent="0.2">
      <c r="A21" s="285"/>
      <c r="B21" s="143"/>
      <c r="C21" s="75"/>
      <c r="D21" s="75"/>
      <c r="E21" s="214"/>
      <c r="F21" s="25"/>
      <c r="G21" s="215"/>
      <c r="H21" s="13"/>
      <c r="I21" s="424"/>
    </row>
    <row r="22" spans="1:9" ht="12" customHeight="1" x14ac:dyDescent="0.2">
      <c r="A22" s="163" t="s">
        <v>486</v>
      </c>
      <c r="B22" s="84" t="s">
        <v>11</v>
      </c>
      <c r="C22" s="24"/>
      <c r="D22" s="24"/>
      <c r="E22" s="25"/>
      <c r="F22" s="25"/>
      <c r="G22" s="26"/>
      <c r="H22" s="8"/>
      <c r="I22" s="346"/>
    </row>
    <row r="23" spans="1:9" ht="12" customHeight="1" x14ac:dyDescent="0.2">
      <c r="A23" s="163" t="s">
        <v>488</v>
      </c>
      <c r="B23" s="84" t="s">
        <v>727</v>
      </c>
      <c r="C23" s="24"/>
      <c r="D23" s="24"/>
      <c r="E23" s="25"/>
      <c r="F23" s="25"/>
      <c r="G23" s="26" t="s">
        <v>734</v>
      </c>
      <c r="H23" s="31" t="s">
        <v>455</v>
      </c>
      <c r="I23" s="414">
        <f>SUM(I24:I25)</f>
        <v>0</v>
      </c>
    </row>
    <row r="24" spans="1:9" ht="12" customHeight="1" x14ac:dyDescent="0.2">
      <c r="A24" s="299" t="s">
        <v>457</v>
      </c>
      <c r="B24" s="540"/>
      <c r="C24" s="540"/>
      <c r="D24" s="540"/>
      <c r="E24" s="541"/>
      <c r="F24" s="9"/>
      <c r="G24" s="96"/>
      <c r="H24" s="96" t="s">
        <v>457</v>
      </c>
      <c r="I24" s="404"/>
    </row>
    <row r="25" spans="1:9" ht="12" customHeight="1" x14ac:dyDescent="0.2">
      <c r="A25" s="27"/>
      <c r="B25" s="85"/>
      <c r="C25" s="159"/>
      <c r="D25" s="159"/>
      <c r="E25" s="9"/>
      <c r="F25" s="9"/>
      <c r="G25" s="96"/>
      <c r="H25" s="295" t="str">
        <f>CHAR(132)</f>
        <v>„</v>
      </c>
      <c r="I25" s="408"/>
    </row>
    <row r="26" spans="1:9" ht="12" customHeight="1" x14ac:dyDescent="0.2">
      <c r="A26" s="23"/>
      <c r="B26" s="84"/>
      <c r="C26" s="24"/>
      <c r="D26" s="24"/>
      <c r="E26" s="25"/>
      <c r="F26" s="25"/>
      <c r="G26" s="26"/>
      <c r="H26" s="1"/>
      <c r="I26" s="346"/>
    </row>
    <row r="27" spans="1:9" ht="12" customHeight="1" x14ac:dyDescent="0.2">
      <c r="A27" s="163" t="s">
        <v>490</v>
      </c>
      <c r="B27" s="84" t="s">
        <v>731</v>
      </c>
      <c r="C27" s="24"/>
      <c r="D27" s="24"/>
      <c r="E27" s="25"/>
      <c r="F27" s="25"/>
      <c r="G27" s="11" t="s">
        <v>735</v>
      </c>
      <c r="H27" s="31" t="s">
        <v>736</v>
      </c>
      <c r="I27" s="414">
        <f>SUM(I28:I29)</f>
        <v>0</v>
      </c>
    </row>
    <row r="28" spans="1:9" ht="12" customHeight="1" x14ac:dyDescent="0.2">
      <c r="A28" s="299" t="s">
        <v>457</v>
      </c>
      <c r="B28" s="540" t="s">
        <v>21</v>
      </c>
      <c r="C28" s="540"/>
      <c r="D28" s="540"/>
      <c r="E28" s="541"/>
      <c r="F28" s="9"/>
      <c r="G28" s="96"/>
      <c r="H28" s="96" t="s">
        <v>457</v>
      </c>
      <c r="I28" s="404"/>
    </row>
    <row r="29" spans="1:9" ht="12" customHeight="1" x14ac:dyDescent="0.2">
      <c r="A29" s="27"/>
      <c r="B29" s="85"/>
      <c r="C29" s="159"/>
      <c r="D29" s="159"/>
      <c r="E29" s="9"/>
      <c r="F29" s="9"/>
      <c r="G29" s="96"/>
      <c r="H29" s="295" t="str">
        <f>CHAR(132)</f>
        <v>„</v>
      </c>
      <c r="I29" s="408"/>
    </row>
    <row r="30" spans="1:9" ht="12" customHeight="1" x14ac:dyDescent="0.2">
      <c r="A30" s="216"/>
      <c r="B30" s="95"/>
      <c r="C30" s="95"/>
      <c r="D30" s="95"/>
      <c r="E30" s="217"/>
      <c r="F30" s="286"/>
      <c r="G30" s="11"/>
      <c r="H30" s="30"/>
      <c r="I30" s="414"/>
    </row>
    <row r="31" spans="1:9" ht="12" customHeight="1" x14ac:dyDescent="0.2">
      <c r="A31" s="12"/>
      <c r="B31" s="145" t="s">
        <v>733</v>
      </c>
      <c r="C31" s="14"/>
      <c r="D31" s="14"/>
      <c r="E31" s="226"/>
      <c r="F31" s="9"/>
      <c r="G31" s="11" t="s">
        <v>712</v>
      </c>
      <c r="H31" s="30"/>
      <c r="I31" s="353">
        <f>I23+I27</f>
        <v>0</v>
      </c>
    </row>
    <row r="32" spans="1:9" ht="12" customHeight="1" x14ac:dyDescent="0.2">
      <c r="A32" s="310"/>
      <c r="B32" s="311"/>
      <c r="C32" s="28"/>
      <c r="D32" s="28"/>
      <c r="E32" s="312"/>
      <c r="F32" s="29"/>
      <c r="G32" s="21"/>
      <c r="H32" s="30"/>
      <c r="I32" s="405"/>
    </row>
    <row r="33" spans="1:10" ht="12" customHeight="1" x14ac:dyDescent="0.2">
      <c r="A33" s="224"/>
      <c r="B33" s="225"/>
      <c r="C33" s="225"/>
      <c r="D33" s="225"/>
      <c r="E33" s="218" t="s">
        <v>433</v>
      </c>
      <c r="F33" s="223"/>
      <c r="G33" s="21" t="s">
        <v>536</v>
      </c>
      <c r="H33" s="30"/>
      <c r="I33" s="405">
        <f>I20+I31</f>
        <v>0</v>
      </c>
    </row>
    <row r="34" spans="1:10" ht="12" customHeight="1" thickBot="1" x14ac:dyDescent="0.25">
      <c r="A34" s="7"/>
      <c r="B34" s="6"/>
      <c r="C34" s="6"/>
      <c r="D34" s="6"/>
      <c r="E34" s="5"/>
      <c r="F34" s="5"/>
      <c r="G34" s="3"/>
      <c r="H34" s="3"/>
      <c r="I34" s="34"/>
    </row>
    <row r="35" spans="1:10" ht="12" customHeight="1" thickTop="1" x14ac:dyDescent="0.2">
      <c r="G35" s="18" t="s">
        <v>432</v>
      </c>
      <c r="H35" s="18"/>
      <c r="I35" s="1"/>
    </row>
    <row r="36" spans="1:10" ht="12" customHeight="1" x14ac:dyDescent="0.2">
      <c r="A36" s="41" t="s">
        <v>744</v>
      </c>
      <c r="B36" s="68" t="s">
        <v>583</v>
      </c>
      <c r="C36" s="61"/>
      <c r="D36" s="61"/>
      <c r="E36" s="15"/>
      <c r="F36" s="15"/>
      <c r="G36" s="15"/>
      <c r="H36" s="69"/>
      <c r="I36" s="69"/>
      <c r="J36" s="70"/>
    </row>
    <row r="37" spans="1:10" ht="24" customHeight="1" x14ac:dyDescent="0.2">
      <c r="A37" s="228" t="s">
        <v>745</v>
      </c>
      <c r="B37" s="632" t="s">
        <v>708</v>
      </c>
      <c r="C37" s="632"/>
      <c r="D37" s="632"/>
      <c r="E37" s="632"/>
      <c r="F37" s="632"/>
      <c r="G37" s="632"/>
      <c r="H37" s="632"/>
      <c r="I37" s="632"/>
      <c r="J37" s="273"/>
    </row>
    <row r="38" spans="1:10" ht="12" customHeight="1" x14ac:dyDescent="0.2">
      <c r="H38" s="18"/>
      <c r="I38" s="18"/>
    </row>
  </sheetData>
  <sheetProtection sheet="1" objects="1" scenarios="1"/>
  <mergeCells count="12">
    <mergeCell ref="A1:H1"/>
    <mergeCell ref="A2:H2"/>
    <mergeCell ref="A3:H3"/>
    <mergeCell ref="A7:E9"/>
    <mergeCell ref="G7:G9"/>
    <mergeCell ref="H7:H9"/>
    <mergeCell ref="B24:E24"/>
    <mergeCell ref="B28:E28"/>
    <mergeCell ref="I7:I9"/>
    <mergeCell ref="B37:I37"/>
    <mergeCell ref="B13:E13"/>
    <mergeCell ref="B17:E17"/>
  </mergeCells>
  <phoneticPr fontId="0" type="noConversion"/>
  <dataValidations count="2">
    <dataValidation type="decimal" allowBlank="1" showInputMessage="1" showErrorMessage="1" sqref="I10">
      <formula1>-999999999999999</formula1>
      <formula2>999999999999999</formula2>
    </dataValidation>
    <dataValidation type="decimal" allowBlank="1" showInputMessage="1" showErrorMessage="1" sqref="I12:I33">
      <formula1>0</formula1>
      <formula2>999999999999999</formula2>
    </dataValidation>
  </dataValidations>
  <printOptions horizontalCentered="1"/>
  <pageMargins left="0.25" right="0.25" top="1" bottom="0.5" header="0.5" footer="0.5"/>
  <pageSetup paperSize="9" scale="80" orientation="landscape" r:id="rId1"/>
  <headerFooter alignWithMargins="0">
    <oddHeader>&amp;R&amp;"Arial,Bold"&amp;8Page &amp;P of &amp;N&amp;C&amp;"Arial,Bold"&amp;8 NEW RURAK BANK OF SAN LEONRADO, INC.  [ 04-040656 ]
 As of: September 30, 2017</oddHeader>
  </headerFooter>
  <drawing r:id="rId2"/>
  <legacyDrawing r:id="rId3"/>
  <controls>
    <mc:AlternateContent xmlns:mc="http://schemas.openxmlformats.org/markup-compatibility/2006">
      <mc:Choice Requires="x14">
        <control shapeId="28676" r:id="rId4" name="Label_d">
          <controlPr defaultSize="0" autoLine="0" r:id="rId5">
            <anchor moveWithCells="1">
              <from>
                <xdr:col>7</xdr:col>
                <xdr:colOff>28575</xdr:colOff>
                <xdr:row>28</xdr:row>
                <xdr:rowOff>9525</xdr:rowOff>
              </from>
              <to>
                <xdr:col>8</xdr:col>
                <xdr:colOff>0</xdr:colOff>
                <xdr:row>28</xdr:row>
                <xdr:rowOff>133350</xdr:rowOff>
              </to>
            </anchor>
          </controlPr>
        </control>
      </mc:Choice>
      <mc:Fallback>
        <control shapeId="28676" r:id="rId4" name="Label_d"/>
      </mc:Fallback>
    </mc:AlternateContent>
    <mc:AlternateContent xmlns:mc="http://schemas.openxmlformats.org/markup-compatibility/2006">
      <mc:Choice Requires="x14">
        <control shapeId="28675" r:id="rId6" name="Label_c">
          <controlPr defaultSize="0" autoLine="0" r:id="rId7">
            <anchor moveWithCells="1">
              <from>
                <xdr:col>7</xdr:col>
                <xdr:colOff>19050</xdr:colOff>
                <xdr:row>24</xdr:row>
                <xdr:rowOff>9525</xdr:rowOff>
              </from>
              <to>
                <xdr:col>7</xdr:col>
                <xdr:colOff>228600</xdr:colOff>
                <xdr:row>24</xdr:row>
                <xdr:rowOff>133350</xdr:rowOff>
              </to>
            </anchor>
          </controlPr>
        </control>
      </mc:Choice>
      <mc:Fallback>
        <control shapeId="28675" r:id="rId6" name="Label_c"/>
      </mc:Fallback>
    </mc:AlternateContent>
    <mc:AlternateContent xmlns:mc="http://schemas.openxmlformats.org/markup-compatibility/2006">
      <mc:Choice Requires="x14">
        <control shapeId="28674" r:id="rId8" name="Label_b">
          <controlPr defaultSize="0" autoLine="0" r:id="rId9">
            <anchor moveWithCells="1">
              <from>
                <xdr:col>7</xdr:col>
                <xdr:colOff>19050</xdr:colOff>
                <xdr:row>17</xdr:row>
                <xdr:rowOff>9525</xdr:rowOff>
              </from>
              <to>
                <xdr:col>7</xdr:col>
                <xdr:colOff>228600</xdr:colOff>
                <xdr:row>17</xdr:row>
                <xdr:rowOff>133350</xdr:rowOff>
              </to>
            </anchor>
          </controlPr>
        </control>
      </mc:Choice>
      <mc:Fallback>
        <control shapeId="28674" r:id="rId8" name="Label_b"/>
      </mc:Fallback>
    </mc:AlternateContent>
    <mc:AlternateContent xmlns:mc="http://schemas.openxmlformats.org/markup-compatibility/2006">
      <mc:Choice Requires="x14">
        <control shapeId="28673" r:id="rId10" name="Label_a">
          <controlPr defaultSize="0" autoLine="0" r:id="rId11">
            <anchor moveWithCells="1">
              <from>
                <xdr:col>7</xdr:col>
                <xdr:colOff>28575</xdr:colOff>
                <xdr:row>13</xdr:row>
                <xdr:rowOff>9525</xdr:rowOff>
              </from>
              <to>
                <xdr:col>8</xdr:col>
                <xdr:colOff>0</xdr:colOff>
                <xdr:row>13</xdr:row>
                <xdr:rowOff>133350</xdr:rowOff>
              </to>
            </anchor>
          </controlPr>
        </control>
      </mc:Choice>
      <mc:Fallback>
        <control shapeId="28673" r:id="rId10" name="Label_a"/>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sheetPr>
  <dimension ref="A1:W114"/>
  <sheetViews>
    <sheetView view="pageBreakPreview" zoomScaleNormal="100" workbookViewId="0">
      <selection activeCell="I13" sqref="I13"/>
    </sheetView>
  </sheetViews>
  <sheetFormatPr defaultRowHeight="11.25" x14ac:dyDescent="0.2"/>
  <cols>
    <col min="1" max="4" width="2.7109375" style="1" customWidth="1"/>
    <col min="5" max="5" width="31.5703125" style="1" customWidth="1"/>
    <col min="6" max="6" width="30.5703125" style="1" hidden="1" customWidth="1"/>
    <col min="7" max="7" width="18.5703125" style="1" customWidth="1"/>
    <col min="8" max="8" width="18.5703125" style="1" hidden="1" customWidth="1"/>
    <col min="9" max="9" width="16.5703125" style="2" customWidth="1"/>
    <col min="10" max="14" width="16.5703125" style="1" customWidth="1"/>
    <col min="15" max="15" width="15.7109375" style="1" customWidth="1"/>
    <col min="16" max="16384" width="9.140625" style="1"/>
  </cols>
  <sheetData>
    <row r="1" spans="1:23" s="39" customFormat="1" ht="12" customHeight="1" x14ac:dyDescent="0.2">
      <c r="A1" s="608" t="s">
        <v>737</v>
      </c>
      <c r="B1" s="608"/>
      <c r="C1" s="608"/>
      <c r="D1" s="608"/>
      <c r="E1" s="608"/>
      <c r="F1" s="608"/>
      <c r="G1" s="608"/>
      <c r="H1" s="608"/>
      <c r="I1" s="608"/>
      <c r="J1" s="608"/>
      <c r="K1" s="608"/>
      <c r="L1" s="608"/>
      <c r="M1" s="608"/>
      <c r="N1" s="38" t="s">
        <v>625</v>
      </c>
      <c r="P1" s="38"/>
      <c r="Q1" s="38"/>
      <c r="R1" s="38"/>
      <c r="S1" s="38"/>
      <c r="T1" s="38"/>
      <c r="U1" s="38"/>
      <c r="V1" s="38"/>
      <c r="W1" s="38"/>
    </row>
    <row r="2" spans="1:23" s="39" customFormat="1" ht="12" customHeight="1" x14ac:dyDescent="0.2">
      <c r="B2" s="36"/>
      <c r="C2" s="36"/>
      <c r="D2" s="36"/>
      <c r="E2" s="36"/>
      <c r="F2" s="36"/>
      <c r="G2" s="36"/>
      <c r="H2" s="36"/>
      <c r="I2" s="37"/>
      <c r="J2" s="36"/>
      <c r="K2" s="36"/>
      <c r="L2" s="36"/>
      <c r="M2" s="36"/>
      <c r="N2" s="36"/>
      <c r="O2" s="36"/>
      <c r="P2" s="38"/>
      <c r="Q2" s="38"/>
      <c r="R2" s="38"/>
      <c r="S2" s="38"/>
      <c r="T2" s="38"/>
      <c r="U2" s="38"/>
      <c r="V2" s="38"/>
      <c r="W2" s="38"/>
    </row>
    <row r="3" spans="1:23" ht="12" customHeight="1" x14ac:dyDescent="0.2">
      <c r="A3" s="36"/>
      <c r="B3" s="36"/>
      <c r="C3" s="36"/>
      <c r="D3" s="36"/>
      <c r="E3" s="36"/>
      <c r="F3" s="36"/>
      <c r="G3" s="36"/>
      <c r="H3" s="36"/>
      <c r="I3" s="37"/>
      <c r="J3" s="36"/>
      <c r="K3" s="36"/>
      <c r="L3" s="36"/>
      <c r="M3" s="36"/>
      <c r="N3" s="36"/>
      <c r="O3" s="36"/>
      <c r="P3" s="38"/>
      <c r="Q3" s="38"/>
      <c r="R3" s="38"/>
      <c r="S3" s="38"/>
      <c r="T3" s="38"/>
      <c r="U3" s="38"/>
      <c r="V3" s="38"/>
      <c r="W3" s="38"/>
    </row>
    <row r="4" spans="1:23" ht="12" customHeight="1" x14ac:dyDescent="0.2">
      <c r="A4" s="40"/>
      <c r="B4" s="41"/>
      <c r="C4" s="41"/>
      <c r="D4" s="41"/>
      <c r="E4" s="41"/>
      <c r="F4" s="41"/>
      <c r="G4" s="41"/>
      <c r="H4" s="41"/>
      <c r="J4" s="41"/>
      <c r="K4" s="41"/>
      <c r="L4" s="41"/>
      <c r="M4" s="41"/>
      <c r="N4" s="41"/>
      <c r="O4" s="41"/>
      <c r="P4" s="41"/>
      <c r="Q4" s="41"/>
      <c r="R4" s="41"/>
      <c r="S4" s="41"/>
      <c r="T4" s="41"/>
      <c r="U4" s="41"/>
      <c r="V4" s="41"/>
      <c r="W4" s="41"/>
    </row>
    <row r="5" spans="1:23" ht="12" customHeight="1" thickBot="1" x14ac:dyDescent="0.25">
      <c r="A5" s="41"/>
      <c r="B5" s="41"/>
      <c r="C5" s="41"/>
      <c r="D5" s="41"/>
      <c r="E5" s="41"/>
      <c r="F5" s="41"/>
      <c r="G5" s="41"/>
      <c r="H5" s="41"/>
      <c r="J5" s="41"/>
      <c r="K5" s="41"/>
      <c r="L5" s="41"/>
      <c r="M5" s="41"/>
      <c r="N5" s="41"/>
      <c r="O5" s="41"/>
      <c r="P5" s="41"/>
      <c r="Q5" s="41"/>
      <c r="R5" s="41"/>
      <c r="S5" s="41"/>
      <c r="T5" s="41"/>
      <c r="U5" s="41"/>
      <c r="V5" s="41"/>
      <c r="W5" s="41"/>
    </row>
    <row r="6" spans="1:23" ht="12" customHeight="1" thickTop="1" thickBot="1" x14ac:dyDescent="0.25">
      <c r="A6" s="276"/>
      <c r="B6" s="277"/>
      <c r="C6" s="277"/>
      <c r="D6" s="277"/>
      <c r="E6" s="277"/>
      <c r="F6" s="278"/>
      <c r="G6" s="655" t="s">
        <v>430</v>
      </c>
      <c r="H6" s="326"/>
      <c r="I6" s="545" t="s">
        <v>557</v>
      </c>
      <c r="J6" s="551" t="s">
        <v>558</v>
      </c>
      <c r="K6" s="556" t="s">
        <v>559</v>
      </c>
      <c r="L6" s="556"/>
      <c r="M6" s="556"/>
      <c r="N6" s="643" t="s">
        <v>560</v>
      </c>
      <c r="O6" s="41"/>
      <c r="P6" s="41"/>
      <c r="Q6" s="41"/>
      <c r="R6" s="41"/>
      <c r="S6" s="41"/>
      <c r="T6" s="41"/>
      <c r="U6" s="41"/>
      <c r="V6" s="41"/>
      <c r="W6" s="41"/>
    </row>
    <row r="7" spans="1:23" ht="12" customHeight="1" thickTop="1" x14ac:dyDescent="0.2">
      <c r="A7" s="279"/>
      <c r="B7" s="280"/>
      <c r="C7" s="280"/>
      <c r="D7" s="280"/>
      <c r="E7" s="280"/>
      <c r="F7" s="282"/>
      <c r="G7" s="656"/>
      <c r="H7" s="327"/>
      <c r="I7" s="546"/>
      <c r="J7" s="552"/>
      <c r="K7" s="575"/>
      <c r="L7" s="575"/>
      <c r="M7" s="575"/>
      <c r="N7" s="644"/>
      <c r="O7" s="41"/>
      <c r="P7" s="41"/>
      <c r="Q7" s="41"/>
      <c r="R7" s="41"/>
      <c r="S7" s="41"/>
      <c r="T7" s="41"/>
      <c r="U7" s="41"/>
      <c r="V7" s="41"/>
    </row>
    <row r="8" spans="1:23" ht="12" customHeight="1" x14ac:dyDescent="0.2">
      <c r="A8" s="279"/>
      <c r="B8" s="280"/>
      <c r="C8" s="280"/>
      <c r="D8" s="280"/>
      <c r="E8" s="280"/>
      <c r="F8" s="283"/>
      <c r="G8" s="656"/>
      <c r="H8" s="327"/>
      <c r="I8" s="546"/>
      <c r="J8" s="552"/>
      <c r="K8" s="664" t="s">
        <v>561</v>
      </c>
      <c r="L8" s="665"/>
      <c r="M8" s="590" t="s">
        <v>562</v>
      </c>
      <c r="N8" s="644"/>
      <c r="O8" s="41"/>
      <c r="P8" s="41"/>
      <c r="Q8" s="41"/>
      <c r="R8" s="41"/>
      <c r="S8" s="41"/>
      <c r="T8" s="41"/>
      <c r="U8" s="41"/>
      <c r="V8" s="41"/>
    </row>
    <row r="9" spans="1:23" s="45" customFormat="1" ht="12" customHeight="1" thickBot="1" x14ac:dyDescent="0.25">
      <c r="A9" s="281"/>
      <c r="B9" s="275"/>
      <c r="C9" s="275"/>
      <c r="D9" s="275"/>
      <c r="E9" s="275"/>
      <c r="F9" s="213"/>
      <c r="G9" s="657"/>
      <c r="H9" s="328"/>
      <c r="I9" s="547"/>
      <c r="J9" s="553"/>
      <c r="K9" s="238" t="s">
        <v>563</v>
      </c>
      <c r="L9" s="239" t="s">
        <v>564</v>
      </c>
      <c r="M9" s="658"/>
      <c r="N9" s="645"/>
    </row>
    <row r="10" spans="1:23" s="50" customFormat="1" ht="12" customHeight="1" thickTop="1" x14ac:dyDescent="0.2">
      <c r="A10" s="78" t="s">
        <v>484</v>
      </c>
      <c r="B10" s="79" t="s">
        <v>565</v>
      </c>
      <c r="C10" s="75"/>
      <c r="D10" s="75"/>
      <c r="E10" s="80"/>
      <c r="F10" s="75"/>
      <c r="G10" s="201" t="s">
        <v>566</v>
      </c>
      <c r="H10" s="201"/>
      <c r="I10" s="185">
        <f>I11+I12</f>
        <v>0</v>
      </c>
      <c r="J10" s="185">
        <f>J11+J12</f>
        <v>0</v>
      </c>
      <c r="K10" s="185">
        <f>K11+K12</f>
        <v>0</v>
      </c>
      <c r="L10" s="185">
        <f>L11+L12</f>
        <v>0</v>
      </c>
      <c r="M10" s="185">
        <f>M11+M12</f>
        <v>0</v>
      </c>
      <c r="N10" s="186">
        <f>SUM(K10:M10)</f>
        <v>0</v>
      </c>
    </row>
    <row r="11" spans="1:23" s="50" customFormat="1" ht="12" customHeight="1" x14ac:dyDescent="0.2">
      <c r="A11" s="53"/>
      <c r="B11" s="55" t="s">
        <v>526</v>
      </c>
      <c r="C11" s="610" t="s">
        <v>567</v>
      </c>
      <c r="D11" s="611"/>
      <c r="E11" s="612"/>
      <c r="F11" s="10"/>
      <c r="G11" s="177" t="s">
        <v>568</v>
      </c>
      <c r="H11" s="177"/>
      <c r="I11" s="187"/>
      <c r="J11" s="185">
        <f>I11*2</f>
        <v>0</v>
      </c>
      <c r="K11" s="187"/>
      <c r="L11" s="187"/>
      <c r="M11" s="187"/>
      <c r="N11" s="188">
        <f>SUM(K11:M11)</f>
        <v>0</v>
      </c>
    </row>
    <row r="12" spans="1:23" s="50" customFormat="1" ht="24" customHeight="1" x14ac:dyDescent="0.2">
      <c r="A12" s="53"/>
      <c r="B12" s="55" t="s">
        <v>451</v>
      </c>
      <c r="C12" s="610" t="s">
        <v>569</v>
      </c>
      <c r="D12" s="611"/>
      <c r="E12" s="612"/>
      <c r="F12" s="10"/>
      <c r="G12" s="177" t="s">
        <v>570</v>
      </c>
      <c r="H12" s="177"/>
      <c r="I12" s="187"/>
      <c r="J12" s="185">
        <f>I12</f>
        <v>0</v>
      </c>
      <c r="K12" s="187"/>
      <c r="L12" s="187"/>
      <c r="M12" s="187"/>
      <c r="N12" s="186">
        <f>SUM(K12:M12)</f>
        <v>0</v>
      </c>
    </row>
    <row r="13" spans="1:23" s="50" customFormat="1" ht="12" customHeight="1" x14ac:dyDescent="0.2">
      <c r="A13" s="51"/>
      <c r="B13" s="10"/>
      <c r="C13" s="10"/>
      <c r="D13" s="10"/>
      <c r="E13" s="52"/>
      <c r="F13" s="10"/>
      <c r="G13" s="177"/>
      <c r="H13" s="177"/>
      <c r="I13" s="189"/>
      <c r="J13" s="185"/>
      <c r="K13" s="190"/>
      <c r="L13" s="190"/>
      <c r="M13" s="189"/>
      <c r="N13" s="186"/>
    </row>
    <row r="14" spans="1:23" s="50" customFormat="1" ht="36" customHeight="1" x14ac:dyDescent="0.2">
      <c r="A14" s="53" t="s">
        <v>486</v>
      </c>
      <c r="B14" s="660" t="s">
        <v>571</v>
      </c>
      <c r="C14" s="661"/>
      <c r="D14" s="661"/>
      <c r="E14" s="662"/>
      <c r="F14" s="10"/>
      <c r="G14" s="177" t="s">
        <v>572</v>
      </c>
      <c r="H14" s="177"/>
      <c r="I14" s="189">
        <f>I15+I16</f>
        <v>0</v>
      </c>
      <c r="J14" s="189">
        <f>J15+J16</f>
        <v>0</v>
      </c>
      <c r="K14" s="189">
        <f>K15+K16</f>
        <v>0</v>
      </c>
      <c r="L14" s="189">
        <f>L15+L16</f>
        <v>0</v>
      </c>
      <c r="M14" s="189">
        <f>M15+M16</f>
        <v>0</v>
      </c>
      <c r="N14" s="188">
        <f>SUM(K14:M14)</f>
        <v>0</v>
      </c>
    </row>
    <row r="15" spans="1:23" s="50" customFormat="1" ht="12" customHeight="1" x14ac:dyDescent="0.2">
      <c r="A15" s="53"/>
      <c r="B15" s="55" t="s">
        <v>526</v>
      </c>
      <c r="C15" s="610" t="s">
        <v>738</v>
      </c>
      <c r="D15" s="611"/>
      <c r="E15" s="612"/>
      <c r="F15" s="10"/>
      <c r="G15" s="177" t="s">
        <v>740</v>
      </c>
      <c r="H15" s="177"/>
      <c r="I15" s="187"/>
      <c r="J15" s="185">
        <f>I15</f>
        <v>0</v>
      </c>
      <c r="K15" s="187"/>
      <c r="L15" s="187"/>
      <c r="M15" s="187"/>
      <c r="N15" s="186">
        <f>SUM(K15:M15)</f>
        <v>0</v>
      </c>
    </row>
    <row r="16" spans="1:23" s="50" customFormat="1" ht="24" customHeight="1" x14ac:dyDescent="0.2">
      <c r="A16" s="53"/>
      <c r="B16" s="55" t="s">
        <v>451</v>
      </c>
      <c r="C16" s="610" t="s">
        <v>739</v>
      </c>
      <c r="D16" s="611"/>
      <c r="E16" s="612"/>
      <c r="F16" s="10"/>
      <c r="G16" s="177" t="s">
        <v>741</v>
      </c>
      <c r="H16" s="177"/>
      <c r="I16" s="187"/>
      <c r="J16" s="185">
        <f>I16</f>
        <v>0</v>
      </c>
      <c r="K16" s="187"/>
      <c r="L16" s="187"/>
      <c r="M16" s="187"/>
      <c r="N16" s="186">
        <f>SUM(K16:M16)</f>
        <v>0</v>
      </c>
    </row>
    <row r="17" spans="1:15" s="50" customFormat="1" ht="12" customHeight="1" x14ac:dyDescent="0.2">
      <c r="A17" s="51"/>
      <c r="B17" s="10"/>
      <c r="C17" s="10"/>
      <c r="D17" s="10"/>
      <c r="E17" s="52"/>
      <c r="F17" s="10"/>
      <c r="G17" s="177"/>
      <c r="H17" s="177"/>
      <c r="I17" s="189"/>
      <c r="J17" s="185"/>
      <c r="K17" s="191"/>
      <c r="L17" s="191"/>
      <c r="M17" s="192"/>
      <c r="N17" s="186"/>
    </row>
    <row r="18" spans="1:15" s="50" customFormat="1" ht="12" customHeight="1" x14ac:dyDescent="0.2">
      <c r="A18" s="53" t="s">
        <v>492</v>
      </c>
      <c r="B18" s="10" t="s">
        <v>573</v>
      </c>
      <c r="C18" s="10"/>
      <c r="D18" s="10"/>
      <c r="E18" s="52"/>
      <c r="F18" s="10"/>
      <c r="G18" s="177" t="s">
        <v>543</v>
      </c>
      <c r="H18" s="177"/>
      <c r="I18" s="189">
        <f>I10+I14</f>
        <v>0</v>
      </c>
      <c r="J18" s="189">
        <f>J10+J14</f>
        <v>0</v>
      </c>
      <c r="K18" s="190">
        <f>K10+K14</f>
        <v>0</v>
      </c>
      <c r="L18" s="190">
        <f>L10+L14</f>
        <v>0</v>
      </c>
      <c r="M18" s="190">
        <f>M10+M14</f>
        <v>0</v>
      </c>
      <c r="N18" s="186">
        <f>SUM(K18:M18)</f>
        <v>0</v>
      </c>
    </row>
    <row r="19" spans="1:15" s="50" customFormat="1" ht="12" customHeight="1" x14ac:dyDescent="0.2">
      <c r="A19" s="53"/>
      <c r="B19" s="10"/>
      <c r="C19" s="10"/>
      <c r="D19" s="10"/>
      <c r="E19" s="52"/>
      <c r="F19" s="10"/>
      <c r="G19" s="177"/>
      <c r="H19" s="177"/>
      <c r="I19" s="189"/>
      <c r="J19" s="189"/>
      <c r="K19" s="193"/>
      <c r="L19" s="193"/>
      <c r="M19" s="189"/>
      <c r="N19" s="188"/>
    </row>
    <row r="20" spans="1:15" s="50" customFormat="1" ht="12" customHeight="1" x14ac:dyDescent="0.2">
      <c r="A20" s="54" t="s">
        <v>494</v>
      </c>
      <c r="B20" s="10"/>
      <c r="C20" s="10"/>
      <c r="D20" s="10"/>
      <c r="E20" s="52"/>
      <c r="F20" s="10"/>
      <c r="G20" s="177"/>
      <c r="H20" s="177"/>
      <c r="I20" s="189"/>
      <c r="J20" s="189"/>
      <c r="K20" s="193"/>
      <c r="L20" s="193"/>
      <c r="M20" s="189"/>
      <c r="N20" s="188"/>
    </row>
    <row r="21" spans="1:15" s="50" customFormat="1" ht="12" customHeight="1" x14ac:dyDescent="0.2">
      <c r="A21" s="51"/>
      <c r="B21" s="55" t="s">
        <v>450</v>
      </c>
      <c r="C21" s="10" t="s">
        <v>574</v>
      </c>
      <c r="D21" s="10"/>
      <c r="E21" s="52"/>
      <c r="F21" s="10"/>
      <c r="G21" s="177" t="s">
        <v>575</v>
      </c>
      <c r="H21" s="177"/>
      <c r="I21" s="204"/>
      <c r="J21" s="194"/>
      <c r="K21" s="195"/>
      <c r="L21" s="195"/>
      <c r="M21" s="194"/>
      <c r="N21" s="196"/>
    </row>
    <row r="22" spans="1:15" s="50" customFormat="1" ht="12" customHeight="1" x14ac:dyDescent="0.2">
      <c r="A22" s="51"/>
      <c r="B22" s="55" t="s">
        <v>451</v>
      </c>
      <c r="C22" s="10" t="s">
        <v>576</v>
      </c>
      <c r="D22" s="10"/>
      <c r="E22" s="52"/>
      <c r="F22" s="10"/>
      <c r="G22" s="177" t="s">
        <v>578</v>
      </c>
      <c r="H22" s="177"/>
      <c r="I22" s="189">
        <f>I23+I24+I25+I26</f>
        <v>0</v>
      </c>
      <c r="J22" s="194"/>
      <c r="K22" s="195"/>
      <c r="L22" s="195"/>
      <c r="M22" s="194"/>
      <c r="N22" s="196"/>
    </row>
    <row r="23" spans="1:15" s="50" customFormat="1" ht="12" customHeight="1" x14ac:dyDescent="0.2">
      <c r="A23" s="51"/>
      <c r="B23" s="55"/>
      <c r="C23" s="10" t="s">
        <v>549</v>
      </c>
      <c r="D23" s="10"/>
      <c r="E23" s="52"/>
      <c r="F23" s="10"/>
      <c r="G23" s="177" t="s">
        <v>579</v>
      </c>
      <c r="H23" s="177"/>
      <c r="I23" s="187"/>
      <c r="J23" s="194"/>
      <c r="K23" s="195"/>
      <c r="L23" s="195"/>
      <c r="M23" s="194"/>
      <c r="N23" s="196"/>
    </row>
    <row r="24" spans="1:15" s="50" customFormat="1" ht="12" customHeight="1" x14ac:dyDescent="0.2">
      <c r="A24" s="51"/>
      <c r="B24" s="55"/>
      <c r="C24" s="10" t="s">
        <v>551</v>
      </c>
      <c r="D24" s="10"/>
      <c r="E24" s="52"/>
      <c r="F24" s="10"/>
      <c r="G24" s="177" t="s">
        <v>580</v>
      </c>
      <c r="H24" s="177"/>
      <c r="I24" s="187"/>
      <c r="J24" s="194"/>
      <c r="K24" s="195"/>
      <c r="L24" s="195"/>
      <c r="M24" s="194"/>
      <c r="N24" s="196"/>
    </row>
    <row r="25" spans="1:15" s="50" customFormat="1" ht="12" customHeight="1" x14ac:dyDescent="0.2">
      <c r="A25" s="51"/>
      <c r="B25" s="55"/>
      <c r="C25" s="10" t="s">
        <v>553</v>
      </c>
      <c r="D25" s="10"/>
      <c r="E25" s="52"/>
      <c r="F25" s="10"/>
      <c r="G25" s="177" t="s">
        <v>581</v>
      </c>
      <c r="H25" s="177"/>
      <c r="I25" s="187"/>
      <c r="J25" s="194"/>
      <c r="K25" s="195"/>
      <c r="L25" s="195"/>
      <c r="M25" s="194"/>
      <c r="N25" s="196"/>
    </row>
    <row r="26" spans="1:15" s="50" customFormat="1" ht="12" customHeight="1" thickBot="1" x14ac:dyDescent="0.25">
      <c r="A26" s="56"/>
      <c r="B26" s="57"/>
      <c r="C26" s="6" t="s">
        <v>555</v>
      </c>
      <c r="D26" s="6"/>
      <c r="E26" s="58"/>
      <c r="F26" s="6"/>
      <c r="G26" s="178" t="s">
        <v>582</v>
      </c>
      <c r="H26" s="178"/>
      <c r="I26" s="197"/>
      <c r="J26" s="198"/>
      <c r="K26" s="199"/>
      <c r="L26" s="199"/>
      <c r="M26" s="198"/>
      <c r="N26" s="200"/>
    </row>
    <row r="27" spans="1:15" ht="12" customHeight="1" thickTop="1" x14ac:dyDescent="0.2">
      <c r="A27" s="15"/>
      <c r="B27" s="15"/>
      <c r="C27" s="15"/>
      <c r="D27" s="15"/>
      <c r="E27" s="15"/>
      <c r="F27" s="15"/>
      <c r="G27" s="64" t="s">
        <v>432</v>
      </c>
      <c r="H27" s="64"/>
      <c r="I27" s="15"/>
      <c r="J27" s="15"/>
      <c r="K27" s="15"/>
      <c r="L27" s="15"/>
      <c r="M27" s="15"/>
      <c r="N27" s="15"/>
    </row>
    <row r="28" spans="1:15" s="50" customFormat="1" ht="24" customHeight="1" x14ac:dyDescent="0.25">
      <c r="A28" s="237" t="s">
        <v>618</v>
      </c>
      <c r="B28" s="659" t="s">
        <v>20</v>
      </c>
      <c r="C28" s="663"/>
      <c r="D28" s="663"/>
      <c r="E28" s="663"/>
      <c r="F28" s="663"/>
      <c r="G28" s="663"/>
      <c r="H28" s="663"/>
      <c r="I28" s="663"/>
      <c r="J28" s="663"/>
      <c r="K28" s="663"/>
      <c r="L28" s="663"/>
      <c r="M28" s="663"/>
      <c r="N28" s="663"/>
      <c r="O28" s="274"/>
    </row>
    <row r="29" spans="1:15" s="50" customFormat="1" ht="12" customHeight="1" x14ac:dyDescent="0.25">
      <c r="A29" s="237" t="s">
        <v>619</v>
      </c>
      <c r="B29" s="236" t="s">
        <v>583</v>
      </c>
      <c r="C29" s="180"/>
      <c r="D29" s="181"/>
      <c r="E29" s="181"/>
      <c r="F29" s="181"/>
      <c r="G29" s="181"/>
      <c r="H29" s="181"/>
      <c r="I29" s="182"/>
      <c r="J29" s="183"/>
      <c r="K29" s="183"/>
      <c r="L29" s="184"/>
      <c r="M29" s="184"/>
      <c r="N29" s="184"/>
      <c r="O29" s="183"/>
    </row>
    <row r="30" spans="1:15" s="50" customFormat="1" ht="36" customHeight="1" x14ac:dyDescent="0.25">
      <c r="A30" s="237" t="s">
        <v>680</v>
      </c>
      <c r="B30" s="659" t="s">
        <v>593</v>
      </c>
      <c r="C30" s="659"/>
      <c r="D30" s="659"/>
      <c r="E30" s="659"/>
      <c r="F30" s="659"/>
      <c r="G30" s="659"/>
      <c r="H30" s="659"/>
      <c r="I30" s="659"/>
      <c r="J30" s="659"/>
      <c r="K30" s="659"/>
      <c r="L30" s="659"/>
      <c r="M30" s="659"/>
      <c r="N30" s="659"/>
      <c r="O30" s="274"/>
    </row>
    <row r="31" spans="1:15" s="50" customFormat="1" ht="24" customHeight="1" x14ac:dyDescent="0.25">
      <c r="A31" s="237" t="s">
        <v>681</v>
      </c>
      <c r="B31" s="659" t="s">
        <v>25</v>
      </c>
      <c r="C31" s="659"/>
      <c r="D31" s="659"/>
      <c r="E31" s="659"/>
      <c r="F31" s="659"/>
      <c r="G31" s="659"/>
      <c r="H31" s="659"/>
      <c r="I31" s="659"/>
      <c r="J31" s="659"/>
      <c r="K31" s="659"/>
      <c r="L31" s="659"/>
      <c r="M31" s="659"/>
      <c r="N31" s="659"/>
      <c r="O31" s="274"/>
    </row>
    <row r="32" spans="1:15" s="50" customFormat="1" ht="24" customHeight="1" x14ac:dyDescent="0.25">
      <c r="A32" s="237" t="s">
        <v>5</v>
      </c>
      <c r="B32" s="659" t="s">
        <v>594</v>
      </c>
      <c r="C32" s="659"/>
      <c r="D32" s="659"/>
      <c r="E32" s="659"/>
      <c r="F32" s="659"/>
      <c r="G32" s="659"/>
      <c r="H32" s="659"/>
      <c r="I32" s="659"/>
      <c r="J32" s="659"/>
      <c r="K32" s="659"/>
      <c r="L32" s="659"/>
      <c r="M32" s="659"/>
      <c r="N32" s="659"/>
      <c r="O32" s="274"/>
    </row>
    <row r="33" spans="1:15" x14ac:dyDescent="0.2">
      <c r="A33" s="15"/>
      <c r="B33" s="15"/>
      <c r="C33" s="15"/>
      <c r="D33" s="15"/>
      <c r="E33" s="15"/>
      <c r="F33" s="15"/>
      <c r="G33" s="15"/>
      <c r="H33" s="15"/>
      <c r="I33" s="64"/>
      <c r="J33" s="15"/>
      <c r="K33" s="15"/>
      <c r="L33" s="15"/>
      <c r="M33" s="15"/>
      <c r="N33" s="15"/>
      <c r="O33" s="15"/>
    </row>
    <row r="34" spans="1:15" x14ac:dyDescent="0.2">
      <c r="A34" s="15"/>
      <c r="B34" s="15"/>
      <c r="C34" s="15"/>
      <c r="D34" s="15"/>
      <c r="E34" s="15"/>
      <c r="F34" s="15"/>
      <c r="G34" s="15"/>
      <c r="H34" s="15"/>
      <c r="I34" s="16"/>
    </row>
    <row r="35" spans="1:15" x14ac:dyDescent="0.2">
      <c r="A35" s="15"/>
      <c r="B35" s="15"/>
      <c r="C35" s="15"/>
      <c r="D35" s="15"/>
      <c r="E35" s="15"/>
      <c r="F35" s="15"/>
      <c r="G35" s="15"/>
      <c r="H35" s="15"/>
      <c r="I35" s="16"/>
    </row>
    <row r="36" spans="1:15" x14ac:dyDescent="0.2">
      <c r="A36" s="15"/>
      <c r="B36" s="15"/>
      <c r="C36" s="15"/>
      <c r="D36" s="15"/>
      <c r="E36" s="15"/>
      <c r="F36" s="15"/>
      <c r="G36" s="15"/>
      <c r="H36" s="15"/>
      <c r="I36" s="16"/>
    </row>
    <row r="37" spans="1:15" x14ac:dyDescent="0.2">
      <c r="A37" s="15"/>
      <c r="B37" s="15"/>
      <c r="C37" s="15"/>
      <c r="D37" s="15"/>
      <c r="E37" s="15"/>
      <c r="F37" s="15"/>
      <c r="G37" s="15"/>
      <c r="H37" s="15"/>
      <c r="I37" s="16"/>
    </row>
    <row r="38" spans="1:15" x14ac:dyDescent="0.2">
      <c r="A38" s="15"/>
      <c r="B38" s="15"/>
      <c r="C38" s="15"/>
      <c r="D38" s="15"/>
      <c r="E38" s="15"/>
      <c r="F38" s="15"/>
      <c r="G38" s="15"/>
      <c r="H38" s="15"/>
      <c r="I38" s="16"/>
    </row>
    <row r="39" spans="1:15" x14ac:dyDescent="0.2">
      <c r="A39" s="15"/>
      <c r="B39" s="15"/>
      <c r="C39" s="15"/>
      <c r="D39" s="15"/>
      <c r="E39" s="15"/>
      <c r="F39" s="15"/>
      <c r="G39" s="15"/>
      <c r="H39" s="15"/>
      <c r="I39" s="16"/>
    </row>
    <row r="40" spans="1:15" ht="23.25" customHeight="1" x14ac:dyDescent="0.2">
      <c r="A40" s="15"/>
      <c r="B40" s="15"/>
      <c r="C40" s="632"/>
      <c r="D40" s="632"/>
      <c r="E40" s="632"/>
      <c r="F40" s="15"/>
      <c r="G40" s="15"/>
      <c r="H40" s="15"/>
      <c r="I40" s="16"/>
    </row>
    <row r="41" spans="1:15" x14ac:dyDescent="0.2">
      <c r="A41" s="15"/>
      <c r="B41" s="15"/>
      <c r="C41" s="15"/>
      <c r="D41" s="15"/>
      <c r="E41" s="15"/>
      <c r="F41" s="15"/>
      <c r="G41" s="15"/>
      <c r="H41" s="15"/>
      <c r="I41" s="16"/>
    </row>
    <row r="42" spans="1:15" x14ac:dyDescent="0.2">
      <c r="A42" s="15"/>
      <c r="B42" s="15"/>
      <c r="C42" s="15"/>
      <c r="D42" s="15"/>
      <c r="E42" s="15"/>
      <c r="F42" s="15"/>
      <c r="G42" s="15"/>
      <c r="H42" s="15"/>
      <c r="I42" s="16"/>
    </row>
    <row r="43" spans="1:15" x14ac:dyDescent="0.2">
      <c r="A43" s="15"/>
      <c r="B43" s="15"/>
      <c r="C43" s="15"/>
      <c r="D43" s="15"/>
      <c r="E43" s="15"/>
      <c r="F43" s="15"/>
      <c r="G43" s="15"/>
      <c r="H43" s="15"/>
      <c r="I43" s="16"/>
    </row>
    <row r="44" spans="1:15" x14ac:dyDescent="0.2">
      <c r="A44" s="15"/>
      <c r="B44" s="15"/>
      <c r="C44" s="15"/>
      <c r="D44" s="15"/>
      <c r="E44" s="15"/>
      <c r="F44" s="15"/>
      <c r="G44" s="15"/>
      <c r="H44" s="15"/>
      <c r="I44" s="16"/>
    </row>
    <row r="45" spans="1:15" x14ac:dyDescent="0.2">
      <c r="A45" s="15"/>
      <c r="B45" s="15"/>
      <c r="C45" s="15"/>
      <c r="D45" s="15"/>
      <c r="E45" s="15"/>
      <c r="F45" s="15"/>
      <c r="G45" s="15"/>
      <c r="H45" s="15"/>
      <c r="I45" s="16"/>
    </row>
    <row r="46" spans="1:15" x14ac:dyDescent="0.2">
      <c r="A46" s="15"/>
      <c r="B46" s="15"/>
      <c r="C46" s="15"/>
      <c r="D46" s="15"/>
      <c r="E46" s="15"/>
      <c r="F46" s="15"/>
      <c r="G46" s="15"/>
      <c r="H46" s="15"/>
      <c r="I46" s="16"/>
    </row>
    <row r="51" spans="9:9" ht="33.75" customHeight="1" x14ac:dyDescent="0.2"/>
    <row r="53" spans="9:9" ht="45" customHeight="1" x14ac:dyDescent="0.2">
      <c r="I53" s="1"/>
    </row>
    <row r="112" spans="3:5" ht="22.5" customHeight="1" x14ac:dyDescent="0.2">
      <c r="C112" s="554"/>
      <c r="D112" s="554"/>
      <c r="E112" s="554"/>
    </row>
    <row r="113" spans="2:5" ht="23.25" customHeight="1" x14ac:dyDescent="0.2">
      <c r="C113" s="554"/>
      <c r="D113" s="554"/>
      <c r="E113" s="554"/>
    </row>
    <row r="114" spans="2:5" ht="22.5" customHeight="1" x14ac:dyDescent="0.2">
      <c r="B114" s="554"/>
      <c r="C114" s="554"/>
      <c r="D114" s="554"/>
      <c r="E114" s="554"/>
    </row>
  </sheetData>
  <sheetProtection sheet="1" objects="1" scenarios="1"/>
  <mergeCells count="21">
    <mergeCell ref="N6:N9"/>
    <mergeCell ref="C15:E15"/>
    <mergeCell ref="C16:E16"/>
    <mergeCell ref="C113:E113"/>
    <mergeCell ref="C12:E12"/>
    <mergeCell ref="B14:E14"/>
    <mergeCell ref="B28:N28"/>
    <mergeCell ref="K8:L8"/>
    <mergeCell ref="B114:E114"/>
    <mergeCell ref="C40:E40"/>
    <mergeCell ref="C112:E112"/>
    <mergeCell ref="B30:N30"/>
    <mergeCell ref="B31:N31"/>
    <mergeCell ref="B32:N32"/>
    <mergeCell ref="A1:M1"/>
    <mergeCell ref="G6:G9"/>
    <mergeCell ref="I6:I9"/>
    <mergeCell ref="C11:E11"/>
    <mergeCell ref="J6:J9"/>
    <mergeCell ref="K6:M7"/>
    <mergeCell ref="M8:M9"/>
  </mergeCells>
  <phoneticPr fontId="8" type="noConversion"/>
  <dataValidations count="2">
    <dataValidation type="decimal" allowBlank="1" showInputMessage="1" showErrorMessage="1" sqref="J10:N26 I10:I20 I22:I26">
      <formula1>0</formula1>
      <formula2>999999999999999</formula2>
    </dataValidation>
    <dataValidation type="whole" allowBlank="1" showInputMessage="1" showErrorMessage="1" sqref="I21">
      <formula1>0</formula1>
      <formula2>999999999999999</formula2>
    </dataValidation>
  </dataValidations>
  <printOptions horizontalCentered="1"/>
  <pageMargins left="0.15" right="0.55000000000000004" top="1" bottom="0.26" header="0.5" footer="0.25"/>
  <pageSetup paperSize="9" scale="75" orientation="landscape" horizontalDpi="4294967294" verticalDpi="300" r:id="rId1"/>
  <headerFooter alignWithMargins="0">
    <oddHeader>&amp;L&amp;"Arial,Bold"&amp;8
&amp;R&amp;"Arial,Bold"&amp;8Page &amp;P of &amp;N&amp;C&amp;"Arial,Bold"&amp;8 NEW RURAK BANK OF SAN LEONRADO, INC.  [ 04-040656 ]
 As of: September 30, 2017</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vt:i4>
      </vt:variant>
    </vt:vector>
  </HeadingPairs>
  <TitlesOfParts>
    <vt:vector size="22" baseType="lpstr">
      <vt:lpstr>Bank</vt:lpstr>
      <vt:lpstr>Conso</vt:lpstr>
      <vt:lpstr>Main Report</vt:lpstr>
      <vt:lpstr>1A</vt:lpstr>
      <vt:lpstr>1A-1</vt:lpstr>
      <vt:lpstr>1A-2</vt:lpstr>
      <vt:lpstr>1A-3</vt:lpstr>
      <vt:lpstr>1B</vt:lpstr>
      <vt:lpstr>1B1</vt:lpstr>
      <vt:lpstr>1B2</vt:lpstr>
      <vt:lpstr>2</vt:lpstr>
      <vt:lpstr>'1A'!Print_Area</vt:lpstr>
      <vt:lpstr>'1A-2'!Print_Area</vt:lpstr>
      <vt:lpstr>'1A-3'!Print_Area</vt:lpstr>
      <vt:lpstr>'1B'!Print_Area</vt:lpstr>
      <vt:lpstr>'1B1'!Print_Area</vt:lpstr>
      <vt:lpstr>'1B2'!Print_Area</vt:lpstr>
      <vt:lpstr>'2'!Print_Area</vt:lpstr>
      <vt:lpstr>Conso!Print_Area</vt:lpstr>
      <vt:lpstr>'Main Report'!Print_Area</vt:lpstr>
      <vt:lpstr>'1A-3'!Print_Titles</vt:lpstr>
      <vt:lpstr>'1B1'!Print_Titles</vt:lpstr>
    </vt:vector>
  </TitlesOfParts>
  <Company>Bangko Sentral ng Pilipinas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User01</dc:creator>
  <cp:lastModifiedBy>User01</cp:lastModifiedBy>
  <cp:lastPrinted>2008-11-18T08:58:30Z</cp:lastPrinted>
  <dcterms:created xsi:type="dcterms:W3CDTF">2008-06-06T05:56:32Z</dcterms:created>
  <dcterms:modified xsi:type="dcterms:W3CDTF">2017-10-12T01:48:47Z</dcterms:modified>
</cp:coreProperties>
</file>