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ldrin\Desktop\EDITED\"/>
    </mc:Choice>
  </mc:AlternateContent>
  <workbookProtection workbookAlgorithmName="SHA-512" workbookHashValue="LiasYiazvqmeny7HW9qsFXNUsgzvGABoEkX/Ookd3WIXs4ZOm3b/wnRB9LP3qLFA2E6TKdrBr4ouFWPOZGDHNw==" workbookSaltValue="/iu7ojTY+DHACA34yDteUw==" workbookSpinCount="100000" lockStructure="1"/>
  <bookViews>
    <workbookView xWindow="240" yWindow="105" windowWidth="14805" windowHeight="8010" firstSheet="1" activeTab="1"/>
  </bookViews>
  <sheets>
    <sheet name="Cover" sheetId="1" state="hidden" r:id="rId1"/>
    <sheet name="CAR" sheetId="2" r:id="rId2"/>
    <sheet name="TQC" sheetId="3" r:id="rId3"/>
    <sheet name="ONBS_RWA" sheetId="4" r:id="rId4"/>
    <sheet name="OFF_RWA" sheetId="5" r:id="rId5"/>
    <sheet name="ORWA" sheetId="6" r:id="rId6"/>
    <sheet name="Bank" sheetId="7" state="hidden" r:id="rId7"/>
  </sheets>
  <functionGroups builtInGroupCount="18"/>
  <definedNames>
    <definedName name="_xlnm.Print_Area" localSheetId="1">CAR!$A$8:$J$28</definedName>
    <definedName name="_xlnm.Print_Area" localSheetId="0">Cover!$A$3:$Z$73</definedName>
    <definedName name="_xlnm.Print_Area" localSheetId="3">ONBS_RWA!$A$6:$K$78</definedName>
    <definedName name="_xlnm.Print_Area" localSheetId="5">ORWA!$A$1:$L$28</definedName>
    <definedName name="_xlnm.Print_Area" localSheetId="2">TQC!$A$6:$J$89</definedName>
    <definedName name="_xlnm.Print_Titles" localSheetId="4">OFF_RWA!$A:$G,OFF_RWA!$6:$9</definedName>
    <definedName name="_xlnm.Print_Titles" localSheetId="3">ONBS_RWA!$7:$8</definedName>
    <definedName name="_xlnm.Print_Titles" localSheetId="2">TQC!$7:$8</definedName>
  </definedNames>
  <calcPr calcId="162913" fullCalcOnLoad="1"/>
</workbook>
</file>

<file path=xl/calcChain.xml><?xml version="1.0" encoding="utf-8"?>
<calcChain xmlns="http://schemas.openxmlformats.org/spreadsheetml/2006/main">
  <c r="L5" i="6" l="1"/>
  <c r="I21" i="2"/>
  <c r="I27" i="4"/>
  <c r="I42" i="4"/>
  <c r="K42" i="4" s="1"/>
  <c r="J36" i="3"/>
  <c r="I70" i="4"/>
  <c r="I69" i="4"/>
  <c r="I68" i="4"/>
  <c r="I67" i="4"/>
  <c r="I66" i="4"/>
  <c r="I65" i="4"/>
  <c r="I64" i="4"/>
  <c r="I63" i="4"/>
  <c r="I62" i="4"/>
  <c r="I61" i="4"/>
  <c r="I60" i="4"/>
  <c r="I74" i="4" s="1"/>
  <c r="I22" i="2"/>
  <c r="K21" i="6"/>
  <c r="J21" i="6"/>
  <c r="I21" i="6"/>
  <c r="K12" i="6"/>
  <c r="K22" i="6" s="1"/>
  <c r="J12" i="6"/>
  <c r="J22" i="6"/>
  <c r="I12" i="6"/>
  <c r="I22" i="6"/>
  <c r="L22" i="6" s="1"/>
  <c r="L23" i="6" s="1"/>
  <c r="L24" i="6" s="1"/>
  <c r="L25" i="6" s="1"/>
  <c r="J24" i="2" s="1"/>
  <c r="L1" i="6"/>
  <c r="I47" i="5"/>
  <c r="I51" i="5"/>
  <c r="I52" i="5" s="1"/>
  <c r="B39" i="5"/>
  <c r="B40" i="5" s="1"/>
  <c r="B41" i="5" s="1"/>
  <c r="B42" i="5" s="1"/>
  <c r="B43" i="5" s="1"/>
  <c r="B44" i="5" s="1"/>
  <c r="B45" i="5" s="1"/>
  <c r="B46" i="5" s="1"/>
  <c r="B47" i="5" s="1"/>
  <c r="B51" i="5" s="1"/>
  <c r="B37" i="5"/>
  <c r="B35" i="5"/>
  <c r="O34" i="5"/>
  <c r="O35" i="5" s="1"/>
  <c r="N34" i="5"/>
  <c r="N35" i="5" s="1"/>
  <c r="M34" i="5"/>
  <c r="M35" i="5" s="1"/>
  <c r="L34" i="5"/>
  <c r="L35" i="5" s="1"/>
  <c r="I34" i="5"/>
  <c r="K33" i="5"/>
  <c r="K32" i="5"/>
  <c r="K31" i="5"/>
  <c r="K30" i="5"/>
  <c r="K29" i="5"/>
  <c r="K28" i="5"/>
  <c r="K27" i="5"/>
  <c r="K26" i="5"/>
  <c r="K25" i="5"/>
  <c r="K24" i="5"/>
  <c r="B24" i="5"/>
  <c r="K23" i="5"/>
  <c r="K34" i="5" s="1"/>
  <c r="B23" i="5"/>
  <c r="O20" i="5"/>
  <c r="O21" i="5"/>
  <c r="M20" i="5"/>
  <c r="M21" i="5"/>
  <c r="L20" i="5"/>
  <c r="L21" i="5" s="1"/>
  <c r="P21" i="5" s="1"/>
  <c r="I20" i="5"/>
  <c r="K19" i="5"/>
  <c r="K18" i="5"/>
  <c r="K20" i="5" s="1"/>
  <c r="K17" i="5"/>
  <c r="B17" i="5"/>
  <c r="B18" i="5"/>
  <c r="B19" i="5" s="1"/>
  <c r="B20" i="5" s="1"/>
  <c r="B21" i="5" s="1"/>
  <c r="O14" i="5"/>
  <c r="O15" i="5" s="1"/>
  <c r="M14" i="5"/>
  <c r="M15" i="5" s="1"/>
  <c r="L14" i="5"/>
  <c r="L15" i="5" s="1"/>
  <c r="I14" i="5"/>
  <c r="K13" i="5"/>
  <c r="B13" i="5"/>
  <c r="B14" i="5"/>
  <c r="B15" i="5" s="1"/>
  <c r="K12" i="5"/>
  <c r="K14" i="5" s="1"/>
  <c r="K11" i="5"/>
  <c r="B11" i="5"/>
  <c r="K52" i="4"/>
  <c r="K51" i="4"/>
  <c r="K50" i="4"/>
  <c r="K48" i="4"/>
  <c r="K46" i="4"/>
  <c r="K44" i="4"/>
  <c r="I38" i="4"/>
  <c r="K38" i="4" s="1"/>
  <c r="J80" i="3"/>
  <c r="J66" i="3"/>
  <c r="J67" i="3"/>
  <c r="J62" i="3"/>
  <c r="J56" i="3"/>
  <c r="J31" i="3"/>
  <c r="J32" i="3"/>
  <c r="J38" i="3" s="1"/>
  <c r="I72" i="3" s="1"/>
  <c r="J21" i="3"/>
  <c r="I23" i="2"/>
  <c r="K27" i="4"/>
  <c r="J37" i="3"/>
  <c r="J49" i="3" s="1"/>
  <c r="J50" i="3" s="1"/>
  <c r="J57" i="3" s="1"/>
  <c r="J68" i="3" l="1"/>
  <c r="J69" i="3" s="1"/>
  <c r="J70" i="3" s="1"/>
  <c r="I73" i="3" s="1"/>
  <c r="I83" i="3" s="1"/>
  <c r="J12" i="2" s="1"/>
  <c r="P15" i="5"/>
  <c r="P35" i="5"/>
  <c r="I57" i="4"/>
  <c r="I58" i="4" s="1"/>
  <c r="I75" i="4" s="1"/>
  <c r="K75" i="4" s="1"/>
  <c r="K76" i="4" s="1"/>
  <c r="I16" i="2" s="1"/>
  <c r="I82" i="3" l="1"/>
  <c r="J11" i="2" s="1"/>
  <c r="J13" i="2" s="1"/>
  <c r="P53" i="5"/>
  <c r="I17" i="2" s="1"/>
  <c r="I19" i="2" s="1"/>
  <c r="J15" i="2" s="1"/>
  <c r="J26" i="2" s="1"/>
  <c r="J27" i="2" s="1"/>
  <c r="J71" i="3"/>
  <c r="J84" i="3" s="1"/>
</calcChain>
</file>

<file path=xl/sharedStrings.xml><?xml version="1.0" encoding="utf-8"?>
<sst xmlns="http://schemas.openxmlformats.org/spreadsheetml/2006/main" count="1945" uniqueCount="1261">
  <si>
    <t xml:space="preserve">Claims on or portions of claims guaranteed by foreign incorporated banks with the highest credit quality </t>
  </si>
  <si>
    <t>108103000000000000</t>
  </si>
  <si>
    <t>Interbank call loans</t>
  </si>
  <si>
    <t>195401000500000000</t>
  </si>
  <si>
    <t xml:space="preserve">Claims on or portion of claims guaranteed by Philippine incorporated private enterprises, including claims on government corporations and MSME not qualifying under highly diversified loan portfolio definition, with the highest credit quality </t>
  </si>
  <si>
    <t>108103500000000000</t>
  </si>
  <si>
    <t xml:space="preserve">Claims on or portion of claims guaranteed by foreign incorporated private enterprises, including claims on government corporations, with the highest credit quality </t>
  </si>
  <si>
    <t>108104000000000000</t>
  </si>
  <si>
    <t>Loans to small farmer and fisherfolk engaged in palay and/or food production projects/activities to the extent guaranteed by the Agricultural Guarantee Fund Pool (AGFP) subject to the conditions enumerated in Circular No. 713 dated 14 February 2011</t>
  </si>
  <si>
    <t>140150019000600000</t>
  </si>
  <si>
    <t>Sub-total [Sum of B (1) to B (9)]</t>
  </si>
  <si>
    <t>100000000000811200</t>
  </si>
  <si>
    <t>20</t>
  </si>
  <si>
    <t xml:space="preserve">   C.    </t>
  </si>
  <si>
    <t>50% Risk Weight -</t>
  </si>
  <si>
    <t>Loans to individuals for housing purpose, fully secured by first mortgage on residential property that is or will be occupied by the borrower, which are not classified as non-performing</t>
  </si>
  <si>
    <t>140150004000100000</t>
  </si>
  <si>
    <t>50</t>
  </si>
  <si>
    <t xml:space="preserve">   D.    </t>
  </si>
  <si>
    <t>75% Risk Weight –</t>
  </si>
  <si>
    <t>Qualified micro, small and medium enterprise (MSME) loan portfolio</t>
  </si>
  <si>
    <t>140180500000000000</t>
  </si>
  <si>
    <t>75</t>
  </si>
  <si>
    <t xml:space="preserve">   E.    </t>
  </si>
  <si>
    <t>100% Risk Weight –</t>
  </si>
  <si>
    <t>Year 2012</t>
  </si>
  <si>
    <t>Year 2013</t>
  </si>
  <si>
    <t>Year 2014 onwards</t>
  </si>
  <si>
    <t>108104501500000000</t>
  </si>
  <si>
    <t>100</t>
  </si>
  <si>
    <t>Non-performing loans to individuals for housing purpose, fully secured by first mortgage on residential property that is or will be occupied by the borrower.</t>
  </si>
  <si>
    <t>140150004000000000</t>
  </si>
  <si>
    <t xml:space="preserve">   F.    </t>
  </si>
  <si>
    <t>150% Risk Weight –</t>
  </si>
  <si>
    <t>All non-performing loans (except non-performing loans to individuals for housing purpose, fully secured by first mortgage on residential property that is or will be occupied by the borrower), all non-performing sales contract receivables, and all non-performing debt securities</t>
  </si>
  <si>
    <t>142001000000000000</t>
  </si>
  <si>
    <t>150</t>
  </si>
  <si>
    <t xml:space="preserve">Real and other properties acquired and Non-current assets held for sale, net of allowance for losses </t>
  </si>
  <si>
    <t>195501200500000000</t>
  </si>
  <si>
    <t>115</t>
  </si>
  <si>
    <t>195501201000000000</t>
  </si>
  <si>
    <t>130</t>
  </si>
  <si>
    <t>195501201500000000</t>
  </si>
  <si>
    <t xml:space="preserve">   G.    </t>
  </si>
  <si>
    <t>100 % Risk Weight –</t>
  </si>
  <si>
    <t>Other Assets</t>
  </si>
  <si>
    <t>Total Assets per Balance Sheet</t>
  </si>
  <si>
    <t>100000000000000000</t>
  </si>
  <si>
    <t>General Loan Loss Provisions per Balance Sheet</t>
  </si>
  <si>
    <t>175150000000000000</t>
  </si>
  <si>
    <t>100050000000811000</t>
  </si>
  <si>
    <r>
      <t xml:space="preserve">Sub-total 
</t>
    </r>
    <r>
      <rPr>
        <i/>
        <sz val="8"/>
        <rFont val="Arial"/>
        <family val="2"/>
      </rPr>
      <t>[Sum of G(1)(a) and G(1)(b) minus G(1)(c)]</t>
    </r>
  </si>
  <si>
    <t>195000500000811000</t>
  </si>
  <si>
    <t>Deductions from Other Assets</t>
  </si>
  <si>
    <r>
      <t xml:space="preserve">Total outstanding unsecured credit accommodations, both direct and indirect, to DOSRI, net of allowance for credit losses 
</t>
    </r>
    <r>
      <rPr>
        <i/>
        <sz val="8"/>
        <rFont val="Arial"/>
        <family val="2"/>
      </rPr>
      <t>[refer to Part II. Item A.2 (5)]</t>
    </r>
  </si>
  <si>
    <t>165500500000811000</t>
  </si>
  <si>
    <r>
      <t xml:space="preserve">Total outstanding unsecured loans, other credit accommodations and guarantees granted to subsidiaries and affiliates, net of allowance for credit losses 
</t>
    </r>
    <r>
      <rPr>
        <i/>
        <sz val="8"/>
        <rFont val="Arial"/>
        <family val="2"/>
      </rPr>
      <t>[refer to Part II. Item A.2 (6)]</t>
    </r>
  </si>
  <si>
    <t>165501000000811000</t>
  </si>
  <si>
    <r>
      <t xml:space="preserve">Deferred tax asset, net of deferred tax liability 
</t>
    </r>
    <r>
      <rPr>
        <i/>
        <sz val="8"/>
        <rFont val="Arial"/>
        <family val="2"/>
      </rPr>
      <t>[refer to Part II. Item A.2 (7)]</t>
    </r>
  </si>
  <si>
    <t>165501500000811000</t>
  </si>
  <si>
    <r>
      <t xml:space="preserve">Goodwill, net of allowance for losses 
</t>
    </r>
    <r>
      <rPr>
        <i/>
        <sz val="8"/>
        <rFont val="Arial"/>
        <family val="2"/>
      </rPr>
      <t>[refer to Part II. Item A.2 (8)]</t>
    </r>
  </si>
  <si>
    <t>165502000000811000</t>
  </si>
  <si>
    <r>
      <t xml:space="preserve">Sinking fund for redemption of limited life redeemable preferred stock with the replacement requirement upon redemption 
</t>
    </r>
    <r>
      <rPr>
        <i/>
        <sz val="8"/>
        <rFont val="Arial"/>
        <family val="2"/>
      </rPr>
      <t>[refer to Part II. Item B.2 (3)]</t>
    </r>
  </si>
  <si>
    <t>165502500000811000</t>
  </si>
  <si>
    <r>
      <t xml:space="preserve">Sinking fund for redemption of limited life redeemable preferred stock without the replacement requirement upon redemption (limited to the balance of redeemable preferred stock after applying the cumulative discount factor) 
</t>
    </r>
    <r>
      <rPr>
        <i/>
        <sz val="8"/>
        <rFont val="Arial"/>
        <family val="2"/>
      </rPr>
      <t>[refer to Part II. Item B.5 (2)]</t>
    </r>
  </si>
  <si>
    <t>165503000000811000</t>
  </si>
  <si>
    <r>
      <t xml:space="preserve">Investment in equity of unconsolidated subsidiary RBs and VCCs for TBs, and RBs for Coop Banks, after deducting related goodwill, if any (for solo basis) 
</t>
    </r>
    <r>
      <rPr>
        <i/>
        <sz val="8"/>
        <rFont val="Arial"/>
        <family val="2"/>
      </rPr>
      <t>[refer to Part II. Item D (1)]</t>
    </r>
  </si>
  <si>
    <t>165503500000811000</t>
  </si>
  <si>
    <r>
      <t xml:space="preserve">Investments in other regulatory capital instruments of unconsolidated RBs for Coop Banks (for solo basis) 
</t>
    </r>
    <r>
      <rPr>
        <i/>
        <sz val="8"/>
        <rFont val="Arial"/>
        <family val="2"/>
      </rPr>
      <t>[refer to Part II. Item D (2)]</t>
    </r>
  </si>
  <si>
    <t>165504000000811000</t>
  </si>
  <si>
    <t>(i)</t>
  </si>
  <si>
    <r>
      <t xml:space="preserve">Investment in equity of subsidiary non-financial allied undertakings, after deducting related goodwill, if any (for both solo and consolidated bases) 
</t>
    </r>
    <r>
      <rPr>
        <i/>
        <sz val="8"/>
        <rFont val="Arial"/>
        <family val="2"/>
      </rPr>
      <t>[refer to Part II. Item D (3)]</t>
    </r>
  </si>
  <si>
    <t>165504500000811000</t>
  </si>
  <si>
    <t>(j)</t>
  </si>
  <si>
    <r>
      <t xml:space="preserve">Significant minority investments (20%-50% of voting stock) in banks and other financial allied undertakings (for both solo and consolidated bases) 
</t>
    </r>
    <r>
      <rPr>
        <i/>
        <sz val="8"/>
        <rFont val="Arial"/>
        <family val="2"/>
      </rPr>
      <t>[refer to Part II. Item D (4)]</t>
    </r>
  </si>
  <si>
    <t>165505000000811000</t>
  </si>
  <si>
    <t>(k)</t>
  </si>
  <si>
    <r>
      <t xml:space="preserve">Reciprocal investments in equity/other regulatory capital instruments of other banks/quasi-banks/enterprises 
</t>
    </r>
    <r>
      <rPr>
        <i/>
        <sz val="8"/>
        <rFont val="Arial"/>
        <family val="2"/>
      </rPr>
      <t>[refer to Part II. Item D (5)]</t>
    </r>
  </si>
  <si>
    <t>165505500000811000</t>
  </si>
  <si>
    <t>(l)</t>
  </si>
  <si>
    <t>Net accumulated market gains/(losses) on available for sale debt securities purchased</t>
  </si>
  <si>
    <t>165506000000811000</t>
  </si>
  <si>
    <t>(m)</t>
  </si>
  <si>
    <t>Financial Assets Held for Trading</t>
  </si>
  <si>
    <t>165506500000811000</t>
  </si>
  <si>
    <t>(n)</t>
  </si>
  <si>
    <t>Derivatives with Positive Fair Value Held for Hedging</t>
  </si>
  <si>
    <t>165507000000811000</t>
  </si>
  <si>
    <t>(o)</t>
  </si>
  <si>
    <r>
      <t xml:space="preserve">Total Deductions 
</t>
    </r>
    <r>
      <rPr>
        <i/>
        <sz val="8"/>
        <rFont val="Arial"/>
        <family val="2"/>
      </rPr>
      <t>[Sum of G(2)(a) to G(2)(n)]</t>
    </r>
  </si>
  <si>
    <t>165500000000811000</t>
  </si>
  <si>
    <r>
      <t xml:space="preserve">Net Other Assets 
</t>
    </r>
    <r>
      <rPr>
        <i/>
        <sz val="8"/>
        <rFont val="Arial"/>
        <family val="2"/>
      </rPr>
      <t xml:space="preserve">[G (1)(d) minus G (2)(o)] </t>
    </r>
  </si>
  <si>
    <t>195000000000811000</t>
  </si>
  <si>
    <t xml:space="preserve">   H.    </t>
  </si>
  <si>
    <t>This shall refer to the outstanding balance of the account inclusive of unamortized discount/(premium) and accumulated market gains/(losses), and net of allowance for credit losses, except that for available for sale debt securities, any accumulated market gains/(losses) shall be deducted/added back.</t>
  </si>
  <si>
    <r>
      <t xml:space="preserve">PART III.2  RISK-WEIGHTED OFF-BALANCE SHEET ASSETS </t>
    </r>
    <r>
      <rPr>
        <sz val="8"/>
        <rFont val="Arial"/>
        <family val="2"/>
      </rPr>
      <t>(Amounts in P0.000 million)</t>
    </r>
  </si>
  <si>
    <t>Nature of item</t>
  </si>
  <si>
    <t>Seq. No.</t>
  </si>
  <si>
    <t xml:space="preserve">Notional Principal Amount </t>
  </si>
  <si>
    <t>Credit Conv. Factor (CCF)</t>
  </si>
  <si>
    <t xml:space="preserve">Credit Equivalent Amount </t>
  </si>
  <si>
    <r>
      <t xml:space="preserve">Distribution of Credit Equivalent Amount According to Risk Weights  </t>
    </r>
    <r>
      <rPr>
        <vertAlign val="superscript"/>
        <sz val="8"/>
        <rFont val="Arial"/>
        <family val="2"/>
      </rPr>
      <t>1/</t>
    </r>
  </si>
  <si>
    <t>Total</t>
  </si>
  <si>
    <t>(3) =(1)*(2)</t>
  </si>
  <si>
    <t>(Sum of 4 to 7)</t>
  </si>
  <si>
    <t>A.</t>
  </si>
  <si>
    <t>Direct credit substitutes (.e.g. general guarantees of indebtedness and acceptances)</t>
  </si>
  <si>
    <t>Guarantees issued other than shipside bonds/airway bills</t>
  </si>
  <si>
    <t>405000000000000000</t>
  </si>
  <si>
    <t>Financial standby letters of credit - domestic (net of margin deposit)</t>
  </si>
  <si>
    <t>410050500000000000</t>
  </si>
  <si>
    <t>Financial standby letters of credit - foreign (net of margin deposit)</t>
  </si>
  <si>
    <t>410051000000000000</t>
  </si>
  <si>
    <r>
      <t xml:space="preserve">Sub-total 
</t>
    </r>
    <r>
      <rPr>
        <i/>
        <sz val="8"/>
        <rFont val="Arial"/>
        <family val="2"/>
      </rPr>
      <t>[Sum of A (1) to A (3)]</t>
    </r>
  </si>
  <si>
    <t>403000000000000000</t>
  </si>
  <si>
    <r>
      <t xml:space="preserve">Risk-weighted amount 
</t>
    </r>
    <r>
      <rPr>
        <i/>
        <sz val="8"/>
        <rFont val="Arial"/>
        <family val="2"/>
      </rPr>
      <t>[ A(4) x applicable risk weight]</t>
    </r>
  </si>
  <si>
    <t>403000000000812000</t>
  </si>
  <si>
    <t>B.</t>
  </si>
  <si>
    <t>Transaction-related contingencies  (e.g., performance bonds, bid bonds, warrantees and stand-by LCs related to particular transactions)</t>
  </si>
  <si>
    <t>Performance Standby LCs – domestic (net of margin deposit) established as a guarantee that a business transaction will be performed</t>
  </si>
  <si>
    <t>410100500000000000</t>
  </si>
  <si>
    <t>Performance Standby LCs – foreign (net of margin deposit) established as a guarantee that a business transaction will be performed</t>
  </si>
  <si>
    <t>410101000000000000</t>
  </si>
  <si>
    <t xml:space="preserve">Other Commitments e.g. formal standby facilities and credit lines with maturity of more than one year </t>
  </si>
  <si>
    <t>425200000000000000</t>
  </si>
  <si>
    <r>
      <t xml:space="preserve">Sub-total 
</t>
    </r>
    <r>
      <rPr>
        <i/>
        <sz val="8"/>
        <rFont val="Arial"/>
        <family val="2"/>
      </rPr>
      <t>[Sum of B (1) to B (3)]</t>
    </r>
  </si>
  <si>
    <t>408000000000000000</t>
  </si>
  <si>
    <r>
      <t xml:space="preserve">Risk-weighted amount 
</t>
    </r>
    <r>
      <rPr>
        <i/>
        <sz val="8"/>
        <rFont val="Arial"/>
        <family val="2"/>
      </rPr>
      <t>[ B (4) x applicable risk weight]</t>
    </r>
  </si>
  <si>
    <t>408000000000812000</t>
  </si>
  <si>
    <t>C.</t>
  </si>
  <si>
    <t>Trade-related contingencies arising from movement of goods (e.g., documentary credits collateralized by the underlying shipments) and commitments with an original maturity of up to one (1) year</t>
  </si>
  <si>
    <t>Trade related guarantees  – shipside bonds/airway bills</t>
  </si>
  <si>
    <t>420100000000000000</t>
  </si>
  <si>
    <t>Trade related guarantees  – LCs confirmed</t>
  </si>
  <si>
    <t>420050000000000000</t>
  </si>
  <si>
    <t>Sight LCs - domestic (net of margin deposit)</t>
  </si>
  <si>
    <t>415050500000000000</t>
  </si>
  <si>
    <t>Sight LCs - foreign (net of margin deposit)</t>
  </si>
  <si>
    <t>415051000000000000</t>
  </si>
  <si>
    <t>Usance LCs - domestic (net of margin deposit)</t>
  </si>
  <si>
    <t>415100500000000000</t>
  </si>
  <si>
    <t>Usance LCs - foreign (net of margin deposit)</t>
  </si>
  <si>
    <t>415101000000000000</t>
  </si>
  <si>
    <t>Deferred LCs - domestic (net of margin deposit)</t>
  </si>
  <si>
    <t>415150500000000000</t>
  </si>
  <si>
    <t>Deferred LCs - foreign (net of margin deposit)</t>
  </si>
  <si>
    <t>415151000000000000</t>
  </si>
  <si>
    <t>Revolving LCs - domestic (net of margin deposit) arising from movement of goods and/or services</t>
  </si>
  <si>
    <t>415200500000000000</t>
  </si>
  <si>
    <t>Revolving LCs - foreign (net of margin deposit) arising from movement of goods and/or services</t>
  </si>
  <si>
    <t>415201000000000000</t>
  </si>
  <si>
    <t>(11)</t>
  </si>
  <si>
    <t>Other commitments with an original maturity of up to 1 year</t>
  </si>
  <si>
    <t>425250000000000000</t>
  </si>
  <si>
    <t>(12)</t>
  </si>
  <si>
    <r>
      <t xml:space="preserve">Sub-total 
</t>
    </r>
    <r>
      <rPr>
        <i/>
        <sz val="8"/>
        <rFont val="Arial"/>
        <family val="2"/>
      </rPr>
      <t>[Sum of C (1) to C (11)]</t>
    </r>
  </si>
  <si>
    <t>412000000000000000</t>
  </si>
  <si>
    <r>
      <t xml:space="preserve">Risk-weighted amount 
</t>
    </r>
    <r>
      <rPr>
        <i/>
        <sz val="8"/>
        <rFont val="Arial"/>
        <family val="2"/>
      </rPr>
      <t>[ C (12) x applicable risk weight]</t>
    </r>
  </si>
  <si>
    <t>412000000000812000</t>
  </si>
  <si>
    <t>D.</t>
  </si>
  <si>
    <t>Other commitments which can be unconditionally cancelled at any time by the bank without prior notice</t>
  </si>
  <si>
    <t>Credit card lines</t>
  </si>
  <si>
    <t>425150000000000000</t>
  </si>
  <si>
    <t>Items not involving credit risk</t>
  </si>
  <si>
    <t>Late deposits/payments received</t>
  </si>
  <si>
    <t>495050000000000000</t>
  </si>
  <si>
    <t>Inward bills for collection</t>
  </si>
  <si>
    <t>495100000000000000</t>
  </si>
  <si>
    <t>Outward bills for collection</t>
  </si>
  <si>
    <t>495150000000000000</t>
  </si>
  <si>
    <t>Travelers’ checks unsold</t>
  </si>
  <si>
    <t>495200000000000000</t>
  </si>
  <si>
    <t>Trust department accounts</t>
  </si>
  <si>
    <t>495250000000000000</t>
  </si>
  <si>
    <t>Items held for safekeeping/custodianship</t>
  </si>
  <si>
    <t>495260000000000000</t>
  </si>
  <si>
    <t>Items held as collaterals</t>
  </si>
  <si>
    <t>495350000000000000</t>
  </si>
  <si>
    <t>Deficiency claims receivable</t>
  </si>
  <si>
    <t>495400000000000000</t>
  </si>
  <si>
    <t>Others (Please specify)</t>
  </si>
  <si>
    <t>495950000000000000</t>
  </si>
  <si>
    <t>_a</t>
  </si>
  <si>
    <t>-</t>
  </si>
  <si>
    <t xml:space="preserve"> </t>
  </si>
  <si>
    <t>1</t>
  </si>
  <si>
    <t>$</t>
  </si>
  <si>
    <t>Sub-total
[Sum of E (1) to E (9)]</t>
  </si>
  <si>
    <t>495000000000000000</t>
  </si>
  <si>
    <r>
      <t xml:space="preserve">Total Notional Principal Amount
</t>
    </r>
    <r>
      <rPr>
        <i/>
        <sz val="8"/>
        <rFont val="Arial"/>
        <family val="2"/>
      </rPr>
      <t>[Sum of A (4), B (4), C (12), D (1) , E (10)]</t>
    </r>
  </si>
  <si>
    <t>400000000000000000</t>
  </si>
  <si>
    <t>G.</t>
  </si>
  <si>
    <r>
      <t xml:space="preserve">TOTAL RISK-WEIGHTED OFF-BALANCE SHEET ASSETS </t>
    </r>
    <r>
      <rPr>
        <i/>
        <sz val="8"/>
        <rFont val="Arial"/>
        <family val="2"/>
      </rPr>
      <t xml:space="preserve">[Sum of A (5), B (5) and C (13)] </t>
    </r>
  </si>
  <si>
    <t>Assign the appropriate risk weight according to the obligor, or if relevant, the qualified guarantor or the nature of the collateral.</t>
  </si>
  <si>
    <r>
      <t xml:space="preserve">PART IV.  OPERATIONAL RISK-WEIGHTED ASSETS </t>
    </r>
    <r>
      <rPr>
        <sz val="8"/>
        <rFont val="Arial"/>
        <family val="2"/>
      </rPr>
      <t xml:space="preserve">(Amounts in </t>
    </r>
    <r>
      <rPr>
        <strike/>
        <sz val="8"/>
        <rFont val="Arial"/>
        <family val="2"/>
      </rPr>
      <t>P</t>
    </r>
    <r>
      <rPr>
        <sz val="8"/>
        <rFont val="Arial"/>
        <family val="2"/>
      </rPr>
      <t xml:space="preserve">0.000 million) </t>
    </r>
  </si>
  <si>
    <t>Gross Income</t>
  </si>
  <si>
    <t>Year 3</t>
  </si>
  <si>
    <t>Year 2</t>
  </si>
  <si>
    <t>Last Year</t>
  </si>
  <si>
    <r>
      <t xml:space="preserve">Average </t>
    </r>
    <r>
      <rPr>
        <vertAlign val="superscript"/>
        <sz val="8"/>
        <rFont val="Arial"/>
        <family val="2"/>
      </rPr>
      <t>1/</t>
    </r>
    <r>
      <rPr>
        <sz val="8"/>
        <rFont val="Arial"/>
        <family val="2"/>
      </rPr>
      <t xml:space="preserve"> </t>
    </r>
    <r>
      <rPr>
        <u/>
        <vertAlign val="superscript"/>
        <sz val="10"/>
        <color indexed="10"/>
        <rFont val="Arial"/>
        <family val="2"/>
      </rPr>
      <t/>
    </r>
  </si>
  <si>
    <t>A.  Net interest income</t>
  </si>
  <si>
    <t>Interest Income</t>
  </si>
  <si>
    <t>505050000000000000</t>
  </si>
  <si>
    <t>Interest Expense</t>
  </si>
  <si>
    <t>605100000000000000</t>
  </si>
  <si>
    <r>
      <t xml:space="preserve">Sub-total 
</t>
    </r>
    <r>
      <rPr>
        <i/>
        <sz val="8"/>
        <rFont val="Arial"/>
        <family val="2"/>
      </rPr>
      <t>(A.1 minus A.2)</t>
    </r>
  </si>
  <si>
    <t>505000000000000000</t>
  </si>
  <si>
    <t>B.  Other non-interest income</t>
  </si>
  <si>
    <t>Dividend Income</t>
  </si>
  <si>
    <t>510050000000000000</t>
  </si>
  <si>
    <t>Fees and Commissions Income</t>
  </si>
  <si>
    <t>510100000000000000</t>
  </si>
  <si>
    <t>Net Gain/loss on Financial Assets and Liabilities Held for Trading</t>
  </si>
  <si>
    <t>510150000000000000</t>
  </si>
  <si>
    <t>Net Gain/loss on Financial Assets and Liabilities Designated at Fair Value through Profit or Loss</t>
  </si>
  <si>
    <t>510200000000000000</t>
  </si>
  <si>
    <t>Net Profit/loss on Foreign Exchange</t>
  </si>
  <si>
    <t>510250000000000000</t>
  </si>
  <si>
    <t>Net Gain/loss on Fair Value Adjustment in Hedge Accounting</t>
  </si>
  <si>
    <t>510350000000000000</t>
  </si>
  <si>
    <t xml:space="preserve">Other Income </t>
  </si>
  <si>
    <t>510450000000000000</t>
  </si>
  <si>
    <r>
      <t xml:space="preserve">Sub-total 
</t>
    </r>
    <r>
      <rPr>
        <i/>
        <sz val="8"/>
        <rFont val="Arial"/>
        <family val="2"/>
      </rPr>
      <t>(Sum of B.1 to B.7)</t>
    </r>
  </si>
  <si>
    <t>510000000000000000</t>
  </si>
  <si>
    <r>
      <t xml:space="preserve">C.   Gross Income 
</t>
    </r>
    <r>
      <rPr>
        <i/>
        <sz val="8"/>
        <rFont val="Arial"/>
        <family val="2"/>
      </rPr>
      <t xml:space="preserve">      (Sum of A.3 and B.8) </t>
    </r>
  </si>
  <si>
    <t>500000000000000000</t>
  </si>
  <si>
    <r>
      <t xml:space="preserve">D.   Capital Charge 
</t>
    </r>
    <r>
      <rPr>
        <i/>
        <sz val="8"/>
        <rFont val="Arial"/>
        <family val="2"/>
      </rPr>
      <t xml:space="preserve">       [C (average) multiply by Capital 
       Charge Factor of 12% </t>
    </r>
    <r>
      <rPr>
        <i/>
        <vertAlign val="superscript"/>
        <sz val="8"/>
        <rFont val="Arial"/>
        <family val="2"/>
      </rPr>
      <t>2/</t>
    </r>
    <r>
      <rPr>
        <i/>
        <sz val="8"/>
        <rFont val="Arial"/>
        <family val="2"/>
      </rPr>
      <t>]</t>
    </r>
    <r>
      <rPr>
        <sz val="8"/>
        <rFont val="Arial"/>
        <family val="2"/>
      </rPr>
      <t xml:space="preserve">
   </t>
    </r>
  </si>
  <si>
    <t>990000000000830000</t>
  </si>
  <si>
    <r>
      <t xml:space="preserve">E.    Adjusted Capital Charge
 </t>
    </r>
    <r>
      <rPr>
        <i/>
        <sz val="8"/>
        <rFont val="Arial"/>
        <family val="2"/>
      </rPr>
      <t xml:space="preserve">     (D multiply by 125%)</t>
    </r>
  </si>
  <si>
    <t>996000000000830000</t>
  </si>
  <si>
    <r>
      <t xml:space="preserve">F.   TOTAL OPERATIONAL RISK-WEIGHTED ASSETS
</t>
    </r>
    <r>
      <rPr>
        <i/>
        <sz val="8"/>
        <rFont val="Arial"/>
        <family val="2"/>
      </rPr>
      <t xml:space="preserve">      (E multiply by 10)</t>
    </r>
  </si>
  <si>
    <t>When calculating the average, include only the positive annual gross income; hence, figures for any year in which annual gross income is negative or zero should be excluded from both the numerator and denominator.</t>
  </si>
  <si>
    <t>The capital charge shall be applied over a 3-year period, i.e., 4% capital charge shall be applied by 1 January 2012,  8%  by  1 January 2013, and 12% by 1 January 2014.</t>
  </si>
  <si>
    <t>ZAMBOANGA DEL NORTE COOPERATIVE BNK</t>
  </si>
  <si>
    <t>SOUTHERN LEYTE COOP BANK</t>
  </si>
  <si>
    <t>SORSOGON PROVINCIAL COOP BANK</t>
  </si>
  <si>
    <t>OCC. MINDORO COOP BANK (OMCB)</t>
  </si>
  <si>
    <t>NEGROS COOPERATIVE BANK</t>
  </si>
  <si>
    <t>NATIONAL TEACHERS &amp; EMP. COOP BANK</t>
  </si>
  <si>
    <t>METRO SOUTH COOP BANK</t>
  </si>
  <si>
    <t>ILOCOS SUR COOPERATIVE BANK</t>
  </si>
  <si>
    <t>FIRST ISABELA COOP BANK INC(FICOBNK</t>
  </si>
  <si>
    <t>COUNTRYSIDE COOP RB OF BATANGAS</t>
  </si>
  <si>
    <t>COOPERATIVE RURAL BANK OF BOHOL</t>
  </si>
  <si>
    <t>COOPERATIVE BANK OF TARLAC INC</t>
  </si>
  <si>
    <t>COOPERATIVE BANK OF NUEVA VIZCAYA</t>
  </si>
  <si>
    <t>COOPERATIVE BANK OF LEYTE</t>
  </si>
  <si>
    <t>COOPERATIVE BANK OF ILOCOS NORTE</t>
  </si>
  <si>
    <t>COOPERATIVE BANK OF CEBU</t>
  </si>
  <si>
    <t>COOP RB OF BULACAN INC</t>
  </si>
  <si>
    <t>COOP BANK OF ZAMBALES</t>
  </si>
  <si>
    <t>COOP BANK OF QUEZON PROVINCE</t>
  </si>
  <si>
    <t>COOP BANK OF PAMPANGA INC(COOPBANK)</t>
  </si>
  <si>
    <t>COOP BANK OF PALAWAN</t>
  </si>
  <si>
    <t>COOP BANK OF NEGROS ORIENTAL</t>
  </si>
  <si>
    <t>COOP BANK OF MT PROVINCE</t>
  </si>
  <si>
    <t>COOP BANK OF MISAMIS ORIENTAL</t>
  </si>
  <si>
    <t>COOP BANK OF LA UNION</t>
  </si>
  <si>
    <t>COOP BANK OF COTABATO</t>
  </si>
  <si>
    <t>COOP BANK OF CAMARINES NORTE</t>
  </si>
  <si>
    <t>COOP BANK OF CAGAYAN</t>
  </si>
  <si>
    <t>COOP BANK OF BENGUET (CBB)</t>
  </si>
  <si>
    <t>COOP BANK OF AURORA</t>
  </si>
  <si>
    <t>COOP BANK OF AGUSAN NORTE-BUTUAN CT</t>
  </si>
  <si>
    <t>COOP BANK OF AGUSAN DEL SUR</t>
  </si>
  <si>
    <t>CONSOLIDATED COOPERATIVE BANK</t>
  </si>
  <si>
    <t>CAPIZ SETTLERS COOPERATIVE RB INC</t>
  </si>
  <si>
    <t>BUKIDNON COOPERATIVE BANK</t>
  </si>
  <si>
    <t>BATAAN COOPERATIVE BANK</t>
  </si>
  <si>
    <t>BANCO COOPERATIVA DE ZAMBOANGA</t>
  </si>
  <si>
    <t>ZAMBOANGA CITY RB INC</t>
  </si>
  <si>
    <t>ZAMBALES RURAL BANK INC</t>
  </si>
  <si>
    <t>XAVIER-PUNLA RURAL BANK INC</t>
  </si>
  <si>
    <t>XAVIER TIBOD BANK INC (A MFRB)</t>
  </si>
  <si>
    <t>WOMEN'S RURAL BANK INC</t>
  </si>
  <si>
    <t>VIZCAYA BANK A RURAL BANK INC</t>
  </si>
  <si>
    <t>VISIONBANK INC A RURAL BANK</t>
  </si>
  <si>
    <t>VIGAN BANCO RURAL INCORPORADA</t>
  </si>
  <si>
    <t>VALIANT BANK INC (A RURAL BANK)</t>
  </si>
  <si>
    <t>UTILITY BANK INC (A RB)</t>
  </si>
  <si>
    <t>UPLAND RB OF DALAGUETE(CEBU) INC</t>
  </si>
  <si>
    <t>UNIVERSAL RB OF LOPEZ (QUEZON) INC</t>
  </si>
  <si>
    <t>UNITY BANK (A RB) INC</t>
  </si>
  <si>
    <t>UNITED PEOPLE'S RB INC</t>
  </si>
  <si>
    <t>UNITED CONSUMERS RB INC</t>
  </si>
  <si>
    <t>UNILINK BANK INC ( A RB)</t>
  </si>
  <si>
    <t>TURUMBA RB OF PAKIL INC</t>
  </si>
  <si>
    <t>TOWNCALL RURAL BANK INC</t>
  </si>
  <si>
    <t>TIAONG RB INC</t>
  </si>
  <si>
    <t>THE RB OF STO DOMINGO (NE) INC</t>
  </si>
  <si>
    <t>TANAY RB INC</t>
  </si>
  <si>
    <t>TAMARAW RB INC</t>
  </si>
  <si>
    <t>TALISAY RURAL BANK INC</t>
  </si>
  <si>
    <t>SYNERGY RURAL BANK INC</t>
  </si>
  <si>
    <t>SURIGAONON RURAL BANKING CORP</t>
  </si>
  <si>
    <t>SURIGAO CITY EVERGREEN RB INC</t>
  </si>
  <si>
    <t>SUNRISE RURAL BANK (ROSARIO BAT)INC</t>
  </si>
  <si>
    <t>SUMMIT RB OF LIPA CITY INC</t>
  </si>
  <si>
    <t>SUMMIT BANK (RB OF TUBLAY INC)</t>
  </si>
  <si>
    <t>SUGBUANON RB INC</t>
  </si>
  <si>
    <t>STO NINO RURAL BANK(TERNATE CAV)INC</t>
  </si>
  <si>
    <t>STA MARIA RURAL BANK INC</t>
  </si>
  <si>
    <t>ST MICHAEL RB OF TARLAC (TARLAC)INC</t>
  </si>
  <si>
    <t>SOUTHEAST COUNTRY BANK INC (A RB)</t>
  </si>
  <si>
    <t>SOUTH BANK (A RURAL BANK) INC</t>
  </si>
  <si>
    <t>SMART BANK (RURAL BANK) INC</t>
  </si>
  <si>
    <t>SILAHIS BANK INC (A RURAL BANK)</t>
  </si>
  <si>
    <t>SIARGAO BANK (A RURAL BANK) INC</t>
  </si>
  <si>
    <t>SG BANK - A RURAL BANK INC</t>
  </si>
  <si>
    <t>SECURED BANK INC (A RB)</t>
  </si>
  <si>
    <t>SECOND RB OF VALENZUELA (MM) INC</t>
  </si>
  <si>
    <t>SECOND RB OF SAN LUIS PAMPANGA INC</t>
  </si>
  <si>
    <t>SAVIOUR RURAL BANK INC</t>
  </si>
  <si>
    <t>SARANGANI RURAL BANK INC</t>
  </si>
  <si>
    <t>SAN FRANCISCO DEL MONTE RB INC</t>
  </si>
  <si>
    <t>SAN FERNANDO RB INC</t>
  </si>
  <si>
    <t>SAN BARTOLOME RURAL BANK INC</t>
  </si>
  <si>
    <t>SALUG VALLEY RB INC</t>
  </si>
  <si>
    <t>SADIRI RURAL BANK (SJ ILOCOS S) INC</t>
  </si>
  <si>
    <t>RURAL BNK OF SAN JOSE DEL MONTE INC</t>
  </si>
  <si>
    <t>RURAL BANK OF TANZA (CAVITE) INC</t>
  </si>
  <si>
    <t>RURAL BANK OF RONDA INC</t>
  </si>
  <si>
    <t>RURAL BANK OF MAASIN (SO LEYTE) INC</t>
  </si>
  <si>
    <t>RURAL BANK OF LOBOC INC</t>
  </si>
  <si>
    <t>RURAL BANK OF LINGAYEN INC</t>
  </si>
  <si>
    <t>RODRIGUEZ RB INC</t>
  </si>
  <si>
    <t>RNG COASTAL BANK INC(A RURAL BANK)</t>
  </si>
  <si>
    <t>RIZAL RURAL BANK (TAYTAY RIZAL)</t>
  </si>
  <si>
    <t>RBT BANK INC A RURAL BANK</t>
  </si>
  <si>
    <t>RBG IMPERIAL BANK INC(A RURAL BANK)</t>
  </si>
  <si>
    <t>RB OF ZARRAGA (ILOILO) INC</t>
  </si>
  <si>
    <t>RB OF VILLAVICIOSA (ABRA) INC</t>
  </si>
  <si>
    <t>RB OF VILLAVERDE (NUEVA VIZCAYA)INC</t>
  </si>
  <si>
    <t>RB OF VICTORIA INC</t>
  </si>
  <si>
    <t>RB OF TUMAUINI (ISABELA) INC</t>
  </si>
  <si>
    <t>RB OF TIGBAUAN (ILOILO) INC</t>
  </si>
  <si>
    <t>RB OF TIGAON CAMARINES SUR INC</t>
  </si>
  <si>
    <t>RB OF TIBIAO (ANTIQUE) INC</t>
  </si>
  <si>
    <t>RB OF TERESA (RIZAL) INC</t>
  </si>
  <si>
    <t>RB OF TAYSAN (BATANGAS) INC</t>
  </si>
  <si>
    <t>RB OF TAYABAS INC</t>
  </si>
  <si>
    <t>RB OF TANJAY INC</t>
  </si>
  <si>
    <t>RB OF TANGUB CITY (MIS OCC) INC</t>
  </si>
  <si>
    <t>RB OF TANDAG (SURIGAO DEL SUR) INC</t>
  </si>
  <si>
    <t>RB OF TALUGTUG (NE) INC</t>
  </si>
  <si>
    <t>RB OF TALISAY (CEBU) INC</t>
  </si>
  <si>
    <t>RB OF TALISAY (BATANGAS) INC</t>
  </si>
  <si>
    <t>RB OF TABUK (KALINGA_APAYAO) INC</t>
  </si>
  <si>
    <t>RB OF TAAL INC</t>
  </si>
  <si>
    <t>RB OF SUDIPEN (LA UNION) INC</t>
  </si>
  <si>
    <t>RB OF STO TOMAS(DAVAO N)</t>
  </si>
  <si>
    <t>RB OF STA ROSA DE LIMA (PANIQUI)INC</t>
  </si>
  <si>
    <t>RB OF STA ROSA (LAGUNA) INC</t>
  </si>
  <si>
    <t>RB OF STA MARIA (ILOCOS SUR) INC</t>
  </si>
  <si>
    <t>RB OF STA MAGDALENA (SORSOGON) INC</t>
  </si>
  <si>
    <t>RB OF STA IGNACIA INC</t>
  </si>
  <si>
    <t>RB OF STA ELENA (CAMS NORTE) INC</t>
  </si>
  <si>
    <t>RB OF STA CATALINA NEGROS OR INC</t>
  </si>
  <si>
    <t>RB OF STA BARBARA (ILOILO) INC</t>
  </si>
  <si>
    <t>RB OF SOLANO (NUEVA VIZCAYA) INC</t>
  </si>
  <si>
    <t>RB OF SOCORRO (ORIENTAL MINDORO)INC</t>
  </si>
  <si>
    <t>RB OF SIPOCOT (CAMARINES SUR) INC</t>
  </si>
  <si>
    <t>RB OF SIOCON (ZAMBOANGA DN) INC</t>
  </si>
  <si>
    <t>RB OF SILAY CITY INC</t>
  </si>
  <si>
    <t>RB OF SIBULAN NEGROS ORIENTAL INC</t>
  </si>
  <si>
    <t>RB OF SIBALOM (ANTIQUE) INC</t>
  </si>
  <si>
    <t>RB OF SIATON (SIATON NEGROS OR) INC</t>
  </si>
  <si>
    <t>RB OF SEVEN LAKES (SAN PABLO) INC</t>
  </si>
  <si>
    <t>RB OF SASMUAN (PAMPANGA) INC</t>
  </si>
  <si>
    <t>RB OF SANTA FE (ROMBLON) INC</t>
  </si>
  <si>
    <t>RB OF SANCHEZ MIRA (CAGAYAN) INC</t>
  </si>
  <si>
    <t>RB OF SAN RAFAEL (BULACAN) INC</t>
  </si>
  <si>
    <t>RB OF SAN QUINTIN INC</t>
  </si>
  <si>
    <t>RB OF SAN PASCUAL(OBANDO BUL) INC</t>
  </si>
  <si>
    <t>RB OF SAN NICOLAS (PANGASINAN) INC</t>
  </si>
  <si>
    <t>RB OF SAN NARCISO INC</t>
  </si>
  <si>
    <t>RB OF SAN MIGUEL (ILOILO) INC</t>
  </si>
  <si>
    <t>RB OF SAN MATEO(ISABELA) INC</t>
  </si>
  <si>
    <t>RB OF SAN MARCELINO INC</t>
  </si>
  <si>
    <t>RB OF SAN MANUEL (ISABELA) INC</t>
  </si>
  <si>
    <t>RB OF SAN LUIS (PAMPANGA) INC</t>
  </si>
  <si>
    <t>RB OF SAN LUIS (BAT) INC</t>
  </si>
  <si>
    <t>RB OF SAN LORENZO RUIZ (SINILOAN)</t>
  </si>
  <si>
    <t>RB OF SAN JUAN (SO LEYTE) INC</t>
  </si>
  <si>
    <t>RB OF SAN JOSE (CAMARINES SUR) INC</t>
  </si>
  <si>
    <t>RB OF SAN JACINTO (MASBATE) INC</t>
  </si>
  <si>
    <t>RB OF SAN FERNANDO (CEBU) INC</t>
  </si>
  <si>
    <t>RB OF SAN FERNANDO (C S), INC</t>
  </si>
  <si>
    <t>RB OF SAN FABIAN (PANGASINAN) INC</t>
  </si>
  <si>
    <t>RB OF SAN ENRIQUE (ILOILO) INC</t>
  </si>
  <si>
    <t>RB OF SAN ANTONIO(QUEZON) INC</t>
  </si>
  <si>
    <t>RB OF SAN AGUSTIN (ISABELA) INC</t>
  </si>
  <si>
    <t>RB OF SAMPALOC (QUEZON) INC</t>
  </si>
  <si>
    <t>RB OF SALUG(ZAMBOANGA DEL NORTE)INC</t>
  </si>
  <si>
    <t>RB OF SALINAS INC</t>
  </si>
  <si>
    <t>RB OF SALCEDO (ILOCOS SUR) INC</t>
  </si>
  <si>
    <t>RB OF SAGAY INC</t>
  </si>
  <si>
    <t>RB OF SAGADA(MOUNTAIN PROVINCE)INC</t>
  </si>
  <si>
    <t>RB OF ROXAS (OR MINDORO) INC</t>
  </si>
  <si>
    <t>RB OF ROSARIO (LA UNION) INC</t>
  </si>
  <si>
    <t>RB OF RIZAL (ZAMBOANGA DEL NORTE)</t>
  </si>
  <si>
    <t>RB OF RIZAL (LAGUNA) INC</t>
  </si>
  <si>
    <t>RB OF RIZAL (KALINGA-APAYAO)INC</t>
  </si>
  <si>
    <t>RB OF REINA MERCEDES (ISABELA) INC</t>
  </si>
  <si>
    <t>RB OF RAMON (ISABELA) INC</t>
  </si>
  <si>
    <t>RB OF RAGAY (CAMARINES SUR) INC</t>
  </si>
  <si>
    <t>RB OF QUEZON (NUEVA ECIJA) INC</t>
  </si>
  <si>
    <t>RB OF PURA INC</t>
  </si>
  <si>
    <t>RB OF PUERTO GALERA (OR MINDORO)INC</t>
  </si>
  <si>
    <t>RB OF PRES QUIRINO (S KUDARAT) INC</t>
  </si>
  <si>
    <t>RB OF PRES MANUEL A ROXAS (Z DN)INC</t>
  </si>
  <si>
    <t>RB OF POZORRUBIO INC</t>
  </si>
  <si>
    <t>RB OF POTOTAN INC</t>
  </si>
  <si>
    <t>RB OF PORAC (PAMPANGA) INC</t>
  </si>
  <si>
    <t>RB OF POLOMOLOK(SOUTH COTABATO) INC</t>
  </si>
  <si>
    <t>RB OF POLA (ORIENTAL MINDORO) INC</t>
  </si>
  <si>
    <t>RB OF PLARIDEL (MISAMIS OCC) INC</t>
  </si>
  <si>
    <t>RB OF PLARIDEL (BULACAN) INC</t>
  </si>
  <si>
    <t>RB OF PLACER (SURIGAO DEL NORTE)INC</t>
  </si>
  <si>
    <t>RB OF PINAMALAYAN INC</t>
  </si>
  <si>
    <t>RB OF PILAR (SORSOGON) INC</t>
  </si>
  <si>
    <t>RB OF PILAR (BATAAN) INC</t>
  </si>
  <si>
    <t>RB OF PAVIA (ILOILO) INC</t>
  </si>
  <si>
    <t>RB OF PARACALE(CAMARINES NORTE) INC</t>
  </si>
  <si>
    <t>RB OF PANGIL (LAGUNA) INC</t>
  </si>
  <si>
    <t>RB OF PANDI (BULACAN) INC</t>
  </si>
  <si>
    <t>RB OF PANAY INC</t>
  </si>
  <si>
    <t>RB OF PANA-ON (MIS OCC) INC</t>
  </si>
  <si>
    <t>RB OF PAMPLONA(NEGROS OR) INC</t>
  </si>
  <si>
    <t>RB OF PAMPLONA (CAMARINES SUR) INC</t>
  </si>
  <si>
    <t>RB OF PAGBILAO INC</t>
  </si>
  <si>
    <t>RB OF PAGADIAN INC</t>
  </si>
  <si>
    <t>RB OF PAETE INC</t>
  </si>
  <si>
    <t>RB OF PADRE GARCIA INC</t>
  </si>
  <si>
    <t>RB OF PADRE BURGOS (SO LEYTE) INC</t>
  </si>
  <si>
    <t>RB OF OTON (ILOILO) INC</t>
  </si>
  <si>
    <t>RB OF OSLOB (CEBU) INC</t>
  </si>
  <si>
    <t>RB OF OROQUIETA (MIS OCC) INC</t>
  </si>
  <si>
    <t>RB OF ODIONGAN INC</t>
  </si>
  <si>
    <t>RB OF OCAMPO (CAMARINES SUR) INC</t>
  </si>
  <si>
    <t>RB OF NORALA (S COTABATO) INC</t>
  </si>
  <si>
    <t>RB OF NEW WASHINGTON (AKLAN) INC</t>
  </si>
  <si>
    <t>RB OF NAVAL INC</t>
  </si>
  <si>
    <t>RB OF NAIC INC</t>
  </si>
  <si>
    <t>RB OF NAGCARLAN INC</t>
  </si>
  <si>
    <t>RB OF NABUNTURAN (DAVAO DN) INC</t>
  </si>
  <si>
    <t>RB OF MONTEVISTA (DAVAO DN) INC</t>
  </si>
  <si>
    <t>RB OF MONTALBAN INC</t>
  </si>
  <si>
    <t>RB OF MIDSAYAP INC</t>
  </si>
  <si>
    <t>RB OF MIAGAO (ILOILO) INC</t>
  </si>
  <si>
    <t>RB OF MEXICO INC</t>
  </si>
  <si>
    <t>RB OF MENDEZ INC</t>
  </si>
  <si>
    <t>RB OF MEDINA (MISAMIS ORIENTAL) INC</t>
  </si>
  <si>
    <t>RB OF MAUBAN INC</t>
  </si>
  <si>
    <t>RB OF MATI INC</t>
  </si>
  <si>
    <t>RB OF MATAG-OB (LEYTE) INC</t>
  </si>
  <si>
    <t>RB OF MARILAG (STA MARIA, LAG)INC</t>
  </si>
  <si>
    <t>RB OF MARIA AURORA (QUEZON) INC</t>
  </si>
  <si>
    <t>RB OF MARAGONDON INC</t>
  </si>
  <si>
    <t>RB OF MANUKAN (ZAMBOANGA DN) INC</t>
  </si>
  <si>
    <t>RB OF MANOLO FORTICH BUKIDNON INC</t>
  </si>
  <si>
    <t>RB OF MANGALDAN INC(BANGKO RURAL NG</t>
  </si>
  <si>
    <t>RB OF MANDAUE INC</t>
  </si>
  <si>
    <t>RB OF MANAPLA (NEG OCC) INC</t>
  </si>
  <si>
    <t>RB OF MAMBUSAO INC</t>
  </si>
  <si>
    <t>RB OF MALOLOS INC</t>
  </si>
  <si>
    <t>RB OF MALITBOG (SOUTHERN LEYTE) INC</t>
  </si>
  <si>
    <t>RB OF MALINAO (AKLAN) INC</t>
  </si>
  <si>
    <t>RB OF MAKATO (AKLAN) INC</t>
  </si>
  <si>
    <t>RB OF MAIGO (LANAO DEL NORTE) INC</t>
  </si>
  <si>
    <t>RB OF MAHAPLAG (LEYTE) INC</t>
  </si>
  <si>
    <t>RB OF MAGSINGAL (ILOCOS SUR) INC</t>
  </si>
  <si>
    <t>RB OF MAGDALENA (LAGUNA) INC</t>
  </si>
  <si>
    <t>RB OF MADRIDEJOS (CEBU) INC</t>
  </si>
  <si>
    <t>RB OF MADDELA (QUIRINO) INC</t>
  </si>
  <si>
    <t>RB OF MABITAC (LAGUNA) INC</t>
  </si>
  <si>
    <t>RB OF MABALACAT INC</t>
  </si>
  <si>
    <t>RB OF LUPAO INC</t>
  </si>
  <si>
    <t>RB OF LUNA (K-APAYAO)INC</t>
  </si>
  <si>
    <t>RB OF LUNA (ISABELA) INC</t>
  </si>
  <si>
    <t>RB OF LUMBAN (LAGUNA) INC</t>
  </si>
  <si>
    <t>RB OF LUISIANA (LAGUNA) INC</t>
  </si>
  <si>
    <t>RB OF LUCBAN (QUEZON) INC</t>
  </si>
  <si>
    <t>RB OF LORETO(SURIGAO DEL NORTE) INC</t>
  </si>
  <si>
    <t>RB OF LOPEZ JAENA (MISAMIS OCC) INC</t>
  </si>
  <si>
    <t>RB OF LOON (BOHOL) INC</t>
  </si>
  <si>
    <t>RB OF LOBO INC</t>
  </si>
  <si>
    <t>RB OF LIPA CITY (BATANGAS) INC</t>
  </si>
  <si>
    <t>RB OF LIMAY (BATAAN) INC</t>
  </si>
  <si>
    <t>RB OF LILOY (ZAMBOANGA DN) INC</t>
  </si>
  <si>
    <t>RB OF LEMERY INC</t>
  </si>
  <si>
    <t>RB OF LEGANES (ILOILO) INC</t>
  </si>
  <si>
    <t>RB OF LEBAK (SULTAN KUDARAT) INC</t>
  </si>
  <si>
    <t>RB OF LARENA (SIQUIJOR) INC</t>
  </si>
  <si>
    <t>RB OF LANUZA (SURIGAO DEL SUR) INC</t>
  </si>
  <si>
    <t>RB OF LABRADOR INC</t>
  </si>
  <si>
    <t>RB OF LABASON (ZAMBOANGA DN) INC</t>
  </si>
  <si>
    <t>RB OF LA TRINIDAD INC</t>
  </si>
  <si>
    <t>RB OF LA PAZ INC</t>
  </si>
  <si>
    <t>RB OF KINOGITAN (MISAMIS OR) INC</t>
  </si>
  <si>
    <t>RB OF KIBAWE (BUKIDNON) INC</t>
  </si>
  <si>
    <t>RB OF KIAMBA (SARANGANI) INC</t>
  </si>
  <si>
    <t>RB OF KAWIT INC</t>
  </si>
  <si>
    <t>RB OF KAROMATAN (LANAO DN) INC</t>
  </si>
  <si>
    <t>RB OF KAPALONG (DAVAO) INC</t>
  </si>
  <si>
    <t>RB OF KABASALAN (ZAMB DS) INC</t>
  </si>
  <si>
    <t>RB OF JOSE PANGANIBAN(CAM NORTE)INC</t>
  </si>
  <si>
    <t>RB OF JIMENEZ (MISAMIS OCC) INC</t>
  </si>
  <si>
    <t>RB OF JAMINDAN (CAPIZ) INC</t>
  </si>
  <si>
    <t>RB OF JAEN INC</t>
  </si>
  <si>
    <t>RB OF ITOGON (BENGUET) INC</t>
  </si>
  <si>
    <t>RB OF IROSIN INC</t>
  </si>
  <si>
    <t>RB OF INITAO (MISAMIS ORIENTAL) INC</t>
  </si>
  <si>
    <t>RB OF INFANTA INC</t>
  </si>
  <si>
    <t>RB OF ILOILO CITY INC</t>
  </si>
  <si>
    <t>RB OF ILOG (NEGROS OCCIDENTAL) INC</t>
  </si>
  <si>
    <t>RB OF ILIGAN CITY INC</t>
  </si>
  <si>
    <t>RB OF IBAJAY INC</t>
  </si>
  <si>
    <t>RB OF HINUNDAYAN (SO LEYTE) INC</t>
  </si>
  <si>
    <t>RB OF HINDANG (LEYTE) INC</t>
  </si>
  <si>
    <t>RB OF HILONGOS INC</t>
  </si>
  <si>
    <t>RB OF HERMOSA (BATAAN) INC</t>
  </si>
  <si>
    <t>RB OF HAGONOY (DAVAO DEL SUR) INC</t>
  </si>
  <si>
    <t>RB OF GUIUAN (EASTERN SAMAR) INC</t>
  </si>
  <si>
    <t>RB OF GUINOBATAN INC</t>
  </si>
  <si>
    <t>RB OF GUIHULNGAN (NEGROS OR) INC</t>
  </si>
  <si>
    <t>RB OF GOA INC</t>
  </si>
  <si>
    <t>RB OF GLORIA (OR MIN) INC</t>
  </si>
  <si>
    <t>RB OF GITAGUM(MISAMIS ORIENTAL) INC</t>
  </si>
  <si>
    <t>RB OF GINGOOG INC</t>
  </si>
  <si>
    <t>RB OF GENERAL TRIAS INC</t>
  </si>
  <si>
    <t>RB OF GENERAL LUNA (QUEZON) INC</t>
  </si>
  <si>
    <t>RB OF GATTARAN (CAGAYAN) INC</t>
  </si>
  <si>
    <t>RB OF GANDARA (SAMAR) INC</t>
  </si>
  <si>
    <t>RB OF GALIMUYOD (ILOCOS SUR) INC</t>
  </si>
  <si>
    <t>RB OF ESCALANTE (NEGROS OCC) INC</t>
  </si>
  <si>
    <t>RB OF EL SALVADOR (MISAMIS OR) INC</t>
  </si>
  <si>
    <t>RB OF DUPAX (NUEVA VIZCAYA) INC</t>
  </si>
  <si>
    <t>RB OF DUMANGAS INC</t>
  </si>
  <si>
    <t>RB OF DULAG (LEYTE) INC</t>
  </si>
  <si>
    <t>RB OF DONSOL (SORSOGON) INC</t>
  </si>
  <si>
    <t>RB OF DONA R TRINIDAD (BULACAN) INC</t>
  </si>
  <si>
    <t>RB OF DOLORES (QUEZON) INC</t>
  </si>
  <si>
    <t>RB OF DIGOS INC</t>
  </si>
  <si>
    <t>RB OF DATU PAGLAS INC</t>
  </si>
  <si>
    <t>RB OF CUYO (PALAWAN) INC</t>
  </si>
  <si>
    <t>RB OF CUENCA INC</t>
  </si>
  <si>
    <t>RB OF CUARTERO (CAPIZ) INC</t>
  </si>
  <si>
    <t>RB OF COTABATO INC</t>
  </si>
  <si>
    <t>RB OF COMPOSTELA (DAVAO DN) INC</t>
  </si>
  <si>
    <t>RB OF CLAVERIA (CAGAYAN) INC</t>
  </si>
  <si>
    <t>RB OF CENTRAL PANGASINAN (BAYAMBANG</t>
  </si>
  <si>
    <t>RB OF CEBU SOUTH INC</t>
  </si>
  <si>
    <t>RB OF CAVINTI (LAGUNA) INC</t>
  </si>
  <si>
    <t>RB OF CAUAYAN INC</t>
  </si>
  <si>
    <t>RB OF CATUBIG (NORTHERN SAMAR) INC</t>
  </si>
  <si>
    <t>RB OF CASIGURAN (AURORA) INC</t>
  </si>
  <si>
    <t>RB OF CARDONA (RIZAL) INC</t>
  </si>
  <si>
    <t>RB OF CAPALONGA (CAM NORTE) INC</t>
  </si>
  <si>
    <t>RB OF CANDELARIA INC</t>
  </si>
  <si>
    <t>RB OF CAMALIG (ALBAY) INC</t>
  </si>
  <si>
    <t>RB OF CALOOCAN INC</t>
  </si>
  <si>
    <t>RB OF CALINOG (ILOILO) INC</t>
  </si>
  <si>
    <t>RB OF CALBAYOG CITY INC</t>
  </si>
  <si>
    <t>RB OF CALAUAN INC</t>
  </si>
  <si>
    <t>RB OF CALASIAO INC</t>
  </si>
  <si>
    <t>RB OF CALAMBA (LAGUNA) INC</t>
  </si>
  <si>
    <t>RB OF CALACA INC</t>
  </si>
  <si>
    <t>RB OF CAINTA INC</t>
  </si>
  <si>
    <t>RB OF CADIZ INC</t>
  </si>
  <si>
    <t>RB OF CABUGAO (ILOCOS SUR) INC</t>
  </si>
  <si>
    <t>RB OF CABATUAN (ILOILO) INC</t>
  </si>
  <si>
    <t>RB OF CABANGAN (ZAMBALES) INC</t>
  </si>
  <si>
    <t>RB OF CABADBARAN (AGUSAN) INC</t>
  </si>
  <si>
    <t>RB OF CABA (LA UNION) INC</t>
  </si>
  <si>
    <t>RB OF BUSTOS INC</t>
  </si>
  <si>
    <t>RB OF BURAUEN INC</t>
  </si>
  <si>
    <t>RB OF BUGUIAS (BENGUET) INC</t>
  </si>
  <si>
    <t>RB OF BUGASONG (ANTIQUE) INC</t>
  </si>
  <si>
    <t>RB OF BUENAVISTA (AGUSAN DN) INC</t>
  </si>
  <si>
    <t>RB OF BUCAY (ABRA) INC</t>
  </si>
  <si>
    <t>RB OF BROOKE'S POINT (PALAWAN) INC</t>
  </si>
  <si>
    <t>RB OF BORONGAN (EASTERN SAMAR) INC</t>
  </si>
  <si>
    <t>RB OF BONTOC (MT PROVINCE) INC</t>
  </si>
  <si>
    <t>RB OF BONIFACIO (MISAMIS OCC) INC</t>
  </si>
  <si>
    <t>RB OF BONGABONG (OR MINDORO) INC</t>
  </si>
  <si>
    <t>RB OF BOLINAO (PANG) INC</t>
  </si>
  <si>
    <t>RB OF BOGO (CEBU) INC</t>
  </si>
  <si>
    <t>RB OF BAYOMBONG INC</t>
  </si>
  <si>
    <t>RB OF BAYAWAN (NEGROS ORIENTAL) INC</t>
  </si>
  <si>
    <t>RB OF BAYAMBANG (PANGASINAN) INC</t>
  </si>
  <si>
    <t>RB OF BAY INC</t>
  </si>
  <si>
    <t>RB OF BAUANG INC</t>
  </si>
  <si>
    <t>RB OF BATO (LEYTE) INC</t>
  </si>
  <si>
    <t>RB OF BATAC INC</t>
  </si>
  <si>
    <t>RB OF BASEY (SAMAR) INC</t>
  </si>
  <si>
    <t>RB OF BASAY (NEGROS ORIENTAL) INC</t>
  </si>
  <si>
    <t>RB OF BAROTAC VIEJO (ILOILO) INC</t>
  </si>
  <si>
    <t>RB OF BAROTAC NUEVO INC</t>
  </si>
  <si>
    <t>RB OF BARILI (CEBU) INC</t>
  </si>
  <si>
    <t>RB OF BANSUD (ORIENTAL MINDORO) INC</t>
  </si>
  <si>
    <t>RB OF BANGA (AKLAN) INC</t>
  </si>
  <si>
    <t>RB OF BAMBANG (NUEVA VIZCAYA) INC</t>
  </si>
  <si>
    <t>RB OF BALUNGAO (PANGASINAN) INC</t>
  </si>
  <si>
    <t>RB OF BALINGASAG (MISAMIS OR) INC</t>
  </si>
  <si>
    <t>RB OF BAGUIO INC</t>
  </si>
  <si>
    <t>RB OF BAGAC BATAAN INC</t>
  </si>
  <si>
    <t>RB OF BAGABAG (N.V.)INC</t>
  </si>
  <si>
    <t>RB OF BACONG (NEGROS ORIENTAL) INC</t>
  </si>
  <si>
    <t>RB OF BACOLOD CITY INC</t>
  </si>
  <si>
    <t>RB OF BACO (ORIENTAL MINDORO) INC</t>
  </si>
  <si>
    <t>RB OF BACNOTAN INC</t>
  </si>
  <si>
    <t>RB OF ATIMONAN INC</t>
  </si>
  <si>
    <t>RB OF ARITAO INC</t>
  </si>
  <si>
    <t>RB OF APALIT INC</t>
  </si>
  <si>
    <t>RB OF ANTIPOLO INC</t>
  </si>
  <si>
    <t>RB OF ANGONO INC</t>
  </si>
  <si>
    <t>RB OF ANGELES INC</t>
  </si>
  <si>
    <t>RB OF ANGAT (BULACAN) INC</t>
  </si>
  <si>
    <t>RB OF ANDA (PANGASINAN) INC</t>
  </si>
  <si>
    <t>RB OF AMLAN (NEGROS ORIENTAL) INC</t>
  </si>
  <si>
    <t>RB OF AMADEO(CAVITE)INC</t>
  </si>
  <si>
    <t>RB OF ALTAVAS (AKLAN) INC</t>
  </si>
  <si>
    <t>RB OF ALITAGTAG INC</t>
  </si>
  <si>
    <t>RB OF ALIMODIAN (ILOILO) INC</t>
  </si>
  <si>
    <t>RB OF ALICIA (ISABELA) INC</t>
  </si>
  <si>
    <t>RB OF ALAMINOS (PANGASINAN) INC</t>
  </si>
  <si>
    <t>RB OF ALAMINOS (LAGUNA) INC</t>
  </si>
  <si>
    <t>RB OF ALABEL (SARANGANI) INC</t>
  </si>
  <si>
    <t>RB OF ALABAT (QUEZON) INC</t>
  </si>
  <si>
    <t>RB OF AGOO INC</t>
  </si>
  <si>
    <t>RB OF ABUCAY (BATAAN) INC</t>
  </si>
  <si>
    <t>RANG-AY BANK INC (A RURAL BANK)</t>
  </si>
  <si>
    <t>RACSO'S BANK INC (A RURAL BANK)</t>
  </si>
  <si>
    <t>QUEZON TRADERS RB OF CANDELARIA INC</t>
  </si>
  <si>
    <t>QUEZON CAPITAL RB INC</t>
  </si>
  <si>
    <t>PROVIDENT RB OF STA CRUZ(LAGUNA)INC</t>
  </si>
  <si>
    <t>PROVIDENCE RURAL BANK INC</t>
  </si>
  <si>
    <t>PROGRESSIVE RURAL BANK INC</t>
  </si>
  <si>
    <t>PROGRESSIVE BANK INC(PROG.A RB INC)</t>
  </si>
  <si>
    <t>PLANBANK "RB OF CANLUBANG PLANTERS</t>
  </si>
  <si>
    <t>PHILIPPINE SME BANK INC A RB</t>
  </si>
  <si>
    <t>PEOPLE'S RB(GEN SANTOS CITY) INC</t>
  </si>
  <si>
    <t>PEOPLES BANK OF CARAGA INC (A RB)</t>
  </si>
  <si>
    <t>PENAFRANCIA RB OF CALABANGA (CS)INC</t>
  </si>
  <si>
    <t>PARTNER RURAL BANK (COTABATO) INC</t>
  </si>
  <si>
    <t>PANGUIL BAY RB OF OZAMIZ INC</t>
  </si>
  <si>
    <t>PANGASINAN BANK (A RB) INC</t>
  </si>
  <si>
    <t>OWN BANK THE RB OF CAVITE CITY INC</t>
  </si>
  <si>
    <t>ORMON BANK(RB OF MULANAY(QUEZON)INC</t>
  </si>
  <si>
    <t>OR TAMARAW RB OF NAUJAN(OR MDO) INC</t>
  </si>
  <si>
    <t>ONE NETWORK BANK INC (A RB)</t>
  </si>
  <si>
    <t>OCCIDENTAL MINDORO RURAL BANK INC</t>
  </si>
  <si>
    <t>NORTH PACIFIC BANKING CORP (A RB)</t>
  </si>
  <si>
    <t>NEW RB OF SAN LEONARDO(N.E.) INC</t>
  </si>
  <si>
    <t>NEW RB OF BINALBAGAN (NEG OCC) INC</t>
  </si>
  <si>
    <t>NEW RB OF AGONCILLO INC</t>
  </si>
  <si>
    <t>NEW COVENANT BANK INC(A RURAL BANK)</t>
  </si>
  <si>
    <t>NAAWAN COMMUNITY RB (MIS OR) INC</t>
  </si>
  <si>
    <t>MVSM BANK (A RURAL BANK SINCE 1953)</t>
  </si>
  <si>
    <t>MUNICIPAL RB OF NABUA (CAM SUR) INC</t>
  </si>
  <si>
    <t>MUNICIPAL RB OF LIBMANAN(CAM SUR)IN</t>
  </si>
  <si>
    <t>MT CARMEL RURAL BANK INC</t>
  </si>
  <si>
    <t>MOUNT MAKILING RURAL BANK INC</t>
  </si>
  <si>
    <t>MONEY MALL RB INC</t>
  </si>
  <si>
    <t>MISAMIS BANK INC A RURAL BANK</t>
  </si>
  <si>
    <t>MEYCAUAYAN SECOND RURAL BANK INC</t>
  </si>
  <si>
    <t>MEGA RURAL BANK (LUCENA CITY) INC</t>
  </si>
  <si>
    <t>MASUWERTE RB OF BACOOR (CAVITE) INC</t>
  </si>
  <si>
    <t>MASANTOL RURAL BANK INC</t>
  </si>
  <si>
    <t>MASAGANA RURAL BANK (G NAT NE) INC</t>
  </si>
  <si>
    <t>MALLIG PLAINS RURAL BANK (ISABELA)</t>
  </si>
  <si>
    <t>MALAYBALAY RB INC</t>
  </si>
  <si>
    <t>MALARAYAT RB INC</t>
  </si>
  <si>
    <t>MAHARLIKA RURAL BANK INC</t>
  </si>
  <si>
    <t>MACTAN RURAL BANK (LAPU-LAPU) INC</t>
  </si>
  <si>
    <t>LUDB BANK INC (A RB)</t>
  </si>
  <si>
    <t>LIPA BANK INC (A RB)</t>
  </si>
  <si>
    <t>LIMCOMA RURAL BANK INC</t>
  </si>
  <si>
    <t>LIBERTY BANK (A RURAL BANK) INC</t>
  </si>
  <si>
    <t>LAPU-LAPU RB INC</t>
  </si>
  <si>
    <t>LAGUNA PRESTIGE BANKING CORP (A RB)</t>
  </si>
  <si>
    <t>LAGAWE HIGHLANDS RB INC</t>
  </si>
  <si>
    <t>LA CONSOLACION RURAL BANK INC</t>
  </si>
  <si>
    <t>KORONADAL RURAL BANK INC</t>
  </si>
  <si>
    <t>KEY RURAL BANK INC</t>
  </si>
  <si>
    <t>KATIPUNAN BANK (ZAMB DN) INC "A RB"</t>
  </si>
  <si>
    <t>KALUYAGAN RURAL BANK INC</t>
  </si>
  <si>
    <t>JANIUAY RURAL BANK INC</t>
  </si>
  <si>
    <t>INSULAR RURAL BANK</t>
  </si>
  <si>
    <t>INNOVATIVE BANK INC (A RURAL BANK)</t>
  </si>
  <si>
    <t>IMUS RURAL BANK INC</t>
  </si>
  <si>
    <t>HIGHLAND RURAL BANK INC</t>
  </si>
  <si>
    <t>GUAGUA SAVERS BANK(A RB) INC</t>
  </si>
  <si>
    <t>GUAGUA RURAL BANK INC</t>
  </si>
  <si>
    <t>GREEN BANK INC (A RURAL BANK)</t>
  </si>
  <si>
    <t>GRAND-AGRI RURAL BANK</t>
  </si>
  <si>
    <t>GOLDEN RB OF THE PHILS</t>
  </si>
  <si>
    <t>GM BANK OF LUZON INC (A RURAL BANK)</t>
  </si>
  <si>
    <t>GATEWAY RURAL BANK INC</t>
  </si>
  <si>
    <t>FRONTIER RURAL BANK INC</t>
  </si>
  <si>
    <t>FIRST UNITED FARMERS RB INC</t>
  </si>
  <si>
    <t>FIRST TAGUM RURAL BANK INC</t>
  </si>
  <si>
    <t>FIRST STATE RURAL BANK INC</t>
  </si>
  <si>
    <t>FIRST NAGA RURAL BANK INC</t>
  </si>
  <si>
    <t>FIRST MINDORO MICROFINANCE RB INC</t>
  </si>
  <si>
    <t>FIRST MIDLAND RURAL BANK INC</t>
  </si>
  <si>
    <t>FIRST INTEGRITY BNK INC (RB BAILEN)</t>
  </si>
  <si>
    <t>FIRST COMMUNITY BANK INC (RB)</t>
  </si>
  <si>
    <t>FIRST AGRO-INDUSTRIAL RB INC</t>
  </si>
  <si>
    <t>FILIPINO SAVERS BANK INC (A RB)</t>
  </si>
  <si>
    <t>FILIDIAN RURAL BANK OF ANTIPOLO INC</t>
  </si>
  <si>
    <t>FIL-AGRO RURAL BANK INC</t>
  </si>
  <si>
    <t>FARMERS RB INC</t>
  </si>
  <si>
    <t>FARM BANK INC (A RURAL BANK)</t>
  </si>
  <si>
    <t>FAR EASTERN BANK (A RURAL BANK) INC</t>
  </si>
  <si>
    <t>ENTREPRENUER RB INC</t>
  </si>
  <si>
    <t>ENTERPRISE CAPITAL BANK INC(TAG RB)</t>
  </si>
  <si>
    <t>EMPIRE RURAL BANK INC</t>
  </si>
  <si>
    <t>EMERALD RURAL BANK INC</t>
  </si>
  <si>
    <t>EASTERN RIZAL (JALAJALA) RURAL BANK</t>
  </si>
  <si>
    <t>EAST COAST RB OF HAGONOY INC</t>
  </si>
  <si>
    <t>DUMAGUETE RB INC</t>
  </si>
  <si>
    <t>DIAMOND RURAL BANK INC</t>
  </si>
  <si>
    <t>DE LA O RURAL BANK INC</t>
  </si>
  <si>
    <t>D' ASIAN HILLS BANK INC (A RB)</t>
  </si>
  <si>
    <t>CUYAPO RB INC</t>
  </si>
  <si>
    <t>CSFIRST BANK INC - A RURAL BANK</t>
  </si>
  <si>
    <t>CROWN BANK, INC (A RB)</t>
  </si>
  <si>
    <t>COUNTRYSIDE RB OF PALAUIG(ZAMBALES)</t>
  </si>
  <si>
    <t>COUNTRY BUILDERS BANK INC (A RB)</t>
  </si>
  <si>
    <t>CORDILLERA BANK INC (A RURAL BANK)</t>
  </si>
  <si>
    <t>COMMUNITY BANK (RB OF ALFONSO INC)</t>
  </si>
  <si>
    <t>COMMTY RB OF SAN GABRIEL (LU) INC</t>
  </si>
  <si>
    <t>COMMTY RB OF SAN FELIPE (ZAMB) INC</t>
  </si>
  <si>
    <t>COMMTY RB OF ROMBLON (ROMBLON) INC</t>
  </si>
  <si>
    <t>COMMTY RB OF MEDELLIN (CEBU) INC</t>
  </si>
  <si>
    <t>COMMTY RB OF MAGSAYSAY (DVO DS) INC</t>
  </si>
  <si>
    <t>COMMTY RB OF MAGALLON (MP NO) INC</t>
  </si>
  <si>
    <t>COMMTY RB OF DINGRAS (ILOCOS NO)INC</t>
  </si>
  <si>
    <t>COMMTY RB OF DAPITAN CITY INC</t>
  </si>
  <si>
    <t>COMMTY RB OF CLARIN (MIS OCC) INC</t>
  </si>
  <si>
    <t>COMMTY RB OF CATMON (CEBU) INC</t>
  </si>
  <si>
    <t>COMMON WEALTH RB INC</t>
  </si>
  <si>
    <t>CLASSIC RURAL BANK INC</t>
  </si>
  <si>
    <t>CITIZEN'S RB(CABIAO) INC</t>
  </si>
  <si>
    <t>CENTURY RURAL BANK INC</t>
  </si>
  <si>
    <t>CEBUANA LHUILLIER RB INC</t>
  </si>
  <si>
    <t>CAVITE UNITED RURAL BANK CORP</t>
  </si>
  <si>
    <t>CAVITE RURAL BANKING CORP</t>
  </si>
  <si>
    <t>CARITAS BANCO NG MASA INC (A MFRB)</t>
  </si>
  <si>
    <t>CARD BANK INC (A MF RB)</t>
  </si>
  <si>
    <t>CANTILAN BANK INC (A RURAL BANK)</t>
  </si>
  <si>
    <t>CAMILING RB INC</t>
  </si>
  <si>
    <t>CAGSAWA RURAL BANK INC</t>
  </si>
  <si>
    <t>CABANATUAN CITY RB INC</t>
  </si>
  <si>
    <t>BUTUAN CITY RB INC</t>
  </si>
  <si>
    <t>BUKIDNON BANK INC (A RURAL BANK)</t>
  </si>
  <si>
    <t>BRIDGEWAY RURAL BANKING CORPORATION</t>
  </si>
  <si>
    <t>BOLBOK RB INC</t>
  </si>
  <si>
    <t>BINANGONAN RB INC</t>
  </si>
  <si>
    <t>BINAN RURAL BANK INC</t>
  </si>
  <si>
    <t>BHF RURAL BANK INC</t>
  </si>
  <si>
    <t>BENGUET CENTER BANK INC A RB</t>
  </si>
  <si>
    <t>BAYBANK INC (A RURAL BANK)</t>
  </si>
  <si>
    <t>BATANGAS RB FOR COOP INC</t>
  </si>
  <si>
    <t>BANNAWAG BANK INC (A RURAL BANK)</t>
  </si>
  <si>
    <t>BANKO ZAMBALENO INC (BZI) (A RB)</t>
  </si>
  <si>
    <t>BANK OF ORMOC INC (A RURAL BANK)</t>
  </si>
  <si>
    <t>BANK OF MAKATI (A RURAL BANK) INC</t>
  </si>
  <si>
    <t>BANK OF LUBAO (A RURAL BANK) INC</t>
  </si>
  <si>
    <t>BANK OF FLORIDA INC (A RB)</t>
  </si>
  <si>
    <t>BANGKO RURAL NG TAGOLOAN (MIS OR)</t>
  </si>
  <si>
    <t>BANGKO RURAL NG SAN TEODORO, INC</t>
  </si>
  <si>
    <t>BANGKO RURAL NG PASACAO(CAM SUR)INC</t>
  </si>
  <si>
    <t>BANGKO RURAL NG MAGARAO(CAM SUR)INC</t>
  </si>
  <si>
    <t>BANGKO PASIG(RURAL BANK)</t>
  </si>
  <si>
    <t>BANGKO PANGASINAN-A RB INC</t>
  </si>
  <si>
    <t>BANGKO NUESTRA SRA DEL PILAR INC</t>
  </si>
  <si>
    <t>BANGKO MAGSAYSAY (ISABELA) INC-A RB</t>
  </si>
  <si>
    <t>BANGKO KABAYAN (A RURAL BANK) INC</t>
  </si>
  <si>
    <t>BANGKO CARRASCAL INC (A RB)</t>
  </si>
  <si>
    <t>BANGKO BUENA CONSOLIDATED INC(A RB)</t>
  </si>
  <si>
    <t>BANCO SUAL (A RURAL BANK) INC</t>
  </si>
  <si>
    <t>BANCO SANTIAGO DE LIBON INC</t>
  </si>
  <si>
    <t>BANCO SAN VICENTE INC (A RB)</t>
  </si>
  <si>
    <t>BANCO RURAL DE ISLA CORDOVA (CEBU)</t>
  </si>
  <si>
    <t>BANCO RURAL DE GEN TINIO (BRGT) INC</t>
  </si>
  <si>
    <t>BANCO MAXIMO INC (A RURAL BANK)</t>
  </si>
  <si>
    <t>BANCO LAGUNA INC (A RB SINCE 1965)</t>
  </si>
  <si>
    <t>BANCO DIPOLOG INC A RURAL BANK</t>
  </si>
  <si>
    <t>BANCO DE MINDORO INC (A RURAL BANK)</t>
  </si>
  <si>
    <t>BANCO DE AREVALO INC (A RURAL BANK)</t>
  </si>
  <si>
    <t>BANCO CARMONA INC A RURAL BANK</t>
  </si>
  <si>
    <t>BANCO BAKUN INC (A RURAL BANK)</t>
  </si>
  <si>
    <t>BANCO ALABANG INC (A RURAL BANK)</t>
  </si>
  <si>
    <t>BALIUAG RB INC</t>
  </si>
  <si>
    <t>BALANGA RURAL BANK, INC.</t>
  </si>
  <si>
    <t>BAGONG BANGKO RURAL NG MALABANG (LS</t>
  </si>
  <si>
    <t>BACLARAN RB INC</t>
  </si>
  <si>
    <t>AURORABANK (A MF-ORIENTED RB) INC</t>
  </si>
  <si>
    <t>ASPAC RURAL BANK INC</t>
  </si>
  <si>
    <t>ASIAN CONSUMERS BANK INC - A RB</t>
  </si>
  <si>
    <t>ANILAO BANK (RB ANILAO (ILOILO) INC</t>
  </si>
  <si>
    <t>AMA RURAL BANK OF MANDALUYONG INC</t>
  </si>
  <si>
    <t>ALIAGA FARMERS RURAL BANK INC</t>
  </si>
  <si>
    <t>AGRICULTURAL BANK OF THE PHIL INC</t>
  </si>
  <si>
    <t>AGRICOM RURAL BANK INC</t>
  </si>
  <si>
    <t>AGRIBUSINESS RURAL BANK INC</t>
  </si>
  <si>
    <t>ADVANTAGE BANK CORP (A MF RB)</t>
  </si>
  <si>
    <t>5 SPEED RURAL BANK INC</t>
  </si>
  <si>
    <t>1ST VALLEY BANK INC (A RB)</t>
  </si>
  <si>
    <t>1ST MACRO BANK INC (A RURAL BANK)</t>
  </si>
  <si>
    <t>WORLD PARTNERS BANK (A THRIFT BANK)</t>
  </si>
  <si>
    <t>WEALTH DEVELOPMENT BANK CORPORATION</t>
  </si>
  <si>
    <t>VILLAGE BANK INC (A THRIFT BANK)</t>
  </si>
  <si>
    <t>UNIVERSITY SAVINGS BANK INC</t>
  </si>
  <si>
    <t>UNITED OVERSEAS BANK PHILIPPINES</t>
  </si>
  <si>
    <t>UCPB SAVINGS BANK</t>
  </si>
  <si>
    <t>TOWER DEVELOPMENT BANK</t>
  </si>
  <si>
    <t>THE REAL BANK (A THRIFT BANK) INC</t>
  </si>
  <si>
    <t>THE PALAWAN BANK (PALAWAN DB) INC</t>
  </si>
  <si>
    <t>SUN SAVINGS BANK INC</t>
  </si>
  <si>
    <t>STERLING BANK OF ASIA INC (A SB)</t>
  </si>
  <si>
    <t>SILANGAN SAVINGS &amp; LOAN BANK INC</t>
  </si>
  <si>
    <t>SECURITY BANK SAVINGS CORPORATION</t>
  </si>
  <si>
    <t>SAMPAGUITA SAVINGS BANK INC</t>
  </si>
  <si>
    <t>RCBC SAVINGS BANK INC</t>
  </si>
  <si>
    <t>QUEZON COCONUT BANK INC (A TB)</t>
  </si>
  <si>
    <t>QUEEN CITY DB INC OR QUEENBANK A TB</t>
  </si>
  <si>
    <t>PROGRESS SAVINGS AND LOAN BANK INC</t>
  </si>
  <si>
    <t>PRODUCERS SAVINGS BANK CORPORATION</t>
  </si>
  <si>
    <t>PRIDE STAR DEVELOPMENT BANK INC</t>
  </si>
  <si>
    <t>PLANTERS DEVELOPMENT BANK</t>
  </si>
  <si>
    <t>PHILIPPINE BUSINESS BANK INC A SB</t>
  </si>
  <si>
    <t>PHIL SAVINGS BANK</t>
  </si>
  <si>
    <t>PHIL RESOURCES SB CORP (PR SB)</t>
  </si>
  <si>
    <t>PHIL POSTAL SAVINGS BANK INC</t>
  </si>
  <si>
    <t>PENBANK INC (A PDB)</t>
  </si>
  <si>
    <t>PAMPANGA DEVELOPMENT BANK</t>
  </si>
  <si>
    <t>PACIFIC ACE SAVINGS BANK INC</t>
  </si>
  <si>
    <t>OPTIMUM DEVELOPMENT BANK INC</t>
  </si>
  <si>
    <t>OPPORTUNITY KAUSWAGAN BANK(A MF TB)</t>
  </si>
  <si>
    <t>NORTHPOINT DEV'T BANK INC</t>
  </si>
  <si>
    <t>MICROFINANCE MAXIMUM SB INC</t>
  </si>
  <si>
    <t>METRO CEBU PUBLIC SAVINGS BANK</t>
  </si>
  <si>
    <t>MERCHANTS SAVINGS &amp; LOAN ASSN INC</t>
  </si>
  <si>
    <t>MARITIME SAVINGS BANK CORPORATION</t>
  </si>
  <si>
    <t>MALAYAN BANK SAVINGS AND MORT BANK</t>
  </si>
  <si>
    <t>MALASIQUI PROGRESSIVE SLB, INC</t>
  </si>
  <si>
    <t>LUZON DEVELOPMENT BANK</t>
  </si>
  <si>
    <t>LIFE SAVINGS BANK INC</t>
  </si>
  <si>
    <t>LEMERY SAVINGS &amp; LOAN BANK, INC.</t>
  </si>
  <si>
    <t>LEGAZPI SAVINGS BANK INC</t>
  </si>
  <si>
    <t>ISLA BANK(A THRIFT BANK) INC</t>
  </si>
  <si>
    <t>INTER-ASIA DEVELOPMENT BANK</t>
  </si>
  <si>
    <t>ILOILO CITY DEVELOPMENT BANK</t>
  </si>
  <si>
    <t>HSBC SAVINGS BANK(PHILS) INC</t>
  </si>
  <si>
    <t>HIYAS BANKING CORPORATION</t>
  </si>
  <si>
    <t>FIRST CONSOLIDATED BANK INC (A PDB)</t>
  </si>
  <si>
    <t>FARMERS SAVINGS &amp; LOAN BANK INC</t>
  </si>
  <si>
    <t>EQUICOM SAVINGS BANK INC</t>
  </si>
  <si>
    <t>ENTERPRISE BANK INC (A THRIFT BANK)</t>
  </si>
  <si>
    <t>DUNGGANON BANK (A MF TB) INC</t>
  </si>
  <si>
    <t>DUMAGUETE CITY DEV BANK INC</t>
  </si>
  <si>
    <t>CORDILLERA SAVINGS BANK INC</t>
  </si>
  <si>
    <t>COMSAVINGS BANK</t>
  </si>
  <si>
    <t>CITYSTATE SAVINGS BANK INC</t>
  </si>
  <si>
    <t>CITY SAVINGS BANK INC</t>
  </si>
  <si>
    <t>CITIBANK SAVINGS INC</t>
  </si>
  <si>
    <t>CHINA BANK SAVINGS INC</t>
  </si>
  <si>
    <t>CENTURY SAVINGS BANK CORPORATION</t>
  </si>
  <si>
    <t>CARD SME BANK INC A THRIFT BANK</t>
  </si>
  <si>
    <t>BUSINESS AND CONSUMERS BANK (A DB)</t>
  </si>
  <si>
    <t>BPI GLOBE BANKO INC A SAVINGS BANK</t>
  </si>
  <si>
    <t>BPI FAMILY SAVINGS BANK INC</t>
  </si>
  <si>
    <t>BPI DIRECT SAVINGS BANK INC</t>
  </si>
  <si>
    <t>BDO ELITE SAVINGS BANK INC</t>
  </si>
  <si>
    <t>BATAAN SAVINGS AND LOAN BANK</t>
  </si>
  <si>
    <t>BATAAN DEVELOPMENT BANK</t>
  </si>
  <si>
    <t>BANK ONE SAVINGS AND TRUST CORP.</t>
  </si>
  <si>
    <t>$$</t>
  </si>
  <si>
    <t>FIRST COMMUNITY COOP BANK OF MIS OC</t>
  </si>
  <si>
    <t>COUNTRYSIDE COOP RB OF BATANGAS INC</t>
  </si>
  <si>
    <t>COOP BANK OF SURIGAO DEL SUR</t>
  </si>
  <si>
    <t>COOP BANK OF DAVAO DEL SUR (CBDS)</t>
  </si>
  <si>
    <t>COOP BANK OF CAVITE</t>
  </si>
  <si>
    <t>Release Date</t>
  </si>
  <si>
    <t>30.June.2012</t>
  </si>
  <si>
    <t>Template Ver</t>
  </si>
  <si>
    <t>COOP BANK OF BOHOL</t>
  </si>
  <si>
    <t>Reporting System</t>
  </si>
  <si>
    <t>CAR</t>
  </si>
  <si>
    <t>Report Ver</t>
  </si>
  <si>
    <t>1.0</t>
  </si>
  <si>
    <t>Reserve</t>
  </si>
  <si>
    <t>Year</t>
  </si>
  <si>
    <t>Quarter</t>
  </si>
  <si>
    <t>Quarter 4</t>
  </si>
  <si>
    <t>RepType</t>
  </si>
  <si>
    <t>Cooperative Bank</t>
  </si>
  <si>
    <t>Quarter 3</t>
  </si>
  <si>
    <t>Comprehensive - Conso Basis</t>
  </si>
  <si>
    <t>Acronym</t>
  </si>
  <si>
    <t>Rural Bank</t>
  </si>
  <si>
    <t>Quarter 2</t>
  </si>
  <si>
    <t>Comprehensive - Solo Basis</t>
  </si>
  <si>
    <t>BkCode</t>
  </si>
  <si>
    <t>AGUSAN NORTE-BUTUAN CITY COOP RB</t>
  </si>
  <si>
    <t>Thrift Bank</t>
  </si>
  <si>
    <t>Quarter 1</t>
  </si>
  <si>
    <t>Simplified - Solo Basis</t>
  </si>
  <si>
    <t>Industry</t>
  </si>
  <si>
    <t>IND05</t>
  </si>
  <si>
    <t>Period</t>
  </si>
  <si>
    <t>Report Type</t>
  </si>
  <si>
    <t>Bank</t>
  </si>
  <si>
    <t>SOLO BASIS</t>
  </si>
  <si>
    <t>COMPUTATION OF THE RISK-BASED CAPITAL ADEQUACY RATIO</t>
  </si>
  <si>
    <t>DEADLINE :</t>
  </si>
  <si>
    <t xml:space="preserve">15 banking days after </t>
  </si>
  <si>
    <t>end of reference quarter</t>
  </si>
  <si>
    <t>(solo basis)</t>
  </si>
  <si>
    <t>30 banking days after</t>
  </si>
  <si>
    <t>(consolidated basis)</t>
  </si>
  <si>
    <t>SUBMISSION :</t>
  </si>
  <si>
    <t>Electronic submission to the</t>
  </si>
  <si>
    <t>Supervisory Data Center</t>
  </si>
  <si>
    <t>sdctb-car@bsp.gov.ph</t>
  </si>
  <si>
    <t>sdcrb-car@bsp.gov.ph</t>
  </si>
  <si>
    <t>FOR STAND-ALONE THRIFT, RURAL  AND COOPERATIVE BANKS</t>
  </si>
  <si>
    <t>(SIMPLIFIED VERSION)</t>
  </si>
  <si>
    <t>ALLIED SAVINGS BANK</t>
  </si>
  <si>
    <t xml:space="preserve">(Name of Bank)                                               </t>
  </si>
  <si>
    <t>(Code)</t>
  </si>
  <si>
    <t>(Address)</t>
  </si>
  <si>
    <t>COVERING COMBINED CREDIT, MARKET AND OPERATIONAL RISKS</t>
  </si>
  <si>
    <t>(Indicate if Solo Basis or Consolidated Basis)</t>
  </si>
  <si>
    <t>As of</t>
  </si>
  <si>
    <t>(Quarter-End)</t>
  </si>
  <si>
    <t xml:space="preserve">REPUBLIC OF THE PHILIPPINES) </t>
  </si>
  <si>
    <t>)  S.S.</t>
  </si>
  <si>
    <t xml:space="preserve">         </t>
  </si>
  <si>
    <t xml:space="preserve"> I solemnly swear that all matters set forth in this report and all its supporting schedules are true and </t>
  </si>
  <si>
    <t>correct, to the best of my knowledge and belief.</t>
  </si>
  <si>
    <t>(Signature of President/Executive/</t>
  </si>
  <si>
    <t>Vice President)</t>
  </si>
  <si>
    <t xml:space="preserve">          SUBSCRIBED     AND     SWORN     TO     BEFORE     ME     this      __________________      day      of </t>
  </si>
  <si>
    <t>SUBSCRIBED     AND     SWORN     TO     BEFORE     ME     this</t>
  </si>
  <si>
    <t>day  of</t>
  </si>
  <si>
    <t>, affiant  exhibiting  to  me  his  Community Tax</t>
  </si>
  <si>
    <t>Certificate  No.</t>
  </si>
  <si>
    <t>issued      at</t>
  </si>
  <si>
    <t>on</t>
  </si>
  <si>
    <t>.</t>
  </si>
  <si>
    <t>Notary Public</t>
  </si>
  <si>
    <t>Until December 31,</t>
  </si>
  <si>
    <t>PTR No. :</t>
  </si>
  <si>
    <t>Place :</t>
  </si>
  <si>
    <t>Doc. No.</t>
  </si>
  <si>
    <t>Page No.</t>
  </si>
  <si>
    <t>Book No.</t>
  </si>
  <si>
    <t xml:space="preserve">Series of </t>
  </si>
  <si>
    <r>
      <t xml:space="preserve">PART I.  CALCULATION OF RISK-BASED CAPITAL ADEQUACY RATIO </t>
    </r>
    <r>
      <rPr>
        <sz val="8"/>
        <rFont val="Arial"/>
        <family val="2"/>
      </rPr>
      <t xml:space="preserve">(Amounts in </t>
    </r>
    <r>
      <rPr>
        <strike/>
        <sz val="8"/>
        <rFont val="Arial"/>
        <family val="2"/>
      </rPr>
      <t>P</t>
    </r>
    <r>
      <rPr>
        <sz val="8"/>
        <rFont val="Arial"/>
        <family val="2"/>
      </rPr>
      <t>0.000 million)</t>
    </r>
  </si>
  <si>
    <t>Item</t>
  </si>
  <si>
    <t>Nature of Item</t>
  </si>
  <si>
    <t>Account Code</t>
  </si>
  <si>
    <t>Amount</t>
  </si>
  <si>
    <t xml:space="preserve">   A.  </t>
  </si>
  <si>
    <t xml:space="preserve">Calculation of Qualifying Capital </t>
  </si>
  <si>
    <t>A.1</t>
  </si>
  <si>
    <t>Net Tier 1 Capital</t>
  </si>
  <si>
    <t>395000000000710000</t>
  </si>
  <si>
    <t>A.2</t>
  </si>
  <si>
    <t>Net Tier 2 Capital</t>
  </si>
  <si>
    <t>395000000000720000</t>
  </si>
  <si>
    <t>A.3</t>
  </si>
  <si>
    <r>
      <t xml:space="preserve">Total Qualifying Capital </t>
    </r>
    <r>
      <rPr>
        <i/>
        <sz val="8"/>
        <rFont val="Arial"/>
        <family val="2"/>
      </rPr>
      <t>[Sum of A.1 and A.2]</t>
    </r>
  </si>
  <si>
    <t>395000000000700000</t>
  </si>
  <si>
    <t xml:space="preserve">   B.  </t>
  </si>
  <si>
    <t>Calculation of Risk-Weighted Assets</t>
  </si>
  <si>
    <t>B.1</t>
  </si>
  <si>
    <r>
      <t>Total Credit Risk-Weighted Assets [</t>
    </r>
    <r>
      <rPr>
        <i/>
        <sz val="8"/>
        <rFont val="Arial"/>
        <family val="2"/>
      </rPr>
      <t>B.1(d) minus B.1(h)</t>
    </r>
    <r>
      <rPr>
        <sz val="8"/>
        <rFont val="Arial"/>
        <family val="2"/>
      </rPr>
      <t>]</t>
    </r>
  </si>
  <si>
    <t>195931000000000000</t>
  </si>
  <si>
    <t>(a)</t>
  </si>
  <si>
    <t>Risk-Weighted On-Balance Sheet Assets</t>
  </si>
  <si>
    <t>100000000000811000</t>
  </si>
  <si>
    <t>(b)</t>
  </si>
  <si>
    <t>Risk-Weighted Off-Balance Sheet Assets</t>
  </si>
  <si>
    <t>400000000000812000</t>
  </si>
  <si>
    <t>(c)</t>
  </si>
  <si>
    <t>Counterparty Risk-Weighted Assets</t>
  </si>
  <si>
    <t>110100000000813000</t>
  </si>
  <si>
    <t>(d)</t>
  </si>
  <si>
    <r>
      <t>Total Credit Risk Weighted Assets [</t>
    </r>
    <r>
      <rPr>
        <i/>
        <sz val="8"/>
        <rFont val="Arial"/>
        <family val="2"/>
      </rPr>
      <t>Sum of B.1(a), B.1(b) and B.1(c)</t>
    </r>
    <r>
      <rPr>
        <sz val="8"/>
        <rFont val="Arial"/>
        <family val="2"/>
      </rPr>
      <t>]</t>
    </r>
  </si>
  <si>
    <t>100000000000810000</t>
  </si>
  <si>
    <t>(e)</t>
  </si>
  <si>
    <t>Deductions from Total Credit Risk-Weighted Assets</t>
  </si>
  <si>
    <t>(f)</t>
  </si>
  <si>
    <t>175150500000000000</t>
  </si>
  <si>
    <t>(g)</t>
  </si>
  <si>
    <t>Unbooked valuation reserves and other capital adjustments affecting asset accounts based on the latest report of examination as approved by the Monetary Board</t>
  </si>
  <si>
    <t>365052000000711000</t>
  </si>
  <si>
    <t>(h)</t>
  </si>
  <si>
    <r>
      <t>Total Deductions [</t>
    </r>
    <r>
      <rPr>
        <i/>
        <sz val="8"/>
        <rFont val="Arial"/>
        <family val="2"/>
      </rPr>
      <t>Sum of B.1(f) and B.1(g)</t>
    </r>
    <r>
      <rPr>
        <sz val="8"/>
        <rFont val="Arial"/>
        <family val="2"/>
      </rPr>
      <t>]</t>
    </r>
  </si>
  <si>
    <t>165000000000810000</t>
  </si>
  <si>
    <t>B.2</t>
  </si>
  <si>
    <t>Total Operational Risk-Weighted Assets</t>
  </si>
  <si>
    <t>195000000000830000</t>
  </si>
  <si>
    <t>B.3</t>
  </si>
  <si>
    <t>Total Market Risk-Weighted Assets</t>
  </si>
  <si>
    <t>100000000000820000</t>
  </si>
  <si>
    <t>B.4</t>
  </si>
  <si>
    <r>
      <t>Total Risk-Weighted Assets [</t>
    </r>
    <r>
      <rPr>
        <i/>
        <sz val="8"/>
        <rFont val="Arial"/>
        <family val="2"/>
      </rPr>
      <t>Sum of B.1, B.2 and B.3</t>
    </r>
    <r>
      <rPr>
        <sz val="8"/>
        <rFont val="Arial"/>
        <family val="2"/>
      </rPr>
      <t>]</t>
    </r>
  </si>
  <si>
    <t>100000000000800000</t>
  </si>
  <si>
    <t xml:space="preserve">   C.  </t>
  </si>
  <si>
    <r>
      <t>RISK-BASED CAPITAL ADEQUACY RATIO [</t>
    </r>
    <r>
      <rPr>
        <b/>
        <i/>
        <sz val="8"/>
        <rFont val="Arial"/>
        <family val="2"/>
      </rPr>
      <t>A.3 divided by B.4 multiply by 100</t>
    </r>
    <r>
      <rPr>
        <b/>
        <sz val="8"/>
        <rFont val="Arial"/>
        <family val="2"/>
      </rPr>
      <t>]</t>
    </r>
  </si>
  <si>
    <t>990000000000000000</t>
  </si>
  <si>
    <t>$$$</t>
  </si>
  <si>
    <r>
      <t xml:space="preserve">PART II.   QUALIFYING CAPITAL  </t>
    </r>
    <r>
      <rPr>
        <sz val="8"/>
        <rFont val="Arial"/>
        <family val="2"/>
      </rPr>
      <t xml:space="preserve">(Amounts in </t>
    </r>
    <r>
      <rPr>
        <strike/>
        <sz val="8"/>
        <rFont val="Arial"/>
        <family val="2"/>
      </rPr>
      <t>P</t>
    </r>
    <r>
      <rPr>
        <sz val="8"/>
        <rFont val="Arial"/>
        <family val="2"/>
      </rPr>
      <t>0.000 million)</t>
    </r>
  </si>
  <si>
    <r>
      <t xml:space="preserve">A.  </t>
    </r>
    <r>
      <rPr>
        <b/>
        <sz val="10"/>
        <color indexed="10"/>
        <rFont val="Arial"/>
        <family val="2"/>
      </rPr>
      <t/>
    </r>
  </si>
  <si>
    <t>Tier 1 (Core plus Hybrid) Capital</t>
  </si>
  <si>
    <t>Core Tier 1 Capital</t>
  </si>
  <si>
    <t>Paid up common stock</t>
  </si>
  <si>
    <t>305050000000000000</t>
  </si>
  <si>
    <t>Deposit for common stock subscription</t>
  </si>
  <si>
    <t>305250500000000000</t>
  </si>
  <si>
    <t>Paid-up perpetual and non-cumulative preferred stock</t>
  </si>
  <si>
    <t>305100000000000000</t>
  </si>
  <si>
    <t>Deposit for perpetual and non-cumulative preferred stock subscription</t>
  </si>
  <si>
    <t>305251000000000000</t>
  </si>
  <si>
    <t>Additional paid-in capital</t>
  </si>
  <si>
    <t>305200000000000000</t>
  </si>
  <si>
    <t>Retained earnings</t>
  </si>
  <si>
    <t>315000000000000000</t>
  </si>
  <si>
    <t xml:space="preserve">Undivided profits </t>
  </si>
  <si>
    <t>315150000000000000</t>
  </si>
  <si>
    <t>Net gains on fair value adjustment of hedging instruments in a cash flow hedge of available for sale equity securities</t>
  </si>
  <si>
    <t>320101000500000000</t>
  </si>
  <si>
    <t>Cumulative foreign currency translation</t>
  </si>
  <si>
    <t>320150000000000000</t>
  </si>
  <si>
    <r>
      <t xml:space="preserve">Minority interest in subsidiary financial allied undertakings (i.e., RBs and venture capital corporations (VCCs) for TBs, and RBs for Coop Banks) which are less than wholly-owned (for consolidated basis) </t>
    </r>
    <r>
      <rPr>
        <vertAlign val="superscript"/>
        <sz val="8"/>
        <rFont val="Arial"/>
        <family val="2"/>
      </rPr>
      <t>1/</t>
    </r>
  </si>
  <si>
    <t>325150000000000000</t>
  </si>
  <si>
    <r>
      <t xml:space="preserve">Sub-total </t>
    </r>
    <r>
      <rPr>
        <i/>
        <sz val="8"/>
        <rFont val="Arial"/>
        <family val="2"/>
      </rPr>
      <t>[Sum of A.1 (1) to A.1 (10)]</t>
    </r>
  </si>
  <si>
    <t>300000000000711000</t>
  </si>
  <si>
    <t>Deductions from Core Tier 1 Capital</t>
  </si>
  <si>
    <t>Common stock treasury shares (for consolidated basis)</t>
  </si>
  <si>
    <t>365050500000711000</t>
  </si>
  <si>
    <t>Perpetual and non-cumulative preferred stock treasury shares (for consolidated basis)</t>
  </si>
  <si>
    <t>365051000000711000</t>
  </si>
  <si>
    <t>Net unrealized losses on available for sale equity securities purchased</t>
  </si>
  <si>
    <t>365051500000711000</t>
  </si>
  <si>
    <t>Unbooked valuation reserves and other capital adjustments based on the latest ROE as approved by the Monetary Board</t>
  </si>
  <si>
    <t>Total outstanding unsecured credit accommodations, both direct and indirect, to DOSRI, net of allowance for credit losses</t>
  </si>
  <si>
    <t>365052500000711000</t>
  </si>
  <si>
    <t>Total outstanding unsecured loans, other credit accommodations and guarantees granted to subsidiaries and affiliates, net of allowance for credit losses</t>
  </si>
  <si>
    <t>365053000000711000</t>
  </si>
  <si>
    <r>
      <t xml:space="preserve">Deferred tax asset, net of deferred tax liability </t>
    </r>
    <r>
      <rPr>
        <vertAlign val="superscript"/>
        <sz val="8"/>
        <rFont val="Arial"/>
        <family val="2"/>
      </rPr>
      <t>2/</t>
    </r>
  </si>
  <si>
    <t>365053500000711000</t>
  </si>
  <si>
    <r>
      <t xml:space="preserve">Goodwill, net of allowance for losses </t>
    </r>
    <r>
      <rPr>
        <vertAlign val="superscript"/>
        <sz val="8"/>
        <rFont val="Arial"/>
        <family val="2"/>
      </rPr>
      <t>3/</t>
    </r>
    <r>
      <rPr>
        <sz val="8"/>
        <rFont val="Arial"/>
        <family val="2"/>
      </rPr>
      <t xml:space="preserve"> </t>
    </r>
  </si>
  <si>
    <t>365054000000711000</t>
  </si>
  <si>
    <r>
      <t xml:space="preserve">Total Deductions 
</t>
    </r>
    <r>
      <rPr>
        <i/>
        <sz val="8"/>
        <rFont val="Arial"/>
        <family val="2"/>
      </rPr>
      <t>[Sum of A.2 (1) to A.2 (8)]</t>
    </r>
  </si>
  <si>
    <t>365050000000711000</t>
  </si>
  <si>
    <r>
      <t xml:space="preserve">Total Core Tier 1 Capital </t>
    </r>
    <r>
      <rPr>
        <b/>
        <i/>
        <sz val="8"/>
        <rFont val="Arial"/>
        <family val="2"/>
      </rPr>
      <t>[A.1 (11) minus A.2 (9)]</t>
    </r>
  </si>
  <si>
    <t>395000000000711000</t>
  </si>
  <si>
    <t>A.4</t>
  </si>
  <si>
    <t>Hybrid Tier 1 Capital</t>
  </si>
  <si>
    <t>Perpetual preferred stock</t>
  </si>
  <si>
    <t>310030500000000000</t>
  </si>
  <si>
    <t>Perpetual unsecured subordinated debt</t>
  </si>
  <si>
    <t>310031000000000000</t>
  </si>
  <si>
    <r>
      <t xml:space="preserve">Total Hybrid Tier 1 Capital
</t>
    </r>
    <r>
      <rPr>
        <i/>
        <sz val="8"/>
        <rFont val="Arial"/>
        <family val="2"/>
      </rPr>
      <t>[Sum of A.4 (1) and A.4 (2)]</t>
    </r>
  </si>
  <si>
    <t>300000000000712000</t>
  </si>
  <si>
    <r>
      <t xml:space="preserve">Eligible Hybrid Tier 1 Capital
</t>
    </r>
    <r>
      <rPr>
        <i/>
        <sz val="8"/>
        <rFont val="Arial"/>
        <family val="2"/>
      </rPr>
      <t>[limited to 17.65% of Total Core Tier 1 Capital (Item A.3)]</t>
    </r>
  </si>
  <si>
    <t>396000000000712000</t>
  </si>
  <si>
    <t>A.5</t>
  </si>
  <si>
    <r>
      <t xml:space="preserve">Total Tier 1 Capital
</t>
    </r>
    <r>
      <rPr>
        <b/>
        <i/>
        <sz val="8"/>
        <rFont val="Arial"/>
        <family val="2"/>
      </rPr>
      <t>[Sum of A.3 and A.4 (4)]</t>
    </r>
  </si>
  <si>
    <t>300000000000710000</t>
  </si>
  <si>
    <t xml:space="preserve">B.  </t>
  </si>
  <si>
    <t>Tier 2 (Supplementary) Capital</t>
  </si>
  <si>
    <t xml:space="preserve">B.1 </t>
  </si>
  <si>
    <t>Upper Tier 2 Capital</t>
  </si>
  <si>
    <t xml:space="preserve">Paid-up perpetual and cumulative preferred stock </t>
  </si>
  <si>
    <t>305150000000000000</t>
  </si>
  <si>
    <t>Deposit for perpetual and cumulative preferred stock subscription</t>
  </si>
  <si>
    <t>305251500000000000</t>
  </si>
  <si>
    <t>Paid-up limited life redeemable preferred stock with the replacement requirement upon redemption</t>
  </si>
  <si>
    <t>220250500000000000</t>
  </si>
  <si>
    <t>Deposit for limited life redeemable preferred stock subscription with the replacement requirement upon redemption</t>
  </si>
  <si>
    <t>305252000000000000</t>
  </si>
  <si>
    <t>Appraisal increment reserve – bank premises, as authorized by the Monetary Board</t>
  </si>
  <si>
    <t>325050000000000000</t>
  </si>
  <si>
    <t>Net unrealized gains on available for sale equity securities purchased (subject to a 55% discount)</t>
  </si>
  <si>
    <t>320052000500000000</t>
  </si>
  <si>
    <t>General loan loss provision [limited to 1.00% of total credit risk-weighted assets computed per Part I, Item B.1(d)]</t>
  </si>
  <si>
    <t>175151000000000000</t>
  </si>
  <si>
    <t>Unsecured subordinated debt with a minimum original maturity of at least 10 years (subject to a cumulative discount factor of 20% per year during the last 5 years to maturity, i.e., 20% if the remaining life is 4 years to less than 5 years, 40% if the remaining life is 3 years to less than 4 years, etc.)</t>
  </si>
  <si>
    <t>295202001000000000</t>
  </si>
  <si>
    <r>
      <t xml:space="preserve">Hybrid Tier 1 Capital (in excess of the max allowable 15% limit of total Tier 1 capital)
</t>
    </r>
    <r>
      <rPr>
        <i/>
        <sz val="8"/>
        <rFont val="Arial"/>
        <family val="2"/>
      </rPr>
      <t>[A.4 (3) minus A.4 (4)]</t>
    </r>
  </si>
  <si>
    <t>310031500000000000</t>
  </si>
  <si>
    <r>
      <t xml:space="preserve">Sub-total 
</t>
    </r>
    <r>
      <rPr>
        <i/>
        <sz val="8"/>
        <rFont val="Arial"/>
        <family val="2"/>
      </rPr>
      <t>[Sum of B.1 (1) to B.1 (9)]</t>
    </r>
  </si>
  <si>
    <t>300000000000721000</t>
  </si>
  <si>
    <t>Deductions from Upper Tier 2</t>
  </si>
  <si>
    <t>Perpetual and cumulative preferred stock treasury shares (for consolidated basis)</t>
  </si>
  <si>
    <t>365100500000721000</t>
  </si>
  <si>
    <t>Limited life redeemable preferred stock treasury shares with the replacement requirement upon redemption (for consolidated basis)</t>
  </si>
  <si>
    <t>365101000000721000</t>
  </si>
  <si>
    <t xml:space="preserve">Sinking fund for redemption of limited life redeemable preferred stock with the replacement requirement upon redemption </t>
  </si>
  <si>
    <t>365101500000721000</t>
  </si>
  <si>
    <t>Net losses in fair value adjustment of hedging instruments in a cash flow hedge of available for sale equity securities</t>
  </si>
  <si>
    <t>365102000000721000</t>
  </si>
  <si>
    <r>
      <t xml:space="preserve">Total Deductions </t>
    </r>
    <r>
      <rPr>
        <i/>
        <sz val="8"/>
        <rFont val="Arial"/>
        <family val="2"/>
      </rPr>
      <t>[Sum of B.2 (1) to B.2 (4)]</t>
    </r>
  </si>
  <si>
    <t>365100000000721000</t>
  </si>
  <si>
    <r>
      <t xml:space="preserve">Total Upper Tier 2 Capital </t>
    </r>
    <r>
      <rPr>
        <b/>
        <i/>
        <sz val="8"/>
        <rFont val="Arial"/>
        <family val="2"/>
      </rPr>
      <t>[B.1 (10) minus B.2 (5)]</t>
    </r>
  </si>
  <si>
    <t>395000000000721000</t>
  </si>
  <si>
    <t>Lower Tier 2 Capital</t>
  </si>
  <si>
    <t>Paid-up limited life redeemable preferred stock without the replacement requirement upon redemption (subject to a cumulative discount factor of 20% per year during the last 5 years to maturity, i.e., 20% if the remaining life is 4 years to less than 5 years, 40% if the remaining life is 3 years to less than 4 years, etc.)</t>
  </si>
  <si>
    <t>220251000000000000</t>
  </si>
  <si>
    <t>Deposit for limited life redeemable preferred stock subscription without the replacement requirement upon redemption</t>
  </si>
  <si>
    <t>305252500000000000</t>
  </si>
  <si>
    <t>Unsecured subordinated debt with a minimum original maturity of at least 5 years (subject to a cumulative discount factor of 20% per year during the last 5 years to maturity, i.e., 20% if the remaining life is 4 years to less than 5 years, 40% if the remaining life is 3 years to less than 4 years, etc.)</t>
  </si>
  <si>
    <t>295202002000000000</t>
  </si>
  <si>
    <r>
      <t xml:space="preserve">Sub-total </t>
    </r>
    <r>
      <rPr>
        <i/>
        <sz val="8"/>
        <rFont val="Arial"/>
        <family val="2"/>
      </rPr>
      <t>[Sum of B.4 (1) to B.4 (3)]</t>
    </r>
  </si>
  <si>
    <t>300000000000722000</t>
  </si>
  <si>
    <t>B.5</t>
  </si>
  <si>
    <t>Deductions from Lower Tier 2</t>
  </si>
  <si>
    <t>Limited life redeemable preferred stock treasury shares without the replacement requirement upon redemption (for consolidated basis)</t>
  </si>
  <si>
    <t>365150500000722000</t>
  </si>
  <si>
    <t>Sinking fund for redemption of limited life redeemable preferred stock without the replacement requirement upon redemption (limited to the balance of redeemable preferred stock after applying the cumulative discount factor)</t>
  </si>
  <si>
    <t>365151000000722000</t>
  </si>
  <si>
    <r>
      <t xml:space="preserve">Total Deductions
</t>
    </r>
    <r>
      <rPr>
        <i/>
        <sz val="8"/>
        <rFont val="Arial"/>
        <family val="2"/>
      </rPr>
      <t>[Sum of B.5 (1) and B.5 (2)]</t>
    </r>
  </si>
  <si>
    <t>365150000000722000</t>
  </si>
  <si>
    <t>B.6</t>
  </si>
  <si>
    <r>
      <t xml:space="preserve">Total Lower Tier 2 Capital </t>
    </r>
    <r>
      <rPr>
        <i/>
        <sz val="8"/>
        <rFont val="Arial"/>
        <family val="2"/>
      </rPr>
      <t>[B.4 (4) minus B.5 (3)]</t>
    </r>
    <r>
      <rPr>
        <b/>
        <sz val="8"/>
        <rFont val="Arial"/>
        <family val="2"/>
      </rPr>
      <t xml:space="preserve">
</t>
    </r>
  </si>
  <si>
    <t>395000000000722000</t>
  </si>
  <si>
    <t>B.7</t>
  </si>
  <si>
    <r>
      <t xml:space="preserve">Eligible Amount of Lower Tier 2 Capital </t>
    </r>
    <r>
      <rPr>
        <i/>
        <sz val="8"/>
        <rFont val="Arial"/>
        <family val="2"/>
      </rPr>
      <t>(limited to 50% of total Tier 1 capital per Item A.5)</t>
    </r>
  </si>
  <si>
    <t>396000000000722000</t>
  </si>
  <si>
    <t>B.8</t>
  </si>
  <si>
    <r>
      <t xml:space="preserve">Total Tier 2 Capital </t>
    </r>
    <r>
      <rPr>
        <i/>
        <sz val="8"/>
        <rFont val="Arial"/>
        <family val="2"/>
      </rPr>
      <t>[Sum of B.3 and B.7]</t>
    </r>
  </si>
  <si>
    <t>300000000000720000</t>
  </si>
  <si>
    <t>B.9</t>
  </si>
  <si>
    <r>
      <t xml:space="preserve">Eligible Amount of Tier 2 Capital </t>
    </r>
    <r>
      <rPr>
        <i/>
        <sz val="8"/>
        <rFont val="Arial"/>
        <family val="2"/>
      </rPr>
      <t>(limited to 100% of total Tier 1 capital per Item A.5)</t>
    </r>
  </si>
  <si>
    <t>396000000000720000</t>
  </si>
  <si>
    <t xml:space="preserve">C.  </t>
  </si>
  <si>
    <r>
      <t xml:space="preserve">Gross Qualifying Capital
</t>
    </r>
    <r>
      <rPr>
        <i/>
        <sz val="8"/>
        <rFont val="Arial"/>
        <family val="2"/>
      </rPr>
      <t>(Sum of A.5 and B.9)</t>
    </r>
  </si>
  <si>
    <t>396000000000700000</t>
  </si>
  <si>
    <r>
      <t xml:space="preserve">Total Tier 1 Capital </t>
    </r>
    <r>
      <rPr>
        <i/>
        <sz val="8"/>
        <rFont val="Arial"/>
        <family val="2"/>
      </rPr>
      <t>(Item A.5)</t>
    </r>
  </si>
  <si>
    <t>300000000000710001</t>
  </si>
  <si>
    <r>
      <t xml:space="preserve">Total Tier 2 Capital </t>
    </r>
    <r>
      <rPr>
        <i/>
        <sz val="8"/>
        <rFont val="Arial"/>
        <family val="2"/>
      </rPr>
      <t>(Item B.9)</t>
    </r>
  </si>
  <si>
    <t>396000000000720001</t>
  </si>
  <si>
    <t xml:space="preserve">D.  </t>
  </si>
  <si>
    <t>Deductions from Tier 1 and Tier 2 Capital</t>
  </si>
  <si>
    <t>Investments in equity of unconsolidated subsidiary RBs and VCCs for TBs, and RBs for Coop Banks after deducting related goodwill, if any (for solo basis)</t>
  </si>
  <si>
    <t>365200500000700000</t>
  </si>
  <si>
    <t>Investments in other regulatory capital instruments of unconsolidated subsidiary RBs for Coop Banks (for solo basis)</t>
  </si>
  <si>
    <t>365201000000700000</t>
  </si>
  <si>
    <t>Investments in equity of unconsolidated subsidiary non-financial allied undertakings after deducting related goodwill, if any (for both solo and consolidated bases)</t>
  </si>
  <si>
    <t>365201500000700000</t>
  </si>
  <si>
    <t>Significant minority investments (20%-50% of voting stock) in banks and other financial allied undertakings (for both solo and consolidated bases)</t>
  </si>
  <si>
    <t>365202000000700000</t>
  </si>
  <si>
    <t>Reciprocal investments in equity/other regulatory capital instruments of other banks/quasi-banks/enterprises</t>
  </si>
  <si>
    <t>365202500000700000</t>
  </si>
  <si>
    <r>
      <t xml:space="preserve">Total Deductions </t>
    </r>
    <r>
      <rPr>
        <i/>
        <sz val="8"/>
        <rFont val="Arial"/>
        <family val="2"/>
      </rPr>
      <t>[Sum of D (1) to D (5)]</t>
    </r>
  </si>
  <si>
    <t>365200000000700000</t>
  </si>
  <si>
    <t>E.</t>
  </si>
  <si>
    <t xml:space="preserve">Net Tier 1 and Tier 2 Capital </t>
  </si>
  <si>
    <t>E.1</t>
  </si>
  <si>
    <r>
      <t xml:space="preserve">Net Tier 1 Capital </t>
    </r>
    <r>
      <rPr>
        <vertAlign val="superscript"/>
        <sz val="8"/>
        <rFont val="Arial"/>
        <family val="2"/>
      </rPr>
      <t>4/</t>
    </r>
    <r>
      <rPr>
        <sz val="8"/>
        <rFont val="Arial"/>
        <family val="2"/>
      </rPr>
      <t xml:space="preserve"> </t>
    </r>
    <r>
      <rPr>
        <i/>
        <sz val="8"/>
        <rFont val="Arial"/>
        <family val="2"/>
      </rPr>
      <t>{C (1) minus [D (6) multiply by 50%]}</t>
    </r>
  </si>
  <si>
    <t>E.2</t>
  </si>
  <si>
    <r>
      <t xml:space="preserve">Net Tier 2 Capital </t>
    </r>
    <r>
      <rPr>
        <vertAlign val="superscript"/>
        <sz val="8"/>
        <rFont val="Arial"/>
        <family val="2"/>
      </rPr>
      <t>4/</t>
    </r>
    <r>
      <rPr>
        <sz val="8"/>
        <rFont val="Arial"/>
        <family val="2"/>
      </rPr>
      <t xml:space="preserve"> </t>
    </r>
    <r>
      <rPr>
        <i/>
        <sz val="8"/>
        <rFont val="Arial"/>
        <family val="2"/>
      </rPr>
      <t>{C (2) minus [D (6) multiply by 50%]}</t>
    </r>
  </si>
  <si>
    <t>F.</t>
  </si>
  <si>
    <r>
      <t>Total Qualifying Capital</t>
    </r>
    <r>
      <rPr>
        <sz val="8"/>
        <rFont val="Arial"/>
        <family val="2"/>
      </rPr>
      <t xml:space="preserve"> </t>
    </r>
    <r>
      <rPr>
        <i/>
        <sz val="8"/>
        <rFont val="Arial"/>
        <family val="2"/>
      </rPr>
      <t>[C minus D (6)]</t>
    </r>
  </si>
  <si>
    <t>1/</t>
  </si>
  <si>
    <t>Provided that a bank shall not use minority interests in the equity accounts of consolidated subsidiaries as an avenue for introducing into its capital structure elements that might not otherwise qualify as Tier 1 capital or that would, in effect, result in an excessive reliance on preferred stock within Tier 1.</t>
  </si>
  <si>
    <t>2/</t>
  </si>
  <si>
    <t>Provided that the conditions to offset under PAS 12 are met and that any excess of deferred tax liability over deferred tax assets (i.e., net deferred tax liability) shall not be added to Tier 1 capital.</t>
  </si>
  <si>
    <t>3/</t>
  </si>
  <si>
    <t>This shall include those relating to unconsolidated subsidiary RBs and VCCs for TBs, and RBs for Coop Banks (on solo basis) and unconsolidated non-financial allied undertakings (on solo and consolidated bases).</t>
  </si>
  <si>
    <t>4/</t>
  </si>
  <si>
    <t>The amount to be deducted from Tier 2 capital shall be limited to its balance and any excess thereof shall be deducted from Tier 1 capital.</t>
  </si>
  <si>
    <r>
      <t xml:space="preserve">PART III.1.   RISK-WEIGHTED ON-BALANCE SHEET ASSETS </t>
    </r>
    <r>
      <rPr>
        <sz val="8"/>
        <rFont val="Arial"/>
        <family val="2"/>
      </rPr>
      <t xml:space="preserve">(Amounts in </t>
    </r>
    <r>
      <rPr>
        <strike/>
        <sz val="8"/>
        <rFont val="Arial"/>
        <family val="2"/>
      </rPr>
      <t>P</t>
    </r>
    <r>
      <rPr>
        <sz val="8"/>
        <rFont val="Arial"/>
        <family val="2"/>
      </rPr>
      <t>0.000 million)</t>
    </r>
  </si>
  <si>
    <t xml:space="preserve">Item            </t>
  </si>
  <si>
    <r>
      <t xml:space="preserve">Net Carrying Amount </t>
    </r>
    <r>
      <rPr>
        <vertAlign val="superscript"/>
        <sz val="8"/>
        <rFont val="Arial"/>
        <family val="2"/>
      </rPr>
      <t>1/</t>
    </r>
  </si>
  <si>
    <t>Risk    Weight         (in %)</t>
  </si>
  <si>
    <t>Risk Weighted Amount</t>
  </si>
  <si>
    <t>(1)</t>
  </si>
  <si>
    <t>(2)</t>
  </si>
  <si>
    <t>(3) = (1) * (2)</t>
  </si>
  <si>
    <t xml:space="preserve">   A.    </t>
  </si>
  <si>
    <t>0% Risk Weight –</t>
  </si>
  <si>
    <t>Cash on hand (including foreign currency notes and coins on hand acceptable as international reserves)</t>
  </si>
  <si>
    <t>105050000000000000</t>
  </si>
  <si>
    <t>Peso denominated claims on or portions of claims guaranteed by or collateralized by peso-denominated securities issued by the Philippine National Government and the BSP</t>
  </si>
  <si>
    <t>Due from BSP</t>
  </si>
  <si>
    <t>105150000500000000</t>
  </si>
  <si>
    <t>Financial assets designated at fair value through profit or loss</t>
  </si>
  <si>
    <t>115001000500000000</t>
  </si>
  <si>
    <t>Available for sale financial assets</t>
  </si>
  <si>
    <t>195201000500000000</t>
  </si>
  <si>
    <t>Held-to-maturity financial assets</t>
  </si>
  <si>
    <t>195251000500000000</t>
  </si>
  <si>
    <t>Unquoted debt securities classified as loans</t>
  </si>
  <si>
    <t>195301000500000000</t>
  </si>
  <si>
    <t xml:space="preserve">Loans and receivables  </t>
  </si>
  <si>
    <t>195401200500000000</t>
  </si>
  <si>
    <t>Loans and receivables arising from repurchase agreements, certificates of assignment/participation with recourse, and securities lending and borrowing transactions</t>
  </si>
  <si>
    <t>195402000500000000</t>
  </si>
  <si>
    <t>Others</t>
  </si>
  <si>
    <t>199000000000000000</t>
  </si>
  <si>
    <t>(3)</t>
  </si>
  <si>
    <t>Claims on or portions of claims guaranteed by or collateralized by securities issued by central governments and central banks of foreign countries with the highest credit quality</t>
  </si>
  <si>
    <t>108100500000000000</t>
  </si>
  <si>
    <t>(4)</t>
  </si>
  <si>
    <t>Claims on or portions of claims guaranteed by or collateralized by securities issued by multilateral development banks with the highest credit quality</t>
  </si>
  <si>
    <t>108101000000000000</t>
  </si>
  <si>
    <t>(5)</t>
  </si>
  <si>
    <t>Loans to the extent covered by hold-out on, or assignment of, deposits/deposit substitutes maintained with the lending bank</t>
  </si>
  <si>
    <t>140150507500600000</t>
  </si>
  <si>
    <t>(6)</t>
  </si>
  <si>
    <t>Loans or acceptances under letters of credit (LCs) to the extent covered by margin deposits</t>
  </si>
  <si>
    <t>140150508000600000</t>
  </si>
  <si>
    <t>(7)</t>
  </si>
  <si>
    <t>Peso denominated special time deposit loans to the extent guaranteed by Industrial Guarantee and Loan Fund (IGLF)</t>
  </si>
  <si>
    <t>140150508500600000</t>
  </si>
  <si>
    <t>(8)</t>
  </si>
  <si>
    <t>Peso denominated real estate mortgage loans to the extent guaranteed by the Home Guaranty Corporation (HGC)</t>
  </si>
  <si>
    <t>140150510500600000</t>
  </si>
  <si>
    <t>(9)</t>
  </si>
  <si>
    <t>Peso denominated loans to the extent guaranteed by the Trade and Investment Development Corporation of the Philippines (TIDCORP)</t>
  </si>
  <si>
    <t>140150509500600000</t>
  </si>
  <si>
    <t>(10)</t>
  </si>
  <si>
    <r>
      <t xml:space="preserve">Sub-total 
</t>
    </r>
    <r>
      <rPr>
        <i/>
        <sz val="8"/>
        <rFont val="Arial"/>
        <family val="2"/>
      </rPr>
      <t>[Sum of A (1) to A (9)]</t>
    </r>
  </si>
  <si>
    <t>100000000000811100</t>
  </si>
  <si>
    <t xml:space="preserve">   B.    </t>
  </si>
  <si>
    <t>20% Risk Weight -</t>
  </si>
  <si>
    <t>Checks and other cash items (including foreign currency checks and other cash items denominated in currencies acceptable as international reserves)</t>
  </si>
  <si>
    <t>105100000000000000</t>
  </si>
  <si>
    <t xml:space="preserve">Claims on or portions of claims guaranteed by or collateralized by securities issued by local government units (LGUs) with the highest credit quality </t>
  </si>
  <si>
    <t>108101500000000000</t>
  </si>
  <si>
    <t xml:space="preserve">Claims on or portions of claims guaranteed by or collateralized by securities issued by non-central government public sector entities of foreign countries with the highest credit quality </t>
  </si>
  <si>
    <t>108102000000000000</t>
  </si>
  <si>
    <t xml:space="preserve">Claims on or portions of claims guaranteed by Philippine incorporated banks/quasi-banks with the highest credit quality </t>
  </si>
  <si>
    <t>108102500000000000</t>
  </si>
  <si>
    <t>EAST WEST RURAL BANK INC</t>
  </si>
  <si>
    <t>PALM TREE BANK INC (A RURAL BANK)</t>
  </si>
  <si>
    <t>MARAYO BANK INC (A RURAL BANK)</t>
  </si>
  <si>
    <t>1ST VALLEY BANK INC A DEVT BANK</t>
  </si>
  <si>
    <t>_</t>
  </si>
  <si>
    <t>LIFEBANK- A RURAL BANK</t>
  </si>
  <si>
    <t>BANGKO NOVELETA INC A RURAL BANK</t>
  </si>
  <si>
    <t>TONGYANG SAVINGS BANK INC</t>
  </si>
  <si>
    <t>MBANK PHILIPPINES (A TB) INC</t>
  </si>
  <si>
    <t>Foreign currency denominated claims on or portions of claims guaranteed by or collateralized by foreign currency denominated securities issued by the Philippine National Government &amp; the BSP.</t>
  </si>
  <si>
    <t>Sub-total [Sum of C(1) to C(2)]</t>
  </si>
  <si>
    <t>100000000000811300</t>
  </si>
  <si>
    <t>TOTAL RISK-WEIGHTED ON-BALANCE SHEET ASSETS [Sum of A(10), B(10), C(3), D(1), E(1), F(1), F(2) and G(3) ]</t>
  </si>
  <si>
    <t>Total Exposures excluding Other Assets [Sum of A(10), B(10), C(3), D(1), E(1), F(1) and F(2)]</t>
  </si>
  <si>
    <r>
      <t>General Loan Loss Provision (in excess of the amount permitted to be included in upper Tier 2 capital) 
[</t>
    </r>
    <r>
      <rPr>
        <i/>
        <sz val="8"/>
        <rFont val="Arial"/>
        <family val="2"/>
      </rPr>
      <t>Part III.1, Item G.(1)(b) minus Part II, Item B.1 (7)</t>
    </r>
    <r>
      <rPr>
        <sz val="8"/>
        <rFont val="Arial"/>
        <family val="2"/>
      </rPr>
      <t>]</t>
    </r>
  </si>
  <si>
    <t>Revised February 2015</t>
  </si>
  <si>
    <t>NEW RURAL BANK OF SAN LEONARDO, 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</si>
</sst>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44" formatCode="_(&quot;$&quot;* #,##0.00_);_(&quot;$&quot;* \(#,##0.00\);_(&quot;$&quot;* &quot;-&quot;??_);_(@_)"/>
    <numFmt numFmtId="43" formatCode="_(* #,##0.00_);_(* \(#,##0.00\);_(* &quot;-&quot;??_);_(@_)"/>
    <numFmt numFmtId="170" formatCode="000000"/>
    <numFmt numFmtId="171" formatCode="[$-409]mmmm\ d\,\ yyyy;@"/>
    <numFmt numFmtId="172" formatCode="#,##0;\(#,##0\)"/>
    <numFmt numFmtId="173" formatCode="#,##0.000;[Red]\(#,##0.000\)"/>
    <numFmt numFmtId="174" formatCode="0.000_);[Red]\(0.000\)"/>
    <numFmt numFmtId="175" formatCode="0_);\(0\)"/>
    <numFmt numFmtId="176" formatCode="\(0\)"/>
    <numFmt numFmtId="177" formatCode="_(* #,##0.000_);_(* \(#,##0.000\);_(* &quot;-&quot;??_);_(@_)"/>
    <numFmt numFmtId="179" formatCode="0.000_);\(0.000\)"/>
    <numFmt numFmtId="180" formatCode="[$-409]d\-mmm\-yy;@"/>
  </numFmts>
  <fonts count="39" x14ac:knownFonts="1">
    <font>
      <sz val="11"/>
      <color theme="1"/>
      <name val="Calibri"/>
      <family val="2"/>
      <scheme val="minor"/>
    </font>
    <font>
      <sz val="11"/>
      <color indexed="8"/>
      <name val="Calibri"/>
      <family val="2"/>
    </font>
    <font>
      <sz val="10"/>
      <name val="Times New Roman"/>
      <family val="1"/>
    </font>
    <font>
      <sz val="10"/>
      <name val="Arial"/>
      <family val="2"/>
    </font>
    <font>
      <sz val="9"/>
      <name val="Arial"/>
      <family val="2"/>
    </font>
    <font>
      <sz val="9"/>
      <color indexed="12"/>
      <name val="Arial"/>
      <family val="2"/>
    </font>
    <font>
      <sz val="8"/>
      <name val="Arial"/>
      <family val="2"/>
    </font>
    <font>
      <sz val="11"/>
      <name val="Franklin Gothic Demi"/>
      <family val="2"/>
    </font>
    <font>
      <sz val="10"/>
      <color indexed="10"/>
      <name val="Arial"/>
      <family val="2"/>
    </font>
    <font>
      <u/>
      <sz val="10"/>
      <color indexed="12"/>
      <name val="Times New Roman"/>
      <family val="1"/>
    </font>
    <font>
      <u/>
      <sz val="9"/>
      <name val="Arial"/>
      <family val="2"/>
    </font>
    <font>
      <sz val="8"/>
      <color indexed="10"/>
      <name val="Arial"/>
      <family val="2"/>
    </font>
    <font>
      <b/>
      <sz val="9"/>
      <name val="Arial"/>
      <family val="2"/>
    </font>
    <font>
      <sz val="9"/>
      <name val="Arial Narrow"/>
      <family val="2"/>
    </font>
    <font>
      <u/>
      <sz val="10"/>
      <name val="Arial"/>
      <family val="2"/>
    </font>
    <font>
      <sz val="12"/>
      <name val="Times New Roman"/>
      <family val="1"/>
    </font>
    <font>
      <sz val="9"/>
      <name val="Calibri"/>
      <family val="2"/>
    </font>
    <font>
      <b/>
      <sz val="8"/>
      <name val="Arial"/>
      <family val="2"/>
    </font>
    <font>
      <strike/>
      <sz val="8"/>
      <name val="Arial"/>
      <family val="2"/>
    </font>
    <font>
      <sz val="8"/>
      <color indexed="12"/>
      <name val="Arial"/>
      <family val="2"/>
    </font>
    <font>
      <i/>
      <sz val="8"/>
      <name val="Arial"/>
      <family val="2"/>
    </font>
    <font>
      <b/>
      <i/>
      <sz val="8"/>
      <name val="Arial"/>
      <family val="2"/>
    </font>
    <font>
      <b/>
      <sz val="8"/>
      <color indexed="12"/>
      <name val="Arial"/>
      <family val="2"/>
    </font>
    <font>
      <sz val="8"/>
      <color indexed="9"/>
      <name val="Arial"/>
      <family val="2"/>
    </font>
    <font>
      <sz val="8"/>
      <name val="Calibri"/>
      <family val="2"/>
    </font>
    <font>
      <strike/>
      <sz val="9"/>
      <name val="Calibri"/>
      <family val="2"/>
    </font>
    <font>
      <b/>
      <sz val="8"/>
      <name val="Calibri"/>
      <family val="2"/>
    </font>
    <font>
      <b/>
      <sz val="10"/>
      <color indexed="10"/>
      <name val="Arial"/>
      <family val="2"/>
    </font>
    <font>
      <sz val="8"/>
      <color indexed="8"/>
      <name val="Arial"/>
      <family val="2"/>
    </font>
    <font>
      <vertAlign val="superscript"/>
      <sz val="8"/>
      <name val="Arial"/>
      <family val="2"/>
    </font>
    <font>
      <sz val="8"/>
      <color indexed="22"/>
      <name val="Arial"/>
      <family val="2"/>
    </font>
    <font>
      <sz val="8"/>
      <color indexed="62"/>
      <name val="Arial"/>
      <family val="2"/>
    </font>
    <font>
      <sz val="10"/>
      <name val="Calibri"/>
      <family val="2"/>
    </font>
    <font>
      <u/>
      <vertAlign val="superscript"/>
      <sz val="10"/>
      <color indexed="10"/>
      <name val="Arial"/>
      <family val="2"/>
    </font>
    <font>
      <i/>
      <vertAlign val="superscript"/>
      <sz val="8"/>
      <name val="Arial"/>
      <family val="2"/>
    </font>
    <font>
      <sz val="8"/>
      <color indexed="12"/>
      <name val="Arial Narrow"/>
      <family val="2"/>
    </font>
    <font>
      <sz val="10"/>
      <name val="Times New Roman"/>
      <family val="1"/>
    </font>
    <font>
      <sz val="8"/>
      <color indexed="12"/>
      <name val="Calibri"/>
      <family val="2"/>
    </font>
    <font>
      <sz val="11"/>
      <color indexed="8"/>
      <name val="Calibri"/>
      <family val="2"/>
    </font>
  </fonts>
  <fills count="7">
    <fill>
      <patternFill patternType="none"/>
    </fill>
    <fill>
      <patternFill patternType="gray125"/>
    </fill>
    <fill>
      <patternFill patternType="solid">
        <fgColor indexed="55"/>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rgb="FF0000FF"/>
        <bgColor indexed="64"/>
      </patternFill>
    </fill>
  </fills>
  <borders count="2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top style="thin">
        <color indexed="64"/>
      </top>
      <bottom style="medium">
        <color indexed="64"/>
      </bottom>
      <diagonal/>
    </border>
    <border>
      <left style="thin">
        <color indexed="64"/>
      </left>
      <right style="thin">
        <color indexed="64"/>
      </right>
      <top/>
      <bottom/>
      <diagonal/>
    </border>
  </borders>
  <cellStyleXfs count="16">
    <xf numFmtId="0" fontId="0" fillId="0" borderId="0"/>
    <xf numFmtId="43" fontId="38" fillId="0" borderId="0" applyFont="0" applyFill="0" applyBorder="0" applyAlignment="0" applyProtection="0"/>
    <xf numFmtId="43" fontId="2" fillId="0" borderId="0" applyFont="0" applyFill="0" applyBorder="0" applyAlignment="0" applyProtection="0"/>
    <xf numFmtId="43" fontId="36" fillId="0" borderId="0" applyFont="0" applyFill="0" applyBorder="0" applyAlignment="0" applyProtection="0"/>
    <xf numFmtId="44" fontId="2" fillId="0" borderId="0" applyFont="0" applyFill="0" applyBorder="0" applyAlignment="0" applyProtection="0"/>
    <xf numFmtId="0" fontId="9" fillId="0" borderId="0" applyNumberFormat="0" applyFill="0" applyBorder="0" applyAlignment="0" applyProtection="0">
      <alignment vertical="top"/>
      <protection locked="0"/>
    </xf>
    <xf numFmtId="0" fontId="36" fillId="0" borderId="0"/>
    <xf numFmtId="0" fontId="1" fillId="0" borderId="0"/>
    <xf numFmtId="0" fontId="2" fillId="0" borderId="0"/>
    <xf numFmtId="0" fontId="1" fillId="0" borderId="0"/>
    <xf numFmtId="0" fontId="2" fillId="0" borderId="0"/>
    <xf numFmtId="0" fontId="3" fillId="0" borderId="0"/>
    <xf numFmtId="170" fontId="15" fillId="0" borderId="0"/>
    <xf numFmtId="9" fontId="38" fillId="0" borderId="0" applyFont="0" applyFill="0" applyBorder="0" applyAlignment="0" applyProtection="0"/>
    <xf numFmtId="9" fontId="2" fillId="0" borderId="0" applyFont="0" applyFill="0" applyBorder="0" applyAlignment="0" applyProtection="0"/>
    <xf numFmtId="9" fontId="36" fillId="0" borderId="0" applyFont="0" applyFill="0" applyBorder="0" applyAlignment="0" applyProtection="0"/>
  </cellStyleXfs>
  <cellXfs count="481">
    <xf numFmtId="0" fontId="0" fillId="0" borderId="0" xfId="0"/>
    <xf numFmtId="0" fontId="3" fillId="0" borderId="0" xfId="10" applyFont="1" applyAlignment="1" applyProtection="1">
      <alignment horizontal="left"/>
    </xf>
    <xf numFmtId="0" fontId="3" fillId="0" borderId="0" xfId="10" applyFont="1" applyAlignment="1" applyProtection="1">
      <alignment horizontal="left" vertical="center"/>
    </xf>
    <xf numFmtId="0" fontId="4" fillId="0" borderId="0" xfId="0" applyFont="1" applyAlignment="1">
      <alignment horizontal="left"/>
    </xf>
    <xf numFmtId="0" fontId="5" fillId="0" borderId="0" xfId="0" applyFont="1" applyAlignment="1">
      <alignment horizontal="left"/>
    </xf>
    <xf numFmtId="0" fontId="6" fillId="0" borderId="0" xfId="10" applyFont="1" applyAlignment="1" applyProtection="1">
      <alignment horizontal="left" vertical="center"/>
    </xf>
    <xf numFmtId="0" fontId="4" fillId="0" borderId="0" xfId="10" applyFont="1" applyAlignment="1" applyProtection="1">
      <alignment horizontal="left" vertical="center"/>
    </xf>
    <xf numFmtId="0" fontId="6" fillId="0" borderId="0" xfId="10" applyFont="1" applyAlignment="1" applyProtection="1">
      <alignment horizontal="right" vertical="center"/>
    </xf>
    <xf numFmtId="0" fontId="8" fillId="0" borderId="0" xfId="10" applyFont="1" applyAlignment="1" applyProtection="1">
      <alignment horizontal="left" vertical="center"/>
    </xf>
    <xf numFmtId="0" fontId="10" fillId="0" borderId="0" xfId="5" applyFont="1" applyAlignment="1" applyProtection="1">
      <alignment horizontal="left"/>
    </xf>
    <xf numFmtId="0" fontId="11" fillId="0" borderId="0" xfId="10" applyFont="1" applyAlignment="1" applyProtection="1">
      <alignment horizontal="left" vertical="center"/>
    </xf>
    <xf numFmtId="0" fontId="3" fillId="0" borderId="1" xfId="10" applyFont="1" applyBorder="1" applyAlignment="1" applyProtection="1">
      <alignment horizontal="left" vertical="center"/>
    </xf>
    <xf numFmtId="0" fontId="3" fillId="0" borderId="2" xfId="10" applyFont="1" applyBorder="1" applyAlignment="1" applyProtection="1">
      <alignment horizontal="left" vertical="center"/>
    </xf>
    <xf numFmtId="0" fontId="4" fillId="0" borderId="2" xfId="10" applyFont="1" applyBorder="1" applyAlignment="1" applyProtection="1">
      <alignment vertical="center" wrapText="1"/>
    </xf>
    <xf numFmtId="0" fontId="3" fillId="0" borderId="3" xfId="10" applyFont="1" applyBorder="1" applyAlignment="1" applyProtection="1">
      <alignment horizontal="left" vertical="center"/>
    </xf>
    <xf numFmtId="0" fontId="3" fillId="0" borderId="4" xfId="10" applyFont="1" applyBorder="1" applyAlignment="1" applyProtection="1">
      <alignment horizontal="left" vertical="center"/>
    </xf>
    <xf numFmtId="0" fontId="3" fillId="0" borderId="0" xfId="10" applyFont="1" applyBorder="1" applyAlignment="1" applyProtection="1">
      <alignment horizontal="left" vertical="center"/>
    </xf>
    <xf numFmtId="0" fontId="3" fillId="0" borderId="5" xfId="10" applyFont="1" applyBorder="1" applyAlignment="1" applyProtection="1">
      <alignment horizontal="left" vertical="center"/>
    </xf>
    <xf numFmtId="0" fontId="4" fillId="0" borderId="0" xfId="10" applyFont="1" applyBorder="1" applyAlignment="1" applyProtection="1">
      <alignment vertical="center" wrapText="1"/>
    </xf>
    <xf numFmtId="0" fontId="3" fillId="0" borderId="6" xfId="10" applyFont="1" applyBorder="1" applyAlignment="1" applyProtection="1">
      <alignment horizontal="left" vertical="center"/>
    </xf>
    <xf numFmtId="0" fontId="3" fillId="0" borderId="7" xfId="10" applyFont="1" applyBorder="1" applyAlignment="1" applyProtection="1">
      <alignment horizontal="left" vertical="center"/>
    </xf>
    <xf numFmtId="0" fontId="4" fillId="0" borderId="7" xfId="10" applyFont="1" applyBorder="1" applyAlignment="1" applyProtection="1">
      <alignment vertical="center" wrapText="1"/>
    </xf>
    <xf numFmtId="0" fontId="3" fillId="0" borderId="8" xfId="10" applyFont="1" applyBorder="1" applyAlignment="1" applyProtection="1">
      <alignment horizontal="left" vertical="center"/>
    </xf>
    <xf numFmtId="0" fontId="4" fillId="0" borderId="0" xfId="10" applyFont="1" applyAlignment="1" applyProtection="1">
      <alignment horizontal="center" vertical="center"/>
    </xf>
    <xf numFmtId="0" fontId="4" fillId="0" borderId="0" xfId="10" applyFont="1" applyBorder="1" applyAlignment="1" applyProtection="1">
      <alignment vertical="center"/>
    </xf>
    <xf numFmtId="0" fontId="4" fillId="0" borderId="2" xfId="10" applyFont="1" applyBorder="1" applyAlignment="1" applyProtection="1">
      <alignment horizontal="center" vertical="center" wrapText="1"/>
    </xf>
    <xf numFmtId="0" fontId="3" fillId="0" borderId="0" xfId="10" applyFont="1" applyAlignment="1" applyProtection="1">
      <alignment vertical="center"/>
    </xf>
    <xf numFmtId="0" fontId="4" fillId="0" borderId="0" xfId="10" applyFont="1" applyAlignment="1" applyProtection="1">
      <alignment vertical="center"/>
    </xf>
    <xf numFmtId="0" fontId="3" fillId="0" borderId="0" xfId="10" applyFont="1" applyAlignment="1" applyProtection="1">
      <alignment horizontal="right" vertical="center"/>
    </xf>
    <xf numFmtId="0" fontId="3" fillId="0" borderId="0" xfId="10" applyFont="1" applyBorder="1" applyAlignment="1" applyProtection="1">
      <alignment vertical="center"/>
    </xf>
    <xf numFmtId="0" fontId="4" fillId="0" borderId="0" xfId="10" applyFont="1" applyBorder="1" applyAlignment="1" applyProtection="1">
      <alignment horizontal="left" vertical="center"/>
    </xf>
    <xf numFmtId="0" fontId="3" fillId="0" borderId="9" xfId="10" applyFont="1" applyBorder="1" applyAlignment="1" applyProtection="1">
      <alignment horizontal="right" vertical="center"/>
    </xf>
    <xf numFmtId="172" fontId="6" fillId="0" borderId="0" xfId="12" applyNumberFormat="1" applyFont="1" applyProtection="1"/>
    <xf numFmtId="172" fontId="6" fillId="0" borderId="0" xfId="12" applyNumberFormat="1" applyFont="1" applyAlignment="1" applyProtection="1">
      <alignment horizontal="right"/>
    </xf>
    <xf numFmtId="173" fontId="6" fillId="0" borderId="0" xfId="1" applyNumberFormat="1" applyFont="1" applyProtection="1"/>
    <xf numFmtId="172" fontId="16" fillId="0" borderId="0" xfId="12" applyNumberFormat="1" applyFont="1" applyProtection="1"/>
    <xf numFmtId="172" fontId="17" fillId="0" borderId="0" xfId="12" applyNumberFormat="1" applyFont="1" applyAlignment="1" applyProtection="1">
      <alignment vertical="center"/>
    </xf>
    <xf numFmtId="172" fontId="6" fillId="0" borderId="0" xfId="12" applyNumberFormat="1" applyFont="1" applyAlignment="1" applyProtection="1">
      <alignment vertical="center"/>
    </xf>
    <xf numFmtId="172" fontId="6" fillId="0" borderId="0" xfId="12" applyNumberFormat="1" applyFont="1" applyAlignment="1" applyProtection="1">
      <alignment horizontal="right" vertical="center"/>
    </xf>
    <xf numFmtId="173" fontId="6" fillId="0" borderId="0" xfId="1" applyNumberFormat="1" applyFont="1" applyAlignment="1" applyProtection="1">
      <alignment vertical="center"/>
    </xf>
    <xf numFmtId="172" fontId="16" fillId="0" borderId="0" xfId="12" applyNumberFormat="1" applyFont="1" applyAlignment="1" applyProtection="1">
      <alignment vertical="center"/>
    </xf>
    <xf numFmtId="172" fontId="6" fillId="2" borderId="10" xfId="12" applyNumberFormat="1" applyFont="1" applyFill="1" applyBorder="1" applyAlignment="1" applyProtection="1">
      <alignment horizontal="center" vertical="center"/>
    </xf>
    <xf numFmtId="172" fontId="6" fillId="2" borderId="11" xfId="12" applyNumberFormat="1" applyFont="1" applyFill="1" applyBorder="1" applyAlignment="1" applyProtection="1">
      <alignment horizontal="center" vertical="center"/>
    </xf>
    <xf numFmtId="172" fontId="6" fillId="2" borderId="12" xfId="12" applyNumberFormat="1" applyFont="1" applyFill="1" applyBorder="1" applyAlignment="1" applyProtection="1">
      <alignment horizontal="center" vertical="center"/>
    </xf>
    <xf numFmtId="172" fontId="17" fillId="0" borderId="13" xfId="12" applyNumberFormat="1" applyFont="1" applyBorder="1" applyAlignment="1" applyProtection="1">
      <alignment vertical="top"/>
    </xf>
    <xf numFmtId="172" fontId="17" fillId="0" borderId="14" xfId="12" applyNumberFormat="1" applyFont="1" applyBorder="1" applyAlignment="1" applyProtection="1">
      <alignment vertical="top"/>
    </xf>
    <xf numFmtId="172" fontId="6" fillId="0" borderId="10" xfId="12" applyNumberFormat="1" applyFont="1" applyBorder="1" applyAlignment="1" applyProtection="1">
      <alignment horizontal="right" vertical="top"/>
    </xf>
    <xf numFmtId="172" fontId="6" fillId="0" borderId="14" xfId="12" applyNumberFormat="1" applyFont="1" applyBorder="1" applyAlignment="1" applyProtection="1">
      <alignment vertical="top"/>
    </xf>
    <xf numFmtId="173" fontId="6" fillId="3" borderId="13" xfId="1" applyNumberFormat="1" applyFont="1" applyFill="1" applyBorder="1" applyAlignment="1" applyProtection="1">
      <alignment vertical="top"/>
    </xf>
    <xf numFmtId="173" fontId="6" fillId="3" borderId="15" xfId="1" applyNumberFormat="1" applyFont="1" applyFill="1" applyBorder="1" applyAlignment="1" applyProtection="1">
      <alignment vertical="top"/>
    </xf>
    <xf numFmtId="172" fontId="16" fillId="0" borderId="0" xfId="12" applyNumberFormat="1" applyFont="1" applyAlignment="1" applyProtection="1">
      <alignment vertical="top"/>
    </xf>
    <xf numFmtId="172" fontId="6" fillId="0" borderId="10" xfId="12" applyNumberFormat="1" applyFont="1" applyBorder="1" applyAlignment="1" applyProtection="1">
      <alignment horizontal="center" vertical="top"/>
    </xf>
    <xf numFmtId="172" fontId="6" fillId="0" borderId="16" xfId="12" applyNumberFormat="1" applyFont="1" applyBorder="1" applyAlignment="1" applyProtection="1">
      <alignment vertical="top"/>
    </xf>
    <xf numFmtId="172" fontId="6" fillId="0" borderId="17" xfId="12" applyNumberFormat="1" applyFont="1" applyBorder="1" applyAlignment="1" applyProtection="1">
      <alignment vertical="top"/>
    </xf>
    <xf numFmtId="172" fontId="6" fillId="0" borderId="10" xfId="12" quotePrefix="1" applyNumberFormat="1" applyFont="1" applyBorder="1" applyAlignment="1" applyProtection="1">
      <alignment horizontal="right" vertical="top"/>
    </xf>
    <xf numFmtId="172" fontId="6" fillId="0" borderId="18" xfId="12" quotePrefix="1" applyNumberFormat="1" applyFont="1" applyBorder="1" applyAlignment="1" applyProtection="1">
      <alignment horizontal="left" vertical="top"/>
    </xf>
    <xf numFmtId="173" fontId="6" fillId="3" borderId="16" xfId="1" applyNumberFormat="1" applyFont="1" applyFill="1" applyBorder="1" applyAlignment="1" applyProtection="1">
      <alignment vertical="top"/>
      <protection hidden="1"/>
    </xf>
    <xf numFmtId="173" fontId="19" fillId="4" borderId="16" xfId="1" applyNumberFormat="1" applyFont="1" applyFill="1" applyBorder="1" applyAlignment="1" applyProtection="1">
      <alignment vertical="top"/>
      <protection hidden="1"/>
    </xf>
    <xf numFmtId="172" fontId="6" fillId="0" borderId="10" xfId="12" applyNumberFormat="1" applyFont="1" applyBorder="1" applyAlignment="1" applyProtection="1">
      <alignment vertical="top"/>
    </xf>
    <xf numFmtId="172" fontId="6" fillId="0" borderId="13" xfId="12" applyNumberFormat="1" applyFont="1" applyBorder="1" applyAlignment="1" applyProtection="1">
      <alignment vertical="top"/>
    </xf>
    <xf numFmtId="172" fontId="6" fillId="0" borderId="15" xfId="12" quotePrefix="1" applyNumberFormat="1" applyFont="1" applyBorder="1" applyAlignment="1" applyProtection="1">
      <alignment vertical="top"/>
    </xf>
    <xf numFmtId="173" fontId="6" fillId="3" borderId="10" xfId="1" applyNumberFormat="1" applyFont="1" applyFill="1" applyBorder="1" applyAlignment="1" applyProtection="1">
      <alignment vertical="top"/>
      <protection hidden="1"/>
    </xf>
    <xf numFmtId="173" fontId="19" fillId="0" borderId="10" xfId="1" applyNumberFormat="1" applyFont="1" applyFill="1" applyBorder="1" applyAlignment="1" applyProtection="1">
      <alignment vertical="top"/>
      <protection hidden="1"/>
    </xf>
    <xf numFmtId="172" fontId="6" fillId="0" borderId="19" xfId="12" applyNumberFormat="1" applyFont="1" applyBorder="1" applyAlignment="1" applyProtection="1">
      <alignment vertical="top" wrapText="1"/>
    </xf>
    <xf numFmtId="172" fontId="6" fillId="0" borderId="0" xfId="12" applyNumberFormat="1" applyFont="1" applyBorder="1" applyAlignment="1" applyProtection="1">
      <alignment vertical="top" wrapText="1"/>
    </xf>
    <xf numFmtId="172" fontId="6" fillId="0" borderId="0" xfId="12" quotePrefix="1" applyNumberFormat="1" applyFont="1" applyAlignment="1" applyProtection="1">
      <alignment vertical="top"/>
    </xf>
    <xf numFmtId="173" fontId="6" fillId="3" borderId="19" xfId="1" applyNumberFormat="1" applyFont="1" applyFill="1" applyBorder="1" applyAlignment="1" applyProtection="1">
      <alignment vertical="top"/>
      <protection hidden="1"/>
    </xf>
    <xf numFmtId="173" fontId="19" fillId="0" borderId="19" xfId="1" applyNumberFormat="1" applyFont="1" applyFill="1" applyBorder="1" applyAlignment="1" applyProtection="1">
      <alignment vertical="top"/>
      <protection hidden="1"/>
    </xf>
    <xf numFmtId="173" fontId="6" fillId="3" borderId="13" xfId="1" applyNumberFormat="1" applyFont="1" applyFill="1" applyBorder="1" applyAlignment="1" applyProtection="1">
      <alignment vertical="top"/>
      <protection hidden="1"/>
    </xf>
    <xf numFmtId="173" fontId="6" fillId="3" borderId="15" xfId="1" applyNumberFormat="1" applyFont="1" applyFill="1" applyBorder="1" applyAlignment="1" applyProtection="1">
      <alignment vertical="top"/>
      <protection hidden="1"/>
    </xf>
    <xf numFmtId="172" fontId="6" fillId="0" borderId="16" xfId="12" applyNumberFormat="1" applyFont="1" applyBorder="1" applyAlignment="1" applyProtection="1">
      <alignment vertical="top" wrapText="1"/>
    </xf>
    <xf numFmtId="172" fontId="6" fillId="0" borderId="17" xfId="12" applyNumberFormat="1" applyFont="1" applyBorder="1" applyAlignment="1" applyProtection="1">
      <alignment vertical="top" wrapText="1"/>
    </xf>
    <xf numFmtId="172" fontId="6" fillId="0" borderId="18" xfId="12" quotePrefix="1" applyNumberFormat="1" applyFont="1" applyBorder="1" applyAlignment="1" applyProtection="1">
      <alignment vertical="top" wrapText="1"/>
    </xf>
    <xf numFmtId="173" fontId="19" fillId="0" borderId="16" xfId="1" applyNumberFormat="1" applyFont="1" applyFill="1" applyBorder="1" applyAlignment="1" applyProtection="1">
      <alignment vertical="top"/>
      <protection hidden="1"/>
    </xf>
    <xf numFmtId="172" fontId="6" fillId="0" borderId="10" xfId="12" applyNumberFormat="1" applyFont="1" applyBorder="1" applyAlignment="1" applyProtection="1">
      <alignment horizontal="left" vertical="top"/>
    </xf>
    <xf numFmtId="172" fontId="6" fillId="0" borderId="13" xfId="12" applyNumberFormat="1" applyFont="1" applyBorder="1" applyAlignment="1" applyProtection="1">
      <alignment horizontal="left" vertical="top"/>
    </xf>
    <xf numFmtId="172" fontId="6" fillId="0" borderId="15" xfId="12" quotePrefix="1" applyNumberFormat="1" applyFont="1" applyBorder="1" applyAlignment="1" applyProtection="1">
      <alignment horizontal="left" vertical="top"/>
    </xf>
    <xf numFmtId="172" fontId="6" fillId="0" borderId="10" xfId="12" quotePrefix="1" applyNumberFormat="1" applyFont="1" applyBorder="1" applyAlignment="1" applyProtection="1">
      <alignment horizontal="center" vertical="top"/>
    </xf>
    <xf numFmtId="173" fontId="19" fillId="3" borderId="10" xfId="1" applyNumberFormat="1" applyFont="1" applyFill="1" applyBorder="1" applyAlignment="1" applyProtection="1">
      <alignment vertical="top"/>
      <protection hidden="1"/>
    </xf>
    <xf numFmtId="172" fontId="6" fillId="0" borderId="10" xfId="12" applyNumberFormat="1" applyFont="1" applyBorder="1" applyAlignment="1" applyProtection="1">
      <alignment horizontal="left" vertical="top" wrapText="1"/>
    </xf>
    <xf numFmtId="172" fontId="6" fillId="0" borderId="13" xfId="12" applyNumberFormat="1" applyFont="1" applyBorder="1" applyAlignment="1" applyProtection="1">
      <alignment horizontal="left" vertical="top" wrapText="1"/>
    </xf>
    <xf numFmtId="172" fontId="6" fillId="0" borderId="15" xfId="12" applyNumberFormat="1" applyFont="1" applyBorder="1" applyAlignment="1" applyProtection="1">
      <alignment horizontal="left" vertical="top"/>
    </xf>
    <xf numFmtId="172" fontId="6" fillId="0" borderId="10" xfId="12" applyNumberFormat="1" applyFont="1" applyFill="1" applyBorder="1" applyAlignment="1" applyProtection="1">
      <alignment horizontal="left" vertical="top" wrapText="1"/>
    </xf>
    <xf numFmtId="172" fontId="6" fillId="0" borderId="13" xfId="12" applyNumberFormat="1" applyFont="1" applyFill="1" applyBorder="1" applyAlignment="1" applyProtection="1">
      <alignment horizontal="left" vertical="top" wrapText="1"/>
    </xf>
    <xf numFmtId="172" fontId="6" fillId="0" borderId="15" xfId="12" quotePrefix="1" applyNumberFormat="1" applyFont="1" applyFill="1" applyBorder="1" applyAlignment="1" applyProtection="1">
      <alignment horizontal="left" vertical="top" wrapText="1"/>
    </xf>
    <xf numFmtId="172" fontId="6" fillId="0" borderId="15" xfId="12" applyNumberFormat="1" applyFont="1" applyBorder="1" applyAlignment="1" applyProtection="1">
      <alignment horizontal="left" vertical="top" wrapText="1"/>
    </xf>
    <xf numFmtId="172" fontId="6" fillId="0" borderId="10" xfId="12" applyNumberFormat="1" applyFont="1" applyFill="1" applyBorder="1" applyAlignment="1" applyProtection="1">
      <alignment vertical="top"/>
    </xf>
    <xf numFmtId="172" fontId="6" fillId="0" borderId="13" xfId="12" applyNumberFormat="1" applyFont="1" applyFill="1" applyBorder="1" applyAlignment="1" applyProtection="1">
      <alignment vertical="top"/>
    </xf>
    <xf numFmtId="173" fontId="19" fillId="3" borderId="10" xfId="1" applyNumberFormat="1" applyFont="1" applyFill="1" applyBorder="1" applyAlignment="1" applyProtection="1">
      <alignment vertical="top"/>
    </xf>
    <xf numFmtId="172" fontId="6" fillId="0" borderId="10" xfId="12" applyNumberFormat="1" applyFont="1" applyBorder="1" applyAlignment="1" applyProtection="1">
      <alignment vertical="top" wrapText="1"/>
    </xf>
    <xf numFmtId="172" fontId="6" fillId="0" borderId="13" xfId="12" applyNumberFormat="1" applyFont="1" applyBorder="1" applyAlignment="1" applyProtection="1">
      <alignment vertical="top" wrapText="1"/>
    </xf>
    <xf numFmtId="172" fontId="17" fillId="0" borderId="19" xfId="12" applyNumberFormat="1" applyFont="1" applyBorder="1" applyAlignment="1" applyProtection="1">
      <alignment vertical="top" wrapText="1"/>
    </xf>
    <xf numFmtId="0" fontId="17" fillId="0" borderId="10" xfId="0" applyFont="1" applyBorder="1" applyAlignment="1" applyProtection="1">
      <alignment vertical="top" wrapText="1"/>
    </xf>
    <xf numFmtId="0" fontId="17" fillId="0" borderId="13" xfId="0" applyFont="1" applyBorder="1" applyAlignment="1" applyProtection="1">
      <alignment vertical="top" wrapText="1"/>
    </xf>
    <xf numFmtId="174" fontId="22" fillId="0" borderId="10" xfId="1" applyNumberFormat="1" applyFont="1" applyFill="1" applyBorder="1" applyAlignment="1" applyProtection="1">
      <alignment vertical="top"/>
      <protection hidden="1"/>
    </xf>
    <xf numFmtId="172" fontId="6" fillId="0" borderId="0" xfId="12" applyNumberFormat="1" applyFont="1" applyBorder="1" applyAlignment="1" applyProtection="1">
      <alignment horizontal="center" vertical="top"/>
    </xf>
    <xf numFmtId="172" fontId="23" fillId="0" borderId="0" xfId="12" quotePrefix="1" applyNumberFormat="1" applyFont="1" applyAlignment="1" applyProtection="1">
      <alignment horizontal="right"/>
      <protection hidden="1"/>
    </xf>
    <xf numFmtId="172" fontId="24" fillId="0" borderId="0" xfId="12" applyNumberFormat="1" applyFont="1" applyAlignment="1" applyProtection="1">
      <alignment horizontal="right" vertical="top"/>
    </xf>
    <xf numFmtId="173" fontId="25" fillId="0" borderId="0" xfId="1" applyNumberFormat="1" applyFont="1" applyProtection="1"/>
    <xf numFmtId="172" fontId="25" fillId="0" borderId="0" xfId="12" applyNumberFormat="1" applyFont="1" applyProtection="1"/>
    <xf numFmtId="172" fontId="16" fillId="0" borderId="0" xfId="12" applyNumberFormat="1" applyFont="1" applyAlignment="1" applyProtection="1">
      <alignment horizontal="right"/>
    </xf>
    <xf numFmtId="173" fontId="16" fillId="0" borderId="0" xfId="1" applyNumberFormat="1" applyFont="1" applyProtection="1"/>
    <xf numFmtId="172" fontId="6" fillId="0" borderId="0" xfId="12" applyNumberFormat="1" applyFont="1" applyAlignment="1" applyProtection="1">
      <alignment horizontal="center"/>
    </xf>
    <xf numFmtId="172" fontId="24" fillId="0" borderId="0" xfId="12" applyNumberFormat="1" applyFont="1" applyProtection="1"/>
    <xf numFmtId="172" fontId="6" fillId="0" borderId="0" xfId="12" applyNumberFormat="1" applyFont="1" applyBorder="1" applyProtection="1"/>
    <xf numFmtId="172" fontId="6" fillId="0" borderId="0" xfId="12" applyNumberFormat="1" applyFont="1" applyBorder="1" applyAlignment="1" applyProtection="1">
      <alignment horizontal="right"/>
    </xf>
    <xf numFmtId="172" fontId="6" fillId="0" borderId="0" xfId="12" applyNumberFormat="1" applyFont="1" applyBorder="1" applyAlignment="1" applyProtection="1">
      <alignment horizontal="center"/>
    </xf>
    <xf numFmtId="173" fontId="6" fillId="0" borderId="0" xfId="1" applyNumberFormat="1" applyFont="1" applyBorder="1" applyProtection="1"/>
    <xf numFmtId="0" fontId="17" fillId="0" borderId="0" xfId="0" applyFont="1" applyBorder="1" applyAlignment="1" applyProtection="1">
      <alignment horizontal="left" vertical="center"/>
    </xf>
    <xf numFmtId="172" fontId="17" fillId="0" borderId="0" xfId="12" applyNumberFormat="1" applyFont="1" applyBorder="1" applyAlignment="1" applyProtection="1">
      <alignment vertical="center"/>
    </xf>
    <xf numFmtId="172" fontId="17" fillId="0" borderId="0" xfId="12" applyNumberFormat="1" applyFont="1" applyBorder="1" applyAlignment="1" applyProtection="1">
      <alignment horizontal="right" vertical="center"/>
    </xf>
    <xf numFmtId="172" fontId="17" fillId="0" borderId="0" xfId="12" applyNumberFormat="1" applyFont="1" applyBorder="1" applyAlignment="1" applyProtection="1">
      <alignment horizontal="center" vertical="center"/>
    </xf>
    <xf numFmtId="173" fontId="6" fillId="0" borderId="0" xfId="1" applyNumberFormat="1" applyFont="1" applyBorder="1" applyAlignment="1" applyProtection="1">
      <alignment vertical="center"/>
    </xf>
    <xf numFmtId="172" fontId="24" fillId="0" borderId="0" xfId="12" applyNumberFormat="1" applyFont="1" applyAlignment="1" applyProtection="1">
      <alignment vertical="center"/>
    </xf>
    <xf numFmtId="172" fontId="26" fillId="0" borderId="0" xfId="12" applyNumberFormat="1" applyFont="1" applyFill="1" applyProtection="1"/>
    <xf numFmtId="0" fontId="17" fillId="0" borderId="10" xfId="0" applyFont="1" applyBorder="1" applyAlignment="1" applyProtection="1">
      <alignment horizontal="center" vertical="top" wrapText="1"/>
    </xf>
    <xf numFmtId="0" fontId="17" fillId="0" borderId="10" xfId="0" applyFont="1" applyBorder="1" applyAlignment="1" applyProtection="1">
      <alignment horizontal="right" vertical="top" wrapText="1"/>
      <protection hidden="1"/>
    </xf>
    <xf numFmtId="173" fontId="6" fillId="3" borderId="10" xfId="1" applyNumberFormat="1" applyFont="1" applyFill="1" applyBorder="1" applyAlignment="1" applyProtection="1">
      <alignment vertical="top"/>
    </xf>
    <xf numFmtId="172" fontId="24" fillId="0" borderId="0" xfId="12" applyNumberFormat="1" applyFont="1" applyAlignment="1" applyProtection="1">
      <alignment vertical="top"/>
    </xf>
    <xf numFmtId="0" fontId="6" fillId="0" borderId="10" xfId="0" applyFont="1" applyBorder="1" applyAlignment="1" applyProtection="1">
      <alignment horizontal="center" vertical="top" wrapText="1"/>
    </xf>
    <xf numFmtId="175" fontId="6" fillId="0" borderId="10" xfId="0" applyNumberFormat="1" applyFont="1" applyBorder="1" applyAlignment="1" applyProtection="1">
      <alignment horizontal="center" vertical="top" wrapText="1"/>
    </xf>
    <xf numFmtId="0" fontId="6" fillId="0" borderId="10" xfId="0" applyFont="1" applyBorder="1" applyAlignment="1" applyProtection="1">
      <alignment vertical="top" wrapText="1"/>
    </xf>
    <xf numFmtId="49" fontId="6" fillId="0" borderId="10" xfId="0" quotePrefix="1" applyNumberFormat="1" applyFont="1" applyFill="1" applyBorder="1" applyAlignment="1" applyProtection="1">
      <alignment horizontal="right" vertical="top"/>
      <protection hidden="1"/>
    </xf>
    <xf numFmtId="49" fontId="6" fillId="0" borderId="10" xfId="0" quotePrefix="1" applyNumberFormat="1" applyFont="1" applyFill="1" applyBorder="1" applyAlignment="1" applyProtection="1">
      <alignment horizontal="center" vertical="top"/>
      <protection hidden="1"/>
    </xf>
    <xf numFmtId="173" fontId="6" fillId="0" borderId="10" xfId="1" applyNumberFormat="1" applyFont="1" applyFill="1" applyBorder="1" applyAlignment="1" applyProtection="1">
      <alignment vertical="top"/>
      <protection locked="0"/>
    </xf>
    <xf numFmtId="175" fontId="6" fillId="4" borderId="10" xfId="0" applyNumberFormat="1" applyFont="1" applyFill="1" applyBorder="1" applyAlignment="1" applyProtection="1">
      <alignment horizontal="center" vertical="center" wrapText="1"/>
    </xf>
    <xf numFmtId="0" fontId="6" fillId="4" borderId="10" xfId="0" applyFont="1" applyFill="1" applyBorder="1" applyAlignment="1" applyProtection="1">
      <alignment vertical="center" wrapText="1"/>
    </xf>
    <xf numFmtId="0" fontId="6" fillId="4" borderId="10" xfId="0" applyFont="1" applyFill="1" applyBorder="1" applyAlignment="1" applyProtection="1">
      <alignment vertical="top" wrapText="1"/>
    </xf>
    <xf numFmtId="49" fontId="6" fillId="4" borderId="10" xfId="0" applyNumberFormat="1" applyFont="1" applyFill="1" applyBorder="1" applyAlignment="1" applyProtection="1">
      <alignment horizontal="right" vertical="top"/>
      <protection hidden="1"/>
    </xf>
    <xf numFmtId="49" fontId="6" fillId="4" borderId="10" xfId="0" quotePrefix="1" applyNumberFormat="1" applyFont="1" applyFill="1" applyBorder="1" applyAlignment="1" applyProtection="1">
      <alignment horizontal="right" vertical="top"/>
      <protection hidden="1"/>
    </xf>
    <xf numFmtId="173" fontId="28" fillId="0" borderId="10" xfId="1" applyNumberFormat="1" applyFont="1" applyFill="1" applyBorder="1" applyAlignment="1" applyProtection="1">
      <alignment vertical="top"/>
      <protection locked="0"/>
    </xf>
    <xf numFmtId="173" fontId="6" fillId="0" borderId="10" xfId="1" applyNumberFormat="1" applyFont="1" applyBorder="1" applyAlignment="1" applyProtection="1">
      <alignment vertical="top"/>
      <protection locked="0"/>
    </xf>
    <xf numFmtId="172" fontId="6" fillId="0" borderId="10" xfId="12" quotePrefix="1" applyNumberFormat="1" applyFont="1" applyFill="1" applyBorder="1" applyAlignment="1" applyProtection="1">
      <alignment horizontal="right" vertical="top"/>
      <protection hidden="1"/>
    </xf>
    <xf numFmtId="172" fontId="6" fillId="0" borderId="10" xfId="12" quotePrefix="1" applyNumberFormat="1" applyFont="1" applyFill="1" applyBorder="1" applyAlignment="1" applyProtection="1">
      <alignment horizontal="center" vertical="top"/>
    </xf>
    <xf numFmtId="0" fontId="17" fillId="0" borderId="10" xfId="0" applyFont="1" applyFill="1" applyBorder="1" applyAlignment="1" applyProtection="1">
      <alignment horizontal="right" vertical="top" wrapText="1"/>
      <protection hidden="1"/>
    </xf>
    <xf numFmtId="0" fontId="17" fillId="0" borderId="10" xfId="0" applyFont="1" applyFill="1" applyBorder="1" applyAlignment="1" applyProtection="1">
      <alignment horizontal="center" vertical="top" wrapText="1"/>
    </xf>
    <xf numFmtId="0" fontId="6" fillId="0" borderId="10" xfId="0" quotePrefix="1" applyFont="1" applyFill="1" applyBorder="1" applyAlignment="1" applyProtection="1">
      <alignment horizontal="right" vertical="top" wrapText="1"/>
      <protection hidden="1"/>
    </xf>
    <xf numFmtId="0" fontId="6" fillId="0" borderId="10" xfId="0" quotePrefix="1" applyFont="1" applyFill="1" applyBorder="1" applyAlignment="1" applyProtection="1">
      <alignment horizontal="center" vertical="top" wrapText="1"/>
    </xf>
    <xf numFmtId="0" fontId="17" fillId="0" borderId="10" xfId="0" applyFont="1" applyBorder="1" applyAlignment="1" applyProtection="1">
      <alignment vertical="top"/>
    </xf>
    <xf numFmtId="0" fontId="17" fillId="0" borderId="10" xfId="0" applyFont="1" applyFill="1" applyBorder="1" applyAlignment="1" applyProtection="1">
      <alignment horizontal="right" vertical="top"/>
      <protection hidden="1"/>
    </xf>
    <xf numFmtId="0" fontId="17" fillId="0" borderId="10" xfId="0" applyFont="1" applyFill="1" applyBorder="1" applyAlignment="1" applyProtection="1">
      <alignment horizontal="center" vertical="top"/>
    </xf>
    <xf numFmtId="175" fontId="6" fillId="0" borderId="10" xfId="0" applyNumberFormat="1" applyFont="1" applyBorder="1" applyAlignment="1" applyProtection="1">
      <alignment horizontal="center" vertical="center" wrapText="1"/>
    </xf>
    <xf numFmtId="172" fontId="6" fillId="4" borderId="10" xfId="12" quotePrefix="1" applyNumberFormat="1" applyFont="1" applyFill="1" applyBorder="1" applyAlignment="1" applyProtection="1">
      <alignment horizontal="right" vertical="top"/>
      <protection hidden="1"/>
    </xf>
    <xf numFmtId="172" fontId="6" fillId="4" borderId="10" xfId="12" quotePrefix="1" applyNumberFormat="1" applyFont="1" applyFill="1" applyBorder="1" applyAlignment="1" applyProtection="1">
      <alignment horizontal="center" vertical="top"/>
    </xf>
    <xf numFmtId="49" fontId="6" fillId="0" borderId="10" xfId="0" quotePrefix="1" applyNumberFormat="1" applyFont="1" applyFill="1" applyBorder="1" applyAlignment="1" applyProtection="1">
      <alignment horizontal="right" vertical="top" wrapText="1"/>
      <protection hidden="1"/>
    </xf>
    <xf numFmtId="175" fontId="6" fillId="4" borderId="10" xfId="0" applyNumberFormat="1" applyFont="1" applyFill="1" applyBorder="1" applyAlignment="1" applyProtection="1">
      <alignment horizontal="center" vertical="top" wrapText="1"/>
    </xf>
    <xf numFmtId="0" fontId="11" fillId="4" borderId="10" xfId="0" applyFont="1" applyFill="1" applyBorder="1" applyAlignment="1" applyProtection="1">
      <alignment vertical="top" wrapText="1"/>
    </xf>
    <xf numFmtId="0" fontId="17" fillId="0" borderId="10" xfId="0" applyFont="1" applyBorder="1" applyAlignment="1" applyProtection="1">
      <alignment horizontal="center" vertical="top"/>
    </xf>
    <xf numFmtId="0" fontId="17" fillId="0" borderId="10" xfId="0" applyFont="1" applyBorder="1" applyAlignment="1" applyProtection="1">
      <alignment horizontal="justify" vertical="top" wrapText="1"/>
    </xf>
    <xf numFmtId="173" fontId="6" fillId="3" borderId="10" xfId="1" applyNumberFormat="1" applyFont="1" applyFill="1" applyBorder="1" applyAlignment="1" applyProtection="1">
      <alignment horizontal="justify" vertical="top" wrapText="1"/>
    </xf>
    <xf numFmtId="0" fontId="24" fillId="0" borderId="0" xfId="0" applyFont="1" applyAlignment="1" applyProtection="1">
      <alignment vertical="top"/>
    </xf>
    <xf numFmtId="43" fontId="24" fillId="0" borderId="0" xfId="1" applyFont="1" applyAlignment="1" applyProtection="1">
      <alignment vertical="top"/>
    </xf>
    <xf numFmtId="176" fontId="6" fillId="0" borderId="10" xfId="0" applyNumberFormat="1" applyFont="1" applyBorder="1" applyAlignment="1" applyProtection="1">
      <alignment horizontal="center" vertical="top" wrapText="1"/>
    </xf>
    <xf numFmtId="0" fontId="6" fillId="0" borderId="10" xfId="0" applyFont="1" applyBorder="1" applyAlignment="1" applyProtection="1">
      <alignment horizontal="left" vertical="top" wrapText="1"/>
    </xf>
    <xf numFmtId="172" fontId="29" fillId="0" borderId="0" xfId="12" applyNumberFormat="1" applyFont="1" applyAlignment="1" applyProtection="1">
      <alignment horizontal="center" vertical="top"/>
    </xf>
    <xf numFmtId="172" fontId="29" fillId="0" borderId="0" xfId="12" applyNumberFormat="1" applyFont="1" applyAlignment="1" applyProtection="1">
      <alignment horizontal="center" vertical="top" wrapText="1"/>
    </xf>
    <xf numFmtId="172" fontId="24" fillId="0" borderId="0" xfId="12" applyNumberFormat="1" applyFont="1" applyAlignment="1" applyProtection="1">
      <alignment horizontal="right"/>
    </xf>
    <xf numFmtId="172" fontId="24" fillId="0" borderId="0" xfId="12" applyNumberFormat="1" applyFont="1" applyAlignment="1" applyProtection="1">
      <alignment horizontal="center"/>
    </xf>
    <xf numFmtId="173" fontId="24" fillId="0" borderId="0" xfId="1" applyNumberFormat="1" applyFont="1" applyProtection="1"/>
    <xf numFmtId="172" fontId="6" fillId="0" borderId="0" xfId="12" applyNumberFormat="1" applyFont="1" applyAlignment="1" applyProtection="1">
      <alignment horizontal="center" vertical="center"/>
    </xf>
    <xf numFmtId="172" fontId="6" fillId="0" borderId="0" xfId="12" applyNumberFormat="1" applyFont="1" applyAlignment="1" applyProtection="1">
      <alignment horizontal="left"/>
    </xf>
    <xf numFmtId="177" fontId="6" fillId="0" borderId="0" xfId="1" applyNumberFormat="1" applyFont="1" applyAlignment="1" applyProtection="1">
      <alignment vertical="center"/>
    </xf>
    <xf numFmtId="0" fontId="17" fillId="0" borderId="0" xfId="0" applyFont="1" applyAlignment="1" applyProtection="1">
      <alignment horizontal="left" vertical="center"/>
    </xf>
    <xf numFmtId="0" fontId="17" fillId="0" borderId="0" xfId="0" applyFont="1" applyAlignment="1" applyProtection="1">
      <alignment horizontal="right" vertical="center"/>
    </xf>
    <xf numFmtId="0" fontId="17" fillId="0" borderId="0" xfId="0" applyFont="1" applyAlignment="1" applyProtection="1">
      <alignment horizontal="center" vertical="center"/>
    </xf>
    <xf numFmtId="173" fontId="6" fillId="0" borderId="0" xfId="1" applyNumberFormat="1" applyFont="1" applyAlignment="1" applyProtection="1">
      <alignment horizontal="left" vertical="center"/>
    </xf>
    <xf numFmtId="177" fontId="6" fillId="0" borderId="0" xfId="1" applyNumberFormat="1" applyFont="1" applyAlignment="1" applyProtection="1">
      <alignment horizontal="left" vertical="center"/>
    </xf>
    <xf numFmtId="0" fontId="6" fillId="2" borderId="11" xfId="0" applyFont="1" applyFill="1" applyBorder="1" applyAlignment="1" applyProtection="1">
      <alignment horizontal="center" vertical="center"/>
    </xf>
    <xf numFmtId="0" fontId="6" fillId="2" borderId="19" xfId="0" applyFont="1" applyFill="1" applyBorder="1" applyAlignment="1" applyProtection="1">
      <alignment horizontal="center" vertical="center"/>
    </xf>
    <xf numFmtId="173" fontId="6" fillId="2" borderId="19" xfId="1" applyNumberFormat="1" applyFont="1" applyFill="1" applyBorder="1" applyAlignment="1" applyProtection="1">
      <alignment horizontal="center" vertical="center" wrapText="1"/>
    </xf>
    <xf numFmtId="177" fontId="6" fillId="2" borderId="19" xfId="1" applyNumberFormat="1" applyFont="1" applyFill="1" applyBorder="1" applyAlignment="1" applyProtection="1">
      <alignment horizontal="center" vertical="center" wrapText="1"/>
    </xf>
    <xf numFmtId="0" fontId="6" fillId="2" borderId="18" xfId="0" applyFont="1" applyFill="1" applyBorder="1" applyAlignment="1" applyProtection="1">
      <alignment horizontal="center" vertical="center"/>
    </xf>
    <xf numFmtId="0" fontId="6" fillId="2" borderId="16" xfId="0" applyFont="1" applyFill="1" applyBorder="1" applyAlignment="1" applyProtection="1">
      <alignment horizontal="center" vertical="center"/>
    </xf>
    <xf numFmtId="173" fontId="6" fillId="2" borderId="16" xfId="1" quotePrefix="1" applyNumberFormat="1" applyFont="1" applyFill="1" applyBorder="1" applyAlignment="1" applyProtection="1">
      <alignment horizontal="center" vertical="center" wrapText="1"/>
    </xf>
    <xf numFmtId="177" fontId="6" fillId="2" borderId="16" xfId="1" quotePrefix="1" applyNumberFormat="1" applyFont="1" applyFill="1" applyBorder="1" applyAlignment="1" applyProtection="1">
      <alignment horizontal="center" vertical="center" wrapText="1"/>
    </xf>
    <xf numFmtId="0" fontId="6" fillId="0" borderId="10" xfId="0" applyFont="1" applyBorder="1" applyAlignment="1" applyProtection="1">
      <alignment horizontal="right" vertical="top" wrapText="1"/>
      <protection hidden="1"/>
    </xf>
    <xf numFmtId="173" fontId="6" fillId="3" borderId="10" xfId="1" applyNumberFormat="1" applyFont="1" applyFill="1" applyBorder="1" applyAlignment="1" applyProtection="1">
      <alignment horizontal="center" vertical="top" wrapText="1"/>
    </xf>
    <xf numFmtId="177" fontId="6" fillId="3" borderId="10" xfId="1" applyNumberFormat="1" applyFont="1" applyFill="1" applyBorder="1" applyAlignment="1" applyProtection="1">
      <alignment horizontal="center" vertical="top" wrapText="1"/>
    </xf>
    <xf numFmtId="49" fontId="6" fillId="0" borderId="10" xfId="0" quotePrefix="1" applyNumberFormat="1" applyFont="1" applyFill="1" applyBorder="1" applyAlignment="1" applyProtection="1">
      <alignment horizontal="center" vertical="top"/>
    </xf>
    <xf numFmtId="172" fontId="6" fillId="0" borderId="10" xfId="12" quotePrefix="1" applyNumberFormat="1" applyFont="1" applyBorder="1" applyAlignment="1" applyProtection="1">
      <alignment horizontal="right" vertical="top"/>
      <protection hidden="1"/>
    </xf>
    <xf numFmtId="173" fontId="28" fillId="3" borderId="10" xfId="1" applyNumberFormat="1" applyFont="1" applyFill="1" applyBorder="1" applyAlignment="1" applyProtection="1">
      <alignment vertical="top"/>
    </xf>
    <xf numFmtId="0" fontId="6" fillId="0" borderId="10" xfId="0" applyFont="1" applyFill="1" applyBorder="1" applyAlignment="1" applyProtection="1">
      <alignment horizontal="left" vertical="top" wrapText="1"/>
    </xf>
    <xf numFmtId="0" fontId="6" fillId="0" borderId="10" xfId="0" applyFont="1" applyFill="1" applyBorder="1" applyAlignment="1" applyProtection="1">
      <alignment horizontal="center" vertical="top" wrapText="1"/>
    </xf>
    <xf numFmtId="173" fontId="6" fillId="3" borderId="10" xfId="1" applyNumberFormat="1" applyFont="1" applyFill="1" applyBorder="1" applyAlignment="1" applyProtection="1">
      <alignment horizontal="center" vertical="top"/>
    </xf>
    <xf numFmtId="49" fontId="6" fillId="0" borderId="10" xfId="0" quotePrefix="1" applyNumberFormat="1" applyFont="1" applyBorder="1" applyAlignment="1" applyProtection="1">
      <alignment horizontal="right" vertical="top"/>
      <protection hidden="1"/>
    </xf>
    <xf numFmtId="49" fontId="6" fillId="0" borderId="10" xfId="0" quotePrefix="1" applyNumberFormat="1" applyFont="1" applyBorder="1" applyAlignment="1" applyProtection="1">
      <alignment horizontal="center" vertical="top"/>
    </xf>
    <xf numFmtId="0" fontId="6" fillId="0" borderId="0" xfId="0" applyFont="1" applyFill="1" applyBorder="1" applyAlignment="1" applyProtection="1">
      <alignment horizontal="left" vertical="top" wrapText="1"/>
    </xf>
    <xf numFmtId="172" fontId="6" fillId="0" borderId="16" xfId="12" quotePrefix="1" applyNumberFormat="1" applyFont="1" applyFill="1" applyBorder="1" applyAlignment="1" applyProtection="1">
      <alignment horizontal="center" vertical="top"/>
    </xf>
    <xf numFmtId="1" fontId="19" fillId="0" borderId="10" xfId="13" applyNumberFormat="1" applyFont="1" applyBorder="1" applyAlignment="1" applyProtection="1">
      <alignment horizontal="center" vertical="top" wrapText="1"/>
      <protection hidden="1"/>
    </xf>
    <xf numFmtId="0" fontId="6" fillId="0" borderId="10" xfId="0" quotePrefix="1" applyFont="1" applyBorder="1" applyAlignment="1" applyProtection="1">
      <alignment horizontal="center" vertical="top" wrapText="1"/>
    </xf>
    <xf numFmtId="0" fontId="6" fillId="4" borderId="10" xfId="0" quotePrefix="1" applyFont="1" applyFill="1" applyBorder="1" applyAlignment="1">
      <alignment horizontal="center" vertical="top" wrapText="1"/>
    </xf>
    <xf numFmtId="0" fontId="11" fillId="0" borderId="14" xfId="0" applyFont="1" applyBorder="1" applyAlignment="1" applyProtection="1">
      <alignment horizontal="left" vertical="top" wrapText="1"/>
    </xf>
    <xf numFmtId="172" fontId="6" fillId="4" borderId="14" xfId="12" quotePrefix="1" applyNumberFormat="1" applyFont="1" applyFill="1" applyBorder="1" applyAlignment="1" applyProtection="1">
      <alignment horizontal="right" vertical="top"/>
      <protection hidden="1"/>
    </xf>
    <xf numFmtId="172" fontId="6" fillId="0" borderId="14" xfId="12" quotePrefix="1" applyNumberFormat="1" applyFont="1" applyBorder="1" applyAlignment="1" applyProtection="1">
      <alignment horizontal="center" vertical="top"/>
    </xf>
    <xf numFmtId="0" fontId="6" fillId="0" borderId="10" xfId="0" quotePrefix="1" applyFont="1" applyBorder="1" applyAlignment="1">
      <alignment horizontal="center" vertical="center" wrapText="1"/>
    </xf>
    <xf numFmtId="0" fontId="6" fillId="0" borderId="14" xfId="0" applyFont="1" applyBorder="1" applyAlignment="1" applyProtection="1">
      <alignment horizontal="left" vertical="top" wrapText="1"/>
    </xf>
    <xf numFmtId="172" fontId="6" fillId="0" borderId="14" xfId="12" quotePrefix="1" applyNumberFormat="1" applyFont="1" applyFill="1" applyBorder="1" applyAlignment="1" applyProtection="1">
      <alignment horizontal="right" vertical="top"/>
      <protection hidden="1"/>
    </xf>
    <xf numFmtId="172" fontId="6" fillId="0" borderId="14" xfId="12" quotePrefix="1" applyNumberFormat="1" applyFont="1" applyFill="1" applyBorder="1" applyAlignment="1" applyProtection="1">
      <alignment horizontal="center" vertical="top"/>
    </xf>
    <xf numFmtId="9" fontId="19" fillId="0" borderId="10" xfId="13" applyFont="1" applyBorder="1" applyAlignment="1" applyProtection="1">
      <alignment horizontal="center" vertical="top" wrapText="1"/>
      <protection hidden="1"/>
    </xf>
    <xf numFmtId="177" fontId="19" fillId="0" borderId="10" xfId="1" quotePrefix="1" applyNumberFormat="1" applyFont="1" applyBorder="1" applyAlignment="1" applyProtection="1">
      <alignment horizontal="center" vertical="top" wrapText="1"/>
      <protection hidden="1"/>
    </xf>
    <xf numFmtId="173" fontId="19" fillId="0" borderId="10" xfId="1" applyNumberFormat="1" applyFont="1" applyBorder="1" applyAlignment="1" applyProtection="1">
      <alignment vertical="top"/>
      <protection hidden="1"/>
    </xf>
    <xf numFmtId="177" fontId="19" fillId="0" borderId="10" xfId="1" quotePrefix="1" applyNumberFormat="1" applyFont="1" applyFill="1" applyBorder="1" applyAlignment="1" applyProtection="1">
      <alignment horizontal="center" vertical="top" wrapText="1"/>
      <protection hidden="1"/>
    </xf>
    <xf numFmtId="172" fontId="6" fillId="0" borderId="10" xfId="12" applyNumberFormat="1" applyFont="1" applyBorder="1" applyAlignment="1" applyProtection="1">
      <alignment horizontal="right" vertical="top"/>
      <protection hidden="1"/>
    </xf>
    <xf numFmtId="0" fontId="6" fillId="0" borderId="10" xfId="0" applyFont="1" applyFill="1" applyBorder="1" applyAlignment="1" applyProtection="1">
      <alignment horizontal="right" vertical="top" wrapText="1"/>
      <protection hidden="1"/>
    </xf>
    <xf numFmtId="0" fontId="6" fillId="0" borderId="15" xfId="0" applyFont="1" applyBorder="1" applyAlignment="1" applyProtection="1">
      <alignment horizontal="left" vertical="top" wrapText="1"/>
    </xf>
    <xf numFmtId="43" fontId="6" fillId="0" borderId="10" xfId="1" quotePrefix="1" applyFont="1" applyBorder="1" applyAlignment="1" applyProtection="1">
      <alignment horizontal="center" vertical="top" wrapText="1"/>
    </xf>
    <xf numFmtId="49" fontId="6" fillId="0" borderId="16" xfId="0" quotePrefix="1" applyNumberFormat="1" applyFont="1" applyBorder="1" applyAlignment="1" applyProtection="1">
      <alignment horizontal="center" vertical="top"/>
    </xf>
    <xf numFmtId="175" fontId="6" fillId="0" borderId="10" xfId="0" quotePrefix="1" applyNumberFormat="1" applyFont="1" applyBorder="1" applyAlignment="1" applyProtection="1">
      <alignment horizontal="center" vertical="top" wrapText="1"/>
    </xf>
    <xf numFmtId="177" fontId="19" fillId="0" borderId="10" xfId="1" applyNumberFormat="1" applyFont="1" applyBorder="1" applyAlignment="1" applyProtection="1">
      <alignment horizontal="center" vertical="top" wrapText="1"/>
      <protection hidden="1"/>
    </xf>
    <xf numFmtId="0" fontId="6" fillId="0" borderId="0" xfId="0" applyFont="1" applyAlignment="1" applyProtection="1">
      <alignment horizontal="center" vertical="top"/>
    </xf>
    <xf numFmtId="0" fontId="6" fillId="0" borderId="0" xfId="0" applyFont="1" applyAlignment="1" applyProtection="1">
      <alignment horizontal="left" vertical="top"/>
    </xf>
    <xf numFmtId="0" fontId="23" fillId="4" borderId="0" xfId="0" quotePrefix="1" applyFont="1" applyFill="1" applyAlignment="1" applyProtection="1">
      <alignment horizontal="right" vertical="top"/>
      <protection hidden="1"/>
    </xf>
    <xf numFmtId="0" fontId="6" fillId="0" borderId="0" xfId="0" quotePrefix="1" applyFont="1" applyAlignment="1" applyProtection="1">
      <alignment horizontal="center" vertical="top"/>
    </xf>
    <xf numFmtId="173" fontId="6" fillId="0" borderId="0" xfId="1" applyNumberFormat="1" applyFont="1" applyAlignment="1" applyProtection="1">
      <alignment vertical="top"/>
    </xf>
    <xf numFmtId="177" fontId="6" fillId="0" borderId="0" xfId="1" applyNumberFormat="1" applyFont="1" applyAlignment="1" applyProtection="1">
      <alignment vertical="top"/>
    </xf>
    <xf numFmtId="172" fontId="24" fillId="0" borderId="0" xfId="12" applyNumberFormat="1" applyFont="1" applyAlignment="1" applyProtection="1">
      <alignment horizontal="center" vertical="center"/>
    </xf>
    <xf numFmtId="172" fontId="24" fillId="0" borderId="0" xfId="12" applyNumberFormat="1" applyFont="1" applyAlignment="1" applyProtection="1">
      <alignment horizontal="left"/>
    </xf>
    <xf numFmtId="173" fontId="24" fillId="0" borderId="0" xfId="1" applyNumberFormat="1" applyFont="1" applyAlignment="1" applyProtection="1">
      <alignment vertical="center"/>
    </xf>
    <xf numFmtId="177" fontId="24" fillId="0" borderId="0" xfId="1" applyNumberFormat="1" applyFont="1" applyAlignment="1" applyProtection="1">
      <alignment vertical="center"/>
    </xf>
    <xf numFmtId="0" fontId="6" fillId="0" borderId="0" xfId="0" applyFont="1" applyAlignment="1" applyProtection="1"/>
    <xf numFmtId="177" fontId="6" fillId="0" borderId="0" xfId="1" applyNumberFormat="1" applyFont="1" applyAlignment="1" applyProtection="1"/>
    <xf numFmtId="177" fontId="6" fillId="0" borderId="0" xfId="1" applyNumberFormat="1" applyFont="1" applyAlignment="1" applyProtection="1">
      <alignment horizontal="right"/>
    </xf>
    <xf numFmtId="177" fontId="6" fillId="0" borderId="0" xfId="1" applyNumberFormat="1" applyFont="1" applyAlignment="1" applyProtection="1">
      <alignment horizontal="center"/>
    </xf>
    <xf numFmtId="173" fontId="6" fillId="0" borderId="0" xfId="1" applyNumberFormat="1" applyFont="1" applyAlignment="1" applyProtection="1"/>
    <xf numFmtId="0" fontId="6" fillId="0" borderId="0" xfId="0" applyFont="1" applyAlignment="1" applyProtection="1">
      <alignment horizontal="center"/>
    </xf>
    <xf numFmtId="173" fontId="6" fillId="0" borderId="0" xfId="0" applyNumberFormat="1" applyFont="1" applyAlignment="1" applyProtection="1"/>
    <xf numFmtId="0" fontId="16" fillId="0" borderId="0" xfId="0" applyFont="1" applyAlignment="1" applyProtection="1"/>
    <xf numFmtId="0" fontId="6" fillId="0" borderId="0" xfId="0" applyFont="1" applyAlignment="1" applyProtection="1">
      <alignment vertical="top"/>
    </xf>
    <xf numFmtId="173" fontId="6" fillId="0" borderId="0" xfId="0" applyNumberFormat="1" applyFont="1" applyAlignment="1" applyProtection="1">
      <alignment horizontal="right" vertical="top"/>
    </xf>
    <xf numFmtId="0" fontId="17" fillId="0" borderId="0" xfId="0" applyFont="1" applyAlignment="1" applyProtection="1">
      <alignment vertical="center"/>
    </xf>
    <xf numFmtId="177" fontId="6" fillId="0" borderId="0" xfId="1" applyNumberFormat="1" applyFont="1" applyAlignment="1" applyProtection="1">
      <alignment horizontal="right" vertical="top"/>
    </xf>
    <xf numFmtId="177" fontId="6" fillId="0" borderId="0" xfId="1" applyNumberFormat="1" applyFont="1" applyAlignment="1" applyProtection="1">
      <alignment horizontal="center" vertical="top"/>
    </xf>
    <xf numFmtId="173" fontId="6" fillId="0" borderId="0" xfId="0" applyNumberFormat="1" applyFont="1" applyAlignment="1" applyProtection="1">
      <alignment vertical="top"/>
    </xf>
    <xf numFmtId="173" fontId="6" fillId="0" borderId="0" xfId="0" applyNumberFormat="1" applyFont="1" applyBorder="1" applyAlignment="1" applyProtection="1">
      <alignment vertical="top"/>
    </xf>
    <xf numFmtId="0" fontId="16" fillId="0" borderId="0" xfId="0" applyFont="1" applyAlignment="1" applyProtection="1">
      <alignment vertical="top"/>
    </xf>
    <xf numFmtId="0" fontId="6" fillId="2" borderId="10" xfId="0" applyFont="1" applyFill="1" applyBorder="1" applyAlignment="1" applyProtection="1">
      <alignment horizontal="center" vertical="center" wrapText="1"/>
      <protection hidden="1"/>
    </xf>
    <xf numFmtId="173" fontId="6" fillId="2" borderId="10" xfId="0" applyNumberFormat="1" applyFont="1" applyFill="1" applyBorder="1" applyAlignment="1" applyProtection="1">
      <alignment horizontal="center" vertical="center" wrapText="1"/>
    </xf>
    <xf numFmtId="9" fontId="6" fillId="2" borderId="10" xfId="13" applyFont="1" applyFill="1" applyBorder="1" applyAlignment="1" applyProtection="1">
      <alignment horizontal="center" vertical="center" wrapText="1"/>
    </xf>
    <xf numFmtId="173" fontId="6" fillId="2" borderId="10" xfId="1" quotePrefix="1" applyNumberFormat="1" applyFont="1" applyFill="1" applyBorder="1" applyAlignment="1" applyProtection="1">
      <alignment horizontal="center" vertical="center" wrapText="1"/>
    </xf>
    <xf numFmtId="177" fontId="6" fillId="2" borderId="10" xfId="1" quotePrefix="1" applyNumberFormat="1" applyFont="1" applyFill="1" applyBorder="1" applyAlignment="1" applyProtection="1">
      <alignment horizontal="center" vertical="center" wrapText="1"/>
    </xf>
    <xf numFmtId="173" fontId="6" fillId="2" borderId="10" xfId="0" quotePrefix="1" applyNumberFormat="1" applyFont="1" applyFill="1" applyBorder="1" applyAlignment="1" applyProtection="1">
      <alignment horizontal="center" vertical="center" wrapText="1"/>
    </xf>
    <xf numFmtId="0" fontId="6" fillId="0" borderId="10" xfId="0" applyFont="1" applyFill="1" applyBorder="1" applyAlignment="1" applyProtection="1">
      <alignment horizontal="left" vertical="top" wrapText="1"/>
      <protection hidden="1"/>
    </xf>
    <xf numFmtId="0" fontId="6" fillId="3" borderId="10" xfId="0" applyFont="1" applyFill="1" applyBorder="1" applyAlignment="1" applyProtection="1">
      <alignment horizontal="center" vertical="top" wrapText="1"/>
      <protection hidden="1"/>
    </xf>
    <xf numFmtId="173" fontId="6" fillId="3" borderId="10" xfId="1" applyNumberFormat="1" applyFont="1" applyFill="1" applyBorder="1" applyAlignment="1" applyProtection="1">
      <alignment horizontal="right" vertical="top" wrapText="1"/>
    </xf>
    <xf numFmtId="0" fontId="6" fillId="3" borderId="10" xfId="0" applyFont="1" applyFill="1" applyBorder="1" applyAlignment="1" applyProtection="1">
      <alignment horizontal="center" vertical="top" wrapText="1"/>
    </xf>
    <xf numFmtId="173" fontId="6" fillId="3" borderId="10" xfId="0" applyNumberFormat="1" applyFont="1" applyFill="1" applyBorder="1" applyAlignment="1" applyProtection="1">
      <alignment horizontal="right" vertical="top" wrapText="1"/>
    </xf>
    <xf numFmtId="0" fontId="16" fillId="0" borderId="0" xfId="0" applyFont="1" applyAlignment="1" applyProtection="1">
      <alignment horizontal="left" vertical="top"/>
    </xf>
    <xf numFmtId="176" fontId="6" fillId="0" borderId="10" xfId="0" applyNumberFormat="1" applyFont="1" applyFill="1" applyBorder="1" applyAlignment="1" applyProtection="1">
      <alignment horizontal="left" vertical="top" wrapText="1"/>
    </xf>
    <xf numFmtId="0" fontId="6" fillId="0" borderId="10" xfId="0" quotePrefix="1" applyFont="1" applyFill="1" applyBorder="1" applyAlignment="1" applyProtection="1">
      <alignment horizontal="right" vertical="top"/>
      <protection hidden="1"/>
    </xf>
    <xf numFmtId="0" fontId="6" fillId="3" borderId="10" xfId="0" quotePrefix="1" applyFont="1" applyFill="1" applyBorder="1" applyAlignment="1" applyProtection="1">
      <alignment horizontal="center" vertical="top" wrapText="1"/>
      <protection hidden="1"/>
    </xf>
    <xf numFmtId="9" fontId="19" fillId="0" borderId="10" xfId="13" applyFont="1" applyBorder="1" applyAlignment="1" applyProtection="1">
      <alignment horizontal="center" vertical="top" wrapText="1"/>
    </xf>
    <xf numFmtId="173" fontId="19" fillId="0" borderId="10" xfId="1" applyNumberFormat="1" applyFont="1" applyBorder="1" applyAlignment="1" applyProtection="1">
      <alignment horizontal="right" vertical="top" wrapText="1"/>
      <protection hidden="1"/>
    </xf>
    <xf numFmtId="176" fontId="6" fillId="0" borderId="10" xfId="0" quotePrefix="1" applyNumberFormat="1" applyFont="1" applyFill="1" applyBorder="1" applyAlignment="1" applyProtection="1">
      <alignment horizontal="left" vertical="top" wrapText="1"/>
    </xf>
    <xf numFmtId="49" fontId="6" fillId="3" borderId="10" xfId="0" quotePrefix="1" applyNumberFormat="1" applyFont="1" applyFill="1" applyBorder="1" applyAlignment="1" applyProtection="1">
      <alignment horizontal="center" vertical="top"/>
      <protection hidden="1"/>
    </xf>
    <xf numFmtId="173" fontId="28" fillId="3" borderId="10" xfId="1" applyNumberFormat="1" applyFont="1" applyFill="1" applyBorder="1" applyAlignment="1" applyProtection="1">
      <alignment horizontal="right" vertical="top" wrapText="1"/>
    </xf>
    <xf numFmtId="173" fontId="30" fillId="3" borderId="10" xfId="1" applyNumberFormat="1" applyFont="1" applyFill="1" applyBorder="1" applyAlignment="1" applyProtection="1">
      <alignment horizontal="right" vertical="top" wrapText="1"/>
      <protection hidden="1"/>
    </xf>
    <xf numFmtId="173" fontId="19" fillId="0" borderId="10" xfId="1" applyNumberFormat="1" applyFont="1" applyFill="1" applyBorder="1" applyAlignment="1" applyProtection="1">
      <alignment horizontal="right" vertical="top" wrapText="1"/>
      <protection hidden="1"/>
    </xf>
    <xf numFmtId="9" fontId="6" fillId="3" borderId="10" xfId="13" applyFont="1" applyFill="1" applyBorder="1" applyAlignment="1" applyProtection="1">
      <alignment horizontal="center" vertical="top" wrapText="1"/>
    </xf>
    <xf numFmtId="0" fontId="16" fillId="0" borderId="9" xfId="0" applyFont="1" applyBorder="1" applyAlignment="1" applyProtection="1">
      <alignment horizontal="left" vertical="top"/>
    </xf>
    <xf numFmtId="0" fontId="6" fillId="0" borderId="10" xfId="0" applyFont="1" applyFill="1" applyBorder="1" applyAlignment="1" applyProtection="1">
      <alignment horizontal="left" vertical="top"/>
      <protection hidden="1"/>
    </xf>
    <xf numFmtId="0" fontId="6" fillId="3" borderId="10" xfId="0" applyFont="1" applyFill="1" applyBorder="1" applyAlignment="1" applyProtection="1">
      <alignment horizontal="center" vertical="top"/>
      <protection hidden="1"/>
    </xf>
    <xf numFmtId="49" fontId="6" fillId="3" borderId="10" xfId="0" quotePrefix="1" applyNumberFormat="1" applyFont="1" applyFill="1" applyBorder="1" applyAlignment="1" applyProtection="1">
      <alignment horizontal="center" vertical="top" wrapText="1"/>
      <protection hidden="1"/>
    </xf>
    <xf numFmtId="9" fontId="19" fillId="0" borderId="10" xfId="13" applyFont="1" applyFill="1" applyBorder="1" applyAlignment="1" applyProtection="1">
      <alignment horizontal="center" vertical="top" wrapText="1"/>
    </xf>
    <xf numFmtId="173" fontId="30" fillId="3" borderId="10" xfId="1" applyNumberFormat="1" applyFont="1" applyFill="1" applyBorder="1" applyAlignment="1" applyProtection="1">
      <alignment horizontal="right" vertical="top" wrapText="1"/>
    </xf>
    <xf numFmtId="0" fontId="6" fillId="3" borderId="10" xfId="0" quotePrefix="1" applyFont="1" applyFill="1" applyBorder="1" applyAlignment="1" applyProtection="1">
      <alignment horizontal="center" vertical="top"/>
      <protection hidden="1"/>
    </xf>
    <xf numFmtId="0" fontId="6" fillId="0" borderId="10" xfId="0" applyFont="1" applyFill="1" applyBorder="1" applyAlignment="1" applyProtection="1">
      <alignment horizontal="right" vertical="top"/>
      <protection hidden="1"/>
    </xf>
    <xf numFmtId="176" fontId="6" fillId="0" borderId="10" xfId="0" quotePrefix="1" applyNumberFormat="1" applyFont="1" applyBorder="1" applyAlignment="1" applyProtection="1">
      <alignment horizontal="left" vertical="top" wrapText="1"/>
    </xf>
    <xf numFmtId="0" fontId="6" fillId="0" borderId="10" xfId="0" applyFont="1" applyBorder="1" applyAlignment="1" applyProtection="1">
      <alignment horizontal="left" vertical="top"/>
      <protection hidden="1"/>
    </xf>
    <xf numFmtId="0" fontId="6" fillId="0" borderId="10" xfId="0" applyFont="1" applyBorder="1" applyAlignment="1" applyProtection="1">
      <alignment horizontal="left" vertical="top" wrapText="1"/>
      <protection hidden="1"/>
    </xf>
    <xf numFmtId="176" fontId="6" fillId="0" borderId="10" xfId="0" applyNumberFormat="1" applyFont="1" applyBorder="1" applyAlignment="1" applyProtection="1">
      <alignment horizontal="left" vertical="top" wrapText="1"/>
    </xf>
    <xf numFmtId="9" fontId="19" fillId="0" borderId="10" xfId="13" applyFont="1" applyFill="1" applyBorder="1" applyAlignment="1" applyProtection="1">
      <alignment horizontal="center" vertical="top" wrapText="1"/>
      <protection hidden="1"/>
    </xf>
    <xf numFmtId="177" fontId="31" fillId="3" borderId="10" xfId="1" applyNumberFormat="1" applyFont="1" applyFill="1" applyBorder="1" applyAlignment="1" applyProtection="1">
      <alignment horizontal="center" vertical="top" wrapText="1"/>
      <protection hidden="1"/>
    </xf>
    <xf numFmtId="0" fontId="6" fillId="5" borderId="10" xfId="0" applyFont="1" applyFill="1" applyBorder="1" applyAlignment="1" applyProtection="1">
      <alignment horizontal="left" vertical="top"/>
      <protection hidden="1"/>
    </xf>
    <xf numFmtId="49" fontId="30" fillId="3" borderId="10" xfId="0" applyNumberFormat="1" applyFont="1" applyFill="1" applyBorder="1" applyAlignment="1" applyProtection="1">
      <alignment horizontal="center" vertical="top"/>
      <protection hidden="1"/>
    </xf>
    <xf numFmtId="176" fontId="6" fillId="0" borderId="10" xfId="0" applyNumberFormat="1" applyFont="1" applyFill="1" applyBorder="1" applyAlignment="1" applyProtection="1">
      <alignment horizontal="left" vertical="top" wrapText="1"/>
      <protection hidden="1"/>
    </xf>
    <xf numFmtId="0" fontId="6" fillId="0" borderId="10" xfId="0" applyFont="1" applyFill="1" applyBorder="1" applyAlignment="1" applyProtection="1">
      <alignment horizontal="center" vertical="top" wrapText="1"/>
      <protection hidden="1"/>
    </xf>
    <xf numFmtId="0" fontId="6" fillId="0" borderId="10" xfId="0" applyFont="1" applyFill="1" applyBorder="1" applyAlignment="1" applyProtection="1">
      <alignment vertical="top"/>
      <protection locked="0"/>
    </xf>
    <xf numFmtId="0" fontId="6" fillId="0" borderId="10" xfId="0" applyFont="1" applyFill="1" applyBorder="1" applyAlignment="1" applyProtection="1">
      <alignment vertical="top"/>
      <protection hidden="1"/>
    </xf>
    <xf numFmtId="0" fontId="6" fillId="0" borderId="10" xfId="0" applyFont="1" applyFill="1" applyBorder="1" applyAlignment="1" applyProtection="1">
      <alignment horizontal="center" vertical="top"/>
      <protection hidden="1"/>
    </xf>
    <xf numFmtId="49" fontId="23" fillId="0" borderId="10" xfId="0" quotePrefix="1" applyNumberFormat="1" applyFont="1" applyFill="1" applyBorder="1" applyAlignment="1" applyProtection="1">
      <alignment horizontal="right" vertical="top"/>
      <protection hidden="1"/>
    </xf>
    <xf numFmtId="49" fontId="6" fillId="0" borderId="10" xfId="0" applyNumberFormat="1" applyFont="1" applyFill="1" applyBorder="1" applyAlignment="1" applyProtection="1">
      <alignment horizontal="right" vertical="top"/>
      <protection hidden="1"/>
    </xf>
    <xf numFmtId="0" fontId="6" fillId="0" borderId="10" xfId="0" quotePrefix="1" applyFont="1" applyFill="1" applyBorder="1" applyAlignment="1" applyProtection="1">
      <alignment horizontal="center" vertical="top" wrapText="1"/>
      <protection hidden="1"/>
    </xf>
    <xf numFmtId="49" fontId="23" fillId="0" borderId="10" xfId="0" applyNumberFormat="1" applyFont="1" applyFill="1" applyBorder="1" applyAlignment="1" applyProtection="1">
      <alignment horizontal="right" vertical="top"/>
      <protection hidden="1"/>
    </xf>
    <xf numFmtId="173" fontId="6" fillId="0" borderId="10" xfId="1" applyNumberFormat="1" applyFont="1" applyFill="1" applyBorder="1" applyAlignment="1" applyProtection="1">
      <alignment vertical="top"/>
      <protection hidden="1"/>
    </xf>
    <xf numFmtId="0" fontId="6" fillId="0" borderId="10" xfId="0" applyFont="1" applyBorder="1" applyAlignment="1" applyProtection="1">
      <alignment vertical="top"/>
      <protection hidden="1"/>
    </xf>
    <xf numFmtId="0" fontId="6" fillId="0" borderId="0" xfId="0" applyFont="1" applyFill="1" applyBorder="1" applyAlignment="1" applyProtection="1">
      <alignment horizontal="center" vertical="top" wrapText="1"/>
    </xf>
    <xf numFmtId="0" fontId="6" fillId="0" borderId="0" xfId="0" applyFont="1" applyFill="1" applyBorder="1" applyAlignment="1" applyProtection="1">
      <alignment vertical="top" wrapText="1"/>
    </xf>
    <xf numFmtId="0" fontId="6" fillId="0" borderId="0" xfId="0" applyFont="1" applyFill="1" applyBorder="1" applyAlignment="1" applyProtection="1">
      <alignment vertical="top"/>
    </xf>
    <xf numFmtId="0" fontId="6" fillId="0" borderId="0" xfId="0" applyFont="1" applyFill="1" applyBorder="1" applyAlignment="1" applyProtection="1">
      <alignment vertical="top"/>
      <protection hidden="1"/>
    </xf>
    <xf numFmtId="0" fontId="6" fillId="0" borderId="0" xfId="0" applyFont="1" applyFill="1" applyBorder="1" applyAlignment="1" applyProtection="1">
      <alignment horizontal="center" vertical="top"/>
      <protection hidden="1"/>
    </xf>
    <xf numFmtId="173" fontId="6" fillId="0" borderId="0" xfId="1" applyNumberFormat="1" applyFont="1" applyFill="1" applyBorder="1" applyAlignment="1" applyProtection="1">
      <alignment horizontal="right" vertical="top" wrapText="1"/>
    </xf>
    <xf numFmtId="177" fontId="6" fillId="0" borderId="0" xfId="1" applyNumberFormat="1" applyFont="1" applyFill="1" applyBorder="1" applyAlignment="1" applyProtection="1">
      <alignment horizontal="center" vertical="top" wrapText="1"/>
    </xf>
    <xf numFmtId="0" fontId="29" fillId="0" borderId="0" xfId="0" applyFont="1" applyAlignment="1" applyProtection="1">
      <alignment horizontal="right" vertical="top"/>
    </xf>
    <xf numFmtId="173" fontId="6" fillId="0" borderId="0" xfId="0" applyNumberFormat="1" applyFont="1" applyBorder="1" applyAlignment="1" applyProtection="1">
      <alignment horizontal="justify" vertical="top"/>
    </xf>
    <xf numFmtId="177" fontId="16" fillId="0" borderId="0" xfId="1" applyNumberFormat="1" applyFont="1" applyAlignment="1" applyProtection="1"/>
    <xf numFmtId="177" fontId="16" fillId="0" borderId="0" xfId="1" applyNumberFormat="1" applyFont="1" applyAlignment="1" applyProtection="1">
      <alignment horizontal="right"/>
    </xf>
    <xf numFmtId="177" fontId="16" fillId="0" borderId="0" xfId="1" applyNumberFormat="1" applyFont="1" applyAlignment="1" applyProtection="1">
      <alignment horizontal="center"/>
    </xf>
    <xf numFmtId="173" fontId="16" fillId="0" borderId="0" xfId="1" applyNumberFormat="1" applyFont="1" applyAlignment="1" applyProtection="1"/>
    <xf numFmtId="0" fontId="16" fillId="0" borderId="0" xfId="0" applyFont="1" applyAlignment="1" applyProtection="1">
      <alignment horizontal="center"/>
    </xf>
    <xf numFmtId="173" fontId="16" fillId="0" borderId="0" xfId="0" applyNumberFormat="1" applyFont="1" applyAlignment="1" applyProtection="1"/>
    <xf numFmtId="0" fontId="6" fillId="0" borderId="0" xfId="11" applyFont="1" applyAlignment="1">
      <alignment wrapText="1"/>
    </xf>
    <xf numFmtId="173" fontId="6" fillId="0" borderId="0" xfId="1" applyNumberFormat="1" applyFont="1"/>
    <xf numFmtId="173" fontId="23" fillId="0" borderId="20" xfId="1" applyNumberFormat="1" applyFont="1" applyBorder="1" applyProtection="1">
      <protection hidden="1"/>
    </xf>
    <xf numFmtId="0" fontId="32" fillId="0" borderId="0" xfId="11" applyFont="1" applyBorder="1"/>
    <xf numFmtId="0" fontId="32" fillId="0" borderId="0" xfId="11" applyFont="1"/>
    <xf numFmtId="172" fontId="17" fillId="0" borderId="0" xfId="12" applyNumberFormat="1" applyFont="1" applyAlignment="1">
      <alignment vertical="center"/>
    </xf>
    <xf numFmtId="0" fontId="6" fillId="0" borderId="0" xfId="0" applyFont="1" applyAlignment="1">
      <alignment vertical="top"/>
    </xf>
    <xf numFmtId="0" fontId="6" fillId="2" borderId="12" xfId="11" applyFont="1" applyFill="1" applyBorder="1" applyAlignment="1">
      <alignment horizontal="center" vertical="center" wrapText="1"/>
    </xf>
    <xf numFmtId="173" fontId="6" fillId="2" borderId="13" xfId="1" applyNumberFormat="1" applyFont="1" applyFill="1" applyBorder="1" applyAlignment="1">
      <alignment horizontal="centerContinuous" vertical="center" wrapText="1"/>
    </xf>
    <xf numFmtId="173" fontId="6" fillId="2" borderId="14" xfId="1" applyNumberFormat="1" applyFont="1" applyFill="1" applyBorder="1" applyAlignment="1">
      <alignment horizontal="centerContinuous" vertical="center" wrapText="1"/>
    </xf>
    <xf numFmtId="173" fontId="6" fillId="2" borderId="21" xfId="1" applyNumberFormat="1" applyFont="1" applyFill="1" applyBorder="1" applyAlignment="1">
      <alignment horizontal="centerContinuous" vertical="center" wrapText="1"/>
    </xf>
    <xf numFmtId="173" fontId="6" fillId="2" borderId="15" xfId="1" applyNumberFormat="1" applyFont="1" applyFill="1" applyBorder="1" applyAlignment="1">
      <alignment horizontal="centerContinuous" vertical="center" wrapText="1"/>
    </xf>
    <xf numFmtId="0" fontId="32" fillId="0" borderId="0" xfId="11" applyFont="1" applyFill="1" applyBorder="1"/>
    <xf numFmtId="0" fontId="32" fillId="0" borderId="0" xfId="11" applyFont="1" applyFill="1"/>
    <xf numFmtId="0" fontId="6" fillId="2" borderId="0" xfId="11" applyFont="1" applyFill="1" applyBorder="1" applyAlignment="1">
      <alignment horizontal="center" vertical="center" wrapText="1"/>
    </xf>
    <xf numFmtId="0" fontId="32" fillId="0" borderId="0" xfId="11" applyFont="1" applyFill="1" applyBorder="1" applyAlignment="1">
      <alignment vertical="center" wrapText="1"/>
    </xf>
    <xf numFmtId="0" fontId="32" fillId="0" borderId="0" xfId="11" applyFont="1" applyFill="1" applyBorder="1" applyAlignment="1">
      <alignment wrapText="1"/>
    </xf>
    <xf numFmtId="0" fontId="32" fillId="0" borderId="0" xfId="11" applyFont="1" applyFill="1" applyAlignment="1">
      <alignment wrapText="1"/>
    </xf>
    <xf numFmtId="0" fontId="6" fillId="0" borderId="14" xfId="11" applyFont="1" applyFill="1" applyBorder="1" applyAlignment="1">
      <alignment vertical="top" wrapText="1"/>
    </xf>
    <xf numFmtId="0" fontId="6" fillId="0" borderId="10" xfId="11" applyFont="1" applyFill="1" applyBorder="1" applyAlignment="1" applyProtection="1">
      <alignment vertical="top" wrapText="1"/>
      <protection hidden="1"/>
    </xf>
    <xf numFmtId="173" fontId="6" fillId="3" borderId="14" xfId="1" applyNumberFormat="1" applyFont="1" applyFill="1" applyBorder="1" applyAlignment="1">
      <alignment horizontal="right" vertical="top" wrapText="1"/>
    </xf>
    <xf numFmtId="173" fontId="6" fillId="3" borderId="15" xfId="1" applyNumberFormat="1" applyFont="1" applyFill="1" applyBorder="1" applyAlignment="1">
      <alignment horizontal="right" vertical="top" wrapText="1"/>
    </xf>
    <xf numFmtId="0" fontId="32" fillId="0" borderId="0" xfId="11" applyFont="1" applyAlignment="1">
      <alignment vertical="top" wrapText="1"/>
    </xf>
    <xf numFmtId="176" fontId="6" fillId="0" borderId="16" xfId="0" applyNumberFormat="1" applyFont="1" applyBorder="1" applyAlignment="1">
      <alignment horizontal="center" vertical="top"/>
    </xf>
    <xf numFmtId="176" fontId="6" fillId="0" borderId="18" xfId="0" applyNumberFormat="1" applyFont="1" applyBorder="1" applyAlignment="1">
      <alignment vertical="top" wrapText="1"/>
    </xf>
    <xf numFmtId="0" fontId="6" fillId="0" borderId="10" xfId="11" quotePrefix="1" applyFont="1" applyBorder="1" applyAlignment="1" applyProtection="1">
      <alignment horizontal="right" vertical="top"/>
      <protection hidden="1"/>
    </xf>
    <xf numFmtId="173" fontId="6" fillId="3" borderId="18" xfId="1" applyNumberFormat="1" applyFont="1" applyFill="1" applyBorder="1" applyAlignment="1" applyProtection="1">
      <alignment horizontal="right" vertical="top"/>
      <protection hidden="1"/>
    </xf>
    <xf numFmtId="0" fontId="32" fillId="0" borderId="0" xfId="11" applyFont="1" applyAlignment="1">
      <alignment vertical="top"/>
    </xf>
    <xf numFmtId="176" fontId="6" fillId="0" borderId="10" xfId="0" applyNumberFormat="1" applyFont="1" applyBorder="1" applyAlignment="1">
      <alignment horizontal="center" vertical="top"/>
    </xf>
    <xf numFmtId="176" fontId="6" fillId="0" borderId="15" xfId="0" applyNumberFormat="1" applyFont="1" applyBorder="1" applyAlignment="1">
      <alignment vertical="top" wrapText="1"/>
    </xf>
    <xf numFmtId="173" fontId="6" fillId="3" borderId="15" xfId="1" applyNumberFormat="1" applyFont="1" applyFill="1" applyBorder="1" applyAlignment="1" applyProtection="1">
      <alignment horizontal="right" vertical="top"/>
      <protection hidden="1"/>
    </xf>
    <xf numFmtId="176" fontId="6" fillId="0" borderId="19" xfId="0" applyNumberFormat="1" applyFont="1" applyBorder="1" applyAlignment="1">
      <alignment horizontal="center" vertical="top"/>
    </xf>
    <xf numFmtId="176" fontId="6" fillId="0" borderId="11" xfId="0" applyNumberFormat="1" applyFont="1" applyBorder="1" applyAlignment="1">
      <alignment vertical="top" wrapText="1"/>
    </xf>
    <xf numFmtId="173" fontId="19" fillId="0" borderId="11" xfId="1" applyNumberFormat="1" applyFont="1" applyFill="1" applyBorder="1" applyAlignment="1" applyProtection="1">
      <alignment vertical="top"/>
      <protection hidden="1"/>
    </xf>
    <xf numFmtId="173" fontId="6" fillId="3" borderId="11" xfId="1" applyNumberFormat="1" applyFont="1" applyFill="1" applyBorder="1" applyAlignment="1" applyProtection="1">
      <alignment horizontal="right" vertical="top"/>
      <protection hidden="1"/>
    </xf>
    <xf numFmtId="179" fontId="32" fillId="0" borderId="0" xfId="11" applyNumberFormat="1" applyFont="1" applyAlignment="1">
      <alignment vertical="top"/>
    </xf>
    <xf numFmtId="176" fontId="6" fillId="0" borderId="14" xfId="0" applyNumberFormat="1" applyFont="1" applyBorder="1" applyAlignment="1">
      <alignment vertical="top"/>
    </xf>
    <xf numFmtId="0" fontId="6" fillId="0" borderId="10" xfId="11" applyFont="1" applyBorder="1" applyAlignment="1" applyProtection="1">
      <alignment horizontal="right" vertical="top"/>
      <protection hidden="1"/>
    </xf>
    <xf numFmtId="173" fontId="6" fillId="3" borderId="14" xfId="1" applyNumberFormat="1" applyFont="1" applyFill="1" applyBorder="1" applyAlignment="1" applyProtection="1">
      <alignment vertical="top"/>
      <protection hidden="1"/>
    </xf>
    <xf numFmtId="176" fontId="6" fillId="0" borderId="18" xfId="0" applyNumberFormat="1" applyFont="1" applyBorder="1" applyAlignment="1">
      <alignment horizontal="left" vertical="top" wrapText="1"/>
    </xf>
    <xf numFmtId="176" fontId="6" fillId="0" borderId="15" xfId="0" applyNumberFormat="1" applyFont="1" applyBorder="1" applyAlignment="1">
      <alignment horizontal="left" vertical="top" wrapText="1"/>
    </xf>
    <xf numFmtId="173" fontId="30" fillId="3" borderId="15" xfId="1" applyNumberFormat="1" applyFont="1" applyFill="1" applyBorder="1" applyAlignment="1" applyProtection="1">
      <alignment vertical="top"/>
    </xf>
    <xf numFmtId="173" fontId="30" fillId="3" borderId="10" xfId="1" applyNumberFormat="1" applyFont="1" applyFill="1" applyBorder="1" applyAlignment="1" applyProtection="1">
      <alignment vertical="top"/>
    </xf>
    <xf numFmtId="173" fontId="30" fillId="3" borderId="15" xfId="1" applyNumberFormat="1" applyFont="1" applyFill="1" applyBorder="1" applyAlignment="1" applyProtection="1">
      <alignment horizontal="right" vertical="top"/>
      <protection hidden="1"/>
    </xf>
    <xf numFmtId="173" fontId="28" fillId="3" borderId="15" xfId="1" applyNumberFormat="1" applyFont="1" applyFill="1" applyBorder="1" applyAlignment="1" applyProtection="1">
      <alignment vertical="top"/>
    </xf>
    <xf numFmtId="173" fontId="19" fillId="0" borderId="15" xfId="1" applyNumberFormat="1" applyFont="1" applyFill="1" applyBorder="1" applyAlignment="1" applyProtection="1">
      <alignment vertical="top"/>
      <protection hidden="1"/>
    </xf>
    <xf numFmtId="173" fontId="19" fillId="0" borderId="10" xfId="1" applyNumberFormat="1" applyFont="1" applyFill="1" applyBorder="1" applyAlignment="1" applyProtection="1">
      <alignment horizontal="right" vertical="top"/>
      <protection hidden="1"/>
    </xf>
    <xf numFmtId="173" fontId="6" fillId="3" borderId="15" xfId="1" applyNumberFormat="1" applyFont="1" applyFill="1" applyBorder="1" applyAlignment="1" applyProtection="1">
      <alignment horizontal="center" vertical="top"/>
      <protection hidden="1"/>
    </xf>
    <xf numFmtId="173" fontId="6" fillId="3" borderId="10" xfId="1" applyNumberFormat="1" applyFont="1" applyFill="1" applyBorder="1" applyAlignment="1" applyProtection="1">
      <alignment horizontal="center" vertical="top"/>
      <protection hidden="1"/>
    </xf>
    <xf numFmtId="173" fontId="6" fillId="3" borderId="11" xfId="1" applyNumberFormat="1" applyFont="1" applyFill="1" applyBorder="1" applyAlignment="1" applyProtection="1">
      <alignment horizontal="center" vertical="top"/>
      <protection hidden="1"/>
    </xf>
    <xf numFmtId="173" fontId="6" fillId="3" borderId="19" xfId="1" applyNumberFormat="1" applyFont="1" applyFill="1" applyBorder="1" applyAlignment="1" applyProtection="1">
      <alignment horizontal="center" vertical="top"/>
      <protection hidden="1"/>
    </xf>
    <xf numFmtId="0" fontId="23" fillId="0" borderId="0" xfId="11" quotePrefix="1" applyFont="1" applyAlignment="1" applyProtection="1">
      <alignment horizontal="center" wrapText="1"/>
      <protection hidden="1"/>
    </xf>
    <xf numFmtId="0" fontId="29" fillId="0" borderId="0" xfId="11" applyFont="1" applyAlignment="1">
      <alignment horizontal="center" vertical="top"/>
    </xf>
    <xf numFmtId="173" fontId="6" fillId="0" borderId="0" xfId="1" applyNumberFormat="1" applyFont="1" applyAlignment="1">
      <alignment vertical="top"/>
    </xf>
    <xf numFmtId="0" fontId="32" fillId="0" borderId="0" xfId="11" applyFont="1" applyAlignment="1">
      <alignment horizontal="justify" vertical="justify"/>
    </xf>
    <xf numFmtId="173" fontId="32" fillId="0" borderId="0" xfId="1" applyNumberFormat="1" applyFont="1" applyAlignment="1">
      <alignment vertical="top"/>
    </xf>
    <xf numFmtId="0" fontId="32" fillId="0" borderId="0" xfId="11" applyFont="1" applyAlignment="1">
      <alignment wrapText="1"/>
    </xf>
    <xf numFmtId="173" fontId="32" fillId="0" borderId="0" xfId="1" applyNumberFormat="1" applyFont="1"/>
    <xf numFmtId="0" fontId="6" fillId="2" borderId="22" xfId="11" applyFont="1" applyFill="1" applyBorder="1" applyAlignment="1">
      <alignment horizontal="center" vertical="center" wrapText="1"/>
    </xf>
    <xf numFmtId="0" fontId="6" fillId="2" borderId="23" xfId="11" applyFont="1" applyFill="1" applyBorder="1" applyAlignment="1">
      <alignment horizontal="center" vertical="center" wrapText="1"/>
    </xf>
    <xf numFmtId="0" fontId="6" fillId="0" borderId="14" xfId="11" applyFont="1" applyFill="1" applyBorder="1" applyAlignment="1" applyProtection="1">
      <alignment vertical="top" wrapText="1"/>
      <protection hidden="1"/>
    </xf>
    <xf numFmtId="0" fontId="6" fillId="0" borderId="11" xfId="11" quotePrefix="1" applyFont="1" applyBorder="1" applyAlignment="1" applyProtection="1">
      <alignment horizontal="right" vertical="top"/>
      <protection hidden="1"/>
    </xf>
    <xf numFmtId="0" fontId="6" fillId="0" borderId="14" xfId="11" applyFont="1" applyBorder="1" applyAlignment="1" applyProtection="1">
      <alignment horizontal="right" vertical="top"/>
      <protection hidden="1"/>
    </xf>
    <xf numFmtId="0" fontId="6" fillId="0" borderId="15" xfId="11" quotePrefix="1" applyFont="1" applyBorder="1" applyAlignment="1" applyProtection="1">
      <alignment horizontal="right" vertical="top"/>
      <protection hidden="1"/>
    </xf>
    <xf numFmtId="9" fontId="19" fillId="0" borderId="10" xfId="13" quotePrefix="1" applyFont="1" applyBorder="1" applyAlignment="1" applyProtection="1">
      <alignment horizontal="center" vertical="top" wrapText="1"/>
      <protection hidden="1"/>
    </xf>
    <xf numFmtId="0" fontId="35" fillId="6" borderId="0" xfId="8" applyFont="1" applyFill="1" applyProtection="1">
      <protection hidden="1"/>
    </xf>
    <xf numFmtId="0" fontId="35" fillId="6" borderId="0" xfId="8" applyFont="1" applyFill="1" applyAlignment="1" applyProtection="1">
      <alignment horizontal="center"/>
      <protection hidden="1"/>
    </xf>
    <xf numFmtId="0" fontId="37" fillId="6" borderId="0" xfId="6" applyFont="1" applyFill="1"/>
    <xf numFmtId="0" fontId="35" fillId="6" borderId="0" xfId="8" quotePrefix="1" applyFont="1" applyFill="1" applyProtection="1">
      <protection hidden="1"/>
    </xf>
    <xf numFmtId="180" fontId="35" fillId="6" borderId="0" xfId="8" applyNumberFormat="1" applyFont="1" applyFill="1" applyProtection="1">
      <protection hidden="1"/>
    </xf>
    <xf numFmtId="0" fontId="6" fillId="0" borderId="0" xfId="10" applyFont="1" applyAlignment="1" applyProtection="1">
      <alignment horizontal="left" vertical="center"/>
    </xf>
    <xf numFmtId="0" fontId="7" fillId="0" borderId="0" xfId="10" applyFont="1" applyAlignment="1" applyProtection="1">
      <alignment horizontal="center" vertical="center"/>
    </xf>
    <xf numFmtId="0" fontId="6" fillId="0" borderId="0" xfId="10" applyFont="1" applyAlignment="1" applyProtection="1">
      <alignment horizontal="center" vertical="center"/>
    </xf>
    <xf numFmtId="0" fontId="12" fillId="0" borderId="0" xfId="10" applyFont="1" applyAlignment="1" applyProtection="1">
      <alignment horizontal="center" vertical="center"/>
    </xf>
    <xf numFmtId="0" fontId="6" fillId="0" borderId="0" xfId="10" applyFont="1" applyBorder="1" applyAlignment="1" applyProtection="1">
      <alignment horizontal="center" vertical="center" wrapText="1"/>
    </xf>
    <xf numFmtId="0" fontId="12" fillId="0" borderId="9" xfId="10" applyFont="1" applyBorder="1" applyAlignment="1" applyProtection="1">
      <alignment horizontal="center" vertical="center"/>
      <protection hidden="1"/>
    </xf>
    <xf numFmtId="170" fontId="12" fillId="0" borderId="9" xfId="10" applyNumberFormat="1" applyFont="1" applyBorder="1" applyAlignment="1" applyProtection="1">
      <alignment horizontal="center" vertical="center" wrapText="1"/>
      <protection hidden="1"/>
    </xf>
    <xf numFmtId="0" fontId="12" fillId="0" borderId="9" xfId="10" applyFont="1" applyBorder="1" applyAlignment="1" applyProtection="1">
      <alignment horizontal="center"/>
      <protection hidden="1"/>
    </xf>
    <xf numFmtId="0" fontId="6" fillId="0" borderId="12" xfId="10" applyFont="1" applyBorder="1" applyAlignment="1" applyProtection="1">
      <alignment horizontal="center" vertical="center"/>
    </xf>
    <xf numFmtId="0" fontId="4" fillId="0" borderId="2" xfId="10" applyFont="1" applyBorder="1" applyAlignment="1" applyProtection="1">
      <alignment horizontal="center" vertical="center" wrapText="1"/>
    </xf>
    <xf numFmtId="0" fontId="13" fillId="0" borderId="9" xfId="10" applyFont="1" applyBorder="1" applyAlignment="1" applyProtection="1">
      <alignment horizontal="left" vertical="center"/>
      <protection locked="0"/>
    </xf>
    <xf numFmtId="0" fontId="13" fillId="0" borderId="14" xfId="10" applyFont="1" applyBorder="1" applyAlignment="1" applyProtection="1">
      <alignment horizontal="left" vertical="center"/>
      <protection locked="0"/>
    </xf>
    <xf numFmtId="0" fontId="4" fillId="0" borderId="0" xfId="10" applyFont="1" applyAlignment="1" applyProtection="1">
      <alignment horizontal="center" vertical="center"/>
    </xf>
    <xf numFmtId="0" fontId="3" fillId="0" borderId="0" xfId="10" applyFont="1" applyBorder="1" applyAlignment="1" applyProtection="1">
      <alignment horizontal="left" vertical="center"/>
    </xf>
    <xf numFmtId="171" fontId="12" fillId="0" borderId="9" xfId="10" applyNumberFormat="1" applyFont="1" applyBorder="1" applyAlignment="1" applyProtection="1">
      <alignment horizontal="center" vertical="center" wrapText="1"/>
      <protection hidden="1"/>
    </xf>
    <xf numFmtId="0" fontId="6" fillId="0" borderId="24" xfId="10" applyFont="1" applyBorder="1" applyAlignment="1" applyProtection="1">
      <alignment horizontal="center" vertical="center" wrapText="1"/>
    </xf>
    <xf numFmtId="0" fontId="4" fillId="0" borderId="0" xfId="10" applyFont="1" applyAlignment="1" applyProtection="1">
      <alignment horizontal="left" vertical="center"/>
    </xf>
    <xf numFmtId="0" fontId="4" fillId="0" borderId="9" xfId="10" applyFont="1" applyBorder="1" applyAlignment="1" applyProtection="1">
      <alignment horizontal="left" vertical="center"/>
      <protection locked="0"/>
    </xf>
    <xf numFmtId="0" fontId="3" fillId="0" borderId="0" xfId="10" applyFont="1" applyAlignment="1" applyProtection="1">
      <alignment horizontal="left" vertical="center"/>
    </xf>
    <xf numFmtId="0" fontId="3" fillId="0" borderId="9" xfId="10" applyFont="1" applyBorder="1" applyAlignment="1" applyProtection="1">
      <alignment horizontal="center" vertical="center"/>
      <protection locked="0"/>
    </xf>
    <xf numFmtId="0" fontId="3" fillId="0" borderId="0" xfId="10" applyFont="1" applyAlignment="1" applyProtection="1">
      <alignment horizontal="right" vertical="center"/>
    </xf>
    <xf numFmtId="0" fontId="3" fillId="0" borderId="0" xfId="10" applyFont="1" applyAlignment="1" applyProtection="1">
      <alignment horizontal="center" vertical="center"/>
    </xf>
    <xf numFmtId="0" fontId="3" fillId="0" borderId="0" xfId="10" applyFont="1" applyBorder="1" applyAlignment="1" applyProtection="1">
      <alignment horizontal="center" vertical="center"/>
    </xf>
    <xf numFmtId="0" fontId="4" fillId="0" borderId="0" xfId="10" applyFont="1" applyBorder="1" applyAlignment="1" applyProtection="1">
      <alignment horizontal="center" vertical="center"/>
    </xf>
    <xf numFmtId="0" fontId="14" fillId="0" borderId="9" xfId="10" applyFont="1" applyBorder="1" applyAlignment="1" applyProtection="1">
      <alignment horizontal="center" vertical="center"/>
      <protection locked="0"/>
    </xf>
    <xf numFmtId="0" fontId="3" fillId="0" borderId="12" xfId="10" applyFont="1" applyBorder="1" applyAlignment="1" applyProtection="1">
      <alignment horizontal="left" vertical="center"/>
    </xf>
    <xf numFmtId="0" fontId="3" fillId="0" borderId="14" xfId="10" applyFont="1" applyBorder="1" applyAlignment="1" applyProtection="1">
      <alignment horizontal="center" vertical="center"/>
      <protection locked="0"/>
    </xf>
    <xf numFmtId="0" fontId="4" fillId="0" borderId="0" xfId="10" applyFont="1" applyBorder="1" applyAlignment="1" applyProtection="1">
      <alignment horizontal="left" vertical="center"/>
    </xf>
    <xf numFmtId="0" fontId="3" fillId="0" borderId="12" xfId="10" applyFont="1" applyBorder="1" applyAlignment="1" applyProtection="1">
      <alignment horizontal="center" vertical="center"/>
    </xf>
    <xf numFmtId="0" fontId="4" fillId="0" borderId="9" xfId="10" applyFont="1" applyBorder="1" applyAlignment="1" applyProtection="1">
      <alignment horizontal="center" vertical="center"/>
      <protection locked="0"/>
    </xf>
    <xf numFmtId="173" fontId="6" fillId="2" borderId="22" xfId="1" applyNumberFormat="1" applyFont="1" applyFill="1" applyBorder="1" applyAlignment="1" applyProtection="1">
      <alignment horizontal="center" vertical="center"/>
    </xf>
    <xf numFmtId="173" fontId="6" fillId="2" borderId="11" xfId="1" applyNumberFormat="1" applyFont="1" applyFill="1" applyBorder="1" applyAlignment="1" applyProtection="1">
      <alignment horizontal="center" vertical="center"/>
    </xf>
    <xf numFmtId="172" fontId="24" fillId="0" borderId="0" xfId="12" applyNumberFormat="1" applyFont="1" applyAlignment="1" applyProtection="1">
      <alignment horizontal="left" vertical="top" wrapText="1"/>
    </xf>
    <xf numFmtId="172" fontId="6" fillId="0" borderId="0" xfId="12" applyNumberFormat="1" applyFont="1" applyAlignment="1" applyProtection="1">
      <alignment horizontal="left" vertical="top" wrapText="1"/>
    </xf>
    <xf numFmtId="172" fontId="6" fillId="2" borderId="10" xfId="12" applyNumberFormat="1" applyFont="1" applyFill="1" applyBorder="1" applyAlignment="1" applyProtection="1">
      <alignment horizontal="center" vertical="center"/>
    </xf>
    <xf numFmtId="172" fontId="6" fillId="2" borderId="19" xfId="12" applyNumberFormat="1" applyFont="1" applyFill="1" applyBorder="1" applyAlignment="1" applyProtection="1">
      <alignment horizontal="center" vertical="center"/>
    </xf>
    <xf numFmtId="172" fontId="6" fillId="2" borderId="16" xfId="12" applyNumberFormat="1" applyFont="1" applyFill="1" applyBorder="1" applyAlignment="1" applyProtection="1">
      <alignment horizontal="center" vertical="center"/>
    </xf>
    <xf numFmtId="173" fontId="6" fillId="2" borderId="10" xfId="1" applyNumberFormat="1" applyFont="1" applyFill="1" applyBorder="1" applyAlignment="1" applyProtection="1">
      <alignment horizontal="center" vertical="center"/>
    </xf>
    <xf numFmtId="0" fontId="6" fillId="2" borderId="19" xfId="0" applyFont="1" applyFill="1" applyBorder="1" applyAlignment="1" applyProtection="1">
      <alignment horizontal="center" vertical="center" wrapText="1"/>
    </xf>
    <xf numFmtId="0" fontId="6" fillId="2" borderId="16" xfId="0" applyFont="1" applyFill="1" applyBorder="1" applyAlignment="1" applyProtection="1">
      <alignment horizontal="center" vertical="center" wrapText="1"/>
    </xf>
    <xf numFmtId="0" fontId="6" fillId="2" borderId="22" xfId="0" applyFont="1" applyFill="1" applyBorder="1" applyAlignment="1" applyProtection="1">
      <alignment horizontal="center" vertical="center"/>
    </xf>
    <xf numFmtId="0" fontId="6" fillId="2" borderId="12" xfId="0" applyFont="1" applyFill="1" applyBorder="1" applyAlignment="1" applyProtection="1">
      <alignment horizontal="center" vertical="center"/>
    </xf>
    <xf numFmtId="0" fontId="6" fillId="2" borderId="11" xfId="0" applyFont="1" applyFill="1" applyBorder="1" applyAlignment="1" applyProtection="1">
      <alignment horizontal="center" vertical="center"/>
    </xf>
    <xf numFmtId="0" fontId="6" fillId="2" borderId="17" xfId="0" applyFont="1" applyFill="1" applyBorder="1" applyAlignment="1" applyProtection="1">
      <alignment horizontal="center" vertical="center"/>
    </xf>
    <xf numFmtId="0" fontId="6" fillId="2" borderId="9" xfId="0" applyFont="1" applyFill="1" applyBorder="1" applyAlignment="1" applyProtection="1">
      <alignment horizontal="center" vertical="center"/>
    </xf>
    <xf numFmtId="0" fontId="6" fillId="2" borderId="18" xfId="0" applyFont="1" applyFill="1" applyBorder="1" applyAlignment="1" applyProtection="1">
      <alignment horizontal="center" vertical="center"/>
    </xf>
    <xf numFmtId="0" fontId="6" fillId="0" borderId="10" xfId="0" applyFont="1" applyFill="1" applyBorder="1" applyAlignment="1" applyProtection="1">
      <alignment horizontal="left" vertical="top" wrapText="1"/>
    </xf>
    <xf numFmtId="0" fontId="6" fillId="0" borderId="10" xfId="0" applyFont="1" applyBorder="1" applyAlignment="1" applyProtection="1">
      <alignment horizontal="left" vertical="top" wrapText="1"/>
    </xf>
    <xf numFmtId="0" fontId="6" fillId="2" borderId="19" xfId="0" applyFont="1" applyFill="1" applyBorder="1" applyAlignment="1" applyProtection="1">
      <alignment horizontal="center" vertical="center"/>
    </xf>
    <xf numFmtId="0" fontId="6" fillId="2" borderId="16" xfId="0" applyFont="1" applyFill="1" applyBorder="1" applyAlignment="1" applyProtection="1">
      <alignment horizontal="center" vertical="center"/>
    </xf>
    <xf numFmtId="0" fontId="6" fillId="4" borderId="10" xfId="0" applyFont="1" applyFill="1" applyBorder="1" applyAlignment="1">
      <alignment horizontal="left" vertical="center" wrapText="1"/>
    </xf>
    <xf numFmtId="0" fontId="6" fillId="4" borderId="13" xfId="0" applyFont="1" applyFill="1" applyBorder="1" applyAlignment="1">
      <alignment horizontal="left" vertical="center" wrapText="1"/>
    </xf>
    <xf numFmtId="0" fontId="6" fillId="4" borderId="14" xfId="0" applyFont="1" applyFill="1" applyBorder="1" applyAlignment="1">
      <alignment horizontal="left" vertical="center" wrapText="1"/>
    </xf>
    <xf numFmtId="0" fontId="6" fillId="4" borderId="15" xfId="0" applyFont="1" applyFill="1" applyBorder="1" applyAlignment="1">
      <alignment horizontal="left" vertical="center" wrapText="1"/>
    </xf>
    <xf numFmtId="0" fontId="6" fillId="4" borderId="10" xfId="0" applyFont="1" applyFill="1" applyBorder="1" applyAlignment="1">
      <alignment horizontal="left" vertical="top" wrapText="1"/>
    </xf>
    <xf numFmtId="0" fontId="6" fillId="0" borderId="10" xfId="0" applyFont="1" applyBorder="1" applyAlignment="1">
      <alignment horizontal="left" vertical="center" wrapText="1"/>
    </xf>
    <xf numFmtId="0" fontId="6" fillId="0" borderId="13"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0" xfId="0" applyFont="1" applyBorder="1" applyAlignment="1">
      <alignment vertical="center" wrapText="1"/>
    </xf>
    <xf numFmtId="0" fontId="6" fillId="0" borderId="13" xfId="0" applyFont="1" applyBorder="1" applyAlignment="1" applyProtection="1">
      <alignment horizontal="left" vertical="top" wrapText="1"/>
    </xf>
    <xf numFmtId="0" fontId="6" fillId="0" borderId="15" xfId="0" applyFont="1" applyBorder="1" applyAlignment="1" applyProtection="1">
      <alignment horizontal="left" vertical="top" wrapText="1"/>
    </xf>
    <xf numFmtId="0" fontId="6" fillId="0" borderId="13" xfId="0" applyFont="1" applyBorder="1" applyAlignment="1">
      <alignment horizontal="left" vertical="center" wrapText="1"/>
    </xf>
    <xf numFmtId="0" fontId="6" fillId="0" borderId="15" xfId="0" applyFont="1" applyBorder="1" applyAlignment="1">
      <alignment horizontal="left" vertical="center" wrapText="1"/>
    </xf>
    <xf numFmtId="0" fontId="6" fillId="0" borderId="14" xfId="0" applyFont="1" applyBorder="1" applyAlignment="1" applyProtection="1">
      <alignment horizontal="left" vertical="top" wrapText="1"/>
    </xf>
    <xf numFmtId="0" fontId="6" fillId="0" borderId="13" xfId="0" applyFont="1" applyBorder="1" applyAlignment="1" applyProtection="1">
      <alignment horizontal="left" vertical="center" wrapText="1"/>
    </xf>
    <xf numFmtId="0" fontId="6" fillId="0" borderId="14" xfId="0" applyFont="1" applyBorder="1" applyAlignment="1" applyProtection="1">
      <alignment horizontal="left" vertical="center" wrapText="1"/>
    </xf>
    <xf numFmtId="0" fontId="6" fillId="0" borderId="15" xfId="0" applyFont="1" applyBorder="1" applyAlignment="1" applyProtection="1">
      <alignment horizontal="left" vertical="center" wrapText="1"/>
    </xf>
    <xf numFmtId="0" fontId="6" fillId="2" borderId="10" xfId="0" applyFont="1" applyFill="1" applyBorder="1" applyAlignment="1" applyProtection="1">
      <alignment horizontal="center" vertical="center" wrapText="1"/>
    </xf>
    <xf numFmtId="173" fontId="6" fillId="2" borderId="10" xfId="0" applyNumberFormat="1" applyFont="1" applyFill="1" applyBorder="1" applyAlignment="1" applyProtection="1">
      <alignment horizontal="center" vertical="center" wrapText="1"/>
    </xf>
    <xf numFmtId="0" fontId="6" fillId="2" borderId="19" xfId="0" applyFont="1" applyFill="1" applyBorder="1" applyAlignment="1" applyProtection="1">
      <alignment horizontal="center" vertical="center" wrapText="1"/>
      <protection hidden="1"/>
    </xf>
    <xf numFmtId="0" fontId="6" fillId="2" borderId="25" xfId="0" applyFont="1" applyFill="1" applyBorder="1" applyAlignment="1" applyProtection="1">
      <alignment horizontal="center" vertical="center" wrapText="1"/>
      <protection hidden="1"/>
    </xf>
    <xf numFmtId="0" fontId="6" fillId="2" borderId="16" xfId="0" applyFont="1" applyFill="1" applyBorder="1" applyAlignment="1" applyProtection="1">
      <alignment horizontal="center" vertical="center" wrapText="1"/>
      <protection hidden="1"/>
    </xf>
    <xf numFmtId="173" fontId="6" fillId="2" borderId="10" xfId="1" applyNumberFormat="1" applyFont="1" applyFill="1" applyBorder="1" applyAlignment="1" applyProtection="1">
      <alignment horizontal="center" vertical="center" wrapText="1"/>
    </xf>
    <xf numFmtId="177" fontId="6" fillId="2" borderId="10" xfId="1" applyNumberFormat="1" applyFont="1" applyFill="1" applyBorder="1" applyAlignment="1" applyProtection="1">
      <alignment horizontal="center" vertical="center" wrapText="1"/>
    </xf>
    <xf numFmtId="0" fontId="6" fillId="0" borderId="10" xfId="0" applyFont="1" applyFill="1" applyBorder="1" applyAlignment="1" applyProtection="1">
      <alignment horizontal="left" vertical="top"/>
    </xf>
    <xf numFmtId="0" fontId="6" fillId="0" borderId="10" xfId="0" applyFont="1" applyBorder="1" applyAlignment="1" applyProtection="1">
      <alignment horizontal="left" vertical="top"/>
    </xf>
    <xf numFmtId="0" fontId="6" fillId="0" borderId="0" xfId="0" applyFont="1" applyBorder="1" applyAlignment="1" applyProtection="1">
      <alignment horizontal="justify" vertical="top"/>
    </xf>
    <xf numFmtId="0" fontId="6" fillId="0" borderId="0" xfId="0" applyFont="1" applyBorder="1" applyAlignment="1" applyProtection="1">
      <alignment horizontal="left" vertical="center" wrapText="1"/>
    </xf>
    <xf numFmtId="0" fontId="6" fillId="0" borderId="10" xfId="0" applyFont="1" applyBorder="1" applyAlignment="1" applyProtection="1">
      <alignment vertical="top" wrapText="1"/>
    </xf>
    <xf numFmtId="0" fontId="6" fillId="0" borderId="10" xfId="0" applyFont="1" applyBorder="1" applyAlignment="1" applyProtection="1">
      <alignment vertical="top"/>
    </xf>
    <xf numFmtId="176" fontId="6" fillId="0" borderId="17" xfId="0" applyNumberFormat="1" applyFont="1" applyBorder="1" applyAlignment="1">
      <alignment vertical="top" wrapText="1"/>
    </xf>
    <xf numFmtId="176" fontId="6" fillId="0" borderId="18" xfId="0" applyNumberFormat="1" applyFont="1" applyBorder="1" applyAlignment="1">
      <alignment vertical="top" wrapText="1"/>
    </xf>
    <xf numFmtId="176" fontId="6" fillId="0" borderId="13" xfId="0" applyNumberFormat="1" applyFont="1" applyBorder="1" applyAlignment="1">
      <alignment vertical="top" wrapText="1"/>
    </xf>
    <xf numFmtId="176" fontId="6" fillId="0" borderId="15" xfId="0" applyNumberFormat="1" applyFont="1" applyBorder="1" applyAlignment="1">
      <alignment vertical="top" wrapText="1"/>
    </xf>
    <xf numFmtId="173" fontId="6" fillId="2" borderId="19" xfId="1" applyNumberFormat="1" applyFont="1" applyFill="1" applyBorder="1" applyAlignment="1">
      <alignment horizontal="center" vertical="center" wrapText="1"/>
    </xf>
    <xf numFmtId="173" fontId="6" fillId="2" borderId="25" xfId="1" applyNumberFormat="1" applyFont="1" applyFill="1" applyBorder="1" applyAlignment="1">
      <alignment horizontal="center" vertical="center" wrapText="1"/>
    </xf>
    <xf numFmtId="173" fontId="6" fillId="2" borderId="11" xfId="1" applyNumberFormat="1" applyFont="1" applyFill="1" applyBorder="1" applyAlignment="1">
      <alignment horizontal="center" vertical="center" wrapText="1"/>
    </xf>
    <xf numFmtId="173" fontId="6" fillId="2" borderId="18" xfId="1" applyNumberFormat="1" applyFont="1" applyFill="1" applyBorder="1" applyAlignment="1">
      <alignment horizontal="center" vertical="center" wrapText="1"/>
    </xf>
    <xf numFmtId="0" fontId="6" fillId="0" borderId="13" xfId="11" applyFont="1" applyFill="1" applyBorder="1" applyAlignment="1">
      <alignment vertical="top" wrapText="1"/>
    </xf>
    <xf numFmtId="0" fontId="6" fillId="0" borderId="14" xfId="11" applyFont="1" applyFill="1" applyBorder="1" applyAlignment="1">
      <alignment vertical="top" wrapText="1"/>
    </xf>
    <xf numFmtId="0" fontId="6" fillId="2" borderId="19" xfId="11" applyFont="1" applyFill="1" applyBorder="1" applyAlignment="1">
      <alignment horizontal="center" vertical="center" wrapText="1"/>
    </xf>
    <xf numFmtId="0" fontId="6" fillId="2" borderId="25" xfId="11" applyFont="1" applyFill="1" applyBorder="1" applyAlignment="1">
      <alignment horizontal="center" vertical="center" wrapText="1"/>
    </xf>
    <xf numFmtId="0" fontId="6" fillId="2" borderId="12" xfId="11" applyFont="1" applyFill="1" applyBorder="1" applyAlignment="1">
      <alignment horizontal="center" vertical="center" wrapText="1"/>
    </xf>
    <xf numFmtId="0" fontId="6" fillId="2" borderId="11" xfId="11" applyFont="1" applyFill="1" applyBorder="1" applyAlignment="1">
      <alignment horizontal="center" vertical="center" wrapText="1"/>
    </xf>
    <xf numFmtId="0" fontId="6" fillId="2" borderId="0" xfId="11" applyFont="1" applyFill="1" applyBorder="1" applyAlignment="1">
      <alignment horizontal="center" vertical="center" wrapText="1"/>
    </xf>
    <xf numFmtId="0" fontId="6" fillId="2" borderId="20" xfId="11" applyFont="1" applyFill="1" applyBorder="1" applyAlignment="1">
      <alignment horizontal="center" vertical="center" wrapText="1"/>
    </xf>
    <xf numFmtId="0" fontId="6" fillId="2" borderId="22" xfId="11" applyFont="1" applyFill="1" applyBorder="1" applyAlignment="1">
      <alignment horizontal="center" vertical="center" wrapText="1"/>
    </xf>
    <xf numFmtId="0" fontId="6" fillId="2" borderId="23" xfId="11" applyFont="1" applyFill="1" applyBorder="1" applyAlignment="1">
      <alignment horizontal="center" vertical="center" wrapText="1"/>
    </xf>
    <xf numFmtId="176" fontId="6" fillId="0" borderId="13" xfId="0" applyNumberFormat="1" applyFont="1" applyBorder="1" applyAlignment="1">
      <alignment horizontal="left" vertical="top" wrapText="1"/>
    </xf>
    <xf numFmtId="176" fontId="6" fillId="0" borderId="15" xfId="0" applyNumberFormat="1" applyFont="1" applyBorder="1" applyAlignment="1">
      <alignment horizontal="left" vertical="top" wrapText="1"/>
    </xf>
    <xf numFmtId="176" fontId="6" fillId="0" borderId="22" xfId="0" applyNumberFormat="1" applyFont="1" applyBorder="1" applyAlignment="1">
      <alignment vertical="top" wrapText="1"/>
    </xf>
    <xf numFmtId="176" fontId="6" fillId="0" borderId="11" xfId="0" applyNumberFormat="1" applyFont="1" applyBorder="1" applyAlignment="1">
      <alignment vertical="top" wrapText="1"/>
    </xf>
    <xf numFmtId="176" fontId="6" fillId="0" borderId="13" xfId="0" applyNumberFormat="1" applyFont="1" applyBorder="1" applyAlignment="1">
      <alignment vertical="top"/>
    </xf>
    <xf numFmtId="176" fontId="6" fillId="0" borderId="14" xfId="0" applyNumberFormat="1" applyFont="1" applyBorder="1" applyAlignment="1">
      <alignment vertical="top"/>
    </xf>
    <xf numFmtId="176" fontId="6" fillId="0" borderId="17" xfId="0" applyNumberFormat="1" applyFont="1" applyBorder="1" applyAlignment="1">
      <alignment horizontal="left" vertical="top" wrapText="1"/>
    </xf>
    <xf numFmtId="176" fontId="6" fillId="0" borderId="18" xfId="0" applyNumberFormat="1" applyFont="1" applyBorder="1" applyAlignment="1">
      <alignment horizontal="left" vertical="top" wrapText="1"/>
    </xf>
    <xf numFmtId="0" fontId="6" fillId="0" borderId="0" xfId="11" applyFont="1" applyAlignment="1">
      <alignment horizontal="left" vertical="top" wrapText="1"/>
    </xf>
    <xf numFmtId="176" fontId="6" fillId="0" borderId="14" xfId="0" applyNumberFormat="1" applyFont="1" applyBorder="1" applyAlignment="1">
      <alignment vertical="top" wrapText="1"/>
    </xf>
    <xf numFmtId="176" fontId="6" fillId="0" borderId="12" xfId="0" applyNumberFormat="1" applyFont="1" applyBorder="1" applyAlignment="1">
      <alignment vertical="top" wrapText="1"/>
    </xf>
    <xf numFmtId="0" fontId="35" fillId="6" borderId="0" xfId="8" applyFont="1" applyFill="1" applyAlignment="1" applyProtection="1">
      <alignment horizontal="center"/>
      <protection hidden="1"/>
    </xf>
  </cellXfs>
  <cellStyles count="16">
    <cellStyle name="Comma" xfId="1" builtinId="3"/>
    <cellStyle name="Comma 2" xfId="2"/>
    <cellStyle name="Comma 3" xfId="3"/>
    <cellStyle name="Currency 2" xfId="4"/>
    <cellStyle name="Hyperlink" xfId="5" builtinId="8"/>
    <cellStyle name="Normal" xfId="0" builtinId="0"/>
    <cellStyle name="Normal 2" xfId="6"/>
    <cellStyle name="Normal 2 2" xfId="7"/>
    <cellStyle name="Normal 2 3" xfId="8"/>
    <cellStyle name="Normal 2_CAR688-CS R1(John - col add del)" xfId="9"/>
    <cellStyle name="Normal 3" xfId="10"/>
    <cellStyle name="Normal_20 OPR" xfId="11"/>
    <cellStyle name="Normal_PSALM FINAL CREDIT RISK 18MAY06" xfId="12"/>
    <cellStyle name="Percent" xfId="13" builtinId="5"/>
    <cellStyle name="Percent 2" xfId="14"/>
    <cellStyle name="Percent 3" xfId="1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xdr:colOff>
          <xdr:row>48</xdr:row>
          <xdr:rowOff>9525</xdr:rowOff>
        </xdr:from>
        <xdr:to>
          <xdr:col>8</xdr:col>
          <xdr:colOff>0</xdr:colOff>
          <xdr:row>49</xdr:row>
          <xdr:rowOff>0</xdr:rowOff>
        </xdr:to>
        <xdr:sp macro="" textlink="">
          <xdr:nvSpPr>
            <xdr:cNvPr id="1025" name="LabelAddRow"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dctb-car@bsp.gov.ph" TargetMode="External"/><Relationship Id="rId1" Type="http://schemas.openxmlformats.org/officeDocument/2006/relationships/hyperlink" Target="mailto:sdcrb-car@bsp.gov.ph"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74"/>
  <sheetViews>
    <sheetView showGridLines="0" showRowColHeaders="0" view="pageBreakPreview" zoomScaleNormal="100" zoomScaleSheetLayoutView="100" workbookViewId="0">
      <selection activeCell="AA11" sqref="AA11"/>
    </sheetView>
  </sheetViews>
  <sheetFormatPr defaultRowHeight="12.75" x14ac:dyDescent="0.2"/>
  <cols>
    <col min="1" max="1" width="1.85546875" style="1" customWidth="1"/>
    <col min="2" max="25" width="3.85546875" style="1" customWidth="1"/>
    <col min="26" max="26" width="1.85546875" style="1" customWidth="1"/>
    <col min="27" max="16384" width="9.140625" style="1"/>
  </cols>
  <sheetData>
    <row r="1" spans="1:26" ht="2.25" customHeight="1" x14ac:dyDescent="0.2"/>
    <row r="2" spans="1:26" ht="2.25" customHeight="1" x14ac:dyDescent="0.2"/>
    <row r="3" spans="1:26" x14ac:dyDescent="0.2">
      <c r="A3" s="2"/>
      <c r="B3" s="3" t="s">
        <v>1259</v>
      </c>
      <c r="C3" s="4"/>
      <c r="D3" s="4"/>
      <c r="E3" s="4"/>
      <c r="F3" s="4"/>
      <c r="G3" s="2"/>
      <c r="H3" s="2"/>
      <c r="I3" s="2"/>
      <c r="J3" s="2"/>
      <c r="K3" s="2"/>
      <c r="L3" s="2"/>
      <c r="M3" s="2"/>
      <c r="N3" s="2"/>
      <c r="O3" s="2"/>
      <c r="P3" s="2"/>
      <c r="Q3" s="2"/>
      <c r="R3" s="2"/>
      <c r="S3" s="2"/>
      <c r="T3" s="2"/>
      <c r="U3" s="2"/>
      <c r="V3" s="2"/>
      <c r="W3" s="2"/>
      <c r="X3" s="2"/>
      <c r="Y3" s="2"/>
      <c r="Z3" s="2"/>
    </row>
    <row r="4" spans="1:26" ht="9" customHeight="1" x14ac:dyDescent="0.2">
      <c r="A4" s="2"/>
      <c r="B4" s="5"/>
      <c r="C4" s="5"/>
      <c r="D4" s="5"/>
      <c r="E4" s="5"/>
      <c r="F4" s="2"/>
      <c r="G4" s="2"/>
      <c r="H4" s="2"/>
      <c r="I4" s="2"/>
      <c r="J4" s="2"/>
      <c r="K4" s="2"/>
      <c r="L4" s="2"/>
      <c r="M4" s="2"/>
      <c r="N4" s="2"/>
      <c r="O4" s="2"/>
      <c r="P4" s="2"/>
      <c r="Q4" s="2"/>
      <c r="R4" s="2"/>
      <c r="S4" s="2"/>
      <c r="T4" s="2"/>
      <c r="U4" s="2"/>
      <c r="V4" s="2"/>
      <c r="W4" s="2"/>
      <c r="X4" s="2"/>
      <c r="Y4" s="2"/>
      <c r="Z4" s="2"/>
    </row>
    <row r="5" spans="1:26" ht="15.75" x14ac:dyDescent="0.2">
      <c r="A5" s="2"/>
      <c r="B5" s="5"/>
      <c r="C5" s="5"/>
      <c r="D5" s="371" t="s">
        <v>918</v>
      </c>
      <c r="E5" s="371"/>
      <c r="F5" s="371"/>
      <c r="G5" s="371"/>
      <c r="H5" s="371"/>
      <c r="I5" s="371"/>
      <c r="J5" s="371"/>
      <c r="K5" s="371"/>
      <c r="L5" s="371"/>
      <c r="M5" s="371"/>
      <c r="N5" s="371"/>
      <c r="O5" s="371"/>
      <c r="P5" s="371"/>
      <c r="Q5" s="371"/>
      <c r="R5" s="371"/>
      <c r="S5" s="371"/>
      <c r="T5" s="371"/>
      <c r="U5" s="371"/>
      <c r="V5" s="371"/>
      <c r="W5" s="371"/>
      <c r="X5" s="2"/>
      <c r="Y5" s="2"/>
      <c r="Z5" s="2"/>
    </row>
    <row r="6" spans="1:26" x14ac:dyDescent="0.2">
      <c r="A6" s="2"/>
      <c r="B6" s="6"/>
      <c r="C6" s="6"/>
      <c r="D6" s="6"/>
      <c r="E6" s="6"/>
      <c r="F6" s="2"/>
      <c r="G6" s="2"/>
      <c r="H6" s="2"/>
      <c r="I6" s="2"/>
      <c r="J6" s="2"/>
      <c r="K6" s="2"/>
      <c r="L6" s="2"/>
      <c r="M6" s="2"/>
      <c r="N6" s="2"/>
      <c r="O6" s="2"/>
      <c r="P6" s="2"/>
      <c r="Q6" s="2"/>
      <c r="R6" s="2"/>
      <c r="S6" s="2"/>
      <c r="T6" s="2"/>
      <c r="U6" s="2"/>
      <c r="V6" s="2"/>
      <c r="W6" s="2"/>
      <c r="X6" s="2"/>
      <c r="Y6" s="2"/>
      <c r="Z6" s="2"/>
    </row>
    <row r="7" spans="1:26" ht="10.5" customHeight="1" x14ac:dyDescent="0.2">
      <c r="A7" s="2"/>
      <c r="B7" s="2"/>
      <c r="C7" s="2"/>
      <c r="D7" s="2"/>
      <c r="E7" s="2"/>
      <c r="F7" s="7"/>
      <c r="G7" s="5"/>
      <c r="H7" s="5"/>
      <c r="I7" s="5"/>
      <c r="J7" s="5"/>
      <c r="K7" s="2"/>
      <c r="L7" s="2"/>
      <c r="M7" s="2"/>
      <c r="N7" s="2"/>
      <c r="O7" s="2"/>
      <c r="P7" s="370" t="s">
        <v>919</v>
      </c>
      <c r="Q7" s="370"/>
      <c r="R7" s="370"/>
      <c r="S7" s="370" t="s">
        <v>920</v>
      </c>
      <c r="T7" s="370"/>
      <c r="U7" s="370"/>
      <c r="V7" s="370"/>
      <c r="W7" s="370"/>
      <c r="X7" s="2"/>
      <c r="Y7" s="2"/>
      <c r="Z7" s="2"/>
    </row>
    <row r="8" spans="1:26" ht="10.5" customHeight="1" x14ac:dyDescent="0.2">
      <c r="A8" s="2"/>
      <c r="B8" s="2"/>
      <c r="C8" s="2"/>
      <c r="D8" s="2"/>
      <c r="E8" s="2"/>
      <c r="F8" s="5"/>
      <c r="G8" s="5"/>
      <c r="H8" s="5"/>
      <c r="I8" s="5"/>
      <c r="J8" s="5"/>
      <c r="K8" s="2"/>
      <c r="L8" s="2"/>
      <c r="M8" s="2"/>
      <c r="N8" s="2"/>
      <c r="O8" s="2"/>
      <c r="P8" s="2"/>
      <c r="Q8" s="2"/>
      <c r="R8" s="2"/>
      <c r="S8" s="372" t="s">
        <v>921</v>
      </c>
      <c r="T8" s="372"/>
      <c r="U8" s="372"/>
      <c r="V8" s="372"/>
      <c r="W8" s="372"/>
      <c r="X8" s="2"/>
      <c r="Y8" s="2"/>
      <c r="Z8" s="2"/>
    </row>
    <row r="9" spans="1:26" ht="10.5" customHeight="1" x14ac:dyDescent="0.2">
      <c r="A9" s="2"/>
      <c r="B9" s="2"/>
      <c r="C9" s="2"/>
      <c r="D9" s="2"/>
      <c r="E9" s="2"/>
      <c r="F9" s="7"/>
      <c r="G9" s="5"/>
      <c r="H9" s="5"/>
      <c r="I9" s="5"/>
      <c r="J9" s="5"/>
      <c r="K9" s="2"/>
      <c r="L9" s="2"/>
      <c r="M9" s="2"/>
      <c r="N9" s="2"/>
      <c r="O9" s="2"/>
      <c r="P9" s="2"/>
      <c r="Q9" s="2"/>
      <c r="R9" s="2"/>
      <c r="S9" s="370" t="s">
        <v>922</v>
      </c>
      <c r="T9" s="370"/>
      <c r="U9" s="370"/>
      <c r="V9" s="370"/>
      <c r="W9" s="370"/>
      <c r="X9" s="2"/>
      <c r="Y9" s="2"/>
      <c r="Z9" s="2"/>
    </row>
    <row r="10" spans="1:26" ht="6.75" customHeight="1" x14ac:dyDescent="0.2">
      <c r="A10" s="2"/>
      <c r="B10" s="2"/>
      <c r="C10" s="2"/>
      <c r="D10" s="2"/>
      <c r="E10" s="2"/>
      <c r="F10" s="5"/>
      <c r="G10" s="5"/>
      <c r="H10" s="5"/>
      <c r="I10" s="5"/>
      <c r="J10" s="5"/>
      <c r="K10" s="2"/>
      <c r="L10" s="2"/>
      <c r="M10" s="2"/>
      <c r="N10" s="2"/>
      <c r="O10" s="2"/>
      <c r="P10" s="2"/>
      <c r="Q10" s="2"/>
      <c r="R10" s="2"/>
      <c r="S10" s="2"/>
      <c r="T10" s="2"/>
      <c r="U10" s="2"/>
      <c r="V10" s="2"/>
      <c r="W10" s="2"/>
      <c r="X10" s="2"/>
      <c r="Y10" s="2"/>
      <c r="Z10" s="2"/>
    </row>
    <row r="11" spans="1:26" ht="10.5" customHeight="1" x14ac:dyDescent="0.2">
      <c r="A11" s="2"/>
      <c r="B11" s="2"/>
      <c r="C11" s="2"/>
      <c r="D11" s="2"/>
      <c r="E11" s="2"/>
      <c r="F11" s="5"/>
      <c r="G11" s="5"/>
      <c r="H11" s="5"/>
      <c r="I11" s="5"/>
      <c r="J11" s="5"/>
      <c r="K11" s="2"/>
      <c r="L11" s="2"/>
      <c r="M11" s="2"/>
      <c r="N11" s="2"/>
      <c r="O11" s="2"/>
      <c r="P11" s="2"/>
      <c r="Q11" s="2"/>
      <c r="R11" s="2"/>
      <c r="S11" s="370" t="s">
        <v>923</v>
      </c>
      <c r="T11" s="370"/>
      <c r="U11" s="370"/>
      <c r="V11" s="370"/>
      <c r="W11" s="370"/>
      <c r="X11" s="2"/>
      <c r="Y11" s="2"/>
      <c r="Z11" s="2"/>
    </row>
    <row r="12" spans="1:26" ht="10.5" customHeight="1" x14ac:dyDescent="0.2">
      <c r="A12" s="2"/>
      <c r="B12" s="2"/>
      <c r="C12" s="2"/>
      <c r="D12" s="2"/>
      <c r="E12" s="2"/>
      <c r="F12" s="5"/>
      <c r="G12" s="5"/>
      <c r="H12" s="5"/>
      <c r="I12" s="5"/>
      <c r="J12" s="5"/>
      <c r="K12" s="2"/>
      <c r="L12" s="2"/>
      <c r="M12" s="2"/>
      <c r="N12" s="2"/>
      <c r="O12" s="2"/>
      <c r="P12" s="2"/>
      <c r="Q12" s="2"/>
      <c r="R12" s="2"/>
      <c r="S12" s="370" t="s">
        <v>921</v>
      </c>
      <c r="T12" s="370"/>
      <c r="U12" s="370"/>
      <c r="V12" s="370"/>
      <c r="W12" s="370"/>
      <c r="X12" s="2"/>
      <c r="Y12" s="2"/>
      <c r="Z12" s="2"/>
    </row>
    <row r="13" spans="1:26" ht="10.5" customHeight="1" x14ac:dyDescent="0.2">
      <c r="A13" s="2"/>
      <c r="B13" s="2"/>
      <c r="C13" s="2"/>
      <c r="D13" s="2"/>
      <c r="E13" s="2"/>
      <c r="F13" s="5"/>
      <c r="G13" s="5"/>
      <c r="H13" s="5"/>
      <c r="I13" s="5"/>
      <c r="J13" s="5"/>
      <c r="K13" s="2"/>
      <c r="L13" s="2"/>
      <c r="M13" s="2"/>
      <c r="N13" s="2"/>
      <c r="O13" s="2"/>
      <c r="P13" s="2"/>
      <c r="Q13" s="2"/>
      <c r="R13" s="2"/>
      <c r="S13" s="370" t="s">
        <v>924</v>
      </c>
      <c r="T13" s="370"/>
      <c r="U13" s="370"/>
      <c r="V13" s="370"/>
      <c r="W13" s="370"/>
      <c r="X13" s="2"/>
      <c r="Y13" s="2"/>
      <c r="Z13" s="2"/>
    </row>
    <row r="14" spans="1:26" ht="6.75" customHeight="1" x14ac:dyDescent="0.2">
      <c r="A14" s="2"/>
      <c r="B14" s="2"/>
      <c r="C14" s="2"/>
      <c r="D14" s="2"/>
      <c r="E14" s="2"/>
      <c r="F14" s="5"/>
      <c r="G14" s="5"/>
      <c r="H14" s="5"/>
      <c r="I14" s="5"/>
      <c r="J14" s="5"/>
      <c r="K14" s="2"/>
      <c r="L14" s="2"/>
      <c r="M14" s="2"/>
      <c r="N14" s="2"/>
      <c r="O14" s="2"/>
      <c r="P14" s="2"/>
      <c r="Q14" s="2"/>
      <c r="R14" s="2"/>
      <c r="S14" s="2"/>
      <c r="T14" s="2"/>
      <c r="U14" s="2"/>
      <c r="V14" s="2"/>
      <c r="W14" s="2"/>
      <c r="X14" s="2"/>
      <c r="Y14" s="2"/>
      <c r="Z14" s="2"/>
    </row>
    <row r="15" spans="1:26" ht="9.75" customHeight="1" x14ac:dyDescent="0.2">
      <c r="A15" s="2"/>
      <c r="B15" s="2"/>
      <c r="C15" s="2"/>
      <c r="D15" s="2"/>
      <c r="E15" s="2"/>
      <c r="F15" s="5"/>
      <c r="G15" s="5"/>
      <c r="H15" s="5"/>
      <c r="I15" s="5"/>
      <c r="J15" s="5"/>
      <c r="K15" s="2"/>
      <c r="L15" s="2"/>
      <c r="M15" s="2"/>
      <c r="N15" s="2"/>
      <c r="O15" s="2"/>
      <c r="P15" s="370" t="s">
        <v>925</v>
      </c>
      <c r="Q15" s="370"/>
      <c r="R15" s="370"/>
      <c r="S15" s="3" t="s">
        <v>926</v>
      </c>
      <c r="T15" s="8"/>
      <c r="U15" s="8"/>
      <c r="V15" s="8"/>
      <c r="W15" s="8"/>
      <c r="X15" s="8"/>
      <c r="Y15" s="2"/>
      <c r="Z15" s="2"/>
    </row>
    <row r="16" spans="1:26" ht="10.5" customHeight="1" x14ac:dyDescent="0.2">
      <c r="A16" s="2"/>
      <c r="B16" s="2"/>
      <c r="C16" s="2"/>
      <c r="D16" s="2"/>
      <c r="E16" s="2"/>
      <c r="F16" s="5"/>
      <c r="G16" s="5"/>
      <c r="H16" s="2"/>
      <c r="I16" s="5"/>
      <c r="J16" s="5"/>
      <c r="K16" s="2"/>
      <c r="L16" s="2"/>
      <c r="M16" s="2"/>
      <c r="N16" s="2"/>
      <c r="O16" s="2"/>
      <c r="P16" s="2"/>
      <c r="Q16" s="2"/>
      <c r="R16" s="2"/>
      <c r="S16" s="370" t="s">
        <v>927</v>
      </c>
      <c r="T16" s="370"/>
      <c r="U16" s="370"/>
      <c r="V16" s="370"/>
      <c r="W16" s="370"/>
      <c r="X16" s="2"/>
      <c r="Y16" s="2"/>
      <c r="Z16" s="2"/>
    </row>
    <row r="17" spans="1:26" ht="10.5" customHeight="1" x14ac:dyDescent="0.2">
      <c r="A17" s="2"/>
      <c r="B17" s="2"/>
      <c r="C17" s="2"/>
      <c r="D17" s="2"/>
      <c r="E17" s="2"/>
      <c r="F17" s="5"/>
      <c r="G17" s="5"/>
      <c r="H17" s="2"/>
      <c r="I17" s="5"/>
      <c r="J17" s="5"/>
      <c r="K17" s="2"/>
      <c r="L17" s="2"/>
      <c r="M17" s="2"/>
      <c r="N17" s="2"/>
      <c r="O17" s="2"/>
      <c r="P17" s="2"/>
      <c r="Q17" s="2"/>
      <c r="R17" s="2"/>
      <c r="S17" s="9" t="s">
        <v>928</v>
      </c>
      <c r="T17" s="10"/>
      <c r="U17" s="10"/>
      <c r="V17" s="10"/>
      <c r="W17" s="10"/>
      <c r="X17" s="2"/>
      <c r="Y17" s="2"/>
      <c r="Z17" s="2"/>
    </row>
    <row r="18" spans="1:26" ht="10.5" customHeight="1" x14ac:dyDescent="0.2">
      <c r="A18" s="2"/>
      <c r="B18" s="2"/>
      <c r="C18" s="2"/>
      <c r="D18" s="2"/>
      <c r="E18" s="2"/>
      <c r="F18" s="5"/>
      <c r="G18" s="5"/>
      <c r="H18" s="2"/>
      <c r="I18" s="5"/>
      <c r="J18" s="5"/>
      <c r="K18" s="2"/>
      <c r="L18" s="2"/>
      <c r="M18" s="2"/>
      <c r="N18" s="2"/>
      <c r="O18" s="2"/>
      <c r="P18" s="2"/>
      <c r="Q18" s="2"/>
      <c r="R18" s="2"/>
      <c r="S18" s="9" t="s">
        <v>929</v>
      </c>
      <c r="T18" s="10"/>
      <c r="U18" s="10"/>
      <c r="V18" s="10"/>
      <c r="W18" s="10"/>
      <c r="X18" s="2"/>
      <c r="Y18" s="2"/>
      <c r="Z18" s="2"/>
    </row>
    <row r="19" spans="1:26" x14ac:dyDescent="0.2">
      <c r="A19" s="2"/>
      <c r="B19" s="2"/>
      <c r="C19" s="2"/>
      <c r="D19" s="2"/>
      <c r="E19" s="2"/>
      <c r="F19" s="6"/>
      <c r="G19" s="2"/>
      <c r="H19" s="6"/>
      <c r="I19" s="6"/>
      <c r="J19" s="6"/>
      <c r="K19" s="2"/>
      <c r="L19" s="2"/>
      <c r="M19" s="2"/>
      <c r="N19" s="2"/>
      <c r="O19" s="2"/>
      <c r="P19" s="2"/>
      <c r="Q19" s="2"/>
      <c r="R19" s="2"/>
      <c r="S19" s="2"/>
      <c r="T19" s="2"/>
      <c r="U19" s="2"/>
      <c r="V19" s="2"/>
      <c r="W19" s="2"/>
      <c r="X19" s="2"/>
      <c r="Y19" s="2"/>
      <c r="Z19" s="2"/>
    </row>
    <row r="20" spans="1:26" ht="7.5" customHeight="1" x14ac:dyDescent="0.2">
      <c r="A20" s="2"/>
      <c r="B20" s="2"/>
      <c r="C20" s="2"/>
      <c r="D20" s="2"/>
      <c r="E20" s="2"/>
      <c r="F20" s="6"/>
      <c r="G20" s="2"/>
      <c r="H20" s="2"/>
      <c r="I20" s="2"/>
      <c r="J20" s="2"/>
      <c r="K20" s="2"/>
      <c r="L20" s="2"/>
      <c r="M20" s="2"/>
      <c r="N20" s="2"/>
      <c r="O20" s="2"/>
      <c r="P20" s="2"/>
      <c r="Q20" s="2"/>
      <c r="R20" s="2"/>
      <c r="S20" s="2"/>
      <c r="T20" s="2"/>
      <c r="U20" s="2"/>
      <c r="V20" s="2"/>
      <c r="W20" s="2"/>
      <c r="X20" s="2"/>
      <c r="Y20" s="2"/>
      <c r="Z20" s="2"/>
    </row>
    <row r="21" spans="1:26" x14ac:dyDescent="0.2">
      <c r="A21" s="2"/>
      <c r="B21" s="2"/>
      <c r="C21" s="2"/>
      <c r="D21" s="2"/>
      <c r="E21" s="2"/>
      <c r="F21" s="373" t="s">
        <v>930</v>
      </c>
      <c r="G21" s="373"/>
      <c r="H21" s="373"/>
      <c r="I21" s="373"/>
      <c r="J21" s="373"/>
      <c r="K21" s="373"/>
      <c r="L21" s="373"/>
      <c r="M21" s="373"/>
      <c r="N21" s="373"/>
      <c r="O21" s="373"/>
      <c r="P21" s="373"/>
      <c r="Q21" s="373"/>
      <c r="R21" s="373"/>
      <c r="S21" s="373"/>
      <c r="T21" s="373"/>
      <c r="U21" s="373"/>
      <c r="V21" s="2"/>
      <c r="W21" s="2"/>
      <c r="X21" s="2"/>
      <c r="Y21" s="2"/>
      <c r="Z21" s="2"/>
    </row>
    <row r="22" spans="1:26" ht="14.25" customHeight="1" x14ac:dyDescent="0.2">
      <c r="A22" s="2"/>
      <c r="B22" s="2"/>
      <c r="C22" s="2"/>
      <c r="D22" s="2"/>
      <c r="E22" s="2"/>
      <c r="F22" s="2"/>
      <c r="G22" s="2"/>
      <c r="H22" s="2"/>
      <c r="I22" s="373" t="s">
        <v>931</v>
      </c>
      <c r="J22" s="373"/>
      <c r="K22" s="373"/>
      <c r="L22" s="373"/>
      <c r="M22" s="373"/>
      <c r="N22" s="373"/>
      <c r="O22" s="373"/>
      <c r="P22" s="373"/>
      <c r="Q22" s="373"/>
      <c r="R22" s="373"/>
      <c r="S22" s="2"/>
      <c r="T22" s="2"/>
      <c r="U22" s="2"/>
      <c r="V22" s="2"/>
      <c r="W22" s="2"/>
      <c r="X22" s="2"/>
      <c r="Y22" s="2"/>
      <c r="Z22" s="2"/>
    </row>
    <row r="23" spans="1:26" ht="8.25" customHeight="1" x14ac:dyDescent="0.2">
      <c r="A23" s="2"/>
      <c r="B23" s="2"/>
      <c r="C23" s="2"/>
      <c r="D23" s="2"/>
      <c r="E23" s="2"/>
      <c r="F23" s="6"/>
      <c r="G23" s="6"/>
      <c r="H23" s="6"/>
      <c r="I23" s="6"/>
      <c r="J23" s="2"/>
      <c r="K23" s="2"/>
      <c r="L23" s="2"/>
      <c r="M23" s="2"/>
      <c r="N23" s="2"/>
      <c r="O23" s="2"/>
      <c r="P23" s="2"/>
      <c r="Q23" s="2"/>
      <c r="R23" s="2"/>
      <c r="S23" s="2"/>
      <c r="T23" s="2"/>
      <c r="U23" s="2"/>
      <c r="V23" s="2"/>
      <c r="W23" s="2"/>
      <c r="X23" s="2"/>
      <c r="Y23" s="2"/>
      <c r="Z23" s="2"/>
    </row>
    <row r="24" spans="1:26" ht="13.5" thickBot="1" x14ac:dyDescent="0.25">
      <c r="A24" s="2"/>
      <c r="B24" s="2"/>
      <c r="C24" s="2"/>
      <c r="D24" s="2"/>
      <c r="E24" s="2"/>
      <c r="F24" s="6"/>
      <c r="G24" s="2"/>
      <c r="H24" s="2"/>
      <c r="I24" s="2"/>
      <c r="J24" s="2"/>
      <c r="K24" s="2"/>
      <c r="L24" s="2"/>
      <c r="M24" s="2"/>
      <c r="N24" s="2"/>
      <c r="O24" s="2"/>
      <c r="P24" s="2"/>
      <c r="Q24" s="2"/>
      <c r="R24" s="2"/>
      <c r="S24" s="2"/>
      <c r="T24" s="2"/>
      <c r="U24" s="2"/>
      <c r="V24" s="2"/>
      <c r="W24" s="2"/>
      <c r="X24" s="2"/>
      <c r="Y24" s="2"/>
      <c r="Z24" s="2"/>
    </row>
    <row r="25" spans="1:26" ht="7.5" customHeight="1" x14ac:dyDescent="0.2">
      <c r="A25" s="2"/>
      <c r="B25" s="2"/>
      <c r="C25" s="2"/>
      <c r="D25" s="2"/>
      <c r="E25" s="11"/>
      <c r="F25" s="12"/>
      <c r="G25" s="13"/>
      <c r="H25" s="13"/>
      <c r="I25" s="13"/>
      <c r="J25" s="13"/>
      <c r="K25" s="13"/>
      <c r="L25" s="12"/>
      <c r="M25" s="12"/>
      <c r="N25" s="12"/>
      <c r="O25" s="12"/>
      <c r="P25" s="12"/>
      <c r="Q25" s="12"/>
      <c r="R25" s="12"/>
      <c r="S25" s="12"/>
      <c r="T25" s="12"/>
      <c r="U25" s="12"/>
      <c r="V25" s="14"/>
      <c r="W25" s="2"/>
      <c r="X25" s="2"/>
      <c r="Y25" s="2"/>
      <c r="Z25" s="2"/>
    </row>
    <row r="26" spans="1:26" x14ac:dyDescent="0.2">
      <c r="A26" s="2"/>
      <c r="B26" s="2"/>
      <c r="C26" s="2"/>
      <c r="D26" s="2"/>
      <c r="E26" s="15"/>
      <c r="F26" s="375" t="s">
        <v>1260</v>
      </c>
      <c r="G26" s="375"/>
      <c r="H26" s="375"/>
      <c r="I26" s="375"/>
      <c r="J26" s="375"/>
      <c r="K26" s="375"/>
      <c r="L26" s="375"/>
      <c r="M26" s="375"/>
      <c r="N26" s="375"/>
      <c r="O26" s="375"/>
      <c r="P26" s="375"/>
      <c r="Q26" s="375"/>
      <c r="R26" s="16"/>
      <c r="S26" s="376">
        <v>40656</v>
      </c>
      <c r="T26" s="376"/>
      <c r="U26" s="376"/>
      <c r="V26" s="17"/>
      <c r="W26" s="2"/>
      <c r="X26" s="2"/>
      <c r="Y26" s="2"/>
      <c r="Z26" s="2"/>
    </row>
    <row r="27" spans="1:26" ht="12" customHeight="1" x14ac:dyDescent="0.2">
      <c r="A27" s="2"/>
      <c r="B27" s="2"/>
      <c r="C27" s="2"/>
      <c r="D27" s="2"/>
      <c r="E27" s="15"/>
      <c r="F27" s="374" t="s">
        <v>933</v>
      </c>
      <c r="G27" s="374"/>
      <c r="H27" s="374"/>
      <c r="I27" s="374"/>
      <c r="J27" s="374"/>
      <c r="K27" s="374"/>
      <c r="L27" s="374"/>
      <c r="M27" s="374"/>
      <c r="N27" s="374"/>
      <c r="O27" s="374"/>
      <c r="P27" s="374"/>
      <c r="Q27" s="374"/>
      <c r="R27" s="16"/>
      <c r="S27" s="374" t="s">
        <v>934</v>
      </c>
      <c r="T27" s="374"/>
      <c r="U27" s="374"/>
      <c r="V27" s="17"/>
      <c r="W27" s="2"/>
      <c r="X27" s="2"/>
      <c r="Y27" s="2"/>
      <c r="Z27" s="2"/>
    </row>
    <row r="28" spans="1:26" ht="7.5" customHeight="1" x14ac:dyDescent="0.2">
      <c r="A28" s="2"/>
      <c r="B28" s="2"/>
      <c r="C28" s="2"/>
      <c r="D28" s="2"/>
      <c r="E28" s="15"/>
      <c r="F28" s="16"/>
      <c r="G28" s="18"/>
      <c r="H28" s="18"/>
      <c r="I28" s="18"/>
      <c r="J28" s="18"/>
      <c r="K28" s="18"/>
      <c r="L28" s="16"/>
      <c r="M28" s="16"/>
      <c r="N28" s="16"/>
      <c r="O28" s="16"/>
      <c r="P28" s="16"/>
      <c r="Q28" s="16"/>
      <c r="R28" s="16"/>
      <c r="S28" s="16"/>
      <c r="T28" s="16"/>
      <c r="U28" s="16"/>
      <c r="V28" s="17"/>
      <c r="W28" s="2"/>
      <c r="X28" s="2"/>
      <c r="Y28" s="2"/>
      <c r="Z28" s="2"/>
    </row>
    <row r="29" spans="1:26" ht="13.5" x14ac:dyDescent="0.2">
      <c r="A29" s="2"/>
      <c r="B29" s="2"/>
      <c r="C29" s="2"/>
      <c r="D29" s="2"/>
      <c r="E29" s="15"/>
      <c r="F29" s="380"/>
      <c r="G29" s="380"/>
      <c r="H29" s="380"/>
      <c r="I29" s="380"/>
      <c r="J29" s="380"/>
      <c r="K29" s="380"/>
      <c r="L29" s="380"/>
      <c r="M29" s="380"/>
      <c r="N29" s="380"/>
      <c r="O29" s="380"/>
      <c r="P29" s="380"/>
      <c r="Q29" s="380"/>
      <c r="R29" s="380"/>
      <c r="S29" s="380"/>
      <c r="T29" s="380"/>
      <c r="U29" s="380"/>
      <c r="V29" s="17"/>
      <c r="W29" s="2"/>
      <c r="X29" s="2"/>
      <c r="Y29" s="2"/>
      <c r="Z29" s="2"/>
    </row>
    <row r="30" spans="1:26" ht="13.5" x14ac:dyDescent="0.2">
      <c r="A30" s="2"/>
      <c r="B30" s="2"/>
      <c r="C30" s="2"/>
      <c r="D30" s="2"/>
      <c r="E30" s="15"/>
      <c r="F30" s="381"/>
      <c r="G30" s="381"/>
      <c r="H30" s="381"/>
      <c r="I30" s="381"/>
      <c r="J30" s="381"/>
      <c r="K30" s="381"/>
      <c r="L30" s="381"/>
      <c r="M30" s="381"/>
      <c r="N30" s="381"/>
      <c r="O30" s="381"/>
      <c r="P30" s="381"/>
      <c r="Q30" s="381"/>
      <c r="R30" s="381"/>
      <c r="S30" s="381"/>
      <c r="T30" s="381"/>
      <c r="U30" s="381"/>
      <c r="V30" s="17"/>
      <c r="W30" s="2"/>
      <c r="X30" s="2"/>
      <c r="Y30" s="2"/>
      <c r="Z30" s="2"/>
    </row>
    <row r="31" spans="1:26" ht="12.75" customHeight="1" x14ac:dyDescent="0.2">
      <c r="A31" s="2"/>
      <c r="B31" s="2"/>
      <c r="C31" s="2"/>
      <c r="D31" s="2"/>
      <c r="E31" s="15"/>
      <c r="F31" s="378" t="s">
        <v>935</v>
      </c>
      <c r="G31" s="378"/>
      <c r="H31" s="378"/>
      <c r="I31" s="378"/>
      <c r="J31" s="378"/>
      <c r="K31" s="378"/>
      <c r="L31" s="378"/>
      <c r="M31" s="378"/>
      <c r="N31" s="378"/>
      <c r="O31" s="378"/>
      <c r="P31" s="378"/>
      <c r="Q31" s="378"/>
      <c r="R31" s="378"/>
      <c r="S31" s="378"/>
      <c r="T31" s="378"/>
      <c r="U31" s="378"/>
      <c r="V31" s="17"/>
      <c r="W31" s="2"/>
      <c r="X31" s="2"/>
      <c r="Y31" s="2"/>
      <c r="Z31" s="2"/>
    </row>
    <row r="32" spans="1:26" ht="7.5" customHeight="1" thickBot="1" x14ac:dyDescent="0.25">
      <c r="A32" s="2"/>
      <c r="B32" s="2"/>
      <c r="C32" s="2"/>
      <c r="D32" s="2"/>
      <c r="E32" s="19"/>
      <c r="F32" s="20"/>
      <c r="G32" s="21"/>
      <c r="H32" s="21"/>
      <c r="I32" s="21"/>
      <c r="J32" s="21"/>
      <c r="K32" s="21"/>
      <c r="L32" s="20"/>
      <c r="M32" s="20"/>
      <c r="N32" s="20"/>
      <c r="O32" s="20"/>
      <c r="P32" s="20"/>
      <c r="Q32" s="20"/>
      <c r="R32" s="20"/>
      <c r="S32" s="20"/>
      <c r="T32" s="20"/>
      <c r="U32" s="20"/>
      <c r="V32" s="22"/>
      <c r="W32" s="2"/>
      <c r="X32" s="2"/>
      <c r="Y32" s="2"/>
      <c r="Z32" s="2"/>
    </row>
    <row r="33" spans="1:26" x14ac:dyDescent="0.2">
      <c r="A33" s="2"/>
      <c r="B33" s="2"/>
      <c r="C33" s="2"/>
      <c r="D33" s="2"/>
      <c r="E33" s="2"/>
      <c r="F33" s="6"/>
      <c r="G33" s="2"/>
      <c r="H33" s="2"/>
      <c r="I33" s="2"/>
      <c r="J33" s="2"/>
      <c r="K33" s="2"/>
      <c r="L33" s="2"/>
      <c r="M33" s="2"/>
      <c r="N33" s="2"/>
      <c r="O33" s="2"/>
      <c r="P33" s="2"/>
      <c r="Q33" s="2"/>
      <c r="R33" s="2"/>
      <c r="S33" s="2"/>
      <c r="T33" s="2"/>
      <c r="U33" s="2"/>
      <c r="V33" s="2"/>
      <c r="W33" s="2"/>
      <c r="X33" s="2"/>
      <c r="Y33" s="2"/>
      <c r="Z33" s="2"/>
    </row>
    <row r="34" spans="1:26" x14ac:dyDescent="0.2">
      <c r="A34" s="2"/>
      <c r="B34" s="2"/>
      <c r="C34" s="2"/>
      <c r="D34" s="2"/>
      <c r="E34" s="2"/>
      <c r="F34" s="6"/>
      <c r="G34" s="2"/>
      <c r="H34" s="2"/>
      <c r="I34" s="2"/>
      <c r="J34" s="2"/>
      <c r="K34" s="2"/>
      <c r="L34" s="2"/>
      <c r="M34" s="2"/>
      <c r="N34" s="2"/>
      <c r="O34" s="2"/>
      <c r="P34" s="2"/>
      <c r="Q34" s="2"/>
      <c r="R34" s="2"/>
      <c r="S34" s="2"/>
      <c r="T34" s="2"/>
      <c r="U34" s="2"/>
      <c r="V34" s="2"/>
      <c r="W34" s="2"/>
      <c r="X34" s="2"/>
      <c r="Y34" s="2"/>
      <c r="Z34" s="2"/>
    </row>
    <row r="35" spans="1:26" x14ac:dyDescent="0.2">
      <c r="A35" s="2"/>
      <c r="B35" s="2"/>
      <c r="C35" s="2"/>
      <c r="D35" s="2"/>
      <c r="E35" s="373" t="s">
        <v>918</v>
      </c>
      <c r="F35" s="373"/>
      <c r="G35" s="373"/>
      <c r="H35" s="373"/>
      <c r="I35" s="373"/>
      <c r="J35" s="373"/>
      <c r="K35" s="373"/>
      <c r="L35" s="373"/>
      <c r="M35" s="373"/>
      <c r="N35" s="373"/>
      <c r="O35" s="373"/>
      <c r="P35" s="373"/>
      <c r="Q35" s="373"/>
      <c r="R35" s="373"/>
      <c r="S35" s="373"/>
      <c r="T35" s="373"/>
      <c r="U35" s="373"/>
      <c r="V35" s="373"/>
      <c r="W35" s="2"/>
      <c r="X35" s="2"/>
      <c r="Y35" s="2"/>
      <c r="Z35" s="2"/>
    </row>
    <row r="36" spans="1:26" x14ac:dyDescent="0.2">
      <c r="A36" s="2"/>
      <c r="B36" s="2"/>
      <c r="C36" s="2"/>
      <c r="D36" s="2"/>
      <c r="E36" s="373" t="s">
        <v>936</v>
      </c>
      <c r="F36" s="373"/>
      <c r="G36" s="373"/>
      <c r="H36" s="373"/>
      <c r="I36" s="373"/>
      <c r="J36" s="373"/>
      <c r="K36" s="373"/>
      <c r="L36" s="373"/>
      <c r="M36" s="373"/>
      <c r="N36" s="373"/>
      <c r="O36" s="373"/>
      <c r="P36" s="373"/>
      <c r="Q36" s="373"/>
      <c r="R36" s="373"/>
      <c r="S36" s="373"/>
      <c r="T36" s="373"/>
      <c r="U36" s="373"/>
      <c r="V36" s="373"/>
      <c r="W36" s="2"/>
      <c r="X36" s="2"/>
      <c r="Y36" s="2"/>
      <c r="Z36" s="2"/>
    </row>
    <row r="37" spans="1:26" ht="22.5" customHeight="1" x14ac:dyDescent="0.2">
      <c r="A37" s="2"/>
      <c r="B37" s="23"/>
      <c r="C37" s="23"/>
      <c r="D37" s="23"/>
      <c r="E37" s="24"/>
      <c r="F37" s="16"/>
      <c r="G37" s="16"/>
      <c r="H37" s="377" t="s">
        <v>917</v>
      </c>
      <c r="I37" s="377"/>
      <c r="J37" s="377"/>
      <c r="K37" s="377"/>
      <c r="L37" s="377"/>
      <c r="M37" s="377"/>
      <c r="N37" s="377"/>
      <c r="O37" s="377"/>
      <c r="P37" s="377"/>
      <c r="Q37" s="377"/>
      <c r="R37" s="377"/>
      <c r="S37" s="377"/>
      <c r="T37" s="2"/>
      <c r="U37" s="2"/>
      <c r="V37" s="2"/>
      <c r="W37" s="2"/>
      <c r="X37" s="2"/>
      <c r="Y37" s="2"/>
      <c r="Z37" s="2"/>
    </row>
    <row r="38" spans="1:26" x14ac:dyDescent="0.2">
      <c r="A38" s="2"/>
      <c r="B38" s="23"/>
      <c r="C38" s="23"/>
      <c r="D38" s="23"/>
      <c r="E38" s="2"/>
      <c r="F38" s="2"/>
      <c r="G38" s="2"/>
      <c r="H38" s="378" t="s">
        <v>937</v>
      </c>
      <c r="I38" s="378"/>
      <c r="J38" s="378"/>
      <c r="K38" s="378"/>
      <c r="L38" s="378"/>
      <c r="M38" s="378"/>
      <c r="N38" s="378"/>
      <c r="O38" s="378"/>
      <c r="P38" s="378"/>
      <c r="Q38" s="378"/>
      <c r="R38" s="378"/>
      <c r="S38" s="378"/>
      <c r="T38" s="2"/>
      <c r="U38" s="2"/>
      <c r="V38" s="2"/>
      <c r="W38" s="2"/>
      <c r="X38" s="2"/>
      <c r="Y38" s="2"/>
      <c r="Z38" s="2"/>
    </row>
    <row r="39" spans="1:26" ht="10.5" customHeight="1" x14ac:dyDescent="0.2">
      <c r="A39" s="2"/>
      <c r="B39" s="23"/>
      <c r="C39" s="23"/>
      <c r="D39" s="23"/>
      <c r="E39" s="23"/>
      <c r="F39" s="23"/>
      <c r="G39" s="23"/>
      <c r="H39" s="23"/>
      <c r="I39" s="23"/>
      <c r="J39" s="23"/>
      <c r="K39" s="23"/>
      <c r="L39" s="23"/>
      <c r="M39" s="2"/>
      <c r="N39" s="2"/>
      <c r="O39" s="2"/>
      <c r="P39" s="2"/>
      <c r="Q39" s="2"/>
      <c r="R39" s="2"/>
      <c r="S39" s="2"/>
      <c r="T39" s="2"/>
      <c r="U39" s="2"/>
      <c r="V39" s="2"/>
      <c r="W39" s="2"/>
      <c r="X39" s="2"/>
      <c r="Y39" s="2"/>
      <c r="Z39" s="2"/>
    </row>
    <row r="40" spans="1:26" ht="13.5" thickBot="1" x14ac:dyDescent="0.25">
      <c r="A40" s="2"/>
      <c r="B40" s="2"/>
      <c r="C40" s="2"/>
      <c r="D40" s="2"/>
      <c r="E40" s="2"/>
      <c r="F40" s="6"/>
      <c r="G40" s="2"/>
      <c r="H40" s="2"/>
      <c r="I40" s="2"/>
      <c r="J40" s="2"/>
      <c r="K40" s="2"/>
      <c r="L40" s="2"/>
      <c r="M40" s="2"/>
      <c r="N40" s="2"/>
      <c r="O40" s="2"/>
      <c r="P40" s="2"/>
      <c r="Q40" s="2"/>
      <c r="R40" s="2"/>
      <c r="S40" s="2"/>
      <c r="T40" s="2"/>
      <c r="U40" s="2"/>
      <c r="V40" s="2"/>
      <c r="W40" s="2"/>
      <c r="X40" s="2"/>
      <c r="Y40" s="2"/>
      <c r="Z40" s="2"/>
    </row>
    <row r="41" spans="1:26" ht="7.5" customHeight="1" x14ac:dyDescent="0.2">
      <c r="A41" s="2"/>
      <c r="B41" s="2"/>
      <c r="C41" s="2"/>
      <c r="D41" s="16"/>
      <c r="E41" s="11"/>
      <c r="F41" s="379"/>
      <c r="G41" s="379"/>
      <c r="H41" s="379"/>
      <c r="I41" s="25"/>
      <c r="J41" s="25"/>
      <c r="K41" s="12"/>
      <c r="L41" s="12"/>
      <c r="M41" s="12"/>
      <c r="N41" s="12"/>
      <c r="O41" s="12"/>
      <c r="P41" s="12"/>
      <c r="Q41" s="12"/>
      <c r="R41" s="12"/>
      <c r="S41" s="12"/>
      <c r="T41" s="12"/>
      <c r="U41" s="12"/>
      <c r="V41" s="14"/>
      <c r="W41" s="2"/>
      <c r="X41" s="2"/>
      <c r="Y41" s="2"/>
      <c r="Z41" s="2"/>
    </row>
    <row r="42" spans="1:26" ht="12.75" customHeight="1" x14ac:dyDescent="0.2">
      <c r="A42" s="2"/>
      <c r="B42" s="2"/>
      <c r="C42" s="2"/>
      <c r="D42" s="16"/>
      <c r="E42" s="15"/>
      <c r="F42" s="383" t="s">
        <v>938</v>
      </c>
      <c r="G42" s="383"/>
      <c r="H42" s="384">
        <v>43008</v>
      </c>
      <c r="I42" s="384"/>
      <c r="J42" s="384"/>
      <c r="K42" s="384"/>
      <c r="L42" s="384"/>
      <c r="M42" s="384"/>
      <c r="N42" s="384"/>
      <c r="O42" s="384"/>
      <c r="P42" s="384"/>
      <c r="Q42" s="384"/>
      <c r="R42" s="384"/>
      <c r="S42" s="384"/>
      <c r="T42" s="384"/>
      <c r="U42" s="16"/>
      <c r="V42" s="17"/>
      <c r="W42" s="2"/>
      <c r="X42" s="2"/>
      <c r="Y42" s="2"/>
      <c r="Z42" s="2"/>
    </row>
    <row r="43" spans="1:26" ht="13.5" customHeight="1" thickBot="1" x14ac:dyDescent="0.25">
      <c r="A43" s="2"/>
      <c r="B43" s="2"/>
      <c r="C43" s="2"/>
      <c r="D43" s="16"/>
      <c r="E43" s="19"/>
      <c r="F43" s="20"/>
      <c r="G43" s="20"/>
      <c r="H43" s="385" t="s">
        <v>939</v>
      </c>
      <c r="I43" s="385"/>
      <c r="J43" s="385"/>
      <c r="K43" s="385"/>
      <c r="L43" s="385"/>
      <c r="M43" s="385"/>
      <c r="N43" s="385"/>
      <c r="O43" s="385"/>
      <c r="P43" s="385"/>
      <c r="Q43" s="385"/>
      <c r="R43" s="385"/>
      <c r="S43" s="385"/>
      <c r="T43" s="385"/>
      <c r="U43" s="20"/>
      <c r="V43" s="22"/>
      <c r="W43" s="2"/>
      <c r="X43" s="2"/>
      <c r="Y43" s="2"/>
      <c r="Z43" s="2"/>
    </row>
    <row r="44" spans="1:26" ht="9" customHeight="1" x14ac:dyDescent="0.2">
      <c r="A44" s="2"/>
      <c r="B44" s="2"/>
      <c r="C44" s="2"/>
      <c r="D44" s="2"/>
      <c r="E44" s="2"/>
      <c r="F44" s="6"/>
      <c r="G44" s="2"/>
      <c r="H44" s="2"/>
      <c r="I44" s="2"/>
      <c r="J44" s="2"/>
      <c r="K44" s="2"/>
      <c r="L44" s="2"/>
      <c r="M44" s="2"/>
      <c r="N44" s="2"/>
      <c r="O44" s="2"/>
      <c r="P44" s="2"/>
      <c r="Q44" s="2"/>
      <c r="R44" s="2"/>
      <c r="S44" s="2"/>
      <c r="T44" s="2"/>
      <c r="U44" s="2"/>
      <c r="V44" s="2"/>
      <c r="W44" s="2"/>
      <c r="X44" s="2"/>
      <c r="Y44" s="2"/>
      <c r="Z44" s="2"/>
    </row>
    <row r="45" spans="1:26" ht="9" customHeight="1" x14ac:dyDescent="0.2">
      <c r="A45" s="2"/>
      <c r="B45" s="2"/>
      <c r="C45" s="2"/>
      <c r="D45" s="2"/>
      <c r="E45" s="2"/>
      <c r="F45" s="6"/>
      <c r="G45" s="2"/>
      <c r="H45" s="2"/>
      <c r="I45" s="2"/>
      <c r="J45" s="2"/>
      <c r="K45" s="2"/>
      <c r="L45" s="2"/>
      <c r="M45" s="2"/>
      <c r="N45" s="2"/>
      <c r="O45" s="2"/>
      <c r="P45" s="2"/>
      <c r="Q45" s="2"/>
      <c r="R45" s="2"/>
      <c r="S45" s="2"/>
      <c r="T45" s="2"/>
      <c r="U45" s="2"/>
      <c r="V45" s="2"/>
      <c r="W45" s="2"/>
      <c r="X45" s="2"/>
      <c r="Y45" s="2"/>
      <c r="Z45" s="2"/>
    </row>
    <row r="46" spans="1:26" x14ac:dyDescent="0.2">
      <c r="A46" s="2"/>
      <c r="B46" s="2"/>
      <c r="C46" s="2"/>
      <c r="D46" s="2"/>
      <c r="E46" s="2"/>
      <c r="F46" s="6"/>
      <c r="G46" s="2"/>
      <c r="H46" s="2"/>
      <c r="I46" s="2"/>
      <c r="J46" s="2"/>
      <c r="K46" s="2"/>
      <c r="L46" s="2"/>
      <c r="M46" s="2"/>
      <c r="N46" s="2"/>
      <c r="O46" s="2"/>
      <c r="P46" s="2"/>
      <c r="Q46" s="2"/>
      <c r="R46" s="2"/>
      <c r="S46" s="2"/>
      <c r="T46" s="2"/>
      <c r="U46" s="2"/>
      <c r="V46" s="2"/>
      <c r="W46" s="2"/>
      <c r="X46" s="2"/>
      <c r="Y46" s="2"/>
      <c r="Z46" s="2"/>
    </row>
    <row r="47" spans="1:26" x14ac:dyDescent="0.2">
      <c r="A47" s="2"/>
      <c r="B47" s="386" t="s">
        <v>940</v>
      </c>
      <c r="C47" s="386"/>
      <c r="D47" s="386"/>
      <c r="E47" s="386"/>
      <c r="F47" s="386"/>
      <c r="G47" s="386"/>
      <c r="H47" s="386"/>
      <c r="I47" s="386"/>
      <c r="J47" s="2"/>
      <c r="K47" s="2"/>
      <c r="L47" s="2"/>
      <c r="M47" s="2"/>
      <c r="N47" s="2"/>
      <c r="O47" s="2"/>
      <c r="P47" s="2"/>
      <c r="Q47" s="2"/>
      <c r="R47" s="2"/>
      <c r="S47" s="2"/>
      <c r="T47" s="2"/>
      <c r="U47" s="2"/>
      <c r="V47" s="2"/>
      <c r="W47" s="2"/>
      <c r="X47" s="2"/>
      <c r="Y47" s="2"/>
      <c r="Z47" s="2"/>
    </row>
    <row r="48" spans="1:26" x14ac:dyDescent="0.2">
      <c r="A48" s="2"/>
      <c r="B48" s="387"/>
      <c r="C48" s="387"/>
      <c r="D48" s="387"/>
      <c r="E48" s="387"/>
      <c r="F48" s="387"/>
      <c r="G48" s="387"/>
      <c r="H48" s="387"/>
      <c r="I48" s="387"/>
      <c r="J48" s="388" t="s">
        <v>941</v>
      </c>
      <c r="K48" s="388"/>
      <c r="L48" s="388"/>
      <c r="M48" s="2"/>
      <c r="N48" s="2"/>
      <c r="O48" s="2"/>
      <c r="P48" s="2"/>
      <c r="Q48" s="2"/>
      <c r="R48" s="2"/>
      <c r="S48" s="2"/>
      <c r="T48" s="2"/>
      <c r="U48" s="2"/>
      <c r="V48" s="2"/>
      <c r="W48" s="2"/>
      <c r="X48" s="2"/>
      <c r="Y48" s="2"/>
      <c r="Z48" s="2"/>
    </row>
    <row r="49" spans="1:26" x14ac:dyDescent="0.2">
      <c r="A49" s="2"/>
      <c r="B49" s="2"/>
      <c r="C49" s="2"/>
      <c r="D49" s="2"/>
      <c r="E49" s="2"/>
      <c r="F49" s="6"/>
      <c r="G49" s="2"/>
      <c r="H49" s="2"/>
      <c r="I49" s="2"/>
      <c r="J49" s="2"/>
      <c r="K49" s="2"/>
      <c r="L49" s="2"/>
      <c r="M49" s="2"/>
      <c r="N49" s="2"/>
      <c r="O49" s="2"/>
      <c r="P49" s="2"/>
      <c r="Q49" s="2"/>
      <c r="R49" s="2"/>
      <c r="S49" s="2"/>
      <c r="T49" s="2"/>
      <c r="U49" s="2"/>
      <c r="V49" s="2"/>
      <c r="W49" s="2"/>
      <c r="X49" s="2"/>
      <c r="Y49" s="2"/>
      <c r="Z49" s="2"/>
    </row>
    <row r="50" spans="1:26" x14ac:dyDescent="0.2">
      <c r="A50" s="2"/>
      <c r="B50" s="2" t="s">
        <v>942</v>
      </c>
      <c r="C50" s="391" t="s">
        <v>943</v>
      </c>
      <c r="D50" s="391"/>
      <c r="E50" s="391"/>
      <c r="F50" s="391"/>
      <c r="G50" s="391"/>
      <c r="H50" s="391"/>
      <c r="I50" s="391"/>
      <c r="J50" s="391"/>
      <c r="K50" s="391"/>
      <c r="L50" s="391"/>
      <c r="M50" s="391"/>
      <c r="N50" s="391"/>
      <c r="O50" s="391"/>
      <c r="P50" s="391"/>
      <c r="Q50" s="391"/>
      <c r="R50" s="391"/>
      <c r="S50" s="391"/>
      <c r="T50" s="391"/>
      <c r="U50" s="391"/>
      <c r="V50" s="391"/>
      <c r="W50" s="391"/>
      <c r="X50" s="391"/>
      <c r="Y50" s="391"/>
      <c r="Z50" s="2"/>
    </row>
    <row r="51" spans="1:26" x14ac:dyDescent="0.2">
      <c r="A51" s="2"/>
      <c r="B51" s="388" t="s">
        <v>944</v>
      </c>
      <c r="C51" s="388"/>
      <c r="D51" s="388"/>
      <c r="E51" s="388"/>
      <c r="F51" s="388"/>
      <c r="G51" s="388"/>
      <c r="H51" s="388"/>
      <c r="I51" s="388"/>
      <c r="J51" s="388"/>
      <c r="K51" s="388"/>
      <c r="L51" s="388"/>
      <c r="M51" s="388"/>
      <c r="N51" s="388"/>
      <c r="O51" s="388"/>
      <c r="P51" s="388"/>
      <c r="Q51" s="388"/>
      <c r="R51" s="388"/>
      <c r="S51" s="388"/>
      <c r="T51" s="388"/>
      <c r="U51" s="388"/>
      <c r="V51" s="388"/>
      <c r="W51" s="388"/>
      <c r="X51" s="388"/>
      <c r="Y51" s="388"/>
      <c r="Z51" s="2"/>
    </row>
    <row r="52" spans="1:26" x14ac:dyDescent="0.2">
      <c r="A52" s="2"/>
      <c r="B52" s="388"/>
      <c r="C52" s="388"/>
      <c r="D52" s="388"/>
      <c r="E52" s="388"/>
      <c r="F52" s="388"/>
      <c r="G52" s="388"/>
      <c r="H52" s="388"/>
      <c r="I52" s="388"/>
      <c r="J52" s="388"/>
      <c r="K52" s="388"/>
      <c r="L52" s="388"/>
      <c r="M52" s="388"/>
      <c r="N52" s="388"/>
      <c r="O52" s="388"/>
      <c r="P52" s="388"/>
      <c r="Q52" s="388"/>
      <c r="R52" s="388"/>
      <c r="S52" s="388"/>
      <c r="T52" s="388"/>
      <c r="U52" s="388"/>
      <c r="V52" s="388"/>
      <c r="W52" s="388"/>
      <c r="X52" s="388"/>
      <c r="Y52" s="388"/>
      <c r="Z52" s="2"/>
    </row>
    <row r="53" spans="1:26" ht="12.75" customHeight="1" x14ac:dyDescent="0.2">
      <c r="A53" s="2"/>
      <c r="B53" s="2"/>
      <c r="C53" s="2"/>
      <c r="D53" s="2"/>
      <c r="E53" s="2"/>
      <c r="F53" s="6"/>
      <c r="G53" s="2"/>
      <c r="H53" s="2"/>
      <c r="I53" s="2"/>
      <c r="J53" s="2"/>
      <c r="K53" s="2"/>
      <c r="L53" s="2"/>
      <c r="M53" s="2"/>
      <c r="N53" s="2"/>
      <c r="O53" s="2"/>
      <c r="P53" s="2"/>
      <c r="Q53" s="2"/>
      <c r="R53" s="2"/>
      <c r="S53" s="2"/>
      <c r="T53" s="2"/>
      <c r="U53" s="2"/>
      <c r="V53" s="2"/>
      <c r="W53" s="2"/>
      <c r="X53" s="2"/>
      <c r="Y53" s="2"/>
      <c r="Z53" s="2"/>
    </row>
    <row r="54" spans="1:26" x14ac:dyDescent="0.2">
      <c r="A54" s="2"/>
      <c r="B54" s="2"/>
      <c r="C54" s="2"/>
      <c r="D54" s="2"/>
      <c r="E54" s="2"/>
      <c r="F54" s="2"/>
      <c r="G54" s="392"/>
      <c r="H54" s="392"/>
      <c r="I54" s="392"/>
      <c r="J54" s="392"/>
      <c r="K54" s="392"/>
      <c r="L54" s="392"/>
      <c r="M54" s="26"/>
      <c r="N54" s="2"/>
      <c r="O54" s="2"/>
      <c r="P54" s="2"/>
      <c r="Q54" s="389"/>
      <c r="R54" s="389"/>
      <c r="S54" s="389"/>
      <c r="T54" s="389"/>
      <c r="U54" s="389"/>
      <c r="V54" s="389"/>
      <c r="W54" s="389"/>
      <c r="X54" s="389"/>
      <c r="Y54" s="389"/>
      <c r="Z54" s="2"/>
    </row>
    <row r="55" spans="1:26" x14ac:dyDescent="0.2">
      <c r="A55" s="2"/>
      <c r="B55" s="2"/>
      <c r="C55" s="2"/>
      <c r="D55" s="2"/>
      <c r="E55" s="2"/>
      <c r="F55" s="2"/>
      <c r="G55" s="2"/>
      <c r="H55" s="2"/>
      <c r="I55" s="2"/>
      <c r="J55" s="2"/>
      <c r="K55" s="2"/>
      <c r="L55" s="2"/>
      <c r="M55" s="27"/>
      <c r="N55" s="2"/>
      <c r="O55" s="2"/>
      <c r="P55" s="2"/>
      <c r="Q55" s="393" t="s">
        <v>945</v>
      </c>
      <c r="R55" s="393"/>
      <c r="S55" s="393"/>
      <c r="T55" s="393"/>
      <c r="U55" s="393"/>
      <c r="V55" s="393"/>
      <c r="W55" s="393"/>
      <c r="X55" s="393"/>
      <c r="Y55" s="393"/>
      <c r="Z55" s="2"/>
    </row>
    <row r="56" spans="1:26" x14ac:dyDescent="0.2">
      <c r="A56" s="2"/>
      <c r="B56" s="2"/>
      <c r="C56" s="2"/>
      <c r="D56" s="2"/>
      <c r="E56" s="2"/>
      <c r="F56" s="2"/>
      <c r="G56" s="2"/>
      <c r="H56" s="2"/>
      <c r="I56" s="2"/>
      <c r="J56" s="2"/>
      <c r="K56" s="2"/>
      <c r="L56" s="2"/>
      <c r="M56" s="27"/>
      <c r="N56" s="2"/>
      <c r="O56" s="2"/>
      <c r="P56" s="2"/>
      <c r="Q56" s="382" t="s">
        <v>946</v>
      </c>
      <c r="R56" s="382"/>
      <c r="S56" s="382"/>
      <c r="T56" s="382"/>
      <c r="U56" s="382"/>
      <c r="V56" s="382"/>
      <c r="W56" s="382"/>
      <c r="X56" s="382"/>
      <c r="Y56" s="382"/>
      <c r="Z56" s="2"/>
    </row>
    <row r="57" spans="1:26" ht="12.75" customHeight="1" x14ac:dyDescent="0.2">
      <c r="A57" s="2"/>
      <c r="B57" s="2"/>
      <c r="C57" s="2"/>
      <c r="D57" s="2"/>
      <c r="E57" s="2"/>
      <c r="F57" s="6"/>
      <c r="G57" s="2"/>
      <c r="H57" s="2"/>
      <c r="I57" s="2"/>
      <c r="J57" s="2"/>
      <c r="K57" s="2"/>
      <c r="L57" s="2"/>
      <c r="M57" s="2"/>
      <c r="N57" s="2"/>
      <c r="O57" s="2"/>
      <c r="P57" s="2"/>
      <c r="Q57" s="2"/>
      <c r="R57" s="2"/>
      <c r="S57" s="2"/>
      <c r="T57" s="2"/>
      <c r="U57" s="2"/>
      <c r="V57" s="2"/>
      <c r="W57" s="2"/>
      <c r="X57" s="2"/>
      <c r="Y57" s="2"/>
      <c r="Z57" s="2"/>
    </row>
    <row r="58" spans="1:26" x14ac:dyDescent="0.2">
      <c r="A58" s="2"/>
      <c r="B58" s="2"/>
      <c r="C58" s="2"/>
      <c r="D58" s="2"/>
      <c r="E58" s="2"/>
      <c r="F58" s="6"/>
      <c r="G58" s="2"/>
      <c r="H58" s="2"/>
      <c r="I58" s="2"/>
      <c r="J58" s="2"/>
      <c r="K58" s="2"/>
      <c r="L58" s="2"/>
      <c r="M58" s="2"/>
      <c r="N58" s="2"/>
      <c r="O58" s="2"/>
      <c r="P58" s="2"/>
      <c r="Q58" s="2"/>
      <c r="R58" s="2"/>
      <c r="S58" s="2"/>
      <c r="T58" s="2"/>
      <c r="U58" s="2"/>
      <c r="V58" s="2"/>
      <c r="W58" s="2"/>
      <c r="X58" s="2"/>
      <c r="Y58" s="2"/>
      <c r="Z58" s="2"/>
    </row>
    <row r="59" spans="1:26" x14ac:dyDescent="0.2">
      <c r="A59" s="2"/>
      <c r="B59" s="27" t="s">
        <v>947</v>
      </c>
      <c r="C59" s="386" t="s">
        <v>948</v>
      </c>
      <c r="D59" s="386"/>
      <c r="E59" s="386"/>
      <c r="F59" s="386"/>
      <c r="G59" s="386"/>
      <c r="H59" s="386"/>
      <c r="I59" s="386"/>
      <c r="J59" s="386"/>
      <c r="K59" s="386"/>
      <c r="L59" s="386"/>
      <c r="M59" s="386"/>
      <c r="N59" s="386"/>
      <c r="O59" s="386"/>
      <c r="P59" s="386"/>
      <c r="Q59" s="386"/>
      <c r="R59" s="394"/>
      <c r="S59" s="394"/>
      <c r="T59" s="394"/>
      <c r="U59" s="394"/>
      <c r="V59" s="394"/>
      <c r="W59" s="394"/>
      <c r="X59" s="390" t="s">
        <v>949</v>
      </c>
      <c r="Y59" s="390"/>
      <c r="Z59" s="2"/>
    </row>
    <row r="60" spans="1:26" x14ac:dyDescent="0.2">
      <c r="A60" s="2"/>
      <c r="B60" s="389"/>
      <c r="C60" s="389"/>
      <c r="D60" s="389"/>
      <c r="E60" s="389"/>
      <c r="F60" s="389"/>
      <c r="G60" s="389"/>
      <c r="H60" s="389"/>
      <c r="I60" s="389"/>
      <c r="J60" s="389"/>
      <c r="K60" s="389"/>
      <c r="L60" s="29">
        <v>20</v>
      </c>
      <c r="M60" s="389"/>
      <c r="N60" s="389"/>
      <c r="O60" s="390" t="s">
        <v>950</v>
      </c>
      <c r="P60" s="390"/>
      <c r="Q60" s="390"/>
      <c r="R60" s="390"/>
      <c r="S60" s="390"/>
      <c r="T60" s="390"/>
      <c r="U60" s="390"/>
      <c r="V60" s="390"/>
      <c r="W60" s="390"/>
      <c r="X60" s="390"/>
      <c r="Y60" s="390"/>
      <c r="Z60" s="2"/>
    </row>
    <row r="61" spans="1:26" x14ac:dyDescent="0.2">
      <c r="A61" s="2"/>
      <c r="B61" s="395" t="s">
        <v>951</v>
      </c>
      <c r="C61" s="395"/>
      <c r="D61" s="395"/>
      <c r="E61" s="395"/>
      <c r="F61" s="396"/>
      <c r="G61" s="396"/>
      <c r="H61" s="396"/>
      <c r="I61" s="396"/>
      <c r="J61" s="396"/>
      <c r="K61" s="396"/>
      <c r="L61" s="389"/>
      <c r="M61" s="391" t="s">
        <v>952</v>
      </c>
      <c r="N61" s="391"/>
      <c r="O61" s="391"/>
      <c r="P61" s="391"/>
      <c r="Q61" s="389"/>
      <c r="R61" s="389"/>
      <c r="S61" s="389"/>
      <c r="T61" s="389"/>
      <c r="U61" s="389"/>
      <c r="V61" s="389"/>
      <c r="W61" s="389"/>
      <c r="X61" s="389"/>
      <c r="Y61" s="28" t="s">
        <v>953</v>
      </c>
      <c r="Z61" s="2"/>
    </row>
    <row r="62" spans="1:26" x14ac:dyDescent="0.2">
      <c r="A62" s="2"/>
      <c r="B62" s="389"/>
      <c r="C62" s="389"/>
      <c r="D62" s="389"/>
      <c r="E62" s="389"/>
      <c r="F62" s="389"/>
      <c r="G62" s="389"/>
      <c r="H62" s="389"/>
      <c r="I62" s="389"/>
      <c r="J62" s="389"/>
      <c r="K62" s="28">
        <v>20</v>
      </c>
      <c r="L62" s="389"/>
      <c r="M62" s="389"/>
      <c r="N62" s="2" t="s">
        <v>954</v>
      </c>
      <c r="O62" s="2"/>
      <c r="P62" s="2"/>
      <c r="Q62" s="2"/>
      <c r="R62" s="2"/>
      <c r="S62" s="2"/>
      <c r="T62" s="2"/>
      <c r="U62" s="2"/>
      <c r="V62" s="2"/>
      <c r="W62" s="2"/>
      <c r="X62" s="2"/>
      <c r="Y62" s="2"/>
      <c r="Z62" s="2"/>
    </row>
    <row r="63" spans="1:26" x14ac:dyDescent="0.2">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9.75" customHeight="1" x14ac:dyDescent="0.2">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x14ac:dyDescent="0.2">
      <c r="A65" s="2"/>
      <c r="B65" s="2"/>
      <c r="C65" s="2"/>
      <c r="D65" s="2"/>
      <c r="E65" s="2"/>
      <c r="F65" s="16"/>
      <c r="G65" s="392"/>
      <c r="H65" s="392"/>
      <c r="I65" s="392"/>
      <c r="J65" s="392"/>
      <c r="K65" s="392"/>
      <c r="L65" s="392"/>
      <c r="M65" s="26"/>
      <c r="N65" s="2"/>
      <c r="O65" s="2"/>
      <c r="P65" s="2"/>
      <c r="Q65" s="389"/>
      <c r="R65" s="389"/>
      <c r="S65" s="389"/>
      <c r="T65" s="389"/>
      <c r="U65" s="389"/>
      <c r="V65" s="389"/>
      <c r="W65" s="389"/>
      <c r="X65" s="389"/>
      <c r="Y65" s="389"/>
      <c r="Z65" s="2"/>
    </row>
    <row r="66" spans="1:26" x14ac:dyDescent="0.2">
      <c r="A66" s="2"/>
      <c r="B66" s="2"/>
      <c r="C66" s="2"/>
      <c r="D66" s="2"/>
      <c r="E66" s="2"/>
      <c r="F66" s="16"/>
      <c r="G66" s="16"/>
      <c r="H66" s="393"/>
      <c r="I66" s="393"/>
      <c r="J66" s="393"/>
      <c r="K66" s="393"/>
      <c r="L66" s="393"/>
      <c r="M66" s="27"/>
      <c r="N66" s="2"/>
      <c r="O66" s="2"/>
      <c r="P66" s="2"/>
      <c r="Q66" s="398" t="s">
        <v>955</v>
      </c>
      <c r="R66" s="398"/>
      <c r="S66" s="398"/>
      <c r="T66" s="398"/>
      <c r="U66" s="398"/>
      <c r="V66" s="398"/>
      <c r="W66" s="398"/>
      <c r="X66" s="398"/>
      <c r="Y66" s="398"/>
      <c r="Z66" s="2"/>
    </row>
    <row r="67" spans="1:26" x14ac:dyDescent="0.2">
      <c r="A67" s="2"/>
      <c r="B67" s="2"/>
      <c r="C67" s="2"/>
      <c r="D67" s="2"/>
      <c r="E67" s="2"/>
      <c r="F67" s="16"/>
      <c r="G67" s="30"/>
      <c r="H67" s="16"/>
      <c r="I67" s="16"/>
      <c r="J67" s="16"/>
      <c r="K67" s="397"/>
      <c r="L67" s="397"/>
      <c r="M67" s="2"/>
      <c r="N67" s="2"/>
      <c r="O67" s="2"/>
      <c r="P67" s="2"/>
      <c r="Q67" s="388" t="s">
        <v>956</v>
      </c>
      <c r="R67" s="388"/>
      <c r="S67" s="388"/>
      <c r="T67" s="388"/>
      <c r="U67" s="388"/>
      <c r="V67" s="31">
        <v>20</v>
      </c>
      <c r="W67" s="389"/>
      <c r="X67" s="389"/>
      <c r="Y67" s="389"/>
      <c r="Z67" s="2"/>
    </row>
    <row r="68" spans="1:26" x14ac:dyDescent="0.2">
      <c r="A68" s="2"/>
      <c r="B68" s="2"/>
      <c r="C68" s="2"/>
      <c r="D68" s="2"/>
      <c r="E68" s="2"/>
      <c r="F68" s="30"/>
      <c r="G68" s="30"/>
      <c r="H68" s="16"/>
      <c r="I68" s="392"/>
      <c r="J68" s="392"/>
      <c r="K68" s="392"/>
      <c r="L68" s="392"/>
      <c r="M68" s="2"/>
      <c r="N68" s="2"/>
      <c r="O68" s="2"/>
      <c r="P68" s="2"/>
      <c r="Q68" s="388" t="s">
        <v>957</v>
      </c>
      <c r="R68" s="388"/>
      <c r="S68" s="388"/>
      <c r="T68" s="389"/>
      <c r="U68" s="389"/>
      <c r="V68" s="389"/>
      <c r="W68" s="389"/>
      <c r="X68" s="389"/>
      <c r="Y68" s="389"/>
      <c r="Z68" s="2"/>
    </row>
    <row r="69" spans="1:26" x14ac:dyDescent="0.2">
      <c r="A69" s="2"/>
      <c r="B69" s="2"/>
      <c r="C69" s="2"/>
      <c r="D69" s="2"/>
      <c r="E69" s="2"/>
      <c r="F69" s="16"/>
      <c r="G69" s="30"/>
      <c r="H69" s="16"/>
      <c r="I69" s="392"/>
      <c r="J69" s="392"/>
      <c r="K69" s="392"/>
      <c r="L69" s="392"/>
      <c r="M69" s="2"/>
      <c r="N69" s="2"/>
      <c r="O69" s="2"/>
      <c r="P69" s="2"/>
      <c r="Q69" s="388" t="s">
        <v>958</v>
      </c>
      <c r="R69" s="388"/>
      <c r="S69" s="388"/>
      <c r="T69" s="396"/>
      <c r="U69" s="396"/>
      <c r="V69" s="396"/>
      <c r="W69" s="396"/>
      <c r="X69" s="396"/>
      <c r="Y69" s="396"/>
      <c r="Z69" s="2"/>
    </row>
    <row r="70" spans="1:26" x14ac:dyDescent="0.2">
      <c r="A70" s="2"/>
      <c r="B70" s="397" t="s">
        <v>959</v>
      </c>
      <c r="C70" s="397"/>
      <c r="D70" s="397"/>
      <c r="E70" s="399"/>
      <c r="F70" s="399"/>
      <c r="G70" s="399"/>
      <c r="H70" s="399"/>
      <c r="I70" s="16"/>
      <c r="J70" s="16"/>
      <c r="K70" s="16"/>
      <c r="L70" s="16"/>
      <c r="M70" s="2"/>
      <c r="N70" s="2"/>
      <c r="O70" s="2"/>
      <c r="P70" s="2"/>
      <c r="Q70" s="2"/>
      <c r="R70" s="2"/>
      <c r="S70" s="2"/>
      <c r="T70" s="2"/>
      <c r="U70" s="2"/>
      <c r="V70" s="2"/>
      <c r="W70" s="2"/>
      <c r="X70" s="2"/>
      <c r="Y70" s="2"/>
      <c r="Z70" s="2"/>
    </row>
    <row r="71" spans="1:26" x14ac:dyDescent="0.2">
      <c r="A71" s="2"/>
      <c r="B71" s="397" t="s">
        <v>960</v>
      </c>
      <c r="C71" s="397"/>
      <c r="D71" s="397"/>
      <c r="E71" s="399"/>
      <c r="F71" s="399"/>
      <c r="G71" s="399"/>
      <c r="H71" s="399"/>
      <c r="I71" s="2"/>
      <c r="J71" s="2"/>
      <c r="K71" s="2"/>
      <c r="L71" s="2"/>
      <c r="M71" s="2"/>
      <c r="N71" s="2"/>
      <c r="O71" s="2"/>
      <c r="P71" s="2"/>
      <c r="Q71" s="2"/>
      <c r="R71" s="2"/>
      <c r="S71" s="2"/>
      <c r="T71" s="2"/>
      <c r="U71" s="2"/>
      <c r="V71" s="2"/>
      <c r="W71" s="2"/>
      <c r="X71" s="2"/>
      <c r="Y71" s="2"/>
      <c r="Z71" s="2"/>
    </row>
    <row r="72" spans="1:26" x14ac:dyDescent="0.2">
      <c r="A72" s="2"/>
      <c r="B72" s="397" t="s">
        <v>961</v>
      </c>
      <c r="C72" s="397"/>
      <c r="D72" s="397"/>
      <c r="E72" s="399"/>
      <c r="F72" s="399"/>
      <c r="G72" s="399"/>
      <c r="H72" s="399"/>
      <c r="I72" s="2"/>
      <c r="J72" s="2"/>
      <c r="K72" s="2"/>
      <c r="L72" s="2"/>
      <c r="M72" s="2"/>
      <c r="N72" s="2"/>
      <c r="O72" s="2"/>
      <c r="P72" s="2"/>
      <c r="Q72" s="2"/>
      <c r="R72" s="2"/>
      <c r="S72" s="2"/>
      <c r="T72" s="2"/>
      <c r="U72" s="2"/>
      <c r="V72" s="2"/>
      <c r="W72" s="2"/>
      <c r="X72" s="2"/>
      <c r="Y72" s="2"/>
      <c r="Z72" s="2"/>
    </row>
    <row r="73" spans="1:26" x14ac:dyDescent="0.2">
      <c r="A73" s="2"/>
      <c r="B73" s="397" t="s">
        <v>962</v>
      </c>
      <c r="C73" s="397"/>
      <c r="D73" s="397"/>
      <c r="E73" s="399"/>
      <c r="F73" s="399"/>
      <c r="G73" s="399"/>
      <c r="H73" s="399"/>
      <c r="I73" s="2"/>
      <c r="J73" s="2"/>
      <c r="K73" s="2"/>
      <c r="L73" s="2"/>
      <c r="M73" s="2"/>
      <c r="N73" s="2"/>
      <c r="O73" s="2"/>
      <c r="P73" s="2"/>
      <c r="Q73" s="2"/>
      <c r="R73" s="2"/>
      <c r="S73" s="2"/>
      <c r="T73" s="2"/>
      <c r="U73" s="2"/>
      <c r="V73" s="2"/>
      <c r="W73" s="2"/>
      <c r="X73" s="2"/>
      <c r="Y73" s="2"/>
      <c r="Z73" s="2"/>
    </row>
    <row r="74" spans="1:26" x14ac:dyDescent="0.2">
      <c r="A74" s="2"/>
      <c r="B74" s="2"/>
      <c r="C74" s="2"/>
      <c r="D74" s="2"/>
      <c r="E74" s="2"/>
      <c r="F74" s="2"/>
      <c r="G74" s="2"/>
      <c r="H74" s="2"/>
      <c r="I74" s="2"/>
      <c r="J74" s="2"/>
      <c r="K74" s="2"/>
      <c r="L74" s="2"/>
      <c r="M74" s="2"/>
      <c r="N74" s="2"/>
      <c r="O74" s="2"/>
      <c r="P74" s="2"/>
      <c r="Q74" s="2"/>
      <c r="R74" s="2"/>
      <c r="S74" s="2"/>
      <c r="T74" s="2"/>
      <c r="U74" s="2"/>
      <c r="V74" s="2"/>
      <c r="W74" s="2"/>
      <c r="X74" s="2"/>
      <c r="Y74" s="2"/>
      <c r="Z74" s="2"/>
    </row>
  </sheetData>
  <sheetProtection algorithmName="SHA-512" hashValue="QyJKlyCBVN6NQdXN7T9QHxdnwva0cwjEeZ/Pwuv2UFbnH+sTSQEWHofw61aHoR8M+N2S6lgDYIS3WFSkQ9C3xw==" saltValue="7VvwFPfkdA2YnUFXuhldhQ==" spinCount="100000" sheet="1" objects="1" scenarios="1"/>
  <mergeCells count="70">
    <mergeCell ref="B73:D73"/>
    <mergeCell ref="E73:H73"/>
    <mergeCell ref="B70:D70"/>
    <mergeCell ref="E70:H70"/>
    <mergeCell ref="B71:D71"/>
    <mergeCell ref="E71:H71"/>
    <mergeCell ref="Q67:U67"/>
    <mergeCell ref="W67:Y67"/>
    <mergeCell ref="E72:H72"/>
    <mergeCell ref="I69:L69"/>
    <mergeCell ref="Q69:S69"/>
    <mergeCell ref="T69:Y69"/>
    <mergeCell ref="B61:E61"/>
    <mergeCell ref="F61:L61"/>
    <mergeCell ref="M61:P61"/>
    <mergeCell ref="B72:D72"/>
    <mergeCell ref="H66:L66"/>
    <mergeCell ref="Q66:Y66"/>
    <mergeCell ref="I68:L68"/>
    <mergeCell ref="Q68:S68"/>
    <mergeCell ref="T68:Y68"/>
    <mergeCell ref="K67:L67"/>
    <mergeCell ref="G54:L54"/>
    <mergeCell ref="Q54:Y54"/>
    <mergeCell ref="Q55:Y55"/>
    <mergeCell ref="B62:J62"/>
    <mergeCell ref="L62:M62"/>
    <mergeCell ref="G65:L65"/>
    <mergeCell ref="Q65:Y65"/>
    <mergeCell ref="C59:Q59"/>
    <mergeCell ref="R59:W59"/>
    <mergeCell ref="X59:Y59"/>
    <mergeCell ref="B48:I48"/>
    <mergeCell ref="J48:L48"/>
    <mergeCell ref="F31:U31"/>
    <mergeCell ref="Q61:X61"/>
    <mergeCell ref="B60:K60"/>
    <mergeCell ref="M60:N60"/>
    <mergeCell ref="O60:Y60"/>
    <mergeCell ref="C50:Y50"/>
    <mergeCell ref="B51:Y51"/>
    <mergeCell ref="B52:Y52"/>
    <mergeCell ref="H37:S37"/>
    <mergeCell ref="H38:S38"/>
    <mergeCell ref="F41:H41"/>
    <mergeCell ref="F29:U29"/>
    <mergeCell ref="F30:U30"/>
    <mergeCell ref="Q56:Y56"/>
    <mergeCell ref="F42:G42"/>
    <mergeCell ref="H42:T42"/>
    <mergeCell ref="H43:T43"/>
    <mergeCell ref="B47:I47"/>
    <mergeCell ref="P15:R15"/>
    <mergeCell ref="S16:W16"/>
    <mergeCell ref="F21:U21"/>
    <mergeCell ref="I22:R22"/>
    <mergeCell ref="E35:V35"/>
    <mergeCell ref="E36:V36"/>
    <mergeCell ref="F27:Q27"/>
    <mergeCell ref="S27:U27"/>
    <mergeCell ref="F26:Q26"/>
    <mergeCell ref="S26:U26"/>
    <mergeCell ref="S12:W12"/>
    <mergeCell ref="S13:W13"/>
    <mergeCell ref="S9:W9"/>
    <mergeCell ref="S11:W11"/>
    <mergeCell ref="D5:W5"/>
    <mergeCell ref="P7:R7"/>
    <mergeCell ref="S7:W7"/>
    <mergeCell ref="S8:W8"/>
  </mergeCells>
  <phoneticPr fontId="24" type="noConversion"/>
  <hyperlinks>
    <hyperlink ref="S18" r:id="rId1"/>
    <hyperlink ref="S17" r:id="rId2"/>
  </hyperlinks>
  <printOptions horizontalCentered="1"/>
  <pageMargins left="0.5" right="0.5" top="0.84" bottom="0.5" header="0.5" footer="0.5"/>
  <pageSetup paperSize="9" scale="85" orientation="portrait" r:id="rId3"/>
  <headerFooter>
    <oddHeader>&amp;C&amp;"Arial,Bold"&amp;8 1  [ 04-000001 ]
 As of: March 31, 2016</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9"/>
  <sheetViews>
    <sheetView tabSelected="1" view="pageBreakPreview" zoomScaleNormal="100" zoomScaleSheetLayoutView="100" workbookViewId="0">
      <selection activeCell="J11" sqref="J11"/>
    </sheetView>
  </sheetViews>
  <sheetFormatPr defaultColWidth="10.28515625" defaultRowHeight="12" x14ac:dyDescent="0.2"/>
  <cols>
    <col min="1" max="1" width="5.42578125" style="35" customWidth="1"/>
    <col min="2" max="2" width="47.140625" style="35" customWidth="1"/>
    <col min="3" max="6" width="11.42578125" style="35" hidden="1" customWidth="1"/>
    <col min="7" max="7" width="19.5703125" style="100" customWidth="1"/>
    <col min="8" max="8" width="19.5703125" style="35" hidden="1" customWidth="1"/>
    <col min="9" max="10" width="19.5703125" style="101" customWidth="1"/>
    <col min="11" max="11" width="10.28515625" style="35"/>
    <col min="12" max="12" width="0" style="35" hidden="1" customWidth="1"/>
    <col min="13" max="14" width="10.28515625" style="35"/>
    <col min="15" max="15" width="10.28515625" style="35" customWidth="1"/>
    <col min="16" max="16384" width="10.28515625" style="35"/>
  </cols>
  <sheetData>
    <row r="1" spans="1:10" x14ac:dyDescent="0.2">
      <c r="A1" s="32"/>
      <c r="B1" s="32"/>
      <c r="C1" s="32"/>
      <c r="D1" s="32"/>
      <c r="E1" s="32"/>
      <c r="F1" s="32"/>
      <c r="G1" s="33"/>
      <c r="H1" s="32"/>
      <c r="I1" s="34"/>
      <c r="J1" s="34"/>
    </row>
    <row r="2" spans="1:10" hidden="1" x14ac:dyDescent="0.2">
      <c r="A2" s="32"/>
      <c r="B2" s="32"/>
      <c r="C2" s="32"/>
      <c r="D2" s="32"/>
      <c r="E2" s="32"/>
      <c r="F2" s="32"/>
      <c r="G2" s="33"/>
      <c r="H2" s="32"/>
      <c r="I2" s="34"/>
      <c r="J2" s="34"/>
    </row>
    <row r="3" spans="1:10" hidden="1" x14ac:dyDescent="0.2">
      <c r="A3" s="32"/>
      <c r="B3" s="32"/>
      <c r="C3" s="32"/>
      <c r="D3" s="32"/>
      <c r="E3" s="32"/>
      <c r="F3" s="32"/>
      <c r="G3" s="33"/>
      <c r="H3" s="32"/>
      <c r="I3" s="34"/>
      <c r="J3" s="34"/>
    </row>
    <row r="4" spans="1:10" hidden="1" x14ac:dyDescent="0.2">
      <c r="A4" s="32"/>
      <c r="B4" s="32"/>
      <c r="C4" s="32"/>
      <c r="D4" s="32"/>
      <c r="E4" s="32"/>
      <c r="F4" s="32"/>
      <c r="G4" s="33"/>
      <c r="H4" s="32"/>
      <c r="I4" s="34"/>
      <c r="J4" s="34"/>
    </row>
    <row r="5" spans="1:10" hidden="1" x14ac:dyDescent="0.2">
      <c r="A5" s="32"/>
      <c r="B5" s="32"/>
      <c r="C5" s="32"/>
      <c r="D5" s="32"/>
      <c r="E5" s="32"/>
      <c r="F5" s="32"/>
      <c r="G5" s="33"/>
      <c r="H5" s="32"/>
      <c r="I5" s="34"/>
      <c r="J5" s="34"/>
    </row>
    <row r="6" spans="1:10" hidden="1" x14ac:dyDescent="0.2">
      <c r="A6" s="32"/>
      <c r="B6" s="32"/>
      <c r="C6" s="32"/>
      <c r="D6" s="32"/>
      <c r="E6" s="32"/>
      <c r="F6" s="32"/>
      <c r="G6" s="33"/>
      <c r="H6" s="32"/>
      <c r="I6" s="34"/>
      <c r="J6" s="34"/>
    </row>
    <row r="7" spans="1:10" hidden="1" x14ac:dyDescent="0.2">
      <c r="A7" s="32"/>
      <c r="B7" s="32"/>
      <c r="C7" s="32"/>
      <c r="D7" s="32"/>
      <c r="E7" s="32"/>
      <c r="F7" s="32"/>
      <c r="G7" s="33"/>
      <c r="H7" s="32"/>
      <c r="I7" s="34"/>
      <c r="J7" s="34"/>
    </row>
    <row r="8" spans="1:10" s="40" customFormat="1" x14ac:dyDescent="0.25">
      <c r="A8" s="36" t="s">
        <v>963</v>
      </c>
      <c r="B8" s="37"/>
      <c r="C8" s="37"/>
      <c r="D8" s="37"/>
      <c r="E8" s="37"/>
      <c r="F8" s="37"/>
      <c r="G8" s="38"/>
      <c r="H8" s="37"/>
      <c r="I8" s="39"/>
      <c r="J8" s="39"/>
    </row>
    <row r="9" spans="1:10" ht="27.95" customHeight="1" x14ac:dyDescent="0.2">
      <c r="A9" s="41" t="s">
        <v>964</v>
      </c>
      <c r="B9" s="42" t="s">
        <v>965</v>
      </c>
      <c r="C9" s="42"/>
      <c r="D9" s="42"/>
      <c r="E9" s="42"/>
      <c r="F9" s="42"/>
      <c r="G9" s="42" t="s">
        <v>966</v>
      </c>
      <c r="H9" s="43"/>
      <c r="I9" s="400" t="s">
        <v>967</v>
      </c>
      <c r="J9" s="401"/>
    </row>
    <row r="10" spans="1:10" s="50" customFormat="1" ht="18" customHeight="1" x14ac:dyDescent="0.25">
      <c r="A10" s="44" t="s">
        <v>968</v>
      </c>
      <c r="B10" s="44" t="s">
        <v>969</v>
      </c>
      <c r="C10" s="45"/>
      <c r="D10" s="45"/>
      <c r="E10" s="45"/>
      <c r="F10" s="45"/>
      <c r="G10" s="46"/>
      <c r="H10" s="47"/>
      <c r="I10" s="48"/>
      <c r="J10" s="49"/>
    </row>
    <row r="11" spans="1:10" s="50" customFormat="1" ht="18" customHeight="1" x14ac:dyDescent="0.25">
      <c r="A11" s="51" t="s">
        <v>970</v>
      </c>
      <c r="B11" s="52" t="s">
        <v>971</v>
      </c>
      <c r="C11" s="52"/>
      <c r="D11" s="52"/>
      <c r="E11" s="52"/>
      <c r="F11" s="53"/>
      <c r="G11" s="54" t="s">
        <v>972</v>
      </c>
      <c r="H11" s="55"/>
      <c r="I11" s="56"/>
      <c r="J11" s="57">
        <f>TQC!I82</f>
        <v>0</v>
      </c>
    </row>
    <row r="12" spans="1:10" s="50" customFormat="1" ht="18" customHeight="1" x14ac:dyDescent="0.25">
      <c r="A12" s="51" t="s">
        <v>973</v>
      </c>
      <c r="B12" s="58" t="s">
        <v>974</v>
      </c>
      <c r="C12" s="58"/>
      <c r="D12" s="58"/>
      <c r="E12" s="58"/>
      <c r="F12" s="59"/>
      <c r="G12" s="54" t="s">
        <v>975</v>
      </c>
      <c r="H12" s="60"/>
      <c r="I12" s="61"/>
      <c r="J12" s="62">
        <f>TQC!I83</f>
        <v>0</v>
      </c>
    </row>
    <row r="13" spans="1:10" s="50" customFormat="1" ht="27.95" customHeight="1" x14ac:dyDescent="0.25">
      <c r="A13" s="51" t="s">
        <v>976</v>
      </c>
      <c r="B13" s="63" t="s">
        <v>977</v>
      </c>
      <c r="C13" s="64"/>
      <c r="D13" s="64"/>
      <c r="E13" s="64"/>
      <c r="F13" s="64"/>
      <c r="G13" s="54" t="s">
        <v>978</v>
      </c>
      <c r="H13" s="65"/>
      <c r="I13" s="66"/>
      <c r="J13" s="67">
        <f>J11+J12</f>
        <v>0</v>
      </c>
    </row>
    <row r="14" spans="1:10" s="50" customFormat="1" ht="18" customHeight="1" x14ac:dyDescent="0.25">
      <c r="A14" s="44" t="s">
        <v>979</v>
      </c>
      <c r="B14" s="44" t="s">
        <v>980</v>
      </c>
      <c r="C14" s="45"/>
      <c r="D14" s="45"/>
      <c r="E14" s="45"/>
      <c r="F14" s="45"/>
      <c r="G14" s="46"/>
      <c r="H14" s="47"/>
      <c r="I14" s="68"/>
      <c r="J14" s="69"/>
    </row>
    <row r="15" spans="1:10" s="50" customFormat="1" ht="27.95" customHeight="1" x14ac:dyDescent="0.25">
      <c r="A15" s="51" t="s">
        <v>981</v>
      </c>
      <c r="B15" s="70" t="s">
        <v>982</v>
      </c>
      <c r="C15" s="70"/>
      <c r="D15" s="70"/>
      <c r="E15" s="70"/>
      <c r="F15" s="71"/>
      <c r="G15" s="54" t="s">
        <v>983</v>
      </c>
      <c r="H15" s="72"/>
      <c r="I15" s="56"/>
      <c r="J15" s="73">
        <f>I19-I23</f>
        <v>0</v>
      </c>
    </row>
    <row r="16" spans="1:10" s="50" customFormat="1" ht="18" customHeight="1" x14ac:dyDescent="0.25">
      <c r="A16" s="51" t="s">
        <v>984</v>
      </c>
      <c r="B16" s="74" t="s">
        <v>985</v>
      </c>
      <c r="C16" s="74"/>
      <c r="D16" s="74"/>
      <c r="E16" s="74"/>
      <c r="F16" s="75"/>
      <c r="G16" s="54" t="s">
        <v>986</v>
      </c>
      <c r="H16" s="76"/>
      <c r="I16" s="62">
        <f>ONBS_RWA!K76</f>
        <v>0</v>
      </c>
      <c r="J16" s="61"/>
    </row>
    <row r="17" spans="1:10" s="50" customFormat="1" ht="18" customHeight="1" x14ac:dyDescent="0.25">
      <c r="A17" s="51" t="s">
        <v>987</v>
      </c>
      <c r="B17" s="74" t="s">
        <v>988</v>
      </c>
      <c r="C17" s="74"/>
      <c r="D17" s="74"/>
      <c r="E17" s="74"/>
      <c r="F17" s="75"/>
      <c r="G17" s="54" t="s">
        <v>989</v>
      </c>
      <c r="H17" s="76"/>
      <c r="I17" s="62">
        <f>OFF_RWA!P53</f>
        <v>0</v>
      </c>
      <c r="J17" s="61"/>
    </row>
    <row r="18" spans="1:10" s="50" customFormat="1" ht="12.95" customHeight="1" x14ac:dyDescent="0.25">
      <c r="A18" s="77" t="s">
        <v>990</v>
      </c>
      <c r="B18" s="74" t="s">
        <v>991</v>
      </c>
      <c r="C18" s="74"/>
      <c r="D18" s="74"/>
      <c r="E18" s="74"/>
      <c r="F18" s="75"/>
      <c r="G18" s="54" t="s">
        <v>992</v>
      </c>
      <c r="H18" s="76"/>
      <c r="I18" s="78"/>
      <c r="J18" s="61"/>
    </row>
    <row r="19" spans="1:10" s="50" customFormat="1" ht="27.95" customHeight="1" x14ac:dyDescent="0.25">
      <c r="A19" s="51" t="s">
        <v>993</v>
      </c>
      <c r="B19" s="79" t="s">
        <v>994</v>
      </c>
      <c r="C19" s="79"/>
      <c r="D19" s="79"/>
      <c r="E19" s="79"/>
      <c r="F19" s="80"/>
      <c r="G19" s="54" t="s">
        <v>995</v>
      </c>
      <c r="H19" s="76"/>
      <c r="I19" s="62">
        <f>SUM(I16:I18)</f>
        <v>0</v>
      </c>
      <c r="J19" s="61"/>
    </row>
    <row r="20" spans="1:10" s="50" customFormat="1" ht="18" customHeight="1" x14ac:dyDescent="0.25">
      <c r="A20" s="51" t="s">
        <v>996</v>
      </c>
      <c r="B20" s="74" t="s">
        <v>997</v>
      </c>
      <c r="C20" s="74"/>
      <c r="D20" s="74"/>
      <c r="E20" s="74"/>
      <c r="F20" s="75"/>
      <c r="G20" s="46"/>
      <c r="H20" s="81"/>
      <c r="I20" s="61"/>
      <c r="J20" s="61"/>
    </row>
    <row r="21" spans="1:10" s="50" customFormat="1" ht="37.5" customHeight="1" x14ac:dyDescent="0.25">
      <c r="A21" s="51" t="s">
        <v>998</v>
      </c>
      <c r="B21" s="82" t="s">
        <v>1258</v>
      </c>
      <c r="C21" s="82"/>
      <c r="D21" s="82"/>
      <c r="E21" s="82"/>
      <c r="F21" s="83"/>
      <c r="G21" s="54" t="s">
        <v>999</v>
      </c>
      <c r="H21" s="84"/>
      <c r="I21" s="62">
        <f>ONBS_RWA!I56-TQC!J47</f>
        <v>0</v>
      </c>
      <c r="J21" s="61"/>
    </row>
    <row r="22" spans="1:10" s="50" customFormat="1" ht="37.5" customHeight="1" x14ac:dyDescent="0.25">
      <c r="A22" s="51" t="s">
        <v>1000</v>
      </c>
      <c r="B22" s="79" t="s">
        <v>1001</v>
      </c>
      <c r="C22" s="79"/>
      <c r="D22" s="79"/>
      <c r="E22" s="79"/>
      <c r="F22" s="80"/>
      <c r="G22" s="54" t="s">
        <v>1002</v>
      </c>
      <c r="H22" s="85"/>
      <c r="I22" s="62">
        <f>TQC!I26</f>
        <v>0</v>
      </c>
      <c r="J22" s="61"/>
    </row>
    <row r="23" spans="1:10" s="50" customFormat="1" ht="20.25" customHeight="1" x14ac:dyDescent="0.25">
      <c r="A23" s="51" t="s">
        <v>1003</v>
      </c>
      <c r="B23" s="79" t="s">
        <v>1004</v>
      </c>
      <c r="C23" s="79"/>
      <c r="D23" s="79"/>
      <c r="E23" s="79"/>
      <c r="F23" s="80"/>
      <c r="G23" s="54" t="s">
        <v>1005</v>
      </c>
      <c r="H23" s="76"/>
      <c r="I23" s="62">
        <f>I21+I22</f>
        <v>0</v>
      </c>
      <c r="J23" s="61"/>
    </row>
    <row r="24" spans="1:10" s="50" customFormat="1" ht="18" customHeight="1" x14ac:dyDescent="0.25">
      <c r="A24" s="51" t="s">
        <v>1006</v>
      </c>
      <c r="B24" s="58" t="s">
        <v>1007</v>
      </c>
      <c r="C24" s="58"/>
      <c r="D24" s="58"/>
      <c r="E24" s="58"/>
      <c r="F24" s="59"/>
      <c r="G24" s="54" t="s">
        <v>1008</v>
      </c>
      <c r="H24" s="76"/>
      <c r="I24" s="61"/>
      <c r="J24" s="62">
        <f>ORWA!L25</f>
        <v>0</v>
      </c>
    </row>
    <row r="25" spans="1:10" s="50" customFormat="1" ht="18.75" customHeight="1" x14ac:dyDescent="0.25">
      <c r="A25" s="51" t="s">
        <v>1009</v>
      </c>
      <c r="B25" s="86" t="s">
        <v>1010</v>
      </c>
      <c r="C25" s="86"/>
      <c r="D25" s="86"/>
      <c r="E25" s="86"/>
      <c r="F25" s="87"/>
      <c r="G25" s="54" t="s">
        <v>1011</v>
      </c>
      <c r="H25" s="76"/>
      <c r="I25" s="61"/>
      <c r="J25" s="88"/>
    </row>
    <row r="26" spans="1:10" s="50" customFormat="1" ht="17.25" customHeight="1" x14ac:dyDescent="0.25">
      <c r="A26" s="51" t="s">
        <v>1012</v>
      </c>
      <c r="B26" s="89" t="s">
        <v>1013</v>
      </c>
      <c r="C26" s="89"/>
      <c r="D26" s="89"/>
      <c r="E26" s="89"/>
      <c r="F26" s="90"/>
      <c r="G26" s="54" t="s">
        <v>1014</v>
      </c>
      <c r="H26" s="76"/>
      <c r="I26" s="61"/>
      <c r="J26" s="62">
        <f>J24+J25+J15</f>
        <v>0</v>
      </c>
    </row>
    <row r="27" spans="1:10" s="50" customFormat="1" ht="27.95" customHeight="1" x14ac:dyDescent="0.25">
      <c r="A27" s="91" t="s">
        <v>1015</v>
      </c>
      <c r="B27" s="92" t="s">
        <v>1016</v>
      </c>
      <c r="C27" s="92"/>
      <c r="D27" s="92"/>
      <c r="E27" s="92"/>
      <c r="F27" s="93"/>
      <c r="G27" s="54" t="s">
        <v>1017</v>
      </c>
      <c r="H27" s="76"/>
      <c r="I27" s="61"/>
      <c r="J27" s="94" t="str">
        <f>IF(J26=0," ",J13/J26*100)</f>
        <v xml:space="preserve"> </v>
      </c>
    </row>
    <row r="28" spans="1:10" x14ac:dyDescent="0.2">
      <c r="A28" s="95"/>
      <c r="B28" s="32"/>
      <c r="C28" s="32"/>
      <c r="D28" s="32"/>
      <c r="E28" s="32"/>
      <c r="F28" s="32"/>
      <c r="G28" s="96" t="s">
        <v>1018</v>
      </c>
      <c r="H28" s="32"/>
      <c r="I28" s="34"/>
      <c r="J28" s="34"/>
    </row>
    <row r="29" spans="1:10" s="99" customFormat="1" ht="30" customHeight="1" x14ac:dyDescent="0.2">
      <c r="A29" s="97"/>
      <c r="B29" s="402"/>
      <c r="C29" s="402"/>
      <c r="D29" s="402"/>
      <c r="E29" s="402"/>
      <c r="F29" s="402"/>
      <c r="G29" s="402"/>
      <c r="H29" s="402"/>
      <c r="I29" s="402"/>
      <c r="J29" s="98"/>
    </row>
  </sheetData>
  <sheetProtection password="D439" sheet="1" objects="1" scenarios="1"/>
  <mergeCells count="2">
    <mergeCell ref="I9:J9"/>
    <mergeCell ref="B29:I29"/>
  </mergeCells>
  <phoneticPr fontId="24" type="noConversion"/>
  <printOptions horizontalCentered="1"/>
  <pageMargins left="0.5" right="0.5" top="1.37" bottom="0.5" header="0.5" footer="0.5"/>
  <pageSetup paperSize="9" scale="90" orientation="landscape" r:id="rId1"/>
  <headerFooter>
    <oddHeader>&amp;C&amp;"Arial,Bold"&amp;8 NEW RURAL BANK OF SAN LEONARDO, INC  [ 04-040656 ]
 As of: September 30, 2017</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89"/>
  <sheetViews>
    <sheetView view="pageBreakPreview" topLeftCell="A6" zoomScaleNormal="100" zoomScaleSheetLayoutView="100" workbookViewId="0">
      <selection activeCell="J14" sqref="J14"/>
    </sheetView>
  </sheetViews>
  <sheetFormatPr defaultColWidth="10.28515625" defaultRowHeight="11.25" x14ac:dyDescent="0.2"/>
  <cols>
    <col min="1" max="1" width="5.85546875" style="103" customWidth="1"/>
    <col min="2" max="2" width="69.28515625" style="103" customWidth="1"/>
    <col min="3" max="6" width="3" style="103" hidden="1" customWidth="1"/>
    <col min="7" max="7" width="17.85546875" style="156" customWidth="1"/>
    <col min="8" max="8" width="6" style="157" hidden="1" customWidth="1"/>
    <col min="9" max="10" width="19.5703125" style="158" customWidth="1"/>
    <col min="11" max="11" width="10.28515625" style="103" customWidth="1"/>
    <col min="12" max="12" width="48.42578125" style="103" customWidth="1"/>
    <col min="13" max="16384" width="10.28515625" style="103"/>
  </cols>
  <sheetData>
    <row r="1" spans="1:10" ht="10.5" hidden="1" customHeight="1" x14ac:dyDescent="0.2">
      <c r="A1" s="32"/>
      <c r="B1" s="32"/>
      <c r="C1" s="32"/>
      <c r="D1" s="32"/>
      <c r="E1" s="32"/>
      <c r="F1" s="32"/>
      <c r="G1" s="33"/>
      <c r="H1" s="102"/>
      <c r="I1" s="34"/>
      <c r="J1" s="34"/>
    </row>
    <row r="2" spans="1:10" ht="10.5" hidden="1" customHeight="1" x14ac:dyDescent="0.2">
      <c r="A2" s="32"/>
      <c r="B2" s="32"/>
      <c r="C2" s="32"/>
      <c r="D2" s="32"/>
      <c r="E2" s="32"/>
      <c r="F2" s="32"/>
      <c r="G2" s="33"/>
      <c r="H2" s="102"/>
      <c r="I2" s="34"/>
      <c r="J2" s="34"/>
    </row>
    <row r="3" spans="1:10" ht="10.5" hidden="1" customHeight="1" x14ac:dyDescent="0.2">
      <c r="A3" s="32"/>
      <c r="B3" s="32"/>
      <c r="C3" s="32"/>
      <c r="D3" s="32"/>
      <c r="E3" s="32"/>
      <c r="F3" s="32"/>
      <c r="G3" s="33"/>
      <c r="H3" s="102"/>
      <c r="I3" s="34"/>
      <c r="J3" s="34"/>
    </row>
    <row r="4" spans="1:10" ht="10.5" hidden="1" customHeight="1" x14ac:dyDescent="0.2">
      <c r="A4" s="32"/>
      <c r="B4" s="32"/>
      <c r="C4" s="32"/>
      <c r="D4" s="32"/>
      <c r="E4" s="32"/>
      <c r="F4" s="32"/>
      <c r="G4" s="33"/>
      <c r="H4" s="102"/>
      <c r="I4" s="34"/>
      <c r="J4" s="34"/>
    </row>
    <row r="5" spans="1:10" ht="10.5" hidden="1" customHeight="1" x14ac:dyDescent="0.2">
      <c r="A5" s="104"/>
      <c r="B5" s="104"/>
      <c r="C5" s="104"/>
      <c r="D5" s="104"/>
      <c r="E5" s="104"/>
      <c r="F5" s="104"/>
      <c r="G5" s="105"/>
      <c r="H5" s="106"/>
      <c r="I5" s="107"/>
      <c r="J5" s="107"/>
    </row>
    <row r="6" spans="1:10" s="113" customFormat="1" x14ac:dyDescent="0.25">
      <c r="A6" s="108" t="s">
        <v>1019</v>
      </c>
      <c r="B6" s="109"/>
      <c r="C6" s="109"/>
      <c r="D6" s="109"/>
      <c r="E6" s="109"/>
      <c r="F6" s="109"/>
      <c r="G6" s="110"/>
      <c r="H6" s="111"/>
      <c r="I6" s="112"/>
      <c r="J6" s="112"/>
    </row>
    <row r="7" spans="1:10" s="113" customFormat="1" ht="12.95" customHeight="1" x14ac:dyDescent="0.25">
      <c r="A7" s="404" t="s">
        <v>964</v>
      </c>
      <c r="B7" s="404" t="s">
        <v>965</v>
      </c>
      <c r="C7" s="41"/>
      <c r="D7" s="41"/>
      <c r="E7" s="41"/>
      <c r="F7" s="41"/>
      <c r="G7" s="405" t="s">
        <v>966</v>
      </c>
      <c r="H7" s="41"/>
      <c r="I7" s="407" t="s">
        <v>967</v>
      </c>
      <c r="J7" s="407"/>
    </row>
    <row r="8" spans="1:10" s="114" customFormat="1" ht="12.95" customHeight="1" x14ac:dyDescent="0.2">
      <c r="A8" s="404"/>
      <c r="B8" s="404"/>
      <c r="C8" s="41"/>
      <c r="D8" s="41"/>
      <c r="E8" s="41"/>
      <c r="F8" s="41"/>
      <c r="G8" s="406"/>
      <c r="H8" s="41"/>
      <c r="I8" s="407"/>
      <c r="J8" s="407"/>
    </row>
    <row r="9" spans="1:10" s="118" customFormat="1" ht="12.95" customHeight="1" x14ac:dyDescent="0.25">
      <c r="A9" s="115" t="s">
        <v>1020</v>
      </c>
      <c r="B9" s="92" t="s">
        <v>1021</v>
      </c>
      <c r="C9" s="92"/>
      <c r="D9" s="92"/>
      <c r="E9" s="92"/>
      <c r="F9" s="92"/>
      <c r="G9" s="116"/>
      <c r="H9" s="115"/>
      <c r="I9" s="117"/>
      <c r="J9" s="117"/>
    </row>
    <row r="10" spans="1:10" s="118" customFormat="1" ht="12.95" customHeight="1" x14ac:dyDescent="0.25">
      <c r="A10" s="119" t="s">
        <v>970</v>
      </c>
      <c r="B10" s="92" t="s">
        <v>1022</v>
      </c>
      <c r="C10" s="92"/>
      <c r="D10" s="92"/>
      <c r="E10" s="92"/>
      <c r="F10" s="92"/>
      <c r="G10" s="116"/>
      <c r="H10" s="115"/>
      <c r="I10" s="117"/>
      <c r="J10" s="117"/>
    </row>
    <row r="11" spans="1:10" s="118" customFormat="1" ht="12.95" customHeight="1" x14ac:dyDescent="0.25">
      <c r="A11" s="120">
        <v>-1</v>
      </c>
      <c r="B11" s="121" t="s">
        <v>1023</v>
      </c>
      <c r="C11" s="121"/>
      <c r="D11" s="121"/>
      <c r="E11" s="121"/>
      <c r="F11" s="121"/>
      <c r="G11" s="122" t="s">
        <v>1024</v>
      </c>
      <c r="H11" s="123"/>
      <c r="I11" s="117"/>
      <c r="J11" s="124"/>
    </row>
    <row r="12" spans="1:10" s="118" customFormat="1" ht="12.95" customHeight="1" x14ac:dyDescent="0.25">
      <c r="A12" s="125">
        <v>-2</v>
      </c>
      <c r="B12" s="126" t="s">
        <v>1025</v>
      </c>
      <c r="C12" s="127"/>
      <c r="D12" s="127"/>
      <c r="E12" s="127"/>
      <c r="F12" s="127"/>
      <c r="G12" s="128" t="s">
        <v>1026</v>
      </c>
      <c r="H12" s="123"/>
      <c r="I12" s="117"/>
      <c r="J12" s="124"/>
    </row>
    <row r="13" spans="1:10" s="118" customFormat="1" ht="12.95" customHeight="1" x14ac:dyDescent="0.25">
      <c r="A13" s="120">
        <v>-3</v>
      </c>
      <c r="B13" s="121" t="s">
        <v>1027</v>
      </c>
      <c r="C13" s="121"/>
      <c r="D13" s="121"/>
      <c r="E13" s="121"/>
      <c r="F13" s="121"/>
      <c r="G13" s="122" t="s">
        <v>1028</v>
      </c>
      <c r="H13" s="123"/>
      <c r="I13" s="117"/>
      <c r="J13" s="124"/>
    </row>
    <row r="14" spans="1:10" s="118" customFormat="1" ht="12.95" customHeight="1" x14ac:dyDescent="0.25">
      <c r="A14" s="125">
        <v>-4</v>
      </c>
      <c r="B14" s="126" t="s">
        <v>1029</v>
      </c>
      <c r="C14" s="127"/>
      <c r="D14" s="127"/>
      <c r="E14" s="127"/>
      <c r="F14" s="127"/>
      <c r="G14" s="129" t="s">
        <v>1030</v>
      </c>
      <c r="H14" s="123"/>
      <c r="I14" s="117"/>
      <c r="J14" s="124"/>
    </row>
    <row r="15" spans="1:10" s="118" customFormat="1" ht="12.95" customHeight="1" x14ac:dyDescent="0.25">
      <c r="A15" s="120">
        <v>-5</v>
      </c>
      <c r="B15" s="121" t="s">
        <v>1031</v>
      </c>
      <c r="C15" s="121"/>
      <c r="D15" s="121"/>
      <c r="E15" s="121"/>
      <c r="F15" s="121"/>
      <c r="G15" s="122" t="s">
        <v>1032</v>
      </c>
      <c r="H15" s="123"/>
      <c r="I15" s="117"/>
      <c r="J15" s="124"/>
    </row>
    <row r="16" spans="1:10" s="118" customFormat="1" ht="12.95" customHeight="1" x14ac:dyDescent="0.25">
      <c r="A16" s="120">
        <v>-6</v>
      </c>
      <c r="B16" s="121" t="s">
        <v>1033</v>
      </c>
      <c r="C16" s="121"/>
      <c r="D16" s="121"/>
      <c r="E16" s="121"/>
      <c r="F16" s="121"/>
      <c r="G16" s="122" t="s">
        <v>1034</v>
      </c>
      <c r="H16" s="123"/>
      <c r="I16" s="117"/>
      <c r="J16" s="124"/>
    </row>
    <row r="17" spans="1:10" s="118" customFormat="1" ht="12.95" customHeight="1" x14ac:dyDescent="0.25">
      <c r="A17" s="120">
        <v>-7</v>
      </c>
      <c r="B17" s="121" t="s">
        <v>1035</v>
      </c>
      <c r="C17" s="121"/>
      <c r="D17" s="121"/>
      <c r="E17" s="121"/>
      <c r="F17" s="121"/>
      <c r="G17" s="122" t="s">
        <v>1036</v>
      </c>
      <c r="H17" s="123"/>
      <c r="I17" s="117"/>
      <c r="J17" s="124"/>
    </row>
    <row r="18" spans="1:10" s="118" customFormat="1" ht="24.75" customHeight="1" x14ac:dyDescent="0.25">
      <c r="A18" s="120">
        <v>-8</v>
      </c>
      <c r="B18" s="121" t="s">
        <v>1037</v>
      </c>
      <c r="C18" s="121"/>
      <c r="D18" s="121"/>
      <c r="E18" s="121"/>
      <c r="F18" s="121"/>
      <c r="G18" s="122" t="s">
        <v>1038</v>
      </c>
      <c r="H18" s="123"/>
      <c r="I18" s="117"/>
      <c r="J18" s="130"/>
    </row>
    <row r="19" spans="1:10" s="118" customFormat="1" ht="12.95" customHeight="1" x14ac:dyDescent="0.25">
      <c r="A19" s="120">
        <v>-9</v>
      </c>
      <c r="B19" s="121" t="s">
        <v>1039</v>
      </c>
      <c r="C19" s="121"/>
      <c r="D19" s="121"/>
      <c r="E19" s="121"/>
      <c r="F19" s="121"/>
      <c r="G19" s="122" t="s">
        <v>1040</v>
      </c>
      <c r="H19" s="123"/>
      <c r="I19" s="117"/>
      <c r="J19" s="130"/>
    </row>
    <row r="20" spans="1:10" s="118" customFormat="1" ht="39.75" customHeight="1" x14ac:dyDescent="0.25">
      <c r="A20" s="120">
        <v>-10</v>
      </c>
      <c r="B20" s="121" t="s">
        <v>1041</v>
      </c>
      <c r="C20" s="121"/>
      <c r="D20" s="121"/>
      <c r="E20" s="121"/>
      <c r="F20" s="121"/>
      <c r="G20" s="122" t="s">
        <v>1042</v>
      </c>
      <c r="H20" s="123"/>
      <c r="I20" s="117"/>
      <c r="J20" s="131"/>
    </row>
    <row r="21" spans="1:10" s="118" customFormat="1" ht="25.5" customHeight="1" x14ac:dyDescent="0.25">
      <c r="A21" s="120">
        <v>-11</v>
      </c>
      <c r="B21" s="121" t="s">
        <v>1043</v>
      </c>
      <c r="C21" s="121"/>
      <c r="D21" s="121"/>
      <c r="E21" s="121"/>
      <c r="F21" s="121"/>
      <c r="G21" s="132" t="s">
        <v>1044</v>
      </c>
      <c r="H21" s="133"/>
      <c r="I21" s="117"/>
      <c r="J21" s="73">
        <f>SUM(J11:J20)</f>
        <v>0</v>
      </c>
    </row>
    <row r="22" spans="1:10" s="118" customFormat="1" ht="12.95" customHeight="1" x14ac:dyDescent="0.25">
      <c r="A22" s="119" t="s">
        <v>973</v>
      </c>
      <c r="B22" s="92" t="s">
        <v>1045</v>
      </c>
      <c r="C22" s="92"/>
      <c r="D22" s="92"/>
      <c r="E22" s="92"/>
      <c r="F22" s="92"/>
      <c r="G22" s="134"/>
      <c r="H22" s="135"/>
      <c r="I22" s="117"/>
      <c r="J22" s="117"/>
    </row>
    <row r="23" spans="1:10" s="118" customFormat="1" ht="12.95" customHeight="1" x14ac:dyDescent="0.25">
      <c r="A23" s="120">
        <v>-1</v>
      </c>
      <c r="B23" s="121" t="s">
        <v>1046</v>
      </c>
      <c r="C23" s="121"/>
      <c r="D23" s="121"/>
      <c r="E23" s="121"/>
      <c r="F23" s="121"/>
      <c r="G23" s="136" t="s">
        <v>1047</v>
      </c>
      <c r="H23" s="137"/>
      <c r="I23" s="131"/>
      <c r="J23" s="117"/>
    </row>
    <row r="24" spans="1:10" s="118" customFormat="1" ht="13.5" customHeight="1" x14ac:dyDescent="0.25">
      <c r="A24" s="120">
        <v>-2</v>
      </c>
      <c r="B24" s="121" t="s">
        <v>1048</v>
      </c>
      <c r="C24" s="121"/>
      <c r="D24" s="121"/>
      <c r="E24" s="121"/>
      <c r="F24" s="121"/>
      <c r="G24" s="136" t="s">
        <v>1049</v>
      </c>
      <c r="H24" s="137"/>
      <c r="I24" s="131"/>
      <c r="J24" s="117"/>
    </row>
    <row r="25" spans="1:10" s="118" customFormat="1" ht="13.5" customHeight="1" x14ac:dyDescent="0.25">
      <c r="A25" s="120">
        <v>-3</v>
      </c>
      <c r="B25" s="121" t="s">
        <v>1050</v>
      </c>
      <c r="C25" s="121"/>
      <c r="D25" s="121"/>
      <c r="E25" s="121"/>
      <c r="F25" s="121"/>
      <c r="G25" s="136" t="s">
        <v>1051</v>
      </c>
      <c r="H25" s="137"/>
      <c r="I25" s="131"/>
      <c r="J25" s="117"/>
    </row>
    <row r="26" spans="1:10" s="118" customFormat="1" ht="27" customHeight="1" x14ac:dyDescent="0.25">
      <c r="A26" s="120">
        <v>-4</v>
      </c>
      <c r="B26" s="121" t="s">
        <v>1052</v>
      </c>
      <c r="C26" s="121"/>
      <c r="D26" s="121"/>
      <c r="E26" s="121"/>
      <c r="F26" s="121"/>
      <c r="G26" s="136" t="s">
        <v>1002</v>
      </c>
      <c r="H26" s="137"/>
      <c r="I26" s="131"/>
      <c r="J26" s="117"/>
    </row>
    <row r="27" spans="1:10" s="118" customFormat="1" ht="25.5" customHeight="1" x14ac:dyDescent="0.25">
      <c r="A27" s="120">
        <v>-5</v>
      </c>
      <c r="B27" s="121" t="s">
        <v>1053</v>
      </c>
      <c r="C27" s="121"/>
      <c r="D27" s="121"/>
      <c r="E27" s="121"/>
      <c r="F27" s="121"/>
      <c r="G27" s="136" t="s">
        <v>1054</v>
      </c>
      <c r="H27" s="137"/>
      <c r="I27" s="131"/>
      <c r="J27" s="117"/>
    </row>
    <row r="28" spans="1:10" s="118" customFormat="1" ht="25.5" customHeight="1" x14ac:dyDescent="0.25">
      <c r="A28" s="120">
        <v>-6</v>
      </c>
      <c r="B28" s="121" t="s">
        <v>1055</v>
      </c>
      <c r="C28" s="121"/>
      <c r="D28" s="121"/>
      <c r="E28" s="121"/>
      <c r="F28" s="121"/>
      <c r="G28" s="136" t="s">
        <v>1056</v>
      </c>
      <c r="H28" s="137"/>
      <c r="I28" s="131"/>
      <c r="J28" s="117"/>
    </row>
    <row r="29" spans="1:10" s="118" customFormat="1" ht="15" customHeight="1" x14ac:dyDescent="0.25">
      <c r="A29" s="120">
        <v>-7</v>
      </c>
      <c r="B29" s="121" t="s">
        <v>1057</v>
      </c>
      <c r="C29" s="121"/>
      <c r="D29" s="121"/>
      <c r="E29" s="121"/>
      <c r="F29" s="121"/>
      <c r="G29" s="136" t="s">
        <v>1058</v>
      </c>
      <c r="H29" s="137"/>
      <c r="I29" s="131"/>
      <c r="J29" s="117"/>
    </row>
    <row r="30" spans="1:10" s="118" customFormat="1" ht="15" customHeight="1" x14ac:dyDescent="0.25">
      <c r="A30" s="120">
        <v>-8</v>
      </c>
      <c r="B30" s="121" t="s">
        <v>1059</v>
      </c>
      <c r="C30" s="121"/>
      <c r="D30" s="121"/>
      <c r="E30" s="121"/>
      <c r="F30" s="121"/>
      <c r="G30" s="136" t="s">
        <v>1060</v>
      </c>
      <c r="H30" s="137"/>
      <c r="I30" s="124"/>
      <c r="J30" s="117"/>
    </row>
    <row r="31" spans="1:10" s="118" customFormat="1" ht="22.5" x14ac:dyDescent="0.25">
      <c r="A31" s="120">
        <v>-9</v>
      </c>
      <c r="B31" s="121" t="s">
        <v>1061</v>
      </c>
      <c r="C31" s="121"/>
      <c r="D31" s="121"/>
      <c r="E31" s="121"/>
      <c r="F31" s="121"/>
      <c r="G31" s="132" t="s">
        <v>1062</v>
      </c>
      <c r="H31" s="133"/>
      <c r="I31" s="117"/>
      <c r="J31" s="73">
        <f>SUM(I23:I30)</f>
        <v>0</v>
      </c>
    </row>
    <row r="32" spans="1:10" s="118" customFormat="1" x14ac:dyDescent="0.25">
      <c r="A32" s="119" t="s">
        <v>976</v>
      </c>
      <c r="B32" s="92" t="s">
        <v>1063</v>
      </c>
      <c r="C32" s="138"/>
      <c r="D32" s="138"/>
      <c r="E32" s="138"/>
      <c r="F32" s="138"/>
      <c r="G32" s="132" t="s">
        <v>1064</v>
      </c>
      <c r="H32" s="133"/>
      <c r="I32" s="117"/>
      <c r="J32" s="73">
        <f>J21-J31</f>
        <v>0</v>
      </c>
    </row>
    <row r="33" spans="1:10" s="118" customFormat="1" ht="12.95" customHeight="1" x14ac:dyDescent="0.25">
      <c r="A33" s="119" t="s">
        <v>1065</v>
      </c>
      <c r="B33" s="138" t="s">
        <v>1066</v>
      </c>
      <c r="C33" s="138"/>
      <c r="D33" s="138"/>
      <c r="E33" s="138"/>
      <c r="F33" s="138"/>
      <c r="G33" s="139"/>
      <c r="H33" s="140"/>
      <c r="I33" s="117"/>
      <c r="J33" s="117"/>
    </row>
    <row r="34" spans="1:10" s="118" customFormat="1" ht="12.95" customHeight="1" x14ac:dyDescent="0.25">
      <c r="A34" s="120">
        <v>-1</v>
      </c>
      <c r="B34" s="121" t="s">
        <v>1067</v>
      </c>
      <c r="C34" s="121"/>
      <c r="D34" s="121"/>
      <c r="E34" s="121"/>
      <c r="F34" s="121"/>
      <c r="G34" s="122" t="s">
        <v>1068</v>
      </c>
      <c r="H34" s="123"/>
      <c r="I34" s="124"/>
      <c r="J34" s="117"/>
    </row>
    <row r="35" spans="1:10" s="118" customFormat="1" ht="12.95" customHeight="1" x14ac:dyDescent="0.25">
      <c r="A35" s="120">
        <v>-2</v>
      </c>
      <c r="B35" s="121" t="s">
        <v>1069</v>
      </c>
      <c r="C35" s="121"/>
      <c r="D35" s="121"/>
      <c r="E35" s="121"/>
      <c r="F35" s="121"/>
      <c r="G35" s="122" t="s">
        <v>1070</v>
      </c>
      <c r="H35" s="123"/>
      <c r="I35" s="124"/>
      <c r="J35" s="117"/>
    </row>
    <row r="36" spans="1:10" s="118" customFormat="1" ht="22.5" x14ac:dyDescent="0.25">
      <c r="A36" s="120">
        <v>-3</v>
      </c>
      <c r="B36" s="121" t="s">
        <v>1071</v>
      </c>
      <c r="C36" s="121"/>
      <c r="D36" s="121"/>
      <c r="E36" s="121"/>
      <c r="F36" s="121"/>
      <c r="G36" s="132" t="s">
        <v>1072</v>
      </c>
      <c r="H36" s="133"/>
      <c r="I36" s="117"/>
      <c r="J36" s="73">
        <f>SUM(I34:I35)</f>
        <v>0</v>
      </c>
    </row>
    <row r="37" spans="1:10" s="118" customFormat="1" ht="28.5" customHeight="1" x14ac:dyDescent="0.25">
      <c r="A37" s="120">
        <v>-4</v>
      </c>
      <c r="B37" s="121" t="s">
        <v>1073</v>
      </c>
      <c r="C37" s="121"/>
      <c r="D37" s="121"/>
      <c r="E37" s="121"/>
      <c r="F37" s="121"/>
      <c r="G37" s="132" t="s">
        <v>1074</v>
      </c>
      <c r="H37" s="133"/>
      <c r="I37" s="117"/>
      <c r="J37" s="73">
        <f>IF(J36&lt;0,0,IF(J36&lt;(0.1765*J32),J36,IF(J32&lt;0,0,(0.1765*J32))))</f>
        <v>0</v>
      </c>
    </row>
    <row r="38" spans="1:10" s="118" customFormat="1" ht="21.75" x14ac:dyDescent="0.25">
      <c r="A38" s="119" t="s">
        <v>1075</v>
      </c>
      <c r="B38" s="92" t="s">
        <v>1076</v>
      </c>
      <c r="C38" s="138"/>
      <c r="D38" s="138"/>
      <c r="E38" s="138"/>
      <c r="F38" s="138"/>
      <c r="G38" s="132" t="s">
        <v>1077</v>
      </c>
      <c r="H38" s="133"/>
      <c r="I38" s="117"/>
      <c r="J38" s="73">
        <f>J32+J37</f>
        <v>0</v>
      </c>
    </row>
    <row r="39" spans="1:10" s="118" customFormat="1" ht="13.5" customHeight="1" x14ac:dyDescent="0.25">
      <c r="A39" s="115" t="s">
        <v>1078</v>
      </c>
      <c r="B39" s="92" t="s">
        <v>1079</v>
      </c>
      <c r="C39" s="92"/>
      <c r="D39" s="92"/>
      <c r="E39" s="92"/>
      <c r="F39" s="92"/>
      <c r="G39" s="134"/>
      <c r="H39" s="135"/>
      <c r="I39" s="117"/>
      <c r="J39" s="117"/>
    </row>
    <row r="40" spans="1:10" s="118" customFormat="1" ht="13.5" customHeight="1" x14ac:dyDescent="0.25">
      <c r="A40" s="119" t="s">
        <v>1080</v>
      </c>
      <c r="B40" s="138" t="s">
        <v>1081</v>
      </c>
      <c r="C40" s="138"/>
      <c r="D40" s="138"/>
      <c r="E40" s="138"/>
      <c r="F40" s="138"/>
      <c r="G40" s="139"/>
      <c r="H40" s="140"/>
      <c r="I40" s="117"/>
      <c r="J40" s="117"/>
    </row>
    <row r="41" spans="1:10" s="118" customFormat="1" ht="13.5" customHeight="1" x14ac:dyDescent="0.25">
      <c r="A41" s="120">
        <v>-1</v>
      </c>
      <c r="B41" s="121" t="s">
        <v>1082</v>
      </c>
      <c r="C41" s="121"/>
      <c r="D41" s="121"/>
      <c r="E41" s="121"/>
      <c r="F41" s="121"/>
      <c r="G41" s="122" t="s">
        <v>1083</v>
      </c>
      <c r="H41" s="123"/>
      <c r="I41" s="117"/>
      <c r="J41" s="124"/>
    </row>
    <row r="42" spans="1:10" s="118" customFormat="1" ht="13.5" customHeight="1" x14ac:dyDescent="0.25">
      <c r="A42" s="125">
        <v>-2</v>
      </c>
      <c r="B42" s="126" t="s">
        <v>1084</v>
      </c>
      <c r="C42" s="127"/>
      <c r="D42" s="127"/>
      <c r="E42" s="127"/>
      <c r="F42" s="127"/>
      <c r="G42" s="129" t="s">
        <v>1085</v>
      </c>
      <c r="H42" s="123"/>
      <c r="I42" s="117"/>
      <c r="J42" s="124"/>
    </row>
    <row r="43" spans="1:10" s="118" customFormat="1" ht="22.5" x14ac:dyDescent="0.25">
      <c r="A43" s="141">
        <v>-3</v>
      </c>
      <c r="B43" s="121" t="s">
        <v>1086</v>
      </c>
      <c r="C43" s="121"/>
      <c r="D43" s="121"/>
      <c r="E43" s="121"/>
      <c r="F43" s="121"/>
      <c r="G43" s="122" t="s">
        <v>1087</v>
      </c>
      <c r="H43" s="123"/>
      <c r="I43" s="117"/>
      <c r="J43" s="124"/>
    </row>
    <row r="44" spans="1:10" s="118" customFormat="1" ht="22.5" x14ac:dyDescent="0.25">
      <c r="A44" s="125">
        <v>-4</v>
      </c>
      <c r="B44" s="126" t="s">
        <v>1088</v>
      </c>
      <c r="C44" s="127"/>
      <c r="D44" s="127"/>
      <c r="E44" s="127"/>
      <c r="F44" s="127"/>
      <c r="G44" s="129" t="s">
        <v>1089</v>
      </c>
      <c r="H44" s="123"/>
      <c r="I44" s="117"/>
      <c r="J44" s="124"/>
    </row>
    <row r="45" spans="1:10" s="118" customFormat="1" ht="15.75" customHeight="1" x14ac:dyDescent="0.25">
      <c r="A45" s="141">
        <v>-5</v>
      </c>
      <c r="B45" s="121" t="s">
        <v>1090</v>
      </c>
      <c r="C45" s="121"/>
      <c r="D45" s="121"/>
      <c r="E45" s="121"/>
      <c r="F45" s="121"/>
      <c r="G45" s="122" t="s">
        <v>1091</v>
      </c>
      <c r="H45" s="123"/>
      <c r="I45" s="117"/>
      <c r="J45" s="124"/>
    </row>
    <row r="46" spans="1:10" s="118" customFormat="1" ht="22.5" x14ac:dyDescent="0.25">
      <c r="A46" s="141">
        <v>-6</v>
      </c>
      <c r="B46" s="121" t="s">
        <v>1092</v>
      </c>
      <c r="C46" s="121"/>
      <c r="D46" s="121"/>
      <c r="E46" s="121"/>
      <c r="F46" s="121"/>
      <c r="G46" s="122" t="s">
        <v>1093</v>
      </c>
      <c r="H46" s="123"/>
      <c r="I46" s="117"/>
      <c r="J46" s="124"/>
    </row>
    <row r="47" spans="1:10" s="118" customFormat="1" ht="27" customHeight="1" x14ac:dyDescent="0.25">
      <c r="A47" s="141">
        <v>-7</v>
      </c>
      <c r="B47" s="121" t="s">
        <v>1094</v>
      </c>
      <c r="C47" s="121"/>
      <c r="D47" s="121"/>
      <c r="E47" s="121"/>
      <c r="F47" s="121"/>
      <c r="G47" s="132" t="s">
        <v>1095</v>
      </c>
      <c r="H47" s="133"/>
      <c r="I47" s="117"/>
      <c r="J47" s="124"/>
    </row>
    <row r="48" spans="1:10" s="118" customFormat="1" ht="49.5" customHeight="1" x14ac:dyDescent="0.25">
      <c r="A48" s="141">
        <v>-8</v>
      </c>
      <c r="B48" s="121" t="s">
        <v>1096</v>
      </c>
      <c r="C48" s="121"/>
      <c r="D48" s="121"/>
      <c r="E48" s="121"/>
      <c r="F48" s="121"/>
      <c r="G48" s="136" t="s">
        <v>1097</v>
      </c>
      <c r="H48" s="137"/>
      <c r="I48" s="117"/>
      <c r="J48" s="124"/>
    </row>
    <row r="49" spans="1:10" s="118" customFormat="1" ht="22.5" x14ac:dyDescent="0.25">
      <c r="A49" s="120">
        <v>-9</v>
      </c>
      <c r="B49" s="121" t="s">
        <v>1098</v>
      </c>
      <c r="C49" s="121"/>
      <c r="D49" s="121"/>
      <c r="E49" s="121"/>
      <c r="F49" s="121"/>
      <c r="G49" s="122" t="s">
        <v>1099</v>
      </c>
      <c r="H49" s="123"/>
      <c r="I49" s="117"/>
      <c r="J49" s="73">
        <f>J36-J37</f>
        <v>0</v>
      </c>
    </row>
    <row r="50" spans="1:10" s="118" customFormat="1" ht="24.95" customHeight="1" x14ac:dyDescent="0.25">
      <c r="A50" s="120">
        <v>-10</v>
      </c>
      <c r="B50" s="121" t="s">
        <v>1100</v>
      </c>
      <c r="C50" s="121"/>
      <c r="D50" s="121"/>
      <c r="E50" s="121"/>
      <c r="F50" s="121"/>
      <c r="G50" s="142" t="s">
        <v>1101</v>
      </c>
      <c r="H50" s="143"/>
      <c r="I50" s="117"/>
      <c r="J50" s="73">
        <f>SUM(J41:J49)</f>
        <v>0</v>
      </c>
    </row>
    <row r="51" spans="1:10" s="118" customFormat="1" ht="14.25" customHeight="1" x14ac:dyDescent="0.25">
      <c r="A51" s="120" t="s">
        <v>1006</v>
      </c>
      <c r="B51" s="92" t="s">
        <v>1102</v>
      </c>
      <c r="C51" s="92"/>
      <c r="D51" s="92"/>
      <c r="E51" s="92"/>
      <c r="F51" s="92"/>
      <c r="G51" s="134"/>
      <c r="H51" s="135"/>
      <c r="I51" s="117"/>
      <c r="J51" s="117"/>
    </row>
    <row r="52" spans="1:10" s="118" customFormat="1" ht="13.5" customHeight="1" x14ac:dyDescent="0.25">
      <c r="A52" s="120">
        <v>-1</v>
      </c>
      <c r="B52" s="121" t="s">
        <v>1103</v>
      </c>
      <c r="C52" s="121"/>
      <c r="D52" s="121"/>
      <c r="E52" s="121"/>
      <c r="F52" s="121"/>
      <c r="G52" s="136" t="s">
        <v>1104</v>
      </c>
      <c r="H52" s="137"/>
      <c r="I52" s="124"/>
      <c r="J52" s="117"/>
    </row>
    <row r="53" spans="1:10" s="118" customFormat="1" ht="26.25" customHeight="1" x14ac:dyDescent="0.25">
      <c r="A53" s="120">
        <v>-2</v>
      </c>
      <c r="B53" s="121" t="s">
        <v>1105</v>
      </c>
      <c r="C53" s="121"/>
      <c r="D53" s="121"/>
      <c r="E53" s="121"/>
      <c r="F53" s="121"/>
      <c r="G53" s="136" t="s">
        <v>1106</v>
      </c>
      <c r="H53" s="137"/>
      <c r="I53" s="124"/>
      <c r="J53" s="117"/>
    </row>
    <row r="54" spans="1:10" s="118" customFormat="1" ht="26.25" customHeight="1" x14ac:dyDescent="0.25">
      <c r="A54" s="120">
        <v>-3</v>
      </c>
      <c r="B54" s="121" t="s">
        <v>1107</v>
      </c>
      <c r="C54" s="121"/>
      <c r="D54" s="121"/>
      <c r="E54" s="121"/>
      <c r="F54" s="121"/>
      <c r="G54" s="136" t="s">
        <v>1108</v>
      </c>
      <c r="H54" s="137"/>
      <c r="I54" s="124"/>
      <c r="J54" s="117"/>
    </row>
    <row r="55" spans="1:10" s="118" customFormat="1" ht="25.5" customHeight="1" x14ac:dyDescent="0.25">
      <c r="A55" s="120">
        <v>-4</v>
      </c>
      <c r="B55" s="121" t="s">
        <v>1109</v>
      </c>
      <c r="C55" s="121"/>
      <c r="D55" s="121"/>
      <c r="E55" s="121"/>
      <c r="F55" s="121"/>
      <c r="G55" s="136" t="s">
        <v>1110</v>
      </c>
      <c r="H55" s="137"/>
      <c r="I55" s="130"/>
      <c r="J55" s="117"/>
    </row>
    <row r="56" spans="1:10" s="118" customFormat="1" ht="24.95" customHeight="1" x14ac:dyDescent="0.25">
      <c r="A56" s="120">
        <v>-5</v>
      </c>
      <c r="B56" s="121" t="s">
        <v>1111</v>
      </c>
      <c r="C56" s="121"/>
      <c r="D56" s="121"/>
      <c r="E56" s="121"/>
      <c r="F56" s="121"/>
      <c r="G56" s="136" t="s">
        <v>1112</v>
      </c>
      <c r="H56" s="137"/>
      <c r="I56" s="117"/>
      <c r="J56" s="73">
        <f>SUM(I52:I55)</f>
        <v>0</v>
      </c>
    </row>
    <row r="57" spans="1:10" s="118" customFormat="1" x14ac:dyDescent="0.25">
      <c r="A57" s="119" t="s">
        <v>1009</v>
      </c>
      <c r="B57" s="92" t="s">
        <v>1113</v>
      </c>
      <c r="C57" s="92"/>
      <c r="D57" s="92"/>
      <c r="E57" s="92"/>
      <c r="F57" s="92"/>
      <c r="G57" s="142" t="s">
        <v>1114</v>
      </c>
      <c r="H57" s="143"/>
      <c r="I57" s="117"/>
      <c r="J57" s="73">
        <f>J50-J56</f>
        <v>0</v>
      </c>
    </row>
    <row r="58" spans="1:10" s="118" customFormat="1" ht="12.95" customHeight="1" x14ac:dyDescent="0.25">
      <c r="A58" s="119" t="s">
        <v>1012</v>
      </c>
      <c r="B58" s="92" t="s">
        <v>1115</v>
      </c>
      <c r="C58" s="92"/>
      <c r="D58" s="92"/>
      <c r="E58" s="92"/>
      <c r="F58" s="92"/>
      <c r="G58" s="134"/>
      <c r="H58" s="135"/>
      <c r="I58" s="117"/>
      <c r="J58" s="117"/>
    </row>
    <row r="59" spans="1:10" s="118" customFormat="1" ht="51" customHeight="1" x14ac:dyDescent="0.25">
      <c r="A59" s="120">
        <v>-1</v>
      </c>
      <c r="B59" s="121" t="s">
        <v>1116</v>
      </c>
      <c r="C59" s="121"/>
      <c r="D59" s="121"/>
      <c r="E59" s="121"/>
      <c r="F59" s="121"/>
      <c r="G59" s="144" t="s">
        <v>1117</v>
      </c>
      <c r="H59" s="137"/>
      <c r="I59" s="117"/>
      <c r="J59" s="124"/>
    </row>
    <row r="60" spans="1:10" s="118" customFormat="1" ht="22.5" x14ac:dyDescent="0.25">
      <c r="A60" s="145">
        <v>-2</v>
      </c>
      <c r="B60" s="127" t="s">
        <v>1118</v>
      </c>
      <c r="C60" s="146"/>
      <c r="D60" s="146"/>
      <c r="E60" s="146"/>
      <c r="F60" s="146"/>
      <c r="G60" s="129" t="s">
        <v>1119</v>
      </c>
      <c r="H60" s="137"/>
      <c r="I60" s="117"/>
      <c r="J60" s="124"/>
    </row>
    <row r="61" spans="1:10" s="118" customFormat="1" ht="49.5" customHeight="1" x14ac:dyDescent="0.25">
      <c r="A61" s="120">
        <v>-3</v>
      </c>
      <c r="B61" s="121" t="s">
        <v>1120</v>
      </c>
      <c r="C61" s="121"/>
      <c r="D61" s="121"/>
      <c r="E61" s="121"/>
      <c r="F61" s="121"/>
      <c r="G61" s="136" t="s">
        <v>1121</v>
      </c>
      <c r="H61" s="137"/>
      <c r="I61" s="117"/>
      <c r="J61" s="124"/>
    </row>
    <row r="62" spans="1:10" s="118" customFormat="1" x14ac:dyDescent="0.25">
      <c r="A62" s="120">
        <v>-4</v>
      </c>
      <c r="B62" s="121" t="s">
        <v>1122</v>
      </c>
      <c r="C62" s="121"/>
      <c r="D62" s="121"/>
      <c r="E62" s="121"/>
      <c r="F62" s="121"/>
      <c r="G62" s="132" t="s">
        <v>1123</v>
      </c>
      <c r="H62" s="133"/>
      <c r="I62" s="117"/>
      <c r="J62" s="73">
        <f>SUM(J59:J61)</f>
        <v>0</v>
      </c>
    </row>
    <row r="63" spans="1:10" s="118" customFormat="1" ht="12.95" customHeight="1" x14ac:dyDescent="0.25">
      <c r="A63" s="120" t="s">
        <v>1124</v>
      </c>
      <c r="B63" s="92" t="s">
        <v>1125</v>
      </c>
      <c r="C63" s="92"/>
      <c r="D63" s="92"/>
      <c r="E63" s="92"/>
      <c r="F63" s="92"/>
      <c r="G63" s="134"/>
      <c r="H63" s="135"/>
      <c r="I63" s="117"/>
      <c r="J63" s="117"/>
    </row>
    <row r="64" spans="1:10" s="118" customFormat="1" ht="26.25" customHeight="1" x14ac:dyDescent="0.25">
      <c r="A64" s="120">
        <v>-1</v>
      </c>
      <c r="B64" s="121" t="s">
        <v>1126</v>
      </c>
      <c r="C64" s="121"/>
      <c r="D64" s="121"/>
      <c r="E64" s="121"/>
      <c r="F64" s="121"/>
      <c r="G64" s="136" t="s">
        <v>1127</v>
      </c>
      <c r="H64" s="137"/>
      <c r="I64" s="124"/>
      <c r="J64" s="117"/>
    </row>
    <row r="65" spans="1:10" s="118" customFormat="1" ht="38.25" customHeight="1" x14ac:dyDescent="0.25">
      <c r="A65" s="120">
        <v>-2</v>
      </c>
      <c r="B65" s="121" t="s">
        <v>1128</v>
      </c>
      <c r="C65" s="121"/>
      <c r="D65" s="121"/>
      <c r="E65" s="121"/>
      <c r="F65" s="121"/>
      <c r="G65" s="136" t="s">
        <v>1129</v>
      </c>
      <c r="H65" s="137"/>
      <c r="I65" s="124"/>
      <c r="J65" s="117"/>
    </row>
    <row r="66" spans="1:10" s="118" customFormat="1" ht="24.95" customHeight="1" x14ac:dyDescent="0.25">
      <c r="A66" s="120">
        <v>-3</v>
      </c>
      <c r="B66" s="121" t="s">
        <v>1130</v>
      </c>
      <c r="C66" s="121"/>
      <c r="D66" s="121"/>
      <c r="E66" s="121"/>
      <c r="F66" s="121"/>
      <c r="G66" s="136" t="s">
        <v>1131</v>
      </c>
      <c r="H66" s="137"/>
      <c r="I66" s="117"/>
      <c r="J66" s="73">
        <f>SUM(I64:I65)</f>
        <v>0</v>
      </c>
    </row>
    <row r="67" spans="1:10" s="118" customFormat="1" ht="24.95" customHeight="1" x14ac:dyDescent="0.25">
      <c r="A67" s="119" t="s">
        <v>1132</v>
      </c>
      <c r="B67" s="92" t="s">
        <v>1133</v>
      </c>
      <c r="C67" s="92"/>
      <c r="D67" s="92"/>
      <c r="E67" s="92"/>
      <c r="F67" s="92"/>
      <c r="G67" s="132" t="s">
        <v>1134</v>
      </c>
      <c r="H67" s="133"/>
      <c r="I67" s="117"/>
      <c r="J67" s="73">
        <f>J62-J66</f>
        <v>0</v>
      </c>
    </row>
    <row r="68" spans="1:10" s="118" customFormat="1" ht="24.95" customHeight="1" x14ac:dyDescent="0.25">
      <c r="A68" s="119" t="s">
        <v>1135</v>
      </c>
      <c r="B68" s="92" t="s">
        <v>1136</v>
      </c>
      <c r="C68" s="92"/>
      <c r="D68" s="92"/>
      <c r="E68" s="92"/>
      <c r="F68" s="92"/>
      <c r="G68" s="132" t="s">
        <v>1137</v>
      </c>
      <c r="H68" s="133"/>
      <c r="I68" s="117"/>
      <c r="J68" s="73">
        <f>IF(J67&lt;0,0,IF(J38&lt;0,0,IF(J67&gt;J38*0.5,J38*0.5,J67)))</f>
        <v>0</v>
      </c>
    </row>
    <row r="69" spans="1:10" s="118" customFormat="1" ht="24.95" customHeight="1" x14ac:dyDescent="0.25">
      <c r="A69" s="119" t="s">
        <v>1138</v>
      </c>
      <c r="B69" s="92" t="s">
        <v>1139</v>
      </c>
      <c r="C69" s="92"/>
      <c r="D69" s="92"/>
      <c r="E69" s="92"/>
      <c r="F69" s="92"/>
      <c r="G69" s="132" t="s">
        <v>1140</v>
      </c>
      <c r="H69" s="133"/>
      <c r="I69" s="117"/>
      <c r="J69" s="73">
        <f>J68+J57</f>
        <v>0</v>
      </c>
    </row>
    <row r="70" spans="1:10" s="118" customFormat="1" ht="24.95" customHeight="1" x14ac:dyDescent="0.25">
      <c r="A70" s="119" t="s">
        <v>1141</v>
      </c>
      <c r="B70" s="92" t="s">
        <v>1142</v>
      </c>
      <c r="C70" s="92"/>
      <c r="D70" s="92"/>
      <c r="E70" s="92"/>
      <c r="F70" s="92"/>
      <c r="G70" s="132" t="s">
        <v>1143</v>
      </c>
      <c r="H70" s="133"/>
      <c r="I70" s="117"/>
      <c r="J70" s="73">
        <f>IF(J69&lt;0,0,IF(J38&lt;0,0,IF(J69&gt;J38,J38,J69)))</f>
        <v>0</v>
      </c>
    </row>
    <row r="71" spans="1:10" s="118" customFormat="1" ht="24.95" customHeight="1" x14ac:dyDescent="0.25">
      <c r="A71" s="115" t="s">
        <v>1144</v>
      </c>
      <c r="B71" s="92" t="s">
        <v>1145</v>
      </c>
      <c r="C71" s="92"/>
      <c r="D71" s="92"/>
      <c r="E71" s="92"/>
      <c r="F71" s="92"/>
      <c r="G71" s="132" t="s">
        <v>1146</v>
      </c>
      <c r="H71" s="133"/>
      <c r="I71" s="117"/>
      <c r="J71" s="73">
        <f>I72+I73</f>
        <v>0</v>
      </c>
    </row>
    <row r="72" spans="1:10" s="118" customFormat="1" ht="24.95" customHeight="1" x14ac:dyDescent="0.25">
      <c r="A72" s="120">
        <v>-1</v>
      </c>
      <c r="B72" s="121" t="s">
        <v>1147</v>
      </c>
      <c r="C72" s="121"/>
      <c r="D72" s="121"/>
      <c r="E72" s="121"/>
      <c r="F72" s="121"/>
      <c r="G72" s="132" t="s">
        <v>1148</v>
      </c>
      <c r="H72" s="133"/>
      <c r="I72" s="73">
        <f>J38</f>
        <v>0</v>
      </c>
      <c r="J72" s="117"/>
    </row>
    <row r="73" spans="1:10" s="118" customFormat="1" ht="24.95" customHeight="1" x14ac:dyDescent="0.25">
      <c r="A73" s="120">
        <v>-2</v>
      </c>
      <c r="B73" s="121" t="s">
        <v>1149</v>
      </c>
      <c r="C73" s="121"/>
      <c r="D73" s="121"/>
      <c r="E73" s="121"/>
      <c r="F73" s="121"/>
      <c r="G73" s="132" t="s">
        <v>1150</v>
      </c>
      <c r="H73" s="133"/>
      <c r="I73" s="73">
        <f>J70</f>
        <v>0</v>
      </c>
      <c r="J73" s="117"/>
    </row>
    <row r="74" spans="1:10" s="118" customFormat="1" ht="12.95" customHeight="1" x14ac:dyDescent="0.25">
      <c r="A74" s="115" t="s">
        <v>1151</v>
      </c>
      <c r="B74" s="92" t="s">
        <v>1152</v>
      </c>
      <c r="C74" s="92"/>
      <c r="D74" s="92"/>
      <c r="E74" s="92"/>
      <c r="F74" s="92"/>
      <c r="G74" s="134"/>
      <c r="H74" s="135"/>
      <c r="I74" s="117"/>
      <c r="J74" s="117"/>
    </row>
    <row r="75" spans="1:10" s="118" customFormat="1" ht="24.75" customHeight="1" x14ac:dyDescent="0.25">
      <c r="A75" s="120">
        <v>-1</v>
      </c>
      <c r="B75" s="121" t="s">
        <v>1153</v>
      </c>
      <c r="C75" s="121"/>
      <c r="D75" s="121"/>
      <c r="E75" s="121"/>
      <c r="F75" s="121"/>
      <c r="G75" s="136" t="s">
        <v>1154</v>
      </c>
      <c r="H75" s="137"/>
      <c r="I75" s="124"/>
      <c r="J75" s="117"/>
    </row>
    <row r="76" spans="1:10" s="118" customFormat="1" ht="25.5" customHeight="1" x14ac:dyDescent="0.25">
      <c r="A76" s="120">
        <v>-2</v>
      </c>
      <c r="B76" s="121" t="s">
        <v>1155</v>
      </c>
      <c r="C76" s="121"/>
      <c r="D76" s="121"/>
      <c r="E76" s="121"/>
      <c r="F76" s="121"/>
      <c r="G76" s="136" t="s">
        <v>1156</v>
      </c>
      <c r="H76" s="137"/>
      <c r="I76" s="124"/>
      <c r="J76" s="117"/>
    </row>
    <row r="77" spans="1:10" s="118" customFormat="1" ht="24.75" customHeight="1" x14ac:dyDescent="0.25">
      <c r="A77" s="120">
        <v>-3</v>
      </c>
      <c r="B77" s="121" t="s">
        <v>1157</v>
      </c>
      <c r="C77" s="121"/>
      <c r="D77" s="121"/>
      <c r="E77" s="121"/>
      <c r="F77" s="121"/>
      <c r="G77" s="136" t="s">
        <v>1158</v>
      </c>
      <c r="H77" s="137"/>
      <c r="I77" s="124"/>
      <c r="J77" s="117"/>
    </row>
    <row r="78" spans="1:10" s="118" customFormat="1" ht="25.5" customHeight="1" x14ac:dyDescent="0.25">
      <c r="A78" s="120">
        <v>-4</v>
      </c>
      <c r="B78" s="121" t="s">
        <v>1159</v>
      </c>
      <c r="C78" s="121"/>
      <c r="D78" s="121"/>
      <c r="E78" s="121"/>
      <c r="F78" s="121"/>
      <c r="G78" s="136" t="s">
        <v>1160</v>
      </c>
      <c r="H78" s="137"/>
      <c r="I78" s="124"/>
      <c r="J78" s="117"/>
    </row>
    <row r="79" spans="1:10" s="118" customFormat="1" ht="25.5" customHeight="1" x14ac:dyDescent="0.25">
      <c r="A79" s="120">
        <v>-5</v>
      </c>
      <c r="B79" s="121" t="s">
        <v>1161</v>
      </c>
      <c r="C79" s="121"/>
      <c r="D79" s="121"/>
      <c r="E79" s="121"/>
      <c r="F79" s="121"/>
      <c r="G79" s="136" t="s">
        <v>1162</v>
      </c>
      <c r="H79" s="137"/>
      <c r="I79" s="124"/>
      <c r="J79" s="117"/>
    </row>
    <row r="80" spans="1:10" s="118" customFormat="1" ht="24.95" customHeight="1" x14ac:dyDescent="0.25">
      <c r="A80" s="120">
        <v>-6</v>
      </c>
      <c r="B80" s="121" t="s">
        <v>1163</v>
      </c>
      <c r="C80" s="121"/>
      <c r="D80" s="121"/>
      <c r="E80" s="121"/>
      <c r="F80" s="121"/>
      <c r="G80" s="132" t="s">
        <v>1164</v>
      </c>
      <c r="H80" s="133"/>
      <c r="I80" s="117"/>
      <c r="J80" s="73">
        <f>SUM(I75:I79)</f>
        <v>0</v>
      </c>
    </row>
    <row r="81" spans="1:17" s="150" customFormat="1" ht="12.95" customHeight="1" x14ac:dyDescent="0.25">
      <c r="A81" s="147" t="s">
        <v>1165</v>
      </c>
      <c r="B81" s="148" t="s">
        <v>1166</v>
      </c>
      <c r="C81" s="148"/>
      <c r="D81" s="148"/>
      <c r="E81" s="148"/>
      <c r="F81" s="148"/>
      <c r="G81" s="132"/>
      <c r="H81" s="133"/>
      <c r="I81" s="149"/>
      <c r="J81" s="149"/>
      <c r="L81" s="151"/>
      <c r="M81" s="151"/>
      <c r="O81" s="151"/>
      <c r="P81" s="151"/>
      <c r="Q81" s="151"/>
    </row>
    <row r="82" spans="1:17" s="150" customFormat="1" ht="27" customHeight="1" x14ac:dyDescent="0.25">
      <c r="A82" s="152" t="s">
        <v>1167</v>
      </c>
      <c r="B82" s="153" t="s">
        <v>1168</v>
      </c>
      <c r="C82" s="153"/>
      <c r="D82" s="153"/>
      <c r="E82" s="153"/>
      <c r="F82" s="153"/>
      <c r="G82" s="132" t="s">
        <v>972</v>
      </c>
      <c r="H82" s="133"/>
      <c r="I82" s="73">
        <f>I72-(J80*0.5)+IF((I73-(J80*0.5))&lt;0,I73-(J80*0.5),0)</f>
        <v>0</v>
      </c>
      <c r="J82" s="149"/>
      <c r="L82" s="151"/>
      <c r="M82" s="151"/>
      <c r="O82" s="151"/>
      <c r="P82" s="151"/>
      <c r="Q82" s="151"/>
    </row>
    <row r="83" spans="1:17" s="150" customFormat="1" ht="27" customHeight="1" x14ac:dyDescent="0.25">
      <c r="A83" s="152" t="s">
        <v>1169</v>
      </c>
      <c r="B83" s="153" t="s">
        <v>1170</v>
      </c>
      <c r="C83" s="153"/>
      <c r="D83" s="153"/>
      <c r="E83" s="153"/>
      <c r="F83" s="153"/>
      <c r="G83" s="132" t="s">
        <v>975</v>
      </c>
      <c r="H83" s="133"/>
      <c r="I83" s="73">
        <f>MAX(0,(I73-(J80*0.5)))</f>
        <v>0</v>
      </c>
      <c r="J83" s="149"/>
      <c r="L83" s="151"/>
      <c r="M83" s="151"/>
      <c r="O83" s="151"/>
      <c r="P83" s="151"/>
      <c r="Q83" s="151"/>
    </row>
    <row r="84" spans="1:17" s="118" customFormat="1" ht="24.95" customHeight="1" x14ac:dyDescent="0.25">
      <c r="A84" s="115" t="s">
        <v>1171</v>
      </c>
      <c r="B84" s="92" t="s">
        <v>1172</v>
      </c>
      <c r="C84" s="92"/>
      <c r="D84" s="92"/>
      <c r="E84" s="92"/>
      <c r="F84" s="92"/>
      <c r="G84" s="132" t="s">
        <v>978</v>
      </c>
      <c r="H84" s="133"/>
      <c r="I84" s="117"/>
      <c r="J84" s="73">
        <f>J71-J80</f>
        <v>0</v>
      </c>
    </row>
    <row r="85" spans="1:17" ht="7.5" customHeight="1" x14ac:dyDescent="0.2">
      <c r="A85" s="32"/>
      <c r="B85" s="32"/>
      <c r="C85" s="32"/>
      <c r="D85" s="32"/>
      <c r="E85" s="32"/>
      <c r="F85" s="32"/>
      <c r="G85" s="96" t="s">
        <v>1018</v>
      </c>
      <c r="H85" s="102"/>
      <c r="I85" s="34"/>
      <c r="J85" s="34"/>
    </row>
    <row r="86" spans="1:17" ht="24" customHeight="1" x14ac:dyDescent="0.2">
      <c r="A86" s="154" t="s">
        <v>1173</v>
      </c>
      <c r="B86" s="403" t="s">
        <v>1174</v>
      </c>
      <c r="C86" s="403"/>
      <c r="D86" s="403"/>
      <c r="E86" s="403"/>
      <c r="F86" s="403"/>
      <c r="G86" s="403"/>
      <c r="H86" s="403"/>
      <c r="I86" s="403"/>
      <c r="J86" s="403"/>
    </row>
    <row r="87" spans="1:17" ht="23.25" customHeight="1" x14ac:dyDescent="0.2">
      <c r="A87" s="154" t="s">
        <v>1175</v>
      </c>
      <c r="B87" s="403" t="s">
        <v>1176</v>
      </c>
      <c r="C87" s="403"/>
      <c r="D87" s="403"/>
      <c r="E87" s="403"/>
      <c r="F87" s="403"/>
      <c r="G87" s="403"/>
      <c r="H87" s="403"/>
      <c r="I87" s="403"/>
      <c r="J87" s="403"/>
    </row>
    <row r="88" spans="1:17" ht="24.95" customHeight="1" x14ac:dyDescent="0.2">
      <c r="A88" s="155" t="s">
        <v>1177</v>
      </c>
      <c r="B88" s="403" t="s">
        <v>1178</v>
      </c>
      <c r="C88" s="403"/>
      <c r="D88" s="403"/>
      <c r="E88" s="403"/>
      <c r="F88" s="403"/>
      <c r="G88" s="403"/>
      <c r="H88" s="403"/>
      <c r="I88" s="403"/>
      <c r="J88" s="403"/>
    </row>
    <row r="89" spans="1:17" ht="15.75" customHeight="1" x14ac:dyDescent="0.2">
      <c r="A89" s="155" t="s">
        <v>1179</v>
      </c>
      <c r="B89" s="403" t="s">
        <v>1180</v>
      </c>
      <c r="C89" s="403"/>
      <c r="D89" s="403"/>
      <c r="E89" s="403"/>
      <c r="F89" s="403"/>
      <c r="G89" s="403"/>
      <c r="H89" s="403"/>
      <c r="I89" s="403"/>
      <c r="J89" s="403"/>
    </row>
  </sheetData>
  <sheetProtection password="D309" sheet="1" objects="1" scenarios="1"/>
  <mergeCells count="8">
    <mergeCell ref="B88:J88"/>
    <mergeCell ref="B89:J89"/>
    <mergeCell ref="A7:A8"/>
    <mergeCell ref="B7:B8"/>
    <mergeCell ref="G7:G8"/>
    <mergeCell ref="I7:J8"/>
    <mergeCell ref="B86:J86"/>
    <mergeCell ref="B87:J87"/>
  </mergeCells>
  <phoneticPr fontId="24" type="noConversion"/>
  <dataValidations count="4">
    <dataValidation type="decimal" allowBlank="1" showInputMessage="1" showErrorMessage="1" sqref="I25">
      <formula1>0</formula1>
      <formula2>9999999999999990</formula2>
    </dataValidation>
    <dataValidation type="decimal" allowBlank="1" showInputMessage="1" showErrorMessage="1" sqref="I55">
      <formula1>0</formula1>
      <formula2>999999999999999</formula2>
    </dataValidation>
    <dataValidation type="decimal" allowBlank="1" showInputMessage="1" showErrorMessage="1" sqref="I52:I54 J18 J46:J47">
      <formula1>0</formula1>
      <formula2>999999999999.999</formula2>
    </dataValidation>
    <dataValidation type="decimal" allowBlank="1" showInputMessage="1" showErrorMessage="1" sqref="I75:I79 I64:I65 J19:J20 I34:I35 I26:I30 J48 J41:J45 J11:J17 I23:I24 J59:J61">
      <formula1>-999999999999.999</formula1>
      <formula2>999999999999.999</formula2>
    </dataValidation>
  </dataValidations>
  <printOptions horizontalCentered="1"/>
  <pageMargins left="0.34" right="0.19" top="0.89" bottom="0.68" header="0.17" footer="0.3"/>
  <pageSetup paperSize="9" scale="73" orientation="landscape" r:id="rId1"/>
  <headerFooter>
    <oddHeader>&amp;C&amp;"Arial,Bold"&amp;8 NEW RURAL BANK OF SAN LEONARDO, INC  [ 04-040656 ]
 As of: September 30, 2017</oddHeader>
  </headerFooter>
  <rowBreaks count="2" manualBreakCount="2">
    <brk id="38" max="16383" man="1"/>
    <brk id="62"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78"/>
  <sheetViews>
    <sheetView view="pageBreakPreview" zoomScaleNormal="100" zoomScaleSheetLayoutView="100" workbookViewId="0">
      <selection activeCell="C57" sqref="C57:D57"/>
    </sheetView>
  </sheetViews>
  <sheetFormatPr defaultColWidth="10.28515625" defaultRowHeight="11.25" x14ac:dyDescent="0.2"/>
  <cols>
    <col min="1" max="1" width="5.42578125" style="215" customWidth="1"/>
    <col min="2" max="2" width="4.140625" style="216" customWidth="1"/>
    <col min="3" max="3" width="4.85546875" style="216" customWidth="1"/>
    <col min="4" max="4" width="69.28515625" style="216" customWidth="1"/>
    <col min="5" max="5" width="9.140625" style="216" hidden="1" customWidth="1"/>
    <col min="6" max="6" width="9.28515625" style="216" hidden="1" customWidth="1"/>
    <col min="7" max="7" width="17.85546875" style="156" customWidth="1"/>
    <col min="8" max="8" width="17.85546875" style="157" hidden="1" customWidth="1"/>
    <col min="9" max="9" width="19.5703125" style="217" customWidth="1"/>
    <col min="10" max="10" width="12.85546875" style="218" customWidth="1"/>
    <col min="11" max="11" width="19.5703125" style="217" customWidth="1"/>
    <col min="12" max="12" width="10.28515625" style="103"/>
    <col min="13" max="13" width="36.140625" style="103" customWidth="1"/>
    <col min="14" max="14" width="4.7109375" style="103" customWidth="1"/>
    <col min="15" max="15" width="23.42578125" style="103" customWidth="1"/>
    <col min="16" max="16384" width="10.28515625" style="103"/>
  </cols>
  <sheetData>
    <row r="1" spans="1:11" x14ac:dyDescent="0.2">
      <c r="A1" s="159"/>
      <c r="B1" s="160"/>
      <c r="C1" s="160"/>
      <c r="D1" s="160"/>
      <c r="E1" s="160"/>
      <c r="F1" s="160"/>
      <c r="G1" s="33"/>
      <c r="H1" s="102"/>
      <c r="I1" s="39"/>
      <c r="J1" s="161"/>
      <c r="K1" s="39"/>
    </row>
    <row r="2" spans="1:11" hidden="1" x14ac:dyDescent="0.2">
      <c r="A2" s="159"/>
      <c r="B2" s="160"/>
      <c r="C2" s="160"/>
      <c r="D2" s="160"/>
      <c r="E2" s="160"/>
      <c r="F2" s="160"/>
      <c r="G2" s="33"/>
      <c r="H2" s="102"/>
      <c r="I2" s="39"/>
      <c r="J2" s="161"/>
      <c r="K2" s="39"/>
    </row>
    <row r="3" spans="1:11" hidden="1" x14ac:dyDescent="0.2">
      <c r="A3" s="159"/>
      <c r="B3" s="160"/>
      <c r="C3" s="160"/>
      <c r="D3" s="160"/>
      <c r="E3" s="160"/>
      <c r="F3" s="160"/>
      <c r="G3" s="33"/>
      <c r="H3" s="102"/>
      <c r="I3" s="39"/>
      <c r="J3" s="161"/>
      <c r="K3" s="39"/>
    </row>
    <row r="4" spans="1:11" hidden="1" x14ac:dyDescent="0.2">
      <c r="A4" s="159"/>
      <c r="B4" s="160"/>
      <c r="C4" s="160"/>
      <c r="D4" s="160"/>
      <c r="E4" s="160"/>
      <c r="F4" s="160"/>
      <c r="G4" s="33"/>
      <c r="H4" s="102"/>
      <c r="I4" s="39"/>
      <c r="J4" s="161"/>
      <c r="K4" s="39"/>
    </row>
    <row r="5" spans="1:11" hidden="1" x14ac:dyDescent="0.2">
      <c r="A5" s="159"/>
      <c r="B5" s="160"/>
      <c r="C5" s="160"/>
      <c r="D5" s="160"/>
      <c r="E5" s="160"/>
      <c r="F5" s="160"/>
      <c r="G5" s="33"/>
      <c r="H5" s="102"/>
      <c r="I5" s="39"/>
      <c r="J5" s="161"/>
      <c r="K5" s="39"/>
    </row>
    <row r="6" spans="1:11" s="113" customFormat="1" ht="16.5" customHeight="1" x14ac:dyDescent="0.25">
      <c r="A6" s="162" t="s">
        <v>1181</v>
      </c>
      <c r="B6" s="162"/>
      <c r="C6" s="162"/>
      <c r="D6" s="162"/>
      <c r="E6" s="162"/>
      <c r="F6" s="162"/>
      <c r="G6" s="163"/>
      <c r="H6" s="164"/>
      <c r="I6" s="165"/>
      <c r="J6" s="166"/>
      <c r="K6" s="165"/>
    </row>
    <row r="7" spans="1:11" ht="22.5" x14ac:dyDescent="0.2">
      <c r="A7" s="408" t="s">
        <v>1182</v>
      </c>
      <c r="B7" s="410" t="s">
        <v>965</v>
      </c>
      <c r="C7" s="411"/>
      <c r="D7" s="412"/>
      <c r="E7" s="167"/>
      <c r="F7" s="167"/>
      <c r="G7" s="418" t="s">
        <v>966</v>
      </c>
      <c r="H7" s="168"/>
      <c r="I7" s="169" t="s">
        <v>1183</v>
      </c>
      <c r="J7" s="170" t="s">
        <v>1184</v>
      </c>
      <c r="K7" s="169" t="s">
        <v>1185</v>
      </c>
    </row>
    <row r="8" spans="1:11" x14ac:dyDescent="0.2">
      <c r="A8" s="409"/>
      <c r="B8" s="413"/>
      <c r="C8" s="414"/>
      <c r="D8" s="415"/>
      <c r="E8" s="171"/>
      <c r="F8" s="171"/>
      <c r="G8" s="419"/>
      <c r="H8" s="172"/>
      <c r="I8" s="173" t="s">
        <v>1186</v>
      </c>
      <c r="J8" s="174" t="s">
        <v>1187</v>
      </c>
      <c r="K8" s="173" t="s">
        <v>1188</v>
      </c>
    </row>
    <row r="9" spans="1:11" s="118" customFormat="1" ht="12.95" customHeight="1" x14ac:dyDescent="0.25">
      <c r="A9" s="153" t="s">
        <v>1189</v>
      </c>
      <c r="B9" s="417" t="s">
        <v>1190</v>
      </c>
      <c r="C9" s="417"/>
      <c r="D9" s="417"/>
      <c r="E9" s="153"/>
      <c r="F9" s="153"/>
      <c r="G9" s="175"/>
      <c r="H9" s="119"/>
      <c r="I9" s="176"/>
      <c r="J9" s="177"/>
      <c r="K9" s="176"/>
    </row>
    <row r="10" spans="1:11" s="118" customFormat="1" ht="24.95" customHeight="1" x14ac:dyDescent="0.25">
      <c r="A10" s="119" t="s">
        <v>1186</v>
      </c>
      <c r="B10" s="417" t="s">
        <v>1191</v>
      </c>
      <c r="C10" s="417"/>
      <c r="D10" s="417"/>
      <c r="E10" s="153"/>
      <c r="F10" s="153"/>
      <c r="G10" s="122" t="s">
        <v>1192</v>
      </c>
      <c r="H10" s="178"/>
      <c r="I10" s="124"/>
      <c r="J10" s="177"/>
      <c r="K10" s="176"/>
    </row>
    <row r="11" spans="1:11" s="118" customFormat="1" ht="25.5" customHeight="1" x14ac:dyDescent="0.25">
      <c r="A11" s="119" t="s">
        <v>1187</v>
      </c>
      <c r="B11" s="417" t="s">
        <v>1193</v>
      </c>
      <c r="C11" s="417"/>
      <c r="D11" s="417"/>
      <c r="E11" s="153"/>
      <c r="F11" s="153"/>
      <c r="G11" s="122"/>
      <c r="H11" s="178"/>
      <c r="I11" s="117"/>
      <c r="J11" s="177"/>
      <c r="K11" s="176"/>
    </row>
    <row r="12" spans="1:11" s="118" customFormat="1" ht="12.95" customHeight="1" x14ac:dyDescent="0.25">
      <c r="A12" s="119"/>
      <c r="B12" s="119" t="s">
        <v>984</v>
      </c>
      <c r="C12" s="417" t="s">
        <v>1194</v>
      </c>
      <c r="D12" s="417"/>
      <c r="E12" s="153"/>
      <c r="F12" s="153"/>
      <c r="G12" s="179" t="s">
        <v>1195</v>
      </c>
      <c r="H12" s="77"/>
      <c r="I12" s="124"/>
      <c r="J12" s="177"/>
      <c r="K12" s="176"/>
    </row>
    <row r="13" spans="1:11" s="118" customFormat="1" ht="15" customHeight="1" x14ac:dyDescent="0.25">
      <c r="A13" s="119"/>
      <c r="B13" s="119" t="s">
        <v>987</v>
      </c>
      <c r="C13" s="417" t="s">
        <v>1196</v>
      </c>
      <c r="D13" s="417"/>
      <c r="E13" s="153"/>
      <c r="F13" s="153"/>
      <c r="G13" s="179" t="s">
        <v>1197</v>
      </c>
      <c r="H13" s="77"/>
      <c r="I13" s="180"/>
      <c r="J13" s="177"/>
      <c r="K13" s="176"/>
    </row>
    <row r="14" spans="1:11" s="118" customFormat="1" ht="12.95" customHeight="1" x14ac:dyDescent="0.25">
      <c r="A14" s="119"/>
      <c r="B14" s="119" t="s">
        <v>990</v>
      </c>
      <c r="C14" s="417" t="s">
        <v>1198</v>
      </c>
      <c r="D14" s="417"/>
      <c r="E14" s="153"/>
      <c r="F14" s="153"/>
      <c r="G14" s="179" t="s">
        <v>1199</v>
      </c>
      <c r="H14" s="77"/>
      <c r="I14" s="124"/>
      <c r="J14" s="177"/>
      <c r="K14" s="176"/>
    </row>
    <row r="15" spans="1:11" s="118" customFormat="1" ht="12.95" customHeight="1" x14ac:dyDescent="0.25">
      <c r="A15" s="119"/>
      <c r="B15" s="119" t="s">
        <v>993</v>
      </c>
      <c r="C15" s="417" t="s">
        <v>1200</v>
      </c>
      <c r="D15" s="417"/>
      <c r="E15" s="153"/>
      <c r="F15" s="153"/>
      <c r="G15" s="179" t="s">
        <v>1201</v>
      </c>
      <c r="H15" s="77"/>
      <c r="I15" s="124"/>
      <c r="J15" s="177"/>
      <c r="K15" s="176"/>
    </row>
    <row r="16" spans="1:11" s="118" customFormat="1" ht="12.95" customHeight="1" x14ac:dyDescent="0.25">
      <c r="A16" s="119"/>
      <c r="B16" s="119" t="s">
        <v>996</v>
      </c>
      <c r="C16" s="417" t="s">
        <v>1202</v>
      </c>
      <c r="D16" s="417"/>
      <c r="E16" s="153"/>
      <c r="F16" s="153"/>
      <c r="G16" s="179" t="s">
        <v>1203</v>
      </c>
      <c r="H16" s="77"/>
      <c r="I16" s="124"/>
      <c r="J16" s="177"/>
      <c r="K16" s="176"/>
    </row>
    <row r="17" spans="1:11" s="118" customFormat="1" ht="12.95" customHeight="1" x14ac:dyDescent="0.25">
      <c r="A17" s="119"/>
      <c r="B17" s="119" t="s">
        <v>998</v>
      </c>
      <c r="C17" s="416" t="s">
        <v>1204</v>
      </c>
      <c r="D17" s="416"/>
      <c r="E17" s="181"/>
      <c r="F17" s="181"/>
      <c r="G17" s="179" t="s">
        <v>1205</v>
      </c>
      <c r="H17" s="77"/>
      <c r="I17" s="124"/>
      <c r="J17" s="177"/>
      <c r="K17" s="176"/>
    </row>
    <row r="18" spans="1:11" s="118" customFormat="1" ht="26.25" customHeight="1" x14ac:dyDescent="0.25">
      <c r="A18" s="119"/>
      <c r="B18" s="119" t="s">
        <v>1000</v>
      </c>
      <c r="C18" s="417" t="s">
        <v>1206</v>
      </c>
      <c r="D18" s="417"/>
      <c r="E18" s="153"/>
      <c r="F18" s="153"/>
      <c r="G18" s="179" t="s">
        <v>1207</v>
      </c>
      <c r="H18" s="77"/>
      <c r="I18" s="124"/>
      <c r="J18" s="177"/>
      <c r="K18" s="176"/>
    </row>
    <row r="19" spans="1:11" s="118" customFormat="1" ht="12.95" customHeight="1" x14ac:dyDescent="0.25">
      <c r="A19" s="119"/>
      <c r="B19" s="119" t="s">
        <v>1003</v>
      </c>
      <c r="C19" s="417" t="s">
        <v>1208</v>
      </c>
      <c r="D19" s="417"/>
      <c r="E19" s="153"/>
      <c r="F19" s="153"/>
      <c r="G19" s="132" t="s">
        <v>1209</v>
      </c>
      <c r="H19" s="133"/>
      <c r="I19" s="124"/>
      <c r="J19" s="177"/>
      <c r="K19" s="176"/>
    </row>
    <row r="20" spans="1:11" s="118" customFormat="1" ht="26.25" customHeight="1" x14ac:dyDescent="0.25">
      <c r="A20" s="182" t="s">
        <v>1210</v>
      </c>
      <c r="B20" s="416" t="s">
        <v>1211</v>
      </c>
      <c r="C20" s="416"/>
      <c r="D20" s="416"/>
      <c r="E20" s="181"/>
      <c r="F20" s="181"/>
      <c r="G20" s="179" t="s">
        <v>1212</v>
      </c>
      <c r="H20" s="77"/>
      <c r="I20" s="180"/>
      <c r="J20" s="177"/>
      <c r="K20" s="183"/>
    </row>
    <row r="21" spans="1:11" s="118" customFormat="1" ht="26.25" customHeight="1" x14ac:dyDescent="0.25">
      <c r="A21" s="182" t="s">
        <v>1213</v>
      </c>
      <c r="B21" s="416" t="s">
        <v>1214</v>
      </c>
      <c r="C21" s="416"/>
      <c r="D21" s="416"/>
      <c r="E21" s="181"/>
      <c r="F21" s="181"/>
      <c r="G21" s="179" t="s">
        <v>1215</v>
      </c>
      <c r="H21" s="77"/>
      <c r="I21" s="124"/>
      <c r="J21" s="177"/>
      <c r="K21" s="183"/>
    </row>
    <row r="22" spans="1:11" s="118" customFormat="1" ht="24.95" customHeight="1" x14ac:dyDescent="0.25">
      <c r="A22" s="182" t="s">
        <v>1216</v>
      </c>
      <c r="B22" s="416" t="s">
        <v>1217</v>
      </c>
      <c r="C22" s="416"/>
      <c r="D22" s="416"/>
      <c r="E22" s="181"/>
      <c r="F22" s="181"/>
      <c r="G22" s="184" t="s">
        <v>1218</v>
      </c>
      <c r="H22" s="185"/>
      <c r="I22" s="124"/>
      <c r="J22" s="177"/>
      <c r="K22" s="183"/>
    </row>
    <row r="23" spans="1:11" s="118" customFormat="1" ht="15.75" customHeight="1" x14ac:dyDescent="0.25">
      <c r="A23" s="182" t="s">
        <v>1219</v>
      </c>
      <c r="B23" s="416" t="s">
        <v>1220</v>
      </c>
      <c r="C23" s="416"/>
      <c r="D23" s="416"/>
      <c r="E23" s="181"/>
      <c r="F23" s="181"/>
      <c r="G23" s="184" t="s">
        <v>1221</v>
      </c>
      <c r="H23" s="185"/>
      <c r="I23" s="124"/>
      <c r="J23" s="177"/>
      <c r="K23" s="183"/>
    </row>
    <row r="24" spans="1:11" s="118" customFormat="1" ht="24.95" customHeight="1" x14ac:dyDescent="0.25">
      <c r="A24" s="182" t="s">
        <v>1222</v>
      </c>
      <c r="B24" s="416" t="s">
        <v>1223</v>
      </c>
      <c r="C24" s="416"/>
      <c r="D24" s="416"/>
      <c r="E24" s="181"/>
      <c r="F24" s="181"/>
      <c r="G24" s="184" t="s">
        <v>1224</v>
      </c>
      <c r="H24" s="185"/>
      <c r="I24" s="124"/>
      <c r="J24" s="177"/>
      <c r="K24" s="183"/>
    </row>
    <row r="25" spans="1:11" s="118" customFormat="1" ht="24.95" customHeight="1" x14ac:dyDescent="0.25">
      <c r="A25" s="182" t="s">
        <v>1225</v>
      </c>
      <c r="B25" s="416" t="s">
        <v>1226</v>
      </c>
      <c r="C25" s="416"/>
      <c r="D25" s="416"/>
      <c r="E25" s="181"/>
      <c r="F25" s="181"/>
      <c r="G25" s="184" t="s">
        <v>1227</v>
      </c>
      <c r="H25" s="185"/>
      <c r="I25" s="124"/>
      <c r="J25" s="177"/>
      <c r="K25" s="183"/>
    </row>
    <row r="26" spans="1:11" s="118" customFormat="1" ht="27" customHeight="1" x14ac:dyDescent="0.25">
      <c r="A26" s="182" t="s">
        <v>1228</v>
      </c>
      <c r="B26" s="416" t="s">
        <v>1229</v>
      </c>
      <c r="C26" s="416"/>
      <c r="D26" s="416"/>
      <c r="E26" s="181"/>
      <c r="F26" s="181"/>
      <c r="G26" s="184" t="s">
        <v>1230</v>
      </c>
      <c r="H26" s="185"/>
      <c r="I26" s="124"/>
      <c r="J26" s="177"/>
      <c r="K26" s="183"/>
    </row>
    <row r="27" spans="1:11" s="118" customFormat="1" ht="25.5" customHeight="1" x14ac:dyDescent="0.25">
      <c r="A27" s="182" t="s">
        <v>1231</v>
      </c>
      <c r="B27" s="416" t="s">
        <v>1232</v>
      </c>
      <c r="C27" s="416"/>
      <c r="D27" s="416"/>
      <c r="E27" s="186"/>
      <c r="F27" s="186"/>
      <c r="G27" s="132" t="s">
        <v>1233</v>
      </c>
      <c r="H27" s="187"/>
      <c r="I27" s="73">
        <f>SUM(I10:I26)</f>
        <v>0</v>
      </c>
      <c r="J27" s="188">
        <v>0</v>
      </c>
      <c r="K27" s="73">
        <f>I27*J27/100</f>
        <v>0</v>
      </c>
    </row>
    <row r="28" spans="1:11" s="118" customFormat="1" ht="12.95" customHeight="1" x14ac:dyDescent="0.25">
      <c r="A28" s="153" t="s">
        <v>1234</v>
      </c>
      <c r="B28" s="417" t="s">
        <v>1235</v>
      </c>
      <c r="C28" s="417"/>
      <c r="D28" s="417"/>
      <c r="E28" s="153"/>
      <c r="F28" s="153"/>
      <c r="G28" s="175"/>
      <c r="H28" s="119"/>
      <c r="I28" s="176"/>
      <c r="J28" s="177"/>
      <c r="K28" s="176"/>
    </row>
    <row r="29" spans="1:11" s="118" customFormat="1" ht="26.25" customHeight="1" x14ac:dyDescent="0.25">
      <c r="A29" s="119" t="s">
        <v>1186</v>
      </c>
      <c r="B29" s="417" t="s">
        <v>1236</v>
      </c>
      <c r="C29" s="417"/>
      <c r="D29" s="417"/>
      <c r="E29" s="153"/>
      <c r="F29" s="153"/>
      <c r="G29" s="122" t="s">
        <v>1237</v>
      </c>
      <c r="H29" s="178"/>
      <c r="I29" s="124"/>
      <c r="J29" s="177"/>
      <c r="K29" s="176"/>
    </row>
    <row r="30" spans="1:11" s="118" customFormat="1" ht="25.5" customHeight="1" x14ac:dyDescent="0.25">
      <c r="A30" s="119" t="s">
        <v>1187</v>
      </c>
      <c r="B30" s="417" t="s">
        <v>1238</v>
      </c>
      <c r="C30" s="417"/>
      <c r="D30" s="417"/>
      <c r="E30" s="153"/>
      <c r="F30" s="153"/>
      <c r="G30" s="179" t="s">
        <v>1239</v>
      </c>
      <c r="H30" s="77"/>
      <c r="I30" s="124"/>
      <c r="J30" s="177"/>
      <c r="K30" s="176"/>
    </row>
    <row r="31" spans="1:11" s="118" customFormat="1" ht="27.75" customHeight="1" x14ac:dyDescent="0.25">
      <c r="A31" s="119" t="s">
        <v>1210</v>
      </c>
      <c r="B31" s="417" t="s">
        <v>1240</v>
      </c>
      <c r="C31" s="417"/>
      <c r="D31" s="417"/>
      <c r="E31" s="153"/>
      <c r="F31" s="153"/>
      <c r="G31" s="179" t="s">
        <v>1241</v>
      </c>
      <c r="H31" s="77"/>
      <c r="I31" s="180"/>
      <c r="J31" s="177"/>
      <c r="K31" s="176"/>
    </row>
    <row r="32" spans="1:11" s="118" customFormat="1" ht="25.5" customHeight="1" x14ac:dyDescent="0.25">
      <c r="A32" s="119" t="s">
        <v>1213</v>
      </c>
      <c r="B32" s="417" t="s">
        <v>1242</v>
      </c>
      <c r="C32" s="417"/>
      <c r="D32" s="417"/>
      <c r="E32" s="153"/>
      <c r="F32" s="153"/>
      <c r="G32" s="179" t="s">
        <v>1243</v>
      </c>
      <c r="H32" s="77"/>
      <c r="I32" s="124"/>
      <c r="J32" s="177"/>
      <c r="K32" s="176"/>
    </row>
    <row r="33" spans="1:11" s="118" customFormat="1" ht="24.95" customHeight="1" x14ac:dyDescent="0.25">
      <c r="A33" s="119" t="s">
        <v>1216</v>
      </c>
      <c r="B33" s="417" t="s">
        <v>0</v>
      </c>
      <c r="C33" s="417"/>
      <c r="D33" s="417"/>
      <c r="E33" s="153"/>
      <c r="F33" s="153"/>
      <c r="G33" s="179" t="s">
        <v>1</v>
      </c>
      <c r="H33" s="77"/>
      <c r="I33" s="124"/>
      <c r="J33" s="177"/>
      <c r="K33" s="176"/>
    </row>
    <row r="34" spans="1:11" s="118" customFormat="1" ht="12.95" customHeight="1" x14ac:dyDescent="0.25">
      <c r="A34" s="119" t="s">
        <v>1219</v>
      </c>
      <c r="B34" s="417" t="s">
        <v>2</v>
      </c>
      <c r="C34" s="417"/>
      <c r="D34" s="417"/>
      <c r="E34" s="153"/>
      <c r="F34" s="153"/>
      <c r="G34" s="122" t="s">
        <v>3</v>
      </c>
      <c r="H34" s="178"/>
      <c r="I34" s="124"/>
      <c r="J34" s="177"/>
      <c r="K34" s="176"/>
    </row>
    <row r="35" spans="1:11" s="118" customFormat="1" ht="39.75" customHeight="1" x14ac:dyDescent="0.25">
      <c r="A35" s="189" t="s">
        <v>1222</v>
      </c>
      <c r="B35" s="420" t="s">
        <v>4</v>
      </c>
      <c r="C35" s="420"/>
      <c r="D35" s="420"/>
      <c r="E35" s="153"/>
      <c r="F35" s="153"/>
      <c r="G35" s="132" t="s">
        <v>5</v>
      </c>
      <c r="H35" s="77"/>
      <c r="I35" s="124"/>
      <c r="J35" s="177"/>
      <c r="K35" s="176"/>
    </row>
    <row r="36" spans="1:11" s="118" customFormat="1" ht="33.75" customHeight="1" x14ac:dyDescent="0.25">
      <c r="A36" s="189" t="s">
        <v>1225</v>
      </c>
      <c r="B36" s="421" t="s">
        <v>6</v>
      </c>
      <c r="C36" s="422"/>
      <c r="D36" s="423"/>
      <c r="E36" s="153"/>
      <c r="F36" s="153"/>
      <c r="G36" s="132" t="s">
        <v>7</v>
      </c>
      <c r="H36" s="77"/>
      <c r="I36" s="124"/>
      <c r="J36" s="177"/>
      <c r="K36" s="176"/>
    </row>
    <row r="37" spans="1:11" s="118" customFormat="1" ht="48.75" customHeight="1" x14ac:dyDescent="0.25">
      <c r="A37" s="190" t="s">
        <v>1228</v>
      </c>
      <c r="B37" s="424" t="s">
        <v>8</v>
      </c>
      <c r="C37" s="424"/>
      <c r="D37" s="424"/>
      <c r="E37" s="191"/>
      <c r="F37" s="191"/>
      <c r="G37" s="192" t="s">
        <v>9</v>
      </c>
      <c r="H37" s="193"/>
      <c r="I37" s="124"/>
      <c r="J37" s="177"/>
      <c r="K37" s="176"/>
    </row>
    <row r="38" spans="1:11" s="118" customFormat="1" ht="25.5" customHeight="1" x14ac:dyDescent="0.25">
      <c r="A38" s="194" t="s">
        <v>1231</v>
      </c>
      <c r="B38" s="425" t="s">
        <v>10</v>
      </c>
      <c r="C38" s="425"/>
      <c r="D38" s="425"/>
      <c r="E38" s="195"/>
      <c r="F38" s="195"/>
      <c r="G38" s="196" t="s">
        <v>11</v>
      </c>
      <c r="H38" s="197"/>
      <c r="I38" s="62">
        <f>SUM(I29:I37)</f>
        <v>0</v>
      </c>
      <c r="J38" s="198" t="s">
        <v>12</v>
      </c>
      <c r="K38" s="62">
        <f>I38*J38/100</f>
        <v>0</v>
      </c>
    </row>
    <row r="39" spans="1:11" s="118" customFormat="1" ht="12.95" customHeight="1" x14ac:dyDescent="0.25">
      <c r="A39" s="153" t="s">
        <v>13</v>
      </c>
      <c r="B39" s="417" t="s">
        <v>14</v>
      </c>
      <c r="C39" s="417"/>
      <c r="D39" s="417"/>
      <c r="E39" s="153"/>
      <c r="F39" s="153"/>
      <c r="G39" s="175"/>
      <c r="H39" s="119"/>
      <c r="I39" s="176"/>
      <c r="J39" s="177"/>
      <c r="K39" s="176"/>
    </row>
    <row r="40" spans="1:11" s="118" customFormat="1" ht="36.950000000000003" customHeight="1" x14ac:dyDescent="0.25">
      <c r="A40" s="119" t="s">
        <v>1186</v>
      </c>
      <c r="B40" s="417" t="s">
        <v>15</v>
      </c>
      <c r="C40" s="417"/>
      <c r="D40" s="417"/>
      <c r="E40" s="153"/>
      <c r="F40" s="153"/>
      <c r="G40" s="122" t="s">
        <v>16</v>
      </c>
      <c r="H40" s="178"/>
      <c r="I40" s="124"/>
      <c r="J40" s="177"/>
      <c r="K40" s="177"/>
    </row>
    <row r="41" spans="1:11" s="118" customFormat="1" ht="36.950000000000003" customHeight="1" x14ac:dyDescent="0.25">
      <c r="A41" s="189" t="s">
        <v>1187</v>
      </c>
      <c r="B41" s="430" t="s">
        <v>1253</v>
      </c>
      <c r="C41" s="434"/>
      <c r="D41" s="431"/>
      <c r="E41" s="153"/>
      <c r="F41" s="153"/>
      <c r="G41" s="122" t="s">
        <v>28</v>
      </c>
      <c r="H41" s="178"/>
      <c r="I41" s="124"/>
      <c r="J41" s="177"/>
      <c r="K41" s="177"/>
    </row>
    <row r="42" spans="1:11" s="118" customFormat="1" ht="25.5" customHeight="1" x14ac:dyDescent="0.25">
      <c r="A42" s="189" t="s">
        <v>1210</v>
      </c>
      <c r="B42" s="435" t="s">
        <v>1254</v>
      </c>
      <c r="C42" s="436"/>
      <c r="D42" s="437"/>
      <c r="E42" s="153"/>
      <c r="F42" s="153"/>
      <c r="G42" s="122" t="s">
        <v>1255</v>
      </c>
      <c r="H42" s="178"/>
      <c r="I42" s="62">
        <f>SUM(I40:I41)</f>
        <v>0</v>
      </c>
      <c r="J42" s="364" t="s">
        <v>17</v>
      </c>
      <c r="K42" s="62">
        <f>I42*J42/100</f>
        <v>0</v>
      </c>
    </row>
    <row r="43" spans="1:11" s="118" customFormat="1" ht="12.95" customHeight="1" x14ac:dyDescent="0.25">
      <c r="A43" s="153" t="s">
        <v>18</v>
      </c>
      <c r="B43" s="417" t="s">
        <v>19</v>
      </c>
      <c r="C43" s="417"/>
      <c r="D43" s="417"/>
      <c r="E43" s="153"/>
      <c r="F43" s="153"/>
      <c r="G43" s="175"/>
      <c r="H43" s="119"/>
      <c r="I43" s="176"/>
      <c r="J43" s="177"/>
      <c r="K43" s="176"/>
    </row>
    <row r="44" spans="1:11" s="118" customFormat="1" ht="16.5" customHeight="1" x14ac:dyDescent="0.25">
      <c r="A44" s="119" t="s">
        <v>1186</v>
      </c>
      <c r="B44" s="417" t="s">
        <v>20</v>
      </c>
      <c r="C44" s="417"/>
      <c r="D44" s="417"/>
      <c r="E44" s="153"/>
      <c r="F44" s="153"/>
      <c r="G44" s="179" t="s">
        <v>21</v>
      </c>
      <c r="H44" s="77"/>
      <c r="I44" s="124"/>
      <c r="J44" s="199" t="s">
        <v>22</v>
      </c>
      <c r="K44" s="200">
        <f>I44*J44/100</f>
        <v>0</v>
      </c>
    </row>
    <row r="45" spans="1:11" s="118" customFormat="1" ht="12.95" customHeight="1" x14ac:dyDescent="0.25">
      <c r="A45" s="153" t="s">
        <v>23</v>
      </c>
      <c r="B45" s="417" t="s">
        <v>24</v>
      </c>
      <c r="C45" s="417"/>
      <c r="D45" s="417"/>
      <c r="E45" s="153"/>
      <c r="F45" s="153"/>
      <c r="G45" s="175"/>
      <c r="H45" s="119"/>
      <c r="I45" s="176"/>
      <c r="J45" s="177"/>
      <c r="K45" s="176"/>
    </row>
    <row r="46" spans="1:11" s="118" customFormat="1" ht="27" customHeight="1" x14ac:dyDescent="0.25">
      <c r="A46" s="189" t="s">
        <v>1186</v>
      </c>
      <c r="B46" s="417" t="s">
        <v>30</v>
      </c>
      <c r="C46" s="417"/>
      <c r="D46" s="417"/>
      <c r="E46" s="153"/>
      <c r="F46" s="153"/>
      <c r="G46" s="132" t="s">
        <v>31</v>
      </c>
      <c r="H46" s="133"/>
      <c r="I46" s="124"/>
      <c r="J46" s="201" t="s">
        <v>29</v>
      </c>
      <c r="K46" s="73">
        <f>I46*J46/100</f>
        <v>0</v>
      </c>
    </row>
    <row r="47" spans="1:11" s="118" customFormat="1" ht="12.95" customHeight="1" x14ac:dyDescent="0.25">
      <c r="A47" s="153" t="s">
        <v>32</v>
      </c>
      <c r="B47" s="417" t="s">
        <v>33</v>
      </c>
      <c r="C47" s="417"/>
      <c r="D47" s="417"/>
      <c r="E47" s="153"/>
      <c r="F47" s="153"/>
      <c r="G47" s="202"/>
      <c r="H47" s="51"/>
      <c r="I47" s="176"/>
      <c r="J47" s="177"/>
      <c r="K47" s="176"/>
    </row>
    <row r="48" spans="1:11" s="118" customFormat="1" ht="39" customHeight="1" x14ac:dyDescent="0.25">
      <c r="A48" s="119" t="s">
        <v>1186</v>
      </c>
      <c r="B48" s="426" t="s">
        <v>34</v>
      </c>
      <c r="C48" s="427"/>
      <c r="D48" s="428"/>
      <c r="E48" s="121"/>
      <c r="F48" s="121"/>
      <c r="G48" s="132" t="s">
        <v>35</v>
      </c>
      <c r="H48" s="133"/>
      <c r="I48" s="124"/>
      <c r="J48" s="201" t="s">
        <v>36</v>
      </c>
      <c r="K48" s="73">
        <f>I48*J48/100</f>
        <v>0</v>
      </c>
    </row>
    <row r="49" spans="1:11" s="118" customFormat="1" ht="24" customHeight="1" x14ac:dyDescent="0.25">
      <c r="A49" s="119" t="s">
        <v>1187</v>
      </c>
      <c r="B49" s="429" t="s">
        <v>37</v>
      </c>
      <c r="C49" s="429"/>
      <c r="D49" s="429"/>
      <c r="E49" s="121"/>
      <c r="F49" s="121"/>
      <c r="G49" s="203"/>
      <c r="H49" s="119"/>
      <c r="I49" s="117"/>
      <c r="J49" s="177"/>
      <c r="K49" s="176"/>
    </row>
    <row r="50" spans="1:11" s="118" customFormat="1" ht="12.95" customHeight="1" x14ac:dyDescent="0.25">
      <c r="A50" s="119"/>
      <c r="B50" s="417" t="s">
        <v>25</v>
      </c>
      <c r="C50" s="417"/>
      <c r="D50" s="417"/>
      <c r="E50" s="153"/>
      <c r="F50" s="153"/>
      <c r="G50" s="122" t="s">
        <v>38</v>
      </c>
      <c r="H50" s="178"/>
      <c r="I50" s="124"/>
      <c r="J50" s="201" t="s">
        <v>39</v>
      </c>
      <c r="K50" s="73">
        <f>I50*J50/100</f>
        <v>0</v>
      </c>
    </row>
    <row r="51" spans="1:11" s="118" customFormat="1" ht="12.95" customHeight="1" x14ac:dyDescent="0.25">
      <c r="A51" s="119"/>
      <c r="B51" s="417" t="s">
        <v>26</v>
      </c>
      <c r="C51" s="417"/>
      <c r="D51" s="417"/>
      <c r="E51" s="153"/>
      <c r="F51" s="153"/>
      <c r="G51" s="122" t="s">
        <v>40</v>
      </c>
      <c r="H51" s="178"/>
      <c r="I51" s="124"/>
      <c r="J51" s="201" t="s">
        <v>41</v>
      </c>
      <c r="K51" s="73">
        <f>I51*J51/100</f>
        <v>0</v>
      </c>
    </row>
    <row r="52" spans="1:11" s="118" customFormat="1" ht="12.95" customHeight="1" x14ac:dyDescent="0.25">
      <c r="A52" s="119"/>
      <c r="B52" s="417" t="s">
        <v>27</v>
      </c>
      <c r="C52" s="417"/>
      <c r="D52" s="417"/>
      <c r="E52" s="153"/>
      <c r="F52" s="153"/>
      <c r="G52" s="122" t="s">
        <v>42</v>
      </c>
      <c r="H52" s="178"/>
      <c r="I52" s="124"/>
      <c r="J52" s="201" t="s">
        <v>36</v>
      </c>
      <c r="K52" s="73">
        <f>I52*J52/100</f>
        <v>0</v>
      </c>
    </row>
    <row r="53" spans="1:11" s="118" customFormat="1" ht="12.95" customHeight="1" x14ac:dyDescent="0.25">
      <c r="A53" s="153" t="s">
        <v>43</v>
      </c>
      <c r="B53" s="417" t="s">
        <v>44</v>
      </c>
      <c r="C53" s="417"/>
      <c r="D53" s="417"/>
      <c r="E53" s="153"/>
      <c r="F53" s="153"/>
      <c r="G53" s="175"/>
      <c r="H53" s="119"/>
      <c r="I53" s="176"/>
      <c r="J53" s="177"/>
      <c r="K53" s="176"/>
    </row>
    <row r="54" spans="1:11" s="118" customFormat="1" ht="12.95" customHeight="1" x14ac:dyDescent="0.25">
      <c r="A54" s="119" t="s">
        <v>1186</v>
      </c>
      <c r="B54" s="417" t="s">
        <v>45</v>
      </c>
      <c r="C54" s="417"/>
      <c r="D54" s="417"/>
      <c r="E54" s="153"/>
      <c r="F54" s="153"/>
      <c r="G54" s="175"/>
      <c r="H54" s="119"/>
      <c r="I54" s="176"/>
      <c r="J54" s="177"/>
      <c r="K54" s="176"/>
    </row>
    <row r="55" spans="1:11" s="118" customFormat="1" ht="12.95" customHeight="1" x14ac:dyDescent="0.25">
      <c r="A55" s="119"/>
      <c r="B55" s="119" t="s">
        <v>984</v>
      </c>
      <c r="C55" s="430" t="s">
        <v>46</v>
      </c>
      <c r="D55" s="431"/>
      <c r="E55" s="204"/>
      <c r="F55" s="204"/>
      <c r="G55" s="122" t="s">
        <v>47</v>
      </c>
      <c r="H55" s="178"/>
      <c r="I55" s="124"/>
      <c r="J55" s="177"/>
      <c r="K55" s="176"/>
    </row>
    <row r="56" spans="1:11" s="118" customFormat="1" ht="12.95" customHeight="1" x14ac:dyDescent="0.25">
      <c r="A56" s="119"/>
      <c r="B56" s="119" t="s">
        <v>987</v>
      </c>
      <c r="C56" s="430" t="s">
        <v>48</v>
      </c>
      <c r="D56" s="431"/>
      <c r="E56" s="204"/>
      <c r="F56" s="204"/>
      <c r="G56" s="122" t="s">
        <v>49</v>
      </c>
      <c r="H56" s="178"/>
      <c r="I56" s="124"/>
      <c r="J56" s="177"/>
      <c r="K56" s="176"/>
    </row>
    <row r="57" spans="1:11" s="118" customFormat="1" ht="25.5" customHeight="1" x14ac:dyDescent="0.25">
      <c r="A57" s="119"/>
      <c r="B57" s="119" t="s">
        <v>990</v>
      </c>
      <c r="C57" s="432" t="s">
        <v>1257</v>
      </c>
      <c r="D57" s="433"/>
      <c r="E57" s="204"/>
      <c r="F57" s="204"/>
      <c r="G57" s="132" t="s">
        <v>50</v>
      </c>
      <c r="H57" s="187"/>
      <c r="I57" s="73">
        <f>I27+I38+I42+I44+I48++I50+I51+I52+I46</f>
        <v>0</v>
      </c>
      <c r="J57" s="177"/>
      <c r="K57" s="176"/>
    </row>
    <row r="58" spans="1:11" s="118" customFormat="1" ht="25.5" customHeight="1" x14ac:dyDescent="0.25">
      <c r="A58" s="119"/>
      <c r="B58" s="119" t="s">
        <v>993</v>
      </c>
      <c r="C58" s="430" t="s">
        <v>51</v>
      </c>
      <c r="D58" s="431"/>
      <c r="E58" s="204"/>
      <c r="F58" s="204"/>
      <c r="G58" s="132" t="s">
        <v>52</v>
      </c>
      <c r="H58" s="133"/>
      <c r="I58" s="62">
        <f>I55+I56-I57</f>
        <v>0</v>
      </c>
      <c r="J58" s="177"/>
      <c r="K58" s="176"/>
    </row>
    <row r="59" spans="1:11" s="118" customFormat="1" ht="12.95" customHeight="1" x14ac:dyDescent="0.25">
      <c r="A59" s="205" t="s">
        <v>1187</v>
      </c>
      <c r="B59" s="417" t="s">
        <v>53</v>
      </c>
      <c r="C59" s="417"/>
      <c r="D59" s="417"/>
      <c r="E59" s="153"/>
      <c r="F59" s="153"/>
      <c r="G59" s="175"/>
      <c r="H59" s="119"/>
      <c r="I59" s="176"/>
      <c r="J59" s="177"/>
      <c r="K59" s="176"/>
    </row>
    <row r="60" spans="1:11" s="118" customFormat="1" ht="38.25" customHeight="1" x14ac:dyDescent="0.25">
      <c r="A60" s="119"/>
      <c r="B60" s="119" t="s">
        <v>984</v>
      </c>
      <c r="C60" s="417" t="s">
        <v>54</v>
      </c>
      <c r="D60" s="417"/>
      <c r="E60" s="153"/>
      <c r="F60" s="153"/>
      <c r="G60" s="184" t="s">
        <v>55</v>
      </c>
      <c r="H60" s="206"/>
      <c r="I60" s="73">
        <f>TQC!I27</f>
        <v>0</v>
      </c>
      <c r="J60" s="177"/>
      <c r="K60" s="176"/>
    </row>
    <row r="61" spans="1:11" s="118" customFormat="1" ht="38.25" customHeight="1" x14ac:dyDescent="0.25">
      <c r="A61" s="119"/>
      <c r="B61" s="119" t="s">
        <v>987</v>
      </c>
      <c r="C61" s="417" t="s">
        <v>56</v>
      </c>
      <c r="D61" s="417"/>
      <c r="E61" s="153"/>
      <c r="F61" s="153"/>
      <c r="G61" s="184" t="s">
        <v>57</v>
      </c>
      <c r="H61" s="206"/>
      <c r="I61" s="73">
        <f>TQC!I28</f>
        <v>0</v>
      </c>
      <c r="J61" s="177"/>
      <c r="K61" s="176"/>
    </row>
    <row r="62" spans="1:11" s="118" customFormat="1" ht="24.95" customHeight="1" x14ac:dyDescent="0.25">
      <c r="A62" s="119"/>
      <c r="B62" s="119" t="s">
        <v>990</v>
      </c>
      <c r="C62" s="417" t="s">
        <v>58</v>
      </c>
      <c r="D62" s="417"/>
      <c r="E62" s="153"/>
      <c r="F62" s="153"/>
      <c r="G62" s="184" t="s">
        <v>59</v>
      </c>
      <c r="H62" s="206"/>
      <c r="I62" s="73">
        <f>TQC!I29</f>
        <v>0</v>
      </c>
      <c r="J62" s="177"/>
      <c r="K62" s="176"/>
    </row>
    <row r="63" spans="1:11" s="118" customFormat="1" ht="24.95" customHeight="1" x14ac:dyDescent="0.25">
      <c r="A63" s="119"/>
      <c r="B63" s="119" t="s">
        <v>993</v>
      </c>
      <c r="C63" s="417" t="s">
        <v>60</v>
      </c>
      <c r="D63" s="417"/>
      <c r="E63" s="153"/>
      <c r="F63" s="153"/>
      <c r="G63" s="184" t="s">
        <v>61</v>
      </c>
      <c r="H63" s="206"/>
      <c r="I63" s="73">
        <f>TQC!I30</f>
        <v>0</v>
      </c>
      <c r="J63" s="177"/>
      <c r="K63" s="176"/>
    </row>
    <row r="64" spans="1:11" s="118" customFormat="1" ht="37.5" customHeight="1" x14ac:dyDescent="0.25">
      <c r="A64" s="189"/>
      <c r="B64" s="119" t="s">
        <v>996</v>
      </c>
      <c r="C64" s="417" t="s">
        <v>62</v>
      </c>
      <c r="D64" s="417"/>
      <c r="E64" s="153"/>
      <c r="F64" s="153"/>
      <c r="G64" s="184" t="s">
        <v>63</v>
      </c>
      <c r="H64" s="206"/>
      <c r="I64" s="73">
        <f>TQC!I54</f>
        <v>0</v>
      </c>
      <c r="J64" s="177"/>
      <c r="K64" s="176"/>
    </row>
    <row r="65" spans="1:15" s="118" customFormat="1" ht="50.25" customHeight="1" x14ac:dyDescent="0.25">
      <c r="A65" s="189"/>
      <c r="B65" s="119" t="s">
        <v>998</v>
      </c>
      <c r="C65" s="417" t="s">
        <v>64</v>
      </c>
      <c r="D65" s="417"/>
      <c r="E65" s="153"/>
      <c r="F65" s="153"/>
      <c r="G65" s="184" t="s">
        <v>65</v>
      </c>
      <c r="H65" s="206"/>
      <c r="I65" s="73">
        <f>TQC!I65</f>
        <v>0</v>
      </c>
      <c r="J65" s="177"/>
      <c r="K65" s="176"/>
    </row>
    <row r="66" spans="1:15" s="118" customFormat="1" ht="39" customHeight="1" x14ac:dyDescent="0.25">
      <c r="A66" s="189"/>
      <c r="B66" s="119" t="s">
        <v>1000</v>
      </c>
      <c r="C66" s="417" t="s">
        <v>66</v>
      </c>
      <c r="D66" s="417"/>
      <c r="E66" s="153"/>
      <c r="F66" s="153"/>
      <c r="G66" s="184" t="s">
        <v>67</v>
      </c>
      <c r="H66" s="206"/>
      <c r="I66" s="73">
        <f>TQC!I75</f>
        <v>0</v>
      </c>
      <c r="J66" s="177"/>
      <c r="K66" s="176"/>
    </row>
    <row r="67" spans="1:15" s="118" customFormat="1" ht="36.950000000000003" customHeight="1" x14ac:dyDescent="0.25">
      <c r="A67" s="189"/>
      <c r="B67" s="119" t="s">
        <v>1003</v>
      </c>
      <c r="C67" s="417" t="s">
        <v>68</v>
      </c>
      <c r="D67" s="417"/>
      <c r="E67" s="153"/>
      <c r="F67" s="153"/>
      <c r="G67" s="184" t="s">
        <v>69</v>
      </c>
      <c r="H67" s="206"/>
      <c r="I67" s="73">
        <f>TQC!I76</f>
        <v>0</v>
      </c>
      <c r="J67" s="177"/>
      <c r="K67" s="176"/>
    </row>
    <row r="68" spans="1:15" s="118" customFormat="1" ht="37.5" customHeight="1" x14ac:dyDescent="0.25">
      <c r="A68" s="189"/>
      <c r="B68" s="119" t="s">
        <v>70</v>
      </c>
      <c r="C68" s="417" t="s">
        <v>71</v>
      </c>
      <c r="D68" s="417"/>
      <c r="E68" s="153"/>
      <c r="F68" s="153"/>
      <c r="G68" s="184" t="s">
        <v>72</v>
      </c>
      <c r="H68" s="206"/>
      <c r="I68" s="73">
        <f>TQC!I77</f>
        <v>0</v>
      </c>
      <c r="J68" s="177"/>
      <c r="K68" s="176"/>
    </row>
    <row r="69" spans="1:15" s="118" customFormat="1" ht="39" customHeight="1" x14ac:dyDescent="0.25">
      <c r="A69" s="189"/>
      <c r="B69" s="119" t="s">
        <v>73</v>
      </c>
      <c r="C69" s="417" t="s">
        <v>74</v>
      </c>
      <c r="D69" s="417"/>
      <c r="E69" s="153"/>
      <c r="F69" s="153"/>
      <c r="G69" s="184" t="s">
        <v>75</v>
      </c>
      <c r="H69" s="206"/>
      <c r="I69" s="73">
        <f>TQC!I78</f>
        <v>0</v>
      </c>
      <c r="J69" s="177"/>
      <c r="K69" s="176"/>
    </row>
    <row r="70" spans="1:15" s="118" customFormat="1" ht="36.950000000000003" customHeight="1" x14ac:dyDescent="0.25">
      <c r="A70" s="189"/>
      <c r="B70" s="119" t="s">
        <v>76</v>
      </c>
      <c r="C70" s="417" t="s">
        <v>77</v>
      </c>
      <c r="D70" s="417"/>
      <c r="E70" s="153"/>
      <c r="F70" s="153"/>
      <c r="G70" s="184" t="s">
        <v>78</v>
      </c>
      <c r="H70" s="206"/>
      <c r="I70" s="73">
        <f>TQC!I79</f>
        <v>0</v>
      </c>
      <c r="J70" s="177"/>
      <c r="K70" s="176"/>
    </row>
    <row r="71" spans="1:15" s="118" customFormat="1" ht="17.25" customHeight="1" x14ac:dyDescent="0.25">
      <c r="A71" s="189"/>
      <c r="B71" s="119" t="s">
        <v>79</v>
      </c>
      <c r="C71" s="417" t="s">
        <v>80</v>
      </c>
      <c r="D71" s="417"/>
      <c r="E71" s="153"/>
      <c r="F71" s="153"/>
      <c r="G71" s="184" t="s">
        <v>81</v>
      </c>
      <c r="H71" s="185"/>
      <c r="I71" s="124"/>
      <c r="J71" s="177"/>
      <c r="K71" s="176"/>
    </row>
    <row r="72" spans="1:15" s="118" customFormat="1" ht="12.95" customHeight="1" x14ac:dyDescent="0.25">
      <c r="A72" s="189"/>
      <c r="B72" s="119" t="s">
        <v>82</v>
      </c>
      <c r="C72" s="417" t="s">
        <v>83</v>
      </c>
      <c r="D72" s="417"/>
      <c r="E72" s="153"/>
      <c r="F72" s="153"/>
      <c r="G72" s="184" t="s">
        <v>84</v>
      </c>
      <c r="H72" s="185"/>
      <c r="I72" s="180"/>
      <c r="J72" s="177"/>
      <c r="K72" s="176"/>
    </row>
    <row r="73" spans="1:15" s="118" customFormat="1" ht="12.95" customHeight="1" x14ac:dyDescent="0.2">
      <c r="A73" s="207"/>
      <c r="B73" s="119" t="s">
        <v>85</v>
      </c>
      <c r="C73" s="417" t="s">
        <v>86</v>
      </c>
      <c r="D73" s="417"/>
      <c r="E73" s="153"/>
      <c r="F73" s="153"/>
      <c r="G73" s="184" t="s">
        <v>87</v>
      </c>
      <c r="H73" s="185"/>
      <c r="I73" s="180"/>
      <c r="J73" s="177"/>
      <c r="K73" s="176"/>
      <c r="O73" s="103"/>
    </row>
    <row r="74" spans="1:15" s="118" customFormat="1" ht="26.25" customHeight="1" x14ac:dyDescent="0.2">
      <c r="A74" s="207"/>
      <c r="B74" s="119" t="s">
        <v>88</v>
      </c>
      <c r="C74" s="417" t="s">
        <v>89</v>
      </c>
      <c r="D74" s="417"/>
      <c r="E74" s="153"/>
      <c r="F74" s="153"/>
      <c r="G74" s="184" t="s">
        <v>90</v>
      </c>
      <c r="H74" s="206"/>
      <c r="I74" s="73">
        <f>SUM(I60:I73)</f>
        <v>0</v>
      </c>
      <c r="J74" s="177"/>
      <c r="K74" s="176"/>
      <c r="O74" s="103"/>
    </row>
    <row r="75" spans="1:15" s="118" customFormat="1" ht="25.5" customHeight="1" x14ac:dyDescent="0.2">
      <c r="A75" s="205" t="s">
        <v>1210</v>
      </c>
      <c r="B75" s="417" t="s">
        <v>91</v>
      </c>
      <c r="C75" s="417"/>
      <c r="D75" s="417"/>
      <c r="E75" s="153"/>
      <c r="F75" s="153"/>
      <c r="G75" s="132" t="s">
        <v>92</v>
      </c>
      <c r="H75" s="187"/>
      <c r="I75" s="73">
        <f>I58-I74</f>
        <v>0</v>
      </c>
      <c r="J75" s="208" t="s">
        <v>29</v>
      </c>
      <c r="K75" s="73">
        <f>I75*J75/100</f>
        <v>0</v>
      </c>
      <c r="O75" s="103"/>
    </row>
    <row r="76" spans="1:15" s="118" customFormat="1" ht="24.95" customHeight="1" x14ac:dyDescent="0.2">
      <c r="A76" s="153" t="s">
        <v>93</v>
      </c>
      <c r="B76" s="421" t="s">
        <v>1256</v>
      </c>
      <c r="C76" s="422"/>
      <c r="D76" s="423"/>
      <c r="E76" s="153"/>
      <c r="F76" s="153"/>
      <c r="G76" s="132" t="s">
        <v>986</v>
      </c>
      <c r="H76" s="133"/>
      <c r="I76" s="176"/>
      <c r="J76" s="177"/>
      <c r="K76" s="73">
        <f>K75+K44+K42+K38+K27+K50+K51+K52+K48+K46</f>
        <v>0</v>
      </c>
      <c r="O76" s="103"/>
    </row>
    <row r="77" spans="1:15" s="118" customFormat="1" x14ac:dyDescent="0.2">
      <c r="A77" s="209"/>
      <c r="B77" s="210"/>
      <c r="C77" s="210"/>
      <c r="D77" s="210"/>
      <c r="E77" s="210"/>
      <c r="F77" s="210"/>
      <c r="G77" s="211" t="s">
        <v>1018</v>
      </c>
      <c r="H77" s="212"/>
      <c r="I77" s="213"/>
      <c r="J77" s="214"/>
      <c r="K77" s="213"/>
      <c r="O77" s="103"/>
    </row>
    <row r="78" spans="1:15" s="118" customFormat="1" ht="27.75" customHeight="1" x14ac:dyDescent="0.2">
      <c r="A78" s="154" t="s">
        <v>1173</v>
      </c>
      <c r="B78" s="403" t="s">
        <v>94</v>
      </c>
      <c r="C78" s="403"/>
      <c r="D78" s="403"/>
      <c r="E78" s="403"/>
      <c r="F78" s="403"/>
      <c r="G78" s="403"/>
      <c r="H78" s="403"/>
      <c r="I78" s="403"/>
      <c r="J78" s="403"/>
      <c r="K78" s="213"/>
      <c r="O78" s="103"/>
    </row>
  </sheetData>
  <sheetProtection password="D793" sheet="1" objects="1" scenarios="1"/>
  <mergeCells count="72">
    <mergeCell ref="B41:D41"/>
    <mergeCell ref="B42:D42"/>
    <mergeCell ref="B76:D76"/>
    <mergeCell ref="B78:J78"/>
    <mergeCell ref="C70:D70"/>
    <mergeCell ref="C71:D71"/>
    <mergeCell ref="C72:D72"/>
    <mergeCell ref="C73:D73"/>
    <mergeCell ref="C74:D74"/>
    <mergeCell ref="B75:D75"/>
    <mergeCell ref="C69:D69"/>
    <mergeCell ref="C58:D58"/>
    <mergeCell ref="B59:D59"/>
    <mergeCell ref="C60:D60"/>
    <mergeCell ref="C61:D61"/>
    <mergeCell ref="C62:D62"/>
    <mergeCell ref="C63:D63"/>
    <mergeCell ref="C64:D64"/>
    <mergeCell ref="C65:D65"/>
    <mergeCell ref="C66:D66"/>
    <mergeCell ref="B53:D53"/>
    <mergeCell ref="B54:D54"/>
    <mergeCell ref="C55:D55"/>
    <mergeCell ref="C68:D68"/>
    <mergeCell ref="C67:D67"/>
    <mergeCell ref="C56:D56"/>
    <mergeCell ref="C57:D57"/>
    <mergeCell ref="B46:D46"/>
    <mergeCell ref="B47:D47"/>
    <mergeCell ref="B48:D48"/>
    <mergeCell ref="B49:D49"/>
    <mergeCell ref="B50:D50"/>
    <mergeCell ref="B51:D51"/>
    <mergeCell ref="B52:D52"/>
    <mergeCell ref="B43:D43"/>
    <mergeCell ref="B44:D44"/>
    <mergeCell ref="B45:D45"/>
    <mergeCell ref="B32:D32"/>
    <mergeCell ref="B33:D33"/>
    <mergeCell ref="B36:D36"/>
    <mergeCell ref="B37:D37"/>
    <mergeCell ref="B38:D38"/>
    <mergeCell ref="B39:D39"/>
    <mergeCell ref="B40:D40"/>
    <mergeCell ref="B34:D34"/>
    <mergeCell ref="B35:D35"/>
    <mergeCell ref="B24:D24"/>
    <mergeCell ref="B25:D25"/>
    <mergeCell ref="B26:D26"/>
    <mergeCell ref="B27:D27"/>
    <mergeCell ref="B28:D28"/>
    <mergeCell ref="B29:D29"/>
    <mergeCell ref="B30:D30"/>
    <mergeCell ref="B31:D31"/>
    <mergeCell ref="C18:D18"/>
    <mergeCell ref="C19:D19"/>
    <mergeCell ref="B20:D20"/>
    <mergeCell ref="B21:D21"/>
    <mergeCell ref="G7:G8"/>
    <mergeCell ref="B9:D9"/>
    <mergeCell ref="B10:D10"/>
    <mergeCell ref="B11:D11"/>
    <mergeCell ref="A7:A8"/>
    <mergeCell ref="B7:D8"/>
    <mergeCell ref="B22:D22"/>
    <mergeCell ref="B23:D23"/>
    <mergeCell ref="C12:D12"/>
    <mergeCell ref="C13:D13"/>
    <mergeCell ref="C14:D14"/>
    <mergeCell ref="C15:D15"/>
    <mergeCell ref="C16:D16"/>
    <mergeCell ref="C17:D17"/>
  </mergeCells>
  <phoneticPr fontId="24" type="noConversion"/>
  <dataValidations count="1">
    <dataValidation type="decimal" allowBlank="1" showInputMessage="1" showErrorMessage="1" sqref="I71 I10 I12 I14:I19 I21:I26 I29:I30 I32:I37 I44 I46 I40:I41 I55:I56 I50:I52 I48">
      <formula1>-999999999999.999</formula1>
      <formula2>999999999999.999</formula2>
    </dataValidation>
  </dataValidations>
  <printOptions horizontalCentered="1"/>
  <pageMargins left="0.2" right="0.19" top="0.96" bottom="0.53" header="0.3" footer="0.28999999999999998"/>
  <pageSetup paperSize="9" scale="70" orientation="landscape" r:id="rId1"/>
  <headerFooter>
    <oddHeader>&amp;C&amp;"Arial,Bold"&amp;8 NEW RURAL BANK OF SAN LEONARDO, INC  [ 04-040656 ]
 As of: September 30, 2017</oddHeader>
  </headerFooter>
  <rowBreaks count="1" manualBreakCount="1">
    <brk id="63" max="10" man="1"/>
  </rowBreaks>
  <colBreaks count="1" manualBreakCount="1">
    <brk id="11" min="5" max="80" man="1"/>
  </col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56"/>
  <sheetViews>
    <sheetView view="pageBreakPreview" topLeftCell="B20" zoomScaleNormal="100" zoomScaleSheetLayoutView="100" workbookViewId="0">
      <selection activeCell="I44" sqref="I44"/>
    </sheetView>
  </sheetViews>
  <sheetFormatPr defaultRowHeight="12" x14ac:dyDescent="0.2"/>
  <cols>
    <col min="1" max="1" width="4.42578125" style="226" customWidth="1"/>
    <col min="2" max="2" width="4.140625" style="226" customWidth="1"/>
    <col min="3" max="3" width="1.7109375" style="226" customWidth="1"/>
    <col min="4" max="4" width="52" style="294" customWidth="1"/>
    <col min="5" max="5" width="5" style="294" hidden="1" customWidth="1"/>
    <col min="6" max="6" width="0.140625" style="294" customWidth="1"/>
    <col min="7" max="7" width="17.5703125" style="295" customWidth="1"/>
    <col min="8" max="8" width="4.7109375" style="296" customWidth="1"/>
    <col min="9" max="9" width="14.42578125" style="297" customWidth="1"/>
    <col min="10" max="10" width="7.7109375" style="298" customWidth="1"/>
    <col min="11" max="11" width="14.140625" style="299" customWidth="1"/>
    <col min="12" max="16" width="17" style="299" customWidth="1"/>
    <col min="17" max="17" width="1.7109375" style="226" customWidth="1"/>
    <col min="18" max="16384" width="9.140625" style="226"/>
  </cols>
  <sheetData>
    <row r="1" spans="1:16" x14ac:dyDescent="0.2">
      <c r="A1" s="219"/>
      <c r="B1" s="219"/>
      <c r="C1" s="219"/>
      <c r="D1" s="220"/>
      <c r="E1" s="220"/>
      <c r="F1" s="220"/>
      <c r="G1" s="221"/>
      <c r="H1" s="222"/>
      <c r="I1" s="223"/>
      <c r="J1" s="224"/>
      <c r="K1" s="225"/>
      <c r="L1" s="225"/>
      <c r="M1" s="225"/>
      <c r="N1" s="225"/>
      <c r="O1" s="225"/>
      <c r="P1" s="225"/>
    </row>
    <row r="2" spans="1:16" ht="12" hidden="1" customHeight="1" x14ac:dyDescent="0.2">
      <c r="A2" s="219"/>
      <c r="B2" s="219"/>
      <c r="C2" s="219"/>
      <c r="D2" s="220"/>
      <c r="E2" s="220"/>
      <c r="F2" s="220"/>
      <c r="G2" s="221"/>
      <c r="H2" s="222"/>
      <c r="I2" s="223"/>
      <c r="J2" s="224"/>
      <c r="K2" s="225"/>
      <c r="L2" s="225"/>
      <c r="M2" s="225"/>
      <c r="N2" s="225"/>
      <c r="O2" s="225"/>
      <c r="P2" s="225"/>
    </row>
    <row r="3" spans="1:16" ht="12" hidden="1" customHeight="1" x14ac:dyDescent="0.2">
      <c r="A3" s="219"/>
      <c r="B3" s="219"/>
      <c r="C3" s="219"/>
      <c r="D3" s="220"/>
      <c r="E3" s="220"/>
      <c r="F3" s="220"/>
      <c r="G3" s="221"/>
      <c r="H3" s="222"/>
      <c r="I3" s="223"/>
      <c r="J3" s="224"/>
      <c r="K3" s="225"/>
      <c r="L3" s="225"/>
      <c r="M3" s="225"/>
      <c r="N3" s="225"/>
      <c r="O3" s="225"/>
      <c r="P3" s="225"/>
    </row>
    <row r="4" spans="1:16" ht="12" hidden="1" customHeight="1" x14ac:dyDescent="0.2">
      <c r="A4" s="227"/>
      <c r="B4" s="219"/>
      <c r="C4" s="219"/>
      <c r="D4" s="220"/>
      <c r="E4" s="220"/>
      <c r="F4" s="220"/>
      <c r="G4" s="221"/>
      <c r="H4" s="222"/>
      <c r="I4" s="223"/>
      <c r="J4" s="224"/>
      <c r="K4" s="225"/>
      <c r="L4" s="225"/>
      <c r="M4" s="225"/>
      <c r="N4" s="225"/>
      <c r="O4" s="225"/>
      <c r="P4" s="228"/>
    </row>
    <row r="5" spans="1:16" s="234" customFormat="1" x14ac:dyDescent="0.25">
      <c r="A5" s="229" t="s">
        <v>95</v>
      </c>
      <c r="B5" s="227"/>
      <c r="C5" s="227"/>
      <c r="D5" s="214"/>
      <c r="E5" s="214"/>
      <c r="F5" s="214"/>
      <c r="G5" s="230"/>
      <c r="H5" s="231"/>
      <c r="I5" s="213"/>
      <c r="J5" s="209"/>
      <c r="K5" s="232"/>
      <c r="L5" s="233"/>
      <c r="M5" s="233"/>
      <c r="N5" s="233"/>
      <c r="O5" s="233"/>
      <c r="P5" s="233"/>
    </row>
    <row r="6" spans="1:16" ht="11.25" customHeight="1" x14ac:dyDescent="0.2">
      <c r="A6" s="438" t="s">
        <v>964</v>
      </c>
      <c r="B6" s="438" t="s">
        <v>96</v>
      </c>
      <c r="C6" s="438"/>
      <c r="D6" s="438"/>
      <c r="E6" s="438"/>
      <c r="F6" s="235"/>
      <c r="G6" s="440" t="s">
        <v>966</v>
      </c>
      <c r="H6" s="440" t="s">
        <v>97</v>
      </c>
      <c r="I6" s="443" t="s">
        <v>98</v>
      </c>
      <c r="J6" s="444" t="s">
        <v>99</v>
      </c>
      <c r="K6" s="439" t="s">
        <v>100</v>
      </c>
      <c r="L6" s="439" t="s">
        <v>101</v>
      </c>
      <c r="M6" s="439"/>
      <c r="N6" s="439"/>
      <c r="O6" s="439"/>
      <c r="P6" s="439" t="s">
        <v>102</v>
      </c>
    </row>
    <row r="7" spans="1:16" x14ac:dyDescent="0.2">
      <c r="A7" s="438"/>
      <c r="B7" s="438"/>
      <c r="C7" s="438"/>
      <c r="D7" s="438"/>
      <c r="E7" s="438"/>
      <c r="F7" s="235"/>
      <c r="G7" s="441"/>
      <c r="H7" s="441"/>
      <c r="I7" s="443"/>
      <c r="J7" s="444"/>
      <c r="K7" s="439"/>
      <c r="L7" s="439"/>
      <c r="M7" s="439"/>
      <c r="N7" s="439"/>
      <c r="O7" s="439"/>
      <c r="P7" s="439"/>
    </row>
    <row r="8" spans="1:16" x14ac:dyDescent="0.2">
      <c r="A8" s="438"/>
      <c r="B8" s="438"/>
      <c r="C8" s="438"/>
      <c r="D8" s="438"/>
      <c r="E8" s="438"/>
      <c r="F8" s="235"/>
      <c r="G8" s="441"/>
      <c r="H8" s="441"/>
      <c r="I8" s="443"/>
      <c r="J8" s="444"/>
      <c r="K8" s="439"/>
      <c r="L8" s="237">
        <v>0</v>
      </c>
      <c r="M8" s="237">
        <v>0.2</v>
      </c>
      <c r="N8" s="237">
        <v>0.75</v>
      </c>
      <c r="O8" s="237">
        <v>1</v>
      </c>
      <c r="P8" s="439"/>
    </row>
    <row r="9" spans="1:16" x14ac:dyDescent="0.2">
      <c r="A9" s="438"/>
      <c r="B9" s="438"/>
      <c r="C9" s="438"/>
      <c r="D9" s="438"/>
      <c r="E9" s="438"/>
      <c r="F9" s="235"/>
      <c r="G9" s="442"/>
      <c r="H9" s="442"/>
      <c r="I9" s="238" t="s">
        <v>1186</v>
      </c>
      <c r="J9" s="239" t="s">
        <v>1187</v>
      </c>
      <c r="K9" s="238" t="s">
        <v>103</v>
      </c>
      <c r="L9" s="240" t="s">
        <v>1213</v>
      </c>
      <c r="M9" s="238" t="s">
        <v>1216</v>
      </c>
      <c r="N9" s="238" t="s">
        <v>1219</v>
      </c>
      <c r="O9" s="238" t="s">
        <v>1222</v>
      </c>
      <c r="P9" s="236" t="s">
        <v>104</v>
      </c>
    </row>
    <row r="10" spans="1:16" s="246" customFormat="1" ht="39" customHeight="1" x14ac:dyDescent="0.25">
      <c r="A10" s="182" t="s">
        <v>105</v>
      </c>
      <c r="B10" s="416" t="s">
        <v>106</v>
      </c>
      <c r="C10" s="416"/>
      <c r="D10" s="416"/>
      <c r="E10" s="416"/>
      <c r="F10" s="241"/>
      <c r="G10" s="203"/>
      <c r="H10" s="242"/>
      <c r="I10" s="243"/>
      <c r="J10" s="244"/>
      <c r="K10" s="245"/>
      <c r="L10" s="245"/>
      <c r="M10" s="245"/>
      <c r="N10" s="245"/>
      <c r="O10" s="245"/>
      <c r="P10" s="245"/>
    </row>
    <row r="11" spans="1:16" s="246" customFormat="1" ht="24" customHeight="1" x14ac:dyDescent="0.25">
      <c r="A11" s="182"/>
      <c r="B11" s="247">
        <f>ABS(-1)</f>
        <v>1</v>
      </c>
      <c r="C11" s="416" t="s">
        <v>107</v>
      </c>
      <c r="D11" s="416"/>
      <c r="E11" s="416"/>
      <c r="F11" s="241"/>
      <c r="G11" s="248" t="s">
        <v>108</v>
      </c>
      <c r="H11" s="249"/>
      <c r="I11" s="124"/>
      <c r="J11" s="250">
        <v>1</v>
      </c>
      <c r="K11" s="251">
        <f>I11*J11</f>
        <v>0</v>
      </c>
      <c r="L11" s="124"/>
      <c r="M11" s="124"/>
      <c r="N11" s="245"/>
      <c r="O11" s="124"/>
      <c r="P11" s="245"/>
    </row>
    <row r="12" spans="1:16" s="246" customFormat="1" ht="25.5" customHeight="1" x14ac:dyDescent="0.25">
      <c r="A12" s="182"/>
      <c r="B12" s="252" t="s">
        <v>1187</v>
      </c>
      <c r="C12" s="416" t="s">
        <v>109</v>
      </c>
      <c r="D12" s="416"/>
      <c r="E12" s="416"/>
      <c r="F12" s="241"/>
      <c r="G12" s="122" t="s">
        <v>110</v>
      </c>
      <c r="H12" s="253"/>
      <c r="I12" s="124"/>
      <c r="J12" s="250">
        <v>1</v>
      </c>
      <c r="K12" s="251">
        <f>I12*J12</f>
        <v>0</v>
      </c>
      <c r="L12" s="124"/>
      <c r="M12" s="124"/>
      <c r="N12" s="245"/>
      <c r="O12" s="124"/>
      <c r="P12" s="245"/>
    </row>
    <row r="13" spans="1:16" s="246" customFormat="1" ht="25.5" customHeight="1" x14ac:dyDescent="0.25">
      <c r="A13" s="182"/>
      <c r="B13" s="247">
        <f>ABS(B12)+1</f>
        <v>3</v>
      </c>
      <c r="C13" s="416" t="s">
        <v>111</v>
      </c>
      <c r="D13" s="416"/>
      <c r="E13" s="416"/>
      <c r="F13" s="241"/>
      <c r="G13" s="248" t="s">
        <v>112</v>
      </c>
      <c r="H13" s="249"/>
      <c r="I13" s="254"/>
      <c r="J13" s="198">
        <v>1</v>
      </c>
      <c r="K13" s="255">
        <f>I13*J13</f>
        <v>0</v>
      </c>
      <c r="L13" s="254"/>
      <c r="M13" s="254"/>
      <c r="N13" s="245"/>
      <c r="O13" s="254"/>
      <c r="P13" s="245"/>
    </row>
    <row r="14" spans="1:16" s="246" customFormat="1" ht="24" customHeight="1" x14ac:dyDescent="0.25">
      <c r="A14" s="182"/>
      <c r="B14" s="247">
        <f>ABS(B13)+1</f>
        <v>4</v>
      </c>
      <c r="C14" s="416" t="s">
        <v>113</v>
      </c>
      <c r="D14" s="416"/>
      <c r="E14" s="416"/>
      <c r="F14" s="241"/>
      <c r="G14" s="248" t="s">
        <v>114</v>
      </c>
      <c r="H14" s="249"/>
      <c r="I14" s="256">
        <f>SUM(I11:I13)</f>
        <v>0</v>
      </c>
      <c r="J14" s="257"/>
      <c r="K14" s="256">
        <f>SUM(K11:K13)</f>
        <v>0</v>
      </c>
      <c r="L14" s="256">
        <f>SUM(L11:L13)</f>
        <v>0</v>
      </c>
      <c r="M14" s="256">
        <f>SUM(M11:M13)</f>
        <v>0</v>
      </c>
      <c r="N14" s="245"/>
      <c r="O14" s="256">
        <f>SUM(O11:O13)</f>
        <v>0</v>
      </c>
      <c r="P14" s="245"/>
    </row>
    <row r="15" spans="1:16" s="258" customFormat="1" ht="26.25" customHeight="1" x14ac:dyDescent="0.25">
      <c r="A15" s="182"/>
      <c r="B15" s="247">
        <f>ABS(B14)+1</f>
        <v>5</v>
      </c>
      <c r="C15" s="416" t="s">
        <v>115</v>
      </c>
      <c r="D15" s="416"/>
      <c r="E15" s="416"/>
      <c r="F15" s="241"/>
      <c r="G15" s="248" t="s">
        <v>116</v>
      </c>
      <c r="H15" s="249"/>
      <c r="I15" s="243"/>
      <c r="J15" s="244"/>
      <c r="K15" s="243"/>
      <c r="L15" s="256">
        <f>L14*L8</f>
        <v>0</v>
      </c>
      <c r="M15" s="256">
        <f>M14*M8</f>
        <v>0</v>
      </c>
      <c r="N15" s="245"/>
      <c r="O15" s="256">
        <f>O14*O8</f>
        <v>0</v>
      </c>
      <c r="P15" s="256">
        <f>SUM(L15:O15)</f>
        <v>0</v>
      </c>
    </row>
    <row r="16" spans="1:16" s="246" customFormat="1" ht="51" customHeight="1" x14ac:dyDescent="0.25">
      <c r="A16" s="182" t="s">
        <v>117</v>
      </c>
      <c r="B16" s="416" t="s">
        <v>118</v>
      </c>
      <c r="C16" s="445"/>
      <c r="D16" s="445"/>
      <c r="E16" s="445"/>
      <c r="F16" s="259"/>
      <c r="G16" s="248"/>
      <c r="H16" s="260"/>
      <c r="I16" s="243"/>
      <c r="J16" s="177"/>
      <c r="K16" s="243"/>
      <c r="L16" s="243"/>
      <c r="M16" s="243"/>
      <c r="N16" s="243"/>
      <c r="O16" s="243"/>
      <c r="P16" s="243"/>
    </row>
    <row r="17" spans="1:16" s="246" customFormat="1" ht="49.5" customHeight="1" x14ac:dyDescent="0.25">
      <c r="A17" s="182"/>
      <c r="B17" s="247">
        <f>ABS(-1)</f>
        <v>1</v>
      </c>
      <c r="C17" s="416" t="s">
        <v>119</v>
      </c>
      <c r="D17" s="445"/>
      <c r="E17" s="445"/>
      <c r="F17" s="259"/>
      <c r="G17" s="248" t="s">
        <v>120</v>
      </c>
      <c r="H17" s="261"/>
      <c r="I17" s="124"/>
      <c r="J17" s="262">
        <v>0.5</v>
      </c>
      <c r="K17" s="251">
        <f>I17*J17</f>
        <v>0</v>
      </c>
      <c r="L17" s="124"/>
      <c r="M17" s="124"/>
      <c r="N17" s="243"/>
      <c r="O17" s="124"/>
      <c r="P17" s="243"/>
    </row>
    <row r="18" spans="1:16" s="246" customFormat="1" ht="63" customHeight="1" x14ac:dyDescent="0.25">
      <c r="A18" s="182"/>
      <c r="B18" s="247">
        <f>ABS(B17)+1</f>
        <v>2</v>
      </c>
      <c r="C18" s="416" t="s">
        <v>121</v>
      </c>
      <c r="D18" s="445"/>
      <c r="E18" s="445"/>
      <c r="F18" s="259"/>
      <c r="G18" s="144" t="s">
        <v>122</v>
      </c>
      <c r="H18" s="261"/>
      <c r="I18" s="263"/>
      <c r="J18" s="262">
        <v>0.5</v>
      </c>
      <c r="K18" s="255">
        <f>I18*J18</f>
        <v>0</v>
      </c>
      <c r="L18" s="263"/>
      <c r="M18" s="263"/>
      <c r="N18" s="263"/>
      <c r="O18" s="263"/>
      <c r="P18" s="243"/>
    </row>
    <row r="19" spans="1:16" s="246" customFormat="1" ht="50.25" customHeight="1" x14ac:dyDescent="0.25">
      <c r="A19" s="182"/>
      <c r="B19" s="247">
        <f>ABS(B18)+1</f>
        <v>3</v>
      </c>
      <c r="C19" s="416" t="s">
        <v>123</v>
      </c>
      <c r="D19" s="445"/>
      <c r="E19" s="445"/>
      <c r="F19" s="259"/>
      <c r="G19" s="248" t="s">
        <v>124</v>
      </c>
      <c r="H19" s="264"/>
      <c r="I19" s="124"/>
      <c r="J19" s="262">
        <v>0.5</v>
      </c>
      <c r="K19" s="251">
        <f>I19*J19</f>
        <v>0</v>
      </c>
      <c r="L19" s="124"/>
      <c r="M19" s="124"/>
      <c r="N19" s="243"/>
      <c r="O19" s="124"/>
      <c r="P19" s="243"/>
    </row>
    <row r="20" spans="1:16" s="246" customFormat="1" ht="25.5" customHeight="1" x14ac:dyDescent="0.25">
      <c r="A20" s="182"/>
      <c r="B20" s="247">
        <f>ABS(B19)+1</f>
        <v>4</v>
      </c>
      <c r="C20" s="416" t="s">
        <v>125</v>
      </c>
      <c r="D20" s="416"/>
      <c r="E20" s="416"/>
      <c r="F20" s="241"/>
      <c r="G20" s="248" t="s">
        <v>126</v>
      </c>
      <c r="H20" s="249"/>
      <c r="I20" s="251">
        <f>SUM(I17:I19)</f>
        <v>0</v>
      </c>
      <c r="J20" s="257"/>
      <c r="K20" s="251">
        <f>SUM(K17:K19)</f>
        <v>0</v>
      </c>
      <c r="L20" s="251">
        <f>SUM(L17:L19)</f>
        <v>0</v>
      </c>
      <c r="M20" s="251">
        <f>SUM(M17:M19)</f>
        <v>0</v>
      </c>
      <c r="N20" s="243"/>
      <c r="O20" s="251">
        <f>SUM(O17:O19)</f>
        <v>0</v>
      </c>
      <c r="P20" s="243"/>
    </row>
    <row r="21" spans="1:16" s="258" customFormat="1" ht="25.5" customHeight="1" x14ac:dyDescent="0.25">
      <c r="A21" s="182"/>
      <c r="B21" s="247">
        <f>ABS(B20)+1</f>
        <v>5</v>
      </c>
      <c r="C21" s="416" t="s">
        <v>127</v>
      </c>
      <c r="D21" s="416"/>
      <c r="E21" s="416"/>
      <c r="F21" s="241"/>
      <c r="G21" s="122" t="s">
        <v>128</v>
      </c>
      <c r="H21" s="249"/>
      <c r="I21" s="245"/>
      <c r="J21" s="177"/>
      <c r="K21" s="243"/>
      <c r="L21" s="256">
        <f>L20*L8</f>
        <v>0</v>
      </c>
      <c r="M21" s="256">
        <f>M20*M8</f>
        <v>0</v>
      </c>
      <c r="N21" s="243"/>
      <c r="O21" s="256">
        <f>O20*O8</f>
        <v>0</v>
      </c>
      <c r="P21" s="256">
        <f>SUM(L21:O21)</f>
        <v>0</v>
      </c>
    </row>
    <row r="22" spans="1:16" s="246" customFormat="1" ht="86.25" customHeight="1" x14ac:dyDescent="0.25">
      <c r="A22" s="182" t="s">
        <v>129</v>
      </c>
      <c r="B22" s="416" t="s">
        <v>130</v>
      </c>
      <c r="C22" s="445"/>
      <c r="D22" s="445"/>
      <c r="E22" s="445"/>
      <c r="F22" s="259"/>
      <c r="G22" s="265"/>
      <c r="H22" s="260"/>
      <c r="I22" s="243"/>
      <c r="J22" s="177"/>
      <c r="K22" s="243"/>
      <c r="L22" s="243"/>
      <c r="M22" s="243"/>
      <c r="N22" s="243"/>
      <c r="O22" s="243"/>
      <c r="P22" s="243"/>
    </row>
    <row r="23" spans="1:16" s="246" customFormat="1" ht="26.1" customHeight="1" x14ac:dyDescent="0.25">
      <c r="A23" s="182"/>
      <c r="B23" s="247">
        <f>ABS(-1)</f>
        <v>1</v>
      </c>
      <c r="C23" s="416" t="s">
        <v>131</v>
      </c>
      <c r="D23" s="445"/>
      <c r="E23" s="445"/>
      <c r="F23" s="259"/>
      <c r="G23" s="122" t="s">
        <v>132</v>
      </c>
      <c r="H23" s="253"/>
      <c r="I23" s="124"/>
      <c r="J23" s="262">
        <v>0.2</v>
      </c>
      <c r="K23" s="256">
        <f>I23*J23</f>
        <v>0</v>
      </c>
      <c r="L23" s="124"/>
      <c r="M23" s="124"/>
      <c r="N23" s="124"/>
      <c r="O23" s="124"/>
      <c r="P23" s="243"/>
    </row>
    <row r="24" spans="1:16" s="246" customFormat="1" ht="26.1" customHeight="1" x14ac:dyDescent="0.25">
      <c r="A24" s="182"/>
      <c r="B24" s="247">
        <f>ABS(-2)</f>
        <v>2</v>
      </c>
      <c r="C24" s="416" t="s">
        <v>133</v>
      </c>
      <c r="D24" s="445"/>
      <c r="E24" s="445"/>
      <c r="F24" s="259"/>
      <c r="G24" s="122" t="s">
        <v>134</v>
      </c>
      <c r="H24" s="253"/>
      <c r="I24" s="124"/>
      <c r="J24" s="262">
        <v>0.2</v>
      </c>
      <c r="K24" s="256">
        <f t="shared" ref="K24:K33" si="0">I24*J24</f>
        <v>0</v>
      </c>
      <c r="L24" s="124"/>
      <c r="M24" s="124"/>
      <c r="N24" s="245"/>
      <c r="O24" s="124"/>
      <c r="P24" s="243"/>
    </row>
    <row r="25" spans="1:16" s="246" customFormat="1" ht="26.1" customHeight="1" x14ac:dyDescent="0.25">
      <c r="A25" s="182"/>
      <c r="B25" s="252" t="s">
        <v>1210</v>
      </c>
      <c r="C25" s="416" t="s">
        <v>135</v>
      </c>
      <c r="D25" s="445"/>
      <c r="E25" s="445"/>
      <c r="F25" s="259"/>
      <c r="G25" s="122" t="s">
        <v>136</v>
      </c>
      <c r="H25" s="253"/>
      <c r="I25" s="124"/>
      <c r="J25" s="262">
        <v>0.2</v>
      </c>
      <c r="K25" s="256">
        <f t="shared" si="0"/>
        <v>0</v>
      </c>
      <c r="L25" s="124"/>
      <c r="M25" s="124"/>
      <c r="N25" s="124"/>
      <c r="O25" s="124"/>
      <c r="P25" s="243"/>
    </row>
    <row r="26" spans="1:16" s="246" customFormat="1" ht="26.1" customHeight="1" x14ac:dyDescent="0.25">
      <c r="A26" s="182"/>
      <c r="B26" s="252" t="s">
        <v>1213</v>
      </c>
      <c r="C26" s="416" t="s">
        <v>137</v>
      </c>
      <c r="D26" s="445"/>
      <c r="E26" s="445"/>
      <c r="F26" s="259"/>
      <c r="G26" s="122" t="s">
        <v>138</v>
      </c>
      <c r="H26" s="261"/>
      <c r="I26" s="263"/>
      <c r="J26" s="262">
        <v>0.2</v>
      </c>
      <c r="K26" s="255">
        <f t="shared" si="0"/>
        <v>0</v>
      </c>
      <c r="L26" s="263"/>
      <c r="M26" s="263"/>
      <c r="N26" s="263"/>
      <c r="O26" s="263"/>
      <c r="P26" s="243"/>
    </row>
    <row r="27" spans="1:16" s="246" customFormat="1" ht="26.1" customHeight="1" x14ac:dyDescent="0.25">
      <c r="A27" s="182"/>
      <c r="B27" s="252" t="s">
        <v>1216</v>
      </c>
      <c r="C27" s="416" t="s">
        <v>139</v>
      </c>
      <c r="D27" s="445"/>
      <c r="E27" s="445"/>
      <c r="F27" s="259"/>
      <c r="G27" s="122" t="s">
        <v>140</v>
      </c>
      <c r="H27" s="253"/>
      <c r="I27" s="124"/>
      <c r="J27" s="262">
        <v>0.2</v>
      </c>
      <c r="K27" s="256">
        <f t="shared" si="0"/>
        <v>0</v>
      </c>
      <c r="L27" s="124"/>
      <c r="M27" s="124"/>
      <c r="N27" s="124"/>
      <c r="O27" s="124"/>
      <c r="P27" s="243"/>
    </row>
    <row r="28" spans="1:16" s="246" customFormat="1" ht="26.1" customHeight="1" x14ac:dyDescent="0.25">
      <c r="A28" s="182"/>
      <c r="B28" s="252" t="s">
        <v>1219</v>
      </c>
      <c r="C28" s="416" t="s">
        <v>141</v>
      </c>
      <c r="D28" s="416"/>
      <c r="E28" s="416"/>
      <c r="F28" s="241"/>
      <c r="G28" s="144" t="s">
        <v>142</v>
      </c>
      <c r="H28" s="261"/>
      <c r="I28" s="263"/>
      <c r="J28" s="262">
        <v>0.2</v>
      </c>
      <c r="K28" s="255">
        <f t="shared" si="0"/>
        <v>0</v>
      </c>
      <c r="L28" s="263"/>
      <c r="M28" s="263"/>
      <c r="N28" s="263"/>
      <c r="O28" s="263"/>
      <c r="P28" s="243"/>
    </row>
    <row r="29" spans="1:16" s="246" customFormat="1" ht="26.1" customHeight="1" x14ac:dyDescent="0.25">
      <c r="A29" s="182"/>
      <c r="B29" s="252" t="s">
        <v>1222</v>
      </c>
      <c r="C29" s="416" t="s">
        <v>143</v>
      </c>
      <c r="D29" s="445"/>
      <c r="E29" s="445"/>
      <c r="F29" s="259"/>
      <c r="G29" s="122" t="s">
        <v>144</v>
      </c>
      <c r="H29" s="253"/>
      <c r="I29" s="124"/>
      <c r="J29" s="262">
        <v>0.2</v>
      </c>
      <c r="K29" s="256">
        <f t="shared" si="0"/>
        <v>0</v>
      </c>
      <c r="L29" s="124"/>
      <c r="M29" s="124"/>
      <c r="N29" s="124"/>
      <c r="O29" s="124"/>
      <c r="P29" s="243"/>
    </row>
    <row r="30" spans="1:16" s="246" customFormat="1" ht="26.1" customHeight="1" x14ac:dyDescent="0.25">
      <c r="A30" s="119"/>
      <c r="B30" s="266" t="s">
        <v>1225</v>
      </c>
      <c r="C30" s="417" t="s">
        <v>145</v>
      </c>
      <c r="D30" s="446"/>
      <c r="E30" s="446"/>
      <c r="F30" s="267"/>
      <c r="G30" s="144" t="s">
        <v>146</v>
      </c>
      <c r="H30" s="261"/>
      <c r="I30" s="263"/>
      <c r="J30" s="262">
        <v>0.2</v>
      </c>
      <c r="K30" s="255">
        <f t="shared" si="0"/>
        <v>0</v>
      </c>
      <c r="L30" s="263"/>
      <c r="M30" s="263"/>
      <c r="N30" s="263"/>
      <c r="O30" s="263"/>
      <c r="P30" s="243"/>
    </row>
    <row r="31" spans="1:16" s="246" customFormat="1" ht="26.1" customHeight="1" x14ac:dyDescent="0.25">
      <c r="A31" s="119"/>
      <c r="B31" s="266" t="s">
        <v>1228</v>
      </c>
      <c r="C31" s="417" t="s">
        <v>147</v>
      </c>
      <c r="D31" s="446"/>
      <c r="E31" s="446"/>
      <c r="F31" s="267"/>
      <c r="G31" s="122" t="s">
        <v>148</v>
      </c>
      <c r="H31" s="253"/>
      <c r="I31" s="124"/>
      <c r="J31" s="262">
        <v>0.2</v>
      </c>
      <c r="K31" s="256">
        <f t="shared" si="0"/>
        <v>0</v>
      </c>
      <c r="L31" s="124"/>
      <c r="M31" s="124"/>
      <c r="N31" s="124"/>
      <c r="O31" s="124"/>
      <c r="P31" s="243"/>
    </row>
    <row r="32" spans="1:16" s="246" customFormat="1" ht="26.1" customHeight="1" x14ac:dyDescent="0.25">
      <c r="A32" s="119"/>
      <c r="B32" s="266" t="s">
        <v>1231</v>
      </c>
      <c r="C32" s="417" t="s">
        <v>149</v>
      </c>
      <c r="D32" s="446"/>
      <c r="E32" s="446"/>
      <c r="F32" s="267"/>
      <c r="G32" s="122" t="s">
        <v>150</v>
      </c>
      <c r="H32" s="261"/>
      <c r="I32" s="263"/>
      <c r="J32" s="262">
        <v>0.2</v>
      </c>
      <c r="K32" s="255">
        <f t="shared" si="0"/>
        <v>0</v>
      </c>
      <c r="L32" s="263"/>
      <c r="M32" s="263"/>
      <c r="N32" s="263"/>
      <c r="O32" s="263"/>
      <c r="P32" s="243"/>
    </row>
    <row r="33" spans="1:16" s="246" customFormat="1" ht="26.1" customHeight="1" x14ac:dyDescent="0.25">
      <c r="A33" s="119"/>
      <c r="B33" s="266" t="s">
        <v>151</v>
      </c>
      <c r="C33" s="417" t="s">
        <v>152</v>
      </c>
      <c r="D33" s="417"/>
      <c r="E33" s="417"/>
      <c r="F33" s="268"/>
      <c r="G33" s="122" t="s">
        <v>153</v>
      </c>
      <c r="H33" s="264"/>
      <c r="I33" s="124"/>
      <c r="J33" s="262">
        <v>0.2</v>
      </c>
      <c r="K33" s="256">
        <f t="shared" si="0"/>
        <v>0</v>
      </c>
      <c r="L33" s="124"/>
      <c r="M33" s="124"/>
      <c r="N33" s="245"/>
      <c r="O33" s="124"/>
      <c r="P33" s="243"/>
    </row>
    <row r="34" spans="1:16" s="246" customFormat="1" ht="26.1" customHeight="1" x14ac:dyDescent="0.25">
      <c r="A34" s="119"/>
      <c r="B34" s="266" t="s">
        <v>154</v>
      </c>
      <c r="C34" s="417" t="s">
        <v>155</v>
      </c>
      <c r="D34" s="417"/>
      <c r="E34" s="417"/>
      <c r="F34" s="268"/>
      <c r="G34" s="122" t="s">
        <v>156</v>
      </c>
      <c r="H34" s="249"/>
      <c r="I34" s="251">
        <f>SUM(I23:I33)</f>
        <v>0</v>
      </c>
      <c r="J34" s="257"/>
      <c r="K34" s="251">
        <f>SUM(K23:K33)</f>
        <v>0</v>
      </c>
      <c r="L34" s="251">
        <f>SUM(L23:L33)</f>
        <v>0</v>
      </c>
      <c r="M34" s="251">
        <f>SUM(M23:M33)</f>
        <v>0</v>
      </c>
      <c r="N34" s="251">
        <f>SUM(N23:N33)</f>
        <v>0</v>
      </c>
      <c r="O34" s="251">
        <f>SUM(O23:O33)</f>
        <v>0</v>
      </c>
      <c r="P34" s="243"/>
    </row>
    <row r="35" spans="1:16" s="258" customFormat="1" ht="27.75" customHeight="1" x14ac:dyDescent="0.25">
      <c r="A35" s="119"/>
      <c r="B35" s="269">
        <f>ABS(B34)+1</f>
        <v>13</v>
      </c>
      <c r="C35" s="417" t="s">
        <v>157</v>
      </c>
      <c r="D35" s="417"/>
      <c r="E35" s="417"/>
      <c r="F35" s="268"/>
      <c r="G35" s="122" t="s">
        <v>158</v>
      </c>
      <c r="H35" s="249"/>
      <c r="I35" s="243"/>
      <c r="J35" s="177"/>
      <c r="K35" s="243"/>
      <c r="L35" s="256">
        <f>L34*L8</f>
        <v>0</v>
      </c>
      <c r="M35" s="256">
        <f>M34*M8</f>
        <v>0</v>
      </c>
      <c r="N35" s="256">
        <f>N34*N8</f>
        <v>0</v>
      </c>
      <c r="O35" s="256">
        <f>O34*O8</f>
        <v>0</v>
      </c>
      <c r="P35" s="256">
        <f>SUM(L35:O35)</f>
        <v>0</v>
      </c>
    </row>
    <row r="36" spans="1:16" s="246" customFormat="1" ht="48" customHeight="1" x14ac:dyDescent="0.25">
      <c r="A36" s="119" t="s">
        <v>159</v>
      </c>
      <c r="B36" s="417" t="s">
        <v>160</v>
      </c>
      <c r="C36" s="417"/>
      <c r="D36" s="417"/>
      <c r="E36" s="417"/>
      <c r="F36" s="268"/>
      <c r="G36" s="175"/>
      <c r="H36" s="242"/>
      <c r="I36" s="243"/>
      <c r="J36" s="177"/>
      <c r="K36" s="243"/>
      <c r="L36" s="243"/>
      <c r="M36" s="243"/>
      <c r="N36" s="243"/>
      <c r="O36" s="243"/>
      <c r="P36" s="243"/>
    </row>
    <row r="37" spans="1:16" s="246" customFormat="1" ht="14.25" customHeight="1" x14ac:dyDescent="0.25">
      <c r="A37" s="119"/>
      <c r="B37" s="269">
        <f>ABS(-1)</f>
        <v>1</v>
      </c>
      <c r="C37" s="417" t="s">
        <v>161</v>
      </c>
      <c r="D37" s="446"/>
      <c r="E37" s="446"/>
      <c r="F37" s="267"/>
      <c r="G37" s="122" t="s">
        <v>162</v>
      </c>
      <c r="H37" s="253"/>
      <c r="I37" s="124"/>
      <c r="J37" s="270">
        <v>0</v>
      </c>
      <c r="K37" s="243"/>
      <c r="L37" s="243"/>
      <c r="M37" s="243"/>
      <c r="N37" s="243"/>
      <c r="O37" s="243"/>
      <c r="P37" s="243"/>
    </row>
    <row r="38" spans="1:16" s="246" customFormat="1" ht="12" customHeight="1" x14ac:dyDescent="0.25">
      <c r="A38" s="119" t="s">
        <v>1165</v>
      </c>
      <c r="B38" s="417" t="s">
        <v>163</v>
      </c>
      <c r="C38" s="417"/>
      <c r="D38" s="417"/>
      <c r="E38" s="417"/>
      <c r="F38" s="268"/>
      <c r="G38" s="175"/>
      <c r="H38" s="242"/>
      <c r="I38" s="243"/>
      <c r="J38" s="271"/>
      <c r="K38" s="243"/>
      <c r="L38" s="243"/>
      <c r="M38" s="243"/>
      <c r="N38" s="243"/>
      <c r="O38" s="243"/>
      <c r="P38" s="243"/>
    </row>
    <row r="39" spans="1:16" s="246" customFormat="1" ht="12" customHeight="1" x14ac:dyDescent="0.25">
      <c r="A39" s="119"/>
      <c r="B39" s="247">
        <f>ABS(-1)</f>
        <v>1</v>
      </c>
      <c r="C39" s="417" t="s">
        <v>164</v>
      </c>
      <c r="D39" s="417"/>
      <c r="E39" s="417"/>
      <c r="F39" s="268"/>
      <c r="G39" s="122" t="s">
        <v>165</v>
      </c>
      <c r="H39" s="253"/>
      <c r="I39" s="124"/>
      <c r="J39" s="270">
        <v>0</v>
      </c>
      <c r="K39" s="243"/>
      <c r="L39" s="243"/>
      <c r="M39" s="243"/>
      <c r="N39" s="243"/>
      <c r="O39" s="243"/>
      <c r="P39" s="243"/>
    </row>
    <row r="40" spans="1:16" s="246" customFormat="1" ht="12" customHeight="1" x14ac:dyDescent="0.25">
      <c r="A40" s="119"/>
      <c r="B40" s="247">
        <f t="shared" ref="B40:B47" si="1">ABS(B39)+1</f>
        <v>2</v>
      </c>
      <c r="C40" s="417" t="s">
        <v>166</v>
      </c>
      <c r="D40" s="417"/>
      <c r="E40" s="417"/>
      <c r="F40" s="268"/>
      <c r="G40" s="122" t="s">
        <v>167</v>
      </c>
      <c r="H40" s="253"/>
      <c r="I40" s="124"/>
      <c r="J40" s="270">
        <v>0</v>
      </c>
      <c r="K40" s="243"/>
      <c r="L40" s="243"/>
      <c r="M40" s="243"/>
      <c r="N40" s="243"/>
      <c r="O40" s="243"/>
      <c r="P40" s="243"/>
    </row>
    <row r="41" spans="1:16" s="246" customFormat="1" ht="12" customHeight="1" x14ac:dyDescent="0.25">
      <c r="A41" s="119"/>
      <c r="B41" s="247">
        <f t="shared" si="1"/>
        <v>3</v>
      </c>
      <c r="C41" s="417" t="s">
        <v>168</v>
      </c>
      <c r="D41" s="417"/>
      <c r="E41" s="417"/>
      <c r="F41" s="268"/>
      <c r="G41" s="122" t="s">
        <v>169</v>
      </c>
      <c r="H41" s="253"/>
      <c r="I41" s="124"/>
      <c r="J41" s="270">
        <v>0</v>
      </c>
      <c r="K41" s="243"/>
      <c r="L41" s="243"/>
      <c r="M41" s="243"/>
      <c r="N41" s="243"/>
      <c r="O41" s="243"/>
      <c r="P41" s="243"/>
    </row>
    <row r="42" spans="1:16" s="246" customFormat="1" ht="12" customHeight="1" x14ac:dyDescent="0.25">
      <c r="A42" s="119"/>
      <c r="B42" s="247">
        <f t="shared" si="1"/>
        <v>4</v>
      </c>
      <c r="C42" s="417" t="s">
        <v>170</v>
      </c>
      <c r="D42" s="417"/>
      <c r="E42" s="417"/>
      <c r="F42" s="268"/>
      <c r="G42" s="122" t="s">
        <v>171</v>
      </c>
      <c r="H42" s="253"/>
      <c r="I42" s="124"/>
      <c r="J42" s="270">
        <v>0</v>
      </c>
      <c r="K42" s="243"/>
      <c r="L42" s="243"/>
      <c r="M42" s="243"/>
      <c r="N42" s="243"/>
      <c r="O42" s="243"/>
      <c r="P42" s="243"/>
    </row>
    <row r="43" spans="1:16" s="246" customFormat="1" ht="12" customHeight="1" x14ac:dyDescent="0.25">
      <c r="A43" s="119"/>
      <c r="B43" s="247">
        <f t="shared" si="1"/>
        <v>5</v>
      </c>
      <c r="C43" s="417" t="s">
        <v>172</v>
      </c>
      <c r="D43" s="417"/>
      <c r="E43" s="417"/>
      <c r="F43" s="268"/>
      <c r="G43" s="122" t="s">
        <v>173</v>
      </c>
      <c r="H43" s="253"/>
      <c r="I43" s="124"/>
      <c r="J43" s="270">
        <v>0</v>
      </c>
      <c r="K43" s="243"/>
      <c r="L43" s="243"/>
      <c r="M43" s="243"/>
      <c r="N43" s="243"/>
      <c r="O43" s="243"/>
      <c r="P43" s="243"/>
    </row>
    <row r="44" spans="1:16" s="246" customFormat="1" ht="24" customHeight="1" x14ac:dyDescent="0.25">
      <c r="A44" s="119"/>
      <c r="B44" s="247">
        <f t="shared" si="1"/>
        <v>6</v>
      </c>
      <c r="C44" s="417" t="s">
        <v>174</v>
      </c>
      <c r="D44" s="417"/>
      <c r="E44" s="417"/>
      <c r="F44" s="268"/>
      <c r="G44" s="122" t="s">
        <v>175</v>
      </c>
      <c r="H44" s="253"/>
      <c r="I44" s="124"/>
      <c r="J44" s="270">
        <v>0</v>
      </c>
      <c r="K44" s="243"/>
      <c r="L44" s="243"/>
      <c r="M44" s="243"/>
      <c r="N44" s="243"/>
      <c r="O44" s="243"/>
      <c r="P44" s="243"/>
    </row>
    <row r="45" spans="1:16" s="246" customFormat="1" ht="12" customHeight="1" x14ac:dyDescent="0.25">
      <c r="A45" s="119"/>
      <c r="B45" s="247">
        <f t="shared" si="1"/>
        <v>7</v>
      </c>
      <c r="C45" s="417" t="s">
        <v>176</v>
      </c>
      <c r="D45" s="417"/>
      <c r="E45" s="417"/>
      <c r="F45" s="268"/>
      <c r="G45" s="122" t="s">
        <v>177</v>
      </c>
      <c r="H45" s="253"/>
      <c r="I45" s="124"/>
      <c r="J45" s="270">
        <v>0</v>
      </c>
      <c r="K45" s="243"/>
      <c r="L45" s="243"/>
      <c r="M45" s="243"/>
      <c r="N45" s="243"/>
      <c r="O45" s="243"/>
      <c r="P45" s="243"/>
    </row>
    <row r="46" spans="1:16" s="246" customFormat="1" ht="12" customHeight="1" x14ac:dyDescent="0.25">
      <c r="A46" s="119"/>
      <c r="B46" s="247">
        <f t="shared" si="1"/>
        <v>8</v>
      </c>
      <c r="C46" s="417" t="s">
        <v>178</v>
      </c>
      <c r="D46" s="417"/>
      <c r="E46" s="417"/>
      <c r="F46" s="268"/>
      <c r="G46" s="122" t="s">
        <v>179</v>
      </c>
      <c r="H46" s="253"/>
      <c r="I46" s="124"/>
      <c r="J46" s="270">
        <v>0</v>
      </c>
      <c r="K46" s="243"/>
      <c r="L46" s="243"/>
      <c r="M46" s="243"/>
      <c r="N46" s="243"/>
      <c r="O46" s="243"/>
      <c r="P46" s="243"/>
    </row>
    <row r="47" spans="1:16" s="246" customFormat="1" ht="12.75" customHeight="1" x14ac:dyDescent="0.25">
      <c r="A47" s="119"/>
      <c r="B47" s="247">
        <f t="shared" si="1"/>
        <v>9</v>
      </c>
      <c r="C47" s="416" t="s">
        <v>180</v>
      </c>
      <c r="D47" s="445"/>
      <c r="E47" s="445"/>
      <c r="F47" s="272"/>
      <c r="G47" s="122" t="s">
        <v>181</v>
      </c>
      <c r="H47" s="273" t="s">
        <v>182</v>
      </c>
      <c r="I47" s="251">
        <f>SUM(I48:I50)</f>
        <v>0</v>
      </c>
      <c r="J47" s="198">
        <v>0</v>
      </c>
      <c r="K47" s="243"/>
      <c r="L47" s="243"/>
      <c r="M47" s="243"/>
      <c r="N47" s="243"/>
      <c r="O47" s="243"/>
      <c r="P47" s="243"/>
    </row>
    <row r="48" spans="1:16" s="246" customFormat="1" x14ac:dyDescent="0.25">
      <c r="A48" s="119"/>
      <c r="B48" s="274"/>
      <c r="C48" s="275" t="s">
        <v>183</v>
      </c>
      <c r="D48" s="276" t="s">
        <v>1248</v>
      </c>
      <c r="E48" s="277"/>
      <c r="F48" s="278"/>
      <c r="G48" s="279" t="s">
        <v>181</v>
      </c>
      <c r="H48" s="280" t="s">
        <v>185</v>
      </c>
      <c r="I48" s="124"/>
      <c r="J48" s="198">
        <v>0</v>
      </c>
      <c r="K48" s="243"/>
      <c r="L48" s="243"/>
      <c r="M48" s="243"/>
      <c r="N48" s="243"/>
      <c r="O48" s="243"/>
      <c r="P48" s="243"/>
    </row>
    <row r="49" spans="1:16" x14ac:dyDescent="0.2">
      <c r="A49" s="119"/>
      <c r="B49" s="274"/>
      <c r="C49" s="281" t="s">
        <v>183</v>
      </c>
      <c r="D49" s="259"/>
      <c r="E49" s="259"/>
      <c r="F49" s="278"/>
      <c r="G49" s="279"/>
      <c r="H49" s="282" t="s">
        <v>186</v>
      </c>
      <c r="I49" s="283"/>
      <c r="J49" s="270"/>
      <c r="K49" s="243"/>
      <c r="L49" s="243"/>
      <c r="M49" s="243"/>
      <c r="N49" s="243"/>
      <c r="O49" s="243"/>
      <c r="P49" s="243"/>
    </row>
    <row r="50" spans="1:16" x14ac:dyDescent="0.2">
      <c r="A50" s="119"/>
      <c r="B50" s="274"/>
      <c r="C50" s="241"/>
      <c r="D50" s="277"/>
      <c r="E50" s="277"/>
      <c r="F50" s="278"/>
      <c r="G50" s="282" t="s">
        <v>1018</v>
      </c>
      <c r="H50" s="280"/>
      <c r="I50" s="283"/>
      <c r="J50" s="270"/>
      <c r="K50" s="243"/>
      <c r="L50" s="243"/>
      <c r="M50" s="243"/>
      <c r="N50" s="243"/>
      <c r="O50" s="243"/>
      <c r="P50" s="243"/>
    </row>
    <row r="51" spans="1:16" ht="24" customHeight="1" x14ac:dyDescent="0.2">
      <c r="A51" s="119"/>
      <c r="B51" s="247">
        <f>ABS(B47)+1</f>
        <v>10</v>
      </c>
      <c r="C51" s="417" t="s">
        <v>187</v>
      </c>
      <c r="D51" s="417"/>
      <c r="E51" s="417"/>
      <c r="F51" s="268"/>
      <c r="G51" s="122" t="s">
        <v>188</v>
      </c>
      <c r="H51" s="249"/>
      <c r="I51" s="251">
        <f>SUM(I39:I47)</f>
        <v>0</v>
      </c>
      <c r="J51" s="177"/>
      <c r="K51" s="243"/>
      <c r="L51" s="243"/>
      <c r="M51" s="243"/>
      <c r="N51" s="243"/>
      <c r="O51" s="243"/>
      <c r="P51" s="243"/>
    </row>
    <row r="52" spans="1:16" ht="24" customHeight="1" x14ac:dyDescent="0.2">
      <c r="A52" s="119" t="s">
        <v>1171</v>
      </c>
      <c r="B52" s="449" t="s">
        <v>189</v>
      </c>
      <c r="C52" s="450"/>
      <c r="D52" s="450"/>
      <c r="E52" s="450"/>
      <c r="F52" s="284"/>
      <c r="G52" s="122" t="s">
        <v>190</v>
      </c>
      <c r="H52" s="249"/>
      <c r="I52" s="256">
        <f>I51+I34+I20+I14+I37</f>
        <v>0</v>
      </c>
      <c r="J52" s="177"/>
      <c r="K52" s="243"/>
      <c r="L52" s="243"/>
      <c r="M52" s="243"/>
      <c r="N52" s="243"/>
      <c r="O52" s="243"/>
      <c r="P52" s="243"/>
    </row>
    <row r="53" spans="1:16" ht="24" customHeight="1" x14ac:dyDescent="0.2">
      <c r="A53" s="119" t="s">
        <v>191</v>
      </c>
      <c r="B53" s="449" t="s">
        <v>192</v>
      </c>
      <c r="C53" s="450"/>
      <c r="D53" s="450"/>
      <c r="E53" s="450"/>
      <c r="F53" s="284"/>
      <c r="G53" s="248" t="s">
        <v>989</v>
      </c>
      <c r="H53" s="264"/>
      <c r="I53" s="243"/>
      <c r="J53" s="177"/>
      <c r="K53" s="243"/>
      <c r="L53" s="243"/>
      <c r="M53" s="243"/>
      <c r="N53" s="243"/>
      <c r="O53" s="243"/>
      <c r="P53" s="256">
        <f>P35+P21+P15</f>
        <v>0</v>
      </c>
    </row>
    <row r="54" spans="1:16" x14ac:dyDescent="0.2">
      <c r="A54" s="285"/>
      <c r="B54" s="286"/>
      <c r="C54" s="287"/>
      <c r="D54" s="287"/>
      <c r="E54" s="287"/>
      <c r="F54" s="288"/>
      <c r="G54" s="96" t="s">
        <v>1018</v>
      </c>
      <c r="H54" s="289"/>
      <c r="I54" s="290"/>
      <c r="J54" s="291"/>
      <c r="K54" s="290"/>
      <c r="L54" s="290"/>
      <c r="M54" s="290"/>
      <c r="N54" s="290"/>
      <c r="O54" s="290"/>
      <c r="P54" s="290"/>
    </row>
    <row r="55" spans="1:16" x14ac:dyDescent="0.2">
      <c r="A55" s="227"/>
      <c r="B55" s="292" t="s">
        <v>1173</v>
      </c>
      <c r="C55" s="447" t="s">
        <v>193</v>
      </c>
      <c r="D55" s="447"/>
      <c r="E55" s="447"/>
      <c r="F55" s="447"/>
      <c r="G55" s="447"/>
      <c r="H55" s="447"/>
      <c r="I55" s="447"/>
      <c r="J55" s="447"/>
      <c r="K55" s="447"/>
      <c r="L55" s="447"/>
      <c r="M55" s="447"/>
      <c r="N55" s="447"/>
      <c r="O55" s="447"/>
      <c r="P55" s="293"/>
    </row>
    <row r="56" spans="1:16" x14ac:dyDescent="0.2">
      <c r="A56" s="219"/>
      <c r="B56" s="219"/>
      <c r="C56" s="448"/>
      <c r="D56" s="448"/>
      <c r="E56" s="448"/>
      <c r="F56" s="448"/>
      <c r="G56" s="448"/>
      <c r="H56" s="448"/>
      <c r="I56" s="448"/>
      <c r="J56" s="448"/>
      <c r="K56" s="448"/>
      <c r="L56" s="448"/>
      <c r="M56" s="448"/>
      <c r="N56" s="448"/>
      <c r="O56" s="448"/>
      <c r="P56" s="448"/>
    </row>
  </sheetData>
  <sheetProtection password="8696" sheet="1" objects="1" scenarios="1" selectLockedCells="1"/>
  <mergeCells count="52">
    <mergeCell ref="C41:E41"/>
    <mergeCell ref="C42:E42"/>
    <mergeCell ref="C55:O55"/>
    <mergeCell ref="C56:P56"/>
    <mergeCell ref="C45:E45"/>
    <mergeCell ref="C46:E46"/>
    <mergeCell ref="B52:E52"/>
    <mergeCell ref="B53:E53"/>
    <mergeCell ref="C47:E47"/>
    <mergeCell ref="C51:E51"/>
    <mergeCell ref="C43:E43"/>
    <mergeCell ref="C44:E44"/>
    <mergeCell ref="C31:E31"/>
    <mergeCell ref="C32:E32"/>
    <mergeCell ref="C33:E33"/>
    <mergeCell ref="C34:E34"/>
    <mergeCell ref="C37:E37"/>
    <mergeCell ref="B38:E38"/>
    <mergeCell ref="C39:E39"/>
    <mergeCell ref="C40:E40"/>
    <mergeCell ref="C21:E21"/>
    <mergeCell ref="B22:E22"/>
    <mergeCell ref="C35:E35"/>
    <mergeCell ref="B36:E36"/>
    <mergeCell ref="C25:E25"/>
    <mergeCell ref="C26:E26"/>
    <mergeCell ref="C27:E27"/>
    <mergeCell ref="C28:E28"/>
    <mergeCell ref="C29:E29"/>
    <mergeCell ref="C30:E30"/>
    <mergeCell ref="C23:E23"/>
    <mergeCell ref="C24:E24"/>
    <mergeCell ref="C13:E13"/>
    <mergeCell ref="C14:E14"/>
    <mergeCell ref="C15:E15"/>
    <mergeCell ref="B16:E16"/>
    <mergeCell ref="C17:E17"/>
    <mergeCell ref="C18:E18"/>
    <mergeCell ref="C19:E19"/>
    <mergeCell ref="C20:E20"/>
    <mergeCell ref="P6:P8"/>
    <mergeCell ref="B10:E10"/>
    <mergeCell ref="G6:G9"/>
    <mergeCell ref="H6:H9"/>
    <mergeCell ref="I6:I8"/>
    <mergeCell ref="J6:J8"/>
    <mergeCell ref="C11:E11"/>
    <mergeCell ref="C12:E12"/>
    <mergeCell ref="A6:A9"/>
    <mergeCell ref="B6:E9"/>
    <mergeCell ref="K6:K8"/>
    <mergeCell ref="L6:O7"/>
  </mergeCells>
  <phoneticPr fontId="24" type="noConversion"/>
  <dataValidations count="2">
    <dataValidation type="decimal" operator="greaterThanOrEqual" allowBlank="1" showInputMessage="1" showErrorMessage="1" sqref="J48:J50">
      <formula1>0</formula1>
    </dataValidation>
    <dataValidation type="decimal" allowBlank="1" showInputMessage="1" showErrorMessage="1" sqref="I11:I12 I48:I50 I39:I46 I37 O33 L33:M33 I33 I31 L31:O31 L27:O27 I27 N25 N23 O23:O25 L23:M25 I23:I25 I19 I17 L19:M19 O19 L17:M17 O17 O11:O12 L11:M12 I29 L29:O29">
      <formula1>-999999999999.999</formula1>
      <formula2>999999999999.999</formula2>
    </dataValidation>
  </dataValidations>
  <printOptions horizontalCentered="1"/>
  <pageMargins left="0.25" right="0.25" top="1.0900000000000001" bottom="0.25" header="0.23" footer="0.25"/>
  <pageSetup paperSize="9" scale="50" orientation="landscape" r:id="rId1"/>
  <headerFooter>
    <oddHeader>&amp;C&amp;"Arial,Bold"&amp;8 NEW RURAL BANK OF SAN LEONARDO, INC  [ 04-040656 ]
 As of: September 30, 2017</oddHeader>
  </headerFooter>
  <rowBreaks count="2" manualBreakCount="2">
    <brk id="21" max="16383" man="1"/>
    <brk id="37" max="16383" man="1"/>
  </rowBreaks>
  <colBreaks count="1" manualBreakCount="1">
    <brk id="11" max="1048575" man="1"/>
  </colBreaks>
  <drawing r:id="rId2"/>
  <legacyDrawing r:id="rId3"/>
  <controls>
    <mc:AlternateContent xmlns:mc="http://schemas.openxmlformats.org/markup-compatibility/2006">
      <mc:Choice Requires="x14">
        <control shapeId="1025" r:id="rId4" name="LabelAddRow">
          <controlPr defaultSize="0" autoLine="0" r:id="rId5">
            <anchor moveWithCells="1">
              <from>
                <xdr:col>7</xdr:col>
                <xdr:colOff>28575</xdr:colOff>
                <xdr:row>48</xdr:row>
                <xdr:rowOff>9525</xdr:rowOff>
              </from>
              <to>
                <xdr:col>8</xdr:col>
                <xdr:colOff>0</xdr:colOff>
                <xdr:row>49</xdr:row>
                <xdr:rowOff>0</xdr:rowOff>
              </to>
            </anchor>
          </controlPr>
        </control>
      </mc:Choice>
      <mc:Fallback>
        <control shapeId="1025" r:id="rId4" name="LabelAddRow"/>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M29"/>
  <sheetViews>
    <sheetView view="pageBreakPreview" zoomScaleNormal="100" zoomScaleSheetLayoutView="100" workbookViewId="0">
      <selection activeCell="J15" sqref="J15"/>
    </sheetView>
  </sheetViews>
  <sheetFormatPr defaultColWidth="11.42578125" defaultRowHeight="12.75" x14ac:dyDescent="0.2"/>
  <cols>
    <col min="1" max="1" width="5.28515625" style="356" customWidth="1"/>
    <col min="2" max="2" width="4.42578125" style="356" customWidth="1"/>
    <col min="3" max="3" width="34.5703125" style="356" customWidth="1"/>
    <col min="4" max="6" width="26" style="356" hidden="1" customWidth="1"/>
    <col min="7" max="7" width="17.85546875" style="356" customWidth="1"/>
    <col min="8" max="8" width="17.85546875" style="356" hidden="1" customWidth="1"/>
    <col min="9" max="12" width="19.5703125" style="357" customWidth="1"/>
    <col min="13" max="16384" width="11.42578125" style="304"/>
  </cols>
  <sheetData>
    <row r="1" spans="1:91" x14ac:dyDescent="0.2">
      <c r="A1" s="300"/>
      <c r="B1" s="300"/>
      <c r="C1" s="300"/>
      <c r="D1" s="300"/>
      <c r="E1" s="300"/>
      <c r="F1" s="300"/>
      <c r="G1" s="300"/>
      <c r="H1" s="300"/>
      <c r="I1" s="301"/>
      <c r="J1" s="301"/>
      <c r="K1" s="301"/>
      <c r="L1" s="302">
        <f>Bank!A6</f>
        <v>2017</v>
      </c>
      <c r="M1" s="303"/>
      <c r="N1" s="303"/>
      <c r="O1" s="303"/>
      <c r="P1" s="303"/>
      <c r="Q1" s="303"/>
      <c r="R1" s="303"/>
      <c r="S1" s="303"/>
      <c r="T1" s="303"/>
      <c r="U1" s="303"/>
      <c r="V1" s="303"/>
      <c r="W1" s="303"/>
      <c r="X1" s="303"/>
      <c r="Y1" s="303"/>
      <c r="Z1" s="303"/>
      <c r="AA1" s="303"/>
      <c r="AB1" s="303"/>
      <c r="AC1" s="303"/>
      <c r="AD1" s="303"/>
      <c r="AE1" s="303"/>
      <c r="AF1" s="303"/>
      <c r="AG1" s="303"/>
      <c r="AH1" s="303"/>
      <c r="AI1" s="303"/>
      <c r="AJ1" s="303"/>
      <c r="AK1" s="303"/>
      <c r="AL1" s="303"/>
      <c r="AM1" s="303"/>
      <c r="AN1" s="303"/>
      <c r="AO1" s="303"/>
      <c r="AP1" s="303"/>
      <c r="AQ1" s="303"/>
      <c r="AR1" s="303"/>
      <c r="AS1" s="303"/>
      <c r="AT1" s="303"/>
      <c r="AU1" s="303"/>
      <c r="AV1" s="303"/>
      <c r="AW1" s="303"/>
      <c r="AX1" s="303"/>
      <c r="AY1" s="303"/>
      <c r="AZ1" s="303"/>
      <c r="BA1" s="303"/>
      <c r="BB1" s="303"/>
      <c r="BC1" s="303"/>
      <c r="BD1" s="303"/>
      <c r="BE1" s="303"/>
      <c r="BF1" s="303"/>
      <c r="BG1" s="303"/>
      <c r="BH1" s="303"/>
      <c r="BI1" s="303"/>
      <c r="BJ1" s="303"/>
      <c r="BK1" s="303"/>
      <c r="BL1" s="303"/>
      <c r="BM1" s="303"/>
      <c r="BN1" s="303"/>
      <c r="BO1" s="303"/>
      <c r="BP1" s="303"/>
      <c r="BQ1" s="303"/>
      <c r="BR1" s="303"/>
      <c r="BS1" s="303"/>
      <c r="BT1" s="303"/>
      <c r="BU1" s="303"/>
      <c r="BV1" s="303"/>
      <c r="BW1" s="303"/>
      <c r="BX1" s="303"/>
      <c r="BY1" s="303"/>
      <c r="BZ1" s="303"/>
      <c r="CA1" s="303"/>
      <c r="CB1" s="303"/>
      <c r="CC1" s="303"/>
      <c r="CD1" s="303"/>
      <c r="CE1" s="303"/>
      <c r="CF1" s="303"/>
      <c r="CG1" s="303"/>
      <c r="CH1" s="303"/>
      <c r="CI1" s="303"/>
      <c r="CJ1" s="303"/>
      <c r="CK1" s="303"/>
      <c r="CL1" s="303"/>
      <c r="CM1" s="303"/>
    </row>
    <row r="2" spans="1:91" hidden="1" x14ac:dyDescent="0.2">
      <c r="A2" s="300"/>
      <c r="B2" s="300"/>
      <c r="C2" s="300"/>
      <c r="D2" s="300"/>
      <c r="E2" s="300"/>
      <c r="F2" s="300"/>
      <c r="G2" s="300"/>
      <c r="H2" s="300"/>
      <c r="I2" s="301"/>
      <c r="J2" s="301"/>
      <c r="K2" s="301"/>
      <c r="L2" s="302"/>
      <c r="M2" s="303"/>
      <c r="N2" s="303"/>
      <c r="O2" s="303"/>
      <c r="P2" s="303"/>
      <c r="Q2" s="303"/>
      <c r="R2" s="303"/>
      <c r="S2" s="303"/>
      <c r="T2" s="303"/>
      <c r="U2" s="303"/>
      <c r="V2" s="303"/>
      <c r="W2" s="303"/>
      <c r="X2" s="303"/>
      <c r="Y2" s="303"/>
      <c r="Z2" s="303"/>
      <c r="AA2" s="303"/>
      <c r="AB2" s="303"/>
      <c r="AC2" s="303"/>
      <c r="AD2" s="303"/>
      <c r="AE2" s="303"/>
      <c r="AF2" s="303"/>
      <c r="AG2" s="303"/>
      <c r="AH2" s="303"/>
      <c r="AI2" s="303"/>
      <c r="AJ2" s="303"/>
      <c r="AK2" s="303"/>
      <c r="AL2" s="303"/>
      <c r="AM2" s="303"/>
      <c r="AN2" s="303"/>
      <c r="AO2" s="303"/>
      <c r="AP2" s="303"/>
      <c r="AQ2" s="303"/>
      <c r="AR2" s="303"/>
      <c r="AS2" s="303"/>
      <c r="AT2" s="303"/>
      <c r="AU2" s="303"/>
      <c r="AV2" s="303"/>
      <c r="AW2" s="303"/>
      <c r="AX2" s="303"/>
      <c r="AY2" s="303"/>
      <c r="AZ2" s="303"/>
      <c r="BA2" s="303"/>
      <c r="BB2" s="303"/>
      <c r="BC2" s="303"/>
      <c r="BD2" s="303"/>
      <c r="BE2" s="303"/>
      <c r="BF2" s="303"/>
      <c r="BG2" s="303"/>
      <c r="BH2" s="303"/>
      <c r="BI2" s="303"/>
      <c r="BJ2" s="303"/>
      <c r="BK2" s="303"/>
      <c r="BL2" s="303"/>
      <c r="BM2" s="303"/>
      <c r="BN2" s="303"/>
      <c r="BO2" s="303"/>
      <c r="BP2" s="303"/>
      <c r="BQ2" s="303"/>
      <c r="BR2" s="303"/>
      <c r="BS2" s="303"/>
      <c r="BT2" s="303"/>
      <c r="BU2" s="303"/>
      <c r="BV2" s="303"/>
      <c r="BW2" s="303"/>
      <c r="BX2" s="303"/>
      <c r="BY2" s="303"/>
      <c r="BZ2" s="303"/>
      <c r="CA2" s="303"/>
      <c r="CB2" s="303"/>
      <c r="CC2" s="303"/>
      <c r="CD2" s="303"/>
      <c r="CE2" s="303"/>
      <c r="CF2" s="303"/>
      <c r="CG2" s="303"/>
      <c r="CH2" s="303"/>
      <c r="CI2" s="303"/>
      <c r="CJ2" s="303"/>
      <c r="CK2" s="303"/>
      <c r="CL2" s="303"/>
      <c r="CM2" s="303"/>
    </row>
    <row r="3" spans="1:91" hidden="1" x14ac:dyDescent="0.2">
      <c r="A3" s="300"/>
      <c r="B3" s="300"/>
      <c r="C3" s="300"/>
      <c r="D3" s="300"/>
      <c r="E3" s="300"/>
      <c r="F3" s="300"/>
      <c r="G3" s="300"/>
      <c r="H3" s="300"/>
      <c r="I3" s="301"/>
      <c r="J3" s="301"/>
      <c r="K3" s="301"/>
      <c r="L3" s="302"/>
      <c r="M3" s="303"/>
      <c r="N3" s="303"/>
      <c r="O3" s="303"/>
      <c r="P3" s="303"/>
      <c r="Q3" s="303"/>
      <c r="R3" s="303"/>
      <c r="S3" s="303"/>
      <c r="T3" s="303"/>
      <c r="U3" s="303"/>
      <c r="V3" s="303"/>
      <c r="W3" s="303"/>
      <c r="X3" s="303"/>
      <c r="Y3" s="303"/>
      <c r="Z3" s="303"/>
      <c r="AA3" s="303"/>
      <c r="AB3" s="303"/>
      <c r="AC3" s="303"/>
      <c r="AD3" s="303"/>
      <c r="AE3" s="303"/>
      <c r="AF3" s="303"/>
      <c r="AG3" s="303"/>
      <c r="AH3" s="303"/>
      <c r="AI3" s="303"/>
      <c r="AJ3" s="303"/>
      <c r="AK3" s="303"/>
      <c r="AL3" s="303"/>
      <c r="AM3" s="303"/>
      <c r="AN3" s="303"/>
      <c r="AO3" s="303"/>
      <c r="AP3" s="303"/>
      <c r="AQ3" s="303"/>
      <c r="AR3" s="303"/>
      <c r="AS3" s="303"/>
      <c r="AT3" s="303"/>
      <c r="AU3" s="303"/>
      <c r="AV3" s="303"/>
      <c r="AW3" s="303"/>
      <c r="AX3" s="303"/>
      <c r="AY3" s="303"/>
      <c r="AZ3" s="303"/>
      <c r="BA3" s="303"/>
      <c r="BB3" s="303"/>
      <c r="BC3" s="303"/>
      <c r="BD3" s="303"/>
      <c r="BE3" s="303"/>
      <c r="BF3" s="303"/>
      <c r="BG3" s="303"/>
      <c r="BH3" s="303"/>
      <c r="BI3" s="303"/>
      <c r="BJ3" s="303"/>
      <c r="BK3" s="303"/>
      <c r="BL3" s="303"/>
      <c r="BM3" s="303"/>
      <c r="BN3" s="303"/>
      <c r="BO3" s="303"/>
      <c r="BP3" s="303"/>
      <c r="BQ3" s="303"/>
      <c r="BR3" s="303"/>
      <c r="BS3" s="303"/>
      <c r="BT3" s="303"/>
      <c r="BU3" s="303"/>
      <c r="BV3" s="303"/>
      <c r="BW3" s="303"/>
      <c r="BX3" s="303"/>
      <c r="BY3" s="303"/>
      <c r="BZ3" s="303"/>
      <c r="CA3" s="303"/>
      <c r="CB3" s="303"/>
      <c r="CC3" s="303"/>
      <c r="CD3" s="303"/>
      <c r="CE3" s="303"/>
      <c r="CF3" s="303"/>
      <c r="CG3" s="303"/>
      <c r="CH3" s="303"/>
      <c r="CI3" s="303"/>
      <c r="CJ3" s="303"/>
      <c r="CK3" s="303"/>
      <c r="CL3" s="303"/>
      <c r="CM3" s="303"/>
    </row>
    <row r="4" spans="1:91" hidden="1" x14ac:dyDescent="0.2">
      <c r="A4" s="300"/>
      <c r="B4" s="300"/>
      <c r="C4" s="300"/>
      <c r="D4" s="300"/>
      <c r="E4" s="300"/>
      <c r="F4" s="300"/>
      <c r="G4" s="300"/>
      <c r="H4" s="300"/>
      <c r="I4" s="301"/>
      <c r="J4" s="301"/>
      <c r="K4" s="301"/>
      <c r="L4" s="302"/>
      <c r="M4" s="303"/>
      <c r="N4" s="303"/>
      <c r="O4" s="303"/>
      <c r="P4" s="303"/>
      <c r="Q4" s="303"/>
      <c r="R4" s="303"/>
      <c r="S4" s="303"/>
      <c r="T4" s="303"/>
      <c r="U4" s="303"/>
      <c r="V4" s="303"/>
      <c r="W4" s="303"/>
      <c r="X4" s="303"/>
      <c r="Y4" s="303"/>
      <c r="Z4" s="303"/>
      <c r="AA4" s="303"/>
      <c r="AB4" s="303"/>
      <c r="AC4" s="303"/>
      <c r="AD4" s="303"/>
      <c r="AE4" s="303"/>
      <c r="AF4" s="303"/>
      <c r="AG4" s="303"/>
      <c r="AH4" s="303"/>
      <c r="AI4" s="303"/>
      <c r="AJ4" s="303"/>
      <c r="AK4" s="303"/>
      <c r="AL4" s="303"/>
      <c r="AM4" s="303"/>
      <c r="AN4" s="303"/>
      <c r="AO4" s="303"/>
      <c r="AP4" s="303"/>
      <c r="AQ4" s="303"/>
      <c r="AR4" s="303"/>
      <c r="AS4" s="303"/>
      <c r="AT4" s="303"/>
      <c r="AU4" s="303"/>
      <c r="AV4" s="303"/>
      <c r="AW4" s="303"/>
      <c r="AX4" s="303"/>
      <c r="AY4" s="303"/>
      <c r="AZ4" s="303"/>
      <c r="BA4" s="303"/>
      <c r="BB4" s="303"/>
      <c r="BC4" s="303"/>
      <c r="BD4" s="303"/>
      <c r="BE4" s="303"/>
      <c r="BF4" s="303"/>
      <c r="BG4" s="303"/>
      <c r="BH4" s="303"/>
      <c r="BI4" s="303"/>
      <c r="BJ4" s="303"/>
      <c r="BK4" s="303"/>
      <c r="BL4" s="303"/>
      <c r="BM4" s="303"/>
      <c r="BN4" s="303"/>
      <c r="BO4" s="303"/>
      <c r="BP4" s="303"/>
      <c r="BQ4" s="303"/>
      <c r="BR4" s="303"/>
      <c r="BS4" s="303"/>
      <c r="BT4" s="303"/>
      <c r="BU4" s="303"/>
      <c r="BV4" s="303"/>
      <c r="BW4" s="303"/>
      <c r="BX4" s="303"/>
      <c r="BY4" s="303"/>
      <c r="BZ4" s="303"/>
      <c r="CA4" s="303"/>
      <c r="CB4" s="303"/>
      <c r="CC4" s="303"/>
      <c r="CD4" s="303"/>
      <c r="CE4" s="303"/>
      <c r="CF4" s="303"/>
      <c r="CG4" s="303"/>
      <c r="CH4" s="303"/>
      <c r="CI4" s="303"/>
      <c r="CJ4" s="303"/>
      <c r="CK4" s="303"/>
      <c r="CL4" s="303"/>
      <c r="CM4" s="303"/>
    </row>
    <row r="5" spans="1:91" x14ac:dyDescent="0.2">
      <c r="A5" s="305" t="s">
        <v>194</v>
      </c>
      <c r="B5" s="306"/>
      <c r="C5" s="306"/>
      <c r="D5" s="306"/>
      <c r="E5" s="306"/>
      <c r="F5" s="306"/>
      <c r="G5" s="306"/>
      <c r="H5" s="306"/>
      <c r="I5" s="301"/>
      <c r="J5" s="301"/>
      <c r="K5" s="301"/>
      <c r="L5" s="302">
        <f>0.12</f>
        <v>0.12</v>
      </c>
      <c r="M5" s="303"/>
      <c r="N5" s="303"/>
      <c r="O5" s="303"/>
      <c r="P5" s="303"/>
      <c r="Q5" s="303"/>
      <c r="R5" s="303"/>
      <c r="S5" s="303"/>
      <c r="T5" s="303"/>
      <c r="U5" s="303"/>
      <c r="V5" s="303"/>
      <c r="W5" s="303"/>
      <c r="X5" s="303"/>
      <c r="Y5" s="303"/>
      <c r="Z5" s="303"/>
      <c r="AA5" s="303"/>
      <c r="AB5" s="303"/>
      <c r="AC5" s="303"/>
      <c r="AD5" s="303"/>
      <c r="AE5" s="303"/>
      <c r="AF5" s="303"/>
      <c r="AG5" s="303"/>
      <c r="AH5" s="303"/>
      <c r="AI5" s="303"/>
      <c r="AJ5" s="303"/>
      <c r="AK5" s="303"/>
      <c r="AL5" s="303"/>
      <c r="AM5" s="303"/>
      <c r="AN5" s="303"/>
      <c r="AO5" s="303"/>
      <c r="AP5" s="303"/>
      <c r="AQ5" s="303"/>
      <c r="AR5" s="303"/>
      <c r="AS5" s="303"/>
      <c r="AT5" s="303"/>
      <c r="AU5" s="303"/>
      <c r="AV5" s="303"/>
      <c r="AW5" s="303"/>
      <c r="AX5" s="303"/>
      <c r="AY5" s="303"/>
      <c r="AZ5" s="303"/>
      <c r="BA5" s="303"/>
      <c r="BB5" s="303"/>
      <c r="BC5" s="303"/>
      <c r="BD5" s="303"/>
      <c r="BE5" s="303"/>
      <c r="BF5" s="303"/>
      <c r="BG5" s="303"/>
      <c r="BH5" s="303"/>
      <c r="BI5" s="303"/>
      <c r="BJ5" s="303"/>
      <c r="BK5" s="303"/>
      <c r="BL5" s="303"/>
      <c r="BM5" s="303"/>
      <c r="BN5" s="303"/>
      <c r="BO5" s="303"/>
      <c r="BP5" s="303"/>
      <c r="BQ5" s="303"/>
      <c r="BR5" s="303"/>
      <c r="BS5" s="303"/>
      <c r="BT5" s="303"/>
      <c r="BU5" s="303"/>
      <c r="BV5" s="303"/>
      <c r="BW5" s="303"/>
      <c r="BX5" s="303"/>
      <c r="BY5" s="303"/>
      <c r="BZ5" s="303"/>
      <c r="CA5" s="303"/>
      <c r="CB5" s="303"/>
      <c r="CC5" s="303"/>
      <c r="CD5" s="303"/>
      <c r="CE5" s="303"/>
      <c r="CF5" s="303"/>
      <c r="CG5" s="303"/>
      <c r="CH5" s="303"/>
      <c r="CI5" s="303"/>
      <c r="CJ5" s="303"/>
      <c r="CK5" s="303"/>
      <c r="CL5" s="303"/>
      <c r="CM5" s="303"/>
    </row>
    <row r="6" spans="1:91" s="313" customFormat="1" ht="14.25" customHeight="1" x14ac:dyDescent="0.2">
      <c r="A6" s="461" t="s">
        <v>964</v>
      </c>
      <c r="B6" s="463" t="s">
        <v>965</v>
      </c>
      <c r="C6" s="464"/>
      <c r="D6" s="307"/>
      <c r="E6" s="307"/>
      <c r="F6" s="307"/>
      <c r="G6" s="467" t="s">
        <v>966</v>
      </c>
      <c r="H6" s="358"/>
      <c r="I6" s="308" t="s">
        <v>195</v>
      </c>
      <c r="J6" s="309"/>
      <c r="K6" s="310"/>
      <c r="L6" s="311"/>
      <c r="M6" s="312"/>
      <c r="N6" s="312"/>
      <c r="O6" s="312"/>
      <c r="P6" s="312"/>
      <c r="Q6" s="312"/>
      <c r="R6" s="312"/>
      <c r="S6" s="312"/>
      <c r="T6" s="312"/>
      <c r="U6" s="312"/>
      <c r="V6" s="312"/>
      <c r="W6" s="312"/>
      <c r="X6" s="312"/>
      <c r="Y6" s="312"/>
      <c r="Z6" s="312"/>
      <c r="AA6" s="312"/>
      <c r="AB6" s="312"/>
      <c r="AC6" s="312"/>
      <c r="AD6" s="312"/>
      <c r="AE6" s="312"/>
      <c r="AF6" s="312"/>
      <c r="AG6" s="312"/>
      <c r="AH6" s="312"/>
      <c r="AI6" s="312"/>
      <c r="AJ6" s="312"/>
      <c r="AK6" s="312"/>
      <c r="AL6" s="312"/>
      <c r="AM6" s="312"/>
      <c r="AN6" s="312"/>
      <c r="AO6" s="312"/>
      <c r="AP6" s="312"/>
      <c r="AQ6" s="312"/>
      <c r="AR6" s="312"/>
      <c r="AS6" s="312"/>
      <c r="AT6" s="312"/>
      <c r="AU6" s="312"/>
      <c r="AV6" s="312"/>
      <c r="AW6" s="312"/>
      <c r="AX6" s="312"/>
      <c r="AY6" s="312"/>
      <c r="AZ6" s="312"/>
      <c r="BA6" s="312"/>
      <c r="BB6" s="312"/>
      <c r="BC6" s="312"/>
      <c r="BD6" s="312"/>
      <c r="BE6" s="312"/>
      <c r="BF6" s="312"/>
      <c r="BG6" s="312"/>
      <c r="BH6" s="312"/>
      <c r="BI6" s="312"/>
      <c r="BJ6" s="312"/>
      <c r="BK6" s="312"/>
      <c r="BL6" s="312"/>
      <c r="BM6" s="312"/>
      <c r="BN6" s="312"/>
      <c r="BO6" s="312"/>
      <c r="BP6" s="312"/>
      <c r="BQ6" s="312"/>
      <c r="BR6" s="312"/>
      <c r="BS6" s="312"/>
      <c r="BT6" s="312"/>
      <c r="BU6" s="312"/>
      <c r="BV6" s="312"/>
      <c r="BW6" s="312"/>
      <c r="BX6" s="312"/>
      <c r="BY6" s="312"/>
      <c r="BZ6" s="312"/>
      <c r="CA6" s="312"/>
      <c r="CB6" s="312"/>
      <c r="CC6" s="312"/>
      <c r="CD6" s="312"/>
      <c r="CE6" s="312"/>
      <c r="CF6" s="312"/>
      <c r="CG6" s="312"/>
      <c r="CH6" s="312"/>
      <c r="CI6" s="312"/>
      <c r="CJ6" s="312"/>
      <c r="CK6" s="312"/>
      <c r="CL6" s="312"/>
      <c r="CM6" s="312"/>
    </row>
    <row r="7" spans="1:91" s="317" customFormat="1" x14ac:dyDescent="0.2">
      <c r="A7" s="462"/>
      <c r="B7" s="465"/>
      <c r="C7" s="466"/>
      <c r="D7" s="314"/>
      <c r="E7" s="314"/>
      <c r="F7" s="314"/>
      <c r="G7" s="468"/>
      <c r="H7" s="359"/>
      <c r="I7" s="455" t="s">
        <v>196</v>
      </c>
      <c r="J7" s="455" t="s">
        <v>197</v>
      </c>
      <c r="K7" s="455" t="s">
        <v>198</v>
      </c>
      <c r="L7" s="457" t="s">
        <v>199</v>
      </c>
      <c r="M7" s="315"/>
      <c r="N7" s="315"/>
      <c r="O7" s="315"/>
      <c r="P7" s="312"/>
      <c r="Q7" s="316"/>
      <c r="R7" s="316"/>
      <c r="S7" s="316"/>
      <c r="T7" s="316"/>
      <c r="U7" s="316"/>
      <c r="V7" s="316"/>
      <c r="W7" s="316"/>
      <c r="X7" s="316"/>
      <c r="Y7" s="316"/>
      <c r="Z7" s="316"/>
      <c r="AA7" s="316"/>
      <c r="AB7" s="316"/>
      <c r="AC7" s="316"/>
      <c r="AD7" s="316"/>
      <c r="AE7" s="316"/>
      <c r="AF7" s="316"/>
      <c r="AG7" s="316"/>
      <c r="AH7" s="316"/>
      <c r="AI7" s="316"/>
      <c r="AJ7" s="316"/>
      <c r="AK7" s="316"/>
      <c r="AL7" s="316"/>
      <c r="AM7" s="316"/>
      <c r="AN7" s="316"/>
      <c r="AO7" s="316"/>
      <c r="AP7" s="316"/>
      <c r="AQ7" s="316"/>
      <c r="AR7" s="316"/>
      <c r="AS7" s="316"/>
      <c r="AT7" s="316"/>
      <c r="AU7" s="316"/>
      <c r="AV7" s="316"/>
      <c r="AW7" s="316"/>
      <c r="AX7" s="316"/>
      <c r="AY7" s="316"/>
      <c r="AZ7" s="316"/>
      <c r="BA7" s="316"/>
      <c r="BB7" s="316"/>
      <c r="BC7" s="316"/>
      <c r="BD7" s="316"/>
      <c r="BE7" s="316"/>
      <c r="BF7" s="316"/>
      <c r="BG7" s="316"/>
      <c r="BH7" s="316"/>
      <c r="BI7" s="316"/>
      <c r="BJ7" s="316"/>
      <c r="BK7" s="316"/>
      <c r="BL7" s="316"/>
      <c r="BM7" s="316"/>
      <c r="BN7" s="316"/>
      <c r="BO7" s="316"/>
      <c r="BP7" s="316"/>
      <c r="BQ7" s="316"/>
      <c r="BR7" s="316"/>
      <c r="BS7" s="316"/>
      <c r="BT7" s="316"/>
      <c r="BU7" s="316"/>
      <c r="BV7" s="316"/>
      <c r="BW7" s="316"/>
      <c r="BX7" s="316"/>
      <c r="BY7" s="316"/>
      <c r="BZ7" s="316"/>
      <c r="CA7" s="316"/>
      <c r="CB7" s="316"/>
      <c r="CC7" s="316"/>
      <c r="CD7" s="316"/>
      <c r="CE7" s="316"/>
      <c r="CF7" s="316"/>
      <c r="CG7" s="316"/>
      <c r="CH7" s="316"/>
      <c r="CI7" s="316"/>
      <c r="CJ7" s="316"/>
      <c r="CK7" s="316"/>
      <c r="CL7" s="316"/>
      <c r="CM7" s="316"/>
    </row>
    <row r="8" spans="1:91" s="317" customFormat="1" ht="9" customHeight="1" x14ac:dyDescent="0.2">
      <c r="A8" s="462"/>
      <c r="B8" s="465"/>
      <c r="C8" s="466"/>
      <c r="D8" s="314"/>
      <c r="E8" s="314"/>
      <c r="F8" s="314"/>
      <c r="G8" s="468"/>
      <c r="H8" s="359"/>
      <c r="I8" s="456"/>
      <c r="J8" s="456"/>
      <c r="K8" s="456"/>
      <c r="L8" s="458"/>
      <c r="M8" s="315"/>
      <c r="N8" s="315"/>
      <c r="O8" s="315"/>
      <c r="P8" s="312"/>
      <c r="Q8" s="316"/>
      <c r="R8" s="316"/>
      <c r="S8" s="316"/>
      <c r="T8" s="316"/>
      <c r="U8" s="316"/>
      <c r="V8" s="316"/>
      <c r="W8" s="316"/>
      <c r="X8" s="316"/>
      <c r="Y8" s="316"/>
      <c r="Z8" s="316"/>
      <c r="AA8" s="316"/>
      <c r="AB8" s="316"/>
      <c r="AC8" s="316"/>
      <c r="AD8" s="316"/>
      <c r="AE8" s="316"/>
      <c r="AF8" s="316"/>
      <c r="AG8" s="316"/>
      <c r="AH8" s="316"/>
      <c r="AI8" s="316"/>
      <c r="AJ8" s="316"/>
      <c r="AK8" s="316"/>
      <c r="AL8" s="316"/>
      <c r="AM8" s="316"/>
      <c r="AN8" s="316"/>
      <c r="AO8" s="316"/>
      <c r="AP8" s="316"/>
      <c r="AQ8" s="316"/>
      <c r="AR8" s="316"/>
      <c r="AS8" s="316"/>
      <c r="AT8" s="316"/>
      <c r="AU8" s="316"/>
      <c r="AV8" s="316"/>
      <c r="AW8" s="316"/>
      <c r="AX8" s="316"/>
      <c r="AY8" s="316"/>
      <c r="AZ8" s="316"/>
      <c r="BA8" s="316"/>
      <c r="BB8" s="316"/>
      <c r="BC8" s="316"/>
      <c r="BD8" s="316"/>
      <c r="BE8" s="316"/>
      <c r="BF8" s="316"/>
      <c r="BG8" s="316"/>
      <c r="BH8" s="316"/>
      <c r="BI8" s="316"/>
      <c r="BJ8" s="316"/>
      <c r="BK8" s="316"/>
      <c r="BL8" s="316"/>
      <c r="BM8" s="316"/>
      <c r="BN8" s="316"/>
      <c r="BO8" s="316"/>
      <c r="BP8" s="316"/>
      <c r="BQ8" s="316"/>
      <c r="BR8" s="316"/>
      <c r="BS8" s="316"/>
      <c r="BT8" s="316"/>
      <c r="BU8" s="316"/>
      <c r="BV8" s="316"/>
      <c r="BW8" s="316"/>
      <c r="BX8" s="316"/>
      <c r="BY8" s="316"/>
      <c r="BZ8" s="316"/>
      <c r="CA8" s="316"/>
      <c r="CB8" s="316"/>
      <c r="CC8" s="316"/>
      <c r="CD8" s="316"/>
      <c r="CE8" s="316"/>
      <c r="CF8" s="316"/>
      <c r="CG8" s="316"/>
      <c r="CH8" s="316"/>
      <c r="CI8" s="316"/>
      <c r="CJ8" s="316"/>
      <c r="CK8" s="316"/>
      <c r="CL8" s="316"/>
      <c r="CM8" s="316"/>
    </row>
    <row r="9" spans="1:91" s="322" customFormat="1" ht="12.95" customHeight="1" x14ac:dyDescent="0.25">
      <c r="A9" s="459" t="s">
        <v>200</v>
      </c>
      <c r="B9" s="460"/>
      <c r="C9" s="460"/>
      <c r="D9" s="318"/>
      <c r="E9" s="318"/>
      <c r="F9" s="318"/>
      <c r="G9" s="319"/>
      <c r="H9" s="360"/>
      <c r="I9" s="320"/>
      <c r="J9" s="320"/>
      <c r="K9" s="320"/>
      <c r="L9" s="321"/>
    </row>
    <row r="10" spans="1:91" s="327" customFormat="1" ht="12.95" customHeight="1" x14ac:dyDescent="0.25">
      <c r="A10" s="323" t="s">
        <v>970</v>
      </c>
      <c r="B10" s="451" t="s">
        <v>201</v>
      </c>
      <c r="C10" s="452"/>
      <c r="D10" s="324"/>
      <c r="E10" s="324"/>
      <c r="F10" s="324"/>
      <c r="G10" s="325" t="s">
        <v>202</v>
      </c>
      <c r="H10" s="325"/>
      <c r="I10" s="124"/>
      <c r="J10" s="124"/>
      <c r="K10" s="124"/>
      <c r="L10" s="326"/>
    </row>
    <row r="11" spans="1:91" s="327" customFormat="1" ht="12.95" customHeight="1" x14ac:dyDescent="0.25">
      <c r="A11" s="328" t="s">
        <v>973</v>
      </c>
      <c r="B11" s="453" t="s">
        <v>203</v>
      </c>
      <c r="C11" s="454"/>
      <c r="D11" s="329"/>
      <c r="E11" s="329"/>
      <c r="F11" s="329"/>
      <c r="G11" s="325" t="s">
        <v>204</v>
      </c>
      <c r="H11" s="325"/>
      <c r="I11" s="124"/>
      <c r="J11" s="124"/>
      <c r="K11" s="124"/>
      <c r="L11" s="330"/>
    </row>
    <row r="12" spans="1:91" s="327" customFormat="1" ht="24.95" customHeight="1" x14ac:dyDescent="0.25">
      <c r="A12" s="331" t="s">
        <v>976</v>
      </c>
      <c r="B12" s="471" t="s">
        <v>205</v>
      </c>
      <c r="C12" s="472"/>
      <c r="D12" s="332"/>
      <c r="E12" s="332"/>
      <c r="F12" s="332"/>
      <c r="G12" s="325" t="s">
        <v>206</v>
      </c>
      <c r="H12" s="361"/>
      <c r="I12" s="333">
        <f>I10-I11</f>
        <v>0</v>
      </c>
      <c r="J12" s="67">
        <f>J10-J11</f>
        <v>0</v>
      </c>
      <c r="K12" s="67">
        <f>K10-K11</f>
        <v>0</v>
      </c>
      <c r="L12" s="334"/>
      <c r="M12" s="335"/>
    </row>
    <row r="13" spans="1:91" s="327" customFormat="1" ht="12.95" customHeight="1" x14ac:dyDescent="0.25">
      <c r="A13" s="473" t="s">
        <v>207</v>
      </c>
      <c r="B13" s="474"/>
      <c r="C13" s="474"/>
      <c r="D13" s="336"/>
      <c r="E13" s="336"/>
      <c r="F13" s="336"/>
      <c r="G13" s="337"/>
      <c r="H13" s="362"/>
      <c r="I13" s="338"/>
      <c r="J13" s="338"/>
      <c r="K13" s="338"/>
      <c r="L13" s="330"/>
    </row>
    <row r="14" spans="1:91" s="327" customFormat="1" ht="12.95" customHeight="1" x14ac:dyDescent="0.25">
      <c r="A14" s="323" t="s">
        <v>981</v>
      </c>
      <c r="B14" s="475" t="s">
        <v>208</v>
      </c>
      <c r="C14" s="476"/>
      <c r="D14" s="339"/>
      <c r="E14" s="339"/>
      <c r="F14" s="339"/>
      <c r="G14" s="325" t="s">
        <v>209</v>
      </c>
      <c r="H14" s="325"/>
      <c r="I14" s="124"/>
      <c r="J14" s="124"/>
      <c r="K14" s="124"/>
      <c r="L14" s="326"/>
    </row>
    <row r="15" spans="1:91" s="327" customFormat="1" ht="12.95" customHeight="1" x14ac:dyDescent="0.25">
      <c r="A15" s="328" t="s">
        <v>1006</v>
      </c>
      <c r="B15" s="469" t="s">
        <v>210</v>
      </c>
      <c r="C15" s="470"/>
      <c r="D15" s="340"/>
      <c r="E15" s="340"/>
      <c r="F15" s="340"/>
      <c r="G15" s="325" t="s">
        <v>211</v>
      </c>
      <c r="H15" s="325"/>
      <c r="I15" s="124"/>
      <c r="J15" s="124"/>
      <c r="K15" s="124"/>
      <c r="L15" s="330"/>
    </row>
    <row r="16" spans="1:91" s="327" customFormat="1" ht="24.95" customHeight="1" x14ac:dyDescent="0.25">
      <c r="A16" s="328" t="s">
        <v>1009</v>
      </c>
      <c r="B16" s="469" t="s">
        <v>212</v>
      </c>
      <c r="C16" s="470"/>
      <c r="D16" s="340"/>
      <c r="E16" s="340"/>
      <c r="F16" s="340"/>
      <c r="G16" s="325" t="s">
        <v>213</v>
      </c>
      <c r="H16" s="325"/>
      <c r="I16" s="124"/>
      <c r="J16" s="124"/>
      <c r="K16" s="124"/>
      <c r="L16" s="330"/>
    </row>
    <row r="17" spans="1:18" s="327" customFormat="1" ht="36.950000000000003" customHeight="1" x14ac:dyDescent="0.25">
      <c r="A17" s="328" t="s">
        <v>1012</v>
      </c>
      <c r="B17" s="469" t="s">
        <v>214</v>
      </c>
      <c r="C17" s="470"/>
      <c r="D17" s="340"/>
      <c r="E17" s="340"/>
      <c r="F17" s="340"/>
      <c r="G17" s="325" t="s">
        <v>215</v>
      </c>
      <c r="H17" s="363"/>
      <c r="I17" s="341"/>
      <c r="J17" s="342"/>
      <c r="K17" s="342"/>
      <c r="L17" s="343"/>
    </row>
    <row r="18" spans="1:18" s="327" customFormat="1" ht="12.95" customHeight="1" x14ac:dyDescent="0.25">
      <c r="A18" s="328" t="s">
        <v>1124</v>
      </c>
      <c r="B18" s="469" t="s">
        <v>216</v>
      </c>
      <c r="C18" s="470"/>
      <c r="D18" s="340"/>
      <c r="E18" s="340"/>
      <c r="F18" s="340"/>
      <c r="G18" s="325" t="s">
        <v>217</v>
      </c>
      <c r="H18" s="325"/>
      <c r="I18" s="124"/>
      <c r="J18" s="124"/>
      <c r="K18" s="124"/>
      <c r="L18" s="343"/>
    </row>
    <row r="19" spans="1:18" s="327" customFormat="1" ht="24.95" customHeight="1" x14ac:dyDescent="0.25">
      <c r="A19" s="328" t="s">
        <v>1132</v>
      </c>
      <c r="B19" s="469" t="s">
        <v>218</v>
      </c>
      <c r="C19" s="470"/>
      <c r="D19" s="340"/>
      <c r="E19" s="340"/>
      <c r="F19" s="340"/>
      <c r="G19" s="325" t="s">
        <v>219</v>
      </c>
      <c r="H19" s="363"/>
      <c r="I19" s="344"/>
      <c r="J19" s="180"/>
      <c r="K19" s="180"/>
      <c r="L19" s="343"/>
    </row>
    <row r="20" spans="1:18" s="327" customFormat="1" ht="12.95" customHeight="1" x14ac:dyDescent="0.25">
      <c r="A20" s="328" t="s">
        <v>1135</v>
      </c>
      <c r="B20" s="469" t="s">
        <v>220</v>
      </c>
      <c r="C20" s="470"/>
      <c r="D20" s="340"/>
      <c r="E20" s="340"/>
      <c r="F20" s="340"/>
      <c r="G20" s="325" t="s">
        <v>221</v>
      </c>
      <c r="H20" s="325"/>
      <c r="I20" s="124"/>
      <c r="J20" s="124"/>
      <c r="K20" s="124"/>
      <c r="L20" s="330"/>
    </row>
    <row r="21" spans="1:18" s="327" customFormat="1" ht="24.95" customHeight="1" x14ac:dyDescent="0.25">
      <c r="A21" s="328" t="s">
        <v>1138</v>
      </c>
      <c r="B21" s="469" t="s">
        <v>222</v>
      </c>
      <c r="C21" s="470"/>
      <c r="D21" s="340"/>
      <c r="E21" s="340"/>
      <c r="F21" s="340"/>
      <c r="G21" s="325" t="s">
        <v>223</v>
      </c>
      <c r="H21" s="363"/>
      <c r="I21" s="345">
        <f>SUM(I14:I20)</f>
        <v>0</v>
      </c>
      <c r="J21" s="62">
        <f>SUM(J14:J20)</f>
        <v>0</v>
      </c>
      <c r="K21" s="62">
        <f>SUM(K14:K20)</f>
        <v>0</v>
      </c>
      <c r="L21" s="330"/>
    </row>
    <row r="22" spans="1:18" s="327" customFormat="1" ht="24.95" customHeight="1" x14ac:dyDescent="0.25">
      <c r="A22" s="453" t="s">
        <v>224</v>
      </c>
      <c r="B22" s="478"/>
      <c r="C22" s="454"/>
      <c r="D22" s="329"/>
      <c r="E22" s="329"/>
      <c r="F22" s="329"/>
      <c r="G22" s="325" t="s">
        <v>225</v>
      </c>
      <c r="H22" s="363"/>
      <c r="I22" s="345">
        <f>I12+I21</f>
        <v>0</v>
      </c>
      <c r="J22" s="62">
        <f>J12+J21</f>
        <v>0</v>
      </c>
      <c r="K22" s="62">
        <f>K12+K21</f>
        <v>0</v>
      </c>
      <c r="L22" s="346">
        <f>IF(COUNTIF(I22:K22,"&gt;0")=0,0,SUMIF(I22:K22,"&gt;0",I22:K22)/COUNTIF(I22:K22,"&gt;0"))</f>
        <v>0</v>
      </c>
    </row>
    <row r="23" spans="1:18" s="327" customFormat="1" ht="38.25" customHeight="1" x14ac:dyDescent="0.25">
      <c r="A23" s="453" t="s">
        <v>226</v>
      </c>
      <c r="B23" s="478"/>
      <c r="C23" s="454"/>
      <c r="D23" s="329"/>
      <c r="E23" s="329"/>
      <c r="F23" s="329"/>
      <c r="G23" s="325" t="s">
        <v>227</v>
      </c>
      <c r="H23" s="363"/>
      <c r="I23" s="347"/>
      <c r="J23" s="348"/>
      <c r="K23" s="348"/>
      <c r="L23" s="346">
        <f>L22*L5</f>
        <v>0</v>
      </c>
    </row>
    <row r="24" spans="1:18" s="327" customFormat="1" ht="24.95" customHeight="1" x14ac:dyDescent="0.25">
      <c r="A24" s="471" t="s">
        <v>228</v>
      </c>
      <c r="B24" s="479"/>
      <c r="C24" s="472"/>
      <c r="D24" s="332"/>
      <c r="E24" s="332"/>
      <c r="F24" s="332"/>
      <c r="G24" s="325" t="s">
        <v>229</v>
      </c>
      <c r="H24" s="361"/>
      <c r="I24" s="349"/>
      <c r="J24" s="350"/>
      <c r="K24" s="350"/>
      <c r="L24" s="346">
        <f>L23*1.25</f>
        <v>0</v>
      </c>
    </row>
    <row r="25" spans="1:18" s="327" customFormat="1" ht="24.95" customHeight="1" x14ac:dyDescent="0.25">
      <c r="A25" s="453" t="s">
        <v>230</v>
      </c>
      <c r="B25" s="478"/>
      <c r="C25" s="454"/>
      <c r="D25" s="329"/>
      <c r="E25" s="329"/>
      <c r="F25" s="329"/>
      <c r="G25" s="325" t="s">
        <v>1008</v>
      </c>
      <c r="H25" s="363"/>
      <c r="I25" s="347"/>
      <c r="J25" s="348"/>
      <c r="K25" s="348"/>
      <c r="L25" s="346">
        <f>L24*10</f>
        <v>0</v>
      </c>
    </row>
    <row r="26" spans="1:18" x14ac:dyDescent="0.2">
      <c r="A26" s="300"/>
      <c r="B26" s="300"/>
      <c r="C26" s="300"/>
      <c r="D26" s="300"/>
      <c r="E26" s="300"/>
      <c r="F26" s="300"/>
      <c r="G26" s="351" t="s">
        <v>1018</v>
      </c>
      <c r="H26" s="351"/>
      <c r="I26" s="301"/>
      <c r="J26" s="301"/>
      <c r="K26" s="301"/>
      <c r="L26" s="301"/>
    </row>
    <row r="27" spans="1:18" ht="24.75" customHeight="1" x14ac:dyDescent="0.2">
      <c r="A27" s="352" t="s">
        <v>1173</v>
      </c>
      <c r="B27" s="477" t="s">
        <v>231</v>
      </c>
      <c r="C27" s="477"/>
      <c r="D27" s="477"/>
      <c r="E27" s="477"/>
      <c r="F27" s="477"/>
      <c r="G27" s="477"/>
      <c r="H27" s="477"/>
      <c r="I27" s="477"/>
      <c r="J27" s="477"/>
      <c r="K27" s="477"/>
      <c r="L27" s="353"/>
      <c r="M27" s="327"/>
      <c r="N27" s="354"/>
      <c r="O27" s="354"/>
      <c r="P27" s="354"/>
      <c r="Q27" s="354"/>
      <c r="R27" s="354"/>
    </row>
    <row r="28" spans="1:18" ht="23.25" customHeight="1" x14ac:dyDescent="0.2">
      <c r="A28" s="352" t="s">
        <v>1175</v>
      </c>
      <c r="B28" s="477" t="s">
        <v>232</v>
      </c>
      <c r="C28" s="477"/>
      <c r="D28" s="477"/>
      <c r="E28" s="477"/>
      <c r="F28" s="477"/>
      <c r="G28" s="477"/>
      <c r="H28" s="477"/>
      <c r="I28" s="477"/>
      <c r="J28" s="477"/>
      <c r="K28" s="477"/>
      <c r="L28" s="301"/>
      <c r="M28" s="354"/>
      <c r="N28" s="354"/>
      <c r="O28" s="354"/>
      <c r="P28" s="354"/>
      <c r="Q28" s="354"/>
      <c r="R28" s="354"/>
    </row>
    <row r="29" spans="1:18" x14ac:dyDescent="0.2">
      <c r="A29" s="327"/>
      <c r="B29" s="327"/>
      <c r="C29" s="327"/>
      <c r="D29" s="327"/>
      <c r="E29" s="327"/>
      <c r="F29" s="327"/>
      <c r="G29" s="327"/>
      <c r="H29" s="327"/>
      <c r="I29" s="355"/>
      <c r="J29" s="355"/>
      <c r="K29" s="355"/>
      <c r="L29" s="355"/>
      <c r="M29" s="354"/>
      <c r="N29" s="354"/>
      <c r="O29" s="354"/>
      <c r="P29" s="354"/>
      <c r="Q29" s="354"/>
      <c r="R29" s="354"/>
    </row>
  </sheetData>
  <sheetProtection password="F758" sheet="1" objects="1" scenarios="1"/>
  <mergeCells count="26">
    <mergeCell ref="B27:K27"/>
    <mergeCell ref="B28:K28"/>
    <mergeCell ref="B20:C20"/>
    <mergeCell ref="B21:C21"/>
    <mergeCell ref="A22:C22"/>
    <mergeCell ref="A23:C23"/>
    <mergeCell ref="A24:C24"/>
    <mergeCell ref="A25:C25"/>
    <mergeCell ref="B18:C18"/>
    <mergeCell ref="B19:C19"/>
    <mergeCell ref="B12:C12"/>
    <mergeCell ref="A13:C13"/>
    <mergeCell ref="B14:C14"/>
    <mergeCell ref="B15:C15"/>
    <mergeCell ref="B16:C16"/>
    <mergeCell ref="B17:C17"/>
    <mergeCell ref="B10:C10"/>
    <mergeCell ref="B11:C11"/>
    <mergeCell ref="J7:J8"/>
    <mergeCell ref="K7:K8"/>
    <mergeCell ref="L7:L8"/>
    <mergeCell ref="A9:C9"/>
    <mergeCell ref="A6:A8"/>
    <mergeCell ref="B6:C8"/>
    <mergeCell ref="G6:G8"/>
    <mergeCell ref="I7:I8"/>
  </mergeCells>
  <phoneticPr fontId="24" type="noConversion"/>
  <dataValidations count="1">
    <dataValidation type="decimal" allowBlank="1" showInputMessage="1" showErrorMessage="1" sqref="I10:K11 I14:K16 I18:K18 I20:K20">
      <formula1>-999999999999.999</formula1>
      <formula2>999999999999.999</formula2>
    </dataValidation>
  </dataValidations>
  <printOptions horizontalCentered="1"/>
  <pageMargins left="0.23" right="0.25" top="1.29" bottom="0.25" header="0.5" footer="0.25"/>
  <pageSetup paperSize="9" scale="85" orientation="landscape" r:id="rId1"/>
  <headerFooter>
    <oddHeader>&amp;C&amp;"Arial,Bold"&amp;8 NEW RURAL BANK OF SAN LEONARDO, INC  [ 04-040656 ]
 As of: September 30, 2017</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R706"/>
  <sheetViews>
    <sheetView zoomScaleNormal="100" workbookViewId="0"/>
  </sheetViews>
  <sheetFormatPr defaultColWidth="22.28515625" defaultRowHeight="12.75" x14ac:dyDescent="0.25"/>
  <cols>
    <col min="1" max="9" width="22.28515625" style="365" customWidth="1"/>
    <col min="10" max="13" width="22.28515625" style="366" customWidth="1"/>
    <col min="14" max="16384" width="22.28515625" style="365"/>
  </cols>
  <sheetData>
    <row r="1" spans="1:18" x14ac:dyDescent="0.25">
      <c r="A1" s="365" t="s">
        <v>1260</v>
      </c>
      <c r="B1" s="365" t="s">
        <v>916</v>
      </c>
      <c r="C1" s="480" t="s">
        <v>915</v>
      </c>
      <c r="D1" s="480"/>
      <c r="E1" s="480" t="s">
        <v>914</v>
      </c>
      <c r="F1" s="480"/>
      <c r="G1" s="480" t="s">
        <v>912</v>
      </c>
      <c r="H1" s="480"/>
      <c r="R1" s="365" t="s">
        <v>913</v>
      </c>
    </row>
    <row r="2" spans="1:18" x14ac:dyDescent="0.25">
      <c r="A2" s="365">
        <v>4</v>
      </c>
      <c r="B2" s="365" t="s">
        <v>912</v>
      </c>
      <c r="C2" s="365" t="s">
        <v>911</v>
      </c>
      <c r="D2" s="365">
        <v>1</v>
      </c>
      <c r="E2" s="365" t="s">
        <v>910</v>
      </c>
      <c r="F2" s="365">
        <v>2012</v>
      </c>
      <c r="G2" s="365" t="s">
        <v>909</v>
      </c>
      <c r="H2" s="365">
        <v>3</v>
      </c>
      <c r="N2" s="367"/>
      <c r="P2" s="367"/>
      <c r="R2" s="367" t="s">
        <v>908</v>
      </c>
    </row>
    <row r="3" spans="1:18" x14ac:dyDescent="0.25">
      <c r="A3" s="365">
        <v>40656</v>
      </c>
      <c r="B3" s="365" t="s">
        <v>907</v>
      </c>
      <c r="C3" s="365" t="s">
        <v>906</v>
      </c>
      <c r="D3" s="365">
        <v>2</v>
      </c>
      <c r="E3" s="365" t="s">
        <v>905</v>
      </c>
      <c r="F3" s="365">
        <v>2013</v>
      </c>
      <c r="G3" s="365" t="s">
        <v>904</v>
      </c>
      <c r="H3" s="365">
        <v>4</v>
      </c>
      <c r="N3" s="367"/>
      <c r="P3" s="367"/>
      <c r="R3" s="367" t="s">
        <v>269</v>
      </c>
    </row>
    <row r="4" spans="1:18" x14ac:dyDescent="0.25">
      <c r="A4" s="365">
        <v>9999</v>
      </c>
      <c r="B4" s="365" t="s">
        <v>903</v>
      </c>
      <c r="C4" s="365" t="s">
        <v>902</v>
      </c>
      <c r="D4" s="365">
        <v>3</v>
      </c>
      <c r="E4" s="365" t="s">
        <v>901</v>
      </c>
      <c r="F4" s="365">
        <v>2014</v>
      </c>
      <c r="G4" s="365" t="s">
        <v>900</v>
      </c>
      <c r="H4" s="365">
        <v>5</v>
      </c>
      <c r="N4" s="367"/>
      <c r="P4" s="367"/>
      <c r="R4" s="367" t="s">
        <v>268</v>
      </c>
    </row>
    <row r="5" spans="1:18" x14ac:dyDescent="0.25">
      <c r="A5" s="365">
        <v>2</v>
      </c>
      <c r="B5" s="365" t="s">
        <v>899</v>
      </c>
      <c r="E5" s="365" t="s">
        <v>898</v>
      </c>
      <c r="F5" s="365">
        <v>2015</v>
      </c>
      <c r="N5" s="367"/>
      <c r="P5" s="367"/>
      <c r="R5" s="367" t="s">
        <v>267</v>
      </c>
    </row>
    <row r="6" spans="1:18" x14ac:dyDescent="0.25">
      <c r="A6" s="365">
        <v>2017</v>
      </c>
      <c r="B6" s="365" t="s">
        <v>897</v>
      </c>
      <c r="N6" s="367"/>
      <c r="P6" s="367"/>
      <c r="R6" s="367" t="s">
        <v>266</v>
      </c>
    </row>
    <row r="7" spans="1:18" x14ac:dyDescent="0.25">
      <c r="A7" s="365">
        <v>20170930</v>
      </c>
      <c r="B7" s="365" t="s">
        <v>896</v>
      </c>
      <c r="N7" s="367"/>
      <c r="P7" s="367"/>
      <c r="R7" s="367" t="s">
        <v>264</v>
      </c>
    </row>
    <row r="8" spans="1:18" x14ac:dyDescent="0.25">
      <c r="A8" s="365">
        <v>1</v>
      </c>
      <c r="B8" s="365" t="s">
        <v>895</v>
      </c>
      <c r="N8" s="367"/>
      <c r="P8" s="367"/>
      <c r="R8" s="367" t="s">
        <v>262</v>
      </c>
    </row>
    <row r="9" spans="1:18" x14ac:dyDescent="0.25">
      <c r="A9" s="368" t="s">
        <v>894</v>
      </c>
      <c r="B9" s="365" t="s">
        <v>893</v>
      </c>
      <c r="N9" s="367"/>
      <c r="P9" s="367"/>
      <c r="R9" s="367" t="s">
        <v>261</v>
      </c>
    </row>
    <row r="10" spans="1:18" x14ac:dyDescent="0.25">
      <c r="A10" s="365" t="s">
        <v>892</v>
      </c>
      <c r="B10" s="365" t="s">
        <v>891</v>
      </c>
      <c r="N10" s="367"/>
      <c r="P10" s="367"/>
      <c r="R10" s="367" t="s">
        <v>890</v>
      </c>
    </row>
    <row r="11" spans="1:18" x14ac:dyDescent="0.25">
      <c r="A11" s="365">
        <v>4</v>
      </c>
      <c r="B11" s="365" t="s">
        <v>889</v>
      </c>
      <c r="N11" s="367"/>
      <c r="P11" s="367"/>
      <c r="R11" s="367" t="s">
        <v>260</v>
      </c>
    </row>
    <row r="12" spans="1:18" x14ac:dyDescent="0.25">
      <c r="A12" s="369" t="s">
        <v>888</v>
      </c>
      <c r="B12" s="365" t="s">
        <v>887</v>
      </c>
      <c r="N12" s="367"/>
      <c r="P12" s="367"/>
      <c r="R12" s="367" t="s">
        <v>259</v>
      </c>
    </row>
    <row r="13" spans="1:18" x14ac:dyDescent="0.25">
      <c r="N13" s="367"/>
      <c r="P13" s="367"/>
      <c r="R13" s="367" t="s">
        <v>886</v>
      </c>
    </row>
    <row r="14" spans="1:18" x14ac:dyDescent="0.25">
      <c r="N14" s="367"/>
      <c r="P14" s="367"/>
      <c r="R14" s="367" t="s">
        <v>258</v>
      </c>
    </row>
    <row r="15" spans="1:18" x14ac:dyDescent="0.25">
      <c r="N15" s="367"/>
      <c r="P15" s="367"/>
      <c r="R15" s="367" t="s">
        <v>885</v>
      </c>
    </row>
    <row r="16" spans="1:18" x14ac:dyDescent="0.25">
      <c r="N16" s="367"/>
      <c r="P16" s="367"/>
      <c r="R16" s="367" t="s">
        <v>257</v>
      </c>
    </row>
    <row r="17" spans="14:18" x14ac:dyDescent="0.25">
      <c r="N17" s="367"/>
      <c r="P17" s="367"/>
      <c r="R17" s="367" t="s">
        <v>256</v>
      </c>
    </row>
    <row r="18" spans="14:18" x14ac:dyDescent="0.25">
      <c r="N18" s="367"/>
      <c r="P18" s="367"/>
      <c r="R18" s="367" t="s">
        <v>255</v>
      </c>
    </row>
    <row r="19" spans="14:18" x14ac:dyDescent="0.25">
      <c r="N19" s="367"/>
      <c r="P19" s="367"/>
      <c r="R19" s="367" t="s">
        <v>254</v>
      </c>
    </row>
    <row r="20" spans="14:18" x14ac:dyDescent="0.25">
      <c r="N20" s="367"/>
      <c r="P20" s="367"/>
      <c r="R20" s="367" t="s">
        <v>253</v>
      </c>
    </row>
    <row r="21" spans="14:18" x14ac:dyDescent="0.25">
      <c r="N21" s="367"/>
      <c r="P21" s="367"/>
      <c r="R21" s="367" t="s">
        <v>252</v>
      </c>
    </row>
    <row r="22" spans="14:18" x14ac:dyDescent="0.25">
      <c r="N22" s="367"/>
      <c r="P22" s="367"/>
      <c r="R22" s="367" t="s">
        <v>251</v>
      </c>
    </row>
    <row r="23" spans="14:18" x14ac:dyDescent="0.25">
      <c r="N23" s="367"/>
      <c r="P23" s="367"/>
      <c r="R23" s="367" t="s">
        <v>884</v>
      </c>
    </row>
    <row r="24" spans="14:18" x14ac:dyDescent="0.25">
      <c r="N24" s="367"/>
      <c r="P24" s="367"/>
      <c r="R24" s="367" t="s">
        <v>250</v>
      </c>
    </row>
    <row r="25" spans="14:18" x14ac:dyDescent="0.25">
      <c r="N25" s="367"/>
      <c r="P25" s="367"/>
      <c r="R25" s="367" t="s">
        <v>249</v>
      </c>
    </row>
    <row r="26" spans="14:18" x14ac:dyDescent="0.25">
      <c r="N26" s="367"/>
      <c r="P26" s="367"/>
      <c r="R26" s="367" t="s">
        <v>248</v>
      </c>
    </row>
    <row r="27" spans="14:18" x14ac:dyDescent="0.25">
      <c r="N27" s="367"/>
      <c r="P27" s="367"/>
      <c r="R27" s="367" t="s">
        <v>247</v>
      </c>
    </row>
    <row r="28" spans="14:18" x14ac:dyDescent="0.25">
      <c r="N28" s="367"/>
      <c r="P28" s="367"/>
      <c r="R28" s="367" t="s">
        <v>246</v>
      </c>
    </row>
    <row r="29" spans="14:18" x14ac:dyDescent="0.25">
      <c r="N29" s="367"/>
      <c r="P29" s="367"/>
      <c r="R29" s="367" t="s">
        <v>245</v>
      </c>
    </row>
    <row r="30" spans="14:18" x14ac:dyDescent="0.25">
      <c r="N30" s="367"/>
      <c r="P30" s="367"/>
      <c r="R30" s="367" t="s">
        <v>244</v>
      </c>
    </row>
    <row r="31" spans="14:18" x14ac:dyDescent="0.25">
      <c r="N31" s="367"/>
      <c r="P31" s="367"/>
      <c r="R31" s="367" t="s">
        <v>883</v>
      </c>
    </row>
    <row r="32" spans="14:18" x14ac:dyDescent="0.25">
      <c r="N32" s="367"/>
      <c r="P32" s="367"/>
      <c r="R32" s="367" t="s">
        <v>882</v>
      </c>
    </row>
    <row r="33" spans="14:18" x14ac:dyDescent="0.25">
      <c r="N33" s="367"/>
      <c r="P33" s="367"/>
      <c r="R33" s="367" t="s">
        <v>241</v>
      </c>
    </row>
    <row r="34" spans="14:18" x14ac:dyDescent="0.25">
      <c r="N34" s="367"/>
      <c r="P34" s="367"/>
      <c r="R34" s="367" t="s">
        <v>240</v>
      </c>
    </row>
    <row r="35" spans="14:18" x14ac:dyDescent="0.25">
      <c r="N35" s="367"/>
      <c r="P35" s="367"/>
      <c r="R35" s="367" t="s">
        <v>239</v>
      </c>
    </row>
    <row r="36" spans="14:18" x14ac:dyDescent="0.25">
      <c r="N36" s="367"/>
      <c r="P36" s="367"/>
      <c r="R36" s="367" t="s">
        <v>238</v>
      </c>
    </row>
    <row r="37" spans="14:18" x14ac:dyDescent="0.25">
      <c r="N37" s="367"/>
      <c r="P37" s="367"/>
      <c r="R37" s="367" t="s">
        <v>237</v>
      </c>
    </row>
    <row r="38" spans="14:18" x14ac:dyDescent="0.25">
      <c r="N38" s="367"/>
      <c r="P38" s="367"/>
      <c r="R38" s="367" t="s">
        <v>236</v>
      </c>
    </row>
    <row r="39" spans="14:18" x14ac:dyDescent="0.25">
      <c r="N39" s="367"/>
      <c r="P39" s="367"/>
      <c r="R39" s="367" t="s">
        <v>235</v>
      </c>
    </row>
    <row r="40" spans="14:18" x14ac:dyDescent="0.25">
      <c r="N40" s="367"/>
      <c r="P40" s="367"/>
      <c r="R40" s="367" t="s">
        <v>234</v>
      </c>
    </row>
    <row r="41" spans="14:18" x14ac:dyDescent="0.25">
      <c r="N41" s="367"/>
      <c r="P41" s="367"/>
      <c r="R41" s="367" t="s">
        <v>233</v>
      </c>
    </row>
    <row r="42" spans="14:18" x14ac:dyDescent="0.25">
      <c r="N42" s="367"/>
      <c r="P42" s="367"/>
      <c r="R42" s="365" t="s">
        <v>881</v>
      </c>
    </row>
    <row r="43" spans="14:18" x14ac:dyDescent="0.25">
      <c r="N43" s="367"/>
      <c r="P43" s="367"/>
      <c r="R43" s="365" t="s">
        <v>881</v>
      </c>
    </row>
    <row r="44" spans="14:18" x14ac:dyDescent="0.25">
      <c r="N44" s="367"/>
      <c r="P44" s="367"/>
      <c r="R44" s="365" t="s">
        <v>184</v>
      </c>
    </row>
    <row r="45" spans="14:18" x14ac:dyDescent="0.25">
      <c r="N45" s="367"/>
      <c r="P45" s="367"/>
      <c r="R45" s="365" t="s">
        <v>184</v>
      </c>
    </row>
    <row r="46" spans="14:18" x14ac:dyDescent="0.25">
      <c r="N46" s="367"/>
      <c r="P46" s="367"/>
      <c r="R46" s="365" t="s">
        <v>184</v>
      </c>
    </row>
    <row r="47" spans="14:18" x14ac:dyDescent="0.25">
      <c r="N47" s="367"/>
      <c r="P47" s="367"/>
      <c r="R47" s="365" t="s">
        <v>184</v>
      </c>
    </row>
    <row r="48" spans="14:18" x14ac:dyDescent="0.25">
      <c r="N48" s="367"/>
      <c r="P48" s="367"/>
      <c r="R48" s="365" t="s">
        <v>184</v>
      </c>
    </row>
    <row r="49" spans="1:18" x14ac:dyDescent="0.25">
      <c r="N49" s="367"/>
      <c r="P49" s="367"/>
      <c r="R49" s="365" t="s">
        <v>184</v>
      </c>
    </row>
    <row r="50" spans="1:18" x14ac:dyDescent="0.25">
      <c r="A50" s="365">
        <v>3</v>
      </c>
      <c r="B50" s="365" t="s">
        <v>1247</v>
      </c>
      <c r="J50" s="365"/>
      <c r="K50" s="365"/>
      <c r="L50" s="365"/>
      <c r="M50" s="365"/>
      <c r="R50" s="365" t="s">
        <v>184</v>
      </c>
    </row>
    <row r="51" spans="1:18" x14ac:dyDescent="0.25">
      <c r="A51" s="365">
        <v>3</v>
      </c>
      <c r="B51" s="365" t="s">
        <v>932</v>
      </c>
      <c r="J51" s="365"/>
      <c r="K51" s="365"/>
      <c r="L51" s="365"/>
      <c r="M51" s="365"/>
      <c r="R51" s="365" t="s">
        <v>184</v>
      </c>
    </row>
    <row r="52" spans="1:18" x14ac:dyDescent="0.25">
      <c r="A52" s="365">
        <v>3</v>
      </c>
      <c r="B52" s="365" t="s">
        <v>880</v>
      </c>
      <c r="J52" s="365"/>
      <c r="K52" s="365"/>
      <c r="L52" s="365"/>
      <c r="M52" s="365"/>
      <c r="R52" s="365" t="s">
        <v>184</v>
      </c>
    </row>
    <row r="53" spans="1:18" x14ac:dyDescent="0.25">
      <c r="A53" s="365">
        <v>3</v>
      </c>
      <c r="B53" s="365" t="s">
        <v>879</v>
      </c>
      <c r="J53" s="365"/>
      <c r="K53" s="365"/>
      <c r="L53" s="365"/>
      <c r="M53" s="365"/>
      <c r="R53" s="365" t="s">
        <v>184</v>
      </c>
    </row>
    <row r="54" spans="1:18" x14ac:dyDescent="0.25">
      <c r="A54" s="365">
        <v>3</v>
      </c>
      <c r="B54" s="365" t="s">
        <v>878</v>
      </c>
      <c r="J54" s="365"/>
      <c r="K54" s="365"/>
      <c r="L54" s="365"/>
      <c r="M54" s="365"/>
      <c r="R54" s="365" t="s">
        <v>184</v>
      </c>
    </row>
    <row r="55" spans="1:18" x14ac:dyDescent="0.25">
      <c r="A55" s="365">
        <v>3</v>
      </c>
      <c r="B55" s="365" t="s">
        <v>877</v>
      </c>
      <c r="J55" s="365"/>
      <c r="K55" s="365"/>
      <c r="L55" s="365"/>
      <c r="M55" s="365"/>
      <c r="R55" s="365" t="s">
        <v>184</v>
      </c>
    </row>
    <row r="56" spans="1:18" x14ac:dyDescent="0.25">
      <c r="A56" s="365">
        <v>3</v>
      </c>
      <c r="B56" s="365" t="s">
        <v>876</v>
      </c>
      <c r="J56" s="365"/>
      <c r="K56" s="365"/>
      <c r="L56" s="365"/>
      <c r="M56" s="365"/>
      <c r="R56" s="365" t="s">
        <v>184</v>
      </c>
    </row>
    <row r="57" spans="1:18" x14ac:dyDescent="0.25">
      <c r="A57" s="365">
        <v>3</v>
      </c>
      <c r="B57" s="365" t="s">
        <v>875</v>
      </c>
      <c r="J57" s="365"/>
      <c r="K57" s="365"/>
      <c r="L57" s="365"/>
      <c r="M57" s="365"/>
      <c r="R57" s="365" t="s">
        <v>184</v>
      </c>
    </row>
    <row r="58" spans="1:18" x14ac:dyDescent="0.25">
      <c r="A58" s="365">
        <v>3</v>
      </c>
      <c r="B58" s="365" t="s">
        <v>874</v>
      </c>
      <c r="J58" s="365"/>
      <c r="K58" s="365"/>
      <c r="L58" s="365"/>
      <c r="M58" s="365"/>
      <c r="R58" s="365" t="s">
        <v>184</v>
      </c>
    </row>
    <row r="59" spans="1:18" x14ac:dyDescent="0.25">
      <c r="A59" s="365">
        <v>3</v>
      </c>
      <c r="B59" s="365" t="s">
        <v>873</v>
      </c>
      <c r="J59" s="365"/>
      <c r="K59" s="365"/>
      <c r="L59" s="365"/>
      <c r="M59" s="365"/>
      <c r="R59" s="365" t="s">
        <v>184</v>
      </c>
    </row>
    <row r="60" spans="1:18" x14ac:dyDescent="0.25">
      <c r="A60" s="365">
        <v>3</v>
      </c>
      <c r="B60" s="365" t="s">
        <v>872</v>
      </c>
      <c r="J60" s="365"/>
      <c r="K60" s="365"/>
      <c r="L60" s="365"/>
      <c r="M60" s="365"/>
      <c r="R60" s="365" t="s">
        <v>184</v>
      </c>
    </row>
    <row r="61" spans="1:18" x14ac:dyDescent="0.25">
      <c r="A61" s="365">
        <v>3</v>
      </c>
      <c r="B61" s="365" t="s">
        <v>871</v>
      </c>
      <c r="J61" s="365"/>
      <c r="K61" s="365"/>
      <c r="L61" s="365"/>
      <c r="M61" s="365"/>
      <c r="R61" s="365" t="s">
        <v>184</v>
      </c>
    </row>
    <row r="62" spans="1:18" x14ac:dyDescent="0.25">
      <c r="A62" s="365">
        <v>3</v>
      </c>
      <c r="B62" s="365" t="s">
        <v>870</v>
      </c>
      <c r="J62" s="365"/>
      <c r="K62" s="365"/>
      <c r="L62" s="365"/>
      <c r="M62" s="365"/>
      <c r="R62" s="365" t="s">
        <v>184</v>
      </c>
    </row>
    <row r="63" spans="1:18" x14ac:dyDescent="0.25">
      <c r="A63" s="365">
        <v>3</v>
      </c>
      <c r="B63" s="365" t="s">
        <v>869</v>
      </c>
      <c r="J63" s="365"/>
      <c r="K63" s="365"/>
      <c r="L63" s="365"/>
      <c r="M63" s="365"/>
      <c r="R63" s="365" t="s">
        <v>184</v>
      </c>
    </row>
    <row r="64" spans="1:18" x14ac:dyDescent="0.25">
      <c r="A64" s="365">
        <v>3</v>
      </c>
      <c r="B64" s="365" t="s">
        <v>868</v>
      </c>
      <c r="J64" s="365"/>
      <c r="K64" s="365"/>
      <c r="L64" s="365"/>
      <c r="M64" s="365"/>
      <c r="R64" s="365" t="s">
        <v>184</v>
      </c>
    </row>
    <row r="65" spans="1:18" x14ac:dyDescent="0.25">
      <c r="A65" s="365">
        <v>3</v>
      </c>
      <c r="B65" s="365" t="s">
        <v>867</v>
      </c>
      <c r="J65" s="365"/>
      <c r="K65" s="365"/>
      <c r="L65" s="365"/>
      <c r="M65" s="365"/>
      <c r="R65" s="365" t="s">
        <v>184</v>
      </c>
    </row>
    <row r="66" spans="1:18" x14ac:dyDescent="0.25">
      <c r="A66" s="365">
        <v>3</v>
      </c>
      <c r="B66" s="365" t="s">
        <v>866</v>
      </c>
      <c r="J66" s="365"/>
      <c r="K66" s="365"/>
      <c r="L66" s="365"/>
      <c r="M66" s="365"/>
      <c r="R66" s="365" t="s">
        <v>184</v>
      </c>
    </row>
    <row r="67" spans="1:18" x14ac:dyDescent="0.25">
      <c r="A67" s="365">
        <v>3</v>
      </c>
      <c r="B67" s="365" t="s">
        <v>865</v>
      </c>
      <c r="J67" s="365"/>
      <c r="K67" s="365"/>
      <c r="L67" s="365"/>
      <c r="M67" s="365"/>
      <c r="R67" s="365" t="s">
        <v>184</v>
      </c>
    </row>
    <row r="68" spans="1:18" x14ac:dyDescent="0.25">
      <c r="A68" s="365">
        <v>3</v>
      </c>
      <c r="B68" s="365" t="s">
        <v>864</v>
      </c>
      <c r="J68" s="365"/>
      <c r="K68" s="365"/>
      <c r="L68" s="365"/>
      <c r="M68" s="365"/>
      <c r="R68" s="365" t="s">
        <v>184</v>
      </c>
    </row>
    <row r="69" spans="1:18" x14ac:dyDescent="0.25">
      <c r="A69" s="365">
        <v>3</v>
      </c>
      <c r="B69" s="365" t="s">
        <v>863</v>
      </c>
      <c r="J69" s="365"/>
      <c r="K69" s="365"/>
      <c r="L69" s="365"/>
      <c r="M69" s="365"/>
      <c r="R69" s="365" t="s">
        <v>184</v>
      </c>
    </row>
    <row r="70" spans="1:18" x14ac:dyDescent="0.25">
      <c r="A70" s="365">
        <v>3</v>
      </c>
      <c r="B70" s="365" t="s">
        <v>862</v>
      </c>
      <c r="J70" s="365"/>
      <c r="K70" s="365"/>
      <c r="L70" s="365"/>
      <c r="M70" s="365"/>
      <c r="R70" s="365" t="s">
        <v>184</v>
      </c>
    </row>
    <row r="71" spans="1:18" x14ac:dyDescent="0.25">
      <c r="A71" s="365">
        <v>3</v>
      </c>
      <c r="B71" s="365" t="s">
        <v>861</v>
      </c>
      <c r="J71" s="365"/>
      <c r="K71" s="365"/>
      <c r="L71" s="365"/>
      <c r="M71" s="365"/>
      <c r="R71" s="365" t="s">
        <v>184</v>
      </c>
    </row>
    <row r="72" spans="1:18" x14ac:dyDescent="0.25">
      <c r="A72" s="365">
        <v>3</v>
      </c>
      <c r="B72" s="365" t="s">
        <v>860</v>
      </c>
      <c r="J72" s="365"/>
      <c r="K72" s="365"/>
      <c r="L72" s="365"/>
      <c r="M72" s="365"/>
      <c r="R72" s="365" t="s">
        <v>184</v>
      </c>
    </row>
    <row r="73" spans="1:18" x14ac:dyDescent="0.25">
      <c r="A73" s="365">
        <v>3</v>
      </c>
      <c r="B73" s="365" t="s">
        <v>859</v>
      </c>
      <c r="J73" s="365"/>
      <c r="K73" s="365"/>
      <c r="L73" s="365"/>
      <c r="M73" s="365"/>
      <c r="R73" s="365" t="s">
        <v>184</v>
      </c>
    </row>
    <row r="74" spans="1:18" x14ac:dyDescent="0.25">
      <c r="A74" s="365">
        <v>3</v>
      </c>
      <c r="B74" s="365" t="s">
        <v>858</v>
      </c>
      <c r="J74" s="365"/>
      <c r="K74" s="365"/>
      <c r="L74" s="365"/>
      <c r="M74" s="365"/>
      <c r="R74" s="365" t="s">
        <v>184</v>
      </c>
    </row>
    <row r="75" spans="1:18" x14ac:dyDescent="0.25">
      <c r="A75" s="365">
        <v>3</v>
      </c>
      <c r="B75" s="365" t="s">
        <v>857</v>
      </c>
      <c r="J75" s="365"/>
      <c r="K75" s="365"/>
      <c r="L75" s="365"/>
      <c r="M75" s="365"/>
      <c r="R75" s="365" t="s">
        <v>184</v>
      </c>
    </row>
    <row r="76" spans="1:18" x14ac:dyDescent="0.25">
      <c r="A76" s="365">
        <v>3</v>
      </c>
      <c r="B76" s="365" t="s">
        <v>856</v>
      </c>
      <c r="J76" s="365"/>
      <c r="K76" s="365"/>
      <c r="L76" s="365"/>
      <c r="M76" s="365"/>
      <c r="R76" s="365" t="s">
        <v>184</v>
      </c>
    </row>
    <row r="77" spans="1:18" x14ac:dyDescent="0.25">
      <c r="A77" s="365">
        <v>3</v>
      </c>
      <c r="B77" s="365" t="s">
        <v>855</v>
      </c>
      <c r="J77" s="365"/>
      <c r="K77" s="365"/>
      <c r="L77" s="365"/>
      <c r="M77" s="365"/>
      <c r="R77" s="365" t="s">
        <v>184</v>
      </c>
    </row>
    <row r="78" spans="1:18" x14ac:dyDescent="0.25">
      <c r="A78" s="365">
        <v>3</v>
      </c>
      <c r="B78" s="365" t="s">
        <v>854</v>
      </c>
      <c r="J78" s="365"/>
      <c r="K78" s="365"/>
      <c r="L78" s="365"/>
      <c r="M78" s="365"/>
      <c r="R78" s="365" t="s">
        <v>184</v>
      </c>
    </row>
    <row r="79" spans="1:18" x14ac:dyDescent="0.25">
      <c r="A79" s="365">
        <v>3</v>
      </c>
      <c r="B79" s="365" t="s">
        <v>853</v>
      </c>
      <c r="J79" s="365"/>
      <c r="K79" s="365"/>
      <c r="L79" s="365"/>
      <c r="M79" s="365"/>
      <c r="R79" s="365" t="s">
        <v>184</v>
      </c>
    </row>
    <row r="80" spans="1:18" x14ac:dyDescent="0.25">
      <c r="A80" s="365">
        <v>3</v>
      </c>
      <c r="B80" s="365" t="s">
        <v>852</v>
      </c>
      <c r="J80" s="365"/>
      <c r="K80" s="365"/>
      <c r="L80" s="365"/>
      <c r="M80" s="365"/>
      <c r="R80" s="365" t="s">
        <v>184</v>
      </c>
    </row>
    <row r="81" spans="1:18" x14ac:dyDescent="0.25">
      <c r="A81" s="365">
        <v>3</v>
      </c>
      <c r="B81" s="365" t="s">
        <v>851</v>
      </c>
      <c r="J81" s="365"/>
      <c r="K81" s="365"/>
      <c r="L81" s="365"/>
      <c r="M81" s="365"/>
      <c r="R81" s="365" t="s">
        <v>184</v>
      </c>
    </row>
    <row r="82" spans="1:18" x14ac:dyDescent="0.25">
      <c r="A82" s="365">
        <v>3</v>
      </c>
      <c r="B82" s="365" t="s">
        <v>850</v>
      </c>
      <c r="J82" s="365"/>
      <c r="K82" s="365"/>
      <c r="L82" s="365"/>
      <c r="M82" s="365"/>
      <c r="R82" s="365" t="s">
        <v>184</v>
      </c>
    </row>
    <row r="83" spans="1:18" x14ac:dyDescent="0.25">
      <c r="A83" s="365">
        <v>3</v>
      </c>
      <c r="B83" s="365" t="s">
        <v>849</v>
      </c>
      <c r="J83" s="365"/>
      <c r="K83" s="365"/>
      <c r="L83" s="365"/>
      <c r="M83" s="365"/>
      <c r="R83" s="365" t="s">
        <v>184</v>
      </c>
    </row>
    <row r="84" spans="1:18" x14ac:dyDescent="0.25">
      <c r="A84" s="365">
        <v>3</v>
      </c>
      <c r="B84" s="365" t="s">
        <v>848</v>
      </c>
      <c r="J84" s="365"/>
      <c r="K84" s="365"/>
      <c r="L84" s="365"/>
      <c r="M84" s="365"/>
      <c r="R84" s="365" t="s">
        <v>184</v>
      </c>
    </row>
    <row r="85" spans="1:18" x14ac:dyDescent="0.25">
      <c r="A85" s="365">
        <v>3</v>
      </c>
      <c r="B85" s="365" t="s">
        <v>847</v>
      </c>
      <c r="J85" s="365"/>
      <c r="K85" s="365"/>
      <c r="L85" s="365"/>
      <c r="M85" s="365"/>
      <c r="R85" s="365" t="s">
        <v>184</v>
      </c>
    </row>
    <row r="86" spans="1:18" x14ac:dyDescent="0.25">
      <c r="A86" s="365">
        <v>3</v>
      </c>
      <c r="B86" s="365" t="s">
        <v>1252</v>
      </c>
      <c r="J86" s="365"/>
      <c r="K86" s="365"/>
      <c r="L86" s="365"/>
      <c r="M86" s="365"/>
    </row>
    <row r="87" spans="1:18" x14ac:dyDescent="0.25">
      <c r="A87" s="365">
        <v>3</v>
      </c>
      <c r="B87" s="365" t="s">
        <v>846</v>
      </c>
      <c r="J87" s="365"/>
      <c r="K87" s="365"/>
      <c r="L87" s="365"/>
      <c r="M87" s="365"/>
      <c r="R87" s="365" t="s">
        <v>184</v>
      </c>
    </row>
    <row r="88" spans="1:18" x14ac:dyDescent="0.25">
      <c r="A88" s="365">
        <v>3</v>
      </c>
      <c r="B88" s="365" t="s">
        <v>845</v>
      </c>
      <c r="J88" s="365"/>
      <c r="K88" s="365"/>
      <c r="L88" s="365"/>
      <c r="M88" s="365"/>
      <c r="R88" s="365" t="s">
        <v>184</v>
      </c>
    </row>
    <row r="89" spans="1:18" x14ac:dyDescent="0.25">
      <c r="A89" s="365">
        <v>3</v>
      </c>
      <c r="B89" s="365" t="s">
        <v>844</v>
      </c>
      <c r="J89" s="365"/>
      <c r="K89" s="365"/>
      <c r="L89" s="365"/>
      <c r="M89" s="365"/>
      <c r="R89" s="365" t="s">
        <v>184</v>
      </c>
    </row>
    <row r="90" spans="1:18" x14ac:dyDescent="0.25">
      <c r="A90" s="365">
        <v>3</v>
      </c>
      <c r="B90" s="365" t="s">
        <v>843</v>
      </c>
      <c r="J90" s="365"/>
      <c r="K90" s="365"/>
      <c r="L90" s="365"/>
      <c r="M90" s="365"/>
      <c r="R90" s="365" t="s">
        <v>184</v>
      </c>
    </row>
    <row r="91" spans="1:18" x14ac:dyDescent="0.25">
      <c r="A91" s="365">
        <v>3</v>
      </c>
      <c r="B91" s="365" t="s">
        <v>842</v>
      </c>
      <c r="J91" s="365"/>
      <c r="K91" s="365"/>
      <c r="L91" s="365"/>
      <c r="M91" s="365"/>
      <c r="R91" s="365" t="s">
        <v>184</v>
      </c>
    </row>
    <row r="92" spans="1:18" x14ac:dyDescent="0.25">
      <c r="A92" s="365">
        <v>3</v>
      </c>
      <c r="B92" s="365" t="s">
        <v>841</v>
      </c>
      <c r="J92" s="365"/>
      <c r="K92" s="365"/>
      <c r="L92" s="365"/>
      <c r="M92" s="365"/>
      <c r="R92" s="365" t="s">
        <v>184</v>
      </c>
    </row>
    <row r="93" spans="1:18" x14ac:dyDescent="0.25">
      <c r="A93" s="365">
        <v>3</v>
      </c>
      <c r="B93" s="365" t="s">
        <v>840</v>
      </c>
      <c r="J93" s="365"/>
      <c r="K93" s="365"/>
      <c r="L93" s="365"/>
      <c r="M93" s="365"/>
      <c r="R93" s="365" t="s">
        <v>184</v>
      </c>
    </row>
    <row r="94" spans="1:18" x14ac:dyDescent="0.25">
      <c r="A94" s="365">
        <v>3</v>
      </c>
      <c r="B94" s="365" t="s">
        <v>839</v>
      </c>
      <c r="J94" s="365"/>
      <c r="K94" s="365"/>
      <c r="L94" s="365"/>
      <c r="M94" s="365"/>
      <c r="R94" s="365" t="s">
        <v>184</v>
      </c>
    </row>
    <row r="95" spans="1:18" x14ac:dyDescent="0.25">
      <c r="A95" s="365">
        <v>3</v>
      </c>
      <c r="B95" s="365" t="s">
        <v>838</v>
      </c>
      <c r="J95" s="365"/>
      <c r="K95" s="365"/>
      <c r="L95" s="365"/>
      <c r="M95" s="365"/>
      <c r="R95" s="365" t="s">
        <v>184</v>
      </c>
    </row>
    <row r="96" spans="1:18" x14ac:dyDescent="0.25">
      <c r="A96" s="365">
        <v>3</v>
      </c>
      <c r="B96" s="365" t="s">
        <v>837</v>
      </c>
      <c r="J96" s="365"/>
      <c r="K96" s="365"/>
      <c r="L96" s="365"/>
      <c r="M96" s="365"/>
      <c r="R96" s="365" t="s">
        <v>184</v>
      </c>
    </row>
    <row r="97" spans="1:18" x14ac:dyDescent="0.25">
      <c r="A97" s="365">
        <v>3</v>
      </c>
      <c r="B97" s="365" t="s">
        <v>836</v>
      </c>
      <c r="J97" s="365"/>
      <c r="K97" s="365"/>
      <c r="L97" s="365"/>
      <c r="M97" s="365"/>
      <c r="R97" s="365" t="s">
        <v>184</v>
      </c>
    </row>
    <row r="98" spans="1:18" x14ac:dyDescent="0.25">
      <c r="A98" s="365">
        <v>3</v>
      </c>
      <c r="B98" s="365" t="s">
        <v>835</v>
      </c>
      <c r="J98" s="365"/>
      <c r="K98" s="365"/>
      <c r="L98" s="365"/>
      <c r="M98" s="365"/>
      <c r="R98" s="365" t="s">
        <v>184</v>
      </c>
    </row>
    <row r="99" spans="1:18" x14ac:dyDescent="0.25">
      <c r="A99" s="365">
        <v>3</v>
      </c>
      <c r="B99" s="365" t="s">
        <v>834</v>
      </c>
      <c r="J99" s="365"/>
      <c r="K99" s="365"/>
      <c r="L99" s="365"/>
      <c r="M99" s="365"/>
      <c r="R99" s="365" t="s">
        <v>184</v>
      </c>
    </row>
    <row r="100" spans="1:18" x14ac:dyDescent="0.25">
      <c r="A100" s="365">
        <v>3</v>
      </c>
      <c r="B100" s="365" t="s">
        <v>833</v>
      </c>
      <c r="J100" s="365"/>
      <c r="K100" s="365"/>
      <c r="L100" s="365"/>
      <c r="M100" s="365"/>
      <c r="R100" s="365" t="s">
        <v>184</v>
      </c>
    </row>
    <row r="101" spans="1:18" x14ac:dyDescent="0.25">
      <c r="A101" s="365">
        <v>3</v>
      </c>
      <c r="B101" s="365" t="s">
        <v>832</v>
      </c>
      <c r="J101" s="365"/>
      <c r="K101" s="365"/>
      <c r="L101" s="365"/>
      <c r="M101" s="365"/>
      <c r="R101" s="365" t="s">
        <v>184</v>
      </c>
    </row>
    <row r="102" spans="1:18" x14ac:dyDescent="0.25">
      <c r="A102" s="365">
        <v>3</v>
      </c>
      <c r="B102" s="365" t="s">
        <v>831</v>
      </c>
      <c r="J102" s="365"/>
      <c r="K102" s="365"/>
      <c r="L102" s="365"/>
      <c r="M102" s="365"/>
      <c r="R102" s="365" t="s">
        <v>184</v>
      </c>
    </row>
    <row r="103" spans="1:18" x14ac:dyDescent="0.25">
      <c r="A103" s="365">
        <v>3</v>
      </c>
      <c r="B103" s="365" t="s">
        <v>830</v>
      </c>
      <c r="J103" s="365"/>
      <c r="K103" s="365"/>
      <c r="L103" s="365"/>
      <c r="M103" s="365"/>
      <c r="R103" s="365" t="s">
        <v>184</v>
      </c>
    </row>
    <row r="104" spans="1:18" x14ac:dyDescent="0.25">
      <c r="A104" s="365">
        <v>3</v>
      </c>
      <c r="B104" s="365" t="s">
        <v>829</v>
      </c>
      <c r="J104" s="365"/>
      <c r="K104" s="365"/>
      <c r="L104" s="365"/>
      <c r="M104" s="365"/>
      <c r="R104" s="365" t="s">
        <v>184</v>
      </c>
    </row>
    <row r="105" spans="1:18" x14ac:dyDescent="0.25">
      <c r="A105" s="365">
        <v>3</v>
      </c>
      <c r="B105" s="365" t="s">
        <v>828</v>
      </c>
      <c r="J105" s="365"/>
      <c r="K105" s="365"/>
      <c r="L105" s="365"/>
      <c r="M105" s="365"/>
      <c r="R105" s="365" t="s">
        <v>184</v>
      </c>
    </row>
    <row r="106" spans="1:18" x14ac:dyDescent="0.25">
      <c r="A106" s="365">
        <v>3</v>
      </c>
      <c r="B106" s="365" t="s">
        <v>827</v>
      </c>
      <c r="J106" s="365"/>
      <c r="K106" s="365"/>
      <c r="L106" s="365"/>
      <c r="M106" s="365"/>
      <c r="R106" s="365" t="s">
        <v>184</v>
      </c>
    </row>
    <row r="107" spans="1:18" x14ac:dyDescent="0.25">
      <c r="A107" s="365">
        <v>3</v>
      </c>
      <c r="B107" s="365" t="s">
        <v>826</v>
      </c>
      <c r="J107" s="365"/>
      <c r="K107" s="365"/>
      <c r="L107" s="365"/>
      <c r="M107" s="365"/>
      <c r="R107" s="365" t="s">
        <v>184</v>
      </c>
    </row>
    <row r="108" spans="1:18" x14ac:dyDescent="0.25">
      <c r="A108" s="365">
        <v>3</v>
      </c>
      <c r="B108" s="365" t="s">
        <v>825</v>
      </c>
      <c r="J108" s="365"/>
      <c r="K108" s="365"/>
      <c r="L108" s="365"/>
      <c r="M108" s="365"/>
      <c r="R108" s="365" t="s">
        <v>184</v>
      </c>
    </row>
    <row r="109" spans="1:18" x14ac:dyDescent="0.25">
      <c r="A109" s="365">
        <v>3</v>
      </c>
      <c r="B109" s="365" t="s">
        <v>824</v>
      </c>
      <c r="J109" s="365"/>
      <c r="K109" s="365"/>
      <c r="L109" s="365"/>
      <c r="M109" s="365"/>
      <c r="R109" s="365" t="s">
        <v>184</v>
      </c>
    </row>
    <row r="110" spans="1:18" x14ac:dyDescent="0.25">
      <c r="A110" s="365">
        <v>3</v>
      </c>
      <c r="B110" s="365" t="s">
        <v>823</v>
      </c>
      <c r="J110" s="365"/>
      <c r="K110" s="365"/>
      <c r="L110" s="365"/>
      <c r="M110" s="365"/>
      <c r="R110" s="365" t="s">
        <v>184</v>
      </c>
    </row>
    <row r="111" spans="1:18" x14ac:dyDescent="0.25">
      <c r="A111" s="365">
        <v>3</v>
      </c>
      <c r="B111" s="365" t="s">
        <v>822</v>
      </c>
      <c r="J111" s="365"/>
      <c r="K111" s="365"/>
      <c r="L111" s="365"/>
      <c r="M111" s="365"/>
      <c r="R111" s="365" t="s">
        <v>184</v>
      </c>
    </row>
    <row r="112" spans="1:18" x14ac:dyDescent="0.25">
      <c r="A112" s="365">
        <v>3</v>
      </c>
      <c r="B112" s="365" t="s">
        <v>821</v>
      </c>
      <c r="J112" s="365"/>
      <c r="K112" s="365"/>
      <c r="L112" s="365"/>
      <c r="M112" s="365"/>
      <c r="R112" s="365" t="s">
        <v>184</v>
      </c>
    </row>
    <row r="113" spans="1:18" x14ac:dyDescent="0.25">
      <c r="A113" s="365">
        <v>3</v>
      </c>
      <c r="B113" s="365" t="s">
        <v>820</v>
      </c>
      <c r="J113" s="365"/>
      <c r="K113" s="365"/>
      <c r="L113" s="365"/>
      <c r="M113" s="365"/>
      <c r="R113" s="365" t="s">
        <v>184</v>
      </c>
    </row>
    <row r="114" spans="1:18" x14ac:dyDescent="0.25">
      <c r="A114" s="365">
        <v>3</v>
      </c>
      <c r="B114" s="365" t="s">
        <v>1251</v>
      </c>
      <c r="J114" s="365"/>
      <c r="K114" s="365"/>
      <c r="L114" s="365"/>
      <c r="M114" s="365"/>
      <c r="R114" s="365" t="s">
        <v>184</v>
      </c>
    </row>
    <row r="115" spans="1:18" x14ac:dyDescent="0.25">
      <c r="A115" s="365">
        <v>3</v>
      </c>
      <c r="B115" s="365" t="s">
        <v>819</v>
      </c>
      <c r="J115" s="365"/>
      <c r="K115" s="365"/>
      <c r="L115" s="365"/>
      <c r="M115" s="365"/>
      <c r="R115" s="365" t="s">
        <v>184</v>
      </c>
    </row>
    <row r="116" spans="1:18" x14ac:dyDescent="0.25">
      <c r="A116" s="365">
        <v>3</v>
      </c>
      <c r="B116" s="365" t="s">
        <v>818</v>
      </c>
      <c r="J116" s="365"/>
      <c r="K116" s="365"/>
      <c r="L116" s="365"/>
      <c r="M116" s="365"/>
      <c r="R116" s="365" t="s">
        <v>184</v>
      </c>
    </row>
    <row r="117" spans="1:18" x14ac:dyDescent="0.25">
      <c r="A117" s="365">
        <v>3</v>
      </c>
      <c r="B117" s="365" t="s">
        <v>817</v>
      </c>
      <c r="J117" s="365"/>
      <c r="K117" s="365"/>
      <c r="L117" s="365"/>
      <c r="M117" s="365"/>
      <c r="R117" s="365" t="s">
        <v>184</v>
      </c>
    </row>
    <row r="118" spans="1:18" x14ac:dyDescent="0.25">
      <c r="A118" s="365">
        <v>3</v>
      </c>
      <c r="B118" s="365" t="s">
        <v>816</v>
      </c>
      <c r="J118" s="365"/>
      <c r="K118" s="365"/>
      <c r="L118" s="365"/>
      <c r="M118" s="365"/>
      <c r="R118" s="365" t="s">
        <v>184</v>
      </c>
    </row>
    <row r="119" spans="1:18" x14ac:dyDescent="0.25">
      <c r="A119" s="365">
        <v>3</v>
      </c>
      <c r="B119" s="365" t="s">
        <v>815</v>
      </c>
      <c r="J119" s="365"/>
      <c r="K119" s="365"/>
      <c r="L119" s="365"/>
      <c r="M119" s="365"/>
      <c r="R119" s="365" t="s">
        <v>184</v>
      </c>
    </row>
    <row r="120" spans="1:18" x14ac:dyDescent="0.25">
      <c r="A120" s="365">
        <v>3</v>
      </c>
      <c r="B120" s="365" t="s">
        <v>814</v>
      </c>
      <c r="J120" s="365"/>
      <c r="K120" s="365"/>
      <c r="L120" s="365"/>
      <c r="M120" s="365"/>
      <c r="R120" s="365" t="s">
        <v>184</v>
      </c>
    </row>
    <row r="121" spans="1:18" x14ac:dyDescent="0.25">
      <c r="A121" s="365">
        <v>3</v>
      </c>
      <c r="B121" s="365" t="s">
        <v>813</v>
      </c>
      <c r="J121" s="365"/>
      <c r="K121" s="365"/>
      <c r="L121" s="365"/>
      <c r="M121" s="365"/>
      <c r="R121" s="365" t="s">
        <v>184</v>
      </c>
    </row>
    <row r="122" spans="1:18" x14ac:dyDescent="0.25">
      <c r="A122" s="365">
        <v>4</v>
      </c>
      <c r="B122" s="365" t="s">
        <v>812</v>
      </c>
      <c r="J122" s="365"/>
      <c r="K122" s="365"/>
      <c r="L122" s="365"/>
      <c r="M122" s="365"/>
      <c r="R122" s="365" t="s">
        <v>184</v>
      </c>
    </row>
    <row r="123" spans="1:18" x14ac:dyDescent="0.25">
      <c r="A123" s="365">
        <v>4</v>
      </c>
      <c r="B123" s="365" t="s">
        <v>811</v>
      </c>
      <c r="J123" s="365"/>
      <c r="K123" s="365"/>
      <c r="L123" s="365"/>
      <c r="M123" s="365"/>
      <c r="R123" s="365" t="s">
        <v>184</v>
      </c>
    </row>
    <row r="124" spans="1:18" x14ac:dyDescent="0.25">
      <c r="A124" s="365">
        <v>4</v>
      </c>
      <c r="B124" s="365" t="s">
        <v>810</v>
      </c>
      <c r="J124" s="365"/>
      <c r="K124" s="365"/>
      <c r="L124" s="365"/>
      <c r="M124" s="365"/>
      <c r="R124" s="365" t="s">
        <v>184</v>
      </c>
    </row>
    <row r="125" spans="1:18" x14ac:dyDescent="0.25">
      <c r="A125" s="365">
        <v>4</v>
      </c>
      <c r="B125" s="365" t="s">
        <v>809</v>
      </c>
      <c r="J125" s="365"/>
      <c r="K125" s="365"/>
      <c r="L125" s="365"/>
      <c r="M125" s="365"/>
      <c r="R125" s="365" t="s">
        <v>184</v>
      </c>
    </row>
    <row r="126" spans="1:18" x14ac:dyDescent="0.25">
      <c r="A126" s="365">
        <v>4</v>
      </c>
      <c r="B126" s="365" t="s">
        <v>808</v>
      </c>
      <c r="J126" s="365"/>
      <c r="K126" s="365"/>
      <c r="L126" s="365"/>
      <c r="M126" s="365"/>
      <c r="R126" s="365" t="s">
        <v>184</v>
      </c>
    </row>
    <row r="127" spans="1:18" x14ac:dyDescent="0.25">
      <c r="A127" s="365">
        <v>4</v>
      </c>
      <c r="B127" s="365" t="s">
        <v>807</v>
      </c>
      <c r="J127" s="365"/>
      <c r="K127" s="365"/>
      <c r="L127" s="365"/>
      <c r="M127" s="365"/>
      <c r="R127" s="365" t="s">
        <v>184</v>
      </c>
    </row>
    <row r="128" spans="1:18" x14ac:dyDescent="0.25">
      <c r="A128" s="365">
        <v>4</v>
      </c>
      <c r="B128" s="365" t="s">
        <v>806</v>
      </c>
      <c r="J128" s="365"/>
      <c r="K128" s="365"/>
      <c r="L128" s="365"/>
      <c r="M128" s="365"/>
      <c r="R128" s="365" t="s">
        <v>184</v>
      </c>
    </row>
    <row r="129" spans="1:18" x14ac:dyDescent="0.25">
      <c r="A129" s="365">
        <v>4</v>
      </c>
      <c r="B129" s="365" t="s">
        <v>805</v>
      </c>
      <c r="J129" s="365"/>
      <c r="K129" s="365"/>
      <c r="L129" s="365"/>
      <c r="M129" s="365"/>
      <c r="R129" s="365" t="s">
        <v>184</v>
      </c>
    </row>
    <row r="130" spans="1:18" x14ac:dyDescent="0.25">
      <c r="A130" s="365">
        <v>4</v>
      </c>
      <c r="B130" s="365" t="s">
        <v>804</v>
      </c>
      <c r="J130" s="365"/>
      <c r="K130" s="365"/>
      <c r="L130" s="365"/>
      <c r="M130" s="365"/>
      <c r="R130" s="365" t="s">
        <v>184</v>
      </c>
    </row>
    <row r="131" spans="1:18" x14ac:dyDescent="0.25">
      <c r="A131" s="365">
        <v>4</v>
      </c>
      <c r="B131" s="365" t="s">
        <v>803</v>
      </c>
      <c r="J131" s="365"/>
      <c r="K131" s="365"/>
      <c r="L131" s="365"/>
      <c r="M131" s="365"/>
      <c r="R131" s="365" t="s">
        <v>184</v>
      </c>
    </row>
    <row r="132" spans="1:18" x14ac:dyDescent="0.25">
      <c r="A132" s="365">
        <v>4</v>
      </c>
      <c r="B132" s="365" t="s">
        <v>802</v>
      </c>
      <c r="J132" s="365"/>
      <c r="K132" s="365"/>
      <c r="L132" s="365"/>
      <c r="M132" s="365"/>
      <c r="R132" s="365" t="s">
        <v>184</v>
      </c>
    </row>
    <row r="133" spans="1:18" x14ac:dyDescent="0.25">
      <c r="A133" s="365">
        <v>4</v>
      </c>
      <c r="B133" s="365" t="s">
        <v>801</v>
      </c>
      <c r="J133" s="365"/>
      <c r="K133" s="365"/>
      <c r="L133" s="365"/>
      <c r="M133" s="365"/>
      <c r="R133" s="365" t="s">
        <v>184</v>
      </c>
    </row>
    <row r="134" spans="1:18" x14ac:dyDescent="0.25">
      <c r="A134" s="365">
        <v>4</v>
      </c>
      <c r="B134" s="365" t="s">
        <v>800</v>
      </c>
      <c r="J134" s="365"/>
      <c r="K134" s="365"/>
      <c r="L134" s="365"/>
      <c r="M134" s="365"/>
      <c r="R134" s="365" t="s">
        <v>184</v>
      </c>
    </row>
    <row r="135" spans="1:18" x14ac:dyDescent="0.25">
      <c r="A135" s="365">
        <v>4</v>
      </c>
      <c r="B135" s="365" t="s">
        <v>799</v>
      </c>
      <c r="J135" s="365"/>
      <c r="K135" s="365"/>
      <c r="L135" s="365"/>
      <c r="M135" s="365"/>
      <c r="R135" s="365" t="s">
        <v>184</v>
      </c>
    </row>
    <row r="136" spans="1:18" x14ac:dyDescent="0.25">
      <c r="A136" s="365">
        <v>4</v>
      </c>
      <c r="B136" s="365" t="s">
        <v>798</v>
      </c>
      <c r="J136" s="365"/>
      <c r="K136" s="365"/>
      <c r="L136" s="365"/>
      <c r="M136" s="365"/>
      <c r="R136" s="365" t="s">
        <v>184</v>
      </c>
    </row>
    <row r="137" spans="1:18" x14ac:dyDescent="0.25">
      <c r="A137" s="365">
        <v>4</v>
      </c>
      <c r="B137" s="365" t="s">
        <v>797</v>
      </c>
      <c r="J137" s="365"/>
      <c r="K137" s="365"/>
      <c r="L137" s="365"/>
      <c r="M137" s="365"/>
      <c r="R137" s="365" t="s">
        <v>184</v>
      </c>
    </row>
    <row r="138" spans="1:18" x14ac:dyDescent="0.25">
      <c r="A138" s="365">
        <v>4</v>
      </c>
      <c r="B138" s="365" t="s">
        <v>796</v>
      </c>
      <c r="J138" s="365"/>
      <c r="K138" s="365"/>
      <c r="L138" s="365"/>
      <c r="M138" s="365"/>
      <c r="R138" s="365" t="s">
        <v>184</v>
      </c>
    </row>
    <row r="139" spans="1:18" x14ac:dyDescent="0.25">
      <c r="A139" s="365">
        <v>4</v>
      </c>
      <c r="B139" s="365" t="s">
        <v>795</v>
      </c>
      <c r="J139" s="365"/>
      <c r="K139" s="365"/>
      <c r="L139" s="365"/>
      <c r="M139" s="365"/>
      <c r="R139" s="365" t="s">
        <v>184</v>
      </c>
    </row>
    <row r="140" spans="1:18" x14ac:dyDescent="0.25">
      <c r="A140" s="365">
        <v>4</v>
      </c>
      <c r="B140" s="365" t="s">
        <v>794</v>
      </c>
      <c r="J140" s="365"/>
      <c r="K140" s="365"/>
      <c r="L140" s="365"/>
      <c r="M140" s="365"/>
      <c r="R140" s="365" t="s">
        <v>184</v>
      </c>
    </row>
    <row r="141" spans="1:18" x14ac:dyDescent="0.25">
      <c r="A141" s="365">
        <v>4</v>
      </c>
      <c r="B141" s="365" t="s">
        <v>793</v>
      </c>
      <c r="J141" s="365"/>
      <c r="K141" s="365"/>
      <c r="L141" s="365"/>
      <c r="M141" s="365"/>
      <c r="R141" s="365" t="s">
        <v>184</v>
      </c>
    </row>
    <row r="142" spans="1:18" x14ac:dyDescent="0.25">
      <c r="A142" s="365">
        <v>4</v>
      </c>
      <c r="B142" s="365" t="s">
        <v>792</v>
      </c>
      <c r="J142" s="365"/>
      <c r="K142" s="365"/>
      <c r="L142" s="365"/>
      <c r="M142" s="365"/>
      <c r="R142" s="365" t="s">
        <v>184</v>
      </c>
    </row>
    <row r="143" spans="1:18" x14ac:dyDescent="0.25">
      <c r="A143" s="365">
        <v>4</v>
      </c>
      <c r="B143" s="365" t="s">
        <v>791</v>
      </c>
      <c r="J143" s="365"/>
      <c r="K143" s="365"/>
      <c r="L143" s="365"/>
      <c r="M143" s="365"/>
      <c r="R143" s="365" t="s">
        <v>184</v>
      </c>
    </row>
    <row r="144" spans="1:18" x14ac:dyDescent="0.25">
      <c r="A144" s="365">
        <v>4</v>
      </c>
      <c r="B144" s="365" t="s">
        <v>790</v>
      </c>
      <c r="J144" s="365"/>
      <c r="K144" s="365"/>
      <c r="L144" s="365"/>
      <c r="M144" s="365"/>
      <c r="R144" s="365" t="s">
        <v>184</v>
      </c>
    </row>
    <row r="145" spans="1:18" x14ac:dyDescent="0.25">
      <c r="A145" s="365">
        <v>4</v>
      </c>
      <c r="B145" s="365" t="s">
        <v>789</v>
      </c>
      <c r="J145" s="365"/>
      <c r="K145" s="365"/>
      <c r="L145" s="365"/>
      <c r="M145" s="365"/>
      <c r="R145" s="365" t="s">
        <v>184</v>
      </c>
    </row>
    <row r="146" spans="1:18" x14ac:dyDescent="0.25">
      <c r="A146" s="365">
        <v>4</v>
      </c>
      <c r="B146" s="365" t="s">
        <v>788</v>
      </c>
      <c r="J146" s="365"/>
      <c r="K146" s="365"/>
      <c r="L146" s="365"/>
      <c r="M146" s="365"/>
      <c r="R146" s="365" t="s">
        <v>184</v>
      </c>
    </row>
    <row r="147" spans="1:18" x14ac:dyDescent="0.25">
      <c r="A147" s="365">
        <v>4</v>
      </c>
      <c r="B147" s="365" t="s">
        <v>787</v>
      </c>
      <c r="J147" s="365"/>
      <c r="K147" s="365"/>
      <c r="L147" s="365"/>
      <c r="M147" s="365"/>
      <c r="R147" s="365" t="s">
        <v>184</v>
      </c>
    </row>
    <row r="148" spans="1:18" x14ac:dyDescent="0.25">
      <c r="A148" s="365">
        <v>4</v>
      </c>
      <c r="B148" s="365" t="s">
        <v>786</v>
      </c>
      <c r="J148" s="365"/>
      <c r="K148" s="365"/>
      <c r="L148" s="365"/>
      <c r="M148" s="365"/>
      <c r="R148" s="365" t="s">
        <v>184</v>
      </c>
    </row>
    <row r="149" spans="1:18" x14ac:dyDescent="0.25">
      <c r="A149" s="365">
        <v>4</v>
      </c>
      <c r="B149" s="365" t="s">
        <v>785</v>
      </c>
      <c r="J149" s="365"/>
      <c r="K149" s="365"/>
      <c r="L149" s="365"/>
      <c r="M149" s="365"/>
      <c r="R149" s="365" t="s">
        <v>184</v>
      </c>
    </row>
    <row r="150" spans="1:18" x14ac:dyDescent="0.25">
      <c r="A150" s="365">
        <v>4</v>
      </c>
      <c r="B150" s="365" t="s">
        <v>784</v>
      </c>
      <c r="J150" s="365"/>
      <c r="K150" s="365"/>
      <c r="L150" s="365"/>
      <c r="M150" s="365"/>
      <c r="R150" s="365" t="s">
        <v>184</v>
      </c>
    </row>
    <row r="151" spans="1:18" x14ac:dyDescent="0.25">
      <c r="A151" s="365">
        <v>4</v>
      </c>
      <c r="B151" s="365" t="s">
        <v>783</v>
      </c>
      <c r="J151" s="365"/>
      <c r="K151" s="365"/>
      <c r="L151" s="365"/>
      <c r="M151" s="365"/>
      <c r="R151" s="365" t="s">
        <v>184</v>
      </c>
    </row>
    <row r="152" spans="1:18" x14ac:dyDescent="0.25">
      <c r="A152" s="365">
        <v>4</v>
      </c>
      <c r="B152" s="365" t="s">
        <v>782</v>
      </c>
      <c r="J152" s="365"/>
      <c r="K152" s="365"/>
      <c r="L152" s="365"/>
      <c r="M152" s="365"/>
      <c r="R152" s="365" t="s">
        <v>184</v>
      </c>
    </row>
    <row r="153" spans="1:18" x14ac:dyDescent="0.25">
      <c r="A153" s="365">
        <v>4</v>
      </c>
      <c r="B153" s="365" t="s">
        <v>781</v>
      </c>
      <c r="J153" s="365"/>
      <c r="K153" s="365"/>
      <c r="L153" s="365"/>
      <c r="M153" s="365"/>
      <c r="R153" s="365" t="s">
        <v>184</v>
      </c>
    </row>
    <row r="154" spans="1:18" x14ac:dyDescent="0.25">
      <c r="A154" s="365">
        <v>4</v>
      </c>
      <c r="B154" s="365" t="s">
        <v>780</v>
      </c>
      <c r="J154" s="365"/>
      <c r="K154" s="365"/>
      <c r="L154" s="365"/>
      <c r="M154" s="365"/>
      <c r="R154" s="365" t="s">
        <v>184</v>
      </c>
    </row>
    <row r="155" spans="1:18" x14ac:dyDescent="0.25">
      <c r="A155" s="365">
        <v>4</v>
      </c>
      <c r="B155" s="365" t="s">
        <v>779</v>
      </c>
      <c r="J155" s="365"/>
      <c r="K155" s="365"/>
      <c r="L155" s="365"/>
      <c r="M155" s="365"/>
      <c r="R155" s="365" t="s">
        <v>184</v>
      </c>
    </row>
    <row r="156" spans="1:18" x14ac:dyDescent="0.25">
      <c r="A156" s="365">
        <v>4</v>
      </c>
      <c r="B156" s="365" t="s">
        <v>1250</v>
      </c>
      <c r="J156" s="365"/>
      <c r="K156" s="365"/>
      <c r="L156" s="365"/>
      <c r="M156" s="365"/>
      <c r="R156" s="365" t="s">
        <v>184</v>
      </c>
    </row>
    <row r="157" spans="1:18" x14ac:dyDescent="0.25">
      <c r="A157" s="365">
        <v>4</v>
      </c>
      <c r="B157" s="365" t="s">
        <v>778</v>
      </c>
      <c r="J157" s="365"/>
      <c r="K157" s="365"/>
      <c r="L157" s="365"/>
      <c r="M157" s="365"/>
      <c r="R157" s="365" t="s">
        <v>184</v>
      </c>
    </row>
    <row r="158" spans="1:18" x14ac:dyDescent="0.25">
      <c r="A158" s="365">
        <v>4</v>
      </c>
      <c r="B158" s="365" t="s">
        <v>777</v>
      </c>
      <c r="J158" s="365"/>
      <c r="K158" s="365"/>
      <c r="L158" s="365"/>
      <c r="M158" s="365"/>
      <c r="R158" s="365" t="s">
        <v>184</v>
      </c>
    </row>
    <row r="159" spans="1:18" x14ac:dyDescent="0.25">
      <c r="A159" s="365">
        <v>4</v>
      </c>
      <c r="B159" s="365" t="s">
        <v>776</v>
      </c>
      <c r="J159" s="365"/>
      <c r="K159" s="365"/>
      <c r="L159" s="365"/>
      <c r="M159" s="365"/>
      <c r="R159" s="365" t="s">
        <v>184</v>
      </c>
    </row>
    <row r="160" spans="1:18" x14ac:dyDescent="0.25">
      <c r="A160" s="365">
        <v>4</v>
      </c>
      <c r="B160" s="365" t="s">
        <v>775</v>
      </c>
      <c r="J160" s="365"/>
      <c r="K160" s="365"/>
      <c r="L160" s="365"/>
      <c r="M160" s="365"/>
      <c r="R160" s="365" t="s">
        <v>184</v>
      </c>
    </row>
    <row r="161" spans="1:18" x14ac:dyDescent="0.25">
      <c r="A161" s="365">
        <v>4</v>
      </c>
      <c r="B161" s="365" t="s">
        <v>774</v>
      </c>
      <c r="J161" s="365"/>
      <c r="K161" s="365"/>
      <c r="L161" s="365"/>
      <c r="M161" s="365"/>
      <c r="R161" s="365" t="s">
        <v>184</v>
      </c>
    </row>
    <row r="162" spans="1:18" x14ac:dyDescent="0.25">
      <c r="A162" s="365">
        <v>4</v>
      </c>
      <c r="B162" s="365" t="s">
        <v>773</v>
      </c>
      <c r="J162" s="365"/>
      <c r="K162" s="365"/>
      <c r="L162" s="365"/>
      <c r="M162" s="365"/>
      <c r="R162" s="365" t="s">
        <v>184</v>
      </c>
    </row>
    <row r="163" spans="1:18" x14ac:dyDescent="0.25">
      <c r="A163" s="365">
        <v>4</v>
      </c>
      <c r="B163" s="365" t="s">
        <v>772</v>
      </c>
      <c r="J163" s="365"/>
      <c r="K163" s="365"/>
      <c r="L163" s="365"/>
      <c r="M163" s="365"/>
      <c r="R163" s="365" t="s">
        <v>184</v>
      </c>
    </row>
    <row r="164" spans="1:18" x14ac:dyDescent="0.25">
      <c r="A164" s="365">
        <v>4</v>
      </c>
      <c r="B164" s="365" t="s">
        <v>771</v>
      </c>
      <c r="J164" s="365"/>
      <c r="K164" s="365"/>
      <c r="L164" s="365"/>
      <c r="M164" s="365"/>
      <c r="R164" s="365" t="s">
        <v>184</v>
      </c>
    </row>
    <row r="165" spans="1:18" x14ac:dyDescent="0.25">
      <c r="A165" s="365">
        <v>4</v>
      </c>
      <c r="B165" s="365" t="s">
        <v>770</v>
      </c>
      <c r="J165" s="365"/>
      <c r="K165" s="365"/>
      <c r="L165" s="365"/>
      <c r="M165" s="365"/>
      <c r="R165" s="365" t="s">
        <v>184</v>
      </c>
    </row>
    <row r="166" spans="1:18" x14ac:dyDescent="0.25">
      <c r="A166" s="365">
        <v>4</v>
      </c>
      <c r="B166" s="365" t="s">
        <v>769</v>
      </c>
      <c r="J166" s="365"/>
      <c r="K166" s="365"/>
      <c r="L166" s="365"/>
      <c r="M166" s="365"/>
      <c r="R166" s="365" t="s">
        <v>184</v>
      </c>
    </row>
    <row r="167" spans="1:18" x14ac:dyDescent="0.25">
      <c r="A167" s="365">
        <v>4</v>
      </c>
      <c r="B167" s="365" t="s">
        <v>768</v>
      </c>
      <c r="J167" s="365"/>
      <c r="K167" s="365"/>
      <c r="L167" s="365"/>
      <c r="M167" s="365"/>
      <c r="R167" s="365" t="s">
        <v>184</v>
      </c>
    </row>
    <row r="168" spans="1:18" x14ac:dyDescent="0.25">
      <c r="A168" s="365">
        <v>4</v>
      </c>
      <c r="B168" s="365" t="s">
        <v>767</v>
      </c>
      <c r="J168" s="365"/>
      <c r="K168" s="365"/>
      <c r="L168" s="365"/>
      <c r="M168" s="365"/>
      <c r="R168" s="365" t="s">
        <v>184</v>
      </c>
    </row>
    <row r="169" spans="1:18" x14ac:dyDescent="0.25">
      <c r="A169" s="365">
        <v>4</v>
      </c>
      <c r="B169" s="365" t="s">
        <v>766</v>
      </c>
      <c r="J169" s="365"/>
      <c r="K169" s="365"/>
      <c r="L169" s="365"/>
      <c r="M169" s="365"/>
      <c r="R169" s="365" t="s">
        <v>184</v>
      </c>
    </row>
    <row r="170" spans="1:18" x14ac:dyDescent="0.25">
      <c r="A170" s="365">
        <v>4</v>
      </c>
      <c r="B170" s="365" t="s">
        <v>765</v>
      </c>
      <c r="J170" s="365"/>
      <c r="K170" s="365"/>
      <c r="L170" s="365"/>
      <c r="M170" s="365"/>
      <c r="R170" s="365" t="s">
        <v>184</v>
      </c>
    </row>
    <row r="171" spans="1:18" x14ac:dyDescent="0.25">
      <c r="A171" s="365">
        <v>4</v>
      </c>
      <c r="B171" s="365" t="s">
        <v>764</v>
      </c>
      <c r="J171" s="365"/>
      <c r="K171" s="365"/>
      <c r="L171" s="365"/>
      <c r="M171" s="365"/>
      <c r="R171" s="365" t="s">
        <v>184</v>
      </c>
    </row>
    <row r="172" spans="1:18" x14ac:dyDescent="0.25">
      <c r="A172" s="365">
        <v>4</v>
      </c>
      <c r="B172" s="365" t="s">
        <v>763</v>
      </c>
      <c r="J172" s="365"/>
      <c r="K172" s="365"/>
      <c r="L172" s="365"/>
      <c r="M172" s="365"/>
      <c r="R172" s="365" t="s">
        <v>184</v>
      </c>
    </row>
    <row r="173" spans="1:18" x14ac:dyDescent="0.25">
      <c r="A173" s="365">
        <v>4</v>
      </c>
      <c r="B173" s="365" t="s">
        <v>762</v>
      </c>
      <c r="J173" s="365"/>
      <c r="K173" s="365"/>
      <c r="L173" s="365"/>
      <c r="M173" s="365"/>
      <c r="R173" s="365" t="s">
        <v>184</v>
      </c>
    </row>
    <row r="174" spans="1:18" x14ac:dyDescent="0.25">
      <c r="A174" s="365">
        <v>4</v>
      </c>
      <c r="B174" s="365" t="s">
        <v>761</v>
      </c>
      <c r="J174" s="365"/>
      <c r="K174" s="365"/>
      <c r="L174" s="365"/>
      <c r="M174" s="365"/>
      <c r="R174" s="365" t="s">
        <v>184</v>
      </c>
    </row>
    <row r="175" spans="1:18" x14ac:dyDescent="0.25">
      <c r="A175" s="365">
        <v>4</v>
      </c>
      <c r="B175" s="365" t="s">
        <v>760</v>
      </c>
      <c r="J175" s="365"/>
      <c r="K175" s="365"/>
      <c r="L175" s="365"/>
      <c r="M175" s="365"/>
      <c r="R175" s="365" t="s">
        <v>184</v>
      </c>
    </row>
    <row r="176" spans="1:18" x14ac:dyDescent="0.25">
      <c r="A176" s="365">
        <v>4</v>
      </c>
      <c r="B176" s="365" t="s">
        <v>759</v>
      </c>
      <c r="J176" s="365"/>
      <c r="K176" s="365"/>
      <c r="L176" s="365"/>
      <c r="M176" s="365"/>
      <c r="R176" s="365" t="s">
        <v>184</v>
      </c>
    </row>
    <row r="177" spans="1:18" x14ac:dyDescent="0.25">
      <c r="A177" s="365">
        <v>4</v>
      </c>
      <c r="B177" s="365" t="s">
        <v>758</v>
      </c>
      <c r="J177" s="365"/>
      <c r="K177" s="365"/>
      <c r="L177" s="365"/>
      <c r="M177" s="365"/>
      <c r="R177" s="365" t="s">
        <v>184</v>
      </c>
    </row>
    <row r="178" spans="1:18" x14ac:dyDescent="0.25">
      <c r="A178" s="365">
        <v>4</v>
      </c>
      <c r="B178" s="365" t="s">
        <v>757</v>
      </c>
      <c r="J178" s="365"/>
      <c r="K178" s="365"/>
      <c r="L178" s="365"/>
      <c r="M178" s="365"/>
      <c r="R178" s="365" t="s">
        <v>184</v>
      </c>
    </row>
    <row r="179" spans="1:18" x14ac:dyDescent="0.25">
      <c r="A179" s="365">
        <v>4</v>
      </c>
      <c r="B179" s="365" t="s">
        <v>756</v>
      </c>
      <c r="J179" s="365"/>
      <c r="K179" s="365"/>
      <c r="L179" s="365"/>
      <c r="M179" s="365"/>
      <c r="R179" s="365" t="s">
        <v>184</v>
      </c>
    </row>
    <row r="180" spans="1:18" x14ac:dyDescent="0.25">
      <c r="A180" s="365">
        <v>4</v>
      </c>
      <c r="B180" s="365" t="s">
        <v>755</v>
      </c>
      <c r="J180" s="365"/>
      <c r="K180" s="365"/>
      <c r="L180" s="365"/>
      <c r="M180" s="365"/>
      <c r="R180" s="365" t="s">
        <v>184</v>
      </c>
    </row>
    <row r="181" spans="1:18" x14ac:dyDescent="0.25">
      <c r="A181" s="365">
        <v>4</v>
      </c>
      <c r="B181" s="365" t="s">
        <v>754</v>
      </c>
      <c r="J181" s="365"/>
      <c r="K181" s="365"/>
      <c r="L181" s="365"/>
      <c r="M181" s="365"/>
      <c r="R181" s="365" t="s">
        <v>184</v>
      </c>
    </row>
    <row r="182" spans="1:18" x14ac:dyDescent="0.25">
      <c r="A182" s="365">
        <v>4</v>
      </c>
      <c r="B182" s="365" t="s">
        <v>753</v>
      </c>
      <c r="J182" s="365"/>
      <c r="K182" s="365"/>
      <c r="L182" s="365"/>
      <c r="M182" s="365"/>
      <c r="R182" s="365" t="s">
        <v>184</v>
      </c>
    </row>
    <row r="183" spans="1:18" x14ac:dyDescent="0.25">
      <c r="A183" s="365">
        <v>4</v>
      </c>
      <c r="B183" s="365" t="s">
        <v>752</v>
      </c>
      <c r="J183" s="365"/>
      <c r="K183" s="365"/>
      <c r="L183" s="365"/>
      <c r="M183" s="365"/>
      <c r="R183" s="365" t="s">
        <v>184</v>
      </c>
    </row>
    <row r="184" spans="1:18" x14ac:dyDescent="0.25">
      <c r="A184" s="365">
        <v>4</v>
      </c>
      <c r="B184" s="365" t="s">
        <v>751</v>
      </c>
      <c r="J184" s="365"/>
      <c r="K184" s="365"/>
      <c r="L184" s="365"/>
      <c r="M184" s="365"/>
      <c r="R184" s="365" t="s">
        <v>184</v>
      </c>
    </row>
    <row r="185" spans="1:18" x14ac:dyDescent="0.25">
      <c r="A185" s="365">
        <v>4</v>
      </c>
      <c r="B185" s="365" t="s">
        <v>750</v>
      </c>
      <c r="J185" s="365"/>
      <c r="K185" s="365"/>
      <c r="L185" s="365"/>
      <c r="M185" s="365"/>
      <c r="R185" s="365" t="s">
        <v>184</v>
      </c>
    </row>
    <row r="186" spans="1:18" x14ac:dyDescent="0.25">
      <c r="A186" s="365">
        <v>4</v>
      </c>
      <c r="B186" s="365" t="s">
        <v>749</v>
      </c>
      <c r="J186" s="365"/>
      <c r="K186" s="365"/>
      <c r="L186" s="365"/>
      <c r="M186" s="365"/>
      <c r="R186" s="365" t="s">
        <v>184</v>
      </c>
    </row>
    <row r="187" spans="1:18" x14ac:dyDescent="0.25">
      <c r="A187" s="365">
        <v>4</v>
      </c>
      <c r="B187" s="365" t="s">
        <v>748</v>
      </c>
      <c r="J187" s="365"/>
      <c r="K187" s="365"/>
      <c r="L187" s="365"/>
      <c r="M187" s="365"/>
      <c r="R187" s="365" t="s">
        <v>184</v>
      </c>
    </row>
    <row r="188" spans="1:18" x14ac:dyDescent="0.25">
      <c r="A188" s="365">
        <v>4</v>
      </c>
      <c r="B188" s="365" t="s">
        <v>747</v>
      </c>
      <c r="J188" s="365"/>
      <c r="K188" s="365"/>
      <c r="L188" s="365"/>
      <c r="M188" s="365"/>
      <c r="R188" s="365" t="s">
        <v>184</v>
      </c>
    </row>
    <row r="189" spans="1:18" x14ac:dyDescent="0.25">
      <c r="A189" s="365">
        <v>4</v>
      </c>
      <c r="B189" s="365" t="s">
        <v>746</v>
      </c>
      <c r="J189" s="365"/>
      <c r="K189" s="365"/>
      <c r="L189" s="365"/>
      <c r="M189" s="365"/>
      <c r="R189" s="365" t="s">
        <v>184</v>
      </c>
    </row>
    <row r="190" spans="1:18" x14ac:dyDescent="0.25">
      <c r="A190" s="365">
        <v>4</v>
      </c>
      <c r="B190" s="365" t="s">
        <v>745</v>
      </c>
      <c r="J190" s="365"/>
      <c r="K190" s="365"/>
      <c r="L190" s="365"/>
      <c r="M190" s="365"/>
      <c r="R190" s="365" t="s">
        <v>184</v>
      </c>
    </row>
    <row r="191" spans="1:18" x14ac:dyDescent="0.25">
      <c r="A191" s="365">
        <v>4</v>
      </c>
      <c r="B191" s="365" t="s">
        <v>744</v>
      </c>
      <c r="J191" s="365"/>
      <c r="K191" s="365"/>
      <c r="L191" s="365"/>
      <c r="M191" s="365"/>
      <c r="R191" s="365" t="s">
        <v>184</v>
      </c>
    </row>
    <row r="192" spans="1:18" x14ac:dyDescent="0.25">
      <c r="A192" s="365">
        <v>4</v>
      </c>
      <c r="B192" s="365" t="s">
        <v>743</v>
      </c>
      <c r="J192" s="365"/>
      <c r="K192" s="365"/>
      <c r="L192" s="365"/>
      <c r="M192" s="365"/>
      <c r="R192" s="365" t="s">
        <v>184</v>
      </c>
    </row>
    <row r="193" spans="1:18" x14ac:dyDescent="0.25">
      <c r="A193" s="365">
        <v>4</v>
      </c>
      <c r="B193" s="365" t="s">
        <v>742</v>
      </c>
      <c r="J193" s="365"/>
      <c r="K193" s="365"/>
      <c r="L193" s="365"/>
      <c r="M193" s="365"/>
      <c r="R193" s="365" t="s">
        <v>184</v>
      </c>
    </row>
    <row r="194" spans="1:18" x14ac:dyDescent="0.25">
      <c r="A194" s="365">
        <v>4</v>
      </c>
      <c r="B194" s="365" t="s">
        <v>741</v>
      </c>
      <c r="J194" s="365"/>
      <c r="K194" s="365"/>
      <c r="L194" s="365"/>
      <c r="M194" s="365"/>
      <c r="R194" s="365" t="s">
        <v>184</v>
      </c>
    </row>
    <row r="195" spans="1:18" x14ac:dyDescent="0.25">
      <c r="A195" s="365">
        <v>4</v>
      </c>
      <c r="B195" s="365" t="s">
        <v>740</v>
      </c>
      <c r="J195" s="365"/>
      <c r="K195" s="365"/>
      <c r="L195" s="365"/>
      <c r="M195" s="365"/>
      <c r="R195" s="365" t="s">
        <v>184</v>
      </c>
    </row>
    <row r="196" spans="1:18" x14ac:dyDescent="0.25">
      <c r="A196" s="365">
        <v>4</v>
      </c>
      <c r="B196" s="365" t="s">
        <v>739</v>
      </c>
      <c r="J196" s="365"/>
      <c r="K196" s="365"/>
      <c r="L196" s="365"/>
      <c r="M196" s="365"/>
      <c r="R196" s="365" t="s">
        <v>184</v>
      </c>
    </row>
    <row r="197" spans="1:18" x14ac:dyDescent="0.25">
      <c r="A197" s="365">
        <v>4</v>
      </c>
      <c r="B197" s="365" t="s">
        <v>738</v>
      </c>
      <c r="J197" s="365"/>
      <c r="K197" s="365"/>
      <c r="L197" s="365"/>
      <c r="M197" s="365"/>
      <c r="R197" s="365" t="s">
        <v>184</v>
      </c>
    </row>
    <row r="198" spans="1:18" x14ac:dyDescent="0.25">
      <c r="A198" s="365">
        <v>4</v>
      </c>
      <c r="B198" s="365" t="s">
        <v>737</v>
      </c>
      <c r="J198" s="365"/>
      <c r="K198" s="365"/>
      <c r="L198" s="365"/>
      <c r="M198" s="365"/>
      <c r="R198" s="365" t="s">
        <v>184</v>
      </c>
    </row>
    <row r="199" spans="1:18" x14ac:dyDescent="0.25">
      <c r="A199" s="365">
        <v>4</v>
      </c>
      <c r="B199" s="365" t="s">
        <v>736</v>
      </c>
      <c r="J199" s="365"/>
      <c r="K199" s="365"/>
      <c r="L199" s="365"/>
      <c r="M199" s="365"/>
      <c r="R199" s="365" t="s">
        <v>184</v>
      </c>
    </row>
    <row r="200" spans="1:18" x14ac:dyDescent="0.25">
      <c r="A200" s="365">
        <v>4</v>
      </c>
      <c r="B200" s="365" t="s">
        <v>735</v>
      </c>
      <c r="J200" s="365"/>
      <c r="K200" s="365"/>
      <c r="L200" s="365"/>
      <c r="M200" s="365"/>
      <c r="R200" s="365" t="s">
        <v>184</v>
      </c>
    </row>
    <row r="201" spans="1:18" x14ac:dyDescent="0.25">
      <c r="A201" s="365">
        <v>4</v>
      </c>
      <c r="B201" s="365" t="s">
        <v>734</v>
      </c>
      <c r="J201" s="365"/>
      <c r="K201" s="365"/>
      <c r="L201" s="365"/>
      <c r="M201" s="365"/>
      <c r="R201" s="365" t="s">
        <v>184</v>
      </c>
    </row>
    <row r="202" spans="1:18" x14ac:dyDescent="0.25">
      <c r="A202" s="365">
        <v>4</v>
      </c>
      <c r="B202" s="365" t="s">
        <v>733</v>
      </c>
      <c r="J202" s="365"/>
      <c r="K202" s="365"/>
      <c r="L202" s="365"/>
      <c r="M202" s="365"/>
      <c r="R202" s="365" t="s">
        <v>184</v>
      </c>
    </row>
    <row r="203" spans="1:18" x14ac:dyDescent="0.25">
      <c r="A203" s="365">
        <v>4</v>
      </c>
      <c r="B203" s="365" t="s">
        <v>732</v>
      </c>
      <c r="J203" s="365"/>
      <c r="K203" s="365"/>
      <c r="L203" s="365"/>
      <c r="M203" s="365"/>
      <c r="R203" s="365" t="s">
        <v>184</v>
      </c>
    </row>
    <row r="204" spans="1:18" x14ac:dyDescent="0.25">
      <c r="A204" s="365">
        <v>4</v>
      </c>
      <c r="B204" s="365" t="s">
        <v>731</v>
      </c>
      <c r="J204" s="365"/>
      <c r="K204" s="365"/>
      <c r="L204" s="365"/>
      <c r="M204" s="365"/>
      <c r="R204" s="365" t="s">
        <v>184</v>
      </c>
    </row>
    <row r="205" spans="1:18" x14ac:dyDescent="0.25">
      <c r="A205" s="365">
        <v>4</v>
      </c>
      <c r="B205" s="365" t="s">
        <v>730</v>
      </c>
      <c r="J205" s="365"/>
      <c r="K205" s="365"/>
      <c r="L205" s="365"/>
      <c r="M205" s="365"/>
      <c r="R205" s="365" t="s">
        <v>184</v>
      </c>
    </row>
    <row r="206" spans="1:18" x14ac:dyDescent="0.25">
      <c r="A206" s="365">
        <v>4</v>
      </c>
      <c r="B206" s="365" t="s">
        <v>729</v>
      </c>
      <c r="J206" s="365"/>
      <c r="K206" s="365"/>
      <c r="L206" s="365"/>
      <c r="M206" s="365"/>
      <c r="R206" s="365" t="s">
        <v>184</v>
      </c>
    </row>
    <row r="207" spans="1:18" x14ac:dyDescent="0.25">
      <c r="A207" s="365">
        <v>4</v>
      </c>
      <c r="B207" s="365" t="s">
        <v>728</v>
      </c>
      <c r="J207" s="365"/>
      <c r="K207" s="365"/>
      <c r="L207" s="365"/>
      <c r="M207" s="365"/>
      <c r="R207" s="365" t="s">
        <v>184</v>
      </c>
    </row>
    <row r="208" spans="1:18" x14ac:dyDescent="0.25">
      <c r="A208" s="365">
        <v>4</v>
      </c>
      <c r="B208" s="365" t="s">
        <v>727</v>
      </c>
      <c r="J208" s="365"/>
      <c r="K208" s="365"/>
      <c r="L208" s="365"/>
      <c r="M208" s="365"/>
      <c r="R208" s="365" t="s">
        <v>184</v>
      </c>
    </row>
    <row r="209" spans="1:18" x14ac:dyDescent="0.25">
      <c r="A209" s="365">
        <v>4</v>
      </c>
      <c r="B209" s="365" t="s">
        <v>726</v>
      </c>
      <c r="J209" s="365"/>
      <c r="K209" s="365"/>
      <c r="L209" s="365"/>
      <c r="M209" s="365"/>
      <c r="R209" s="365" t="s">
        <v>184</v>
      </c>
    </row>
    <row r="210" spans="1:18" x14ac:dyDescent="0.25">
      <c r="A210" s="365">
        <v>4</v>
      </c>
      <c r="B210" s="365" t="s">
        <v>725</v>
      </c>
      <c r="J210" s="365"/>
      <c r="K210" s="365"/>
      <c r="L210" s="365"/>
      <c r="M210" s="365"/>
      <c r="R210" s="365" t="s">
        <v>184</v>
      </c>
    </row>
    <row r="211" spans="1:18" x14ac:dyDescent="0.25">
      <c r="A211" s="365">
        <v>4</v>
      </c>
      <c r="B211" s="365" t="s">
        <v>724</v>
      </c>
      <c r="J211" s="365"/>
      <c r="K211" s="365"/>
      <c r="L211" s="365"/>
      <c r="M211" s="365"/>
      <c r="R211" s="365" t="s">
        <v>184</v>
      </c>
    </row>
    <row r="212" spans="1:18" x14ac:dyDescent="0.25">
      <c r="A212" s="365">
        <v>4</v>
      </c>
      <c r="B212" s="365" t="s">
        <v>723</v>
      </c>
      <c r="J212" s="365"/>
      <c r="K212" s="365"/>
      <c r="L212" s="365"/>
      <c r="M212" s="365"/>
      <c r="R212" s="365" t="s">
        <v>184</v>
      </c>
    </row>
    <row r="213" spans="1:18" x14ac:dyDescent="0.25">
      <c r="A213" s="365">
        <v>4</v>
      </c>
      <c r="B213" s="365" t="s">
        <v>722</v>
      </c>
      <c r="J213" s="365"/>
      <c r="K213" s="365"/>
      <c r="L213" s="365"/>
      <c r="M213" s="365"/>
      <c r="R213" s="365" t="s">
        <v>184</v>
      </c>
    </row>
    <row r="214" spans="1:18" x14ac:dyDescent="0.25">
      <c r="A214" s="365">
        <v>4</v>
      </c>
      <c r="B214" s="365" t="s">
        <v>721</v>
      </c>
      <c r="J214" s="365"/>
      <c r="K214" s="365"/>
      <c r="L214" s="365"/>
      <c r="M214" s="365"/>
      <c r="R214" s="365" t="s">
        <v>184</v>
      </c>
    </row>
    <row r="215" spans="1:18" x14ac:dyDescent="0.25">
      <c r="A215" s="365">
        <v>4</v>
      </c>
      <c r="B215" s="365" t="s">
        <v>1244</v>
      </c>
      <c r="J215" s="365"/>
      <c r="K215" s="365"/>
      <c r="L215" s="365"/>
      <c r="M215" s="365"/>
      <c r="R215" s="365" t="s">
        <v>184</v>
      </c>
    </row>
    <row r="216" spans="1:18" x14ac:dyDescent="0.25">
      <c r="A216" s="365">
        <v>4</v>
      </c>
      <c r="B216" s="365" t="s">
        <v>720</v>
      </c>
      <c r="J216" s="365"/>
      <c r="K216" s="365"/>
      <c r="L216" s="365"/>
      <c r="M216" s="365"/>
      <c r="R216" s="365" t="s">
        <v>184</v>
      </c>
    </row>
    <row r="217" spans="1:18" x14ac:dyDescent="0.25">
      <c r="A217" s="365">
        <v>4</v>
      </c>
      <c r="B217" s="365" t="s">
        <v>719</v>
      </c>
      <c r="J217" s="365"/>
      <c r="K217" s="365"/>
      <c r="L217" s="365"/>
      <c r="M217" s="365"/>
      <c r="R217" s="365" t="s">
        <v>184</v>
      </c>
    </row>
    <row r="218" spans="1:18" x14ac:dyDescent="0.25">
      <c r="A218" s="365">
        <v>4</v>
      </c>
      <c r="B218" s="365" t="s">
        <v>718</v>
      </c>
      <c r="J218" s="365"/>
      <c r="K218" s="365"/>
      <c r="L218" s="365"/>
      <c r="M218" s="365"/>
      <c r="R218" s="365" t="s">
        <v>184</v>
      </c>
    </row>
    <row r="219" spans="1:18" x14ac:dyDescent="0.25">
      <c r="A219" s="365">
        <v>4</v>
      </c>
      <c r="B219" s="365" t="s">
        <v>717</v>
      </c>
      <c r="J219" s="365"/>
      <c r="K219" s="365"/>
      <c r="L219" s="365"/>
      <c r="M219" s="365"/>
      <c r="R219" s="365" t="s">
        <v>184</v>
      </c>
    </row>
    <row r="220" spans="1:18" x14ac:dyDescent="0.25">
      <c r="A220" s="365">
        <v>4</v>
      </c>
      <c r="B220" s="365" t="s">
        <v>716</v>
      </c>
      <c r="J220" s="365"/>
      <c r="K220" s="365"/>
      <c r="L220" s="365"/>
      <c r="M220" s="365"/>
      <c r="R220" s="365" t="s">
        <v>184</v>
      </c>
    </row>
    <row r="221" spans="1:18" x14ac:dyDescent="0.25">
      <c r="A221" s="365">
        <v>4</v>
      </c>
      <c r="B221" s="365" t="s">
        <v>715</v>
      </c>
      <c r="J221" s="365"/>
      <c r="K221" s="365"/>
      <c r="L221" s="365"/>
      <c r="M221" s="365"/>
      <c r="R221" s="365" t="s">
        <v>184</v>
      </c>
    </row>
    <row r="222" spans="1:18" x14ac:dyDescent="0.25">
      <c r="A222" s="365">
        <v>4</v>
      </c>
      <c r="B222" s="365" t="s">
        <v>714</v>
      </c>
      <c r="J222" s="365"/>
      <c r="K222" s="365"/>
      <c r="L222" s="365"/>
      <c r="M222" s="365"/>
      <c r="R222" s="365" t="s">
        <v>184</v>
      </c>
    </row>
    <row r="223" spans="1:18" x14ac:dyDescent="0.25">
      <c r="A223" s="365">
        <v>4</v>
      </c>
      <c r="B223" s="365" t="s">
        <v>713</v>
      </c>
      <c r="J223" s="365"/>
      <c r="K223" s="365"/>
      <c r="L223" s="365"/>
      <c r="M223" s="365"/>
      <c r="R223" s="365" t="s">
        <v>184</v>
      </c>
    </row>
    <row r="224" spans="1:18" x14ac:dyDescent="0.25">
      <c r="A224" s="365">
        <v>4</v>
      </c>
      <c r="B224" s="365" t="s">
        <v>712</v>
      </c>
      <c r="J224" s="365"/>
      <c r="K224" s="365"/>
      <c r="L224" s="365"/>
      <c r="M224" s="365"/>
      <c r="R224" s="365" t="s">
        <v>184</v>
      </c>
    </row>
    <row r="225" spans="1:18" x14ac:dyDescent="0.25">
      <c r="A225" s="365">
        <v>4</v>
      </c>
      <c r="B225" s="365" t="s">
        <v>711</v>
      </c>
      <c r="J225" s="365"/>
      <c r="K225" s="365"/>
      <c r="L225" s="365"/>
      <c r="M225" s="365"/>
    </row>
    <row r="226" spans="1:18" x14ac:dyDescent="0.25">
      <c r="A226" s="365">
        <v>4</v>
      </c>
      <c r="B226" s="365" t="s">
        <v>710</v>
      </c>
      <c r="J226" s="365"/>
      <c r="K226" s="365"/>
      <c r="L226" s="365"/>
      <c r="M226" s="365"/>
      <c r="R226" s="365" t="s">
        <v>184</v>
      </c>
    </row>
    <row r="227" spans="1:18" x14ac:dyDescent="0.25">
      <c r="A227" s="365">
        <v>4</v>
      </c>
      <c r="B227" s="365" t="s">
        <v>709</v>
      </c>
      <c r="J227" s="365"/>
      <c r="K227" s="365"/>
      <c r="L227" s="365"/>
      <c r="M227" s="365"/>
      <c r="R227" s="365" t="s">
        <v>184</v>
      </c>
    </row>
    <row r="228" spans="1:18" x14ac:dyDescent="0.25">
      <c r="A228" s="365">
        <v>4</v>
      </c>
      <c r="B228" s="365" t="s">
        <v>708</v>
      </c>
      <c r="J228" s="365"/>
      <c r="K228" s="365"/>
      <c r="L228" s="365"/>
      <c r="M228" s="365"/>
      <c r="R228" s="365" t="s">
        <v>184</v>
      </c>
    </row>
    <row r="229" spans="1:18" x14ac:dyDescent="0.25">
      <c r="A229" s="365">
        <v>4</v>
      </c>
      <c r="B229" s="365" t="s">
        <v>707</v>
      </c>
      <c r="J229" s="365"/>
      <c r="K229" s="365"/>
      <c r="L229" s="365"/>
      <c r="M229" s="365"/>
      <c r="R229" s="365" t="s">
        <v>184</v>
      </c>
    </row>
    <row r="230" spans="1:18" x14ac:dyDescent="0.25">
      <c r="A230" s="365">
        <v>4</v>
      </c>
      <c r="B230" s="365" t="s">
        <v>706</v>
      </c>
      <c r="J230" s="365"/>
      <c r="K230" s="365"/>
      <c r="L230" s="365"/>
      <c r="M230" s="365"/>
      <c r="R230" s="365" t="s">
        <v>184</v>
      </c>
    </row>
    <row r="231" spans="1:18" x14ac:dyDescent="0.25">
      <c r="A231" s="365">
        <v>4</v>
      </c>
      <c r="B231" s="365" t="s">
        <v>705</v>
      </c>
      <c r="J231" s="365"/>
      <c r="K231" s="365"/>
      <c r="L231" s="365"/>
      <c r="M231" s="365"/>
      <c r="R231" s="365" t="s">
        <v>184</v>
      </c>
    </row>
    <row r="232" spans="1:18" x14ac:dyDescent="0.25">
      <c r="A232" s="365">
        <v>4</v>
      </c>
      <c r="B232" s="365" t="s">
        <v>704</v>
      </c>
      <c r="J232" s="365"/>
      <c r="K232" s="365"/>
      <c r="L232" s="365"/>
      <c r="M232" s="365"/>
      <c r="R232" s="365" t="s">
        <v>184</v>
      </c>
    </row>
    <row r="233" spans="1:18" x14ac:dyDescent="0.25">
      <c r="A233" s="365">
        <v>4</v>
      </c>
      <c r="B233" s="365" t="s">
        <v>703</v>
      </c>
      <c r="J233" s="365"/>
      <c r="K233" s="365"/>
      <c r="L233" s="365"/>
      <c r="M233" s="365"/>
      <c r="R233" s="365" t="s">
        <v>184</v>
      </c>
    </row>
    <row r="234" spans="1:18" x14ac:dyDescent="0.25">
      <c r="A234" s="365">
        <v>4</v>
      </c>
      <c r="B234" s="365" t="s">
        <v>702</v>
      </c>
      <c r="J234" s="365"/>
      <c r="K234" s="365"/>
      <c r="L234" s="365"/>
      <c r="M234" s="365"/>
      <c r="R234" s="365" t="s">
        <v>184</v>
      </c>
    </row>
    <row r="235" spans="1:18" x14ac:dyDescent="0.25">
      <c r="A235" s="365">
        <v>4</v>
      </c>
      <c r="B235" s="365" t="s">
        <v>701</v>
      </c>
      <c r="J235" s="365"/>
      <c r="K235" s="365"/>
      <c r="L235" s="365"/>
      <c r="M235" s="365"/>
      <c r="R235" s="365" t="s">
        <v>184</v>
      </c>
    </row>
    <row r="236" spans="1:18" x14ac:dyDescent="0.25">
      <c r="A236" s="365">
        <v>4</v>
      </c>
      <c r="B236" s="365" t="s">
        <v>700</v>
      </c>
      <c r="J236" s="365"/>
      <c r="K236" s="365"/>
      <c r="L236" s="365"/>
      <c r="M236" s="365"/>
      <c r="R236" s="365" t="s">
        <v>184</v>
      </c>
    </row>
    <row r="237" spans="1:18" x14ac:dyDescent="0.25">
      <c r="A237" s="365">
        <v>4</v>
      </c>
      <c r="B237" s="365" t="s">
        <v>699</v>
      </c>
      <c r="J237" s="365"/>
      <c r="K237" s="365"/>
      <c r="L237" s="365"/>
      <c r="M237" s="365"/>
      <c r="R237" s="365" t="s">
        <v>184</v>
      </c>
    </row>
    <row r="238" spans="1:18" x14ac:dyDescent="0.25">
      <c r="A238" s="365">
        <v>4</v>
      </c>
      <c r="B238" s="365" t="s">
        <v>698</v>
      </c>
      <c r="J238" s="365"/>
      <c r="K238" s="365"/>
      <c r="L238" s="365"/>
      <c r="M238" s="365"/>
      <c r="R238" s="365" t="s">
        <v>184</v>
      </c>
    </row>
    <row r="239" spans="1:18" x14ac:dyDescent="0.25">
      <c r="A239" s="365">
        <v>4</v>
      </c>
      <c r="B239" s="365" t="s">
        <v>697</v>
      </c>
      <c r="J239" s="365"/>
      <c r="K239" s="365"/>
      <c r="L239" s="365"/>
      <c r="M239" s="365"/>
      <c r="R239" s="365" t="s">
        <v>184</v>
      </c>
    </row>
    <row r="240" spans="1:18" x14ac:dyDescent="0.25">
      <c r="A240" s="365">
        <v>4</v>
      </c>
      <c r="B240" s="365" t="s">
        <v>696</v>
      </c>
      <c r="J240" s="365"/>
      <c r="K240" s="365"/>
      <c r="L240" s="365"/>
      <c r="M240" s="365"/>
      <c r="R240" s="365" t="s">
        <v>184</v>
      </c>
    </row>
    <row r="241" spans="1:18" x14ac:dyDescent="0.25">
      <c r="A241" s="365">
        <v>4</v>
      </c>
      <c r="B241" s="365" t="s">
        <v>695</v>
      </c>
      <c r="J241" s="365"/>
      <c r="K241" s="365"/>
      <c r="L241" s="365"/>
      <c r="M241" s="365"/>
      <c r="R241" s="365" t="s">
        <v>184</v>
      </c>
    </row>
    <row r="242" spans="1:18" x14ac:dyDescent="0.25">
      <c r="A242" s="365">
        <v>4</v>
      </c>
      <c r="B242" s="365" t="s">
        <v>694</v>
      </c>
      <c r="J242" s="365"/>
      <c r="K242" s="365"/>
      <c r="L242" s="365"/>
      <c r="M242" s="365"/>
      <c r="R242" s="365" t="s">
        <v>184</v>
      </c>
    </row>
    <row r="243" spans="1:18" x14ac:dyDescent="0.25">
      <c r="A243" s="365">
        <v>4</v>
      </c>
      <c r="B243" s="365" t="s">
        <v>693</v>
      </c>
      <c r="J243" s="365"/>
      <c r="K243" s="365"/>
      <c r="L243" s="365"/>
      <c r="M243" s="365"/>
      <c r="R243" s="365" t="s">
        <v>184</v>
      </c>
    </row>
    <row r="244" spans="1:18" x14ac:dyDescent="0.25">
      <c r="A244" s="365">
        <v>4</v>
      </c>
      <c r="B244" s="365" t="s">
        <v>692</v>
      </c>
      <c r="J244" s="365"/>
      <c r="K244" s="365"/>
      <c r="L244" s="365"/>
      <c r="M244" s="365"/>
      <c r="R244" s="365" t="s">
        <v>184</v>
      </c>
    </row>
    <row r="245" spans="1:18" x14ac:dyDescent="0.25">
      <c r="A245" s="365">
        <v>4</v>
      </c>
      <c r="B245" s="365" t="s">
        <v>691</v>
      </c>
      <c r="J245" s="365"/>
      <c r="K245" s="365"/>
      <c r="L245" s="365"/>
      <c r="M245" s="365"/>
      <c r="R245" s="365" t="s">
        <v>184</v>
      </c>
    </row>
    <row r="246" spans="1:18" x14ac:dyDescent="0.25">
      <c r="A246" s="365">
        <v>4</v>
      </c>
      <c r="B246" s="365" t="s">
        <v>690</v>
      </c>
      <c r="J246" s="365"/>
      <c r="K246" s="365"/>
      <c r="L246" s="365"/>
      <c r="M246" s="365"/>
      <c r="R246" s="365" t="s">
        <v>184</v>
      </c>
    </row>
    <row r="247" spans="1:18" x14ac:dyDescent="0.25">
      <c r="A247" s="365">
        <v>4</v>
      </c>
      <c r="B247" s="365" t="s">
        <v>689</v>
      </c>
      <c r="J247" s="365"/>
      <c r="K247" s="365"/>
      <c r="L247" s="365"/>
      <c r="M247" s="365"/>
      <c r="R247" s="365" t="s">
        <v>184</v>
      </c>
    </row>
    <row r="248" spans="1:18" x14ac:dyDescent="0.25">
      <c r="A248" s="365">
        <v>4</v>
      </c>
      <c r="B248" s="365" t="s">
        <v>688</v>
      </c>
      <c r="J248" s="365"/>
      <c r="K248" s="365"/>
      <c r="L248" s="365"/>
      <c r="M248" s="365"/>
      <c r="R248" s="365" t="s">
        <v>184</v>
      </c>
    </row>
    <row r="249" spans="1:18" x14ac:dyDescent="0.25">
      <c r="A249" s="365">
        <v>4</v>
      </c>
      <c r="B249" s="365" t="s">
        <v>687</v>
      </c>
      <c r="J249" s="365"/>
      <c r="K249" s="365"/>
      <c r="L249" s="365"/>
      <c r="M249" s="365"/>
      <c r="R249" s="365" t="s">
        <v>184</v>
      </c>
    </row>
    <row r="250" spans="1:18" x14ac:dyDescent="0.25">
      <c r="A250" s="365">
        <v>4</v>
      </c>
      <c r="B250" s="365" t="s">
        <v>686</v>
      </c>
      <c r="J250" s="365"/>
      <c r="K250" s="365"/>
      <c r="L250" s="365"/>
      <c r="M250" s="365"/>
      <c r="R250" s="365" t="s">
        <v>184</v>
      </c>
    </row>
    <row r="251" spans="1:18" x14ac:dyDescent="0.25">
      <c r="A251" s="365">
        <v>4</v>
      </c>
      <c r="B251" s="365" t="s">
        <v>685</v>
      </c>
      <c r="J251" s="365"/>
      <c r="K251" s="365"/>
      <c r="L251" s="365"/>
      <c r="M251" s="365"/>
      <c r="R251" s="365" t="s">
        <v>184</v>
      </c>
    </row>
    <row r="252" spans="1:18" x14ac:dyDescent="0.25">
      <c r="A252" s="365">
        <v>4</v>
      </c>
      <c r="B252" s="365" t="s">
        <v>684</v>
      </c>
      <c r="J252" s="365"/>
      <c r="K252" s="365"/>
      <c r="L252" s="365"/>
      <c r="M252" s="365"/>
      <c r="R252" s="365" t="s">
        <v>184</v>
      </c>
    </row>
    <row r="253" spans="1:18" x14ac:dyDescent="0.25">
      <c r="A253" s="365">
        <v>4</v>
      </c>
      <c r="B253" s="365" t="s">
        <v>683</v>
      </c>
      <c r="J253" s="365"/>
      <c r="K253" s="365"/>
      <c r="L253" s="365"/>
      <c r="M253" s="365"/>
      <c r="R253" s="365" t="s">
        <v>184</v>
      </c>
    </row>
    <row r="254" spans="1:18" x14ac:dyDescent="0.25">
      <c r="A254" s="365">
        <v>4</v>
      </c>
      <c r="B254" s="365" t="s">
        <v>682</v>
      </c>
      <c r="J254" s="365"/>
      <c r="K254" s="365"/>
      <c r="L254" s="365"/>
      <c r="M254" s="365"/>
      <c r="R254" s="365" t="s">
        <v>184</v>
      </c>
    </row>
    <row r="255" spans="1:18" x14ac:dyDescent="0.25">
      <c r="A255" s="365">
        <v>4</v>
      </c>
      <c r="B255" s="365" t="s">
        <v>681</v>
      </c>
      <c r="J255" s="365"/>
      <c r="K255" s="365"/>
      <c r="L255" s="365"/>
      <c r="M255" s="365"/>
      <c r="R255" s="365" t="s">
        <v>184</v>
      </c>
    </row>
    <row r="256" spans="1:18" x14ac:dyDescent="0.25">
      <c r="A256" s="365">
        <v>4</v>
      </c>
      <c r="B256" s="365" t="s">
        <v>680</v>
      </c>
      <c r="J256" s="365"/>
      <c r="K256" s="365"/>
      <c r="L256" s="365"/>
      <c r="M256" s="365"/>
      <c r="R256" s="365" t="s">
        <v>184</v>
      </c>
    </row>
    <row r="257" spans="1:18" x14ac:dyDescent="0.25">
      <c r="A257" s="365">
        <v>4</v>
      </c>
      <c r="B257" s="365" t="s">
        <v>679</v>
      </c>
      <c r="J257" s="365"/>
      <c r="K257" s="365"/>
      <c r="L257" s="365"/>
      <c r="M257" s="365"/>
      <c r="R257" s="365" t="s">
        <v>184</v>
      </c>
    </row>
    <row r="258" spans="1:18" x14ac:dyDescent="0.25">
      <c r="A258" s="365">
        <v>4</v>
      </c>
      <c r="B258" s="365" t="s">
        <v>1249</v>
      </c>
      <c r="J258" s="365"/>
      <c r="K258" s="365"/>
      <c r="L258" s="365"/>
      <c r="M258" s="365"/>
      <c r="R258" s="365" t="s">
        <v>184</v>
      </c>
    </row>
    <row r="259" spans="1:18" x14ac:dyDescent="0.25">
      <c r="A259" s="365">
        <v>4</v>
      </c>
      <c r="B259" s="365" t="s">
        <v>678</v>
      </c>
      <c r="J259" s="365"/>
      <c r="K259" s="365"/>
      <c r="L259" s="365"/>
      <c r="M259" s="365"/>
      <c r="R259" s="365" t="s">
        <v>184</v>
      </c>
    </row>
    <row r="260" spans="1:18" x14ac:dyDescent="0.25">
      <c r="A260" s="365">
        <v>4</v>
      </c>
      <c r="B260" s="365" t="s">
        <v>677</v>
      </c>
      <c r="J260" s="365"/>
      <c r="K260" s="365"/>
      <c r="L260" s="365"/>
      <c r="M260" s="365"/>
      <c r="R260" s="365" t="s">
        <v>184</v>
      </c>
    </row>
    <row r="261" spans="1:18" x14ac:dyDescent="0.25">
      <c r="A261" s="365">
        <v>4</v>
      </c>
      <c r="B261" s="365" t="s">
        <v>676</v>
      </c>
      <c r="J261" s="365"/>
      <c r="K261" s="365"/>
      <c r="L261" s="365"/>
      <c r="M261" s="365"/>
      <c r="R261" s="365" t="s">
        <v>184</v>
      </c>
    </row>
    <row r="262" spans="1:18" x14ac:dyDescent="0.25">
      <c r="A262" s="365">
        <v>4</v>
      </c>
      <c r="B262" s="365" t="s">
        <v>675</v>
      </c>
      <c r="J262" s="365"/>
      <c r="K262" s="365"/>
      <c r="L262" s="365"/>
      <c r="M262" s="365"/>
      <c r="R262" s="365" t="s">
        <v>184</v>
      </c>
    </row>
    <row r="263" spans="1:18" x14ac:dyDescent="0.25">
      <c r="A263" s="365">
        <v>4</v>
      </c>
      <c r="B263" s="365" t="s">
        <v>674</v>
      </c>
      <c r="J263" s="365"/>
      <c r="K263" s="365"/>
      <c r="L263" s="365"/>
      <c r="M263" s="365"/>
      <c r="R263" s="365" t="s">
        <v>184</v>
      </c>
    </row>
    <row r="264" spans="1:18" x14ac:dyDescent="0.25">
      <c r="A264" s="365">
        <v>4</v>
      </c>
      <c r="B264" s="365" t="s">
        <v>673</v>
      </c>
      <c r="J264" s="365"/>
      <c r="K264" s="365"/>
      <c r="L264" s="365"/>
      <c r="M264" s="365"/>
      <c r="R264" s="365" t="s">
        <v>184</v>
      </c>
    </row>
    <row r="265" spans="1:18" x14ac:dyDescent="0.25">
      <c r="A265" s="365">
        <v>4</v>
      </c>
      <c r="B265" s="365" t="s">
        <v>672</v>
      </c>
      <c r="J265" s="365"/>
      <c r="K265" s="365"/>
      <c r="L265" s="365"/>
      <c r="M265" s="365"/>
      <c r="R265" s="365" t="s">
        <v>184</v>
      </c>
    </row>
    <row r="266" spans="1:18" x14ac:dyDescent="0.25">
      <c r="A266" s="365">
        <v>4</v>
      </c>
      <c r="B266" s="365" t="s">
        <v>671</v>
      </c>
      <c r="J266" s="365"/>
      <c r="K266" s="365"/>
      <c r="L266" s="365"/>
      <c r="M266" s="365"/>
      <c r="R266" s="365" t="s">
        <v>184</v>
      </c>
    </row>
    <row r="267" spans="1:18" x14ac:dyDescent="0.25">
      <c r="A267" s="365">
        <v>4</v>
      </c>
      <c r="B267" s="365" t="s">
        <v>1246</v>
      </c>
      <c r="J267" s="365"/>
      <c r="K267" s="365"/>
      <c r="L267" s="365"/>
      <c r="M267" s="365"/>
      <c r="R267" s="365" t="s">
        <v>184</v>
      </c>
    </row>
    <row r="268" spans="1:18" x14ac:dyDescent="0.25">
      <c r="A268" s="365">
        <v>4</v>
      </c>
      <c r="B268" s="365" t="s">
        <v>670</v>
      </c>
      <c r="J268" s="365"/>
      <c r="K268" s="365"/>
      <c r="L268" s="365"/>
      <c r="M268" s="365"/>
      <c r="R268" s="365" t="s">
        <v>184</v>
      </c>
    </row>
    <row r="269" spans="1:18" x14ac:dyDescent="0.25">
      <c r="A269" s="365">
        <v>4</v>
      </c>
      <c r="B269" s="365" t="s">
        <v>669</v>
      </c>
      <c r="J269" s="365"/>
      <c r="K269" s="365"/>
      <c r="L269" s="365"/>
      <c r="M269" s="365"/>
      <c r="R269" s="365" t="s">
        <v>184</v>
      </c>
    </row>
    <row r="270" spans="1:18" x14ac:dyDescent="0.25">
      <c r="A270" s="365">
        <v>4</v>
      </c>
      <c r="B270" s="365" t="s">
        <v>668</v>
      </c>
      <c r="J270" s="365"/>
      <c r="K270" s="365"/>
      <c r="L270" s="365"/>
      <c r="M270" s="365"/>
      <c r="R270" s="365" t="s">
        <v>184</v>
      </c>
    </row>
    <row r="271" spans="1:18" x14ac:dyDescent="0.25">
      <c r="A271" s="365">
        <v>4</v>
      </c>
      <c r="B271" s="365" t="s">
        <v>667</v>
      </c>
      <c r="J271" s="365"/>
      <c r="K271" s="365"/>
      <c r="L271" s="365"/>
      <c r="M271" s="365"/>
      <c r="R271" s="365" t="s">
        <v>184</v>
      </c>
    </row>
    <row r="272" spans="1:18" x14ac:dyDescent="0.25">
      <c r="A272" s="365">
        <v>4</v>
      </c>
      <c r="B272" s="365" t="s">
        <v>666</v>
      </c>
      <c r="J272" s="365"/>
      <c r="K272" s="365"/>
      <c r="L272" s="365"/>
      <c r="M272" s="365"/>
      <c r="R272" s="365" t="s">
        <v>184</v>
      </c>
    </row>
    <row r="273" spans="1:18" x14ac:dyDescent="0.25">
      <c r="A273" s="365">
        <v>4</v>
      </c>
      <c r="B273" s="365" t="s">
        <v>665</v>
      </c>
      <c r="J273" s="365"/>
      <c r="K273" s="365"/>
      <c r="L273" s="365"/>
      <c r="M273" s="365"/>
      <c r="R273" s="365" t="s">
        <v>184</v>
      </c>
    </row>
    <row r="274" spans="1:18" x14ac:dyDescent="0.25">
      <c r="A274" s="365">
        <v>4</v>
      </c>
      <c r="B274" s="365" t="s">
        <v>664</v>
      </c>
      <c r="J274" s="365"/>
      <c r="K274" s="365"/>
      <c r="L274" s="365"/>
      <c r="M274" s="365"/>
      <c r="R274" s="365" t="s">
        <v>184</v>
      </c>
    </row>
    <row r="275" spans="1:18" x14ac:dyDescent="0.25">
      <c r="A275" s="365">
        <v>4</v>
      </c>
      <c r="B275" s="365" t="s">
        <v>663</v>
      </c>
      <c r="J275" s="365"/>
      <c r="K275" s="365"/>
      <c r="L275" s="365"/>
      <c r="M275" s="365"/>
      <c r="R275" s="365" t="s">
        <v>184</v>
      </c>
    </row>
    <row r="276" spans="1:18" x14ac:dyDescent="0.25">
      <c r="A276" s="365">
        <v>4</v>
      </c>
      <c r="B276" s="365" t="s">
        <v>662</v>
      </c>
      <c r="J276" s="365"/>
      <c r="K276" s="365"/>
      <c r="L276" s="365"/>
      <c r="M276" s="365"/>
      <c r="R276" s="365" t="s">
        <v>184</v>
      </c>
    </row>
    <row r="277" spans="1:18" x14ac:dyDescent="0.25">
      <c r="A277" s="365">
        <v>4</v>
      </c>
      <c r="B277" s="365" t="s">
        <v>661</v>
      </c>
      <c r="J277" s="365"/>
      <c r="K277" s="365"/>
      <c r="L277" s="365"/>
      <c r="M277" s="365"/>
      <c r="R277" s="365" t="s">
        <v>184</v>
      </c>
    </row>
    <row r="278" spans="1:18" x14ac:dyDescent="0.25">
      <c r="A278" s="365">
        <v>4</v>
      </c>
      <c r="B278" s="365" t="s">
        <v>660</v>
      </c>
      <c r="J278" s="365"/>
      <c r="K278" s="365"/>
      <c r="L278" s="365"/>
      <c r="M278" s="365"/>
      <c r="R278" s="365" t="s">
        <v>184</v>
      </c>
    </row>
    <row r="279" spans="1:18" x14ac:dyDescent="0.25">
      <c r="A279" s="365">
        <v>4</v>
      </c>
      <c r="B279" s="365" t="s">
        <v>659</v>
      </c>
      <c r="J279" s="365"/>
      <c r="K279" s="365"/>
      <c r="L279" s="365"/>
      <c r="M279" s="365"/>
      <c r="R279" s="365" t="s">
        <v>184</v>
      </c>
    </row>
    <row r="280" spans="1:18" x14ac:dyDescent="0.25">
      <c r="A280" s="365">
        <v>4</v>
      </c>
      <c r="B280" s="365" t="s">
        <v>658</v>
      </c>
      <c r="J280" s="365"/>
      <c r="K280" s="365"/>
      <c r="L280" s="365"/>
      <c r="M280" s="365"/>
      <c r="R280" s="365" t="s">
        <v>184</v>
      </c>
    </row>
    <row r="281" spans="1:18" x14ac:dyDescent="0.25">
      <c r="A281" s="365">
        <v>4</v>
      </c>
      <c r="B281" s="365" t="s">
        <v>657</v>
      </c>
      <c r="J281" s="365"/>
      <c r="K281" s="365"/>
      <c r="L281" s="365"/>
      <c r="M281" s="365"/>
      <c r="R281" s="365" t="s">
        <v>184</v>
      </c>
    </row>
    <row r="282" spans="1:18" x14ac:dyDescent="0.25">
      <c r="A282" s="365">
        <v>4</v>
      </c>
      <c r="B282" s="365" t="s">
        <v>656</v>
      </c>
      <c r="J282" s="365"/>
      <c r="K282" s="365"/>
      <c r="L282" s="365"/>
      <c r="M282" s="365"/>
      <c r="R282" s="365" t="s">
        <v>184</v>
      </c>
    </row>
    <row r="283" spans="1:18" x14ac:dyDescent="0.25">
      <c r="A283" s="365">
        <v>4</v>
      </c>
      <c r="B283" s="365" t="s">
        <v>655</v>
      </c>
      <c r="J283" s="365"/>
      <c r="K283" s="365"/>
      <c r="L283" s="365"/>
      <c r="M283" s="365"/>
      <c r="R283" s="365" t="s">
        <v>184</v>
      </c>
    </row>
    <row r="284" spans="1:18" x14ac:dyDescent="0.25">
      <c r="A284" s="365">
        <v>4</v>
      </c>
      <c r="B284" s="365" t="s">
        <v>654</v>
      </c>
      <c r="J284" s="365"/>
      <c r="K284" s="365"/>
      <c r="L284" s="365"/>
      <c r="M284" s="365"/>
      <c r="R284" s="365" t="s">
        <v>184</v>
      </c>
    </row>
    <row r="285" spans="1:18" x14ac:dyDescent="0.25">
      <c r="A285" s="365">
        <v>4</v>
      </c>
      <c r="B285" s="365" t="s">
        <v>653</v>
      </c>
      <c r="J285" s="365"/>
      <c r="K285" s="365"/>
      <c r="L285" s="365"/>
      <c r="M285" s="365"/>
      <c r="R285" s="365" t="s">
        <v>184</v>
      </c>
    </row>
    <row r="286" spans="1:18" x14ac:dyDescent="0.25">
      <c r="A286" s="365">
        <v>4</v>
      </c>
      <c r="B286" s="365" t="s">
        <v>652</v>
      </c>
      <c r="J286" s="365"/>
      <c r="K286" s="365"/>
      <c r="L286" s="365"/>
      <c r="M286" s="365"/>
      <c r="R286" s="365" t="s">
        <v>184</v>
      </c>
    </row>
    <row r="287" spans="1:18" x14ac:dyDescent="0.25">
      <c r="A287" s="365">
        <v>4</v>
      </c>
      <c r="B287" s="365" t="s">
        <v>651</v>
      </c>
      <c r="J287" s="365"/>
      <c r="K287" s="365"/>
      <c r="L287" s="365"/>
      <c r="M287" s="365"/>
      <c r="R287" s="365" t="s">
        <v>184</v>
      </c>
    </row>
    <row r="288" spans="1:18" x14ac:dyDescent="0.25">
      <c r="A288" s="365">
        <v>4</v>
      </c>
      <c r="B288" s="365" t="s">
        <v>650</v>
      </c>
      <c r="J288" s="365"/>
      <c r="K288" s="365"/>
      <c r="L288" s="365"/>
      <c r="M288" s="365"/>
      <c r="R288" s="365" t="s">
        <v>184</v>
      </c>
    </row>
    <row r="289" spans="1:18" x14ac:dyDescent="0.25">
      <c r="A289" s="365">
        <v>4</v>
      </c>
      <c r="B289" s="365" t="s">
        <v>649</v>
      </c>
      <c r="J289" s="365"/>
      <c r="K289" s="365"/>
      <c r="L289" s="365"/>
      <c r="M289" s="365"/>
      <c r="R289" s="365" t="s">
        <v>184</v>
      </c>
    </row>
    <row r="290" spans="1:18" x14ac:dyDescent="0.25">
      <c r="A290" s="365">
        <v>4</v>
      </c>
      <c r="B290" s="365" t="s">
        <v>648</v>
      </c>
      <c r="J290" s="365"/>
      <c r="K290" s="365"/>
      <c r="L290" s="365"/>
      <c r="M290" s="365"/>
      <c r="R290" s="365" t="s">
        <v>184</v>
      </c>
    </row>
    <row r="291" spans="1:18" x14ac:dyDescent="0.25">
      <c r="A291" s="365">
        <v>4</v>
      </c>
      <c r="B291" s="365" t="s">
        <v>1245</v>
      </c>
      <c r="J291" s="365"/>
      <c r="K291" s="365"/>
      <c r="L291" s="365"/>
      <c r="M291" s="365"/>
      <c r="R291" s="365" t="s">
        <v>184</v>
      </c>
    </row>
    <row r="292" spans="1:18" x14ac:dyDescent="0.25">
      <c r="A292" s="365">
        <v>4</v>
      </c>
      <c r="B292" s="365" t="s">
        <v>647</v>
      </c>
      <c r="J292" s="365"/>
      <c r="K292" s="365"/>
      <c r="L292" s="365"/>
      <c r="M292" s="365"/>
      <c r="R292" s="365" t="s">
        <v>184</v>
      </c>
    </row>
    <row r="293" spans="1:18" x14ac:dyDescent="0.25">
      <c r="A293" s="365">
        <v>4</v>
      </c>
      <c r="B293" s="365" t="s">
        <v>646</v>
      </c>
      <c r="J293" s="365"/>
      <c r="K293" s="365"/>
      <c r="L293" s="365"/>
      <c r="M293" s="365"/>
      <c r="R293" s="365" t="s">
        <v>184</v>
      </c>
    </row>
    <row r="294" spans="1:18" x14ac:dyDescent="0.25">
      <c r="A294" s="365">
        <v>4</v>
      </c>
      <c r="B294" s="365" t="s">
        <v>645</v>
      </c>
      <c r="J294" s="365"/>
      <c r="K294" s="365"/>
      <c r="L294" s="365"/>
      <c r="M294" s="365"/>
      <c r="R294" s="365" t="s">
        <v>184</v>
      </c>
    </row>
    <row r="295" spans="1:18" x14ac:dyDescent="0.25">
      <c r="A295" s="365">
        <v>4</v>
      </c>
      <c r="B295" s="365" t="s">
        <v>644</v>
      </c>
      <c r="J295" s="365"/>
      <c r="K295" s="365"/>
      <c r="L295" s="365"/>
      <c r="M295" s="365"/>
      <c r="R295" s="365" t="s">
        <v>184</v>
      </c>
    </row>
    <row r="296" spans="1:18" x14ac:dyDescent="0.25">
      <c r="A296" s="365">
        <v>4</v>
      </c>
      <c r="B296" s="365" t="s">
        <v>643</v>
      </c>
      <c r="J296" s="365"/>
      <c r="K296" s="365"/>
      <c r="L296" s="365"/>
      <c r="M296" s="365"/>
      <c r="R296" s="365" t="s">
        <v>184</v>
      </c>
    </row>
    <row r="297" spans="1:18" x14ac:dyDescent="0.25">
      <c r="A297" s="365">
        <v>4</v>
      </c>
      <c r="B297" s="365" t="s">
        <v>642</v>
      </c>
      <c r="J297" s="365"/>
      <c r="K297" s="365"/>
      <c r="L297" s="365"/>
      <c r="M297" s="365"/>
      <c r="R297" s="365" t="s">
        <v>184</v>
      </c>
    </row>
    <row r="298" spans="1:18" x14ac:dyDescent="0.25">
      <c r="A298" s="365">
        <v>4</v>
      </c>
      <c r="B298" s="365" t="s">
        <v>641</v>
      </c>
      <c r="J298" s="365"/>
      <c r="K298" s="365"/>
      <c r="L298" s="365"/>
      <c r="M298" s="365"/>
      <c r="R298" s="365" t="s">
        <v>184</v>
      </c>
    </row>
    <row r="299" spans="1:18" x14ac:dyDescent="0.25">
      <c r="A299" s="365">
        <v>4</v>
      </c>
      <c r="B299" s="365" t="s">
        <v>640</v>
      </c>
      <c r="J299" s="365"/>
      <c r="K299" s="365"/>
      <c r="L299" s="365"/>
      <c r="M299" s="365"/>
      <c r="R299" s="365" t="s">
        <v>184</v>
      </c>
    </row>
    <row r="300" spans="1:18" x14ac:dyDescent="0.25">
      <c r="A300" s="365">
        <v>4</v>
      </c>
      <c r="B300" s="365" t="s">
        <v>639</v>
      </c>
      <c r="J300" s="365"/>
      <c r="K300" s="365"/>
      <c r="L300" s="365"/>
      <c r="M300" s="365"/>
      <c r="R300" s="365" t="s">
        <v>184</v>
      </c>
    </row>
    <row r="301" spans="1:18" x14ac:dyDescent="0.25">
      <c r="A301" s="365">
        <v>4</v>
      </c>
      <c r="B301" s="365" t="s">
        <v>638</v>
      </c>
      <c r="J301" s="365"/>
      <c r="K301" s="365"/>
      <c r="L301" s="365"/>
      <c r="M301" s="365"/>
      <c r="R301" s="365" t="s">
        <v>184</v>
      </c>
    </row>
    <row r="302" spans="1:18" x14ac:dyDescent="0.25">
      <c r="A302" s="365">
        <v>4</v>
      </c>
      <c r="B302" s="365" t="s">
        <v>637</v>
      </c>
      <c r="J302" s="365"/>
      <c r="K302" s="365"/>
      <c r="L302" s="365"/>
      <c r="M302" s="365"/>
      <c r="R302" s="365" t="s">
        <v>184</v>
      </c>
    </row>
    <row r="303" spans="1:18" x14ac:dyDescent="0.25">
      <c r="A303" s="365">
        <v>4</v>
      </c>
      <c r="B303" s="365" t="s">
        <v>636</v>
      </c>
      <c r="J303" s="365"/>
      <c r="K303" s="365"/>
      <c r="L303" s="365"/>
      <c r="M303" s="365"/>
      <c r="R303" s="365" t="s">
        <v>184</v>
      </c>
    </row>
    <row r="304" spans="1:18" x14ac:dyDescent="0.25">
      <c r="A304" s="365">
        <v>4</v>
      </c>
      <c r="B304" s="365" t="s">
        <v>635</v>
      </c>
      <c r="J304" s="365"/>
      <c r="K304" s="365"/>
      <c r="L304" s="365"/>
      <c r="M304" s="365"/>
      <c r="R304" s="365" t="s">
        <v>184</v>
      </c>
    </row>
    <row r="305" spans="1:18" x14ac:dyDescent="0.25">
      <c r="A305" s="365">
        <v>4</v>
      </c>
      <c r="B305" s="365" t="s">
        <v>634</v>
      </c>
      <c r="J305" s="365"/>
      <c r="K305" s="365"/>
      <c r="L305" s="365"/>
      <c r="M305" s="365"/>
      <c r="R305" s="365" t="s">
        <v>184</v>
      </c>
    </row>
    <row r="306" spans="1:18" x14ac:dyDescent="0.25">
      <c r="A306" s="365">
        <v>4</v>
      </c>
      <c r="B306" s="365" t="s">
        <v>633</v>
      </c>
      <c r="J306" s="365"/>
      <c r="K306" s="365"/>
      <c r="L306" s="365"/>
      <c r="M306" s="365"/>
      <c r="R306" s="365" t="s">
        <v>184</v>
      </c>
    </row>
    <row r="307" spans="1:18" x14ac:dyDescent="0.25">
      <c r="A307" s="365">
        <v>4</v>
      </c>
      <c r="B307" s="365" t="s">
        <v>632</v>
      </c>
      <c r="J307" s="365"/>
      <c r="K307" s="365"/>
      <c r="L307" s="365"/>
      <c r="M307" s="365"/>
      <c r="R307" s="365" t="s">
        <v>184</v>
      </c>
    </row>
    <row r="308" spans="1:18" x14ac:dyDescent="0.25">
      <c r="A308" s="365">
        <v>4</v>
      </c>
      <c r="B308" s="365" t="s">
        <v>631</v>
      </c>
      <c r="J308" s="365"/>
      <c r="K308" s="365"/>
      <c r="L308" s="365"/>
      <c r="M308" s="365"/>
      <c r="R308" s="365" t="s">
        <v>184</v>
      </c>
    </row>
    <row r="309" spans="1:18" x14ac:dyDescent="0.25">
      <c r="A309" s="365">
        <v>4</v>
      </c>
      <c r="B309" s="365" t="s">
        <v>630</v>
      </c>
      <c r="J309" s="365"/>
      <c r="K309" s="365"/>
      <c r="L309" s="365"/>
      <c r="M309" s="365"/>
      <c r="R309" s="365" t="s">
        <v>184</v>
      </c>
    </row>
    <row r="310" spans="1:18" x14ac:dyDescent="0.25">
      <c r="A310" s="365">
        <v>4</v>
      </c>
      <c r="B310" s="365" t="s">
        <v>629</v>
      </c>
      <c r="J310" s="365"/>
      <c r="K310" s="365"/>
      <c r="L310" s="365"/>
      <c r="M310" s="365"/>
      <c r="R310" s="365" t="s">
        <v>184</v>
      </c>
    </row>
    <row r="311" spans="1:18" x14ac:dyDescent="0.25">
      <c r="A311" s="365">
        <v>4</v>
      </c>
      <c r="B311" s="365" t="s">
        <v>628</v>
      </c>
      <c r="J311" s="365"/>
      <c r="K311" s="365"/>
      <c r="L311" s="365"/>
      <c r="M311" s="365"/>
      <c r="R311" s="365" t="s">
        <v>184</v>
      </c>
    </row>
    <row r="312" spans="1:18" x14ac:dyDescent="0.25">
      <c r="A312" s="365">
        <v>4</v>
      </c>
      <c r="B312" s="365" t="s">
        <v>627</v>
      </c>
      <c r="J312" s="365"/>
      <c r="K312" s="365"/>
      <c r="L312" s="365"/>
      <c r="M312" s="365"/>
      <c r="R312" s="365" t="s">
        <v>184</v>
      </c>
    </row>
    <row r="313" spans="1:18" x14ac:dyDescent="0.25">
      <c r="A313" s="365">
        <v>4</v>
      </c>
      <c r="B313" s="365" t="s">
        <v>626</v>
      </c>
      <c r="J313" s="365"/>
      <c r="K313" s="365"/>
      <c r="L313" s="365"/>
      <c r="M313" s="365"/>
      <c r="R313" s="365" t="s">
        <v>184</v>
      </c>
    </row>
    <row r="314" spans="1:18" x14ac:dyDescent="0.25">
      <c r="A314" s="365">
        <v>4</v>
      </c>
      <c r="B314" s="365" t="s">
        <v>625</v>
      </c>
      <c r="J314" s="365"/>
      <c r="K314" s="365"/>
      <c r="L314" s="365"/>
      <c r="M314" s="365"/>
      <c r="R314" s="365" t="s">
        <v>184</v>
      </c>
    </row>
    <row r="315" spans="1:18" x14ac:dyDescent="0.25">
      <c r="A315" s="365">
        <v>4</v>
      </c>
      <c r="B315" s="365" t="s">
        <v>624</v>
      </c>
      <c r="J315" s="365"/>
      <c r="K315" s="365"/>
      <c r="L315" s="365"/>
      <c r="M315" s="365"/>
      <c r="R315" s="365" t="s">
        <v>184</v>
      </c>
    </row>
    <row r="316" spans="1:18" x14ac:dyDescent="0.25">
      <c r="A316" s="365">
        <v>4</v>
      </c>
      <c r="B316" s="365" t="s">
        <v>623</v>
      </c>
      <c r="J316" s="365"/>
      <c r="K316" s="365"/>
      <c r="L316" s="365"/>
      <c r="M316" s="365"/>
      <c r="R316" s="365" t="s">
        <v>184</v>
      </c>
    </row>
    <row r="317" spans="1:18" x14ac:dyDescent="0.25">
      <c r="A317" s="365">
        <v>4</v>
      </c>
      <c r="B317" s="365" t="s">
        <v>622</v>
      </c>
      <c r="J317" s="365"/>
      <c r="K317" s="365"/>
      <c r="L317" s="365"/>
      <c r="M317" s="365"/>
      <c r="R317" s="365" t="s">
        <v>184</v>
      </c>
    </row>
    <row r="318" spans="1:18" x14ac:dyDescent="0.25">
      <c r="A318" s="365">
        <v>4</v>
      </c>
      <c r="B318" s="365" t="s">
        <v>621</v>
      </c>
      <c r="J318" s="365"/>
      <c r="K318" s="365"/>
      <c r="L318" s="365"/>
      <c r="M318" s="365"/>
      <c r="R318" s="365" t="s">
        <v>184</v>
      </c>
    </row>
    <row r="319" spans="1:18" x14ac:dyDescent="0.25">
      <c r="A319" s="365">
        <v>4</v>
      </c>
      <c r="B319" s="365" t="s">
        <v>620</v>
      </c>
      <c r="J319" s="365"/>
      <c r="K319" s="365"/>
      <c r="L319" s="365"/>
      <c r="M319" s="365"/>
      <c r="R319" s="365" t="s">
        <v>184</v>
      </c>
    </row>
    <row r="320" spans="1:18" x14ac:dyDescent="0.25">
      <c r="A320" s="365">
        <v>4</v>
      </c>
      <c r="B320" s="365" t="s">
        <v>619</v>
      </c>
      <c r="J320" s="365"/>
      <c r="K320" s="365"/>
      <c r="L320" s="365"/>
      <c r="M320" s="365"/>
      <c r="R320" s="365" t="s">
        <v>184</v>
      </c>
    </row>
    <row r="321" spans="1:18" x14ac:dyDescent="0.25">
      <c r="A321" s="365">
        <v>4</v>
      </c>
      <c r="B321" s="365" t="s">
        <v>618</v>
      </c>
      <c r="J321" s="365"/>
      <c r="K321" s="365"/>
      <c r="L321" s="365"/>
      <c r="M321" s="365"/>
      <c r="R321" s="365" t="s">
        <v>184</v>
      </c>
    </row>
    <row r="322" spans="1:18" x14ac:dyDescent="0.25">
      <c r="A322" s="365">
        <v>4</v>
      </c>
      <c r="B322" s="365" t="s">
        <v>617</v>
      </c>
      <c r="J322" s="365"/>
      <c r="K322" s="365"/>
      <c r="L322" s="365"/>
      <c r="M322" s="365"/>
      <c r="R322" s="365" t="s">
        <v>184</v>
      </c>
    </row>
    <row r="323" spans="1:18" x14ac:dyDescent="0.25">
      <c r="A323" s="365">
        <v>4</v>
      </c>
      <c r="B323" s="365" t="s">
        <v>616</v>
      </c>
      <c r="J323" s="365"/>
      <c r="K323" s="365"/>
      <c r="L323" s="365"/>
      <c r="M323" s="365"/>
      <c r="R323" s="365" t="s">
        <v>184</v>
      </c>
    </row>
    <row r="324" spans="1:18" x14ac:dyDescent="0.25">
      <c r="A324" s="365">
        <v>4</v>
      </c>
      <c r="B324" s="365" t="s">
        <v>615</v>
      </c>
      <c r="J324" s="365"/>
      <c r="K324" s="365"/>
      <c r="L324" s="365"/>
      <c r="M324" s="365"/>
      <c r="R324" s="365" t="s">
        <v>184</v>
      </c>
    </row>
    <row r="325" spans="1:18" x14ac:dyDescent="0.25">
      <c r="A325" s="365">
        <v>4</v>
      </c>
      <c r="B325" s="365" t="s">
        <v>614</v>
      </c>
      <c r="J325" s="365"/>
      <c r="K325" s="365"/>
      <c r="L325" s="365"/>
      <c r="M325" s="365"/>
      <c r="R325" s="365" t="s">
        <v>184</v>
      </c>
    </row>
    <row r="326" spans="1:18" x14ac:dyDescent="0.25">
      <c r="A326" s="365">
        <v>4</v>
      </c>
      <c r="B326" s="365" t="s">
        <v>613</v>
      </c>
      <c r="J326" s="365"/>
      <c r="K326" s="365"/>
      <c r="L326" s="365"/>
      <c r="M326" s="365"/>
      <c r="R326" s="365" t="s">
        <v>184</v>
      </c>
    </row>
    <row r="327" spans="1:18" x14ac:dyDescent="0.25">
      <c r="A327" s="365">
        <v>4</v>
      </c>
      <c r="B327" s="365" t="s">
        <v>612</v>
      </c>
      <c r="J327" s="365"/>
      <c r="K327" s="365"/>
      <c r="L327" s="365"/>
      <c r="M327" s="365"/>
      <c r="R327" s="365" t="s">
        <v>184</v>
      </c>
    </row>
    <row r="328" spans="1:18" x14ac:dyDescent="0.25">
      <c r="A328" s="365">
        <v>4</v>
      </c>
      <c r="B328" s="365" t="s">
        <v>611</v>
      </c>
      <c r="J328" s="365"/>
      <c r="K328" s="365"/>
      <c r="L328" s="365"/>
      <c r="M328" s="365"/>
      <c r="R328" s="365" t="s">
        <v>184</v>
      </c>
    </row>
    <row r="329" spans="1:18" x14ac:dyDescent="0.25">
      <c r="A329" s="365">
        <v>4</v>
      </c>
      <c r="B329" s="365" t="s">
        <v>610</v>
      </c>
      <c r="J329" s="365"/>
      <c r="K329" s="365"/>
      <c r="L329" s="365"/>
      <c r="M329" s="365"/>
      <c r="R329" s="365" t="s">
        <v>184</v>
      </c>
    </row>
    <row r="330" spans="1:18" x14ac:dyDescent="0.25">
      <c r="A330" s="365">
        <v>4</v>
      </c>
      <c r="B330" s="365" t="s">
        <v>609</v>
      </c>
      <c r="J330" s="365"/>
      <c r="K330" s="365"/>
      <c r="L330" s="365"/>
      <c r="M330" s="365"/>
      <c r="R330" s="365" t="s">
        <v>184</v>
      </c>
    </row>
    <row r="331" spans="1:18" x14ac:dyDescent="0.25">
      <c r="A331" s="365">
        <v>4</v>
      </c>
      <c r="B331" s="365" t="s">
        <v>608</v>
      </c>
      <c r="J331" s="365"/>
      <c r="K331" s="365"/>
      <c r="L331" s="365"/>
      <c r="M331" s="365"/>
      <c r="R331" s="365" t="s">
        <v>184</v>
      </c>
    </row>
    <row r="332" spans="1:18" x14ac:dyDescent="0.25">
      <c r="A332" s="365">
        <v>4</v>
      </c>
      <c r="B332" s="365" t="s">
        <v>607</v>
      </c>
      <c r="J332" s="365"/>
      <c r="K332" s="365"/>
      <c r="L332" s="365"/>
      <c r="M332" s="365"/>
      <c r="R332" s="365" t="s">
        <v>184</v>
      </c>
    </row>
    <row r="333" spans="1:18" x14ac:dyDescent="0.25">
      <c r="A333" s="365">
        <v>4</v>
      </c>
      <c r="B333" s="365" t="s">
        <v>606</v>
      </c>
      <c r="J333" s="365"/>
      <c r="K333" s="365"/>
      <c r="L333" s="365"/>
      <c r="M333" s="365"/>
      <c r="R333" s="365" t="s">
        <v>184</v>
      </c>
    </row>
    <row r="334" spans="1:18" x14ac:dyDescent="0.25">
      <c r="A334" s="365">
        <v>4</v>
      </c>
      <c r="B334" s="365" t="s">
        <v>605</v>
      </c>
      <c r="J334" s="365"/>
      <c r="K334" s="365"/>
      <c r="L334" s="365"/>
      <c r="M334" s="365"/>
      <c r="R334" s="365" t="s">
        <v>184</v>
      </c>
    </row>
    <row r="335" spans="1:18" x14ac:dyDescent="0.25">
      <c r="A335" s="365">
        <v>4</v>
      </c>
      <c r="B335" s="365" t="s">
        <v>604</v>
      </c>
      <c r="J335" s="365"/>
      <c r="K335" s="365"/>
      <c r="L335" s="365"/>
      <c r="M335" s="365"/>
      <c r="R335" s="365" t="s">
        <v>184</v>
      </c>
    </row>
    <row r="336" spans="1:18" x14ac:dyDescent="0.25">
      <c r="A336" s="365">
        <v>4</v>
      </c>
      <c r="B336" s="365" t="s">
        <v>603</v>
      </c>
      <c r="J336" s="365"/>
      <c r="K336" s="365"/>
      <c r="L336" s="365"/>
      <c r="M336" s="365"/>
      <c r="R336" s="365" t="s">
        <v>184</v>
      </c>
    </row>
    <row r="337" spans="1:18" x14ac:dyDescent="0.25">
      <c r="A337" s="365">
        <v>4</v>
      </c>
      <c r="B337" s="365" t="s">
        <v>602</v>
      </c>
      <c r="J337" s="365"/>
      <c r="K337" s="365"/>
      <c r="L337" s="365"/>
      <c r="M337" s="365"/>
      <c r="R337" s="365" t="s">
        <v>184</v>
      </c>
    </row>
    <row r="338" spans="1:18" x14ac:dyDescent="0.25">
      <c r="A338" s="365">
        <v>4</v>
      </c>
      <c r="B338" s="365" t="s">
        <v>601</v>
      </c>
      <c r="J338" s="365"/>
      <c r="K338" s="365"/>
      <c r="L338" s="365"/>
      <c r="M338" s="365"/>
      <c r="R338" s="365" t="s">
        <v>184</v>
      </c>
    </row>
    <row r="339" spans="1:18" x14ac:dyDescent="0.25">
      <c r="A339" s="365">
        <v>4</v>
      </c>
      <c r="B339" s="365" t="s">
        <v>600</v>
      </c>
      <c r="J339" s="365"/>
      <c r="K339" s="365"/>
      <c r="L339" s="365"/>
      <c r="M339" s="365"/>
      <c r="R339" s="365" t="s">
        <v>184</v>
      </c>
    </row>
    <row r="340" spans="1:18" x14ac:dyDescent="0.25">
      <c r="A340" s="365">
        <v>4</v>
      </c>
      <c r="B340" s="365" t="s">
        <v>599</v>
      </c>
      <c r="J340" s="365"/>
      <c r="K340" s="365"/>
      <c r="L340" s="365"/>
      <c r="M340" s="365"/>
      <c r="R340" s="365" t="s">
        <v>184</v>
      </c>
    </row>
    <row r="341" spans="1:18" x14ac:dyDescent="0.25">
      <c r="A341" s="365">
        <v>4</v>
      </c>
      <c r="B341" s="365" t="s">
        <v>598</v>
      </c>
      <c r="J341" s="365"/>
      <c r="K341" s="365"/>
      <c r="L341" s="365"/>
      <c r="M341" s="365"/>
      <c r="R341" s="365" t="s">
        <v>184</v>
      </c>
    </row>
    <row r="342" spans="1:18" x14ac:dyDescent="0.25">
      <c r="A342" s="365">
        <v>4</v>
      </c>
      <c r="B342" s="365" t="s">
        <v>597</v>
      </c>
      <c r="J342" s="365"/>
      <c r="K342" s="365"/>
      <c r="L342" s="365"/>
      <c r="M342" s="365"/>
      <c r="R342" s="365" t="s">
        <v>184</v>
      </c>
    </row>
    <row r="343" spans="1:18" x14ac:dyDescent="0.25">
      <c r="A343" s="365">
        <v>4</v>
      </c>
      <c r="B343" s="365" t="s">
        <v>596</v>
      </c>
      <c r="J343" s="365"/>
      <c r="K343" s="365"/>
      <c r="L343" s="365"/>
      <c r="M343" s="365"/>
      <c r="R343" s="365" t="s">
        <v>184</v>
      </c>
    </row>
    <row r="344" spans="1:18" x14ac:dyDescent="0.25">
      <c r="A344" s="365">
        <v>4</v>
      </c>
      <c r="B344" s="365" t="s">
        <v>595</v>
      </c>
      <c r="J344" s="365"/>
      <c r="K344" s="365"/>
      <c r="L344" s="365"/>
      <c r="M344" s="365"/>
      <c r="R344" s="365" t="s">
        <v>184</v>
      </c>
    </row>
    <row r="345" spans="1:18" x14ac:dyDescent="0.25">
      <c r="A345" s="365">
        <v>4</v>
      </c>
      <c r="B345" s="365" t="s">
        <v>594</v>
      </c>
      <c r="J345" s="365"/>
      <c r="K345" s="365"/>
      <c r="L345" s="365"/>
      <c r="M345" s="365"/>
      <c r="R345" s="365" t="s">
        <v>184</v>
      </c>
    </row>
    <row r="346" spans="1:18" x14ac:dyDescent="0.25">
      <c r="A346" s="365">
        <v>4</v>
      </c>
      <c r="B346" s="365" t="s">
        <v>593</v>
      </c>
      <c r="J346" s="365"/>
      <c r="K346" s="365"/>
      <c r="L346" s="365"/>
      <c r="M346" s="365"/>
      <c r="R346" s="365" t="s">
        <v>184</v>
      </c>
    </row>
    <row r="347" spans="1:18" x14ac:dyDescent="0.25">
      <c r="A347" s="365">
        <v>4</v>
      </c>
      <c r="B347" s="365" t="s">
        <v>592</v>
      </c>
      <c r="J347" s="365"/>
      <c r="K347" s="365"/>
      <c r="L347" s="365"/>
      <c r="M347" s="365"/>
      <c r="R347" s="365" t="s">
        <v>184</v>
      </c>
    </row>
    <row r="348" spans="1:18" x14ac:dyDescent="0.25">
      <c r="A348" s="365">
        <v>4</v>
      </c>
      <c r="B348" s="365" t="s">
        <v>591</v>
      </c>
      <c r="J348" s="365"/>
      <c r="K348" s="365"/>
      <c r="L348" s="365"/>
      <c r="M348" s="365"/>
      <c r="R348" s="365" t="s">
        <v>184</v>
      </c>
    </row>
    <row r="349" spans="1:18" x14ac:dyDescent="0.25">
      <c r="A349" s="365">
        <v>4</v>
      </c>
      <c r="B349" s="365" t="s">
        <v>590</v>
      </c>
      <c r="J349" s="365"/>
      <c r="K349" s="365"/>
      <c r="L349" s="365"/>
      <c r="M349" s="365"/>
      <c r="R349" s="365" t="s">
        <v>184</v>
      </c>
    </row>
    <row r="350" spans="1:18" x14ac:dyDescent="0.25">
      <c r="A350" s="365">
        <v>4</v>
      </c>
      <c r="B350" s="365" t="s">
        <v>589</v>
      </c>
      <c r="J350" s="365"/>
      <c r="K350" s="365"/>
      <c r="L350" s="365"/>
      <c r="M350" s="365"/>
      <c r="R350" s="365" t="s">
        <v>184</v>
      </c>
    </row>
    <row r="351" spans="1:18" x14ac:dyDescent="0.25">
      <c r="A351" s="365">
        <v>4</v>
      </c>
      <c r="B351" s="365" t="s">
        <v>588</v>
      </c>
      <c r="J351" s="365"/>
      <c r="K351" s="365"/>
      <c r="L351" s="365"/>
      <c r="M351" s="365"/>
      <c r="R351" s="365" t="s">
        <v>184</v>
      </c>
    </row>
    <row r="352" spans="1:18" x14ac:dyDescent="0.25">
      <c r="A352" s="365">
        <v>4</v>
      </c>
      <c r="B352" s="365" t="s">
        <v>587</v>
      </c>
      <c r="J352" s="365"/>
      <c r="K352" s="365"/>
      <c r="L352" s="365"/>
      <c r="M352" s="365"/>
      <c r="R352" s="365" t="s">
        <v>184</v>
      </c>
    </row>
    <row r="353" spans="1:18" x14ac:dyDescent="0.25">
      <c r="A353" s="365">
        <v>4</v>
      </c>
      <c r="B353" s="365" t="s">
        <v>586</v>
      </c>
      <c r="J353" s="365"/>
      <c r="K353" s="365"/>
      <c r="L353" s="365"/>
      <c r="M353" s="365"/>
      <c r="R353" s="365" t="s">
        <v>184</v>
      </c>
    </row>
    <row r="354" spans="1:18" x14ac:dyDescent="0.25">
      <c r="A354" s="365">
        <v>4</v>
      </c>
      <c r="B354" s="365" t="s">
        <v>585</v>
      </c>
      <c r="J354" s="365"/>
      <c r="K354" s="365"/>
      <c r="L354" s="365"/>
      <c r="M354" s="365"/>
      <c r="R354" s="365" t="s">
        <v>184</v>
      </c>
    </row>
    <row r="355" spans="1:18" x14ac:dyDescent="0.25">
      <c r="A355" s="365">
        <v>4</v>
      </c>
      <c r="B355" s="365" t="s">
        <v>584</v>
      </c>
      <c r="J355" s="365"/>
      <c r="K355" s="365"/>
      <c r="L355" s="365"/>
      <c r="M355" s="365"/>
      <c r="R355" s="365" t="s">
        <v>184</v>
      </c>
    </row>
    <row r="356" spans="1:18" x14ac:dyDescent="0.25">
      <c r="A356" s="365">
        <v>4</v>
      </c>
      <c r="B356" s="365" t="s">
        <v>583</v>
      </c>
      <c r="J356" s="365"/>
      <c r="K356" s="365"/>
      <c r="L356" s="365"/>
      <c r="M356" s="365"/>
      <c r="R356" s="365" t="s">
        <v>184</v>
      </c>
    </row>
    <row r="357" spans="1:18" x14ac:dyDescent="0.25">
      <c r="A357" s="365">
        <v>4</v>
      </c>
      <c r="B357" s="365" t="s">
        <v>582</v>
      </c>
      <c r="J357" s="365"/>
      <c r="K357" s="365"/>
      <c r="L357" s="365"/>
      <c r="M357" s="365"/>
      <c r="R357" s="365" t="s">
        <v>184</v>
      </c>
    </row>
    <row r="358" spans="1:18" x14ac:dyDescent="0.25">
      <c r="A358" s="365">
        <v>4</v>
      </c>
      <c r="B358" s="365" t="s">
        <v>581</v>
      </c>
      <c r="J358" s="365"/>
      <c r="K358" s="365"/>
      <c r="L358" s="365"/>
      <c r="M358" s="365"/>
      <c r="R358" s="365" t="s">
        <v>184</v>
      </c>
    </row>
    <row r="359" spans="1:18" x14ac:dyDescent="0.25">
      <c r="A359" s="365">
        <v>4</v>
      </c>
      <c r="B359" s="365" t="s">
        <v>580</v>
      </c>
      <c r="J359" s="365"/>
      <c r="K359" s="365"/>
      <c r="L359" s="365"/>
      <c r="M359" s="365"/>
      <c r="R359" s="365" t="s">
        <v>184</v>
      </c>
    </row>
    <row r="360" spans="1:18" x14ac:dyDescent="0.25">
      <c r="A360" s="365">
        <v>4</v>
      </c>
      <c r="B360" s="365" t="s">
        <v>579</v>
      </c>
      <c r="J360" s="365"/>
      <c r="K360" s="365"/>
      <c r="L360" s="365"/>
      <c r="M360" s="365"/>
      <c r="R360" s="365" t="s">
        <v>184</v>
      </c>
    </row>
    <row r="361" spans="1:18" x14ac:dyDescent="0.25">
      <c r="A361" s="365">
        <v>4</v>
      </c>
      <c r="B361" s="365" t="s">
        <v>578</v>
      </c>
      <c r="J361" s="365"/>
      <c r="K361" s="365"/>
      <c r="L361" s="365"/>
      <c r="M361" s="365"/>
      <c r="R361" s="365" t="s">
        <v>184</v>
      </c>
    </row>
    <row r="362" spans="1:18" x14ac:dyDescent="0.25">
      <c r="A362" s="365">
        <v>4</v>
      </c>
      <c r="B362" s="365" t="s">
        <v>577</v>
      </c>
      <c r="J362" s="365"/>
      <c r="K362" s="365"/>
      <c r="L362" s="365"/>
      <c r="M362" s="365"/>
      <c r="R362" s="365" t="s">
        <v>184</v>
      </c>
    </row>
    <row r="363" spans="1:18" x14ac:dyDescent="0.25">
      <c r="A363" s="365">
        <v>4</v>
      </c>
      <c r="B363" s="365" t="s">
        <v>576</v>
      </c>
      <c r="J363" s="365"/>
      <c r="K363" s="365"/>
      <c r="L363" s="365"/>
      <c r="M363" s="365"/>
      <c r="R363" s="365" t="s">
        <v>184</v>
      </c>
    </row>
    <row r="364" spans="1:18" x14ac:dyDescent="0.25">
      <c r="A364" s="365">
        <v>4</v>
      </c>
      <c r="B364" s="365" t="s">
        <v>575</v>
      </c>
      <c r="J364" s="365"/>
      <c r="K364" s="365"/>
      <c r="L364" s="365"/>
      <c r="M364" s="365"/>
      <c r="R364" s="365" t="s">
        <v>184</v>
      </c>
    </row>
    <row r="365" spans="1:18" x14ac:dyDescent="0.25">
      <c r="A365" s="365">
        <v>4</v>
      </c>
      <c r="B365" s="365" t="s">
        <v>574</v>
      </c>
      <c r="J365" s="365"/>
      <c r="K365" s="365"/>
      <c r="L365" s="365"/>
      <c r="M365" s="365"/>
      <c r="R365" s="365" t="s">
        <v>184</v>
      </c>
    </row>
    <row r="366" spans="1:18" x14ac:dyDescent="0.25">
      <c r="A366" s="365">
        <v>4</v>
      </c>
      <c r="B366" s="365" t="s">
        <v>573</v>
      </c>
      <c r="J366" s="365"/>
      <c r="K366" s="365"/>
      <c r="L366" s="365"/>
      <c r="M366" s="365"/>
      <c r="R366" s="365" t="s">
        <v>184</v>
      </c>
    </row>
    <row r="367" spans="1:18" x14ac:dyDescent="0.25">
      <c r="A367" s="365">
        <v>4</v>
      </c>
      <c r="B367" s="365" t="s">
        <v>572</v>
      </c>
      <c r="J367" s="365"/>
      <c r="K367" s="365"/>
      <c r="L367" s="365"/>
      <c r="M367" s="365"/>
      <c r="R367" s="365" t="s">
        <v>184</v>
      </c>
    </row>
    <row r="368" spans="1:18" x14ac:dyDescent="0.25">
      <c r="A368" s="365">
        <v>4</v>
      </c>
      <c r="B368" s="365" t="s">
        <v>571</v>
      </c>
      <c r="J368" s="365"/>
      <c r="K368" s="365"/>
      <c r="L368" s="365"/>
      <c r="M368" s="365"/>
      <c r="R368" s="365" t="s">
        <v>184</v>
      </c>
    </row>
    <row r="369" spans="1:18" x14ac:dyDescent="0.25">
      <c r="A369" s="365">
        <v>4</v>
      </c>
      <c r="B369" s="365" t="s">
        <v>570</v>
      </c>
      <c r="J369" s="365"/>
      <c r="K369" s="365"/>
      <c r="L369" s="365"/>
      <c r="M369" s="365"/>
      <c r="R369" s="365" t="s">
        <v>184</v>
      </c>
    </row>
    <row r="370" spans="1:18" x14ac:dyDescent="0.25">
      <c r="A370" s="365">
        <v>4</v>
      </c>
      <c r="B370" s="365" t="s">
        <v>569</v>
      </c>
      <c r="J370" s="365"/>
      <c r="K370" s="365"/>
      <c r="L370" s="365"/>
      <c r="M370" s="365"/>
      <c r="R370" s="365" t="s">
        <v>184</v>
      </c>
    </row>
    <row r="371" spans="1:18" x14ac:dyDescent="0.25">
      <c r="A371" s="365">
        <v>4</v>
      </c>
      <c r="B371" s="365" t="s">
        <v>568</v>
      </c>
      <c r="J371" s="365"/>
      <c r="K371" s="365"/>
      <c r="L371" s="365"/>
      <c r="M371" s="365"/>
      <c r="R371" s="365" t="s">
        <v>184</v>
      </c>
    </row>
    <row r="372" spans="1:18" x14ac:dyDescent="0.25">
      <c r="A372" s="365">
        <v>4</v>
      </c>
      <c r="B372" s="365" t="s">
        <v>567</v>
      </c>
      <c r="J372" s="365"/>
      <c r="K372" s="365"/>
      <c r="L372" s="365"/>
      <c r="M372" s="365"/>
      <c r="R372" s="365" t="s">
        <v>184</v>
      </c>
    </row>
    <row r="373" spans="1:18" x14ac:dyDescent="0.25">
      <c r="A373" s="365">
        <v>4</v>
      </c>
      <c r="B373" s="365" t="s">
        <v>566</v>
      </c>
      <c r="J373" s="365"/>
      <c r="K373" s="365"/>
      <c r="L373" s="365"/>
      <c r="M373" s="365"/>
      <c r="R373" s="365" t="s">
        <v>184</v>
      </c>
    </row>
    <row r="374" spans="1:18" x14ac:dyDescent="0.25">
      <c r="A374" s="365">
        <v>4</v>
      </c>
      <c r="B374" s="365" t="s">
        <v>565</v>
      </c>
      <c r="J374" s="365"/>
      <c r="K374" s="365"/>
      <c r="L374" s="365"/>
      <c r="M374" s="365"/>
      <c r="R374" s="365" t="s">
        <v>184</v>
      </c>
    </row>
    <row r="375" spans="1:18" x14ac:dyDescent="0.25">
      <c r="A375" s="365">
        <v>4</v>
      </c>
      <c r="B375" s="365" t="s">
        <v>564</v>
      </c>
      <c r="J375" s="365"/>
      <c r="K375" s="365"/>
      <c r="L375" s="365"/>
      <c r="M375" s="365"/>
      <c r="R375" s="365" t="s">
        <v>184</v>
      </c>
    </row>
    <row r="376" spans="1:18" x14ac:dyDescent="0.25">
      <c r="A376" s="365">
        <v>4</v>
      </c>
      <c r="B376" s="365" t="s">
        <v>563</v>
      </c>
      <c r="J376" s="365"/>
      <c r="K376" s="365"/>
      <c r="L376" s="365"/>
      <c r="M376" s="365"/>
      <c r="R376" s="365" t="s">
        <v>184</v>
      </c>
    </row>
    <row r="377" spans="1:18" x14ac:dyDescent="0.25">
      <c r="A377" s="365">
        <v>4</v>
      </c>
      <c r="B377" s="365" t="s">
        <v>562</v>
      </c>
      <c r="J377" s="365"/>
      <c r="K377" s="365"/>
      <c r="L377" s="365"/>
      <c r="M377" s="365"/>
      <c r="R377" s="365" t="s">
        <v>184</v>
      </c>
    </row>
    <row r="378" spans="1:18" x14ac:dyDescent="0.25">
      <c r="A378" s="365">
        <v>4</v>
      </c>
      <c r="B378" s="365" t="s">
        <v>561</v>
      </c>
      <c r="J378" s="365"/>
      <c r="K378" s="365"/>
      <c r="L378" s="365"/>
      <c r="M378" s="365"/>
      <c r="R378" s="365" t="s">
        <v>184</v>
      </c>
    </row>
    <row r="379" spans="1:18" x14ac:dyDescent="0.25">
      <c r="A379" s="365">
        <v>4</v>
      </c>
      <c r="B379" s="365" t="s">
        <v>560</v>
      </c>
      <c r="J379" s="365"/>
      <c r="K379" s="365"/>
      <c r="L379" s="365"/>
      <c r="M379" s="365"/>
      <c r="R379" s="365" t="s">
        <v>184</v>
      </c>
    </row>
    <row r="380" spans="1:18" x14ac:dyDescent="0.25">
      <c r="A380" s="365">
        <v>4</v>
      </c>
      <c r="B380" s="365" t="s">
        <v>559</v>
      </c>
      <c r="J380" s="365"/>
      <c r="K380" s="365"/>
      <c r="L380" s="365"/>
      <c r="M380" s="365"/>
      <c r="R380" s="365" t="s">
        <v>184</v>
      </c>
    </row>
    <row r="381" spans="1:18" x14ac:dyDescent="0.25">
      <c r="A381" s="365">
        <v>4</v>
      </c>
      <c r="B381" s="365" t="s">
        <v>558</v>
      </c>
      <c r="J381" s="365"/>
      <c r="K381" s="365"/>
      <c r="L381" s="365"/>
      <c r="M381" s="365"/>
      <c r="R381" s="365" t="s">
        <v>184</v>
      </c>
    </row>
    <row r="382" spans="1:18" x14ac:dyDescent="0.25">
      <c r="A382" s="365">
        <v>4</v>
      </c>
      <c r="B382" s="365" t="s">
        <v>557</v>
      </c>
      <c r="J382" s="365"/>
      <c r="K382" s="365"/>
      <c r="L382" s="365"/>
      <c r="M382" s="365"/>
      <c r="R382" s="365" t="s">
        <v>184</v>
      </c>
    </row>
    <row r="383" spans="1:18" x14ac:dyDescent="0.25">
      <c r="A383" s="365">
        <v>4</v>
      </c>
      <c r="B383" s="365" t="s">
        <v>556</v>
      </c>
      <c r="J383" s="365"/>
      <c r="K383" s="365"/>
      <c r="L383" s="365"/>
      <c r="M383" s="365"/>
      <c r="R383" s="365" t="s">
        <v>184</v>
      </c>
    </row>
    <row r="384" spans="1:18" x14ac:dyDescent="0.25">
      <c r="A384" s="365">
        <v>4</v>
      </c>
      <c r="B384" s="365" t="s">
        <v>555</v>
      </c>
      <c r="J384" s="365"/>
      <c r="K384" s="365"/>
      <c r="L384" s="365"/>
      <c r="M384" s="365"/>
      <c r="R384" s="365" t="s">
        <v>184</v>
      </c>
    </row>
    <row r="385" spans="1:18" x14ac:dyDescent="0.25">
      <c r="A385" s="365">
        <v>4</v>
      </c>
      <c r="B385" s="365" t="s">
        <v>554</v>
      </c>
      <c r="J385" s="365"/>
      <c r="K385" s="365"/>
      <c r="L385" s="365"/>
      <c r="M385" s="365"/>
      <c r="R385" s="365" t="s">
        <v>184</v>
      </c>
    </row>
    <row r="386" spans="1:18" x14ac:dyDescent="0.25">
      <c r="A386" s="365">
        <v>4</v>
      </c>
      <c r="B386" s="365" t="s">
        <v>553</v>
      </c>
      <c r="J386" s="365"/>
      <c r="K386" s="365"/>
      <c r="L386" s="365"/>
      <c r="M386" s="365"/>
      <c r="R386" s="365" t="s">
        <v>184</v>
      </c>
    </row>
    <row r="387" spans="1:18" x14ac:dyDescent="0.25">
      <c r="A387" s="365">
        <v>4</v>
      </c>
      <c r="B387" s="365" t="s">
        <v>552</v>
      </c>
      <c r="J387" s="365"/>
      <c r="K387" s="365"/>
      <c r="L387" s="365"/>
      <c r="M387" s="365"/>
      <c r="R387" s="365" t="s">
        <v>184</v>
      </c>
    </row>
    <row r="388" spans="1:18" x14ac:dyDescent="0.25">
      <c r="A388" s="365">
        <v>4</v>
      </c>
      <c r="B388" s="365" t="s">
        <v>551</v>
      </c>
      <c r="J388" s="365"/>
      <c r="K388" s="365"/>
      <c r="L388" s="365"/>
      <c r="M388" s="365"/>
      <c r="R388" s="365" t="s">
        <v>184</v>
      </c>
    </row>
    <row r="389" spans="1:18" x14ac:dyDescent="0.25">
      <c r="A389" s="365">
        <v>4</v>
      </c>
      <c r="B389" s="365" t="s">
        <v>550</v>
      </c>
      <c r="J389" s="365"/>
      <c r="K389" s="365"/>
      <c r="L389" s="365"/>
      <c r="M389" s="365"/>
      <c r="R389" s="365" t="s">
        <v>184</v>
      </c>
    </row>
    <row r="390" spans="1:18" x14ac:dyDescent="0.25">
      <c r="A390" s="365">
        <v>4</v>
      </c>
      <c r="B390" s="365" t="s">
        <v>549</v>
      </c>
      <c r="J390" s="365"/>
      <c r="K390" s="365"/>
      <c r="L390" s="365"/>
      <c r="M390" s="365"/>
      <c r="R390" s="365" t="s">
        <v>184</v>
      </c>
    </row>
    <row r="391" spans="1:18" x14ac:dyDescent="0.25">
      <c r="A391" s="365">
        <v>4</v>
      </c>
      <c r="B391" s="365" t="s">
        <v>548</v>
      </c>
      <c r="J391" s="365"/>
      <c r="K391" s="365"/>
      <c r="L391" s="365"/>
      <c r="M391" s="365"/>
      <c r="R391" s="365" t="s">
        <v>184</v>
      </c>
    </row>
    <row r="392" spans="1:18" x14ac:dyDescent="0.25">
      <c r="A392" s="365">
        <v>4</v>
      </c>
      <c r="B392" s="365" t="s">
        <v>547</v>
      </c>
      <c r="J392" s="365"/>
      <c r="K392" s="365"/>
      <c r="L392" s="365"/>
      <c r="M392" s="365"/>
      <c r="R392" s="365" t="s">
        <v>184</v>
      </c>
    </row>
    <row r="393" spans="1:18" x14ac:dyDescent="0.25">
      <c r="A393" s="365">
        <v>4</v>
      </c>
      <c r="B393" s="365" t="s">
        <v>546</v>
      </c>
      <c r="J393" s="365"/>
      <c r="K393" s="365"/>
      <c r="L393" s="365"/>
      <c r="M393" s="365"/>
      <c r="R393" s="365" t="s">
        <v>184</v>
      </c>
    </row>
    <row r="394" spans="1:18" x14ac:dyDescent="0.25">
      <c r="A394" s="365">
        <v>4</v>
      </c>
      <c r="B394" s="365" t="s">
        <v>545</v>
      </c>
      <c r="J394" s="365"/>
      <c r="K394" s="365"/>
      <c r="L394" s="365"/>
      <c r="M394" s="365"/>
      <c r="R394" s="365" t="s">
        <v>184</v>
      </c>
    </row>
    <row r="395" spans="1:18" x14ac:dyDescent="0.25">
      <c r="A395" s="365">
        <v>4</v>
      </c>
      <c r="B395" s="365" t="s">
        <v>544</v>
      </c>
      <c r="J395" s="365"/>
      <c r="K395" s="365"/>
      <c r="L395" s="365"/>
      <c r="M395" s="365"/>
      <c r="R395" s="365" t="s">
        <v>184</v>
      </c>
    </row>
    <row r="396" spans="1:18" x14ac:dyDescent="0.25">
      <c r="A396" s="365">
        <v>4</v>
      </c>
      <c r="B396" s="365" t="s">
        <v>543</v>
      </c>
      <c r="J396" s="365"/>
      <c r="K396" s="365"/>
      <c r="L396" s="365"/>
      <c r="M396" s="365"/>
      <c r="R396" s="365" t="s">
        <v>184</v>
      </c>
    </row>
    <row r="397" spans="1:18" x14ac:dyDescent="0.25">
      <c r="A397" s="365">
        <v>4</v>
      </c>
      <c r="B397" s="365" t="s">
        <v>542</v>
      </c>
      <c r="J397" s="365"/>
      <c r="K397" s="365"/>
      <c r="L397" s="365"/>
      <c r="M397" s="365"/>
      <c r="R397" s="365" t="s">
        <v>184</v>
      </c>
    </row>
    <row r="398" spans="1:18" x14ac:dyDescent="0.25">
      <c r="A398" s="365">
        <v>4</v>
      </c>
      <c r="B398" s="365" t="s">
        <v>541</v>
      </c>
      <c r="J398" s="365"/>
      <c r="K398" s="365"/>
      <c r="L398" s="365"/>
      <c r="M398" s="365"/>
      <c r="R398" s="365" t="s">
        <v>184</v>
      </c>
    </row>
    <row r="399" spans="1:18" x14ac:dyDescent="0.25">
      <c r="A399" s="365">
        <v>4</v>
      </c>
      <c r="B399" s="365" t="s">
        <v>540</v>
      </c>
      <c r="J399" s="365"/>
      <c r="K399" s="365"/>
      <c r="L399" s="365"/>
      <c r="M399" s="365"/>
      <c r="R399" s="365" t="s">
        <v>184</v>
      </c>
    </row>
    <row r="400" spans="1:18" x14ac:dyDescent="0.25">
      <c r="A400" s="365">
        <v>4</v>
      </c>
      <c r="B400" s="365" t="s">
        <v>539</v>
      </c>
      <c r="J400" s="365"/>
      <c r="K400" s="365"/>
      <c r="L400" s="365"/>
      <c r="M400" s="365"/>
      <c r="R400" s="365" t="s">
        <v>184</v>
      </c>
    </row>
    <row r="401" spans="1:18" x14ac:dyDescent="0.25">
      <c r="A401" s="365">
        <v>4</v>
      </c>
      <c r="B401" s="365" t="s">
        <v>538</v>
      </c>
      <c r="J401" s="365"/>
      <c r="K401" s="365"/>
      <c r="L401" s="365"/>
      <c r="M401" s="365"/>
      <c r="R401" s="365" t="s">
        <v>184</v>
      </c>
    </row>
    <row r="402" spans="1:18" x14ac:dyDescent="0.25">
      <c r="A402" s="365">
        <v>4</v>
      </c>
      <c r="B402" s="365" t="s">
        <v>537</v>
      </c>
      <c r="J402" s="365"/>
      <c r="K402" s="365"/>
      <c r="L402" s="365"/>
      <c r="M402" s="365"/>
      <c r="R402" s="365" t="s">
        <v>184</v>
      </c>
    </row>
    <row r="403" spans="1:18" x14ac:dyDescent="0.25">
      <c r="A403" s="365">
        <v>4</v>
      </c>
      <c r="B403" s="365" t="s">
        <v>536</v>
      </c>
      <c r="J403" s="365"/>
      <c r="K403" s="365"/>
      <c r="L403" s="365"/>
      <c r="M403" s="365"/>
      <c r="R403" s="365" t="s">
        <v>184</v>
      </c>
    </row>
    <row r="404" spans="1:18" x14ac:dyDescent="0.25">
      <c r="A404" s="365">
        <v>4</v>
      </c>
      <c r="B404" s="365" t="s">
        <v>535</v>
      </c>
      <c r="J404" s="365"/>
      <c r="K404" s="365"/>
      <c r="L404" s="365"/>
      <c r="M404" s="365"/>
      <c r="R404" s="365" t="s">
        <v>184</v>
      </c>
    </row>
    <row r="405" spans="1:18" x14ac:dyDescent="0.25">
      <c r="A405" s="365">
        <v>4</v>
      </c>
      <c r="B405" s="365" t="s">
        <v>534</v>
      </c>
      <c r="J405" s="365"/>
      <c r="K405" s="365"/>
      <c r="L405" s="365"/>
      <c r="M405" s="365"/>
      <c r="R405" s="365" t="s">
        <v>184</v>
      </c>
    </row>
    <row r="406" spans="1:18" x14ac:dyDescent="0.25">
      <c r="A406" s="365">
        <v>4</v>
      </c>
      <c r="B406" s="365" t="s">
        <v>533</v>
      </c>
      <c r="J406" s="365"/>
      <c r="K406" s="365"/>
      <c r="L406" s="365"/>
      <c r="M406" s="365"/>
      <c r="R406" s="365" t="s">
        <v>184</v>
      </c>
    </row>
    <row r="407" spans="1:18" x14ac:dyDescent="0.25">
      <c r="A407" s="365">
        <v>4</v>
      </c>
      <c r="B407" s="365" t="s">
        <v>532</v>
      </c>
      <c r="J407" s="365"/>
      <c r="K407" s="365"/>
      <c r="L407" s="365"/>
      <c r="M407" s="365"/>
      <c r="R407" s="365" t="s">
        <v>184</v>
      </c>
    </row>
    <row r="408" spans="1:18" x14ac:dyDescent="0.25">
      <c r="A408" s="365">
        <v>4</v>
      </c>
      <c r="B408" s="365" t="s">
        <v>531</v>
      </c>
      <c r="J408" s="365"/>
      <c r="K408" s="365"/>
      <c r="L408" s="365"/>
      <c r="M408" s="365"/>
      <c r="R408" s="365" t="s">
        <v>184</v>
      </c>
    </row>
    <row r="409" spans="1:18" x14ac:dyDescent="0.25">
      <c r="A409" s="365">
        <v>4</v>
      </c>
      <c r="B409" s="365" t="s">
        <v>530</v>
      </c>
      <c r="J409" s="365"/>
      <c r="K409" s="365"/>
      <c r="L409" s="365"/>
      <c r="M409" s="365"/>
      <c r="R409" s="365" t="s">
        <v>184</v>
      </c>
    </row>
    <row r="410" spans="1:18" x14ac:dyDescent="0.25">
      <c r="A410" s="365">
        <v>4</v>
      </c>
      <c r="B410" s="365" t="s">
        <v>529</v>
      </c>
      <c r="J410" s="365"/>
      <c r="K410" s="365"/>
      <c r="L410" s="365"/>
      <c r="M410" s="365"/>
      <c r="R410" s="365" t="s">
        <v>184</v>
      </c>
    </row>
    <row r="411" spans="1:18" x14ac:dyDescent="0.25">
      <c r="A411" s="365">
        <v>4</v>
      </c>
      <c r="B411" s="365" t="s">
        <v>528</v>
      </c>
      <c r="J411" s="365"/>
      <c r="K411" s="365"/>
      <c r="L411" s="365"/>
      <c r="M411" s="365"/>
      <c r="R411" s="365" t="s">
        <v>184</v>
      </c>
    </row>
    <row r="412" spans="1:18" x14ac:dyDescent="0.25">
      <c r="A412" s="365">
        <v>4</v>
      </c>
      <c r="B412" s="365" t="s">
        <v>527</v>
      </c>
      <c r="J412" s="365"/>
      <c r="K412" s="365"/>
      <c r="L412" s="365"/>
      <c r="M412" s="365"/>
      <c r="R412" s="365" t="s">
        <v>184</v>
      </c>
    </row>
    <row r="413" spans="1:18" x14ac:dyDescent="0.25">
      <c r="A413" s="365">
        <v>4</v>
      </c>
      <c r="B413" s="365" t="s">
        <v>526</v>
      </c>
      <c r="J413" s="365"/>
      <c r="K413" s="365"/>
      <c r="L413" s="365"/>
      <c r="M413" s="365"/>
      <c r="R413" s="365" t="s">
        <v>184</v>
      </c>
    </row>
    <row r="414" spans="1:18" x14ac:dyDescent="0.25">
      <c r="A414" s="365">
        <v>4</v>
      </c>
      <c r="B414" s="365" t="s">
        <v>525</v>
      </c>
      <c r="J414" s="365"/>
      <c r="K414" s="365"/>
      <c r="L414" s="365"/>
      <c r="M414" s="365"/>
      <c r="R414" s="365" t="s">
        <v>184</v>
      </c>
    </row>
    <row r="415" spans="1:18" x14ac:dyDescent="0.25">
      <c r="A415" s="365">
        <v>4</v>
      </c>
      <c r="B415" s="365" t="s">
        <v>524</v>
      </c>
      <c r="J415" s="365"/>
      <c r="K415" s="365"/>
      <c r="L415" s="365"/>
      <c r="M415" s="365"/>
      <c r="R415" s="365" t="s">
        <v>184</v>
      </c>
    </row>
    <row r="416" spans="1:18" x14ac:dyDescent="0.25">
      <c r="A416" s="365">
        <v>4</v>
      </c>
      <c r="B416" s="365" t="s">
        <v>523</v>
      </c>
      <c r="J416" s="365"/>
      <c r="K416" s="365"/>
      <c r="L416" s="365"/>
      <c r="M416" s="365"/>
      <c r="R416" s="365" t="s">
        <v>184</v>
      </c>
    </row>
    <row r="417" spans="1:18" x14ac:dyDescent="0.25">
      <c r="A417" s="365">
        <v>4</v>
      </c>
      <c r="B417" s="365" t="s">
        <v>522</v>
      </c>
      <c r="J417" s="365"/>
      <c r="K417" s="365"/>
      <c r="L417" s="365"/>
      <c r="M417" s="365"/>
      <c r="R417" s="365" t="s">
        <v>184</v>
      </c>
    </row>
    <row r="418" spans="1:18" x14ac:dyDescent="0.25">
      <c r="A418" s="365">
        <v>4</v>
      </c>
      <c r="B418" s="365" t="s">
        <v>521</v>
      </c>
      <c r="J418" s="365"/>
      <c r="K418" s="365"/>
      <c r="L418" s="365"/>
      <c r="M418" s="365"/>
      <c r="R418" s="365" t="s">
        <v>184</v>
      </c>
    </row>
    <row r="419" spans="1:18" x14ac:dyDescent="0.25">
      <c r="A419" s="365">
        <v>4</v>
      </c>
      <c r="B419" s="365" t="s">
        <v>520</v>
      </c>
      <c r="J419" s="365"/>
      <c r="K419" s="365"/>
      <c r="L419" s="365"/>
      <c r="M419" s="365"/>
      <c r="R419" s="365" t="s">
        <v>184</v>
      </c>
    </row>
    <row r="420" spans="1:18" x14ac:dyDescent="0.25">
      <c r="A420" s="365">
        <v>4</v>
      </c>
      <c r="B420" s="365" t="s">
        <v>519</v>
      </c>
      <c r="J420" s="365"/>
      <c r="K420" s="365"/>
      <c r="L420" s="365"/>
      <c r="M420" s="365"/>
      <c r="R420" s="365" t="s">
        <v>184</v>
      </c>
    </row>
    <row r="421" spans="1:18" x14ac:dyDescent="0.25">
      <c r="A421" s="365">
        <v>4</v>
      </c>
      <c r="B421" s="365" t="s">
        <v>518</v>
      </c>
      <c r="J421" s="365"/>
      <c r="K421" s="365"/>
      <c r="L421" s="365"/>
      <c r="M421" s="365"/>
      <c r="R421" s="365" t="s">
        <v>184</v>
      </c>
    </row>
    <row r="422" spans="1:18" x14ac:dyDescent="0.25">
      <c r="A422" s="365">
        <v>4</v>
      </c>
      <c r="B422" s="365" t="s">
        <v>517</v>
      </c>
      <c r="J422" s="365"/>
      <c r="K422" s="365"/>
      <c r="L422" s="365"/>
      <c r="M422" s="365"/>
      <c r="R422" s="365" t="s">
        <v>184</v>
      </c>
    </row>
    <row r="423" spans="1:18" x14ac:dyDescent="0.25">
      <c r="A423" s="365">
        <v>4</v>
      </c>
      <c r="B423" s="365" t="s">
        <v>516</v>
      </c>
      <c r="J423" s="365"/>
      <c r="K423" s="365"/>
      <c r="L423" s="365"/>
      <c r="M423" s="365"/>
      <c r="R423" s="365" t="s">
        <v>184</v>
      </c>
    </row>
    <row r="424" spans="1:18" x14ac:dyDescent="0.25">
      <c r="A424" s="365">
        <v>4</v>
      </c>
      <c r="B424" s="365" t="s">
        <v>515</v>
      </c>
      <c r="J424" s="365"/>
      <c r="K424" s="365"/>
      <c r="L424" s="365"/>
      <c r="M424" s="365"/>
      <c r="R424" s="365" t="s">
        <v>184</v>
      </c>
    </row>
    <row r="425" spans="1:18" x14ac:dyDescent="0.25">
      <c r="A425" s="365">
        <v>4</v>
      </c>
      <c r="B425" s="365" t="s">
        <v>514</v>
      </c>
      <c r="J425" s="365"/>
      <c r="K425" s="365"/>
      <c r="L425" s="365"/>
      <c r="M425" s="365"/>
      <c r="R425" s="365" t="s">
        <v>184</v>
      </c>
    </row>
    <row r="426" spans="1:18" x14ac:dyDescent="0.25">
      <c r="A426" s="365">
        <v>4</v>
      </c>
      <c r="B426" s="365" t="s">
        <v>513</v>
      </c>
      <c r="J426" s="365"/>
      <c r="K426" s="365"/>
      <c r="L426" s="365"/>
      <c r="M426" s="365"/>
      <c r="R426" s="365" t="s">
        <v>184</v>
      </c>
    </row>
    <row r="427" spans="1:18" x14ac:dyDescent="0.25">
      <c r="A427" s="365">
        <v>4</v>
      </c>
      <c r="B427" s="365" t="s">
        <v>512</v>
      </c>
      <c r="J427" s="365"/>
      <c r="K427" s="365"/>
      <c r="L427" s="365"/>
      <c r="M427" s="365"/>
      <c r="R427" s="365" t="s">
        <v>184</v>
      </c>
    </row>
    <row r="428" spans="1:18" x14ac:dyDescent="0.25">
      <c r="A428" s="365">
        <v>4</v>
      </c>
      <c r="B428" s="365" t="s">
        <v>511</v>
      </c>
      <c r="J428" s="365"/>
      <c r="K428" s="365"/>
      <c r="L428" s="365"/>
      <c r="M428" s="365"/>
      <c r="R428" s="365" t="s">
        <v>184</v>
      </c>
    </row>
    <row r="429" spans="1:18" x14ac:dyDescent="0.25">
      <c r="A429" s="365">
        <v>4</v>
      </c>
      <c r="B429" s="365" t="s">
        <v>510</v>
      </c>
      <c r="J429" s="365"/>
      <c r="K429" s="365"/>
      <c r="L429" s="365"/>
      <c r="M429" s="365"/>
      <c r="R429" s="365" t="s">
        <v>184</v>
      </c>
    </row>
    <row r="430" spans="1:18" x14ac:dyDescent="0.25">
      <c r="A430" s="365">
        <v>4</v>
      </c>
      <c r="B430" s="365" t="s">
        <v>509</v>
      </c>
      <c r="J430" s="365"/>
      <c r="K430" s="365"/>
      <c r="L430" s="365"/>
      <c r="M430" s="365"/>
      <c r="R430" s="365" t="s">
        <v>184</v>
      </c>
    </row>
    <row r="431" spans="1:18" x14ac:dyDescent="0.25">
      <c r="A431" s="365">
        <v>4</v>
      </c>
      <c r="B431" s="365" t="s">
        <v>508</v>
      </c>
      <c r="J431" s="365"/>
      <c r="K431" s="365"/>
      <c r="L431" s="365"/>
      <c r="M431" s="365"/>
      <c r="R431" s="365" t="s">
        <v>184</v>
      </c>
    </row>
    <row r="432" spans="1:18" x14ac:dyDescent="0.25">
      <c r="A432" s="365">
        <v>4</v>
      </c>
      <c r="B432" s="365" t="s">
        <v>507</v>
      </c>
      <c r="J432" s="365"/>
      <c r="K432" s="365"/>
      <c r="L432" s="365"/>
      <c r="M432" s="365"/>
      <c r="R432" s="365" t="s">
        <v>184</v>
      </c>
    </row>
    <row r="433" spans="1:18" x14ac:dyDescent="0.25">
      <c r="A433" s="365">
        <v>4</v>
      </c>
      <c r="B433" s="365" t="s">
        <v>506</v>
      </c>
      <c r="J433" s="365"/>
      <c r="K433" s="365"/>
      <c r="L433" s="365"/>
      <c r="M433" s="365"/>
      <c r="R433" s="365" t="s">
        <v>184</v>
      </c>
    </row>
    <row r="434" spans="1:18" x14ac:dyDescent="0.25">
      <c r="A434" s="365">
        <v>4</v>
      </c>
      <c r="B434" s="365" t="s">
        <v>505</v>
      </c>
      <c r="J434" s="365"/>
      <c r="K434" s="365"/>
      <c r="L434" s="365"/>
      <c r="M434" s="365"/>
      <c r="R434" s="365" t="s">
        <v>184</v>
      </c>
    </row>
    <row r="435" spans="1:18" x14ac:dyDescent="0.25">
      <c r="A435" s="365">
        <v>4</v>
      </c>
      <c r="B435" s="365" t="s">
        <v>504</v>
      </c>
      <c r="J435" s="365"/>
      <c r="K435" s="365"/>
      <c r="L435" s="365"/>
      <c r="M435" s="365"/>
      <c r="R435" s="365" t="s">
        <v>184</v>
      </c>
    </row>
    <row r="436" spans="1:18" x14ac:dyDescent="0.25">
      <c r="A436" s="365">
        <v>4</v>
      </c>
      <c r="B436" s="365" t="s">
        <v>503</v>
      </c>
      <c r="J436" s="365"/>
      <c r="K436" s="365"/>
      <c r="L436" s="365"/>
      <c r="M436" s="365"/>
      <c r="R436" s="365" t="s">
        <v>184</v>
      </c>
    </row>
    <row r="437" spans="1:18" x14ac:dyDescent="0.25">
      <c r="A437" s="365">
        <v>4</v>
      </c>
      <c r="B437" s="365" t="s">
        <v>502</v>
      </c>
      <c r="J437" s="365"/>
      <c r="K437" s="365"/>
      <c r="L437" s="365"/>
      <c r="M437" s="365"/>
      <c r="R437" s="365" t="s">
        <v>184</v>
      </c>
    </row>
    <row r="438" spans="1:18" x14ac:dyDescent="0.25">
      <c r="A438" s="365">
        <v>4</v>
      </c>
      <c r="B438" s="365" t="s">
        <v>501</v>
      </c>
      <c r="J438" s="365"/>
      <c r="K438" s="365"/>
      <c r="L438" s="365"/>
      <c r="M438" s="365"/>
      <c r="R438" s="365" t="s">
        <v>184</v>
      </c>
    </row>
    <row r="439" spans="1:18" x14ac:dyDescent="0.25">
      <c r="A439" s="365">
        <v>4</v>
      </c>
      <c r="B439" s="365" t="s">
        <v>500</v>
      </c>
      <c r="J439" s="365"/>
      <c r="K439" s="365"/>
      <c r="L439" s="365"/>
      <c r="M439" s="365"/>
      <c r="R439" s="365" t="s">
        <v>184</v>
      </c>
    </row>
    <row r="440" spans="1:18" x14ac:dyDescent="0.25">
      <c r="A440" s="365">
        <v>4</v>
      </c>
      <c r="B440" s="365" t="s">
        <v>499</v>
      </c>
      <c r="J440" s="365"/>
      <c r="K440" s="365"/>
      <c r="L440" s="365"/>
      <c r="M440" s="365"/>
      <c r="R440" s="365" t="s">
        <v>184</v>
      </c>
    </row>
    <row r="441" spans="1:18" x14ac:dyDescent="0.25">
      <c r="A441" s="365">
        <v>4</v>
      </c>
      <c r="B441" s="365" t="s">
        <v>498</v>
      </c>
      <c r="J441" s="365"/>
      <c r="K441" s="365"/>
      <c r="L441" s="365"/>
      <c r="M441" s="365"/>
      <c r="R441" s="365" t="s">
        <v>184</v>
      </c>
    </row>
    <row r="442" spans="1:18" x14ac:dyDescent="0.25">
      <c r="A442" s="365">
        <v>4</v>
      </c>
      <c r="B442" s="365" t="s">
        <v>497</v>
      </c>
      <c r="J442" s="365"/>
      <c r="K442" s="365"/>
      <c r="L442" s="365"/>
      <c r="M442" s="365"/>
      <c r="R442" s="365" t="s">
        <v>184</v>
      </c>
    </row>
    <row r="443" spans="1:18" x14ac:dyDescent="0.25">
      <c r="A443" s="365">
        <v>4</v>
      </c>
      <c r="B443" s="365" t="s">
        <v>496</v>
      </c>
      <c r="J443" s="365"/>
      <c r="K443" s="365"/>
      <c r="L443" s="365"/>
      <c r="M443" s="365"/>
      <c r="R443" s="365" t="s">
        <v>184</v>
      </c>
    </row>
    <row r="444" spans="1:18" x14ac:dyDescent="0.25">
      <c r="A444" s="365">
        <v>4</v>
      </c>
      <c r="B444" s="365" t="s">
        <v>495</v>
      </c>
      <c r="J444" s="365"/>
      <c r="K444" s="365"/>
      <c r="L444" s="365"/>
      <c r="M444" s="365"/>
      <c r="R444" s="365" t="s">
        <v>184</v>
      </c>
    </row>
    <row r="445" spans="1:18" x14ac:dyDescent="0.25">
      <c r="A445" s="365">
        <v>4</v>
      </c>
      <c r="B445" s="365" t="s">
        <v>494</v>
      </c>
      <c r="J445" s="365"/>
      <c r="K445" s="365"/>
      <c r="L445" s="365"/>
      <c r="M445" s="365"/>
      <c r="R445" s="365" t="s">
        <v>184</v>
      </c>
    </row>
    <row r="446" spans="1:18" x14ac:dyDescent="0.25">
      <c r="A446" s="365">
        <v>4</v>
      </c>
      <c r="B446" s="365" t="s">
        <v>493</v>
      </c>
      <c r="J446" s="365"/>
      <c r="K446" s="365"/>
      <c r="L446" s="365"/>
      <c r="M446" s="365"/>
      <c r="R446" s="365" t="s">
        <v>184</v>
      </c>
    </row>
    <row r="447" spans="1:18" x14ac:dyDescent="0.25">
      <c r="A447" s="365">
        <v>4</v>
      </c>
      <c r="B447" s="365" t="s">
        <v>492</v>
      </c>
      <c r="J447" s="365"/>
      <c r="K447" s="365"/>
      <c r="L447" s="365"/>
      <c r="M447" s="365"/>
      <c r="R447" s="365" t="s">
        <v>184</v>
      </c>
    </row>
    <row r="448" spans="1:18" x14ac:dyDescent="0.25">
      <c r="A448" s="365">
        <v>4</v>
      </c>
      <c r="B448" s="365" t="s">
        <v>491</v>
      </c>
      <c r="J448" s="365"/>
      <c r="K448" s="365"/>
      <c r="L448" s="365"/>
      <c r="M448" s="365"/>
      <c r="R448" s="365" t="s">
        <v>184</v>
      </c>
    </row>
    <row r="449" spans="1:18" x14ac:dyDescent="0.25">
      <c r="A449" s="365">
        <v>4</v>
      </c>
      <c r="B449" s="365" t="s">
        <v>490</v>
      </c>
      <c r="J449" s="365"/>
      <c r="K449" s="365"/>
      <c r="L449" s="365"/>
      <c r="M449" s="365"/>
      <c r="R449" s="365" t="s">
        <v>184</v>
      </c>
    </row>
    <row r="450" spans="1:18" x14ac:dyDescent="0.25">
      <c r="A450" s="365">
        <v>4</v>
      </c>
      <c r="B450" s="365" t="s">
        <v>489</v>
      </c>
      <c r="J450" s="365"/>
      <c r="K450" s="365"/>
      <c r="L450" s="365"/>
      <c r="M450" s="365"/>
      <c r="R450" s="365" t="s">
        <v>184</v>
      </c>
    </row>
    <row r="451" spans="1:18" x14ac:dyDescent="0.25">
      <c r="A451" s="365">
        <v>4</v>
      </c>
      <c r="B451" s="365" t="s">
        <v>488</v>
      </c>
      <c r="J451" s="365"/>
      <c r="K451" s="365"/>
      <c r="L451" s="365"/>
      <c r="M451" s="365"/>
      <c r="R451" s="365" t="s">
        <v>184</v>
      </c>
    </row>
    <row r="452" spans="1:18" x14ac:dyDescent="0.25">
      <c r="A452" s="365">
        <v>4</v>
      </c>
      <c r="B452" s="365" t="s">
        <v>487</v>
      </c>
      <c r="J452" s="365"/>
      <c r="K452" s="365"/>
      <c r="L452" s="365"/>
      <c r="M452" s="365"/>
      <c r="R452" s="365" t="s">
        <v>184</v>
      </c>
    </row>
    <row r="453" spans="1:18" x14ac:dyDescent="0.25">
      <c r="A453" s="365">
        <v>4</v>
      </c>
      <c r="B453" s="365" t="s">
        <v>486</v>
      </c>
      <c r="J453" s="365"/>
      <c r="K453" s="365"/>
      <c r="L453" s="365"/>
      <c r="M453" s="365"/>
      <c r="R453" s="365" t="s">
        <v>184</v>
      </c>
    </row>
    <row r="454" spans="1:18" x14ac:dyDescent="0.25">
      <c r="A454" s="365">
        <v>4</v>
      </c>
      <c r="B454" s="365" t="s">
        <v>485</v>
      </c>
      <c r="J454" s="365"/>
      <c r="K454" s="365"/>
      <c r="L454" s="365"/>
      <c r="M454" s="365"/>
      <c r="R454" s="365" t="s">
        <v>184</v>
      </c>
    </row>
    <row r="455" spans="1:18" x14ac:dyDescent="0.25">
      <c r="A455" s="365">
        <v>4</v>
      </c>
      <c r="B455" s="365" t="s">
        <v>484</v>
      </c>
      <c r="J455" s="365"/>
      <c r="K455" s="365"/>
      <c r="L455" s="365"/>
      <c r="M455" s="365"/>
      <c r="R455" s="365" t="s">
        <v>184</v>
      </c>
    </row>
    <row r="456" spans="1:18" x14ac:dyDescent="0.25">
      <c r="A456" s="365">
        <v>4</v>
      </c>
      <c r="B456" s="365" t="s">
        <v>483</v>
      </c>
      <c r="J456" s="365"/>
      <c r="K456" s="365"/>
      <c r="L456" s="365"/>
      <c r="M456" s="365"/>
      <c r="R456" s="365" t="s">
        <v>184</v>
      </c>
    </row>
    <row r="457" spans="1:18" x14ac:dyDescent="0.25">
      <c r="A457" s="365">
        <v>4</v>
      </c>
      <c r="B457" s="365" t="s">
        <v>482</v>
      </c>
      <c r="J457" s="365"/>
      <c r="K457" s="365"/>
      <c r="L457" s="365"/>
      <c r="M457" s="365"/>
      <c r="R457" s="365" t="s">
        <v>184</v>
      </c>
    </row>
    <row r="458" spans="1:18" x14ac:dyDescent="0.25">
      <c r="A458" s="365">
        <v>4</v>
      </c>
      <c r="B458" s="365" t="s">
        <v>481</v>
      </c>
      <c r="J458" s="365"/>
      <c r="K458" s="365"/>
      <c r="L458" s="365"/>
      <c r="M458" s="365"/>
      <c r="R458" s="365" t="s">
        <v>184</v>
      </c>
    </row>
    <row r="459" spans="1:18" x14ac:dyDescent="0.25">
      <c r="A459" s="365">
        <v>4</v>
      </c>
      <c r="B459" s="365" t="s">
        <v>480</v>
      </c>
      <c r="J459" s="365"/>
      <c r="K459" s="365"/>
      <c r="L459" s="365"/>
      <c r="M459" s="365"/>
      <c r="R459" s="365" t="s">
        <v>184</v>
      </c>
    </row>
    <row r="460" spans="1:18" x14ac:dyDescent="0.25">
      <c r="A460" s="365">
        <v>4</v>
      </c>
      <c r="B460" s="365" t="s">
        <v>479</v>
      </c>
      <c r="J460" s="365"/>
      <c r="K460" s="365"/>
      <c r="L460" s="365"/>
      <c r="M460" s="365"/>
      <c r="R460" s="365" t="s">
        <v>184</v>
      </c>
    </row>
    <row r="461" spans="1:18" x14ac:dyDescent="0.25">
      <c r="A461" s="365">
        <v>4</v>
      </c>
      <c r="B461" s="365" t="s">
        <v>478</v>
      </c>
      <c r="J461" s="365"/>
      <c r="K461" s="365"/>
      <c r="L461" s="365"/>
      <c r="M461" s="365"/>
      <c r="R461" s="365" t="s">
        <v>184</v>
      </c>
    </row>
    <row r="462" spans="1:18" x14ac:dyDescent="0.25">
      <c r="A462" s="365">
        <v>4</v>
      </c>
      <c r="B462" s="365" t="s">
        <v>477</v>
      </c>
      <c r="J462" s="365"/>
      <c r="K462" s="365"/>
      <c r="L462" s="365"/>
      <c r="M462" s="365"/>
      <c r="R462" s="365" t="s">
        <v>184</v>
      </c>
    </row>
    <row r="463" spans="1:18" x14ac:dyDescent="0.25">
      <c r="A463" s="365">
        <v>4</v>
      </c>
      <c r="B463" s="365" t="s">
        <v>476</v>
      </c>
      <c r="J463" s="365"/>
      <c r="K463" s="365"/>
      <c r="L463" s="365"/>
      <c r="M463" s="365"/>
      <c r="R463" s="365" t="s">
        <v>184</v>
      </c>
    </row>
    <row r="464" spans="1:18" x14ac:dyDescent="0.25">
      <c r="A464" s="365">
        <v>4</v>
      </c>
      <c r="B464" s="365" t="s">
        <v>475</v>
      </c>
      <c r="J464" s="365"/>
      <c r="K464" s="365"/>
      <c r="L464" s="365"/>
      <c r="M464" s="365"/>
      <c r="R464" s="365" t="s">
        <v>184</v>
      </c>
    </row>
    <row r="465" spans="1:18" x14ac:dyDescent="0.25">
      <c r="A465" s="365">
        <v>4</v>
      </c>
      <c r="B465" s="365" t="s">
        <v>474</v>
      </c>
      <c r="J465" s="365"/>
      <c r="K465" s="365"/>
      <c r="L465" s="365"/>
      <c r="M465" s="365"/>
      <c r="R465" s="365" t="s">
        <v>184</v>
      </c>
    </row>
    <row r="466" spans="1:18" x14ac:dyDescent="0.25">
      <c r="A466" s="365">
        <v>4</v>
      </c>
      <c r="B466" s="365" t="s">
        <v>473</v>
      </c>
      <c r="J466" s="365"/>
      <c r="K466" s="365"/>
      <c r="L466" s="365"/>
      <c r="M466" s="365"/>
      <c r="R466" s="365" t="s">
        <v>184</v>
      </c>
    </row>
    <row r="467" spans="1:18" x14ac:dyDescent="0.25">
      <c r="A467" s="365">
        <v>4</v>
      </c>
      <c r="B467" s="365" t="s">
        <v>472</v>
      </c>
      <c r="J467" s="365"/>
      <c r="K467" s="365"/>
      <c r="L467" s="365"/>
      <c r="M467" s="365"/>
      <c r="R467" s="365" t="s">
        <v>184</v>
      </c>
    </row>
    <row r="468" spans="1:18" x14ac:dyDescent="0.25">
      <c r="A468" s="365">
        <v>4</v>
      </c>
      <c r="B468" s="365" t="s">
        <v>471</v>
      </c>
      <c r="J468" s="365"/>
      <c r="K468" s="365"/>
      <c r="L468" s="365"/>
      <c r="M468" s="365"/>
      <c r="R468" s="365" t="s">
        <v>184</v>
      </c>
    </row>
    <row r="469" spans="1:18" x14ac:dyDescent="0.25">
      <c r="A469" s="365">
        <v>4</v>
      </c>
      <c r="B469" s="365" t="s">
        <v>470</v>
      </c>
      <c r="J469" s="365"/>
      <c r="K469" s="365"/>
      <c r="L469" s="365"/>
      <c r="M469" s="365"/>
      <c r="R469" s="365" t="s">
        <v>184</v>
      </c>
    </row>
    <row r="470" spans="1:18" x14ac:dyDescent="0.25">
      <c r="A470" s="365">
        <v>4</v>
      </c>
      <c r="B470" s="365" t="s">
        <v>469</v>
      </c>
      <c r="J470" s="365"/>
      <c r="K470" s="365"/>
      <c r="L470" s="365"/>
      <c r="M470" s="365"/>
      <c r="R470" s="365" t="s">
        <v>184</v>
      </c>
    </row>
    <row r="471" spans="1:18" x14ac:dyDescent="0.25">
      <c r="A471" s="365">
        <v>4</v>
      </c>
      <c r="B471" s="365" t="s">
        <v>468</v>
      </c>
      <c r="J471" s="365"/>
      <c r="K471" s="365"/>
      <c r="L471" s="365"/>
      <c r="M471" s="365"/>
      <c r="R471" s="365" t="s">
        <v>184</v>
      </c>
    </row>
    <row r="472" spans="1:18" x14ac:dyDescent="0.25">
      <c r="A472" s="365">
        <v>4</v>
      </c>
      <c r="B472" s="365" t="s">
        <v>467</v>
      </c>
      <c r="J472" s="365"/>
      <c r="K472" s="365"/>
      <c r="L472" s="365"/>
      <c r="M472" s="365"/>
      <c r="R472" s="365" t="s">
        <v>184</v>
      </c>
    </row>
    <row r="473" spans="1:18" x14ac:dyDescent="0.25">
      <c r="A473" s="365">
        <v>4</v>
      </c>
      <c r="B473" s="365" t="s">
        <v>466</v>
      </c>
      <c r="J473" s="365"/>
      <c r="K473" s="365"/>
      <c r="L473" s="365"/>
      <c r="M473" s="365"/>
      <c r="R473" s="365" t="s">
        <v>184</v>
      </c>
    </row>
    <row r="474" spans="1:18" x14ac:dyDescent="0.25">
      <c r="A474" s="365">
        <v>4</v>
      </c>
      <c r="B474" s="365" t="s">
        <v>465</v>
      </c>
      <c r="J474" s="365"/>
      <c r="K474" s="365"/>
      <c r="L474" s="365"/>
      <c r="M474" s="365"/>
      <c r="R474" s="365" t="s">
        <v>184</v>
      </c>
    </row>
    <row r="475" spans="1:18" x14ac:dyDescent="0.25">
      <c r="A475" s="365">
        <v>4</v>
      </c>
      <c r="B475" s="365" t="s">
        <v>464</v>
      </c>
      <c r="J475" s="365"/>
      <c r="K475" s="365"/>
      <c r="L475" s="365"/>
      <c r="M475" s="365"/>
      <c r="R475" s="365" t="s">
        <v>184</v>
      </c>
    </row>
    <row r="476" spans="1:18" x14ac:dyDescent="0.25">
      <c r="A476" s="365">
        <v>4</v>
      </c>
      <c r="B476" s="365" t="s">
        <v>463</v>
      </c>
      <c r="J476" s="365"/>
      <c r="K476" s="365"/>
      <c r="L476" s="365"/>
      <c r="M476" s="365"/>
      <c r="R476" s="365" t="s">
        <v>184</v>
      </c>
    </row>
    <row r="477" spans="1:18" x14ac:dyDescent="0.25">
      <c r="A477" s="365">
        <v>4</v>
      </c>
      <c r="B477" s="365" t="s">
        <v>462</v>
      </c>
      <c r="J477" s="365"/>
      <c r="K477" s="365"/>
      <c r="L477" s="365"/>
      <c r="M477" s="365"/>
      <c r="R477" s="365" t="s">
        <v>184</v>
      </c>
    </row>
    <row r="478" spans="1:18" x14ac:dyDescent="0.25">
      <c r="A478" s="365">
        <v>4</v>
      </c>
      <c r="B478" s="365" t="s">
        <v>461</v>
      </c>
      <c r="J478" s="365"/>
      <c r="K478" s="365"/>
      <c r="L478" s="365"/>
      <c r="M478" s="365"/>
      <c r="R478" s="365" t="s">
        <v>184</v>
      </c>
    </row>
    <row r="479" spans="1:18" x14ac:dyDescent="0.25">
      <c r="A479" s="365">
        <v>4</v>
      </c>
      <c r="B479" s="365" t="s">
        <v>460</v>
      </c>
      <c r="J479" s="365"/>
      <c r="K479" s="365"/>
      <c r="L479" s="365"/>
      <c r="M479" s="365"/>
      <c r="R479" s="365" t="s">
        <v>184</v>
      </c>
    </row>
    <row r="480" spans="1:18" x14ac:dyDescent="0.25">
      <c r="A480" s="365">
        <v>4</v>
      </c>
      <c r="B480" s="365" t="s">
        <v>459</v>
      </c>
      <c r="J480" s="365"/>
      <c r="K480" s="365"/>
      <c r="L480" s="365"/>
      <c r="M480" s="365"/>
      <c r="R480" s="365" t="s">
        <v>184</v>
      </c>
    </row>
    <row r="481" spans="1:18" x14ac:dyDescent="0.25">
      <c r="A481" s="365">
        <v>4</v>
      </c>
      <c r="B481" s="365" t="s">
        <v>458</v>
      </c>
      <c r="J481" s="365"/>
      <c r="K481" s="365"/>
      <c r="L481" s="365"/>
      <c r="M481" s="365"/>
      <c r="R481" s="365" t="s">
        <v>184</v>
      </c>
    </row>
    <row r="482" spans="1:18" x14ac:dyDescent="0.25">
      <c r="A482" s="365">
        <v>4</v>
      </c>
      <c r="B482" s="365" t="s">
        <v>457</v>
      </c>
      <c r="J482" s="365"/>
      <c r="K482" s="365"/>
      <c r="L482" s="365"/>
      <c r="M482" s="365"/>
      <c r="R482" s="365" t="s">
        <v>184</v>
      </c>
    </row>
    <row r="483" spans="1:18" x14ac:dyDescent="0.25">
      <c r="A483" s="365">
        <v>4</v>
      </c>
      <c r="B483" s="365" t="s">
        <v>456</v>
      </c>
      <c r="J483" s="365"/>
      <c r="K483" s="365"/>
      <c r="L483" s="365"/>
      <c r="M483" s="365"/>
      <c r="R483" s="365" t="s">
        <v>184</v>
      </c>
    </row>
    <row r="484" spans="1:18" x14ac:dyDescent="0.25">
      <c r="A484" s="365">
        <v>4</v>
      </c>
      <c r="B484" s="365" t="s">
        <v>455</v>
      </c>
      <c r="J484" s="365"/>
      <c r="K484" s="365"/>
      <c r="L484" s="365"/>
      <c r="M484" s="365"/>
      <c r="R484" s="365" t="s">
        <v>184</v>
      </c>
    </row>
    <row r="485" spans="1:18" x14ac:dyDescent="0.25">
      <c r="A485" s="365">
        <v>4</v>
      </c>
      <c r="B485" s="365" t="s">
        <v>454</v>
      </c>
      <c r="J485" s="365"/>
      <c r="K485" s="365"/>
      <c r="L485" s="365"/>
      <c r="M485" s="365"/>
      <c r="R485" s="365" t="s">
        <v>184</v>
      </c>
    </row>
    <row r="486" spans="1:18" x14ac:dyDescent="0.25">
      <c r="A486" s="365">
        <v>4</v>
      </c>
      <c r="B486" s="365" t="s">
        <v>453</v>
      </c>
      <c r="J486" s="365"/>
      <c r="K486" s="365"/>
      <c r="L486" s="365"/>
      <c r="M486" s="365"/>
      <c r="R486" s="365" t="s">
        <v>184</v>
      </c>
    </row>
    <row r="487" spans="1:18" x14ac:dyDescent="0.25">
      <c r="A487" s="365">
        <v>4</v>
      </c>
      <c r="B487" s="365" t="s">
        <v>452</v>
      </c>
      <c r="J487" s="365"/>
      <c r="K487" s="365"/>
      <c r="L487" s="365"/>
      <c r="M487" s="365"/>
      <c r="R487" s="365" t="s">
        <v>184</v>
      </c>
    </row>
    <row r="488" spans="1:18" x14ac:dyDescent="0.25">
      <c r="A488" s="365">
        <v>4</v>
      </c>
      <c r="B488" s="365" t="s">
        <v>451</v>
      </c>
      <c r="J488" s="365"/>
      <c r="K488" s="365"/>
      <c r="L488" s="365"/>
      <c r="M488" s="365"/>
      <c r="R488" s="365" t="s">
        <v>184</v>
      </c>
    </row>
    <row r="489" spans="1:18" x14ac:dyDescent="0.25">
      <c r="A489" s="365">
        <v>4</v>
      </c>
      <c r="B489" s="365" t="s">
        <v>450</v>
      </c>
      <c r="J489" s="365"/>
      <c r="K489" s="365"/>
      <c r="L489" s="365"/>
      <c r="M489" s="365"/>
      <c r="R489" s="365" t="s">
        <v>184</v>
      </c>
    </row>
    <row r="490" spans="1:18" x14ac:dyDescent="0.25">
      <c r="A490" s="365">
        <v>4</v>
      </c>
      <c r="B490" s="365" t="s">
        <v>449</v>
      </c>
      <c r="J490" s="365"/>
      <c r="K490" s="365"/>
      <c r="L490" s="365"/>
      <c r="M490" s="365"/>
      <c r="R490" s="365" t="s">
        <v>184</v>
      </c>
    </row>
    <row r="491" spans="1:18" x14ac:dyDescent="0.25">
      <c r="A491" s="365">
        <v>4</v>
      </c>
      <c r="B491" s="365" t="s">
        <v>448</v>
      </c>
      <c r="J491" s="365"/>
      <c r="K491" s="365"/>
      <c r="L491" s="365"/>
      <c r="M491" s="365"/>
      <c r="R491" s="365" t="s">
        <v>184</v>
      </c>
    </row>
    <row r="492" spans="1:18" x14ac:dyDescent="0.25">
      <c r="A492" s="365">
        <v>4</v>
      </c>
      <c r="B492" s="365" t="s">
        <v>447</v>
      </c>
      <c r="J492" s="365"/>
      <c r="K492" s="365"/>
      <c r="L492" s="365"/>
      <c r="M492" s="365"/>
      <c r="R492" s="365" t="s">
        <v>184</v>
      </c>
    </row>
    <row r="493" spans="1:18" x14ac:dyDescent="0.25">
      <c r="A493" s="365">
        <v>4</v>
      </c>
      <c r="B493" s="365" t="s">
        <v>446</v>
      </c>
      <c r="J493" s="365"/>
      <c r="K493" s="365"/>
      <c r="L493" s="365"/>
      <c r="M493" s="365"/>
      <c r="R493" s="365" t="s">
        <v>184</v>
      </c>
    </row>
    <row r="494" spans="1:18" x14ac:dyDescent="0.25">
      <c r="A494" s="365">
        <v>4</v>
      </c>
      <c r="B494" s="365" t="s">
        <v>445</v>
      </c>
      <c r="J494" s="365"/>
      <c r="K494" s="365"/>
      <c r="L494" s="365"/>
      <c r="M494" s="365"/>
      <c r="R494" s="365" t="s">
        <v>184</v>
      </c>
    </row>
    <row r="495" spans="1:18" x14ac:dyDescent="0.25">
      <c r="A495" s="365">
        <v>4</v>
      </c>
      <c r="B495" s="365" t="s">
        <v>444</v>
      </c>
      <c r="J495" s="365"/>
      <c r="K495" s="365"/>
      <c r="L495" s="365"/>
      <c r="M495" s="365"/>
      <c r="R495" s="365" t="s">
        <v>184</v>
      </c>
    </row>
    <row r="496" spans="1:18" x14ac:dyDescent="0.25">
      <c r="A496" s="365">
        <v>4</v>
      </c>
      <c r="B496" s="365" t="s">
        <v>443</v>
      </c>
      <c r="J496" s="365"/>
      <c r="K496" s="365"/>
      <c r="L496" s="365"/>
      <c r="M496" s="365"/>
      <c r="R496" s="365" t="s">
        <v>184</v>
      </c>
    </row>
    <row r="497" spans="1:18" x14ac:dyDescent="0.25">
      <c r="A497" s="365">
        <v>4</v>
      </c>
      <c r="B497" s="365" t="s">
        <v>442</v>
      </c>
      <c r="J497" s="365"/>
      <c r="K497" s="365"/>
      <c r="L497" s="365"/>
      <c r="M497" s="365"/>
      <c r="R497" s="365" t="s">
        <v>184</v>
      </c>
    </row>
    <row r="498" spans="1:18" x14ac:dyDescent="0.25">
      <c r="A498" s="365">
        <v>4</v>
      </c>
      <c r="B498" s="365" t="s">
        <v>441</v>
      </c>
      <c r="J498" s="365"/>
      <c r="K498" s="365"/>
      <c r="L498" s="365"/>
      <c r="M498" s="365"/>
      <c r="R498" s="365" t="s">
        <v>184</v>
      </c>
    </row>
    <row r="499" spans="1:18" x14ac:dyDescent="0.25">
      <c r="A499" s="365">
        <v>4</v>
      </c>
      <c r="B499" s="365" t="s">
        <v>440</v>
      </c>
      <c r="J499" s="365"/>
      <c r="K499" s="365"/>
      <c r="L499" s="365"/>
      <c r="M499" s="365"/>
      <c r="R499" s="365" t="s">
        <v>184</v>
      </c>
    </row>
    <row r="500" spans="1:18" x14ac:dyDescent="0.25">
      <c r="A500" s="365">
        <v>4</v>
      </c>
      <c r="B500" s="365" t="s">
        <v>439</v>
      </c>
      <c r="J500" s="365"/>
      <c r="K500" s="365"/>
      <c r="L500" s="365"/>
      <c r="M500" s="365"/>
      <c r="R500" s="365" t="s">
        <v>184</v>
      </c>
    </row>
    <row r="501" spans="1:18" x14ac:dyDescent="0.25">
      <c r="A501" s="365">
        <v>4</v>
      </c>
      <c r="B501" s="365" t="s">
        <v>438</v>
      </c>
      <c r="J501" s="365"/>
      <c r="K501" s="365"/>
      <c r="L501" s="365"/>
      <c r="M501" s="365"/>
      <c r="R501" s="365" t="s">
        <v>184</v>
      </c>
    </row>
    <row r="502" spans="1:18" x14ac:dyDescent="0.25">
      <c r="A502" s="365">
        <v>4</v>
      </c>
      <c r="B502" s="365" t="s">
        <v>437</v>
      </c>
      <c r="J502" s="365"/>
      <c r="K502" s="365"/>
      <c r="L502" s="365"/>
      <c r="M502" s="365"/>
      <c r="R502" s="365" t="s">
        <v>184</v>
      </c>
    </row>
    <row r="503" spans="1:18" x14ac:dyDescent="0.25">
      <c r="A503" s="365">
        <v>4</v>
      </c>
      <c r="B503" s="365" t="s">
        <v>436</v>
      </c>
      <c r="J503" s="365"/>
      <c r="K503" s="365"/>
      <c r="L503" s="365"/>
      <c r="M503" s="365"/>
      <c r="R503" s="365" t="s">
        <v>184</v>
      </c>
    </row>
    <row r="504" spans="1:18" x14ac:dyDescent="0.25">
      <c r="A504" s="365">
        <v>4</v>
      </c>
      <c r="B504" s="365" t="s">
        <v>435</v>
      </c>
      <c r="J504" s="365"/>
      <c r="K504" s="365"/>
      <c r="L504" s="365"/>
      <c r="M504" s="365"/>
      <c r="R504" s="365" t="s">
        <v>184</v>
      </c>
    </row>
    <row r="505" spans="1:18" x14ac:dyDescent="0.25">
      <c r="A505" s="365">
        <v>4</v>
      </c>
      <c r="B505" s="365" t="s">
        <v>434</v>
      </c>
      <c r="J505" s="365"/>
      <c r="K505" s="365"/>
      <c r="L505" s="365"/>
      <c r="M505" s="365"/>
      <c r="R505" s="365" t="s">
        <v>184</v>
      </c>
    </row>
    <row r="506" spans="1:18" x14ac:dyDescent="0.25">
      <c r="A506" s="365">
        <v>4</v>
      </c>
      <c r="B506" s="365" t="s">
        <v>433</v>
      </c>
      <c r="J506" s="365"/>
      <c r="K506" s="365"/>
      <c r="L506" s="365"/>
      <c r="M506" s="365"/>
      <c r="R506" s="365" t="s">
        <v>184</v>
      </c>
    </row>
    <row r="507" spans="1:18" x14ac:dyDescent="0.25">
      <c r="A507" s="365">
        <v>4</v>
      </c>
      <c r="B507" s="365" t="s">
        <v>432</v>
      </c>
      <c r="J507" s="365"/>
      <c r="K507" s="365"/>
      <c r="L507" s="365"/>
      <c r="M507" s="365"/>
      <c r="R507" s="365" t="s">
        <v>184</v>
      </c>
    </row>
    <row r="508" spans="1:18" x14ac:dyDescent="0.25">
      <c r="A508" s="365">
        <v>4</v>
      </c>
      <c r="B508" s="365" t="s">
        <v>431</v>
      </c>
      <c r="J508" s="365"/>
      <c r="K508" s="365"/>
      <c r="L508" s="365"/>
      <c r="M508" s="365"/>
      <c r="R508" s="365" t="s">
        <v>184</v>
      </c>
    </row>
    <row r="509" spans="1:18" x14ac:dyDescent="0.25">
      <c r="A509" s="365">
        <v>4</v>
      </c>
      <c r="B509" s="365" t="s">
        <v>430</v>
      </c>
      <c r="J509" s="365"/>
      <c r="K509" s="365"/>
      <c r="L509" s="365"/>
      <c r="M509" s="365"/>
      <c r="R509" s="365" t="s">
        <v>184</v>
      </c>
    </row>
    <row r="510" spans="1:18" x14ac:dyDescent="0.25">
      <c r="A510" s="365">
        <v>4</v>
      </c>
      <c r="B510" s="365" t="s">
        <v>429</v>
      </c>
      <c r="J510" s="365"/>
      <c r="K510" s="365"/>
      <c r="L510" s="365"/>
      <c r="M510" s="365"/>
      <c r="R510" s="365" t="s">
        <v>184</v>
      </c>
    </row>
    <row r="511" spans="1:18" x14ac:dyDescent="0.25">
      <c r="A511" s="365">
        <v>4</v>
      </c>
      <c r="B511" s="365" t="s">
        <v>428</v>
      </c>
      <c r="J511" s="365"/>
      <c r="K511" s="365"/>
      <c r="L511" s="365"/>
      <c r="M511" s="365"/>
      <c r="R511" s="365" t="s">
        <v>184</v>
      </c>
    </row>
    <row r="512" spans="1:18" x14ac:dyDescent="0.25">
      <c r="A512" s="365">
        <v>4</v>
      </c>
      <c r="B512" s="365" t="s">
        <v>427</v>
      </c>
      <c r="J512" s="365"/>
      <c r="K512" s="365"/>
      <c r="L512" s="365"/>
      <c r="M512" s="365"/>
      <c r="R512" s="365" t="s">
        <v>184</v>
      </c>
    </row>
    <row r="513" spans="1:18" x14ac:dyDescent="0.25">
      <c r="A513" s="365">
        <v>4</v>
      </c>
      <c r="B513" s="365" t="s">
        <v>426</v>
      </c>
      <c r="J513" s="365"/>
      <c r="K513" s="365"/>
      <c r="L513" s="365"/>
      <c r="M513" s="365"/>
      <c r="R513" s="365" t="s">
        <v>184</v>
      </c>
    </row>
    <row r="514" spans="1:18" x14ac:dyDescent="0.25">
      <c r="A514" s="365">
        <v>4</v>
      </c>
      <c r="B514" s="365" t="s">
        <v>425</v>
      </c>
      <c r="J514" s="365"/>
      <c r="K514" s="365"/>
      <c r="L514" s="365"/>
      <c r="M514" s="365"/>
      <c r="R514" s="365" t="s">
        <v>184</v>
      </c>
    </row>
    <row r="515" spans="1:18" x14ac:dyDescent="0.25">
      <c r="A515" s="365">
        <v>4</v>
      </c>
      <c r="B515" s="365" t="s">
        <v>424</v>
      </c>
      <c r="J515" s="365"/>
      <c r="K515" s="365"/>
      <c r="L515" s="365"/>
      <c r="M515" s="365"/>
      <c r="R515" s="365" t="s">
        <v>184</v>
      </c>
    </row>
    <row r="516" spans="1:18" x14ac:dyDescent="0.25">
      <c r="A516" s="365">
        <v>4</v>
      </c>
      <c r="B516" s="365" t="s">
        <v>423</v>
      </c>
      <c r="J516" s="365"/>
      <c r="K516" s="365"/>
      <c r="L516" s="365"/>
      <c r="M516" s="365"/>
      <c r="R516" s="365" t="s">
        <v>184</v>
      </c>
    </row>
    <row r="517" spans="1:18" x14ac:dyDescent="0.25">
      <c r="A517" s="365">
        <v>4</v>
      </c>
      <c r="B517" s="365" t="s">
        <v>422</v>
      </c>
      <c r="J517" s="365"/>
      <c r="K517" s="365"/>
      <c r="L517" s="365"/>
      <c r="M517" s="365"/>
      <c r="R517" s="365" t="s">
        <v>184</v>
      </c>
    </row>
    <row r="518" spans="1:18" x14ac:dyDescent="0.25">
      <c r="A518" s="365">
        <v>4</v>
      </c>
      <c r="B518" s="365" t="s">
        <v>421</v>
      </c>
      <c r="J518" s="365"/>
      <c r="K518" s="365"/>
      <c r="L518" s="365"/>
      <c r="M518" s="365"/>
      <c r="R518" s="365" t="s">
        <v>184</v>
      </c>
    </row>
    <row r="519" spans="1:18" x14ac:dyDescent="0.25">
      <c r="A519" s="365">
        <v>4</v>
      </c>
      <c r="B519" s="365" t="s">
        <v>420</v>
      </c>
      <c r="J519" s="365"/>
      <c r="K519" s="365"/>
      <c r="L519" s="365"/>
      <c r="M519" s="365"/>
      <c r="R519" s="365" t="s">
        <v>184</v>
      </c>
    </row>
    <row r="520" spans="1:18" x14ac:dyDescent="0.25">
      <c r="A520" s="365">
        <v>4</v>
      </c>
      <c r="B520" s="365" t="s">
        <v>419</v>
      </c>
      <c r="J520" s="365"/>
      <c r="K520" s="365"/>
      <c r="L520" s="365"/>
      <c r="M520" s="365"/>
      <c r="R520" s="365" t="s">
        <v>184</v>
      </c>
    </row>
    <row r="521" spans="1:18" x14ac:dyDescent="0.25">
      <c r="A521" s="365">
        <v>4</v>
      </c>
      <c r="B521" s="365" t="s">
        <v>418</v>
      </c>
      <c r="J521" s="365"/>
      <c r="K521" s="365"/>
      <c r="L521" s="365"/>
      <c r="M521" s="365"/>
      <c r="R521" s="365" t="s">
        <v>184</v>
      </c>
    </row>
    <row r="522" spans="1:18" x14ac:dyDescent="0.25">
      <c r="A522" s="365">
        <v>4</v>
      </c>
      <c r="B522" s="365" t="s">
        <v>417</v>
      </c>
      <c r="J522" s="365"/>
      <c r="K522" s="365"/>
      <c r="L522" s="365"/>
      <c r="M522" s="365"/>
      <c r="R522" s="365" t="s">
        <v>184</v>
      </c>
    </row>
    <row r="523" spans="1:18" x14ac:dyDescent="0.25">
      <c r="A523" s="365">
        <v>4</v>
      </c>
      <c r="B523" s="365" t="s">
        <v>416</v>
      </c>
      <c r="J523" s="365"/>
      <c r="K523" s="365"/>
      <c r="L523" s="365"/>
      <c r="M523" s="365"/>
      <c r="R523" s="365" t="s">
        <v>184</v>
      </c>
    </row>
    <row r="524" spans="1:18" x14ac:dyDescent="0.25">
      <c r="A524" s="365">
        <v>4</v>
      </c>
      <c r="B524" s="365" t="s">
        <v>415</v>
      </c>
      <c r="J524" s="365"/>
      <c r="K524" s="365"/>
      <c r="L524" s="365"/>
      <c r="M524" s="365"/>
      <c r="R524" s="365" t="s">
        <v>184</v>
      </c>
    </row>
    <row r="525" spans="1:18" x14ac:dyDescent="0.25">
      <c r="A525" s="365">
        <v>4</v>
      </c>
      <c r="B525" s="365" t="s">
        <v>414</v>
      </c>
      <c r="J525" s="365"/>
      <c r="K525" s="365"/>
      <c r="L525" s="365"/>
      <c r="M525" s="365"/>
      <c r="R525" s="365" t="s">
        <v>184</v>
      </c>
    </row>
    <row r="526" spans="1:18" x14ac:dyDescent="0.25">
      <c r="A526" s="365">
        <v>4</v>
      </c>
      <c r="B526" s="365" t="s">
        <v>413</v>
      </c>
      <c r="J526" s="365"/>
      <c r="K526" s="365"/>
      <c r="L526" s="365"/>
      <c r="M526" s="365"/>
      <c r="R526" s="365" t="s">
        <v>184</v>
      </c>
    </row>
    <row r="527" spans="1:18" x14ac:dyDescent="0.25">
      <c r="A527" s="365">
        <v>4</v>
      </c>
      <c r="B527" s="365" t="s">
        <v>412</v>
      </c>
      <c r="J527" s="365"/>
      <c r="K527" s="365"/>
      <c r="L527" s="365"/>
      <c r="M527" s="365"/>
      <c r="R527" s="365" t="s">
        <v>184</v>
      </c>
    </row>
    <row r="528" spans="1:18" x14ac:dyDescent="0.25">
      <c r="A528" s="365">
        <v>4</v>
      </c>
      <c r="B528" s="365" t="s">
        <v>411</v>
      </c>
      <c r="J528" s="365"/>
      <c r="K528" s="365"/>
      <c r="L528" s="365"/>
      <c r="M528" s="365"/>
      <c r="R528" s="365" t="s">
        <v>184</v>
      </c>
    </row>
    <row r="529" spans="1:18" x14ac:dyDescent="0.25">
      <c r="A529" s="365">
        <v>4</v>
      </c>
      <c r="B529" s="365" t="s">
        <v>410</v>
      </c>
      <c r="J529" s="365"/>
      <c r="K529" s="365"/>
      <c r="L529" s="365"/>
      <c r="M529" s="365"/>
      <c r="R529" s="365" t="s">
        <v>184</v>
      </c>
    </row>
    <row r="530" spans="1:18" x14ac:dyDescent="0.25">
      <c r="A530" s="365">
        <v>4</v>
      </c>
      <c r="B530" s="365" t="s">
        <v>409</v>
      </c>
      <c r="J530" s="365"/>
      <c r="K530" s="365"/>
      <c r="L530" s="365"/>
      <c r="M530" s="365"/>
      <c r="R530" s="365" t="s">
        <v>184</v>
      </c>
    </row>
    <row r="531" spans="1:18" x14ac:dyDescent="0.25">
      <c r="A531" s="365">
        <v>4</v>
      </c>
      <c r="B531" s="365" t="s">
        <v>408</v>
      </c>
      <c r="J531" s="365"/>
      <c r="K531" s="365"/>
      <c r="L531" s="365"/>
      <c r="M531" s="365"/>
      <c r="R531" s="365" t="s">
        <v>184</v>
      </c>
    </row>
    <row r="532" spans="1:18" x14ac:dyDescent="0.25">
      <c r="A532" s="365">
        <v>4</v>
      </c>
      <c r="B532" s="365" t="s">
        <v>407</v>
      </c>
      <c r="J532" s="365"/>
      <c r="K532" s="365"/>
      <c r="L532" s="365"/>
      <c r="M532" s="365"/>
      <c r="R532" s="365" t="s">
        <v>184</v>
      </c>
    </row>
    <row r="533" spans="1:18" x14ac:dyDescent="0.25">
      <c r="A533" s="365">
        <v>4</v>
      </c>
      <c r="B533" s="365" t="s">
        <v>406</v>
      </c>
      <c r="J533" s="365"/>
      <c r="K533" s="365"/>
      <c r="L533" s="365"/>
      <c r="M533" s="365"/>
      <c r="R533" s="365" t="s">
        <v>184</v>
      </c>
    </row>
    <row r="534" spans="1:18" x14ac:dyDescent="0.25">
      <c r="A534" s="365">
        <v>4</v>
      </c>
      <c r="B534" s="365" t="s">
        <v>405</v>
      </c>
      <c r="J534" s="365"/>
      <c r="K534" s="365"/>
      <c r="L534" s="365"/>
      <c r="M534" s="365"/>
      <c r="R534" s="365" t="s">
        <v>184</v>
      </c>
    </row>
    <row r="535" spans="1:18" x14ac:dyDescent="0.25">
      <c r="A535" s="365">
        <v>4</v>
      </c>
      <c r="B535" s="365" t="s">
        <v>404</v>
      </c>
      <c r="J535" s="365"/>
      <c r="K535" s="365"/>
      <c r="L535" s="365"/>
      <c r="M535" s="365"/>
      <c r="R535" s="365" t="s">
        <v>184</v>
      </c>
    </row>
    <row r="536" spans="1:18" x14ac:dyDescent="0.25">
      <c r="A536" s="365">
        <v>4</v>
      </c>
      <c r="B536" s="365" t="s">
        <v>403</v>
      </c>
      <c r="J536" s="365"/>
      <c r="K536" s="365"/>
      <c r="L536" s="365"/>
      <c r="M536" s="365"/>
      <c r="R536" s="365" t="s">
        <v>184</v>
      </c>
    </row>
    <row r="537" spans="1:18" x14ac:dyDescent="0.25">
      <c r="A537" s="365">
        <v>4</v>
      </c>
      <c r="B537" s="365" t="s">
        <v>402</v>
      </c>
      <c r="J537" s="365"/>
      <c r="K537" s="365"/>
      <c r="L537" s="365"/>
      <c r="M537" s="365"/>
      <c r="R537" s="365" t="s">
        <v>184</v>
      </c>
    </row>
    <row r="538" spans="1:18" x14ac:dyDescent="0.25">
      <c r="A538" s="365">
        <v>4</v>
      </c>
      <c r="B538" s="365" t="s">
        <v>401</v>
      </c>
      <c r="J538" s="365"/>
      <c r="K538" s="365"/>
      <c r="L538" s="365"/>
      <c r="M538" s="365"/>
      <c r="R538" s="365" t="s">
        <v>184</v>
      </c>
    </row>
    <row r="539" spans="1:18" x14ac:dyDescent="0.25">
      <c r="A539" s="365">
        <v>4</v>
      </c>
      <c r="B539" s="365" t="s">
        <v>400</v>
      </c>
      <c r="J539" s="365"/>
      <c r="K539" s="365"/>
      <c r="L539" s="365"/>
      <c r="M539" s="365"/>
      <c r="R539" s="365" t="s">
        <v>184</v>
      </c>
    </row>
    <row r="540" spans="1:18" x14ac:dyDescent="0.25">
      <c r="A540" s="365">
        <v>4</v>
      </c>
      <c r="B540" s="365" t="s">
        <v>399</v>
      </c>
      <c r="J540" s="365"/>
      <c r="K540" s="365"/>
      <c r="L540" s="365"/>
      <c r="M540" s="365"/>
      <c r="R540" s="365" t="s">
        <v>184</v>
      </c>
    </row>
    <row r="541" spans="1:18" x14ac:dyDescent="0.25">
      <c r="A541" s="365">
        <v>4</v>
      </c>
      <c r="B541" s="365" t="s">
        <v>398</v>
      </c>
      <c r="J541" s="365"/>
      <c r="K541" s="365"/>
      <c r="L541" s="365"/>
      <c r="M541" s="365"/>
      <c r="R541" s="365" t="s">
        <v>184</v>
      </c>
    </row>
    <row r="542" spans="1:18" x14ac:dyDescent="0.25">
      <c r="A542" s="365">
        <v>4</v>
      </c>
      <c r="B542" s="365" t="s">
        <v>397</v>
      </c>
      <c r="J542" s="365"/>
      <c r="K542" s="365"/>
      <c r="L542" s="365"/>
      <c r="M542" s="365"/>
      <c r="R542" s="365" t="s">
        <v>184</v>
      </c>
    </row>
    <row r="543" spans="1:18" x14ac:dyDescent="0.25">
      <c r="A543" s="365">
        <v>4</v>
      </c>
      <c r="B543" s="365" t="s">
        <v>396</v>
      </c>
      <c r="J543" s="365"/>
      <c r="K543" s="365"/>
      <c r="L543" s="365"/>
      <c r="M543" s="365"/>
      <c r="R543" s="365" t="s">
        <v>184</v>
      </c>
    </row>
    <row r="544" spans="1:18" x14ac:dyDescent="0.25">
      <c r="A544" s="365">
        <v>4</v>
      </c>
      <c r="B544" s="365" t="s">
        <v>395</v>
      </c>
      <c r="J544" s="365"/>
      <c r="K544" s="365"/>
      <c r="L544" s="365"/>
      <c r="M544" s="365"/>
      <c r="R544" s="365" t="s">
        <v>184</v>
      </c>
    </row>
    <row r="545" spans="1:18" x14ac:dyDescent="0.25">
      <c r="A545" s="365">
        <v>4</v>
      </c>
      <c r="B545" s="365" t="s">
        <v>394</v>
      </c>
      <c r="J545" s="365"/>
      <c r="K545" s="365"/>
      <c r="L545" s="365"/>
      <c r="M545" s="365"/>
      <c r="R545" s="365" t="s">
        <v>184</v>
      </c>
    </row>
    <row r="546" spans="1:18" x14ac:dyDescent="0.25">
      <c r="A546" s="365">
        <v>4</v>
      </c>
      <c r="B546" s="365" t="s">
        <v>393</v>
      </c>
      <c r="J546" s="365"/>
      <c r="K546" s="365"/>
      <c r="L546" s="365"/>
      <c r="M546" s="365"/>
      <c r="R546" s="365" t="s">
        <v>184</v>
      </c>
    </row>
    <row r="547" spans="1:18" x14ac:dyDescent="0.25">
      <c r="A547" s="365">
        <v>4</v>
      </c>
      <c r="B547" s="365" t="s">
        <v>392</v>
      </c>
      <c r="J547" s="365"/>
      <c r="K547" s="365"/>
      <c r="L547" s="365"/>
      <c r="M547" s="365"/>
      <c r="R547" s="365" t="s">
        <v>184</v>
      </c>
    </row>
    <row r="548" spans="1:18" x14ac:dyDescent="0.25">
      <c r="A548" s="365">
        <v>4</v>
      </c>
      <c r="B548" s="365" t="s">
        <v>391</v>
      </c>
      <c r="J548" s="365"/>
      <c r="K548" s="365"/>
      <c r="L548" s="365"/>
      <c r="M548" s="365"/>
      <c r="R548" s="365" t="s">
        <v>184</v>
      </c>
    </row>
    <row r="549" spans="1:18" x14ac:dyDescent="0.25">
      <c r="A549" s="365">
        <v>4</v>
      </c>
      <c r="B549" s="365" t="s">
        <v>390</v>
      </c>
      <c r="J549" s="365"/>
      <c r="K549" s="365"/>
      <c r="L549" s="365"/>
      <c r="M549" s="365"/>
      <c r="R549" s="365" t="s">
        <v>184</v>
      </c>
    </row>
    <row r="550" spans="1:18" x14ac:dyDescent="0.25">
      <c r="A550" s="365">
        <v>4</v>
      </c>
      <c r="B550" s="365" t="s">
        <v>389</v>
      </c>
      <c r="J550" s="365"/>
      <c r="K550" s="365"/>
      <c r="L550" s="365"/>
      <c r="M550" s="365"/>
      <c r="R550" s="365" t="s">
        <v>184</v>
      </c>
    </row>
    <row r="551" spans="1:18" x14ac:dyDescent="0.25">
      <c r="A551" s="365">
        <v>4</v>
      </c>
      <c r="B551" s="365" t="s">
        <v>388</v>
      </c>
      <c r="J551" s="365"/>
      <c r="K551" s="365"/>
      <c r="L551" s="365"/>
      <c r="M551" s="365"/>
      <c r="R551" s="365" t="s">
        <v>184</v>
      </c>
    </row>
    <row r="552" spans="1:18" x14ac:dyDescent="0.25">
      <c r="A552" s="365">
        <v>4</v>
      </c>
      <c r="B552" s="365" t="s">
        <v>387</v>
      </c>
      <c r="J552" s="365"/>
      <c r="K552" s="365"/>
      <c r="L552" s="365"/>
      <c r="M552" s="365"/>
      <c r="R552" s="365" t="s">
        <v>184</v>
      </c>
    </row>
    <row r="553" spans="1:18" x14ac:dyDescent="0.25">
      <c r="A553" s="365">
        <v>4</v>
      </c>
      <c r="B553" s="365" t="s">
        <v>386</v>
      </c>
      <c r="J553" s="365"/>
      <c r="K553" s="365"/>
      <c r="L553" s="365"/>
      <c r="M553" s="365"/>
      <c r="R553" s="365" t="s">
        <v>184</v>
      </c>
    </row>
    <row r="554" spans="1:18" x14ac:dyDescent="0.25">
      <c r="A554" s="365">
        <v>4</v>
      </c>
      <c r="B554" s="365" t="s">
        <v>385</v>
      </c>
      <c r="J554" s="365"/>
      <c r="K554" s="365"/>
      <c r="L554" s="365"/>
      <c r="M554" s="365"/>
      <c r="R554" s="365" t="s">
        <v>184</v>
      </c>
    </row>
    <row r="555" spans="1:18" x14ac:dyDescent="0.25">
      <c r="A555" s="365">
        <v>4</v>
      </c>
      <c r="B555" s="365" t="s">
        <v>384</v>
      </c>
      <c r="J555" s="365"/>
      <c r="K555" s="365"/>
      <c r="L555" s="365"/>
      <c r="M555" s="365"/>
      <c r="R555" s="365" t="s">
        <v>184</v>
      </c>
    </row>
    <row r="556" spans="1:18" x14ac:dyDescent="0.25">
      <c r="A556" s="365">
        <v>4</v>
      </c>
      <c r="B556" s="365" t="s">
        <v>383</v>
      </c>
      <c r="J556" s="365"/>
      <c r="K556" s="365"/>
      <c r="L556" s="365"/>
      <c r="M556" s="365"/>
      <c r="R556" s="365" t="s">
        <v>184</v>
      </c>
    </row>
    <row r="557" spans="1:18" x14ac:dyDescent="0.25">
      <c r="A557" s="365">
        <v>4</v>
      </c>
      <c r="B557" s="365" t="s">
        <v>382</v>
      </c>
      <c r="J557" s="365"/>
      <c r="K557" s="365"/>
      <c r="L557" s="365"/>
      <c r="M557" s="365"/>
      <c r="R557" s="365" t="s">
        <v>184</v>
      </c>
    </row>
    <row r="558" spans="1:18" x14ac:dyDescent="0.25">
      <c r="A558" s="365">
        <v>4</v>
      </c>
      <c r="B558" s="365" t="s">
        <v>381</v>
      </c>
      <c r="J558" s="365"/>
      <c r="K558" s="365"/>
      <c r="L558" s="365"/>
      <c r="M558" s="365"/>
      <c r="R558" s="365" t="s">
        <v>184</v>
      </c>
    </row>
    <row r="559" spans="1:18" x14ac:dyDescent="0.25">
      <c r="A559" s="365">
        <v>4</v>
      </c>
      <c r="B559" s="365" t="s">
        <v>380</v>
      </c>
      <c r="J559" s="365"/>
      <c r="K559" s="365"/>
      <c r="L559" s="365"/>
      <c r="M559" s="365"/>
      <c r="R559" s="365" t="s">
        <v>184</v>
      </c>
    </row>
    <row r="560" spans="1:18" x14ac:dyDescent="0.25">
      <c r="A560" s="365">
        <v>4</v>
      </c>
      <c r="B560" s="365" t="s">
        <v>379</v>
      </c>
      <c r="J560" s="365"/>
      <c r="K560" s="365"/>
      <c r="L560" s="365"/>
      <c r="M560" s="365"/>
      <c r="R560" s="365" t="s">
        <v>184</v>
      </c>
    </row>
    <row r="561" spans="1:18" x14ac:dyDescent="0.25">
      <c r="A561" s="365">
        <v>4</v>
      </c>
      <c r="B561" s="365" t="s">
        <v>378</v>
      </c>
      <c r="J561" s="365"/>
      <c r="K561" s="365"/>
      <c r="L561" s="365"/>
      <c r="M561" s="365"/>
      <c r="R561" s="365" t="s">
        <v>184</v>
      </c>
    </row>
    <row r="562" spans="1:18" x14ac:dyDescent="0.25">
      <c r="A562" s="365">
        <v>4</v>
      </c>
      <c r="B562" s="365" t="s">
        <v>377</v>
      </c>
      <c r="J562" s="365"/>
      <c r="K562" s="365"/>
      <c r="L562" s="365"/>
      <c r="M562" s="365"/>
      <c r="R562" s="365" t="s">
        <v>184</v>
      </c>
    </row>
    <row r="563" spans="1:18" x14ac:dyDescent="0.25">
      <c r="A563" s="365">
        <v>4</v>
      </c>
      <c r="B563" s="365" t="s">
        <v>376</v>
      </c>
      <c r="J563" s="365"/>
      <c r="K563" s="365"/>
      <c r="L563" s="365"/>
      <c r="M563" s="365"/>
      <c r="R563" s="365" t="s">
        <v>184</v>
      </c>
    </row>
    <row r="564" spans="1:18" x14ac:dyDescent="0.25">
      <c r="A564" s="365">
        <v>4</v>
      </c>
      <c r="B564" s="365" t="s">
        <v>375</v>
      </c>
      <c r="J564" s="365"/>
      <c r="K564" s="365"/>
      <c r="L564" s="365"/>
      <c r="M564" s="365"/>
      <c r="R564" s="365" t="s">
        <v>184</v>
      </c>
    </row>
    <row r="565" spans="1:18" x14ac:dyDescent="0.25">
      <c r="A565" s="365">
        <v>4</v>
      </c>
      <c r="B565" s="365" t="s">
        <v>374</v>
      </c>
      <c r="J565" s="365"/>
      <c r="K565" s="365"/>
      <c r="L565" s="365"/>
      <c r="M565" s="365"/>
      <c r="R565" s="365" t="s">
        <v>184</v>
      </c>
    </row>
    <row r="566" spans="1:18" x14ac:dyDescent="0.25">
      <c r="A566" s="365">
        <v>4</v>
      </c>
      <c r="B566" s="365" t="s">
        <v>373</v>
      </c>
      <c r="J566" s="365"/>
      <c r="K566" s="365"/>
      <c r="L566" s="365"/>
      <c r="M566" s="365"/>
      <c r="R566" s="365" t="s">
        <v>184</v>
      </c>
    </row>
    <row r="567" spans="1:18" x14ac:dyDescent="0.25">
      <c r="A567" s="365">
        <v>4</v>
      </c>
      <c r="B567" s="365" t="s">
        <v>372</v>
      </c>
      <c r="J567" s="365"/>
      <c r="K567" s="365"/>
      <c r="L567" s="365"/>
      <c r="M567" s="365"/>
      <c r="R567" s="365" t="s">
        <v>184</v>
      </c>
    </row>
    <row r="568" spans="1:18" x14ac:dyDescent="0.25">
      <c r="A568" s="365">
        <v>4</v>
      </c>
      <c r="B568" s="365" t="s">
        <v>371</v>
      </c>
      <c r="J568" s="365"/>
      <c r="K568" s="365"/>
      <c r="L568" s="365"/>
      <c r="M568" s="365"/>
      <c r="R568" s="365" t="s">
        <v>184</v>
      </c>
    </row>
    <row r="569" spans="1:18" x14ac:dyDescent="0.25">
      <c r="A569" s="365">
        <v>4</v>
      </c>
      <c r="B569" s="365" t="s">
        <v>370</v>
      </c>
      <c r="J569" s="365"/>
      <c r="K569" s="365"/>
      <c r="L569" s="365"/>
      <c r="M569" s="365"/>
      <c r="R569" s="365" t="s">
        <v>184</v>
      </c>
    </row>
    <row r="570" spans="1:18" x14ac:dyDescent="0.25">
      <c r="A570" s="365">
        <v>4</v>
      </c>
      <c r="B570" s="365" t="s">
        <v>369</v>
      </c>
      <c r="J570" s="365"/>
      <c r="K570" s="365"/>
      <c r="L570" s="365"/>
      <c r="M570" s="365"/>
      <c r="R570" s="365" t="s">
        <v>184</v>
      </c>
    </row>
    <row r="571" spans="1:18" x14ac:dyDescent="0.25">
      <c r="A571" s="365">
        <v>4</v>
      </c>
      <c r="B571" s="365" t="s">
        <v>368</v>
      </c>
      <c r="J571" s="365"/>
      <c r="K571" s="365"/>
      <c r="L571" s="365"/>
      <c r="M571" s="365"/>
      <c r="R571" s="365" t="s">
        <v>184</v>
      </c>
    </row>
    <row r="572" spans="1:18" x14ac:dyDescent="0.25">
      <c r="A572" s="365">
        <v>4</v>
      </c>
      <c r="B572" s="365" t="s">
        <v>367</v>
      </c>
      <c r="J572" s="365"/>
      <c r="K572" s="365"/>
      <c r="L572" s="365"/>
      <c r="M572" s="365"/>
      <c r="R572" s="365" t="s">
        <v>184</v>
      </c>
    </row>
    <row r="573" spans="1:18" x14ac:dyDescent="0.25">
      <c r="A573" s="365">
        <v>4</v>
      </c>
      <c r="B573" s="365" t="s">
        <v>366</v>
      </c>
      <c r="J573" s="365"/>
      <c r="K573" s="365"/>
      <c r="L573" s="365"/>
      <c r="M573" s="365"/>
      <c r="R573" s="365" t="s">
        <v>184</v>
      </c>
    </row>
    <row r="574" spans="1:18" x14ac:dyDescent="0.25">
      <c r="A574" s="365">
        <v>4</v>
      </c>
      <c r="B574" s="365" t="s">
        <v>365</v>
      </c>
      <c r="J574" s="365"/>
      <c r="K574" s="365"/>
      <c r="L574" s="365"/>
      <c r="M574" s="365"/>
      <c r="R574" s="365" t="s">
        <v>184</v>
      </c>
    </row>
    <row r="575" spans="1:18" x14ac:dyDescent="0.25">
      <c r="A575" s="365">
        <v>4</v>
      </c>
      <c r="B575" s="365" t="s">
        <v>364</v>
      </c>
      <c r="J575" s="365"/>
      <c r="K575" s="365"/>
      <c r="L575" s="365"/>
      <c r="M575" s="365"/>
      <c r="R575" s="365" t="s">
        <v>184</v>
      </c>
    </row>
    <row r="576" spans="1:18" x14ac:dyDescent="0.25">
      <c r="A576" s="365">
        <v>4</v>
      </c>
      <c r="B576" s="365" t="s">
        <v>363</v>
      </c>
      <c r="J576" s="365"/>
      <c r="K576" s="365"/>
      <c r="L576" s="365"/>
      <c r="M576" s="365"/>
      <c r="R576" s="365" t="s">
        <v>184</v>
      </c>
    </row>
    <row r="577" spans="1:18" x14ac:dyDescent="0.25">
      <c r="A577" s="365">
        <v>4</v>
      </c>
      <c r="B577" s="365" t="s">
        <v>362</v>
      </c>
      <c r="J577" s="365"/>
      <c r="K577" s="365"/>
      <c r="L577" s="365"/>
      <c r="M577" s="365"/>
      <c r="R577" s="365" t="s">
        <v>184</v>
      </c>
    </row>
    <row r="578" spans="1:18" x14ac:dyDescent="0.25">
      <c r="A578" s="365">
        <v>4</v>
      </c>
      <c r="B578" s="365" t="s">
        <v>361</v>
      </c>
      <c r="J578" s="365"/>
      <c r="K578" s="365"/>
      <c r="L578" s="365"/>
      <c r="M578" s="365"/>
      <c r="R578" s="365" t="s">
        <v>184</v>
      </c>
    </row>
    <row r="579" spans="1:18" x14ac:dyDescent="0.25">
      <c r="A579" s="365">
        <v>4</v>
      </c>
      <c r="B579" s="365" t="s">
        <v>360</v>
      </c>
      <c r="J579" s="365"/>
      <c r="K579" s="365"/>
      <c r="L579" s="365"/>
      <c r="M579" s="365"/>
      <c r="R579" s="365" t="s">
        <v>184</v>
      </c>
    </row>
    <row r="580" spans="1:18" x14ac:dyDescent="0.25">
      <c r="A580" s="365">
        <v>4</v>
      </c>
      <c r="B580" s="365" t="s">
        <v>359</v>
      </c>
      <c r="J580" s="365"/>
      <c r="K580" s="365"/>
      <c r="L580" s="365"/>
      <c r="M580" s="365"/>
      <c r="R580" s="365" t="s">
        <v>184</v>
      </c>
    </row>
    <row r="581" spans="1:18" x14ac:dyDescent="0.25">
      <c r="A581" s="365">
        <v>4</v>
      </c>
      <c r="B581" s="365" t="s">
        <v>358</v>
      </c>
      <c r="J581" s="365"/>
      <c r="K581" s="365"/>
      <c r="L581" s="365"/>
      <c r="M581" s="365"/>
      <c r="R581" s="365" t="s">
        <v>184</v>
      </c>
    </row>
    <row r="582" spans="1:18" x14ac:dyDescent="0.25">
      <c r="A582" s="365">
        <v>4</v>
      </c>
      <c r="B582" s="365" t="s">
        <v>357</v>
      </c>
      <c r="J582" s="365"/>
      <c r="K582" s="365"/>
      <c r="L582" s="365"/>
      <c r="M582" s="365"/>
      <c r="R582" s="365" t="s">
        <v>184</v>
      </c>
    </row>
    <row r="583" spans="1:18" x14ac:dyDescent="0.25">
      <c r="A583" s="365">
        <v>4</v>
      </c>
      <c r="B583" s="365" t="s">
        <v>356</v>
      </c>
      <c r="J583" s="365"/>
      <c r="K583" s="365"/>
      <c r="L583" s="365"/>
      <c r="M583" s="365"/>
      <c r="R583" s="365" t="s">
        <v>184</v>
      </c>
    </row>
    <row r="584" spans="1:18" x14ac:dyDescent="0.25">
      <c r="A584" s="365">
        <v>4</v>
      </c>
      <c r="B584" s="365" t="s">
        <v>355</v>
      </c>
      <c r="J584" s="365"/>
      <c r="K584" s="365"/>
      <c r="L584" s="365"/>
      <c r="M584" s="365"/>
      <c r="R584" s="365" t="s">
        <v>184</v>
      </c>
    </row>
    <row r="585" spans="1:18" x14ac:dyDescent="0.25">
      <c r="A585" s="365">
        <v>4</v>
      </c>
      <c r="B585" s="365" t="s">
        <v>354</v>
      </c>
      <c r="J585" s="365"/>
      <c r="K585" s="365"/>
      <c r="L585" s="365"/>
      <c r="M585" s="365"/>
      <c r="R585" s="365" t="s">
        <v>184</v>
      </c>
    </row>
    <row r="586" spans="1:18" x14ac:dyDescent="0.25">
      <c r="A586" s="365">
        <v>4</v>
      </c>
      <c r="B586" s="365" t="s">
        <v>353</v>
      </c>
      <c r="J586" s="365"/>
      <c r="K586" s="365"/>
      <c r="L586" s="365"/>
      <c r="M586" s="365"/>
    </row>
    <row r="587" spans="1:18" x14ac:dyDescent="0.25">
      <c r="A587" s="365">
        <v>4</v>
      </c>
      <c r="B587" s="365" t="s">
        <v>352</v>
      </c>
      <c r="J587" s="365"/>
      <c r="K587" s="365"/>
      <c r="L587" s="365"/>
      <c r="M587" s="365"/>
    </row>
    <row r="588" spans="1:18" x14ac:dyDescent="0.25">
      <c r="A588" s="365">
        <v>4</v>
      </c>
      <c r="B588" s="365" t="s">
        <v>351</v>
      </c>
      <c r="J588" s="365"/>
      <c r="K588" s="365"/>
      <c r="L588" s="365"/>
      <c r="M588" s="365"/>
    </row>
    <row r="589" spans="1:18" x14ac:dyDescent="0.25">
      <c r="A589" s="365">
        <v>4</v>
      </c>
      <c r="B589" s="365" t="s">
        <v>350</v>
      </c>
      <c r="J589" s="365"/>
      <c r="K589" s="365"/>
      <c r="L589" s="365"/>
      <c r="M589" s="365"/>
    </row>
    <row r="590" spans="1:18" x14ac:dyDescent="0.25">
      <c r="A590" s="365">
        <v>4</v>
      </c>
      <c r="B590" s="365" t="s">
        <v>349</v>
      </c>
      <c r="J590" s="365"/>
      <c r="K590" s="365"/>
      <c r="L590" s="365"/>
      <c r="M590" s="365"/>
    </row>
    <row r="591" spans="1:18" x14ac:dyDescent="0.25">
      <c r="A591" s="365">
        <v>4</v>
      </c>
      <c r="B591" s="365" t="s">
        <v>348</v>
      </c>
      <c r="J591" s="365"/>
      <c r="K591" s="365"/>
      <c r="L591" s="365"/>
      <c r="M591" s="365"/>
    </row>
    <row r="592" spans="1:18" x14ac:dyDescent="0.25">
      <c r="A592" s="365">
        <v>4</v>
      </c>
      <c r="B592" s="365" t="s">
        <v>347</v>
      </c>
      <c r="J592" s="365"/>
      <c r="K592" s="365"/>
      <c r="L592" s="365"/>
      <c r="M592" s="365"/>
    </row>
    <row r="593" spans="1:13" x14ac:dyDescent="0.25">
      <c r="A593" s="365">
        <v>4</v>
      </c>
      <c r="B593" s="365" t="s">
        <v>346</v>
      </c>
      <c r="J593" s="365"/>
      <c r="K593" s="365"/>
      <c r="L593" s="365"/>
      <c r="M593" s="365"/>
    </row>
    <row r="594" spans="1:13" x14ac:dyDescent="0.25">
      <c r="A594" s="365">
        <v>4</v>
      </c>
      <c r="B594" s="365" t="s">
        <v>345</v>
      </c>
      <c r="J594" s="365"/>
      <c r="K594" s="365"/>
      <c r="L594" s="365"/>
      <c r="M594" s="365"/>
    </row>
    <row r="595" spans="1:13" x14ac:dyDescent="0.25">
      <c r="A595" s="365">
        <v>4</v>
      </c>
      <c r="B595" s="365" t="s">
        <v>344</v>
      </c>
      <c r="J595" s="365"/>
      <c r="K595" s="365"/>
      <c r="L595" s="365"/>
      <c r="M595" s="365"/>
    </row>
    <row r="596" spans="1:13" x14ac:dyDescent="0.25">
      <c r="A596" s="365">
        <v>4</v>
      </c>
      <c r="B596" s="365" t="s">
        <v>343</v>
      </c>
      <c r="J596" s="365"/>
      <c r="K596" s="365"/>
      <c r="L596" s="365"/>
      <c r="M596" s="365"/>
    </row>
    <row r="597" spans="1:13" x14ac:dyDescent="0.25">
      <c r="A597" s="365">
        <v>4</v>
      </c>
      <c r="B597" s="365" t="s">
        <v>342</v>
      </c>
      <c r="J597" s="365"/>
      <c r="K597" s="365"/>
      <c r="L597" s="365"/>
      <c r="M597" s="365"/>
    </row>
    <row r="598" spans="1:13" x14ac:dyDescent="0.25">
      <c r="A598" s="365">
        <v>4</v>
      </c>
      <c r="B598" s="365" t="s">
        <v>341</v>
      </c>
      <c r="J598" s="365"/>
      <c r="K598" s="365"/>
      <c r="L598" s="365"/>
      <c r="M598" s="365"/>
    </row>
    <row r="599" spans="1:13" x14ac:dyDescent="0.25">
      <c r="A599" s="365">
        <v>4</v>
      </c>
      <c r="B599" s="365" t="s">
        <v>340</v>
      </c>
      <c r="J599" s="365"/>
      <c r="K599" s="365"/>
      <c r="L599" s="365"/>
      <c r="M599" s="365"/>
    </row>
    <row r="600" spans="1:13" x14ac:dyDescent="0.25">
      <c r="A600" s="365">
        <v>4</v>
      </c>
      <c r="B600" s="365" t="s">
        <v>339</v>
      </c>
      <c r="J600" s="365"/>
      <c r="K600" s="365"/>
      <c r="L600" s="365"/>
      <c r="M600" s="365"/>
    </row>
    <row r="601" spans="1:13" x14ac:dyDescent="0.25">
      <c r="A601" s="365">
        <v>4</v>
      </c>
      <c r="B601" s="365" t="s">
        <v>338</v>
      </c>
      <c r="J601" s="365"/>
      <c r="K601" s="365"/>
      <c r="L601" s="365"/>
      <c r="M601" s="365"/>
    </row>
    <row r="602" spans="1:13" x14ac:dyDescent="0.25">
      <c r="A602" s="365">
        <v>4</v>
      </c>
      <c r="B602" s="365" t="s">
        <v>337</v>
      </c>
      <c r="J602" s="365"/>
      <c r="K602" s="365"/>
      <c r="L602" s="365"/>
      <c r="M602" s="365"/>
    </row>
    <row r="603" spans="1:13" x14ac:dyDescent="0.25">
      <c r="A603" s="365">
        <v>4</v>
      </c>
      <c r="B603" s="365" t="s">
        <v>336</v>
      </c>
      <c r="J603" s="365"/>
      <c r="K603" s="365"/>
      <c r="L603" s="365"/>
      <c r="M603" s="365"/>
    </row>
    <row r="604" spans="1:13" x14ac:dyDescent="0.25">
      <c r="A604" s="365">
        <v>4</v>
      </c>
      <c r="B604" s="365" t="s">
        <v>335</v>
      </c>
      <c r="J604" s="365"/>
      <c r="K604" s="365"/>
      <c r="L604" s="365"/>
      <c r="M604" s="365"/>
    </row>
    <row r="605" spans="1:13" x14ac:dyDescent="0.25">
      <c r="A605" s="365">
        <v>4</v>
      </c>
      <c r="B605" s="365" t="s">
        <v>334</v>
      </c>
      <c r="J605" s="365"/>
      <c r="K605" s="365"/>
      <c r="L605" s="365"/>
      <c r="M605" s="365"/>
    </row>
    <row r="606" spans="1:13" x14ac:dyDescent="0.25">
      <c r="A606" s="365">
        <v>4</v>
      </c>
      <c r="B606" s="365" t="s">
        <v>333</v>
      </c>
      <c r="J606" s="365"/>
      <c r="K606" s="365"/>
      <c r="L606" s="365"/>
      <c r="M606" s="365"/>
    </row>
    <row r="607" spans="1:13" x14ac:dyDescent="0.25">
      <c r="A607" s="365">
        <v>4</v>
      </c>
      <c r="B607" s="365" t="s">
        <v>332</v>
      </c>
      <c r="J607" s="365"/>
      <c r="K607" s="365"/>
      <c r="L607" s="365"/>
      <c r="M607" s="365"/>
    </row>
    <row r="608" spans="1:13" x14ac:dyDescent="0.25">
      <c r="A608" s="365">
        <v>4</v>
      </c>
      <c r="B608" s="365" t="s">
        <v>331</v>
      </c>
      <c r="J608" s="365"/>
      <c r="K608" s="365"/>
      <c r="L608" s="365"/>
      <c r="M608" s="365"/>
    </row>
    <row r="609" spans="1:13" x14ac:dyDescent="0.25">
      <c r="A609" s="365">
        <v>4</v>
      </c>
      <c r="B609" s="365" t="s">
        <v>330</v>
      </c>
      <c r="J609" s="365"/>
      <c r="K609" s="365"/>
      <c r="L609" s="365"/>
      <c r="M609" s="365"/>
    </row>
    <row r="610" spans="1:13" x14ac:dyDescent="0.25">
      <c r="A610" s="365">
        <v>4</v>
      </c>
      <c r="B610" s="365" t="s">
        <v>329</v>
      </c>
      <c r="J610" s="365"/>
      <c r="K610" s="365"/>
      <c r="L610" s="365"/>
      <c r="M610" s="365"/>
    </row>
    <row r="611" spans="1:13" x14ac:dyDescent="0.25">
      <c r="A611" s="365">
        <v>4</v>
      </c>
      <c r="B611" s="365" t="s">
        <v>328</v>
      </c>
      <c r="J611" s="365"/>
      <c r="K611" s="365"/>
      <c r="L611" s="365"/>
      <c r="M611" s="365"/>
    </row>
    <row r="612" spans="1:13" x14ac:dyDescent="0.25">
      <c r="A612" s="365">
        <v>4</v>
      </c>
      <c r="B612" s="365" t="s">
        <v>327</v>
      </c>
      <c r="J612" s="365"/>
      <c r="K612" s="365"/>
      <c r="L612" s="365"/>
      <c r="M612" s="365"/>
    </row>
    <row r="613" spans="1:13" x14ac:dyDescent="0.25">
      <c r="A613" s="365">
        <v>4</v>
      </c>
      <c r="B613" s="365" t="s">
        <v>326</v>
      </c>
      <c r="J613" s="365"/>
      <c r="K613" s="365"/>
      <c r="L613" s="365"/>
      <c r="M613" s="365"/>
    </row>
    <row r="614" spans="1:13" x14ac:dyDescent="0.25">
      <c r="A614" s="365">
        <v>4</v>
      </c>
      <c r="B614" s="365" t="s">
        <v>325</v>
      </c>
      <c r="J614" s="365"/>
      <c r="K614" s="365"/>
      <c r="L614" s="365"/>
      <c r="M614" s="365"/>
    </row>
    <row r="615" spans="1:13" x14ac:dyDescent="0.25">
      <c r="A615" s="365">
        <v>4</v>
      </c>
      <c r="B615" s="365" t="s">
        <v>324</v>
      </c>
      <c r="J615" s="365"/>
      <c r="K615" s="365"/>
      <c r="L615" s="365"/>
      <c r="M615" s="365"/>
    </row>
    <row r="616" spans="1:13" x14ac:dyDescent="0.25">
      <c r="A616" s="365">
        <v>4</v>
      </c>
      <c r="B616" s="365" t="s">
        <v>323</v>
      </c>
      <c r="J616" s="365"/>
      <c r="K616" s="365"/>
      <c r="L616" s="365"/>
      <c r="M616" s="365"/>
    </row>
    <row r="617" spans="1:13" x14ac:dyDescent="0.25">
      <c r="A617" s="365">
        <v>4</v>
      </c>
      <c r="B617" s="365" t="s">
        <v>322</v>
      </c>
      <c r="J617" s="365"/>
      <c r="K617" s="365"/>
      <c r="L617" s="365"/>
      <c r="M617" s="365"/>
    </row>
    <row r="618" spans="1:13" x14ac:dyDescent="0.25">
      <c r="A618" s="365">
        <v>4</v>
      </c>
      <c r="B618" s="365" t="s">
        <v>321</v>
      </c>
      <c r="J618" s="365"/>
      <c r="K618" s="365"/>
      <c r="L618" s="365"/>
      <c r="M618" s="365"/>
    </row>
    <row r="619" spans="1:13" x14ac:dyDescent="0.25">
      <c r="A619" s="365">
        <v>4</v>
      </c>
      <c r="B619" s="365" t="s">
        <v>320</v>
      </c>
      <c r="J619" s="365"/>
      <c r="K619" s="365"/>
      <c r="L619" s="365"/>
      <c r="M619" s="365"/>
    </row>
    <row r="620" spans="1:13" x14ac:dyDescent="0.25">
      <c r="A620" s="365">
        <v>4</v>
      </c>
      <c r="B620" s="365" t="s">
        <v>319</v>
      </c>
      <c r="J620" s="365"/>
      <c r="K620" s="365"/>
      <c r="L620" s="365"/>
      <c r="M620" s="365"/>
    </row>
    <row r="621" spans="1:13" x14ac:dyDescent="0.25">
      <c r="A621" s="365">
        <v>4</v>
      </c>
      <c r="B621" s="365" t="s">
        <v>318</v>
      </c>
      <c r="J621" s="365"/>
      <c r="K621" s="365"/>
      <c r="L621" s="365"/>
      <c r="M621" s="365"/>
    </row>
    <row r="622" spans="1:13" x14ac:dyDescent="0.25">
      <c r="A622" s="365">
        <v>4</v>
      </c>
      <c r="B622" s="365" t="s">
        <v>317</v>
      </c>
      <c r="J622" s="365"/>
      <c r="K622" s="365"/>
      <c r="L622" s="365"/>
      <c r="M622" s="365"/>
    </row>
    <row r="623" spans="1:13" x14ac:dyDescent="0.25">
      <c r="A623" s="365">
        <v>4</v>
      </c>
      <c r="B623" s="365" t="s">
        <v>316</v>
      </c>
      <c r="J623" s="365"/>
      <c r="K623" s="365"/>
      <c r="L623" s="365"/>
      <c r="M623" s="365"/>
    </row>
    <row r="624" spans="1:13" x14ac:dyDescent="0.25">
      <c r="A624" s="365">
        <v>4</v>
      </c>
      <c r="B624" s="365" t="s">
        <v>315</v>
      </c>
      <c r="J624" s="365"/>
      <c r="K624" s="365"/>
      <c r="L624" s="365"/>
      <c r="M624" s="365"/>
    </row>
    <row r="625" spans="1:13" x14ac:dyDescent="0.25">
      <c r="A625" s="365">
        <v>4</v>
      </c>
      <c r="B625" s="365" t="s">
        <v>314</v>
      </c>
      <c r="J625" s="365"/>
      <c r="K625" s="365"/>
      <c r="L625" s="365"/>
      <c r="M625" s="365"/>
    </row>
    <row r="626" spans="1:13" x14ac:dyDescent="0.25">
      <c r="A626" s="365">
        <v>4</v>
      </c>
      <c r="B626" s="365" t="s">
        <v>313</v>
      </c>
      <c r="J626" s="365"/>
      <c r="K626" s="365"/>
      <c r="L626" s="365"/>
      <c r="M626" s="365"/>
    </row>
    <row r="627" spans="1:13" x14ac:dyDescent="0.25">
      <c r="A627" s="365">
        <v>4</v>
      </c>
      <c r="B627" s="365" t="s">
        <v>312</v>
      </c>
      <c r="J627" s="365"/>
      <c r="K627" s="365"/>
      <c r="L627" s="365"/>
      <c r="M627" s="365"/>
    </row>
    <row r="628" spans="1:13" x14ac:dyDescent="0.25">
      <c r="A628" s="365">
        <v>4</v>
      </c>
      <c r="B628" s="365" t="s">
        <v>311</v>
      </c>
      <c r="J628" s="365"/>
      <c r="K628" s="365"/>
      <c r="L628" s="365"/>
      <c r="M628" s="365"/>
    </row>
    <row r="629" spans="1:13" x14ac:dyDescent="0.25">
      <c r="A629" s="365">
        <v>4</v>
      </c>
      <c r="B629" s="365" t="s">
        <v>310</v>
      </c>
      <c r="J629" s="365"/>
      <c r="K629" s="365"/>
      <c r="L629" s="365"/>
      <c r="M629" s="365"/>
    </row>
    <row r="630" spans="1:13" x14ac:dyDescent="0.25">
      <c r="A630" s="365">
        <v>4</v>
      </c>
      <c r="B630" s="365" t="s">
        <v>309</v>
      </c>
      <c r="J630" s="365"/>
      <c r="K630" s="365"/>
      <c r="L630" s="365"/>
      <c r="M630" s="365"/>
    </row>
    <row r="631" spans="1:13" x14ac:dyDescent="0.25">
      <c r="A631" s="365">
        <v>4</v>
      </c>
      <c r="B631" s="365" t="s">
        <v>308</v>
      </c>
      <c r="J631" s="365"/>
      <c r="K631" s="365"/>
      <c r="L631" s="365"/>
      <c r="M631" s="365"/>
    </row>
    <row r="632" spans="1:13" x14ac:dyDescent="0.25">
      <c r="A632" s="365">
        <v>4</v>
      </c>
      <c r="B632" s="365" t="s">
        <v>307</v>
      </c>
      <c r="J632" s="365"/>
      <c r="K632" s="365"/>
      <c r="L632" s="365"/>
      <c r="M632" s="365"/>
    </row>
    <row r="633" spans="1:13" x14ac:dyDescent="0.25">
      <c r="A633" s="365">
        <v>4</v>
      </c>
      <c r="B633" s="365" t="s">
        <v>306</v>
      </c>
      <c r="J633" s="365"/>
      <c r="K633" s="365"/>
      <c r="L633" s="365"/>
      <c r="M633" s="365"/>
    </row>
    <row r="634" spans="1:13" x14ac:dyDescent="0.25">
      <c r="A634" s="365">
        <v>4</v>
      </c>
      <c r="B634" s="365" t="s">
        <v>305</v>
      </c>
      <c r="J634" s="365"/>
      <c r="K634" s="365"/>
      <c r="L634" s="365"/>
      <c r="M634" s="365"/>
    </row>
    <row r="635" spans="1:13" x14ac:dyDescent="0.25">
      <c r="A635" s="365">
        <v>4</v>
      </c>
      <c r="B635" s="365" t="s">
        <v>304</v>
      </c>
      <c r="J635" s="365"/>
      <c r="K635" s="365"/>
      <c r="L635" s="365"/>
      <c r="M635" s="365"/>
    </row>
    <row r="636" spans="1:13" x14ac:dyDescent="0.25">
      <c r="A636" s="365">
        <v>4</v>
      </c>
      <c r="B636" s="365" t="s">
        <v>303</v>
      </c>
      <c r="J636" s="365"/>
      <c r="K636" s="365"/>
      <c r="L636" s="365"/>
      <c r="M636" s="365"/>
    </row>
    <row r="637" spans="1:13" x14ac:dyDescent="0.25">
      <c r="A637" s="365">
        <v>4</v>
      </c>
      <c r="B637" s="365" t="s">
        <v>302</v>
      </c>
      <c r="J637" s="365"/>
      <c r="K637" s="365"/>
      <c r="L637" s="365"/>
      <c r="M637" s="365"/>
    </row>
    <row r="638" spans="1:13" x14ac:dyDescent="0.25">
      <c r="A638" s="365">
        <v>4</v>
      </c>
      <c r="B638" s="365" t="s">
        <v>301</v>
      </c>
      <c r="J638" s="365"/>
      <c r="K638" s="365"/>
      <c r="L638" s="365"/>
      <c r="M638" s="365"/>
    </row>
    <row r="639" spans="1:13" x14ac:dyDescent="0.25">
      <c r="A639" s="365">
        <v>4</v>
      </c>
      <c r="B639" s="365" t="s">
        <v>300</v>
      </c>
      <c r="J639" s="365"/>
      <c r="K639" s="365"/>
      <c r="L639" s="365"/>
      <c r="M639" s="365"/>
    </row>
    <row r="640" spans="1:13" x14ac:dyDescent="0.25">
      <c r="A640" s="365">
        <v>4</v>
      </c>
      <c r="B640" s="365" t="s">
        <v>299</v>
      </c>
      <c r="J640" s="365"/>
      <c r="K640" s="365"/>
      <c r="L640" s="365"/>
      <c r="M640" s="365"/>
    </row>
    <row r="641" spans="1:13" x14ac:dyDescent="0.25">
      <c r="A641" s="365">
        <v>4</v>
      </c>
      <c r="B641" s="365" t="s">
        <v>298</v>
      </c>
      <c r="J641" s="365"/>
      <c r="K641" s="365"/>
      <c r="L641" s="365"/>
      <c r="M641" s="365"/>
    </row>
    <row r="642" spans="1:13" x14ac:dyDescent="0.25">
      <c r="A642" s="365">
        <v>4</v>
      </c>
      <c r="B642" s="365" t="s">
        <v>297</v>
      </c>
      <c r="J642" s="365"/>
      <c r="K642" s="365"/>
      <c r="L642" s="365"/>
      <c r="M642" s="365"/>
    </row>
    <row r="643" spans="1:13" x14ac:dyDescent="0.25">
      <c r="A643" s="365">
        <v>4</v>
      </c>
      <c r="B643" s="365" t="s">
        <v>296</v>
      </c>
      <c r="J643" s="365"/>
      <c r="K643" s="365"/>
      <c r="L643" s="365"/>
      <c r="M643" s="365"/>
    </row>
    <row r="644" spans="1:13" x14ac:dyDescent="0.25">
      <c r="A644" s="365">
        <v>4</v>
      </c>
      <c r="B644" s="365" t="s">
        <v>295</v>
      </c>
      <c r="J644" s="365"/>
      <c r="K644" s="365"/>
      <c r="L644" s="365"/>
      <c r="M644" s="365"/>
    </row>
    <row r="645" spans="1:13" x14ac:dyDescent="0.25">
      <c r="A645" s="365">
        <v>4</v>
      </c>
      <c r="B645" s="365" t="s">
        <v>294</v>
      </c>
      <c r="J645" s="365"/>
      <c r="K645" s="365"/>
      <c r="L645" s="365"/>
      <c r="M645" s="365"/>
    </row>
    <row r="646" spans="1:13" x14ac:dyDescent="0.25">
      <c r="A646" s="365">
        <v>4</v>
      </c>
      <c r="B646" s="365" t="s">
        <v>293</v>
      </c>
      <c r="J646" s="365"/>
      <c r="K646" s="365"/>
      <c r="L646" s="365"/>
      <c r="M646" s="365"/>
    </row>
    <row r="647" spans="1:13" x14ac:dyDescent="0.25">
      <c r="A647" s="365">
        <v>4</v>
      </c>
      <c r="B647" s="365" t="s">
        <v>292</v>
      </c>
      <c r="J647" s="365"/>
      <c r="K647" s="365"/>
      <c r="L647" s="365"/>
      <c r="M647" s="365"/>
    </row>
    <row r="648" spans="1:13" x14ac:dyDescent="0.25">
      <c r="A648" s="365">
        <v>4</v>
      </c>
      <c r="B648" s="365" t="s">
        <v>291</v>
      </c>
      <c r="J648" s="365"/>
      <c r="K648" s="365"/>
      <c r="L648" s="365"/>
      <c r="M648" s="365"/>
    </row>
    <row r="649" spans="1:13" x14ac:dyDescent="0.25">
      <c r="A649" s="365">
        <v>4</v>
      </c>
      <c r="B649" s="365" t="s">
        <v>290</v>
      </c>
      <c r="J649" s="365"/>
      <c r="K649" s="365"/>
      <c r="L649" s="365"/>
      <c r="M649" s="365"/>
    </row>
    <row r="650" spans="1:13" x14ac:dyDescent="0.25">
      <c r="A650" s="365">
        <v>4</v>
      </c>
      <c r="B650" s="365" t="s">
        <v>289</v>
      </c>
      <c r="J650" s="365"/>
      <c r="K650" s="365"/>
      <c r="L650" s="365"/>
      <c r="M650" s="365"/>
    </row>
    <row r="651" spans="1:13" x14ac:dyDescent="0.25">
      <c r="A651" s="365">
        <v>4</v>
      </c>
      <c r="B651" s="365" t="s">
        <v>288</v>
      </c>
      <c r="J651" s="365"/>
      <c r="K651" s="365"/>
      <c r="L651" s="365"/>
      <c r="M651" s="365"/>
    </row>
    <row r="652" spans="1:13" x14ac:dyDescent="0.25">
      <c r="A652" s="365">
        <v>4</v>
      </c>
      <c r="B652" s="365" t="s">
        <v>287</v>
      </c>
      <c r="J652" s="365"/>
      <c r="K652" s="365"/>
      <c r="L652" s="365"/>
      <c r="M652" s="365"/>
    </row>
    <row r="653" spans="1:13" x14ac:dyDescent="0.25">
      <c r="A653" s="365">
        <v>4</v>
      </c>
      <c r="B653" s="365" t="s">
        <v>286</v>
      </c>
      <c r="J653" s="365"/>
      <c r="K653" s="365"/>
      <c r="L653" s="365"/>
      <c r="M653" s="365"/>
    </row>
    <row r="654" spans="1:13" x14ac:dyDescent="0.25">
      <c r="A654" s="365">
        <v>4</v>
      </c>
      <c r="B654" s="365" t="s">
        <v>285</v>
      </c>
      <c r="J654" s="365"/>
      <c r="K654" s="365"/>
      <c r="L654" s="365"/>
      <c r="M654" s="365"/>
    </row>
    <row r="655" spans="1:13" x14ac:dyDescent="0.25">
      <c r="A655" s="365">
        <v>4</v>
      </c>
      <c r="B655" s="365" t="s">
        <v>284</v>
      </c>
      <c r="J655" s="365"/>
      <c r="K655" s="365"/>
      <c r="L655" s="365"/>
      <c r="M655" s="365"/>
    </row>
    <row r="656" spans="1:13" x14ac:dyDescent="0.25">
      <c r="A656" s="365">
        <v>4</v>
      </c>
      <c r="B656" s="365" t="s">
        <v>283</v>
      </c>
      <c r="J656" s="365"/>
      <c r="K656" s="365"/>
      <c r="L656" s="365"/>
      <c r="M656" s="365"/>
    </row>
    <row r="657" spans="1:13" x14ac:dyDescent="0.25">
      <c r="A657" s="365">
        <v>4</v>
      </c>
      <c r="B657" s="365" t="s">
        <v>282</v>
      </c>
      <c r="J657" s="365"/>
      <c r="K657" s="365"/>
      <c r="L657" s="365"/>
      <c r="M657" s="365"/>
    </row>
    <row r="658" spans="1:13" x14ac:dyDescent="0.25">
      <c r="A658" s="365">
        <v>4</v>
      </c>
      <c r="B658" s="365" t="s">
        <v>281</v>
      </c>
      <c r="J658" s="365"/>
      <c r="K658" s="365"/>
      <c r="L658" s="365"/>
      <c r="M658" s="365"/>
    </row>
    <row r="659" spans="1:13" x14ac:dyDescent="0.25">
      <c r="A659" s="365">
        <v>4</v>
      </c>
      <c r="B659" s="365" t="s">
        <v>280</v>
      </c>
      <c r="J659" s="365"/>
      <c r="K659" s="365"/>
      <c r="L659" s="365"/>
      <c r="M659" s="365"/>
    </row>
    <row r="660" spans="1:13" x14ac:dyDescent="0.25">
      <c r="A660" s="365">
        <v>4</v>
      </c>
      <c r="B660" s="365" t="s">
        <v>279</v>
      </c>
      <c r="J660" s="365"/>
      <c r="K660" s="365"/>
      <c r="L660" s="365"/>
      <c r="M660" s="365"/>
    </row>
    <row r="661" spans="1:13" x14ac:dyDescent="0.25">
      <c r="A661" s="365">
        <v>4</v>
      </c>
      <c r="B661" s="365" t="s">
        <v>278</v>
      </c>
      <c r="J661" s="365"/>
      <c r="K661" s="365"/>
      <c r="L661" s="365"/>
      <c r="M661" s="365"/>
    </row>
    <row r="662" spans="1:13" x14ac:dyDescent="0.25">
      <c r="A662" s="365">
        <v>4</v>
      </c>
      <c r="B662" s="365" t="s">
        <v>277</v>
      </c>
      <c r="J662" s="365"/>
      <c r="K662" s="365"/>
      <c r="L662" s="365"/>
      <c r="M662" s="365"/>
    </row>
    <row r="663" spans="1:13" x14ac:dyDescent="0.25">
      <c r="A663" s="365">
        <v>4</v>
      </c>
      <c r="B663" s="365" t="s">
        <v>276</v>
      </c>
      <c r="J663" s="365"/>
      <c r="K663" s="365"/>
      <c r="L663" s="365"/>
      <c r="M663" s="365"/>
    </row>
    <row r="664" spans="1:13" x14ac:dyDescent="0.25">
      <c r="A664" s="365">
        <v>4</v>
      </c>
      <c r="B664" s="365" t="s">
        <v>275</v>
      </c>
      <c r="J664" s="365"/>
      <c r="K664" s="365"/>
      <c r="L664" s="365"/>
      <c r="M664" s="365"/>
    </row>
    <row r="665" spans="1:13" x14ac:dyDescent="0.25">
      <c r="A665" s="365">
        <v>4</v>
      </c>
      <c r="B665" s="365" t="s">
        <v>274</v>
      </c>
      <c r="J665" s="365"/>
      <c r="K665" s="365"/>
      <c r="L665" s="365"/>
      <c r="M665" s="365"/>
    </row>
    <row r="666" spans="1:13" x14ac:dyDescent="0.25">
      <c r="A666" s="365">
        <v>4</v>
      </c>
      <c r="B666" s="365" t="s">
        <v>273</v>
      </c>
      <c r="J666" s="365"/>
      <c r="K666" s="365"/>
      <c r="L666" s="365"/>
      <c r="M666" s="365"/>
    </row>
    <row r="667" spans="1:13" x14ac:dyDescent="0.25">
      <c r="A667" s="365">
        <v>4</v>
      </c>
      <c r="B667" s="365" t="s">
        <v>272</v>
      </c>
      <c r="J667" s="365"/>
      <c r="K667" s="365"/>
      <c r="L667" s="365"/>
      <c r="M667" s="365"/>
    </row>
    <row r="668" spans="1:13" x14ac:dyDescent="0.25">
      <c r="A668" s="365">
        <v>4</v>
      </c>
      <c r="B668" s="365" t="s">
        <v>271</v>
      </c>
      <c r="J668" s="365"/>
      <c r="K668" s="365"/>
      <c r="L668" s="365"/>
      <c r="M668" s="365"/>
    </row>
    <row r="669" spans="1:13" x14ac:dyDescent="0.25">
      <c r="A669" s="365">
        <v>4</v>
      </c>
      <c r="B669" s="365" t="s">
        <v>270</v>
      </c>
      <c r="J669" s="365"/>
      <c r="K669" s="365"/>
      <c r="L669" s="365"/>
      <c r="M669" s="365"/>
    </row>
    <row r="670" spans="1:13" x14ac:dyDescent="0.25">
      <c r="A670" s="365">
        <v>5</v>
      </c>
      <c r="B670" s="365" t="s">
        <v>269</v>
      </c>
      <c r="J670" s="365"/>
      <c r="K670" s="365"/>
      <c r="L670" s="365"/>
      <c r="M670" s="365"/>
    </row>
    <row r="671" spans="1:13" x14ac:dyDescent="0.25">
      <c r="A671" s="365">
        <v>5</v>
      </c>
      <c r="B671" s="365" t="s">
        <v>268</v>
      </c>
      <c r="J671" s="365"/>
      <c r="K671" s="365"/>
      <c r="L671" s="365"/>
      <c r="M671" s="365"/>
    </row>
    <row r="672" spans="1:13" x14ac:dyDescent="0.25">
      <c r="A672" s="365">
        <v>5</v>
      </c>
      <c r="B672" s="365" t="s">
        <v>267</v>
      </c>
      <c r="J672" s="365"/>
      <c r="K672" s="365"/>
      <c r="L672" s="365"/>
      <c r="M672" s="365"/>
    </row>
    <row r="673" spans="1:13" x14ac:dyDescent="0.25">
      <c r="A673" s="365">
        <v>5</v>
      </c>
      <c r="B673" s="365" t="s">
        <v>266</v>
      </c>
      <c r="J673" s="365"/>
      <c r="K673" s="365"/>
      <c r="L673" s="365"/>
      <c r="M673" s="365"/>
    </row>
    <row r="674" spans="1:13" x14ac:dyDescent="0.25">
      <c r="A674" s="365">
        <v>5</v>
      </c>
      <c r="B674" s="365" t="s">
        <v>265</v>
      </c>
      <c r="J674" s="365"/>
      <c r="K674" s="365"/>
      <c r="L674" s="365"/>
      <c r="M674" s="365"/>
    </row>
    <row r="675" spans="1:13" x14ac:dyDescent="0.25">
      <c r="A675" s="365">
        <v>5</v>
      </c>
      <c r="B675" s="365" t="s">
        <v>264</v>
      </c>
      <c r="J675" s="365"/>
      <c r="K675" s="365"/>
      <c r="L675" s="365"/>
      <c r="M675" s="365"/>
    </row>
    <row r="676" spans="1:13" x14ac:dyDescent="0.25">
      <c r="A676" s="365">
        <v>5</v>
      </c>
      <c r="B676" s="365" t="s">
        <v>263</v>
      </c>
      <c r="J676" s="365"/>
      <c r="K676" s="365"/>
      <c r="L676" s="365"/>
      <c r="M676" s="365"/>
    </row>
    <row r="677" spans="1:13" x14ac:dyDescent="0.25">
      <c r="A677" s="365">
        <v>5</v>
      </c>
      <c r="B677" s="365" t="s">
        <v>262</v>
      </c>
      <c r="J677" s="365"/>
      <c r="K677" s="365"/>
      <c r="L677" s="365"/>
      <c r="M677" s="365"/>
    </row>
    <row r="678" spans="1:13" x14ac:dyDescent="0.25">
      <c r="A678" s="365">
        <v>5</v>
      </c>
      <c r="B678" s="365" t="s">
        <v>261</v>
      </c>
      <c r="J678" s="365"/>
      <c r="K678" s="365"/>
      <c r="L678" s="365"/>
      <c r="M678" s="365"/>
    </row>
    <row r="679" spans="1:13" x14ac:dyDescent="0.25">
      <c r="A679" s="365">
        <v>5</v>
      </c>
      <c r="B679" s="365" t="s">
        <v>260</v>
      </c>
      <c r="J679" s="365"/>
      <c r="K679" s="365"/>
      <c r="L679" s="365"/>
      <c r="M679" s="365"/>
    </row>
    <row r="680" spans="1:13" x14ac:dyDescent="0.25">
      <c r="A680" s="365">
        <v>5</v>
      </c>
      <c r="B680" s="365" t="s">
        <v>259</v>
      </c>
      <c r="J680" s="365"/>
      <c r="K680" s="365"/>
      <c r="L680" s="365"/>
      <c r="M680" s="365"/>
    </row>
    <row r="681" spans="1:13" x14ac:dyDescent="0.25">
      <c r="A681" s="365">
        <v>5</v>
      </c>
      <c r="B681" s="365" t="s">
        <v>258</v>
      </c>
      <c r="J681" s="365"/>
      <c r="K681" s="365"/>
      <c r="L681" s="365"/>
      <c r="M681" s="365"/>
    </row>
    <row r="682" spans="1:13" x14ac:dyDescent="0.25">
      <c r="A682" s="365">
        <v>5</v>
      </c>
      <c r="B682" s="365" t="s">
        <v>257</v>
      </c>
      <c r="J682" s="365"/>
      <c r="K682" s="365"/>
      <c r="L682" s="365"/>
      <c r="M682" s="365"/>
    </row>
    <row r="683" spans="1:13" x14ac:dyDescent="0.25">
      <c r="A683" s="365">
        <v>5</v>
      </c>
      <c r="B683" s="365" t="s">
        <v>256</v>
      </c>
      <c r="J683" s="365"/>
      <c r="K683" s="365"/>
      <c r="L683" s="365"/>
      <c r="M683" s="365"/>
    </row>
    <row r="684" spans="1:13" x14ac:dyDescent="0.25">
      <c r="A684" s="365">
        <v>5</v>
      </c>
      <c r="B684" s="365" t="s">
        <v>255</v>
      </c>
      <c r="J684" s="365"/>
      <c r="K684" s="365"/>
      <c r="L684" s="365"/>
      <c r="M684" s="365"/>
    </row>
    <row r="685" spans="1:13" x14ac:dyDescent="0.25">
      <c r="A685" s="365">
        <v>5</v>
      </c>
      <c r="B685" s="365" t="s">
        <v>254</v>
      </c>
      <c r="J685" s="365"/>
      <c r="K685" s="365"/>
      <c r="L685" s="365"/>
      <c r="M685" s="365"/>
    </row>
    <row r="686" spans="1:13" x14ac:dyDescent="0.25">
      <c r="A686" s="365">
        <v>5</v>
      </c>
      <c r="B686" s="365" t="s">
        <v>253</v>
      </c>
      <c r="J686" s="365"/>
      <c r="K686" s="365"/>
      <c r="L686" s="365"/>
      <c r="M686" s="365"/>
    </row>
    <row r="687" spans="1:13" x14ac:dyDescent="0.25">
      <c r="A687" s="365">
        <v>5</v>
      </c>
      <c r="B687" s="365" t="s">
        <v>252</v>
      </c>
      <c r="J687" s="365"/>
      <c r="K687" s="365"/>
      <c r="L687" s="365"/>
      <c r="M687" s="365"/>
    </row>
    <row r="688" spans="1:13" x14ac:dyDescent="0.25">
      <c r="A688" s="365">
        <v>5</v>
      </c>
      <c r="B688" s="365" t="s">
        <v>251</v>
      </c>
      <c r="J688" s="365"/>
      <c r="K688" s="365"/>
      <c r="L688" s="365"/>
      <c r="M688" s="365"/>
    </row>
    <row r="689" spans="1:13" x14ac:dyDescent="0.25">
      <c r="A689" s="365">
        <v>5</v>
      </c>
      <c r="B689" s="365" t="s">
        <v>250</v>
      </c>
      <c r="J689" s="365"/>
      <c r="K689" s="365"/>
      <c r="L689" s="365"/>
      <c r="M689" s="365"/>
    </row>
    <row r="690" spans="1:13" x14ac:dyDescent="0.25">
      <c r="A690" s="365">
        <v>5</v>
      </c>
      <c r="B690" s="365" t="s">
        <v>249</v>
      </c>
      <c r="J690" s="365"/>
      <c r="K690" s="365"/>
      <c r="L690" s="365"/>
      <c r="M690" s="365"/>
    </row>
    <row r="691" spans="1:13" x14ac:dyDescent="0.25">
      <c r="A691" s="365">
        <v>5</v>
      </c>
      <c r="B691" s="365" t="s">
        <v>248</v>
      </c>
      <c r="J691" s="365"/>
      <c r="K691" s="365"/>
      <c r="L691" s="365"/>
      <c r="M691" s="365"/>
    </row>
    <row r="692" spans="1:13" x14ac:dyDescent="0.25">
      <c r="A692" s="365">
        <v>5</v>
      </c>
      <c r="B692" s="365" t="s">
        <v>247</v>
      </c>
      <c r="J692" s="365"/>
      <c r="K692" s="365"/>
      <c r="L692" s="365"/>
      <c r="M692" s="365"/>
    </row>
    <row r="693" spans="1:13" x14ac:dyDescent="0.25">
      <c r="A693" s="365">
        <v>5</v>
      </c>
      <c r="B693" s="365" t="s">
        <v>246</v>
      </c>
      <c r="J693" s="365"/>
      <c r="K693" s="365"/>
      <c r="L693" s="365"/>
      <c r="M693" s="365"/>
    </row>
    <row r="694" spans="1:13" x14ac:dyDescent="0.25">
      <c r="A694" s="365">
        <v>5</v>
      </c>
      <c r="B694" s="365" t="s">
        <v>245</v>
      </c>
      <c r="J694" s="365"/>
      <c r="K694" s="365"/>
      <c r="L694" s="365"/>
      <c r="M694" s="365"/>
    </row>
    <row r="695" spans="1:13" x14ac:dyDescent="0.25">
      <c r="A695" s="365">
        <v>5</v>
      </c>
      <c r="B695" s="365" t="s">
        <v>244</v>
      </c>
      <c r="J695" s="365"/>
      <c r="K695" s="365"/>
      <c r="L695" s="365"/>
      <c r="M695" s="365"/>
    </row>
    <row r="696" spans="1:13" x14ac:dyDescent="0.25">
      <c r="A696" s="365">
        <v>5</v>
      </c>
      <c r="B696" s="365" t="s">
        <v>243</v>
      </c>
      <c r="J696" s="365"/>
      <c r="K696" s="365"/>
      <c r="L696" s="365"/>
      <c r="M696" s="365"/>
    </row>
    <row r="697" spans="1:13" x14ac:dyDescent="0.25">
      <c r="A697" s="365">
        <v>5</v>
      </c>
      <c r="B697" s="365" t="s">
        <v>242</v>
      </c>
      <c r="J697" s="365"/>
      <c r="K697" s="365"/>
      <c r="L697" s="365"/>
      <c r="M697" s="365"/>
    </row>
    <row r="698" spans="1:13" x14ac:dyDescent="0.25">
      <c r="A698" s="365">
        <v>5</v>
      </c>
      <c r="B698" s="365" t="s">
        <v>241</v>
      </c>
      <c r="J698" s="365"/>
      <c r="K698" s="365"/>
      <c r="L698" s="365"/>
      <c r="M698" s="365"/>
    </row>
    <row r="699" spans="1:13" x14ac:dyDescent="0.25">
      <c r="A699" s="365">
        <v>5</v>
      </c>
      <c r="B699" s="365" t="s">
        <v>240</v>
      </c>
      <c r="J699" s="365"/>
      <c r="K699" s="365"/>
      <c r="L699" s="365"/>
      <c r="M699" s="365"/>
    </row>
    <row r="700" spans="1:13" x14ac:dyDescent="0.25">
      <c r="A700" s="365">
        <v>5</v>
      </c>
      <c r="B700" s="365" t="s">
        <v>239</v>
      </c>
      <c r="J700" s="365"/>
      <c r="K700" s="365"/>
      <c r="L700" s="365"/>
      <c r="M700" s="365"/>
    </row>
    <row r="701" spans="1:13" x14ac:dyDescent="0.25">
      <c r="A701" s="365">
        <v>5</v>
      </c>
      <c r="B701" s="365" t="s">
        <v>238</v>
      </c>
      <c r="J701" s="365"/>
      <c r="K701" s="365"/>
      <c r="L701" s="365"/>
      <c r="M701" s="365"/>
    </row>
    <row r="702" spans="1:13" x14ac:dyDescent="0.25">
      <c r="A702" s="365">
        <v>5</v>
      </c>
      <c r="B702" s="365" t="s">
        <v>237</v>
      </c>
      <c r="J702" s="365"/>
      <c r="K702" s="365"/>
      <c r="L702" s="365"/>
      <c r="M702" s="365"/>
    </row>
    <row r="703" spans="1:13" x14ac:dyDescent="0.25">
      <c r="A703" s="365">
        <v>5</v>
      </c>
      <c r="B703" s="365" t="s">
        <v>236</v>
      </c>
      <c r="J703" s="365"/>
      <c r="K703" s="365"/>
      <c r="L703" s="365"/>
      <c r="M703" s="365"/>
    </row>
    <row r="704" spans="1:13" x14ac:dyDescent="0.25">
      <c r="A704" s="365">
        <v>5</v>
      </c>
      <c r="B704" s="365" t="s">
        <v>235</v>
      </c>
      <c r="J704" s="365"/>
      <c r="K704" s="365"/>
      <c r="L704" s="365"/>
      <c r="M704" s="365"/>
    </row>
    <row r="705" spans="1:13" x14ac:dyDescent="0.25">
      <c r="A705" s="365">
        <v>5</v>
      </c>
      <c r="B705" s="365" t="s">
        <v>234</v>
      </c>
      <c r="J705" s="365"/>
      <c r="K705" s="365"/>
      <c r="L705" s="365"/>
      <c r="M705" s="365"/>
    </row>
    <row r="706" spans="1:13" x14ac:dyDescent="0.25">
      <c r="A706" s="365">
        <v>5</v>
      </c>
      <c r="B706" s="365" t="s">
        <v>233</v>
      </c>
      <c r="J706" s="365"/>
      <c r="K706" s="365"/>
      <c r="L706" s="365"/>
      <c r="M706" s="365"/>
    </row>
  </sheetData>
  <mergeCells count="3">
    <mergeCell ref="C1:D1"/>
    <mergeCell ref="E1:F1"/>
    <mergeCell ref="G1:H1"/>
  </mergeCells>
  <phoneticPr fontId="24" type="noConversion"/>
  <pageMargins left="0.7" right="0.7" top="0.75" bottom="0.75" header="0.3" footer="0.3"/>
  <pageSetup orientation="portrait" r:id="rId1"/>
  <headerFooter>
    <oddHeader>&amp;C&amp;"Arial,Bold"&amp;8 BANK ONE SAVINGS AND TRUST CORP.  [ 03-000001 ]
 As of: January 31, 2013</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vt:lpstr>
      <vt:lpstr>CAR</vt:lpstr>
      <vt:lpstr>TQC</vt:lpstr>
      <vt:lpstr>ONBS_RWA</vt:lpstr>
      <vt:lpstr>OFF_RWA</vt:lpstr>
      <vt:lpstr>ORWA</vt:lpstr>
      <vt:lpstr>Bank</vt:lpstr>
      <vt:lpstr>CAR!Print_Area</vt:lpstr>
      <vt:lpstr>Cover!Print_Area</vt:lpstr>
      <vt:lpstr>ONBS_RWA!Print_Area</vt:lpstr>
      <vt:lpstr>ORWA!Print_Area</vt:lpstr>
      <vt:lpstr>TQC!Print_Area</vt:lpstr>
      <vt:lpstr>OFF_RWA!Print_Titles</vt:lpstr>
      <vt:lpstr>ONBS_RWA!Print_Titles</vt:lpstr>
      <vt:lpstr>TQC!Print_Titles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Aldrin</dc:creator>
  <cp:lastModifiedBy>Aldrin</cp:lastModifiedBy>
  <dcterms:created xsi:type="dcterms:W3CDTF">2006-09-16T00:00:00Z</dcterms:created>
  <dcterms:modified xsi:type="dcterms:W3CDTF">2017-10-12T16:55:01Z</dcterms:modified>
</cp:coreProperties>
</file>