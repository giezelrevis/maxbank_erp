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4.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Aldrin\Desktop\EDITED\"/>
    </mc:Choice>
  </mc:AlternateContent>
  <workbookProtection workbookAlgorithmName="SHA-512" workbookHashValue="Ehh9GJiDdqE2lCRuqaFFjULJfdEqcnbvV7TChwpoLOSo1B+Vgtt6PgtFnpzk+Xp8p4fnE1NvrDCuU4oipTD2RQ==" workbookSaltValue="5UDxhJSTsG7Saik0oMTXWQ==" workbookSpinCount="100000" lockStructure="1"/>
  <bookViews>
    <workbookView xWindow="0" yWindow="45" windowWidth="19035" windowHeight="11640" tabRatio="859" firstSheet="1" activeTab="1"/>
  </bookViews>
  <sheets>
    <sheet name="Cover" sheetId="1" state="hidden" r:id="rId1"/>
    <sheet name="CAR" sheetId="2" r:id="rId2"/>
    <sheet name="TQC" sheetId="4" r:id="rId3"/>
    <sheet name="ONBS_RWA" sheetId="15" r:id="rId4"/>
    <sheet name="OFF_RWA" sheetId="24" r:id="rId5"/>
    <sheet name="CORWA" sheetId="23" r:id="rId6"/>
    <sheet name="ORWA" sheetId="22" r:id="rId7"/>
    <sheet name="MRWA" sheetId="21" r:id="rId8"/>
    <sheet name="IR-EXP" sheetId="20" r:id="rId9"/>
    <sheet name="IRX-SP" sheetId="25" r:id="rId10"/>
    <sheet name="IRX-CLN" sheetId="18" r:id="rId11"/>
    <sheet name="IRX-SWAP" sheetId="17" r:id="rId12"/>
    <sheet name="IRX-GMR(PHP)" sheetId="26" r:id="rId13"/>
    <sheet name="IRX-GMR(USD)" sheetId="28" r:id="rId14"/>
    <sheet name="IRX-GMR(JPY)" sheetId="34" r:id="rId15"/>
    <sheet name="IRX-GMR(CHF)" sheetId="33" r:id="rId16"/>
    <sheet name="IRX-GMR(GBP)" sheetId="32" r:id="rId17"/>
    <sheet name="IRX-GMR(EUR)" sheetId="31" r:id="rId18"/>
    <sheet name="IRX-GMR(CAD)" sheetId="30" r:id="rId19"/>
    <sheet name="IRX-GMR(AUD)" sheetId="29" r:id="rId20"/>
    <sheet name="IRX-GMR(SGD)" sheetId="35" r:id="rId21"/>
    <sheet name="EQ-EXP" sheetId="6" r:id="rId22"/>
    <sheet name="FX-EXP" sheetId="5" r:id="rId23"/>
    <sheet name="Bank" sheetId="3" state="hidden" r:id="rId24"/>
  </sheets>
  <functionGroups builtInGroupCount="18"/>
  <definedNames>
    <definedName name="_xlnm.Print_Area" localSheetId="1">CAR!$A$1:$J$28</definedName>
    <definedName name="_xlnm.Print_Area" localSheetId="5">CORWA!$A$1:$Q$40</definedName>
    <definedName name="_xlnm.Print_Area" localSheetId="8">'IR-EXP'!$A$1:$J$28</definedName>
    <definedName name="_xlnm.Print_Area" localSheetId="17">'IRX-GMR(EUR)'!$A$1:$R$37</definedName>
    <definedName name="_xlnm.Print_Area" localSheetId="3">ONBS_RWA!$A$1:$K$78</definedName>
    <definedName name="_xlnm.Print_Titles" localSheetId="10">'IRX-CLN'!$A:$K,'IRX-CLN'!$5:$9</definedName>
    <definedName name="_xlnm.Print_Titles" localSheetId="19">'IRX-GMR(AUD)'!$A:$G,'IRX-GMR(AUD)'!$7:$9</definedName>
    <definedName name="_xlnm.Print_Titles" localSheetId="18">'IRX-GMR(CAD)'!$A:$G,'IRX-GMR(CAD)'!$7:$9</definedName>
    <definedName name="_xlnm.Print_Titles" localSheetId="15">'IRX-GMR(CHF)'!$A:$G,'IRX-GMR(CHF)'!$7:$9</definedName>
    <definedName name="_xlnm.Print_Titles" localSheetId="17">'IRX-GMR(EUR)'!$A:$G,'IRX-GMR(EUR)'!$7:$9</definedName>
    <definedName name="_xlnm.Print_Titles" localSheetId="16">'IRX-GMR(GBP)'!$A:$G,'IRX-GMR(GBP)'!$7:$9</definedName>
    <definedName name="_xlnm.Print_Titles" localSheetId="14">'IRX-GMR(JPY)'!$A:$G,'IRX-GMR(JPY)'!$7:$9</definedName>
    <definedName name="_xlnm.Print_Titles" localSheetId="12">'IRX-GMR(PHP)'!$A:$G,'IRX-GMR(PHP)'!$7:$9</definedName>
    <definedName name="_xlnm.Print_Titles" localSheetId="20">'IRX-GMR(SGD)'!$A:$G,'IRX-GMR(SGD)'!$7:$9</definedName>
    <definedName name="_xlnm.Print_Titles" localSheetId="13">'IRX-GMR(USD)'!$A:$G,'IRX-GMR(USD)'!$7:$9</definedName>
    <definedName name="_xlnm.Print_Titles" localSheetId="9">'IRX-SP'!$A:$G,'IRX-SP'!$6:$9</definedName>
  </definedNames>
  <calcPr calcId="162913" fullCalcOnLoad="1"/>
</workbook>
</file>

<file path=xl/calcChain.xml><?xml version="1.0" encoding="utf-8"?>
<calcChain xmlns="http://schemas.openxmlformats.org/spreadsheetml/2006/main">
  <c r="L5" i="22" l="1"/>
  <c r="I42" i="15"/>
  <c r="K42" i="15" s="1"/>
  <c r="I12" i="22"/>
  <c r="J21" i="4"/>
  <c r="L1" i="22"/>
  <c r="O63" i="17"/>
  <c r="O62" i="17" s="1"/>
  <c r="P62" i="17"/>
  <c r="O58" i="17"/>
  <c r="O57" i="17" s="1"/>
  <c r="P57" i="17" s="1"/>
  <c r="N53" i="17"/>
  <c r="N52" i="17" s="1"/>
  <c r="P52" i="17" s="1"/>
  <c r="N48" i="17"/>
  <c r="N47" i="17"/>
  <c r="P47" i="17"/>
  <c r="R42" i="18"/>
  <c r="R41" i="18" s="1"/>
  <c r="T41" i="18"/>
  <c r="R37" i="18"/>
  <c r="R36" i="18" s="1"/>
  <c r="Q37" i="18"/>
  <c r="Q36" i="18"/>
  <c r="T36" i="18"/>
  <c r="O29" i="17"/>
  <c r="O28" i="17" s="1"/>
  <c r="P28" i="17"/>
  <c r="P27" i="17" s="1"/>
  <c r="O24" i="17"/>
  <c r="O23" i="17" s="1"/>
  <c r="P23" i="17" s="1"/>
  <c r="P22" i="17"/>
  <c r="N13" i="17"/>
  <c r="N12" i="17" s="1"/>
  <c r="P12" i="17" s="1"/>
  <c r="P11" i="17"/>
  <c r="N18" i="17"/>
  <c r="N17" i="17" s="1"/>
  <c r="P17" i="17" s="1"/>
  <c r="P16" i="17" s="1"/>
  <c r="R17" i="18"/>
  <c r="R16" i="18" s="1"/>
  <c r="T16" i="18"/>
  <c r="T15" i="18" s="1"/>
  <c r="Q12" i="18"/>
  <c r="Q11" i="18" s="1"/>
  <c r="T11" i="18" s="1"/>
  <c r="T10" i="18" s="1"/>
  <c r="R12" i="18"/>
  <c r="R11" i="18"/>
  <c r="J21" i="22"/>
  <c r="I70" i="15"/>
  <c r="I69" i="15"/>
  <c r="I68" i="15"/>
  <c r="I67" i="15"/>
  <c r="I66" i="15"/>
  <c r="I65" i="15"/>
  <c r="I64" i="15"/>
  <c r="I63" i="15"/>
  <c r="I62" i="15"/>
  <c r="I61" i="15"/>
  <c r="I60" i="15"/>
  <c r="I22" i="2"/>
  <c r="I21" i="2"/>
  <c r="I23" i="2"/>
  <c r="L34" i="24"/>
  <c r="L35" i="24" s="1"/>
  <c r="M34" i="24"/>
  <c r="M35" i="24"/>
  <c r="N34" i="24"/>
  <c r="N35" i="24" s="1"/>
  <c r="O34" i="24"/>
  <c r="O35" i="24"/>
  <c r="L20" i="24"/>
  <c r="L21" i="24" s="1"/>
  <c r="M20" i="24"/>
  <c r="M21" i="24"/>
  <c r="O20" i="24"/>
  <c r="O21" i="24" s="1"/>
  <c r="L14" i="24"/>
  <c r="L15" i="24"/>
  <c r="M14" i="24"/>
  <c r="M15" i="24" s="1"/>
  <c r="O14" i="24"/>
  <c r="O15" i="24"/>
  <c r="M10" i="35"/>
  <c r="P10" i="35" s="1"/>
  <c r="N10" i="35"/>
  <c r="Q10" i="35"/>
  <c r="M11" i="35"/>
  <c r="P11" i="35" s="1"/>
  <c r="N11" i="35"/>
  <c r="Q11" i="35"/>
  <c r="M12" i="35"/>
  <c r="P12" i="35" s="1"/>
  <c r="N12" i="35"/>
  <c r="Q12" i="35"/>
  <c r="M13" i="35"/>
  <c r="P13" i="35" s="1"/>
  <c r="W13" i="35" s="1"/>
  <c r="N13" i="35"/>
  <c r="Q13" i="35"/>
  <c r="M14" i="35"/>
  <c r="P14" i="35" s="1"/>
  <c r="V14" i="35" s="1"/>
  <c r="N14" i="35"/>
  <c r="Q14" i="35" s="1"/>
  <c r="M15" i="35"/>
  <c r="P15" i="35"/>
  <c r="N15" i="35"/>
  <c r="Q15" i="35" s="1"/>
  <c r="X15" i="35"/>
  <c r="M16" i="35"/>
  <c r="P16" i="35" s="1"/>
  <c r="N16" i="35"/>
  <c r="Q16" i="35"/>
  <c r="M17" i="35"/>
  <c r="P17" i="35" s="1"/>
  <c r="N17" i="35"/>
  <c r="Q17" i="35"/>
  <c r="M18" i="35"/>
  <c r="P18" i="35" s="1"/>
  <c r="N18" i="35"/>
  <c r="Q18" i="35" s="1"/>
  <c r="M19" i="35"/>
  <c r="P19" i="35" s="1"/>
  <c r="V19" i="35" s="1"/>
  <c r="N19" i="35"/>
  <c r="Q19" i="35"/>
  <c r="M20" i="35"/>
  <c r="P20" i="35" s="1"/>
  <c r="N20" i="35"/>
  <c r="Q20" i="35" s="1"/>
  <c r="V20" i="35" s="1"/>
  <c r="M21" i="35"/>
  <c r="P21" i="35" s="1"/>
  <c r="N21" i="35"/>
  <c r="Q21" i="35"/>
  <c r="M22" i="35"/>
  <c r="P22" i="35" s="1"/>
  <c r="V22" i="35"/>
  <c r="N22" i="35"/>
  <c r="Q22" i="35" s="1"/>
  <c r="M23" i="35"/>
  <c r="P23" i="35"/>
  <c r="X23" i="35"/>
  <c r="N23" i="35"/>
  <c r="Q23" i="35" s="1"/>
  <c r="M24" i="35"/>
  <c r="P24" i="35" s="1"/>
  <c r="N24" i="35"/>
  <c r="Q24" i="35" s="1"/>
  <c r="L25" i="35"/>
  <c r="K25" i="35"/>
  <c r="J25" i="35"/>
  <c r="I25" i="35"/>
  <c r="M10" i="29"/>
  <c r="P10" i="29" s="1"/>
  <c r="N10" i="29"/>
  <c r="M11" i="29"/>
  <c r="P11" i="29" s="1"/>
  <c r="N11" i="29"/>
  <c r="Q11" i="29"/>
  <c r="X11" i="29"/>
  <c r="M12" i="29"/>
  <c r="P12" i="29" s="1"/>
  <c r="N12" i="29"/>
  <c r="Q12" i="29" s="1"/>
  <c r="X12" i="29" s="1"/>
  <c r="M13" i="29"/>
  <c r="P13" i="29" s="1"/>
  <c r="W13" i="29" s="1"/>
  <c r="N13" i="29"/>
  <c r="Q13" i="29"/>
  <c r="M14" i="29"/>
  <c r="P14" i="29" s="1"/>
  <c r="N14" i="29"/>
  <c r="Q14" i="29"/>
  <c r="M15" i="29"/>
  <c r="P15" i="29" s="1"/>
  <c r="N15" i="29"/>
  <c r="Q15" i="29"/>
  <c r="M16" i="29"/>
  <c r="P16" i="29" s="1"/>
  <c r="V16" i="29" s="1"/>
  <c r="N16" i="29"/>
  <c r="Q16" i="29"/>
  <c r="M17" i="29"/>
  <c r="P17" i="29" s="1"/>
  <c r="N17" i="29"/>
  <c r="Q17" i="29" s="1"/>
  <c r="M18" i="29"/>
  <c r="P18" i="29" s="1"/>
  <c r="N18" i="29"/>
  <c r="Q18" i="29"/>
  <c r="M19" i="29"/>
  <c r="P19" i="29" s="1"/>
  <c r="N19" i="29"/>
  <c r="M20" i="29"/>
  <c r="P20" i="29"/>
  <c r="W20" i="29"/>
  <c r="N20" i="29"/>
  <c r="Q20" i="29" s="1"/>
  <c r="X20" i="29"/>
  <c r="M21" i="29"/>
  <c r="P21" i="29" s="1"/>
  <c r="N21" i="29"/>
  <c r="Q21" i="29"/>
  <c r="M22" i="29"/>
  <c r="P22" i="29" s="1"/>
  <c r="N22" i="29"/>
  <c r="Q22" i="29"/>
  <c r="M23" i="29"/>
  <c r="P23" i="29" s="1"/>
  <c r="N23" i="29"/>
  <c r="Q23" i="29"/>
  <c r="X23" i="29"/>
  <c r="M24" i="29"/>
  <c r="P24" i="29" s="1"/>
  <c r="X24" i="29"/>
  <c r="N24" i="29"/>
  <c r="Q24" i="29" s="1"/>
  <c r="L25" i="29"/>
  <c r="K25" i="29"/>
  <c r="J25" i="29"/>
  <c r="I25" i="29"/>
  <c r="M10" i="30"/>
  <c r="N10" i="30"/>
  <c r="Q10" i="30"/>
  <c r="M11" i="30"/>
  <c r="P11" i="30"/>
  <c r="N11" i="30"/>
  <c r="Q11" i="30"/>
  <c r="M12" i="30"/>
  <c r="P12" i="30"/>
  <c r="V12" i="30" s="1"/>
  <c r="N12" i="30"/>
  <c r="Q12" i="30" s="1"/>
  <c r="M13" i="30"/>
  <c r="P13" i="30"/>
  <c r="N13" i="30"/>
  <c r="Q13" i="30" s="1"/>
  <c r="M14" i="30"/>
  <c r="P14" i="30"/>
  <c r="N14" i="30"/>
  <c r="Q14" i="30"/>
  <c r="M15" i="30"/>
  <c r="P15" i="30"/>
  <c r="N15" i="30"/>
  <c r="Q15" i="30"/>
  <c r="M16" i="30"/>
  <c r="P16" i="30" s="1"/>
  <c r="N16" i="30"/>
  <c r="Q16" i="30" s="1"/>
  <c r="M17" i="30"/>
  <c r="P17" i="30"/>
  <c r="N17" i="30"/>
  <c r="Q17" i="30" s="1"/>
  <c r="M18" i="30"/>
  <c r="P18" i="30"/>
  <c r="X18" i="30" s="1"/>
  <c r="N18" i="30"/>
  <c r="Q18" i="30"/>
  <c r="M19" i="30"/>
  <c r="P19" i="30" s="1"/>
  <c r="N19" i="30"/>
  <c r="Q19" i="30"/>
  <c r="M20" i="30"/>
  <c r="P20" i="30" s="1"/>
  <c r="N20" i="30"/>
  <c r="Q20" i="30"/>
  <c r="X20" i="30"/>
  <c r="M21" i="30"/>
  <c r="P21" i="30"/>
  <c r="N21" i="30"/>
  <c r="Q21" i="30"/>
  <c r="M22" i="30"/>
  <c r="P22" i="30"/>
  <c r="N22" i="30"/>
  <c r="Q22" i="30"/>
  <c r="M23" i="30"/>
  <c r="P23" i="30"/>
  <c r="N23" i="30"/>
  <c r="Q23" i="30"/>
  <c r="M24" i="30"/>
  <c r="P24" i="30"/>
  <c r="N24" i="30"/>
  <c r="Q24" i="30" s="1"/>
  <c r="W24" i="30" s="1"/>
  <c r="L25" i="30"/>
  <c r="K25" i="30"/>
  <c r="J25" i="30"/>
  <c r="I25" i="30"/>
  <c r="M10" i="31"/>
  <c r="P10" i="31"/>
  <c r="N10" i="31"/>
  <c r="Q10" i="31" s="1"/>
  <c r="M11" i="31"/>
  <c r="P11" i="31" s="1"/>
  <c r="V11" i="31" s="1"/>
  <c r="N11" i="31"/>
  <c r="Q11" i="31"/>
  <c r="M12" i="31"/>
  <c r="P12" i="31" s="1"/>
  <c r="N12" i="31"/>
  <c r="Q12" i="31"/>
  <c r="X12" i="31" s="1"/>
  <c r="M13" i="31"/>
  <c r="P13" i="31" s="1"/>
  <c r="N13" i="31"/>
  <c r="Q13" i="31"/>
  <c r="M14" i="31"/>
  <c r="P14" i="31"/>
  <c r="V14" i="31" s="1"/>
  <c r="N14" i="31"/>
  <c r="Q14" i="31" s="1"/>
  <c r="M15" i="31"/>
  <c r="P15" i="31"/>
  <c r="N15" i="31"/>
  <c r="M16" i="31"/>
  <c r="P16" i="31"/>
  <c r="X16" i="31" s="1"/>
  <c r="N16" i="31"/>
  <c r="Q16" i="31" s="1"/>
  <c r="M17" i="31"/>
  <c r="P17" i="31"/>
  <c r="N17" i="31"/>
  <c r="Q17" i="31" s="1"/>
  <c r="X17" i="31" s="1"/>
  <c r="M18" i="31"/>
  <c r="P18" i="31"/>
  <c r="N18" i="31"/>
  <c r="Q18" i="31"/>
  <c r="M19" i="31"/>
  <c r="P19" i="31"/>
  <c r="N19" i="31"/>
  <c r="Q19" i="31" s="1"/>
  <c r="X19" i="31" s="1"/>
  <c r="M20" i="31"/>
  <c r="P20" i="31"/>
  <c r="N20" i="31"/>
  <c r="Q20" i="31" s="1"/>
  <c r="W20" i="31" s="1"/>
  <c r="M21" i="31"/>
  <c r="P21" i="31"/>
  <c r="V21" i="31" s="1"/>
  <c r="N21" i="31"/>
  <c r="Q21" i="31" s="1"/>
  <c r="M22" i="31"/>
  <c r="P22" i="31"/>
  <c r="N22" i="31"/>
  <c r="Q22" i="31" s="1"/>
  <c r="W22" i="31" s="1"/>
  <c r="M23" i="31"/>
  <c r="P23" i="31"/>
  <c r="N23" i="31"/>
  <c r="Q23" i="31" s="1"/>
  <c r="M24" i="31"/>
  <c r="P24" i="31"/>
  <c r="N24" i="31"/>
  <c r="Q24" i="31" s="1"/>
  <c r="L25" i="31"/>
  <c r="K25" i="31"/>
  <c r="J25" i="31"/>
  <c r="I25" i="31"/>
  <c r="M10" i="32"/>
  <c r="N10" i="32"/>
  <c r="Q10" i="32" s="1"/>
  <c r="M11" i="32"/>
  <c r="P11" i="32"/>
  <c r="N11" i="32"/>
  <c r="M12" i="32"/>
  <c r="P12" i="32" s="1"/>
  <c r="N12" i="32"/>
  <c r="Q12" i="32" s="1"/>
  <c r="W12" i="32" s="1"/>
  <c r="M13" i="32"/>
  <c r="P13" i="32" s="1"/>
  <c r="N13" i="32"/>
  <c r="Q13" i="32"/>
  <c r="M14" i="32"/>
  <c r="P14" i="32" s="1"/>
  <c r="N14" i="32"/>
  <c r="M15" i="32"/>
  <c r="P15" i="32" s="1"/>
  <c r="N15" i="32"/>
  <c r="Q15" i="32"/>
  <c r="M16" i="32"/>
  <c r="P16" i="32" s="1"/>
  <c r="N16" i="32"/>
  <c r="Q16" i="32" s="1"/>
  <c r="M17" i="32"/>
  <c r="P17" i="32" s="1"/>
  <c r="V17" i="32" s="1"/>
  <c r="N17" i="32"/>
  <c r="Q17" i="32" s="1"/>
  <c r="M18" i="32"/>
  <c r="P18" i="32"/>
  <c r="N18" i="32"/>
  <c r="Q18" i="32" s="1"/>
  <c r="M19" i="32"/>
  <c r="P19" i="32" s="1"/>
  <c r="N19" i="32"/>
  <c r="Q19" i="32"/>
  <c r="M20" i="32"/>
  <c r="P20" i="32" s="1"/>
  <c r="N20" i="32"/>
  <c r="Q20" i="32"/>
  <c r="X20" i="32" s="1"/>
  <c r="M21" i="32"/>
  <c r="P21" i="32"/>
  <c r="W21" i="32"/>
  <c r="N21" i="32"/>
  <c r="Q21" i="32" s="1"/>
  <c r="X21" i="32" s="1"/>
  <c r="M22" i="32"/>
  <c r="P22" i="32" s="1"/>
  <c r="N22" i="32"/>
  <c r="Q22" i="32"/>
  <c r="M23" i="32"/>
  <c r="P23" i="32" s="1"/>
  <c r="N23" i="32"/>
  <c r="Q23" i="32"/>
  <c r="M24" i="32"/>
  <c r="P24" i="32" s="1"/>
  <c r="N24" i="32"/>
  <c r="Q24" i="32"/>
  <c r="X24" i="32"/>
  <c r="L25" i="32"/>
  <c r="K25" i="32"/>
  <c r="J25" i="32"/>
  <c r="I25" i="32"/>
  <c r="M10" i="33"/>
  <c r="P10" i="33" s="1"/>
  <c r="N10" i="33"/>
  <c r="Q10" i="33" s="1"/>
  <c r="M11" i="33"/>
  <c r="P11" i="33" s="1"/>
  <c r="N11" i="33"/>
  <c r="Q11" i="33"/>
  <c r="M12" i="33"/>
  <c r="P12" i="33"/>
  <c r="W12" i="33" s="1"/>
  <c r="N12" i="33"/>
  <c r="Q12" i="33" s="1"/>
  <c r="M13" i="33"/>
  <c r="P13" i="33" s="1"/>
  <c r="N13" i="33"/>
  <c r="Q13" i="33" s="1"/>
  <c r="M14" i="33"/>
  <c r="P14" i="33"/>
  <c r="X14" i="33" s="1"/>
  <c r="N14" i="33"/>
  <c r="Q14" i="33" s="1"/>
  <c r="M15" i="33"/>
  <c r="P15" i="33" s="1"/>
  <c r="N15" i="33"/>
  <c r="Q15" i="33"/>
  <c r="X15" i="33"/>
  <c r="M16" i="33"/>
  <c r="P16" i="33" s="1"/>
  <c r="V16" i="33"/>
  <c r="N16" i="33"/>
  <c r="Q16" i="33" s="1"/>
  <c r="X16" i="33" s="1"/>
  <c r="M17" i="33"/>
  <c r="P17" i="33" s="1"/>
  <c r="N17" i="33"/>
  <c r="Q17" i="33" s="1"/>
  <c r="X17" i="33" s="1"/>
  <c r="M18" i="33"/>
  <c r="P18" i="33"/>
  <c r="N18" i="33"/>
  <c r="Q18" i="33" s="1"/>
  <c r="M19" i="33"/>
  <c r="P19" i="33" s="1"/>
  <c r="N19" i="33"/>
  <c r="Q19" i="33" s="1"/>
  <c r="M20" i="33"/>
  <c r="P20" i="33"/>
  <c r="N20" i="33"/>
  <c r="Q20" i="33"/>
  <c r="M21" i="33"/>
  <c r="P21" i="33" s="1"/>
  <c r="N21" i="33"/>
  <c r="Q21" i="33"/>
  <c r="X21" i="33"/>
  <c r="M22" i="33"/>
  <c r="P22" i="33" s="1"/>
  <c r="N22" i="33"/>
  <c r="Q22" i="33" s="1"/>
  <c r="M23" i="33"/>
  <c r="P23" i="33"/>
  <c r="N23" i="33"/>
  <c r="M24" i="33"/>
  <c r="P24" i="33"/>
  <c r="X24" i="33" s="1"/>
  <c r="N24" i="33"/>
  <c r="Q24" i="33" s="1"/>
  <c r="L25" i="33"/>
  <c r="K25" i="33"/>
  <c r="J25" i="33"/>
  <c r="I25" i="33"/>
  <c r="M10" i="34"/>
  <c r="N10" i="34"/>
  <c r="M11" i="34"/>
  <c r="P11" i="34"/>
  <c r="N11" i="34"/>
  <c r="Q11" i="34" s="1"/>
  <c r="M12" i="34"/>
  <c r="P12" i="34"/>
  <c r="N12" i="34"/>
  <c r="Q12" i="34"/>
  <c r="M13" i="34"/>
  <c r="P13" i="34" s="1"/>
  <c r="N13" i="34"/>
  <c r="Q13" i="34"/>
  <c r="X13" i="34" s="1"/>
  <c r="M14" i="34"/>
  <c r="P14" i="34"/>
  <c r="N14" i="34"/>
  <c r="Q14" i="34" s="1"/>
  <c r="M15" i="34"/>
  <c r="P15" i="34"/>
  <c r="N15" i="34"/>
  <c r="Q15" i="34" s="1"/>
  <c r="M16" i="34"/>
  <c r="P16" i="34"/>
  <c r="N16" i="34"/>
  <c r="Q16" i="34" s="1"/>
  <c r="M17" i="34"/>
  <c r="P17" i="34"/>
  <c r="N17" i="34"/>
  <c r="Q17" i="34" s="1"/>
  <c r="M18" i="34"/>
  <c r="P18" i="34"/>
  <c r="N18" i="34"/>
  <c r="Q18" i="34"/>
  <c r="M19" i="34"/>
  <c r="P19" i="34" s="1"/>
  <c r="N19" i="34"/>
  <c r="Q19" i="34"/>
  <c r="X19" i="34" s="1"/>
  <c r="M20" i="34"/>
  <c r="P20" i="34" s="1"/>
  <c r="N20" i="34"/>
  <c r="Q20" i="34"/>
  <c r="M21" i="34"/>
  <c r="P21" i="34" s="1"/>
  <c r="N21" i="34"/>
  <c r="Q21" i="34"/>
  <c r="M22" i="34"/>
  <c r="P22" i="34" s="1"/>
  <c r="N22" i="34"/>
  <c r="Q22" i="34"/>
  <c r="X22" i="34"/>
  <c r="M23" i="34"/>
  <c r="P23" i="34"/>
  <c r="N23" i="34"/>
  <c r="Q23" i="34"/>
  <c r="M24" i="34"/>
  <c r="P24" i="34"/>
  <c r="V24" i="34" s="1"/>
  <c r="N24" i="34"/>
  <c r="Q24" i="34"/>
  <c r="L25" i="34"/>
  <c r="K25" i="34"/>
  <c r="J25" i="34"/>
  <c r="I25" i="34"/>
  <c r="M10" i="28"/>
  <c r="P10" i="28" s="1"/>
  <c r="N10" i="28"/>
  <c r="Q10" i="28"/>
  <c r="X10" i="28"/>
  <c r="M11" i="28"/>
  <c r="P11" i="28" s="1"/>
  <c r="V11" i="28"/>
  <c r="N11" i="28"/>
  <c r="Q11" i="28" s="1"/>
  <c r="M12" i="28"/>
  <c r="P12" i="28"/>
  <c r="N12" i="28"/>
  <c r="Q12" i="28" s="1"/>
  <c r="X12" i="28" s="1"/>
  <c r="M13" i="28"/>
  <c r="P13" i="28"/>
  <c r="N13" i="28"/>
  <c r="Q13" i="28"/>
  <c r="X13" i="28" s="1"/>
  <c r="M14" i="28"/>
  <c r="N14" i="28"/>
  <c r="Q14" i="28" s="1"/>
  <c r="M15" i="28"/>
  <c r="P15" i="28"/>
  <c r="X15" i="28" s="1"/>
  <c r="N15" i="28"/>
  <c r="Q15" i="28"/>
  <c r="M16" i="28"/>
  <c r="P16" i="28"/>
  <c r="N16" i="28"/>
  <c r="Q16" i="28"/>
  <c r="M17" i="28"/>
  <c r="P17" i="28" s="1"/>
  <c r="N17" i="28"/>
  <c r="Q17" i="28" s="1"/>
  <c r="X17" i="28" s="1"/>
  <c r="M18" i="28"/>
  <c r="P18" i="28" s="1"/>
  <c r="W18" i="28"/>
  <c r="N18" i="28"/>
  <c r="Q18" i="28"/>
  <c r="V18" i="28" s="1"/>
  <c r="M19" i="28"/>
  <c r="P19" i="28"/>
  <c r="N19" i="28"/>
  <c r="Q19" i="28" s="1"/>
  <c r="M20" i="28"/>
  <c r="P20" i="28" s="1"/>
  <c r="N20" i="28"/>
  <c r="Q20" i="28" s="1"/>
  <c r="M21" i="28"/>
  <c r="P21" i="28" s="1"/>
  <c r="N21" i="28"/>
  <c r="Q21" i="28" s="1"/>
  <c r="M22" i="28"/>
  <c r="P22" i="28"/>
  <c r="N22" i="28"/>
  <c r="Q22" i="28"/>
  <c r="M23" i="28"/>
  <c r="P23" i="28" s="1"/>
  <c r="N23" i="28"/>
  <c r="M24" i="28"/>
  <c r="P24" i="28" s="1"/>
  <c r="N24" i="28"/>
  <c r="Q24" i="28"/>
  <c r="L25" i="28"/>
  <c r="K25" i="28"/>
  <c r="J25" i="28"/>
  <c r="I25" i="28"/>
  <c r="M10" i="26"/>
  <c r="P10" i="26"/>
  <c r="N10" i="26"/>
  <c r="M11" i="26"/>
  <c r="P11" i="26" s="1"/>
  <c r="N11" i="26"/>
  <c r="Q11" i="26"/>
  <c r="M12" i="26"/>
  <c r="P12" i="26"/>
  <c r="N12" i="26"/>
  <c r="Q12" i="26" s="1"/>
  <c r="X12" i="26"/>
  <c r="M13" i="26"/>
  <c r="P13" i="26"/>
  <c r="W13" i="26" s="1"/>
  <c r="N13" i="26"/>
  <c r="Q13" i="26"/>
  <c r="V13" i="26" s="1"/>
  <c r="M14" i="26"/>
  <c r="P14" i="26"/>
  <c r="N14" i="26"/>
  <c r="Q14" i="26"/>
  <c r="M15" i="26"/>
  <c r="P15" i="26" s="1"/>
  <c r="N15" i="26"/>
  <c r="Q15" i="26" s="1"/>
  <c r="W15" i="26" s="1"/>
  <c r="M16" i="26"/>
  <c r="P16" i="26"/>
  <c r="N16" i="26"/>
  <c r="Q16" i="26" s="1"/>
  <c r="V16" i="26" s="1"/>
  <c r="M17" i="26"/>
  <c r="P17" i="26" s="1"/>
  <c r="N17" i="26"/>
  <c r="M18" i="26"/>
  <c r="P18" i="26"/>
  <c r="N18" i="26"/>
  <c r="Q18" i="26" s="1"/>
  <c r="M19" i="26"/>
  <c r="P19" i="26" s="1"/>
  <c r="N19" i="26"/>
  <c r="Q19" i="26" s="1"/>
  <c r="V19" i="26" s="1"/>
  <c r="M20" i="26"/>
  <c r="P20" i="26" s="1"/>
  <c r="N20" i="26"/>
  <c r="Q20" i="26" s="1"/>
  <c r="M21" i="26"/>
  <c r="P21" i="26"/>
  <c r="N21" i="26"/>
  <c r="Q21" i="26"/>
  <c r="M22" i="26"/>
  <c r="P22" i="26" s="1"/>
  <c r="W22" i="26" s="1"/>
  <c r="N22" i="26"/>
  <c r="Q22" i="26" s="1"/>
  <c r="X22" i="26"/>
  <c r="M23" i="26"/>
  <c r="P23" i="26"/>
  <c r="W23" i="26" s="1"/>
  <c r="N23" i="26"/>
  <c r="Q23" i="26"/>
  <c r="X23" i="26" s="1"/>
  <c r="M24" i="26"/>
  <c r="P24" i="26" s="1"/>
  <c r="N24" i="26"/>
  <c r="Q24" i="26" s="1"/>
  <c r="X24" i="26" s="1"/>
  <c r="L25" i="26"/>
  <c r="K25" i="26"/>
  <c r="J25" i="26"/>
  <c r="I25" i="26"/>
  <c r="I28" i="25"/>
  <c r="I29" i="25"/>
  <c r="J28" i="25"/>
  <c r="J29" i="25"/>
  <c r="K28" i="25"/>
  <c r="K29" i="25"/>
  <c r="L28" i="25"/>
  <c r="L29" i="25"/>
  <c r="M28" i="25"/>
  <c r="M29" i="25"/>
  <c r="N28" i="25"/>
  <c r="N30" i="25" s="1"/>
  <c r="N29" i="25"/>
  <c r="L18" i="5"/>
  <c r="M18" i="5" s="1"/>
  <c r="L17" i="5"/>
  <c r="M17" i="5" s="1"/>
  <c r="L16" i="5"/>
  <c r="M16" i="5" s="1"/>
  <c r="L15" i="5"/>
  <c r="M15" i="5" s="1"/>
  <c r="L14" i="5"/>
  <c r="M14" i="5" s="1"/>
  <c r="L13" i="5"/>
  <c r="M13" i="5" s="1"/>
  <c r="M19" i="5" s="1"/>
  <c r="L12" i="5"/>
  <c r="M12" i="5" s="1"/>
  <c r="L11" i="5"/>
  <c r="M11" i="5" s="1"/>
  <c r="L10" i="5"/>
  <c r="M10" i="5" s="1"/>
  <c r="I28" i="6"/>
  <c r="I29" i="6"/>
  <c r="J28" i="6"/>
  <c r="J29" i="6"/>
  <c r="K28" i="6"/>
  <c r="K33" i="6" s="1"/>
  <c r="K35" i="6" s="1"/>
  <c r="K29" i="6"/>
  <c r="K30" i="6"/>
  <c r="K32" i="6" s="1"/>
  <c r="M11" i="6"/>
  <c r="M13" i="6"/>
  <c r="M15" i="6"/>
  <c r="M17" i="6"/>
  <c r="M19" i="6"/>
  <c r="M21" i="6"/>
  <c r="M23" i="6"/>
  <c r="M25" i="6"/>
  <c r="M27" i="6"/>
  <c r="M10" i="6"/>
  <c r="M12" i="6"/>
  <c r="M14" i="6"/>
  <c r="M16" i="6"/>
  <c r="M18" i="6"/>
  <c r="M20" i="6"/>
  <c r="M22" i="6"/>
  <c r="M28" i="6"/>
  <c r="M24" i="6"/>
  <c r="M26" i="6"/>
  <c r="K12" i="22"/>
  <c r="K21" i="22"/>
  <c r="J12" i="22"/>
  <c r="J22" i="22"/>
  <c r="I21" i="22"/>
  <c r="I22" i="22"/>
  <c r="N32" i="23"/>
  <c r="N33" i="23"/>
  <c r="O32" i="23"/>
  <c r="O33" i="23" s="1"/>
  <c r="P32" i="23"/>
  <c r="P33" i="23" s="1"/>
  <c r="N20" i="23"/>
  <c r="N21" i="23" s="1"/>
  <c r="O20" i="23"/>
  <c r="O21" i="23" s="1"/>
  <c r="P20" i="23"/>
  <c r="P21" i="23" s="1"/>
  <c r="L24" i="23"/>
  <c r="L25" i="23"/>
  <c r="M25" i="23" s="1"/>
  <c r="L27" i="23"/>
  <c r="M27" i="23"/>
  <c r="L28" i="23"/>
  <c r="M28" i="23"/>
  <c r="L30" i="23"/>
  <c r="M30" i="23"/>
  <c r="L31" i="23"/>
  <c r="M31" i="23"/>
  <c r="L12" i="23"/>
  <c r="M12" i="23"/>
  <c r="L13" i="23"/>
  <c r="M13" i="23"/>
  <c r="L15" i="23"/>
  <c r="M15" i="23"/>
  <c r="L16" i="23"/>
  <c r="M16" i="23"/>
  <c r="L18" i="23"/>
  <c r="M18" i="23"/>
  <c r="L19" i="23"/>
  <c r="M19" i="23"/>
  <c r="J32" i="23"/>
  <c r="J20" i="23"/>
  <c r="J34" i="23" s="1"/>
  <c r="I20" i="23"/>
  <c r="I34" i="23" s="1"/>
  <c r="I32" i="23"/>
  <c r="I47" i="24"/>
  <c r="I51" i="24"/>
  <c r="I52" i="24" s="1"/>
  <c r="I34" i="24"/>
  <c r="I20" i="24"/>
  <c r="I14" i="24"/>
  <c r="B39" i="24"/>
  <c r="B40" i="24"/>
  <c r="B41" i="24" s="1"/>
  <c r="B42" i="24"/>
  <c r="B43" i="24" s="1"/>
  <c r="B44" i="24" s="1"/>
  <c r="B45" i="24" s="1"/>
  <c r="B46" i="24" s="1"/>
  <c r="B47" i="24" s="1"/>
  <c r="B51" i="24" s="1"/>
  <c r="B37" i="24"/>
  <c r="B35" i="24"/>
  <c r="K23" i="24"/>
  <c r="K24" i="24"/>
  <c r="K25" i="24"/>
  <c r="K26" i="24"/>
  <c r="K27" i="24"/>
  <c r="K28" i="24"/>
  <c r="K29" i="24"/>
  <c r="K30" i="24"/>
  <c r="K31" i="24"/>
  <c r="K32" i="24"/>
  <c r="K33" i="24"/>
  <c r="B24" i="24"/>
  <c r="B23" i="24"/>
  <c r="B17" i="24"/>
  <c r="B18" i="24" s="1"/>
  <c r="B19" i="24"/>
  <c r="B20" i="24" s="1"/>
  <c r="B21" i="24" s="1"/>
  <c r="K17" i="24"/>
  <c r="K20" i="24"/>
  <c r="K18" i="24"/>
  <c r="K19" i="24"/>
  <c r="B13" i="24"/>
  <c r="B14" i="24"/>
  <c r="B15" i="24" s="1"/>
  <c r="K11" i="24"/>
  <c r="K12" i="24"/>
  <c r="K13" i="24"/>
  <c r="K14" i="24" s="1"/>
  <c r="B11" i="24"/>
  <c r="I27" i="15"/>
  <c r="I38" i="15"/>
  <c r="K44" i="15"/>
  <c r="K50" i="15"/>
  <c r="K51" i="15"/>
  <c r="K52" i="15"/>
  <c r="K48" i="15"/>
  <c r="K46" i="15"/>
  <c r="J31" i="4"/>
  <c r="J36" i="4"/>
  <c r="J62" i="4"/>
  <c r="J66" i="4"/>
  <c r="J67" i="4" s="1"/>
  <c r="J56" i="4"/>
  <c r="J80" i="4"/>
  <c r="V15" i="28"/>
  <c r="X15" i="26"/>
  <c r="W18" i="32"/>
  <c r="V12" i="31"/>
  <c r="W20" i="30"/>
  <c r="V20" i="30"/>
  <c r="V14" i="30"/>
  <c r="W24" i="29"/>
  <c r="V20" i="29"/>
  <c r="V12" i="29"/>
  <c r="W12" i="35"/>
  <c r="K38" i="15"/>
  <c r="W16" i="33"/>
  <c r="M20" i="23"/>
  <c r="V21" i="32"/>
  <c r="W13" i="30"/>
  <c r="W23" i="29"/>
  <c r="X24" i="34"/>
  <c r="W22" i="34"/>
  <c r="V22" i="34"/>
  <c r="X18" i="34"/>
  <c r="X20" i="33"/>
  <c r="W19" i="32"/>
  <c r="W17" i="31"/>
  <c r="W15" i="30"/>
  <c r="W11" i="30"/>
  <c r="X21" i="29"/>
  <c r="W23" i="35"/>
  <c r="W10" i="35"/>
  <c r="X11" i="28"/>
  <c r="V22" i="33"/>
  <c r="X16" i="32"/>
  <c r="X12" i="32"/>
  <c r="I30" i="25"/>
  <c r="K30" i="25"/>
  <c r="J30" i="25"/>
  <c r="W21" i="35"/>
  <c r="X21" i="35"/>
  <c r="M20" i="5"/>
  <c r="V16" i="34"/>
  <c r="X16" i="34"/>
  <c r="Y14" i="34" s="1"/>
  <c r="K30" i="34" s="1"/>
  <c r="V14" i="34"/>
  <c r="W14" i="34"/>
  <c r="X12" i="33"/>
  <c r="V12" i="33"/>
  <c r="W15" i="32"/>
  <c r="X15" i="32"/>
  <c r="V20" i="31"/>
  <c r="W14" i="31"/>
  <c r="V23" i="30"/>
  <c r="W23" i="30"/>
  <c r="X19" i="30"/>
  <c r="V19" i="30"/>
  <c r="V22" i="29"/>
  <c r="W22" i="29"/>
  <c r="V17" i="29"/>
  <c r="X17" i="29"/>
  <c r="V15" i="35"/>
  <c r="W15" i="35"/>
  <c r="Q25" i="35"/>
  <c r="X10" i="35"/>
  <c r="X14" i="34"/>
  <c r="W24" i="34"/>
  <c r="W22" i="35"/>
  <c r="V24" i="32"/>
  <c r="Q21" i="23"/>
  <c r="W19" i="26"/>
  <c r="X19" i="26"/>
  <c r="X16" i="26"/>
  <c r="M25" i="26"/>
  <c r="V20" i="28"/>
  <c r="W20" i="28"/>
  <c r="W15" i="28"/>
  <c r="W11" i="28"/>
  <c r="V20" i="34"/>
  <c r="W20" i="34"/>
  <c r="X17" i="34"/>
  <c r="V17" i="34"/>
  <c r="W15" i="34"/>
  <c r="X15" i="34"/>
  <c r="V15" i="34"/>
  <c r="W24" i="33"/>
  <c r="W21" i="33"/>
  <c r="W14" i="33"/>
  <c r="W24" i="32"/>
  <c r="V22" i="31"/>
  <c r="X22" i="31"/>
  <c r="X20" i="31"/>
  <c r="W16" i="31"/>
  <c r="X22" i="30"/>
  <c r="W22" i="30"/>
  <c r="V21" i="30"/>
  <c r="W21" i="30"/>
  <c r="X22" i="29"/>
  <c r="X18" i="29"/>
  <c r="V16" i="35"/>
  <c r="W16" i="35"/>
  <c r="X11" i="35"/>
  <c r="Z10" i="35" s="1"/>
  <c r="AA10" i="35" s="1"/>
  <c r="V11" i="35"/>
  <c r="P21" i="24"/>
  <c r="P35" i="24"/>
  <c r="X24" i="30"/>
  <c r="W11" i="35"/>
  <c r="V13" i="29"/>
  <c r="W19" i="30"/>
  <c r="X13" i="35"/>
  <c r="V11" i="29"/>
  <c r="X21" i="30"/>
  <c r="V19" i="31"/>
  <c r="X20" i="34"/>
  <c r="V16" i="31"/>
  <c r="W11" i="26"/>
  <c r="L20" i="23"/>
  <c r="W20" i="26"/>
  <c r="Q10" i="26"/>
  <c r="X10" i="26" s="1"/>
  <c r="V21" i="28"/>
  <c r="V12" i="28"/>
  <c r="W12" i="28"/>
  <c r="N25" i="34"/>
  <c r="Q10" i="34"/>
  <c r="V24" i="33"/>
  <c r="X18" i="33"/>
  <c r="W17" i="33"/>
  <c r="V17" i="33"/>
  <c r="W15" i="33"/>
  <c r="Y14" i="33" s="1"/>
  <c r="K30" i="33" s="1"/>
  <c r="V10" i="33"/>
  <c r="Q11" i="32"/>
  <c r="M25" i="31"/>
  <c r="W23" i="31"/>
  <c r="X21" i="31"/>
  <c r="W21" i="31"/>
  <c r="P10" i="30"/>
  <c r="V10" i="30" s="1"/>
  <c r="M25" i="30"/>
  <c r="X15" i="29"/>
  <c r="V15" i="29"/>
  <c r="W15" i="29"/>
  <c r="W14" i="29"/>
  <c r="X14" i="29"/>
  <c r="W11" i="29"/>
  <c r="X16" i="35"/>
  <c r="X12" i="35"/>
  <c r="V12" i="35"/>
  <c r="X14" i="31"/>
  <c r="V14" i="33"/>
  <c r="V15" i="33"/>
  <c r="V10" i="35"/>
  <c r="W17" i="29"/>
  <c r="X23" i="30"/>
  <c r="X22" i="33"/>
  <c r="W11" i="31"/>
  <c r="W10" i="33"/>
  <c r="W16" i="34"/>
  <c r="V18" i="35"/>
  <c r="V24" i="29"/>
  <c r="V24" i="30"/>
  <c r="V18" i="32"/>
  <c r="W17" i="34"/>
  <c r="X13" i="26"/>
  <c r="V21" i="33"/>
  <c r="M29" i="6"/>
  <c r="X20" i="28"/>
  <c r="X18" i="28"/>
  <c r="V13" i="34"/>
  <c r="W13" i="34"/>
  <c r="X19" i="33"/>
  <c r="V19" i="33"/>
  <c r="W19" i="33"/>
  <c r="X10" i="33"/>
  <c r="M25" i="33"/>
  <c r="X22" i="32"/>
  <c r="W22" i="32"/>
  <c r="V22" i="32"/>
  <c r="V16" i="32"/>
  <c r="W16" i="32"/>
  <c r="V15" i="32"/>
  <c r="W19" i="31"/>
  <c r="X11" i="31"/>
  <c r="V10" i="31"/>
  <c r="X15" i="30"/>
  <c r="W12" i="30"/>
  <c r="X12" i="30"/>
  <c r="Q25" i="30"/>
  <c r="M25" i="29"/>
  <c r="V21" i="29"/>
  <c r="W21" i="29"/>
  <c r="X16" i="29"/>
  <c r="W16" i="29"/>
  <c r="X22" i="35"/>
  <c r="V17" i="35"/>
  <c r="X17" i="35"/>
  <c r="J32" i="4"/>
  <c r="J37" i="4"/>
  <c r="J49" i="4"/>
  <c r="J50" i="4"/>
  <c r="J57" i="4" s="1"/>
  <c r="K34" i="24"/>
  <c r="K22" i="22"/>
  <c r="L22" i="22"/>
  <c r="L23" i="22" s="1"/>
  <c r="L24" i="22"/>
  <c r="L25" i="22" s="1"/>
  <c r="J24" i="2" s="1"/>
  <c r="W24" i="26"/>
  <c r="V23" i="26"/>
  <c r="W14" i="26"/>
  <c r="W13" i="28"/>
  <c r="V13" i="28"/>
  <c r="W20" i="32"/>
  <c r="W11" i="32"/>
  <c r="V18" i="30"/>
  <c r="X14" i="30"/>
  <c r="W14" i="30"/>
  <c r="X13" i="29"/>
  <c r="V13" i="35"/>
  <c r="P15" i="24"/>
  <c r="V24" i="26"/>
  <c r="V23" i="35"/>
  <c r="W23" i="32"/>
  <c r="V22" i="30"/>
  <c r="V23" i="29"/>
  <c r="Q10" i="29"/>
  <c r="X10" i="29" s="1"/>
  <c r="M25" i="35"/>
  <c r="W17" i="35"/>
  <c r="I74" i="15"/>
  <c r="P10" i="32"/>
  <c r="P25" i="32" s="1"/>
  <c r="M25" i="32"/>
  <c r="J38" i="4"/>
  <c r="V11" i="32"/>
  <c r="X11" i="32"/>
  <c r="W10" i="32"/>
  <c r="X10" i="32"/>
  <c r="V10" i="32"/>
  <c r="W10" i="30"/>
  <c r="V10" i="29"/>
  <c r="W10" i="29"/>
  <c r="P53" i="24"/>
  <c r="I17" i="2"/>
  <c r="I72" i="4"/>
  <c r="J68" i="4"/>
  <c r="J69" i="4" s="1"/>
  <c r="J70" i="4" s="1"/>
  <c r="I73" i="4"/>
  <c r="I83" i="4" s="1"/>
  <c r="J12" i="2" s="1"/>
  <c r="AB10" i="35" l="1"/>
  <c r="AD10" i="35" s="1"/>
  <c r="AE10" i="35" s="1"/>
  <c r="O30" i="35" s="1"/>
  <c r="M30" i="35"/>
  <c r="Z14" i="29"/>
  <c r="Y14" i="29"/>
  <c r="K30" i="29" s="1"/>
  <c r="Y10" i="35"/>
  <c r="J30" i="35" s="1"/>
  <c r="X14" i="26"/>
  <c r="V14" i="26"/>
  <c r="V11" i="26"/>
  <c r="X11" i="26"/>
  <c r="W21" i="28"/>
  <c r="X21" i="28"/>
  <c r="W19" i="28"/>
  <c r="V19" i="28"/>
  <c r="X19" i="28"/>
  <c r="X23" i="34"/>
  <c r="W23" i="34"/>
  <c r="V23" i="34"/>
  <c r="X21" i="34"/>
  <c r="W21" i="34"/>
  <c r="V19" i="34"/>
  <c r="W19" i="34"/>
  <c r="X12" i="34"/>
  <c r="V12" i="34"/>
  <c r="X11" i="34"/>
  <c r="W11" i="34"/>
  <c r="Q25" i="34"/>
  <c r="V11" i="34"/>
  <c r="P10" i="34"/>
  <c r="M25" i="34"/>
  <c r="Q23" i="33"/>
  <c r="N25" i="33"/>
  <c r="V18" i="33"/>
  <c r="W18" i="33"/>
  <c r="V20" i="32"/>
  <c r="J33" i="6"/>
  <c r="J35" i="6" s="1"/>
  <c r="J30" i="6"/>
  <c r="J32" i="6" s="1"/>
  <c r="Q17" i="26"/>
  <c r="N25" i="26"/>
  <c r="Q23" i="28"/>
  <c r="N25" i="28"/>
  <c r="V22" i="28"/>
  <c r="W22" i="28"/>
  <c r="P14" i="28"/>
  <c r="M25" i="28"/>
  <c r="X24" i="35"/>
  <c r="W24" i="35"/>
  <c r="W20" i="35"/>
  <c r="X20" i="35"/>
  <c r="Y14" i="26"/>
  <c r="K30" i="26" s="1"/>
  <c r="X20" i="26"/>
  <c r="V20" i="26"/>
  <c r="W18" i="26"/>
  <c r="X18" i="26"/>
  <c r="X24" i="28"/>
  <c r="W24" i="28"/>
  <c r="V24" i="28"/>
  <c r="W16" i="28"/>
  <c r="V16" i="28"/>
  <c r="X23" i="32"/>
  <c r="V23" i="32"/>
  <c r="Q14" i="32"/>
  <c r="N25" i="32"/>
  <c r="X13" i="32"/>
  <c r="V13" i="32"/>
  <c r="W13" i="32"/>
  <c r="Z10" i="32" s="1"/>
  <c r="AA10" i="32" s="1"/>
  <c r="V24" i="31"/>
  <c r="W24" i="31"/>
  <c r="X24" i="31"/>
  <c r="V23" i="31"/>
  <c r="X23" i="31"/>
  <c r="Y17" i="31" s="1"/>
  <c r="L30" i="31" s="1"/>
  <c r="V18" i="31"/>
  <c r="W18" i="31"/>
  <c r="Q15" i="31"/>
  <c r="N25" i="31"/>
  <c r="V13" i="31"/>
  <c r="W13" i="31"/>
  <c r="W10" i="31"/>
  <c r="X10" i="31"/>
  <c r="P25" i="31"/>
  <c r="X17" i="30"/>
  <c r="W17" i="30"/>
  <c r="V17" i="30"/>
  <c r="Q19" i="29"/>
  <c r="N25" i="29"/>
  <c r="W18" i="29"/>
  <c r="V18" i="29"/>
  <c r="P25" i="29"/>
  <c r="P25" i="30"/>
  <c r="P26" i="30" s="1"/>
  <c r="P30" i="30" s="1"/>
  <c r="X10" i="30"/>
  <c r="Z10" i="30" s="1"/>
  <c r="AA10" i="30" s="1"/>
  <c r="J71" i="4"/>
  <c r="J84" i="4" s="1"/>
  <c r="I82" i="4"/>
  <c r="J11" i="2" s="1"/>
  <c r="J13" i="2" s="1"/>
  <c r="Z14" i="33"/>
  <c r="Z14" i="34"/>
  <c r="I30" i="6"/>
  <c r="I32" i="6" s="1"/>
  <c r="M32" i="6" s="1"/>
  <c r="I33" i="6"/>
  <c r="I35" i="6" s="1"/>
  <c r="M35" i="6" s="1"/>
  <c r="M21" i="5"/>
  <c r="M23" i="5" s="1"/>
  <c r="M24" i="5" s="1"/>
  <c r="M25" i="5" s="1"/>
  <c r="I12" i="21" s="1"/>
  <c r="X22" i="28"/>
  <c r="V17" i="28"/>
  <c r="W17" i="28"/>
  <c r="W13" i="33"/>
  <c r="V13" i="33"/>
  <c r="P25" i="33"/>
  <c r="X13" i="33"/>
  <c r="X11" i="33"/>
  <c r="P25" i="35"/>
  <c r="P26" i="35" s="1"/>
  <c r="P30" i="35" s="1"/>
  <c r="W10" i="26"/>
  <c r="V10" i="26"/>
  <c r="X19" i="35"/>
  <c r="K27" i="15"/>
  <c r="I57" i="15"/>
  <c r="I58" i="15" s="1"/>
  <c r="I75" i="15" s="1"/>
  <c r="K75" i="15" s="1"/>
  <c r="K76" i="15" s="1"/>
  <c r="I16" i="2" s="1"/>
  <c r="I19" i="2" s="1"/>
  <c r="J15" i="2" s="1"/>
  <c r="W12" i="26"/>
  <c r="V12" i="26"/>
  <c r="V21" i="34"/>
  <c r="W12" i="34"/>
  <c r="V11" i="33"/>
  <c r="W11" i="33"/>
  <c r="Y10" i="33" s="1"/>
  <c r="J30" i="33" s="1"/>
  <c r="X18" i="31"/>
  <c r="X13" i="31"/>
  <c r="N25" i="35"/>
  <c r="V22" i="26"/>
  <c r="W19" i="35"/>
  <c r="P25" i="26"/>
  <c r="W17" i="32"/>
  <c r="W18" i="30"/>
  <c r="Q33" i="23"/>
  <c r="Q35" i="23" s="1"/>
  <c r="I18" i="2" s="1"/>
  <c r="L30" i="25"/>
  <c r="O30" i="25" s="1"/>
  <c r="O33" i="25" s="1"/>
  <c r="J10" i="20" s="1"/>
  <c r="X21" i="26"/>
  <c r="W16" i="26"/>
  <c r="Z14" i="26" s="1"/>
  <c r="V10" i="28"/>
  <c r="W10" i="28"/>
  <c r="V18" i="34"/>
  <c r="W18" i="34"/>
  <c r="V20" i="33"/>
  <c r="W20" i="33"/>
  <c r="W12" i="31"/>
  <c r="X16" i="30"/>
  <c r="W16" i="30"/>
  <c r="Z14" i="30" s="1"/>
  <c r="V15" i="30"/>
  <c r="I30" i="30" s="1"/>
  <c r="X11" i="30"/>
  <c r="V11" i="30"/>
  <c r="V14" i="29"/>
  <c r="V21" i="35"/>
  <c r="I30" i="35" s="1"/>
  <c r="P21" i="17"/>
  <c r="W14" i="35"/>
  <c r="V15" i="26"/>
  <c r="L32" i="23"/>
  <c r="L34" i="23" s="1"/>
  <c r="M24" i="23"/>
  <c r="M32" i="23" s="1"/>
  <c r="M34" i="23" s="1"/>
  <c r="M30" i="25"/>
  <c r="W21" i="26"/>
  <c r="V21" i="26"/>
  <c r="V18" i="26"/>
  <c r="X16" i="28"/>
  <c r="V19" i="32"/>
  <c r="X19" i="32"/>
  <c r="X17" i="32"/>
  <c r="X13" i="30"/>
  <c r="V13" i="30"/>
  <c r="V24" i="35"/>
  <c r="X18" i="35"/>
  <c r="W18" i="35"/>
  <c r="X14" i="35"/>
  <c r="T20" i="18"/>
  <c r="O31" i="25" s="1"/>
  <c r="P10" i="17"/>
  <c r="P32" i="17" s="1"/>
  <c r="O32" i="25" s="1"/>
  <c r="W22" i="33"/>
  <c r="V16" i="30"/>
  <c r="N25" i="30"/>
  <c r="W12" i="29"/>
  <c r="Y10" i="29" s="1"/>
  <c r="J30" i="29" s="1"/>
  <c r="X18" i="32"/>
  <c r="V12" i="32"/>
  <c r="V17" i="31"/>
  <c r="W19" i="29"/>
  <c r="M30" i="30" l="1"/>
  <c r="AB10" i="30"/>
  <c r="AD10" i="30" s="1"/>
  <c r="AE10" i="30" s="1"/>
  <c r="O30" i="30" s="1"/>
  <c r="AB14" i="30"/>
  <c r="AC14" i="30" s="1"/>
  <c r="P26" i="33"/>
  <c r="P30" i="33" s="1"/>
  <c r="M36" i="6"/>
  <c r="M37" i="6" s="1"/>
  <c r="M38" i="6" s="1"/>
  <c r="I11" i="21" s="1"/>
  <c r="Y17" i="30"/>
  <c r="L30" i="30" s="1"/>
  <c r="Z17" i="30"/>
  <c r="AB17" i="30" s="1"/>
  <c r="Z10" i="31"/>
  <c r="AA10" i="31" s="1"/>
  <c r="Y10" i="31"/>
  <c r="J30" i="31" s="1"/>
  <c r="W15" i="31"/>
  <c r="V15" i="31"/>
  <c r="I30" i="31" s="1"/>
  <c r="X15" i="31"/>
  <c r="Q25" i="31"/>
  <c r="M30" i="32"/>
  <c r="AB10" i="32"/>
  <c r="AD10" i="32" s="1"/>
  <c r="AE10" i="32" s="1"/>
  <c r="O30" i="32" s="1"/>
  <c r="X14" i="32"/>
  <c r="W14" i="32"/>
  <c r="Q25" i="32"/>
  <c r="P26" i="32" s="1"/>
  <c r="P30" i="32" s="1"/>
  <c r="V14" i="32"/>
  <c r="I30" i="32" s="1"/>
  <c r="X17" i="26"/>
  <c r="W17" i="26"/>
  <c r="Q25" i="26"/>
  <c r="P26" i="26" s="1"/>
  <c r="P30" i="26" s="1"/>
  <c r="V17" i="26"/>
  <c r="Z10" i="28"/>
  <c r="AA10" i="28" s="1"/>
  <c r="Y10" i="28"/>
  <c r="J30" i="28" s="1"/>
  <c r="Y10" i="26"/>
  <c r="J30" i="26" s="1"/>
  <c r="Z10" i="26"/>
  <c r="AA10" i="26" s="1"/>
  <c r="Y17" i="28"/>
  <c r="L30" i="28" s="1"/>
  <c r="X23" i="33"/>
  <c r="V23" i="33"/>
  <c r="W23" i="33"/>
  <c r="Y17" i="33" s="1"/>
  <c r="L30" i="33" s="1"/>
  <c r="Z17" i="35"/>
  <c r="AB17" i="35" s="1"/>
  <c r="Y17" i="35"/>
  <c r="L30" i="35" s="1"/>
  <c r="Y14" i="35"/>
  <c r="K30" i="35" s="1"/>
  <c r="Z14" i="35"/>
  <c r="AB14" i="35" s="1"/>
  <c r="AC14" i="35" s="1"/>
  <c r="Y17" i="34"/>
  <c r="L30" i="34" s="1"/>
  <c r="Q25" i="33"/>
  <c r="Y10" i="30"/>
  <c r="J30" i="30" s="1"/>
  <c r="Z17" i="31"/>
  <c r="AB17" i="31" s="1"/>
  <c r="Z10" i="33"/>
  <c r="AA10" i="33" s="1"/>
  <c r="P25" i="34"/>
  <c r="P26" i="34" s="1"/>
  <c r="P30" i="34" s="1"/>
  <c r="W10" i="34"/>
  <c r="X10" i="34"/>
  <c r="V10" i="34"/>
  <c r="I30" i="34" s="1"/>
  <c r="Z17" i="34"/>
  <c r="AB17" i="34" s="1"/>
  <c r="Y14" i="30"/>
  <c r="K30" i="30" s="1"/>
  <c r="Y10" i="32"/>
  <c r="J30" i="32" s="1"/>
  <c r="Y17" i="32"/>
  <c r="L30" i="32" s="1"/>
  <c r="Z17" i="32"/>
  <c r="AB17" i="32" s="1"/>
  <c r="I30" i="33"/>
  <c r="I30" i="26"/>
  <c r="X19" i="29"/>
  <c r="Y17" i="29" s="1"/>
  <c r="L30" i="29" s="1"/>
  <c r="V19" i="29"/>
  <c r="I30" i="29" s="1"/>
  <c r="Q25" i="29"/>
  <c r="P26" i="29" s="1"/>
  <c r="P30" i="29" s="1"/>
  <c r="P26" i="31"/>
  <c r="P30" i="31" s="1"/>
  <c r="V14" i="28"/>
  <c r="I30" i="28" s="1"/>
  <c r="X14" i="28"/>
  <c r="P25" i="28"/>
  <c r="W14" i="28"/>
  <c r="X23" i="28"/>
  <c r="V23" i="28"/>
  <c r="Q25" i="28"/>
  <c r="W23" i="28"/>
  <c r="Z17" i="28" s="1"/>
  <c r="AB17" i="28" s="1"/>
  <c r="Z10" i="29"/>
  <c r="AA10" i="29" s="1"/>
  <c r="Q30" i="30" l="1"/>
  <c r="I18" i="20" s="1"/>
  <c r="M30" i="28"/>
  <c r="AB10" i="28"/>
  <c r="AD10" i="28" s="1"/>
  <c r="AE10" i="28" s="1"/>
  <c r="O30" i="28" s="1"/>
  <c r="AB10" i="26"/>
  <c r="AD10" i="26" s="1"/>
  <c r="AE10" i="26" s="1"/>
  <c r="O30" i="26" s="1"/>
  <c r="AB14" i="26"/>
  <c r="AC14" i="26" s="1"/>
  <c r="M30" i="26"/>
  <c r="Z17" i="33"/>
  <c r="AB17" i="33" s="1"/>
  <c r="Z17" i="29"/>
  <c r="AB17" i="29" s="1"/>
  <c r="Y17" i="26"/>
  <c r="L30" i="26" s="1"/>
  <c r="Z17" i="26"/>
  <c r="AB17" i="26" s="1"/>
  <c r="Y14" i="31"/>
  <c r="K30" i="31" s="1"/>
  <c r="Z14" i="31"/>
  <c r="M30" i="29"/>
  <c r="AB14" i="29"/>
  <c r="AC14" i="29" s="1"/>
  <c r="AB10" i="29"/>
  <c r="AD10" i="29" s="1"/>
  <c r="AE10" i="29" s="1"/>
  <c r="O30" i="29" s="1"/>
  <c r="Y14" i="28"/>
  <c r="K30" i="28" s="1"/>
  <c r="Z14" i="28"/>
  <c r="AB14" i="28" s="1"/>
  <c r="AC14" i="28" s="1"/>
  <c r="AB14" i="33"/>
  <c r="AC14" i="33" s="1"/>
  <c r="AB10" i="33"/>
  <c r="AD10" i="33" s="1"/>
  <c r="AE10" i="33" s="1"/>
  <c r="O30" i="33" s="1"/>
  <c r="M30" i="33"/>
  <c r="AB10" i="31"/>
  <c r="AD10" i="31" s="1"/>
  <c r="AE10" i="31" s="1"/>
  <c r="O30" i="31" s="1"/>
  <c r="M30" i="31"/>
  <c r="AB14" i="31"/>
  <c r="AC14" i="31" s="1"/>
  <c r="Y10" i="34"/>
  <c r="J30" i="34" s="1"/>
  <c r="Z10" i="34"/>
  <c r="AA10" i="34" s="1"/>
  <c r="Y14" i="32"/>
  <c r="K30" i="32" s="1"/>
  <c r="Z14" i="32"/>
  <c r="AB14" i="32" s="1"/>
  <c r="AC14" i="32" s="1"/>
  <c r="P26" i="28"/>
  <c r="P30" i="28" s="1"/>
  <c r="AD14" i="35"/>
  <c r="AD17" i="35"/>
  <c r="N30" i="35"/>
  <c r="Q30" i="35" s="1"/>
  <c r="I20" i="20" s="1"/>
  <c r="AD17" i="30"/>
  <c r="N30" i="30"/>
  <c r="AD14" i="30"/>
  <c r="AD17" i="28" l="1"/>
  <c r="AD14" i="28"/>
  <c r="N30" i="28"/>
  <c r="Q30" i="28" s="1"/>
  <c r="I13" i="20" s="1"/>
  <c r="Q30" i="29"/>
  <c r="I19" i="20" s="1"/>
  <c r="AD17" i="26"/>
  <c r="AD14" i="26"/>
  <c r="N30" i="26"/>
  <c r="Q30" i="26" s="1"/>
  <c r="I12" i="20" s="1"/>
  <c r="AD14" i="29"/>
  <c r="N30" i="29"/>
  <c r="AD17" i="29"/>
  <c r="AD14" i="32"/>
  <c r="N30" i="32"/>
  <c r="Q30" i="32" s="1"/>
  <c r="I16" i="20" s="1"/>
  <c r="AD17" i="32"/>
  <c r="AD17" i="31"/>
  <c r="AD14" i="31"/>
  <c r="N30" i="31"/>
  <c r="Q30" i="31" s="1"/>
  <c r="I17" i="20" s="1"/>
  <c r="M30" i="34"/>
  <c r="AB14" i="34"/>
  <c r="AC14" i="34" s="1"/>
  <c r="AB10" i="34"/>
  <c r="AD10" i="34" s="1"/>
  <c r="AE10" i="34" s="1"/>
  <c r="O30" i="34" s="1"/>
  <c r="AD14" i="33"/>
  <c r="N30" i="33"/>
  <c r="Q30" i="33" s="1"/>
  <c r="I15" i="20" s="1"/>
  <c r="AD17" i="33"/>
  <c r="N30" i="34" l="1"/>
  <c r="Q30" i="34" s="1"/>
  <c r="I14" i="20" s="1"/>
  <c r="J22" i="20" s="1"/>
  <c r="J23" i="20" s="1"/>
  <c r="J24" i="20" s="1"/>
  <c r="J25" i="20" s="1"/>
  <c r="I10" i="21" s="1"/>
  <c r="I14" i="21" s="1"/>
  <c r="I16" i="21" s="1"/>
  <c r="J25" i="2" s="1"/>
  <c r="J26" i="2" s="1"/>
  <c r="J27" i="2" s="1"/>
  <c r="AD17" i="34"/>
  <c r="AD14" i="34"/>
</calcChain>
</file>

<file path=xl/sharedStrings.xml><?xml version="1.0" encoding="utf-8"?>
<sst xmlns="http://schemas.openxmlformats.org/spreadsheetml/2006/main" count="3010" uniqueCount="1687">
  <si>
    <t>3.a</t>
  </si>
  <si>
    <t>110100000505330000</t>
  </si>
  <si>
    <t>3.b</t>
  </si>
  <si>
    <t>110100000515330000</t>
  </si>
  <si>
    <r>
      <t xml:space="preserve">Sub-total
</t>
    </r>
    <r>
      <rPr>
        <i/>
        <sz val="8"/>
        <rFont val="Arial"/>
        <family val="2"/>
      </rPr>
      <t>[ Sum of 1.a to 3.b ]</t>
    </r>
  </si>
  <si>
    <t>110100000500000000</t>
  </si>
  <si>
    <r>
      <t xml:space="preserve">Risk-weighted amount
</t>
    </r>
    <r>
      <rPr>
        <i/>
        <sz val="8"/>
        <rFont val="Arial"/>
        <family val="2"/>
      </rPr>
      <t>[ (4)  x  applicable risk weight ]</t>
    </r>
  </si>
  <si>
    <t>110100000500813000</t>
  </si>
  <si>
    <t xml:space="preserve">   </t>
  </si>
  <si>
    <t xml:space="preserve">Exchange Rate Contracts </t>
  </si>
  <si>
    <t>Forward Foreign Exchange Contracts</t>
  </si>
  <si>
    <t>110100001005310000</t>
  </si>
  <si>
    <t>Currency Swap</t>
  </si>
  <si>
    <t>110100001025310000</t>
  </si>
  <si>
    <t>110100001005320000</t>
  </si>
  <si>
    <t>110100001025320000</t>
  </si>
  <si>
    <t>110100001005330000</t>
  </si>
  <si>
    <t>110100001025330000</t>
  </si>
  <si>
    <t>110100001000000000</t>
  </si>
  <si>
    <t>110100001000813000</t>
  </si>
  <si>
    <t>Total
[Sum of A (4) and B (4)]</t>
  </si>
  <si>
    <t>110100000000000000</t>
  </si>
  <si>
    <t xml:space="preserve">TOTAL COUNTERPARTY RISK-WEIGHTED ASSETS [Sum of A (5) and B (5)] </t>
  </si>
  <si>
    <t>Provide additional line items, where necessary. (Refer to Part III.4 of the CAR Reporting Template of U/KBs and their subsidiary banks and quasi-banks under Circular No. 574.)</t>
  </si>
  <si>
    <t>No potential future credit exposure shall be calculated for single currency floating/floating interest rate swaps; i.e. the credit exposure on these contracts would be evaluated solely on the basis of their mark-to-market value.</t>
  </si>
  <si>
    <t>The credit equivalent amount shall be assigned the appropriate risk weight according to the obligor, or if relevant, the qualified guarantor or the nature of collateral.</t>
  </si>
  <si>
    <t>This shall exclude instruments which are traded on exchange where they are subject to daily receipt and payment of cash variation margin and exchange rate contracts with original maturity of 14 calendar days or less.</t>
  </si>
  <si>
    <r>
      <t xml:space="preserve">PART IV.  OPERATIONAL RISK-WEIGHTED ASSETS </t>
    </r>
    <r>
      <rPr>
        <sz val="8"/>
        <rFont val="Arial"/>
        <family val="2"/>
      </rPr>
      <t xml:space="preserve">(Amounts in </t>
    </r>
    <r>
      <rPr>
        <strike/>
        <sz val="8"/>
        <rFont val="Arial"/>
        <family val="2"/>
      </rPr>
      <t>P</t>
    </r>
    <r>
      <rPr>
        <sz val="8"/>
        <rFont val="Arial"/>
        <family val="2"/>
      </rPr>
      <t xml:space="preserve">0.000 million) </t>
    </r>
  </si>
  <si>
    <t>Gross Income</t>
  </si>
  <si>
    <t>Year 3</t>
  </si>
  <si>
    <t>Year 2</t>
  </si>
  <si>
    <t>Last Year</t>
  </si>
  <si>
    <r>
      <t xml:space="preserve">Average </t>
    </r>
    <r>
      <rPr>
        <vertAlign val="superscript"/>
        <sz val="8"/>
        <rFont val="Arial"/>
        <family val="2"/>
      </rPr>
      <t>1/</t>
    </r>
    <r>
      <rPr>
        <sz val="8"/>
        <rFont val="Arial"/>
        <family val="2"/>
      </rPr>
      <t xml:space="preserve"> </t>
    </r>
    <r>
      <rPr>
        <u/>
        <vertAlign val="superscript"/>
        <sz val="10"/>
        <color indexed="10"/>
        <rFont val="Arial"/>
        <family val="2"/>
      </rPr>
      <t/>
    </r>
  </si>
  <si>
    <t>A.  Net interest income</t>
  </si>
  <si>
    <t>Interest Income</t>
  </si>
  <si>
    <t>505050000000000000</t>
  </si>
  <si>
    <t>Interest Expense</t>
  </si>
  <si>
    <t>605100000000000000</t>
  </si>
  <si>
    <t>RURAL BANK OF LINGAYEN INC</t>
  </si>
  <si>
    <t>RURAL BANK OF LOBOC INC</t>
  </si>
  <si>
    <t>RURAL BANK OF MAASIN (SO LEYTE) INC</t>
  </si>
  <si>
    <t>RURAL BANK OF RONDA INC</t>
  </si>
  <si>
    <t>RURAL BANK OF TANZA (CAVITE) INC</t>
  </si>
  <si>
    <t>RURAL BNK OF SAN JOSE DEL MONTE INC</t>
  </si>
  <si>
    <t>SADIRI RURAL BANK (SJ ILOCOS S) INC</t>
  </si>
  <si>
    <t>SALUG VALLEY RB INC</t>
  </si>
  <si>
    <t>SAN BARTOLOME RURAL BANK INC</t>
  </si>
  <si>
    <t>SAN FERNANDO RB INC</t>
  </si>
  <si>
    <t>SAN FRANCISCO DEL MONTE RB INC</t>
  </si>
  <si>
    <t>SARANGANI RURAL BANK INC</t>
  </si>
  <si>
    <t>SAVIOUR RURAL BANK INC</t>
  </si>
  <si>
    <t>SECOND RB OF SAN LUIS PAMPANGA INC</t>
  </si>
  <si>
    <t>SECOND RB OF VALENZUELA (MM) INC</t>
  </si>
  <si>
    <t>SECURED BANK INC (A RB)</t>
  </si>
  <si>
    <t>SG BANK - A RURAL BANK INC</t>
  </si>
  <si>
    <t>SIARGAO BANK (A RURAL BANK) INC</t>
  </si>
  <si>
    <t>SILAHIS BANK INC (A RURAL BANK)</t>
  </si>
  <si>
    <t>SMART BANK (RURAL BANK) INC</t>
  </si>
  <si>
    <t>SOUTH BANK (A RURAL BANK) INC</t>
  </si>
  <si>
    <t>SOUTHEAST COUNTRY BANK INC (A RB)</t>
  </si>
  <si>
    <t>ST MICHAEL RB OF TARLAC (TARLAC)INC</t>
  </si>
  <si>
    <t>STA MARIA RURAL BANK INC</t>
  </si>
  <si>
    <t>STO NINO RURAL BANK(TERNATE CAV)INC</t>
  </si>
  <si>
    <t>SUGBUANON RB INC</t>
  </si>
  <si>
    <t>SUMMIT BANK (RB OF TUBLAY INC)</t>
  </si>
  <si>
    <t>SUMMIT RB OF LIPA CITY INC</t>
  </si>
  <si>
    <t>SUNRISE RURAL BANK (ROSARIO BAT)INC</t>
  </si>
  <si>
    <t>SURIGAO CITY EVERGREEN RB INC</t>
  </si>
  <si>
    <t>SURIGAONON RURAL BANKING CORP</t>
  </si>
  <si>
    <t>SYNERGY RURAL BANK INC</t>
  </si>
  <si>
    <t>TALISAY RURAL BANK INC</t>
  </si>
  <si>
    <t>TAMARAW RB INC</t>
  </si>
  <si>
    <t>TANAY RB INC</t>
  </si>
  <si>
    <t>THE RB OF STO DOMINGO (NE) INC</t>
  </si>
  <si>
    <t>TIAONG RB INC</t>
  </si>
  <si>
    <t>TOWNCALL RURAL BANK INC</t>
  </si>
  <si>
    <t>TURUMBA RB OF PAKIL INC</t>
  </si>
  <si>
    <t>UNILINK BANK INC ( A RB)</t>
  </si>
  <si>
    <t>UNITED CONSUMERS RB INC</t>
  </si>
  <si>
    <t>UNITED PEOPLE'S RB INC</t>
  </si>
  <si>
    <t>UNITY BANK (A RB) INC</t>
  </si>
  <si>
    <t>UNIVERSAL RB OF LOPEZ (QUEZON) INC</t>
  </si>
  <si>
    <t>UPLAND RB OF DALAGUETE(CEBU) INC</t>
  </si>
  <si>
    <t>UTILITY BANK INC (A RB)</t>
  </si>
  <si>
    <t>VALIANT BANK INC (A RURAL BANK)</t>
  </si>
  <si>
    <t>VIGAN BANCO RURAL INCORPORADA</t>
  </si>
  <si>
    <t>VISIONBANK INC A RURAL BANK</t>
  </si>
  <si>
    <t>VIZCAYA BANK A RURAL BANK INC</t>
  </si>
  <si>
    <t>WOMEN'S RURAL BANK INC</t>
  </si>
  <si>
    <t>XAVIER TIBOD BANK INC (A MFRB)</t>
  </si>
  <si>
    <t>XAVIER-PUNLA RURAL BANK INC</t>
  </si>
  <si>
    <t>ZAMBALES RURAL BANK INC</t>
  </si>
  <si>
    <t>ZAMBOANGA CITY RB INC</t>
  </si>
  <si>
    <t>BANCO COOPERATIVA DE ZAMBOANGA</t>
  </si>
  <si>
    <t>BATAAN COOPERATIVE BANK</t>
  </si>
  <si>
    <t>BUKIDNON COOPERATIVE BANK</t>
  </si>
  <si>
    <t>CAPIZ SETTLERS COOPERATIVE RB INC</t>
  </si>
  <si>
    <t>CONSOLIDATED COOPERATIVE BANK</t>
  </si>
  <si>
    <t>COOP BANK OF AGUSAN DEL SUR</t>
  </si>
  <si>
    <t>COOP BANK OF AGUSAN NORTE-BUTUAN CT</t>
  </si>
  <si>
    <t>COOP BANK OF AURORA</t>
  </si>
  <si>
    <r>
      <t xml:space="preserve">Adjusted Capital Charge For Interest Rate Exposures (C times 125%) </t>
    </r>
    <r>
      <rPr>
        <vertAlign val="superscript"/>
        <sz val="8"/>
        <rFont val="Arial"/>
        <family val="2"/>
      </rPr>
      <t>1/</t>
    </r>
  </si>
  <si>
    <t>996000000000821100</t>
  </si>
  <si>
    <r>
      <t>TOTAL RISK-WEIGHTED INTEREST RATE EXPOSURES (D x 10)</t>
    </r>
    <r>
      <rPr>
        <vertAlign val="superscript"/>
        <sz val="8"/>
        <rFont val="Arial"/>
        <family val="2"/>
      </rPr>
      <t xml:space="preserve"> 2/</t>
    </r>
  </si>
  <si>
    <t>Capital charge is multiplied by 125% to be consistent with BSP required minimum CAR of 10%, which is 25% higher than the Basel minimum of 8%.</t>
  </si>
  <si>
    <r>
      <t xml:space="preserve">Adjusted capital charge is multiplied by 10 </t>
    </r>
    <r>
      <rPr>
        <i/>
        <sz val="8"/>
        <rFont val="Arial"/>
        <family val="2"/>
      </rPr>
      <t>(i.e. the reciprocal of the minimum capital ratio of 10%) (to Part V, Item A.1)</t>
    </r>
  </si>
  <si>
    <r>
      <t xml:space="preserve">PART V.1a  INTEREST RATE EXPOSURES - SPECIFIC RISK </t>
    </r>
    <r>
      <rPr>
        <b/>
        <vertAlign val="superscript"/>
        <sz val="8"/>
        <rFont val="Arial"/>
        <family val="2"/>
      </rPr>
      <t xml:space="preserve">1/ </t>
    </r>
    <r>
      <rPr>
        <b/>
        <sz val="8"/>
        <rFont val="Arial"/>
        <family val="2"/>
      </rPr>
      <t>(Amounts in P0.000 million)</t>
    </r>
  </si>
  <si>
    <t>Positions</t>
  </si>
  <si>
    <t>Risk Weights</t>
  </si>
  <si>
    <t>0.00%</t>
  </si>
  <si>
    <t>Residual Maturity</t>
  </si>
  <si>
    <t>6 months or less</t>
  </si>
  <si>
    <t>over 6 months up to 24 months</t>
  </si>
  <si>
    <t>RB OF MEXICO INC</t>
  </si>
  <si>
    <t>RB OF MIAGAO (ILOILO) INC</t>
  </si>
  <si>
    <t>RB OF MIDSAYAP INC</t>
  </si>
  <si>
    <t>RB OF MONTALBAN INC</t>
  </si>
  <si>
    <t>RB OF MONTEVISTA (DAVAO DN) INC</t>
  </si>
  <si>
    <t>RB OF NABUNTURAN (DAVAO DN) INC</t>
  </si>
  <si>
    <t>RB OF NAGCARLAN INC</t>
  </si>
  <si>
    <t>RB OF NAIC INC</t>
  </si>
  <si>
    <t>RB OF NAVAL INC</t>
  </si>
  <si>
    <t>RB OF NEW WASHINGTON (AKLAN) INC</t>
  </si>
  <si>
    <t>RB OF NORALA (S COTABATO) INC</t>
  </si>
  <si>
    <t>RB OF OCAMPO (CAMARINES SUR) INC</t>
  </si>
  <si>
    <t>RB OF ODIONGAN INC</t>
  </si>
  <si>
    <t>RB OF OROQUIETA (MIS OCC) INC</t>
  </si>
  <si>
    <t>RB OF OSLOB (CEBU) INC</t>
  </si>
  <si>
    <t>RB OF OTON (ILOILO) INC</t>
  </si>
  <si>
    <t>RB OF PADRE BURGOS (SO LEYTE) INC</t>
  </si>
  <si>
    <t>RB OF PADRE GARCIA INC</t>
  </si>
  <si>
    <t>RB OF PAETE INC</t>
  </si>
  <si>
    <t>RB OF PAGADIAN INC</t>
  </si>
  <si>
    <t>RB OF PAGBILAO INC</t>
  </si>
  <si>
    <t>RB OF PAMPLONA (CAMARINES SUR) INC</t>
  </si>
  <si>
    <t>RB OF PAMPLONA(NEGROS OR) INC</t>
  </si>
  <si>
    <t>RB OF PANA-ON (MIS OCC) INC</t>
  </si>
  <si>
    <t>RB OF PANAY INC</t>
  </si>
  <si>
    <t>RB OF PANDI (BULACAN) INC</t>
  </si>
  <si>
    <t>RB OF PANGIL (LAGUNA) INC</t>
  </si>
  <si>
    <t>RB OF PARACALE(CAMARINES NORTE) INC</t>
  </si>
  <si>
    <t>RB OF PAVIA (ILOILO) INC</t>
  </si>
  <si>
    <t>RB OF PILAR (BATAAN) INC</t>
  </si>
  <si>
    <t>RB OF PILAR (SORSOGON) INC</t>
  </si>
  <si>
    <t>RB OF PINAMALAYAN INC</t>
  </si>
  <si>
    <t>RB OF PLACER (SURIGAO DEL NORTE)INC</t>
  </si>
  <si>
    <t>RB OF PLARIDEL (BULACAN) INC</t>
  </si>
  <si>
    <t>RB OF PLARIDEL (MISAMIS OCC) INC</t>
  </si>
  <si>
    <t>RB OF POLA (ORIENTAL MINDORO) INC</t>
  </si>
  <si>
    <t>RB OF POLOMOLOK(SOUTH COTABATO) INC</t>
  </si>
  <si>
    <t>RB OF PORAC (PAMPANGA) INC</t>
  </si>
  <si>
    <t>RB OF POTOTAN INC</t>
  </si>
  <si>
    <t>RB OF POZORRUBIO INC</t>
  </si>
  <si>
    <t>RB OF PRES MANUEL A ROXAS (Z DN)INC</t>
  </si>
  <si>
    <t>RB OF PRES QUIRINO (S KUDARAT) INC</t>
  </si>
  <si>
    <t>RB OF PUERTO GALERA (OR MINDORO)INC</t>
  </si>
  <si>
    <t>RB OF PURA INC</t>
  </si>
  <si>
    <t>RB OF QUEZON (NUEVA ECIJA) INC</t>
  </si>
  <si>
    <t>RB OF RAGAY (CAMARINES SUR) INC</t>
  </si>
  <si>
    <t>RB OF RAMON (ISABELA) INC</t>
  </si>
  <si>
    <t>RB OF REINA MERCEDES (ISABELA) INC</t>
  </si>
  <si>
    <t>RB OF RIZAL (KALINGA-APAYAO)INC</t>
  </si>
  <si>
    <t>RB OF RIZAL (LAGUNA) INC</t>
  </si>
  <si>
    <t>RB OF RIZAL (ZAMBOANGA DEL NORTE)</t>
  </si>
  <si>
    <t>RB OF ROSARIO (LA UNION) INC</t>
  </si>
  <si>
    <t>RB OF ROXAS (OR MINDORO) INC</t>
  </si>
  <si>
    <t>RB OF SAGADA(MOUNTAIN PROVINCE)INC</t>
  </si>
  <si>
    <t>RB OF SAGAY INC</t>
  </si>
  <si>
    <t>RB OF SALCEDO (ILOCOS SUR) INC</t>
  </si>
  <si>
    <t>RB OF SALINAS INC</t>
  </si>
  <si>
    <t>RB OF SALUG(ZAMBOANGA DEL NORTE)INC</t>
  </si>
  <si>
    <t>RB OF SAMPALOC (QUEZON) INC</t>
  </si>
  <si>
    <t>RB OF SAN AGUSTIN (ISABELA) INC</t>
  </si>
  <si>
    <t>RB OF SAN ANTONIO(QUEZON) INC</t>
  </si>
  <si>
    <t>RB OF SAN ENRIQUE (ILOILO) INC</t>
  </si>
  <si>
    <t>RB OF SAN FABIAN (PANGASINAN) INC</t>
  </si>
  <si>
    <t>RB OF SAN FERNANDO (C S), INC</t>
  </si>
  <si>
    <t>RB OF SAN FERNANDO (CEBU) INC</t>
  </si>
  <si>
    <t>RB OF SAN JACINTO (MASBATE) INC</t>
  </si>
  <si>
    <t>RB OF SAN JOSE (CAMARINES SUR) INC</t>
  </si>
  <si>
    <t>RB OF SAN JUAN (SO LEYTE) INC</t>
  </si>
  <si>
    <t>RB OF SAN LORENZO RUIZ (SINILOAN)</t>
  </si>
  <si>
    <t>RB OF SAN LUIS (BAT) INC</t>
  </si>
  <si>
    <t>RB OF SAN LUIS (PAMPANGA) INC</t>
  </si>
  <si>
    <t>RB OF SAN MANUEL (ISABELA) INC</t>
  </si>
  <si>
    <t>RB OF SAN MARCELINO INC</t>
  </si>
  <si>
    <t>RB OF SAN MATEO(ISABELA) INC</t>
  </si>
  <si>
    <t>RB OF SAN MIGUEL (ILOILO) INC</t>
  </si>
  <si>
    <t>RB OF SAN NARCISO INC</t>
  </si>
  <si>
    <t>RB OF SAN NICOLAS (PANGASINAN) INC</t>
  </si>
  <si>
    <t>RB OF SAN PASCUAL(OBANDO BUL) INC</t>
  </si>
  <si>
    <t>RB OF SAN QUINTIN INC</t>
  </si>
  <si>
    <t>RB OF SAN RAFAEL (BULACAN) INC</t>
  </si>
  <si>
    <t>RB OF SANCHEZ MIRA (CAGAYAN) INC</t>
  </si>
  <si>
    <t>RB OF SANTA FE (ROMBLON) INC</t>
  </si>
  <si>
    <t>RB OF SASMUAN (PAMPANGA) INC</t>
  </si>
  <si>
    <t>RB OF SEVEN LAKES (SAN PABLO) INC</t>
  </si>
  <si>
    <t>RB OF SIATON (SIATON NEGROS OR) INC</t>
  </si>
  <si>
    <t>RB OF SIBALOM (ANTIQUE) INC</t>
  </si>
  <si>
    <t>RB OF SIBULAN NEGROS ORIENTAL INC</t>
  </si>
  <si>
    <t xml:space="preserve">Debt securities in items A.1 to A.9 include cash positions as well as underlying of debt derivative contracts.  </t>
  </si>
  <si>
    <t>Interest rate and currency swaps, FRAs, forward foreign exchange contracts and interest rate futures will not be subject to specific risk charge.</t>
  </si>
  <si>
    <t>Including debt securities issued by GOCCs that are explicitly guaranteed by the National Government</t>
  </si>
  <si>
    <r>
      <t xml:space="preserve">PART V.1b CREDIT-LINKED NOTES (CLN) &amp; OTHER SIMILAR PRODUCTS IN THE TRADING BOOK - SPECIFIC RISK </t>
    </r>
    <r>
      <rPr>
        <sz val="8"/>
        <rFont val="Arial"/>
        <family val="2"/>
      </rPr>
      <t>(Amounts in P0.000 million)</t>
    </r>
  </si>
  <si>
    <t>Description of CLN</t>
  </si>
  <si>
    <r>
      <t>Risk Weight (RW)</t>
    </r>
    <r>
      <rPr>
        <vertAlign val="superscript"/>
        <sz val="8"/>
        <rFont val="Arial"/>
        <family val="2"/>
      </rPr>
      <t>1/</t>
    </r>
  </si>
  <si>
    <t>Fair Value    of CLN</t>
  </si>
  <si>
    <r>
      <t>Notional Amount of Reference Obligation</t>
    </r>
    <r>
      <rPr>
        <vertAlign val="superscript"/>
        <sz val="8"/>
        <rFont val="Arial"/>
        <family val="2"/>
      </rPr>
      <t>3/</t>
    </r>
  </si>
  <si>
    <t>Capital Charge for Issuer</t>
  </si>
  <si>
    <t>Capital Charge for Reference Obligation</t>
  </si>
  <si>
    <r>
      <t>Total</t>
    </r>
    <r>
      <rPr>
        <vertAlign val="superscript"/>
        <sz val="8"/>
        <rFont val="Arial"/>
        <family val="2"/>
      </rPr>
      <t>4/</t>
    </r>
  </si>
  <si>
    <r>
      <t>Issuer/</t>
    </r>
    <r>
      <rPr>
        <vertAlign val="superscript"/>
        <sz val="8"/>
        <rFont val="Arial"/>
        <family val="2"/>
      </rPr>
      <t xml:space="preserve"> </t>
    </r>
    <r>
      <rPr>
        <sz val="8"/>
        <rFont val="Arial"/>
        <family val="2"/>
      </rPr>
      <t>Investor</t>
    </r>
  </si>
  <si>
    <t>Sequence No.</t>
  </si>
  <si>
    <t>Maturity of CLN</t>
  </si>
  <si>
    <t>Maturity of Reference Obligation</t>
  </si>
  <si>
    <r>
      <t>Reference Obligation</t>
    </r>
    <r>
      <rPr>
        <vertAlign val="superscript"/>
        <sz val="8"/>
        <rFont val="Arial"/>
        <family val="2"/>
      </rPr>
      <t>2/</t>
    </r>
  </si>
  <si>
    <t>Issuer/ Collateral RW</t>
  </si>
  <si>
    <t>Reference Obligation RW</t>
  </si>
  <si>
    <t>9 = 5 x 7</t>
  </si>
  <si>
    <t>10 = 6 x 8</t>
  </si>
  <si>
    <t>11 = 9 + 10</t>
  </si>
  <si>
    <t>Protection Seller (long position)</t>
  </si>
  <si>
    <t>100220501005731000</t>
  </si>
  <si>
    <t>_as</t>
  </si>
  <si>
    <t>1.0</t>
  </si>
  <si>
    <t>6/</t>
  </si>
  <si>
    <t>1.1</t>
  </si>
  <si>
    <t>5/</t>
  </si>
  <si>
    <t>Protection Buyer (short position)</t>
  </si>
  <si>
    <t>100220501010732000</t>
  </si>
  <si>
    <t>_bs</t>
  </si>
  <si>
    <t>7/</t>
  </si>
  <si>
    <t>_b</t>
  </si>
  <si>
    <r>
      <t xml:space="preserve">TOTAL </t>
    </r>
    <r>
      <rPr>
        <vertAlign val="superscript"/>
        <sz val="8"/>
        <rFont val="Arial"/>
        <family val="2"/>
      </rPr>
      <t>8/</t>
    </r>
  </si>
  <si>
    <t>100220501000730000</t>
  </si>
  <si>
    <t>Risk weights as per Part V.1a</t>
  </si>
  <si>
    <t>There may be more than one reference obligation per issuer.  Add more lines where necessary.</t>
  </si>
  <si>
    <t>In cases where the notional amount of the reference obligation is more than the fair value of CLN, it should be capped at the fair value of the CLN.  When the contract is referenced to multiple obligations under proportionate structure, positions in the reference obligations should be reported according to their respective proportions in the contract.</t>
  </si>
  <si>
    <t>The total specific and general market risks capital charges of a CLN is capped at the fair value of the note multiplied by 80%.</t>
  </si>
  <si>
    <t xml:space="preserve">Also has a general market risk charge. </t>
  </si>
  <si>
    <r>
      <t xml:space="preserve">When CLN is referenced to multiple entities and the contract terminates and pays out on the </t>
    </r>
    <r>
      <rPr>
        <i/>
        <sz val="8"/>
        <rFont val="Arial"/>
        <family val="2"/>
      </rPr>
      <t>first-to-default in the basket,</t>
    </r>
    <r>
      <rPr>
        <sz val="8"/>
        <rFont val="Arial"/>
        <family val="2"/>
      </rPr>
      <t xml:space="preserve"> the protection seller should report the capital charge in each of the reference obligations in the basket.  However, when the contract terminates and pays out on the </t>
    </r>
    <r>
      <rPr>
        <i/>
        <sz val="8"/>
        <rFont val="Arial"/>
        <family val="2"/>
      </rPr>
      <t>n</t>
    </r>
    <r>
      <rPr>
        <i/>
        <vertAlign val="superscript"/>
        <sz val="8"/>
        <rFont val="Arial"/>
        <family val="2"/>
      </rPr>
      <t>th-</t>
    </r>
    <r>
      <rPr>
        <i/>
        <sz val="8"/>
        <rFont val="Arial"/>
        <family val="2"/>
      </rPr>
      <t>to-default in the basket</t>
    </r>
    <r>
      <rPr>
        <sz val="8"/>
        <rFont val="Arial"/>
        <family val="2"/>
      </rPr>
      <t>, the protection seller should follow the treatment above but exclude the n-1 reference obligations with the lowest specific risk charge.  In both cases, the protection seller should report a long position on the note issuer.</t>
    </r>
  </si>
  <si>
    <r>
      <t xml:space="preserve">The protection buyer in a </t>
    </r>
    <r>
      <rPr>
        <i/>
        <sz val="8"/>
        <rFont val="Arial"/>
        <family val="2"/>
      </rPr>
      <t>first-to-default</t>
    </r>
    <r>
      <rPr>
        <sz val="8"/>
        <rFont val="Arial"/>
        <family val="2"/>
      </rPr>
      <t xml:space="preserve"> transaction should report the capital charge in the reference obligation with the lowest specific risk charge.  In an </t>
    </r>
    <r>
      <rPr>
        <i/>
        <sz val="8"/>
        <rFont val="Arial"/>
        <family val="2"/>
      </rPr>
      <t>nth-to-default</t>
    </r>
    <r>
      <rPr>
        <sz val="8"/>
        <rFont val="Arial"/>
        <family val="2"/>
      </rPr>
      <t xml:space="preserve"> transaction, the protection buyer shall be allowed to report  a position in a reference obligation only if n-1 obligations in the reference basket have already defaulted.</t>
    </r>
  </si>
  <si>
    <t>8/</t>
  </si>
  <si>
    <r>
      <t>Sum of specific risk capital charges</t>
    </r>
    <r>
      <rPr>
        <i/>
        <sz val="8"/>
        <rFont val="Arial"/>
        <family val="2"/>
      </rPr>
      <t xml:space="preserve"> (long plus short positions)</t>
    </r>
    <r>
      <rPr>
        <sz val="8"/>
        <rFont val="Arial"/>
        <family val="2"/>
      </rPr>
      <t>.  (To Part V.1a)</t>
    </r>
  </si>
  <si>
    <r>
      <t xml:space="preserve">PART V.1c. CREDIT DEFAULT SWAPS (CDS) &amp; TOTAL RETURN SWAPS (TRS) IN THE TRADING BOOK - SPECIFIC RISK </t>
    </r>
    <r>
      <rPr>
        <sz val="8"/>
        <rFont val="Arial"/>
        <family val="2"/>
      </rPr>
      <t>(Amounts in P0.000 million)</t>
    </r>
  </si>
  <si>
    <t>Beneficiary/Guarantor</t>
  </si>
  <si>
    <t>Sequence Number</t>
  </si>
  <si>
    <r>
      <t>Reference Obligation</t>
    </r>
    <r>
      <rPr>
        <vertAlign val="superscript"/>
        <sz val="8"/>
        <rFont val="Arial"/>
        <family val="2"/>
      </rPr>
      <t>1/</t>
    </r>
  </si>
  <si>
    <t>Maturity of Swap</t>
  </si>
  <si>
    <r>
      <t>Risk Weight of Reference Obligation</t>
    </r>
    <r>
      <rPr>
        <vertAlign val="superscript"/>
        <sz val="8"/>
        <rFont val="Arial"/>
        <family val="2"/>
      </rPr>
      <t>2/</t>
    </r>
  </si>
  <si>
    <t>Capital Charges</t>
  </si>
  <si>
    <r>
      <t>Long Position</t>
    </r>
    <r>
      <rPr>
        <vertAlign val="superscript"/>
        <sz val="8"/>
        <rFont val="Arial"/>
        <family val="2"/>
      </rPr>
      <t>4/</t>
    </r>
  </si>
  <si>
    <r>
      <t>Short Position</t>
    </r>
    <r>
      <rPr>
        <vertAlign val="superscript"/>
        <sz val="8"/>
        <rFont val="Arial"/>
        <family val="2"/>
      </rPr>
      <t>5/</t>
    </r>
  </si>
  <si>
    <r>
      <t>Total</t>
    </r>
    <r>
      <rPr>
        <vertAlign val="superscript"/>
        <sz val="8"/>
        <rFont val="Arial"/>
        <family val="2"/>
      </rPr>
      <t>6/</t>
    </r>
  </si>
  <si>
    <t>7 = 5 x 6</t>
  </si>
  <si>
    <t>8 = 5 x 6</t>
  </si>
  <si>
    <t>Nature of Item</t>
  </si>
  <si>
    <t>Account Code</t>
  </si>
  <si>
    <t>Amount</t>
  </si>
  <si>
    <t xml:space="preserve">   A.  </t>
  </si>
  <si>
    <t xml:space="preserve">Calculation of Qualifying Capital </t>
  </si>
  <si>
    <t>A.1</t>
  </si>
  <si>
    <t>Net Tier 1 Capital</t>
  </si>
  <si>
    <t>395000000000710000</t>
  </si>
  <si>
    <t>A.2</t>
  </si>
  <si>
    <t>Net Tier 2 Capital</t>
  </si>
  <si>
    <t>395000000000720000</t>
  </si>
  <si>
    <t>A.3</t>
  </si>
  <si>
    <r>
      <t xml:space="preserve">Total Qualifying Capital </t>
    </r>
    <r>
      <rPr>
        <i/>
        <sz val="8"/>
        <rFont val="Arial"/>
        <family val="2"/>
      </rPr>
      <t>[Sum of A.1 and A.2]</t>
    </r>
  </si>
  <si>
    <t>395000000000700000</t>
  </si>
  <si>
    <t xml:space="preserve">   B.  </t>
  </si>
  <si>
    <t>Calculation of Risk-Weighted Assets</t>
  </si>
  <si>
    <t>B.1</t>
  </si>
  <si>
    <r>
      <t>Total Credit Risk-Weighted Assets [</t>
    </r>
    <r>
      <rPr>
        <i/>
        <sz val="8"/>
        <rFont val="Arial"/>
        <family val="2"/>
      </rPr>
      <t>B.1(d) minus B.1(h)</t>
    </r>
    <r>
      <rPr>
        <sz val="8"/>
        <rFont val="Arial"/>
        <family val="2"/>
      </rPr>
      <t>]</t>
    </r>
  </si>
  <si>
    <t>195931000000000000</t>
  </si>
  <si>
    <t>(a)</t>
  </si>
  <si>
    <t>Risk-Weighted On-Balance Sheet Assets</t>
  </si>
  <si>
    <t>100000000000811000</t>
  </si>
  <si>
    <t>(b)</t>
  </si>
  <si>
    <t>Risk-Weighted Off-Balance Sheet Assets</t>
  </si>
  <si>
    <t>400000000000812000</t>
  </si>
  <si>
    <t>(c)</t>
  </si>
  <si>
    <t>Counterparty Risk-Weighted Assets</t>
  </si>
  <si>
    <t>110100000000813000</t>
  </si>
  <si>
    <t>(d)</t>
  </si>
  <si>
    <r>
      <t>Total Credit Risk Weighted Assets [</t>
    </r>
    <r>
      <rPr>
        <i/>
        <sz val="8"/>
        <rFont val="Arial"/>
        <family val="2"/>
      </rPr>
      <t>Sum of B.1(a), B.1(b) and B.1(c)</t>
    </r>
    <r>
      <rPr>
        <sz val="8"/>
        <rFont val="Arial"/>
        <family val="2"/>
      </rPr>
      <t>]</t>
    </r>
  </si>
  <si>
    <t>100000000000810000</t>
  </si>
  <si>
    <t>(e)</t>
  </si>
  <si>
    <t>Deductions from Total Credit Risk-Weighted Assets</t>
  </si>
  <si>
    <t>(f)</t>
  </si>
  <si>
    <t>175150500000000000</t>
  </si>
  <si>
    <t>(g)</t>
  </si>
  <si>
    <t>Unbooked valuation reserves and other capital adjustments affecting asset accounts based on the latest report of examination as approved by the Monetary Board</t>
  </si>
  <si>
    <t>365052000000711000</t>
  </si>
  <si>
    <t>(h)</t>
  </si>
  <si>
    <r>
      <t>Total Deductions [</t>
    </r>
    <r>
      <rPr>
        <i/>
        <sz val="8"/>
        <rFont val="Arial"/>
        <family val="2"/>
      </rPr>
      <t>Sum of B.1(f) and B.1(g)</t>
    </r>
    <r>
      <rPr>
        <sz val="8"/>
        <rFont val="Arial"/>
        <family val="2"/>
      </rPr>
      <t>]</t>
    </r>
  </si>
  <si>
    <t>165000000000810000</t>
  </si>
  <si>
    <t>B.2</t>
  </si>
  <si>
    <t>Total Operational Risk-Weighted Assets</t>
  </si>
  <si>
    <t>195000000000830000</t>
  </si>
  <si>
    <t>B.3</t>
  </si>
  <si>
    <t>Total Market Risk-Weighted Assets</t>
  </si>
  <si>
    <t>100000000000820000</t>
  </si>
  <si>
    <t>B.4</t>
  </si>
  <si>
    <r>
      <t>Total Risk-Weighted Assets [</t>
    </r>
    <r>
      <rPr>
        <i/>
        <sz val="8"/>
        <rFont val="Arial"/>
        <family val="2"/>
      </rPr>
      <t>Sum of B.1, B.2 and B.3</t>
    </r>
    <r>
      <rPr>
        <sz val="8"/>
        <rFont val="Arial"/>
        <family val="2"/>
      </rPr>
      <t>]</t>
    </r>
  </si>
  <si>
    <t>100000000000800000</t>
  </si>
  <si>
    <t xml:space="preserve">   C.  </t>
  </si>
  <si>
    <r>
      <t>RISK-BASED CAPITAL ADEQUACY RATIO [</t>
    </r>
    <r>
      <rPr>
        <b/>
        <i/>
        <sz val="8"/>
        <rFont val="Arial"/>
        <family val="2"/>
      </rPr>
      <t>A.3 divided by B.4 multiply by 100</t>
    </r>
    <r>
      <rPr>
        <b/>
        <sz val="8"/>
        <rFont val="Arial"/>
        <family val="2"/>
      </rPr>
      <t>]</t>
    </r>
  </si>
  <si>
    <t>990000000000000000</t>
  </si>
  <si>
    <t>$$$</t>
  </si>
  <si>
    <r>
      <t xml:space="preserve">PART II.   QUALIFYING CAPITAL  </t>
    </r>
    <r>
      <rPr>
        <sz val="8"/>
        <rFont val="Arial"/>
        <family val="2"/>
      </rPr>
      <t xml:space="preserve">(Amounts in </t>
    </r>
    <r>
      <rPr>
        <strike/>
        <sz val="8"/>
        <rFont val="Arial"/>
        <family val="2"/>
      </rPr>
      <t>P</t>
    </r>
    <r>
      <rPr>
        <sz val="8"/>
        <rFont val="Arial"/>
        <family val="2"/>
      </rPr>
      <t>0.000 million)</t>
    </r>
  </si>
  <si>
    <r>
      <t xml:space="preserve">A.  </t>
    </r>
    <r>
      <rPr>
        <b/>
        <sz val="10"/>
        <color indexed="10"/>
        <rFont val="Arial"/>
        <family val="2"/>
      </rPr>
      <t/>
    </r>
  </si>
  <si>
    <t>Tier 1 (Core plus Hybrid) Capital</t>
  </si>
  <si>
    <t>Core Tier 1 Capital</t>
  </si>
  <si>
    <t>Paid up common stock</t>
  </si>
  <si>
    <t>305050000000000000</t>
  </si>
  <si>
    <t>Deposit for common stock subscription</t>
  </si>
  <si>
    <t>305250500000000000</t>
  </si>
  <si>
    <t>Paid-up perpetual and non-cumulative preferred stock</t>
  </si>
  <si>
    <t>305100000000000000</t>
  </si>
  <si>
    <t>Deposit for perpetual and non-cumulative preferred stock subscription</t>
  </si>
  <si>
    <t>305251000000000000</t>
  </si>
  <si>
    <t>Additional paid-in capital</t>
  </si>
  <si>
    <t>305200000000000000</t>
  </si>
  <si>
    <t>Retained earnings</t>
  </si>
  <si>
    <t>315000000000000000</t>
  </si>
  <si>
    <t xml:space="preserve">Undivided profits </t>
  </si>
  <si>
    <t>315150000000000000</t>
  </si>
  <si>
    <t>Net gains on fair value adjustment of hedging instruments in a cash flow hedge of available for sale equity securities</t>
  </si>
  <si>
    <t>320101000500000000</t>
  </si>
  <si>
    <t>Cumulative foreign currency translation</t>
  </si>
  <si>
    <t>320150000000000000</t>
  </si>
  <si>
    <r>
      <t xml:space="preserve">Minority interest in subsidiary financial allied undertakings (i.e., RBs and venture capital corporations (VCCs) for TBs, and RBs for Coop Banks) which are less than wholly-owned (for consolidated basis) </t>
    </r>
    <r>
      <rPr>
        <vertAlign val="superscript"/>
        <sz val="8"/>
        <rFont val="Arial"/>
        <family val="2"/>
      </rPr>
      <t>1/</t>
    </r>
  </si>
  <si>
    <t>325150000000000000</t>
  </si>
  <si>
    <r>
      <t xml:space="preserve">Sub-total </t>
    </r>
    <r>
      <rPr>
        <i/>
        <sz val="8"/>
        <rFont val="Arial"/>
        <family val="2"/>
      </rPr>
      <t>[Sum of A.1 (1) to A.1 (10)]</t>
    </r>
  </si>
  <si>
    <t>300000000000711000</t>
  </si>
  <si>
    <t>Deductions from Core Tier 1 Capital</t>
  </si>
  <si>
    <t>Common stock treasury shares (for consolidated basis)</t>
  </si>
  <si>
    <t>365050500000711000</t>
  </si>
  <si>
    <t>Perpetual and non-cumulative preferred stock treasury shares (for consolidated basis)</t>
  </si>
  <si>
    <t>365051000000711000</t>
  </si>
  <si>
    <t>Net unrealized losses on available for sale equity securities purchased</t>
  </si>
  <si>
    <t>365051500000711000</t>
  </si>
  <si>
    <t>Unbooked valuation reserves and other capital adjustments based on the latest ROE as approved by the Monetary Board</t>
  </si>
  <si>
    <t>Total outstanding unsecured credit accommodations, both direct and indirect, to DOSRI, net of allowance for credit losses</t>
  </si>
  <si>
    <t>365052500000711000</t>
  </si>
  <si>
    <t>Horizontal disallowance is a fraction of the smaller of the offsetting positions within and between zones, be it long or short (if there are any) as given in the table.</t>
  </si>
  <si>
    <t>To Part V.1, Item B (separate sheet for each currency).</t>
  </si>
  <si>
    <t>40%                           40%</t>
  </si>
  <si>
    <r>
      <t xml:space="preserve">PART V.1d.2   GENERAL MARKET RISK </t>
    </r>
    <r>
      <rPr>
        <sz val="8"/>
        <rFont val="Arial"/>
        <family val="2"/>
      </rPr>
      <t>(Amounts in P0.000 million)</t>
    </r>
  </si>
  <si>
    <t>Calculation</t>
  </si>
  <si>
    <r>
      <t xml:space="preserve">PART V.1d.3   GENERAL MARKET RISK </t>
    </r>
    <r>
      <rPr>
        <sz val="8"/>
        <rFont val="Arial"/>
        <family val="2"/>
      </rPr>
      <t>(Amounts in P0.000 million)</t>
    </r>
  </si>
  <si>
    <r>
      <t xml:space="preserve">PART V.1d.4   GENERAL MARKET RISK </t>
    </r>
    <r>
      <rPr>
        <sz val="8"/>
        <rFont val="Arial"/>
        <family val="2"/>
      </rPr>
      <t>(Amounts in P0.000 million)</t>
    </r>
  </si>
  <si>
    <r>
      <t xml:space="preserve">PART V.1d.5   GENERAL MARKET RISK </t>
    </r>
    <r>
      <rPr>
        <sz val="8"/>
        <rFont val="Arial"/>
        <family val="2"/>
      </rPr>
      <t>(Amounts in P0.000 million)</t>
    </r>
  </si>
  <si>
    <r>
      <t xml:space="preserve">PART V.1d.6   GENERAL MARKET RISK </t>
    </r>
    <r>
      <rPr>
        <sz val="8"/>
        <rFont val="Arial"/>
        <family val="2"/>
      </rPr>
      <t>(Amounts in P0.000 million)</t>
    </r>
  </si>
  <si>
    <r>
      <t xml:space="preserve">PART V.1d.7   GENERAL MARKET RISK </t>
    </r>
    <r>
      <rPr>
        <sz val="8"/>
        <rFont val="Arial"/>
        <family val="2"/>
      </rPr>
      <t>(Amounts in P0.000 million)</t>
    </r>
  </si>
  <si>
    <r>
      <t xml:space="preserve">PART V.1d.8   GENERAL MARKET RISK </t>
    </r>
    <r>
      <rPr>
        <sz val="8"/>
        <rFont val="Arial"/>
        <family val="2"/>
      </rPr>
      <t>(Amounts in P0.000 million)</t>
    </r>
  </si>
  <si>
    <r>
      <t xml:space="preserve">PART V.1d.9   GENERAL MARKET RISK </t>
    </r>
    <r>
      <rPr>
        <sz val="8"/>
        <rFont val="Arial"/>
        <family val="2"/>
      </rPr>
      <t>(Amounts in P0.000 million)</t>
    </r>
  </si>
  <si>
    <r>
      <t xml:space="preserve">Part V. 2. EQUITY EXPOSURES </t>
    </r>
    <r>
      <rPr>
        <sz val="8"/>
        <rFont val="Arial"/>
        <family val="2"/>
      </rPr>
      <t>(Amounts in P0.000 million)</t>
    </r>
  </si>
  <si>
    <t>Stock markets</t>
  </si>
  <si>
    <t>Outside Philippines 1/</t>
  </si>
  <si>
    <t>Philippines</t>
  </si>
  <si>
    <t>Common stocks</t>
  </si>
  <si>
    <t>100221000500731000</t>
  </si>
  <si>
    <t>100221000500732000</t>
  </si>
  <si>
    <t>Convertible securities (i.e. including debt securities that are convertible to common stock of the issuer which trade like equities)</t>
  </si>
  <si>
    <t>100221001000731000</t>
  </si>
  <si>
    <t>100221001000732000</t>
  </si>
  <si>
    <t>Commitments to buy or sell equities</t>
  </si>
  <si>
    <t>100221001500731000</t>
  </si>
  <si>
    <t>100221001500732000</t>
  </si>
  <si>
    <r>
      <t xml:space="preserve">Equity swaps </t>
    </r>
    <r>
      <rPr>
        <vertAlign val="superscript"/>
        <sz val="8"/>
        <rFont val="Arial"/>
        <family val="2"/>
      </rPr>
      <t>2/</t>
    </r>
  </si>
  <si>
    <t>100221002000731000</t>
  </si>
  <si>
    <t>100221002000732000</t>
  </si>
  <si>
    <t>Futures relating to equity indices</t>
  </si>
  <si>
    <t>100221002500731000</t>
  </si>
  <si>
    <t>100221002500732000</t>
  </si>
  <si>
    <t>Futures relating to individual equities</t>
  </si>
  <si>
    <t>100221003000731000</t>
  </si>
  <si>
    <t>100221003000732000</t>
  </si>
  <si>
    <r>
      <t xml:space="preserve">Options relating to equity indices </t>
    </r>
    <r>
      <rPr>
        <vertAlign val="superscript"/>
        <sz val="8"/>
        <rFont val="Arial"/>
        <family val="2"/>
      </rPr>
      <t>3/</t>
    </r>
  </si>
  <si>
    <t>100221003500731000</t>
  </si>
  <si>
    <t>100221003500732000</t>
  </si>
  <si>
    <r>
      <t xml:space="preserve">Options relating to individual equities </t>
    </r>
    <r>
      <rPr>
        <vertAlign val="superscript"/>
        <sz val="8"/>
        <rFont val="Arial"/>
        <family val="2"/>
      </rPr>
      <t>3/</t>
    </r>
  </si>
  <si>
    <t>100221004000731000</t>
  </si>
  <si>
    <t>100221004000732000</t>
  </si>
  <si>
    <t>100221004500731000</t>
  </si>
  <si>
    <t>100221004500732000</t>
  </si>
  <si>
    <t>TOTAL (Sum of A.1 to A.9)</t>
  </si>
  <si>
    <t>100221000000731000</t>
  </si>
  <si>
    <t>100221000000732000</t>
  </si>
  <si>
    <t>Gross (long plus short) positions (A.10)</t>
  </si>
  <si>
    <t>100221000000730000</t>
  </si>
  <si>
    <t>Specific risk capital charges (B. times C.)</t>
  </si>
  <si>
    <t>990221000000821210</t>
  </si>
  <si>
    <t>Net long or short position</t>
  </si>
  <si>
    <t>195221000000730000</t>
  </si>
  <si>
    <t>General market risk capital charges (E. times F.)</t>
  </si>
  <si>
    <t>990221000000821220</t>
  </si>
  <si>
    <t>H.</t>
  </si>
  <si>
    <t>Total Capital Charge For Equity Exposures (sum of D. and G.)</t>
  </si>
  <si>
    <t>990221000000821200</t>
  </si>
  <si>
    <t>I.</t>
  </si>
  <si>
    <r>
      <t xml:space="preserve">Adjusted Capital Charge For Equity Exposures (H. times 125%) </t>
    </r>
    <r>
      <rPr>
        <vertAlign val="superscript"/>
        <sz val="8"/>
        <rFont val="Arial"/>
        <family val="2"/>
      </rPr>
      <t>4/</t>
    </r>
  </si>
  <si>
    <t>996221000000821200</t>
  </si>
  <si>
    <t>J.</t>
  </si>
  <si>
    <r>
      <t xml:space="preserve">TOTAL RISK-WEIGHTED EQUITY EXPOSURES (I x 10) </t>
    </r>
    <r>
      <rPr>
        <vertAlign val="superscript"/>
        <sz val="8"/>
        <rFont val="Arial"/>
        <family val="2"/>
      </rPr>
      <t>5/</t>
    </r>
  </si>
  <si>
    <t>Report positions on a market-by-market basis, i.e., separate columns for each national market, use separate sheet if columns are not adequate.</t>
  </si>
  <si>
    <t>For equity swaps that pay or receive a fixed or floating interest rate against an equity or stock index, the interest rate component should be slotted in the general market risk matrix, with the equity component being included in item 4 above.</t>
  </si>
  <si>
    <r>
      <t xml:space="preserve">Adjusted capital charge is multiplied by 10 </t>
    </r>
    <r>
      <rPr>
        <i/>
        <sz val="8"/>
        <rFont val="Arial"/>
        <family val="2"/>
      </rPr>
      <t>(i.e. the reciprocal of the minimum capital ratio of 10%) (to Part V, Item A.2)</t>
    </r>
  </si>
  <si>
    <r>
      <t>Part V. 3 FOREIGN EXCHANGE EXPOSURES</t>
    </r>
    <r>
      <rPr>
        <sz val="8"/>
        <rFont val="Arial"/>
        <family val="2"/>
      </rPr>
      <t xml:space="preserve"> </t>
    </r>
  </si>
  <si>
    <t>Closing Rate USD/PHP:</t>
  </si>
  <si>
    <t>In Million USD Equivalent</t>
  </si>
  <si>
    <t>In Million Pesos</t>
  </si>
  <si>
    <t>Net Long/(Short) Position                 (excluding options)</t>
  </si>
  <si>
    <t>Net Delta-Weighted  Positions of FX Options Contracts</t>
  </si>
  <si>
    <t>Total Net Long/(Short) Positions</t>
  </si>
  <si>
    <r>
      <t xml:space="preserve">Total Net Long/(Short) Position </t>
    </r>
    <r>
      <rPr>
        <vertAlign val="superscript"/>
        <sz val="8"/>
        <rFont val="Arial"/>
        <family val="2"/>
      </rPr>
      <t>2/</t>
    </r>
  </si>
  <si>
    <t>Banks</t>
  </si>
  <si>
    <r>
      <t>Subsidiaries/
Affiliates</t>
    </r>
    <r>
      <rPr>
        <vertAlign val="superscript"/>
        <sz val="8"/>
        <rFont val="Arial"/>
        <family val="2"/>
      </rPr>
      <t>1/</t>
    </r>
  </si>
  <si>
    <t>4=1+2+3</t>
  </si>
  <si>
    <t>5</t>
  </si>
  <si>
    <t>195221501000730000</t>
  </si>
  <si>
    <t>195221501500730000</t>
  </si>
  <si>
    <t>195221502000730000</t>
  </si>
  <si>
    <t>195221502500730000</t>
  </si>
  <si>
    <t>Euro</t>
  </si>
  <si>
    <t>195221503000730000</t>
  </si>
  <si>
    <t>195221503500730000</t>
  </si>
  <si>
    <t>195221504000730000</t>
  </si>
  <si>
    <t>195221504500730000</t>
  </si>
  <si>
    <t>195221509000730000</t>
  </si>
  <si>
    <t>Sum of net long positions</t>
  </si>
  <si>
    <t>195221500000731000</t>
  </si>
  <si>
    <t>A.11</t>
  </si>
  <si>
    <t>Sum of net short positions</t>
  </si>
  <si>
    <t>195221500000732000</t>
  </si>
  <si>
    <r>
      <t xml:space="preserve">Overall net open positions </t>
    </r>
    <r>
      <rPr>
        <vertAlign val="superscript"/>
        <sz val="8"/>
        <rFont val="Arial"/>
        <family val="2"/>
      </rPr>
      <t>3/</t>
    </r>
  </si>
  <si>
    <t>195221500000730000</t>
  </si>
  <si>
    <t>Total Capital Charge For Foreign Exchange Exposures (B. times C.)</t>
  </si>
  <si>
    <t>990000000000821300</t>
  </si>
  <si>
    <t>Unsecured subordinated debt with a minimum original maturity of at least 5 years (subject to a cumulative discount factor of 20% per year during the last 5 years to maturity, i.e., 20% if the remaining life is 4 years to less than 5 years, 40% if the remaining life is 3 years to less than 4 years, etc.)</t>
  </si>
  <si>
    <t>295202002000000000</t>
  </si>
  <si>
    <r>
      <t xml:space="preserve">Sub-total </t>
    </r>
    <r>
      <rPr>
        <i/>
        <sz val="8"/>
        <rFont val="Arial"/>
        <family val="2"/>
      </rPr>
      <t>[Sum of B.4 (1) to B.4 (3)]</t>
    </r>
  </si>
  <si>
    <t>300000000000722000</t>
  </si>
  <si>
    <t>B.5</t>
  </si>
  <si>
    <t>Deductions from Lower Tier 2</t>
  </si>
  <si>
    <t>Limited life redeemable preferred stock treasury shares without the replacement requirement upon redemption (for consolidated basis)</t>
  </si>
  <si>
    <t>365150500000722000</t>
  </si>
  <si>
    <t>Sinking fund for redemption of limited life redeemable preferred stock without the replacement requirement upon redemption (limited to the balance of redeemable preferred stock after applying the cumulative discount factor)</t>
  </si>
  <si>
    <t>365151000000722000</t>
  </si>
  <si>
    <r>
      <t xml:space="preserve">Total Deductions
</t>
    </r>
    <r>
      <rPr>
        <i/>
        <sz val="8"/>
        <rFont val="Arial"/>
        <family val="2"/>
      </rPr>
      <t>[Sum of B.5 (1) and B.5 (2)]</t>
    </r>
  </si>
  <si>
    <t>365150000000722000</t>
  </si>
  <si>
    <t>B.6</t>
  </si>
  <si>
    <r>
      <t xml:space="preserve">Total Lower Tier 2 Capital </t>
    </r>
    <r>
      <rPr>
        <i/>
        <sz val="8"/>
        <rFont val="Arial"/>
        <family val="2"/>
      </rPr>
      <t>[B.4 (4) minus B.5 (3)]</t>
    </r>
    <r>
      <rPr>
        <b/>
        <sz val="8"/>
        <rFont val="Arial"/>
        <family val="2"/>
      </rPr>
      <t xml:space="preserve">
</t>
    </r>
  </si>
  <si>
    <t>395000000000722000</t>
  </si>
  <si>
    <t>B.7</t>
  </si>
  <si>
    <r>
      <t xml:space="preserve">Eligible Amount of Lower Tier 2 Capital </t>
    </r>
    <r>
      <rPr>
        <i/>
        <sz val="8"/>
        <rFont val="Arial"/>
        <family val="2"/>
      </rPr>
      <t>(limited to 50% of total Tier 1 capital per Item A.5)</t>
    </r>
  </si>
  <si>
    <t>396000000000722000</t>
  </si>
  <si>
    <t>B.8</t>
  </si>
  <si>
    <r>
      <t xml:space="preserve">Total Tier 2 Capital </t>
    </r>
    <r>
      <rPr>
        <i/>
        <sz val="8"/>
        <rFont val="Arial"/>
        <family val="2"/>
      </rPr>
      <t>[Sum of B.3 and B.7]</t>
    </r>
  </si>
  <si>
    <t>300000000000720000</t>
  </si>
  <si>
    <t>B.9</t>
  </si>
  <si>
    <r>
      <t xml:space="preserve">Eligible Amount of Tier 2 Capital </t>
    </r>
    <r>
      <rPr>
        <i/>
        <sz val="8"/>
        <rFont val="Arial"/>
        <family val="2"/>
      </rPr>
      <t>(limited to 100% of total Tier 1 capital per Item A.5)</t>
    </r>
  </si>
  <si>
    <t>396000000000720000</t>
  </si>
  <si>
    <t xml:space="preserve">C.  </t>
  </si>
  <si>
    <r>
      <t xml:space="preserve">Gross Qualifying Capital
</t>
    </r>
    <r>
      <rPr>
        <i/>
        <sz val="8"/>
        <rFont val="Arial"/>
        <family val="2"/>
      </rPr>
      <t>(Sum of A.5 and B.9)</t>
    </r>
  </si>
  <si>
    <t>396000000000700000</t>
  </si>
  <si>
    <r>
      <t xml:space="preserve">Total Tier 1 Capital </t>
    </r>
    <r>
      <rPr>
        <i/>
        <sz val="8"/>
        <rFont val="Arial"/>
        <family val="2"/>
      </rPr>
      <t>(Item A.5)</t>
    </r>
  </si>
  <si>
    <t>300000000000710001</t>
  </si>
  <si>
    <r>
      <t xml:space="preserve">Total Tier 2 Capital </t>
    </r>
    <r>
      <rPr>
        <i/>
        <sz val="8"/>
        <rFont val="Arial"/>
        <family val="2"/>
      </rPr>
      <t>(Item B.9)</t>
    </r>
  </si>
  <si>
    <t>396000000000720001</t>
  </si>
  <si>
    <t xml:space="preserve">D.  </t>
  </si>
  <si>
    <t>Deductions from Tier 1 and Tier 2 Capital</t>
  </si>
  <si>
    <t>Investments in equity of unconsolidated subsidiary RBs and VCCs for TBs, and RBs for Coop Banks after deducting related goodwill, if any (for solo basis)</t>
  </si>
  <si>
    <t>365200500000700000</t>
  </si>
  <si>
    <t>Investments in other regulatory capital instruments of unconsolidated subsidiary RBs for Coop Banks (for solo basis)</t>
  </si>
  <si>
    <t>365201000000700000</t>
  </si>
  <si>
    <t>Investments in equity of unconsolidated subsidiary non-financial allied undertakings after deducting related goodwill, if any (for both solo and consolidated bases)</t>
  </si>
  <si>
    <t>365201500000700000</t>
  </si>
  <si>
    <t>Significant minority investments (20%-50% of voting stock) in banks and other financial allied undertakings (for both solo and consolidated bases)</t>
  </si>
  <si>
    <t>365202000000700000</t>
  </si>
  <si>
    <t>Reciprocal investments in equity/other regulatory capital instruments of other banks/quasi-banks/enterprises</t>
  </si>
  <si>
    <t>365202500000700000</t>
  </si>
  <si>
    <r>
      <t xml:space="preserve">Total Deductions </t>
    </r>
    <r>
      <rPr>
        <i/>
        <sz val="8"/>
        <rFont val="Arial"/>
        <family val="2"/>
      </rPr>
      <t>[Sum of D (1) to D (5)]</t>
    </r>
  </si>
  <si>
    <t>365200000000700000</t>
  </si>
  <si>
    <t>E.</t>
  </si>
  <si>
    <t xml:space="preserve">Net Tier 1 and Tier 2 Capital </t>
  </si>
  <si>
    <t>E.1</t>
  </si>
  <si>
    <r>
      <t xml:space="preserve">Net Tier 1 Capital </t>
    </r>
    <r>
      <rPr>
        <vertAlign val="superscript"/>
        <sz val="8"/>
        <rFont val="Arial"/>
        <family val="2"/>
      </rPr>
      <t>4/</t>
    </r>
    <r>
      <rPr>
        <sz val="8"/>
        <rFont val="Arial"/>
        <family val="2"/>
      </rPr>
      <t xml:space="preserve"> </t>
    </r>
    <r>
      <rPr>
        <i/>
        <sz val="8"/>
        <rFont val="Arial"/>
        <family val="2"/>
      </rPr>
      <t>{C (1) minus [D (6) multiply by 50%]}</t>
    </r>
  </si>
  <si>
    <t>E.2</t>
  </si>
  <si>
    <r>
      <t xml:space="preserve">Net Tier 2 Capital </t>
    </r>
    <r>
      <rPr>
        <vertAlign val="superscript"/>
        <sz val="8"/>
        <rFont val="Arial"/>
        <family val="2"/>
      </rPr>
      <t>4/</t>
    </r>
    <r>
      <rPr>
        <sz val="8"/>
        <rFont val="Arial"/>
        <family val="2"/>
      </rPr>
      <t xml:space="preserve"> </t>
    </r>
    <r>
      <rPr>
        <i/>
        <sz val="8"/>
        <rFont val="Arial"/>
        <family val="2"/>
      </rPr>
      <t>{C (2) minus [D (6) multiply by 50%]}</t>
    </r>
  </si>
  <si>
    <t>F.</t>
  </si>
  <si>
    <r>
      <t>Total Qualifying Capital</t>
    </r>
    <r>
      <rPr>
        <sz val="8"/>
        <rFont val="Arial"/>
        <family val="2"/>
      </rPr>
      <t xml:space="preserve"> </t>
    </r>
    <r>
      <rPr>
        <i/>
        <sz val="8"/>
        <rFont val="Arial"/>
        <family val="2"/>
      </rPr>
      <t>[C minus D (6)]</t>
    </r>
  </si>
  <si>
    <t>1/</t>
  </si>
  <si>
    <t>Provided that a bank shall not use minority interests in the equity accounts of consolidated subsidiaries as an avenue for introducing into its capital structure elements that might not otherwise qualify as Tier 1 capital or that would, in effect, result in an excessive reliance on preferred stock within Tier 1.</t>
  </si>
  <si>
    <t>2/</t>
  </si>
  <si>
    <t>Provided that the conditions to offset under PAS 12 are met and that any excess of deferred tax liability over deferred tax assets (i.e., net deferred tax liability) shall not be added to Tier 1 capital.</t>
  </si>
  <si>
    <t>3/</t>
  </si>
  <si>
    <t>This shall include those relating to unconsolidated subsidiary RBs and VCCs for TBs, and RBs for Coop Banks (on solo basis) and unconsolidated non-financial allied undertakings (on solo and consolidated bases).</t>
  </si>
  <si>
    <t>4/</t>
  </si>
  <si>
    <t>The amount to be deducted from Tier 2 capital shall be limited to its balance and any excess thereof shall be deducted from Tier 1 capital.</t>
  </si>
  <si>
    <r>
      <t xml:space="preserve">PART III.1.   RISK-WEIGHTED ON-BALANCE SHEET ASSETS </t>
    </r>
    <r>
      <rPr>
        <sz val="8"/>
        <rFont val="Arial"/>
        <family val="2"/>
      </rPr>
      <t xml:space="preserve">(Amounts in </t>
    </r>
    <r>
      <rPr>
        <strike/>
        <sz val="8"/>
        <rFont val="Arial"/>
        <family val="2"/>
      </rPr>
      <t>P</t>
    </r>
    <r>
      <rPr>
        <sz val="8"/>
        <rFont val="Arial"/>
        <family val="2"/>
      </rPr>
      <t>0.000 million)</t>
    </r>
  </si>
  <si>
    <t xml:space="preserve">Item            </t>
  </si>
  <si>
    <r>
      <t xml:space="preserve">Net Carrying Amount </t>
    </r>
    <r>
      <rPr>
        <vertAlign val="superscript"/>
        <sz val="8"/>
        <rFont val="Arial"/>
        <family val="2"/>
      </rPr>
      <t>1/</t>
    </r>
  </si>
  <si>
    <t>Risk    Weight         (in %)</t>
  </si>
  <si>
    <t>Risk Weighted Amount</t>
  </si>
  <si>
    <t>(1)</t>
  </si>
  <si>
    <t>(2)</t>
  </si>
  <si>
    <t>(3) = (1) * (2)</t>
  </si>
  <si>
    <t xml:space="preserve">   A.    </t>
  </si>
  <si>
    <t>0% Risk Weight –</t>
  </si>
  <si>
    <t>AMA RURAL BANK OF MANDALUYONG INC</t>
  </si>
  <si>
    <t>ANILAO BANK (RB ANILAO (ILOILO) INC</t>
  </si>
  <si>
    <t>ASIAN CONSUMERS BANK INC - A RB</t>
  </si>
  <si>
    <t>ASPAC RURAL BANK INC</t>
  </si>
  <si>
    <t>AURORABANK (A MF-ORIENTED RB) INC</t>
  </si>
  <si>
    <t>BACLARAN RB INC</t>
  </si>
  <si>
    <t>BAGONG BANGKO RURAL NG MALABANG (LS</t>
  </si>
  <si>
    <t>BALANGA RURAL BANK, INC.</t>
  </si>
  <si>
    <t>BALIUAG RB INC</t>
  </si>
  <si>
    <t>BANCO ALABANG INC (A RURAL BANK)</t>
  </si>
  <si>
    <t>BANCO BAKUN INC (A RURAL BANK)</t>
  </si>
  <si>
    <t>BANCO CARMONA INC A RURAL BANK</t>
  </si>
  <si>
    <t>BANCO DE AREVALO INC (A RURAL BANK)</t>
  </si>
  <si>
    <t>BANCO DE MINDORO INC (A RURAL BANK)</t>
  </si>
  <si>
    <t>BANCO DIPOLOG INC A RURAL BANK</t>
  </si>
  <si>
    <t>BANCO LAGUNA INC (A RB SINCE 1965)</t>
  </si>
  <si>
    <t>BANCO MAXIMO INC (A RURAL BANK)</t>
  </si>
  <si>
    <t>BANCO RURAL DE GEN TINIO (BRGT) INC</t>
  </si>
  <si>
    <t>BANCO RURAL DE ISLA CORDOVA (CEBU)</t>
  </si>
  <si>
    <t>BANCO SAN VICENTE INC (A RB)</t>
  </si>
  <si>
    <t>BANCO SANTIAGO DE LIBON INC</t>
  </si>
  <si>
    <t>BANCO SUAL (A RURAL BANK) INC</t>
  </si>
  <si>
    <t>BANGKO BUENA CONSOLIDATED INC(A RB)</t>
  </si>
  <si>
    <t>BANGKO CARRASCAL INC (A RB)</t>
  </si>
  <si>
    <t>BANGKO KABAYAN (A RURAL BANK) INC</t>
  </si>
  <si>
    <t>BANGKO MAGSAYSAY (ISABELA) INC-A RB</t>
  </si>
  <si>
    <t>BANGKO NUESTRA SRA DEL PILAR INC</t>
  </si>
  <si>
    <t>BANGKO PANGASINAN-A RB INC</t>
  </si>
  <si>
    <t>BANGKO PASIG(RURAL BANK)</t>
  </si>
  <si>
    <t>BANGKO RURAL NG MAGARAO(CAM SUR)INC</t>
  </si>
  <si>
    <t>BANGKO RURAL NG PASACAO(CAM SUR)INC</t>
  </si>
  <si>
    <t>BANGKO RURAL NG SAN TEODORO, INC</t>
  </si>
  <si>
    <t>BANGKO RURAL NG TAGOLOAN (MIS OR)</t>
  </si>
  <si>
    <t>BANK OF FLORIDA INC (A RB)</t>
  </si>
  <si>
    <t>BANK OF LUBAO (A RURAL BANK) INC</t>
  </si>
  <si>
    <t>BANK OF MAKATI (A RURAL BANK) INC</t>
  </si>
  <si>
    <t>BANK OF ORMOC INC (A RURAL BANK)</t>
  </si>
  <si>
    <t>BANKO ZAMBALENO INC (BZI) (A RB)</t>
  </si>
  <si>
    <t>BANNAWAG BANK INC (A RURAL BANK)</t>
  </si>
  <si>
    <t>BATANGAS RB FOR COOP INC</t>
  </si>
  <si>
    <t>BAYBANK INC (A RURAL BANK)</t>
  </si>
  <si>
    <t>BENGUET CENTER BANK INC A RB</t>
  </si>
  <si>
    <t>BHF RURAL BANK INC</t>
  </si>
  <si>
    <t>BINAN RURAL BANK INC</t>
  </si>
  <si>
    <t>BINANGONAN RB INC</t>
  </si>
  <si>
    <t>BOLBOK RB INC</t>
  </si>
  <si>
    <t>BRIDGEWAY RURAL BANKING CORPORATION</t>
  </si>
  <si>
    <t>BUKIDNON BANK INC (A RURAL BANK)</t>
  </si>
  <si>
    <t>BUTUAN CITY RB INC</t>
  </si>
  <si>
    <t>CABANATUAN CITY RB INC</t>
  </si>
  <si>
    <t>CAGSAWA RURAL BANK INC</t>
  </si>
  <si>
    <t>CAMILING RB INC</t>
  </si>
  <si>
    <t>CANTILAN BANK INC (A RURAL BANK)</t>
  </si>
  <si>
    <t>CARD BANK INC (A MF RB)</t>
  </si>
  <si>
    <t>CARITAS BANCO NG MASA INC (A MFRB)</t>
  </si>
  <si>
    <t>CAVITE RURAL BANKING CORP</t>
  </si>
  <si>
    <t>CAVITE UNITED RURAL BANK CORP</t>
  </si>
  <si>
    <t>CEBUANA LHUILLIER RB INC</t>
  </si>
  <si>
    <t>CENTURY RURAL BANK INC</t>
  </si>
  <si>
    <t>CITIZEN'S RB(CABIAO) INC</t>
  </si>
  <si>
    <t>CLASSIC RURAL BANK INC</t>
  </si>
  <si>
    <t>COMMON WEALTH RB INC</t>
  </si>
  <si>
    <t>COMMTY RB OF CATMON (CEBU) INC</t>
  </si>
  <si>
    <t>COMMTY RB OF CLARIN (MIS OCC) INC</t>
  </si>
  <si>
    <t>COMMTY RB OF DAPITAN CITY INC</t>
  </si>
  <si>
    <t>COMMTY RB OF DINGRAS (ILOCOS NO)INC</t>
  </si>
  <si>
    <t>COMMTY RB OF MAGALLON (MP NO) INC</t>
  </si>
  <si>
    <t>COMMTY RB OF MAGSAYSAY (DVO DS) INC</t>
  </si>
  <si>
    <t>COMMTY RB OF MEDELLIN (CEBU) INC</t>
  </si>
  <si>
    <t>COMMTY RB OF ROMBLON (ROMBLON) INC</t>
  </si>
  <si>
    <t>COMMTY RB OF SAN FELIPE (ZAMB) INC</t>
  </si>
  <si>
    <t>COMMTY RB OF SAN GABRIEL (LU) INC</t>
  </si>
  <si>
    <t>COMMUNITY BANK (RB OF ALFONSO INC)</t>
  </si>
  <si>
    <t>CORDILLERA BANK INC (A RURAL BANK)</t>
  </si>
  <si>
    <t>COUNTRY BUILDERS BANK INC (A RB)</t>
  </si>
  <si>
    <t>COUNTRYSIDE RB OF PALAUIG(ZAMBALES)</t>
  </si>
  <si>
    <t>CROWN BANK, INC (A RB)</t>
  </si>
  <si>
    <t>CSFIRST BANK INC - A RURAL BANK</t>
  </si>
  <si>
    <t>CUYAPO RB INC</t>
  </si>
  <si>
    <t>D' ASIAN HILLS BANK INC (A RB)</t>
  </si>
  <si>
    <t>DE LA O RURAL BANK INC</t>
  </si>
  <si>
    <t>DIAMOND RURAL BANK INC</t>
  </si>
  <si>
    <t>DUMAGUETE RB INC</t>
  </si>
  <si>
    <t>EAST COAST RB OF HAGONOY INC</t>
  </si>
  <si>
    <t>EASTERN RIZAL (JALAJALA) RURAL BANK</t>
  </si>
  <si>
    <t>EMERALD RURAL BANK INC</t>
  </si>
  <si>
    <t>EMPIRE RURAL BANK INC</t>
  </si>
  <si>
    <t>ENTERPRISE CAPITAL BANK INC(TAG RB)</t>
  </si>
  <si>
    <t>ENTREPRENUER RB INC</t>
  </si>
  <si>
    <t>FAR EASTERN BANK (A RURAL BANK) INC</t>
  </si>
  <si>
    <t>FARM BANK INC (A RURAL BANK)</t>
  </si>
  <si>
    <t>FARMERS RB INC</t>
  </si>
  <si>
    <t>FIL-AGRO RURAL BANK INC</t>
  </si>
  <si>
    <t>FILIDIAN RURAL BANK OF ANTIPOLO INC</t>
  </si>
  <si>
    <t>FILIPINO SAVERS BANK INC (A RB)</t>
  </si>
  <si>
    <t>FIRST AGRO-INDUSTRIAL RB INC</t>
  </si>
  <si>
    <t>Loans to small farmer and fisherfolk engaged in palay and/or food production projects/activities to the extent guaranteed by the Agricultural Guarantee Fund Pool (AGFP) subject to the conditions enumerated in Circular No. 713 dated 14 February 2011</t>
  </si>
  <si>
    <t>140150019000600000</t>
  </si>
  <si>
    <t>Sub-total [Sum of B (1) to B (9)]</t>
  </si>
  <si>
    <t>100000000000811200</t>
  </si>
  <si>
    <t>20</t>
  </si>
  <si>
    <t xml:space="preserve">   C.    </t>
  </si>
  <si>
    <t>50% Risk Weight -</t>
  </si>
  <si>
    <t>Loans to individuals for housing purpose, fully secured by first mortgage on residential property that is or will be occupied by the borrower, which are not classified as non-performing</t>
  </si>
  <si>
    <t>140150004000100000</t>
  </si>
  <si>
    <t>50</t>
  </si>
  <si>
    <t xml:space="preserve">   D.    </t>
  </si>
  <si>
    <t>75% Risk Weight –</t>
  </si>
  <si>
    <t>Qualified micro, small and medium enterprise (MSME) loan portfolio</t>
  </si>
  <si>
    <t>140180500000000000</t>
  </si>
  <si>
    <t>75</t>
  </si>
  <si>
    <t xml:space="preserve">   E.    </t>
  </si>
  <si>
    <t>100% Risk Weight –</t>
  </si>
  <si>
    <t>Year 2012</t>
  </si>
  <si>
    <t>Year 2013</t>
  </si>
  <si>
    <t>Year 2014 onwards</t>
  </si>
  <si>
    <t>108104501500000000</t>
  </si>
  <si>
    <t>100</t>
  </si>
  <si>
    <t>Non-performing loans to individuals for housing purpose, fully secured by first mortgage on residential property that is or will be occupied by the borrower.</t>
  </si>
  <si>
    <t>140150004000000000</t>
  </si>
  <si>
    <t xml:space="preserve">   F.    </t>
  </si>
  <si>
    <t>150% Risk Weight –</t>
  </si>
  <si>
    <t>All non-performing loans (except non-performing loans to individuals for housing purpose, fully secured by first mortgage on residential property that is or will be occupied by the borrower), all non-performing sales contract receivables, and all non-performing debt securities</t>
  </si>
  <si>
    <t>142001000000000000</t>
  </si>
  <si>
    <t>150</t>
  </si>
  <si>
    <t xml:space="preserve">Real and other properties acquired and Non-current assets held for sale, net of allowance for losses </t>
  </si>
  <si>
    <t>195501200500000000</t>
  </si>
  <si>
    <t>115</t>
  </si>
  <si>
    <t>195501201000000000</t>
  </si>
  <si>
    <t>130</t>
  </si>
  <si>
    <t>195501201500000000</t>
  </si>
  <si>
    <t xml:space="preserve">   G.    </t>
  </si>
  <si>
    <t>100 % Risk Weight –</t>
  </si>
  <si>
    <t>Other Assets</t>
  </si>
  <si>
    <t>Total Assets per Balance Sheet</t>
  </si>
  <si>
    <t>100000000000000000</t>
  </si>
  <si>
    <t>General Loan Loss Provisions per Balance Sheet</t>
  </si>
  <si>
    <t>175150000000000000</t>
  </si>
  <si>
    <t>100050000000811000</t>
  </si>
  <si>
    <r>
      <t xml:space="preserve">Sub-total 
</t>
    </r>
    <r>
      <rPr>
        <i/>
        <sz val="8"/>
        <rFont val="Arial"/>
        <family val="2"/>
      </rPr>
      <t>[Sum of G(1)(a) and G(1)(b) minus G(1)(c)]</t>
    </r>
  </si>
  <si>
    <t>195000500000811000</t>
  </si>
  <si>
    <t>Deductions from Other Assets</t>
  </si>
  <si>
    <r>
      <t xml:space="preserve">Total outstanding unsecured credit accommodations, both direct and indirect, to DOSRI, net of allowance for credit losses 
</t>
    </r>
    <r>
      <rPr>
        <i/>
        <sz val="8"/>
        <rFont val="Arial"/>
        <family val="2"/>
      </rPr>
      <t>[refer to Part II. Item A.2 (5)]</t>
    </r>
  </si>
  <si>
    <t>165500500000811000</t>
  </si>
  <si>
    <r>
      <t xml:space="preserve">Total outstanding unsecured loans, other credit accommodations and guarantees granted to subsidiaries and affiliates, net of allowance for credit losses 
</t>
    </r>
    <r>
      <rPr>
        <i/>
        <sz val="8"/>
        <rFont val="Arial"/>
        <family val="2"/>
      </rPr>
      <t>[refer to Part II. Item A.2 (6)]</t>
    </r>
  </si>
  <si>
    <t>165501000000811000</t>
  </si>
  <si>
    <r>
      <t xml:space="preserve">Deferred tax asset, net of deferred tax liability 
</t>
    </r>
    <r>
      <rPr>
        <i/>
        <sz val="8"/>
        <rFont val="Arial"/>
        <family val="2"/>
      </rPr>
      <t>[refer to Part II. Item A.2 (7)]</t>
    </r>
  </si>
  <si>
    <t>165501500000811000</t>
  </si>
  <si>
    <r>
      <t xml:space="preserve">Goodwill, net of allowance for losses 
</t>
    </r>
    <r>
      <rPr>
        <i/>
        <sz val="8"/>
        <rFont val="Arial"/>
        <family val="2"/>
      </rPr>
      <t>[refer to Part II. Item A.2 (8)]</t>
    </r>
  </si>
  <si>
    <t>165502000000811000</t>
  </si>
  <si>
    <r>
      <t xml:space="preserve">Sinking fund for redemption of limited life redeemable preferred stock with the replacement requirement upon redemption 
</t>
    </r>
    <r>
      <rPr>
        <i/>
        <sz val="8"/>
        <rFont val="Arial"/>
        <family val="2"/>
      </rPr>
      <t>[refer to Part II. Item B.2 (3)]</t>
    </r>
  </si>
  <si>
    <t>165502500000811000</t>
  </si>
  <si>
    <r>
      <t xml:space="preserve">Sinking fund for redemption of limited life redeemable preferred stock without the replacement requirement upon redemption (limited to the balance of redeemable preferred stock after applying the cumulative discount factor) 
</t>
    </r>
    <r>
      <rPr>
        <i/>
        <sz val="8"/>
        <rFont val="Arial"/>
        <family val="2"/>
      </rPr>
      <t>[refer to Part II. Item B.5 (2)]</t>
    </r>
  </si>
  <si>
    <t>165503000000811000</t>
  </si>
  <si>
    <r>
      <t xml:space="preserve">Investment in equity of unconsolidated subsidiary RBs and VCCs for TBs, and RBs for Coop Banks, after deducting related goodwill, if any (for solo basis) 
</t>
    </r>
    <r>
      <rPr>
        <i/>
        <sz val="8"/>
        <rFont val="Arial"/>
        <family val="2"/>
      </rPr>
      <t>[refer to Part II. Item D (1)]</t>
    </r>
  </si>
  <si>
    <t>165503500000811000</t>
  </si>
  <si>
    <r>
      <t xml:space="preserve">Investments in other regulatory capital instruments of unconsolidated RBs for Coop Banks (for solo basis) 
</t>
    </r>
    <r>
      <rPr>
        <i/>
        <sz val="8"/>
        <rFont val="Arial"/>
        <family val="2"/>
      </rPr>
      <t>[refer to Part II. Item D (2)]</t>
    </r>
  </si>
  <si>
    <t>165504000000811000</t>
  </si>
  <si>
    <t>(i)</t>
  </si>
  <si>
    <r>
      <t xml:space="preserve">Investment in equity of subsidiary non-financial allied undertakings, after deducting related goodwill, if any (for both solo and consolidated bases) 
</t>
    </r>
    <r>
      <rPr>
        <i/>
        <sz val="8"/>
        <rFont val="Arial"/>
        <family val="2"/>
      </rPr>
      <t>[refer to Part II. Item D (3)]</t>
    </r>
  </si>
  <si>
    <t>165504500000811000</t>
  </si>
  <si>
    <t>(j)</t>
  </si>
  <si>
    <t>RB OF BORONGAN (EASTERN SAMAR) INC</t>
  </si>
  <si>
    <t>RB OF BROOKE'S POINT (PALAWAN) INC</t>
  </si>
  <si>
    <t>RB OF BUCAY (ABRA) INC</t>
  </si>
  <si>
    <t>RB OF BUENAVISTA (AGUSAN DN) INC</t>
  </si>
  <si>
    <t>RB OF BUGASONG (ANTIQUE) INC</t>
  </si>
  <si>
    <t>RB OF BUGUIAS (BENGUET) INC</t>
  </si>
  <si>
    <t>RB OF BURAUEN INC</t>
  </si>
  <si>
    <t>RB OF BUSTOS INC</t>
  </si>
  <si>
    <t>RB OF CABA (LA UNION) INC</t>
  </si>
  <si>
    <t>RB OF CABADBARAN (AGUSAN) INC</t>
  </si>
  <si>
    <t>RB OF CABANGAN (ZAMBALES) INC</t>
  </si>
  <si>
    <t>RB OF CABATUAN (ILOILO) INC</t>
  </si>
  <si>
    <t>RB OF CABUGAO (ILOCOS SUR) INC</t>
  </si>
  <si>
    <t>RB OF CADIZ INC</t>
  </si>
  <si>
    <t>RB OF CAINTA INC</t>
  </si>
  <si>
    <t>RB OF CALACA INC</t>
  </si>
  <si>
    <t>RB OF CALAMBA (LAGUNA) INC</t>
  </si>
  <si>
    <t>RB OF CALASIAO INC</t>
  </si>
  <si>
    <t>RB OF CALAUAN INC</t>
  </si>
  <si>
    <t>RB OF CALBAYOG CITY INC</t>
  </si>
  <si>
    <t>RB OF CALINOG (ILOILO) INC</t>
  </si>
  <si>
    <t>RB OF CALOOCAN INC</t>
  </si>
  <si>
    <t>RB OF CAMALIG (ALBAY) INC</t>
  </si>
  <si>
    <t>RB OF CANDELARIA INC</t>
  </si>
  <si>
    <t>RB OF CAPALONGA (CAM NORTE) INC</t>
  </si>
  <si>
    <t>RB OF CARDONA (RIZAL) INC</t>
  </si>
  <si>
    <t>RB OF CASIGURAN (AURORA) INC</t>
  </si>
  <si>
    <t>RB OF CATUBIG (NORTHERN SAMAR) INC</t>
  </si>
  <si>
    <t>RB OF CAUAYAN INC</t>
  </si>
  <si>
    <t>RB OF CAVINTI (LAGUNA) INC</t>
  </si>
  <si>
    <t>RB OF CEBU SOUTH INC</t>
  </si>
  <si>
    <t>RB OF CENTRAL PANGASINAN (BAYAMBANG</t>
  </si>
  <si>
    <t>RB OF CLAVERIA (CAGAYAN) INC</t>
  </si>
  <si>
    <t>RB OF COMPOSTELA (DAVAO DN) INC</t>
  </si>
  <si>
    <t>RB OF COTABATO INC</t>
  </si>
  <si>
    <t>RB OF CUARTERO (CAPIZ) INC</t>
  </si>
  <si>
    <t>RB OF CUENCA INC</t>
  </si>
  <si>
    <t>RB OF CUYO (PALAWAN) INC</t>
  </si>
  <si>
    <t>RB OF DATU PAGLAS INC</t>
  </si>
  <si>
    <t>RB OF DIGOS INC</t>
  </si>
  <si>
    <t>RB OF DOLORES (QUEZON) INC</t>
  </si>
  <si>
    <t>RB OF DONA R TRINIDAD (BULACAN) INC</t>
  </si>
  <si>
    <t>RB OF DONSOL (SORSOGON) INC</t>
  </si>
  <si>
    <t>RB OF DULAG (LEYTE) INC</t>
  </si>
  <si>
    <t>RB OF DUMANGAS INC</t>
  </si>
  <si>
    <t>RB OF DUPAX (NUEVA VIZCAYA) INC</t>
  </si>
  <si>
    <t>RB OF EL SALVADOR (MISAMIS OR) INC</t>
  </si>
  <si>
    <t>RB OF ESCALANTE (NEGROS OCC) INC</t>
  </si>
  <si>
    <t>RB OF GALIMUYOD (ILOCOS SUR) INC</t>
  </si>
  <si>
    <t>RB OF GANDARA (SAMAR) INC</t>
  </si>
  <si>
    <t>RB OF GATTARAN (CAGAYAN) INC</t>
  </si>
  <si>
    <t>RB OF GENERAL LUNA (QUEZON) INC</t>
  </si>
  <si>
    <t>RB OF GENERAL TRIAS INC</t>
  </si>
  <si>
    <t>RB OF GINGOOG INC</t>
  </si>
  <si>
    <t>RB OF GITAGUM(MISAMIS ORIENTAL) INC</t>
  </si>
  <si>
    <t>RB OF GLORIA (OR MIN) INC</t>
  </si>
  <si>
    <t>RB OF GOA INC</t>
  </si>
  <si>
    <t>RB OF GUIHULNGAN (NEGROS OR) INC</t>
  </si>
  <si>
    <t>RB OF GUINOBATAN INC</t>
  </si>
  <si>
    <t>RB OF GUIUAN (EASTERN SAMAR) INC</t>
  </si>
  <si>
    <t>RB OF HAGONOY (DAVAO DEL SUR) INC</t>
  </si>
  <si>
    <t>RB OF HERMOSA (BATAAN) INC</t>
  </si>
  <si>
    <t>RB OF HILONGOS INC</t>
  </si>
  <si>
    <t>RB OF HINDANG (LEYTE) INC</t>
  </si>
  <si>
    <t>RB OF HINUNDAYAN (SO LEYTE) INC</t>
  </si>
  <si>
    <t>RB OF IBAJAY INC</t>
  </si>
  <si>
    <t>RB OF ILIGAN CITY INC</t>
  </si>
  <si>
    <t>RB OF ILOG (NEGROS OCCIDENTAL) INC</t>
  </si>
  <si>
    <t>RB OF ILOILO CITY INC</t>
  </si>
  <si>
    <t>RB OF INFANTA INC</t>
  </si>
  <si>
    <t>RB OF INITAO (MISAMIS ORIENTAL) INC</t>
  </si>
  <si>
    <t>RB OF IROSIN INC</t>
  </si>
  <si>
    <t>RB OF ITOGON (BENGUET) INC</t>
  </si>
  <si>
    <t>RB OF JAEN INC</t>
  </si>
  <si>
    <t>RB OF JAMINDAN (CAPIZ) INC</t>
  </si>
  <si>
    <t>RB OF JIMENEZ (MISAMIS OCC) INC</t>
  </si>
  <si>
    <t>RB OF JOSE PANGANIBAN(CAM NORTE)INC</t>
  </si>
  <si>
    <t>RB OF KABASALAN (ZAMB DS) INC</t>
  </si>
  <si>
    <t>RB OF KAPALONG (DAVAO) INC</t>
  </si>
  <si>
    <t>RB OF KAROMATAN (LANAO DN) INC</t>
  </si>
  <si>
    <t>RB OF KAWIT INC</t>
  </si>
  <si>
    <t>RB OF KIAMBA (SARANGANI) INC</t>
  </si>
  <si>
    <t>RB OF KIBAWE (BUKIDNON) INC</t>
  </si>
  <si>
    <t>RB OF KINOGITAN (MISAMIS OR) INC</t>
  </si>
  <si>
    <t>RB OF LA PAZ INC</t>
  </si>
  <si>
    <t>RB OF LA TRINIDAD INC</t>
  </si>
  <si>
    <t>RB OF LABASON (ZAMBOANGA DN) INC</t>
  </si>
  <si>
    <t>RB OF LABRADOR INC</t>
  </si>
  <si>
    <t>RB OF LANUZA (SURIGAO DEL SUR) INC</t>
  </si>
  <si>
    <t>RB OF LARENA (SIQUIJOR) INC</t>
  </si>
  <si>
    <t>RB OF LEBAK (SULTAN KUDARAT) INC</t>
  </si>
  <si>
    <t>RB OF LEGANES (ILOILO) INC</t>
  </si>
  <si>
    <t>RB OF LEMERY INC</t>
  </si>
  <si>
    <t>RB OF LILOY (ZAMBOANGA DN) INC</t>
  </si>
  <si>
    <t>RB OF LIMAY (BATAAN) INC</t>
  </si>
  <si>
    <t>RB OF LIPA CITY (BATANGAS) INC</t>
  </si>
  <si>
    <t>RB OF LOBO INC</t>
  </si>
  <si>
    <t>RB OF LOON (BOHOL) INC</t>
  </si>
  <si>
    <t>RB OF LOPEZ JAENA (MISAMIS OCC) INC</t>
  </si>
  <si>
    <t>RB OF LORETO(SURIGAO DEL NORTE) INC</t>
  </si>
  <si>
    <t>RB OF LUCBAN (QUEZON) INC</t>
  </si>
  <si>
    <t>RB OF LUISIANA (LAGUNA) INC</t>
  </si>
  <si>
    <t>RB OF LUMBAN (LAGUNA) INC</t>
  </si>
  <si>
    <t>RB OF LUNA (ISABELA) INC</t>
  </si>
  <si>
    <t>RB OF LUNA (K-APAYAO)INC</t>
  </si>
  <si>
    <t>RB OF LUPAO INC</t>
  </si>
  <si>
    <t>RB OF MABALACAT INC</t>
  </si>
  <si>
    <t>RB OF MABITAC (LAGUNA) INC</t>
  </si>
  <si>
    <t>RB OF MADDELA (QUIRINO) INC</t>
  </si>
  <si>
    <t>RB OF MADRIDEJOS (CEBU) INC</t>
  </si>
  <si>
    <t>RB OF MAGDALENA (LAGUNA) INC</t>
  </si>
  <si>
    <t>RB OF MAGSINGAL (ILOCOS SUR) INC</t>
  </si>
  <si>
    <t>RB OF MAHAPLAG (LEYTE) INC</t>
  </si>
  <si>
    <t>RB OF MAIGO (LANAO DEL NORTE) INC</t>
  </si>
  <si>
    <t>RB OF MAKATO (AKLAN) INC</t>
  </si>
  <si>
    <t>RB OF MALINAO (AKLAN) INC</t>
  </si>
  <si>
    <t>RB OF MALITBOG (SOUTHERN LEYTE) INC</t>
  </si>
  <si>
    <t>RB OF MALOLOS INC</t>
  </si>
  <si>
    <t>RB OF MAMBUSAO INC</t>
  </si>
  <si>
    <t>RB OF MANAPLA (NEG OCC) INC</t>
  </si>
  <si>
    <t>RB OF MANDAUE INC</t>
  </si>
  <si>
    <t>RB OF MANGALDAN INC(BANGKO RURAL NG</t>
  </si>
  <si>
    <t>RB OF MANOLO FORTICH BUKIDNON INC</t>
  </si>
  <si>
    <t>RB OF MANUKAN (ZAMBOANGA DN) INC</t>
  </si>
  <si>
    <t>RB OF MARAGONDON INC</t>
  </si>
  <si>
    <t>RB OF MARIA AURORA (QUEZON) INC</t>
  </si>
  <si>
    <t>RB OF MARILAG (STA MARIA, LAG)INC</t>
  </si>
  <si>
    <t>RB OF MATAG-OB (LEYTE) INC</t>
  </si>
  <si>
    <t>RB OF MATI INC</t>
  </si>
  <si>
    <t>RB OF MAUBAN INC</t>
  </si>
  <si>
    <t>RB OF MEDINA (MISAMIS ORIENTAL) INC</t>
  </si>
  <si>
    <t>RB OF MENDEZ INC</t>
  </si>
  <si>
    <t>Revolving LCs - foreign (net of margin deposit) arising from movement of goods and/or services</t>
  </si>
  <si>
    <t>415201000000000000</t>
  </si>
  <si>
    <t>(11)</t>
  </si>
  <si>
    <t>Other commitments with an original maturity of up to 1 year</t>
  </si>
  <si>
    <t>425250000000000000</t>
  </si>
  <si>
    <t>(12)</t>
  </si>
  <si>
    <r>
      <t xml:space="preserve">Sub-total 
</t>
    </r>
    <r>
      <rPr>
        <i/>
        <sz val="8"/>
        <rFont val="Arial"/>
        <family val="2"/>
      </rPr>
      <t>[Sum of C (1) to C (11)]</t>
    </r>
  </si>
  <si>
    <t>412000000000000000</t>
  </si>
  <si>
    <r>
      <t xml:space="preserve">Risk-weighted amount 
</t>
    </r>
    <r>
      <rPr>
        <i/>
        <sz val="8"/>
        <rFont val="Arial"/>
        <family val="2"/>
      </rPr>
      <t>[ C (12) x applicable risk weight]</t>
    </r>
  </si>
  <si>
    <t>412000000000812000</t>
  </si>
  <si>
    <t>D.</t>
  </si>
  <si>
    <t>Other commitments which can be unconditionally cancelled at any time by the bank without prior notice</t>
  </si>
  <si>
    <t>Credit card lines</t>
  </si>
  <si>
    <t>425150000000000000</t>
  </si>
  <si>
    <t>Items not involving credit risk</t>
  </si>
  <si>
    <t>Late deposits/payments received</t>
  </si>
  <si>
    <t>495050000000000000</t>
  </si>
  <si>
    <t>Inward bills for collection</t>
  </si>
  <si>
    <t>495100000000000000</t>
  </si>
  <si>
    <t>Outward bills for collection</t>
  </si>
  <si>
    <t>495150000000000000</t>
  </si>
  <si>
    <t>Travelers’ checks unsold</t>
  </si>
  <si>
    <t>495200000000000000</t>
  </si>
  <si>
    <t>Trust department accounts</t>
  </si>
  <si>
    <t>495250000000000000</t>
  </si>
  <si>
    <t>Items held for safekeeping/custodianship</t>
  </si>
  <si>
    <t>495260000000000000</t>
  </si>
  <si>
    <t>Items held as collaterals</t>
  </si>
  <si>
    <t>495350000000000000</t>
  </si>
  <si>
    <t>Deficiency claims receivable</t>
  </si>
  <si>
    <t>495400000000000000</t>
  </si>
  <si>
    <t>Others (Please specify)</t>
  </si>
  <si>
    <t>495950000000000000</t>
  </si>
  <si>
    <t>_a</t>
  </si>
  <si>
    <t>-</t>
  </si>
  <si>
    <t>1</t>
  </si>
  <si>
    <t>$</t>
  </si>
  <si>
    <t>Sub-total
[Sum of E (1) to E (9)]</t>
  </si>
  <si>
    <t>495000000000000000</t>
  </si>
  <si>
    <r>
      <t xml:space="preserve">Total Notional Principal Amount
</t>
    </r>
    <r>
      <rPr>
        <i/>
        <sz val="8"/>
        <rFont val="Arial"/>
        <family val="2"/>
      </rPr>
      <t>[Sum of A (4), B (4), C (12), D (1) , E (10)]</t>
    </r>
  </si>
  <si>
    <t>400000000000000000</t>
  </si>
  <si>
    <t>G.</t>
  </si>
  <si>
    <r>
      <t xml:space="preserve">TOTAL RISK-WEIGHTED OFF-BALANCE SHEET ASSETS </t>
    </r>
    <r>
      <rPr>
        <i/>
        <sz val="8"/>
        <rFont val="Arial"/>
        <family val="2"/>
      </rPr>
      <t xml:space="preserve">[Sum of A (5), B (5) and C (13)] </t>
    </r>
  </si>
  <si>
    <t>Assign the appropriate risk weight according to the obligor, or if relevant, the qualified guarantor or the nature of the collateral.</t>
  </si>
  <si>
    <r>
      <t>PART III.3   COUNTERPARTY RISK-WEIGHTED ASSETS</t>
    </r>
    <r>
      <rPr>
        <sz val="8"/>
        <rFont val="Arial"/>
        <family val="2"/>
      </rPr>
      <t xml:space="preserve"> (Amounts in P0.000 million)</t>
    </r>
  </si>
  <si>
    <r>
      <t xml:space="preserve">Nature of item </t>
    </r>
    <r>
      <rPr>
        <vertAlign val="superscript"/>
        <sz val="8"/>
        <rFont val="Arial"/>
        <family val="2"/>
      </rPr>
      <t>1/</t>
    </r>
  </si>
  <si>
    <t>Notional Amount</t>
  </si>
  <si>
    <t>Current Credit Exposure (M-to-M valuation, if positive)</t>
  </si>
  <si>
    <t>Appropriate Potential Future CCF</t>
  </si>
  <si>
    <r>
      <t xml:space="preserve">Potential Future Credit Exposure </t>
    </r>
    <r>
      <rPr>
        <vertAlign val="superscript"/>
        <sz val="8"/>
        <rFont val="Arial"/>
        <family val="2"/>
      </rPr>
      <t>2/</t>
    </r>
  </si>
  <si>
    <r>
      <t xml:space="preserve">Credit Equivalent Amount </t>
    </r>
    <r>
      <rPr>
        <vertAlign val="subscript"/>
        <sz val="8"/>
        <rFont val="Arial"/>
        <family val="2"/>
      </rPr>
      <t>3/</t>
    </r>
  </si>
  <si>
    <t>Distribution of Credit Equivalent Amount According to Risk Weights</t>
  </si>
  <si>
    <t xml:space="preserve">Total </t>
  </si>
  <si>
    <t>(4) = (1)*(3)</t>
  </si>
  <si>
    <t>(5) = (2)+(4)</t>
  </si>
  <si>
    <t>(Sum of 6 to 8)</t>
  </si>
  <si>
    <r>
      <t xml:space="preserve">Derivative Exposures </t>
    </r>
    <r>
      <rPr>
        <vertAlign val="superscript"/>
        <sz val="8"/>
        <rFont val="Arial"/>
        <family val="2"/>
      </rPr>
      <t>4/</t>
    </r>
  </si>
  <si>
    <t xml:space="preserve">Interest Rate Contracts </t>
  </si>
  <si>
    <t>With a residual maturity of 1 year or less</t>
  </si>
  <si>
    <t>1.a</t>
  </si>
  <si>
    <t>Interest Rate Forwards</t>
  </si>
  <si>
    <t>110100000505310000</t>
  </si>
  <si>
    <t>1.b</t>
  </si>
  <si>
    <t>Interest Rate Swap</t>
  </si>
  <si>
    <t>110100000515310000</t>
  </si>
  <si>
    <t>With a residual maturity of more than 1 year to 5 years</t>
  </si>
  <si>
    <t>2.a</t>
  </si>
  <si>
    <t>110100000505320000</t>
  </si>
  <si>
    <t>2.b</t>
  </si>
  <si>
    <t>110100000515320000</t>
  </si>
  <si>
    <t>With a residual maturity of more than 5 years</t>
  </si>
  <si>
    <t>RB OF SILAY CITY INC</t>
  </si>
  <si>
    <t>RB OF SIOCON (ZAMBOANGA DN) INC</t>
  </si>
  <si>
    <t>RB OF SIPOCOT (CAMARINES SUR) INC</t>
  </si>
  <si>
    <t>RB OF SOCORRO (ORIENTAL MINDORO)INC</t>
  </si>
  <si>
    <t>RB OF SOLANO (NUEVA VIZCAYA) INC</t>
  </si>
  <si>
    <t>RB OF STA BARBARA (ILOILO) INC</t>
  </si>
  <si>
    <t>RB OF STA CATALINA NEGROS OR INC</t>
  </si>
  <si>
    <t>RB OF STA ELENA (CAMS NORTE) INC</t>
  </si>
  <si>
    <t>RB OF STA IGNACIA INC</t>
  </si>
  <si>
    <t>RB OF STA MAGDALENA (SORSOGON) INC</t>
  </si>
  <si>
    <t>RB OF STA MARIA (ILOCOS SUR) INC</t>
  </si>
  <si>
    <t>RB OF STA ROSA (LAGUNA) INC</t>
  </si>
  <si>
    <t>RB OF STA ROSA DE LIMA (PANIQUI)INC</t>
  </si>
  <si>
    <t>RB OF STO TOMAS(DAVAO N)</t>
  </si>
  <si>
    <t>RB OF SUDIPEN (LA UNION) INC</t>
  </si>
  <si>
    <t>RB OF TAAL INC</t>
  </si>
  <si>
    <t>RB OF TABUK (KALINGA_APAYAO) INC</t>
  </si>
  <si>
    <t>RB OF TALISAY (BATANGAS) INC</t>
  </si>
  <si>
    <t>RB OF TALISAY (CEBU) INC</t>
  </si>
  <si>
    <t>RB OF TALUGTUG (NE) INC</t>
  </si>
  <si>
    <t>RB OF TANDAG (SURIGAO DEL SUR) INC</t>
  </si>
  <si>
    <t>RB OF TANGUB CITY (MIS OCC) INC</t>
  </si>
  <si>
    <t>RB OF TANJAY INC</t>
  </si>
  <si>
    <t>RB OF TAYABAS INC</t>
  </si>
  <si>
    <t>RB OF TAYSAN (BATANGAS) INC</t>
  </si>
  <si>
    <t>RB OF TERESA (RIZAL) INC</t>
  </si>
  <si>
    <t>RB OF TIBIAO (ANTIQUE) INC</t>
  </si>
  <si>
    <t>RB OF TIGAON CAMARINES SUR INC</t>
  </si>
  <si>
    <t>RB OF TIGBAUAN (ILOILO) INC</t>
  </si>
  <si>
    <t>RB OF TUMAUINI (ISABELA) INC</t>
  </si>
  <si>
    <t>RB OF VICTORIA INC</t>
  </si>
  <si>
    <t>RB OF VILLAVERDE (NUEVA VIZCAYA)INC</t>
  </si>
  <si>
    <t>RB OF VILLAVICIOSA (ABRA) INC</t>
  </si>
  <si>
    <t>RB OF ZARRAGA (ILOILO) INC</t>
  </si>
  <si>
    <t>RBG IMPERIAL BANK INC(A RURAL BANK)</t>
  </si>
  <si>
    <t>RBT BANK INC A RURAL BANK</t>
  </si>
  <si>
    <t>RIZAL RURAL BANK (TAYTAY RIZAL)</t>
  </si>
  <si>
    <t>RNG COASTAL BANK INC(A RURAL BANK)</t>
  </si>
  <si>
    <t>RODRIGUEZ RB INC</t>
  </si>
  <si>
    <t>Revised September 2012</t>
  </si>
  <si>
    <t>COMPUTATION OF THE RISK-BASED CAPITAL ADEQUACY RATIO</t>
  </si>
  <si>
    <t>DEADLINE :</t>
  </si>
  <si>
    <t xml:space="preserve">15 banking days after </t>
  </si>
  <si>
    <t>end of reference quarter</t>
  </si>
  <si>
    <t>(solo basis)</t>
  </si>
  <si>
    <t>30 banking days after</t>
  </si>
  <si>
    <t>(consolidated basis)</t>
  </si>
  <si>
    <t>SUBMISSION :</t>
  </si>
  <si>
    <t>Electronic submission to the</t>
  </si>
  <si>
    <t>Supervisory Data Center</t>
  </si>
  <si>
    <t>sdctb-car@bsp.gov.ph</t>
  </si>
  <si>
    <t>sdcrb-car@bsp.gov.ph</t>
  </si>
  <si>
    <t>FOR STAND-ALONE THRIFT, RURAL  AND COOPERATIVE BANKS</t>
  </si>
  <si>
    <t>(COMPREHENSIVE VERSION)</t>
  </si>
  <si>
    <t>ALLIED SAVINGS BANK</t>
  </si>
  <si>
    <t xml:space="preserve">(Name of Bank)                                               </t>
  </si>
  <si>
    <t>(Code)</t>
  </si>
  <si>
    <t>(Address)</t>
  </si>
  <si>
    <t>COVERING COMBINED CREDIT, MARKET AND OPERATIONAL RISKS</t>
  </si>
  <si>
    <t>SOLO BASIS</t>
  </si>
  <si>
    <t>(Indicate if Solo Basis or Consolidated Basis)</t>
  </si>
  <si>
    <t>As of</t>
  </si>
  <si>
    <t>(Quarter-End)</t>
  </si>
  <si>
    <t xml:space="preserve">REPUBLIC OF THE PHILIPPINES) </t>
  </si>
  <si>
    <t>)  S.S.</t>
  </si>
  <si>
    <t xml:space="preserve">         </t>
  </si>
  <si>
    <t xml:space="preserve"> I solemnly swear that all matters set forth in this report and all its supporting schedules are true and </t>
  </si>
  <si>
    <t>correct, to the best of my knowledge and belief.</t>
  </si>
  <si>
    <t>(Signature of President/Executive/</t>
  </si>
  <si>
    <t>Vice President)</t>
  </si>
  <si>
    <t xml:space="preserve">          SUBSCRIBED     AND     SWORN     TO     BEFORE     ME     this      __________________      day      of </t>
  </si>
  <si>
    <t>SUBSCRIBED     AND     SWORN     TO     BEFORE     ME     this</t>
  </si>
  <si>
    <t>day  of</t>
  </si>
  <si>
    <t>, affiant  exhibiting  to  me  his  Community Tax</t>
  </si>
  <si>
    <t>Certificate  No.</t>
  </si>
  <si>
    <t>issued      at</t>
  </si>
  <si>
    <t>on</t>
  </si>
  <si>
    <t>.</t>
  </si>
  <si>
    <t>Notary Public</t>
  </si>
  <si>
    <t>Until December 31,</t>
  </si>
  <si>
    <t>PTR No. :</t>
  </si>
  <si>
    <t>Place :</t>
  </si>
  <si>
    <t>Doc. No.</t>
  </si>
  <si>
    <t>Page No.</t>
  </si>
  <si>
    <t>Book No.</t>
  </si>
  <si>
    <t xml:space="preserve">Series of </t>
  </si>
  <si>
    <r>
      <t xml:space="preserve">PART I.  CALCULATION OF RISK-BASED CAPITAL ADEQUACY RATIO </t>
    </r>
    <r>
      <rPr>
        <sz val="8"/>
        <rFont val="Arial"/>
        <family val="2"/>
      </rPr>
      <t xml:space="preserve">(Amounts in </t>
    </r>
    <r>
      <rPr>
        <strike/>
        <sz val="8"/>
        <rFont val="Arial"/>
        <family val="2"/>
      </rPr>
      <t>P</t>
    </r>
    <r>
      <rPr>
        <sz val="8"/>
        <rFont val="Arial"/>
        <family val="2"/>
      </rPr>
      <t>0.000 million)</t>
    </r>
  </si>
  <si>
    <t>Item</t>
  </si>
  <si>
    <t>A.5 = 0, for banks that calculate capital charge for all its risk exposures, covering both general market and specific risks, using the internal models approach.  if computation of specific risk charge is not yet incorporated in the model, report in items A.1 and A.2 above the specific risk charge only.</t>
  </si>
  <si>
    <t>For options, either delta-weighted positions should be reported above, or if the bank engages in purchase of options only, the options shall be carved out and reported under the Options section.  Delta-weighted long and short positions refer to potential purchases and sales of the underlying, respectively.  For examples, a short put option carries a potential purchase of the underlying, thus, will be treated as a long delta-weighted position.</t>
  </si>
  <si>
    <t>COOP BANK OF BENGUET (CBB)</t>
  </si>
  <si>
    <t>COOP BANK OF CAGAYAN</t>
  </si>
  <si>
    <t>COOP BANK OF CAMARINES NORTE</t>
  </si>
  <si>
    <t>COOP BANK OF COTABATO</t>
  </si>
  <si>
    <t>COOP BANK OF LA UNION</t>
  </si>
  <si>
    <t>COOP BANK OF MISAMIS ORIENTAL</t>
  </si>
  <si>
    <t>COOP BANK OF MT PROVINCE</t>
  </si>
  <si>
    <t>COOP BANK OF NEGROS ORIENTAL</t>
  </si>
  <si>
    <t>COOP BANK OF PALAWAN</t>
  </si>
  <si>
    <t>COOP BANK OF PAMPANGA INC(COOPBANK)</t>
  </si>
  <si>
    <t>COOP BANK OF QUEZON PROVINCE</t>
  </si>
  <si>
    <t>COOP BANK OF ZAMBALES</t>
  </si>
  <si>
    <t>COOP RB OF BULACAN INC</t>
  </si>
  <si>
    <t>COOPERATIVE BANK OF CEBU</t>
  </si>
  <si>
    <t>COOPERATIVE BANK OF ILOCOS NORTE</t>
  </si>
  <si>
    <t>COOPERATIVE BANK OF LEYTE</t>
  </si>
  <si>
    <t>COOPERATIVE BANK OF NUEVA VIZCAYA</t>
  </si>
  <si>
    <t>COOPERATIVE BANK OF TARLAC INC</t>
  </si>
  <si>
    <t>COOPERATIVE RURAL BANK OF BOHOL</t>
  </si>
  <si>
    <t>COUNTRYSIDE COOP RB OF BATANGAS</t>
  </si>
  <si>
    <t>FIRST ISABELA COOP BANK INC(FICOBNK</t>
  </si>
  <si>
    <t>ILOCOS SUR COOPERATIVE BANK</t>
  </si>
  <si>
    <t>METRO SOUTH COOP BANK</t>
  </si>
  <si>
    <t>NATIONAL TEACHERS &amp; EMP. COOP BANK</t>
  </si>
  <si>
    <t>NEGROS COOPERATIVE BANK</t>
  </si>
  <si>
    <t>OCC. MINDORO COOP BANK (OMCB)</t>
  </si>
  <si>
    <t>SORSOGON PROVINCIAL COOP BANK</t>
  </si>
  <si>
    <t>SOUTHERN LEYTE COOP BANK</t>
  </si>
  <si>
    <t>ZAMBOANGA DEL NORTE COOPERATIVE BNK</t>
  </si>
  <si>
    <t>Report Type</t>
  </si>
  <si>
    <t>Period</t>
  </si>
  <si>
    <t>Simplified - Solo Basis</t>
  </si>
  <si>
    <t>Quarter 1</t>
  </si>
  <si>
    <t>Thrift Bank</t>
  </si>
  <si>
    <t>Comprehensive - Solo Basis</t>
  </si>
  <si>
    <t>Quarter 2</t>
  </si>
  <si>
    <t>Rural Bank</t>
  </si>
  <si>
    <t>Comprehensive - Conso Basis</t>
  </si>
  <si>
    <t>Quarter 3</t>
  </si>
  <si>
    <t>Cooperative Bank</t>
  </si>
  <si>
    <t>Quarter 4</t>
  </si>
  <si>
    <t>Vertical Disallowance</t>
  </si>
  <si>
    <t>Net Position</t>
  </si>
  <si>
    <t>Horizontal Disallowance Within Zone</t>
  </si>
  <si>
    <t>Remaining Long/(Short) Position</t>
  </si>
  <si>
    <t>Horizontal Disallowance Between Zones 1 &amp; 2</t>
  </si>
  <si>
    <t>Horizontal Disallowance Between Zones 2 &amp; 3</t>
  </si>
  <si>
    <t>Horizontal Disallowance Between Zones 1 &amp; 3</t>
  </si>
  <si>
    <t>S</t>
  </si>
  <si>
    <t>_atemp</t>
  </si>
  <si>
    <t>parent</t>
  </si>
  <si>
    <t>child</t>
  </si>
  <si>
    <t>spacer</t>
  </si>
  <si>
    <t>_btemp</t>
  </si>
  <si>
    <t>_ctemp</t>
  </si>
  <si>
    <t>_dtemp</t>
  </si>
  <si>
    <t>over 24 months</t>
  </si>
  <si>
    <r>
      <t xml:space="preserve">PHP-denominated debt securities issued by the Philippine National Government (NG) and BSP </t>
    </r>
    <r>
      <rPr>
        <vertAlign val="superscript"/>
        <sz val="8"/>
        <rFont val="Arial"/>
        <family val="2"/>
      </rPr>
      <t>2/</t>
    </r>
  </si>
  <si>
    <t>Long</t>
  </si>
  <si>
    <t>100220500505731000</t>
  </si>
  <si>
    <t>Short</t>
  </si>
  <si>
    <t>100220500505732000</t>
  </si>
  <si>
    <r>
      <t xml:space="preserve">FCY-denominated debt securities issued by the Philippine NG/ BSP </t>
    </r>
    <r>
      <rPr>
        <vertAlign val="superscript"/>
        <sz val="8"/>
        <rFont val="Arial"/>
        <family val="2"/>
      </rPr>
      <t>2/ 3/</t>
    </r>
  </si>
  <si>
    <t>100220500510731000</t>
  </si>
  <si>
    <t>100220500510732000</t>
  </si>
  <si>
    <t xml:space="preserve">Debt securities/derivatives with credit rating BBB- and above issued by other sovereigns  </t>
  </si>
  <si>
    <t>100220500515731000</t>
  </si>
  <si>
    <t>100220500515732000</t>
  </si>
  <si>
    <t xml:space="preserve">Debt securities/derivatives with credit rating BBB- and above issued by multilateral development banks </t>
  </si>
  <si>
    <t>100220500520731000</t>
  </si>
  <si>
    <t>100220500520732000</t>
  </si>
  <si>
    <t>Debt securities/derivatives with credit rating of AAA to BBB- issued by other entities</t>
  </si>
  <si>
    <t>100220500525731000</t>
  </si>
  <si>
    <t>100220500525732000</t>
  </si>
  <si>
    <t>A.6</t>
  </si>
  <si>
    <t>All securitization exposures with credit rating of AAA to BBB-</t>
  </si>
  <si>
    <t>100220500530731000</t>
  </si>
  <si>
    <t>100220500530732000</t>
  </si>
  <si>
    <t>A.7</t>
  </si>
  <si>
    <t>All unrated and below BBB- securitization exposures</t>
  </si>
  <si>
    <t>100220500535731000</t>
  </si>
  <si>
    <t>100220500535732000</t>
  </si>
  <si>
    <t>A.8</t>
  </si>
  <si>
    <t>LGU bonds covered by Deed of Assignment of Internal Revenue Allotment and guaranteed by LGU Guarantee Corporation</t>
  </si>
  <si>
    <t>100220500540731000</t>
  </si>
  <si>
    <t>100220500540732000</t>
  </si>
  <si>
    <t>A.9</t>
  </si>
  <si>
    <t xml:space="preserve">All other debt securities/derivatives that are below BBB- and unrated </t>
  </si>
  <si>
    <t>100220500545731000</t>
  </si>
  <si>
    <t>100220500545732000</t>
  </si>
  <si>
    <t>A.10</t>
  </si>
  <si>
    <t>Subtotal (sum of A.1 to A.9)</t>
  </si>
  <si>
    <t>100220500550731000</t>
  </si>
  <si>
    <t>100220500550732000</t>
  </si>
  <si>
    <r>
      <t>Risk Weighted Exposures [</t>
    </r>
    <r>
      <rPr>
        <i/>
        <sz val="8"/>
        <rFont val="Arial"/>
        <family val="2"/>
      </rPr>
      <t>Sum of long and short positions (A.10) times the risk weight]</t>
    </r>
  </si>
  <si>
    <t>100220500500821100</t>
  </si>
  <si>
    <t>Specific Risk Capital Charge for Credit-Linked Notes and Similar Products (Refer to Part V.1b)</t>
  </si>
  <si>
    <t>990220501000821110</t>
  </si>
  <si>
    <t>Specific Risk Capital Charge for Credit Default Swaps and Total Return Swaps (Refer to Part V.1c)</t>
  </si>
  <si>
    <t>990220501500821110</t>
  </si>
  <si>
    <t>SPECIFIC RISK CAPITAL CHARGE FOR DEBT SECURITIES AND DEBT DERIVATIVES (Sum of B. to D. ) (to Part V.1, Item A)</t>
  </si>
  <si>
    <t>Total outstanding unsecured loans, other credit accommodations and guarantees granted to subsidiaries and affiliates, net of allowance for credit losses</t>
  </si>
  <si>
    <t>365053000000711000</t>
  </si>
  <si>
    <r>
      <t xml:space="preserve">Deferred tax asset, net of deferred tax liability </t>
    </r>
    <r>
      <rPr>
        <vertAlign val="superscript"/>
        <sz val="8"/>
        <rFont val="Arial"/>
        <family val="2"/>
      </rPr>
      <t>2/</t>
    </r>
  </si>
  <si>
    <t>365053500000711000</t>
  </si>
  <si>
    <r>
      <t xml:space="preserve">Goodwill, net of allowance for losses </t>
    </r>
    <r>
      <rPr>
        <vertAlign val="superscript"/>
        <sz val="8"/>
        <rFont val="Arial"/>
        <family val="2"/>
      </rPr>
      <t>3/</t>
    </r>
    <r>
      <rPr>
        <sz val="8"/>
        <rFont val="Arial"/>
        <family val="2"/>
      </rPr>
      <t xml:space="preserve"> </t>
    </r>
  </si>
  <si>
    <t>365054000000711000</t>
  </si>
  <si>
    <r>
      <t xml:space="preserve">Total Deductions 
</t>
    </r>
    <r>
      <rPr>
        <i/>
        <sz val="8"/>
        <rFont val="Arial"/>
        <family val="2"/>
      </rPr>
      <t>[Sum of A.2 (1) to A.2 (8)]</t>
    </r>
  </si>
  <si>
    <t>365050000000711000</t>
  </si>
  <si>
    <r>
      <t xml:space="preserve">Total Core Tier 1 Capital </t>
    </r>
    <r>
      <rPr>
        <b/>
        <i/>
        <sz val="8"/>
        <rFont val="Arial"/>
        <family val="2"/>
      </rPr>
      <t>[A.1 (11) minus A.2 (9)]</t>
    </r>
  </si>
  <si>
    <t>395000000000711000</t>
  </si>
  <si>
    <t>A.4</t>
  </si>
  <si>
    <t>Hybrid Tier 1 Capital</t>
  </si>
  <si>
    <t>Perpetual preferred stock</t>
  </si>
  <si>
    <t>310030500000000000</t>
  </si>
  <si>
    <t>Perpetual unsecured subordinated debt</t>
  </si>
  <si>
    <t>310031000000000000</t>
  </si>
  <si>
    <r>
      <t xml:space="preserve">Total Hybrid Tier 1 Capital
</t>
    </r>
    <r>
      <rPr>
        <i/>
        <sz val="8"/>
        <rFont val="Arial"/>
        <family val="2"/>
      </rPr>
      <t>[Sum of A.4 (1) and A.4 (2)]</t>
    </r>
  </si>
  <si>
    <t>300000000000712000</t>
  </si>
  <si>
    <r>
      <t xml:space="preserve">Eligible Hybrid Tier 1 Capital
</t>
    </r>
    <r>
      <rPr>
        <i/>
        <sz val="8"/>
        <rFont val="Arial"/>
        <family val="2"/>
      </rPr>
      <t>[limited to 17.65% of Total Core Tier 1 Capital (Item A.3)]</t>
    </r>
  </si>
  <si>
    <t>396000000000712000</t>
  </si>
  <si>
    <t>A.5</t>
  </si>
  <si>
    <r>
      <t xml:space="preserve">Total Tier 1 Capital
</t>
    </r>
    <r>
      <rPr>
        <b/>
        <i/>
        <sz val="8"/>
        <rFont val="Arial"/>
        <family val="2"/>
      </rPr>
      <t>[Sum of A.3 and A.4 (4)]</t>
    </r>
  </si>
  <si>
    <t>300000000000710000</t>
  </si>
  <si>
    <t xml:space="preserve">B.  </t>
  </si>
  <si>
    <t>Tier 2 (Supplementary) Capital</t>
  </si>
  <si>
    <t xml:space="preserve">B.1 </t>
  </si>
  <si>
    <t>Upper Tier 2 Capital</t>
  </si>
  <si>
    <t xml:space="preserve">Paid-up perpetual and cumulative preferred stock </t>
  </si>
  <si>
    <t>305150000000000000</t>
  </si>
  <si>
    <t>Deposit for perpetual and cumulative preferred stock subscription</t>
  </si>
  <si>
    <t>305251500000000000</t>
  </si>
  <si>
    <t>Paid-up limited life redeemable preferred stock with the replacement requirement upon redemption</t>
  </si>
  <si>
    <t>220250500000000000</t>
  </si>
  <si>
    <t>Deposit for limited life redeemable preferred stock subscription with the replacement requirement upon redemption</t>
  </si>
  <si>
    <t>305252000000000000</t>
  </si>
  <si>
    <t>Appraisal increment reserve – bank premises, as authorized by the Monetary Board</t>
  </si>
  <si>
    <t>325050000000000000</t>
  </si>
  <si>
    <t>Net unrealized gains on available for sale equity securities purchased (subject to a 55% discount)</t>
  </si>
  <si>
    <t>320052000500000000</t>
  </si>
  <si>
    <t>General loan loss provision [limited to 1.00% of total credit risk-weighted assets computed per Part I, Item B.1(d)]</t>
  </si>
  <si>
    <t>175151000000000000</t>
  </si>
  <si>
    <t>Unsecured subordinated debt with a minimum original maturity of at least 10 years (subject to a cumulative discount factor of 20% per year during the last 5 years to maturity, i.e., 20% if the remaining life is 4 years to less than 5 years, 40% if the remaining life is 3 years to less than 4 years, etc.)</t>
  </si>
  <si>
    <t>295202001000000000</t>
  </si>
  <si>
    <r>
      <t xml:space="preserve">Hybrid Tier 1 Capital (in excess of the max allowable 15% limit of total Tier 1 capital)
</t>
    </r>
    <r>
      <rPr>
        <i/>
        <sz val="8"/>
        <rFont val="Arial"/>
        <family val="2"/>
      </rPr>
      <t>[A.4 (3) minus A.4 (4)]</t>
    </r>
  </si>
  <si>
    <t>310031500000000000</t>
  </si>
  <si>
    <r>
      <t xml:space="preserve">Sub-total 
</t>
    </r>
    <r>
      <rPr>
        <i/>
        <sz val="8"/>
        <rFont val="Arial"/>
        <family val="2"/>
      </rPr>
      <t>[Sum of B.1 (1) to B.1 (9)]</t>
    </r>
  </si>
  <si>
    <t>300000000000721000</t>
  </si>
  <si>
    <t>Deductions from Upper Tier 2</t>
  </si>
  <si>
    <t>Perpetual and cumulative preferred stock treasury shares (for consolidated basis)</t>
  </si>
  <si>
    <t>365100500000721000</t>
  </si>
  <si>
    <t>Limited life redeemable preferred stock treasury shares with the replacement requirement upon redemption (for consolidated basis)</t>
  </si>
  <si>
    <t>365101000000721000</t>
  </si>
  <si>
    <t xml:space="preserve">Sinking fund for redemption of limited life redeemable preferred stock with the replacement requirement upon redemption </t>
  </si>
  <si>
    <t>365101500000721000</t>
  </si>
  <si>
    <t>Net losses in fair value adjustment of hedging instruments in a cash flow hedge of available for sale equity securities</t>
  </si>
  <si>
    <t>365102000000721000</t>
  </si>
  <si>
    <r>
      <t xml:space="preserve">Total Deductions </t>
    </r>
    <r>
      <rPr>
        <i/>
        <sz val="8"/>
        <rFont val="Arial"/>
        <family val="2"/>
      </rPr>
      <t>[Sum of B.2 (1) to B.2 (4)]</t>
    </r>
  </si>
  <si>
    <t>365100000000721000</t>
  </si>
  <si>
    <r>
      <t xml:space="preserve">Total Upper Tier 2 Capital </t>
    </r>
    <r>
      <rPr>
        <b/>
        <i/>
        <sz val="8"/>
        <rFont val="Arial"/>
        <family val="2"/>
      </rPr>
      <t>[B.1 (10) minus B.2 (5)]</t>
    </r>
  </si>
  <si>
    <t>395000000000721000</t>
  </si>
  <si>
    <t>Lower Tier 2 Capital</t>
  </si>
  <si>
    <t>Paid-up limited life redeemable preferred stock without the replacement requirement upon redemption (subject to a cumulative discount factor of 20% per year during the last 5 years to maturity, i.e., 20% if the remaining life is 4 years to less than 5 years, 40% if the remaining life is 3 years to less than 4 years, etc.)</t>
  </si>
  <si>
    <t>220251000000000000</t>
  </si>
  <si>
    <t>Deposit for limited life redeemable preferred stock subscription without the replacement requirement upon redemption</t>
  </si>
  <si>
    <t>305252500000000000</t>
  </si>
  <si>
    <t>9 = 7 or 8</t>
  </si>
  <si>
    <t>100220501500731000</t>
  </si>
  <si>
    <t>Credit Default Swap (CDS)</t>
  </si>
  <si>
    <t>100220501505731000</t>
  </si>
  <si>
    <r>
      <t>Total Return Swap (TRS)</t>
    </r>
    <r>
      <rPr>
        <vertAlign val="superscript"/>
        <sz val="8"/>
        <rFont val="Arial"/>
        <family val="2"/>
      </rPr>
      <t>7/</t>
    </r>
  </si>
  <si>
    <t>100220501510731000</t>
  </si>
  <si>
    <t>100220501500732000</t>
  </si>
  <si>
    <t>100220501505732000</t>
  </si>
  <si>
    <t>_cs</t>
  </si>
  <si>
    <t>_c</t>
  </si>
  <si>
    <t>100220501510732000</t>
  </si>
  <si>
    <t>_ds</t>
  </si>
  <si>
    <t>_d</t>
  </si>
  <si>
    <t>100220501500730000</t>
  </si>
  <si>
    <t xml:space="preserve">Risk weights as per Part V.1a </t>
  </si>
  <si>
    <t>When the contract is referenced to multiple obligations under proportionate structure, positions in the reference obligations should be reported according to their respective proportions in the contract.</t>
  </si>
  <si>
    <r>
      <t xml:space="preserve">When a credit derivative is referenced to multiple entities and the contract terminates and pays out on the </t>
    </r>
    <r>
      <rPr>
        <i/>
        <sz val="8"/>
        <rFont val="Arial"/>
        <family val="2"/>
      </rPr>
      <t>first-to-default in the basket,</t>
    </r>
    <r>
      <rPr>
        <sz val="8"/>
        <rFont val="Arial"/>
        <family val="2"/>
      </rPr>
      <t xml:space="preserve"> the protection seller should report the capital charge in each of the reference obligations in the basket.  However, when the contract terminates and pays out on the </t>
    </r>
    <r>
      <rPr>
        <i/>
        <sz val="8"/>
        <rFont val="Arial"/>
        <family val="2"/>
      </rPr>
      <t>n</t>
    </r>
    <r>
      <rPr>
        <i/>
        <vertAlign val="superscript"/>
        <sz val="8"/>
        <rFont val="Arial"/>
        <family val="2"/>
      </rPr>
      <t>th-</t>
    </r>
    <r>
      <rPr>
        <i/>
        <sz val="8"/>
        <rFont val="Arial"/>
        <family val="2"/>
      </rPr>
      <t>to-default in the basket</t>
    </r>
    <r>
      <rPr>
        <sz val="8"/>
        <rFont val="Arial"/>
        <family val="2"/>
      </rPr>
      <t>, the protection seller should follow the treatment above and exclude the n-1 reference obligations with the lowest specific risk charge.</t>
    </r>
  </si>
  <si>
    <t xml:space="preserve"> The total specific and general market risks capital charges of CDS/TRS is capped at the notional amount of the derivative multiplied by 80%.</t>
  </si>
  <si>
    <t>To account for the general market risk capital charge, a protection buyer/seller in a TRS should report a short/long notional position on the reference obligation and a long/short position on a zero coupon government security representing the fixed payment under the contract.</t>
  </si>
  <si>
    <r>
      <t xml:space="preserve">PART V.1d.1   GENERAL MARKET RISK </t>
    </r>
    <r>
      <rPr>
        <sz val="8"/>
        <rFont val="Arial"/>
        <family val="2"/>
      </rPr>
      <t>(Amounts in P0.000 million)</t>
    </r>
  </si>
  <si>
    <t>Currency:</t>
  </si>
  <si>
    <r>
      <t xml:space="preserve">  (</t>
    </r>
    <r>
      <rPr>
        <b/>
        <i/>
        <sz val="8"/>
        <rFont val="Arial"/>
        <family val="2"/>
      </rPr>
      <t>Separate sheet for each currency</t>
    </r>
    <r>
      <rPr>
        <i/>
        <sz val="8"/>
        <rFont val="Arial"/>
        <family val="2"/>
      </rPr>
      <t>)</t>
    </r>
  </si>
  <si>
    <r>
      <t>Maturity Method</t>
    </r>
    <r>
      <rPr>
        <vertAlign val="superscript"/>
        <sz val="8"/>
        <rFont val="Arial"/>
        <family val="2"/>
      </rPr>
      <t>1/</t>
    </r>
  </si>
  <si>
    <t>Zone</t>
  </si>
  <si>
    <t>Times Bands</t>
  </si>
  <si>
    <t>Individual Positions</t>
  </si>
  <si>
    <t>Risk Weight</t>
  </si>
  <si>
    <t>Weighted Positions</t>
  </si>
  <si>
    <t>Coupon 3% or more</t>
  </si>
  <si>
    <t>Coupon less than 3%</t>
  </si>
  <si>
    <t>Debt Securities &amp; Debt Derivatives</t>
  </si>
  <si>
    <t>Interest Rate Derivatives</t>
  </si>
  <si>
    <t>1 month or less</t>
  </si>
  <si>
    <t>100220500505730020</t>
  </si>
  <si>
    <t>Over 1 months to 3 months</t>
  </si>
  <si>
    <t>100220500510730020</t>
  </si>
  <si>
    <t>Over 3 months to 6 months</t>
  </si>
  <si>
    <t>100220500515730020</t>
  </si>
  <si>
    <t>Over 6 months to 12 months</t>
  </si>
  <si>
    <t>100220500520730020</t>
  </si>
  <si>
    <t>Over 1 year to 2 years</t>
  </si>
  <si>
    <t>Over 1.0 year to 1.9 years</t>
  </si>
  <si>
    <t>100220500525730020</t>
  </si>
  <si>
    <t>Over 2 years to 3 years</t>
  </si>
  <si>
    <t>Over 1.9 years to 2.8 years</t>
  </si>
  <si>
    <t>100220500530730020</t>
  </si>
  <si>
    <t>Over 3 years to 4 years</t>
  </si>
  <si>
    <t>Over 2.8 years to 3.6 years</t>
  </si>
  <si>
    <t>100220500535730020</t>
  </si>
  <si>
    <t>Over 4 years to 5 years</t>
  </si>
  <si>
    <t>Over 3.6 years to 4.3 years</t>
  </si>
  <si>
    <t>100220500540730020</t>
  </si>
  <si>
    <t>Over 5 years to 7 years</t>
  </si>
  <si>
    <t>Over 4.3 years to 5.7 years</t>
  </si>
  <si>
    <t>100220500545730020</t>
  </si>
  <si>
    <t>Over 7 years to 10 years</t>
  </si>
  <si>
    <t>Over 5.7 years to 7.3 years</t>
  </si>
  <si>
    <t>100220500550730020</t>
  </si>
  <si>
    <t>Over 10 years to 15 years</t>
  </si>
  <si>
    <t>Over 7.3 years to 9.3 years</t>
  </si>
  <si>
    <t>100220500555730020</t>
  </si>
  <si>
    <t>Over 15 years to 20 years</t>
  </si>
  <si>
    <t>Over 9.3 years to 10.6 years</t>
  </si>
  <si>
    <t>100220500560730020</t>
  </si>
  <si>
    <t>Over 20 years</t>
  </si>
  <si>
    <t>Over 10.6 years to 12 years</t>
  </si>
  <si>
    <t>100220500565730020</t>
  </si>
  <si>
    <t>Over 12 years to 20 years</t>
  </si>
  <si>
    <t>100220500570730020</t>
  </si>
  <si>
    <t>100220500575730020</t>
  </si>
  <si>
    <t>100220500500730020</t>
  </si>
  <si>
    <t>Overall Net Open Position</t>
  </si>
  <si>
    <t>195220500500730020</t>
  </si>
  <si>
    <t xml:space="preserve">                        Calculation</t>
  </si>
  <si>
    <r>
      <t>Vertical disallowance</t>
    </r>
    <r>
      <rPr>
        <vertAlign val="superscript"/>
        <sz val="8"/>
        <rFont val="Arial"/>
        <family val="2"/>
      </rPr>
      <t>2/</t>
    </r>
  </si>
  <si>
    <r>
      <t>Horizontal disallowance within</t>
    </r>
    <r>
      <rPr>
        <vertAlign val="superscript"/>
        <sz val="8"/>
        <rFont val="Arial"/>
        <family val="2"/>
      </rPr>
      <t>3/</t>
    </r>
  </si>
  <si>
    <r>
      <t>Horizontal disallowance between</t>
    </r>
    <r>
      <rPr>
        <vertAlign val="superscript"/>
        <sz val="8"/>
        <rFont val="Arial"/>
        <family val="2"/>
      </rPr>
      <t>3/</t>
    </r>
  </si>
  <si>
    <t>Overall net open position</t>
  </si>
  <si>
    <r>
      <t xml:space="preserve">TOTAL </t>
    </r>
    <r>
      <rPr>
        <vertAlign val="superscript"/>
        <sz val="8"/>
        <rFont val="Arial"/>
        <family val="2"/>
      </rPr>
      <t>4/</t>
    </r>
  </si>
  <si>
    <t>Zone 1</t>
  </si>
  <si>
    <t>Zone 2</t>
  </si>
  <si>
    <t>Zone 3</t>
  </si>
  <si>
    <t>Zones 1 &amp; 2</t>
  </si>
  <si>
    <t>Zones 2 &amp; 3</t>
  </si>
  <si>
    <t>Zones 1 &amp; 3</t>
  </si>
  <si>
    <t xml:space="preserve">GENERAL MARKET RISK CAPITAL CHARGE </t>
  </si>
  <si>
    <t>All time band classifications include the last day of the period.  For options, either delta-weighted positions shall be reported above, or if the bank engages in purchase of options only as defined in the Instructions for Accomplishing the Report, the options shall be carved out and reported under the Options section.</t>
  </si>
  <si>
    <t>Horizontal Disallowances</t>
  </si>
  <si>
    <t>For each time band, vertical disallowance is 10% of the smaller of the absolute values of the offsetting positions, be it long or short (if there are any).  The amount to be reported is the sum of all vertical disallowances for all time bands.</t>
  </si>
  <si>
    <t>Zones</t>
  </si>
  <si>
    <t>Within the zone</t>
  </si>
  <si>
    <t>Between adjacent zones</t>
  </si>
  <si>
    <t>Between zones 1 &amp; 3</t>
  </si>
  <si>
    <t>Cash on hand (including foreign currency notes and coins on hand acceptable as international reserves)</t>
  </si>
  <si>
    <t>105050000000000000</t>
  </si>
  <si>
    <t>Peso denominated claims on or portions of claims guaranteed by or collateralized by peso-denominated securities issued by the Philippine National Government and the BSP</t>
  </si>
  <si>
    <t>Due from BSP</t>
  </si>
  <si>
    <t>105150000500000000</t>
  </si>
  <si>
    <t>Financial assets designated at fair value through profit or loss</t>
  </si>
  <si>
    <t>115001000500000000</t>
  </si>
  <si>
    <t>Available for sale financial assets</t>
  </si>
  <si>
    <t>195201000500000000</t>
  </si>
  <si>
    <t>Held-to-maturity financial assets</t>
  </si>
  <si>
    <t>195251000500000000</t>
  </si>
  <si>
    <t>Unquoted debt securities classified as loans</t>
  </si>
  <si>
    <t>195301000500000000</t>
  </si>
  <si>
    <t xml:space="preserve">Loans and receivables  </t>
  </si>
  <si>
    <t>195401200500000000</t>
  </si>
  <si>
    <t>Loans and receivables arising from repurchase agreements, certificates of assignment/participation with recourse, and securities lending and borrowing transactions</t>
  </si>
  <si>
    <t>195402000500000000</t>
  </si>
  <si>
    <t>Others</t>
  </si>
  <si>
    <t>199000000000000000</t>
  </si>
  <si>
    <t>(3)</t>
  </si>
  <si>
    <t>Claims on or portions of claims guaranteed by or collateralized by securities issued by central governments and central banks of foreign countries with the highest credit quality</t>
  </si>
  <si>
    <t>108100500000000000</t>
  </si>
  <si>
    <t>(4)</t>
  </si>
  <si>
    <t>Claims on or portions of claims guaranteed by or collateralized by securities issued by multilateral development banks with the highest credit quality</t>
  </si>
  <si>
    <t>108101000000000000</t>
  </si>
  <si>
    <t>(5)</t>
  </si>
  <si>
    <t>Loans to the extent covered by hold-out on, or assignment of, deposits/deposit substitutes maintained with the lending bank</t>
  </si>
  <si>
    <t>140150507500600000</t>
  </si>
  <si>
    <t>(6)</t>
  </si>
  <si>
    <t>Loans or acceptances under letters of credit (LCs) to the extent covered by margin deposits</t>
  </si>
  <si>
    <t>140150508000600000</t>
  </si>
  <si>
    <t>(7)</t>
  </si>
  <si>
    <t>Peso denominated special time deposit loans to the extent guaranteed by Industrial Guarantee and Loan Fund (IGLF)</t>
  </si>
  <si>
    <t>140150508500600000</t>
  </si>
  <si>
    <t>(8)</t>
  </si>
  <si>
    <t>Peso denominated real estate mortgage loans to the extent guaranteed by the Home Guaranty Corporation (HGC)</t>
  </si>
  <si>
    <t>140150510500600000</t>
  </si>
  <si>
    <t>(9)</t>
  </si>
  <si>
    <t>Peso denominated loans to the extent guaranteed by the Trade and Investment Development Corporation of the Philippines (TIDCORP)</t>
  </si>
  <si>
    <t>140150509500600000</t>
  </si>
  <si>
    <t>(10)</t>
  </si>
  <si>
    <r>
      <t xml:space="preserve">Sub-total 
</t>
    </r>
    <r>
      <rPr>
        <i/>
        <sz val="8"/>
        <rFont val="Arial"/>
        <family val="2"/>
      </rPr>
      <t>[Sum of A (1) to A (9)]</t>
    </r>
  </si>
  <si>
    <t>100000000000811100</t>
  </si>
  <si>
    <t xml:space="preserve">   B.    </t>
  </si>
  <si>
    <t>20% Risk Weight -</t>
  </si>
  <si>
    <t>Checks and other cash items (including foreign currency checks and other cash items denominated in currencies acceptable as international reserves)</t>
  </si>
  <si>
    <t>105100000000000000</t>
  </si>
  <si>
    <t xml:space="preserve">Claims on or portions of claims guaranteed by or collateralized by securities issued by local government units (LGUs) with the highest credit quality </t>
  </si>
  <si>
    <t>108101500000000000</t>
  </si>
  <si>
    <t xml:space="preserve">Claims on or portions of claims guaranteed by or collateralized by securities issued by non-central government public sector entities of foreign countries with the highest credit quality </t>
  </si>
  <si>
    <t>108102000000000000</t>
  </si>
  <si>
    <t xml:space="preserve">Claims on or portions of claims guaranteed by Philippine incorporated banks/quasi-banks with the highest credit quality </t>
  </si>
  <si>
    <t>108102500000000000</t>
  </si>
  <si>
    <t xml:space="preserve">Claims on or portions of claims guaranteed by foreign incorporated banks with the highest credit quality </t>
  </si>
  <si>
    <t>108103000000000000</t>
  </si>
  <si>
    <t>Interbank call loans</t>
  </si>
  <si>
    <t>195401000500000000</t>
  </si>
  <si>
    <t xml:space="preserve">Claims on or portion of claims guaranteed by Philippine incorporated private enterprises, including claims on government corporations and MSME not qualifying under highly diversified loan portfolio definition, with the highest credit quality </t>
  </si>
  <si>
    <t>108103500000000000</t>
  </si>
  <si>
    <t xml:space="preserve">Claims on or portion of claims guaranteed by foreign incorporated private enterprises, including claims on government corporations, with the highest credit quality </t>
  </si>
  <si>
    <t>108104000000000000</t>
  </si>
  <si>
    <r>
      <t xml:space="preserve">Adjusted Capital Charge For Foreign Exchange Exposures (D. times 125%) </t>
    </r>
    <r>
      <rPr>
        <vertAlign val="superscript"/>
        <sz val="8"/>
        <rFont val="Arial"/>
        <family val="2"/>
      </rPr>
      <t>4/</t>
    </r>
  </si>
  <si>
    <t>996000000000821300</t>
  </si>
  <si>
    <r>
      <t xml:space="preserve">TOTAL RISK-WEIGHTED FOREIGN EXCHANGE EXPOSURES (E. times 10) </t>
    </r>
    <r>
      <rPr>
        <vertAlign val="superscript"/>
        <sz val="8"/>
        <rFont val="Arial"/>
        <family val="2"/>
      </rPr>
      <t>5/</t>
    </r>
  </si>
  <si>
    <t>For consolidated reporting only</t>
  </si>
  <si>
    <t>Conversion rate shall be defined under existing regulations.</t>
  </si>
  <si>
    <t>Overall net open position shall be the greater of the absolute value of the sum of the net long position or the sum of net short position.</t>
  </si>
  <si>
    <r>
      <t xml:space="preserve">Adjusted capital charge is multiplied by 10 </t>
    </r>
    <r>
      <rPr>
        <i/>
        <sz val="8"/>
        <rFont val="Arial"/>
        <family val="2"/>
      </rPr>
      <t>(i.e. the reciprocal of the minimum capital ratio of 10%) (to Part V, Item A.3)</t>
    </r>
  </si>
  <si>
    <t>Bank</t>
  </si>
  <si>
    <t>Industry</t>
  </si>
  <si>
    <t>BkCode</t>
  </si>
  <si>
    <t>Acronym</t>
  </si>
  <si>
    <t>RepType</t>
  </si>
  <si>
    <t>Quarter</t>
  </si>
  <si>
    <t>Year</t>
  </si>
  <si>
    <t>Reserve</t>
  </si>
  <si>
    <t>Report Ver</t>
  </si>
  <si>
    <t>CAR</t>
  </si>
  <si>
    <t>Reporting System</t>
  </si>
  <si>
    <t>Template Ver</t>
  </si>
  <si>
    <t>Release Date</t>
  </si>
  <si>
    <t>BANK ONE SAVINGS AND TRUST CORP.</t>
  </si>
  <si>
    <t>BATAAN DEVELOPMENT BANK</t>
  </si>
  <si>
    <t>BATAAN SAVINGS AND LOAN BANK</t>
  </si>
  <si>
    <t>BDO ELITE SAVINGS BANK INC</t>
  </si>
  <si>
    <t>BPI DIRECT SAVINGS BANK INC</t>
  </si>
  <si>
    <t>BPI FAMILY SAVINGS BANK INC</t>
  </si>
  <si>
    <t>BPI GLOBE BANKO INC A SAVINGS BANK</t>
  </si>
  <si>
    <t>BUSINESS AND CONSUMERS BANK (A DB)</t>
  </si>
  <si>
    <t>CARD SME BANK INC A THRIFT BANK</t>
  </si>
  <si>
    <t>CENTURY SAVINGS BANK CORPORATION</t>
  </si>
  <si>
    <t>CHINA BANK SAVINGS INC</t>
  </si>
  <si>
    <t>CITIBANK SAVINGS INC</t>
  </si>
  <si>
    <t>CITY SAVINGS BANK INC</t>
  </si>
  <si>
    <t>CITYSTATE SAVINGS BANK INC</t>
  </si>
  <si>
    <t>COMSAVINGS BANK</t>
  </si>
  <si>
    <t>CORDILLERA SAVINGS BANK INC</t>
  </si>
  <si>
    <t>DUMAGUETE CITY DEV BANK INC</t>
  </si>
  <si>
    <t>DUNGGANON BANK (A MF TB) INC</t>
  </si>
  <si>
    <t>ENTERPRISE BANK INC (A THRIFT BANK)</t>
  </si>
  <si>
    <t>EQUICOM SAVINGS BANK INC</t>
  </si>
  <si>
    <t>FARMERS SAVINGS &amp; LOAN BANK INC</t>
  </si>
  <si>
    <t>FIRST CONSOLIDATED BANK INC (A PDB)</t>
  </si>
  <si>
    <t>HIYAS BANKING CORPORATION</t>
  </si>
  <si>
    <t>HSBC SAVINGS BANK(PHILS) INC</t>
  </si>
  <si>
    <t>ILOILO CITY DEVELOPMENT BANK</t>
  </si>
  <si>
    <t>INTER-ASIA DEVELOPMENT BANK</t>
  </si>
  <si>
    <t>ISLA BANK(A THRIFT BANK) INC</t>
  </si>
  <si>
    <t>LEGAZPI SAVINGS BANK INC</t>
  </si>
  <si>
    <t>LEMERY SAVINGS &amp; LOAN BANK, INC.</t>
  </si>
  <si>
    <t>LIFE SAVINGS BANK INC</t>
  </si>
  <si>
    <t>LUZON DEVELOPMENT BANK</t>
  </si>
  <si>
    <t>MALASIQUI PROGRESSIVE SLB, INC</t>
  </si>
  <si>
    <t>MALAYAN BANK SAVINGS AND MORT BANK</t>
  </si>
  <si>
    <t>MARITIME SAVINGS BANK CORPORATION</t>
  </si>
  <si>
    <t>MERCHANTS SAVINGS &amp; LOAN ASSN INC</t>
  </si>
  <si>
    <t>METRO CEBU PUBLIC SAVINGS BANK</t>
  </si>
  <si>
    <t>MICROFINANCE MAXIMUM SB INC</t>
  </si>
  <si>
    <t>NORTHPOINT DEV'T BANK INC</t>
  </si>
  <si>
    <t>OPPORTUNITY KAUSWAGAN BANK(A MF TB)</t>
  </si>
  <si>
    <t>OPTIMUM DEVELOPMENT BANK INC</t>
  </si>
  <si>
    <t>PACIFIC ACE SAVINGS BANK INC</t>
  </si>
  <si>
    <t>PAMPANGA DEVELOPMENT BANK</t>
  </si>
  <si>
    <t>PENBANK INC (A PDB)</t>
  </si>
  <si>
    <t>PHIL POSTAL SAVINGS BANK INC</t>
  </si>
  <si>
    <t>PHIL RESOURCES SB CORP (PR SB)</t>
  </si>
  <si>
    <t>PHIL SAVINGS BANK</t>
  </si>
  <si>
    <t>PHILIPPINE BUSINESS BANK INC A SB</t>
  </si>
  <si>
    <t>PLANTERS DEVELOPMENT BANK</t>
  </si>
  <si>
    <t>PRIDE STAR DEVELOPMENT BANK INC</t>
  </si>
  <si>
    <t>PRODUCERS SAVINGS BANK CORPORATION</t>
  </si>
  <si>
    <t>PROGRESS SAVINGS AND LOAN BANK INC</t>
  </si>
  <si>
    <t>QUEEN CITY DB INC OR QUEENBANK A TB</t>
  </si>
  <si>
    <t>QUEZON COCONUT BANK INC (A TB)</t>
  </si>
  <si>
    <t>RCBC SAVINGS BANK INC</t>
  </si>
  <si>
    <t>SAMPAGUITA SAVINGS BANK INC</t>
  </si>
  <si>
    <t>SECURITY BANK SAVINGS CORPORATION</t>
  </si>
  <si>
    <t>SILANGAN SAVINGS &amp; LOAN BANK INC</t>
  </si>
  <si>
    <t>STERLING BANK OF ASIA INC (A SB)</t>
  </si>
  <si>
    <t>SUN SAVINGS BANK INC</t>
  </si>
  <si>
    <t>THE PALAWAN BANK (PALAWAN DB) INC</t>
  </si>
  <si>
    <t>THE REAL BANK (A THRIFT BANK) INC</t>
  </si>
  <si>
    <t>TOWER DEVELOPMENT BANK</t>
  </si>
  <si>
    <t>UCPB SAVINGS BANK</t>
  </si>
  <si>
    <t>UNITED OVERSEAS BANK PHILIPPINES</t>
  </si>
  <si>
    <t>UNIVERSITY SAVINGS BANK INC</t>
  </si>
  <si>
    <t>VILLAGE BANK INC (A THRIFT BANK)</t>
  </si>
  <si>
    <t>WEALTH DEVELOPMENT BANK CORPORATION</t>
  </si>
  <si>
    <t>WORLD PARTNERS BANK (A THRIFT BANK)</t>
  </si>
  <si>
    <t>1ST MACRO BANK INC (A RURAL BANK)</t>
  </si>
  <si>
    <t>1ST VALLEY BANK INC (A RB)</t>
  </si>
  <si>
    <t>5 SPEED RURAL BANK INC</t>
  </si>
  <si>
    <t>ADVANTAGE BANK CORP (A MF RB)</t>
  </si>
  <si>
    <t>AGRIBUSINESS RURAL BANK INC</t>
  </si>
  <si>
    <t>AGRICOM RURAL BANK INC</t>
  </si>
  <si>
    <t>AGRICULTURAL BANK OF THE PHIL INC</t>
  </si>
  <si>
    <t>ALIAGA FARMERS RURAL BANK INC</t>
  </si>
  <si>
    <r>
      <t xml:space="preserve">Significant minority investments (20%-50% of voting stock) in banks and other financial allied undertakings (for both solo and consolidated bases) 
</t>
    </r>
    <r>
      <rPr>
        <i/>
        <sz val="8"/>
        <rFont val="Arial"/>
        <family val="2"/>
      </rPr>
      <t>[refer to Part II. Item D (4)]</t>
    </r>
  </si>
  <si>
    <t>165505000000811000</t>
  </si>
  <si>
    <t>(k)</t>
  </si>
  <si>
    <r>
      <t xml:space="preserve">Reciprocal investments in equity/other regulatory capital instruments of other banks/quasi-banks/enterprises 
</t>
    </r>
    <r>
      <rPr>
        <i/>
        <sz val="8"/>
        <rFont val="Arial"/>
        <family val="2"/>
      </rPr>
      <t>[refer to Part II. Item D (5)]</t>
    </r>
  </si>
  <si>
    <t>165505500000811000</t>
  </si>
  <si>
    <t>(l)</t>
  </si>
  <si>
    <t>Net accumulated market gains/(losses) on available for sale debt securities purchased</t>
  </si>
  <si>
    <t>165506000000811000</t>
  </si>
  <si>
    <t>(m)</t>
  </si>
  <si>
    <t>Financial Assets Held for Trading</t>
  </si>
  <si>
    <t>165506500000811000</t>
  </si>
  <si>
    <t>(n)</t>
  </si>
  <si>
    <t>Derivatives with Positive Fair Value Held for Hedging</t>
  </si>
  <si>
    <t>165507000000811000</t>
  </si>
  <si>
    <t>(o)</t>
  </si>
  <si>
    <r>
      <t xml:space="preserve">Total Deductions 
</t>
    </r>
    <r>
      <rPr>
        <i/>
        <sz val="8"/>
        <rFont val="Arial"/>
        <family val="2"/>
      </rPr>
      <t>[Sum of G(2)(a) to G(2)(n)]</t>
    </r>
  </si>
  <si>
    <t>165500000000811000</t>
  </si>
  <si>
    <r>
      <t xml:space="preserve">Net Other Assets 
</t>
    </r>
    <r>
      <rPr>
        <i/>
        <sz val="8"/>
        <rFont val="Arial"/>
        <family val="2"/>
      </rPr>
      <t xml:space="preserve">[G (1)(d) minus G (2)(o)] </t>
    </r>
  </si>
  <si>
    <t>195000000000811000</t>
  </si>
  <si>
    <t xml:space="preserve">   H.    </t>
  </si>
  <si>
    <t>This shall refer to the outstanding balance of the account inclusive of unamortized discount/(premium) and accumulated market gains/(losses), and net of allowance for credit losses, except that for available for sale debt securities, any accumulated market gains/(losses) shall be deducted/added back.</t>
  </si>
  <si>
    <r>
      <t xml:space="preserve">PART III.2  RISK-WEIGHTED OFF-BALANCE SHEET ASSETS </t>
    </r>
    <r>
      <rPr>
        <sz val="8"/>
        <rFont val="Arial"/>
        <family val="2"/>
      </rPr>
      <t>(Amounts in P0.000 million)</t>
    </r>
  </si>
  <si>
    <t>Nature of item</t>
  </si>
  <si>
    <t>Seq. No.</t>
  </si>
  <si>
    <t xml:space="preserve">Notional Principal Amount </t>
  </si>
  <si>
    <t>Credit Conv. Factor (CCF)</t>
  </si>
  <si>
    <t xml:space="preserve">Credit Equivalent Amount </t>
  </si>
  <si>
    <r>
      <t xml:space="preserve">Distribution of Credit Equivalent Amount According to Risk Weights  </t>
    </r>
    <r>
      <rPr>
        <vertAlign val="superscript"/>
        <sz val="8"/>
        <rFont val="Arial"/>
        <family val="2"/>
      </rPr>
      <t>1/</t>
    </r>
  </si>
  <si>
    <t>Total</t>
  </si>
  <si>
    <t>(3) =(1)*(2)</t>
  </si>
  <si>
    <t>(Sum of 4 to 7)</t>
  </si>
  <si>
    <t>A.</t>
  </si>
  <si>
    <t>Direct credit substitutes (.e.g. general guarantees of indebtedness and acceptances)</t>
  </si>
  <si>
    <t>Guarantees issued other than shipside bonds/airway bills</t>
  </si>
  <si>
    <t>405000000000000000</t>
  </si>
  <si>
    <t>Financial standby letters of credit - domestic (net of margin deposit)</t>
  </si>
  <si>
    <t>410050500000000000</t>
  </si>
  <si>
    <t>Financial standby letters of credit - foreign (net of margin deposit)</t>
  </si>
  <si>
    <t>410051000000000000</t>
  </si>
  <si>
    <r>
      <t xml:space="preserve">Sub-total 
</t>
    </r>
    <r>
      <rPr>
        <i/>
        <sz val="8"/>
        <rFont val="Arial"/>
        <family val="2"/>
      </rPr>
      <t>[Sum of A (1) to A (3)]</t>
    </r>
  </si>
  <si>
    <t>403000000000000000</t>
  </si>
  <si>
    <r>
      <t xml:space="preserve">Risk-weighted amount 
</t>
    </r>
    <r>
      <rPr>
        <i/>
        <sz val="8"/>
        <rFont val="Arial"/>
        <family val="2"/>
      </rPr>
      <t>[ A(4) x applicable risk weight]</t>
    </r>
  </si>
  <si>
    <t>403000000000812000</t>
  </si>
  <si>
    <t>B.</t>
  </si>
  <si>
    <t>Transaction-related contingencies  (e.g., performance bonds, bid bonds, warrantees and stand-by LCs related to particular transactions)</t>
  </si>
  <si>
    <t>Performance Standby LCs – domestic (net of margin deposit) established as a guarantee that a business transaction will be performed</t>
  </si>
  <si>
    <t>410100500000000000</t>
  </si>
  <si>
    <t>Performance Standby LCs – foreign (net of margin deposit) established as a guarantee that a business transaction will be performed</t>
  </si>
  <si>
    <t>410101000000000000</t>
  </si>
  <si>
    <t xml:space="preserve">Other Commitments e.g. formal standby facilities and credit lines with maturity of more than one year </t>
  </si>
  <si>
    <t>425200000000000000</t>
  </si>
  <si>
    <r>
      <t xml:space="preserve">Sub-total 
</t>
    </r>
    <r>
      <rPr>
        <i/>
        <sz val="8"/>
        <rFont val="Arial"/>
        <family val="2"/>
      </rPr>
      <t>[Sum of B (1) to B (3)]</t>
    </r>
  </si>
  <si>
    <t>408000000000000000</t>
  </si>
  <si>
    <r>
      <t xml:space="preserve">Risk-weighted amount 
</t>
    </r>
    <r>
      <rPr>
        <i/>
        <sz val="8"/>
        <rFont val="Arial"/>
        <family val="2"/>
      </rPr>
      <t>[ B (4) x applicable risk weight]</t>
    </r>
  </si>
  <si>
    <t>408000000000812000</t>
  </si>
  <si>
    <t>C.</t>
  </si>
  <si>
    <t>Trade-related contingencies arising from movement of goods (e.g., documentary credits collateralized by the underlying shipments) and commitments with an original maturity of up to one (1) year</t>
  </si>
  <si>
    <t>Trade related guarantees  – shipside bonds/airway bills</t>
  </si>
  <si>
    <t>420100000000000000</t>
  </si>
  <si>
    <t>Trade related guarantees  – LCs confirmed</t>
  </si>
  <si>
    <t>420050000000000000</t>
  </si>
  <si>
    <t>Sight LCs - domestic (net of margin deposit)</t>
  </si>
  <si>
    <t>415050500000000000</t>
  </si>
  <si>
    <t>Sight LCs - foreign (net of margin deposit)</t>
  </si>
  <si>
    <t>415051000000000000</t>
  </si>
  <si>
    <t>Usance LCs - domestic (net of margin deposit)</t>
  </si>
  <si>
    <t>415100500000000000</t>
  </si>
  <si>
    <t>Usance LCs - foreign (net of margin deposit)</t>
  </si>
  <si>
    <t>415101000000000000</t>
  </si>
  <si>
    <t>Deferred LCs - domestic (net of margin deposit)</t>
  </si>
  <si>
    <t>415150500000000000</t>
  </si>
  <si>
    <t>Deferred LCs - foreign (net of margin deposit)</t>
  </si>
  <si>
    <t>415151000000000000</t>
  </si>
  <si>
    <t>Revolving LCs - domestic (net of margin deposit) arising from movement of goods and/or services</t>
  </si>
  <si>
    <t>415200500000000000</t>
  </si>
  <si>
    <t>FIRST COMMUNITY BANK INC (RB)</t>
  </si>
  <si>
    <t>FIRST INTEGRITY BNK INC (RB BAILEN)</t>
  </si>
  <si>
    <t>FIRST MIDLAND RURAL BANK INC</t>
  </si>
  <si>
    <t>FIRST MINDORO MICROFINANCE RB INC</t>
  </si>
  <si>
    <t>FIRST NAGA RURAL BANK INC</t>
  </si>
  <si>
    <t>FIRST STATE RURAL BANK INC</t>
  </si>
  <si>
    <t>FIRST TAGUM RURAL BANK INC</t>
  </si>
  <si>
    <t>FIRST UNITED FARMERS RB INC</t>
  </si>
  <si>
    <t>FRONTIER RURAL BANK INC</t>
  </si>
  <si>
    <t>GATEWAY RURAL BANK INC</t>
  </si>
  <si>
    <t>GM BANK OF LUZON INC (A RURAL BANK)</t>
  </si>
  <si>
    <t>GOLDEN RB OF THE PHILS</t>
  </si>
  <si>
    <t>GRAND-AGRI RURAL BANK</t>
  </si>
  <si>
    <t>GREEN BANK INC (A RURAL BANK)</t>
  </si>
  <si>
    <t>GUAGUA RURAL BANK INC</t>
  </si>
  <si>
    <t>GUAGUA SAVERS BANK(A RB) INC</t>
  </si>
  <si>
    <t>HIGHLAND RURAL BANK INC</t>
  </si>
  <si>
    <t>IMUS RURAL BANK INC</t>
  </si>
  <si>
    <t>INNOVATIVE BANK INC (A RURAL BANK)</t>
  </si>
  <si>
    <t>INSULAR RURAL BANK</t>
  </si>
  <si>
    <t>JANIUAY RURAL BANK INC</t>
  </si>
  <si>
    <t>KALUYAGAN RURAL BANK INC</t>
  </si>
  <si>
    <t>KATIPUNAN BANK (ZAMB DN) INC "A RB"</t>
  </si>
  <si>
    <t>KEY RURAL BANK INC</t>
  </si>
  <si>
    <t>KORONADAL RURAL BANK INC</t>
  </si>
  <si>
    <t>LA CONSOLACION RURAL BANK INC</t>
  </si>
  <si>
    <t>LAGAWE HIGHLANDS RB INC</t>
  </si>
  <si>
    <t>LAGUNA PRESTIGE BANKING CORP (A RB)</t>
  </si>
  <si>
    <t>LAPU-LAPU RB INC</t>
  </si>
  <si>
    <t>LIBERTY BANK (A RURAL BANK) INC</t>
  </si>
  <si>
    <t>LIMCOMA RURAL BANK INC</t>
  </si>
  <si>
    <t>LIPA BANK INC (A RB)</t>
  </si>
  <si>
    <t>LUDB BANK INC (A RB)</t>
  </si>
  <si>
    <t>MACTAN RURAL BANK (LAPU-LAPU) INC</t>
  </si>
  <si>
    <t>MAHARLIKA RURAL BANK INC</t>
  </si>
  <si>
    <t>MALARAYAT RB INC</t>
  </si>
  <si>
    <t>MALAYBALAY RB INC</t>
  </si>
  <si>
    <t>MALLIG PLAINS RURAL BANK (ISABELA)</t>
  </si>
  <si>
    <t>MASAGANA RURAL BANK (G NAT NE) INC</t>
  </si>
  <si>
    <t>MASANTOL RURAL BANK INC</t>
  </si>
  <si>
    <t>MASUWERTE RB OF BACOOR (CAVITE) INC</t>
  </si>
  <si>
    <t>MEGA RURAL BANK (LUCENA CITY) INC</t>
  </si>
  <si>
    <t>MEYCAUAYAN SECOND RURAL BANK INC</t>
  </si>
  <si>
    <t>MISAMIS BANK INC A RURAL BANK</t>
  </si>
  <si>
    <t>MONEY MALL RB INC</t>
  </si>
  <si>
    <t>MOUNT MAKILING RURAL BANK INC</t>
  </si>
  <si>
    <t>MT CARMEL RURAL BANK INC</t>
  </si>
  <si>
    <t>MUNICIPAL RB OF LIBMANAN(CAM SUR)IN</t>
  </si>
  <si>
    <t>MUNICIPAL RB OF NABUA (CAM SUR) INC</t>
  </si>
  <si>
    <t>MVSM BANK (A RURAL BANK SINCE 1953)</t>
  </si>
  <si>
    <t>NAAWAN COMMUNITY RB (MIS OR) INC</t>
  </si>
  <si>
    <t>NEW COVENANT BANK INC(A RURAL BANK)</t>
  </si>
  <si>
    <t>NEW RB OF AGONCILLO INC</t>
  </si>
  <si>
    <t>NEW RB OF BINALBAGAN (NEG OCC) INC</t>
  </si>
  <si>
    <t>NEW RB OF SAN LEONARDO(N.E.) INC</t>
  </si>
  <si>
    <t>NORTH PACIFIC BANKING CORP (A RB)</t>
  </si>
  <si>
    <t>OCCIDENTAL MINDORO RURAL BANK INC</t>
  </si>
  <si>
    <t>ONE NETWORK BANK INC (A RB)</t>
  </si>
  <si>
    <t>OR TAMARAW RB OF NAUJAN(OR MDO) INC</t>
  </si>
  <si>
    <t>ORMON BANK(RB OF MULANAY(QUEZON)INC</t>
  </si>
  <si>
    <t>OWN BANK THE RB OF CAVITE CITY INC</t>
  </si>
  <si>
    <t>PANGASINAN BANK (A RB) INC</t>
  </si>
  <si>
    <t>PANGUIL BAY RB OF OZAMIZ INC</t>
  </si>
  <si>
    <t>PARTNER RURAL BANK (COTABATO) INC</t>
  </si>
  <si>
    <t>PENAFRANCIA RB OF CALABANGA (CS)INC</t>
  </si>
  <si>
    <t>PEOPLES BANK OF CARAGA INC (A RB)</t>
  </si>
  <si>
    <t>PEOPLE'S RB(GEN SANTOS CITY) INC</t>
  </si>
  <si>
    <t>PHILIPPINE SME BANK INC A RB</t>
  </si>
  <si>
    <t>PLANBANK "RB OF CANLUBANG PLANTERS</t>
  </si>
  <si>
    <t>PROGRESSIVE BANK INC(PROG.A RB INC)</t>
  </si>
  <si>
    <t>PROGRESSIVE RURAL BANK INC</t>
  </si>
  <si>
    <t>PROVIDENCE RURAL BANK INC</t>
  </si>
  <si>
    <t>PROVIDENT RB OF STA CRUZ(LAGUNA)INC</t>
  </si>
  <si>
    <t>QUEZON CAPITAL RB INC</t>
  </si>
  <si>
    <t>QUEZON TRADERS RB OF CANDELARIA INC</t>
  </si>
  <si>
    <t>RACSO'S BANK INC (A RURAL BANK)</t>
  </si>
  <si>
    <t>RANG-AY BANK INC (A RURAL BANK)</t>
  </si>
  <si>
    <t>RB OF ABUCAY (BATAAN) INC</t>
  </si>
  <si>
    <t>RB OF AGOO INC</t>
  </si>
  <si>
    <t>RB OF ALABAT (QUEZON) INC</t>
  </si>
  <si>
    <t>RB OF ALABEL (SARANGANI) INC</t>
  </si>
  <si>
    <t>RB OF ALAMINOS (LAGUNA) INC</t>
  </si>
  <si>
    <t>RB OF ALAMINOS (PANGASINAN) INC</t>
  </si>
  <si>
    <t>RB OF ALICIA (ISABELA) INC</t>
  </si>
  <si>
    <t>RB OF ALIMODIAN (ILOILO) INC</t>
  </si>
  <si>
    <t>RB OF ALITAGTAG INC</t>
  </si>
  <si>
    <t>RB OF ALTAVAS (AKLAN) INC</t>
  </si>
  <si>
    <t>RB OF AMADEO(CAVITE)INC</t>
  </si>
  <si>
    <t>RB OF AMLAN (NEGROS ORIENTAL) INC</t>
  </si>
  <si>
    <t>RB OF ANDA (PANGASINAN) INC</t>
  </si>
  <si>
    <t>RB OF ANGAT (BULACAN) INC</t>
  </si>
  <si>
    <t>RB OF ANGELES INC</t>
  </si>
  <si>
    <t>RB OF ANGONO INC</t>
  </si>
  <si>
    <t>RB OF ANTIPOLO INC</t>
  </si>
  <si>
    <t>RB OF APALIT INC</t>
  </si>
  <si>
    <t>RB OF ARITAO INC</t>
  </si>
  <si>
    <t>RB OF ATIMONAN INC</t>
  </si>
  <si>
    <t>RB OF BACNOTAN INC</t>
  </si>
  <si>
    <t>RB OF BACO (ORIENTAL MINDORO) INC</t>
  </si>
  <si>
    <t>RB OF BACOLOD CITY INC</t>
  </si>
  <si>
    <t>RB OF BACONG (NEGROS ORIENTAL) INC</t>
  </si>
  <si>
    <t>RB OF BAGABAG (N.V.)INC</t>
  </si>
  <si>
    <t>RB OF BAGAC BATAAN INC</t>
  </si>
  <si>
    <t>RB OF BAGUIO INC</t>
  </si>
  <si>
    <t>RB OF BALINGASAG (MISAMIS OR) INC</t>
  </si>
  <si>
    <t>RB OF BALUNGAO (PANGASINAN) INC</t>
  </si>
  <si>
    <t>RB OF BAMBANG (NUEVA VIZCAYA) INC</t>
  </si>
  <si>
    <t>RB OF BANGA (AKLAN) INC</t>
  </si>
  <si>
    <t>RB OF BANSUD (ORIENTAL MINDORO) INC</t>
  </si>
  <si>
    <t>RB OF BARILI (CEBU) INC</t>
  </si>
  <si>
    <t>RB OF BAROTAC NUEVO INC</t>
  </si>
  <si>
    <t>RB OF BAROTAC VIEJO (ILOILO) INC</t>
  </si>
  <si>
    <t>RB OF BASAY (NEGROS ORIENTAL) INC</t>
  </si>
  <si>
    <t>RB OF BASEY (SAMAR) INC</t>
  </si>
  <si>
    <t>RB OF BATAC INC</t>
  </si>
  <si>
    <t>RB OF BATO (LEYTE) INC</t>
  </si>
  <si>
    <t>RB OF BAUANG INC</t>
  </si>
  <si>
    <t>RB OF BAY INC</t>
  </si>
  <si>
    <t>RB OF BAYAMBANG (PANGASINAN) INC</t>
  </si>
  <si>
    <t>RB OF BAYAWAN (NEGROS ORIENTAL) INC</t>
  </si>
  <si>
    <t>RB OF BAYOMBONG INC</t>
  </si>
  <si>
    <t>RB OF BOGO (CEBU) INC</t>
  </si>
  <si>
    <t>RB OF BOLINAO (PANG) INC</t>
  </si>
  <si>
    <t>RB OF BONGABONG (OR MINDORO) INC</t>
  </si>
  <si>
    <t>RB OF BONIFACIO (MISAMIS OCC) INC</t>
  </si>
  <si>
    <t>RB OF BONTOC (MT PROVINCE) INC</t>
  </si>
  <si>
    <r>
      <t xml:space="preserve">Sub-total 
</t>
    </r>
    <r>
      <rPr>
        <i/>
        <sz val="8"/>
        <rFont val="Arial"/>
        <family val="2"/>
      </rPr>
      <t>(A.1 minus A.2)</t>
    </r>
  </si>
  <si>
    <t>505000000000000000</t>
  </si>
  <si>
    <t>B.  Other non-interest income</t>
  </si>
  <si>
    <t>Dividend Income</t>
  </si>
  <si>
    <t>510050000000000000</t>
  </si>
  <si>
    <t>Fees and Commissions Income</t>
  </si>
  <si>
    <t>510100000000000000</t>
  </si>
  <si>
    <t>Net Gain/loss on Financial Assets and Liabilities Held for Trading</t>
  </si>
  <si>
    <t>510150000000000000</t>
  </si>
  <si>
    <t>Net Gain/loss on Financial Assets and Liabilities Designated at Fair Value through Profit or Loss</t>
  </si>
  <si>
    <t>510200000000000000</t>
  </si>
  <si>
    <t>Net Profit/loss on Foreign Exchange</t>
  </si>
  <si>
    <t>510250000000000000</t>
  </si>
  <si>
    <t>Net Gain/loss on Fair Value Adjustment in Hedge Accounting</t>
  </si>
  <si>
    <t>510350000000000000</t>
  </si>
  <si>
    <t xml:space="preserve">Other Income </t>
  </si>
  <si>
    <t>510450000000000000</t>
  </si>
  <si>
    <r>
      <t xml:space="preserve">Sub-total 
</t>
    </r>
    <r>
      <rPr>
        <i/>
        <sz val="8"/>
        <rFont val="Arial"/>
        <family val="2"/>
      </rPr>
      <t>(Sum of B.1 to B.7)</t>
    </r>
  </si>
  <si>
    <t>510000000000000000</t>
  </si>
  <si>
    <r>
      <t xml:space="preserve">C.   Gross Income 
</t>
    </r>
    <r>
      <rPr>
        <i/>
        <sz val="8"/>
        <rFont val="Arial"/>
        <family val="2"/>
      </rPr>
      <t xml:space="preserve">      (Sum of A.3 and B.8) </t>
    </r>
  </si>
  <si>
    <t>500000000000000000</t>
  </si>
  <si>
    <r>
      <t xml:space="preserve">D.   Capital Charge 
</t>
    </r>
    <r>
      <rPr>
        <i/>
        <sz val="8"/>
        <rFont val="Arial"/>
        <family val="2"/>
      </rPr>
      <t xml:space="preserve">       [C (average) multiply by Capital 
       Charge Factor of 12% </t>
    </r>
    <r>
      <rPr>
        <i/>
        <vertAlign val="superscript"/>
        <sz val="8"/>
        <rFont val="Arial"/>
        <family val="2"/>
      </rPr>
      <t>2/</t>
    </r>
    <r>
      <rPr>
        <i/>
        <sz val="8"/>
        <rFont val="Arial"/>
        <family val="2"/>
      </rPr>
      <t>]</t>
    </r>
    <r>
      <rPr>
        <sz val="8"/>
        <rFont val="Arial"/>
        <family val="2"/>
      </rPr>
      <t xml:space="preserve">
   </t>
    </r>
  </si>
  <si>
    <t>990000000000830000</t>
  </si>
  <si>
    <r>
      <t xml:space="preserve">E.    Adjusted Capital Charge
 </t>
    </r>
    <r>
      <rPr>
        <i/>
        <sz val="8"/>
        <rFont val="Arial"/>
        <family val="2"/>
      </rPr>
      <t xml:space="preserve">     (D multiply by 125%)</t>
    </r>
  </si>
  <si>
    <t>996000000000830000</t>
  </si>
  <si>
    <r>
      <t xml:space="preserve">F.   TOTAL OPERATIONAL RISK-WEIGHTED ASSETS
</t>
    </r>
    <r>
      <rPr>
        <i/>
        <sz val="8"/>
        <rFont val="Arial"/>
        <family val="2"/>
      </rPr>
      <t xml:space="preserve">      (E multiply by 10)</t>
    </r>
  </si>
  <si>
    <t>When calculating the average, include only the positive annual gross income; hence, figures for any year in which annual gross income is negative or zero should be excluded from both the numerator and denominator.</t>
  </si>
  <si>
    <t>The capital charge shall be applied over a 3-year period, i.e., 4% capital charge shall be applied by 1 January 2012,  8%  by  1 January 2013, and 12% by 1 January 2014.</t>
  </si>
  <si>
    <r>
      <t xml:space="preserve">PART V.  MARKET RISK-WEIGHTED ASSETS  </t>
    </r>
    <r>
      <rPr>
        <sz val="8"/>
        <rFont val="Arial"/>
        <family val="2"/>
      </rPr>
      <t>(Amounts in P0.000 million)</t>
    </r>
  </si>
  <si>
    <t>Using Standardized Approach</t>
  </si>
  <si>
    <t>Interest Rate Exposures</t>
  </si>
  <si>
    <t>100000000000821100</t>
  </si>
  <si>
    <t>Equity Exposures</t>
  </si>
  <si>
    <t>100000000000821200</t>
  </si>
  <si>
    <t>Foreign Exchange Exposures</t>
  </si>
  <si>
    <t>100000000000821300</t>
  </si>
  <si>
    <t>Options</t>
  </si>
  <si>
    <t>100000000000821400</t>
  </si>
  <si>
    <t>Sub-total (Sum of A.1 to A.4)</t>
  </si>
  <si>
    <t>100000000000821000</t>
  </si>
  <si>
    <t>Using Internal Models Approach</t>
  </si>
  <si>
    <t>100000000000822000</t>
  </si>
  <si>
    <r>
      <t xml:space="preserve">TOTAL MARKET RISK-WEIGHTED ASSETS </t>
    </r>
    <r>
      <rPr>
        <vertAlign val="superscript"/>
        <sz val="8"/>
        <rFont val="Arial"/>
        <family val="2"/>
      </rPr>
      <t xml:space="preserve">1/ </t>
    </r>
    <r>
      <rPr>
        <sz val="8"/>
        <rFont val="Arial"/>
        <family val="2"/>
      </rPr>
      <t>(Sum of A.5 and B)</t>
    </r>
  </si>
  <si>
    <t>B = 0, for banks that calculate capital charge for all its risk exposures using the standardized approach.</t>
  </si>
  <si>
    <r>
      <t>Part V.1  INTEREST RATE EXPOSURES</t>
    </r>
    <r>
      <rPr>
        <sz val="8"/>
        <rFont val="Arial"/>
        <family val="2"/>
      </rPr>
      <t xml:space="preserve"> (Amounts in P0.000 million)</t>
    </r>
  </si>
  <si>
    <t>Currency</t>
  </si>
  <si>
    <t xml:space="preserve">Amount </t>
  </si>
  <si>
    <t>Specific risk</t>
  </si>
  <si>
    <t>990220500000821110</t>
  </si>
  <si>
    <t xml:space="preserve">General market risk </t>
  </si>
  <si>
    <t>Philippine Peso</t>
  </si>
  <si>
    <t>PHP</t>
  </si>
  <si>
    <t>990220500500821120</t>
  </si>
  <si>
    <t>U.S. Dollar</t>
  </si>
  <si>
    <t>USD</t>
  </si>
  <si>
    <t>990220501000821120</t>
  </si>
  <si>
    <t>Japanese Yen</t>
  </si>
  <si>
    <t>JPY</t>
  </si>
  <si>
    <t>990220501500821120</t>
  </si>
  <si>
    <t>Swiss Franc</t>
  </si>
  <si>
    <t>CHF</t>
  </si>
  <si>
    <t>990220502000821120</t>
  </si>
  <si>
    <t>Pound Sterling</t>
  </si>
  <si>
    <t>GBP</t>
  </si>
  <si>
    <t>990220502500821120</t>
  </si>
  <si>
    <t xml:space="preserve">Euro </t>
  </si>
  <si>
    <t>EUR</t>
  </si>
  <si>
    <t>990220503000821120</t>
  </si>
  <si>
    <t>Canadian Dollar</t>
  </si>
  <si>
    <t>CAD</t>
  </si>
  <si>
    <t>990220503500821120</t>
  </si>
  <si>
    <t>Australian Dollar</t>
  </si>
  <si>
    <t>AUD</t>
  </si>
  <si>
    <t>990220504000821120</t>
  </si>
  <si>
    <t>Singapore Dollar</t>
  </si>
  <si>
    <t>SGD</t>
  </si>
  <si>
    <t>990220504500821120</t>
  </si>
  <si>
    <t>B.10</t>
  </si>
  <si>
    <t>Foreign currencies not separately specified above</t>
  </si>
  <si>
    <t>990220509000821120</t>
  </si>
  <si>
    <t>B.11</t>
  </si>
  <si>
    <t>Subtotal (Sum of B.1 to B.10)</t>
  </si>
  <si>
    <t>990220500000821120</t>
  </si>
  <si>
    <t xml:space="preserve">Total Capital Charge For Interest Rate Exposures (Sum of A and B.11) </t>
  </si>
  <si>
    <t>990000000000821100</t>
  </si>
  <si>
    <t>EAST WEST RURAL BANK INC</t>
  </si>
  <si>
    <t>PALM TREE BANK INC (A RURAL BANK)</t>
  </si>
  <si>
    <t>MARAYO BANK INC (A RURAL BANK)</t>
  </si>
  <si>
    <t>1ST VALLEY BANK INC A DEVT BANK</t>
  </si>
  <si>
    <t>_</t>
  </si>
  <si>
    <t>LIFEBANK- A RURAL BANK</t>
  </si>
  <si>
    <t xml:space="preserve">BANGKO NOVELETA INC A RURAL BANK   </t>
  </si>
  <si>
    <t>TONGYANG SAVINGS BANK INC</t>
  </si>
  <si>
    <t>MBANK PHILIPPINES (A TB) INC</t>
  </si>
  <si>
    <t>Foreign currency denominated claims on or portions of claims guaranteed by or collateralized by foreign currency denominated securities issued by the Philippine National Government &amp; the BSP.</t>
  </si>
  <si>
    <t>Sub-total [Sum of C (1) to C (2)]</t>
  </si>
  <si>
    <t>100000000000811300</t>
  </si>
  <si>
    <t>TOTAL RISK-WEIGHTED ON-BALANCE SHEET ASSETS [Sum of A(10), B(10), C(3), D(1), E(1),  F(1), F(2) and G(3) ]</t>
  </si>
  <si>
    <t>Total Exposures excluding Other Assets [Sum of A(10), B(10), C(3), D(1), E(1),  F(1) and F(2)]</t>
  </si>
  <si>
    <t>Foreign currency denominated debt securities/derivatives issued by the Philippine NG and BSP shall be risk weighted based on the table above.</t>
  </si>
  <si>
    <r>
      <t>General Loan Loss Provision (in excess of the amount permitted to be included in upper Tier 2 capital) 
[</t>
    </r>
    <r>
      <rPr>
        <i/>
        <sz val="8"/>
        <rFont val="Arial"/>
        <family val="2"/>
      </rPr>
      <t>Part III.1, Item G.(1)(b) minus Part II, Item B.1 (7)</t>
    </r>
    <r>
      <rPr>
        <sz val="8"/>
        <rFont val="Arial"/>
        <family val="2"/>
      </rPr>
      <t>]</t>
    </r>
  </si>
  <si>
    <t>28.Feb.2015</t>
  </si>
  <si>
    <t>NEW RURAL BANK OF SAN LEONARDO, INC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</si>
</sst>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6">
    <numFmt numFmtId="43" formatCode="_(* #,##0.00_);_(* \(#,##0.00\);_(* &quot;-&quot;??_);_(@_)"/>
    <numFmt numFmtId="170" formatCode="000000"/>
    <numFmt numFmtId="171" formatCode="[$-409]mmmm\ d\,\ yyyy;@"/>
    <numFmt numFmtId="172" formatCode="#,##0;\(#,##0\)"/>
    <numFmt numFmtId="173" formatCode="#,##0.000;[Red]\(#,##0.000\)"/>
    <numFmt numFmtId="174" formatCode="0.000_);[Red]\(0.000\)"/>
    <numFmt numFmtId="175" formatCode="0_);\(0\)"/>
    <numFmt numFmtId="176" formatCode="\(0\)"/>
    <numFmt numFmtId="177" formatCode="_(* #,##0.000_);_(* \(#,##0.000\);_(* &quot;-&quot;??_);_(@_)"/>
    <numFmt numFmtId="179" formatCode="#,##0.000_);[Red]\(#,##0.000\)"/>
    <numFmt numFmtId="180" formatCode="0."/>
    <numFmt numFmtId="181" formatCode="m/d/yyyy;@"/>
    <numFmt numFmtId="182" formatCode="_(* #,##0.000_);_(* \(#,##0.000\);_(* &quot;-&quot;???_);_(@_)"/>
    <numFmt numFmtId="183" formatCode="[$-409]d\-mmm\-yy;@"/>
    <numFmt numFmtId="184" formatCode="0.000_);\(0.000\)"/>
    <numFmt numFmtId="185" formatCode="0.000"/>
  </numFmts>
  <fonts count="53" x14ac:knownFonts="1">
    <font>
      <sz val="10"/>
      <name val="Arial"/>
    </font>
    <font>
      <sz val="10"/>
      <name val="Arial"/>
    </font>
    <font>
      <sz val="10"/>
      <name val="Arial"/>
      <family val="2"/>
    </font>
    <font>
      <sz val="10"/>
      <name val="Times New Roman"/>
      <family val="1"/>
    </font>
    <font>
      <sz val="9"/>
      <name val="Arial"/>
      <family val="2"/>
    </font>
    <font>
      <sz val="9"/>
      <color indexed="12"/>
      <name val="Arial"/>
      <family val="2"/>
    </font>
    <font>
      <sz val="8"/>
      <name val="Arial"/>
      <family val="2"/>
    </font>
    <font>
      <sz val="11"/>
      <name val="Franklin Gothic Demi"/>
      <family val="2"/>
    </font>
    <font>
      <sz val="10"/>
      <color indexed="10"/>
      <name val="Arial"/>
      <family val="2"/>
    </font>
    <font>
      <u/>
      <sz val="9"/>
      <name val="Arial"/>
      <family val="2"/>
    </font>
    <font>
      <u/>
      <sz val="10"/>
      <color indexed="12"/>
      <name val="Times New Roman"/>
      <family val="1"/>
    </font>
    <font>
      <sz val="8"/>
      <color indexed="10"/>
      <name val="Arial"/>
      <family val="2"/>
    </font>
    <font>
      <b/>
      <sz val="9"/>
      <name val="Arial"/>
      <family val="2"/>
    </font>
    <font>
      <sz val="9"/>
      <name val="Arial Narrow"/>
      <family val="2"/>
    </font>
    <font>
      <u/>
      <sz val="10"/>
      <name val="Arial"/>
      <family val="2"/>
    </font>
    <font>
      <sz val="12"/>
      <name val="Times New Roman"/>
      <family val="1"/>
    </font>
    <font>
      <b/>
      <sz val="8"/>
      <name val="Arial"/>
      <family val="2"/>
    </font>
    <font>
      <strike/>
      <sz val="8"/>
      <name val="Arial"/>
      <family val="2"/>
    </font>
    <font>
      <sz val="8"/>
      <color indexed="12"/>
      <name val="Arial"/>
      <family val="2"/>
    </font>
    <font>
      <i/>
      <sz val="8"/>
      <name val="Arial"/>
      <family val="2"/>
    </font>
    <font>
      <b/>
      <i/>
      <sz val="8"/>
      <name val="Arial"/>
      <family val="2"/>
    </font>
    <font>
      <b/>
      <sz val="8"/>
      <color indexed="12"/>
      <name val="Arial"/>
      <family val="2"/>
    </font>
    <font>
      <sz val="8"/>
      <color indexed="9"/>
      <name val="Arial"/>
      <family val="2"/>
    </font>
    <font>
      <b/>
      <sz val="10"/>
      <color indexed="10"/>
      <name val="Arial"/>
      <family val="2"/>
    </font>
    <font>
      <sz val="8"/>
      <color indexed="8"/>
      <name val="Arial"/>
      <family val="2"/>
    </font>
    <font>
      <vertAlign val="superscript"/>
      <sz val="8"/>
      <name val="Arial"/>
      <family val="2"/>
    </font>
    <font>
      <sz val="8"/>
      <color indexed="22"/>
      <name val="Arial"/>
      <family val="2"/>
    </font>
    <font>
      <sz val="8"/>
      <color indexed="62"/>
      <name val="Arial"/>
      <family val="2"/>
    </font>
    <font>
      <vertAlign val="subscript"/>
      <sz val="8"/>
      <name val="Arial"/>
      <family val="2"/>
    </font>
    <font>
      <u/>
      <vertAlign val="superscript"/>
      <sz val="10"/>
      <color indexed="10"/>
      <name val="Arial"/>
      <family val="2"/>
    </font>
    <font>
      <i/>
      <vertAlign val="superscript"/>
      <sz val="8"/>
      <name val="Arial"/>
      <family val="2"/>
    </font>
    <font>
      <sz val="10"/>
      <name val="Times New Roman"/>
      <family val="1"/>
    </font>
    <font>
      <sz val="10"/>
      <name val="Calibri"/>
      <family val="2"/>
    </font>
    <font>
      <b/>
      <vertAlign val="superscript"/>
      <sz val="8"/>
      <name val="Arial"/>
      <family val="2"/>
    </font>
    <font>
      <sz val="8"/>
      <name val="Calibri"/>
      <family val="2"/>
    </font>
    <font>
      <sz val="8"/>
      <color indexed="12"/>
      <name val="Arial Narrow"/>
      <family val="2"/>
    </font>
    <font>
      <sz val="8"/>
      <name val="Arial"/>
      <family val="2"/>
    </font>
    <font>
      <strike/>
      <sz val="9"/>
      <name val="Calibri"/>
      <family val="2"/>
    </font>
    <font>
      <sz val="9"/>
      <name val="Calibri"/>
      <family val="2"/>
    </font>
    <font>
      <b/>
      <sz val="8"/>
      <name val="Calibri"/>
      <family val="2"/>
    </font>
    <font>
      <b/>
      <sz val="10"/>
      <name val="Calibri"/>
      <family val="2"/>
    </font>
    <font>
      <b/>
      <sz val="9"/>
      <name val="Calibri"/>
      <family val="2"/>
    </font>
    <font>
      <b/>
      <sz val="9"/>
      <color indexed="10"/>
      <name val="Calibri"/>
      <family val="2"/>
    </font>
    <font>
      <sz val="8"/>
      <color indexed="10"/>
      <name val="Calibri"/>
      <family val="2"/>
    </font>
    <font>
      <sz val="9"/>
      <color indexed="10"/>
      <name val="Calibri"/>
      <family val="2"/>
    </font>
    <font>
      <sz val="10"/>
      <color indexed="55"/>
      <name val="Calibri"/>
      <family val="2"/>
    </font>
    <font>
      <sz val="10"/>
      <color indexed="12"/>
      <name val="Calibri"/>
      <family val="2"/>
    </font>
    <font>
      <vertAlign val="superscript"/>
      <sz val="10"/>
      <name val="Calibri"/>
      <family val="2"/>
    </font>
    <font>
      <sz val="10"/>
      <color indexed="10"/>
      <name val="Calibri"/>
      <family val="2"/>
    </font>
    <font>
      <vertAlign val="superscript"/>
      <sz val="9"/>
      <name val="Calibri"/>
      <family val="2"/>
    </font>
    <font>
      <vertAlign val="superscript"/>
      <sz val="8"/>
      <color indexed="10"/>
      <name val="Calibri"/>
      <family val="2"/>
    </font>
    <font>
      <vertAlign val="superscript"/>
      <sz val="8"/>
      <name val="Calibri"/>
      <family val="2"/>
    </font>
    <font>
      <sz val="10"/>
      <color indexed="8"/>
      <name val="Calibri"/>
      <family val="2"/>
    </font>
  </fonts>
  <fills count="10">
    <fill>
      <patternFill patternType="none"/>
    </fill>
    <fill>
      <patternFill patternType="gray125"/>
    </fill>
    <fill>
      <patternFill patternType="solid">
        <fgColor indexed="55"/>
        <bgColor indexed="64"/>
      </patternFill>
    </fill>
    <fill>
      <patternFill patternType="solid">
        <fgColor indexed="22"/>
        <bgColor indexed="64"/>
      </patternFill>
    </fill>
    <fill>
      <patternFill patternType="solid">
        <fgColor indexed="9"/>
        <bgColor indexed="64"/>
      </patternFill>
    </fill>
    <fill>
      <patternFill patternType="solid">
        <fgColor indexed="13"/>
        <bgColor indexed="64"/>
      </patternFill>
    </fill>
    <fill>
      <patternFill patternType="solid">
        <fgColor indexed="12"/>
        <bgColor indexed="64"/>
      </patternFill>
    </fill>
    <fill>
      <patternFill patternType="solid">
        <fgColor indexed="43"/>
        <bgColor indexed="64"/>
      </patternFill>
    </fill>
    <fill>
      <patternFill patternType="solid">
        <fgColor indexed="47"/>
        <bgColor indexed="64"/>
      </patternFill>
    </fill>
    <fill>
      <patternFill patternType="solid">
        <fgColor indexed="41"/>
        <bgColor indexed="64"/>
      </patternFill>
    </fill>
  </fills>
  <borders count="62">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top style="thin">
        <color indexed="64"/>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medium">
        <color indexed="64"/>
      </top>
      <bottom style="thin">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top style="medium">
        <color indexed="64"/>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medium">
        <color indexed="64"/>
      </top>
      <bottom/>
      <diagonal/>
    </border>
    <border>
      <left style="thin">
        <color indexed="64"/>
      </left>
      <right/>
      <top/>
      <bottom style="medium">
        <color indexed="64"/>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s>
  <cellStyleXfs count="11">
    <xf numFmtId="0" fontId="0" fillId="0" borderId="0"/>
    <xf numFmtId="43" fontId="1" fillId="0" borderId="0" applyFont="0" applyFill="0" applyBorder="0" applyAlignment="0" applyProtection="0"/>
    <xf numFmtId="43" fontId="31" fillId="0" borderId="0" applyFont="0" applyFill="0" applyBorder="0" applyAlignment="0" applyProtection="0"/>
    <xf numFmtId="0" fontId="10" fillId="0" borderId="0" applyNumberFormat="0" applyFill="0" applyBorder="0" applyAlignment="0" applyProtection="0">
      <alignment vertical="top"/>
      <protection locked="0"/>
    </xf>
    <xf numFmtId="0" fontId="3" fillId="0" borderId="0"/>
    <xf numFmtId="0" fontId="3" fillId="0" borderId="0"/>
    <xf numFmtId="0" fontId="2" fillId="0" borderId="0"/>
    <xf numFmtId="0" fontId="2" fillId="0" borderId="0"/>
    <xf numFmtId="172" fontId="15" fillId="0" borderId="0"/>
    <xf numFmtId="9" fontId="1" fillId="0" borderId="0" applyFont="0" applyFill="0" applyBorder="0" applyAlignment="0" applyProtection="0"/>
    <xf numFmtId="9" fontId="31" fillId="0" borderId="0" applyFont="0" applyFill="0" applyBorder="0" applyAlignment="0" applyProtection="0"/>
  </cellStyleXfs>
  <cellXfs count="1403">
    <xf numFmtId="0" fontId="0" fillId="0" borderId="0" xfId="0"/>
    <xf numFmtId="0" fontId="2" fillId="0" borderId="0" xfId="5" applyFont="1" applyAlignment="1" applyProtection="1">
      <alignment horizontal="left"/>
    </xf>
    <xf numFmtId="0" fontId="2" fillId="0" borderId="0" xfId="5" applyFont="1" applyAlignment="1" applyProtection="1">
      <alignment horizontal="left" vertical="center"/>
    </xf>
    <xf numFmtId="0" fontId="4" fillId="0" borderId="0" xfId="0" applyFont="1" applyAlignment="1">
      <alignment horizontal="left"/>
    </xf>
    <xf numFmtId="0" fontId="5" fillId="0" borderId="0" xfId="0" applyFont="1" applyAlignment="1">
      <alignment horizontal="left"/>
    </xf>
    <xf numFmtId="0" fontId="6" fillId="0" borderId="0" xfId="5" applyFont="1" applyAlignment="1" applyProtection="1">
      <alignment horizontal="left" vertical="center"/>
    </xf>
    <xf numFmtId="0" fontId="4" fillId="0" borderId="0" xfId="5" applyFont="1" applyAlignment="1" applyProtection="1">
      <alignment horizontal="left" vertical="center"/>
    </xf>
    <xf numFmtId="0" fontId="6" fillId="0" borderId="0" xfId="5" applyFont="1" applyAlignment="1" applyProtection="1">
      <alignment horizontal="right" vertical="center"/>
    </xf>
    <xf numFmtId="0" fontId="8" fillId="0" borderId="0" xfId="5" applyFont="1" applyAlignment="1" applyProtection="1">
      <alignment horizontal="left" vertical="center"/>
    </xf>
    <xf numFmtId="0" fontId="9" fillId="0" borderId="0" xfId="3" applyFont="1" applyAlignment="1" applyProtection="1">
      <alignment horizontal="left"/>
    </xf>
    <xf numFmtId="0" fontId="11" fillId="0" borderId="0" xfId="5" applyFont="1" applyAlignment="1" applyProtection="1">
      <alignment horizontal="left" vertical="center"/>
    </xf>
    <xf numFmtId="0" fontId="2" fillId="0" borderId="1" xfId="5" applyFont="1" applyBorder="1" applyAlignment="1" applyProtection="1">
      <alignment horizontal="left" vertical="center"/>
    </xf>
    <xf numFmtId="0" fontId="2" fillId="0" borderId="2" xfId="5" applyFont="1" applyBorder="1" applyAlignment="1" applyProtection="1">
      <alignment horizontal="left" vertical="center"/>
    </xf>
    <xf numFmtId="0" fontId="4" fillId="0" borderId="2" xfId="5" applyFont="1" applyBorder="1" applyAlignment="1" applyProtection="1">
      <alignment vertical="center" wrapText="1"/>
    </xf>
    <xf numFmtId="0" fontId="2" fillId="0" borderId="3" xfId="5" applyFont="1" applyBorder="1" applyAlignment="1" applyProtection="1">
      <alignment horizontal="left" vertical="center"/>
    </xf>
    <xf numFmtId="0" fontId="2" fillId="0" borderId="4" xfId="5" applyFont="1" applyBorder="1" applyAlignment="1" applyProtection="1">
      <alignment horizontal="left" vertical="center"/>
    </xf>
    <xf numFmtId="0" fontId="2" fillId="0" borderId="0" xfId="5" applyFont="1" applyBorder="1" applyAlignment="1" applyProtection="1">
      <alignment horizontal="left" vertical="center"/>
    </xf>
    <xf numFmtId="0" fontId="2" fillId="0" borderId="5" xfId="5" applyFont="1" applyBorder="1" applyAlignment="1" applyProtection="1">
      <alignment horizontal="left" vertical="center"/>
    </xf>
    <xf numFmtId="0" fontId="4" fillId="0" borderId="0" xfId="5" applyFont="1" applyBorder="1" applyAlignment="1" applyProtection="1">
      <alignment vertical="center" wrapText="1"/>
    </xf>
    <xf numFmtId="0" fontId="2" fillId="0" borderId="6" xfId="5" applyFont="1" applyBorder="1" applyAlignment="1" applyProtection="1">
      <alignment horizontal="left" vertical="center"/>
    </xf>
    <xf numFmtId="0" fontId="2" fillId="0" borderId="7" xfId="5" applyFont="1" applyBorder="1" applyAlignment="1" applyProtection="1">
      <alignment horizontal="left" vertical="center"/>
    </xf>
    <xf numFmtId="0" fontId="4" fillId="0" borderId="7" xfId="5" applyFont="1" applyBorder="1" applyAlignment="1" applyProtection="1">
      <alignment vertical="center" wrapText="1"/>
    </xf>
    <xf numFmtId="0" fontId="2" fillId="0" borderId="8" xfId="5" applyFont="1" applyBorder="1" applyAlignment="1" applyProtection="1">
      <alignment horizontal="left" vertical="center"/>
    </xf>
    <xf numFmtId="0" fontId="4" fillId="0" borderId="0" xfId="5" applyFont="1" applyAlignment="1" applyProtection="1">
      <alignment horizontal="center" vertical="center"/>
    </xf>
    <xf numFmtId="0" fontId="4" fillId="0" borderId="0" xfId="5" applyFont="1" applyBorder="1" applyAlignment="1" applyProtection="1">
      <alignment vertical="center"/>
    </xf>
    <xf numFmtId="0" fontId="4" fillId="0" borderId="2" xfId="5" applyFont="1" applyBorder="1" applyAlignment="1" applyProtection="1">
      <alignment horizontal="center" vertical="center" wrapText="1"/>
    </xf>
    <xf numFmtId="0" fontId="2" fillId="0" borderId="0" xfId="5" applyFont="1" applyAlignment="1" applyProtection="1">
      <alignment vertical="center"/>
    </xf>
    <xf numFmtId="0" fontId="4" fillId="0" borderId="0" xfId="5" applyFont="1" applyAlignment="1" applyProtection="1">
      <alignment vertical="center"/>
    </xf>
    <xf numFmtId="0" fontId="2" fillId="0" borderId="0" xfId="5" applyFont="1" applyAlignment="1" applyProtection="1">
      <alignment horizontal="right" vertical="center"/>
    </xf>
    <xf numFmtId="0" fontId="2" fillId="0" borderId="0" xfId="5" applyFont="1" applyBorder="1" applyAlignment="1" applyProtection="1">
      <alignment vertical="center"/>
    </xf>
    <xf numFmtId="0" fontId="4" fillId="0" borderId="0" xfId="5" applyFont="1" applyBorder="1" applyAlignment="1" applyProtection="1">
      <alignment horizontal="left" vertical="center"/>
    </xf>
    <xf numFmtId="0" fontId="2" fillId="0" borderId="9" xfId="5" applyFont="1" applyBorder="1" applyAlignment="1" applyProtection="1">
      <alignment horizontal="right" vertical="center"/>
    </xf>
    <xf numFmtId="172" fontId="6" fillId="0" borderId="0" xfId="8" applyFont="1" applyProtection="1"/>
    <xf numFmtId="172" fontId="6" fillId="0" borderId="0" xfId="8" applyFont="1" applyAlignment="1" applyProtection="1">
      <alignment horizontal="right"/>
    </xf>
    <xf numFmtId="173" fontId="6" fillId="0" borderId="0" xfId="1" applyNumberFormat="1" applyFont="1" applyProtection="1"/>
    <xf numFmtId="172" fontId="16" fillId="0" borderId="0" xfId="8" applyFont="1" applyAlignment="1" applyProtection="1">
      <alignment vertical="center"/>
    </xf>
    <xf numFmtId="172" fontId="6" fillId="0" borderId="0" xfId="8" applyFont="1" applyAlignment="1" applyProtection="1">
      <alignment vertical="center"/>
    </xf>
    <xf numFmtId="172" fontId="6" fillId="0" borderId="0" xfId="8" applyFont="1" applyAlignment="1" applyProtection="1">
      <alignment horizontal="right" vertical="center"/>
    </xf>
    <xf numFmtId="173" fontId="6" fillId="0" borderId="0" xfId="1" applyNumberFormat="1" applyFont="1" applyAlignment="1" applyProtection="1">
      <alignment vertical="center"/>
    </xf>
    <xf numFmtId="176" fontId="6" fillId="0" borderId="0" xfId="0" applyNumberFormat="1" applyFont="1" applyFill="1" applyBorder="1" applyAlignment="1" applyProtection="1">
      <alignment horizontal="left" vertical="center" wrapText="1"/>
    </xf>
    <xf numFmtId="0" fontId="6" fillId="0" borderId="9" xfId="0" applyFont="1" applyBorder="1" applyAlignment="1" applyProtection="1">
      <alignment horizontal="left" vertical="top"/>
    </xf>
    <xf numFmtId="0" fontId="6" fillId="0" borderId="9" xfId="0" applyFont="1" applyBorder="1" applyAlignment="1" applyProtection="1">
      <alignment horizontal="left" vertical="top" wrapText="1"/>
    </xf>
    <xf numFmtId="172" fontId="6" fillId="2" borderId="10" xfId="8" applyFont="1" applyFill="1" applyBorder="1" applyAlignment="1" applyProtection="1">
      <alignment horizontal="center" vertical="center"/>
    </xf>
    <xf numFmtId="172" fontId="6" fillId="2" borderId="11" xfId="8" applyFont="1" applyFill="1" applyBorder="1" applyAlignment="1" applyProtection="1">
      <alignment horizontal="center" vertical="center"/>
    </xf>
    <xf numFmtId="172" fontId="6" fillId="2" borderId="12" xfId="8" applyFont="1" applyFill="1" applyBorder="1" applyAlignment="1" applyProtection="1">
      <alignment horizontal="center" vertical="center"/>
    </xf>
    <xf numFmtId="172" fontId="16" fillId="0" borderId="13" xfId="8" applyFont="1" applyBorder="1" applyAlignment="1" applyProtection="1">
      <alignment vertical="top"/>
    </xf>
    <xf numFmtId="172" fontId="16" fillId="0" borderId="14" xfId="8" applyFont="1" applyBorder="1" applyAlignment="1" applyProtection="1">
      <alignment vertical="top"/>
    </xf>
    <xf numFmtId="172" fontId="6" fillId="0" borderId="10" xfId="8" applyFont="1" applyBorder="1" applyAlignment="1" applyProtection="1">
      <alignment horizontal="right" vertical="top"/>
    </xf>
    <xf numFmtId="172" fontId="6" fillId="0" borderId="14" xfId="8" applyFont="1" applyBorder="1" applyAlignment="1" applyProtection="1">
      <alignment vertical="top"/>
    </xf>
    <xf numFmtId="173" fontId="6" fillId="3" borderId="13" xfId="1" applyNumberFormat="1" applyFont="1" applyFill="1" applyBorder="1" applyAlignment="1" applyProtection="1">
      <alignment vertical="top"/>
    </xf>
    <xf numFmtId="173" fontId="6" fillId="3" borderId="15" xfId="1" applyNumberFormat="1" applyFont="1" applyFill="1" applyBorder="1" applyAlignment="1" applyProtection="1">
      <alignment vertical="top"/>
    </xf>
    <xf numFmtId="172" fontId="6" fillId="0" borderId="10" xfId="8" applyFont="1" applyBorder="1" applyAlignment="1" applyProtection="1">
      <alignment horizontal="center" vertical="top"/>
    </xf>
    <xf numFmtId="172" fontId="6" fillId="0" borderId="16" xfId="8" applyFont="1" applyBorder="1" applyAlignment="1" applyProtection="1">
      <alignment vertical="top"/>
    </xf>
    <xf numFmtId="172" fontId="6" fillId="0" borderId="17" xfId="8" applyFont="1" applyBorder="1" applyAlignment="1" applyProtection="1">
      <alignment vertical="top"/>
    </xf>
    <xf numFmtId="172" fontId="6" fillId="0" borderId="10" xfId="8" quotePrefix="1" applyFont="1" applyBorder="1" applyAlignment="1" applyProtection="1">
      <alignment horizontal="right" vertical="top"/>
    </xf>
    <xf numFmtId="172" fontId="6" fillId="0" borderId="18" xfId="8" quotePrefix="1" applyFont="1" applyBorder="1" applyAlignment="1" applyProtection="1">
      <alignment horizontal="left" vertical="top"/>
    </xf>
    <xf numFmtId="173" fontId="6" fillId="3" borderId="16" xfId="1" applyNumberFormat="1" applyFont="1" applyFill="1" applyBorder="1" applyAlignment="1" applyProtection="1">
      <alignment vertical="top"/>
      <protection hidden="1"/>
    </xf>
    <xf numFmtId="173" fontId="18" fillId="4" borderId="16" xfId="1" applyNumberFormat="1" applyFont="1" applyFill="1" applyBorder="1" applyAlignment="1" applyProtection="1">
      <alignment vertical="top"/>
      <protection hidden="1"/>
    </xf>
    <xf numFmtId="172" fontId="6" fillId="0" borderId="10" xfId="8" applyFont="1" applyBorder="1" applyAlignment="1" applyProtection="1">
      <alignment vertical="top"/>
    </xf>
    <xf numFmtId="172" fontId="6" fillId="0" borderId="13" xfId="8" applyFont="1" applyBorder="1" applyAlignment="1" applyProtection="1">
      <alignment vertical="top"/>
    </xf>
    <xf numFmtId="172" fontId="6" fillId="0" borderId="15" xfId="8" quotePrefix="1" applyFont="1" applyBorder="1" applyAlignment="1" applyProtection="1">
      <alignment vertical="top"/>
    </xf>
    <xf numFmtId="173" fontId="6" fillId="3" borderId="10" xfId="1" applyNumberFormat="1" applyFont="1" applyFill="1" applyBorder="1" applyAlignment="1" applyProtection="1">
      <alignment vertical="top"/>
      <protection hidden="1"/>
    </xf>
    <xf numFmtId="173" fontId="18" fillId="0" borderId="10" xfId="1" applyNumberFormat="1" applyFont="1" applyFill="1" applyBorder="1" applyAlignment="1" applyProtection="1">
      <alignment vertical="top"/>
      <protection hidden="1"/>
    </xf>
    <xf numFmtId="172" fontId="6" fillId="0" borderId="19" xfId="8" applyFont="1" applyBorder="1" applyAlignment="1" applyProtection="1">
      <alignment vertical="top" wrapText="1"/>
    </xf>
    <xf numFmtId="172" fontId="6" fillId="0" borderId="0" xfId="8" applyFont="1" applyBorder="1" applyAlignment="1" applyProtection="1">
      <alignment vertical="top" wrapText="1"/>
    </xf>
    <xf numFmtId="172" fontId="6" fillId="0" borderId="0" xfId="8" quotePrefix="1" applyFont="1" applyAlignment="1" applyProtection="1">
      <alignment vertical="top"/>
    </xf>
    <xf numFmtId="173" fontId="6" fillId="3" borderId="19" xfId="1" applyNumberFormat="1" applyFont="1" applyFill="1" applyBorder="1" applyAlignment="1" applyProtection="1">
      <alignment vertical="top"/>
      <protection hidden="1"/>
    </xf>
    <xf numFmtId="173" fontId="18" fillId="0" borderId="19" xfId="1" applyNumberFormat="1" applyFont="1" applyFill="1" applyBorder="1" applyAlignment="1" applyProtection="1">
      <alignment vertical="top"/>
      <protection hidden="1"/>
    </xf>
    <xf numFmtId="173" fontId="6" fillId="3" borderId="13" xfId="1" applyNumberFormat="1" applyFont="1" applyFill="1" applyBorder="1" applyAlignment="1" applyProtection="1">
      <alignment vertical="top"/>
      <protection hidden="1"/>
    </xf>
    <xf numFmtId="173" fontId="6" fillId="3" borderId="15" xfId="1" applyNumberFormat="1" applyFont="1" applyFill="1" applyBorder="1" applyAlignment="1" applyProtection="1">
      <alignment vertical="top"/>
      <protection hidden="1"/>
    </xf>
    <xf numFmtId="172" fontId="6" fillId="0" borderId="16" xfId="8" applyFont="1" applyBorder="1" applyAlignment="1" applyProtection="1">
      <alignment vertical="top" wrapText="1"/>
    </xf>
    <xf numFmtId="172" fontId="6" fillId="0" borderId="17" xfId="8" applyFont="1" applyBorder="1" applyAlignment="1" applyProtection="1">
      <alignment vertical="top" wrapText="1"/>
    </xf>
    <xf numFmtId="172" fontId="6" fillId="0" borderId="18" xfId="8" quotePrefix="1" applyFont="1" applyBorder="1" applyAlignment="1" applyProtection="1">
      <alignment vertical="top" wrapText="1"/>
    </xf>
    <xf numFmtId="173" fontId="18" fillId="0" borderId="16" xfId="1" applyNumberFormat="1" applyFont="1" applyFill="1" applyBorder="1" applyAlignment="1" applyProtection="1">
      <alignment vertical="top"/>
      <protection hidden="1"/>
    </xf>
    <xf numFmtId="172" fontId="6" fillId="0" borderId="10" xfId="8" applyFont="1" applyBorder="1" applyAlignment="1" applyProtection="1">
      <alignment horizontal="left" vertical="top"/>
    </xf>
    <xf numFmtId="172" fontId="6" fillId="0" borderId="13" xfId="8" applyFont="1" applyBorder="1" applyAlignment="1" applyProtection="1">
      <alignment horizontal="left" vertical="top"/>
    </xf>
    <xf numFmtId="172" fontId="6" fillId="0" borderId="15" xfId="8" quotePrefix="1" applyFont="1" applyBorder="1" applyAlignment="1" applyProtection="1">
      <alignment horizontal="left" vertical="top"/>
    </xf>
    <xf numFmtId="172" fontId="6" fillId="0" borderId="10" xfId="8" quotePrefix="1" applyFont="1" applyBorder="1" applyAlignment="1" applyProtection="1">
      <alignment horizontal="center" vertical="top"/>
    </xf>
    <xf numFmtId="172" fontId="6" fillId="0" borderId="10" xfId="8" applyFont="1" applyBorder="1" applyAlignment="1" applyProtection="1">
      <alignment horizontal="left" vertical="top" wrapText="1"/>
    </xf>
    <xf numFmtId="172" fontId="6" fillId="0" borderId="13" xfId="8" applyFont="1" applyBorder="1" applyAlignment="1" applyProtection="1">
      <alignment horizontal="left" vertical="top" wrapText="1"/>
    </xf>
    <xf numFmtId="172" fontId="6" fillId="0" borderId="15" xfId="8" applyFont="1" applyBorder="1" applyAlignment="1" applyProtection="1">
      <alignment horizontal="left" vertical="top"/>
    </xf>
    <xf numFmtId="172" fontId="6" fillId="0" borderId="10" xfId="8" applyFont="1" applyFill="1" applyBorder="1" applyAlignment="1" applyProtection="1">
      <alignment horizontal="left" vertical="top" wrapText="1"/>
    </xf>
    <xf numFmtId="172" fontId="6" fillId="0" borderId="13" xfId="8" applyFont="1" applyFill="1" applyBorder="1" applyAlignment="1" applyProtection="1">
      <alignment horizontal="left" vertical="top" wrapText="1"/>
    </xf>
    <xf numFmtId="172" fontId="6" fillId="0" borderId="15" xfId="8" quotePrefix="1" applyFont="1" applyFill="1" applyBorder="1" applyAlignment="1" applyProtection="1">
      <alignment horizontal="left" vertical="top" wrapText="1"/>
    </xf>
    <xf numFmtId="172" fontId="6" fillId="0" borderId="15" xfId="8" applyFont="1" applyBorder="1" applyAlignment="1" applyProtection="1">
      <alignment horizontal="left" vertical="top" wrapText="1"/>
    </xf>
    <xf numFmtId="172" fontId="6" fillId="0" borderId="10" xfId="8" applyFont="1" applyFill="1" applyBorder="1" applyAlignment="1" applyProtection="1">
      <alignment vertical="top"/>
    </xf>
    <xf numFmtId="172" fontId="6" fillId="0" borderId="13" xfId="8" applyFont="1" applyFill="1" applyBorder="1" applyAlignment="1" applyProtection="1">
      <alignment vertical="top"/>
    </xf>
    <xf numFmtId="172" fontId="6" fillId="0" borderId="10" xfId="8" applyFont="1" applyBorder="1" applyAlignment="1" applyProtection="1">
      <alignment vertical="top" wrapText="1"/>
    </xf>
    <xf numFmtId="172" fontId="6" fillId="0" borderId="13" xfId="8" applyFont="1" applyBorder="1" applyAlignment="1" applyProtection="1">
      <alignment vertical="top" wrapText="1"/>
    </xf>
    <xf numFmtId="172" fontId="16" fillId="0" borderId="19" xfId="8" applyFont="1" applyBorder="1" applyAlignment="1" applyProtection="1">
      <alignment vertical="top" wrapText="1"/>
    </xf>
    <xf numFmtId="0" fontId="16" fillId="0" borderId="10" xfId="0" applyFont="1" applyBorder="1" applyAlignment="1" applyProtection="1">
      <alignment vertical="top" wrapText="1"/>
    </xf>
    <xf numFmtId="0" fontId="16" fillId="0" borderId="13" xfId="0" applyFont="1" applyBorder="1" applyAlignment="1" applyProtection="1">
      <alignment vertical="top" wrapText="1"/>
    </xf>
    <xf numFmtId="174" fontId="21" fillId="0" borderId="10" xfId="1" applyNumberFormat="1" applyFont="1" applyFill="1" applyBorder="1" applyAlignment="1" applyProtection="1">
      <alignment vertical="top"/>
      <protection hidden="1"/>
    </xf>
    <xf numFmtId="172" fontId="6" fillId="0" borderId="0" xfId="8" applyFont="1" applyBorder="1" applyAlignment="1" applyProtection="1">
      <alignment horizontal="center" vertical="top"/>
    </xf>
    <xf numFmtId="172" fontId="22" fillId="0" borderId="0" xfId="8" quotePrefix="1" applyFont="1" applyAlignment="1" applyProtection="1">
      <alignment horizontal="right"/>
      <protection hidden="1"/>
    </xf>
    <xf numFmtId="172" fontId="6" fillId="0" borderId="0" xfId="8" applyFont="1" applyAlignment="1" applyProtection="1">
      <alignment horizontal="center"/>
    </xf>
    <xf numFmtId="172" fontId="6" fillId="0" borderId="0" xfId="8" applyFont="1" applyBorder="1" applyProtection="1"/>
    <xf numFmtId="172" fontId="6" fillId="0" borderId="0" xfId="8" applyFont="1" applyBorder="1" applyAlignment="1" applyProtection="1">
      <alignment horizontal="right"/>
    </xf>
    <xf numFmtId="172" fontId="6" fillId="0" borderId="0" xfId="8" applyFont="1" applyBorder="1" applyAlignment="1" applyProtection="1">
      <alignment horizontal="center"/>
    </xf>
    <xf numFmtId="173" fontId="6" fillId="0" borderId="0" xfId="1" applyNumberFormat="1" applyFont="1" applyBorder="1" applyProtection="1"/>
    <xf numFmtId="0" fontId="16" fillId="0" borderId="0" xfId="0" applyFont="1" applyBorder="1" applyAlignment="1" applyProtection="1">
      <alignment horizontal="left" vertical="center"/>
    </xf>
    <xf numFmtId="172" fontId="16" fillId="0" borderId="0" xfId="8" applyFont="1" applyBorder="1" applyAlignment="1" applyProtection="1">
      <alignment vertical="center"/>
    </xf>
    <xf numFmtId="172" fontId="16" fillId="0" borderId="0" xfId="8" applyFont="1" applyBorder="1" applyAlignment="1" applyProtection="1">
      <alignment horizontal="right" vertical="center"/>
    </xf>
    <xf numFmtId="172" fontId="16" fillId="0" borderId="0" xfId="8" applyFont="1" applyBorder="1" applyAlignment="1" applyProtection="1">
      <alignment horizontal="center" vertical="center"/>
    </xf>
    <xf numFmtId="173" fontId="6" fillId="0" borderId="0" xfId="1" applyNumberFormat="1" applyFont="1" applyBorder="1" applyAlignment="1" applyProtection="1">
      <alignment vertical="center"/>
    </xf>
    <xf numFmtId="0" fontId="16" fillId="0" borderId="10" xfId="0" applyFont="1" applyBorder="1" applyAlignment="1" applyProtection="1">
      <alignment horizontal="center" vertical="top" wrapText="1"/>
    </xf>
    <xf numFmtId="0" fontId="16" fillId="0" borderId="10" xfId="0" applyFont="1" applyBorder="1" applyAlignment="1" applyProtection="1">
      <alignment horizontal="right" vertical="top" wrapText="1"/>
      <protection hidden="1"/>
    </xf>
    <xf numFmtId="173" fontId="6" fillId="3" borderId="10" xfId="1" applyNumberFormat="1" applyFont="1" applyFill="1" applyBorder="1" applyAlignment="1" applyProtection="1">
      <alignment vertical="top"/>
    </xf>
    <xf numFmtId="0" fontId="6" fillId="0" borderId="10" xfId="0" applyFont="1" applyBorder="1" applyAlignment="1" applyProtection="1">
      <alignment horizontal="center" vertical="top" wrapText="1"/>
    </xf>
    <xf numFmtId="175" fontId="6" fillId="0" borderId="10" xfId="0" applyNumberFormat="1" applyFont="1" applyBorder="1" applyAlignment="1" applyProtection="1">
      <alignment horizontal="center" vertical="top" wrapText="1"/>
    </xf>
    <xf numFmtId="0" fontId="6" fillId="0" borderId="10" xfId="0" applyFont="1" applyBorder="1" applyAlignment="1" applyProtection="1">
      <alignment vertical="top" wrapText="1"/>
    </xf>
    <xf numFmtId="49" fontId="6" fillId="0" borderId="10" xfId="0" quotePrefix="1" applyNumberFormat="1" applyFont="1" applyFill="1" applyBorder="1" applyAlignment="1" applyProtection="1">
      <alignment horizontal="right" vertical="top"/>
      <protection hidden="1"/>
    </xf>
    <xf numFmtId="49" fontId="6" fillId="0" borderId="10" xfId="0" quotePrefix="1" applyNumberFormat="1" applyFont="1" applyFill="1" applyBorder="1" applyAlignment="1" applyProtection="1">
      <alignment horizontal="center" vertical="top"/>
      <protection hidden="1"/>
    </xf>
    <xf numFmtId="173" fontId="6" fillId="0" borderId="10" xfId="1" applyNumberFormat="1" applyFont="1" applyFill="1" applyBorder="1" applyAlignment="1" applyProtection="1">
      <alignment vertical="top"/>
      <protection locked="0"/>
    </xf>
    <xf numFmtId="175" fontId="6" fillId="4" borderId="10" xfId="0" applyNumberFormat="1" applyFont="1" applyFill="1" applyBorder="1" applyAlignment="1" applyProtection="1">
      <alignment horizontal="center" vertical="center" wrapText="1"/>
    </xf>
    <xf numFmtId="0" fontId="6" fillId="4" borderId="10" xfId="0" applyFont="1" applyFill="1" applyBorder="1" applyAlignment="1" applyProtection="1">
      <alignment vertical="center" wrapText="1"/>
    </xf>
    <xf numFmtId="0" fontId="6" fillId="4" borderId="10" xfId="0" applyFont="1" applyFill="1" applyBorder="1" applyAlignment="1" applyProtection="1">
      <alignment vertical="top" wrapText="1"/>
    </xf>
    <xf numFmtId="49" fontId="6" fillId="4" borderId="10" xfId="0" applyNumberFormat="1" applyFont="1" applyFill="1" applyBorder="1" applyAlignment="1" applyProtection="1">
      <alignment horizontal="right" vertical="top"/>
      <protection hidden="1"/>
    </xf>
    <xf numFmtId="49" fontId="6" fillId="4" borderId="10" xfId="0" quotePrefix="1" applyNumberFormat="1" applyFont="1" applyFill="1" applyBorder="1" applyAlignment="1" applyProtection="1">
      <alignment horizontal="right" vertical="top"/>
      <protection hidden="1"/>
    </xf>
    <xf numFmtId="173" fontId="24" fillId="0" borderId="10" xfId="1" applyNumberFormat="1" applyFont="1" applyFill="1" applyBorder="1" applyAlignment="1" applyProtection="1">
      <alignment vertical="top"/>
      <protection locked="0"/>
    </xf>
    <xf numFmtId="173" fontId="6" fillId="0" borderId="10" xfId="1" applyNumberFormat="1" applyFont="1" applyBorder="1" applyAlignment="1" applyProtection="1">
      <alignment vertical="top"/>
      <protection locked="0"/>
    </xf>
    <xf numFmtId="172" fontId="6" fillId="0" borderId="10" xfId="8" quotePrefix="1" applyFont="1" applyFill="1" applyBorder="1" applyAlignment="1" applyProtection="1">
      <alignment horizontal="right" vertical="top"/>
      <protection hidden="1"/>
    </xf>
    <xf numFmtId="172" fontId="6" fillId="0" borderId="10" xfId="8" quotePrefix="1" applyFont="1" applyFill="1" applyBorder="1" applyAlignment="1" applyProtection="1">
      <alignment horizontal="center" vertical="top"/>
    </xf>
    <xf numFmtId="0" fontId="16" fillId="0" borderId="10" xfId="0" applyFont="1" applyFill="1" applyBorder="1" applyAlignment="1" applyProtection="1">
      <alignment horizontal="right" vertical="top" wrapText="1"/>
      <protection hidden="1"/>
    </xf>
    <xf numFmtId="0" fontId="16" fillId="0" borderId="10" xfId="0" applyFont="1" applyFill="1" applyBorder="1" applyAlignment="1" applyProtection="1">
      <alignment horizontal="center" vertical="top" wrapText="1"/>
    </xf>
    <xf numFmtId="0" fontId="6" fillId="0" borderId="10" xfId="0" quotePrefix="1" applyFont="1" applyFill="1" applyBorder="1" applyAlignment="1" applyProtection="1">
      <alignment horizontal="right" vertical="top" wrapText="1"/>
      <protection hidden="1"/>
    </xf>
    <xf numFmtId="0" fontId="6" fillId="0" borderId="10" xfId="0" quotePrefix="1" applyFont="1" applyFill="1" applyBorder="1" applyAlignment="1" applyProtection="1">
      <alignment horizontal="center" vertical="top" wrapText="1"/>
    </xf>
    <xf numFmtId="0" fontId="16" fillId="0" borderId="10" xfId="0" applyFont="1" applyBorder="1" applyAlignment="1" applyProtection="1">
      <alignment vertical="top"/>
    </xf>
    <xf numFmtId="0" fontId="16" fillId="0" borderId="10" xfId="0" applyFont="1" applyFill="1" applyBorder="1" applyAlignment="1" applyProtection="1">
      <alignment horizontal="right" vertical="top"/>
      <protection hidden="1"/>
    </xf>
    <xf numFmtId="0" fontId="16" fillId="0" borderId="10" xfId="0" applyFont="1" applyFill="1" applyBorder="1" applyAlignment="1" applyProtection="1">
      <alignment horizontal="center" vertical="top"/>
    </xf>
    <xf numFmtId="175" fontId="6" fillId="0" borderId="10" xfId="0" applyNumberFormat="1" applyFont="1" applyBorder="1" applyAlignment="1" applyProtection="1">
      <alignment horizontal="center" vertical="center" wrapText="1"/>
    </xf>
    <xf numFmtId="172" fontId="6" fillId="4" borderId="10" xfId="8" quotePrefix="1" applyFont="1" applyFill="1" applyBorder="1" applyAlignment="1" applyProtection="1">
      <alignment horizontal="right" vertical="top"/>
      <protection hidden="1"/>
    </xf>
    <xf numFmtId="172" fontId="6" fillId="4" borderId="10" xfId="8" quotePrefix="1" applyFont="1" applyFill="1" applyBorder="1" applyAlignment="1" applyProtection="1">
      <alignment horizontal="center" vertical="top"/>
    </xf>
    <xf numFmtId="49" fontId="6" fillId="0" borderId="10" xfId="0" quotePrefix="1" applyNumberFormat="1" applyFont="1" applyFill="1" applyBorder="1" applyAlignment="1" applyProtection="1">
      <alignment horizontal="right" vertical="top" wrapText="1"/>
      <protection hidden="1"/>
    </xf>
    <xf numFmtId="175" fontId="6" fillId="4" borderId="10" xfId="0" applyNumberFormat="1" applyFont="1" applyFill="1" applyBorder="1" applyAlignment="1" applyProtection="1">
      <alignment horizontal="center" vertical="top" wrapText="1"/>
    </xf>
    <xf numFmtId="0" fontId="11" fillId="4" borderId="10" xfId="0" applyFont="1" applyFill="1" applyBorder="1" applyAlignment="1" applyProtection="1">
      <alignment vertical="top" wrapText="1"/>
    </xf>
    <xf numFmtId="0" fontId="16" fillId="0" borderId="10" xfId="0" applyFont="1" applyBorder="1" applyAlignment="1" applyProtection="1">
      <alignment horizontal="center" vertical="top"/>
    </xf>
    <xf numFmtId="0" fontId="16" fillId="0" borderId="10" xfId="0" applyFont="1" applyBorder="1" applyAlignment="1" applyProtection="1">
      <alignment horizontal="justify" vertical="top" wrapText="1"/>
    </xf>
    <xf numFmtId="173" fontId="6" fillId="3" borderId="10" xfId="1" applyNumberFormat="1" applyFont="1" applyFill="1" applyBorder="1" applyAlignment="1" applyProtection="1">
      <alignment horizontal="justify" vertical="top" wrapText="1"/>
    </xf>
    <xf numFmtId="176" fontId="6" fillId="0" borderId="10" xfId="0" applyNumberFormat="1" applyFont="1" applyBorder="1" applyAlignment="1" applyProtection="1">
      <alignment horizontal="center" vertical="top" wrapText="1"/>
    </xf>
    <xf numFmtId="0" fontId="6" fillId="0" borderId="10" xfId="0" applyFont="1" applyBorder="1" applyAlignment="1" applyProtection="1">
      <alignment horizontal="left" vertical="top" wrapText="1"/>
    </xf>
    <xf numFmtId="172" fontId="25" fillId="0" borderId="0" xfId="8" applyFont="1" applyAlignment="1" applyProtection="1">
      <alignment horizontal="center" vertical="top"/>
    </xf>
    <xf numFmtId="172" fontId="25" fillId="0" borderId="0" xfId="8" applyFont="1" applyAlignment="1" applyProtection="1">
      <alignment horizontal="center" vertical="top" wrapText="1"/>
    </xf>
    <xf numFmtId="172" fontId="6" fillId="0" borderId="0" xfId="8" applyFont="1" applyAlignment="1" applyProtection="1">
      <alignment horizontal="center" vertical="center"/>
    </xf>
    <xf numFmtId="172" fontId="6" fillId="0" borderId="0" xfId="8" applyFont="1" applyAlignment="1" applyProtection="1">
      <alignment horizontal="left"/>
    </xf>
    <xf numFmtId="177" fontId="6" fillId="0" borderId="0" xfId="1" applyNumberFormat="1" applyFont="1" applyAlignment="1" applyProtection="1">
      <alignment vertical="center"/>
    </xf>
    <xf numFmtId="0" fontId="16" fillId="0" borderId="0" xfId="0" applyFont="1" applyAlignment="1" applyProtection="1">
      <alignment horizontal="left" vertical="center"/>
    </xf>
    <xf numFmtId="0" fontId="16" fillId="0" borderId="0" xfId="0" applyFont="1" applyAlignment="1" applyProtection="1">
      <alignment horizontal="right" vertical="center"/>
    </xf>
    <xf numFmtId="0" fontId="16" fillId="0" borderId="0" xfId="0" applyFont="1" applyAlignment="1" applyProtection="1">
      <alignment horizontal="center" vertical="center"/>
    </xf>
    <xf numFmtId="173" fontId="6" fillId="0" borderId="0" xfId="1" applyNumberFormat="1" applyFont="1" applyAlignment="1" applyProtection="1">
      <alignment horizontal="left" vertical="center"/>
    </xf>
    <xf numFmtId="177" fontId="6" fillId="0" borderId="0" xfId="1" applyNumberFormat="1" applyFont="1" applyAlignment="1" applyProtection="1">
      <alignment horizontal="left" vertical="center"/>
    </xf>
    <xf numFmtId="0" fontId="6" fillId="2" borderId="11" xfId="0" applyFont="1" applyFill="1" applyBorder="1" applyAlignment="1" applyProtection="1">
      <alignment horizontal="center" vertical="center"/>
    </xf>
    <xf numFmtId="0" fontId="6" fillId="2" borderId="19" xfId="0" applyFont="1" applyFill="1" applyBorder="1" applyAlignment="1" applyProtection="1">
      <alignment horizontal="center" vertical="center"/>
    </xf>
    <xf numFmtId="173" fontId="6" fillId="2" borderId="19" xfId="1" applyNumberFormat="1" applyFont="1" applyFill="1" applyBorder="1" applyAlignment="1" applyProtection="1">
      <alignment horizontal="center" vertical="center" wrapText="1"/>
    </xf>
    <xf numFmtId="177" fontId="6" fillId="2" borderId="19" xfId="1" applyNumberFormat="1" applyFont="1" applyFill="1" applyBorder="1" applyAlignment="1" applyProtection="1">
      <alignment horizontal="center" vertical="center" wrapText="1"/>
    </xf>
    <xf numFmtId="0" fontId="6" fillId="2" borderId="16" xfId="0" applyFont="1" applyFill="1" applyBorder="1" applyAlignment="1" applyProtection="1">
      <alignment horizontal="center" vertical="center" wrapText="1"/>
    </xf>
    <xf numFmtId="0" fontId="6" fillId="2" borderId="18" xfId="0" applyFont="1" applyFill="1" applyBorder="1" applyAlignment="1" applyProtection="1">
      <alignment horizontal="center" vertical="center"/>
    </xf>
    <xf numFmtId="0" fontId="6" fillId="2" borderId="16" xfId="0" applyFont="1" applyFill="1" applyBorder="1" applyAlignment="1" applyProtection="1">
      <alignment horizontal="center" vertical="center"/>
    </xf>
    <xf numFmtId="173" fontId="6" fillId="2" borderId="16" xfId="1" quotePrefix="1" applyNumberFormat="1" applyFont="1" applyFill="1" applyBorder="1" applyAlignment="1" applyProtection="1">
      <alignment horizontal="center" vertical="center" wrapText="1"/>
    </xf>
    <xf numFmtId="177" fontId="6" fillId="2" borderId="16" xfId="1" quotePrefix="1" applyNumberFormat="1" applyFont="1" applyFill="1" applyBorder="1" applyAlignment="1" applyProtection="1">
      <alignment horizontal="center" vertical="center" wrapText="1"/>
    </xf>
    <xf numFmtId="0" fontId="6" fillId="0" borderId="10" xfId="0" applyFont="1" applyBorder="1" applyAlignment="1" applyProtection="1">
      <alignment horizontal="right" vertical="top" wrapText="1"/>
      <protection hidden="1"/>
    </xf>
    <xf numFmtId="173" fontId="6" fillId="3" borderId="10" xfId="1" applyNumberFormat="1" applyFont="1" applyFill="1" applyBorder="1" applyAlignment="1" applyProtection="1">
      <alignment horizontal="center" vertical="top" wrapText="1"/>
    </xf>
    <xf numFmtId="177" fontId="6" fillId="3" borderId="10" xfId="1" applyNumberFormat="1" applyFont="1" applyFill="1" applyBorder="1" applyAlignment="1" applyProtection="1">
      <alignment horizontal="center" vertical="top" wrapText="1"/>
    </xf>
    <xf numFmtId="49" fontId="6" fillId="0" borderId="10" xfId="0" quotePrefix="1" applyNumberFormat="1" applyFont="1" applyFill="1" applyBorder="1" applyAlignment="1" applyProtection="1">
      <alignment horizontal="center" vertical="top"/>
    </xf>
    <xf numFmtId="172" fontId="6" fillId="0" borderId="10" xfId="8" quotePrefix="1" applyFont="1" applyBorder="1" applyAlignment="1" applyProtection="1">
      <alignment horizontal="right" vertical="top"/>
      <protection hidden="1"/>
    </xf>
    <xf numFmtId="0" fontId="6" fillId="0" borderId="10" xfId="0" applyFont="1" applyFill="1" applyBorder="1" applyAlignment="1" applyProtection="1">
      <alignment horizontal="left" vertical="top" wrapText="1"/>
    </xf>
    <xf numFmtId="0" fontId="6" fillId="0" borderId="10" xfId="0" applyFont="1" applyFill="1" applyBorder="1" applyAlignment="1" applyProtection="1">
      <alignment horizontal="center" vertical="top" wrapText="1"/>
    </xf>
    <xf numFmtId="173" fontId="6" fillId="3" borderId="10" xfId="1" applyNumberFormat="1" applyFont="1" applyFill="1" applyBorder="1" applyAlignment="1" applyProtection="1">
      <alignment horizontal="center" vertical="top"/>
    </xf>
    <xf numFmtId="49" fontId="6" fillId="0" borderId="10" xfId="0" quotePrefix="1" applyNumberFormat="1" applyFont="1" applyBorder="1" applyAlignment="1" applyProtection="1">
      <alignment horizontal="right" vertical="top"/>
      <protection hidden="1"/>
    </xf>
    <xf numFmtId="49" fontId="6" fillId="0" borderId="10" xfId="0" quotePrefix="1" applyNumberFormat="1" applyFont="1" applyBorder="1" applyAlignment="1" applyProtection="1">
      <alignment horizontal="center" vertical="top"/>
    </xf>
    <xf numFmtId="0" fontId="6" fillId="0" borderId="0" xfId="0" applyFont="1" applyFill="1" applyBorder="1" applyAlignment="1" applyProtection="1">
      <alignment horizontal="left" vertical="top" wrapText="1"/>
    </xf>
    <xf numFmtId="172" fontId="6" fillId="0" borderId="16" xfId="8" quotePrefix="1" applyFont="1" applyFill="1" applyBorder="1" applyAlignment="1" applyProtection="1">
      <alignment horizontal="center" vertical="top"/>
    </xf>
    <xf numFmtId="1" fontId="18" fillId="0" borderId="10" xfId="9" applyNumberFormat="1" applyFont="1" applyBorder="1" applyAlignment="1" applyProtection="1">
      <alignment horizontal="center" vertical="top" wrapText="1"/>
      <protection hidden="1"/>
    </xf>
    <xf numFmtId="0" fontId="6" fillId="0" borderId="10" xfId="0" quotePrefix="1" applyFont="1" applyBorder="1" applyAlignment="1" applyProtection="1">
      <alignment horizontal="center" vertical="top" wrapText="1"/>
    </xf>
    <xf numFmtId="0" fontId="6" fillId="4" borderId="10" xfId="0" quotePrefix="1" applyFont="1" applyFill="1" applyBorder="1" applyAlignment="1">
      <alignment horizontal="center" vertical="top" wrapText="1"/>
    </xf>
    <xf numFmtId="0" fontId="11" fillId="0" borderId="14" xfId="0" applyFont="1" applyBorder="1" applyAlignment="1" applyProtection="1">
      <alignment horizontal="left" vertical="top" wrapText="1"/>
    </xf>
    <xf numFmtId="172" fontId="6" fillId="4" borderId="14" xfId="8" quotePrefix="1" applyFont="1" applyFill="1" applyBorder="1" applyAlignment="1" applyProtection="1">
      <alignment horizontal="right" vertical="top"/>
      <protection hidden="1"/>
    </xf>
    <xf numFmtId="172" fontId="6" fillId="0" borderId="14" xfId="8" quotePrefix="1" applyFont="1" applyBorder="1" applyAlignment="1" applyProtection="1">
      <alignment horizontal="center" vertical="top"/>
    </xf>
    <xf numFmtId="0" fontId="6" fillId="0" borderId="10" xfId="0" quotePrefix="1" applyFont="1" applyBorder="1" applyAlignment="1">
      <alignment horizontal="center" vertical="center" wrapText="1"/>
    </xf>
    <xf numFmtId="173" fontId="6" fillId="2" borderId="10" xfId="0" applyNumberFormat="1" applyFont="1" applyFill="1" applyBorder="1" applyAlignment="1" applyProtection="1">
      <alignment horizontal="center" vertical="center" wrapText="1"/>
    </xf>
    <xf numFmtId="0" fontId="6" fillId="0" borderId="14" xfId="0" applyFont="1" applyBorder="1" applyAlignment="1" applyProtection="1">
      <alignment horizontal="left" vertical="top" wrapText="1"/>
    </xf>
    <xf numFmtId="172" fontId="6" fillId="0" borderId="14" xfId="8" quotePrefix="1" applyFont="1" applyFill="1" applyBorder="1" applyAlignment="1" applyProtection="1">
      <alignment horizontal="right" vertical="top"/>
      <protection hidden="1"/>
    </xf>
    <xf numFmtId="172" fontId="6" fillId="0" borderId="14" xfId="8" quotePrefix="1" applyFont="1" applyFill="1" applyBorder="1" applyAlignment="1" applyProtection="1">
      <alignment horizontal="center" vertical="top"/>
    </xf>
    <xf numFmtId="9" fontId="18" fillId="0" borderId="10" xfId="9" applyFont="1" applyBorder="1" applyAlignment="1" applyProtection="1">
      <alignment horizontal="center" vertical="top" wrapText="1"/>
      <protection hidden="1"/>
    </xf>
    <xf numFmtId="173" fontId="18" fillId="0" borderId="10" xfId="1" applyNumberFormat="1" applyFont="1" applyFill="1" applyBorder="1" applyAlignment="1" applyProtection="1">
      <alignment horizontal="right" vertical="top" wrapText="1"/>
    </xf>
    <xf numFmtId="177" fontId="18" fillId="0" borderId="10" xfId="1" quotePrefix="1" applyNumberFormat="1" applyFont="1" applyBorder="1" applyAlignment="1" applyProtection="1">
      <alignment horizontal="center" vertical="top" wrapText="1"/>
      <protection hidden="1"/>
    </xf>
    <xf numFmtId="173" fontId="18" fillId="0" borderId="10" xfId="1" applyNumberFormat="1" applyFont="1" applyBorder="1" applyAlignment="1" applyProtection="1">
      <alignment vertical="top"/>
      <protection hidden="1"/>
    </xf>
    <xf numFmtId="177" fontId="18" fillId="0" borderId="10" xfId="1" quotePrefix="1" applyNumberFormat="1" applyFont="1" applyFill="1" applyBorder="1" applyAlignment="1" applyProtection="1">
      <alignment horizontal="center" vertical="top" wrapText="1"/>
      <protection hidden="1"/>
    </xf>
    <xf numFmtId="172" fontId="6" fillId="0" borderId="10" xfId="8" applyFont="1" applyBorder="1" applyAlignment="1" applyProtection="1">
      <alignment horizontal="right" vertical="top"/>
      <protection hidden="1"/>
    </xf>
    <xf numFmtId="0" fontId="6" fillId="0" borderId="14" xfId="0" applyFont="1" applyBorder="1" applyAlignment="1">
      <alignment vertical="center" wrapText="1"/>
    </xf>
    <xf numFmtId="0" fontId="6" fillId="0" borderId="10" xfId="0" applyFont="1" applyFill="1" applyBorder="1" applyAlignment="1" applyProtection="1">
      <alignment horizontal="right" vertical="top" wrapText="1"/>
      <protection hidden="1"/>
    </xf>
    <xf numFmtId="0" fontId="6" fillId="0" borderId="15" xfId="0" applyFont="1" applyBorder="1" applyAlignment="1" applyProtection="1">
      <alignment horizontal="left" vertical="top" wrapText="1"/>
    </xf>
    <xf numFmtId="43" fontId="6" fillId="0" borderId="10" xfId="1" quotePrefix="1" applyFont="1" applyBorder="1" applyAlignment="1" applyProtection="1">
      <alignment horizontal="center" vertical="top" wrapText="1"/>
    </xf>
    <xf numFmtId="49" fontId="6" fillId="0" borderId="16" xfId="0" quotePrefix="1" applyNumberFormat="1" applyFont="1" applyBorder="1" applyAlignment="1" applyProtection="1">
      <alignment horizontal="center" vertical="top"/>
    </xf>
    <xf numFmtId="175" fontId="6" fillId="0" borderId="10" xfId="0" quotePrefix="1" applyNumberFormat="1" applyFont="1" applyBorder="1" applyAlignment="1" applyProtection="1">
      <alignment horizontal="center" vertical="top" wrapText="1"/>
    </xf>
    <xf numFmtId="177" fontId="18" fillId="0" borderId="10" xfId="1" applyNumberFormat="1" applyFont="1" applyBorder="1" applyAlignment="1" applyProtection="1">
      <alignment horizontal="center" vertical="top" wrapText="1"/>
      <protection hidden="1"/>
    </xf>
    <xf numFmtId="0" fontId="6" fillId="0" borderId="0" xfId="0" applyFont="1" applyAlignment="1" applyProtection="1">
      <alignment horizontal="center" vertical="top"/>
    </xf>
    <xf numFmtId="0" fontId="6" fillId="0" borderId="0" xfId="0" applyFont="1" applyAlignment="1" applyProtection="1">
      <alignment horizontal="left" vertical="top"/>
    </xf>
    <xf numFmtId="0" fontId="22" fillId="4" borderId="0" xfId="0" quotePrefix="1" applyFont="1" applyFill="1" applyAlignment="1" applyProtection="1">
      <alignment horizontal="right" vertical="top"/>
      <protection hidden="1"/>
    </xf>
    <xf numFmtId="0" fontId="6" fillId="0" borderId="0" xfId="0" quotePrefix="1" applyFont="1" applyAlignment="1" applyProtection="1">
      <alignment horizontal="center" vertical="top"/>
    </xf>
    <xf numFmtId="173" fontId="6" fillId="0" borderId="0" xfId="1" applyNumberFormat="1" applyFont="1" applyAlignment="1" applyProtection="1">
      <alignment vertical="top"/>
    </xf>
    <xf numFmtId="177" fontId="6" fillId="0" borderId="0" xfId="1" applyNumberFormat="1" applyFont="1" applyAlignment="1" applyProtection="1">
      <alignment vertical="top"/>
    </xf>
    <xf numFmtId="0" fontId="6" fillId="0" borderId="0" xfId="0" applyFont="1" applyAlignment="1" applyProtection="1"/>
    <xf numFmtId="0" fontId="6" fillId="0" borderId="10" xfId="0" applyFont="1" applyBorder="1" applyAlignment="1" applyProtection="1">
      <alignment horizontal="left" vertical="top"/>
    </xf>
    <xf numFmtId="177" fontId="6" fillId="0" borderId="0" xfId="1" applyNumberFormat="1" applyFont="1" applyAlignment="1" applyProtection="1"/>
    <xf numFmtId="177" fontId="6" fillId="0" borderId="0" xfId="1" applyNumberFormat="1" applyFont="1" applyAlignment="1" applyProtection="1">
      <alignment horizontal="right"/>
    </xf>
    <xf numFmtId="177" fontId="6" fillId="0" borderId="0" xfId="1" applyNumberFormat="1" applyFont="1" applyAlignment="1" applyProtection="1">
      <alignment horizontal="center"/>
    </xf>
    <xf numFmtId="173" fontId="6" fillId="0" borderId="0" xfId="1" applyNumberFormat="1" applyFont="1" applyAlignment="1" applyProtection="1"/>
    <xf numFmtId="0" fontId="6" fillId="0" borderId="0" xfId="0" applyFont="1" applyAlignment="1" applyProtection="1">
      <alignment horizontal="center"/>
    </xf>
    <xf numFmtId="173" fontId="6" fillId="0" borderId="0" xfId="0" applyNumberFormat="1" applyFont="1" applyAlignment="1" applyProtection="1"/>
    <xf numFmtId="0" fontId="6" fillId="0" borderId="0" xfId="0" applyFont="1" applyAlignment="1" applyProtection="1">
      <alignment vertical="top"/>
    </xf>
    <xf numFmtId="173" fontId="6" fillId="0" borderId="0" xfId="0" applyNumberFormat="1" applyFont="1" applyAlignment="1" applyProtection="1">
      <alignment horizontal="right" vertical="top"/>
    </xf>
    <xf numFmtId="0" fontId="16" fillId="0" borderId="0" xfId="0" applyFont="1" applyAlignment="1" applyProtection="1">
      <alignment vertical="center"/>
    </xf>
    <xf numFmtId="177" fontId="6" fillId="0" borderId="0" xfId="1" applyNumberFormat="1" applyFont="1" applyAlignment="1" applyProtection="1">
      <alignment horizontal="right" vertical="top"/>
    </xf>
    <xf numFmtId="177" fontId="6" fillId="0" borderId="0" xfId="1" applyNumberFormat="1" applyFont="1" applyAlignment="1" applyProtection="1">
      <alignment horizontal="center" vertical="top"/>
    </xf>
    <xf numFmtId="173" fontId="6" fillId="0" borderId="0" xfId="0" applyNumberFormat="1" applyFont="1" applyAlignment="1" applyProtection="1">
      <alignment vertical="top"/>
    </xf>
    <xf numFmtId="173" fontId="6" fillId="0" borderId="0" xfId="0" applyNumberFormat="1" applyFont="1" applyBorder="1" applyAlignment="1" applyProtection="1">
      <alignment vertical="top"/>
    </xf>
    <xf numFmtId="0" fontId="6" fillId="2" borderId="10" xfId="0" applyFont="1" applyFill="1" applyBorder="1" applyAlignment="1" applyProtection="1">
      <alignment horizontal="center" vertical="center" wrapText="1"/>
      <protection hidden="1"/>
    </xf>
    <xf numFmtId="9" fontId="6" fillId="2" borderId="10" xfId="9" applyFont="1" applyFill="1" applyBorder="1" applyAlignment="1" applyProtection="1">
      <alignment horizontal="center" vertical="center" wrapText="1"/>
    </xf>
    <xf numFmtId="173" fontId="6" fillId="2" borderId="10" xfId="1" quotePrefix="1" applyNumberFormat="1" applyFont="1" applyFill="1" applyBorder="1" applyAlignment="1" applyProtection="1">
      <alignment horizontal="center" vertical="center" wrapText="1"/>
    </xf>
    <xf numFmtId="177" fontId="6" fillId="2" borderId="10" xfId="1" quotePrefix="1" applyNumberFormat="1" applyFont="1" applyFill="1" applyBorder="1" applyAlignment="1" applyProtection="1">
      <alignment horizontal="center" vertical="center" wrapText="1"/>
    </xf>
    <xf numFmtId="173" fontId="6" fillId="2" borderId="10" xfId="0" quotePrefix="1" applyNumberFormat="1" applyFont="1" applyFill="1" applyBorder="1" applyAlignment="1" applyProtection="1">
      <alignment horizontal="center" vertical="center" wrapText="1"/>
    </xf>
    <xf numFmtId="0" fontId="6" fillId="0" borderId="10" xfId="0" applyFont="1" applyFill="1" applyBorder="1" applyAlignment="1" applyProtection="1">
      <alignment horizontal="left" vertical="top" wrapText="1"/>
      <protection hidden="1"/>
    </xf>
    <xf numFmtId="0" fontId="6" fillId="3" borderId="10" xfId="0" applyFont="1" applyFill="1" applyBorder="1" applyAlignment="1" applyProtection="1">
      <alignment horizontal="center" vertical="top" wrapText="1"/>
      <protection hidden="1"/>
    </xf>
    <xf numFmtId="173" fontId="6" fillId="3" borderId="10" xfId="1" applyNumberFormat="1" applyFont="1" applyFill="1" applyBorder="1" applyAlignment="1" applyProtection="1">
      <alignment horizontal="right" vertical="top" wrapText="1"/>
    </xf>
    <xf numFmtId="0" fontId="6" fillId="3" borderId="10" xfId="0" applyFont="1" applyFill="1" applyBorder="1" applyAlignment="1" applyProtection="1">
      <alignment horizontal="center" vertical="top" wrapText="1"/>
    </xf>
    <xf numFmtId="173" fontId="6" fillId="3" borderId="10" xfId="0" applyNumberFormat="1" applyFont="1" applyFill="1" applyBorder="1" applyAlignment="1" applyProtection="1">
      <alignment horizontal="right" vertical="top" wrapText="1"/>
    </xf>
    <xf numFmtId="176" fontId="6" fillId="0" borderId="10" xfId="0" applyNumberFormat="1" applyFont="1" applyFill="1" applyBorder="1" applyAlignment="1" applyProtection="1">
      <alignment horizontal="left" vertical="top" wrapText="1"/>
    </xf>
    <xf numFmtId="0" fontId="6" fillId="0" borderId="10" xfId="0" quotePrefix="1" applyFont="1" applyFill="1" applyBorder="1" applyAlignment="1" applyProtection="1">
      <alignment horizontal="right" vertical="top"/>
      <protection hidden="1"/>
    </xf>
    <xf numFmtId="0" fontId="6" fillId="3" borderId="10" xfId="0" quotePrefix="1" applyFont="1" applyFill="1" applyBorder="1" applyAlignment="1" applyProtection="1">
      <alignment horizontal="center" vertical="top" wrapText="1"/>
      <protection hidden="1"/>
    </xf>
    <xf numFmtId="9" fontId="18" fillId="0" borderId="10" xfId="9" applyFont="1" applyBorder="1" applyAlignment="1" applyProtection="1">
      <alignment horizontal="center" vertical="top" wrapText="1"/>
    </xf>
    <xf numFmtId="173" fontId="18" fillId="0" borderId="10" xfId="1" applyNumberFormat="1" applyFont="1" applyBorder="1" applyAlignment="1" applyProtection="1">
      <alignment horizontal="right" vertical="top" wrapText="1"/>
      <protection hidden="1"/>
    </xf>
    <xf numFmtId="176" fontId="6" fillId="0" borderId="10" xfId="0" quotePrefix="1" applyNumberFormat="1" applyFont="1" applyFill="1" applyBorder="1" applyAlignment="1" applyProtection="1">
      <alignment horizontal="left" vertical="top" wrapText="1"/>
    </xf>
    <xf numFmtId="49" fontId="6" fillId="3" borderId="10" xfId="0" quotePrefix="1" applyNumberFormat="1" applyFont="1" applyFill="1" applyBorder="1" applyAlignment="1" applyProtection="1">
      <alignment horizontal="center" vertical="top"/>
      <protection hidden="1"/>
    </xf>
    <xf numFmtId="173" fontId="18" fillId="0" borderId="10" xfId="1" applyNumberFormat="1" applyFont="1" applyFill="1" applyBorder="1" applyAlignment="1" applyProtection="1">
      <alignment horizontal="right" vertical="top" wrapText="1"/>
      <protection hidden="1"/>
    </xf>
    <xf numFmtId="9" fontId="6" fillId="3" borderId="10" xfId="9" applyFont="1" applyFill="1" applyBorder="1" applyAlignment="1" applyProtection="1">
      <alignment horizontal="center" vertical="top" wrapText="1"/>
    </xf>
    <xf numFmtId="0" fontId="6" fillId="0" borderId="10" xfId="0" applyFont="1" applyFill="1" applyBorder="1" applyAlignment="1" applyProtection="1">
      <alignment horizontal="left" vertical="top"/>
      <protection hidden="1"/>
    </xf>
    <xf numFmtId="0" fontId="6" fillId="3" borderId="10" xfId="0" applyFont="1" applyFill="1" applyBorder="1" applyAlignment="1" applyProtection="1">
      <alignment horizontal="center" vertical="top"/>
      <protection hidden="1"/>
    </xf>
    <xf numFmtId="49" fontId="6" fillId="3" borderId="10" xfId="0" quotePrefix="1" applyNumberFormat="1" applyFont="1" applyFill="1" applyBorder="1" applyAlignment="1" applyProtection="1">
      <alignment horizontal="center" vertical="top" wrapText="1"/>
      <protection hidden="1"/>
    </xf>
    <xf numFmtId="9" fontId="18" fillId="0" borderId="10" xfId="9" applyFont="1" applyFill="1" applyBorder="1" applyAlignment="1" applyProtection="1">
      <alignment horizontal="center" vertical="top" wrapText="1"/>
    </xf>
    <xf numFmtId="173" fontId="26" fillId="3" borderId="10" xfId="1" applyNumberFormat="1" applyFont="1" applyFill="1" applyBorder="1" applyAlignment="1" applyProtection="1">
      <alignment horizontal="right" vertical="top" wrapText="1"/>
    </xf>
    <xf numFmtId="0" fontId="6" fillId="3" borderId="10" xfId="0" quotePrefix="1" applyFont="1" applyFill="1" applyBorder="1" applyAlignment="1" applyProtection="1">
      <alignment horizontal="center" vertical="top"/>
      <protection hidden="1"/>
    </xf>
    <xf numFmtId="0" fontId="6" fillId="0" borderId="10" xfId="0" applyFont="1" applyFill="1" applyBorder="1" applyAlignment="1" applyProtection="1">
      <alignment horizontal="right" vertical="top"/>
      <protection hidden="1"/>
    </xf>
    <xf numFmtId="176" fontId="6" fillId="0" borderId="10" xfId="0" quotePrefix="1" applyNumberFormat="1" applyFont="1" applyBorder="1" applyAlignment="1" applyProtection="1">
      <alignment horizontal="left" vertical="top" wrapText="1"/>
    </xf>
    <xf numFmtId="0" fontId="6" fillId="0" borderId="10" xfId="0" applyFont="1" applyBorder="1" applyAlignment="1" applyProtection="1">
      <alignment horizontal="left" vertical="top"/>
      <protection hidden="1"/>
    </xf>
    <xf numFmtId="0" fontId="6" fillId="0" borderId="10" xfId="0" applyFont="1" applyBorder="1" applyAlignment="1" applyProtection="1">
      <alignment horizontal="left" vertical="top" wrapText="1"/>
      <protection hidden="1"/>
    </xf>
    <xf numFmtId="176" fontId="6" fillId="0" borderId="10" xfId="0" applyNumberFormat="1" applyFont="1" applyBorder="1" applyAlignment="1" applyProtection="1">
      <alignment horizontal="left" vertical="top" wrapText="1"/>
    </xf>
    <xf numFmtId="9" fontId="18" fillId="0" borderId="10" xfId="9" applyFont="1" applyFill="1" applyBorder="1" applyAlignment="1" applyProtection="1">
      <alignment horizontal="center" vertical="top" wrapText="1"/>
      <protection hidden="1"/>
    </xf>
    <xf numFmtId="177" fontId="27" fillId="3" borderId="10" xfId="1" applyNumberFormat="1" applyFont="1" applyFill="1" applyBorder="1" applyAlignment="1" applyProtection="1">
      <alignment horizontal="center" vertical="top" wrapText="1"/>
      <protection hidden="1"/>
    </xf>
    <xf numFmtId="0" fontId="6" fillId="5" borderId="10" xfId="0" applyFont="1" applyFill="1" applyBorder="1" applyAlignment="1" applyProtection="1">
      <alignment horizontal="left" vertical="top"/>
      <protection hidden="1"/>
    </xf>
    <xf numFmtId="49" fontId="26" fillId="3" borderId="10" xfId="0" applyNumberFormat="1" applyFont="1" applyFill="1" applyBorder="1" applyAlignment="1" applyProtection="1">
      <alignment horizontal="center" vertical="top"/>
      <protection hidden="1"/>
    </xf>
    <xf numFmtId="176" fontId="6" fillId="0" borderId="10" xfId="0" applyNumberFormat="1" applyFont="1" applyFill="1" applyBorder="1" applyAlignment="1" applyProtection="1">
      <alignment horizontal="left" vertical="top" wrapText="1"/>
      <protection hidden="1"/>
    </xf>
    <xf numFmtId="0" fontId="6" fillId="0" borderId="10" xfId="0" applyFont="1" applyFill="1" applyBorder="1" applyAlignment="1" applyProtection="1">
      <alignment horizontal="center" vertical="top" wrapText="1"/>
      <protection hidden="1"/>
    </xf>
    <xf numFmtId="0" fontId="6" fillId="0" borderId="10" xfId="0" applyFont="1" applyFill="1" applyBorder="1" applyAlignment="1" applyProtection="1">
      <alignment vertical="top"/>
      <protection locked="0"/>
    </xf>
    <xf numFmtId="0" fontId="6" fillId="0" borderId="10" xfId="0" applyFont="1" applyFill="1" applyBorder="1" applyAlignment="1" applyProtection="1">
      <alignment vertical="top"/>
      <protection hidden="1"/>
    </xf>
    <xf numFmtId="0" fontId="6" fillId="0" borderId="10" xfId="0" applyFont="1" applyFill="1" applyBorder="1" applyAlignment="1" applyProtection="1">
      <alignment horizontal="center" vertical="top"/>
      <protection hidden="1"/>
    </xf>
    <xf numFmtId="49" fontId="22" fillId="0" borderId="10" xfId="0" quotePrefix="1" applyNumberFormat="1" applyFont="1" applyFill="1" applyBorder="1" applyAlignment="1" applyProtection="1">
      <alignment horizontal="right" vertical="top"/>
      <protection hidden="1"/>
    </xf>
    <xf numFmtId="49" fontId="6" fillId="0" borderId="10" xfId="0" applyNumberFormat="1" applyFont="1" applyFill="1" applyBorder="1" applyAlignment="1" applyProtection="1">
      <alignment horizontal="right" vertical="top"/>
      <protection hidden="1"/>
    </xf>
    <xf numFmtId="9" fontId="18" fillId="0" borderId="10" xfId="1" applyNumberFormat="1" applyFont="1" applyFill="1" applyBorder="1" applyAlignment="1" applyProtection="1">
      <alignment horizontal="center" vertical="top"/>
      <protection hidden="1"/>
    </xf>
    <xf numFmtId="0" fontId="6" fillId="0" borderId="10" xfId="0" quotePrefix="1" applyFont="1" applyFill="1" applyBorder="1" applyAlignment="1" applyProtection="1">
      <alignment horizontal="center" vertical="top" wrapText="1"/>
      <protection hidden="1"/>
    </xf>
    <xf numFmtId="49" fontId="22" fillId="0" borderId="10" xfId="0" applyNumberFormat="1" applyFont="1" applyFill="1" applyBorder="1" applyAlignment="1" applyProtection="1">
      <alignment horizontal="right" vertical="top"/>
      <protection hidden="1"/>
    </xf>
    <xf numFmtId="173" fontId="6" fillId="0" borderId="10" xfId="1" applyNumberFormat="1" applyFont="1" applyFill="1" applyBorder="1" applyAlignment="1" applyProtection="1">
      <alignment vertical="top"/>
    </xf>
    <xf numFmtId="0" fontId="6" fillId="0" borderId="10" xfId="0" applyFont="1" applyBorder="1" applyAlignment="1" applyProtection="1">
      <alignment vertical="top"/>
    </xf>
    <xf numFmtId="0" fontId="6" fillId="0" borderId="10" xfId="0" applyFont="1" applyBorder="1" applyAlignment="1" applyProtection="1">
      <alignment vertical="top"/>
      <protection hidden="1"/>
    </xf>
    <xf numFmtId="0" fontId="6" fillId="0" borderId="0" xfId="0" applyFont="1" applyFill="1" applyBorder="1" applyAlignment="1" applyProtection="1">
      <alignment horizontal="center" vertical="top" wrapText="1"/>
    </xf>
    <xf numFmtId="0" fontId="6" fillId="0" borderId="0" xfId="0" applyFont="1" applyFill="1" applyBorder="1" applyAlignment="1" applyProtection="1">
      <alignment vertical="top" wrapText="1"/>
    </xf>
    <xf numFmtId="0" fontId="6" fillId="0" borderId="0" xfId="0" applyFont="1" applyFill="1" applyBorder="1" applyAlignment="1" applyProtection="1">
      <alignment vertical="top"/>
    </xf>
    <xf numFmtId="0" fontId="6" fillId="0" borderId="0" xfId="0" applyFont="1" applyFill="1" applyBorder="1" applyAlignment="1" applyProtection="1">
      <alignment vertical="top"/>
      <protection hidden="1"/>
    </xf>
    <xf numFmtId="0" fontId="6" fillId="0" borderId="0" xfId="0" applyFont="1" applyFill="1" applyBorder="1" applyAlignment="1" applyProtection="1">
      <alignment horizontal="center" vertical="top"/>
      <protection hidden="1"/>
    </xf>
    <xf numFmtId="173" fontId="6" fillId="0" borderId="0" xfId="1" applyNumberFormat="1" applyFont="1" applyFill="1" applyBorder="1" applyAlignment="1" applyProtection="1">
      <alignment horizontal="right" vertical="top" wrapText="1"/>
    </xf>
    <xf numFmtId="177" fontId="6" fillId="0" borderId="0" xfId="1" applyNumberFormat="1" applyFont="1" applyFill="1" applyBorder="1" applyAlignment="1" applyProtection="1">
      <alignment horizontal="center" vertical="top" wrapText="1"/>
    </xf>
    <xf numFmtId="0" fontId="25" fillId="0" borderId="0" xfId="0" applyFont="1" applyAlignment="1" applyProtection="1">
      <alignment horizontal="right" vertical="top"/>
    </xf>
    <xf numFmtId="173" fontId="6" fillId="0" borderId="0" xfId="0" applyNumberFormat="1" applyFont="1" applyBorder="1" applyAlignment="1" applyProtection="1">
      <alignment horizontal="justify" vertical="top"/>
    </xf>
    <xf numFmtId="0" fontId="6" fillId="0" borderId="0" xfId="0" applyFont="1" applyAlignment="1" applyProtection="1">
      <alignment horizontal="right" vertical="top"/>
    </xf>
    <xf numFmtId="10" fontId="6" fillId="0" borderId="0" xfId="0" applyNumberFormat="1" applyFont="1" applyAlignment="1" applyProtection="1"/>
    <xf numFmtId="0" fontId="6" fillId="0" borderId="0" xfId="0" applyFont="1" applyAlignment="1" applyProtection="1">
      <alignment horizontal="right"/>
    </xf>
    <xf numFmtId="173" fontId="6" fillId="0" borderId="0" xfId="0" applyNumberFormat="1" applyFont="1" applyAlignment="1" applyProtection="1">
      <alignment vertical="center"/>
    </xf>
    <xf numFmtId="173" fontId="16" fillId="0" borderId="0" xfId="0" applyNumberFormat="1" applyFont="1" applyAlignment="1" applyProtection="1">
      <alignment vertical="center"/>
    </xf>
    <xf numFmtId="0" fontId="6" fillId="2" borderId="20" xfId="0" applyFont="1" applyFill="1" applyBorder="1" applyAlignment="1" applyProtection="1">
      <alignment horizontal="center" vertical="center" wrapText="1"/>
    </xf>
    <xf numFmtId="0" fontId="6" fillId="2" borderId="11" xfId="0" applyFont="1" applyFill="1" applyBorder="1" applyAlignment="1" applyProtection="1">
      <alignment horizontal="center" vertical="center" wrapText="1"/>
    </xf>
    <xf numFmtId="0" fontId="6" fillId="2" borderId="21" xfId="0" applyFont="1" applyFill="1" applyBorder="1" applyAlignment="1" applyProtection="1">
      <alignment horizontal="center" vertical="center" wrapText="1"/>
    </xf>
    <xf numFmtId="0" fontId="6" fillId="2" borderId="22" xfId="0" applyFont="1" applyFill="1" applyBorder="1" applyAlignment="1" applyProtection="1">
      <alignment horizontal="center" vertical="center" wrapText="1"/>
    </xf>
    <xf numFmtId="9" fontId="6" fillId="2" borderId="16" xfId="9" applyFont="1" applyFill="1" applyBorder="1" applyAlignment="1" applyProtection="1">
      <alignment horizontal="center" vertical="center" wrapText="1"/>
    </xf>
    <xf numFmtId="9" fontId="6" fillId="2" borderId="17" xfId="9" applyFont="1" applyFill="1" applyBorder="1" applyAlignment="1" applyProtection="1">
      <alignment horizontal="center" vertical="center" wrapText="1"/>
    </xf>
    <xf numFmtId="173" fontId="6" fillId="2" borderId="16" xfId="0" applyNumberFormat="1" applyFont="1" applyFill="1" applyBorder="1" applyAlignment="1" applyProtection="1">
      <alignment horizontal="center" vertical="center" wrapText="1"/>
    </xf>
    <xf numFmtId="0" fontId="6" fillId="2" borderId="18" xfId="0" applyFont="1" applyFill="1" applyBorder="1" applyAlignment="1" applyProtection="1">
      <alignment horizontal="center" vertical="center" wrapText="1"/>
    </xf>
    <xf numFmtId="10" fontId="6" fillId="2" borderId="10" xfId="0" quotePrefix="1" applyNumberFormat="1" applyFont="1" applyFill="1" applyBorder="1" applyAlignment="1" applyProtection="1">
      <alignment horizontal="center" vertical="center" wrapText="1"/>
    </xf>
    <xf numFmtId="173" fontId="6" fillId="2" borderId="10" xfId="9" quotePrefix="1" applyNumberFormat="1" applyFont="1" applyFill="1" applyBorder="1" applyAlignment="1" applyProtection="1">
      <alignment horizontal="center" vertical="center" wrapText="1"/>
    </xf>
    <xf numFmtId="0" fontId="6" fillId="0" borderId="14" xfId="0" applyFont="1" applyBorder="1" applyAlignment="1" applyProtection="1">
      <alignment horizontal="left" vertical="top"/>
    </xf>
    <xf numFmtId="0" fontId="6" fillId="0" borderId="10" xfId="0" applyFont="1" applyBorder="1" applyAlignment="1" applyProtection="1">
      <alignment horizontal="right" vertical="top"/>
      <protection hidden="1"/>
    </xf>
    <xf numFmtId="0" fontId="6" fillId="0" borderId="15" xfId="0" applyFont="1" applyBorder="1" applyAlignment="1" applyProtection="1">
      <alignment horizontal="center" vertical="top"/>
    </xf>
    <xf numFmtId="173" fontId="6" fillId="3" borderId="15" xfId="0" applyNumberFormat="1" applyFont="1" applyFill="1" applyBorder="1" applyAlignment="1" applyProtection="1">
      <alignment vertical="top"/>
    </xf>
    <xf numFmtId="173" fontId="6" fillId="3" borderId="14" xfId="0" applyNumberFormat="1" applyFont="1" applyFill="1" applyBorder="1" applyAlignment="1" applyProtection="1">
      <alignment vertical="top"/>
    </xf>
    <xf numFmtId="10" fontId="6" fillId="3" borderId="13" xfId="0" applyNumberFormat="1" applyFont="1" applyFill="1" applyBorder="1" applyAlignment="1" applyProtection="1">
      <alignment vertical="top"/>
    </xf>
    <xf numFmtId="0" fontId="6" fillId="0" borderId="20" xfId="0" applyFont="1" applyBorder="1" applyAlignment="1" applyProtection="1">
      <alignment horizontal="center" vertical="top"/>
    </xf>
    <xf numFmtId="176" fontId="6" fillId="0" borderId="21" xfId="0" applyNumberFormat="1" applyFont="1" applyBorder="1" applyAlignment="1" applyProtection="1">
      <alignment horizontal="center" vertical="top" wrapText="1"/>
    </xf>
    <xf numFmtId="176" fontId="6" fillId="0" borderId="13" xfId="0" applyNumberFormat="1" applyFont="1" applyBorder="1" applyAlignment="1" applyProtection="1">
      <alignment horizontal="center" vertical="top" wrapText="1"/>
    </xf>
    <xf numFmtId="176" fontId="6" fillId="0" borderId="14" xfId="0" applyNumberFormat="1" applyFont="1" applyBorder="1" applyAlignment="1" applyProtection="1">
      <alignment horizontal="left" vertical="top" wrapText="1"/>
    </xf>
    <xf numFmtId="176" fontId="6" fillId="0" borderId="10" xfId="0" applyNumberFormat="1" applyFont="1" applyBorder="1" applyAlignment="1" applyProtection="1">
      <alignment horizontal="right" vertical="top" wrapText="1"/>
      <protection hidden="1"/>
    </xf>
    <xf numFmtId="176" fontId="6" fillId="0" borderId="15" xfId="0" applyNumberFormat="1" applyFont="1" applyBorder="1" applyAlignment="1" applyProtection="1">
      <alignment horizontal="center" vertical="top" wrapText="1"/>
    </xf>
    <xf numFmtId="173" fontId="6" fillId="3" borderId="13" xfId="0" applyNumberFormat="1" applyFont="1" applyFill="1" applyBorder="1" applyAlignment="1" applyProtection="1">
      <alignment vertical="top"/>
    </xf>
    <xf numFmtId="10" fontId="6" fillId="3" borderId="13" xfId="1" quotePrefix="1" applyNumberFormat="1" applyFont="1" applyFill="1" applyBorder="1" applyAlignment="1" applyProtection="1">
      <alignment horizontal="center" vertical="top"/>
    </xf>
    <xf numFmtId="173" fontId="6" fillId="3" borderId="13" xfId="1" quotePrefix="1" applyNumberFormat="1" applyFont="1" applyFill="1" applyBorder="1" applyAlignment="1" applyProtection="1">
      <alignment horizontal="center" vertical="top"/>
    </xf>
    <xf numFmtId="0" fontId="6" fillId="0" borderId="15" xfId="0" quotePrefix="1" applyFont="1" applyFill="1" applyBorder="1" applyAlignment="1" applyProtection="1">
      <alignment horizontal="center" vertical="top"/>
    </xf>
    <xf numFmtId="10" fontId="18" fillId="0" borderId="13" xfId="1" quotePrefix="1" applyNumberFormat="1" applyFont="1" applyBorder="1" applyAlignment="1" applyProtection="1">
      <alignment horizontal="center" vertical="top"/>
    </xf>
    <xf numFmtId="0" fontId="6" fillId="0" borderId="10" xfId="0" quotePrefix="1" applyNumberFormat="1" applyFont="1" applyBorder="1" applyAlignment="1" applyProtection="1">
      <alignment horizontal="right" vertical="top" wrapText="1"/>
      <protection hidden="1"/>
    </xf>
    <xf numFmtId="0" fontId="6" fillId="0" borderId="9" xfId="0" quotePrefix="1" applyNumberFormat="1" applyFont="1" applyBorder="1" applyAlignment="1" applyProtection="1">
      <alignment horizontal="center" vertical="top" wrapText="1"/>
    </xf>
    <xf numFmtId="0" fontId="6" fillId="0" borderId="10" xfId="0" applyNumberFormat="1" applyFont="1" applyBorder="1" applyAlignment="1" applyProtection="1">
      <alignment horizontal="right" vertical="top" wrapText="1"/>
      <protection hidden="1"/>
    </xf>
    <xf numFmtId="0" fontId="6" fillId="0" borderId="14" xfId="0" applyNumberFormat="1" applyFont="1" applyBorder="1" applyAlignment="1" applyProtection="1">
      <alignment horizontal="center" vertical="top" wrapText="1"/>
    </xf>
    <xf numFmtId="0" fontId="6" fillId="0" borderId="14" xfId="0" quotePrefix="1" applyFont="1" applyFill="1" applyBorder="1" applyAlignment="1" applyProtection="1">
      <alignment horizontal="center" vertical="top"/>
    </xf>
    <xf numFmtId="0" fontId="6" fillId="0" borderId="14" xfId="0" quotePrefix="1" applyNumberFormat="1" applyFont="1" applyBorder="1" applyAlignment="1" applyProtection="1">
      <alignment horizontal="center" vertical="top" wrapText="1"/>
    </xf>
    <xf numFmtId="0" fontId="6" fillId="0" borderId="12" xfId="0" quotePrefix="1" applyNumberFormat="1" applyFont="1" applyBorder="1" applyAlignment="1" applyProtection="1">
      <alignment horizontal="center" vertical="top" wrapText="1"/>
    </xf>
    <xf numFmtId="10" fontId="6" fillId="3" borderId="20" xfId="1" quotePrefix="1" applyNumberFormat="1" applyFont="1" applyFill="1" applyBorder="1" applyAlignment="1" applyProtection="1">
      <alignment horizontal="center" vertical="top"/>
    </xf>
    <xf numFmtId="176" fontId="6" fillId="0" borderId="16" xfId="0" applyNumberFormat="1" applyFont="1" applyBorder="1" applyAlignment="1" applyProtection="1">
      <alignment horizontal="center" vertical="top" wrapText="1"/>
    </xf>
    <xf numFmtId="0" fontId="6" fillId="0" borderId="21" xfId="0" applyFont="1" applyBorder="1" applyAlignment="1" applyProtection="1">
      <alignment horizontal="center" vertical="top"/>
    </xf>
    <xf numFmtId="0" fontId="6" fillId="0" borderId="10" xfId="0" applyNumberFormat="1" applyFont="1" applyBorder="1" applyAlignment="1" applyProtection="1">
      <alignment horizontal="right" vertical="top"/>
      <protection hidden="1"/>
    </xf>
    <xf numFmtId="0" fontId="6" fillId="0" borderId="18" xfId="0" applyNumberFormat="1" applyFont="1" applyBorder="1" applyAlignment="1" applyProtection="1">
      <alignment horizontal="center" vertical="top"/>
    </xf>
    <xf numFmtId="173" fontId="6" fillId="3" borderId="18" xfId="1" applyNumberFormat="1" applyFont="1" applyFill="1" applyBorder="1" applyAlignment="1" applyProtection="1">
      <alignment vertical="top"/>
    </xf>
    <xf numFmtId="173" fontId="6" fillId="3" borderId="9" xfId="1" applyNumberFormat="1" applyFont="1" applyFill="1" applyBorder="1" applyAlignment="1" applyProtection="1">
      <alignment vertical="top"/>
    </xf>
    <xf numFmtId="10" fontId="6" fillId="3" borderId="17" xfId="0" applyNumberFormat="1" applyFont="1" applyFill="1" applyBorder="1" applyAlignment="1" applyProtection="1">
      <alignment vertical="top"/>
    </xf>
    <xf numFmtId="173" fontId="6" fillId="3" borderId="17" xfId="1" applyNumberFormat="1" applyFont="1" applyFill="1" applyBorder="1" applyAlignment="1" applyProtection="1">
      <alignment vertical="top"/>
    </xf>
    <xf numFmtId="173" fontId="6" fillId="3" borderId="16" xfId="1" applyNumberFormat="1" applyFont="1" applyFill="1" applyBorder="1" applyAlignment="1" applyProtection="1">
      <alignment vertical="top"/>
    </xf>
    <xf numFmtId="10" fontId="27" fillId="3" borderId="13" xfId="1" quotePrefix="1" applyNumberFormat="1" applyFont="1" applyFill="1" applyBorder="1" applyAlignment="1" applyProtection="1">
      <alignment horizontal="center" vertical="top"/>
    </xf>
    <xf numFmtId="49" fontId="6" fillId="0" borderId="14" xfId="0" quotePrefix="1" applyNumberFormat="1" applyFont="1" applyBorder="1" applyAlignment="1" applyProtection="1">
      <alignment horizontal="center" vertical="top"/>
    </xf>
    <xf numFmtId="176" fontId="6" fillId="0" borderId="23" xfId="0" applyNumberFormat="1" applyFont="1" applyBorder="1" applyAlignment="1" applyProtection="1">
      <alignment horizontal="center" vertical="top" wrapText="1"/>
    </xf>
    <xf numFmtId="0" fontId="6" fillId="0" borderId="12" xfId="0" quotePrefix="1" applyFont="1" applyFill="1" applyBorder="1" applyAlignment="1" applyProtection="1">
      <alignment horizontal="center" vertical="top"/>
    </xf>
    <xf numFmtId="176" fontId="6" fillId="0" borderId="17" xfId="0" applyNumberFormat="1" applyFont="1" applyBorder="1" applyAlignment="1" applyProtection="1">
      <alignment horizontal="center" vertical="top" wrapText="1"/>
    </xf>
    <xf numFmtId="176" fontId="6" fillId="0" borderId="9" xfId="0" applyNumberFormat="1" applyFont="1" applyBorder="1" applyAlignment="1" applyProtection="1">
      <alignment horizontal="left" vertical="top" wrapText="1"/>
    </xf>
    <xf numFmtId="0" fontId="6" fillId="0" borderId="16" xfId="0" quotePrefix="1" applyFont="1" applyFill="1" applyBorder="1" applyAlignment="1" applyProtection="1">
      <alignment horizontal="right" vertical="top"/>
      <protection hidden="1"/>
    </xf>
    <xf numFmtId="0" fontId="6" fillId="0" borderId="16" xfId="0" applyFont="1" applyBorder="1" applyAlignment="1" applyProtection="1">
      <alignment horizontal="center" vertical="top" wrapText="1"/>
    </xf>
    <xf numFmtId="0" fontId="6" fillId="0" borderId="9" xfId="0" quotePrefix="1" applyFont="1" applyFill="1" applyBorder="1" applyAlignment="1" applyProtection="1">
      <alignment horizontal="center" vertical="top"/>
    </xf>
    <xf numFmtId="10" fontId="6" fillId="3" borderId="16" xfId="1" applyNumberFormat="1" applyFont="1" applyFill="1" applyBorder="1" applyAlignment="1" applyProtection="1">
      <alignment horizontal="center" vertical="top" wrapText="1"/>
    </xf>
    <xf numFmtId="173" fontId="6" fillId="3" borderId="16" xfId="1" applyNumberFormat="1" applyFont="1" applyFill="1" applyBorder="1" applyAlignment="1" applyProtection="1">
      <alignment vertical="top" wrapText="1"/>
    </xf>
    <xf numFmtId="0" fontId="6" fillId="0" borderId="17" xfId="0" applyFont="1" applyBorder="1" applyAlignment="1" applyProtection="1">
      <alignment horizontal="center" vertical="top" wrapText="1"/>
    </xf>
    <xf numFmtId="0" fontId="6" fillId="5" borderId="14" xfId="0" applyFont="1" applyFill="1" applyBorder="1" applyAlignment="1" applyProtection="1">
      <alignment horizontal="left" vertical="top" wrapText="1"/>
    </xf>
    <xf numFmtId="0" fontId="6" fillId="0" borderId="18" xfId="0" quotePrefix="1" applyFont="1" applyFill="1" applyBorder="1" applyAlignment="1" applyProtection="1">
      <alignment horizontal="center" vertical="top"/>
    </xf>
    <xf numFmtId="173" fontId="6" fillId="3" borderId="16" xfId="1" applyNumberFormat="1" applyFont="1" applyFill="1" applyBorder="1" applyAlignment="1" applyProtection="1">
      <alignment horizontal="right" vertical="top" wrapText="1"/>
    </xf>
    <xf numFmtId="10" fontId="6" fillId="3" borderId="16" xfId="1" applyNumberFormat="1" applyFont="1" applyFill="1" applyBorder="1" applyAlignment="1" applyProtection="1">
      <alignment horizontal="right" vertical="top" wrapText="1"/>
    </xf>
    <xf numFmtId="173" fontId="6" fillId="3" borderId="16" xfId="1" applyNumberFormat="1" applyFont="1" applyFill="1" applyBorder="1" applyAlignment="1" applyProtection="1">
      <alignment horizontal="center" vertical="top" wrapText="1"/>
    </xf>
    <xf numFmtId="176" fontId="6" fillId="0" borderId="0" xfId="0" applyNumberFormat="1" applyFont="1" applyFill="1" applyBorder="1" applyAlignment="1" applyProtection="1">
      <alignment horizontal="center" vertical="center" wrapText="1"/>
    </xf>
    <xf numFmtId="176" fontId="22" fillId="0" borderId="0" xfId="0" quotePrefix="1" applyNumberFormat="1" applyFont="1" applyFill="1" applyBorder="1" applyAlignment="1" applyProtection="1">
      <alignment horizontal="center" vertical="center" wrapText="1"/>
      <protection hidden="1"/>
    </xf>
    <xf numFmtId="173" fontId="6" fillId="0" borderId="0" xfId="0" applyNumberFormat="1" applyFont="1" applyFill="1" applyBorder="1" applyAlignment="1" applyProtection="1">
      <alignment vertical="center"/>
    </xf>
    <xf numFmtId="10" fontId="6" fillId="0" borderId="0" xfId="1" quotePrefix="1" applyNumberFormat="1" applyFont="1" applyFill="1" applyBorder="1" applyAlignment="1" applyProtection="1">
      <alignment horizontal="center" vertical="center"/>
    </xf>
    <xf numFmtId="173" fontId="6" fillId="0" borderId="0" xfId="1" quotePrefix="1" applyNumberFormat="1" applyFont="1" applyFill="1" applyBorder="1" applyAlignment="1" applyProtection="1">
      <alignment horizontal="center" vertical="center"/>
    </xf>
    <xf numFmtId="173" fontId="6" fillId="0" borderId="0" xfId="1" applyNumberFormat="1" applyFont="1" applyFill="1" applyBorder="1" applyAlignment="1" applyProtection="1">
      <alignment vertical="center"/>
    </xf>
    <xf numFmtId="173" fontId="6" fillId="0" borderId="0" xfId="0" applyNumberFormat="1" applyFont="1" applyFill="1" applyBorder="1" applyAlignment="1" applyProtection="1">
      <alignment horizontal="left" vertical="center" wrapText="1"/>
    </xf>
    <xf numFmtId="0" fontId="6" fillId="0" borderId="0" xfId="7" applyFont="1" applyAlignment="1">
      <alignment wrapText="1"/>
    </xf>
    <xf numFmtId="173" fontId="6" fillId="0" borderId="0" xfId="1" applyNumberFormat="1" applyFont="1"/>
    <xf numFmtId="173" fontId="22" fillId="0" borderId="22" xfId="1" applyNumberFormat="1" applyFont="1" applyBorder="1"/>
    <xf numFmtId="172" fontId="16" fillId="0" borderId="0" xfId="8" applyFont="1" applyAlignment="1">
      <alignment vertical="center"/>
    </xf>
    <xf numFmtId="0" fontId="6" fillId="0" borderId="0" xfId="0" applyFont="1" applyAlignment="1">
      <alignment vertical="top"/>
    </xf>
    <xf numFmtId="173" fontId="22" fillId="0" borderId="22" xfId="1" applyNumberFormat="1" applyFont="1" applyBorder="1" applyProtection="1">
      <protection hidden="1"/>
    </xf>
    <xf numFmtId="0" fontId="6" fillId="2" borderId="12" xfId="7" applyFont="1" applyFill="1" applyBorder="1" applyAlignment="1">
      <alignment horizontal="center" vertical="center" wrapText="1"/>
    </xf>
    <xf numFmtId="173" fontId="6" fillId="2" borderId="13" xfId="1" applyNumberFormat="1" applyFont="1" applyFill="1" applyBorder="1" applyAlignment="1">
      <alignment horizontal="centerContinuous" vertical="center" wrapText="1"/>
    </xf>
    <xf numFmtId="173" fontId="6" fillId="2" borderId="14" xfId="1" applyNumberFormat="1" applyFont="1" applyFill="1" applyBorder="1" applyAlignment="1">
      <alignment horizontal="centerContinuous" vertical="center" wrapText="1"/>
    </xf>
    <xf numFmtId="173" fontId="6" fillId="2" borderId="24" xfId="1" applyNumberFormat="1" applyFont="1" applyFill="1" applyBorder="1" applyAlignment="1">
      <alignment horizontal="centerContinuous" vertical="center" wrapText="1"/>
    </xf>
    <xf numFmtId="173" fontId="6" fillId="2" borderId="15" xfId="1" applyNumberFormat="1" applyFont="1" applyFill="1" applyBorder="1" applyAlignment="1">
      <alignment horizontal="centerContinuous" vertical="center" wrapText="1"/>
    </xf>
    <xf numFmtId="0" fontId="6" fillId="2" borderId="0" xfId="7" applyFont="1" applyFill="1" applyBorder="1" applyAlignment="1">
      <alignment horizontal="center" vertical="center" wrapText="1"/>
    </xf>
    <xf numFmtId="0" fontId="6" fillId="0" borderId="14" xfId="7" applyFont="1" applyFill="1" applyBorder="1" applyAlignment="1">
      <alignment vertical="top" wrapText="1"/>
    </xf>
    <xf numFmtId="0" fontId="6" fillId="0" borderId="10" xfId="7" applyFont="1" applyFill="1" applyBorder="1" applyAlignment="1" applyProtection="1">
      <alignment vertical="top" wrapText="1"/>
      <protection hidden="1"/>
    </xf>
    <xf numFmtId="173" fontId="6" fillId="3" borderId="14" xfId="1" applyNumberFormat="1" applyFont="1" applyFill="1" applyBorder="1" applyAlignment="1">
      <alignment horizontal="right" vertical="top" wrapText="1"/>
    </xf>
    <xf numFmtId="173" fontId="6" fillId="3" borderId="15" xfId="1" applyNumberFormat="1" applyFont="1" applyFill="1" applyBorder="1" applyAlignment="1">
      <alignment horizontal="right" vertical="top" wrapText="1"/>
    </xf>
    <xf numFmtId="176" fontId="6" fillId="0" borderId="16" xfId="0" applyNumberFormat="1" applyFont="1" applyBorder="1" applyAlignment="1">
      <alignment horizontal="center" vertical="top"/>
    </xf>
    <xf numFmtId="176" fontId="6" fillId="0" borderId="18" xfId="0" applyNumberFormat="1" applyFont="1" applyBorder="1" applyAlignment="1">
      <alignment vertical="top" wrapText="1"/>
    </xf>
    <xf numFmtId="176" fontId="6" fillId="0" borderId="9" xfId="0" applyNumberFormat="1" applyFont="1" applyBorder="1" applyAlignment="1">
      <alignment vertical="top" wrapText="1"/>
    </xf>
    <xf numFmtId="0" fontId="6" fillId="0" borderId="10" xfId="7" quotePrefix="1" applyFont="1" applyBorder="1" applyAlignment="1" applyProtection="1">
      <alignment horizontal="right" vertical="top"/>
      <protection hidden="1"/>
    </xf>
    <xf numFmtId="173" fontId="6" fillId="3" borderId="18" xfId="1" applyNumberFormat="1" applyFont="1" applyFill="1" applyBorder="1" applyAlignment="1" applyProtection="1">
      <alignment horizontal="right" vertical="top"/>
      <protection hidden="1"/>
    </xf>
    <xf numFmtId="176" fontId="6" fillId="0" borderId="10" xfId="0" applyNumberFormat="1" applyFont="1" applyBorder="1" applyAlignment="1">
      <alignment horizontal="center" vertical="top"/>
    </xf>
    <xf numFmtId="176" fontId="6" fillId="0" borderId="15" xfId="0" applyNumberFormat="1" applyFont="1" applyBorder="1" applyAlignment="1">
      <alignment vertical="top" wrapText="1"/>
    </xf>
    <xf numFmtId="176" fontId="6" fillId="0" borderId="14" xfId="0" applyNumberFormat="1" applyFont="1" applyBorder="1" applyAlignment="1">
      <alignment vertical="top" wrapText="1"/>
    </xf>
    <xf numFmtId="173" fontId="6" fillId="3" borderId="15" xfId="1" applyNumberFormat="1" applyFont="1" applyFill="1" applyBorder="1" applyAlignment="1" applyProtection="1">
      <alignment horizontal="right" vertical="top"/>
      <protection hidden="1"/>
    </xf>
    <xf numFmtId="176" fontId="6" fillId="0" borderId="19" xfId="0" applyNumberFormat="1" applyFont="1" applyBorder="1" applyAlignment="1">
      <alignment horizontal="center" vertical="top"/>
    </xf>
    <xf numFmtId="176" fontId="6" fillId="0" borderId="11" xfId="0" applyNumberFormat="1" applyFont="1" applyBorder="1" applyAlignment="1">
      <alignment vertical="top" wrapText="1"/>
    </xf>
    <xf numFmtId="176" fontId="6" fillId="0" borderId="12" xfId="0" applyNumberFormat="1" applyFont="1" applyBorder="1" applyAlignment="1">
      <alignment vertical="top" wrapText="1"/>
    </xf>
    <xf numFmtId="173" fontId="18" fillId="0" borderId="11" xfId="1" applyNumberFormat="1" applyFont="1" applyFill="1" applyBorder="1" applyAlignment="1" applyProtection="1">
      <alignment vertical="top"/>
      <protection hidden="1"/>
    </xf>
    <xf numFmtId="173" fontId="6" fillId="3" borderId="11" xfId="1" applyNumberFormat="1" applyFont="1" applyFill="1" applyBorder="1" applyAlignment="1" applyProtection="1">
      <alignment horizontal="right" vertical="top"/>
      <protection hidden="1"/>
    </xf>
    <xf numFmtId="176" fontId="6" fillId="0" borderId="14" xfId="0" applyNumberFormat="1" applyFont="1" applyBorder="1" applyAlignment="1">
      <alignment vertical="top"/>
    </xf>
    <xf numFmtId="0" fontId="6" fillId="0" borderId="10" xfId="7" applyFont="1" applyBorder="1" applyAlignment="1" applyProtection="1">
      <alignment horizontal="right" vertical="top"/>
      <protection hidden="1"/>
    </xf>
    <xf numFmtId="173" fontId="6" fillId="3" borderId="14" xfId="1" applyNumberFormat="1" applyFont="1" applyFill="1" applyBorder="1" applyAlignment="1" applyProtection="1">
      <alignment vertical="top"/>
      <protection hidden="1"/>
    </xf>
    <xf numFmtId="176" fontId="6" fillId="0" borderId="18" xfId="0" applyNumberFormat="1" applyFont="1" applyBorder="1" applyAlignment="1">
      <alignment horizontal="left" vertical="top" wrapText="1"/>
    </xf>
    <xf numFmtId="176" fontId="6" fillId="0" borderId="9" xfId="0" applyNumberFormat="1" applyFont="1" applyBorder="1" applyAlignment="1">
      <alignment horizontal="left" vertical="top" wrapText="1"/>
    </xf>
    <xf numFmtId="176" fontId="6" fillId="0" borderId="15" xfId="0" applyNumberFormat="1" applyFont="1" applyBorder="1" applyAlignment="1">
      <alignment horizontal="left" vertical="top" wrapText="1"/>
    </xf>
    <xf numFmtId="176" fontId="6" fillId="0" borderId="14" xfId="0" applyNumberFormat="1" applyFont="1" applyBorder="1" applyAlignment="1">
      <alignment horizontal="left" vertical="top" wrapText="1"/>
    </xf>
    <xf numFmtId="173" fontId="26" fillId="3" borderId="15" xfId="1" applyNumberFormat="1" applyFont="1" applyFill="1" applyBorder="1" applyAlignment="1" applyProtection="1">
      <alignment horizontal="right" vertical="top"/>
      <protection hidden="1"/>
    </xf>
    <xf numFmtId="173" fontId="18" fillId="0" borderId="15" xfId="1" applyNumberFormat="1" applyFont="1" applyFill="1" applyBorder="1" applyAlignment="1" applyProtection="1">
      <alignment vertical="top"/>
      <protection hidden="1"/>
    </xf>
    <xf numFmtId="173" fontId="18" fillId="0" borderId="10" xfId="1" applyNumberFormat="1" applyFont="1" applyFill="1" applyBorder="1" applyAlignment="1" applyProtection="1">
      <alignment horizontal="right" vertical="top"/>
      <protection hidden="1"/>
    </xf>
    <xf numFmtId="173" fontId="6" fillId="3" borderId="15" xfId="1" applyNumberFormat="1" applyFont="1" applyFill="1" applyBorder="1" applyAlignment="1" applyProtection="1">
      <alignment horizontal="center" vertical="top"/>
      <protection hidden="1"/>
    </xf>
    <xf numFmtId="173" fontId="6" fillId="3" borderId="10" xfId="1" applyNumberFormat="1" applyFont="1" applyFill="1" applyBorder="1" applyAlignment="1" applyProtection="1">
      <alignment horizontal="center" vertical="top"/>
      <protection hidden="1"/>
    </xf>
    <xf numFmtId="173" fontId="6" fillId="3" borderId="11" xfId="1" applyNumberFormat="1" applyFont="1" applyFill="1" applyBorder="1" applyAlignment="1" applyProtection="1">
      <alignment horizontal="center" vertical="top"/>
      <protection hidden="1"/>
    </xf>
    <xf numFmtId="173" fontId="6" fillId="3" borderId="19" xfId="1" applyNumberFormat="1" applyFont="1" applyFill="1" applyBorder="1" applyAlignment="1" applyProtection="1">
      <alignment horizontal="center" vertical="top"/>
      <protection hidden="1"/>
    </xf>
    <xf numFmtId="0" fontId="22" fillId="0" borderId="0" xfId="7" quotePrefix="1" applyFont="1" applyAlignment="1" applyProtection="1">
      <alignment horizontal="center" wrapText="1"/>
      <protection hidden="1"/>
    </xf>
    <xf numFmtId="0" fontId="25" fillId="0" borderId="0" xfId="7" applyFont="1" applyAlignment="1">
      <alignment horizontal="center" vertical="top"/>
    </xf>
    <xf numFmtId="173" fontId="6" fillId="0" borderId="0" xfId="1" applyNumberFormat="1" applyFont="1" applyAlignment="1">
      <alignment vertical="top"/>
    </xf>
    <xf numFmtId="177" fontId="6" fillId="0" borderId="0" xfId="2" applyNumberFormat="1" applyFont="1"/>
    <xf numFmtId="177" fontId="16" fillId="0" borderId="0" xfId="2" applyNumberFormat="1" applyFont="1"/>
    <xf numFmtId="177" fontId="6" fillId="3" borderId="25" xfId="2" applyNumberFormat="1" applyFont="1" applyFill="1" applyBorder="1" applyAlignment="1">
      <alignment horizontal="center" vertical="center"/>
    </xf>
    <xf numFmtId="0" fontId="6" fillId="3" borderId="26" xfId="2" applyNumberFormat="1" applyFont="1" applyFill="1" applyBorder="1" applyAlignment="1">
      <alignment horizontal="center" vertical="center"/>
    </xf>
    <xf numFmtId="177" fontId="6" fillId="3" borderId="27" xfId="2" applyNumberFormat="1" applyFont="1" applyFill="1" applyBorder="1" applyAlignment="1">
      <alignment horizontal="center" vertical="center"/>
    </xf>
    <xf numFmtId="0" fontId="6" fillId="3" borderId="28" xfId="2" applyNumberFormat="1" applyFont="1" applyFill="1" applyBorder="1" applyAlignment="1">
      <alignment horizontal="center" vertical="center"/>
    </xf>
    <xf numFmtId="177" fontId="6" fillId="3" borderId="29" xfId="2" applyNumberFormat="1" applyFont="1" applyFill="1" applyBorder="1" applyAlignment="1">
      <alignment horizontal="center" vertical="center"/>
    </xf>
    <xf numFmtId="177" fontId="6" fillId="0" borderId="30" xfId="2" applyNumberFormat="1" applyFont="1" applyBorder="1" applyAlignment="1">
      <alignment horizontal="center" vertical="top"/>
    </xf>
    <xf numFmtId="0" fontId="6" fillId="0" borderId="15" xfId="2" applyNumberFormat="1" applyFont="1" applyBorder="1" applyAlignment="1">
      <alignment horizontal="left" vertical="top"/>
    </xf>
    <xf numFmtId="177" fontId="6" fillId="3" borderId="10" xfId="2" applyNumberFormat="1" applyFont="1" applyFill="1" applyBorder="1" applyAlignment="1">
      <alignment vertical="center"/>
    </xf>
    <xf numFmtId="0" fontId="6" fillId="0" borderId="14" xfId="2" applyNumberFormat="1" applyFont="1" applyBorder="1" applyAlignment="1">
      <alignment horizontal="left" vertical="top"/>
    </xf>
    <xf numFmtId="177" fontId="6" fillId="3" borderId="31" xfId="2" applyNumberFormat="1" applyFont="1" applyFill="1" applyBorder="1" applyAlignment="1">
      <alignment vertical="center"/>
    </xf>
    <xf numFmtId="0" fontId="6" fillId="0" borderId="30" xfId="2" applyNumberFormat="1" applyFont="1" applyBorder="1" applyAlignment="1">
      <alignment horizontal="center" vertical="top"/>
    </xf>
    <xf numFmtId="0" fontId="6" fillId="0" borderId="15" xfId="2" applyNumberFormat="1" applyFont="1" applyBorder="1" applyAlignment="1">
      <alignment horizontal="left" vertical="top" indent="1"/>
    </xf>
    <xf numFmtId="177" fontId="6" fillId="0" borderId="10" xfId="2" applyNumberFormat="1" applyFont="1" applyBorder="1" applyAlignment="1">
      <alignment horizontal="center" vertical="center"/>
    </xf>
    <xf numFmtId="0" fontId="6" fillId="0" borderId="15" xfId="2" quotePrefix="1" applyNumberFormat="1" applyFont="1" applyBorder="1" applyAlignment="1">
      <alignment horizontal="left" vertical="top"/>
    </xf>
    <xf numFmtId="0" fontId="6" fillId="0" borderId="14" xfId="2" quotePrefix="1" applyNumberFormat="1" applyFont="1" applyBorder="1" applyAlignment="1">
      <alignment horizontal="left" vertical="top"/>
    </xf>
    <xf numFmtId="179" fontId="18" fillId="0" borderId="31" xfId="2" applyNumberFormat="1" applyFont="1" applyBorder="1" applyAlignment="1" applyProtection="1">
      <alignment horizontal="right" vertical="center"/>
      <protection hidden="1"/>
    </xf>
    <xf numFmtId="179" fontId="6" fillId="3" borderId="31" xfId="2" applyNumberFormat="1" applyFont="1" applyFill="1" applyBorder="1" applyAlignment="1">
      <alignment horizontal="left" vertical="center"/>
    </xf>
    <xf numFmtId="177" fontId="6" fillId="3" borderId="10" xfId="2" applyNumberFormat="1" applyFont="1" applyFill="1" applyBorder="1" applyAlignment="1">
      <alignment horizontal="left" vertical="center"/>
    </xf>
    <xf numFmtId="177" fontId="6" fillId="0" borderId="32" xfId="2" applyNumberFormat="1" applyFont="1" applyBorder="1" applyAlignment="1">
      <alignment horizontal="center" vertical="top"/>
    </xf>
    <xf numFmtId="0" fontId="6" fillId="0" borderId="33" xfId="2" applyNumberFormat="1" applyFont="1" applyBorder="1" applyAlignment="1">
      <alignment horizontal="left" vertical="top"/>
    </xf>
    <xf numFmtId="177" fontId="6" fillId="3" borderId="34" xfId="2" applyNumberFormat="1" applyFont="1" applyFill="1" applyBorder="1" applyAlignment="1">
      <alignment vertical="center"/>
    </xf>
    <xf numFmtId="0" fontId="6" fillId="0" borderId="33" xfId="2" quotePrefix="1" applyNumberFormat="1" applyFont="1" applyBorder="1" applyAlignment="1">
      <alignment horizontal="left" vertical="top"/>
    </xf>
    <xf numFmtId="0" fontId="6" fillId="0" borderId="35" xfId="2" quotePrefix="1" applyNumberFormat="1" applyFont="1" applyBorder="1" applyAlignment="1">
      <alignment horizontal="left" vertical="top"/>
    </xf>
    <xf numFmtId="179" fontId="18" fillId="0" borderId="36" xfId="2" applyNumberFormat="1" applyFont="1" applyBorder="1" applyAlignment="1" applyProtection="1">
      <alignment vertical="center"/>
      <protection hidden="1"/>
    </xf>
    <xf numFmtId="177" fontId="6" fillId="0" borderId="0" xfId="2" quotePrefix="1" applyNumberFormat="1" applyFont="1" applyBorder="1" applyAlignment="1">
      <alignment horizontal="left" indent="1"/>
    </xf>
    <xf numFmtId="0" fontId="6" fillId="0" borderId="0" xfId="2" applyNumberFormat="1" applyFont="1" applyBorder="1"/>
    <xf numFmtId="177" fontId="6" fillId="0" borderId="0" xfId="2" applyNumberFormat="1" applyFont="1" applyBorder="1"/>
    <xf numFmtId="172" fontId="22" fillId="0" borderId="0" xfId="8" applyFont="1" applyAlignment="1" applyProtection="1">
      <alignment horizontal="right"/>
      <protection hidden="1"/>
    </xf>
    <xf numFmtId="177" fontId="22" fillId="0" borderId="0" xfId="2" applyNumberFormat="1" applyFont="1" applyBorder="1"/>
    <xf numFmtId="177" fontId="6" fillId="0" borderId="0" xfId="2" applyNumberFormat="1" applyFont="1" applyAlignment="1">
      <alignment vertical="center" wrapText="1"/>
    </xf>
    <xf numFmtId="177" fontId="32" fillId="0" borderId="0" xfId="2" applyNumberFormat="1" applyFont="1"/>
    <xf numFmtId="0" fontId="6" fillId="0" borderId="0" xfId="0" applyFont="1"/>
    <xf numFmtId="179" fontId="6" fillId="0" borderId="0" xfId="0" applyNumberFormat="1" applyFont="1"/>
    <xf numFmtId="0" fontId="16" fillId="0" borderId="0" xfId="0" applyFont="1"/>
    <xf numFmtId="9" fontId="16" fillId="0" borderId="0" xfId="0" applyNumberFormat="1" applyFont="1"/>
    <xf numFmtId="179" fontId="16" fillId="0" borderId="0" xfId="0" applyNumberFormat="1" applyFont="1"/>
    <xf numFmtId="0" fontId="6" fillId="3" borderId="25" xfId="0" applyFont="1" applyFill="1" applyBorder="1" applyAlignment="1">
      <alignment horizontal="center"/>
    </xf>
    <xf numFmtId="0" fontId="6" fillId="3" borderId="26" xfId="0" applyFont="1" applyFill="1" applyBorder="1" applyAlignment="1">
      <alignment horizontal="center" vertical="center"/>
    </xf>
    <xf numFmtId="0" fontId="6" fillId="3" borderId="27" xfId="0" applyFont="1" applyFill="1" applyBorder="1" applyAlignment="1">
      <alignment horizontal="center" vertical="center"/>
    </xf>
    <xf numFmtId="179" fontId="6" fillId="3" borderId="27" xfId="0" applyNumberFormat="1" applyFont="1" applyFill="1" applyBorder="1" applyAlignment="1">
      <alignment horizontal="center" vertical="center"/>
    </xf>
    <xf numFmtId="179" fontId="6" fillId="3" borderId="29" xfId="0" applyNumberFormat="1" applyFont="1" applyFill="1" applyBorder="1" applyAlignment="1">
      <alignment horizontal="center" vertical="center"/>
    </xf>
    <xf numFmtId="0" fontId="6" fillId="0" borderId="37" xfId="0" applyFont="1" applyBorder="1" applyAlignment="1">
      <alignment horizontal="center" vertical="top"/>
    </xf>
    <xf numFmtId="0" fontId="6" fillId="0" borderId="10" xfId="0" applyFont="1" applyBorder="1" applyAlignment="1">
      <alignment horizontal="left" vertical="top"/>
    </xf>
    <xf numFmtId="0" fontId="6" fillId="0" borderId="10" xfId="0" applyFont="1" applyBorder="1" applyAlignment="1">
      <alignment horizontal="center" vertical="top"/>
    </xf>
    <xf numFmtId="0" fontId="6" fillId="3" borderId="10" xfId="0" applyFont="1" applyFill="1" applyBorder="1" applyAlignment="1">
      <alignment vertical="top"/>
    </xf>
    <xf numFmtId="0" fontId="6" fillId="0" borderId="10" xfId="0" quotePrefix="1" applyFont="1" applyFill="1" applyBorder="1" applyAlignment="1">
      <alignment horizontal="left" vertical="top"/>
    </xf>
    <xf numFmtId="179" fontId="6" fillId="3" borderId="10" xfId="0" applyNumberFormat="1" applyFont="1" applyFill="1" applyBorder="1" applyAlignment="1">
      <alignment vertical="top"/>
    </xf>
    <xf numFmtId="179" fontId="18" fillId="0" borderId="31" xfId="2" applyNumberFormat="1" applyFont="1" applyBorder="1" applyAlignment="1" applyProtection="1">
      <alignment vertical="top"/>
      <protection hidden="1"/>
    </xf>
    <xf numFmtId="0" fontId="6" fillId="0" borderId="38" xfId="0" applyFont="1" applyBorder="1" applyAlignment="1">
      <alignment horizontal="center"/>
    </xf>
    <xf numFmtId="0" fontId="6" fillId="0" borderId="10" xfId="0" applyFont="1" applyBorder="1" applyAlignment="1">
      <alignment horizontal="left"/>
    </xf>
    <xf numFmtId="0" fontId="6" fillId="3" borderId="10" xfId="0" applyFont="1" applyFill="1" applyBorder="1" applyAlignment="1">
      <alignment horizontal="left"/>
    </xf>
    <xf numFmtId="0" fontId="6" fillId="3" borderId="10" xfId="0" applyFont="1" applyFill="1" applyBorder="1" applyAlignment="1"/>
    <xf numFmtId="179" fontId="6" fillId="3" borderId="16" xfId="0" applyNumberFormat="1" applyFont="1" applyFill="1" applyBorder="1"/>
    <xf numFmtId="179" fontId="6" fillId="3" borderId="31" xfId="0" applyNumberFormat="1" applyFont="1" applyFill="1" applyBorder="1"/>
    <xf numFmtId="0" fontId="6" fillId="0" borderId="10" xfId="0" applyFont="1" applyBorder="1" applyAlignment="1">
      <alignment horizontal="left" indent="1"/>
    </xf>
    <xf numFmtId="0" fontId="6" fillId="0" borderId="10" xfId="0" applyFont="1" applyBorder="1"/>
    <xf numFmtId="0" fontId="6" fillId="0" borderId="10" xfId="0" applyFont="1" applyBorder="1" applyAlignment="1">
      <alignment horizontal="center"/>
    </xf>
    <xf numFmtId="179" fontId="18" fillId="0" borderId="10" xfId="0" applyNumberFormat="1" applyFont="1" applyBorder="1" applyProtection="1">
      <protection hidden="1"/>
    </xf>
    <xf numFmtId="179" fontId="6" fillId="3" borderId="39" xfId="0" applyNumberFormat="1" applyFont="1" applyFill="1" applyBorder="1"/>
    <xf numFmtId="0" fontId="6" fillId="0" borderId="10" xfId="0" quotePrefix="1" applyFont="1" applyBorder="1"/>
    <xf numFmtId="179" fontId="6" fillId="3" borderId="40" xfId="0" applyNumberFormat="1" applyFont="1" applyFill="1" applyBorder="1"/>
    <xf numFmtId="0" fontId="6" fillId="0" borderId="13" xfId="0" applyFont="1" applyBorder="1" applyAlignment="1">
      <alignment horizontal="left" indent="1"/>
    </xf>
    <xf numFmtId="0" fontId="6" fillId="0" borderId="15" xfId="0" applyFont="1" applyBorder="1"/>
    <xf numFmtId="0" fontId="6" fillId="0" borderId="10" xfId="0" applyFont="1" applyBorder="1" applyProtection="1"/>
    <xf numFmtId="179" fontId="6" fillId="0" borderId="10" xfId="0" applyNumberFormat="1" applyFont="1" applyBorder="1" applyProtection="1">
      <protection locked="0"/>
    </xf>
    <xf numFmtId="179" fontId="6" fillId="3" borderId="41" xfId="0" applyNumberFormat="1" applyFont="1" applyFill="1" applyBorder="1"/>
    <xf numFmtId="0" fontId="6" fillId="0" borderId="10" xfId="0" applyFont="1" applyBorder="1" applyAlignment="1">
      <alignment vertical="top"/>
    </xf>
    <xf numFmtId="0" fontId="6" fillId="0" borderId="10" xfId="0" quotePrefix="1" applyFont="1" applyBorder="1" applyAlignment="1">
      <alignment vertical="top"/>
    </xf>
    <xf numFmtId="0" fontId="6" fillId="0" borderId="10" xfId="0" quotePrefix="1" applyFont="1" applyBorder="1" applyAlignment="1">
      <alignment vertical="top" wrapText="1"/>
    </xf>
    <xf numFmtId="179" fontId="18" fillId="0" borderId="41" xfId="0" applyNumberFormat="1" applyFont="1" applyFill="1" applyBorder="1" applyAlignment="1" applyProtection="1">
      <alignment vertical="top"/>
      <protection hidden="1"/>
    </xf>
    <xf numFmtId="0" fontId="6" fillId="0" borderId="30" xfId="0" applyFont="1" applyBorder="1" applyAlignment="1">
      <alignment horizontal="center" vertical="top"/>
    </xf>
    <xf numFmtId="0" fontId="6" fillId="0" borderId="10" xfId="0" quotePrefix="1" applyFont="1" applyFill="1" applyBorder="1" applyAlignment="1">
      <alignment vertical="top"/>
    </xf>
    <xf numFmtId="0" fontId="6" fillId="0" borderId="10" xfId="0" quotePrefix="1" applyFont="1" applyFill="1" applyBorder="1" applyAlignment="1">
      <alignment vertical="top" wrapText="1"/>
    </xf>
    <xf numFmtId="179" fontId="18" fillId="0" borderId="31" xfId="0" applyNumberFormat="1" applyFont="1" applyBorder="1" applyAlignment="1" applyProtection="1">
      <alignment vertical="top"/>
      <protection hidden="1"/>
    </xf>
    <xf numFmtId="0" fontId="6" fillId="0" borderId="30" xfId="0" applyFont="1" applyBorder="1" applyAlignment="1">
      <alignment horizontal="center"/>
    </xf>
    <xf numFmtId="0" fontId="6" fillId="0" borderId="10" xfId="0" quotePrefix="1" applyFont="1" applyFill="1" applyBorder="1" applyAlignment="1"/>
    <xf numFmtId="179" fontId="6" fillId="3" borderId="10" xfId="0" applyNumberFormat="1" applyFont="1" applyFill="1" applyBorder="1" applyAlignment="1"/>
    <xf numFmtId="179" fontId="18" fillId="0" borderId="31" xfId="0" applyNumberFormat="1" applyFont="1" applyBorder="1" applyProtection="1">
      <protection hidden="1"/>
    </xf>
    <xf numFmtId="0" fontId="6" fillId="0" borderId="42" xfId="0" applyFont="1" applyBorder="1" applyAlignment="1">
      <alignment horizontal="center"/>
    </xf>
    <xf numFmtId="0" fontId="6" fillId="3" borderId="34" xfId="0" applyFont="1" applyFill="1" applyBorder="1" applyAlignment="1"/>
    <xf numFmtId="0" fontId="6" fillId="0" borderId="34" xfId="0" quotePrefix="1" applyFont="1" applyBorder="1" applyAlignment="1"/>
    <xf numFmtId="179" fontId="6" fillId="3" borderId="34" xfId="0" applyNumberFormat="1" applyFont="1" applyFill="1" applyBorder="1" applyAlignment="1"/>
    <xf numFmtId="179" fontId="18" fillId="0" borderId="36" xfId="0" applyNumberFormat="1" applyFont="1" applyBorder="1" applyProtection="1">
      <protection hidden="1"/>
    </xf>
    <xf numFmtId="0" fontId="22" fillId="0" borderId="0" xfId="0" applyFont="1" applyAlignment="1">
      <alignment vertical="top"/>
    </xf>
    <xf numFmtId="0" fontId="25" fillId="0" borderId="0" xfId="0" applyFont="1" applyFill="1" applyBorder="1" applyAlignment="1">
      <alignment horizontal="right"/>
    </xf>
    <xf numFmtId="0" fontId="6" fillId="0" borderId="0" xfId="0" applyFont="1" applyFill="1"/>
    <xf numFmtId="180" fontId="16" fillId="0" borderId="0" xfId="0" applyNumberFormat="1" applyFont="1" applyAlignment="1">
      <alignment horizontal="left"/>
    </xf>
    <xf numFmtId="0" fontId="6" fillId="3" borderId="23" xfId="0" applyFont="1" applyFill="1" applyBorder="1" applyAlignment="1">
      <alignment horizontal="center" vertical="center"/>
    </xf>
    <xf numFmtId="9" fontId="6" fillId="3" borderId="10" xfId="0" applyNumberFormat="1" applyFont="1" applyFill="1" applyBorder="1" applyAlignment="1">
      <alignment horizontal="center" vertical="center" wrapText="1"/>
    </xf>
    <xf numFmtId="0" fontId="6" fillId="3" borderId="16" xfId="0" applyFont="1" applyFill="1" applyBorder="1" applyAlignment="1">
      <alignment horizontal="center" vertical="center"/>
    </xf>
    <xf numFmtId="10" fontId="6" fillId="3" borderId="10" xfId="0" applyNumberFormat="1" applyFont="1" applyFill="1" applyBorder="1" applyAlignment="1">
      <alignment horizontal="center" vertical="center"/>
    </xf>
    <xf numFmtId="0" fontId="6" fillId="0" borderId="19" xfId="0" applyFont="1" applyBorder="1" applyAlignment="1">
      <alignment horizontal="center" vertical="top" wrapText="1"/>
    </xf>
    <xf numFmtId="179" fontId="6" fillId="0" borderId="10" xfId="2" applyNumberFormat="1" applyFont="1" applyBorder="1" applyAlignment="1" applyProtection="1">
      <alignment vertical="top"/>
      <protection locked="0"/>
    </xf>
    <xf numFmtId="0" fontId="6" fillId="3" borderId="19" xfId="0" applyFont="1" applyFill="1" applyBorder="1" applyAlignment="1">
      <alignment vertical="top"/>
    </xf>
    <xf numFmtId="0" fontId="6" fillId="3" borderId="39" xfId="0" applyFont="1" applyFill="1" applyBorder="1" applyAlignment="1">
      <alignment vertical="top"/>
    </xf>
    <xf numFmtId="0" fontId="6" fillId="3" borderId="16" xfId="0" applyFont="1" applyFill="1" applyBorder="1" applyAlignment="1">
      <alignment vertical="top"/>
    </xf>
    <xf numFmtId="0" fontId="6" fillId="3" borderId="23" xfId="0" applyFont="1" applyFill="1" applyBorder="1" applyAlignment="1">
      <alignment vertical="top"/>
    </xf>
    <xf numFmtId="0" fontId="6" fillId="3" borderId="40" xfId="0" applyFont="1" applyFill="1" applyBorder="1" applyAlignment="1">
      <alignment vertical="top"/>
    </xf>
    <xf numFmtId="0" fontId="6" fillId="0" borderId="19" xfId="0" quotePrefix="1" applyFont="1" applyFill="1" applyBorder="1" applyAlignment="1">
      <alignment horizontal="left" vertical="top"/>
    </xf>
    <xf numFmtId="177" fontId="6" fillId="3" borderId="19" xfId="2" applyNumberFormat="1" applyFont="1" applyFill="1" applyBorder="1" applyAlignment="1" applyProtection="1">
      <alignment vertical="top"/>
    </xf>
    <xf numFmtId="0" fontId="6" fillId="3" borderId="19" xfId="0" applyFont="1" applyFill="1" applyBorder="1" applyAlignment="1" applyProtection="1">
      <alignment vertical="top"/>
    </xf>
    <xf numFmtId="179" fontId="6" fillId="0" borderId="10" xfId="0" applyNumberFormat="1" applyFont="1" applyFill="1" applyBorder="1" applyAlignment="1" applyProtection="1">
      <alignment vertical="top"/>
      <protection locked="0"/>
    </xf>
    <xf numFmtId="0" fontId="6" fillId="0" borderId="16" xfId="0" quotePrefix="1" applyFont="1" applyFill="1" applyBorder="1" applyAlignment="1">
      <alignment horizontal="left" vertical="top"/>
    </xf>
    <xf numFmtId="177" fontId="6" fillId="3" borderId="16" xfId="2" applyNumberFormat="1" applyFont="1" applyFill="1" applyBorder="1" applyAlignment="1" applyProtection="1">
      <alignment vertical="top"/>
    </xf>
    <xf numFmtId="0" fontId="6" fillId="3" borderId="16" xfId="0" applyFont="1" applyFill="1" applyBorder="1" applyAlignment="1" applyProtection="1">
      <alignment vertical="top"/>
    </xf>
    <xf numFmtId="179" fontId="6" fillId="0" borderId="16" xfId="0" applyNumberFormat="1" applyFont="1" applyFill="1" applyBorder="1" applyAlignment="1" applyProtection="1">
      <alignment vertical="top"/>
      <protection locked="0"/>
    </xf>
    <xf numFmtId="0" fontId="6" fillId="0" borderId="10" xfId="0" quotePrefix="1" applyFont="1" applyFill="1" applyBorder="1" applyAlignment="1">
      <alignment horizontal="left" vertical="top" wrapText="1"/>
    </xf>
    <xf numFmtId="179" fontId="6" fillId="0" borderId="10" xfId="2" applyNumberFormat="1" applyFont="1" applyBorder="1" applyAlignment="1" applyProtection="1">
      <alignment horizontal="right" vertical="top"/>
      <protection locked="0"/>
    </xf>
    <xf numFmtId="0" fontId="6" fillId="3" borderId="23" xfId="0" applyFont="1" applyFill="1" applyBorder="1" applyAlignment="1" applyProtection="1">
      <alignment vertical="top"/>
    </xf>
    <xf numFmtId="0" fontId="6" fillId="0" borderId="23" xfId="0" quotePrefix="1" applyFont="1" applyFill="1" applyBorder="1" applyAlignment="1">
      <alignment horizontal="left" vertical="top"/>
    </xf>
    <xf numFmtId="179" fontId="6" fillId="0" borderId="16" xfId="2" applyNumberFormat="1" applyFont="1" applyBorder="1" applyAlignment="1" applyProtection="1">
      <alignment vertical="top"/>
      <protection locked="0"/>
    </xf>
    <xf numFmtId="0" fontId="6" fillId="0" borderId="19" xfId="0" applyFont="1" applyBorder="1" applyAlignment="1">
      <alignment horizontal="center" vertical="top"/>
    </xf>
    <xf numFmtId="0" fontId="6" fillId="0" borderId="21" xfId="0" quotePrefix="1" applyFont="1" applyFill="1" applyBorder="1" applyAlignment="1">
      <alignment horizontal="left" vertical="top"/>
    </xf>
    <xf numFmtId="0" fontId="6" fillId="3" borderId="21" xfId="0" applyFont="1" applyFill="1" applyBorder="1" applyAlignment="1" applyProtection="1">
      <alignment vertical="top"/>
    </xf>
    <xf numFmtId="177" fontId="6" fillId="3" borderId="20" xfId="2" applyNumberFormat="1" applyFont="1" applyFill="1" applyBorder="1" applyAlignment="1" applyProtection="1">
      <alignment vertical="top"/>
    </xf>
    <xf numFmtId="177" fontId="6" fillId="3" borderId="23" xfId="2" applyNumberFormat="1" applyFont="1" applyFill="1" applyBorder="1" applyAlignment="1" applyProtection="1">
      <alignment vertical="top"/>
    </xf>
    <xf numFmtId="179" fontId="6" fillId="0" borderId="16" xfId="2" applyNumberFormat="1" applyFont="1" applyFill="1" applyBorder="1" applyAlignment="1" applyProtection="1">
      <alignment vertical="top"/>
      <protection locked="0"/>
    </xf>
    <xf numFmtId="0" fontId="6" fillId="3" borderId="22" xfId="0" applyFont="1" applyFill="1" applyBorder="1" applyAlignment="1">
      <alignment vertical="top"/>
    </xf>
    <xf numFmtId="0" fontId="6" fillId="3" borderId="17" xfId="0" applyFont="1" applyFill="1" applyBorder="1" applyAlignment="1" applyProtection="1">
      <alignment vertical="top"/>
    </xf>
    <xf numFmtId="179" fontId="6" fillId="0" borderId="10" xfId="2" applyNumberFormat="1" applyFont="1" applyFill="1" applyBorder="1" applyAlignment="1" applyProtection="1">
      <alignment vertical="top"/>
      <protection locked="0"/>
    </xf>
    <xf numFmtId="179" fontId="6" fillId="0" borderId="19" xfId="2" applyNumberFormat="1" applyFont="1" applyFill="1" applyBorder="1" applyAlignment="1" applyProtection="1">
      <alignment vertical="top"/>
      <protection locked="0"/>
    </xf>
    <xf numFmtId="0" fontId="6" fillId="3" borderId="41" xfId="0" applyFont="1" applyFill="1" applyBorder="1" applyAlignment="1">
      <alignment vertical="top"/>
    </xf>
    <xf numFmtId="179" fontId="18" fillId="0" borderId="10" xfId="0" applyNumberFormat="1" applyFont="1" applyBorder="1" applyAlignment="1" applyProtection="1">
      <alignment vertical="top"/>
      <protection hidden="1"/>
    </xf>
    <xf numFmtId="0" fontId="6" fillId="3" borderId="5" xfId="0" applyFont="1" applyFill="1" applyBorder="1" applyAlignment="1">
      <alignment vertical="top"/>
    </xf>
    <xf numFmtId="0" fontId="6" fillId="0" borderId="0" xfId="0" applyFont="1" applyBorder="1" applyAlignment="1">
      <alignment vertical="top"/>
    </xf>
    <xf numFmtId="0" fontId="6" fillId="0" borderId="23" xfId="0" quotePrefix="1" applyFont="1" applyFill="1" applyBorder="1" applyAlignment="1">
      <alignment horizontal="left" vertical="top" wrapText="1"/>
    </xf>
    <xf numFmtId="179" fontId="18" fillId="0" borderId="23" xfId="2" applyNumberFormat="1" applyFont="1" applyBorder="1" applyAlignment="1" applyProtection="1">
      <alignment horizontal="right" vertical="top"/>
      <protection hidden="1"/>
    </xf>
    <xf numFmtId="179" fontId="18" fillId="0" borderId="40" xfId="2" applyNumberFormat="1" applyFont="1" applyFill="1" applyBorder="1" applyAlignment="1" applyProtection="1">
      <alignment horizontal="right" vertical="top"/>
      <protection hidden="1"/>
    </xf>
    <xf numFmtId="177" fontId="6" fillId="3" borderId="10" xfId="2" applyNumberFormat="1" applyFont="1" applyFill="1" applyBorder="1" applyAlignment="1">
      <alignment vertical="top"/>
    </xf>
    <xf numFmtId="179" fontId="18" fillId="0" borderId="31" xfId="2" applyNumberFormat="1" applyFont="1" applyFill="1" applyBorder="1" applyAlignment="1" applyProtection="1">
      <alignment vertical="top"/>
      <protection hidden="1"/>
    </xf>
    <xf numFmtId="0" fontId="6" fillId="0" borderId="32" xfId="0" applyFont="1" applyBorder="1" applyAlignment="1">
      <alignment horizontal="center" vertical="top"/>
    </xf>
    <xf numFmtId="0" fontId="6" fillId="0" borderId="34" xfId="0" applyFont="1" applyBorder="1" applyAlignment="1">
      <alignment vertical="top" wrapText="1"/>
    </xf>
    <xf numFmtId="177" fontId="6" fillId="3" borderId="34" xfId="2" applyNumberFormat="1" applyFont="1" applyFill="1" applyBorder="1" applyAlignment="1">
      <alignment vertical="top"/>
    </xf>
    <xf numFmtId="177" fontId="6" fillId="0" borderId="34" xfId="2" quotePrefix="1" applyNumberFormat="1" applyFont="1" applyFill="1" applyBorder="1" applyAlignment="1">
      <alignment horizontal="left" vertical="top"/>
    </xf>
    <xf numFmtId="177" fontId="6" fillId="0" borderId="34" xfId="2" quotePrefix="1" applyNumberFormat="1" applyFont="1" applyFill="1" applyBorder="1" applyAlignment="1">
      <alignment horizontal="left" vertical="top" wrapText="1"/>
    </xf>
    <xf numFmtId="179" fontId="18" fillId="0" borderId="36" xfId="2" applyNumberFormat="1" applyFont="1" applyFill="1" applyBorder="1" applyAlignment="1" applyProtection="1">
      <alignment vertical="top"/>
      <protection hidden="1"/>
    </xf>
    <xf numFmtId="0" fontId="6" fillId="0" borderId="0" xfId="0" applyFont="1" applyFill="1" applyAlignment="1">
      <alignment vertical="top"/>
    </xf>
    <xf numFmtId="0" fontId="11" fillId="0" borderId="0" xfId="0" applyFont="1" applyFill="1" applyAlignment="1">
      <alignment vertical="top"/>
    </xf>
    <xf numFmtId="0" fontId="25" fillId="0" borderId="0" xfId="0" applyFont="1" applyAlignment="1">
      <alignment horizontal="right" vertical="top"/>
    </xf>
    <xf numFmtId="0" fontId="6" fillId="0" borderId="0" xfId="0" applyFont="1" applyAlignment="1">
      <alignment vertical="top" wrapText="1"/>
    </xf>
    <xf numFmtId="0" fontId="25" fillId="0" borderId="0" xfId="0" applyFont="1" applyAlignment="1">
      <alignment horizontal="right" vertical="top" wrapText="1"/>
    </xf>
    <xf numFmtId="0" fontId="6" fillId="0" borderId="0" xfId="0" applyFont="1" applyAlignment="1">
      <alignment horizontal="left"/>
    </xf>
    <xf numFmtId="49" fontId="6" fillId="0" borderId="0" xfId="0" applyNumberFormat="1" applyFont="1"/>
    <xf numFmtId="0" fontId="6" fillId="0" borderId="0" xfId="0" applyFont="1" applyFill="1" applyAlignment="1">
      <alignment wrapText="1"/>
    </xf>
    <xf numFmtId="0" fontId="11" fillId="0" borderId="0" xfId="0" applyFont="1" applyFill="1"/>
    <xf numFmtId="0" fontId="6" fillId="0" borderId="7" xfId="0" applyFont="1" applyBorder="1"/>
    <xf numFmtId="0" fontId="6" fillId="0" borderId="7" xfId="0" applyFont="1" applyBorder="1" applyAlignment="1">
      <alignment horizontal="left"/>
    </xf>
    <xf numFmtId="49" fontId="6" fillId="0" borderId="7" xfId="0" applyNumberFormat="1" applyFont="1" applyBorder="1"/>
    <xf numFmtId="0" fontId="6" fillId="0" borderId="7" xfId="0" applyFont="1" applyFill="1" applyBorder="1" applyAlignment="1">
      <alignment wrapText="1"/>
    </xf>
    <xf numFmtId="0" fontId="6" fillId="0" borderId="7" xfId="0" applyFont="1" applyFill="1" applyBorder="1"/>
    <xf numFmtId="0" fontId="6" fillId="0" borderId="5" xfId="0" applyFont="1" applyBorder="1"/>
    <xf numFmtId="0" fontId="6" fillId="3" borderId="43" xfId="0" applyFont="1" applyFill="1" applyBorder="1" applyAlignment="1">
      <alignment horizontal="center" vertical="center" wrapText="1"/>
    </xf>
    <xf numFmtId="0" fontId="6" fillId="0" borderId="5" xfId="0" applyFont="1" applyBorder="1" applyAlignment="1">
      <alignment wrapText="1"/>
    </xf>
    <xf numFmtId="0" fontId="6" fillId="3" borderId="18" xfId="0" applyFont="1" applyFill="1" applyBorder="1" applyAlignment="1">
      <alignment horizontal="center" vertical="center" wrapText="1"/>
    </xf>
    <xf numFmtId="0" fontId="6" fillId="0" borderId="0" xfId="0" applyFont="1" applyAlignment="1">
      <alignment wrapText="1"/>
    </xf>
    <xf numFmtId="0" fontId="6" fillId="3" borderId="22" xfId="0" applyFont="1" applyFill="1" applyBorder="1" applyAlignment="1">
      <alignment horizontal="center" vertical="center" wrapText="1"/>
    </xf>
    <xf numFmtId="0" fontId="6" fillId="3" borderId="10" xfId="0" applyFont="1" applyFill="1" applyBorder="1" applyAlignment="1">
      <alignment horizontal="center" vertical="center" wrapText="1"/>
    </xf>
    <xf numFmtId="0" fontId="6" fillId="3" borderId="15" xfId="0" quotePrefix="1" applyFont="1" applyFill="1" applyBorder="1" applyAlignment="1">
      <alignment horizontal="center" vertical="center" wrapText="1"/>
    </xf>
    <xf numFmtId="0" fontId="6" fillId="3" borderId="10" xfId="0" quotePrefix="1" applyFont="1" applyFill="1" applyBorder="1" applyAlignment="1">
      <alignment horizontal="center" vertical="center" wrapText="1"/>
    </xf>
    <xf numFmtId="49" fontId="6" fillId="3" borderId="15" xfId="0" quotePrefix="1" applyNumberFormat="1" applyFont="1" applyFill="1" applyBorder="1" applyAlignment="1">
      <alignment horizontal="center" vertical="center" wrapText="1"/>
    </xf>
    <xf numFmtId="0" fontId="6" fillId="3" borderId="31" xfId="0" quotePrefix="1" applyFont="1" applyFill="1" applyBorder="1" applyAlignment="1">
      <alignment horizontal="center" vertical="center" wrapText="1"/>
    </xf>
    <xf numFmtId="0" fontId="6" fillId="0" borderId="0" xfId="0" applyFont="1" applyBorder="1" applyAlignment="1">
      <alignment vertical="top" wrapText="1"/>
    </xf>
    <xf numFmtId="49" fontId="22" fillId="0" borderId="13" xfId="0" applyNumberFormat="1" applyFont="1" applyFill="1" applyBorder="1" applyAlignment="1">
      <alignment horizontal="left" vertical="top"/>
    </xf>
    <xf numFmtId="0" fontId="6" fillId="3" borderId="13" xfId="0" applyFont="1" applyFill="1" applyBorder="1" applyAlignment="1">
      <alignment vertical="top"/>
    </xf>
    <xf numFmtId="0" fontId="6" fillId="3" borderId="14" xfId="0" applyFont="1" applyFill="1" applyBorder="1" applyAlignment="1">
      <alignment vertical="top"/>
    </xf>
    <xf numFmtId="0" fontId="6" fillId="3" borderId="14" xfId="0" applyFont="1" applyFill="1" applyBorder="1" applyAlignment="1">
      <alignment vertical="top" wrapText="1"/>
    </xf>
    <xf numFmtId="0" fontId="6" fillId="0" borderId="44" xfId="0" applyFont="1" applyFill="1" applyBorder="1" applyAlignment="1" applyProtection="1">
      <alignment horizontal="center" vertical="top"/>
    </xf>
    <xf numFmtId="0" fontId="6" fillId="0" borderId="10" xfId="0" applyFont="1" applyFill="1" applyBorder="1" applyAlignment="1" applyProtection="1">
      <alignment horizontal="left" vertical="top"/>
      <protection locked="0"/>
    </xf>
    <xf numFmtId="0" fontId="6" fillId="0" borderId="0" xfId="0" applyFont="1" applyFill="1" applyAlignment="1" applyProtection="1">
      <alignment vertical="top"/>
    </xf>
    <xf numFmtId="0" fontId="6" fillId="3" borderId="14" xfId="0" applyFont="1" applyFill="1" applyBorder="1" applyAlignment="1" applyProtection="1">
      <alignment horizontal="left" vertical="top"/>
    </xf>
    <xf numFmtId="49" fontId="6" fillId="0" borderId="10" xfId="0" applyNumberFormat="1" applyFont="1" applyFill="1" applyBorder="1" applyAlignment="1" applyProtection="1">
      <alignment horizontal="center" vertical="top"/>
    </xf>
    <xf numFmtId="181" fontId="6" fillId="3" borderId="10" xfId="0" applyNumberFormat="1" applyFont="1" applyFill="1" applyBorder="1" applyAlignment="1" applyProtection="1">
      <alignment vertical="top"/>
    </xf>
    <xf numFmtId="0" fontId="6" fillId="3" borderId="10" xfId="0" applyFont="1" applyFill="1" applyBorder="1" applyAlignment="1" applyProtection="1">
      <alignment vertical="top" wrapText="1"/>
    </xf>
    <xf numFmtId="10" fontId="6" fillId="3" borderId="10" xfId="0" applyNumberFormat="1" applyFont="1" applyFill="1" applyBorder="1" applyAlignment="1" applyProtection="1">
      <alignment vertical="top"/>
    </xf>
    <xf numFmtId="179" fontId="6" fillId="3" borderId="10" xfId="0" applyNumberFormat="1" applyFont="1" applyFill="1" applyBorder="1" applyAlignment="1" applyProtection="1">
      <alignment horizontal="right" vertical="top"/>
    </xf>
    <xf numFmtId="0" fontId="25" fillId="3" borderId="10" xfId="0" applyFont="1" applyFill="1" applyBorder="1" applyAlignment="1" applyProtection="1">
      <alignment horizontal="right" vertical="top"/>
    </xf>
    <xf numFmtId="179" fontId="6" fillId="3" borderId="10" xfId="0" applyNumberFormat="1" applyFont="1" applyFill="1" applyBorder="1" applyAlignment="1" applyProtection="1">
      <alignment vertical="top"/>
    </xf>
    <xf numFmtId="179" fontId="18" fillId="0" borderId="10" xfId="2" applyNumberFormat="1" applyFont="1" applyFill="1" applyBorder="1" applyAlignment="1" applyProtection="1">
      <alignment vertical="top"/>
      <protection hidden="1"/>
    </xf>
    <xf numFmtId="0" fontId="25" fillId="0" borderId="10" xfId="0" applyFont="1" applyFill="1" applyBorder="1" applyAlignment="1" applyProtection="1">
      <alignment horizontal="right" vertical="top"/>
    </xf>
    <xf numFmtId="0" fontId="6" fillId="3" borderId="10" xfId="0" applyFont="1" applyFill="1" applyBorder="1" applyAlignment="1" applyProtection="1">
      <alignment horizontal="left" vertical="top"/>
    </xf>
    <xf numFmtId="181" fontId="6" fillId="0" borderId="10" xfId="0" applyNumberFormat="1" applyFont="1" applyFill="1" applyBorder="1" applyAlignment="1" applyProtection="1">
      <alignment vertical="top"/>
      <protection locked="0"/>
    </xf>
    <xf numFmtId="0" fontId="6" fillId="0" borderId="10" xfId="0" applyFont="1" applyFill="1" applyBorder="1" applyAlignment="1" applyProtection="1">
      <alignment vertical="top" wrapText="1"/>
      <protection locked="0"/>
    </xf>
    <xf numFmtId="10" fontId="6" fillId="0" borderId="10" xfId="0" applyNumberFormat="1" applyFont="1" applyFill="1" applyBorder="1" applyAlignment="1" applyProtection="1">
      <alignment vertical="top"/>
      <protection locked="0"/>
    </xf>
    <xf numFmtId="179" fontId="6" fillId="0" borderId="10" xfId="0" applyNumberFormat="1" applyFont="1" applyFill="1" applyBorder="1" applyAlignment="1" applyProtection="1">
      <alignment horizontal="right" vertical="top"/>
      <protection locked="0"/>
    </xf>
    <xf numFmtId="179" fontId="18" fillId="3" borderId="31" xfId="2" applyNumberFormat="1" applyFont="1" applyFill="1" applyBorder="1" applyAlignment="1" applyProtection="1">
      <alignment vertical="top"/>
      <protection hidden="1"/>
    </xf>
    <xf numFmtId="0" fontId="6" fillId="0" borderId="44" xfId="0" applyFont="1" applyBorder="1" applyAlignment="1" applyProtection="1">
      <alignment horizontal="center" vertical="top"/>
    </xf>
    <xf numFmtId="181" fontId="6" fillId="0" borderId="10" xfId="0" applyNumberFormat="1" applyFont="1" applyFill="1" applyBorder="1" applyAlignment="1" applyProtection="1">
      <alignment vertical="top"/>
    </xf>
    <xf numFmtId="0" fontId="6" fillId="0" borderId="10" xfId="0" applyFont="1" applyFill="1" applyBorder="1" applyAlignment="1" applyProtection="1">
      <alignment vertical="top" wrapText="1"/>
    </xf>
    <xf numFmtId="10" fontId="6" fillId="0" borderId="10" xfId="0" applyNumberFormat="1" applyFont="1" applyFill="1" applyBorder="1" applyAlignment="1" applyProtection="1">
      <alignment vertical="top"/>
    </xf>
    <xf numFmtId="179" fontId="6" fillId="0" borderId="10" xfId="0" applyNumberFormat="1" applyFont="1" applyFill="1" applyBorder="1" applyAlignment="1" applyProtection="1">
      <alignment horizontal="right" vertical="top"/>
    </xf>
    <xf numFmtId="179" fontId="6" fillId="0" borderId="10" xfId="0" applyNumberFormat="1" applyFont="1" applyFill="1" applyBorder="1" applyAlignment="1" applyProtection="1">
      <alignment vertical="top"/>
    </xf>
    <xf numFmtId="179" fontId="18" fillId="0" borderId="10" xfId="2" applyNumberFormat="1" applyFont="1" applyFill="1" applyBorder="1" applyAlignment="1" applyProtection="1">
      <alignment vertical="top"/>
    </xf>
    <xf numFmtId="179" fontId="18" fillId="0" borderId="31" xfId="2" applyNumberFormat="1" applyFont="1" applyFill="1" applyBorder="1" applyAlignment="1" applyProtection="1">
      <alignment vertical="top"/>
    </xf>
    <xf numFmtId="0" fontId="6" fillId="0" borderId="44" xfId="0" applyFont="1" applyBorder="1" applyAlignment="1">
      <alignment horizontal="left" vertical="top"/>
    </xf>
    <xf numFmtId="0" fontId="6" fillId="0" borderId="14" xfId="0" applyFont="1" applyBorder="1" applyAlignment="1">
      <alignment horizontal="left" vertical="top"/>
    </xf>
    <xf numFmtId="49" fontId="22" fillId="0" borderId="10" xfId="0" applyNumberFormat="1" applyFont="1" applyBorder="1" applyAlignment="1">
      <alignment horizontal="left" vertical="top"/>
    </xf>
    <xf numFmtId="0" fontId="6" fillId="0" borderId="10" xfId="0" applyFont="1" applyBorder="1" applyAlignment="1">
      <alignment vertical="top" wrapText="1"/>
    </xf>
    <xf numFmtId="10" fontId="6" fillId="0" borderId="10" xfId="0" applyNumberFormat="1" applyFont="1" applyBorder="1" applyAlignment="1">
      <alignment vertical="top"/>
    </xf>
    <xf numFmtId="0" fontId="6" fillId="0" borderId="10" xfId="0" applyFont="1" applyBorder="1" applyAlignment="1">
      <alignment horizontal="right" vertical="top"/>
    </xf>
    <xf numFmtId="0" fontId="25" fillId="0" borderId="10" xfId="0" applyFont="1" applyFill="1" applyBorder="1" applyAlignment="1">
      <alignment horizontal="right" vertical="top"/>
    </xf>
    <xf numFmtId="0" fontId="6" fillId="0" borderId="10" xfId="0" applyFont="1" applyFill="1" applyBorder="1" applyAlignment="1">
      <alignment vertical="top"/>
    </xf>
    <xf numFmtId="179" fontId="18" fillId="0" borderId="10" xfId="2" applyNumberFormat="1" applyFont="1" applyFill="1" applyBorder="1" applyAlignment="1">
      <alignment vertical="top"/>
    </xf>
    <xf numFmtId="179" fontId="18" fillId="0" borderId="31" xfId="2" applyNumberFormat="1" applyFont="1" applyFill="1" applyBorder="1" applyAlignment="1">
      <alignment vertical="top"/>
    </xf>
    <xf numFmtId="0" fontId="6" fillId="3" borderId="15" xfId="0" applyFont="1" applyFill="1" applyBorder="1" applyAlignment="1" applyProtection="1">
      <alignment horizontal="left" vertical="top"/>
    </xf>
    <xf numFmtId="49" fontId="6" fillId="0" borderId="15" xfId="0" applyNumberFormat="1" applyFont="1" applyFill="1" applyBorder="1" applyAlignment="1" applyProtection="1">
      <alignment horizontal="center" vertical="top"/>
    </xf>
    <xf numFmtId="0" fontId="6" fillId="3" borderId="13" xfId="0" applyFont="1" applyFill="1" applyBorder="1" applyAlignment="1" applyProtection="1">
      <alignment vertical="top"/>
    </xf>
    <xf numFmtId="0" fontId="25" fillId="3" borderId="15" xfId="0" applyFont="1" applyFill="1" applyBorder="1" applyAlignment="1" applyProtection="1">
      <alignment horizontal="right" vertical="top"/>
    </xf>
    <xf numFmtId="0" fontId="6" fillId="3" borderId="10" xfId="0" applyFont="1" applyFill="1" applyBorder="1" applyAlignment="1" applyProtection="1">
      <alignment vertical="top"/>
    </xf>
    <xf numFmtId="179" fontId="18" fillId="3" borderId="31" xfId="2" applyNumberFormat="1" applyFont="1" applyFill="1" applyBorder="1" applyAlignment="1" applyProtection="1">
      <alignment vertical="top"/>
    </xf>
    <xf numFmtId="0" fontId="6" fillId="0" borderId="10" xfId="0" applyFont="1" applyBorder="1" applyAlignment="1" applyProtection="1">
      <alignment horizontal="left" vertical="top"/>
      <protection locked="0"/>
    </xf>
    <xf numFmtId="0" fontId="6" fillId="0" borderId="15" xfId="0" applyFont="1" applyBorder="1" applyAlignment="1" applyProtection="1">
      <alignment horizontal="left" vertical="top"/>
    </xf>
    <xf numFmtId="0" fontId="6" fillId="0" borderId="13" xfId="0" applyFont="1" applyFill="1" applyBorder="1" applyAlignment="1" applyProtection="1">
      <alignment vertical="top"/>
    </xf>
    <xf numFmtId="0" fontId="25" fillId="0" borderId="15" xfId="0" applyFont="1" applyFill="1" applyBorder="1" applyAlignment="1" applyProtection="1">
      <alignment horizontal="right" vertical="top"/>
    </xf>
    <xf numFmtId="0" fontId="6" fillId="0" borderId="10" xfId="0" applyFont="1" applyFill="1" applyBorder="1" applyAlignment="1" applyProtection="1">
      <alignment vertical="top"/>
    </xf>
    <xf numFmtId="0" fontId="6" fillId="0" borderId="15" xfId="0" applyFont="1" applyBorder="1" applyAlignment="1">
      <alignment horizontal="left" vertical="top"/>
    </xf>
    <xf numFmtId="49" fontId="22" fillId="0" borderId="15" xfId="0" applyNumberFormat="1" applyFont="1" applyBorder="1" applyAlignment="1">
      <alignment horizontal="left" vertical="top"/>
    </xf>
    <xf numFmtId="10" fontId="6" fillId="0" borderId="10" xfId="0" applyNumberFormat="1" applyFont="1" applyFill="1" applyBorder="1" applyAlignment="1">
      <alignment vertical="top"/>
    </xf>
    <xf numFmtId="0" fontId="6" fillId="0" borderId="13" xfId="0" applyFont="1" applyFill="1" applyBorder="1" applyAlignment="1">
      <alignment vertical="top"/>
    </xf>
    <xf numFmtId="0" fontId="25" fillId="0" borderId="15" xfId="0" applyFont="1" applyFill="1" applyBorder="1" applyAlignment="1">
      <alignment horizontal="right" vertical="top"/>
    </xf>
    <xf numFmtId="0" fontId="6" fillId="0" borderId="45" xfId="0" applyFont="1" applyBorder="1" applyAlignment="1">
      <alignment vertical="top"/>
    </xf>
    <xf numFmtId="0" fontId="6" fillId="0" borderId="34" xfId="0" quotePrefix="1" applyFont="1" applyFill="1" applyBorder="1" applyAlignment="1">
      <alignment vertical="top"/>
    </xf>
    <xf numFmtId="49" fontId="6" fillId="0" borderId="46" xfId="0" quotePrefix="1" applyNumberFormat="1" applyFont="1" applyFill="1" applyBorder="1" applyAlignment="1">
      <alignment vertical="top"/>
    </xf>
    <xf numFmtId="0" fontId="6" fillId="3" borderId="46" xfId="0" applyFont="1" applyFill="1" applyBorder="1" applyAlignment="1">
      <alignment vertical="top"/>
    </xf>
    <xf numFmtId="0" fontId="6" fillId="3" borderId="35" xfId="0" applyFont="1" applyFill="1" applyBorder="1" applyAlignment="1">
      <alignment vertical="top"/>
    </xf>
    <xf numFmtId="0" fontId="6" fillId="3" borderId="35" xfId="0" applyFont="1" applyFill="1" applyBorder="1" applyAlignment="1">
      <alignment vertical="top" wrapText="1"/>
    </xf>
    <xf numFmtId="179" fontId="18" fillId="0" borderId="36" xfId="0" applyNumberFormat="1" applyFont="1" applyFill="1" applyBorder="1" applyAlignment="1" applyProtection="1">
      <alignment vertical="top"/>
      <protection hidden="1"/>
    </xf>
    <xf numFmtId="0" fontId="25" fillId="0" borderId="0" xfId="0" applyFont="1" applyAlignment="1">
      <alignment horizontal="right"/>
    </xf>
    <xf numFmtId="0" fontId="25" fillId="0" borderId="0" xfId="0" applyFont="1" applyAlignment="1"/>
    <xf numFmtId="0" fontId="25" fillId="0" borderId="0" xfId="0" applyFont="1" applyAlignment="1">
      <alignment vertical="center" wrapText="1"/>
    </xf>
    <xf numFmtId="0" fontId="25" fillId="0" borderId="0" xfId="0" applyFont="1" applyAlignment="1">
      <alignment vertical="top" wrapText="1"/>
    </xf>
    <xf numFmtId="49" fontId="16" fillId="0" borderId="0" xfId="0" applyNumberFormat="1" applyFont="1" applyAlignment="1">
      <alignment horizontal="left"/>
    </xf>
    <xf numFmtId="0" fontId="16" fillId="0" borderId="0" xfId="0" applyFont="1" applyAlignment="1">
      <alignment wrapText="1"/>
    </xf>
    <xf numFmtId="0" fontId="16" fillId="0" borderId="0" xfId="0" applyFont="1" applyAlignment="1">
      <alignment horizontal="center"/>
    </xf>
    <xf numFmtId="0" fontId="16" fillId="0" borderId="0" xfId="0" applyFont="1" applyFill="1" applyAlignment="1">
      <alignment horizontal="center"/>
    </xf>
    <xf numFmtId="49" fontId="6" fillId="3" borderId="14" xfId="0" applyNumberFormat="1" applyFont="1" applyFill="1" applyBorder="1" applyAlignment="1">
      <alignment vertical="center" wrapText="1"/>
    </xf>
    <xf numFmtId="0" fontId="6" fillId="3" borderId="10" xfId="0" applyFont="1" applyFill="1" applyBorder="1" applyAlignment="1">
      <alignment vertical="center" wrapText="1"/>
    </xf>
    <xf numFmtId="43" fontId="6" fillId="3" borderId="10" xfId="2" applyFont="1" applyFill="1" applyBorder="1"/>
    <xf numFmtId="179" fontId="18" fillId="0" borderId="31" xfId="2" applyNumberFormat="1" applyFont="1" applyFill="1" applyBorder="1" applyProtection="1">
      <protection hidden="1"/>
    </xf>
    <xf numFmtId="0" fontId="6" fillId="0" borderId="15" xfId="0" quotePrefix="1" applyFont="1" applyFill="1" applyBorder="1" applyAlignment="1">
      <alignment horizontal="left" vertical="top"/>
    </xf>
    <xf numFmtId="49" fontId="22" fillId="0" borderId="15" xfId="0" applyNumberFormat="1" applyFont="1" applyFill="1" applyBorder="1" applyAlignment="1">
      <alignment horizontal="left" vertical="top"/>
    </xf>
    <xf numFmtId="0" fontId="6" fillId="3" borderId="10" xfId="0" applyFont="1" applyFill="1" applyBorder="1" applyAlignment="1">
      <alignment vertical="top" wrapText="1"/>
    </xf>
    <xf numFmtId="181" fontId="6" fillId="3" borderId="10" xfId="0" applyNumberFormat="1" applyFont="1" applyFill="1" applyBorder="1" applyAlignment="1">
      <alignment vertical="top"/>
    </xf>
    <xf numFmtId="10" fontId="6" fillId="3" borderId="10" xfId="0" applyNumberFormat="1" applyFont="1" applyFill="1" applyBorder="1" applyAlignment="1">
      <alignment vertical="top"/>
    </xf>
    <xf numFmtId="43" fontId="6" fillId="3" borderId="10" xfId="2" applyFont="1" applyFill="1" applyBorder="1" applyAlignment="1">
      <alignment vertical="top"/>
    </xf>
    <xf numFmtId="0" fontId="6" fillId="0" borderId="44" xfId="0" applyFont="1" applyBorder="1" applyAlignment="1">
      <alignment horizontal="center" vertical="top"/>
    </xf>
    <xf numFmtId="49" fontId="6" fillId="0" borderId="15" xfId="0" applyNumberFormat="1" applyFont="1" applyFill="1" applyBorder="1" applyAlignment="1">
      <alignment horizontal="center" vertical="top"/>
    </xf>
    <xf numFmtId="179" fontId="6" fillId="3" borderId="10" xfId="0" applyNumberFormat="1" applyFont="1" applyFill="1" applyBorder="1" applyAlignment="1" applyProtection="1">
      <alignment vertical="top" wrapText="1"/>
    </xf>
    <xf numFmtId="179" fontId="18" fillId="0" borderId="10" xfId="2" applyNumberFormat="1" applyFont="1" applyBorder="1" applyAlignment="1" applyProtection="1">
      <alignment vertical="top"/>
      <protection hidden="1"/>
    </xf>
    <xf numFmtId="0" fontId="6" fillId="0" borderId="10" xfId="0" applyNumberFormat="1" applyFont="1" applyBorder="1" applyAlignment="1" applyProtection="1">
      <alignment vertical="top" wrapText="1"/>
      <protection locked="0"/>
    </xf>
    <xf numFmtId="181" fontId="6" fillId="0" borderId="10" xfId="0" applyNumberFormat="1" applyFont="1" applyBorder="1" applyAlignment="1" applyProtection="1">
      <alignment vertical="top"/>
      <protection locked="0"/>
    </xf>
    <xf numFmtId="10" fontId="6" fillId="0" borderId="10" xfId="0" applyNumberFormat="1" applyFont="1" applyBorder="1" applyAlignment="1" applyProtection="1">
      <alignment vertical="top"/>
      <protection locked="0"/>
    </xf>
    <xf numFmtId="179" fontId="6" fillId="0" borderId="10" xfId="0" applyNumberFormat="1" applyFont="1" applyBorder="1" applyAlignment="1" applyProtection="1">
      <alignment vertical="top"/>
      <protection locked="0"/>
    </xf>
    <xf numFmtId="179" fontId="18" fillId="3" borderId="31" xfId="2" applyNumberFormat="1" applyFont="1" applyFill="1" applyBorder="1" applyAlignment="1">
      <alignment vertical="top"/>
    </xf>
    <xf numFmtId="0" fontId="6" fillId="0" borderId="0" xfId="0" applyFont="1" applyAlignment="1" applyProtection="1">
      <alignment vertical="top"/>
      <protection hidden="1"/>
    </xf>
    <xf numFmtId="0" fontId="6" fillId="0" borderId="44" xfId="0" applyFont="1" applyBorder="1" applyAlignment="1" applyProtection="1">
      <alignment horizontal="center" vertical="top"/>
      <protection hidden="1"/>
    </xf>
    <xf numFmtId="0" fontId="6" fillId="0" borderId="15" xfId="0" applyFont="1" applyBorder="1" applyAlignment="1" applyProtection="1">
      <alignment horizontal="left" vertical="top"/>
      <protection hidden="1"/>
    </xf>
    <xf numFmtId="0" fontId="6" fillId="0" borderId="15" xfId="0" applyFont="1" applyFill="1" applyBorder="1" applyAlignment="1" applyProtection="1">
      <alignment horizontal="left" vertical="top"/>
      <protection hidden="1"/>
    </xf>
    <xf numFmtId="49" fontId="6" fillId="0" borderId="15" xfId="0" applyNumberFormat="1" applyFont="1" applyFill="1" applyBorder="1" applyAlignment="1" applyProtection="1">
      <alignment horizontal="center" vertical="top"/>
      <protection hidden="1"/>
    </xf>
    <xf numFmtId="179" fontId="6" fillId="0" borderId="10" xfId="0" applyNumberFormat="1" applyFont="1" applyBorder="1" applyAlignment="1" applyProtection="1">
      <alignment vertical="top" wrapText="1"/>
      <protection hidden="1"/>
    </xf>
    <xf numFmtId="181" fontId="6" fillId="0" borderId="10" xfId="0" applyNumberFormat="1" applyFont="1" applyBorder="1" applyAlignment="1" applyProtection="1">
      <alignment vertical="top"/>
      <protection hidden="1"/>
    </xf>
    <xf numFmtId="10" fontId="6" fillId="0" borderId="10" xfId="0" applyNumberFormat="1" applyFont="1" applyBorder="1" applyAlignment="1" applyProtection="1">
      <alignment vertical="top"/>
      <protection hidden="1"/>
    </xf>
    <xf numFmtId="179" fontId="6" fillId="0" borderId="10" xfId="0" applyNumberFormat="1" applyFont="1" applyBorder="1" applyAlignment="1" applyProtection="1">
      <alignment vertical="top"/>
      <protection hidden="1"/>
    </xf>
    <xf numFmtId="43" fontId="6" fillId="3" borderId="10" xfId="2" applyFont="1" applyFill="1" applyBorder="1" applyAlignment="1" applyProtection="1">
      <alignment vertical="top"/>
      <protection hidden="1"/>
    </xf>
    <xf numFmtId="0" fontId="6" fillId="0" borderId="44" xfId="0" applyFont="1" applyBorder="1" applyAlignment="1" applyProtection="1">
      <alignment horizontal="left" vertical="top"/>
      <protection hidden="1"/>
    </xf>
    <xf numFmtId="49" fontId="22" fillId="0" borderId="15" xfId="0" applyNumberFormat="1" applyFont="1" applyFill="1" applyBorder="1" applyAlignment="1" applyProtection="1">
      <alignment horizontal="left" vertical="top"/>
      <protection hidden="1"/>
    </xf>
    <xf numFmtId="49" fontId="6" fillId="0" borderId="14" xfId="0" applyNumberFormat="1" applyFont="1" applyFill="1" applyBorder="1" applyAlignment="1">
      <alignment horizontal="center" vertical="top"/>
    </xf>
    <xf numFmtId="0" fontId="6" fillId="0" borderId="15" xfId="0" applyFont="1" applyFill="1" applyBorder="1" applyAlignment="1">
      <alignment horizontal="left" vertical="top"/>
    </xf>
    <xf numFmtId="179" fontId="6" fillId="0" borderId="10" xfId="0" applyNumberFormat="1" applyFont="1" applyBorder="1" applyAlignment="1" applyProtection="1">
      <alignment vertical="top" wrapText="1"/>
      <protection locked="0"/>
    </xf>
    <xf numFmtId="179" fontId="18" fillId="0" borderId="10" xfId="2" applyNumberFormat="1" applyFont="1" applyBorder="1" applyAlignment="1">
      <alignment vertical="top"/>
    </xf>
    <xf numFmtId="0" fontId="6" fillId="0" borderId="14" xfId="0" applyFont="1" applyBorder="1" applyAlignment="1" applyProtection="1">
      <alignment horizontal="left" vertical="top"/>
      <protection hidden="1"/>
    </xf>
    <xf numFmtId="49" fontId="22" fillId="0" borderId="14" xfId="0" applyNumberFormat="1" applyFont="1" applyFill="1" applyBorder="1" applyAlignment="1" applyProtection="1">
      <alignment horizontal="left" vertical="top"/>
      <protection hidden="1"/>
    </xf>
    <xf numFmtId="0" fontId="6" fillId="0" borderId="14" xfId="0" applyFont="1" applyBorder="1" applyAlignment="1">
      <alignment vertical="top" wrapText="1"/>
    </xf>
    <xf numFmtId="49" fontId="6" fillId="3" borderId="14" xfId="0" applyNumberFormat="1" applyFont="1" applyFill="1" applyBorder="1" applyAlignment="1">
      <alignment vertical="top" wrapText="1"/>
    </xf>
    <xf numFmtId="181" fontId="6" fillId="3" borderId="10" xfId="2" applyNumberFormat="1" applyFont="1" applyFill="1" applyBorder="1" applyAlignment="1">
      <alignment vertical="top"/>
    </xf>
    <xf numFmtId="10" fontId="6" fillId="3" borderId="10" xfId="2" applyNumberFormat="1" applyFont="1" applyFill="1" applyBorder="1" applyAlignment="1">
      <alignment vertical="top"/>
    </xf>
    <xf numFmtId="49" fontId="6" fillId="0" borderId="15" xfId="0" applyNumberFormat="1" applyFont="1" applyBorder="1" applyAlignment="1">
      <alignment horizontal="center" vertical="top"/>
    </xf>
    <xf numFmtId="49" fontId="22" fillId="0" borderId="15" xfId="0" applyNumberFormat="1" applyFont="1" applyBorder="1" applyAlignment="1" applyProtection="1">
      <alignment horizontal="left" vertical="top"/>
      <protection hidden="1"/>
    </xf>
    <xf numFmtId="181" fontId="6" fillId="0" borderId="10" xfId="0" applyNumberFormat="1" applyFont="1" applyFill="1" applyBorder="1" applyAlignment="1" applyProtection="1">
      <alignment vertical="top"/>
      <protection hidden="1"/>
    </xf>
    <xf numFmtId="49" fontId="6" fillId="0" borderId="14" xfId="0" applyNumberFormat="1" applyFont="1" applyBorder="1" applyAlignment="1">
      <alignment horizontal="center" vertical="top"/>
    </xf>
    <xf numFmtId="49" fontId="22" fillId="0" borderId="14" xfId="0" applyNumberFormat="1" applyFont="1" applyBorder="1" applyAlignment="1" applyProtection="1">
      <alignment horizontal="left" vertical="top"/>
      <protection hidden="1"/>
    </xf>
    <xf numFmtId="0" fontId="6" fillId="0" borderId="35" xfId="0" applyFont="1" applyBorder="1" applyAlignment="1">
      <alignment vertical="top"/>
    </xf>
    <xf numFmtId="49" fontId="11" fillId="0" borderId="46" xfId="0" quotePrefix="1" applyNumberFormat="1" applyFont="1" applyFill="1" applyBorder="1" applyAlignment="1">
      <alignment vertical="top"/>
    </xf>
    <xf numFmtId="0" fontId="6" fillId="3" borderId="46" xfId="0" applyFont="1" applyFill="1" applyBorder="1" applyAlignment="1">
      <alignment vertical="top" wrapText="1"/>
    </xf>
    <xf numFmtId="181" fontId="6" fillId="3" borderId="35" xfId="0" applyNumberFormat="1" applyFont="1" applyFill="1" applyBorder="1" applyAlignment="1">
      <alignment vertical="top"/>
    </xf>
    <xf numFmtId="10" fontId="6" fillId="3" borderId="35" xfId="0" applyNumberFormat="1" applyFont="1" applyFill="1" applyBorder="1" applyAlignment="1">
      <alignment vertical="top"/>
    </xf>
    <xf numFmtId="180" fontId="16" fillId="0" borderId="0" xfId="0" applyNumberFormat="1" applyFont="1" applyAlignment="1"/>
    <xf numFmtId="0" fontId="21" fillId="0" borderId="0" xfId="0" applyFont="1" applyBorder="1" applyAlignment="1">
      <alignment horizontal="left"/>
    </xf>
    <xf numFmtId="0" fontId="19" fillId="0" borderId="0" xfId="0" applyFont="1"/>
    <xf numFmtId="0" fontId="6" fillId="3" borderId="43" xfId="0" applyFont="1" applyFill="1" applyBorder="1" applyAlignment="1">
      <alignment horizontal="center" vertical="center"/>
    </xf>
    <xf numFmtId="0" fontId="6" fillId="3" borderId="22" xfId="0" applyFont="1" applyFill="1" applyBorder="1" applyAlignment="1">
      <alignment horizontal="center" vertical="center"/>
    </xf>
    <xf numFmtId="0" fontId="6" fillId="3" borderId="13" xfId="0" applyFont="1" applyFill="1" applyBorder="1" applyAlignment="1">
      <alignment horizontal="center" vertical="center" wrapText="1"/>
    </xf>
    <xf numFmtId="0" fontId="6" fillId="3" borderId="19" xfId="0" applyFont="1" applyFill="1" applyBorder="1" applyAlignment="1">
      <alignment horizontal="center" vertical="center"/>
    </xf>
    <xf numFmtId="0" fontId="6" fillId="3" borderId="47" xfId="0" applyFont="1" applyFill="1" applyBorder="1" applyAlignment="1">
      <alignment horizontal="center" vertical="center"/>
    </xf>
    <xf numFmtId="0" fontId="6" fillId="3" borderId="34" xfId="0" applyFont="1" applyFill="1" applyBorder="1" applyAlignment="1">
      <alignment horizontal="center"/>
    </xf>
    <xf numFmtId="0" fontId="6" fillId="3" borderId="19" xfId="0" applyFont="1" applyFill="1" applyBorder="1" applyAlignment="1">
      <alignment horizontal="center"/>
    </xf>
    <xf numFmtId="0" fontId="6" fillId="3" borderId="39" xfId="0" applyFont="1" applyFill="1" applyBorder="1" applyAlignment="1">
      <alignment horizontal="center"/>
    </xf>
    <xf numFmtId="0" fontId="6" fillId="0" borderId="27" xfId="0" applyFont="1" applyBorder="1" applyAlignment="1">
      <alignment horizontal="center"/>
    </xf>
    <xf numFmtId="0" fontId="6" fillId="0" borderId="26" xfId="0" applyFont="1" applyBorder="1" applyAlignment="1">
      <alignment horizontal="center"/>
    </xf>
    <xf numFmtId="0" fontId="6" fillId="0" borderId="26" xfId="0" quotePrefix="1" applyFont="1" applyFill="1" applyBorder="1" applyAlignment="1"/>
    <xf numFmtId="179" fontId="6" fillId="0" borderId="16" xfId="1" applyNumberFormat="1" applyFont="1" applyBorder="1" applyProtection="1">
      <protection locked="0"/>
    </xf>
    <xf numFmtId="179" fontId="6" fillId="0" borderId="27" xfId="1" applyNumberFormat="1" applyFont="1" applyBorder="1" applyProtection="1">
      <protection locked="0"/>
    </xf>
    <xf numFmtId="179" fontId="6" fillId="0" borderId="27" xfId="1" applyNumberFormat="1" applyFont="1" applyFill="1" applyBorder="1" applyProtection="1">
      <protection locked="0"/>
    </xf>
    <xf numFmtId="179" fontId="18" fillId="4" borderId="27" xfId="1" applyNumberFormat="1" applyFont="1" applyFill="1" applyBorder="1" applyProtection="1">
      <protection hidden="1"/>
    </xf>
    <xf numFmtId="10" fontId="6" fillId="0" borderId="27" xfId="9" applyNumberFormat="1" applyFont="1" applyFill="1" applyBorder="1" applyAlignment="1">
      <alignment horizontal="center"/>
    </xf>
    <xf numFmtId="174" fontId="18" fillId="4" borderId="27" xfId="0" applyNumberFormat="1" applyFont="1" applyFill="1" applyBorder="1" applyProtection="1">
      <protection hidden="1"/>
    </xf>
    <xf numFmtId="174" fontId="18" fillId="4" borderId="29" xfId="0" applyNumberFormat="1" applyFont="1" applyFill="1" applyBorder="1" applyProtection="1">
      <protection hidden="1"/>
    </xf>
    <xf numFmtId="0" fontId="6" fillId="0" borderId="15" xfId="0" applyFont="1" applyBorder="1" applyAlignment="1">
      <alignment horizontal="center"/>
    </xf>
    <xf numFmtId="0" fontId="6" fillId="0" borderId="15" xfId="0" quotePrefix="1" applyFont="1" applyFill="1" applyBorder="1" applyAlignment="1"/>
    <xf numFmtId="179" fontId="6" fillId="0" borderId="19" xfId="1" applyNumberFormat="1" applyFont="1" applyBorder="1" applyProtection="1">
      <protection locked="0"/>
    </xf>
    <xf numFmtId="179" fontId="6" fillId="0" borderId="10" xfId="1" applyNumberFormat="1" applyFont="1" applyBorder="1" applyProtection="1">
      <protection locked="0"/>
    </xf>
    <xf numFmtId="179" fontId="6" fillId="0" borderId="10" xfId="1" applyNumberFormat="1" applyFont="1" applyFill="1" applyBorder="1" applyProtection="1">
      <protection locked="0"/>
    </xf>
    <xf numFmtId="179" fontId="18" fillId="4" borderId="10" xfId="1" applyNumberFormat="1" applyFont="1" applyFill="1" applyBorder="1" applyProtection="1">
      <protection hidden="1"/>
    </xf>
    <xf numFmtId="10" fontId="6" fillId="0" borderId="10" xfId="9" applyNumberFormat="1" applyFont="1" applyFill="1" applyBorder="1" applyAlignment="1">
      <alignment horizontal="center"/>
    </xf>
    <xf numFmtId="174" fontId="18" fillId="4" borderId="10" xfId="0" applyNumberFormat="1" applyFont="1" applyFill="1" applyBorder="1" applyProtection="1">
      <protection hidden="1"/>
    </xf>
    <xf numFmtId="174" fontId="18" fillId="4" borderId="31" xfId="0" applyNumberFormat="1" applyFont="1" applyFill="1" applyBorder="1" applyProtection="1">
      <protection hidden="1"/>
    </xf>
    <xf numFmtId="0" fontId="6" fillId="0" borderId="19" xfId="0" applyFont="1" applyBorder="1" applyAlignment="1">
      <alignment horizontal="center"/>
    </xf>
    <xf numFmtId="179" fontId="6" fillId="0" borderId="19" xfId="1" applyNumberFormat="1" applyFont="1" applyFill="1" applyBorder="1" applyProtection="1">
      <protection locked="0"/>
    </xf>
    <xf numFmtId="10" fontId="6" fillId="0" borderId="19" xfId="9" applyNumberFormat="1" applyFont="1" applyFill="1" applyBorder="1" applyAlignment="1">
      <alignment horizontal="center"/>
    </xf>
    <xf numFmtId="0" fontId="6" fillId="0" borderId="33" xfId="0" applyFont="1" applyBorder="1" applyAlignment="1">
      <alignment horizontal="center"/>
    </xf>
    <xf numFmtId="0" fontId="6" fillId="0" borderId="33" xfId="0" quotePrefix="1" applyFont="1" applyFill="1" applyBorder="1" applyAlignment="1"/>
    <xf numFmtId="179" fontId="18" fillId="4" borderId="34" xfId="1" applyNumberFormat="1" applyFont="1" applyFill="1" applyBorder="1" applyProtection="1">
      <protection hidden="1"/>
    </xf>
    <xf numFmtId="174" fontId="18" fillId="4" borderId="34" xfId="0" applyNumberFormat="1" applyFont="1" applyFill="1" applyBorder="1" applyProtection="1">
      <protection hidden="1"/>
    </xf>
    <xf numFmtId="174" fontId="18" fillId="4" borderId="36" xfId="0" applyNumberFormat="1" applyFont="1" applyFill="1" applyBorder="1" applyProtection="1">
      <protection hidden="1"/>
    </xf>
    <xf numFmtId="179" fontId="18" fillId="4" borderId="16" xfId="1" applyNumberFormat="1" applyFont="1" applyFill="1" applyBorder="1" applyProtection="1">
      <protection hidden="1"/>
    </xf>
    <xf numFmtId="174" fontId="18" fillId="4" borderId="16" xfId="0" applyNumberFormat="1" applyFont="1" applyFill="1" applyBorder="1" applyProtection="1">
      <protection hidden="1"/>
    </xf>
    <xf numFmtId="174" fontId="18" fillId="4" borderId="41" xfId="0" applyNumberFormat="1" applyFont="1" applyFill="1" applyBorder="1" applyProtection="1">
      <protection hidden="1"/>
    </xf>
    <xf numFmtId="0" fontId="6" fillId="0" borderId="48" xfId="0" applyFont="1" applyBorder="1" applyAlignment="1">
      <alignment horizontal="center"/>
    </xf>
    <xf numFmtId="179" fontId="6" fillId="0" borderId="48" xfId="1" applyNumberFormat="1" applyFont="1" applyBorder="1" applyProtection="1">
      <protection locked="0"/>
    </xf>
    <xf numFmtId="179" fontId="6" fillId="0" borderId="48" xfId="1" applyNumberFormat="1" applyFont="1" applyFill="1" applyBorder="1" applyProtection="1">
      <protection locked="0"/>
    </xf>
    <xf numFmtId="10" fontId="6" fillId="0" borderId="48" xfId="9" applyNumberFormat="1" applyFont="1" applyFill="1" applyBorder="1" applyAlignment="1">
      <alignment horizontal="center"/>
    </xf>
    <xf numFmtId="0" fontId="6" fillId="0" borderId="16" xfId="0" applyFont="1" applyBorder="1" applyAlignment="1">
      <alignment horizontal="center"/>
    </xf>
    <xf numFmtId="179" fontId="6" fillId="0" borderId="16" xfId="1" applyNumberFormat="1" applyFont="1" applyFill="1" applyBorder="1" applyProtection="1">
      <protection locked="0"/>
    </xf>
    <xf numFmtId="10" fontId="6" fillId="0" borderId="16" xfId="9" applyNumberFormat="1" applyFont="1" applyFill="1" applyBorder="1" applyAlignment="1">
      <alignment horizontal="center"/>
    </xf>
    <xf numFmtId="0" fontId="6" fillId="0" borderId="34" xfId="0" applyFont="1" applyBorder="1" applyAlignment="1">
      <alignment horizontal="center"/>
    </xf>
    <xf numFmtId="179" fontId="6" fillId="0" borderId="34" xfId="1" applyNumberFormat="1" applyFont="1" applyBorder="1" applyProtection="1">
      <protection locked="0"/>
    </xf>
    <xf numFmtId="179" fontId="6" fillId="0" borderId="34" xfId="1" applyNumberFormat="1" applyFont="1" applyFill="1" applyBorder="1" applyProtection="1">
      <protection locked="0"/>
    </xf>
    <xf numFmtId="10" fontId="6" fillId="0" borderId="34" xfId="9" applyNumberFormat="1" applyFont="1" applyFill="1" applyBorder="1" applyAlignment="1">
      <alignment horizontal="center"/>
    </xf>
    <xf numFmtId="0" fontId="6" fillId="0" borderId="49" xfId="0" applyFont="1" applyBorder="1" applyAlignment="1">
      <alignment horizontal="center" vertical="top"/>
    </xf>
    <xf numFmtId="0" fontId="6" fillId="0" borderId="26" xfId="0" applyFont="1" applyBorder="1" applyAlignment="1">
      <alignment horizontal="left" vertical="top"/>
    </xf>
    <xf numFmtId="0" fontId="6" fillId="0" borderId="26" xfId="0" applyFont="1" applyBorder="1" applyAlignment="1">
      <alignment horizontal="center" vertical="top"/>
    </xf>
    <xf numFmtId="0" fontId="6" fillId="0" borderId="26" xfId="0" quotePrefix="1" applyFont="1" applyFill="1" applyBorder="1" applyAlignment="1">
      <alignment vertical="top"/>
    </xf>
    <xf numFmtId="179" fontId="18" fillId="4" borderId="16" xfId="0" applyNumberFormat="1" applyFont="1" applyFill="1" applyBorder="1" applyAlignment="1" applyProtection="1">
      <alignment vertical="top"/>
      <protection hidden="1"/>
    </xf>
    <xf numFmtId="0" fontId="6" fillId="3" borderId="15" xfId="0" applyFont="1" applyFill="1" applyBorder="1" applyAlignment="1">
      <alignment horizontal="left" vertical="top"/>
    </xf>
    <xf numFmtId="0" fontId="6" fillId="0" borderId="44" xfId="0" applyFont="1" applyBorder="1"/>
    <xf numFmtId="0" fontId="6" fillId="0" borderId="14" xfId="0" applyFont="1" applyBorder="1" applyAlignment="1">
      <alignment horizontal="left"/>
    </xf>
    <xf numFmtId="0" fontId="6" fillId="0" borderId="15" xfId="0" applyFont="1" applyBorder="1" applyAlignment="1">
      <alignment horizontal="left"/>
    </xf>
    <xf numFmtId="0" fontId="6" fillId="0" borderId="15" xfId="0" quotePrefix="1" applyFont="1" applyFill="1" applyBorder="1" applyAlignment="1">
      <alignment horizontal="left"/>
    </xf>
    <xf numFmtId="0" fontId="6" fillId="0" borderId="14" xfId="0" quotePrefix="1" applyFont="1" applyFill="1" applyBorder="1" applyAlignment="1">
      <alignment horizontal="left"/>
    </xf>
    <xf numFmtId="0" fontId="6" fillId="3" borderId="14" xfId="0" applyFont="1" applyFill="1" applyBorder="1" applyAlignment="1">
      <alignment horizontal="left"/>
    </xf>
    <xf numFmtId="0" fontId="6" fillId="3" borderId="15" xfId="0" applyFont="1" applyFill="1" applyBorder="1" applyAlignment="1">
      <alignment horizontal="left"/>
    </xf>
    <xf numFmtId="0" fontId="6" fillId="0" borderId="50" xfId="0" applyFont="1" applyBorder="1"/>
    <xf numFmtId="0" fontId="6" fillId="0" borderId="12" xfId="0" applyFont="1" applyBorder="1" applyAlignment="1">
      <alignment horizontal="left"/>
    </xf>
    <xf numFmtId="0" fontId="6" fillId="0" borderId="12" xfId="0" quotePrefix="1" applyFont="1" applyFill="1" applyBorder="1" applyAlignment="1">
      <alignment horizontal="left"/>
    </xf>
    <xf numFmtId="0" fontId="6" fillId="0" borderId="14" xfId="0" applyFont="1" applyFill="1" applyBorder="1" applyAlignment="1">
      <alignment horizontal="left"/>
    </xf>
    <xf numFmtId="0" fontId="6" fillId="0" borderId="11" xfId="0" applyFont="1" applyFill="1" applyBorder="1" applyAlignment="1">
      <alignment horizontal="left"/>
    </xf>
    <xf numFmtId="174" fontId="18" fillId="4" borderId="20" xfId="1" applyNumberFormat="1" applyFont="1" applyFill="1" applyBorder="1" applyAlignment="1" applyProtection="1">
      <alignment horizontal="center"/>
      <protection hidden="1"/>
    </xf>
    <xf numFmtId="174" fontId="18" fillId="4" borderId="51" xfId="1" applyNumberFormat="1" applyFont="1" applyFill="1" applyBorder="1" applyAlignment="1" applyProtection="1">
      <alignment horizontal="center"/>
      <protection hidden="1"/>
    </xf>
    <xf numFmtId="0" fontId="6" fillId="0" borderId="11" xfId="0" applyFont="1" applyBorder="1" applyAlignment="1">
      <alignment horizontal="left" vertical="center" indent="8"/>
    </xf>
    <xf numFmtId="0" fontId="6" fillId="0" borderId="10" xfId="0" applyFont="1" applyBorder="1" applyAlignment="1">
      <alignment horizontal="center" vertical="center" wrapText="1"/>
    </xf>
    <xf numFmtId="0" fontId="6" fillId="0" borderId="18" xfId="0" applyFont="1" applyBorder="1" applyAlignment="1">
      <alignment horizontal="left" vertical="center" indent="8"/>
    </xf>
    <xf numFmtId="0" fontId="6" fillId="0" borderId="10" xfId="0" applyFont="1" applyFill="1" applyBorder="1" applyAlignment="1">
      <alignment horizontal="center" vertical="center" wrapText="1"/>
    </xf>
    <xf numFmtId="0" fontId="6" fillId="0" borderId="33" xfId="0" applyFont="1" applyBorder="1" applyAlignment="1">
      <alignment horizontal="left" vertical="center" indent="8"/>
    </xf>
    <xf numFmtId="0" fontId="6" fillId="0" borderId="34" xfId="0" quotePrefix="1" applyFont="1" applyFill="1" applyBorder="1" applyAlignment="1">
      <alignment vertical="center"/>
    </xf>
    <xf numFmtId="174" fontId="18" fillId="4" borderId="36" xfId="0" applyNumberFormat="1" applyFont="1" applyFill="1" applyBorder="1" applyAlignment="1" applyProtection="1">
      <protection hidden="1"/>
    </xf>
    <xf numFmtId="0" fontId="22" fillId="0" borderId="0" xfId="0" applyFont="1"/>
    <xf numFmtId="177" fontId="6" fillId="0" borderId="0" xfId="0" applyNumberFormat="1" applyFont="1"/>
    <xf numFmtId="0" fontId="6" fillId="0" borderId="0" xfId="0" applyFont="1" applyAlignment="1">
      <alignment vertical="center" wrapText="1"/>
    </xf>
    <xf numFmtId="177" fontId="34" fillId="0" borderId="0" xfId="2" applyNumberFormat="1" applyFont="1" applyFill="1"/>
    <xf numFmtId="0" fontId="34" fillId="0" borderId="0" xfId="0" applyFont="1" applyFill="1"/>
    <xf numFmtId="0" fontId="6" fillId="0" borderId="0" xfId="0" applyFont="1" applyAlignment="1">
      <alignment vertical="center"/>
    </xf>
    <xf numFmtId="9" fontId="6" fillId="0" borderId="10" xfId="10" applyFont="1" applyBorder="1" applyAlignment="1">
      <alignment horizontal="center" vertical="center" wrapText="1"/>
    </xf>
    <xf numFmtId="177" fontId="6" fillId="0" borderId="0" xfId="2" applyNumberFormat="1" applyFont="1" applyFill="1"/>
    <xf numFmtId="0" fontId="6" fillId="0" borderId="18" xfId="0" applyFont="1" applyBorder="1" applyAlignment="1">
      <alignment horizontal="center"/>
    </xf>
    <xf numFmtId="0" fontId="6" fillId="0" borderId="22" xfId="0" applyFont="1" applyBorder="1" applyAlignment="1">
      <alignment horizontal="center"/>
    </xf>
    <xf numFmtId="0" fontId="6" fillId="3" borderId="13" xfId="0" applyFont="1" applyFill="1" applyBorder="1" applyAlignment="1">
      <alignment horizontal="left"/>
    </xf>
    <xf numFmtId="0" fontId="6" fillId="0" borderId="11" xfId="0" applyFont="1" applyBorder="1" applyAlignment="1">
      <alignment horizontal="left"/>
    </xf>
    <xf numFmtId="0" fontId="6" fillId="0" borderId="0" xfId="0" applyFont="1" applyBorder="1" applyAlignment="1">
      <alignment vertical="center" wrapText="1"/>
    </xf>
    <xf numFmtId="0" fontId="6" fillId="0" borderId="22" xfId="0" applyFont="1" applyBorder="1" applyAlignment="1">
      <alignment vertical="center" wrapText="1"/>
    </xf>
    <xf numFmtId="0" fontId="6" fillId="0" borderId="0" xfId="0" applyFont="1" applyFill="1" applyAlignment="1">
      <alignment vertical="center"/>
    </xf>
    <xf numFmtId="0" fontId="6" fillId="0" borderId="11" xfId="0" applyFont="1" applyBorder="1" applyAlignment="1">
      <alignment horizontal="center"/>
    </xf>
    <xf numFmtId="0" fontId="6" fillId="0" borderId="18" xfId="0" applyFont="1" applyBorder="1" applyAlignment="1">
      <alignment horizontal="left" vertical="top"/>
    </xf>
    <xf numFmtId="0" fontId="6" fillId="3" borderId="20" xfId="0" applyFont="1" applyFill="1" applyBorder="1" applyAlignment="1">
      <alignment horizontal="left"/>
    </xf>
    <xf numFmtId="0" fontId="6" fillId="3" borderId="12" xfId="0" applyFont="1" applyFill="1" applyBorder="1" applyAlignment="1">
      <alignment horizontal="left"/>
    </xf>
    <xf numFmtId="0" fontId="6" fillId="3" borderId="11" xfId="0" applyFont="1" applyFill="1" applyBorder="1" applyAlignment="1">
      <alignment horizontal="left"/>
    </xf>
    <xf numFmtId="0" fontId="6" fillId="0" borderId="12" xfId="0" applyFont="1" applyFill="1" applyBorder="1" applyAlignment="1">
      <alignment horizontal="left"/>
    </xf>
    <xf numFmtId="174" fontId="18" fillId="4" borderId="12" xfId="1" applyNumberFormat="1" applyFont="1" applyFill="1" applyBorder="1" applyAlignment="1" applyProtection="1">
      <alignment horizontal="center"/>
      <protection hidden="1"/>
    </xf>
    <xf numFmtId="0" fontId="6" fillId="0" borderId="19" xfId="0" applyFont="1" applyBorder="1" applyAlignment="1">
      <alignment horizontal="left" vertical="center" indent="8"/>
    </xf>
    <xf numFmtId="0" fontId="6" fillId="0" borderId="16" xfId="0" applyFont="1" applyBorder="1" applyAlignment="1">
      <alignment horizontal="left" vertical="center" indent="8"/>
    </xf>
    <xf numFmtId="174" fontId="18" fillId="4" borderId="27" xfId="1" applyNumberFormat="1" applyFont="1" applyFill="1" applyBorder="1" applyProtection="1">
      <protection hidden="1"/>
    </xf>
    <xf numFmtId="174" fontId="18" fillId="4" borderId="10" xfId="1" applyNumberFormat="1" applyFont="1" applyFill="1" applyBorder="1" applyProtection="1">
      <protection hidden="1"/>
    </xf>
    <xf numFmtId="174" fontId="18" fillId="4" borderId="34" xfId="1" applyNumberFormat="1" applyFont="1" applyFill="1" applyBorder="1" applyProtection="1">
      <protection hidden="1"/>
    </xf>
    <xf numFmtId="174" fontId="18" fillId="4" borderId="16" xfId="1" applyNumberFormat="1" applyFont="1" applyFill="1" applyBorder="1" applyProtection="1">
      <protection hidden="1"/>
    </xf>
    <xf numFmtId="174" fontId="18" fillId="4" borderId="16" xfId="0" applyNumberFormat="1" applyFont="1" applyFill="1" applyBorder="1" applyAlignment="1" applyProtection="1">
      <alignment vertical="top"/>
      <protection hidden="1"/>
    </xf>
    <xf numFmtId="0" fontId="6" fillId="0" borderId="13" xfId="0" applyFont="1" applyFill="1" applyBorder="1" applyAlignment="1">
      <alignment horizontal="left"/>
    </xf>
    <xf numFmtId="0" fontId="24" fillId="0" borderId="0" xfId="0" applyFont="1" applyFill="1"/>
    <xf numFmtId="0" fontId="24" fillId="0" borderId="0" xfId="0" applyFont="1"/>
    <xf numFmtId="0" fontId="6" fillId="3" borderId="19" xfId="0" applyFont="1" applyFill="1" applyBorder="1" applyAlignment="1">
      <alignment vertical="center"/>
    </xf>
    <xf numFmtId="0" fontId="6" fillId="3" borderId="18" xfId="0" applyFont="1" applyFill="1" applyBorder="1" applyAlignment="1">
      <alignment horizontal="center"/>
    </xf>
    <xf numFmtId="0" fontId="24" fillId="3" borderId="16" xfId="0" applyFont="1" applyFill="1" applyBorder="1" applyAlignment="1">
      <alignment horizontal="center"/>
    </xf>
    <xf numFmtId="179" fontId="6" fillId="3" borderId="10" xfId="2" applyNumberFormat="1" applyFont="1" applyFill="1" applyBorder="1" applyAlignment="1" applyProtection="1">
      <alignment vertical="top"/>
    </xf>
    <xf numFmtId="0" fontId="6" fillId="0" borderId="13" xfId="0" applyFont="1" applyBorder="1" applyAlignment="1">
      <alignment vertical="top"/>
    </xf>
    <xf numFmtId="0" fontId="6" fillId="0" borderId="15" xfId="0" applyFont="1" applyBorder="1" applyAlignment="1">
      <alignment vertical="top"/>
    </xf>
    <xf numFmtId="0" fontId="6" fillId="0" borderId="15" xfId="0" quotePrefix="1" applyFont="1" applyFill="1" applyBorder="1" applyAlignment="1">
      <alignment horizontal="left" vertical="top" wrapText="1"/>
    </xf>
    <xf numFmtId="179" fontId="18" fillId="0" borderId="10" xfId="0" applyNumberFormat="1" applyFont="1" applyBorder="1" applyAlignment="1">
      <alignment vertical="top"/>
    </xf>
    <xf numFmtId="177" fontId="6" fillId="3" borderId="10" xfId="0" applyNumberFormat="1" applyFont="1" applyFill="1" applyBorder="1" applyAlignment="1">
      <alignment vertical="top"/>
    </xf>
    <xf numFmtId="0" fontId="26" fillId="3" borderId="15" xfId="0" applyFont="1" applyFill="1" applyBorder="1" applyAlignment="1">
      <alignment horizontal="left" vertical="top"/>
    </xf>
    <xf numFmtId="0" fontId="6" fillId="2" borderId="15" xfId="0" applyFont="1" applyFill="1" applyBorder="1" applyAlignment="1">
      <alignment horizontal="left" vertical="top"/>
    </xf>
    <xf numFmtId="9" fontId="6" fillId="0" borderId="10" xfId="0" applyNumberFormat="1" applyFont="1" applyBorder="1" applyAlignment="1">
      <alignment horizontal="center" vertical="top"/>
    </xf>
    <xf numFmtId="9" fontId="6" fillId="3" borderId="10" xfId="0" applyNumberFormat="1" applyFont="1" applyFill="1" applyBorder="1" applyAlignment="1" applyProtection="1">
      <alignment horizontal="center" vertical="top"/>
    </xf>
    <xf numFmtId="179" fontId="18" fillId="0" borderId="10" xfId="0" applyNumberFormat="1" applyFont="1" applyFill="1" applyBorder="1" applyAlignment="1" applyProtection="1">
      <alignment vertical="top"/>
      <protection hidden="1"/>
    </xf>
    <xf numFmtId="0" fontId="24" fillId="3" borderId="10" xfId="0" applyFont="1" applyFill="1" applyBorder="1" applyAlignment="1">
      <alignment vertical="top"/>
    </xf>
    <xf numFmtId="0" fontId="25" fillId="0" borderId="0" xfId="0" applyFont="1" applyAlignment="1">
      <alignment horizontal="right" vertical="center"/>
    </xf>
    <xf numFmtId="0" fontId="24" fillId="0" borderId="0" xfId="0" applyFont="1" applyFill="1" applyAlignment="1">
      <alignment vertical="center"/>
    </xf>
    <xf numFmtId="0" fontId="16" fillId="0" borderId="0" xfId="0" applyFont="1" applyAlignment="1"/>
    <xf numFmtId="0" fontId="6" fillId="0" borderId="0" xfId="0" applyFont="1" applyAlignment="1"/>
    <xf numFmtId="0" fontId="16" fillId="0" borderId="0" xfId="0" applyFont="1" applyFill="1" applyAlignment="1">
      <alignment horizontal="left" wrapText="1"/>
    </xf>
    <xf numFmtId="0" fontId="16" fillId="0" borderId="0" xfId="0" applyFont="1" applyFill="1" applyAlignment="1">
      <alignment horizontal="right"/>
    </xf>
    <xf numFmtId="179" fontId="6" fillId="0" borderId="0" xfId="0" applyNumberFormat="1" applyFont="1" applyFill="1" applyProtection="1">
      <protection locked="0"/>
    </xf>
    <xf numFmtId="0" fontId="6" fillId="3" borderId="29" xfId="0" applyFont="1" applyFill="1" applyBorder="1" applyAlignment="1">
      <alignment horizontal="center" vertical="center" wrapText="1"/>
    </xf>
    <xf numFmtId="0" fontId="6" fillId="3" borderId="23" xfId="0" quotePrefix="1" applyFont="1" applyFill="1" applyBorder="1" applyAlignment="1">
      <alignment horizontal="center" vertical="center" wrapText="1"/>
    </xf>
    <xf numFmtId="177" fontId="6" fillId="3" borderId="39" xfId="2" quotePrefix="1" applyNumberFormat="1" applyFont="1" applyFill="1" applyBorder="1" applyAlignment="1">
      <alignment horizontal="center"/>
    </xf>
    <xf numFmtId="0" fontId="6" fillId="3" borderId="10" xfId="0" applyFont="1" applyFill="1" applyBorder="1" applyAlignment="1">
      <alignment horizontal="center" vertical="top"/>
    </xf>
    <xf numFmtId="182" fontId="6" fillId="3" borderId="31" xfId="0" applyNumberFormat="1" applyFont="1" applyFill="1" applyBorder="1" applyAlignment="1">
      <alignment vertical="top"/>
    </xf>
    <xf numFmtId="0" fontId="6" fillId="0" borderId="10" xfId="0" applyFont="1" applyBorder="1" applyAlignment="1">
      <alignment horizontal="left" vertical="top" indent="1"/>
    </xf>
    <xf numFmtId="179" fontId="18" fillId="0" borderId="31" xfId="0" applyNumberFormat="1" applyFont="1" applyFill="1" applyBorder="1" applyAlignment="1" applyProtection="1">
      <alignment vertical="top"/>
      <protection hidden="1"/>
    </xf>
    <xf numFmtId="0" fontId="6" fillId="0" borderId="13" xfId="0" applyFont="1" applyBorder="1" applyAlignment="1">
      <alignment horizontal="left" vertical="top" indent="1"/>
    </xf>
    <xf numFmtId="0" fontId="6" fillId="0" borderId="14" xfId="0" applyFont="1" applyBorder="1" applyAlignment="1">
      <alignment vertical="top"/>
    </xf>
    <xf numFmtId="0" fontId="6" fillId="0" borderId="10" xfId="0" applyFont="1" applyFill="1" applyBorder="1" applyAlignment="1">
      <alignment vertical="top" wrapText="1"/>
    </xf>
    <xf numFmtId="0" fontId="26" fillId="3" borderId="10" xfId="0" applyFont="1" applyFill="1" applyBorder="1" applyAlignment="1">
      <alignment vertical="top"/>
    </xf>
    <xf numFmtId="9" fontId="6" fillId="0" borderId="31" xfId="0" applyNumberFormat="1" applyFont="1" applyFill="1" applyBorder="1" applyAlignment="1">
      <alignment horizontal="center" vertical="top"/>
    </xf>
    <xf numFmtId="0" fontId="6" fillId="0" borderId="6" xfId="0" applyFont="1" applyBorder="1" applyAlignment="1">
      <alignment horizontal="center" vertical="top"/>
    </xf>
    <xf numFmtId="0" fontId="6" fillId="3" borderId="34" xfId="0" applyFont="1" applyFill="1" applyBorder="1" applyAlignment="1">
      <alignment vertical="top"/>
    </xf>
    <xf numFmtId="0" fontId="35" fillId="6" borderId="0" xfId="4" applyFont="1" applyFill="1" applyProtection="1">
      <protection hidden="1"/>
    </xf>
    <xf numFmtId="0" fontId="35" fillId="6" borderId="0" xfId="4" quotePrefix="1" applyFont="1" applyFill="1" applyProtection="1">
      <protection hidden="1"/>
    </xf>
    <xf numFmtId="183" fontId="35" fillId="6" borderId="0" xfId="4" applyNumberFormat="1" applyFont="1" applyFill="1" applyProtection="1">
      <protection hidden="1"/>
    </xf>
    <xf numFmtId="0" fontId="35" fillId="6" borderId="0" xfId="4" applyFont="1" applyFill="1" applyAlignment="1" applyProtection="1">
      <alignment horizontal="center"/>
      <protection hidden="1"/>
    </xf>
    <xf numFmtId="0" fontId="0" fillId="6" borderId="0" xfId="0" applyFill="1"/>
    <xf numFmtId="172" fontId="34" fillId="0" borderId="0" xfId="8" applyFont="1" applyAlignment="1" applyProtection="1">
      <alignment horizontal="right" vertical="top"/>
    </xf>
    <xf numFmtId="173" fontId="37" fillId="0" borderId="0" xfId="1" applyNumberFormat="1" applyFont="1" applyProtection="1"/>
    <xf numFmtId="172" fontId="38" fillId="0" borderId="0" xfId="8" applyFont="1" applyProtection="1"/>
    <xf numFmtId="172" fontId="38" fillId="0" borderId="0" xfId="8" applyFont="1" applyAlignment="1" applyProtection="1">
      <alignment horizontal="right"/>
    </xf>
    <xf numFmtId="173" fontId="38" fillId="0" borderId="0" xfId="1" applyNumberFormat="1" applyFont="1" applyProtection="1"/>
    <xf numFmtId="172" fontId="38" fillId="0" borderId="0" xfId="8" applyFont="1" applyAlignment="1" applyProtection="1">
      <alignment vertical="center"/>
    </xf>
    <xf numFmtId="172" fontId="38" fillId="0" borderId="0" xfId="8" applyFont="1" applyAlignment="1" applyProtection="1">
      <alignment vertical="top"/>
    </xf>
    <xf numFmtId="172" fontId="34" fillId="0" borderId="0" xfId="8" applyFont="1" applyProtection="1"/>
    <xf numFmtId="172" fontId="34" fillId="0" borderId="0" xfId="8" applyFont="1" applyAlignment="1" applyProtection="1">
      <alignment horizontal="right"/>
    </xf>
    <xf numFmtId="172" fontId="34" fillId="0" borderId="0" xfId="8" applyFont="1" applyAlignment="1" applyProtection="1">
      <alignment horizontal="center"/>
    </xf>
    <xf numFmtId="173" fontId="34" fillId="0" borderId="0" xfId="1" applyNumberFormat="1" applyFont="1" applyProtection="1"/>
    <xf numFmtId="172" fontId="34" fillId="0" borderId="0" xfId="8" applyFont="1" applyAlignment="1" applyProtection="1">
      <alignment vertical="center"/>
    </xf>
    <xf numFmtId="172" fontId="39" fillId="0" borderId="0" xfId="8" applyFont="1" applyFill="1" applyProtection="1"/>
    <xf numFmtId="172" fontId="34" fillId="0" borderId="0" xfId="8" applyFont="1" applyAlignment="1" applyProtection="1">
      <alignment vertical="top"/>
    </xf>
    <xf numFmtId="0" fontId="34" fillId="0" borderId="0" xfId="0" applyFont="1" applyAlignment="1" applyProtection="1">
      <alignment vertical="top"/>
    </xf>
    <xf numFmtId="43" fontId="34" fillId="0" borderId="0" xfId="1" applyFont="1" applyAlignment="1" applyProtection="1">
      <alignment vertical="top"/>
    </xf>
    <xf numFmtId="172" fontId="34" fillId="0" borderId="0" xfId="8" applyFont="1" applyAlignment="1" applyProtection="1">
      <alignment horizontal="center" vertical="center"/>
    </xf>
    <xf numFmtId="172" fontId="34" fillId="0" borderId="0" xfId="8" applyFont="1" applyAlignment="1" applyProtection="1">
      <alignment horizontal="left"/>
    </xf>
    <xf numFmtId="173" fontId="34" fillId="0" borderId="0" xfId="1" applyNumberFormat="1" applyFont="1" applyAlignment="1" applyProtection="1">
      <alignment vertical="center"/>
    </xf>
    <xf numFmtId="177" fontId="34" fillId="0" borderId="0" xfId="1" applyNumberFormat="1" applyFont="1" applyAlignment="1" applyProtection="1">
      <alignment vertical="center"/>
    </xf>
    <xf numFmtId="0" fontId="38" fillId="0" borderId="0" xfId="0" applyFont="1" applyAlignment="1" applyProtection="1"/>
    <xf numFmtId="177" fontId="38" fillId="0" borderId="0" xfId="1" applyNumberFormat="1" applyFont="1" applyAlignment="1" applyProtection="1"/>
    <xf numFmtId="177" fontId="38" fillId="0" borderId="0" xfId="1" applyNumberFormat="1" applyFont="1" applyAlignment="1" applyProtection="1">
      <alignment horizontal="right"/>
    </xf>
    <xf numFmtId="177" fontId="38" fillId="0" borderId="0" xfId="1" applyNumberFormat="1" applyFont="1" applyAlignment="1" applyProtection="1">
      <alignment horizontal="center"/>
    </xf>
    <xf numFmtId="173" fontId="38" fillId="0" borderId="0" xfId="1" applyNumberFormat="1" applyFont="1" applyAlignment="1" applyProtection="1"/>
    <xf numFmtId="0" fontId="38" fillId="0" borderId="0" xfId="0" applyFont="1" applyAlignment="1" applyProtection="1">
      <alignment horizontal="center"/>
    </xf>
    <xf numFmtId="173" fontId="38" fillId="0" borderId="0" xfId="0" applyNumberFormat="1" applyFont="1" applyAlignment="1" applyProtection="1"/>
    <xf numFmtId="0" fontId="38" fillId="0" borderId="0" xfId="0" applyFont="1" applyAlignment="1" applyProtection="1">
      <alignment vertical="top"/>
    </xf>
    <xf numFmtId="0" fontId="38" fillId="0" borderId="0" xfId="0" applyFont="1" applyAlignment="1" applyProtection="1">
      <alignment horizontal="left" vertical="top"/>
    </xf>
    <xf numFmtId="0" fontId="38" fillId="0" borderId="9" xfId="0" applyFont="1" applyBorder="1" applyAlignment="1" applyProtection="1">
      <alignment horizontal="left" vertical="top"/>
    </xf>
    <xf numFmtId="0" fontId="38" fillId="0" borderId="0" xfId="0" applyFont="1" applyAlignment="1" applyProtection="1">
      <alignment horizontal="right"/>
    </xf>
    <xf numFmtId="10" fontId="38" fillId="0" borderId="0" xfId="0" applyNumberFormat="1" applyFont="1" applyAlignment="1" applyProtection="1"/>
    <xf numFmtId="0" fontId="38" fillId="0" borderId="0" xfId="0" applyFont="1" applyAlignment="1" applyProtection="1">
      <alignment horizontal="center" vertical="center"/>
    </xf>
    <xf numFmtId="0" fontId="38" fillId="0" borderId="0" xfId="0" applyFont="1" applyBorder="1" applyAlignment="1" applyProtection="1">
      <alignment vertical="top"/>
    </xf>
    <xf numFmtId="0" fontId="38" fillId="0" borderId="14" xfId="0" applyFont="1" applyBorder="1" applyAlignment="1" applyProtection="1">
      <alignment vertical="top"/>
    </xf>
    <xf numFmtId="0" fontId="38" fillId="0" borderId="0" xfId="0" applyFont="1" applyFill="1" applyAlignment="1" applyProtection="1">
      <alignment vertical="center"/>
    </xf>
    <xf numFmtId="176" fontId="34" fillId="0" borderId="0" xfId="0" applyNumberFormat="1" applyFont="1" applyFill="1" applyBorder="1" applyAlignment="1" applyProtection="1">
      <alignment horizontal="left" vertical="center" wrapText="1"/>
    </xf>
    <xf numFmtId="0" fontId="34" fillId="0" borderId="0" xfId="0" applyFont="1" applyFill="1" applyAlignment="1" applyProtection="1">
      <alignment vertical="center"/>
    </xf>
    <xf numFmtId="0" fontId="34" fillId="0" borderId="0" xfId="0" applyFont="1" applyFill="1" applyBorder="1" applyAlignment="1" applyProtection="1">
      <alignment vertical="center"/>
    </xf>
    <xf numFmtId="0" fontId="32" fillId="0" borderId="0" xfId="7" applyFont="1" applyAlignment="1">
      <alignment vertical="top"/>
    </xf>
    <xf numFmtId="173" fontId="32" fillId="0" borderId="0" xfId="1" applyNumberFormat="1" applyFont="1" applyAlignment="1">
      <alignment vertical="top"/>
    </xf>
    <xf numFmtId="0" fontId="32" fillId="0" borderId="0" xfId="7" applyFont="1" applyAlignment="1">
      <alignment wrapText="1"/>
    </xf>
    <xf numFmtId="173" fontId="32" fillId="0" borderId="0" xfId="1" applyNumberFormat="1" applyFont="1"/>
    <xf numFmtId="0" fontId="32" fillId="0" borderId="0" xfId="7" applyFont="1" applyBorder="1"/>
    <xf numFmtId="0" fontId="32" fillId="0" borderId="0" xfId="7" applyFont="1"/>
    <xf numFmtId="0" fontId="32" fillId="0" borderId="0" xfId="7" applyFont="1" applyFill="1" applyBorder="1"/>
    <xf numFmtId="0" fontId="32" fillId="0" borderId="0" xfId="7" applyFont="1" applyFill="1"/>
    <xf numFmtId="0" fontId="32" fillId="0" borderId="0" xfId="7" applyFont="1" applyFill="1" applyBorder="1" applyAlignment="1">
      <alignment vertical="center" wrapText="1"/>
    </xf>
    <xf numFmtId="0" fontId="32" fillId="0" borderId="0" xfId="7" applyFont="1" applyFill="1" applyBorder="1" applyAlignment="1">
      <alignment wrapText="1"/>
    </xf>
    <xf numFmtId="0" fontId="32" fillId="0" borderId="0" xfId="7" applyFont="1" applyFill="1" applyAlignment="1">
      <alignment wrapText="1"/>
    </xf>
    <xf numFmtId="0" fontId="32" fillId="0" borderId="0" xfId="7" applyFont="1" applyAlignment="1">
      <alignment vertical="top" wrapText="1"/>
    </xf>
    <xf numFmtId="184" fontId="32" fillId="0" borderId="0" xfId="7" applyNumberFormat="1" applyFont="1" applyAlignment="1">
      <alignment vertical="top"/>
    </xf>
    <xf numFmtId="0" fontId="32" fillId="0" borderId="0" xfId="7" applyFont="1" applyAlignment="1">
      <alignment horizontal="justify" vertical="justify"/>
    </xf>
    <xf numFmtId="177" fontId="6" fillId="0" borderId="0" xfId="2" applyNumberFormat="1" applyFont="1" applyBorder="1" applyAlignment="1">
      <alignment vertical="center"/>
    </xf>
    <xf numFmtId="177" fontId="32" fillId="0" borderId="0" xfId="2" applyNumberFormat="1" applyFont="1" applyBorder="1" applyAlignment="1">
      <alignment vertical="center"/>
    </xf>
    <xf numFmtId="177" fontId="6" fillId="0" borderId="0" xfId="2" applyNumberFormat="1" applyFont="1" applyBorder="1" applyAlignment="1">
      <alignment horizontal="left" vertical="center"/>
    </xf>
    <xf numFmtId="177" fontId="32" fillId="0" borderId="0" xfId="2" applyNumberFormat="1" applyFont="1" applyBorder="1"/>
    <xf numFmtId="0" fontId="32" fillId="0" borderId="0" xfId="0" applyFont="1"/>
    <xf numFmtId="179" fontId="0" fillId="0" borderId="0" xfId="0" applyNumberFormat="1"/>
    <xf numFmtId="0" fontId="32" fillId="0" borderId="0" xfId="0" applyFont="1" applyFill="1"/>
    <xf numFmtId="0" fontId="41" fillId="0" borderId="0" xfId="0" applyFont="1" applyFill="1"/>
    <xf numFmtId="0" fontId="42" fillId="0" borderId="0" xfId="0" applyFont="1" applyFill="1"/>
    <xf numFmtId="0" fontId="41" fillId="0" borderId="0" xfId="0" applyFont="1"/>
    <xf numFmtId="0" fontId="38" fillId="0" borderId="0" xfId="0" applyFont="1"/>
    <xf numFmtId="0" fontId="38" fillId="0" borderId="0" xfId="0" applyFont="1" applyFill="1"/>
    <xf numFmtId="0" fontId="38" fillId="0" borderId="0" xfId="0" applyFont="1" applyAlignment="1">
      <alignment vertical="top"/>
    </xf>
    <xf numFmtId="0" fontId="38" fillId="0" borderId="0" xfId="0" applyFont="1" applyFill="1" applyAlignment="1">
      <alignment vertical="top"/>
    </xf>
    <xf numFmtId="0" fontId="34" fillId="0" borderId="0" xfId="0" applyFont="1"/>
    <xf numFmtId="0" fontId="43" fillId="0" borderId="0" xfId="0" applyFont="1" applyFill="1"/>
    <xf numFmtId="0" fontId="44" fillId="0" borderId="0" xfId="0" applyFont="1" applyFill="1"/>
    <xf numFmtId="0" fontId="44" fillId="0" borderId="0" xfId="0" applyFont="1" applyFill="1" applyAlignment="1">
      <alignment vertical="top"/>
    </xf>
    <xf numFmtId="0" fontId="43" fillId="0" borderId="0" xfId="0" applyFont="1" applyFill="1" applyAlignment="1">
      <alignment vertical="top"/>
    </xf>
    <xf numFmtId="0" fontId="34" fillId="0" borderId="0" xfId="0" applyFont="1" applyFill="1" applyAlignment="1">
      <alignment vertical="top"/>
    </xf>
    <xf numFmtId="0" fontId="34" fillId="0" borderId="0" xfId="0" applyFont="1" applyAlignment="1">
      <alignment vertical="top"/>
    </xf>
    <xf numFmtId="0" fontId="34" fillId="0" borderId="0" xfId="0" applyFont="1" applyAlignment="1">
      <alignment horizontal="left" indent="2"/>
    </xf>
    <xf numFmtId="49" fontId="32" fillId="0" borderId="0" xfId="0" applyNumberFormat="1" applyFont="1"/>
    <xf numFmtId="0" fontId="32" fillId="0" borderId="0" xfId="0" applyFont="1" applyFill="1" applyAlignment="1">
      <alignment wrapText="1"/>
    </xf>
    <xf numFmtId="0" fontId="32" fillId="0" borderId="0" xfId="0" applyFont="1" applyAlignment="1">
      <alignment horizontal="left"/>
    </xf>
    <xf numFmtId="0" fontId="38" fillId="0" borderId="10" xfId="0" applyFont="1" applyBorder="1" applyAlignment="1" applyProtection="1">
      <alignment horizontal="left" vertical="top"/>
      <protection locked="0"/>
    </xf>
    <xf numFmtId="0" fontId="32" fillId="3" borderId="10" xfId="0" applyFont="1" applyFill="1" applyBorder="1" applyAlignment="1">
      <alignment horizontal="left" vertical="top"/>
    </xf>
    <xf numFmtId="49" fontId="32" fillId="0" borderId="10" xfId="0" applyNumberFormat="1" applyFont="1" applyBorder="1" applyAlignment="1" applyProtection="1">
      <alignment horizontal="center" vertical="top"/>
    </xf>
    <xf numFmtId="181" fontId="45" fillId="3" borderId="10" xfId="0" applyNumberFormat="1" applyFont="1" applyFill="1" applyBorder="1" applyAlignment="1" applyProtection="1">
      <alignment vertical="top"/>
    </xf>
    <xf numFmtId="0" fontId="45" fillId="3" borderId="10" xfId="0" applyFont="1" applyFill="1" applyBorder="1" applyAlignment="1" applyProtection="1">
      <alignment vertical="top" wrapText="1"/>
    </xf>
    <xf numFmtId="179" fontId="46" fillId="3" borderId="10" xfId="0" applyNumberFormat="1" applyFont="1" applyFill="1" applyBorder="1" applyAlignment="1" applyProtection="1">
      <alignment vertical="top"/>
    </xf>
    <xf numFmtId="179" fontId="46" fillId="3" borderId="10" xfId="0" applyNumberFormat="1" applyFont="1" applyFill="1" applyBorder="1" applyAlignment="1" applyProtection="1">
      <alignment horizontal="right" vertical="top"/>
    </xf>
    <xf numFmtId="0" fontId="47" fillId="3" borderId="10" xfId="0" applyFont="1" applyFill="1" applyBorder="1" applyAlignment="1" applyProtection="1">
      <alignment horizontal="right" vertical="top"/>
    </xf>
    <xf numFmtId="179" fontId="46" fillId="0" borderId="10" xfId="2" applyNumberFormat="1" applyFont="1" applyFill="1" applyBorder="1" applyAlignment="1" applyProtection="1">
      <alignment vertical="top"/>
      <protection hidden="1"/>
    </xf>
    <xf numFmtId="0" fontId="47" fillId="0" borderId="10" xfId="0" applyFont="1" applyFill="1" applyBorder="1" applyAlignment="1" applyProtection="1">
      <alignment horizontal="right" vertical="top"/>
    </xf>
    <xf numFmtId="179" fontId="46" fillId="0" borderId="31" xfId="2" applyNumberFormat="1" applyFont="1" applyFill="1" applyBorder="1" applyAlignment="1" applyProtection="1">
      <alignment vertical="top"/>
      <protection hidden="1"/>
    </xf>
    <xf numFmtId="0" fontId="38" fillId="3" borderId="19" xfId="0" applyFont="1" applyFill="1" applyBorder="1" applyAlignment="1" applyProtection="1">
      <alignment horizontal="left" vertical="top"/>
    </xf>
    <xf numFmtId="0" fontId="32" fillId="3" borderId="12" xfId="0" applyFont="1" applyFill="1" applyBorder="1" applyAlignment="1">
      <alignment horizontal="left" vertical="top"/>
    </xf>
    <xf numFmtId="49" fontId="32" fillId="0" borderId="19" xfId="0" applyNumberFormat="1" applyFont="1" applyBorder="1" applyAlignment="1" applyProtection="1">
      <alignment horizontal="center" vertical="top"/>
    </xf>
    <xf numFmtId="181" fontId="32" fillId="0" borderId="19" xfId="0" applyNumberFormat="1" applyFont="1" applyBorder="1" applyAlignment="1" applyProtection="1">
      <alignment vertical="top"/>
      <protection locked="0"/>
    </xf>
    <xf numFmtId="0" fontId="32" fillId="0" borderId="19" xfId="0" applyFont="1" applyBorder="1" applyAlignment="1" applyProtection="1">
      <alignment vertical="top" wrapText="1"/>
      <protection locked="0"/>
    </xf>
    <xf numFmtId="179" fontId="32" fillId="0" borderId="19" xfId="0" applyNumberFormat="1" applyFont="1" applyBorder="1" applyAlignment="1" applyProtection="1">
      <alignment vertical="top"/>
      <protection locked="0"/>
    </xf>
    <xf numFmtId="179" fontId="32" fillId="0" borderId="19" xfId="0" applyNumberFormat="1" applyFont="1" applyBorder="1" applyAlignment="1" applyProtection="1">
      <alignment horizontal="right" vertical="top"/>
      <protection locked="0"/>
    </xf>
    <xf numFmtId="0" fontId="47" fillId="0" borderId="19" xfId="0" applyFont="1" applyFill="1" applyBorder="1" applyAlignment="1" applyProtection="1">
      <alignment horizontal="right" vertical="top"/>
    </xf>
    <xf numFmtId="179" fontId="32" fillId="0" borderId="19" xfId="0" applyNumberFormat="1" applyFont="1" applyFill="1" applyBorder="1" applyAlignment="1" applyProtection="1">
      <alignment vertical="top"/>
      <protection locked="0"/>
    </xf>
    <xf numFmtId="179" fontId="46" fillId="0" borderId="19" xfId="2" applyNumberFormat="1" applyFont="1" applyFill="1" applyBorder="1" applyAlignment="1" applyProtection="1">
      <alignment vertical="top"/>
      <protection hidden="1"/>
    </xf>
    <xf numFmtId="179" fontId="45" fillId="3" borderId="39" xfId="2" applyNumberFormat="1" applyFont="1" applyFill="1" applyBorder="1" applyAlignment="1" applyProtection="1">
      <alignment vertical="top"/>
    </xf>
    <xf numFmtId="0" fontId="32" fillId="0" borderId="10" xfId="0" applyFont="1" applyBorder="1" applyAlignment="1">
      <alignment horizontal="left"/>
    </xf>
    <xf numFmtId="0" fontId="32" fillId="0" borderId="10" xfId="0" applyFont="1" applyBorder="1"/>
    <xf numFmtId="49" fontId="32" fillId="0" borderId="10" xfId="0" applyNumberFormat="1" applyFont="1" applyBorder="1" applyProtection="1"/>
    <xf numFmtId="0" fontId="32" fillId="0" borderId="10" xfId="0" applyFont="1" applyBorder="1" applyProtection="1"/>
    <xf numFmtId="0" fontId="32" fillId="0" borderId="10" xfId="0" applyFont="1" applyFill="1" applyBorder="1" applyAlignment="1" applyProtection="1">
      <alignment wrapText="1"/>
    </xf>
    <xf numFmtId="0" fontId="32" fillId="0" borderId="10" xfId="0" applyFont="1" applyFill="1" applyBorder="1" applyProtection="1"/>
    <xf numFmtId="0" fontId="32" fillId="3" borderId="15" xfId="0" applyFont="1" applyFill="1" applyBorder="1" applyAlignment="1">
      <alignment horizontal="left" vertical="top"/>
    </xf>
    <xf numFmtId="49" fontId="32" fillId="0" borderId="15" xfId="0" applyNumberFormat="1" applyFont="1" applyBorder="1" applyAlignment="1">
      <alignment horizontal="center" vertical="top"/>
    </xf>
    <xf numFmtId="181" fontId="32" fillId="3" borderId="10" xfId="0" applyNumberFormat="1" applyFont="1" applyFill="1" applyBorder="1" applyAlignment="1" applyProtection="1">
      <alignment vertical="top"/>
    </xf>
    <xf numFmtId="0" fontId="32" fillId="3" borderId="10" xfId="0" applyFont="1" applyFill="1" applyBorder="1" applyAlignment="1" applyProtection="1">
      <alignment vertical="top" wrapText="1"/>
    </xf>
    <xf numFmtId="0" fontId="32" fillId="3" borderId="10" xfId="0" applyFont="1" applyFill="1" applyBorder="1" applyAlignment="1" applyProtection="1">
      <alignment vertical="top"/>
    </xf>
    <xf numFmtId="179" fontId="32" fillId="3" borderId="10" xfId="0" applyNumberFormat="1" applyFont="1" applyFill="1" applyBorder="1" applyAlignment="1" applyProtection="1">
      <alignment vertical="top"/>
    </xf>
    <xf numFmtId="0" fontId="32" fillId="3" borderId="13" xfId="0" applyFont="1" applyFill="1" applyBorder="1" applyAlignment="1" applyProtection="1">
      <alignment vertical="top"/>
    </xf>
    <xf numFmtId="0" fontId="47" fillId="3" borderId="15" xfId="0" applyFont="1" applyFill="1" applyBorder="1" applyAlignment="1" applyProtection="1">
      <alignment horizontal="right" vertical="top"/>
    </xf>
    <xf numFmtId="0" fontId="38" fillId="3" borderId="10" xfId="0" applyFont="1" applyFill="1" applyBorder="1" applyAlignment="1" applyProtection="1">
      <alignment horizontal="left" vertical="top"/>
    </xf>
    <xf numFmtId="181" fontId="32" fillId="0" borderId="10" xfId="0" applyNumberFormat="1" applyFont="1" applyBorder="1" applyAlignment="1" applyProtection="1">
      <alignment vertical="top"/>
      <protection locked="0"/>
    </xf>
    <xf numFmtId="0" fontId="32" fillId="0" borderId="10" xfId="0" applyFont="1" applyBorder="1" applyAlignment="1" applyProtection="1">
      <alignment vertical="top" wrapText="1"/>
      <protection locked="0"/>
    </xf>
    <xf numFmtId="179" fontId="32" fillId="0" borderId="10" xfId="0" applyNumberFormat="1" applyFont="1" applyBorder="1" applyAlignment="1" applyProtection="1">
      <alignment vertical="top"/>
      <protection locked="0"/>
    </xf>
    <xf numFmtId="0" fontId="47" fillId="3" borderId="15" xfId="0" applyFont="1" applyFill="1" applyBorder="1" applyAlignment="1">
      <alignment horizontal="right" vertical="top"/>
    </xf>
    <xf numFmtId="179" fontId="32" fillId="0" borderId="10" xfId="0" applyNumberFormat="1" applyFont="1" applyFill="1" applyBorder="1" applyAlignment="1" applyProtection="1">
      <alignment vertical="top"/>
      <protection locked="0"/>
    </xf>
    <xf numFmtId="179" fontId="46" fillId="3" borderId="31" xfId="2" applyNumberFormat="1" applyFont="1" applyFill="1" applyBorder="1" applyAlignment="1" applyProtection="1">
      <alignment vertical="top"/>
    </xf>
    <xf numFmtId="0" fontId="32" fillId="0" borderId="15" xfId="0" applyFont="1" applyBorder="1" applyAlignment="1">
      <alignment horizontal="left" vertical="top"/>
    </xf>
    <xf numFmtId="49" fontId="32" fillId="0" borderId="15" xfId="0" applyNumberFormat="1" applyFont="1" applyBorder="1" applyAlignment="1">
      <alignment horizontal="left" vertical="top"/>
    </xf>
    <xf numFmtId="181" fontId="32" fillId="0" borderId="10" xfId="0" applyNumberFormat="1" applyFont="1" applyBorder="1" applyAlignment="1" applyProtection="1">
      <alignment vertical="top"/>
    </xf>
    <xf numFmtId="0" fontId="32" fillId="0" borderId="10" xfId="0" applyFont="1" applyBorder="1" applyAlignment="1" applyProtection="1">
      <alignment vertical="top" wrapText="1"/>
    </xf>
    <xf numFmtId="0" fontId="32" fillId="0" borderId="10" xfId="0" applyFont="1" applyFill="1" applyBorder="1" applyAlignment="1" applyProtection="1">
      <alignment vertical="top"/>
    </xf>
    <xf numFmtId="179" fontId="32" fillId="0" borderId="10" xfId="0" applyNumberFormat="1" applyFont="1" applyBorder="1" applyAlignment="1" applyProtection="1">
      <alignment vertical="top"/>
    </xf>
    <xf numFmtId="0" fontId="32" fillId="0" borderId="13" xfId="0" applyFont="1" applyFill="1" applyBorder="1" applyAlignment="1" applyProtection="1">
      <alignment vertical="top"/>
    </xf>
    <xf numFmtId="0" fontId="47" fillId="0" borderId="15" xfId="0" applyFont="1" applyFill="1" applyBorder="1" applyAlignment="1">
      <alignment horizontal="right" vertical="top"/>
    </xf>
    <xf numFmtId="179" fontId="32" fillId="0" borderId="10" xfId="0" applyNumberFormat="1" applyFont="1" applyFill="1" applyBorder="1" applyAlignment="1" applyProtection="1">
      <alignment vertical="top"/>
    </xf>
    <xf numFmtId="179" fontId="46" fillId="0" borderId="10" xfId="2" applyNumberFormat="1" applyFont="1" applyFill="1" applyBorder="1" applyAlignment="1" applyProtection="1">
      <alignment vertical="top"/>
    </xf>
    <xf numFmtId="179" fontId="46" fillId="0" borderId="31" xfId="2" applyNumberFormat="1" applyFont="1" applyFill="1" applyBorder="1" applyAlignment="1" applyProtection="1">
      <alignment vertical="top"/>
    </xf>
    <xf numFmtId="0" fontId="38" fillId="0" borderId="0" xfId="0" applyFont="1" applyAlignment="1">
      <alignment wrapText="1"/>
    </xf>
    <xf numFmtId="0" fontId="38" fillId="0" borderId="0" xfId="0" applyFont="1" applyFill="1" applyAlignment="1">
      <alignment wrapText="1"/>
    </xf>
    <xf numFmtId="0" fontId="38" fillId="0" borderId="0" xfId="0" applyFont="1" applyFill="1" applyAlignment="1" applyProtection="1">
      <alignment vertical="top"/>
    </xf>
    <xf numFmtId="49" fontId="34" fillId="0" borderId="0" xfId="0" applyNumberFormat="1" applyFont="1" applyAlignment="1">
      <alignment horizontal="left" indent="2"/>
    </xf>
    <xf numFmtId="0" fontId="32" fillId="0" borderId="0" xfId="0" applyFont="1" applyAlignment="1">
      <alignment wrapText="1"/>
    </xf>
    <xf numFmtId="49" fontId="34" fillId="0" borderId="0" xfId="0" applyNumberFormat="1" applyFont="1"/>
    <xf numFmtId="0" fontId="34" fillId="0" borderId="0" xfId="0" applyFont="1" applyAlignment="1">
      <alignment wrapText="1"/>
    </xf>
    <xf numFmtId="0" fontId="32" fillId="0" borderId="0" xfId="0" applyFont="1" applyFill="1" applyProtection="1">
      <protection hidden="1"/>
    </xf>
    <xf numFmtId="0" fontId="32" fillId="0" borderId="44" xfId="0" applyFont="1" applyBorder="1" applyAlignment="1">
      <alignment horizontal="center" vertical="top"/>
    </xf>
    <xf numFmtId="0" fontId="32" fillId="0" borderId="10" xfId="0" applyFont="1" applyBorder="1" applyAlignment="1" applyProtection="1">
      <alignment horizontal="left" vertical="top"/>
      <protection locked="0"/>
    </xf>
    <xf numFmtId="0" fontId="32" fillId="3" borderId="15" xfId="0" applyFont="1" applyFill="1" applyBorder="1" applyAlignment="1" applyProtection="1">
      <alignment horizontal="left" vertical="top"/>
    </xf>
    <xf numFmtId="49" fontId="32" fillId="0" borderId="15" xfId="0" applyNumberFormat="1" applyFont="1" applyFill="1" applyBorder="1" applyAlignment="1">
      <alignment horizontal="center" vertical="top"/>
    </xf>
    <xf numFmtId="179" fontId="32" fillId="3" borderId="10" xfId="0" applyNumberFormat="1" applyFont="1" applyFill="1" applyBorder="1" applyAlignment="1" applyProtection="1">
      <alignment vertical="top" wrapText="1"/>
    </xf>
    <xf numFmtId="179" fontId="46" fillId="0" borderId="10" xfId="2" applyNumberFormat="1" applyFont="1" applyBorder="1" applyAlignment="1" applyProtection="1">
      <alignment vertical="top"/>
      <protection hidden="1"/>
    </xf>
    <xf numFmtId="43" fontId="32" fillId="3" borderId="10" xfId="2" applyFont="1" applyFill="1" applyBorder="1" applyAlignment="1">
      <alignment vertical="top"/>
    </xf>
    <xf numFmtId="0" fontId="32" fillId="3" borderId="10" xfId="0" applyFont="1" applyFill="1" applyBorder="1" applyAlignment="1" applyProtection="1">
      <alignment horizontal="left" vertical="top"/>
    </xf>
    <xf numFmtId="179" fontId="32" fillId="0" borderId="10" xfId="0" applyNumberFormat="1" applyFont="1" applyBorder="1" applyAlignment="1" applyProtection="1">
      <alignment vertical="top" wrapText="1"/>
      <protection locked="0"/>
    </xf>
    <xf numFmtId="179" fontId="46" fillId="3" borderId="31" xfId="2" applyNumberFormat="1" applyFont="1" applyFill="1" applyBorder="1" applyAlignment="1">
      <alignment vertical="top"/>
    </xf>
    <xf numFmtId="0" fontId="32" fillId="0" borderId="0" xfId="0" applyFont="1" applyProtection="1">
      <protection hidden="1"/>
    </xf>
    <xf numFmtId="0" fontId="32" fillId="0" borderId="44" xfId="0" applyFont="1" applyBorder="1" applyAlignment="1" applyProtection="1">
      <alignment horizontal="center" vertical="top"/>
      <protection hidden="1"/>
    </xf>
    <xf numFmtId="0" fontId="32" fillId="0" borderId="10" xfId="0" applyFont="1" applyBorder="1" applyAlignment="1" applyProtection="1">
      <alignment horizontal="left" vertical="top"/>
      <protection hidden="1"/>
    </xf>
    <xf numFmtId="0" fontId="32" fillId="0" borderId="15" xfId="0" applyFont="1" applyBorder="1" applyAlignment="1" applyProtection="1">
      <alignment horizontal="left" vertical="top"/>
      <protection hidden="1"/>
    </xf>
    <xf numFmtId="0" fontId="32" fillId="0" borderId="15" xfId="0" applyFont="1" applyFill="1" applyBorder="1" applyAlignment="1" applyProtection="1">
      <alignment horizontal="left" vertical="top"/>
      <protection hidden="1"/>
    </xf>
    <xf numFmtId="49" fontId="32" fillId="0" borderId="15" xfId="0" applyNumberFormat="1" applyFont="1" applyFill="1" applyBorder="1" applyAlignment="1" applyProtection="1">
      <alignment horizontal="center" vertical="top"/>
      <protection hidden="1"/>
    </xf>
    <xf numFmtId="179" fontId="32" fillId="0" borderId="10" xfId="0" applyNumberFormat="1" applyFont="1" applyBorder="1" applyAlignment="1" applyProtection="1">
      <alignment vertical="top" wrapText="1"/>
      <protection hidden="1"/>
    </xf>
    <xf numFmtId="179" fontId="32" fillId="0" borderId="10" xfId="0" applyNumberFormat="1" applyFont="1" applyBorder="1" applyAlignment="1" applyProtection="1">
      <alignment vertical="top"/>
      <protection hidden="1"/>
    </xf>
    <xf numFmtId="43" fontId="32" fillId="3" borderId="10" xfId="2" applyFont="1" applyFill="1" applyBorder="1" applyAlignment="1" applyProtection="1">
      <alignment vertical="top"/>
      <protection hidden="1"/>
    </xf>
    <xf numFmtId="0" fontId="32" fillId="0" borderId="14" xfId="0" applyFont="1" applyBorder="1" applyAlignment="1">
      <alignment horizontal="left" vertical="top"/>
    </xf>
    <xf numFmtId="49" fontId="32" fillId="0" borderId="14" xfId="0" applyNumberFormat="1" applyFont="1" applyFill="1" applyBorder="1" applyAlignment="1">
      <alignment horizontal="center" vertical="top"/>
    </xf>
    <xf numFmtId="0" fontId="32" fillId="0" borderId="14" xfId="0" applyFont="1" applyBorder="1" applyAlignment="1" applyProtection="1">
      <alignment horizontal="left" vertical="top"/>
      <protection hidden="1"/>
    </xf>
    <xf numFmtId="49" fontId="32" fillId="0" borderId="14" xfId="0" applyNumberFormat="1" applyFont="1" applyFill="1" applyBorder="1" applyAlignment="1" applyProtection="1">
      <alignment horizontal="center" vertical="top"/>
      <protection hidden="1"/>
    </xf>
    <xf numFmtId="181" fontId="32" fillId="0" borderId="10" xfId="0" applyNumberFormat="1" applyFont="1" applyFill="1" applyBorder="1" applyAlignment="1" applyProtection="1">
      <alignment vertical="top"/>
      <protection locked="0"/>
    </xf>
    <xf numFmtId="49" fontId="32" fillId="0" borderId="15" xfId="0" applyNumberFormat="1" applyFont="1" applyBorder="1" applyAlignment="1" applyProtection="1">
      <alignment horizontal="center" vertical="top"/>
      <protection hidden="1"/>
    </xf>
    <xf numFmtId="179" fontId="32" fillId="0" borderId="10" xfId="0" applyNumberFormat="1" applyFont="1" applyFill="1" applyBorder="1" applyAlignment="1" applyProtection="1">
      <alignment vertical="top"/>
      <protection hidden="1"/>
    </xf>
    <xf numFmtId="49" fontId="32" fillId="0" borderId="14" xfId="0" applyNumberFormat="1" applyFont="1" applyBorder="1" applyAlignment="1">
      <alignment horizontal="center" vertical="top"/>
    </xf>
    <xf numFmtId="49" fontId="32" fillId="0" borderId="14" xfId="0" applyNumberFormat="1" applyFont="1" applyBorder="1" applyAlignment="1" applyProtection="1">
      <alignment horizontal="center" vertical="top"/>
      <protection hidden="1"/>
    </xf>
    <xf numFmtId="0" fontId="48" fillId="0" borderId="0" xfId="0" applyFont="1" applyFill="1"/>
    <xf numFmtId="0" fontId="38" fillId="0" borderId="0" xfId="0" applyFont="1" applyFill="1" applyAlignment="1" applyProtection="1">
      <alignment vertical="top"/>
      <protection hidden="1"/>
    </xf>
    <xf numFmtId="0" fontId="44" fillId="0" borderId="0" xfId="0" applyFont="1" applyFill="1" applyAlignment="1" applyProtection="1">
      <alignment vertical="top"/>
      <protection hidden="1"/>
    </xf>
    <xf numFmtId="0" fontId="38" fillId="0" borderId="0" xfId="0" applyFont="1" applyAlignment="1" applyProtection="1">
      <alignment vertical="top"/>
      <protection hidden="1"/>
    </xf>
    <xf numFmtId="0" fontId="49" fillId="0" borderId="0" xfId="0" applyFont="1" applyFill="1" applyAlignment="1">
      <alignment vertical="top"/>
    </xf>
    <xf numFmtId="0" fontId="32" fillId="0" borderId="0" xfId="0" applyFont="1" applyFill="1" applyAlignment="1"/>
    <xf numFmtId="0" fontId="48" fillId="0" borderId="0" xfId="0" applyFont="1" applyFill="1" applyAlignment="1"/>
    <xf numFmtId="0" fontId="50" fillId="0" borderId="0" xfId="0" applyFont="1" applyFill="1" applyAlignment="1">
      <alignment horizontal="left" vertical="center" wrapText="1" indent="2"/>
    </xf>
    <xf numFmtId="0" fontId="32" fillId="0" borderId="0" xfId="0" applyFont="1" applyFill="1" applyAlignment="1">
      <alignment horizontal="left" vertical="center" wrapText="1" indent="2"/>
    </xf>
    <xf numFmtId="0" fontId="48" fillId="0" borderId="0" xfId="0" applyFont="1" applyFill="1" applyAlignment="1">
      <alignment horizontal="left" vertical="center" wrapText="1" indent="2"/>
    </xf>
    <xf numFmtId="0" fontId="51" fillId="0" borderId="0" xfId="0" applyFont="1" applyFill="1" applyAlignment="1">
      <alignment horizontal="left" vertical="center" wrapText="1" indent="2"/>
    </xf>
    <xf numFmtId="0" fontId="48" fillId="0" borderId="0" xfId="0" applyFont="1" applyFill="1" applyProtection="1">
      <protection hidden="1"/>
    </xf>
    <xf numFmtId="177" fontId="32" fillId="0" borderId="0" xfId="2" applyNumberFormat="1" applyFont="1" applyFill="1"/>
    <xf numFmtId="0" fontId="32" fillId="0" borderId="0" xfId="0" applyFont="1" applyFill="1" applyBorder="1" applyAlignment="1">
      <alignment horizontal="center" vertical="center" wrapText="1"/>
    </xf>
    <xf numFmtId="0" fontId="32" fillId="0" borderId="0" xfId="0" applyFont="1" applyFill="1" applyBorder="1" applyAlignment="1">
      <alignment horizontal="center"/>
    </xf>
    <xf numFmtId="0" fontId="34" fillId="3" borderId="10" xfId="0" applyFont="1" applyFill="1" applyBorder="1" applyAlignment="1">
      <alignment horizontal="center"/>
    </xf>
    <xf numFmtId="182" fontId="32" fillId="0" borderId="0" xfId="0" applyNumberFormat="1" applyFont="1" applyFill="1" applyBorder="1"/>
    <xf numFmtId="177" fontId="34" fillId="7" borderId="10" xfId="1" applyNumberFormat="1" applyFont="1" applyFill="1" applyBorder="1"/>
    <xf numFmtId="0" fontId="34" fillId="7" borderId="10" xfId="0" applyFont="1" applyFill="1" applyBorder="1"/>
    <xf numFmtId="185" fontId="34" fillId="7" borderId="10" xfId="0" applyNumberFormat="1" applyFont="1" applyFill="1" applyBorder="1"/>
    <xf numFmtId="177" fontId="34" fillId="7" borderId="34" xfId="1" applyNumberFormat="1" applyFont="1" applyFill="1" applyBorder="1"/>
    <xf numFmtId="0" fontId="34" fillId="7" borderId="34" xfId="0" applyFont="1" applyFill="1" applyBorder="1"/>
    <xf numFmtId="177" fontId="34" fillId="8" borderId="16" xfId="1" applyNumberFormat="1" applyFont="1" applyFill="1" applyBorder="1"/>
    <xf numFmtId="0" fontId="34" fillId="8" borderId="16" xfId="0" applyFont="1" applyFill="1" applyBorder="1"/>
    <xf numFmtId="177" fontId="34" fillId="8" borderId="10" xfId="1" applyNumberFormat="1" applyFont="1" applyFill="1" applyBorder="1"/>
    <xf numFmtId="0" fontId="34" fillId="8" borderId="10" xfId="0" applyFont="1" applyFill="1" applyBorder="1"/>
    <xf numFmtId="177" fontId="34" fillId="8" borderId="34" xfId="1" applyNumberFormat="1" applyFont="1" applyFill="1" applyBorder="1"/>
    <xf numFmtId="0" fontId="34" fillId="8" borderId="34" xfId="0" applyFont="1" applyFill="1" applyBorder="1"/>
    <xf numFmtId="177" fontId="34" fillId="9" borderId="16" xfId="1" applyNumberFormat="1" applyFont="1" applyFill="1" applyBorder="1"/>
    <xf numFmtId="0" fontId="34" fillId="9" borderId="16" xfId="0" applyFont="1" applyFill="1" applyBorder="1"/>
    <xf numFmtId="177" fontId="34" fillId="9" borderId="10" xfId="1" applyNumberFormat="1" applyFont="1" applyFill="1" applyBorder="1"/>
    <xf numFmtId="0" fontId="34" fillId="9" borderId="10" xfId="0" applyFont="1" applyFill="1" applyBorder="1"/>
    <xf numFmtId="185" fontId="34" fillId="9" borderId="10" xfId="0" applyNumberFormat="1" applyFont="1" applyFill="1" applyBorder="1"/>
    <xf numFmtId="177" fontId="34" fillId="0" borderId="0" xfId="1" applyNumberFormat="1" applyFont="1" applyFill="1" applyBorder="1" applyAlignment="1">
      <alignment vertical="top"/>
    </xf>
    <xf numFmtId="177" fontId="32" fillId="0" borderId="0" xfId="1" applyNumberFormat="1" applyFont="1" applyFill="1" applyBorder="1" applyAlignment="1">
      <alignment horizontal="center"/>
    </xf>
    <xf numFmtId="177" fontId="34" fillId="0" borderId="0" xfId="1" applyNumberFormat="1" applyFont="1" applyFill="1" applyBorder="1"/>
    <xf numFmtId="0" fontId="6" fillId="0" borderId="0" xfId="0" applyFont="1" applyFill="1" applyBorder="1" applyAlignment="1">
      <alignment vertical="center" wrapText="1" shrinkToFit="1"/>
    </xf>
    <xf numFmtId="0" fontId="34" fillId="0" borderId="0" xfId="0" applyFont="1" applyFill="1" applyBorder="1" applyAlignment="1">
      <alignment horizontal="center" vertical="center" wrapText="1" shrinkToFit="1"/>
    </xf>
    <xf numFmtId="174" fontId="34" fillId="0" borderId="0" xfId="0" applyNumberFormat="1" applyFont="1" applyFill="1"/>
    <xf numFmtId="174" fontId="34" fillId="0" borderId="0" xfId="0" applyNumberFormat="1" applyFont="1"/>
    <xf numFmtId="174" fontId="18" fillId="4" borderId="0" xfId="0" applyNumberFormat="1" applyFont="1" applyFill="1" applyBorder="1" applyAlignment="1" applyProtection="1">
      <protection hidden="1"/>
    </xf>
    <xf numFmtId="177" fontId="32" fillId="0" borderId="0" xfId="0" applyNumberFormat="1" applyFont="1" applyFill="1" applyBorder="1" applyAlignment="1">
      <alignment horizontal="center"/>
    </xf>
    <xf numFmtId="174" fontId="34" fillId="0" borderId="0" xfId="0" applyNumberFormat="1" applyFont="1" applyFill="1" applyAlignment="1">
      <alignment wrapText="1"/>
    </xf>
    <xf numFmtId="177" fontId="34" fillId="0" borderId="0" xfId="1" applyNumberFormat="1" applyFont="1" applyFill="1"/>
    <xf numFmtId="174" fontId="18" fillId="0" borderId="0" xfId="0" applyNumberFormat="1" applyFont="1" applyFill="1" applyBorder="1" applyAlignment="1" applyProtection="1">
      <protection hidden="1"/>
    </xf>
    <xf numFmtId="0" fontId="52" fillId="0" borderId="0" xfId="0" applyFont="1" applyFill="1"/>
    <xf numFmtId="0" fontId="41" fillId="0" borderId="0" xfId="0" applyFont="1" applyFill="1" applyAlignment="1">
      <alignment horizontal="left" wrapText="1"/>
    </xf>
    <xf numFmtId="0" fontId="38" fillId="0" borderId="0" xfId="0" applyFont="1" applyFill="1" applyAlignment="1"/>
    <xf numFmtId="0" fontId="38" fillId="0" borderId="0" xfId="0" applyFont="1" applyAlignment="1"/>
    <xf numFmtId="177" fontId="34" fillId="0" borderId="0" xfId="2" applyNumberFormat="1" applyFont="1" applyFill="1" applyAlignment="1">
      <alignment horizontal="center" vertical="top" wrapText="1"/>
    </xf>
    <xf numFmtId="177" fontId="34" fillId="0" borderId="0" xfId="2" applyNumberFormat="1" applyFont="1" applyFill="1" applyAlignment="1">
      <alignment vertical="top"/>
    </xf>
    <xf numFmtId="0" fontId="6" fillId="0" borderId="0" xfId="0" applyFont="1" applyBorder="1" applyAlignment="1" applyProtection="1">
      <alignment vertical="top"/>
    </xf>
    <xf numFmtId="0" fontId="6" fillId="2" borderId="20" xfId="7" applyFont="1" applyFill="1" applyBorder="1" applyAlignment="1">
      <alignment horizontal="center" vertical="center" wrapText="1"/>
    </xf>
    <xf numFmtId="0" fontId="6" fillId="2" borderId="21" xfId="7" applyFont="1" applyFill="1" applyBorder="1" applyAlignment="1">
      <alignment horizontal="center" vertical="center" wrapText="1"/>
    </xf>
    <xf numFmtId="0" fontId="6" fillId="0" borderId="14" xfId="7" applyFont="1" applyFill="1" applyBorder="1" applyAlignment="1" applyProtection="1">
      <alignment vertical="top" wrapText="1"/>
      <protection hidden="1"/>
    </xf>
    <xf numFmtId="0" fontId="6" fillId="0" borderId="11" xfId="7" quotePrefix="1" applyFont="1" applyBorder="1" applyAlignment="1" applyProtection="1">
      <alignment horizontal="right" vertical="top"/>
      <protection hidden="1"/>
    </xf>
    <xf numFmtId="0" fontId="6" fillId="0" borderId="14" xfId="7" applyFont="1" applyBorder="1" applyAlignment="1" applyProtection="1">
      <alignment horizontal="right" vertical="top"/>
      <protection hidden="1"/>
    </xf>
    <xf numFmtId="0" fontId="6" fillId="0" borderId="15" xfId="7" quotePrefix="1" applyFont="1" applyBorder="1" applyAlignment="1" applyProtection="1">
      <alignment horizontal="right" vertical="top"/>
      <protection hidden="1"/>
    </xf>
    <xf numFmtId="9" fontId="18" fillId="0" borderId="10" xfId="9" quotePrefix="1" applyFont="1" applyBorder="1" applyAlignment="1" applyProtection="1">
      <alignment horizontal="center" vertical="top" wrapText="1"/>
      <protection hidden="1"/>
    </xf>
    <xf numFmtId="177" fontId="6" fillId="3" borderId="10" xfId="0" applyNumberFormat="1" applyFont="1" applyFill="1" applyBorder="1" applyAlignment="1" applyProtection="1">
      <alignment vertical="top"/>
    </xf>
    <xf numFmtId="0" fontId="6" fillId="0" borderId="0" xfId="5" applyFont="1" applyAlignment="1" applyProtection="1">
      <alignment horizontal="left" vertical="center"/>
    </xf>
    <xf numFmtId="0" fontId="7" fillId="0" borderId="0" xfId="5" applyFont="1" applyAlignment="1" applyProtection="1">
      <alignment horizontal="center" vertical="center"/>
    </xf>
    <xf numFmtId="0" fontId="6" fillId="0" borderId="0" xfId="5" applyFont="1" applyAlignment="1" applyProtection="1">
      <alignment horizontal="center" vertical="center"/>
    </xf>
    <xf numFmtId="0" fontId="12" fillId="0" borderId="9" xfId="5" applyFont="1" applyBorder="1" applyAlignment="1" applyProtection="1">
      <alignment horizontal="center" vertical="center"/>
      <protection hidden="1"/>
    </xf>
    <xf numFmtId="170" fontId="12" fillId="0" borderId="9" xfId="5" applyNumberFormat="1" applyFont="1" applyBorder="1" applyAlignment="1" applyProtection="1">
      <alignment horizontal="center" vertical="center" wrapText="1"/>
      <protection hidden="1"/>
    </xf>
    <xf numFmtId="0" fontId="6" fillId="0" borderId="0" xfId="5" applyFont="1" applyBorder="1" applyAlignment="1" applyProtection="1">
      <alignment horizontal="center" vertical="center" wrapText="1"/>
    </xf>
    <xf numFmtId="0" fontId="12" fillId="0" borderId="0" xfId="5" applyFont="1" applyAlignment="1" applyProtection="1">
      <alignment horizontal="center" vertical="center"/>
    </xf>
    <xf numFmtId="0" fontId="12" fillId="0" borderId="9" xfId="5" applyFont="1" applyBorder="1" applyAlignment="1" applyProtection="1">
      <alignment horizontal="center"/>
      <protection hidden="1"/>
    </xf>
    <xf numFmtId="0" fontId="6" fillId="0" borderId="12" xfId="5" applyFont="1" applyBorder="1" applyAlignment="1" applyProtection="1">
      <alignment horizontal="center" vertical="center"/>
    </xf>
    <xf numFmtId="0" fontId="4" fillId="0" borderId="2" xfId="5" applyFont="1" applyBorder="1" applyAlignment="1" applyProtection="1">
      <alignment horizontal="center" vertical="center" wrapText="1"/>
    </xf>
    <xf numFmtId="0" fontId="13" fillId="0" borderId="9" xfId="5" applyFont="1" applyBorder="1" applyAlignment="1" applyProtection="1">
      <alignment horizontal="left" vertical="center"/>
      <protection locked="0"/>
    </xf>
    <xf numFmtId="0" fontId="13" fillId="0" borderId="14" xfId="5" applyFont="1" applyBorder="1" applyAlignment="1" applyProtection="1">
      <alignment horizontal="left" vertical="center"/>
      <protection locked="0"/>
    </xf>
    <xf numFmtId="0" fontId="4" fillId="0" borderId="9" xfId="5" applyFont="1" applyBorder="1" applyAlignment="1" applyProtection="1">
      <alignment horizontal="left" vertical="center"/>
      <protection locked="0"/>
    </xf>
    <xf numFmtId="0" fontId="2" fillId="0" borderId="0" xfId="5" applyFont="1" applyAlignment="1" applyProtection="1">
      <alignment horizontal="left" vertical="center"/>
    </xf>
    <xf numFmtId="0" fontId="2" fillId="0" borderId="0" xfId="5" applyFont="1" applyAlignment="1" applyProtection="1">
      <alignment horizontal="center" vertical="center"/>
    </xf>
    <xf numFmtId="0" fontId="2" fillId="0" borderId="0" xfId="5" applyFont="1" applyBorder="1" applyAlignment="1" applyProtection="1">
      <alignment horizontal="left" vertical="center"/>
    </xf>
    <xf numFmtId="171" fontId="12" fillId="0" borderId="9" xfId="5" applyNumberFormat="1" applyFont="1" applyBorder="1" applyAlignment="1" applyProtection="1">
      <alignment horizontal="center" vertical="center" wrapText="1"/>
      <protection hidden="1"/>
    </xf>
    <xf numFmtId="0" fontId="6" fillId="0" borderId="35" xfId="5" applyFont="1" applyBorder="1" applyAlignment="1" applyProtection="1">
      <alignment horizontal="center" vertical="center" wrapText="1"/>
    </xf>
    <xf numFmtId="0" fontId="4" fillId="0" borderId="0" xfId="5" applyFont="1" applyAlignment="1" applyProtection="1">
      <alignment horizontal="left" vertical="center"/>
    </xf>
    <xf numFmtId="0" fontId="4" fillId="0" borderId="0" xfId="5" applyFont="1" applyAlignment="1" applyProtection="1">
      <alignment horizontal="center" vertical="center"/>
    </xf>
    <xf numFmtId="0" fontId="14" fillId="0" borderId="9" xfId="5" applyFont="1" applyBorder="1" applyAlignment="1" applyProtection="1">
      <alignment horizontal="center" vertical="center"/>
      <protection locked="0"/>
    </xf>
    <xf numFmtId="0" fontId="2" fillId="0" borderId="0" xfId="5" applyFont="1" applyAlignment="1" applyProtection="1">
      <alignment horizontal="right" vertical="center"/>
    </xf>
    <xf numFmtId="0" fontId="2" fillId="0" borderId="0" xfId="5" applyFont="1" applyBorder="1" applyAlignment="1" applyProtection="1">
      <alignment horizontal="center" vertical="center"/>
    </xf>
    <xf numFmtId="0" fontId="2" fillId="0" borderId="9" xfId="5" applyFont="1" applyBorder="1" applyAlignment="1" applyProtection="1">
      <alignment horizontal="center" vertical="center"/>
      <protection locked="0"/>
    </xf>
    <xf numFmtId="0" fontId="4" fillId="0" borderId="0" xfId="5" applyFont="1" applyBorder="1" applyAlignment="1" applyProtection="1">
      <alignment horizontal="center" vertical="center"/>
    </xf>
    <xf numFmtId="0" fontId="2" fillId="0" borderId="12" xfId="5" applyFont="1" applyBorder="1" applyAlignment="1" applyProtection="1">
      <alignment horizontal="left" vertical="center"/>
    </xf>
    <xf numFmtId="0" fontId="2" fillId="0" borderId="14" xfId="5" applyFont="1" applyBorder="1" applyAlignment="1" applyProtection="1">
      <alignment horizontal="center" vertical="center"/>
      <protection locked="0"/>
    </xf>
    <xf numFmtId="0" fontId="2" fillId="0" borderId="12" xfId="5" applyFont="1" applyBorder="1" applyAlignment="1" applyProtection="1">
      <alignment horizontal="center" vertical="center"/>
    </xf>
    <xf numFmtId="0" fontId="4" fillId="0" borderId="0" xfId="5" applyFont="1" applyBorder="1" applyAlignment="1" applyProtection="1">
      <alignment horizontal="left" vertical="center"/>
    </xf>
    <xf numFmtId="0" fontId="4" fillId="0" borderId="9" xfId="5" applyFont="1" applyBorder="1" applyAlignment="1" applyProtection="1">
      <alignment horizontal="center" vertical="center"/>
      <protection locked="0"/>
    </xf>
    <xf numFmtId="173" fontId="6" fillId="2" borderId="20" xfId="1" applyNumberFormat="1" applyFont="1" applyFill="1" applyBorder="1" applyAlignment="1" applyProtection="1">
      <alignment horizontal="center" vertical="center"/>
    </xf>
    <xf numFmtId="173" fontId="6" fillId="2" borderId="11" xfId="1" applyNumberFormat="1" applyFont="1" applyFill="1" applyBorder="1" applyAlignment="1" applyProtection="1">
      <alignment horizontal="center" vertical="center"/>
    </xf>
    <xf numFmtId="172" fontId="34" fillId="0" borderId="0" xfId="8" applyFont="1" applyAlignment="1" applyProtection="1">
      <alignment horizontal="left" vertical="top" wrapText="1"/>
    </xf>
    <xf numFmtId="172" fontId="6" fillId="0" borderId="0" xfId="8" applyFont="1" applyAlignment="1" applyProtection="1">
      <alignment horizontal="left" vertical="top" wrapText="1"/>
    </xf>
    <xf numFmtId="172" fontId="6" fillId="2" borderId="10" xfId="8" applyFont="1" applyFill="1" applyBorder="1" applyAlignment="1" applyProtection="1">
      <alignment horizontal="center" vertical="center"/>
    </xf>
    <xf numFmtId="172" fontId="6" fillId="2" borderId="19" xfId="8" applyFont="1" applyFill="1" applyBorder="1" applyAlignment="1" applyProtection="1">
      <alignment horizontal="center" vertical="center"/>
    </xf>
    <xf numFmtId="172" fontId="6" fillId="2" borderId="16" xfId="8" applyFont="1" applyFill="1" applyBorder="1" applyAlignment="1" applyProtection="1">
      <alignment horizontal="center" vertical="center"/>
    </xf>
    <xf numFmtId="173" fontId="6" fillId="2" borderId="10" xfId="1" applyNumberFormat="1" applyFont="1" applyFill="1" applyBorder="1" applyAlignment="1" applyProtection="1">
      <alignment horizontal="center" vertical="center"/>
    </xf>
    <xf numFmtId="0" fontId="6" fillId="2" borderId="19" xfId="0" applyFont="1" applyFill="1" applyBorder="1" applyAlignment="1" applyProtection="1">
      <alignment horizontal="center" vertical="center" wrapText="1"/>
    </xf>
    <xf numFmtId="0" fontId="6" fillId="2" borderId="16" xfId="0" applyFont="1" applyFill="1" applyBorder="1" applyAlignment="1" applyProtection="1">
      <alignment horizontal="center" vertical="center" wrapText="1"/>
    </xf>
    <xf numFmtId="0" fontId="6" fillId="2" borderId="20" xfId="0" applyFont="1" applyFill="1" applyBorder="1" applyAlignment="1" applyProtection="1">
      <alignment horizontal="center" vertical="center"/>
    </xf>
    <xf numFmtId="0" fontId="6" fillId="2" borderId="12" xfId="0" applyFont="1" applyFill="1" applyBorder="1" applyAlignment="1" applyProtection="1">
      <alignment horizontal="center" vertical="center"/>
    </xf>
    <xf numFmtId="0" fontId="6" fillId="2" borderId="11" xfId="0" applyFont="1" applyFill="1" applyBorder="1" applyAlignment="1" applyProtection="1">
      <alignment horizontal="center" vertical="center"/>
    </xf>
    <xf numFmtId="0" fontId="6" fillId="2" borderId="17" xfId="0" applyFont="1" applyFill="1" applyBorder="1" applyAlignment="1" applyProtection="1">
      <alignment horizontal="center" vertical="center"/>
    </xf>
    <xf numFmtId="0" fontId="6" fillId="2" borderId="9" xfId="0" applyFont="1" applyFill="1" applyBorder="1" applyAlignment="1" applyProtection="1">
      <alignment horizontal="center" vertical="center"/>
    </xf>
    <xf numFmtId="0" fontId="6" fillId="2" borderId="18" xfId="0" applyFont="1" applyFill="1" applyBorder="1" applyAlignment="1" applyProtection="1">
      <alignment horizontal="center" vertical="center"/>
    </xf>
    <xf numFmtId="0" fontId="6" fillId="2" borderId="19" xfId="0" applyFont="1" applyFill="1" applyBorder="1" applyAlignment="1" applyProtection="1">
      <alignment horizontal="center" vertical="center"/>
    </xf>
    <xf numFmtId="0" fontId="6" fillId="2" borderId="16" xfId="0" applyFont="1" applyFill="1" applyBorder="1" applyAlignment="1" applyProtection="1">
      <alignment horizontal="center" vertical="center"/>
    </xf>
    <xf numFmtId="0" fontId="6" fillId="0" borderId="10" xfId="0" applyFont="1" applyBorder="1" applyAlignment="1" applyProtection="1">
      <alignment horizontal="left" vertical="top" wrapText="1"/>
    </xf>
    <xf numFmtId="0" fontId="6" fillId="0" borderId="10" xfId="0" applyFont="1" applyFill="1" applyBorder="1" applyAlignment="1" applyProtection="1">
      <alignment horizontal="left" vertical="top" wrapText="1"/>
    </xf>
    <xf numFmtId="0" fontId="6" fillId="0" borderId="10" xfId="0" applyFont="1" applyBorder="1" applyAlignment="1">
      <alignment horizontal="left" vertical="center" wrapText="1"/>
    </xf>
    <xf numFmtId="0" fontId="6" fillId="4" borderId="10" xfId="0" applyFont="1" applyFill="1" applyBorder="1" applyAlignment="1">
      <alignment horizontal="left" vertical="center" wrapText="1"/>
    </xf>
    <xf numFmtId="0" fontId="6" fillId="4" borderId="13" xfId="0" applyFont="1" applyFill="1" applyBorder="1" applyAlignment="1">
      <alignment horizontal="left" vertical="center" wrapText="1"/>
    </xf>
    <xf numFmtId="0" fontId="6" fillId="4" borderId="14" xfId="0" applyFont="1" applyFill="1" applyBorder="1" applyAlignment="1">
      <alignment horizontal="left" vertical="center" wrapText="1"/>
    </xf>
    <xf numFmtId="0" fontId="6" fillId="4" borderId="15" xfId="0" applyFont="1" applyFill="1" applyBorder="1" applyAlignment="1">
      <alignment horizontal="left" vertical="center" wrapText="1"/>
    </xf>
    <xf numFmtId="0" fontId="6" fillId="4" borderId="10" xfId="0" applyFont="1" applyFill="1" applyBorder="1" applyAlignment="1">
      <alignment horizontal="left" vertical="top" wrapText="1"/>
    </xf>
    <xf numFmtId="0" fontId="6" fillId="0" borderId="13" xfId="0" applyFont="1" applyBorder="1" applyAlignment="1" applyProtection="1">
      <alignment horizontal="left" vertical="top" wrapText="1"/>
    </xf>
    <xf numFmtId="0" fontId="6" fillId="0" borderId="14" xfId="0" applyFont="1" applyBorder="1" applyAlignment="1" applyProtection="1">
      <alignment horizontal="left" vertical="top" wrapText="1"/>
    </xf>
    <xf numFmtId="0" fontId="6" fillId="0" borderId="15" xfId="0" applyFont="1" applyBorder="1" applyAlignment="1" applyProtection="1">
      <alignment horizontal="left" vertical="top" wrapText="1"/>
    </xf>
    <xf numFmtId="0" fontId="6" fillId="0" borderId="13" xfId="0" applyFont="1" applyBorder="1" applyAlignment="1">
      <alignment vertical="center" wrapText="1"/>
    </xf>
    <xf numFmtId="0" fontId="6" fillId="0" borderId="14" xfId="0" applyFont="1" applyBorder="1" applyAlignment="1">
      <alignment vertical="center" wrapText="1"/>
    </xf>
    <xf numFmtId="0" fontId="6" fillId="0" borderId="15" xfId="0" applyFont="1" applyBorder="1" applyAlignment="1">
      <alignment vertical="center" wrapText="1"/>
    </xf>
    <xf numFmtId="0" fontId="6" fillId="0" borderId="10" xfId="0" applyFont="1" applyBorder="1" applyAlignment="1">
      <alignment vertical="center" wrapText="1"/>
    </xf>
    <xf numFmtId="0" fontId="6" fillId="0" borderId="13" xfId="0" applyFont="1" applyBorder="1" applyAlignment="1">
      <alignment horizontal="left" vertical="center" wrapText="1"/>
    </xf>
    <xf numFmtId="0" fontId="6" fillId="0" borderId="15" xfId="0" applyFont="1" applyBorder="1" applyAlignment="1">
      <alignment horizontal="left" vertical="center" wrapText="1"/>
    </xf>
    <xf numFmtId="0" fontId="6" fillId="2" borderId="10" xfId="0" applyFont="1" applyFill="1" applyBorder="1" applyAlignment="1" applyProtection="1">
      <alignment horizontal="center" vertical="center" wrapText="1"/>
    </xf>
    <xf numFmtId="0" fontId="6" fillId="2" borderId="19" xfId="0" applyFont="1" applyFill="1" applyBorder="1" applyAlignment="1" applyProtection="1">
      <alignment horizontal="center" vertical="center" wrapText="1"/>
      <protection hidden="1"/>
    </xf>
    <xf numFmtId="0" fontId="6" fillId="2" borderId="23" xfId="0" applyFont="1" applyFill="1" applyBorder="1" applyAlignment="1" applyProtection="1">
      <alignment horizontal="center" vertical="center" wrapText="1"/>
      <protection hidden="1"/>
    </xf>
    <xf numFmtId="0" fontId="6" fillId="2" borderId="16" xfId="0" applyFont="1" applyFill="1" applyBorder="1" applyAlignment="1" applyProtection="1">
      <alignment horizontal="center" vertical="center" wrapText="1"/>
      <protection hidden="1"/>
    </xf>
    <xf numFmtId="173" fontId="6" fillId="2" borderId="10" xfId="0" applyNumberFormat="1" applyFont="1" applyFill="1" applyBorder="1" applyAlignment="1" applyProtection="1">
      <alignment horizontal="center" vertical="center" wrapText="1"/>
    </xf>
    <xf numFmtId="173" fontId="6" fillId="2" borderId="10" xfId="1" applyNumberFormat="1" applyFont="1" applyFill="1" applyBorder="1" applyAlignment="1" applyProtection="1">
      <alignment horizontal="center" vertical="center" wrapText="1"/>
    </xf>
    <xf numFmtId="177" fontId="6" fillId="2" borderId="10" xfId="1" applyNumberFormat="1" applyFont="1" applyFill="1" applyBorder="1" applyAlignment="1" applyProtection="1">
      <alignment horizontal="center" vertical="center" wrapText="1"/>
    </xf>
    <xf numFmtId="0" fontId="6" fillId="0" borderId="10" xfId="0" applyFont="1" applyFill="1" applyBorder="1" applyAlignment="1" applyProtection="1">
      <alignment horizontal="left" vertical="top"/>
    </xf>
    <xf numFmtId="0" fontId="6" fillId="0" borderId="10" xfId="0" applyFont="1" applyBorder="1" applyAlignment="1" applyProtection="1">
      <alignment horizontal="left" vertical="top"/>
    </xf>
    <xf numFmtId="0" fontId="6" fillId="0" borderId="10" xfId="0" applyFont="1" applyBorder="1" applyAlignment="1" applyProtection="1">
      <alignment vertical="top" wrapText="1"/>
    </xf>
    <xf numFmtId="0" fontId="6" fillId="0" borderId="10" xfId="0" applyFont="1" applyBorder="1" applyAlignment="1" applyProtection="1">
      <alignment vertical="top"/>
    </xf>
    <xf numFmtId="0" fontId="6" fillId="0" borderId="0" xfId="0" applyFont="1" applyBorder="1" applyAlignment="1" applyProtection="1">
      <alignment horizontal="left" vertical="center" wrapText="1"/>
    </xf>
    <xf numFmtId="0" fontId="6" fillId="0" borderId="0" xfId="0" applyFont="1" applyBorder="1" applyAlignment="1" applyProtection="1">
      <alignment horizontal="left" vertical="top" wrapText="1" shrinkToFit="1"/>
    </xf>
    <xf numFmtId="173" fontId="6" fillId="2" borderId="19" xfId="0" applyNumberFormat="1" applyFont="1" applyFill="1" applyBorder="1" applyAlignment="1" applyProtection="1">
      <alignment horizontal="center" vertical="center" wrapText="1"/>
    </xf>
    <xf numFmtId="173" fontId="6" fillId="2" borderId="23" xfId="0" applyNumberFormat="1" applyFont="1" applyFill="1" applyBorder="1" applyAlignment="1" applyProtection="1">
      <alignment horizontal="center" vertical="center" wrapText="1"/>
    </xf>
    <xf numFmtId="173" fontId="6" fillId="2" borderId="16" xfId="0" applyNumberFormat="1" applyFont="1" applyFill="1" applyBorder="1" applyAlignment="1" applyProtection="1">
      <alignment horizontal="center" vertical="center" wrapText="1"/>
    </xf>
    <xf numFmtId="173" fontId="6" fillId="2" borderId="20" xfId="0" applyNumberFormat="1" applyFont="1" applyFill="1" applyBorder="1" applyAlignment="1" applyProtection="1">
      <alignment horizontal="center" vertical="center" wrapText="1"/>
    </xf>
    <xf numFmtId="173" fontId="6" fillId="2" borderId="21" xfId="0" applyNumberFormat="1" applyFont="1" applyFill="1" applyBorder="1" applyAlignment="1" applyProtection="1">
      <alignment horizontal="center" vertical="center" wrapText="1"/>
    </xf>
    <xf numFmtId="0" fontId="6" fillId="0" borderId="13" xfId="0" applyFont="1" applyBorder="1" applyAlignment="1" applyProtection="1">
      <alignment horizontal="left" vertical="top"/>
    </xf>
    <xf numFmtId="0" fontId="6" fillId="0" borderId="14" xfId="0" applyFont="1" applyBorder="1" applyAlignment="1" applyProtection="1">
      <alignment horizontal="left" vertical="top"/>
    </xf>
    <xf numFmtId="173" fontId="6" fillId="2" borderId="12" xfId="0" applyNumberFormat="1" applyFont="1" applyFill="1" applyBorder="1" applyAlignment="1" applyProtection="1">
      <alignment horizontal="center" vertical="center" wrapText="1"/>
    </xf>
    <xf numFmtId="173" fontId="6" fillId="2" borderId="17" xfId="0" applyNumberFormat="1" applyFont="1" applyFill="1" applyBorder="1" applyAlignment="1" applyProtection="1">
      <alignment horizontal="center" vertical="center" wrapText="1"/>
    </xf>
    <xf numFmtId="173" fontId="6" fillId="2" borderId="9" xfId="0" applyNumberFormat="1" applyFont="1" applyFill="1" applyBorder="1" applyAlignment="1" applyProtection="1">
      <alignment horizontal="center" vertical="center" wrapText="1"/>
    </xf>
    <xf numFmtId="10" fontId="6" fillId="2" borderId="20" xfId="0" applyNumberFormat="1" applyFont="1" applyFill="1" applyBorder="1" applyAlignment="1" applyProtection="1">
      <alignment horizontal="center" vertical="center" wrapText="1"/>
    </xf>
    <xf numFmtId="10" fontId="6" fillId="2" borderId="21" xfId="0" applyNumberFormat="1" applyFont="1" applyFill="1" applyBorder="1" applyAlignment="1" applyProtection="1">
      <alignment horizontal="center" vertical="center" wrapText="1"/>
    </xf>
    <xf numFmtId="0" fontId="6" fillId="2" borderId="23" xfId="0" applyFont="1" applyFill="1" applyBorder="1" applyAlignment="1" applyProtection="1">
      <alignment horizontal="center" vertical="center" wrapText="1"/>
    </xf>
    <xf numFmtId="0" fontId="6" fillId="2" borderId="20" xfId="0" applyFont="1" applyFill="1" applyBorder="1" applyAlignment="1" applyProtection="1">
      <alignment horizontal="center" vertical="center" wrapText="1"/>
    </xf>
    <xf numFmtId="0" fontId="6" fillId="2" borderId="11" xfId="0" applyFont="1" applyFill="1" applyBorder="1" applyAlignment="1" applyProtection="1">
      <alignment horizontal="center" vertical="center" wrapText="1"/>
    </xf>
    <xf numFmtId="0" fontId="6" fillId="2" borderId="21" xfId="0" applyFont="1" applyFill="1" applyBorder="1" applyAlignment="1" applyProtection="1">
      <alignment horizontal="center" vertical="center" wrapText="1"/>
    </xf>
    <xf numFmtId="0" fontId="6" fillId="2" borderId="22" xfId="0" applyFont="1" applyFill="1" applyBorder="1" applyAlignment="1" applyProtection="1">
      <alignment horizontal="center" vertical="center" wrapText="1"/>
    </xf>
    <xf numFmtId="0" fontId="6" fillId="2" borderId="17" xfId="0" applyFont="1" applyFill="1" applyBorder="1" applyAlignment="1" applyProtection="1">
      <alignment horizontal="center" vertical="center" wrapText="1"/>
    </xf>
    <xf numFmtId="0" fontId="6" fillId="2" borderId="18" xfId="0" applyFont="1" applyFill="1" applyBorder="1" applyAlignment="1" applyProtection="1">
      <alignment horizontal="center" vertical="center" wrapText="1"/>
    </xf>
    <xf numFmtId="176" fontId="6" fillId="0" borderId="0" xfId="0" applyNumberFormat="1" applyFont="1" applyFill="1" applyBorder="1" applyAlignment="1" applyProtection="1">
      <alignment horizontal="left" vertical="center" wrapText="1"/>
    </xf>
    <xf numFmtId="0" fontId="6" fillId="0" borderId="17" xfId="0" applyFont="1" applyBorder="1" applyAlignment="1" applyProtection="1">
      <alignment horizontal="left" vertical="top"/>
    </xf>
    <xf numFmtId="0" fontId="6" fillId="0" borderId="9" xfId="0" applyFont="1" applyBorder="1" applyAlignment="1" applyProtection="1">
      <alignment horizontal="left" vertical="top"/>
    </xf>
    <xf numFmtId="0" fontId="6" fillId="0" borderId="17" xfId="0" applyFont="1" applyBorder="1" applyAlignment="1" applyProtection="1">
      <alignment horizontal="left" vertical="top" wrapText="1"/>
    </xf>
    <xf numFmtId="0" fontId="6" fillId="0" borderId="9" xfId="0" applyFont="1" applyBorder="1" applyAlignment="1" applyProtection="1">
      <alignment horizontal="left" vertical="top" wrapText="1"/>
    </xf>
    <xf numFmtId="0" fontId="6" fillId="0" borderId="46" xfId="0" applyFont="1" applyFill="1" applyBorder="1" applyAlignment="1">
      <alignment horizontal="left" vertical="center" wrapText="1"/>
    </xf>
    <xf numFmtId="0" fontId="6" fillId="0" borderId="35" xfId="0" applyFont="1" applyFill="1" applyBorder="1" applyAlignment="1">
      <alignment horizontal="left" vertical="center" wrapText="1"/>
    </xf>
    <xf numFmtId="173" fontId="6" fillId="2" borderId="11" xfId="1" applyNumberFormat="1" applyFont="1" applyFill="1" applyBorder="1" applyAlignment="1">
      <alignment horizontal="center" vertical="center" wrapText="1"/>
    </xf>
    <xf numFmtId="173" fontId="6" fillId="2" borderId="18" xfId="1" applyNumberFormat="1" applyFont="1" applyFill="1" applyBorder="1" applyAlignment="1">
      <alignment horizontal="center" vertical="center" wrapText="1"/>
    </xf>
    <xf numFmtId="0" fontId="6" fillId="0" borderId="13" xfId="7" applyFont="1" applyFill="1" applyBorder="1" applyAlignment="1">
      <alignment vertical="top" wrapText="1"/>
    </xf>
    <xf numFmtId="0" fontId="6" fillId="0" borderId="14" xfId="7" applyFont="1" applyFill="1" applyBorder="1" applyAlignment="1">
      <alignment vertical="top" wrapText="1"/>
    </xf>
    <xf numFmtId="0" fontId="6" fillId="2" borderId="19" xfId="7" applyFont="1" applyFill="1" applyBorder="1" applyAlignment="1">
      <alignment horizontal="center" vertical="center" wrapText="1"/>
    </xf>
    <xf numFmtId="0" fontId="6" fillId="2" borderId="23" xfId="7" applyFont="1" applyFill="1" applyBorder="1" applyAlignment="1">
      <alignment horizontal="center" vertical="center" wrapText="1"/>
    </xf>
    <xf numFmtId="0" fontId="6" fillId="2" borderId="12" xfId="7" applyFont="1" applyFill="1" applyBorder="1" applyAlignment="1">
      <alignment horizontal="center" vertical="center" wrapText="1"/>
    </xf>
    <xf numFmtId="0" fontId="6" fillId="2" borderId="11" xfId="7" applyFont="1" applyFill="1" applyBorder="1" applyAlignment="1">
      <alignment horizontal="center" vertical="center" wrapText="1"/>
    </xf>
    <xf numFmtId="0" fontId="6" fillId="2" borderId="0" xfId="7" applyFont="1" applyFill="1" applyBorder="1" applyAlignment="1">
      <alignment horizontal="center" vertical="center" wrapText="1"/>
    </xf>
    <xf numFmtId="0" fontId="6" fillId="2" borderId="22" xfId="7" applyFont="1" applyFill="1" applyBorder="1" applyAlignment="1">
      <alignment horizontal="center" vertical="center" wrapText="1"/>
    </xf>
    <xf numFmtId="0" fontId="6" fillId="2" borderId="20" xfId="7" applyFont="1" applyFill="1" applyBorder="1" applyAlignment="1">
      <alignment horizontal="center" vertical="center" wrapText="1"/>
    </xf>
    <xf numFmtId="0" fontId="6" fillId="2" borderId="21" xfId="7" applyFont="1" applyFill="1" applyBorder="1" applyAlignment="1">
      <alignment horizontal="center" vertical="center" wrapText="1"/>
    </xf>
    <xf numFmtId="173" fontId="6" fillId="2" borderId="19" xfId="1" applyNumberFormat="1" applyFont="1" applyFill="1" applyBorder="1" applyAlignment="1">
      <alignment horizontal="center" vertical="center" wrapText="1"/>
    </xf>
    <xf numFmtId="173" fontId="6" fillId="2" borderId="23" xfId="1" applyNumberFormat="1" applyFont="1" applyFill="1" applyBorder="1" applyAlignment="1">
      <alignment horizontal="center" vertical="center" wrapText="1"/>
    </xf>
    <xf numFmtId="176" fontId="6" fillId="0" borderId="17" xfId="0" applyNumberFormat="1" applyFont="1" applyBorder="1" applyAlignment="1">
      <alignment vertical="top" wrapText="1"/>
    </xf>
    <xf numFmtId="176" fontId="6" fillId="0" borderId="18" xfId="0" applyNumberFormat="1" applyFont="1" applyBorder="1" applyAlignment="1">
      <alignment vertical="top" wrapText="1"/>
    </xf>
    <xf numFmtId="176" fontId="6" fillId="0" borderId="13" xfId="0" applyNumberFormat="1" applyFont="1" applyBorder="1" applyAlignment="1">
      <alignment vertical="top" wrapText="1"/>
    </xf>
    <xf numFmtId="176" fontId="6" fillId="0" borderId="15" xfId="0" applyNumberFormat="1" applyFont="1" applyBorder="1" applyAlignment="1">
      <alignment vertical="top" wrapText="1"/>
    </xf>
    <xf numFmtId="176" fontId="6" fillId="0" borderId="20" xfId="0" applyNumberFormat="1" applyFont="1" applyBorder="1" applyAlignment="1">
      <alignment vertical="top" wrapText="1"/>
    </xf>
    <xf numFmtId="176" fontId="6" fillId="0" borderId="11" xfId="0" applyNumberFormat="1" applyFont="1" applyBorder="1" applyAlignment="1">
      <alignment vertical="top" wrapText="1"/>
    </xf>
    <xf numFmtId="176" fontId="6" fillId="0" borderId="13" xfId="0" applyNumberFormat="1" applyFont="1" applyBorder="1" applyAlignment="1">
      <alignment vertical="top"/>
    </xf>
    <xf numFmtId="176" fontId="6" fillId="0" borderId="14" xfId="0" applyNumberFormat="1" applyFont="1" applyBorder="1" applyAlignment="1">
      <alignment vertical="top"/>
    </xf>
    <xf numFmtId="176" fontId="6" fillId="0" borderId="13" xfId="0" applyNumberFormat="1" applyFont="1" applyBorder="1" applyAlignment="1">
      <alignment horizontal="left" vertical="top" wrapText="1"/>
    </xf>
    <xf numFmtId="176" fontId="6" fillId="0" borderId="15" xfId="0" applyNumberFormat="1" applyFont="1" applyBorder="1" applyAlignment="1">
      <alignment horizontal="left" vertical="top" wrapText="1"/>
    </xf>
    <xf numFmtId="176" fontId="6" fillId="0" borderId="17" xfId="0" applyNumberFormat="1" applyFont="1" applyBorder="1" applyAlignment="1">
      <alignment horizontal="left" vertical="top" wrapText="1"/>
    </xf>
    <xf numFmtId="176" fontId="6" fillId="0" borderId="18" xfId="0" applyNumberFormat="1" applyFont="1" applyBorder="1" applyAlignment="1">
      <alignment horizontal="left" vertical="top" wrapText="1"/>
    </xf>
    <xf numFmtId="0" fontId="6" fillId="0" borderId="0" xfId="7" applyFont="1" applyAlignment="1">
      <alignment horizontal="left" vertical="top" wrapText="1"/>
    </xf>
    <xf numFmtId="176" fontId="6" fillId="0" borderId="14" xfId="0" applyNumberFormat="1" applyFont="1" applyBorder="1" applyAlignment="1">
      <alignment vertical="top" wrapText="1"/>
    </xf>
    <xf numFmtId="176" fontId="6" fillId="0" borderId="12" xfId="0" applyNumberFormat="1" applyFont="1" applyBorder="1" applyAlignment="1">
      <alignment vertical="top" wrapText="1"/>
    </xf>
    <xf numFmtId="0" fontId="16" fillId="0" borderId="0" xfId="6" applyFont="1" applyBorder="1" applyAlignment="1">
      <alignment horizontal="left" wrapText="1"/>
    </xf>
    <xf numFmtId="0" fontId="6" fillId="3" borderId="52" xfId="2" applyNumberFormat="1" applyFont="1" applyFill="1" applyBorder="1" applyAlignment="1">
      <alignment horizontal="center" vertical="center"/>
    </xf>
    <xf numFmtId="0" fontId="6" fillId="3" borderId="26" xfId="2" applyNumberFormat="1" applyFont="1" applyFill="1" applyBorder="1" applyAlignment="1">
      <alignment horizontal="center" vertical="center"/>
    </xf>
    <xf numFmtId="0" fontId="6" fillId="0" borderId="13" xfId="2" applyNumberFormat="1" applyFont="1" applyBorder="1" applyAlignment="1">
      <alignment horizontal="left" vertical="top"/>
    </xf>
    <xf numFmtId="0" fontId="6" fillId="0" borderId="15" xfId="2" applyNumberFormat="1" applyFont="1" applyBorder="1" applyAlignment="1">
      <alignment horizontal="left" vertical="top"/>
    </xf>
    <xf numFmtId="0" fontId="6" fillId="0" borderId="13" xfId="2" applyNumberFormat="1" applyFont="1" applyBorder="1" applyAlignment="1">
      <alignment horizontal="left" vertical="top" indent="1"/>
    </xf>
    <xf numFmtId="0" fontId="6" fillId="0" borderId="15" xfId="2" applyNumberFormat="1" applyFont="1" applyBorder="1" applyAlignment="1">
      <alignment horizontal="left" vertical="top" indent="1"/>
    </xf>
    <xf numFmtId="0" fontId="6" fillId="0" borderId="46" xfId="2" applyNumberFormat="1" applyFont="1" applyBorder="1" applyAlignment="1">
      <alignment horizontal="left" vertical="top"/>
    </xf>
    <xf numFmtId="0" fontId="6" fillId="0" borderId="33" xfId="2" applyNumberFormat="1" applyFont="1" applyBorder="1" applyAlignment="1">
      <alignment horizontal="left" vertical="top"/>
    </xf>
    <xf numFmtId="177" fontId="25" fillId="0" borderId="0" xfId="2" applyNumberFormat="1" applyFont="1" applyBorder="1" applyAlignment="1">
      <alignment horizontal="right" vertical="top"/>
    </xf>
    <xf numFmtId="0" fontId="6" fillId="0" borderId="0" xfId="2" applyNumberFormat="1" applyFont="1" applyAlignment="1">
      <alignment vertical="center" wrapText="1"/>
    </xf>
    <xf numFmtId="177" fontId="6" fillId="0" borderId="0" xfId="2" applyNumberFormat="1" applyFont="1" applyAlignment="1">
      <alignment vertical="center" wrapText="1"/>
    </xf>
    <xf numFmtId="0" fontId="6" fillId="0" borderId="13" xfId="0" applyFont="1" applyBorder="1" applyAlignment="1">
      <alignment horizontal="left" wrapText="1"/>
    </xf>
    <xf numFmtId="0" fontId="6" fillId="0" borderId="15" xfId="0" applyFont="1" applyBorder="1" applyAlignment="1">
      <alignment horizontal="left" wrapText="1"/>
    </xf>
    <xf numFmtId="0" fontId="6" fillId="0" borderId="46" xfId="0" applyFont="1" applyBorder="1" applyAlignment="1">
      <alignment horizontal="left" wrapText="1"/>
    </xf>
    <xf numFmtId="0" fontId="6" fillId="0" borderId="33" xfId="0" applyFont="1" applyBorder="1" applyAlignment="1">
      <alignment horizontal="left" wrapText="1"/>
    </xf>
    <xf numFmtId="0" fontId="40" fillId="0" borderId="0" xfId="0" applyFont="1" applyFill="1" applyAlignment="1"/>
    <xf numFmtId="0" fontId="42" fillId="0" borderId="0" xfId="0" applyFont="1" applyFill="1" applyAlignment="1"/>
    <xf numFmtId="0" fontId="6" fillId="3" borderId="52" xfId="0" applyFont="1" applyFill="1" applyBorder="1" applyAlignment="1">
      <alignment horizontal="center" vertical="center"/>
    </xf>
    <xf numFmtId="0" fontId="6" fillId="3" borderId="26" xfId="0" applyFont="1" applyFill="1" applyBorder="1" applyAlignment="1">
      <alignment horizontal="center" vertical="center"/>
    </xf>
    <xf numFmtId="0" fontId="6" fillId="0" borderId="10" xfId="0" applyFont="1" applyBorder="1" applyAlignment="1">
      <alignment horizontal="left" vertical="top"/>
    </xf>
    <xf numFmtId="0" fontId="6" fillId="0" borderId="10" xfId="0" applyFont="1" applyBorder="1" applyAlignment="1">
      <alignment horizontal="left"/>
    </xf>
    <xf numFmtId="0" fontId="6" fillId="0" borderId="13" xfId="0" applyFont="1" applyBorder="1" applyAlignment="1">
      <alignment horizontal="left" vertical="top" wrapText="1"/>
    </xf>
    <xf numFmtId="0" fontId="6" fillId="0" borderId="15" xfId="0" applyFont="1" applyBorder="1" applyAlignment="1">
      <alignment horizontal="left" vertical="top" wrapText="1"/>
    </xf>
    <xf numFmtId="9" fontId="6" fillId="3" borderId="54" xfId="0" applyNumberFormat="1" applyFont="1" applyFill="1" applyBorder="1" applyAlignment="1">
      <alignment horizontal="center" vertical="center"/>
    </xf>
    <xf numFmtId="9" fontId="6" fillId="3" borderId="40" xfId="0" applyNumberFormat="1" applyFont="1" applyFill="1" applyBorder="1" applyAlignment="1">
      <alignment horizontal="center" vertical="center"/>
    </xf>
    <xf numFmtId="9" fontId="6" fillId="3" borderId="41" xfId="0" applyNumberFormat="1" applyFont="1" applyFill="1" applyBorder="1" applyAlignment="1">
      <alignment horizontal="center" vertical="center"/>
    </xf>
    <xf numFmtId="9" fontId="6" fillId="3" borderId="19" xfId="0" quotePrefix="1" applyNumberFormat="1" applyFont="1" applyFill="1" applyBorder="1" applyAlignment="1">
      <alignment horizontal="center" vertical="center" wrapText="1"/>
    </xf>
    <xf numFmtId="9" fontId="6" fillId="3" borderId="23" xfId="0" quotePrefix="1" applyNumberFormat="1" applyFont="1" applyFill="1" applyBorder="1" applyAlignment="1">
      <alignment horizontal="center" vertical="center" wrapText="1"/>
    </xf>
    <xf numFmtId="9" fontId="6" fillId="3" borderId="16" xfId="0" quotePrefix="1" applyNumberFormat="1" applyFont="1" applyFill="1" applyBorder="1" applyAlignment="1">
      <alignment horizontal="center" vertical="center" wrapText="1"/>
    </xf>
    <xf numFmtId="9" fontId="6" fillId="3" borderId="13" xfId="0" applyNumberFormat="1" applyFont="1" applyFill="1" applyBorder="1" applyAlignment="1">
      <alignment horizontal="center" vertical="center"/>
    </xf>
    <xf numFmtId="9" fontId="6" fillId="3" borderId="14" xfId="0" applyNumberFormat="1" applyFont="1" applyFill="1" applyBorder="1" applyAlignment="1">
      <alignment horizontal="center" vertical="center"/>
    </xf>
    <xf numFmtId="9" fontId="6" fillId="3" borderId="15" xfId="0" applyNumberFormat="1" applyFont="1" applyFill="1" applyBorder="1" applyAlignment="1">
      <alignment horizontal="center" vertical="center"/>
    </xf>
    <xf numFmtId="10" fontId="6" fillId="3" borderId="19" xfId="0" applyNumberFormat="1" applyFont="1" applyFill="1" applyBorder="1" applyAlignment="1">
      <alignment horizontal="center" vertical="center" wrapText="1"/>
    </xf>
    <xf numFmtId="10" fontId="6" fillId="3" borderId="23" xfId="0" applyNumberFormat="1" applyFont="1" applyFill="1" applyBorder="1" applyAlignment="1">
      <alignment horizontal="center" vertical="center" wrapText="1"/>
    </xf>
    <xf numFmtId="10" fontId="6" fillId="3" borderId="16" xfId="0" applyNumberFormat="1" applyFont="1" applyFill="1" applyBorder="1" applyAlignment="1">
      <alignment horizontal="center" vertical="center" wrapText="1"/>
    </xf>
    <xf numFmtId="0" fontId="6" fillId="3" borderId="53" xfId="0" applyFont="1" applyFill="1" applyBorder="1" applyAlignment="1">
      <alignment horizontal="center" vertical="center"/>
    </xf>
    <xf numFmtId="0" fontId="6" fillId="3" borderId="23" xfId="0" applyFont="1" applyFill="1" applyBorder="1" applyAlignment="1">
      <alignment horizontal="center" vertical="center"/>
    </xf>
    <xf numFmtId="0" fontId="6" fillId="3" borderId="16" xfId="0" applyFont="1" applyFill="1" applyBorder="1" applyAlignment="1">
      <alignment horizontal="center" vertical="center"/>
    </xf>
    <xf numFmtId="9" fontId="6" fillId="3" borderId="52" xfId="0" applyNumberFormat="1" applyFont="1" applyFill="1" applyBorder="1" applyAlignment="1">
      <alignment horizontal="center" vertical="center"/>
    </xf>
    <xf numFmtId="9" fontId="6" fillId="3" borderId="28" xfId="0" applyNumberFormat="1" applyFont="1" applyFill="1" applyBorder="1" applyAlignment="1">
      <alignment horizontal="center" vertical="center"/>
    </xf>
    <xf numFmtId="9" fontId="6" fillId="3" borderId="26" xfId="0" applyNumberFormat="1" applyFont="1" applyFill="1" applyBorder="1" applyAlignment="1">
      <alignment horizontal="center" vertical="center"/>
    </xf>
    <xf numFmtId="0" fontId="6" fillId="0" borderId="19" xfId="0" applyFont="1" applyBorder="1" applyAlignment="1">
      <alignment horizontal="center" vertical="top" wrapText="1"/>
    </xf>
    <xf numFmtId="0" fontId="6" fillId="0" borderId="16" xfId="0" applyFont="1" applyBorder="1" applyAlignment="1">
      <alignment horizontal="center" vertical="top" wrapText="1"/>
    </xf>
    <xf numFmtId="0" fontId="6" fillId="0" borderId="19" xfId="0" applyFont="1" applyBorder="1" applyAlignment="1">
      <alignment horizontal="left" vertical="top" wrapText="1"/>
    </xf>
    <xf numFmtId="0" fontId="6" fillId="0" borderId="16" xfId="0" applyFont="1" applyBorder="1" applyAlignment="1">
      <alignment horizontal="left" vertical="top" wrapText="1"/>
    </xf>
    <xf numFmtId="0" fontId="6" fillId="0" borderId="19" xfId="0" applyFont="1" applyFill="1" applyBorder="1" applyAlignment="1">
      <alignment horizontal="left" vertical="top" wrapText="1"/>
    </xf>
    <xf numFmtId="0" fontId="6" fillId="0" borderId="16" xfId="0" applyFont="1" applyFill="1" applyBorder="1" applyAlignment="1">
      <alignment horizontal="left" vertical="top" wrapText="1"/>
    </xf>
    <xf numFmtId="0" fontId="6" fillId="3" borderId="25" xfId="0" applyFont="1" applyFill="1" applyBorder="1" applyAlignment="1">
      <alignment horizontal="center" vertical="center"/>
    </xf>
    <xf numFmtId="0" fontId="6" fillId="3" borderId="30" xfId="0" applyFont="1" applyFill="1" applyBorder="1" applyAlignment="1">
      <alignment horizontal="center" vertical="center"/>
    </xf>
    <xf numFmtId="0" fontId="6" fillId="0" borderId="0" xfId="0" applyFont="1" applyAlignment="1">
      <alignment horizontal="left" vertical="top"/>
    </xf>
    <xf numFmtId="0" fontId="6" fillId="0" borderId="0" xfId="0" applyFont="1" applyAlignment="1">
      <alignment horizontal="left" vertical="top" wrapText="1"/>
    </xf>
    <xf numFmtId="0" fontId="6" fillId="0" borderId="13" xfId="0" applyFont="1" applyBorder="1" applyAlignment="1">
      <alignment vertical="top" wrapText="1"/>
    </xf>
    <xf numFmtId="0" fontId="6" fillId="0" borderId="15" xfId="0" applyFont="1" applyBorder="1" applyAlignment="1">
      <alignment vertical="top" wrapText="1"/>
    </xf>
    <xf numFmtId="0" fontId="6" fillId="0" borderId="0" xfId="0" applyFont="1" applyAlignment="1">
      <alignment vertical="top" wrapText="1"/>
    </xf>
    <xf numFmtId="0" fontId="6" fillId="3" borderId="54" xfId="0" applyFont="1" applyFill="1" applyBorder="1" applyAlignment="1">
      <alignment horizontal="center" vertical="center" wrapText="1"/>
    </xf>
    <xf numFmtId="0" fontId="6" fillId="3" borderId="40" xfId="0" applyFont="1" applyFill="1" applyBorder="1" applyAlignment="1">
      <alignment horizontal="center" vertical="center" wrapText="1"/>
    </xf>
    <xf numFmtId="0" fontId="6" fillId="3" borderId="41" xfId="0" applyFont="1" applyFill="1" applyBorder="1" applyAlignment="1">
      <alignment horizontal="center" vertical="center" wrapText="1"/>
    </xf>
    <xf numFmtId="0" fontId="6" fillId="3" borderId="18" xfId="0" applyFont="1" applyFill="1" applyBorder="1" applyAlignment="1">
      <alignment horizontal="center" vertical="center" wrapText="1"/>
    </xf>
    <xf numFmtId="0" fontId="6" fillId="3" borderId="16" xfId="0" applyFont="1" applyFill="1" applyBorder="1" applyAlignment="1">
      <alignment horizontal="center" vertical="center" wrapText="1"/>
    </xf>
    <xf numFmtId="0" fontId="6" fillId="3" borderId="15" xfId="0" applyFont="1" applyFill="1" applyBorder="1" applyAlignment="1">
      <alignment horizontal="center" vertical="center" wrapText="1"/>
    </xf>
    <xf numFmtId="0" fontId="6" fillId="3" borderId="10" xfId="0" applyFont="1" applyFill="1" applyBorder="1" applyAlignment="1">
      <alignment horizontal="center" vertical="center" wrapText="1"/>
    </xf>
    <xf numFmtId="0" fontId="6" fillId="3" borderId="19" xfId="0" applyFont="1" applyFill="1" applyBorder="1" applyAlignment="1">
      <alignment horizontal="center" vertical="center" wrapText="1"/>
    </xf>
    <xf numFmtId="0" fontId="6" fillId="3" borderId="23" xfId="0" applyFont="1" applyFill="1" applyBorder="1" applyAlignment="1">
      <alignment horizontal="center" vertical="center" wrapText="1"/>
    </xf>
    <xf numFmtId="49" fontId="6" fillId="3" borderId="19" xfId="0" applyNumberFormat="1" applyFont="1" applyFill="1" applyBorder="1" applyAlignment="1">
      <alignment horizontal="center" vertical="center" wrapText="1"/>
    </xf>
    <xf numFmtId="49" fontId="6" fillId="3" borderId="23" xfId="0" applyNumberFormat="1" applyFont="1" applyFill="1" applyBorder="1" applyAlignment="1">
      <alignment horizontal="center" vertical="center" wrapText="1"/>
    </xf>
    <xf numFmtId="49" fontId="6" fillId="3" borderId="16" xfId="0" applyNumberFormat="1" applyFont="1" applyFill="1" applyBorder="1" applyAlignment="1">
      <alignment horizontal="center" vertical="center" wrapText="1"/>
    </xf>
    <xf numFmtId="0" fontId="6" fillId="3" borderId="56" xfId="0" applyFont="1" applyFill="1" applyBorder="1" applyAlignment="1">
      <alignment horizontal="center"/>
    </xf>
    <xf numFmtId="0" fontId="6" fillId="3" borderId="28" xfId="0" applyFont="1" applyFill="1" applyBorder="1" applyAlignment="1">
      <alignment horizontal="center"/>
    </xf>
    <xf numFmtId="0" fontId="6" fillId="3" borderId="26" xfId="0" applyFont="1" applyFill="1" applyBorder="1" applyAlignment="1">
      <alignment horizontal="center"/>
    </xf>
    <xf numFmtId="0" fontId="6" fillId="3" borderId="16" xfId="0" applyFont="1" applyFill="1" applyBorder="1" applyAlignment="1">
      <alignment horizontal="center"/>
    </xf>
    <xf numFmtId="0" fontId="6" fillId="3" borderId="15" xfId="0" quotePrefix="1" applyFont="1" applyFill="1" applyBorder="1" applyAlignment="1">
      <alignment horizontal="center" vertical="center" wrapText="1"/>
    </xf>
    <xf numFmtId="0" fontId="6" fillId="3" borderId="10" xfId="0" quotePrefix="1" applyFont="1" applyFill="1" applyBorder="1" applyAlignment="1">
      <alignment horizontal="center" vertical="center" wrapText="1"/>
    </xf>
    <xf numFmtId="0" fontId="6" fillId="3" borderId="13" xfId="0" quotePrefix="1" applyFont="1" applyFill="1" applyBorder="1" applyAlignment="1">
      <alignment horizontal="center" vertical="center" wrapText="1"/>
    </xf>
    <xf numFmtId="0" fontId="6" fillId="0" borderId="44" xfId="0" applyFont="1" applyBorder="1" applyAlignment="1">
      <alignment horizontal="left" vertical="top" wrapText="1"/>
    </xf>
    <xf numFmtId="0" fontId="6" fillId="0" borderId="14" xfId="0" applyFont="1" applyBorder="1" applyAlignment="1">
      <alignment horizontal="left" vertical="top" wrapText="1"/>
    </xf>
    <xf numFmtId="0" fontId="6" fillId="3" borderId="53" xfId="0" applyFont="1" applyFill="1" applyBorder="1" applyAlignment="1">
      <alignment horizontal="center" vertical="center" wrapText="1"/>
    </xf>
    <xf numFmtId="0" fontId="6" fillId="3" borderId="55" xfId="0" applyFont="1" applyFill="1" applyBorder="1" applyAlignment="1">
      <alignment horizontal="center" vertical="center" wrapText="1"/>
    </xf>
    <xf numFmtId="0" fontId="6" fillId="3" borderId="43" xfId="0" applyFont="1" applyFill="1" applyBorder="1" applyAlignment="1">
      <alignment horizontal="center" vertical="center" wrapText="1"/>
    </xf>
    <xf numFmtId="0" fontId="6" fillId="3" borderId="21" xfId="0" applyFont="1" applyFill="1" applyBorder="1" applyAlignment="1">
      <alignment horizontal="center" vertical="center" wrapText="1"/>
    </xf>
    <xf numFmtId="0" fontId="6" fillId="3" borderId="22" xfId="0" applyFont="1" applyFill="1" applyBorder="1" applyAlignment="1">
      <alignment horizontal="center" vertical="center" wrapText="1"/>
    </xf>
    <xf numFmtId="0" fontId="6" fillId="3" borderId="17" xfId="0" applyFont="1" applyFill="1" applyBorder="1" applyAlignment="1">
      <alignment horizontal="center" vertical="center" wrapText="1"/>
    </xf>
    <xf numFmtId="0" fontId="6" fillId="0" borderId="0" xfId="0" applyFont="1" applyAlignment="1">
      <alignment horizontal="left" wrapText="1"/>
    </xf>
    <xf numFmtId="0" fontId="6" fillId="0" borderId="0" xfId="0" applyFont="1" applyAlignment="1">
      <alignment horizontal="left" vertical="center" wrapText="1"/>
    </xf>
    <xf numFmtId="0" fontId="6" fillId="3" borderId="1" xfId="0" applyFont="1" applyFill="1" applyBorder="1" applyAlignment="1">
      <alignment horizontal="center" vertical="center" wrapText="1"/>
    </xf>
    <xf numFmtId="0" fontId="6" fillId="3" borderId="4" xfId="0" applyFont="1" applyFill="1" applyBorder="1" applyAlignment="1">
      <alignment horizontal="center" vertical="center" wrapText="1"/>
    </xf>
    <xf numFmtId="0" fontId="6" fillId="3" borderId="49" xfId="0" applyFont="1" applyFill="1" applyBorder="1" applyAlignment="1">
      <alignment horizontal="center" vertical="center" wrapText="1"/>
    </xf>
    <xf numFmtId="49" fontId="6" fillId="3" borderId="53" xfId="0" applyNumberFormat="1" applyFont="1" applyFill="1" applyBorder="1" applyAlignment="1">
      <alignment horizontal="center" vertical="center" wrapText="1"/>
    </xf>
    <xf numFmtId="0" fontId="6" fillId="3" borderId="27" xfId="0" applyFont="1" applyFill="1" applyBorder="1" applyAlignment="1">
      <alignment horizontal="center" vertical="center" wrapText="1"/>
    </xf>
    <xf numFmtId="0" fontId="6" fillId="3" borderId="52" xfId="0" applyFont="1" applyFill="1" applyBorder="1" applyAlignment="1">
      <alignment horizontal="center" vertical="center" wrapText="1"/>
    </xf>
    <xf numFmtId="0" fontId="6" fillId="3" borderId="28" xfId="0" applyFont="1" applyFill="1" applyBorder="1" applyAlignment="1">
      <alignment horizontal="center" vertical="center" wrapText="1"/>
    </xf>
    <xf numFmtId="0" fontId="6" fillId="3" borderId="57" xfId="0" applyFont="1" applyFill="1" applyBorder="1" applyAlignment="1">
      <alignment horizontal="center" vertical="center" wrapText="1"/>
    </xf>
    <xf numFmtId="0" fontId="6" fillId="0" borderId="44" xfId="0" applyFont="1" applyBorder="1" applyAlignment="1">
      <alignment horizontal="left" vertical="top"/>
    </xf>
    <xf numFmtId="0" fontId="6" fillId="0" borderId="15" xfId="0" applyFont="1" applyBorder="1" applyAlignment="1">
      <alignment horizontal="left" vertical="top"/>
    </xf>
    <xf numFmtId="0" fontId="6" fillId="0" borderId="45" xfId="0" applyFont="1" applyBorder="1" applyAlignment="1">
      <alignment horizontal="left" vertical="top"/>
    </xf>
    <xf numFmtId="0" fontId="6" fillId="0" borderId="35" xfId="0" applyFont="1" applyBorder="1" applyAlignment="1">
      <alignment horizontal="left" vertical="top"/>
    </xf>
    <xf numFmtId="0" fontId="6" fillId="3" borderId="44" xfId="0" quotePrefix="1" applyFont="1" applyFill="1" applyBorder="1" applyAlignment="1">
      <alignment horizontal="center" vertical="center" wrapText="1"/>
    </xf>
    <xf numFmtId="0" fontId="6" fillId="0" borderId="44" xfId="0" applyFont="1" applyBorder="1" applyAlignment="1">
      <alignment horizontal="left" vertical="center" wrapText="1"/>
    </xf>
    <xf numFmtId="0" fontId="6" fillId="0" borderId="14" xfId="0" applyFont="1" applyBorder="1" applyAlignment="1">
      <alignment horizontal="left" vertical="center" wrapText="1"/>
    </xf>
    <xf numFmtId="0" fontId="6" fillId="3" borderId="61" xfId="0" applyFont="1" applyFill="1" applyBorder="1" applyAlignment="1">
      <alignment horizontal="center" vertical="center"/>
    </xf>
    <xf numFmtId="0" fontId="6" fillId="3" borderId="28" xfId="0" applyFont="1" applyFill="1" applyBorder="1" applyAlignment="1">
      <alignment horizontal="center" vertical="center"/>
    </xf>
    <xf numFmtId="0" fontId="6" fillId="0" borderId="23" xfId="0" applyFont="1" applyBorder="1"/>
    <xf numFmtId="0" fontId="6" fillId="0" borderId="48" xfId="0" applyFont="1" applyBorder="1"/>
    <xf numFmtId="0" fontId="34" fillId="3" borderId="19" xfId="0" applyFont="1" applyFill="1" applyBorder="1" applyAlignment="1">
      <alignment horizontal="center" vertical="center" wrapText="1"/>
    </xf>
    <xf numFmtId="0" fontId="34" fillId="3" borderId="23" xfId="0" applyFont="1" applyFill="1" applyBorder="1" applyAlignment="1">
      <alignment horizontal="center" vertical="center" wrapText="1"/>
    </xf>
    <xf numFmtId="0" fontId="34" fillId="3" borderId="16" xfId="0" applyFont="1" applyFill="1" applyBorder="1" applyAlignment="1">
      <alignment horizontal="center" vertical="center" wrapText="1"/>
    </xf>
    <xf numFmtId="0" fontId="34" fillId="3" borderId="20" xfId="0" applyFont="1" applyFill="1" applyBorder="1" applyAlignment="1">
      <alignment horizontal="center" vertical="center"/>
    </xf>
    <xf numFmtId="0" fontId="34" fillId="3" borderId="11" xfId="0" applyFont="1" applyFill="1" applyBorder="1" applyAlignment="1">
      <alignment horizontal="center" vertical="center"/>
    </xf>
    <xf numFmtId="0" fontId="34" fillId="3" borderId="17" xfId="0" applyFont="1" applyFill="1" applyBorder="1" applyAlignment="1">
      <alignment horizontal="center" vertical="center"/>
    </xf>
    <xf numFmtId="0" fontId="34" fillId="3" borderId="18" xfId="0" applyFont="1" applyFill="1" applyBorder="1" applyAlignment="1">
      <alignment horizontal="center" vertical="center"/>
    </xf>
    <xf numFmtId="0" fontId="6" fillId="0" borderId="0" xfId="0" applyFont="1" applyFill="1" applyAlignment="1"/>
    <xf numFmtId="0" fontId="21" fillId="0" borderId="9" xfId="0" applyFont="1" applyBorder="1" applyAlignment="1">
      <alignment horizontal="left"/>
    </xf>
    <xf numFmtId="0" fontId="6" fillId="3" borderId="3" xfId="0" applyFont="1" applyFill="1" applyBorder="1" applyAlignment="1">
      <alignment horizontal="center" vertical="center" wrapText="1"/>
    </xf>
    <xf numFmtId="0" fontId="6" fillId="3" borderId="60" xfId="0" applyFont="1" applyFill="1" applyBorder="1" applyAlignment="1">
      <alignment horizontal="center" vertical="center" wrapText="1"/>
    </xf>
    <xf numFmtId="0" fontId="6" fillId="3" borderId="27" xfId="0" applyFont="1" applyFill="1" applyBorder="1" applyAlignment="1">
      <alignment horizontal="center" vertical="center"/>
    </xf>
    <xf numFmtId="0" fontId="6" fillId="3" borderId="48" xfId="0" applyFont="1" applyFill="1" applyBorder="1" applyAlignment="1">
      <alignment horizontal="center" vertical="center" wrapText="1"/>
    </xf>
    <xf numFmtId="177" fontId="34" fillId="3" borderId="19" xfId="1" applyNumberFormat="1" applyFont="1" applyFill="1" applyBorder="1" applyAlignment="1">
      <alignment horizontal="center" vertical="center" wrapText="1"/>
    </xf>
    <xf numFmtId="177" fontId="34" fillId="3" borderId="23" xfId="1" applyNumberFormat="1" applyFont="1" applyFill="1" applyBorder="1" applyAlignment="1">
      <alignment horizontal="center" vertical="center" wrapText="1"/>
    </xf>
    <xf numFmtId="177" fontId="34" fillId="3" borderId="16" xfId="1" applyNumberFormat="1" applyFont="1" applyFill="1" applyBorder="1" applyAlignment="1">
      <alignment horizontal="center" vertical="center" wrapText="1"/>
    </xf>
    <xf numFmtId="0" fontId="6" fillId="3" borderId="10" xfId="0" applyFont="1" applyFill="1" applyBorder="1" applyAlignment="1">
      <alignment horizontal="center" vertical="center"/>
    </xf>
    <xf numFmtId="0" fontId="6" fillId="3" borderId="19" xfId="0" applyFont="1" applyFill="1" applyBorder="1" applyAlignment="1">
      <alignment horizontal="center" vertical="center"/>
    </xf>
    <xf numFmtId="0" fontId="6" fillId="3" borderId="20" xfId="0" applyFont="1" applyFill="1" applyBorder="1" applyAlignment="1">
      <alignment horizontal="center" vertical="center"/>
    </xf>
    <xf numFmtId="0" fontId="6" fillId="3" borderId="11" xfId="0" applyFont="1" applyFill="1" applyBorder="1" applyAlignment="1">
      <alignment horizontal="center" vertical="center"/>
    </xf>
    <xf numFmtId="0" fontId="6" fillId="3" borderId="59" xfId="0" applyFont="1" applyFill="1" applyBorder="1" applyAlignment="1">
      <alignment horizontal="center" vertical="center"/>
    </xf>
    <xf numFmtId="0" fontId="6" fillId="3" borderId="47" xfId="0" applyFont="1" applyFill="1" applyBorder="1" applyAlignment="1">
      <alignment horizontal="center" vertical="center"/>
    </xf>
    <xf numFmtId="0" fontId="6" fillId="3" borderId="13" xfId="0" applyFont="1" applyFill="1" applyBorder="1" applyAlignment="1">
      <alignment horizontal="center" vertical="center" wrapText="1"/>
    </xf>
    <xf numFmtId="0" fontId="6" fillId="0" borderId="58" xfId="0" applyFont="1" applyBorder="1" applyAlignment="1">
      <alignment horizontal="center" vertical="center"/>
    </xf>
    <xf numFmtId="0" fontId="6" fillId="0" borderId="38" xfId="0" applyFont="1" applyBorder="1" applyAlignment="1">
      <alignment horizontal="center" vertical="center"/>
    </xf>
    <xf numFmtId="0" fontId="6" fillId="0" borderId="52" xfId="0" applyFont="1" applyBorder="1" applyAlignment="1">
      <alignment horizontal="center"/>
    </xf>
    <xf numFmtId="0" fontId="6" fillId="0" borderId="26" xfId="0" applyFont="1" applyBorder="1" applyAlignment="1">
      <alignment horizontal="center"/>
    </xf>
    <xf numFmtId="177" fontId="34" fillId="7" borderId="19" xfId="1" applyNumberFormat="1" applyFont="1" applyFill="1" applyBorder="1" applyAlignment="1">
      <alignment horizontal="center" vertical="center"/>
    </xf>
    <xf numFmtId="177" fontId="34" fillId="7" borderId="23" xfId="1" applyNumberFormat="1" applyFont="1" applyFill="1" applyBorder="1" applyAlignment="1">
      <alignment horizontal="center" vertical="center"/>
    </xf>
    <xf numFmtId="177" fontId="34" fillId="7" borderId="16" xfId="1" applyNumberFormat="1" applyFont="1" applyFill="1" applyBorder="1" applyAlignment="1">
      <alignment horizontal="center" vertical="center"/>
    </xf>
    <xf numFmtId="0" fontId="6" fillId="0" borderId="42" xfId="0" applyFont="1" applyBorder="1" applyAlignment="1">
      <alignment horizontal="center" vertical="center"/>
    </xf>
    <xf numFmtId="177" fontId="34" fillId="8" borderId="19" xfId="1" applyNumberFormat="1" applyFont="1" applyFill="1" applyBorder="1" applyAlignment="1">
      <alignment horizontal="center" vertical="center"/>
    </xf>
    <xf numFmtId="177" fontId="34" fillId="8" borderId="23" xfId="1" applyNumberFormat="1" applyFont="1" applyFill="1" applyBorder="1" applyAlignment="1">
      <alignment horizontal="center" vertical="center"/>
    </xf>
    <xf numFmtId="177" fontId="34" fillId="8" borderId="16" xfId="1" applyNumberFormat="1" applyFont="1" applyFill="1" applyBorder="1" applyAlignment="1">
      <alignment horizontal="center" vertical="center"/>
    </xf>
    <xf numFmtId="177" fontId="34" fillId="9" borderId="19" xfId="1" applyNumberFormat="1" applyFont="1" applyFill="1" applyBorder="1" applyAlignment="1">
      <alignment horizontal="center" vertical="center"/>
    </xf>
    <xf numFmtId="177" fontId="34" fillId="9" borderId="23" xfId="1" applyNumberFormat="1" applyFont="1" applyFill="1" applyBorder="1" applyAlignment="1">
      <alignment horizontal="center" vertical="center"/>
    </xf>
    <xf numFmtId="177" fontId="34" fillId="9" borderId="16" xfId="1" applyNumberFormat="1" applyFont="1" applyFill="1" applyBorder="1" applyAlignment="1">
      <alignment horizontal="center" vertical="center"/>
    </xf>
    <xf numFmtId="0" fontId="6" fillId="0" borderId="13" xfId="0" applyFont="1" applyBorder="1" applyAlignment="1">
      <alignment horizontal="center"/>
    </xf>
    <xf numFmtId="0" fontId="6" fillId="0" borderId="15" xfId="0" applyFont="1" applyBorder="1" applyAlignment="1">
      <alignment horizontal="center"/>
    </xf>
    <xf numFmtId="0" fontId="6" fillId="0" borderId="46" xfId="0" applyFont="1" applyBorder="1" applyAlignment="1">
      <alignment horizontal="center"/>
    </xf>
    <xf numFmtId="0" fontId="6" fillId="0" borderId="33" xfId="0" applyFont="1" applyBorder="1" applyAlignment="1">
      <alignment horizontal="center"/>
    </xf>
    <xf numFmtId="177" fontId="34" fillId="2" borderId="19" xfId="1" applyNumberFormat="1" applyFont="1" applyFill="1" applyBorder="1" applyAlignment="1">
      <alignment horizontal="center"/>
    </xf>
    <xf numFmtId="177" fontId="34" fillId="2" borderId="23" xfId="1" applyNumberFormat="1" applyFont="1" applyFill="1" applyBorder="1" applyAlignment="1">
      <alignment horizontal="center"/>
    </xf>
    <xf numFmtId="177" fontId="34" fillId="2" borderId="16" xfId="1" applyNumberFormat="1" applyFont="1" applyFill="1" applyBorder="1" applyAlignment="1">
      <alignment horizontal="center"/>
    </xf>
    <xf numFmtId="0" fontId="6" fillId="0" borderId="19" xfId="0" applyFont="1" applyFill="1" applyBorder="1" applyAlignment="1">
      <alignment horizontal="center" vertical="center" wrapText="1"/>
    </xf>
    <xf numFmtId="0" fontId="6" fillId="0" borderId="16" xfId="0" applyFont="1" applyFill="1" applyBorder="1" applyAlignment="1">
      <alignment horizontal="center" vertical="center" wrapText="1"/>
    </xf>
    <xf numFmtId="0" fontId="6" fillId="0" borderId="39" xfId="0" applyFont="1" applyFill="1" applyBorder="1" applyAlignment="1">
      <alignment horizontal="center" vertical="center" wrapText="1" shrinkToFit="1"/>
    </xf>
    <xf numFmtId="0" fontId="6" fillId="0" borderId="41" xfId="0" applyFont="1" applyFill="1" applyBorder="1" applyAlignment="1">
      <alignment horizontal="center" vertical="center" wrapText="1" shrinkToFit="1"/>
    </xf>
    <xf numFmtId="0" fontId="6" fillId="0" borderId="52" xfId="0" applyFont="1" applyBorder="1" applyAlignment="1">
      <alignment horizontal="left" vertical="top"/>
    </xf>
    <xf numFmtId="0" fontId="6" fillId="0" borderId="28" xfId="0" applyFont="1" applyBorder="1" applyAlignment="1">
      <alignment horizontal="left" vertical="top"/>
    </xf>
    <xf numFmtId="0" fontId="6" fillId="0" borderId="26" xfId="0" applyFont="1" applyBorder="1" applyAlignment="1">
      <alignment horizontal="left" vertical="top"/>
    </xf>
    <xf numFmtId="0" fontId="6" fillId="0" borderId="13" xfId="0" applyFont="1" applyBorder="1" applyAlignment="1">
      <alignment horizontal="left"/>
    </xf>
    <xf numFmtId="0" fontId="6" fillId="0" borderId="14" xfId="0" applyFont="1" applyBorder="1" applyAlignment="1">
      <alignment horizontal="left"/>
    </xf>
    <xf numFmtId="0" fontId="6" fillId="0" borderId="15" xfId="0" applyFont="1" applyBorder="1" applyAlignment="1">
      <alignment horizontal="left"/>
    </xf>
    <xf numFmtId="174" fontId="18" fillId="4" borderId="13" xfId="1" applyNumberFormat="1" applyFont="1" applyFill="1" applyBorder="1" applyAlignment="1" applyProtection="1">
      <alignment horizontal="center"/>
      <protection hidden="1"/>
    </xf>
    <xf numFmtId="174" fontId="18" fillId="4" borderId="24" xfId="1" applyNumberFormat="1" applyFont="1" applyFill="1" applyBorder="1" applyAlignment="1" applyProtection="1">
      <alignment horizontal="center"/>
      <protection hidden="1"/>
    </xf>
    <xf numFmtId="0" fontId="6" fillId="0" borderId="45" xfId="0" applyFont="1" applyBorder="1" applyAlignment="1">
      <alignment horizontal="left" vertical="center"/>
    </xf>
    <xf numFmtId="0" fontId="6" fillId="0" borderId="35" xfId="0" applyFont="1" applyBorder="1" applyAlignment="1">
      <alignment horizontal="left" vertical="center"/>
    </xf>
    <xf numFmtId="0" fontId="6" fillId="0" borderId="33" xfId="0" applyFont="1" applyBorder="1" applyAlignment="1">
      <alignment horizontal="left" vertical="center"/>
    </xf>
    <xf numFmtId="0" fontId="6" fillId="0" borderId="9" xfId="0" applyFont="1" applyBorder="1" applyAlignment="1">
      <alignment horizontal="center" vertical="center"/>
    </xf>
    <xf numFmtId="0" fontId="6" fillId="0" borderId="50" xfId="0" applyFont="1" applyBorder="1" applyAlignment="1">
      <alignment horizontal="left" vertical="center"/>
    </xf>
    <xf numFmtId="0" fontId="6" fillId="0" borderId="12" xfId="0" applyFont="1" applyBorder="1" applyAlignment="1">
      <alignment horizontal="left" vertical="center"/>
    </xf>
    <xf numFmtId="0" fontId="6" fillId="0" borderId="11" xfId="0" applyFont="1" applyBorder="1" applyAlignment="1">
      <alignment horizontal="left" vertical="center"/>
    </xf>
    <xf numFmtId="0" fontId="6" fillId="0" borderId="49" xfId="0" applyFont="1" applyBorder="1" applyAlignment="1">
      <alignment horizontal="left" vertical="center"/>
    </xf>
    <xf numFmtId="0" fontId="6" fillId="0" borderId="9" xfId="0" applyFont="1" applyBorder="1" applyAlignment="1">
      <alignment horizontal="left" vertical="center"/>
    </xf>
    <xf numFmtId="0" fontId="6" fillId="0" borderId="18" xfId="0" applyFont="1" applyBorder="1" applyAlignment="1">
      <alignment horizontal="left" vertical="center"/>
    </xf>
    <xf numFmtId="0" fontId="6" fillId="0" borderId="10" xfId="0" applyFont="1" applyBorder="1" applyAlignment="1">
      <alignment horizontal="center" vertical="center" wrapText="1"/>
    </xf>
    <xf numFmtId="0" fontId="6" fillId="0" borderId="13" xfId="0" applyFont="1" applyBorder="1" applyAlignment="1">
      <alignment horizontal="center" vertical="center"/>
    </xf>
    <xf numFmtId="0" fontId="6" fillId="0" borderId="14" xfId="0" applyFont="1" applyBorder="1" applyAlignment="1">
      <alignment horizontal="center" vertical="center"/>
    </xf>
    <xf numFmtId="0" fontId="6" fillId="0" borderId="15" xfId="0" applyFont="1" applyBorder="1" applyAlignment="1">
      <alignment horizontal="center" vertical="center"/>
    </xf>
    <xf numFmtId="0" fontId="6" fillId="0" borderId="19" xfId="0" applyFont="1" applyBorder="1" applyAlignment="1">
      <alignment horizontal="center" vertical="center" wrapText="1"/>
    </xf>
    <xf numFmtId="0" fontId="6" fillId="0" borderId="16" xfId="0" applyFont="1" applyBorder="1" applyAlignment="1">
      <alignment horizontal="center" vertical="center" wrapText="1"/>
    </xf>
    <xf numFmtId="0" fontId="6" fillId="0" borderId="0" xfId="0" applyFont="1" applyAlignment="1">
      <alignment horizontal="left" vertical="center"/>
    </xf>
    <xf numFmtId="9" fontId="6" fillId="0" borderId="19" xfId="10" applyFont="1" applyBorder="1" applyAlignment="1">
      <alignment horizontal="center" vertical="center" wrapText="1"/>
    </xf>
    <xf numFmtId="9" fontId="6" fillId="0" borderId="23" xfId="10" applyFont="1" applyBorder="1" applyAlignment="1">
      <alignment horizontal="center" vertical="center" wrapText="1"/>
    </xf>
    <xf numFmtId="9" fontId="6" fillId="0" borderId="16" xfId="10" applyFont="1" applyBorder="1" applyAlignment="1">
      <alignment horizontal="center" vertical="center" wrapText="1"/>
    </xf>
    <xf numFmtId="0" fontId="6" fillId="0" borderId="17" xfId="0" applyFont="1" applyBorder="1" applyAlignment="1">
      <alignment horizontal="center"/>
    </xf>
    <xf numFmtId="0" fontId="6" fillId="0" borderId="18" xfId="0" applyFont="1" applyBorder="1" applyAlignment="1">
      <alignment horizontal="center"/>
    </xf>
    <xf numFmtId="0" fontId="6" fillId="0" borderId="50" xfId="0" applyFont="1" applyBorder="1" applyAlignment="1">
      <alignment horizontal="left" vertical="center" indent="8"/>
    </xf>
    <xf numFmtId="0" fontId="6" fillId="0" borderId="12" xfId="0" applyFont="1" applyBorder="1" applyAlignment="1">
      <alignment horizontal="left" vertical="center" indent="8"/>
    </xf>
    <xf numFmtId="0" fontId="6" fillId="0" borderId="11" xfId="0" applyFont="1" applyBorder="1" applyAlignment="1">
      <alignment horizontal="left" vertical="center" indent="8"/>
    </xf>
    <xf numFmtId="0" fontId="6" fillId="0" borderId="49" xfId="0" applyFont="1" applyBorder="1" applyAlignment="1">
      <alignment horizontal="left" vertical="center" indent="8"/>
    </xf>
    <xf numFmtId="0" fontId="6" fillId="0" borderId="9" xfId="0" applyFont="1" applyBorder="1" applyAlignment="1">
      <alignment horizontal="left" vertical="center" indent="8"/>
    </xf>
    <xf numFmtId="0" fontId="6" fillId="0" borderId="18" xfId="0" applyFont="1" applyBorder="1" applyAlignment="1">
      <alignment horizontal="left" vertical="center" indent="8"/>
    </xf>
    <xf numFmtId="174" fontId="18" fillId="4" borderId="20" xfId="1" applyNumberFormat="1" applyFont="1" applyFill="1" applyBorder="1" applyAlignment="1" applyProtection="1">
      <alignment horizontal="center"/>
      <protection hidden="1"/>
    </xf>
    <xf numFmtId="180" fontId="6" fillId="0" borderId="19" xfId="0" applyNumberFormat="1" applyFont="1" applyBorder="1" applyAlignment="1">
      <alignment horizontal="center" vertical="top"/>
    </xf>
    <xf numFmtId="180" fontId="6" fillId="0" borderId="16" xfId="0" applyNumberFormat="1" applyFont="1" applyBorder="1" applyAlignment="1">
      <alignment horizontal="center" vertical="top"/>
    </xf>
    <xf numFmtId="0" fontId="6" fillId="3" borderId="17" xfId="0" applyFont="1" applyFill="1" applyBorder="1" applyAlignment="1">
      <alignment horizontal="center" vertical="center"/>
    </xf>
    <xf numFmtId="0" fontId="6" fillId="3" borderId="13" xfId="0" applyFont="1" applyFill="1" applyBorder="1" applyAlignment="1">
      <alignment horizontal="center"/>
    </xf>
    <xf numFmtId="0" fontId="6" fillId="3" borderId="14" xfId="0" applyFont="1" applyFill="1" applyBorder="1" applyAlignment="1">
      <alignment horizontal="center"/>
    </xf>
    <xf numFmtId="0" fontId="6" fillId="3" borderId="15" xfId="0" applyFont="1" applyFill="1" applyBorder="1" applyAlignment="1">
      <alignment horizontal="center"/>
    </xf>
    <xf numFmtId="0" fontId="6" fillId="3" borderId="14" xfId="0" applyFont="1" applyFill="1" applyBorder="1" applyAlignment="1">
      <alignment horizontal="center" vertical="center" wrapText="1"/>
    </xf>
    <xf numFmtId="0" fontId="6" fillId="0" borderId="13" xfId="0" applyFont="1" applyBorder="1" applyAlignment="1">
      <alignment vertical="top"/>
    </xf>
    <xf numFmtId="0" fontId="6" fillId="0" borderId="15" xfId="0" applyFont="1" applyBorder="1" applyAlignment="1">
      <alignment vertical="top"/>
    </xf>
    <xf numFmtId="0" fontId="6" fillId="0" borderId="46" xfId="0" applyFont="1" applyBorder="1" applyAlignment="1">
      <alignment vertical="top" wrapText="1"/>
    </xf>
    <xf numFmtId="0" fontId="6" fillId="0" borderId="33" xfId="0" applyFont="1" applyBorder="1" applyAlignment="1">
      <alignment vertical="top" wrapText="1"/>
    </xf>
    <xf numFmtId="0" fontId="6" fillId="3" borderId="39" xfId="0" applyFont="1" applyFill="1" applyBorder="1" applyAlignment="1">
      <alignment horizontal="center" vertical="center" wrapText="1"/>
    </xf>
    <xf numFmtId="0" fontId="6" fillId="0" borderId="13" xfId="0" applyFont="1" applyBorder="1" applyAlignment="1">
      <alignment horizontal="left" vertical="top"/>
    </xf>
    <xf numFmtId="0" fontId="6" fillId="3" borderId="1" xfId="0" applyFont="1" applyFill="1" applyBorder="1" applyAlignment="1">
      <alignment horizontal="center" vertical="center"/>
    </xf>
    <xf numFmtId="0" fontId="6" fillId="3" borderId="4" xfId="0" applyFont="1" applyFill="1" applyBorder="1" applyAlignment="1">
      <alignment horizontal="center" vertical="center"/>
    </xf>
    <xf numFmtId="0" fontId="6" fillId="3" borderId="49" xfId="0" applyFont="1" applyFill="1" applyBorder="1" applyAlignment="1">
      <alignment horizontal="center" vertical="center"/>
    </xf>
    <xf numFmtId="0" fontId="6" fillId="3" borderId="55" xfId="0" applyFont="1" applyFill="1" applyBorder="1" applyAlignment="1">
      <alignment horizontal="center" vertical="center"/>
    </xf>
    <xf numFmtId="0" fontId="6" fillId="3" borderId="2" xfId="0" applyFont="1" applyFill="1" applyBorder="1" applyAlignment="1">
      <alignment horizontal="center" vertical="center"/>
    </xf>
    <xf numFmtId="0" fontId="6" fillId="3" borderId="21" xfId="0" applyFont="1" applyFill="1" applyBorder="1" applyAlignment="1">
      <alignment horizontal="center" vertical="center"/>
    </xf>
    <xf numFmtId="0" fontId="6" fillId="3" borderId="0" xfId="0" applyFont="1" applyFill="1" applyBorder="1" applyAlignment="1">
      <alignment horizontal="center" vertical="center"/>
    </xf>
    <xf numFmtId="0" fontId="6" fillId="3" borderId="9" xfId="0" applyFont="1" applyFill="1" applyBorder="1" applyAlignment="1">
      <alignment horizontal="center" vertical="center"/>
    </xf>
    <xf numFmtId="0" fontId="35" fillId="6" borderId="0" xfId="4" applyFont="1" applyFill="1" applyAlignment="1" applyProtection="1">
      <alignment horizontal="center"/>
      <protection hidden="1"/>
    </xf>
  </cellXfs>
  <cellStyles count="11">
    <cellStyle name="Comma" xfId="1" builtinId="3"/>
    <cellStyle name="Comma 3" xfId="2"/>
    <cellStyle name="Hyperlink" xfId="3" builtinId="8"/>
    <cellStyle name="Normal" xfId="0" builtinId="0"/>
    <cellStyle name="Normal 2 3" xfId="4"/>
    <cellStyle name="Normal 3" xfId="5"/>
    <cellStyle name="Normal_03 STA" xfId="6"/>
    <cellStyle name="Normal_20 OPR" xfId="7"/>
    <cellStyle name="Normal_PSALM FINAL CREDIT RISK 18MAY06" xfId="8"/>
    <cellStyle name="Percent" xfId="9" builtinId="5"/>
    <cellStyle name="Percent 3" xfId="1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978C9E23-D4B0-11CE-BF2D-00AA003F40D0}" ax:persistence="persistStreamInit" r:id="rId1"/>
</file>

<file path=xl/activeX/activeX2.xml><?xml version="1.0" encoding="utf-8"?>
<ax:ocx xmlns:ax="http://schemas.microsoft.com/office/2006/activeX" xmlns:r="http://schemas.openxmlformats.org/officeDocument/2006/relationships" ax:classid="{978C9E23-D4B0-11CE-BF2D-00AA003F40D0}" ax:persistence="persistStreamInit" r:id="rId1"/>
</file>

<file path=xl/activeX/activeX3.xml><?xml version="1.0" encoding="utf-8"?>
<ax:ocx xmlns:ax="http://schemas.microsoft.com/office/2006/activeX" xmlns:r="http://schemas.openxmlformats.org/officeDocument/2006/relationships" ax:classid="{978C9E23-D4B0-11CE-BF2D-00AA003F40D0}" ax:persistence="persistStreamInit" r:id="rId1"/>
</file>

<file path=xl/activeX/activeX4.xml><?xml version="1.0" encoding="utf-8"?>
<ax:ocx xmlns:ax="http://schemas.microsoft.com/office/2006/activeX" xmlns:r="http://schemas.openxmlformats.org/officeDocument/2006/relationships" ax:classid="{978C9E23-D4B0-11CE-BF2D-00AA003F40D0}" ax:persistence="persistStreamInit" r:id="rId1"/>
</file>

<file path=xl/activeX/activeX5.xml><?xml version="1.0" encoding="utf-8"?>
<ax:ocx xmlns:ax="http://schemas.microsoft.com/office/2006/activeX" xmlns:r="http://schemas.openxmlformats.org/officeDocument/2006/relationships" ax:classid="{978C9E23-D4B0-11CE-BF2D-00AA003F40D0}" ax:persistence="persistStreamInit" r:id="rId1"/>
</file>

<file path=xl/activeX/activeX6.xml><?xml version="1.0" encoding="utf-8"?>
<ax:ocx xmlns:ax="http://schemas.microsoft.com/office/2006/activeX" xmlns:r="http://schemas.openxmlformats.org/officeDocument/2006/relationships" ax:classid="{978C9E23-D4B0-11CE-BF2D-00AA003F40D0}" ax:persistence="persistStreamInit" r:id="rId1"/>
</file>

<file path=xl/activeX/activeX7.xml><?xml version="1.0" encoding="utf-8"?>
<ax:ocx xmlns:ax="http://schemas.microsoft.com/office/2006/activeX" xmlns:r="http://schemas.openxmlformats.org/officeDocument/2006/relationships" ax:classid="{978C9E23-D4B0-11CE-BF2D-00AA003F40D0}" ax:persistence="persistStreamInit" r:id="rId1"/>
</file>

<file path=xl/activeX/activeX8.xml><?xml version="1.0" encoding="utf-8"?>
<ax:ocx xmlns:ax="http://schemas.microsoft.com/office/2006/activeX" xmlns:r="http://schemas.openxmlformats.org/officeDocument/2006/relationships" ax:classid="{978C9E23-D4B0-11CE-BF2D-00AA003F40D0}" ax:persistence="persistStreamInit" r:id="rId1"/>
</file>

<file path=xl/activeX/activeX9.xml><?xml version="1.0" encoding="utf-8"?>
<ax:ocx xmlns:ax="http://schemas.microsoft.com/office/2006/activeX" xmlns:r="http://schemas.openxmlformats.org/officeDocument/2006/relationships" ax:classid="{978C9E23-D4B0-11CE-BF2D-00AA003F40D0}"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6.emf"/><Relationship Id="rId1" Type="http://schemas.openxmlformats.org/officeDocument/2006/relationships/image" Target="../media/image7.emf"/><Relationship Id="rId4"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28575</xdr:colOff>
          <xdr:row>48</xdr:row>
          <xdr:rowOff>38100</xdr:rowOff>
        </xdr:from>
        <xdr:to>
          <xdr:col>8</xdr:col>
          <xdr:colOff>0</xdr:colOff>
          <xdr:row>49</xdr:row>
          <xdr:rowOff>28575</xdr:rowOff>
        </xdr:to>
        <xdr:sp macro="" textlink="">
          <xdr:nvSpPr>
            <xdr:cNvPr id="1025" name="LabelAddRow"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219075</xdr:colOff>
          <xdr:row>13</xdr:row>
          <xdr:rowOff>47625</xdr:rowOff>
        </xdr:from>
        <xdr:to>
          <xdr:col>7</xdr:col>
          <xdr:colOff>504825</xdr:colOff>
          <xdr:row>14</xdr:row>
          <xdr:rowOff>19050</xdr:rowOff>
        </xdr:to>
        <xdr:sp macro="" textlink="">
          <xdr:nvSpPr>
            <xdr:cNvPr id="2049" name="Label_psl"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228600</xdr:colOff>
          <xdr:row>18</xdr:row>
          <xdr:rowOff>38100</xdr:rowOff>
        </xdr:from>
        <xdr:to>
          <xdr:col>7</xdr:col>
          <xdr:colOff>514350</xdr:colOff>
          <xdr:row>19</xdr:row>
          <xdr:rowOff>28575</xdr:rowOff>
        </xdr:to>
        <xdr:sp macro="" textlink="">
          <xdr:nvSpPr>
            <xdr:cNvPr id="2050" name="Label_pbs"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180975</xdr:colOff>
          <xdr:row>14</xdr:row>
          <xdr:rowOff>38100</xdr:rowOff>
        </xdr:from>
        <xdr:to>
          <xdr:col>7</xdr:col>
          <xdr:colOff>466725</xdr:colOff>
          <xdr:row>15</xdr:row>
          <xdr:rowOff>0</xdr:rowOff>
        </xdr:to>
        <xdr:sp macro="" textlink="">
          <xdr:nvSpPr>
            <xdr:cNvPr id="3073" name="Label_lcds"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180975</xdr:colOff>
          <xdr:row>19</xdr:row>
          <xdr:rowOff>19050</xdr:rowOff>
        </xdr:from>
        <xdr:to>
          <xdr:col>7</xdr:col>
          <xdr:colOff>466725</xdr:colOff>
          <xdr:row>20</xdr:row>
          <xdr:rowOff>0</xdr:rowOff>
        </xdr:to>
        <xdr:sp macro="" textlink="">
          <xdr:nvSpPr>
            <xdr:cNvPr id="3074" name="Label_ltrs" hidden="1">
              <a:extLst>
                <a:ext uri="{63B3BB69-23CF-44E3-9099-C40C66FF867C}">
                  <a14:compatExt spid="_x0000_s3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209550</xdr:colOff>
          <xdr:row>25</xdr:row>
          <xdr:rowOff>28575</xdr:rowOff>
        </xdr:from>
        <xdr:to>
          <xdr:col>7</xdr:col>
          <xdr:colOff>495300</xdr:colOff>
          <xdr:row>25</xdr:row>
          <xdr:rowOff>152400</xdr:rowOff>
        </xdr:to>
        <xdr:sp macro="" textlink="">
          <xdr:nvSpPr>
            <xdr:cNvPr id="3075" name="Label_scds" hidden="1">
              <a:extLst>
                <a:ext uri="{63B3BB69-23CF-44E3-9099-C40C66FF867C}">
                  <a14:compatExt spid="_x0000_s30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209550</xdr:colOff>
          <xdr:row>30</xdr:row>
          <xdr:rowOff>28575</xdr:rowOff>
        </xdr:from>
        <xdr:to>
          <xdr:col>7</xdr:col>
          <xdr:colOff>495300</xdr:colOff>
          <xdr:row>31</xdr:row>
          <xdr:rowOff>0</xdr:rowOff>
        </xdr:to>
        <xdr:sp macro="" textlink="">
          <xdr:nvSpPr>
            <xdr:cNvPr id="3076" name="Label_strs" hidden="1">
              <a:extLst>
                <a:ext uri="{63B3BB69-23CF-44E3-9099-C40C66FF867C}">
                  <a14:compatExt spid="_x0000_s30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38100</xdr:colOff>
          <xdr:row>8</xdr:row>
          <xdr:rowOff>9525</xdr:rowOff>
        </xdr:from>
        <xdr:to>
          <xdr:col>11</xdr:col>
          <xdr:colOff>171450</xdr:colOff>
          <xdr:row>8</xdr:row>
          <xdr:rowOff>133350</xdr:rowOff>
        </xdr:to>
        <xdr:sp macro="" textlink="">
          <xdr:nvSpPr>
            <xdr:cNvPr id="4097" name="DelCol" hidden="1">
              <a:extLst>
                <a:ext uri="{63B3BB69-23CF-44E3-9099-C40C66FF867C}">
                  <a14:compatExt spid="_x0000_s40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200025</xdr:colOff>
          <xdr:row>8</xdr:row>
          <xdr:rowOff>9525</xdr:rowOff>
        </xdr:from>
        <xdr:to>
          <xdr:col>11</xdr:col>
          <xdr:colOff>361950</xdr:colOff>
          <xdr:row>9</xdr:row>
          <xdr:rowOff>19050</xdr:rowOff>
        </xdr:to>
        <xdr:sp macro="" textlink="">
          <xdr:nvSpPr>
            <xdr:cNvPr id="4098" name="AddCol" hidden="1">
              <a:extLst>
                <a:ext uri="{63B3BB69-23CF-44E3-9099-C40C66FF867C}">
                  <a14:compatExt spid="_x0000_s40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sdcrb-car@bsp.gov.ph" TargetMode="External"/><Relationship Id="rId1" Type="http://schemas.openxmlformats.org/officeDocument/2006/relationships/hyperlink" Target="mailto:sdctb-car@bsp.gov.ph"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5.bin"/><Relationship Id="rId5" Type="http://schemas.openxmlformats.org/officeDocument/2006/relationships/image" Target="../media/image1.emf"/><Relationship Id="rId4" Type="http://schemas.openxmlformats.org/officeDocument/2006/relationships/control" Target="../activeX/activeX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11.bin"/><Relationship Id="rId6" Type="http://schemas.openxmlformats.org/officeDocument/2006/relationships/control" Target="../activeX/activeX3.xml"/><Relationship Id="rId5" Type="http://schemas.openxmlformats.org/officeDocument/2006/relationships/image" Target="../media/image2.emf"/><Relationship Id="rId4" Type="http://schemas.openxmlformats.org/officeDocument/2006/relationships/control" Target="../activeX/activeX2.xml"/></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6.xml"/><Relationship Id="rId3" Type="http://schemas.openxmlformats.org/officeDocument/2006/relationships/vmlDrawing" Target="../drawings/vmlDrawing3.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12.bin"/><Relationship Id="rId6" Type="http://schemas.openxmlformats.org/officeDocument/2006/relationships/control" Target="../activeX/activeX5.xml"/><Relationship Id="rId11" Type="http://schemas.openxmlformats.org/officeDocument/2006/relationships/image" Target="../media/image7.emf"/><Relationship Id="rId5" Type="http://schemas.openxmlformats.org/officeDocument/2006/relationships/image" Target="../media/image4.emf"/><Relationship Id="rId10" Type="http://schemas.openxmlformats.org/officeDocument/2006/relationships/control" Target="../activeX/activeX7.xml"/><Relationship Id="rId4" Type="http://schemas.openxmlformats.org/officeDocument/2006/relationships/control" Target="../activeX/activeX4.xml"/><Relationship Id="rId9" Type="http://schemas.openxmlformats.org/officeDocument/2006/relationships/image" Target="../media/image6.emf"/></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image" Target="../media/image9.emf"/><Relationship Id="rId2" Type="http://schemas.openxmlformats.org/officeDocument/2006/relationships/drawing" Target="../drawings/drawing4.xml"/><Relationship Id="rId1" Type="http://schemas.openxmlformats.org/officeDocument/2006/relationships/printerSettings" Target="../printerSettings/printerSettings22.bin"/><Relationship Id="rId6" Type="http://schemas.openxmlformats.org/officeDocument/2006/relationships/control" Target="../activeX/activeX9.xml"/><Relationship Id="rId5" Type="http://schemas.openxmlformats.org/officeDocument/2006/relationships/image" Target="../media/image8.emf"/><Relationship Id="rId4" Type="http://schemas.openxmlformats.org/officeDocument/2006/relationships/control" Target="../activeX/activeX8.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Z74"/>
  <sheetViews>
    <sheetView showGridLines="0" view="pageBreakPreview" topLeftCell="A13" zoomScaleNormal="100" workbookViewId="0">
      <selection activeCell="C5" sqref="C5"/>
    </sheetView>
  </sheetViews>
  <sheetFormatPr defaultRowHeight="12.75" x14ac:dyDescent="0.2"/>
  <cols>
    <col min="1" max="1" width="1.85546875" style="1" customWidth="1"/>
    <col min="2" max="25" width="3.85546875" style="1" customWidth="1"/>
  </cols>
  <sheetData>
    <row r="1" spans="1:26" s="1" customFormat="1" ht="2.25" customHeight="1" x14ac:dyDescent="0.2"/>
    <row r="2" spans="1:26" s="1" customFormat="1" ht="2.25" customHeight="1" x14ac:dyDescent="0.2"/>
    <row r="3" spans="1:26" s="1" customFormat="1" x14ac:dyDescent="0.2">
      <c r="A3" s="2"/>
      <c r="B3" s="3" t="s">
        <v>916</v>
      </c>
      <c r="C3" s="4"/>
      <c r="D3" s="4"/>
      <c r="E3" s="4"/>
      <c r="F3" s="4"/>
      <c r="G3" s="2"/>
      <c r="H3" s="2"/>
      <c r="I3" s="2"/>
      <c r="J3" s="2"/>
      <c r="K3" s="2"/>
      <c r="L3" s="2"/>
      <c r="M3" s="2"/>
      <c r="N3" s="2"/>
      <c r="O3" s="2"/>
      <c r="P3" s="2"/>
      <c r="Q3" s="2"/>
      <c r="R3" s="2"/>
      <c r="S3" s="2"/>
      <c r="T3" s="2"/>
      <c r="U3" s="2"/>
      <c r="V3" s="2"/>
      <c r="W3" s="2"/>
      <c r="X3" s="2"/>
      <c r="Y3" s="2"/>
      <c r="Z3" s="2"/>
    </row>
    <row r="4" spans="1:26" s="1" customFormat="1" ht="9" customHeight="1" x14ac:dyDescent="0.2">
      <c r="A4" s="2"/>
      <c r="B4" s="5"/>
      <c r="C4" s="5"/>
      <c r="D4" s="5"/>
      <c r="E4" s="5"/>
      <c r="F4" s="2"/>
      <c r="G4" s="2"/>
      <c r="H4" s="2"/>
      <c r="I4" s="2"/>
      <c r="J4" s="2"/>
      <c r="K4" s="2"/>
      <c r="L4" s="2"/>
      <c r="M4" s="2"/>
      <c r="N4" s="2"/>
      <c r="O4" s="2"/>
      <c r="P4" s="2"/>
      <c r="Q4" s="2"/>
      <c r="R4" s="2"/>
      <c r="S4" s="2"/>
      <c r="T4" s="2"/>
      <c r="U4" s="2"/>
      <c r="V4" s="2"/>
      <c r="W4" s="2"/>
      <c r="X4" s="2"/>
      <c r="Y4" s="2"/>
      <c r="Z4" s="2"/>
    </row>
    <row r="5" spans="1:26" s="1" customFormat="1" ht="15.75" x14ac:dyDescent="0.2">
      <c r="A5" s="2"/>
      <c r="B5" s="5"/>
      <c r="C5" s="5"/>
      <c r="D5" s="1061" t="s">
        <v>917</v>
      </c>
      <c r="E5" s="1061"/>
      <c r="F5" s="1061"/>
      <c r="G5" s="1061"/>
      <c r="H5" s="1061"/>
      <c r="I5" s="1061"/>
      <c r="J5" s="1061"/>
      <c r="K5" s="1061"/>
      <c r="L5" s="1061"/>
      <c r="M5" s="1061"/>
      <c r="N5" s="1061"/>
      <c r="O5" s="1061"/>
      <c r="P5" s="1061"/>
      <c r="Q5" s="1061"/>
      <c r="R5" s="1061"/>
      <c r="S5" s="1061"/>
      <c r="T5" s="1061"/>
      <c r="U5" s="1061"/>
      <c r="V5" s="1061"/>
      <c r="W5" s="1061"/>
      <c r="X5" s="2"/>
      <c r="Y5" s="2"/>
      <c r="Z5" s="2"/>
    </row>
    <row r="6" spans="1:26" s="1" customFormat="1" x14ac:dyDescent="0.2">
      <c r="A6" s="2"/>
      <c r="B6" s="6"/>
      <c r="C6" s="6"/>
      <c r="D6" s="6"/>
      <c r="E6" s="6"/>
      <c r="F6" s="2"/>
      <c r="G6" s="2"/>
      <c r="H6" s="2"/>
      <c r="I6" s="2"/>
      <c r="J6" s="2"/>
      <c r="K6" s="2"/>
      <c r="L6" s="2"/>
      <c r="M6" s="2"/>
      <c r="N6" s="2"/>
      <c r="O6" s="2"/>
      <c r="P6" s="2"/>
      <c r="Q6" s="2"/>
      <c r="R6" s="2"/>
      <c r="S6" s="2"/>
      <c r="T6" s="2"/>
      <c r="U6" s="2"/>
      <c r="V6" s="2"/>
      <c r="W6" s="2"/>
      <c r="X6" s="2"/>
      <c r="Y6" s="2"/>
      <c r="Z6" s="2"/>
    </row>
    <row r="7" spans="1:26" s="1" customFormat="1" ht="10.5" customHeight="1" x14ac:dyDescent="0.2">
      <c r="A7" s="2"/>
      <c r="B7" s="2"/>
      <c r="C7" s="2"/>
      <c r="D7" s="2"/>
      <c r="E7" s="2"/>
      <c r="F7" s="7"/>
      <c r="G7" s="5"/>
      <c r="H7" s="5"/>
      <c r="I7" s="5"/>
      <c r="J7" s="5"/>
      <c r="K7" s="2"/>
      <c r="L7" s="2"/>
      <c r="M7" s="2"/>
      <c r="N7" s="2"/>
      <c r="O7" s="2"/>
      <c r="P7" s="1060" t="s">
        <v>918</v>
      </c>
      <c r="Q7" s="1060"/>
      <c r="R7" s="1060"/>
      <c r="S7" s="1060" t="s">
        <v>919</v>
      </c>
      <c r="T7" s="1060"/>
      <c r="U7" s="1060"/>
      <c r="V7" s="1060"/>
      <c r="W7" s="1060"/>
      <c r="X7" s="2"/>
      <c r="Y7" s="2"/>
      <c r="Z7" s="2"/>
    </row>
    <row r="8" spans="1:26" s="1" customFormat="1" ht="10.5" customHeight="1" x14ac:dyDescent="0.2">
      <c r="A8" s="2"/>
      <c r="B8" s="2"/>
      <c r="C8" s="2"/>
      <c r="D8" s="2"/>
      <c r="E8" s="2"/>
      <c r="F8" s="5"/>
      <c r="G8" s="5"/>
      <c r="H8" s="5"/>
      <c r="I8" s="5"/>
      <c r="J8" s="5"/>
      <c r="K8" s="2"/>
      <c r="L8" s="2"/>
      <c r="M8" s="2"/>
      <c r="N8" s="2"/>
      <c r="O8" s="2"/>
      <c r="P8" s="2"/>
      <c r="Q8" s="2"/>
      <c r="R8" s="2"/>
      <c r="S8" s="1062" t="s">
        <v>920</v>
      </c>
      <c r="T8" s="1062"/>
      <c r="U8" s="1062"/>
      <c r="V8" s="1062"/>
      <c r="W8" s="1062"/>
      <c r="X8" s="2"/>
      <c r="Y8" s="2"/>
      <c r="Z8" s="2"/>
    </row>
    <row r="9" spans="1:26" s="1" customFormat="1" ht="10.5" customHeight="1" x14ac:dyDescent="0.2">
      <c r="A9" s="2"/>
      <c r="B9" s="2"/>
      <c r="C9" s="2"/>
      <c r="D9" s="2"/>
      <c r="E9" s="2"/>
      <c r="F9" s="7"/>
      <c r="G9" s="5"/>
      <c r="H9" s="5"/>
      <c r="I9" s="5"/>
      <c r="J9" s="5"/>
      <c r="K9" s="2"/>
      <c r="L9" s="2"/>
      <c r="M9" s="2"/>
      <c r="N9" s="2"/>
      <c r="O9" s="2"/>
      <c r="P9" s="2"/>
      <c r="Q9" s="2"/>
      <c r="R9" s="2"/>
      <c r="S9" s="1060" t="s">
        <v>921</v>
      </c>
      <c r="T9" s="1060"/>
      <c r="U9" s="1060"/>
      <c r="V9" s="1060"/>
      <c r="W9" s="1060"/>
      <c r="X9" s="2"/>
      <c r="Y9" s="2"/>
      <c r="Z9" s="2"/>
    </row>
    <row r="10" spans="1:26" s="1" customFormat="1" ht="6.75" customHeight="1" x14ac:dyDescent="0.2">
      <c r="A10" s="2"/>
      <c r="B10" s="2"/>
      <c r="C10" s="2"/>
      <c r="D10" s="2"/>
      <c r="E10" s="2"/>
      <c r="F10" s="5"/>
      <c r="G10" s="5"/>
      <c r="H10" s="5"/>
      <c r="I10" s="5"/>
      <c r="J10" s="5"/>
      <c r="K10" s="2"/>
      <c r="L10" s="2"/>
      <c r="M10" s="2"/>
      <c r="N10" s="2"/>
      <c r="O10" s="2"/>
      <c r="P10" s="2"/>
      <c r="Q10" s="2"/>
      <c r="R10" s="2"/>
      <c r="S10" s="2"/>
      <c r="T10" s="2"/>
      <c r="U10" s="2"/>
      <c r="V10" s="2"/>
      <c r="W10" s="2"/>
      <c r="X10" s="2"/>
      <c r="Y10" s="2"/>
      <c r="Z10" s="2"/>
    </row>
    <row r="11" spans="1:26" s="1" customFormat="1" ht="10.5" customHeight="1" x14ac:dyDescent="0.2">
      <c r="A11" s="2"/>
      <c r="B11" s="2"/>
      <c r="C11" s="2"/>
      <c r="D11" s="2"/>
      <c r="E11" s="2"/>
      <c r="F11" s="5"/>
      <c r="G11" s="5"/>
      <c r="H11" s="5"/>
      <c r="I11" s="5"/>
      <c r="J11" s="5"/>
      <c r="K11" s="2"/>
      <c r="L11" s="2"/>
      <c r="M11" s="2"/>
      <c r="N11" s="2"/>
      <c r="O11" s="2"/>
      <c r="P11" s="2"/>
      <c r="Q11" s="2"/>
      <c r="R11" s="2"/>
      <c r="S11" s="1060" t="s">
        <v>922</v>
      </c>
      <c r="T11" s="1060"/>
      <c r="U11" s="1060"/>
      <c r="V11" s="1060"/>
      <c r="W11" s="1060"/>
      <c r="X11" s="2"/>
      <c r="Y11" s="2"/>
      <c r="Z11" s="2"/>
    </row>
    <row r="12" spans="1:26" s="1" customFormat="1" ht="10.5" customHeight="1" x14ac:dyDescent="0.2">
      <c r="A12" s="2"/>
      <c r="B12" s="2"/>
      <c r="C12" s="2"/>
      <c r="D12" s="2"/>
      <c r="E12" s="2"/>
      <c r="F12" s="5"/>
      <c r="G12" s="5"/>
      <c r="H12" s="5"/>
      <c r="I12" s="5"/>
      <c r="J12" s="5"/>
      <c r="K12" s="2"/>
      <c r="L12" s="2"/>
      <c r="M12" s="2"/>
      <c r="N12" s="2"/>
      <c r="O12" s="2"/>
      <c r="P12" s="2"/>
      <c r="Q12" s="2"/>
      <c r="R12" s="2"/>
      <c r="S12" s="1060" t="s">
        <v>920</v>
      </c>
      <c r="T12" s="1060"/>
      <c r="U12" s="1060"/>
      <c r="V12" s="1060"/>
      <c r="W12" s="1060"/>
      <c r="X12" s="2"/>
      <c r="Y12" s="2"/>
      <c r="Z12" s="2"/>
    </row>
    <row r="13" spans="1:26" s="1" customFormat="1" ht="10.5" customHeight="1" x14ac:dyDescent="0.2">
      <c r="A13" s="2"/>
      <c r="B13" s="2"/>
      <c r="C13" s="2"/>
      <c r="D13" s="2"/>
      <c r="E13" s="2"/>
      <c r="F13" s="5"/>
      <c r="G13" s="5"/>
      <c r="H13" s="5"/>
      <c r="I13" s="5"/>
      <c r="J13" s="5"/>
      <c r="K13" s="2"/>
      <c r="L13" s="2"/>
      <c r="M13" s="2"/>
      <c r="N13" s="2"/>
      <c r="O13" s="2"/>
      <c r="P13" s="2"/>
      <c r="Q13" s="2"/>
      <c r="R13" s="2"/>
      <c r="S13" s="1060" t="s">
        <v>923</v>
      </c>
      <c r="T13" s="1060"/>
      <c r="U13" s="1060"/>
      <c r="V13" s="1060"/>
      <c r="W13" s="1060"/>
      <c r="X13" s="2"/>
      <c r="Y13" s="2"/>
      <c r="Z13" s="2"/>
    </row>
    <row r="14" spans="1:26" s="1" customFormat="1" ht="6.75" customHeight="1" x14ac:dyDescent="0.2">
      <c r="A14" s="2"/>
      <c r="B14" s="2"/>
      <c r="C14" s="2"/>
      <c r="D14" s="2"/>
      <c r="E14" s="2"/>
      <c r="F14" s="5"/>
      <c r="G14" s="5"/>
      <c r="H14" s="5"/>
      <c r="I14" s="5"/>
      <c r="J14" s="5"/>
      <c r="K14" s="2"/>
      <c r="L14" s="2"/>
      <c r="M14" s="2"/>
      <c r="N14" s="2"/>
      <c r="O14" s="2"/>
      <c r="P14" s="2"/>
      <c r="Q14" s="2"/>
      <c r="R14" s="2"/>
      <c r="S14" s="2"/>
      <c r="T14" s="2"/>
      <c r="U14" s="2"/>
      <c r="V14" s="2"/>
      <c r="W14" s="2"/>
      <c r="X14" s="2"/>
      <c r="Y14" s="2"/>
      <c r="Z14" s="2"/>
    </row>
    <row r="15" spans="1:26" s="1" customFormat="1" ht="9.75" customHeight="1" x14ac:dyDescent="0.2">
      <c r="A15" s="2"/>
      <c r="B15" s="2"/>
      <c r="C15" s="2"/>
      <c r="D15" s="2"/>
      <c r="E15" s="2"/>
      <c r="F15" s="5"/>
      <c r="G15" s="5"/>
      <c r="H15" s="5"/>
      <c r="I15" s="5"/>
      <c r="J15" s="5"/>
      <c r="K15" s="2"/>
      <c r="L15" s="2"/>
      <c r="M15" s="2"/>
      <c r="N15" s="2"/>
      <c r="O15" s="2"/>
      <c r="P15" s="1060" t="s">
        <v>924</v>
      </c>
      <c r="Q15" s="1060"/>
      <c r="R15" s="1060"/>
      <c r="S15" s="3" t="s">
        <v>925</v>
      </c>
      <c r="T15" s="8"/>
      <c r="U15" s="8"/>
      <c r="V15" s="8"/>
      <c r="W15" s="8"/>
      <c r="X15" s="8"/>
      <c r="Y15" s="2"/>
      <c r="Z15" s="2"/>
    </row>
    <row r="16" spans="1:26" s="1" customFormat="1" ht="10.5" customHeight="1" x14ac:dyDescent="0.2">
      <c r="A16" s="2"/>
      <c r="B16" s="2"/>
      <c r="C16" s="2"/>
      <c r="D16" s="2"/>
      <c r="E16" s="2"/>
      <c r="F16" s="5"/>
      <c r="G16" s="5"/>
      <c r="H16" s="2"/>
      <c r="I16" s="5"/>
      <c r="J16" s="5"/>
      <c r="K16" s="2"/>
      <c r="L16" s="2"/>
      <c r="M16" s="2"/>
      <c r="N16" s="2"/>
      <c r="O16" s="2"/>
      <c r="P16" s="2"/>
      <c r="Q16" s="2"/>
      <c r="R16" s="2"/>
      <c r="S16" s="1060" t="s">
        <v>926</v>
      </c>
      <c r="T16" s="1060"/>
      <c r="U16" s="1060"/>
      <c r="V16" s="1060"/>
      <c r="W16" s="1060"/>
      <c r="X16" s="2"/>
      <c r="Y16" s="2"/>
      <c r="Z16" s="2"/>
    </row>
    <row r="17" spans="1:26" s="1" customFormat="1" ht="10.5" customHeight="1" x14ac:dyDescent="0.2">
      <c r="A17" s="2"/>
      <c r="B17" s="2"/>
      <c r="C17" s="2"/>
      <c r="D17" s="2"/>
      <c r="E17" s="2"/>
      <c r="F17" s="5"/>
      <c r="G17" s="5"/>
      <c r="H17" s="2"/>
      <c r="I17" s="5"/>
      <c r="J17" s="5"/>
      <c r="K17" s="2"/>
      <c r="L17" s="2"/>
      <c r="M17" s="2"/>
      <c r="N17" s="2"/>
      <c r="O17" s="2"/>
      <c r="P17" s="2"/>
      <c r="Q17" s="2"/>
      <c r="R17" s="2"/>
      <c r="S17" s="9" t="s">
        <v>927</v>
      </c>
      <c r="T17" s="10"/>
      <c r="U17" s="10"/>
      <c r="V17" s="10"/>
      <c r="W17" s="10"/>
      <c r="X17" s="2"/>
      <c r="Y17" s="2"/>
      <c r="Z17" s="2"/>
    </row>
    <row r="18" spans="1:26" s="1" customFormat="1" ht="10.5" customHeight="1" x14ac:dyDescent="0.2">
      <c r="A18" s="2"/>
      <c r="B18" s="2"/>
      <c r="C18" s="2"/>
      <c r="D18" s="2"/>
      <c r="E18" s="2"/>
      <c r="F18" s="5"/>
      <c r="G18" s="5"/>
      <c r="H18" s="2"/>
      <c r="I18" s="5"/>
      <c r="J18" s="5"/>
      <c r="K18" s="2"/>
      <c r="L18" s="2"/>
      <c r="M18" s="2"/>
      <c r="N18" s="2"/>
      <c r="O18" s="2"/>
      <c r="P18" s="2"/>
      <c r="Q18" s="2"/>
      <c r="R18" s="2"/>
      <c r="S18" s="9" t="s">
        <v>928</v>
      </c>
      <c r="T18" s="10"/>
      <c r="U18" s="10"/>
      <c r="V18" s="10"/>
      <c r="W18" s="10"/>
      <c r="X18" s="2"/>
      <c r="Y18" s="2"/>
      <c r="Z18" s="2"/>
    </row>
    <row r="19" spans="1:26" s="1" customFormat="1" x14ac:dyDescent="0.2">
      <c r="A19" s="2"/>
      <c r="B19" s="2"/>
      <c r="C19" s="2"/>
      <c r="D19" s="2"/>
      <c r="E19" s="2"/>
      <c r="F19" s="6"/>
      <c r="G19" s="2"/>
      <c r="H19" s="6"/>
      <c r="I19" s="6"/>
      <c r="J19" s="6"/>
      <c r="K19" s="2"/>
      <c r="L19" s="2"/>
      <c r="M19" s="2"/>
      <c r="N19" s="2"/>
      <c r="O19" s="2"/>
      <c r="P19" s="2"/>
      <c r="Q19" s="2"/>
      <c r="R19" s="2"/>
      <c r="S19" s="2"/>
      <c r="T19" s="2"/>
      <c r="U19" s="2"/>
      <c r="V19" s="2"/>
      <c r="W19" s="2"/>
      <c r="X19" s="2"/>
      <c r="Y19" s="2"/>
      <c r="Z19" s="2"/>
    </row>
    <row r="20" spans="1:26" s="1" customFormat="1" ht="7.5" customHeight="1" x14ac:dyDescent="0.2">
      <c r="A20" s="2"/>
      <c r="B20" s="2"/>
      <c r="C20" s="2"/>
      <c r="D20" s="2"/>
      <c r="E20" s="2"/>
      <c r="F20" s="6"/>
      <c r="G20" s="2"/>
      <c r="H20" s="2"/>
      <c r="I20" s="2"/>
      <c r="J20" s="2"/>
      <c r="K20" s="2"/>
      <c r="L20" s="2"/>
      <c r="M20" s="2"/>
      <c r="N20" s="2"/>
      <c r="O20" s="2"/>
      <c r="P20" s="2"/>
      <c r="Q20" s="2"/>
      <c r="R20" s="2"/>
      <c r="S20" s="2"/>
      <c r="T20" s="2"/>
      <c r="U20" s="2"/>
      <c r="V20" s="2"/>
      <c r="W20" s="2"/>
      <c r="X20" s="2"/>
      <c r="Y20" s="2"/>
      <c r="Z20" s="2"/>
    </row>
    <row r="21" spans="1:26" s="1" customFormat="1" x14ac:dyDescent="0.2">
      <c r="A21" s="2"/>
      <c r="B21" s="2"/>
      <c r="C21" s="2"/>
      <c r="D21" s="2"/>
      <c r="E21" s="2"/>
      <c r="F21" s="1066" t="s">
        <v>929</v>
      </c>
      <c r="G21" s="1066"/>
      <c r="H21" s="1066"/>
      <c r="I21" s="1066"/>
      <c r="J21" s="1066"/>
      <c r="K21" s="1066"/>
      <c r="L21" s="1066"/>
      <c r="M21" s="1066"/>
      <c r="N21" s="1066"/>
      <c r="O21" s="1066"/>
      <c r="P21" s="1066"/>
      <c r="Q21" s="1066"/>
      <c r="R21" s="1066"/>
      <c r="S21" s="1066"/>
      <c r="T21" s="1066"/>
      <c r="U21" s="1066"/>
      <c r="V21" s="2"/>
      <c r="W21" s="2"/>
      <c r="X21" s="2"/>
      <c r="Y21" s="2"/>
      <c r="Z21" s="2"/>
    </row>
    <row r="22" spans="1:26" s="1" customFormat="1" ht="14.25" customHeight="1" x14ac:dyDescent="0.2">
      <c r="A22" s="2"/>
      <c r="B22" s="2"/>
      <c r="C22" s="2"/>
      <c r="D22" s="2"/>
      <c r="E22" s="2"/>
      <c r="F22" s="2"/>
      <c r="G22" s="2"/>
      <c r="H22" s="2"/>
      <c r="I22" s="1066" t="s">
        <v>930</v>
      </c>
      <c r="J22" s="1066"/>
      <c r="K22" s="1066"/>
      <c r="L22" s="1066"/>
      <c r="M22" s="1066"/>
      <c r="N22" s="1066"/>
      <c r="O22" s="1066"/>
      <c r="P22" s="1066"/>
      <c r="Q22" s="1066"/>
      <c r="R22" s="1066"/>
      <c r="S22" s="2"/>
      <c r="T22" s="2"/>
      <c r="U22" s="2"/>
      <c r="V22" s="2"/>
      <c r="W22" s="2"/>
      <c r="X22" s="2"/>
      <c r="Y22" s="2"/>
      <c r="Z22" s="2"/>
    </row>
    <row r="23" spans="1:26" s="1" customFormat="1" ht="8.25" customHeight="1" x14ac:dyDescent="0.2">
      <c r="A23" s="2"/>
      <c r="B23" s="2"/>
      <c r="C23" s="2"/>
      <c r="D23" s="2"/>
      <c r="E23" s="2"/>
      <c r="F23" s="6"/>
      <c r="G23" s="6"/>
      <c r="H23" s="6"/>
      <c r="I23" s="6"/>
      <c r="J23" s="2"/>
      <c r="K23" s="2"/>
      <c r="L23" s="2"/>
      <c r="M23" s="2"/>
      <c r="N23" s="2"/>
      <c r="O23" s="2"/>
      <c r="P23" s="2"/>
      <c r="Q23" s="2"/>
      <c r="R23" s="2"/>
      <c r="S23" s="2"/>
      <c r="T23" s="2"/>
      <c r="U23" s="2"/>
      <c r="V23" s="2"/>
      <c r="W23" s="2"/>
      <c r="X23" s="2"/>
      <c r="Y23" s="2"/>
      <c r="Z23" s="2"/>
    </row>
    <row r="24" spans="1:26" s="1" customFormat="1" ht="13.5" thickBot="1" x14ac:dyDescent="0.25">
      <c r="A24" s="2"/>
      <c r="B24" s="2"/>
      <c r="C24" s="2"/>
      <c r="D24" s="2"/>
      <c r="E24" s="2"/>
      <c r="F24" s="6"/>
      <c r="G24" s="2"/>
      <c r="H24" s="2"/>
      <c r="I24" s="2"/>
      <c r="J24" s="2"/>
      <c r="K24" s="2"/>
      <c r="L24" s="2"/>
      <c r="M24" s="2"/>
      <c r="N24" s="2"/>
      <c r="O24" s="2"/>
      <c r="P24" s="2"/>
      <c r="Q24" s="2"/>
      <c r="R24" s="2"/>
      <c r="S24" s="2"/>
      <c r="T24" s="2"/>
      <c r="U24" s="2"/>
      <c r="V24" s="2"/>
      <c r="W24" s="2"/>
      <c r="X24" s="2"/>
      <c r="Y24" s="2"/>
      <c r="Z24" s="2"/>
    </row>
    <row r="25" spans="1:26" s="1" customFormat="1" ht="7.5" customHeight="1" x14ac:dyDescent="0.2">
      <c r="A25" s="2"/>
      <c r="B25" s="2"/>
      <c r="C25" s="2"/>
      <c r="D25" s="2"/>
      <c r="E25" s="11"/>
      <c r="F25" s="12"/>
      <c r="G25" s="13"/>
      <c r="H25" s="13"/>
      <c r="I25" s="13"/>
      <c r="J25" s="13"/>
      <c r="K25" s="13"/>
      <c r="L25" s="12"/>
      <c r="M25" s="12"/>
      <c r="N25" s="12"/>
      <c r="O25" s="12"/>
      <c r="P25" s="12"/>
      <c r="Q25" s="12"/>
      <c r="R25" s="12"/>
      <c r="S25" s="12"/>
      <c r="T25" s="12"/>
      <c r="U25" s="12"/>
      <c r="V25" s="14"/>
      <c r="W25" s="2"/>
      <c r="X25" s="2"/>
      <c r="Y25" s="2"/>
      <c r="Z25" s="2"/>
    </row>
    <row r="26" spans="1:26" s="1" customFormat="1" x14ac:dyDescent="0.2">
      <c r="A26" s="2"/>
      <c r="B26" s="2"/>
      <c r="C26" s="2"/>
      <c r="D26" s="2"/>
      <c r="E26" s="15"/>
      <c r="F26" s="1063" t="s">
        <v>1686</v>
      </c>
      <c r="G26" s="1063"/>
      <c r="H26" s="1063"/>
      <c r="I26" s="1063"/>
      <c r="J26" s="1063"/>
      <c r="K26" s="1063"/>
      <c r="L26" s="1063"/>
      <c r="M26" s="1063"/>
      <c r="N26" s="1063"/>
      <c r="O26" s="1063"/>
      <c r="P26" s="1063"/>
      <c r="Q26" s="1063"/>
      <c r="R26" s="16"/>
      <c r="S26" s="1064">
        <v>40656</v>
      </c>
      <c r="T26" s="1064"/>
      <c r="U26" s="1064"/>
      <c r="V26" s="17"/>
      <c r="W26" s="2"/>
      <c r="X26" s="2"/>
      <c r="Y26" s="2"/>
      <c r="Z26" s="2"/>
    </row>
    <row r="27" spans="1:26" s="1" customFormat="1" ht="12" customHeight="1" x14ac:dyDescent="0.2">
      <c r="A27" s="2"/>
      <c r="B27" s="2"/>
      <c r="C27" s="2"/>
      <c r="D27" s="2"/>
      <c r="E27" s="15"/>
      <c r="F27" s="1065" t="s">
        <v>932</v>
      </c>
      <c r="G27" s="1065"/>
      <c r="H27" s="1065"/>
      <c r="I27" s="1065"/>
      <c r="J27" s="1065"/>
      <c r="K27" s="1065"/>
      <c r="L27" s="1065"/>
      <c r="M27" s="1065"/>
      <c r="N27" s="1065"/>
      <c r="O27" s="1065"/>
      <c r="P27" s="1065"/>
      <c r="Q27" s="1065"/>
      <c r="R27" s="16"/>
      <c r="S27" s="1065" t="s">
        <v>933</v>
      </c>
      <c r="T27" s="1065"/>
      <c r="U27" s="1065"/>
      <c r="V27" s="17"/>
      <c r="W27" s="2"/>
      <c r="X27" s="2"/>
      <c r="Y27" s="2"/>
      <c r="Z27" s="2"/>
    </row>
    <row r="28" spans="1:26" s="1" customFormat="1" ht="7.5" customHeight="1" x14ac:dyDescent="0.2">
      <c r="A28" s="2"/>
      <c r="B28" s="2"/>
      <c r="C28" s="2"/>
      <c r="D28" s="2"/>
      <c r="E28" s="15"/>
      <c r="F28" s="16"/>
      <c r="G28" s="18"/>
      <c r="H28" s="18"/>
      <c r="I28" s="18"/>
      <c r="J28" s="18"/>
      <c r="K28" s="18"/>
      <c r="L28" s="16"/>
      <c r="M28" s="16"/>
      <c r="N28" s="16"/>
      <c r="O28" s="16"/>
      <c r="P28" s="16"/>
      <c r="Q28" s="16"/>
      <c r="R28" s="16"/>
      <c r="S28" s="16"/>
      <c r="T28" s="16"/>
      <c r="U28" s="16"/>
      <c r="V28" s="17"/>
      <c r="W28" s="2"/>
      <c r="X28" s="2"/>
      <c r="Y28" s="2"/>
      <c r="Z28" s="2"/>
    </row>
    <row r="29" spans="1:26" s="1" customFormat="1" ht="13.5" x14ac:dyDescent="0.2">
      <c r="A29" s="2"/>
      <c r="B29" s="2"/>
      <c r="C29" s="2"/>
      <c r="D29" s="2"/>
      <c r="E29" s="15"/>
      <c r="F29" s="1070"/>
      <c r="G29" s="1070"/>
      <c r="H29" s="1070"/>
      <c r="I29" s="1070"/>
      <c r="J29" s="1070"/>
      <c r="K29" s="1070"/>
      <c r="L29" s="1070"/>
      <c r="M29" s="1070"/>
      <c r="N29" s="1070"/>
      <c r="O29" s="1070"/>
      <c r="P29" s="1070"/>
      <c r="Q29" s="1070"/>
      <c r="R29" s="1070"/>
      <c r="S29" s="1070"/>
      <c r="T29" s="1070"/>
      <c r="U29" s="1070"/>
      <c r="V29" s="17"/>
      <c r="W29" s="2"/>
      <c r="X29" s="2"/>
      <c r="Y29" s="2"/>
      <c r="Z29" s="2"/>
    </row>
    <row r="30" spans="1:26" s="1" customFormat="1" ht="13.5" x14ac:dyDescent="0.2">
      <c r="A30" s="2"/>
      <c r="B30" s="2"/>
      <c r="C30" s="2"/>
      <c r="D30" s="2"/>
      <c r="E30" s="15"/>
      <c r="F30" s="1071"/>
      <c r="G30" s="1071"/>
      <c r="H30" s="1071"/>
      <c r="I30" s="1071"/>
      <c r="J30" s="1071"/>
      <c r="K30" s="1071"/>
      <c r="L30" s="1071"/>
      <c r="M30" s="1071"/>
      <c r="N30" s="1071"/>
      <c r="O30" s="1071"/>
      <c r="P30" s="1071"/>
      <c r="Q30" s="1071"/>
      <c r="R30" s="1071"/>
      <c r="S30" s="1071"/>
      <c r="T30" s="1071"/>
      <c r="U30" s="1071"/>
      <c r="V30" s="17"/>
      <c r="W30" s="2"/>
      <c r="X30" s="2"/>
      <c r="Y30" s="2"/>
      <c r="Z30" s="2"/>
    </row>
    <row r="31" spans="1:26" s="1" customFormat="1" ht="12.75" customHeight="1" x14ac:dyDescent="0.2">
      <c r="A31" s="2"/>
      <c r="B31" s="2"/>
      <c r="C31" s="2"/>
      <c r="D31" s="2"/>
      <c r="E31" s="15"/>
      <c r="F31" s="1068" t="s">
        <v>934</v>
      </c>
      <c r="G31" s="1068"/>
      <c r="H31" s="1068"/>
      <c r="I31" s="1068"/>
      <c r="J31" s="1068"/>
      <c r="K31" s="1068"/>
      <c r="L31" s="1068"/>
      <c r="M31" s="1068"/>
      <c r="N31" s="1068"/>
      <c r="O31" s="1068"/>
      <c r="P31" s="1068"/>
      <c r="Q31" s="1068"/>
      <c r="R31" s="1068"/>
      <c r="S31" s="1068"/>
      <c r="T31" s="1068"/>
      <c r="U31" s="1068"/>
      <c r="V31" s="17"/>
      <c r="W31" s="2"/>
      <c r="X31" s="2"/>
      <c r="Y31" s="2"/>
      <c r="Z31" s="2"/>
    </row>
    <row r="32" spans="1:26" s="1" customFormat="1" ht="7.5" customHeight="1" thickBot="1" x14ac:dyDescent="0.25">
      <c r="A32" s="2"/>
      <c r="B32" s="2"/>
      <c r="C32" s="2"/>
      <c r="D32" s="2"/>
      <c r="E32" s="19"/>
      <c r="F32" s="20"/>
      <c r="G32" s="21"/>
      <c r="H32" s="21"/>
      <c r="I32" s="21"/>
      <c r="J32" s="21"/>
      <c r="K32" s="21"/>
      <c r="L32" s="20"/>
      <c r="M32" s="20"/>
      <c r="N32" s="20"/>
      <c r="O32" s="20"/>
      <c r="P32" s="20"/>
      <c r="Q32" s="20"/>
      <c r="R32" s="20"/>
      <c r="S32" s="20"/>
      <c r="T32" s="20"/>
      <c r="U32" s="20"/>
      <c r="V32" s="22"/>
      <c r="W32" s="2"/>
      <c r="X32" s="2"/>
      <c r="Y32" s="2"/>
      <c r="Z32" s="2"/>
    </row>
    <row r="33" spans="1:26" s="1" customFormat="1" x14ac:dyDescent="0.2">
      <c r="A33" s="2"/>
      <c r="B33" s="2"/>
      <c r="C33" s="2"/>
      <c r="D33" s="2"/>
      <c r="E33" s="2"/>
      <c r="F33" s="6"/>
      <c r="G33" s="2"/>
      <c r="H33" s="2"/>
      <c r="I33" s="2"/>
      <c r="J33" s="2"/>
      <c r="K33" s="2"/>
      <c r="L33" s="2"/>
      <c r="M33" s="2"/>
      <c r="N33" s="2"/>
      <c r="O33" s="2"/>
      <c r="P33" s="2"/>
      <c r="Q33" s="2"/>
      <c r="R33" s="2"/>
      <c r="S33" s="2"/>
      <c r="T33" s="2"/>
      <c r="U33" s="2"/>
      <c r="V33" s="2"/>
      <c r="W33" s="2"/>
      <c r="X33" s="2"/>
      <c r="Y33" s="2"/>
      <c r="Z33" s="2"/>
    </row>
    <row r="34" spans="1:26" s="1" customFormat="1" x14ac:dyDescent="0.2">
      <c r="A34" s="2"/>
      <c r="B34" s="2"/>
      <c r="C34" s="2"/>
      <c r="D34" s="2"/>
      <c r="E34" s="2"/>
      <c r="F34" s="6"/>
      <c r="G34" s="2"/>
      <c r="H34" s="2"/>
      <c r="I34" s="2"/>
      <c r="J34" s="2"/>
      <c r="K34" s="2"/>
      <c r="L34" s="2"/>
      <c r="M34" s="2"/>
      <c r="N34" s="2"/>
      <c r="O34" s="2"/>
      <c r="P34" s="2"/>
      <c r="Q34" s="2"/>
      <c r="R34" s="2"/>
      <c r="S34" s="2"/>
      <c r="T34" s="2"/>
      <c r="U34" s="2"/>
      <c r="V34" s="2"/>
      <c r="W34" s="2"/>
      <c r="X34" s="2"/>
      <c r="Y34" s="2"/>
      <c r="Z34" s="2"/>
    </row>
    <row r="35" spans="1:26" s="1" customFormat="1" x14ac:dyDescent="0.2">
      <c r="A35" s="2"/>
      <c r="B35" s="2"/>
      <c r="C35" s="2"/>
      <c r="D35" s="2"/>
      <c r="E35" s="1066" t="s">
        <v>917</v>
      </c>
      <c r="F35" s="1066"/>
      <c r="G35" s="1066"/>
      <c r="H35" s="1066"/>
      <c r="I35" s="1066"/>
      <c r="J35" s="1066"/>
      <c r="K35" s="1066"/>
      <c r="L35" s="1066"/>
      <c r="M35" s="1066"/>
      <c r="N35" s="1066"/>
      <c r="O35" s="1066"/>
      <c r="P35" s="1066"/>
      <c r="Q35" s="1066"/>
      <c r="R35" s="1066"/>
      <c r="S35" s="1066"/>
      <c r="T35" s="1066"/>
      <c r="U35" s="1066"/>
      <c r="V35" s="1066"/>
      <c r="W35" s="2"/>
      <c r="X35" s="2"/>
      <c r="Y35" s="2"/>
      <c r="Z35" s="2"/>
    </row>
    <row r="36" spans="1:26" s="1" customFormat="1" x14ac:dyDescent="0.2">
      <c r="A36" s="2"/>
      <c r="B36" s="2"/>
      <c r="C36" s="2"/>
      <c r="D36" s="2"/>
      <c r="E36" s="1066" t="s">
        <v>935</v>
      </c>
      <c r="F36" s="1066"/>
      <c r="G36" s="1066"/>
      <c r="H36" s="1066"/>
      <c r="I36" s="1066"/>
      <c r="J36" s="1066"/>
      <c r="K36" s="1066"/>
      <c r="L36" s="1066"/>
      <c r="M36" s="1066"/>
      <c r="N36" s="1066"/>
      <c r="O36" s="1066"/>
      <c r="P36" s="1066"/>
      <c r="Q36" s="1066"/>
      <c r="R36" s="1066"/>
      <c r="S36" s="1066"/>
      <c r="T36" s="1066"/>
      <c r="U36" s="1066"/>
      <c r="V36" s="1066"/>
      <c r="W36" s="2"/>
      <c r="X36" s="2"/>
      <c r="Y36" s="2"/>
      <c r="Z36" s="2"/>
    </row>
    <row r="37" spans="1:26" s="1" customFormat="1" ht="22.5" customHeight="1" x14ac:dyDescent="0.2">
      <c r="A37" s="2"/>
      <c r="B37" s="23"/>
      <c r="C37" s="23"/>
      <c r="D37" s="23"/>
      <c r="E37" s="24"/>
      <c r="F37" s="16"/>
      <c r="G37" s="16"/>
      <c r="H37" s="1067" t="s">
        <v>936</v>
      </c>
      <c r="I37" s="1067"/>
      <c r="J37" s="1067"/>
      <c r="K37" s="1067"/>
      <c r="L37" s="1067"/>
      <c r="M37" s="1067"/>
      <c r="N37" s="1067"/>
      <c r="O37" s="1067"/>
      <c r="P37" s="1067"/>
      <c r="Q37" s="1067"/>
      <c r="R37" s="1067"/>
      <c r="S37" s="1067"/>
      <c r="T37" s="2"/>
      <c r="U37" s="2"/>
      <c r="V37" s="2"/>
      <c r="W37" s="2"/>
      <c r="X37" s="2"/>
      <c r="Y37" s="2"/>
      <c r="Z37" s="2"/>
    </row>
    <row r="38" spans="1:26" s="1" customFormat="1" x14ac:dyDescent="0.2">
      <c r="A38" s="2"/>
      <c r="B38" s="23"/>
      <c r="C38" s="23"/>
      <c r="D38" s="23"/>
      <c r="E38" s="2"/>
      <c r="F38" s="2"/>
      <c r="G38" s="2"/>
      <c r="H38" s="1068" t="s">
        <v>937</v>
      </c>
      <c r="I38" s="1068"/>
      <c r="J38" s="1068"/>
      <c r="K38" s="1068"/>
      <c r="L38" s="1068"/>
      <c r="M38" s="1068"/>
      <c r="N38" s="1068"/>
      <c r="O38" s="1068"/>
      <c r="P38" s="1068"/>
      <c r="Q38" s="1068"/>
      <c r="R38" s="1068"/>
      <c r="S38" s="1068"/>
      <c r="T38" s="2"/>
      <c r="U38" s="2"/>
      <c r="V38" s="2"/>
      <c r="W38" s="2"/>
      <c r="X38" s="2"/>
      <c r="Y38" s="2"/>
      <c r="Z38" s="2"/>
    </row>
    <row r="39" spans="1:26" s="1" customFormat="1" ht="10.5" customHeight="1" x14ac:dyDescent="0.2">
      <c r="A39" s="2"/>
      <c r="B39" s="23"/>
      <c r="C39" s="23"/>
      <c r="D39" s="23"/>
      <c r="E39" s="23"/>
      <c r="F39" s="23"/>
      <c r="G39" s="23"/>
      <c r="H39" s="23"/>
      <c r="I39" s="23"/>
      <c r="J39" s="23"/>
      <c r="K39" s="23"/>
      <c r="L39" s="23"/>
      <c r="M39" s="2"/>
      <c r="N39" s="2"/>
      <c r="O39" s="2"/>
      <c r="P39" s="2"/>
      <c r="Q39" s="2"/>
      <c r="R39" s="2"/>
      <c r="S39" s="2"/>
      <c r="T39" s="2"/>
      <c r="U39" s="2"/>
      <c r="V39" s="2"/>
      <c r="W39" s="2"/>
      <c r="X39" s="2"/>
      <c r="Y39" s="2"/>
      <c r="Z39" s="2"/>
    </row>
    <row r="40" spans="1:26" s="1" customFormat="1" ht="13.5" thickBot="1" x14ac:dyDescent="0.25">
      <c r="A40" s="2"/>
      <c r="B40" s="2"/>
      <c r="C40" s="2"/>
      <c r="D40" s="2"/>
      <c r="E40" s="2"/>
      <c r="F40" s="6"/>
      <c r="G40" s="2"/>
      <c r="H40" s="2"/>
      <c r="I40" s="2"/>
      <c r="J40" s="2"/>
      <c r="K40" s="2"/>
      <c r="L40" s="2"/>
      <c r="M40" s="2"/>
      <c r="N40" s="2"/>
      <c r="O40" s="2"/>
      <c r="P40" s="2"/>
      <c r="Q40" s="2"/>
      <c r="R40" s="2"/>
      <c r="S40" s="2"/>
      <c r="T40" s="2"/>
      <c r="U40" s="2"/>
      <c r="V40" s="2"/>
      <c r="W40" s="2"/>
      <c r="X40" s="2"/>
      <c r="Y40" s="2"/>
      <c r="Z40" s="2"/>
    </row>
    <row r="41" spans="1:26" s="1" customFormat="1" ht="7.5" customHeight="1" x14ac:dyDescent="0.2">
      <c r="A41" s="2"/>
      <c r="B41" s="2"/>
      <c r="C41" s="2"/>
      <c r="D41" s="16"/>
      <c r="E41" s="11"/>
      <c r="F41" s="1069"/>
      <c r="G41" s="1069"/>
      <c r="H41" s="1069"/>
      <c r="I41" s="25"/>
      <c r="J41" s="25"/>
      <c r="K41" s="12"/>
      <c r="L41" s="12"/>
      <c r="M41" s="12"/>
      <c r="N41" s="12"/>
      <c r="O41" s="12"/>
      <c r="P41" s="12"/>
      <c r="Q41" s="12"/>
      <c r="R41" s="12"/>
      <c r="S41" s="12"/>
      <c r="T41" s="12"/>
      <c r="U41" s="12"/>
      <c r="V41" s="14"/>
      <c r="W41" s="2"/>
      <c r="X41" s="2"/>
      <c r="Y41" s="2"/>
      <c r="Z41" s="2"/>
    </row>
    <row r="42" spans="1:26" s="1" customFormat="1" ht="12.75" customHeight="1" x14ac:dyDescent="0.2">
      <c r="A42" s="2"/>
      <c r="B42" s="2"/>
      <c r="C42" s="2"/>
      <c r="D42" s="16"/>
      <c r="E42" s="15"/>
      <c r="F42" s="1075" t="s">
        <v>938</v>
      </c>
      <c r="G42" s="1075"/>
      <c r="H42" s="1076">
        <v>43008</v>
      </c>
      <c r="I42" s="1076"/>
      <c r="J42" s="1076"/>
      <c r="K42" s="1076"/>
      <c r="L42" s="1076"/>
      <c r="M42" s="1076"/>
      <c r="N42" s="1076"/>
      <c r="O42" s="1076"/>
      <c r="P42" s="1076"/>
      <c r="Q42" s="1076"/>
      <c r="R42" s="1076"/>
      <c r="S42" s="1076"/>
      <c r="T42" s="1076"/>
      <c r="U42" s="16"/>
      <c r="V42" s="17"/>
      <c r="W42" s="2"/>
      <c r="X42" s="2"/>
      <c r="Y42" s="2"/>
      <c r="Z42" s="2"/>
    </row>
    <row r="43" spans="1:26" s="1" customFormat="1" ht="13.5" customHeight="1" thickBot="1" x14ac:dyDescent="0.25">
      <c r="A43" s="2"/>
      <c r="B43" s="2"/>
      <c r="C43" s="2"/>
      <c r="D43" s="16"/>
      <c r="E43" s="19"/>
      <c r="F43" s="20"/>
      <c r="G43" s="20"/>
      <c r="H43" s="1077" t="s">
        <v>939</v>
      </c>
      <c r="I43" s="1077"/>
      <c r="J43" s="1077"/>
      <c r="K43" s="1077"/>
      <c r="L43" s="1077"/>
      <c r="M43" s="1077"/>
      <c r="N43" s="1077"/>
      <c r="O43" s="1077"/>
      <c r="P43" s="1077"/>
      <c r="Q43" s="1077"/>
      <c r="R43" s="1077"/>
      <c r="S43" s="1077"/>
      <c r="T43" s="1077"/>
      <c r="U43" s="20"/>
      <c r="V43" s="22"/>
      <c r="W43" s="2"/>
      <c r="X43" s="2"/>
      <c r="Y43" s="2"/>
      <c r="Z43" s="2"/>
    </row>
    <row r="44" spans="1:26" s="1" customFormat="1" ht="9" customHeight="1" x14ac:dyDescent="0.2">
      <c r="A44" s="2"/>
      <c r="B44" s="2"/>
      <c r="C44" s="2"/>
      <c r="D44" s="2"/>
      <c r="E44" s="2"/>
      <c r="F44" s="6"/>
      <c r="G44" s="2"/>
      <c r="H44" s="2"/>
      <c r="I44" s="2"/>
      <c r="J44" s="2"/>
      <c r="K44" s="2"/>
      <c r="L44" s="2"/>
      <c r="M44" s="2"/>
      <c r="N44" s="2"/>
      <c r="O44" s="2"/>
      <c r="P44" s="2"/>
      <c r="Q44" s="2"/>
      <c r="R44" s="2"/>
      <c r="S44" s="2"/>
      <c r="T44" s="2"/>
      <c r="U44" s="2"/>
      <c r="V44" s="2"/>
      <c r="W44" s="2"/>
      <c r="X44" s="2"/>
      <c r="Y44" s="2"/>
      <c r="Z44" s="2"/>
    </row>
    <row r="45" spans="1:26" s="1" customFormat="1" ht="9" customHeight="1" x14ac:dyDescent="0.2">
      <c r="A45" s="2"/>
      <c r="B45" s="2"/>
      <c r="C45" s="2"/>
      <c r="D45" s="2"/>
      <c r="E45" s="2"/>
      <c r="F45" s="6"/>
      <c r="G45" s="2"/>
      <c r="H45" s="2"/>
      <c r="I45" s="2"/>
      <c r="J45" s="2"/>
      <c r="K45" s="2"/>
      <c r="L45" s="2"/>
      <c r="M45" s="2"/>
      <c r="N45" s="2"/>
      <c r="O45" s="2"/>
      <c r="P45" s="2"/>
      <c r="Q45" s="2"/>
      <c r="R45" s="2"/>
      <c r="S45" s="2"/>
      <c r="T45" s="2"/>
      <c r="U45" s="2"/>
      <c r="V45" s="2"/>
      <c r="W45" s="2"/>
      <c r="X45" s="2"/>
      <c r="Y45" s="2"/>
      <c r="Z45" s="2"/>
    </row>
    <row r="46" spans="1:26" s="1" customFormat="1" x14ac:dyDescent="0.2">
      <c r="A46" s="2"/>
      <c r="B46" s="2"/>
      <c r="C46" s="2"/>
      <c r="D46" s="2"/>
      <c r="E46" s="2"/>
      <c r="F46" s="6"/>
      <c r="G46" s="2"/>
      <c r="H46" s="2"/>
      <c r="I46" s="2"/>
      <c r="J46" s="2"/>
      <c r="K46" s="2"/>
      <c r="L46" s="2"/>
      <c r="M46" s="2"/>
      <c r="N46" s="2"/>
      <c r="O46" s="2"/>
      <c r="P46" s="2"/>
      <c r="Q46" s="2"/>
      <c r="R46" s="2"/>
      <c r="S46" s="2"/>
      <c r="T46" s="2"/>
      <c r="U46" s="2"/>
      <c r="V46" s="2"/>
      <c r="W46" s="2"/>
      <c r="X46" s="2"/>
      <c r="Y46" s="2"/>
      <c r="Z46" s="2"/>
    </row>
    <row r="47" spans="1:26" s="1" customFormat="1" x14ac:dyDescent="0.2">
      <c r="A47" s="2"/>
      <c r="B47" s="1078" t="s">
        <v>940</v>
      </c>
      <c r="C47" s="1078"/>
      <c r="D47" s="1078"/>
      <c r="E47" s="1078"/>
      <c r="F47" s="1078"/>
      <c r="G47" s="1078"/>
      <c r="H47" s="1078"/>
      <c r="I47" s="1078"/>
      <c r="J47" s="2"/>
      <c r="K47" s="2"/>
      <c r="L47" s="2"/>
      <c r="M47" s="2"/>
      <c r="N47" s="2"/>
      <c r="O47" s="2"/>
      <c r="P47" s="2"/>
      <c r="Q47" s="2"/>
      <c r="R47" s="2"/>
      <c r="S47" s="2"/>
      <c r="T47" s="2"/>
      <c r="U47" s="2"/>
      <c r="V47" s="2"/>
      <c r="W47" s="2"/>
      <c r="X47" s="2"/>
      <c r="Y47" s="2"/>
      <c r="Z47" s="2"/>
    </row>
    <row r="48" spans="1:26" s="1" customFormat="1" x14ac:dyDescent="0.2">
      <c r="A48" s="2"/>
      <c r="B48" s="1072"/>
      <c r="C48" s="1072"/>
      <c r="D48" s="1072"/>
      <c r="E48" s="1072"/>
      <c r="F48" s="1072"/>
      <c r="G48" s="1072"/>
      <c r="H48" s="1072"/>
      <c r="I48" s="1072"/>
      <c r="J48" s="1073" t="s">
        <v>941</v>
      </c>
      <c r="K48" s="1073"/>
      <c r="L48" s="1073"/>
      <c r="M48" s="2"/>
      <c r="N48" s="2"/>
      <c r="O48" s="2"/>
      <c r="P48" s="2"/>
      <c r="Q48" s="2"/>
      <c r="R48" s="2"/>
      <c r="S48" s="2"/>
      <c r="T48" s="2"/>
      <c r="U48" s="2"/>
      <c r="V48" s="2"/>
      <c r="W48" s="2"/>
      <c r="X48" s="2"/>
      <c r="Y48" s="2"/>
      <c r="Z48" s="2"/>
    </row>
    <row r="49" spans="1:26" s="1" customFormat="1" x14ac:dyDescent="0.2">
      <c r="A49" s="2"/>
      <c r="B49" s="2"/>
      <c r="C49" s="2"/>
      <c r="D49" s="2"/>
      <c r="E49" s="2"/>
      <c r="F49" s="6"/>
      <c r="G49" s="2"/>
      <c r="H49" s="2"/>
      <c r="I49" s="2"/>
      <c r="J49" s="2"/>
      <c r="K49" s="2"/>
      <c r="L49" s="2"/>
      <c r="M49" s="2"/>
      <c r="N49" s="2"/>
      <c r="O49" s="2"/>
      <c r="P49" s="2"/>
      <c r="Q49" s="2"/>
      <c r="R49" s="2"/>
      <c r="S49" s="2"/>
      <c r="T49" s="2"/>
      <c r="U49" s="2"/>
      <c r="V49" s="2"/>
      <c r="W49" s="2"/>
      <c r="X49" s="2"/>
      <c r="Y49" s="2"/>
      <c r="Z49" s="2"/>
    </row>
    <row r="50" spans="1:26" s="1" customFormat="1" x14ac:dyDescent="0.2">
      <c r="A50" s="2"/>
      <c r="B50" s="2" t="s">
        <v>942</v>
      </c>
      <c r="C50" s="1074" t="s">
        <v>943</v>
      </c>
      <c r="D50" s="1074"/>
      <c r="E50" s="1074"/>
      <c r="F50" s="1074"/>
      <c r="G50" s="1074"/>
      <c r="H50" s="1074"/>
      <c r="I50" s="1074"/>
      <c r="J50" s="1074"/>
      <c r="K50" s="1074"/>
      <c r="L50" s="1074"/>
      <c r="M50" s="1074"/>
      <c r="N50" s="1074"/>
      <c r="O50" s="1074"/>
      <c r="P50" s="1074"/>
      <c r="Q50" s="1074"/>
      <c r="R50" s="1074"/>
      <c r="S50" s="1074"/>
      <c r="T50" s="1074"/>
      <c r="U50" s="1074"/>
      <c r="V50" s="1074"/>
      <c r="W50" s="1074"/>
      <c r="X50" s="1074"/>
      <c r="Y50" s="1074"/>
      <c r="Z50" s="2"/>
    </row>
    <row r="51" spans="1:26" s="1" customFormat="1" x14ac:dyDescent="0.2">
      <c r="A51" s="2"/>
      <c r="B51" s="1073" t="s">
        <v>944</v>
      </c>
      <c r="C51" s="1073"/>
      <c r="D51" s="1073"/>
      <c r="E51" s="1073"/>
      <c r="F51" s="1073"/>
      <c r="G51" s="1073"/>
      <c r="H51" s="1073"/>
      <c r="I51" s="1073"/>
      <c r="J51" s="1073"/>
      <c r="K51" s="1073"/>
      <c r="L51" s="1073"/>
      <c r="M51" s="1073"/>
      <c r="N51" s="1073"/>
      <c r="O51" s="1073"/>
      <c r="P51" s="1073"/>
      <c r="Q51" s="1073"/>
      <c r="R51" s="1073"/>
      <c r="S51" s="1073"/>
      <c r="T51" s="1073"/>
      <c r="U51" s="1073"/>
      <c r="V51" s="1073"/>
      <c r="W51" s="1073"/>
      <c r="X51" s="1073"/>
      <c r="Y51" s="1073"/>
      <c r="Z51" s="2"/>
    </row>
    <row r="52" spans="1:26" s="1" customFormat="1" x14ac:dyDescent="0.2">
      <c r="A52" s="2"/>
      <c r="B52" s="1073"/>
      <c r="C52" s="1073"/>
      <c r="D52" s="1073"/>
      <c r="E52" s="1073"/>
      <c r="F52" s="1073"/>
      <c r="G52" s="1073"/>
      <c r="H52" s="1073"/>
      <c r="I52" s="1073"/>
      <c r="J52" s="1073"/>
      <c r="K52" s="1073"/>
      <c r="L52" s="1073"/>
      <c r="M52" s="1073"/>
      <c r="N52" s="1073"/>
      <c r="O52" s="1073"/>
      <c r="P52" s="1073"/>
      <c r="Q52" s="1073"/>
      <c r="R52" s="1073"/>
      <c r="S52" s="1073"/>
      <c r="T52" s="1073"/>
      <c r="U52" s="1073"/>
      <c r="V52" s="1073"/>
      <c r="W52" s="1073"/>
      <c r="X52" s="1073"/>
      <c r="Y52" s="1073"/>
      <c r="Z52" s="2"/>
    </row>
    <row r="53" spans="1:26" s="1" customFormat="1" ht="12.75" customHeight="1" x14ac:dyDescent="0.2">
      <c r="A53" s="2"/>
      <c r="B53" s="2"/>
      <c r="C53" s="2"/>
      <c r="D53" s="2"/>
      <c r="E53" s="2"/>
      <c r="F53" s="6"/>
      <c r="G53" s="2"/>
      <c r="H53" s="2"/>
      <c r="I53" s="2"/>
      <c r="J53" s="2"/>
      <c r="K53" s="2"/>
      <c r="L53" s="2"/>
      <c r="M53" s="2"/>
      <c r="N53" s="2"/>
      <c r="O53" s="2"/>
      <c r="P53" s="2"/>
      <c r="Q53" s="2"/>
      <c r="R53" s="2"/>
      <c r="S53" s="2"/>
      <c r="T53" s="2"/>
      <c r="U53" s="2"/>
      <c r="V53" s="2"/>
      <c r="W53" s="2"/>
      <c r="X53" s="2"/>
      <c r="Y53" s="2"/>
      <c r="Z53" s="2"/>
    </row>
    <row r="54" spans="1:26" s="1" customFormat="1" x14ac:dyDescent="0.2">
      <c r="A54" s="2"/>
      <c r="B54" s="2"/>
      <c r="C54" s="2"/>
      <c r="D54" s="2"/>
      <c r="E54" s="2"/>
      <c r="F54" s="2"/>
      <c r="G54" s="1082"/>
      <c r="H54" s="1082"/>
      <c r="I54" s="1082"/>
      <c r="J54" s="1082"/>
      <c r="K54" s="1082"/>
      <c r="L54" s="1082"/>
      <c r="M54" s="26"/>
      <c r="N54" s="2"/>
      <c r="O54" s="2"/>
      <c r="P54" s="2"/>
      <c r="Q54" s="1083"/>
      <c r="R54" s="1083"/>
      <c r="S54" s="1083"/>
      <c r="T54" s="1083"/>
      <c r="U54" s="1083"/>
      <c r="V54" s="1083"/>
      <c r="W54" s="1083"/>
      <c r="X54" s="1083"/>
      <c r="Y54" s="1083"/>
      <c r="Z54" s="2"/>
    </row>
    <row r="55" spans="1:26" s="1" customFormat="1" x14ac:dyDescent="0.2">
      <c r="A55" s="2"/>
      <c r="B55" s="2"/>
      <c r="C55" s="2"/>
      <c r="D55" s="2"/>
      <c r="E55" s="2"/>
      <c r="F55" s="2"/>
      <c r="G55" s="2"/>
      <c r="H55" s="2"/>
      <c r="I55" s="2"/>
      <c r="J55" s="2"/>
      <c r="K55" s="2"/>
      <c r="L55" s="2"/>
      <c r="M55" s="27"/>
      <c r="N55" s="2"/>
      <c r="O55" s="2"/>
      <c r="P55" s="2"/>
      <c r="Q55" s="1084" t="s">
        <v>945</v>
      </c>
      <c r="R55" s="1084"/>
      <c r="S55" s="1084"/>
      <c r="T55" s="1084"/>
      <c r="U55" s="1084"/>
      <c r="V55" s="1084"/>
      <c r="W55" s="1084"/>
      <c r="X55" s="1084"/>
      <c r="Y55" s="1084"/>
      <c r="Z55" s="2"/>
    </row>
    <row r="56" spans="1:26" s="1" customFormat="1" x14ac:dyDescent="0.2">
      <c r="A56" s="2"/>
      <c r="B56" s="2"/>
      <c r="C56" s="2"/>
      <c r="D56" s="2"/>
      <c r="E56" s="2"/>
      <c r="F56" s="2"/>
      <c r="G56" s="2"/>
      <c r="H56" s="2"/>
      <c r="I56" s="2"/>
      <c r="J56" s="2"/>
      <c r="K56" s="2"/>
      <c r="L56" s="2"/>
      <c r="M56" s="27"/>
      <c r="N56" s="2"/>
      <c r="O56" s="2"/>
      <c r="P56" s="2"/>
      <c r="Q56" s="1079" t="s">
        <v>946</v>
      </c>
      <c r="R56" s="1079"/>
      <c r="S56" s="1079"/>
      <c r="T56" s="1079"/>
      <c r="U56" s="1079"/>
      <c r="V56" s="1079"/>
      <c r="W56" s="1079"/>
      <c r="X56" s="1079"/>
      <c r="Y56" s="1079"/>
      <c r="Z56" s="2"/>
    </row>
    <row r="57" spans="1:26" s="1" customFormat="1" ht="12.75" customHeight="1" x14ac:dyDescent="0.2">
      <c r="A57" s="2"/>
      <c r="B57" s="2"/>
      <c r="C57" s="2"/>
      <c r="D57" s="2"/>
      <c r="E57" s="2"/>
      <c r="F57" s="6"/>
      <c r="G57" s="2"/>
      <c r="H57" s="2"/>
      <c r="I57" s="2"/>
      <c r="J57" s="2"/>
      <c r="K57" s="2"/>
      <c r="L57" s="2"/>
      <c r="M57" s="2"/>
      <c r="N57" s="2"/>
      <c r="O57" s="2"/>
      <c r="P57" s="2"/>
      <c r="Q57" s="2"/>
      <c r="R57" s="2"/>
      <c r="S57" s="2"/>
      <c r="T57" s="2"/>
      <c r="U57" s="2"/>
      <c r="V57" s="2"/>
      <c r="W57" s="2"/>
      <c r="X57" s="2"/>
      <c r="Y57" s="2"/>
      <c r="Z57" s="2"/>
    </row>
    <row r="58" spans="1:26" s="1" customFormat="1" x14ac:dyDescent="0.2">
      <c r="A58" s="2"/>
      <c r="B58" s="2"/>
      <c r="C58" s="2"/>
      <c r="D58" s="2"/>
      <c r="E58" s="2"/>
      <c r="F58" s="6"/>
      <c r="G58" s="2"/>
      <c r="H58" s="2"/>
      <c r="I58" s="2"/>
      <c r="J58" s="2"/>
      <c r="K58" s="2"/>
      <c r="L58" s="2"/>
      <c r="M58" s="2"/>
      <c r="N58" s="2"/>
      <c r="O58" s="2"/>
      <c r="P58" s="2"/>
      <c r="Q58" s="2"/>
      <c r="R58" s="2"/>
      <c r="S58" s="2"/>
      <c r="T58" s="2"/>
      <c r="U58" s="2"/>
      <c r="V58" s="2"/>
      <c r="W58" s="2"/>
      <c r="X58" s="2"/>
      <c r="Y58" s="2"/>
      <c r="Z58" s="2"/>
    </row>
    <row r="59" spans="1:26" s="1" customFormat="1" x14ac:dyDescent="0.2">
      <c r="A59" s="2"/>
      <c r="B59" s="27" t="s">
        <v>947</v>
      </c>
      <c r="C59" s="1078" t="s">
        <v>948</v>
      </c>
      <c r="D59" s="1078"/>
      <c r="E59" s="1078"/>
      <c r="F59" s="1078"/>
      <c r="G59" s="1078"/>
      <c r="H59" s="1078"/>
      <c r="I59" s="1078"/>
      <c r="J59" s="1078"/>
      <c r="K59" s="1078"/>
      <c r="L59" s="1078"/>
      <c r="M59" s="1078"/>
      <c r="N59" s="1078"/>
      <c r="O59" s="1078"/>
      <c r="P59" s="1078"/>
      <c r="Q59" s="1078"/>
      <c r="R59" s="1080"/>
      <c r="S59" s="1080"/>
      <c r="T59" s="1080"/>
      <c r="U59" s="1080"/>
      <c r="V59" s="1080"/>
      <c r="W59" s="1080"/>
      <c r="X59" s="1081" t="s">
        <v>949</v>
      </c>
      <c r="Y59" s="1081"/>
      <c r="Z59" s="2"/>
    </row>
    <row r="60" spans="1:26" s="1" customFormat="1" x14ac:dyDescent="0.2">
      <c r="A60" s="2"/>
      <c r="B60" s="1083"/>
      <c r="C60" s="1083"/>
      <c r="D60" s="1083"/>
      <c r="E60" s="1083"/>
      <c r="F60" s="1083"/>
      <c r="G60" s="1083"/>
      <c r="H60" s="1083"/>
      <c r="I60" s="1083"/>
      <c r="J60" s="1083"/>
      <c r="K60" s="1083"/>
      <c r="L60" s="29">
        <v>20</v>
      </c>
      <c r="M60" s="1083"/>
      <c r="N60" s="1083"/>
      <c r="O60" s="1081" t="s">
        <v>950</v>
      </c>
      <c r="P60" s="1081"/>
      <c r="Q60" s="1081"/>
      <c r="R60" s="1081"/>
      <c r="S60" s="1081"/>
      <c r="T60" s="1081"/>
      <c r="U60" s="1081"/>
      <c r="V60" s="1081"/>
      <c r="W60" s="1081"/>
      <c r="X60" s="1081"/>
      <c r="Y60" s="1081"/>
      <c r="Z60" s="2"/>
    </row>
    <row r="61" spans="1:26" s="1" customFormat="1" x14ac:dyDescent="0.2">
      <c r="A61" s="2"/>
      <c r="B61" s="1085" t="s">
        <v>951</v>
      </c>
      <c r="C61" s="1085"/>
      <c r="D61" s="1085"/>
      <c r="E61" s="1085"/>
      <c r="F61" s="1086"/>
      <c r="G61" s="1086"/>
      <c r="H61" s="1086"/>
      <c r="I61" s="1086"/>
      <c r="J61" s="1086"/>
      <c r="K61" s="1086"/>
      <c r="L61" s="1083"/>
      <c r="M61" s="1074" t="s">
        <v>952</v>
      </c>
      <c r="N61" s="1074"/>
      <c r="O61" s="1074"/>
      <c r="P61" s="1074"/>
      <c r="Q61" s="1083"/>
      <c r="R61" s="1083"/>
      <c r="S61" s="1083"/>
      <c r="T61" s="1083"/>
      <c r="U61" s="1083"/>
      <c r="V61" s="1083"/>
      <c r="W61" s="1083"/>
      <c r="X61" s="1083"/>
      <c r="Y61" s="28" t="s">
        <v>953</v>
      </c>
      <c r="Z61" s="2"/>
    </row>
    <row r="62" spans="1:26" s="1" customFormat="1" x14ac:dyDescent="0.2">
      <c r="A62" s="2"/>
      <c r="B62" s="1083"/>
      <c r="C62" s="1083"/>
      <c r="D62" s="1083"/>
      <c r="E62" s="1083"/>
      <c r="F62" s="1083"/>
      <c r="G62" s="1083"/>
      <c r="H62" s="1083"/>
      <c r="I62" s="1083"/>
      <c r="J62" s="1083"/>
      <c r="K62" s="28">
        <v>20</v>
      </c>
      <c r="L62" s="1083"/>
      <c r="M62" s="1083"/>
      <c r="N62" s="2" t="s">
        <v>954</v>
      </c>
      <c r="O62" s="2"/>
      <c r="P62" s="2"/>
      <c r="Q62" s="2"/>
      <c r="R62" s="2"/>
      <c r="S62" s="2"/>
      <c r="T62" s="2"/>
      <c r="U62" s="2"/>
      <c r="V62" s="2"/>
      <c r="W62" s="2"/>
      <c r="X62" s="2"/>
      <c r="Y62" s="2"/>
      <c r="Z62" s="2"/>
    </row>
    <row r="63" spans="1:26" s="1" customFormat="1" x14ac:dyDescent="0.2">
      <c r="A63" s="2"/>
      <c r="B63" s="2"/>
      <c r="C63" s="2"/>
      <c r="D63" s="2"/>
      <c r="E63" s="2"/>
      <c r="F63" s="2"/>
      <c r="G63" s="2"/>
      <c r="H63" s="2"/>
      <c r="I63" s="2"/>
      <c r="J63" s="2"/>
      <c r="K63" s="2"/>
      <c r="L63" s="2"/>
      <c r="M63" s="2"/>
      <c r="N63" s="2"/>
      <c r="O63" s="2"/>
      <c r="P63" s="2"/>
      <c r="Q63" s="2"/>
      <c r="R63" s="2"/>
      <c r="S63" s="2"/>
      <c r="T63" s="2"/>
      <c r="U63" s="2"/>
      <c r="V63" s="2"/>
      <c r="W63" s="2"/>
      <c r="X63" s="2"/>
      <c r="Y63" s="2"/>
      <c r="Z63" s="2"/>
    </row>
    <row r="64" spans="1:26" s="1" customFormat="1" ht="9.75" customHeight="1" x14ac:dyDescent="0.2">
      <c r="A64" s="2"/>
      <c r="B64" s="2"/>
      <c r="C64" s="2"/>
      <c r="D64" s="2"/>
      <c r="E64" s="2"/>
      <c r="F64" s="2"/>
      <c r="G64" s="2"/>
      <c r="H64" s="2"/>
      <c r="I64" s="2"/>
      <c r="J64" s="2"/>
      <c r="K64" s="2"/>
      <c r="L64" s="2"/>
      <c r="M64" s="2"/>
      <c r="N64" s="2"/>
      <c r="O64" s="2"/>
      <c r="P64" s="2"/>
      <c r="Q64" s="2"/>
      <c r="R64" s="2"/>
      <c r="S64" s="2"/>
      <c r="T64" s="2"/>
      <c r="U64" s="2"/>
      <c r="V64" s="2"/>
      <c r="W64" s="2"/>
      <c r="X64" s="2"/>
      <c r="Y64" s="2"/>
      <c r="Z64" s="2"/>
    </row>
    <row r="65" spans="1:26" s="1" customFormat="1" x14ac:dyDescent="0.2">
      <c r="A65" s="2"/>
      <c r="B65" s="2"/>
      <c r="C65" s="2"/>
      <c r="D65" s="2"/>
      <c r="E65" s="2"/>
      <c r="F65" s="16"/>
      <c r="G65" s="1082"/>
      <c r="H65" s="1082"/>
      <c r="I65" s="1082"/>
      <c r="J65" s="1082"/>
      <c r="K65" s="1082"/>
      <c r="L65" s="1082"/>
      <c r="M65" s="26"/>
      <c r="N65" s="2"/>
      <c r="O65" s="2"/>
      <c r="P65" s="2"/>
      <c r="Q65" s="1083"/>
      <c r="R65" s="1083"/>
      <c r="S65" s="1083"/>
      <c r="T65" s="1083"/>
      <c r="U65" s="1083"/>
      <c r="V65" s="1083"/>
      <c r="W65" s="1083"/>
      <c r="X65" s="1083"/>
      <c r="Y65" s="1083"/>
      <c r="Z65" s="2"/>
    </row>
    <row r="66" spans="1:26" s="1" customFormat="1" x14ac:dyDescent="0.2">
      <c r="A66" s="2"/>
      <c r="B66" s="2"/>
      <c r="C66" s="2"/>
      <c r="D66" s="2"/>
      <c r="E66" s="2"/>
      <c r="F66" s="16"/>
      <c r="G66" s="16"/>
      <c r="H66" s="1084"/>
      <c r="I66" s="1084"/>
      <c r="J66" s="1084"/>
      <c r="K66" s="1084"/>
      <c r="L66" s="1084"/>
      <c r="M66" s="27"/>
      <c r="N66" s="2"/>
      <c r="O66" s="2"/>
      <c r="P66" s="2"/>
      <c r="Q66" s="1087" t="s">
        <v>955</v>
      </c>
      <c r="R66" s="1087"/>
      <c r="S66" s="1087"/>
      <c r="T66" s="1087"/>
      <c r="U66" s="1087"/>
      <c r="V66" s="1087"/>
      <c r="W66" s="1087"/>
      <c r="X66" s="1087"/>
      <c r="Y66" s="1087"/>
      <c r="Z66" s="2"/>
    </row>
    <row r="67" spans="1:26" s="1" customFormat="1" x14ac:dyDescent="0.2">
      <c r="A67" s="2"/>
      <c r="B67" s="2"/>
      <c r="C67" s="2"/>
      <c r="D67" s="2"/>
      <c r="E67" s="2"/>
      <c r="F67" s="16"/>
      <c r="G67" s="30"/>
      <c r="H67" s="16"/>
      <c r="I67" s="16"/>
      <c r="J67" s="16"/>
      <c r="K67" s="1088"/>
      <c r="L67" s="1088"/>
      <c r="M67" s="2"/>
      <c r="N67" s="2"/>
      <c r="O67" s="2"/>
      <c r="P67" s="2"/>
      <c r="Q67" s="1073" t="s">
        <v>956</v>
      </c>
      <c r="R67" s="1073"/>
      <c r="S67" s="1073"/>
      <c r="T67" s="1073"/>
      <c r="U67" s="1073"/>
      <c r="V67" s="31">
        <v>20</v>
      </c>
      <c r="W67" s="1083"/>
      <c r="X67" s="1083"/>
      <c r="Y67" s="1083"/>
      <c r="Z67" s="2"/>
    </row>
    <row r="68" spans="1:26" s="1" customFormat="1" x14ac:dyDescent="0.2">
      <c r="A68" s="2"/>
      <c r="B68" s="2"/>
      <c r="C68" s="2"/>
      <c r="D68" s="2"/>
      <c r="E68" s="2"/>
      <c r="F68" s="30"/>
      <c r="G68" s="30"/>
      <c r="H68" s="16"/>
      <c r="I68" s="1082"/>
      <c r="J68" s="1082"/>
      <c r="K68" s="1082"/>
      <c r="L68" s="1082"/>
      <c r="M68" s="2"/>
      <c r="N68" s="2"/>
      <c r="O68" s="2"/>
      <c r="P68" s="2"/>
      <c r="Q68" s="1073" t="s">
        <v>957</v>
      </c>
      <c r="R68" s="1073"/>
      <c r="S68" s="1073"/>
      <c r="T68" s="1083"/>
      <c r="U68" s="1083"/>
      <c r="V68" s="1083"/>
      <c r="W68" s="1083"/>
      <c r="X68" s="1083"/>
      <c r="Y68" s="1083"/>
      <c r="Z68" s="2"/>
    </row>
    <row r="69" spans="1:26" s="1" customFormat="1" x14ac:dyDescent="0.2">
      <c r="A69" s="2"/>
      <c r="B69" s="2"/>
      <c r="C69" s="2"/>
      <c r="D69" s="2"/>
      <c r="E69" s="2"/>
      <c r="F69" s="16"/>
      <c r="G69" s="30"/>
      <c r="H69" s="16"/>
      <c r="I69" s="1082"/>
      <c r="J69" s="1082"/>
      <c r="K69" s="1082"/>
      <c r="L69" s="1082"/>
      <c r="M69" s="2"/>
      <c r="N69" s="2"/>
      <c r="O69" s="2"/>
      <c r="P69" s="2"/>
      <c r="Q69" s="1073" t="s">
        <v>958</v>
      </c>
      <c r="R69" s="1073"/>
      <c r="S69" s="1073"/>
      <c r="T69" s="1086"/>
      <c r="U69" s="1086"/>
      <c r="V69" s="1086"/>
      <c r="W69" s="1086"/>
      <c r="X69" s="1086"/>
      <c r="Y69" s="1086"/>
      <c r="Z69" s="2"/>
    </row>
    <row r="70" spans="1:26" s="1" customFormat="1" x14ac:dyDescent="0.2">
      <c r="A70" s="2"/>
      <c r="B70" s="1088" t="s">
        <v>959</v>
      </c>
      <c r="C70" s="1088"/>
      <c r="D70" s="1088"/>
      <c r="E70" s="1089"/>
      <c r="F70" s="1089"/>
      <c r="G70" s="1089"/>
      <c r="H70" s="1089"/>
      <c r="I70" s="16"/>
      <c r="J70" s="16"/>
      <c r="K70" s="16"/>
      <c r="L70" s="16"/>
      <c r="M70" s="2"/>
      <c r="N70" s="2"/>
      <c r="O70" s="2"/>
      <c r="P70" s="2"/>
      <c r="Q70" s="2"/>
      <c r="R70" s="2"/>
      <c r="S70" s="2"/>
      <c r="T70" s="2"/>
      <c r="U70" s="2"/>
      <c r="V70" s="2"/>
      <c r="W70" s="2"/>
      <c r="X70" s="2"/>
      <c r="Y70" s="2"/>
      <c r="Z70" s="2"/>
    </row>
    <row r="71" spans="1:26" s="1" customFormat="1" x14ac:dyDescent="0.2">
      <c r="A71" s="2"/>
      <c r="B71" s="1088" t="s">
        <v>960</v>
      </c>
      <c r="C71" s="1088"/>
      <c r="D71" s="1088"/>
      <c r="E71" s="1089"/>
      <c r="F71" s="1089"/>
      <c r="G71" s="1089"/>
      <c r="H71" s="1089"/>
      <c r="I71" s="2"/>
      <c r="J71" s="2"/>
      <c r="K71" s="2"/>
      <c r="L71" s="2"/>
      <c r="M71" s="2"/>
      <c r="N71" s="2"/>
      <c r="O71" s="2"/>
      <c r="P71" s="2"/>
      <c r="Q71" s="2"/>
      <c r="R71" s="2"/>
      <c r="S71" s="2"/>
      <c r="T71" s="2"/>
      <c r="U71" s="2"/>
      <c r="V71" s="2"/>
      <c r="W71" s="2"/>
      <c r="X71" s="2"/>
      <c r="Y71" s="2"/>
      <c r="Z71" s="2"/>
    </row>
    <row r="72" spans="1:26" s="1" customFormat="1" x14ac:dyDescent="0.2">
      <c r="A72" s="2"/>
      <c r="B72" s="1088" t="s">
        <v>961</v>
      </c>
      <c r="C72" s="1088"/>
      <c r="D72" s="1088"/>
      <c r="E72" s="1089"/>
      <c r="F72" s="1089"/>
      <c r="G72" s="1089"/>
      <c r="H72" s="1089"/>
      <c r="I72" s="2"/>
      <c r="J72" s="2"/>
      <c r="K72" s="2"/>
      <c r="L72" s="2"/>
      <c r="M72" s="2"/>
      <c r="N72" s="2"/>
      <c r="O72" s="2"/>
      <c r="P72" s="2"/>
      <c r="Q72" s="2"/>
      <c r="R72" s="2"/>
      <c r="S72" s="2"/>
      <c r="T72" s="2"/>
      <c r="U72" s="2"/>
      <c r="V72" s="2"/>
      <c r="W72" s="2"/>
      <c r="X72" s="2"/>
      <c r="Y72" s="2"/>
      <c r="Z72" s="2"/>
    </row>
    <row r="73" spans="1:26" s="1" customFormat="1" x14ac:dyDescent="0.2">
      <c r="A73" s="2"/>
      <c r="B73" s="1088" t="s">
        <v>962</v>
      </c>
      <c r="C73" s="1088"/>
      <c r="D73" s="1088"/>
      <c r="E73" s="1089"/>
      <c r="F73" s="1089"/>
      <c r="G73" s="1089"/>
      <c r="H73" s="1089"/>
      <c r="I73" s="2"/>
      <c r="J73" s="2"/>
      <c r="K73" s="2"/>
      <c r="L73" s="2"/>
      <c r="M73" s="2"/>
      <c r="N73" s="2"/>
      <c r="O73" s="2"/>
      <c r="P73" s="2"/>
      <c r="Q73" s="2"/>
      <c r="R73" s="2"/>
      <c r="S73" s="2"/>
      <c r="T73" s="2"/>
      <c r="U73" s="2"/>
      <c r="V73" s="2"/>
      <c r="W73" s="2"/>
      <c r="X73" s="2"/>
      <c r="Y73" s="2"/>
      <c r="Z73" s="2"/>
    </row>
    <row r="74" spans="1:26" x14ac:dyDescent="0.2">
      <c r="A74" s="2"/>
      <c r="B74" s="2"/>
      <c r="C74" s="2"/>
      <c r="D74" s="2"/>
      <c r="E74" s="2"/>
      <c r="F74" s="2"/>
      <c r="G74" s="2"/>
      <c r="H74" s="2"/>
      <c r="I74" s="2"/>
      <c r="J74" s="2"/>
      <c r="K74" s="2"/>
      <c r="L74" s="2"/>
      <c r="M74" s="2"/>
      <c r="N74" s="2"/>
      <c r="O74" s="2"/>
      <c r="P74" s="2"/>
      <c r="Q74" s="2"/>
      <c r="R74" s="2"/>
      <c r="S74" s="2"/>
      <c r="T74" s="2"/>
      <c r="U74" s="2"/>
      <c r="V74" s="2"/>
      <c r="W74" s="2"/>
      <c r="X74" s="2"/>
      <c r="Y74" s="2"/>
    </row>
  </sheetData>
  <sheetProtection algorithmName="SHA-512" hashValue="0KgLTueZ967VRFvFatpxocPRXLTyKmaJymnRHfMK4oB6k8JpcCJZ9ntI9+XqHkXR1r/MG03zBzv6HM9JpnFANw==" saltValue="odue9OgAroMpBQT9Ex5VQQ==" spinCount="100000" sheet="1" objects="1" scenarios="1"/>
  <mergeCells count="70">
    <mergeCell ref="B72:D72"/>
    <mergeCell ref="E72:H72"/>
    <mergeCell ref="B73:D73"/>
    <mergeCell ref="E73:H73"/>
    <mergeCell ref="B70:D70"/>
    <mergeCell ref="E70:H70"/>
    <mergeCell ref="B71:D71"/>
    <mergeCell ref="E71:H71"/>
    <mergeCell ref="I68:L68"/>
    <mergeCell ref="Q68:S68"/>
    <mergeCell ref="T68:Y68"/>
    <mergeCell ref="I69:L69"/>
    <mergeCell ref="Q69:S69"/>
    <mergeCell ref="T69:Y69"/>
    <mergeCell ref="H66:L66"/>
    <mergeCell ref="Q66:Y66"/>
    <mergeCell ref="K67:L67"/>
    <mergeCell ref="Q67:U67"/>
    <mergeCell ref="W67:Y67"/>
    <mergeCell ref="B62:J62"/>
    <mergeCell ref="L62:M62"/>
    <mergeCell ref="G65:L65"/>
    <mergeCell ref="Q65:Y65"/>
    <mergeCell ref="B60:K60"/>
    <mergeCell ref="M60:N60"/>
    <mergeCell ref="O60:Y60"/>
    <mergeCell ref="B61:E61"/>
    <mergeCell ref="F61:L61"/>
    <mergeCell ref="M61:P61"/>
    <mergeCell ref="Q61:X61"/>
    <mergeCell ref="Q56:Y56"/>
    <mergeCell ref="C59:Q59"/>
    <mergeCell ref="R59:W59"/>
    <mergeCell ref="X59:Y59"/>
    <mergeCell ref="B52:Y52"/>
    <mergeCell ref="G54:L54"/>
    <mergeCell ref="Q54:Y54"/>
    <mergeCell ref="Q55:Y55"/>
    <mergeCell ref="B48:I48"/>
    <mergeCell ref="J48:L48"/>
    <mergeCell ref="C50:Y50"/>
    <mergeCell ref="B51:Y51"/>
    <mergeCell ref="F42:G42"/>
    <mergeCell ref="H42:T42"/>
    <mergeCell ref="H43:T43"/>
    <mergeCell ref="B47:I47"/>
    <mergeCell ref="E36:V36"/>
    <mergeCell ref="H37:S37"/>
    <mergeCell ref="H38:S38"/>
    <mergeCell ref="F41:H41"/>
    <mergeCell ref="F29:U29"/>
    <mergeCell ref="F30:U30"/>
    <mergeCell ref="F31:U31"/>
    <mergeCell ref="E35:V35"/>
    <mergeCell ref="F26:Q26"/>
    <mergeCell ref="S26:U26"/>
    <mergeCell ref="F27:Q27"/>
    <mergeCell ref="S27:U27"/>
    <mergeCell ref="P15:R15"/>
    <mergeCell ref="S16:W16"/>
    <mergeCell ref="F21:U21"/>
    <mergeCell ref="I22:R22"/>
    <mergeCell ref="S9:W9"/>
    <mergeCell ref="S11:W11"/>
    <mergeCell ref="S12:W12"/>
    <mergeCell ref="S13:W13"/>
    <mergeCell ref="D5:W5"/>
    <mergeCell ref="P7:R7"/>
    <mergeCell ref="S7:W7"/>
    <mergeCell ref="S8:W8"/>
  </mergeCells>
  <phoneticPr fontId="36" type="noConversion"/>
  <hyperlinks>
    <hyperlink ref="S17" r:id="rId1"/>
    <hyperlink ref="S18" r:id="rId2"/>
  </hyperlinks>
  <pageMargins left="0.75" right="0.75" top="1" bottom="1" header="0.5" footer="0.5"/>
  <pageSetup paperSize="9" scale="83" orientation="portrait" r:id="rId3"/>
  <headerFooter alignWithMargins="0">
    <oddHeader>&amp;C&amp;"Arial,Bold"&amp;8 ABC  [ 04-000001 ]
 As of: March 31, 2016</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29"/>
  <sheetViews>
    <sheetView tabSelected="1" view="pageBreakPreview" zoomScale="115" zoomScaleNormal="100" workbookViewId="0">
      <selection activeCell="J11" sqref="J11"/>
    </sheetView>
  </sheetViews>
  <sheetFormatPr defaultRowHeight="12.75" x14ac:dyDescent="0.2"/>
  <cols>
    <col min="1" max="1" width="5.42578125" style="834" customWidth="1"/>
    <col min="2" max="2" width="47.140625" style="834" customWidth="1"/>
    <col min="3" max="6" width="11.42578125" style="834" hidden="1" customWidth="1"/>
    <col min="7" max="7" width="19.5703125" style="835" customWidth="1"/>
    <col min="8" max="8" width="19.5703125" style="834" hidden="1" customWidth="1"/>
    <col min="9" max="10" width="19.5703125" style="836" customWidth="1"/>
  </cols>
  <sheetData>
    <row r="1" spans="1:10" s="834" customFormat="1" ht="12" x14ac:dyDescent="0.2">
      <c r="A1" s="32"/>
      <c r="B1" s="32"/>
      <c r="C1" s="32"/>
      <c r="D1" s="32"/>
      <c r="E1" s="32"/>
      <c r="F1" s="32"/>
      <c r="G1" s="33"/>
      <c r="H1" s="32"/>
      <c r="I1" s="34"/>
      <c r="J1" s="34"/>
    </row>
    <row r="2" spans="1:10" s="834" customFormat="1" ht="12" hidden="1" x14ac:dyDescent="0.2">
      <c r="A2" s="32"/>
      <c r="B2" s="32"/>
      <c r="C2" s="32"/>
      <c r="D2" s="32"/>
      <c r="E2" s="32"/>
      <c r="F2" s="32"/>
      <c r="G2" s="33"/>
      <c r="H2" s="32"/>
      <c r="I2" s="34"/>
      <c r="J2" s="34"/>
    </row>
    <row r="3" spans="1:10" s="834" customFormat="1" ht="12" hidden="1" x14ac:dyDescent="0.2">
      <c r="A3" s="32"/>
      <c r="B3" s="32"/>
      <c r="C3" s="32"/>
      <c r="D3" s="32"/>
      <c r="E3" s="32"/>
      <c r="F3" s="32"/>
      <c r="G3" s="33"/>
      <c r="H3" s="32"/>
      <c r="I3" s="34"/>
      <c r="J3" s="34"/>
    </row>
    <row r="4" spans="1:10" s="834" customFormat="1" ht="12" hidden="1" x14ac:dyDescent="0.2">
      <c r="A4" s="32"/>
      <c r="B4" s="32"/>
      <c r="C4" s="32"/>
      <c r="D4" s="32"/>
      <c r="E4" s="32"/>
      <c r="F4" s="32"/>
      <c r="G4" s="33"/>
      <c r="H4" s="32"/>
      <c r="I4" s="34"/>
      <c r="J4" s="34"/>
    </row>
    <row r="5" spans="1:10" s="834" customFormat="1" ht="12" hidden="1" x14ac:dyDescent="0.2">
      <c r="A5" s="32"/>
      <c r="B5" s="32"/>
      <c r="C5" s="32"/>
      <c r="D5" s="32"/>
      <c r="E5" s="32"/>
      <c r="F5" s="32"/>
      <c r="G5" s="33"/>
      <c r="H5" s="32"/>
      <c r="I5" s="34"/>
      <c r="J5" s="34"/>
    </row>
    <row r="6" spans="1:10" s="834" customFormat="1" ht="12" hidden="1" x14ac:dyDescent="0.2">
      <c r="A6" s="32"/>
      <c r="B6" s="32"/>
      <c r="C6" s="32"/>
      <c r="D6" s="32"/>
      <c r="E6" s="32"/>
      <c r="F6" s="32"/>
      <c r="G6" s="33"/>
      <c r="H6" s="32"/>
      <c r="I6" s="34"/>
      <c r="J6" s="34"/>
    </row>
    <row r="7" spans="1:10" s="834" customFormat="1" ht="12" hidden="1" x14ac:dyDescent="0.2">
      <c r="A7" s="32"/>
      <c r="B7" s="32"/>
      <c r="C7" s="32"/>
      <c r="D7" s="32"/>
      <c r="E7" s="32"/>
      <c r="F7" s="32"/>
      <c r="G7" s="33"/>
      <c r="H7" s="32"/>
      <c r="I7" s="34"/>
      <c r="J7" s="34"/>
    </row>
    <row r="8" spans="1:10" s="837" customFormat="1" ht="12" x14ac:dyDescent="0.2">
      <c r="A8" s="35" t="s">
        <v>963</v>
      </c>
      <c r="B8" s="36"/>
      <c r="C8" s="36"/>
      <c r="D8" s="36"/>
      <c r="E8" s="36"/>
      <c r="F8" s="36"/>
      <c r="G8" s="37"/>
      <c r="H8" s="36"/>
      <c r="I8" s="38"/>
      <c r="J8" s="38"/>
    </row>
    <row r="9" spans="1:10" s="834" customFormat="1" ht="27.95" customHeight="1" x14ac:dyDescent="0.2">
      <c r="A9" s="42" t="s">
        <v>964</v>
      </c>
      <c r="B9" s="43" t="s">
        <v>256</v>
      </c>
      <c r="C9" s="43"/>
      <c r="D9" s="43"/>
      <c r="E9" s="43"/>
      <c r="F9" s="43"/>
      <c r="G9" s="43" t="s">
        <v>257</v>
      </c>
      <c r="H9" s="44"/>
      <c r="I9" s="1090" t="s">
        <v>258</v>
      </c>
      <c r="J9" s="1091"/>
    </row>
    <row r="10" spans="1:10" s="838" customFormat="1" ht="18" customHeight="1" x14ac:dyDescent="0.2">
      <c r="A10" s="45" t="s">
        <v>259</v>
      </c>
      <c r="B10" s="45" t="s">
        <v>260</v>
      </c>
      <c r="C10" s="46"/>
      <c r="D10" s="46"/>
      <c r="E10" s="46"/>
      <c r="F10" s="46"/>
      <c r="G10" s="47"/>
      <c r="H10" s="48"/>
      <c r="I10" s="49"/>
      <c r="J10" s="50"/>
    </row>
    <row r="11" spans="1:10" s="838" customFormat="1" ht="18" customHeight="1" x14ac:dyDescent="0.2">
      <c r="A11" s="51" t="s">
        <v>261</v>
      </c>
      <c r="B11" s="52" t="s">
        <v>262</v>
      </c>
      <c r="C11" s="52"/>
      <c r="D11" s="52"/>
      <c r="E11" s="52"/>
      <c r="F11" s="53"/>
      <c r="G11" s="54" t="s">
        <v>263</v>
      </c>
      <c r="H11" s="55"/>
      <c r="I11" s="56"/>
      <c r="J11" s="57">
        <f>TQC!I82</f>
        <v>0</v>
      </c>
    </row>
    <row r="12" spans="1:10" s="838" customFormat="1" ht="18" customHeight="1" x14ac:dyDescent="0.2">
      <c r="A12" s="51" t="s">
        <v>264</v>
      </c>
      <c r="B12" s="58" t="s">
        <v>265</v>
      </c>
      <c r="C12" s="58"/>
      <c r="D12" s="58"/>
      <c r="E12" s="58"/>
      <c r="F12" s="59"/>
      <c r="G12" s="54" t="s">
        <v>266</v>
      </c>
      <c r="H12" s="60"/>
      <c r="I12" s="61"/>
      <c r="J12" s="62">
        <f>TQC!I83</f>
        <v>0</v>
      </c>
    </row>
    <row r="13" spans="1:10" s="838" customFormat="1" ht="27.95" customHeight="1" x14ac:dyDescent="0.2">
      <c r="A13" s="51" t="s">
        <v>267</v>
      </c>
      <c r="B13" s="63" t="s">
        <v>268</v>
      </c>
      <c r="C13" s="64"/>
      <c r="D13" s="64"/>
      <c r="E13" s="64"/>
      <c r="F13" s="64"/>
      <c r="G13" s="54" t="s">
        <v>269</v>
      </c>
      <c r="H13" s="65"/>
      <c r="I13" s="66"/>
      <c r="J13" s="67">
        <f>J11+J12</f>
        <v>0</v>
      </c>
    </row>
    <row r="14" spans="1:10" s="838" customFormat="1" ht="18" customHeight="1" x14ac:dyDescent="0.2">
      <c r="A14" s="45" t="s">
        <v>270</v>
      </c>
      <c r="B14" s="45" t="s">
        <v>271</v>
      </c>
      <c r="C14" s="46"/>
      <c r="D14" s="46"/>
      <c r="E14" s="46"/>
      <c r="F14" s="46"/>
      <c r="G14" s="47"/>
      <c r="H14" s="48"/>
      <c r="I14" s="68"/>
      <c r="J14" s="69"/>
    </row>
    <row r="15" spans="1:10" s="838" customFormat="1" ht="27.95" customHeight="1" x14ac:dyDescent="0.2">
      <c r="A15" s="51" t="s">
        <v>272</v>
      </c>
      <c r="B15" s="70" t="s">
        <v>273</v>
      </c>
      <c r="C15" s="70"/>
      <c r="D15" s="70"/>
      <c r="E15" s="70"/>
      <c r="F15" s="71"/>
      <c r="G15" s="54" t="s">
        <v>274</v>
      </c>
      <c r="H15" s="72"/>
      <c r="I15" s="56"/>
      <c r="J15" s="73">
        <f>I19-I23</f>
        <v>0</v>
      </c>
    </row>
    <row r="16" spans="1:10" s="838" customFormat="1" ht="18" customHeight="1" x14ac:dyDescent="0.2">
      <c r="A16" s="51" t="s">
        <v>275</v>
      </c>
      <c r="B16" s="74" t="s">
        <v>276</v>
      </c>
      <c r="C16" s="74"/>
      <c r="D16" s="74"/>
      <c r="E16" s="74"/>
      <c r="F16" s="75"/>
      <c r="G16" s="54" t="s">
        <v>277</v>
      </c>
      <c r="H16" s="76"/>
      <c r="I16" s="62">
        <f>ONBS_RWA!K76</f>
        <v>0</v>
      </c>
      <c r="J16" s="61"/>
    </row>
    <row r="17" spans="1:10" s="838" customFormat="1" ht="18" customHeight="1" x14ac:dyDescent="0.2">
      <c r="A17" s="51" t="s">
        <v>278</v>
      </c>
      <c r="B17" s="74" t="s">
        <v>279</v>
      </c>
      <c r="C17" s="74"/>
      <c r="D17" s="74"/>
      <c r="E17" s="74"/>
      <c r="F17" s="75"/>
      <c r="G17" s="54" t="s">
        <v>280</v>
      </c>
      <c r="H17" s="76"/>
      <c r="I17" s="62">
        <f>OFF_RWA!P53</f>
        <v>0</v>
      </c>
      <c r="J17" s="61"/>
    </row>
    <row r="18" spans="1:10" s="838" customFormat="1" ht="12.95" customHeight="1" x14ac:dyDescent="0.2">
      <c r="A18" s="77" t="s">
        <v>281</v>
      </c>
      <c r="B18" s="74" t="s">
        <v>282</v>
      </c>
      <c r="C18" s="74"/>
      <c r="D18" s="74"/>
      <c r="E18" s="74"/>
      <c r="F18" s="75"/>
      <c r="G18" s="54" t="s">
        <v>283</v>
      </c>
      <c r="H18" s="76"/>
      <c r="I18" s="62">
        <f>CORWA!Q35</f>
        <v>0</v>
      </c>
      <c r="J18" s="61"/>
    </row>
    <row r="19" spans="1:10" s="838" customFormat="1" ht="27.95" customHeight="1" x14ac:dyDescent="0.2">
      <c r="A19" s="51" t="s">
        <v>284</v>
      </c>
      <c r="B19" s="78" t="s">
        <v>285</v>
      </c>
      <c r="C19" s="78"/>
      <c r="D19" s="78"/>
      <c r="E19" s="78"/>
      <c r="F19" s="79"/>
      <c r="G19" s="54" t="s">
        <v>286</v>
      </c>
      <c r="H19" s="76"/>
      <c r="I19" s="62">
        <f>SUM(I16:I18)</f>
        <v>0</v>
      </c>
      <c r="J19" s="61"/>
    </row>
    <row r="20" spans="1:10" s="838" customFormat="1" ht="18" customHeight="1" x14ac:dyDescent="0.2">
      <c r="A20" s="51" t="s">
        <v>287</v>
      </c>
      <c r="B20" s="74" t="s">
        <v>288</v>
      </c>
      <c r="C20" s="74"/>
      <c r="D20" s="74"/>
      <c r="E20" s="74"/>
      <c r="F20" s="75"/>
      <c r="G20" s="47"/>
      <c r="H20" s="80"/>
      <c r="I20" s="61"/>
      <c r="J20" s="61"/>
    </row>
    <row r="21" spans="1:10" s="838" customFormat="1" ht="37.5" customHeight="1" x14ac:dyDescent="0.2">
      <c r="A21" s="51" t="s">
        <v>289</v>
      </c>
      <c r="B21" s="81" t="s">
        <v>1684</v>
      </c>
      <c r="C21" s="81"/>
      <c r="D21" s="81"/>
      <c r="E21" s="81"/>
      <c r="F21" s="82"/>
      <c r="G21" s="54" t="s">
        <v>290</v>
      </c>
      <c r="H21" s="83"/>
      <c r="I21" s="62">
        <f>ONBS_RWA!I56-TQC!J47</f>
        <v>0</v>
      </c>
      <c r="J21" s="61"/>
    </row>
    <row r="22" spans="1:10" s="838" customFormat="1" ht="37.5" customHeight="1" x14ac:dyDescent="0.2">
      <c r="A22" s="51" t="s">
        <v>291</v>
      </c>
      <c r="B22" s="78" t="s">
        <v>292</v>
      </c>
      <c r="C22" s="78"/>
      <c r="D22" s="78"/>
      <c r="E22" s="78"/>
      <c r="F22" s="79"/>
      <c r="G22" s="54" t="s">
        <v>293</v>
      </c>
      <c r="H22" s="84"/>
      <c r="I22" s="62">
        <f>TQC!I26</f>
        <v>0</v>
      </c>
      <c r="J22" s="61"/>
    </row>
    <row r="23" spans="1:10" s="838" customFormat="1" ht="20.25" customHeight="1" x14ac:dyDescent="0.2">
      <c r="A23" s="51" t="s">
        <v>294</v>
      </c>
      <c r="B23" s="78" t="s">
        <v>295</v>
      </c>
      <c r="C23" s="78"/>
      <c r="D23" s="78"/>
      <c r="E23" s="78"/>
      <c r="F23" s="79"/>
      <c r="G23" s="54" t="s">
        <v>296</v>
      </c>
      <c r="H23" s="76"/>
      <c r="I23" s="62">
        <f>I21+I22</f>
        <v>0</v>
      </c>
      <c r="J23" s="61"/>
    </row>
    <row r="24" spans="1:10" s="838" customFormat="1" ht="18" customHeight="1" x14ac:dyDescent="0.2">
      <c r="A24" s="51" t="s">
        <v>297</v>
      </c>
      <c r="B24" s="58" t="s">
        <v>298</v>
      </c>
      <c r="C24" s="58"/>
      <c r="D24" s="58"/>
      <c r="E24" s="58"/>
      <c r="F24" s="59"/>
      <c r="G24" s="54" t="s">
        <v>299</v>
      </c>
      <c r="H24" s="76"/>
      <c r="I24" s="61"/>
      <c r="J24" s="62">
        <f>ORWA!L25</f>
        <v>0</v>
      </c>
    </row>
    <row r="25" spans="1:10" s="838" customFormat="1" ht="18.75" customHeight="1" x14ac:dyDescent="0.2">
      <c r="A25" s="51" t="s">
        <v>300</v>
      </c>
      <c r="B25" s="85" t="s">
        <v>301</v>
      </c>
      <c r="C25" s="85"/>
      <c r="D25" s="85"/>
      <c r="E25" s="85"/>
      <c r="F25" s="86"/>
      <c r="G25" s="54" t="s">
        <v>302</v>
      </c>
      <c r="H25" s="76"/>
      <c r="I25" s="61"/>
      <c r="J25" s="62">
        <f>MRWA!I16</f>
        <v>0</v>
      </c>
    </row>
    <row r="26" spans="1:10" s="838" customFormat="1" ht="17.25" customHeight="1" x14ac:dyDescent="0.2">
      <c r="A26" s="51" t="s">
        <v>303</v>
      </c>
      <c r="B26" s="87" t="s">
        <v>304</v>
      </c>
      <c r="C26" s="87"/>
      <c r="D26" s="87"/>
      <c r="E26" s="87"/>
      <c r="F26" s="88"/>
      <c r="G26" s="54" t="s">
        <v>305</v>
      </c>
      <c r="H26" s="76"/>
      <c r="I26" s="61"/>
      <c r="J26" s="62">
        <f>J24+J25+J15</f>
        <v>0</v>
      </c>
    </row>
    <row r="27" spans="1:10" s="838" customFormat="1" ht="27.95" customHeight="1" x14ac:dyDescent="0.2">
      <c r="A27" s="89" t="s">
        <v>306</v>
      </c>
      <c r="B27" s="90" t="s">
        <v>307</v>
      </c>
      <c r="C27" s="90"/>
      <c r="D27" s="90"/>
      <c r="E27" s="90"/>
      <c r="F27" s="91"/>
      <c r="G27" s="54" t="s">
        <v>308</v>
      </c>
      <c r="H27" s="76"/>
      <c r="I27" s="61"/>
      <c r="J27" s="92" t="str">
        <f>IF(J26=0," ",J13/J26*100)</f>
        <v xml:space="preserve"> </v>
      </c>
    </row>
    <row r="28" spans="1:10" s="834" customFormat="1" ht="12" x14ac:dyDescent="0.2">
      <c r="A28" s="93"/>
      <c r="B28" s="32"/>
      <c r="C28" s="32"/>
      <c r="D28" s="32"/>
      <c r="E28" s="32"/>
      <c r="F28" s="32"/>
      <c r="G28" s="94" t="s">
        <v>309</v>
      </c>
      <c r="H28" s="32"/>
      <c r="I28" s="34"/>
      <c r="J28" s="34"/>
    </row>
    <row r="29" spans="1:10" x14ac:dyDescent="0.2">
      <c r="A29" s="832"/>
      <c r="B29" s="1092"/>
      <c r="C29" s="1092"/>
      <c r="D29" s="1092"/>
      <c r="E29" s="1092"/>
      <c r="F29" s="1092"/>
      <c r="G29" s="1092"/>
      <c r="H29" s="1092"/>
      <c r="I29" s="1092"/>
      <c r="J29" s="833"/>
    </row>
  </sheetData>
  <sheetProtection password="ABF8" sheet="1" objects="1" scenarios="1"/>
  <mergeCells count="2">
    <mergeCell ref="I9:J9"/>
    <mergeCell ref="B29:I29"/>
  </mergeCells>
  <phoneticPr fontId="36" type="noConversion"/>
  <printOptions horizontalCentered="1"/>
  <pageMargins left="0.75" right="0.75" top="1" bottom="1" header="0.5" footer="0.5"/>
  <pageSetup paperSize="9" scale="97" orientation="landscape" r:id="rId1"/>
  <headerFooter alignWithMargins="0">
    <oddHeader>&amp;C&amp;"Arial,Bold"&amp;8 NEW RURAL BANK OF SAN LEONARDO, INC  [ 04-040656 ]
 As of: September 30, 2017</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Q89"/>
  <sheetViews>
    <sheetView view="pageBreakPreview" topLeftCell="A6" zoomScale="115" zoomScaleNormal="100" workbookViewId="0">
      <selection activeCell="J70" sqref="J70"/>
    </sheetView>
  </sheetViews>
  <sheetFormatPr defaultRowHeight="12.75" x14ac:dyDescent="0.2"/>
  <cols>
    <col min="1" max="1" width="5.85546875" style="839" customWidth="1"/>
    <col min="2" max="2" width="69.28515625" style="839" customWidth="1"/>
    <col min="3" max="6" width="3" style="839" hidden="1" customWidth="1"/>
    <col min="7" max="7" width="17.85546875" style="840" customWidth="1"/>
    <col min="8" max="8" width="6" style="841" hidden="1" customWidth="1"/>
    <col min="9" max="10" width="19.5703125" style="842" customWidth="1"/>
  </cols>
  <sheetData>
    <row r="1" spans="1:10" s="839" customFormat="1" ht="10.5" hidden="1" customHeight="1" x14ac:dyDescent="0.2">
      <c r="A1" s="32"/>
      <c r="B1" s="32"/>
      <c r="C1" s="32"/>
      <c r="D1" s="32"/>
      <c r="E1" s="32"/>
      <c r="F1" s="32"/>
      <c r="G1" s="33"/>
      <c r="H1" s="95"/>
      <c r="I1" s="34"/>
      <c r="J1" s="34"/>
    </row>
    <row r="2" spans="1:10" s="839" customFormat="1" ht="10.5" hidden="1" customHeight="1" x14ac:dyDescent="0.2">
      <c r="A2" s="32"/>
      <c r="B2" s="32"/>
      <c r="C2" s="32"/>
      <c r="D2" s="32"/>
      <c r="E2" s="32"/>
      <c r="F2" s="32"/>
      <c r="G2" s="33"/>
      <c r="H2" s="95"/>
      <c r="I2" s="34"/>
      <c r="J2" s="34"/>
    </row>
    <row r="3" spans="1:10" s="839" customFormat="1" ht="10.5" hidden="1" customHeight="1" x14ac:dyDescent="0.2">
      <c r="A3" s="32"/>
      <c r="B3" s="32"/>
      <c r="C3" s="32"/>
      <c r="D3" s="32"/>
      <c r="E3" s="32"/>
      <c r="F3" s="32"/>
      <c r="G3" s="33"/>
      <c r="H3" s="95"/>
      <c r="I3" s="34"/>
      <c r="J3" s="34"/>
    </row>
    <row r="4" spans="1:10" s="839" customFormat="1" ht="10.5" hidden="1" customHeight="1" x14ac:dyDescent="0.2">
      <c r="A4" s="32"/>
      <c r="B4" s="32"/>
      <c r="C4" s="32"/>
      <c r="D4" s="32"/>
      <c r="E4" s="32"/>
      <c r="F4" s="32"/>
      <c r="G4" s="33"/>
      <c r="H4" s="95"/>
      <c r="I4" s="34"/>
      <c r="J4" s="34"/>
    </row>
    <row r="5" spans="1:10" s="839" customFormat="1" ht="10.5" hidden="1" customHeight="1" x14ac:dyDescent="0.2">
      <c r="A5" s="96"/>
      <c r="B5" s="96"/>
      <c r="C5" s="96"/>
      <c r="D5" s="96"/>
      <c r="E5" s="96"/>
      <c r="F5" s="96"/>
      <c r="G5" s="97"/>
      <c r="H5" s="98"/>
      <c r="I5" s="99"/>
      <c r="J5" s="99"/>
    </row>
    <row r="6" spans="1:10" s="843" customFormat="1" ht="11.25" x14ac:dyDescent="0.2">
      <c r="A6" s="100" t="s">
        <v>310</v>
      </c>
      <c r="B6" s="101"/>
      <c r="C6" s="101"/>
      <c r="D6" s="101"/>
      <c r="E6" s="101"/>
      <c r="F6" s="101"/>
      <c r="G6" s="102"/>
      <c r="H6" s="103"/>
      <c r="I6" s="104"/>
      <c r="J6" s="104"/>
    </row>
    <row r="7" spans="1:10" s="843" customFormat="1" ht="12.95" customHeight="1" x14ac:dyDescent="0.2">
      <c r="A7" s="1094" t="s">
        <v>964</v>
      </c>
      <c r="B7" s="1094" t="s">
        <v>256</v>
      </c>
      <c r="C7" s="42"/>
      <c r="D7" s="42"/>
      <c r="E7" s="42"/>
      <c r="F7" s="42"/>
      <c r="G7" s="1095" t="s">
        <v>257</v>
      </c>
      <c r="H7" s="42"/>
      <c r="I7" s="1097" t="s">
        <v>258</v>
      </c>
      <c r="J7" s="1097"/>
    </row>
    <row r="8" spans="1:10" s="844" customFormat="1" ht="12.95" customHeight="1" x14ac:dyDescent="0.2">
      <c r="A8" s="1094"/>
      <c r="B8" s="1094"/>
      <c r="C8" s="42"/>
      <c r="D8" s="42"/>
      <c r="E8" s="42"/>
      <c r="F8" s="42"/>
      <c r="G8" s="1096"/>
      <c r="H8" s="42"/>
      <c r="I8" s="1097"/>
      <c r="J8" s="1097"/>
    </row>
    <row r="9" spans="1:10" s="845" customFormat="1" ht="12.95" customHeight="1" x14ac:dyDescent="0.2">
      <c r="A9" s="105" t="s">
        <v>311</v>
      </c>
      <c r="B9" s="90" t="s">
        <v>312</v>
      </c>
      <c r="C9" s="90"/>
      <c r="D9" s="90"/>
      <c r="E9" s="90"/>
      <c r="F9" s="90"/>
      <c r="G9" s="106"/>
      <c r="H9" s="105"/>
      <c r="I9" s="107"/>
      <c r="J9" s="107"/>
    </row>
    <row r="10" spans="1:10" s="845" customFormat="1" ht="12.95" customHeight="1" x14ac:dyDescent="0.2">
      <c r="A10" s="108" t="s">
        <v>261</v>
      </c>
      <c r="B10" s="90" t="s">
        <v>313</v>
      </c>
      <c r="C10" s="90"/>
      <c r="D10" s="90"/>
      <c r="E10" s="90"/>
      <c r="F10" s="90"/>
      <c r="G10" s="106"/>
      <c r="H10" s="105"/>
      <c r="I10" s="107"/>
      <c r="J10" s="107"/>
    </row>
    <row r="11" spans="1:10" s="845" customFormat="1" ht="12.95" customHeight="1" x14ac:dyDescent="0.2">
      <c r="A11" s="109">
        <v>-1</v>
      </c>
      <c r="B11" s="110" t="s">
        <v>314</v>
      </c>
      <c r="C11" s="110"/>
      <c r="D11" s="110"/>
      <c r="E11" s="110"/>
      <c r="F11" s="110"/>
      <c r="G11" s="111" t="s">
        <v>315</v>
      </c>
      <c r="H11" s="112"/>
      <c r="I11" s="107"/>
      <c r="J11" s="113"/>
    </row>
    <row r="12" spans="1:10" s="845" customFormat="1" ht="12.95" customHeight="1" x14ac:dyDescent="0.2">
      <c r="A12" s="114">
        <v>-2</v>
      </c>
      <c r="B12" s="115" t="s">
        <v>316</v>
      </c>
      <c r="C12" s="116"/>
      <c r="D12" s="116"/>
      <c r="E12" s="116"/>
      <c r="F12" s="116"/>
      <c r="G12" s="117" t="s">
        <v>317</v>
      </c>
      <c r="H12" s="112"/>
      <c r="I12" s="107"/>
      <c r="J12" s="113"/>
    </row>
    <row r="13" spans="1:10" s="845" customFormat="1" ht="12.95" customHeight="1" x14ac:dyDescent="0.2">
      <c r="A13" s="109">
        <v>-3</v>
      </c>
      <c r="B13" s="110" t="s">
        <v>318</v>
      </c>
      <c r="C13" s="110"/>
      <c r="D13" s="110"/>
      <c r="E13" s="110"/>
      <c r="F13" s="110"/>
      <c r="G13" s="111" t="s">
        <v>319</v>
      </c>
      <c r="H13" s="112"/>
      <c r="I13" s="107"/>
      <c r="J13" s="113"/>
    </row>
    <row r="14" spans="1:10" s="845" customFormat="1" ht="12.95" customHeight="1" x14ac:dyDescent="0.2">
      <c r="A14" s="114">
        <v>-4</v>
      </c>
      <c r="B14" s="115" t="s">
        <v>320</v>
      </c>
      <c r="C14" s="116"/>
      <c r="D14" s="116"/>
      <c r="E14" s="116"/>
      <c r="F14" s="116"/>
      <c r="G14" s="118" t="s">
        <v>321</v>
      </c>
      <c r="H14" s="112"/>
      <c r="I14" s="107"/>
      <c r="J14" s="113"/>
    </row>
    <row r="15" spans="1:10" s="845" customFormat="1" ht="12.95" customHeight="1" x14ac:dyDescent="0.2">
      <c r="A15" s="109">
        <v>-5</v>
      </c>
      <c r="B15" s="110" t="s">
        <v>322</v>
      </c>
      <c r="C15" s="110"/>
      <c r="D15" s="110"/>
      <c r="E15" s="110"/>
      <c r="F15" s="110"/>
      <c r="G15" s="111" t="s">
        <v>323</v>
      </c>
      <c r="H15" s="112"/>
      <c r="I15" s="107"/>
      <c r="J15" s="113"/>
    </row>
    <row r="16" spans="1:10" s="845" customFormat="1" ht="12.95" customHeight="1" x14ac:dyDescent="0.2">
      <c r="A16" s="109">
        <v>-6</v>
      </c>
      <c r="B16" s="110" t="s">
        <v>324</v>
      </c>
      <c r="C16" s="110"/>
      <c r="D16" s="110"/>
      <c r="E16" s="110"/>
      <c r="F16" s="110"/>
      <c r="G16" s="111" t="s">
        <v>325</v>
      </c>
      <c r="H16" s="112"/>
      <c r="I16" s="107"/>
      <c r="J16" s="113"/>
    </row>
    <row r="17" spans="1:10" s="845" customFormat="1" ht="12.95" customHeight="1" x14ac:dyDescent="0.2">
      <c r="A17" s="109">
        <v>-7</v>
      </c>
      <c r="B17" s="110" t="s">
        <v>326</v>
      </c>
      <c r="C17" s="110"/>
      <c r="D17" s="110"/>
      <c r="E17" s="110"/>
      <c r="F17" s="110"/>
      <c r="G17" s="111" t="s">
        <v>327</v>
      </c>
      <c r="H17" s="112"/>
      <c r="I17" s="107"/>
      <c r="J17" s="113"/>
    </row>
    <row r="18" spans="1:10" s="845" customFormat="1" ht="24.75" customHeight="1" x14ac:dyDescent="0.2">
      <c r="A18" s="109">
        <v>-8</v>
      </c>
      <c r="B18" s="110" t="s">
        <v>328</v>
      </c>
      <c r="C18" s="110"/>
      <c r="D18" s="110"/>
      <c r="E18" s="110"/>
      <c r="F18" s="110"/>
      <c r="G18" s="111" t="s">
        <v>329</v>
      </c>
      <c r="H18" s="112"/>
      <c r="I18" s="107"/>
      <c r="J18" s="119"/>
    </row>
    <row r="19" spans="1:10" s="845" customFormat="1" ht="12.95" customHeight="1" x14ac:dyDescent="0.2">
      <c r="A19" s="109">
        <v>-9</v>
      </c>
      <c r="B19" s="110" t="s">
        <v>330</v>
      </c>
      <c r="C19" s="110"/>
      <c r="D19" s="110"/>
      <c r="E19" s="110"/>
      <c r="F19" s="110"/>
      <c r="G19" s="111" t="s">
        <v>331</v>
      </c>
      <c r="H19" s="112"/>
      <c r="I19" s="107"/>
      <c r="J19" s="119"/>
    </row>
    <row r="20" spans="1:10" s="845" customFormat="1" ht="39.75" customHeight="1" x14ac:dyDescent="0.2">
      <c r="A20" s="109">
        <v>-10</v>
      </c>
      <c r="B20" s="110" t="s">
        <v>332</v>
      </c>
      <c r="C20" s="110"/>
      <c r="D20" s="110"/>
      <c r="E20" s="110"/>
      <c r="F20" s="110"/>
      <c r="G20" s="111" t="s">
        <v>333</v>
      </c>
      <c r="H20" s="112"/>
      <c r="I20" s="107"/>
      <c r="J20" s="120"/>
    </row>
    <row r="21" spans="1:10" s="845" customFormat="1" ht="25.5" customHeight="1" x14ac:dyDescent="0.2">
      <c r="A21" s="109">
        <v>-11</v>
      </c>
      <c r="B21" s="110" t="s">
        <v>334</v>
      </c>
      <c r="C21" s="110"/>
      <c r="D21" s="110"/>
      <c r="E21" s="110"/>
      <c r="F21" s="110"/>
      <c r="G21" s="121" t="s">
        <v>335</v>
      </c>
      <c r="H21" s="122"/>
      <c r="I21" s="107"/>
      <c r="J21" s="73">
        <f>SUM(J11:J20)</f>
        <v>0</v>
      </c>
    </row>
    <row r="22" spans="1:10" s="845" customFormat="1" ht="12.95" customHeight="1" x14ac:dyDescent="0.2">
      <c r="A22" s="108" t="s">
        <v>264</v>
      </c>
      <c r="B22" s="90" t="s">
        <v>336</v>
      </c>
      <c r="C22" s="90"/>
      <c r="D22" s="90"/>
      <c r="E22" s="90"/>
      <c r="F22" s="90"/>
      <c r="G22" s="123"/>
      <c r="H22" s="124"/>
      <c r="I22" s="107"/>
      <c r="J22" s="107"/>
    </row>
    <row r="23" spans="1:10" s="845" customFormat="1" ht="12.95" customHeight="1" x14ac:dyDescent="0.2">
      <c r="A23" s="109">
        <v>-1</v>
      </c>
      <c r="B23" s="110" t="s">
        <v>337</v>
      </c>
      <c r="C23" s="110"/>
      <c r="D23" s="110"/>
      <c r="E23" s="110"/>
      <c r="F23" s="110"/>
      <c r="G23" s="125" t="s">
        <v>338</v>
      </c>
      <c r="H23" s="126"/>
      <c r="I23" s="120"/>
      <c r="J23" s="107"/>
    </row>
    <row r="24" spans="1:10" s="845" customFormat="1" ht="13.5" customHeight="1" x14ac:dyDescent="0.2">
      <c r="A24" s="109">
        <v>-2</v>
      </c>
      <c r="B24" s="110" t="s">
        <v>339</v>
      </c>
      <c r="C24" s="110"/>
      <c r="D24" s="110"/>
      <c r="E24" s="110"/>
      <c r="F24" s="110"/>
      <c r="G24" s="125" t="s">
        <v>340</v>
      </c>
      <c r="H24" s="126"/>
      <c r="I24" s="120"/>
      <c r="J24" s="107"/>
    </row>
    <row r="25" spans="1:10" s="845" customFormat="1" ht="13.5" customHeight="1" x14ac:dyDescent="0.2">
      <c r="A25" s="109">
        <v>-3</v>
      </c>
      <c r="B25" s="110" t="s">
        <v>341</v>
      </c>
      <c r="C25" s="110"/>
      <c r="D25" s="110"/>
      <c r="E25" s="110"/>
      <c r="F25" s="110"/>
      <c r="G25" s="125" t="s">
        <v>342</v>
      </c>
      <c r="H25" s="126"/>
      <c r="I25" s="120"/>
      <c r="J25" s="107"/>
    </row>
    <row r="26" spans="1:10" s="845" customFormat="1" ht="27" customHeight="1" x14ac:dyDescent="0.2">
      <c r="A26" s="109">
        <v>-4</v>
      </c>
      <c r="B26" s="110" t="s">
        <v>343</v>
      </c>
      <c r="C26" s="110"/>
      <c r="D26" s="110"/>
      <c r="E26" s="110"/>
      <c r="F26" s="110"/>
      <c r="G26" s="125" t="s">
        <v>293</v>
      </c>
      <c r="H26" s="126"/>
      <c r="I26" s="120"/>
      <c r="J26" s="107"/>
    </row>
    <row r="27" spans="1:10" s="845" customFormat="1" ht="25.5" customHeight="1" x14ac:dyDescent="0.2">
      <c r="A27" s="109">
        <v>-5</v>
      </c>
      <c r="B27" s="110" t="s">
        <v>344</v>
      </c>
      <c r="C27" s="110"/>
      <c r="D27" s="110"/>
      <c r="E27" s="110"/>
      <c r="F27" s="110"/>
      <c r="G27" s="125" t="s">
        <v>345</v>
      </c>
      <c r="H27" s="126"/>
      <c r="I27" s="120"/>
      <c r="J27" s="107"/>
    </row>
    <row r="28" spans="1:10" s="845" customFormat="1" ht="25.5" customHeight="1" x14ac:dyDescent="0.2">
      <c r="A28" s="109">
        <v>-6</v>
      </c>
      <c r="B28" s="110" t="s">
        <v>1068</v>
      </c>
      <c r="C28" s="110"/>
      <c r="D28" s="110"/>
      <c r="E28" s="110"/>
      <c r="F28" s="110"/>
      <c r="G28" s="125" t="s">
        <v>1069</v>
      </c>
      <c r="H28" s="126"/>
      <c r="I28" s="120"/>
      <c r="J28" s="107"/>
    </row>
    <row r="29" spans="1:10" s="845" customFormat="1" ht="15" customHeight="1" x14ac:dyDescent="0.2">
      <c r="A29" s="109">
        <v>-7</v>
      </c>
      <c r="B29" s="110" t="s">
        <v>1070</v>
      </c>
      <c r="C29" s="110"/>
      <c r="D29" s="110"/>
      <c r="E29" s="110"/>
      <c r="F29" s="110"/>
      <c r="G29" s="125" t="s">
        <v>1071</v>
      </c>
      <c r="H29" s="126"/>
      <c r="I29" s="120"/>
      <c r="J29" s="107"/>
    </row>
    <row r="30" spans="1:10" s="845" customFormat="1" ht="15" customHeight="1" x14ac:dyDescent="0.2">
      <c r="A30" s="109">
        <v>-8</v>
      </c>
      <c r="B30" s="110" t="s">
        <v>1072</v>
      </c>
      <c r="C30" s="110"/>
      <c r="D30" s="110"/>
      <c r="E30" s="110"/>
      <c r="F30" s="110"/>
      <c r="G30" s="125" t="s">
        <v>1073</v>
      </c>
      <c r="H30" s="126"/>
      <c r="I30" s="113"/>
      <c r="J30" s="107"/>
    </row>
    <row r="31" spans="1:10" s="845" customFormat="1" ht="22.5" x14ac:dyDescent="0.2">
      <c r="A31" s="109">
        <v>-9</v>
      </c>
      <c r="B31" s="110" t="s">
        <v>1074</v>
      </c>
      <c r="C31" s="110"/>
      <c r="D31" s="110"/>
      <c r="E31" s="110"/>
      <c r="F31" s="110"/>
      <c r="G31" s="121" t="s">
        <v>1075</v>
      </c>
      <c r="H31" s="122"/>
      <c r="I31" s="107"/>
      <c r="J31" s="73">
        <f>SUM(I23:I30)</f>
        <v>0</v>
      </c>
    </row>
    <row r="32" spans="1:10" s="845" customFormat="1" ht="11.25" x14ac:dyDescent="0.2">
      <c r="A32" s="108" t="s">
        <v>267</v>
      </c>
      <c r="B32" s="90" t="s">
        <v>1076</v>
      </c>
      <c r="C32" s="127"/>
      <c r="D32" s="127"/>
      <c r="E32" s="127"/>
      <c r="F32" s="127"/>
      <c r="G32" s="121" t="s">
        <v>1077</v>
      </c>
      <c r="H32" s="122"/>
      <c r="I32" s="107"/>
      <c r="J32" s="73">
        <f>J21-J31</f>
        <v>0</v>
      </c>
    </row>
    <row r="33" spans="1:10" s="845" customFormat="1" ht="12.95" customHeight="1" x14ac:dyDescent="0.2">
      <c r="A33" s="108" t="s">
        <v>1078</v>
      </c>
      <c r="B33" s="127" t="s">
        <v>1079</v>
      </c>
      <c r="C33" s="127"/>
      <c r="D33" s="127"/>
      <c r="E33" s="127"/>
      <c r="F33" s="127"/>
      <c r="G33" s="128"/>
      <c r="H33" s="129"/>
      <c r="I33" s="107"/>
      <c r="J33" s="107"/>
    </row>
    <row r="34" spans="1:10" s="845" customFormat="1" ht="12.95" customHeight="1" x14ac:dyDescent="0.2">
      <c r="A34" s="109">
        <v>-1</v>
      </c>
      <c r="B34" s="110" t="s">
        <v>1080</v>
      </c>
      <c r="C34" s="110"/>
      <c r="D34" s="110"/>
      <c r="E34" s="110"/>
      <c r="F34" s="110"/>
      <c r="G34" s="111" t="s">
        <v>1081</v>
      </c>
      <c r="H34" s="112"/>
      <c r="I34" s="113"/>
      <c r="J34" s="107"/>
    </row>
    <row r="35" spans="1:10" s="845" customFormat="1" ht="12.95" customHeight="1" x14ac:dyDescent="0.2">
      <c r="A35" s="109">
        <v>-2</v>
      </c>
      <c r="B35" s="110" t="s">
        <v>1082</v>
      </c>
      <c r="C35" s="110"/>
      <c r="D35" s="110"/>
      <c r="E35" s="110"/>
      <c r="F35" s="110"/>
      <c r="G35" s="111" t="s">
        <v>1083</v>
      </c>
      <c r="H35" s="112"/>
      <c r="I35" s="113"/>
      <c r="J35" s="107"/>
    </row>
    <row r="36" spans="1:10" s="845" customFormat="1" ht="22.5" x14ac:dyDescent="0.2">
      <c r="A36" s="109">
        <v>-3</v>
      </c>
      <c r="B36" s="110" t="s">
        <v>1084</v>
      </c>
      <c r="C36" s="110"/>
      <c r="D36" s="110"/>
      <c r="E36" s="110"/>
      <c r="F36" s="110"/>
      <c r="G36" s="121" t="s">
        <v>1085</v>
      </c>
      <c r="H36" s="122"/>
      <c r="I36" s="107"/>
      <c r="J36" s="73">
        <f>SUM(I34:I35)</f>
        <v>0</v>
      </c>
    </row>
    <row r="37" spans="1:10" s="845" customFormat="1" ht="28.5" customHeight="1" x14ac:dyDescent="0.2">
      <c r="A37" s="109">
        <v>-4</v>
      </c>
      <c r="B37" s="110" t="s">
        <v>1086</v>
      </c>
      <c r="C37" s="110"/>
      <c r="D37" s="110"/>
      <c r="E37" s="110"/>
      <c r="F37" s="110"/>
      <c r="G37" s="121" t="s">
        <v>1087</v>
      </c>
      <c r="H37" s="122"/>
      <c r="I37" s="107"/>
      <c r="J37" s="73">
        <f>IF(J36&lt;0,0,IF(J36&lt;(0.1765*J32),J36,IF(J32&lt;0,0,(0.1765*J32))))</f>
        <v>0</v>
      </c>
    </row>
    <row r="38" spans="1:10" s="845" customFormat="1" ht="21.75" x14ac:dyDescent="0.2">
      <c r="A38" s="108" t="s">
        <v>1088</v>
      </c>
      <c r="B38" s="90" t="s">
        <v>1089</v>
      </c>
      <c r="C38" s="127"/>
      <c r="D38" s="127"/>
      <c r="E38" s="127"/>
      <c r="F38" s="127"/>
      <c r="G38" s="121" t="s">
        <v>1090</v>
      </c>
      <c r="H38" s="122"/>
      <c r="I38" s="107"/>
      <c r="J38" s="73">
        <f>J32+J37</f>
        <v>0</v>
      </c>
    </row>
    <row r="39" spans="1:10" s="845" customFormat="1" ht="13.5" customHeight="1" x14ac:dyDescent="0.2">
      <c r="A39" s="105" t="s">
        <v>1091</v>
      </c>
      <c r="B39" s="90" t="s">
        <v>1092</v>
      </c>
      <c r="C39" s="90"/>
      <c r="D39" s="90"/>
      <c r="E39" s="90"/>
      <c r="F39" s="90"/>
      <c r="G39" s="123"/>
      <c r="H39" s="124"/>
      <c r="I39" s="107"/>
      <c r="J39" s="107"/>
    </row>
    <row r="40" spans="1:10" s="845" customFormat="1" ht="13.5" customHeight="1" x14ac:dyDescent="0.2">
      <c r="A40" s="108" t="s">
        <v>1093</v>
      </c>
      <c r="B40" s="127" t="s">
        <v>1094</v>
      </c>
      <c r="C40" s="127"/>
      <c r="D40" s="127"/>
      <c r="E40" s="127"/>
      <c r="F40" s="127"/>
      <c r="G40" s="128"/>
      <c r="H40" s="129"/>
      <c r="I40" s="107"/>
      <c r="J40" s="107"/>
    </row>
    <row r="41" spans="1:10" s="845" customFormat="1" ht="13.5" customHeight="1" x14ac:dyDescent="0.2">
      <c r="A41" s="109">
        <v>-1</v>
      </c>
      <c r="B41" s="110" t="s">
        <v>1095</v>
      </c>
      <c r="C41" s="110"/>
      <c r="D41" s="110"/>
      <c r="E41" s="110"/>
      <c r="F41" s="110"/>
      <c r="G41" s="111" t="s">
        <v>1096</v>
      </c>
      <c r="H41" s="112"/>
      <c r="I41" s="107"/>
      <c r="J41" s="113"/>
    </row>
    <row r="42" spans="1:10" s="845" customFormat="1" ht="13.5" customHeight="1" x14ac:dyDescent="0.2">
      <c r="A42" s="114">
        <v>-2</v>
      </c>
      <c r="B42" s="115" t="s">
        <v>1097</v>
      </c>
      <c r="C42" s="116"/>
      <c r="D42" s="116"/>
      <c r="E42" s="116"/>
      <c r="F42" s="116"/>
      <c r="G42" s="118" t="s">
        <v>1098</v>
      </c>
      <c r="H42" s="112"/>
      <c r="I42" s="107"/>
      <c r="J42" s="113"/>
    </row>
    <row r="43" spans="1:10" s="845" customFormat="1" ht="22.5" x14ac:dyDescent="0.2">
      <c r="A43" s="130">
        <v>-3</v>
      </c>
      <c r="B43" s="110" t="s">
        <v>1099</v>
      </c>
      <c r="C43" s="110"/>
      <c r="D43" s="110"/>
      <c r="E43" s="110"/>
      <c r="F43" s="110"/>
      <c r="G43" s="111" t="s">
        <v>1100</v>
      </c>
      <c r="H43" s="112"/>
      <c r="I43" s="107"/>
      <c r="J43" s="113"/>
    </row>
    <row r="44" spans="1:10" s="845" customFormat="1" ht="22.5" x14ac:dyDescent="0.2">
      <c r="A44" s="114">
        <v>-4</v>
      </c>
      <c r="B44" s="115" t="s">
        <v>1101</v>
      </c>
      <c r="C44" s="116"/>
      <c r="D44" s="116"/>
      <c r="E44" s="116"/>
      <c r="F44" s="116"/>
      <c r="G44" s="118" t="s">
        <v>1102</v>
      </c>
      <c r="H44" s="112"/>
      <c r="I44" s="107"/>
      <c r="J44" s="113"/>
    </row>
    <row r="45" spans="1:10" s="845" customFormat="1" ht="15.75" customHeight="1" x14ac:dyDescent="0.2">
      <c r="A45" s="130">
        <v>-5</v>
      </c>
      <c r="B45" s="110" t="s">
        <v>1103</v>
      </c>
      <c r="C45" s="110"/>
      <c r="D45" s="110"/>
      <c r="E45" s="110"/>
      <c r="F45" s="110"/>
      <c r="G45" s="111" t="s">
        <v>1104</v>
      </c>
      <c r="H45" s="112"/>
      <c r="I45" s="107"/>
      <c r="J45" s="113"/>
    </row>
    <row r="46" spans="1:10" s="845" customFormat="1" ht="22.5" x14ac:dyDescent="0.2">
      <c r="A46" s="130">
        <v>-6</v>
      </c>
      <c r="B46" s="110" t="s">
        <v>1105</v>
      </c>
      <c r="C46" s="110"/>
      <c r="D46" s="110"/>
      <c r="E46" s="110"/>
      <c r="F46" s="110"/>
      <c r="G46" s="111" t="s">
        <v>1106</v>
      </c>
      <c r="H46" s="112"/>
      <c r="I46" s="107"/>
      <c r="J46" s="113"/>
    </row>
    <row r="47" spans="1:10" s="845" customFormat="1" ht="27" customHeight="1" x14ac:dyDescent="0.2">
      <c r="A47" s="130">
        <v>-7</v>
      </c>
      <c r="B47" s="110" t="s">
        <v>1107</v>
      </c>
      <c r="C47" s="110"/>
      <c r="D47" s="110"/>
      <c r="E47" s="110"/>
      <c r="F47" s="110"/>
      <c r="G47" s="121" t="s">
        <v>1108</v>
      </c>
      <c r="H47" s="122"/>
      <c r="I47" s="107"/>
      <c r="J47" s="113"/>
    </row>
    <row r="48" spans="1:10" s="845" customFormat="1" ht="49.5" customHeight="1" x14ac:dyDescent="0.2">
      <c r="A48" s="130">
        <v>-8</v>
      </c>
      <c r="B48" s="110" t="s">
        <v>1109</v>
      </c>
      <c r="C48" s="110"/>
      <c r="D48" s="110"/>
      <c r="E48" s="110"/>
      <c r="F48" s="110"/>
      <c r="G48" s="125" t="s">
        <v>1110</v>
      </c>
      <c r="H48" s="126"/>
      <c r="I48" s="107"/>
      <c r="J48" s="113"/>
    </row>
    <row r="49" spans="1:10" s="845" customFormat="1" ht="22.5" x14ac:dyDescent="0.2">
      <c r="A49" s="109">
        <v>-9</v>
      </c>
      <c r="B49" s="110" t="s">
        <v>1111</v>
      </c>
      <c r="C49" s="110"/>
      <c r="D49" s="110"/>
      <c r="E49" s="110"/>
      <c r="F49" s="110"/>
      <c r="G49" s="111" t="s">
        <v>1112</v>
      </c>
      <c r="H49" s="112"/>
      <c r="I49" s="107"/>
      <c r="J49" s="73">
        <f>J36-J37</f>
        <v>0</v>
      </c>
    </row>
    <row r="50" spans="1:10" s="845" customFormat="1" ht="24.95" customHeight="1" x14ac:dyDescent="0.2">
      <c r="A50" s="109">
        <v>-10</v>
      </c>
      <c r="B50" s="110" t="s">
        <v>1113</v>
      </c>
      <c r="C50" s="110"/>
      <c r="D50" s="110"/>
      <c r="E50" s="110"/>
      <c r="F50" s="110"/>
      <c r="G50" s="131" t="s">
        <v>1114</v>
      </c>
      <c r="H50" s="132"/>
      <c r="I50" s="107"/>
      <c r="J50" s="73">
        <f>SUM(J41:J49)</f>
        <v>0</v>
      </c>
    </row>
    <row r="51" spans="1:10" s="845" customFormat="1" ht="14.25" customHeight="1" x14ac:dyDescent="0.2">
      <c r="A51" s="109" t="s">
        <v>297</v>
      </c>
      <c r="B51" s="90" t="s">
        <v>1115</v>
      </c>
      <c r="C51" s="90"/>
      <c r="D51" s="90"/>
      <c r="E51" s="90"/>
      <c r="F51" s="90"/>
      <c r="G51" s="123"/>
      <c r="H51" s="124"/>
      <c r="I51" s="107"/>
      <c r="J51" s="107"/>
    </row>
    <row r="52" spans="1:10" s="845" customFormat="1" ht="13.5" customHeight="1" x14ac:dyDescent="0.2">
      <c r="A52" s="109">
        <v>-1</v>
      </c>
      <c r="B52" s="110" t="s">
        <v>1116</v>
      </c>
      <c r="C52" s="110"/>
      <c r="D52" s="110"/>
      <c r="E52" s="110"/>
      <c r="F52" s="110"/>
      <c r="G52" s="125" t="s">
        <v>1117</v>
      </c>
      <c r="H52" s="126"/>
      <c r="I52" s="113"/>
      <c r="J52" s="107"/>
    </row>
    <row r="53" spans="1:10" s="845" customFormat="1" ht="26.25" customHeight="1" x14ac:dyDescent="0.2">
      <c r="A53" s="109">
        <v>-2</v>
      </c>
      <c r="B53" s="110" t="s">
        <v>1118</v>
      </c>
      <c r="C53" s="110"/>
      <c r="D53" s="110"/>
      <c r="E53" s="110"/>
      <c r="F53" s="110"/>
      <c r="G53" s="125" t="s">
        <v>1119</v>
      </c>
      <c r="H53" s="126"/>
      <c r="I53" s="113"/>
      <c r="J53" s="107"/>
    </row>
    <row r="54" spans="1:10" s="845" customFormat="1" ht="26.25" customHeight="1" x14ac:dyDescent="0.2">
      <c r="A54" s="109">
        <v>-3</v>
      </c>
      <c r="B54" s="110" t="s">
        <v>1120</v>
      </c>
      <c r="C54" s="110"/>
      <c r="D54" s="110"/>
      <c r="E54" s="110"/>
      <c r="F54" s="110"/>
      <c r="G54" s="125" t="s">
        <v>1121</v>
      </c>
      <c r="H54" s="126"/>
      <c r="I54" s="113"/>
      <c r="J54" s="107"/>
    </row>
    <row r="55" spans="1:10" s="845" customFormat="1" ht="25.5" customHeight="1" x14ac:dyDescent="0.2">
      <c r="A55" s="109">
        <v>-4</v>
      </c>
      <c r="B55" s="110" t="s">
        <v>1122</v>
      </c>
      <c r="C55" s="110"/>
      <c r="D55" s="110"/>
      <c r="E55" s="110"/>
      <c r="F55" s="110"/>
      <c r="G55" s="125" t="s">
        <v>1123</v>
      </c>
      <c r="H55" s="126"/>
      <c r="I55" s="119"/>
      <c r="J55" s="107"/>
    </row>
    <row r="56" spans="1:10" s="845" customFormat="1" ht="24.95" customHeight="1" x14ac:dyDescent="0.2">
      <c r="A56" s="109">
        <v>-5</v>
      </c>
      <c r="B56" s="110" t="s">
        <v>1124</v>
      </c>
      <c r="C56" s="110"/>
      <c r="D56" s="110"/>
      <c r="E56" s="110"/>
      <c r="F56" s="110"/>
      <c r="G56" s="125" t="s">
        <v>1125</v>
      </c>
      <c r="H56" s="126"/>
      <c r="I56" s="107"/>
      <c r="J56" s="73">
        <f>SUM(I52:I55)</f>
        <v>0</v>
      </c>
    </row>
    <row r="57" spans="1:10" s="845" customFormat="1" ht="11.25" x14ac:dyDescent="0.2">
      <c r="A57" s="108" t="s">
        <v>300</v>
      </c>
      <c r="B57" s="90" t="s">
        <v>1126</v>
      </c>
      <c r="C57" s="90"/>
      <c r="D57" s="90"/>
      <c r="E57" s="90"/>
      <c r="F57" s="90"/>
      <c r="G57" s="131" t="s">
        <v>1127</v>
      </c>
      <c r="H57" s="132"/>
      <c r="I57" s="107"/>
      <c r="J57" s="73">
        <f>J50-J56</f>
        <v>0</v>
      </c>
    </row>
    <row r="58" spans="1:10" s="845" customFormat="1" ht="12.95" customHeight="1" x14ac:dyDescent="0.2">
      <c r="A58" s="108" t="s">
        <v>303</v>
      </c>
      <c r="B58" s="90" t="s">
        <v>1128</v>
      </c>
      <c r="C58" s="90"/>
      <c r="D58" s="90"/>
      <c r="E58" s="90"/>
      <c r="F58" s="90"/>
      <c r="G58" s="123"/>
      <c r="H58" s="124"/>
      <c r="I58" s="107"/>
      <c r="J58" s="107"/>
    </row>
    <row r="59" spans="1:10" s="845" customFormat="1" ht="51" customHeight="1" x14ac:dyDescent="0.2">
      <c r="A59" s="109">
        <v>-1</v>
      </c>
      <c r="B59" s="110" t="s">
        <v>1129</v>
      </c>
      <c r="C59" s="110"/>
      <c r="D59" s="110"/>
      <c r="E59" s="110"/>
      <c r="F59" s="110"/>
      <c r="G59" s="133" t="s">
        <v>1130</v>
      </c>
      <c r="H59" s="126"/>
      <c r="I59" s="107"/>
      <c r="J59" s="113"/>
    </row>
    <row r="60" spans="1:10" s="845" customFormat="1" ht="22.5" x14ac:dyDescent="0.2">
      <c r="A60" s="134">
        <v>-2</v>
      </c>
      <c r="B60" s="116" t="s">
        <v>1131</v>
      </c>
      <c r="C60" s="135"/>
      <c r="D60" s="135"/>
      <c r="E60" s="135"/>
      <c r="F60" s="135"/>
      <c r="G60" s="118" t="s">
        <v>1132</v>
      </c>
      <c r="H60" s="126"/>
      <c r="I60" s="107"/>
      <c r="J60" s="113"/>
    </row>
    <row r="61" spans="1:10" s="845" customFormat="1" ht="49.5" customHeight="1" x14ac:dyDescent="0.2">
      <c r="A61" s="109">
        <v>-3</v>
      </c>
      <c r="B61" s="110" t="s">
        <v>441</v>
      </c>
      <c r="C61" s="110"/>
      <c r="D61" s="110"/>
      <c r="E61" s="110"/>
      <c r="F61" s="110"/>
      <c r="G61" s="125" t="s">
        <v>442</v>
      </c>
      <c r="H61" s="126"/>
      <c r="I61" s="107"/>
      <c r="J61" s="113"/>
    </row>
    <row r="62" spans="1:10" s="845" customFormat="1" ht="11.25" x14ac:dyDescent="0.2">
      <c r="A62" s="109">
        <v>-4</v>
      </c>
      <c r="B62" s="110" t="s">
        <v>443</v>
      </c>
      <c r="C62" s="110"/>
      <c r="D62" s="110"/>
      <c r="E62" s="110"/>
      <c r="F62" s="110"/>
      <c r="G62" s="121" t="s">
        <v>444</v>
      </c>
      <c r="H62" s="122"/>
      <c r="I62" s="107"/>
      <c r="J62" s="73">
        <f>SUM(J59:J61)</f>
        <v>0</v>
      </c>
    </row>
    <row r="63" spans="1:10" s="845" customFormat="1" ht="12.95" customHeight="1" x14ac:dyDescent="0.2">
      <c r="A63" s="109" t="s">
        <v>445</v>
      </c>
      <c r="B63" s="90" t="s">
        <v>446</v>
      </c>
      <c r="C63" s="90"/>
      <c r="D63" s="90"/>
      <c r="E63" s="90"/>
      <c r="F63" s="90"/>
      <c r="G63" s="123"/>
      <c r="H63" s="124"/>
      <c r="I63" s="107"/>
      <c r="J63" s="107"/>
    </row>
    <row r="64" spans="1:10" s="845" customFormat="1" ht="26.25" customHeight="1" x14ac:dyDescent="0.2">
      <c r="A64" s="109">
        <v>-1</v>
      </c>
      <c r="B64" s="110" t="s">
        <v>447</v>
      </c>
      <c r="C64" s="110"/>
      <c r="D64" s="110"/>
      <c r="E64" s="110"/>
      <c r="F64" s="110"/>
      <c r="G64" s="125" t="s">
        <v>448</v>
      </c>
      <c r="H64" s="126"/>
      <c r="I64" s="113"/>
      <c r="J64" s="107"/>
    </row>
    <row r="65" spans="1:10" s="845" customFormat="1" ht="38.25" customHeight="1" x14ac:dyDescent="0.2">
      <c r="A65" s="109">
        <v>-2</v>
      </c>
      <c r="B65" s="110" t="s">
        <v>449</v>
      </c>
      <c r="C65" s="110"/>
      <c r="D65" s="110"/>
      <c r="E65" s="110"/>
      <c r="F65" s="110"/>
      <c r="G65" s="125" t="s">
        <v>450</v>
      </c>
      <c r="H65" s="126"/>
      <c r="I65" s="113"/>
      <c r="J65" s="107"/>
    </row>
    <row r="66" spans="1:10" s="845" customFormat="1" ht="24.95" customHeight="1" x14ac:dyDescent="0.2">
      <c r="A66" s="109">
        <v>-3</v>
      </c>
      <c r="B66" s="110" t="s">
        <v>451</v>
      </c>
      <c r="C66" s="110"/>
      <c r="D66" s="110"/>
      <c r="E66" s="110"/>
      <c r="F66" s="110"/>
      <c r="G66" s="125" t="s">
        <v>452</v>
      </c>
      <c r="H66" s="126"/>
      <c r="I66" s="107"/>
      <c r="J66" s="73">
        <f>SUM(I64:I65)</f>
        <v>0</v>
      </c>
    </row>
    <row r="67" spans="1:10" s="845" customFormat="1" ht="24.95" customHeight="1" x14ac:dyDescent="0.2">
      <c r="A67" s="108" t="s">
        <v>453</v>
      </c>
      <c r="B67" s="90" t="s">
        <v>454</v>
      </c>
      <c r="C67" s="90"/>
      <c r="D67" s="90"/>
      <c r="E67" s="90"/>
      <c r="F67" s="90"/>
      <c r="G67" s="121" t="s">
        <v>455</v>
      </c>
      <c r="H67" s="122"/>
      <c r="I67" s="107"/>
      <c r="J67" s="73">
        <f>J62-J66</f>
        <v>0</v>
      </c>
    </row>
    <row r="68" spans="1:10" s="845" customFormat="1" ht="24.95" customHeight="1" x14ac:dyDescent="0.2">
      <c r="A68" s="108" t="s">
        <v>456</v>
      </c>
      <c r="B68" s="90" t="s">
        <v>457</v>
      </c>
      <c r="C68" s="90"/>
      <c r="D68" s="90"/>
      <c r="E68" s="90"/>
      <c r="F68" s="90"/>
      <c r="G68" s="121" t="s">
        <v>458</v>
      </c>
      <c r="H68" s="122"/>
      <c r="I68" s="107"/>
      <c r="J68" s="73">
        <f>IF(J67&lt;0,0,IF(J38&lt;0,0,IF(J67&gt;J38*0.5,J38*0.5,J67)))</f>
        <v>0</v>
      </c>
    </row>
    <row r="69" spans="1:10" s="845" customFormat="1" ht="24.95" customHeight="1" x14ac:dyDescent="0.2">
      <c r="A69" s="108" t="s">
        <v>459</v>
      </c>
      <c r="B69" s="90" t="s">
        <v>460</v>
      </c>
      <c r="C69" s="90"/>
      <c r="D69" s="90"/>
      <c r="E69" s="90"/>
      <c r="F69" s="90"/>
      <c r="G69" s="121" t="s">
        <v>461</v>
      </c>
      <c r="H69" s="122"/>
      <c r="I69" s="107"/>
      <c r="J69" s="73">
        <f>J68+J57</f>
        <v>0</v>
      </c>
    </row>
    <row r="70" spans="1:10" s="845" customFormat="1" ht="24.95" customHeight="1" x14ac:dyDescent="0.2">
      <c r="A70" s="108" t="s">
        <v>462</v>
      </c>
      <c r="B70" s="90" t="s">
        <v>463</v>
      </c>
      <c r="C70" s="90"/>
      <c r="D70" s="90"/>
      <c r="E70" s="90"/>
      <c r="F70" s="90"/>
      <c r="G70" s="121" t="s">
        <v>464</v>
      </c>
      <c r="H70" s="122"/>
      <c r="I70" s="107"/>
      <c r="J70" s="73">
        <f>IF(J69&lt;0,0,IF(J38&lt;0,0,IF(J69&gt;J38,J38,J69)))</f>
        <v>0</v>
      </c>
    </row>
    <row r="71" spans="1:10" s="845" customFormat="1" ht="24.95" customHeight="1" x14ac:dyDescent="0.2">
      <c r="A71" s="105" t="s">
        <v>465</v>
      </c>
      <c r="B71" s="90" t="s">
        <v>466</v>
      </c>
      <c r="C71" s="90"/>
      <c r="D71" s="90"/>
      <c r="E71" s="90"/>
      <c r="F71" s="90"/>
      <c r="G71" s="121" t="s">
        <v>467</v>
      </c>
      <c r="H71" s="122"/>
      <c r="I71" s="107"/>
      <c r="J71" s="73">
        <f>I72+I73</f>
        <v>0</v>
      </c>
    </row>
    <row r="72" spans="1:10" s="845" customFormat="1" ht="24.95" customHeight="1" x14ac:dyDescent="0.2">
      <c r="A72" s="109">
        <v>-1</v>
      </c>
      <c r="B72" s="110" t="s">
        <v>468</v>
      </c>
      <c r="C72" s="110"/>
      <c r="D72" s="110"/>
      <c r="E72" s="110"/>
      <c r="F72" s="110"/>
      <c r="G72" s="121" t="s">
        <v>469</v>
      </c>
      <c r="H72" s="122"/>
      <c r="I72" s="73">
        <f>J38</f>
        <v>0</v>
      </c>
      <c r="J72" s="107"/>
    </row>
    <row r="73" spans="1:10" s="845" customFormat="1" ht="24.95" customHeight="1" x14ac:dyDescent="0.2">
      <c r="A73" s="109">
        <v>-2</v>
      </c>
      <c r="B73" s="110" t="s">
        <v>470</v>
      </c>
      <c r="C73" s="110"/>
      <c r="D73" s="110"/>
      <c r="E73" s="110"/>
      <c r="F73" s="110"/>
      <c r="G73" s="121" t="s">
        <v>471</v>
      </c>
      <c r="H73" s="122"/>
      <c r="I73" s="73">
        <f>J70</f>
        <v>0</v>
      </c>
      <c r="J73" s="107"/>
    </row>
    <row r="74" spans="1:10" s="845" customFormat="1" ht="12.95" customHeight="1" x14ac:dyDescent="0.2">
      <c r="A74" s="105" t="s">
        <v>472</v>
      </c>
      <c r="B74" s="90" t="s">
        <v>473</v>
      </c>
      <c r="C74" s="90"/>
      <c r="D74" s="90"/>
      <c r="E74" s="90"/>
      <c r="F74" s="90"/>
      <c r="G74" s="123"/>
      <c r="H74" s="124"/>
      <c r="I74" s="107"/>
      <c r="J74" s="107"/>
    </row>
    <row r="75" spans="1:10" s="845" customFormat="1" ht="24.75" customHeight="1" x14ac:dyDescent="0.2">
      <c r="A75" s="109">
        <v>-1</v>
      </c>
      <c r="B75" s="110" t="s">
        <v>474</v>
      </c>
      <c r="C75" s="110"/>
      <c r="D75" s="110"/>
      <c r="E75" s="110"/>
      <c r="F75" s="110"/>
      <c r="G75" s="125" t="s">
        <v>475</v>
      </c>
      <c r="H75" s="126"/>
      <c r="I75" s="113"/>
      <c r="J75" s="107"/>
    </row>
    <row r="76" spans="1:10" s="845" customFormat="1" ht="25.5" customHeight="1" x14ac:dyDescent="0.2">
      <c r="A76" s="109">
        <v>-2</v>
      </c>
      <c r="B76" s="110" t="s">
        <v>476</v>
      </c>
      <c r="C76" s="110"/>
      <c r="D76" s="110"/>
      <c r="E76" s="110"/>
      <c r="F76" s="110"/>
      <c r="G76" s="125" t="s">
        <v>477</v>
      </c>
      <c r="H76" s="126"/>
      <c r="I76" s="113"/>
      <c r="J76" s="107"/>
    </row>
    <row r="77" spans="1:10" s="845" customFormat="1" ht="24.75" customHeight="1" x14ac:dyDescent="0.2">
      <c r="A77" s="109">
        <v>-3</v>
      </c>
      <c r="B77" s="110" t="s">
        <v>478</v>
      </c>
      <c r="C77" s="110"/>
      <c r="D77" s="110"/>
      <c r="E77" s="110"/>
      <c r="F77" s="110"/>
      <c r="G77" s="125" t="s">
        <v>479</v>
      </c>
      <c r="H77" s="126"/>
      <c r="I77" s="113"/>
      <c r="J77" s="107"/>
    </row>
    <row r="78" spans="1:10" s="845" customFormat="1" ht="25.5" customHeight="1" x14ac:dyDescent="0.2">
      <c r="A78" s="109">
        <v>-4</v>
      </c>
      <c r="B78" s="110" t="s">
        <v>480</v>
      </c>
      <c r="C78" s="110"/>
      <c r="D78" s="110"/>
      <c r="E78" s="110"/>
      <c r="F78" s="110"/>
      <c r="G78" s="125" t="s">
        <v>481</v>
      </c>
      <c r="H78" s="126"/>
      <c r="I78" s="113"/>
      <c r="J78" s="107"/>
    </row>
    <row r="79" spans="1:10" s="845" customFormat="1" ht="25.5" customHeight="1" x14ac:dyDescent="0.2">
      <c r="A79" s="109">
        <v>-5</v>
      </c>
      <c r="B79" s="110" t="s">
        <v>482</v>
      </c>
      <c r="C79" s="110"/>
      <c r="D79" s="110"/>
      <c r="E79" s="110"/>
      <c r="F79" s="110"/>
      <c r="G79" s="125" t="s">
        <v>483</v>
      </c>
      <c r="H79" s="126"/>
      <c r="I79" s="113"/>
      <c r="J79" s="107"/>
    </row>
    <row r="80" spans="1:10" s="845" customFormat="1" ht="24.95" customHeight="1" x14ac:dyDescent="0.2">
      <c r="A80" s="109">
        <v>-6</v>
      </c>
      <c r="B80" s="110" t="s">
        <v>484</v>
      </c>
      <c r="C80" s="110"/>
      <c r="D80" s="110"/>
      <c r="E80" s="110"/>
      <c r="F80" s="110"/>
      <c r="G80" s="121" t="s">
        <v>485</v>
      </c>
      <c r="H80" s="122"/>
      <c r="I80" s="107"/>
      <c r="J80" s="73">
        <f>SUM(I75:I79)</f>
        <v>0</v>
      </c>
    </row>
    <row r="81" spans="1:17" s="846" customFormat="1" ht="12.95" customHeight="1" x14ac:dyDescent="0.2">
      <c r="A81" s="136" t="s">
        <v>486</v>
      </c>
      <c r="B81" s="137" t="s">
        <v>487</v>
      </c>
      <c r="C81" s="137"/>
      <c r="D81" s="137"/>
      <c r="E81" s="137"/>
      <c r="F81" s="137"/>
      <c r="G81" s="121"/>
      <c r="H81" s="122"/>
      <c r="I81" s="138"/>
      <c r="J81" s="138"/>
      <c r="L81" s="847"/>
      <c r="M81" s="847"/>
      <c r="O81" s="847"/>
      <c r="P81" s="847"/>
      <c r="Q81" s="847"/>
    </row>
    <row r="82" spans="1:17" s="846" customFormat="1" ht="27" customHeight="1" x14ac:dyDescent="0.2">
      <c r="A82" s="139" t="s">
        <v>488</v>
      </c>
      <c r="B82" s="140" t="s">
        <v>489</v>
      </c>
      <c r="C82" s="140"/>
      <c r="D82" s="140"/>
      <c r="E82" s="140"/>
      <c r="F82" s="140"/>
      <c r="G82" s="121" t="s">
        <v>263</v>
      </c>
      <c r="H82" s="122"/>
      <c r="I82" s="73">
        <f>I72-(J80*0.5)+IF((I73-(J80*0.5))&lt;0,I73-(J80*0.5),0)</f>
        <v>0</v>
      </c>
      <c r="J82" s="138"/>
      <c r="L82" s="847"/>
      <c r="M82" s="847"/>
      <c r="O82" s="847"/>
      <c r="P82" s="847"/>
      <c r="Q82" s="847"/>
    </row>
    <row r="83" spans="1:17" s="846" customFormat="1" ht="27" customHeight="1" x14ac:dyDescent="0.2">
      <c r="A83" s="139" t="s">
        <v>490</v>
      </c>
      <c r="B83" s="140" t="s">
        <v>491</v>
      </c>
      <c r="C83" s="140"/>
      <c r="D83" s="140"/>
      <c r="E83" s="140"/>
      <c r="F83" s="140"/>
      <c r="G83" s="121" t="s">
        <v>266</v>
      </c>
      <c r="H83" s="122"/>
      <c r="I83" s="73">
        <f>MAX(0,(I73-(J80*0.5)))</f>
        <v>0</v>
      </c>
      <c r="J83" s="138"/>
      <c r="L83" s="847"/>
      <c r="M83" s="847"/>
      <c r="O83" s="847"/>
      <c r="P83" s="847"/>
      <c r="Q83" s="847"/>
    </row>
    <row r="84" spans="1:17" s="845" customFormat="1" ht="24.95" customHeight="1" x14ac:dyDescent="0.2">
      <c r="A84" s="105" t="s">
        <v>492</v>
      </c>
      <c r="B84" s="90" t="s">
        <v>493</v>
      </c>
      <c r="C84" s="90"/>
      <c r="D84" s="90"/>
      <c r="E84" s="90"/>
      <c r="F84" s="90"/>
      <c r="G84" s="121" t="s">
        <v>269</v>
      </c>
      <c r="H84" s="122"/>
      <c r="I84" s="107"/>
      <c r="J84" s="73">
        <f>J71-J80</f>
        <v>0</v>
      </c>
    </row>
    <row r="85" spans="1:17" s="839" customFormat="1" ht="7.5" customHeight="1" x14ac:dyDescent="0.2">
      <c r="A85" s="32"/>
      <c r="B85" s="32"/>
      <c r="C85" s="32"/>
      <c r="D85" s="32"/>
      <c r="E85" s="32"/>
      <c r="F85" s="32"/>
      <c r="G85" s="94" t="s">
        <v>309</v>
      </c>
      <c r="H85" s="95"/>
      <c r="I85" s="34"/>
      <c r="J85" s="34"/>
    </row>
    <row r="86" spans="1:17" s="839" customFormat="1" ht="24" customHeight="1" x14ac:dyDescent="0.2">
      <c r="A86" s="141" t="s">
        <v>494</v>
      </c>
      <c r="B86" s="1093" t="s">
        <v>495</v>
      </c>
      <c r="C86" s="1093"/>
      <c r="D86" s="1093"/>
      <c r="E86" s="1093"/>
      <c r="F86" s="1093"/>
      <c r="G86" s="1093"/>
      <c r="H86" s="1093"/>
      <c r="I86" s="1093"/>
      <c r="J86" s="1093"/>
    </row>
    <row r="87" spans="1:17" s="839" customFormat="1" ht="23.25" customHeight="1" x14ac:dyDescent="0.2">
      <c r="A87" s="141" t="s">
        <v>496</v>
      </c>
      <c r="B87" s="1093" t="s">
        <v>497</v>
      </c>
      <c r="C87" s="1093"/>
      <c r="D87" s="1093"/>
      <c r="E87" s="1093"/>
      <c r="F87" s="1093"/>
      <c r="G87" s="1093"/>
      <c r="H87" s="1093"/>
      <c r="I87" s="1093"/>
      <c r="J87" s="1093"/>
    </row>
    <row r="88" spans="1:17" s="839" customFormat="1" ht="24.95" customHeight="1" x14ac:dyDescent="0.2">
      <c r="A88" s="142" t="s">
        <v>498</v>
      </c>
      <c r="B88" s="1093" t="s">
        <v>499</v>
      </c>
      <c r="C88" s="1093"/>
      <c r="D88" s="1093"/>
      <c r="E88" s="1093"/>
      <c r="F88" s="1093"/>
      <c r="G88" s="1093"/>
      <c r="H88" s="1093"/>
      <c r="I88" s="1093"/>
      <c r="J88" s="1093"/>
    </row>
    <row r="89" spans="1:17" s="839" customFormat="1" ht="15.75" customHeight="1" x14ac:dyDescent="0.2">
      <c r="A89" s="142" t="s">
        <v>500</v>
      </c>
      <c r="B89" s="1093" t="s">
        <v>501</v>
      </c>
      <c r="C89" s="1093"/>
      <c r="D89" s="1093"/>
      <c r="E89" s="1093"/>
      <c r="F89" s="1093"/>
      <c r="G89" s="1093"/>
      <c r="H89" s="1093"/>
      <c r="I89" s="1093"/>
      <c r="J89" s="1093"/>
    </row>
  </sheetData>
  <sheetProtection password="EBC1" sheet="1" objects="1" scenarios="1"/>
  <mergeCells count="8">
    <mergeCell ref="B86:J86"/>
    <mergeCell ref="B87:J87"/>
    <mergeCell ref="B88:J88"/>
    <mergeCell ref="B89:J89"/>
    <mergeCell ref="A7:A8"/>
    <mergeCell ref="B7:B8"/>
    <mergeCell ref="G7:G8"/>
    <mergeCell ref="I7:J8"/>
  </mergeCells>
  <phoneticPr fontId="36" type="noConversion"/>
  <dataValidations count="4">
    <dataValidation type="decimal" allowBlank="1" showInputMessage="1" showErrorMessage="1" sqref="I25">
      <formula1>0</formula1>
      <formula2>9999999999999990</formula2>
    </dataValidation>
    <dataValidation type="decimal" allowBlank="1" showInputMessage="1" showErrorMessage="1" sqref="I55">
      <formula1>0</formula1>
      <formula2>999999999999999</formula2>
    </dataValidation>
    <dataValidation type="decimal" allowBlank="1" showInputMessage="1" showErrorMessage="1" sqref="I52:I54 J18">
      <formula1>0</formula1>
      <formula2>999999999999.999</formula2>
    </dataValidation>
    <dataValidation type="decimal" allowBlank="1" showInputMessage="1" showErrorMessage="1" sqref="I75:I79 I64:I65 J19:J20 I34:I35 I26:I30 J59:J61 J11:J17 I23:I24 J41:J48">
      <formula1>-999999999999.999</formula1>
      <formula2>999999999999.999</formula2>
    </dataValidation>
  </dataValidations>
  <printOptions horizontalCentered="1"/>
  <pageMargins left="0.75" right="0.75" top="1" bottom="1" header="0.5" footer="0.5"/>
  <pageSetup paperSize="9" scale="73" orientation="landscape" r:id="rId1"/>
  <headerFooter alignWithMargins="0">
    <oddHeader>&amp;C&amp;"Arial,Bold"&amp;8 NEW RURAL BANK OF SAN LEONARDO, INC  [ 04-040656 ]
 As of: September 30, 2017</oddHeader>
  </headerFooter>
  <rowBreaks count="2" manualBreakCount="2">
    <brk id="38" max="16383" man="1"/>
    <brk id="62" max="16383" man="1"/>
  </row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O78"/>
  <sheetViews>
    <sheetView view="pageBreakPreview" topLeftCell="A66" zoomScaleNormal="100" workbookViewId="0">
      <selection activeCell="G22" sqref="G22"/>
    </sheetView>
  </sheetViews>
  <sheetFormatPr defaultRowHeight="12.75" x14ac:dyDescent="0.2"/>
  <cols>
    <col min="1" max="1" width="5.42578125" style="848" customWidth="1"/>
    <col min="2" max="2" width="4.140625" style="849" customWidth="1"/>
    <col min="3" max="3" width="4.85546875" style="849" customWidth="1"/>
    <col min="4" max="4" width="69.28515625" style="849" customWidth="1"/>
    <col min="5" max="5" width="9.140625" style="849" hidden="1" customWidth="1"/>
    <col min="6" max="6" width="9.28515625" style="849" hidden="1" customWidth="1"/>
    <col min="7" max="7" width="17.85546875" style="840" customWidth="1"/>
    <col min="8" max="8" width="17.85546875" style="841" hidden="1" customWidth="1"/>
    <col min="9" max="9" width="19.5703125" style="850" customWidth="1"/>
    <col min="10" max="10" width="12.85546875" style="851" customWidth="1"/>
    <col min="11" max="11" width="19.5703125" style="850" customWidth="1"/>
  </cols>
  <sheetData>
    <row r="1" spans="1:11" s="839" customFormat="1" ht="11.25" x14ac:dyDescent="0.2">
      <c r="A1" s="143"/>
      <c r="B1" s="144"/>
      <c r="C1" s="144"/>
      <c r="D1" s="144"/>
      <c r="E1" s="144"/>
      <c r="F1" s="144"/>
      <c r="G1" s="33"/>
      <c r="H1" s="95"/>
      <c r="I1" s="38"/>
      <c r="J1" s="145"/>
      <c r="K1" s="38"/>
    </row>
    <row r="2" spans="1:11" s="839" customFormat="1" ht="11.25" hidden="1" x14ac:dyDescent="0.2">
      <c r="A2" s="143"/>
      <c r="B2" s="144"/>
      <c r="C2" s="144"/>
      <c r="D2" s="144"/>
      <c r="E2" s="144"/>
      <c r="F2" s="144"/>
      <c r="G2" s="33"/>
      <c r="H2" s="95"/>
      <c r="I2" s="38"/>
      <c r="J2" s="145"/>
      <c r="K2" s="38"/>
    </row>
    <row r="3" spans="1:11" s="839" customFormat="1" ht="11.25" hidden="1" x14ac:dyDescent="0.2">
      <c r="A3" s="143"/>
      <c r="B3" s="144"/>
      <c r="C3" s="144"/>
      <c r="D3" s="144"/>
      <c r="E3" s="144"/>
      <c r="F3" s="144"/>
      <c r="G3" s="33"/>
      <c r="H3" s="95"/>
      <c r="I3" s="38"/>
      <c r="J3" s="145"/>
      <c r="K3" s="38"/>
    </row>
    <row r="4" spans="1:11" s="839" customFormat="1" ht="11.25" hidden="1" x14ac:dyDescent="0.2">
      <c r="A4" s="143"/>
      <c r="B4" s="144"/>
      <c r="C4" s="144"/>
      <c r="D4" s="144"/>
      <c r="E4" s="144"/>
      <c r="F4" s="144"/>
      <c r="G4" s="33"/>
      <c r="H4" s="95"/>
      <c r="I4" s="38"/>
      <c r="J4" s="145"/>
      <c r="K4" s="38"/>
    </row>
    <row r="5" spans="1:11" s="839" customFormat="1" ht="11.25" hidden="1" x14ac:dyDescent="0.2">
      <c r="A5" s="143"/>
      <c r="B5" s="144"/>
      <c r="C5" s="144"/>
      <c r="D5" s="144"/>
      <c r="E5" s="144"/>
      <c r="F5" s="144"/>
      <c r="G5" s="33"/>
      <c r="H5" s="95"/>
      <c r="I5" s="38"/>
      <c r="J5" s="145"/>
      <c r="K5" s="38"/>
    </row>
    <row r="6" spans="1:11" s="843" customFormat="1" ht="16.5" customHeight="1" x14ac:dyDescent="0.2">
      <c r="A6" s="146" t="s">
        <v>502</v>
      </c>
      <c r="B6" s="146"/>
      <c r="C6" s="146"/>
      <c r="D6" s="146"/>
      <c r="E6" s="146"/>
      <c r="F6" s="146"/>
      <c r="G6" s="147"/>
      <c r="H6" s="148"/>
      <c r="I6" s="149"/>
      <c r="J6" s="150"/>
      <c r="K6" s="149"/>
    </row>
    <row r="7" spans="1:11" s="839" customFormat="1" ht="22.5" x14ac:dyDescent="0.2">
      <c r="A7" s="1098" t="s">
        <v>503</v>
      </c>
      <c r="B7" s="1100" t="s">
        <v>256</v>
      </c>
      <c r="C7" s="1101"/>
      <c r="D7" s="1102"/>
      <c r="E7" s="151"/>
      <c r="F7" s="151"/>
      <c r="G7" s="1106" t="s">
        <v>257</v>
      </c>
      <c r="H7" s="152"/>
      <c r="I7" s="153" t="s">
        <v>504</v>
      </c>
      <c r="J7" s="154" t="s">
        <v>505</v>
      </c>
      <c r="K7" s="153" t="s">
        <v>506</v>
      </c>
    </row>
    <row r="8" spans="1:11" s="839" customFormat="1" ht="11.25" x14ac:dyDescent="0.2">
      <c r="A8" s="1099"/>
      <c r="B8" s="1103"/>
      <c r="C8" s="1104"/>
      <c r="D8" s="1105"/>
      <c r="E8" s="156"/>
      <c r="F8" s="156"/>
      <c r="G8" s="1107"/>
      <c r="H8" s="157"/>
      <c r="I8" s="158" t="s">
        <v>507</v>
      </c>
      <c r="J8" s="159" t="s">
        <v>508</v>
      </c>
      <c r="K8" s="158" t="s">
        <v>509</v>
      </c>
    </row>
    <row r="9" spans="1:11" s="845" customFormat="1" ht="12.95" customHeight="1" x14ac:dyDescent="0.2">
      <c r="A9" s="140" t="s">
        <v>510</v>
      </c>
      <c r="B9" s="1108" t="s">
        <v>511</v>
      </c>
      <c r="C9" s="1108"/>
      <c r="D9" s="1108"/>
      <c r="E9" s="140"/>
      <c r="F9" s="140"/>
      <c r="G9" s="160"/>
      <c r="H9" s="108"/>
      <c r="I9" s="161"/>
      <c r="J9" s="162"/>
      <c r="K9" s="161"/>
    </row>
    <row r="10" spans="1:11" s="845" customFormat="1" ht="24.95" customHeight="1" x14ac:dyDescent="0.2">
      <c r="A10" s="108" t="s">
        <v>507</v>
      </c>
      <c r="B10" s="1108" t="s">
        <v>1226</v>
      </c>
      <c r="C10" s="1108"/>
      <c r="D10" s="1108"/>
      <c r="E10" s="140"/>
      <c r="F10" s="140"/>
      <c r="G10" s="111" t="s">
        <v>1227</v>
      </c>
      <c r="H10" s="163"/>
      <c r="I10" s="113"/>
      <c r="J10" s="162"/>
      <c r="K10" s="161"/>
    </row>
    <row r="11" spans="1:11" s="845" customFormat="1" ht="25.5" customHeight="1" x14ac:dyDescent="0.2">
      <c r="A11" s="108" t="s">
        <v>508</v>
      </c>
      <c r="B11" s="1108" t="s">
        <v>1228</v>
      </c>
      <c r="C11" s="1108"/>
      <c r="D11" s="1108"/>
      <c r="E11" s="140"/>
      <c r="F11" s="140"/>
      <c r="G11" s="111"/>
      <c r="H11" s="163"/>
      <c r="I11" s="107"/>
      <c r="J11" s="162"/>
      <c r="K11" s="161"/>
    </row>
    <row r="12" spans="1:11" s="845" customFormat="1" ht="12.95" customHeight="1" x14ac:dyDescent="0.2">
      <c r="A12" s="108"/>
      <c r="B12" s="108" t="s">
        <v>275</v>
      </c>
      <c r="C12" s="1108" t="s">
        <v>1229</v>
      </c>
      <c r="D12" s="1108"/>
      <c r="E12" s="140"/>
      <c r="F12" s="140"/>
      <c r="G12" s="164" t="s">
        <v>1230</v>
      </c>
      <c r="H12" s="77"/>
      <c r="I12" s="113"/>
      <c r="J12" s="162"/>
      <c r="K12" s="161"/>
    </row>
    <row r="13" spans="1:11" s="845" customFormat="1" ht="15" customHeight="1" x14ac:dyDescent="0.2">
      <c r="A13" s="108"/>
      <c r="B13" s="108" t="s">
        <v>278</v>
      </c>
      <c r="C13" s="1108" t="s">
        <v>1231</v>
      </c>
      <c r="D13" s="1108"/>
      <c r="E13" s="140"/>
      <c r="F13" s="140"/>
      <c r="G13" s="164" t="s">
        <v>1232</v>
      </c>
      <c r="H13" s="77"/>
      <c r="I13" s="113"/>
      <c r="J13" s="162"/>
      <c r="K13" s="161"/>
    </row>
    <row r="14" spans="1:11" s="845" customFormat="1" ht="12.95" customHeight="1" x14ac:dyDescent="0.2">
      <c r="A14" s="108"/>
      <c r="B14" s="108" t="s">
        <v>281</v>
      </c>
      <c r="C14" s="1108" t="s">
        <v>1233</v>
      </c>
      <c r="D14" s="1108"/>
      <c r="E14" s="140"/>
      <c r="F14" s="140"/>
      <c r="G14" s="164" t="s">
        <v>1234</v>
      </c>
      <c r="H14" s="77"/>
      <c r="I14" s="113"/>
      <c r="J14" s="162"/>
      <c r="K14" s="161"/>
    </row>
    <row r="15" spans="1:11" s="845" customFormat="1" ht="12.95" customHeight="1" x14ac:dyDescent="0.2">
      <c r="A15" s="108"/>
      <c r="B15" s="108" t="s">
        <v>284</v>
      </c>
      <c r="C15" s="1108" t="s">
        <v>1235</v>
      </c>
      <c r="D15" s="1108"/>
      <c r="E15" s="140"/>
      <c r="F15" s="140"/>
      <c r="G15" s="164" t="s">
        <v>1236</v>
      </c>
      <c r="H15" s="77"/>
      <c r="I15" s="113"/>
      <c r="J15" s="162"/>
      <c r="K15" s="161"/>
    </row>
    <row r="16" spans="1:11" s="845" customFormat="1" ht="12.95" customHeight="1" x14ac:dyDescent="0.2">
      <c r="A16" s="108"/>
      <c r="B16" s="108" t="s">
        <v>287</v>
      </c>
      <c r="C16" s="1108" t="s">
        <v>1237</v>
      </c>
      <c r="D16" s="1108"/>
      <c r="E16" s="140"/>
      <c r="F16" s="140"/>
      <c r="G16" s="164" t="s">
        <v>1238</v>
      </c>
      <c r="H16" s="77"/>
      <c r="I16" s="113"/>
      <c r="J16" s="162"/>
      <c r="K16" s="161"/>
    </row>
    <row r="17" spans="1:11" s="845" customFormat="1" ht="12.95" customHeight="1" x14ac:dyDescent="0.2">
      <c r="A17" s="108"/>
      <c r="B17" s="108" t="s">
        <v>289</v>
      </c>
      <c r="C17" s="1109" t="s">
        <v>1239</v>
      </c>
      <c r="D17" s="1109"/>
      <c r="E17" s="165"/>
      <c r="F17" s="165"/>
      <c r="G17" s="164" t="s">
        <v>1240</v>
      </c>
      <c r="H17" s="77"/>
      <c r="I17" s="113"/>
      <c r="J17" s="162"/>
      <c r="K17" s="161"/>
    </row>
    <row r="18" spans="1:11" s="845" customFormat="1" ht="26.25" customHeight="1" x14ac:dyDescent="0.2">
      <c r="A18" s="108"/>
      <c r="B18" s="108" t="s">
        <v>291</v>
      </c>
      <c r="C18" s="1108" t="s">
        <v>1241</v>
      </c>
      <c r="D18" s="1108"/>
      <c r="E18" s="140"/>
      <c r="F18" s="140"/>
      <c r="G18" s="164" t="s">
        <v>1242</v>
      </c>
      <c r="H18" s="77"/>
      <c r="I18" s="113"/>
      <c r="J18" s="162"/>
      <c r="K18" s="161"/>
    </row>
    <row r="19" spans="1:11" s="845" customFormat="1" ht="12.95" customHeight="1" x14ac:dyDescent="0.2">
      <c r="A19" s="108"/>
      <c r="B19" s="108" t="s">
        <v>294</v>
      </c>
      <c r="C19" s="1108" t="s">
        <v>1243</v>
      </c>
      <c r="D19" s="1108"/>
      <c r="E19" s="140"/>
      <c r="F19" s="140"/>
      <c r="G19" s="121" t="s">
        <v>1244</v>
      </c>
      <c r="H19" s="122"/>
      <c r="I19" s="113"/>
      <c r="J19" s="162"/>
      <c r="K19" s="161"/>
    </row>
    <row r="20" spans="1:11" s="845" customFormat="1" ht="26.25" customHeight="1" x14ac:dyDescent="0.2">
      <c r="A20" s="166" t="s">
        <v>1245</v>
      </c>
      <c r="B20" s="1109" t="s">
        <v>1246</v>
      </c>
      <c r="C20" s="1109"/>
      <c r="D20" s="1109"/>
      <c r="E20" s="165"/>
      <c r="F20" s="165"/>
      <c r="G20" s="164" t="s">
        <v>1247</v>
      </c>
      <c r="H20" s="77"/>
      <c r="I20" s="113"/>
      <c r="J20" s="162"/>
      <c r="K20" s="167"/>
    </row>
    <row r="21" spans="1:11" s="845" customFormat="1" ht="26.25" customHeight="1" x14ac:dyDescent="0.2">
      <c r="A21" s="166" t="s">
        <v>1248</v>
      </c>
      <c r="B21" s="1109" t="s">
        <v>1249</v>
      </c>
      <c r="C21" s="1109"/>
      <c r="D21" s="1109"/>
      <c r="E21" s="165"/>
      <c r="F21" s="165"/>
      <c r="G21" s="164" t="s">
        <v>1250</v>
      </c>
      <c r="H21" s="77"/>
      <c r="I21" s="113"/>
      <c r="J21" s="162"/>
      <c r="K21" s="167"/>
    </row>
    <row r="22" spans="1:11" s="845" customFormat="1" ht="24.95" customHeight="1" x14ac:dyDescent="0.2">
      <c r="A22" s="166" t="s">
        <v>1251</v>
      </c>
      <c r="B22" s="1109" t="s">
        <v>1252</v>
      </c>
      <c r="C22" s="1109"/>
      <c r="D22" s="1109"/>
      <c r="E22" s="165"/>
      <c r="F22" s="165"/>
      <c r="G22" s="168" t="s">
        <v>1253</v>
      </c>
      <c r="H22" s="169"/>
      <c r="I22" s="113"/>
      <c r="J22" s="162"/>
      <c r="K22" s="167"/>
    </row>
    <row r="23" spans="1:11" s="845" customFormat="1" ht="15.75" customHeight="1" x14ac:dyDescent="0.2">
      <c r="A23" s="166" t="s">
        <v>1254</v>
      </c>
      <c r="B23" s="1109" t="s">
        <v>1255</v>
      </c>
      <c r="C23" s="1109"/>
      <c r="D23" s="1109"/>
      <c r="E23" s="165"/>
      <c r="F23" s="165"/>
      <c r="G23" s="168" t="s">
        <v>1256</v>
      </c>
      <c r="H23" s="169"/>
      <c r="I23" s="113"/>
      <c r="J23" s="162"/>
      <c r="K23" s="167"/>
    </row>
    <row r="24" spans="1:11" s="845" customFormat="1" ht="24.95" customHeight="1" x14ac:dyDescent="0.2">
      <c r="A24" s="166" t="s">
        <v>1257</v>
      </c>
      <c r="B24" s="1109" t="s">
        <v>1258</v>
      </c>
      <c r="C24" s="1109"/>
      <c r="D24" s="1109"/>
      <c r="E24" s="165"/>
      <c r="F24" s="165"/>
      <c r="G24" s="168" t="s">
        <v>1259</v>
      </c>
      <c r="H24" s="169"/>
      <c r="I24" s="113"/>
      <c r="J24" s="162"/>
      <c r="K24" s="167"/>
    </row>
    <row r="25" spans="1:11" s="845" customFormat="1" ht="24.95" customHeight="1" x14ac:dyDescent="0.2">
      <c r="A25" s="166" t="s">
        <v>1260</v>
      </c>
      <c r="B25" s="1109" t="s">
        <v>1261</v>
      </c>
      <c r="C25" s="1109"/>
      <c r="D25" s="1109"/>
      <c r="E25" s="165"/>
      <c r="F25" s="165"/>
      <c r="G25" s="168" t="s">
        <v>1262</v>
      </c>
      <c r="H25" s="169"/>
      <c r="I25" s="113"/>
      <c r="J25" s="162"/>
      <c r="K25" s="167"/>
    </row>
    <row r="26" spans="1:11" s="845" customFormat="1" ht="27" customHeight="1" x14ac:dyDescent="0.2">
      <c r="A26" s="166" t="s">
        <v>1263</v>
      </c>
      <c r="B26" s="1109" t="s">
        <v>1264</v>
      </c>
      <c r="C26" s="1109"/>
      <c r="D26" s="1109"/>
      <c r="E26" s="165"/>
      <c r="F26" s="165"/>
      <c r="G26" s="168" t="s">
        <v>1265</v>
      </c>
      <c r="H26" s="169"/>
      <c r="I26" s="113"/>
      <c r="J26" s="162"/>
      <c r="K26" s="167"/>
    </row>
    <row r="27" spans="1:11" s="845" customFormat="1" ht="25.5" customHeight="1" x14ac:dyDescent="0.2">
      <c r="A27" s="166" t="s">
        <v>1266</v>
      </c>
      <c r="B27" s="1109" t="s">
        <v>1267</v>
      </c>
      <c r="C27" s="1109"/>
      <c r="D27" s="1109"/>
      <c r="E27" s="170"/>
      <c r="F27" s="170"/>
      <c r="G27" s="121" t="s">
        <v>1268</v>
      </c>
      <c r="H27" s="171"/>
      <c r="I27" s="73">
        <f>SUM(I10:I26)</f>
        <v>0</v>
      </c>
      <c r="J27" s="172">
        <v>0</v>
      </c>
      <c r="K27" s="73">
        <f>I27*J27/100</f>
        <v>0</v>
      </c>
    </row>
    <row r="28" spans="1:11" s="845" customFormat="1" ht="12.95" customHeight="1" x14ac:dyDescent="0.2">
      <c r="A28" s="140" t="s">
        <v>1269</v>
      </c>
      <c r="B28" s="1108" t="s">
        <v>1270</v>
      </c>
      <c r="C28" s="1108"/>
      <c r="D28" s="1108"/>
      <c r="E28" s="140"/>
      <c r="F28" s="140"/>
      <c r="G28" s="160"/>
      <c r="H28" s="108"/>
      <c r="I28" s="161"/>
      <c r="J28" s="162"/>
      <c r="K28" s="161"/>
    </row>
    <row r="29" spans="1:11" s="845" customFormat="1" ht="26.25" customHeight="1" x14ac:dyDescent="0.2">
      <c r="A29" s="108" t="s">
        <v>507</v>
      </c>
      <c r="B29" s="1108" t="s">
        <v>1271</v>
      </c>
      <c r="C29" s="1108"/>
      <c r="D29" s="1108"/>
      <c r="E29" s="140"/>
      <c r="F29" s="140"/>
      <c r="G29" s="111" t="s">
        <v>1272</v>
      </c>
      <c r="H29" s="163"/>
      <c r="I29" s="113"/>
      <c r="J29" s="162"/>
      <c r="K29" s="161"/>
    </row>
    <row r="30" spans="1:11" s="845" customFormat="1" ht="25.5" customHeight="1" x14ac:dyDescent="0.2">
      <c r="A30" s="108" t="s">
        <v>508</v>
      </c>
      <c r="B30" s="1108" t="s">
        <v>1273</v>
      </c>
      <c r="C30" s="1108"/>
      <c r="D30" s="1108"/>
      <c r="E30" s="140"/>
      <c r="F30" s="140"/>
      <c r="G30" s="164" t="s">
        <v>1274</v>
      </c>
      <c r="H30" s="77"/>
      <c r="I30" s="113"/>
      <c r="J30" s="162"/>
      <c r="K30" s="161"/>
    </row>
    <row r="31" spans="1:11" s="845" customFormat="1" ht="27.75" customHeight="1" x14ac:dyDescent="0.2">
      <c r="A31" s="108" t="s">
        <v>1245</v>
      </c>
      <c r="B31" s="1108" t="s">
        <v>1275</v>
      </c>
      <c r="C31" s="1108"/>
      <c r="D31" s="1108"/>
      <c r="E31" s="140"/>
      <c r="F31" s="140"/>
      <c r="G31" s="164" t="s">
        <v>1276</v>
      </c>
      <c r="H31" s="77"/>
      <c r="I31" s="113"/>
      <c r="J31" s="162"/>
      <c r="K31" s="161"/>
    </row>
    <row r="32" spans="1:11" s="845" customFormat="1" ht="25.5" customHeight="1" x14ac:dyDescent="0.2">
      <c r="A32" s="108" t="s">
        <v>1248</v>
      </c>
      <c r="B32" s="1108" t="s">
        <v>1277</v>
      </c>
      <c r="C32" s="1108"/>
      <c r="D32" s="1108"/>
      <c r="E32" s="140"/>
      <c r="F32" s="140"/>
      <c r="G32" s="164" t="s">
        <v>1278</v>
      </c>
      <c r="H32" s="77"/>
      <c r="I32" s="113"/>
      <c r="J32" s="162"/>
      <c r="K32" s="161"/>
    </row>
    <row r="33" spans="1:11" s="845" customFormat="1" ht="24.95" customHeight="1" x14ac:dyDescent="0.2">
      <c r="A33" s="108" t="s">
        <v>1251</v>
      </c>
      <c r="B33" s="1108" t="s">
        <v>1279</v>
      </c>
      <c r="C33" s="1108"/>
      <c r="D33" s="1108"/>
      <c r="E33" s="140"/>
      <c r="F33" s="140"/>
      <c r="G33" s="164" t="s">
        <v>1280</v>
      </c>
      <c r="H33" s="77"/>
      <c r="I33" s="113"/>
      <c r="J33" s="162"/>
      <c r="K33" s="161"/>
    </row>
    <row r="34" spans="1:11" s="845" customFormat="1" ht="12.95" customHeight="1" x14ac:dyDescent="0.2">
      <c r="A34" s="108" t="s">
        <v>1254</v>
      </c>
      <c r="B34" s="1108" t="s">
        <v>1281</v>
      </c>
      <c r="C34" s="1108"/>
      <c r="D34" s="1108"/>
      <c r="E34" s="140"/>
      <c r="F34" s="140"/>
      <c r="G34" s="111" t="s">
        <v>1282</v>
      </c>
      <c r="H34" s="163"/>
      <c r="I34" s="113"/>
      <c r="J34" s="162"/>
      <c r="K34" s="161"/>
    </row>
    <row r="35" spans="1:11" s="845" customFormat="1" ht="39.75" customHeight="1" x14ac:dyDescent="0.2">
      <c r="A35" s="173" t="s">
        <v>1257</v>
      </c>
      <c r="B35" s="1111" t="s">
        <v>1283</v>
      </c>
      <c r="C35" s="1111"/>
      <c r="D35" s="1111"/>
      <c r="E35" s="140"/>
      <c r="F35" s="140"/>
      <c r="G35" s="121" t="s">
        <v>1284</v>
      </c>
      <c r="H35" s="77"/>
      <c r="I35" s="113"/>
      <c r="J35" s="162"/>
      <c r="K35" s="161"/>
    </row>
    <row r="36" spans="1:11" s="845" customFormat="1" ht="33.75" customHeight="1" x14ac:dyDescent="0.2">
      <c r="A36" s="173" t="s">
        <v>1260</v>
      </c>
      <c r="B36" s="1112" t="s">
        <v>1285</v>
      </c>
      <c r="C36" s="1113"/>
      <c r="D36" s="1114"/>
      <c r="E36" s="140"/>
      <c r="F36" s="140"/>
      <c r="G36" s="121" t="s">
        <v>1286</v>
      </c>
      <c r="H36" s="77"/>
      <c r="I36" s="113"/>
      <c r="J36" s="162"/>
      <c r="K36" s="161"/>
    </row>
    <row r="37" spans="1:11" s="845" customFormat="1" ht="48.75" customHeight="1" x14ac:dyDescent="0.2">
      <c r="A37" s="174" t="s">
        <v>1263</v>
      </c>
      <c r="B37" s="1115" t="s">
        <v>608</v>
      </c>
      <c r="C37" s="1115"/>
      <c r="D37" s="1115"/>
      <c r="E37" s="175"/>
      <c r="F37" s="175"/>
      <c r="G37" s="176" t="s">
        <v>609</v>
      </c>
      <c r="H37" s="177"/>
      <c r="I37" s="113"/>
      <c r="J37" s="162"/>
      <c r="K37" s="161"/>
    </row>
    <row r="38" spans="1:11" s="845" customFormat="1" ht="25.5" customHeight="1" x14ac:dyDescent="0.2">
      <c r="A38" s="178" t="s">
        <v>1266</v>
      </c>
      <c r="B38" s="1110" t="s">
        <v>610</v>
      </c>
      <c r="C38" s="1110"/>
      <c r="D38" s="1110"/>
      <c r="E38" s="180"/>
      <c r="F38" s="180"/>
      <c r="G38" s="181" t="s">
        <v>611</v>
      </c>
      <c r="H38" s="182"/>
      <c r="I38" s="62">
        <f>SUM(I29:I37)</f>
        <v>0</v>
      </c>
      <c r="J38" s="183" t="s">
        <v>612</v>
      </c>
      <c r="K38" s="62">
        <f>I38*J38/100</f>
        <v>0</v>
      </c>
    </row>
    <row r="39" spans="1:11" s="845" customFormat="1" ht="12.95" customHeight="1" x14ac:dyDescent="0.2">
      <c r="A39" s="140" t="s">
        <v>613</v>
      </c>
      <c r="B39" s="1108" t="s">
        <v>614</v>
      </c>
      <c r="C39" s="1108"/>
      <c r="D39" s="1108"/>
      <c r="E39" s="140"/>
      <c r="F39" s="140"/>
      <c r="G39" s="160"/>
      <c r="H39" s="108"/>
      <c r="I39" s="161"/>
      <c r="J39" s="162"/>
      <c r="K39" s="161"/>
    </row>
    <row r="40" spans="1:11" s="845" customFormat="1" ht="36.950000000000003" customHeight="1" x14ac:dyDescent="0.2">
      <c r="A40" s="108" t="s">
        <v>507</v>
      </c>
      <c r="B40" s="1108" t="s">
        <v>615</v>
      </c>
      <c r="C40" s="1108"/>
      <c r="D40" s="1108"/>
      <c r="E40" s="140"/>
      <c r="F40" s="140"/>
      <c r="G40" s="111" t="s">
        <v>616</v>
      </c>
      <c r="H40" s="163"/>
      <c r="I40" s="113"/>
      <c r="J40" s="162"/>
      <c r="K40" s="162"/>
    </row>
    <row r="41" spans="1:11" s="845" customFormat="1" ht="36.950000000000003" customHeight="1" x14ac:dyDescent="0.2">
      <c r="A41" s="173" t="s">
        <v>508</v>
      </c>
      <c r="B41" s="1116" t="s">
        <v>1678</v>
      </c>
      <c r="C41" s="1117"/>
      <c r="D41" s="1118"/>
      <c r="E41" s="140"/>
      <c r="F41" s="140"/>
      <c r="G41" s="111" t="s">
        <v>628</v>
      </c>
      <c r="H41" s="163"/>
      <c r="I41" s="113"/>
      <c r="J41" s="162"/>
      <c r="K41" s="162"/>
    </row>
    <row r="42" spans="1:11" s="845" customFormat="1" ht="36.950000000000003" customHeight="1" x14ac:dyDescent="0.2">
      <c r="A42" s="173" t="s">
        <v>1245</v>
      </c>
      <c r="B42" s="1116" t="s">
        <v>1679</v>
      </c>
      <c r="C42" s="1117"/>
      <c r="D42" s="1118"/>
      <c r="E42" s="140"/>
      <c r="F42" s="140"/>
      <c r="G42" s="111" t="s">
        <v>1680</v>
      </c>
      <c r="H42" s="163"/>
      <c r="I42" s="62">
        <f>SUM(I40:I41)</f>
        <v>0</v>
      </c>
      <c r="J42" s="1058" t="s">
        <v>617</v>
      </c>
      <c r="K42" s="184">
        <f>I42*J42/100</f>
        <v>0</v>
      </c>
    </row>
    <row r="43" spans="1:11" s="845" customFormat="1" ht="12.95" customHeight="1" x14ac:dyDescent="0.2">
      <c r="A43" s="140" t="s">
        <v>618</v>
      </c>
      <c r="B43" s="1108" t="s">
        <v>619</v>
      </c>
      <c r="C43" s="1108"/>
      <c r="D43" s="1108"/>
      <c r="E43" s="140"/>
      <c r="F43" s="140"/>
      <c r="G43" s="160"/>
      <c r="H43" s="108"/>
      <c r="I43" s="161"/>
      <c r="J43" s="162"/>
      <c r="K43" s="161"/>
    </row>
    <row r="44" spans="1:11" s="845" customFormat="1" ht="16.5" customHeight="1" x14ac:dyDescent="0.2">
      <c r="A44" s="108" t="s">
        <v>507</v>
      </c>
      <c r="B44" s="1108" t="s">
        <v>620</v>
      </c>
      <c r="C44" s="1108"/>
      <c r="D44" s="1108"/>
      <c r="E44" s="140"/>
      <c r="F44" s="140"/>
      <c r="G44" s="164" t="s">
        <v>621</v>
      </c>
      <c r="H44" s="77"/>
      <c r="I44" s="113"/>
      <c r="J44" s="185" t="s">
        <v>622</v>
      </c>
      <c r="K44" s="186">
        <f>I44*J44/100</f>
        <v>0</v>
      </c>
    </row>
    <row r="45" spans="1:11" s="845" customFormat="1" ht="12.95" customHeight="1" x14ac:dyDescent="0.2">
      <c r="A45" s="140" t="s">
        <v>623</v>
      </c>
      <c r="B45" s="1108" t="s">
        <v>624</v>
      </c>
      <c r="C45" s="1108"/>
      <c r="D45" s="1108"/>
      <c r="E45" s="140"/>
      <c r="F45" s="140"/>
      <c r="G45" s="160"/>
      <c r="H45" s="108"/>
      <c r="I45" s="161"/>
      <c r="J45" s="162"/>
      <c r="K45" s="161"/>
    </row>
    <row r="46" spans="1:11" s="845" customFormat="1" ht="27" customHeight="1" x14ac:dyDescent="0.2">
      <c r="A46" s="173" t="s">
        <v>507</v>
      </c>
      <c r="B46" s="1108" t="s">
        <v>630</v>
      </c>
      <c r="C46" s="1108"/>
      <c r="D46" s="1108"/>
      <c r="E46" s="140"/>
      <c r="F46" s="140"/>
      <c r="G46" s="121" t="s">
        <v>631</v>
      </c>
      <c r="H46" s="122"/>
      <c r="I46" s="113"/>
      <c r="J46" s="187" t="s">
        <v>629</v>
      </c>
      <c r="K46" s="73">
        <f>I46*J46/100</f>
        <v>0</v>
      </c>
    </row>
    <row r="47" spans="1:11" s="845" customFormat="1" ht="12.95" customHeight="1" x14ac:dyDescent="0.2">
      <c r="A47" s="140" t="s">
        <v>632</v>
      </c>
      <c r="B47" s="1108" t="s">
        <v>633</v>
      </c>
      <c r="C47" s="1108"/>
      <c r="D47" s="1108"/>
      <c r="E47" s="140"/>
      <c r="F47" s="140"/>
      <c r="G47" s="188"/>
      <c r="H47" s="51"/>
      <c r="I47" s="161"/>
      <c r="J47" s="162"/>
      <c r="K47" s="161"/>
    </row>
    <row r="48" spans="1:11" s="845" customFormat="1" ht="39" customHeight="1" x14ac:dyDescent="0.2">
      <c r="A48" s="108" t="s">
        <v>507</v>
      </c>
      <c r="B48" s="1119" t="s">
        <v>634</v>
      </c>
      <c r="C48" s="1120"/>
      <c r="D48" s="1121"/>
      <c r="E48" s="110"/>
      <c r="F48" s="110"/>
      <c r="G48" s="121" t="s">
        <v>635</v>
      </c>
      <c r="H48" s="122"/>
      <c r="I48" s="113"/>
      <c r="J48" s="187" t="s">
        <v>636</v>
      </c>
      <c r="K48" s="73">
        <f>I48*J48/100</f>
        <v>0</v>
      </c>
    </row>
    <row r="49" spans="1:11" s="845" customFormat="1" ht="24" customHeight="1" x14ac:dyDescent="0.2">
      <c r="A49" s="108" t="s">
        <v>508</v>
      </c>
      <c r="B49" s="1122" t="s">
        <v>637</v>
      </c>
      <c r="C49" s="1122"/>
      <c r="D49" s="1122"/>
      <c r="E49" s="110"/>
      <c r="F49" s="110"/>
      <c r="G49" s="190"/>
      <c r="H49" s="108"/>
      <c r="I49" s="107"/>
      <c r="J49" s="162"/>
      <c r="K49" s="161"/>
    </row>
    <row r="50" spans="1:11" s="845" customFormat="1" ht="12.95" customHeight="1" x14ac:dyDescent="0.2">
      <c r="A50" s="108"/>
      <c r="B50" s="1108" t="s">
        <v>625</v>
      </c>
      <c r="C50" s="1108"/>
      <c r="D50" s="1108"/>
      <c r="E50" s="140"/>
      <c r="F50" s="140"/>
      <c r="G50" s="111" t="s">
        <v>638</v>
      </c>
      <c r="H50" s="163"/>
      <c r="I50" s="113"/>
      <c r="J50" s="187" t="s">
        <v>639</v>
      </c>
      <c r="K50" s="73">
        <f>I50*J50/100</f>
        <v>0</v>
      </c>
    </row>
    <row r="51" spans="1:11" s="845" customFormat="1" ht="12.95" customHeight="1" x14ac:dyDescent="0.2">
      <c r="A51" s="108"/>
      <c r="B51" s="1108" t="s">
        <v>626</v>
      </c>
      <c r="C51" s="1108"/>
      <c r="D51" s="1108"/>
      <c r="E51" s="140"/>
      <c r="F51" s="140"/>
      <c r="G51" s="111" t="s">
        <v>640</v>
      </c>
      <c r="H51" s="163"/>
      <c r="I51" s="113"/>
      <c r="J51" s="187" t="s">
        <v>641</v>
      </c>
      <c r="K51" s="73">
        <f>I51*J51/100</f>
        <v>0</v>
      </c>
    </row>
    <row r="52" spans="1:11" s="845" customFormat="1" ht="12.95" customHeight="1" x14ac:dyDescent="0.2">
      <c r="A52" s="108"/>
      <c r="B52" s="1108" t="s">
        <v>627</v>
      </c>
      <c r="C52" s="1108"/>
      <c r="D52" s="1108"/>
      <c r="E52" s="140"/>
      <c r="F52" s="140"/>
      <c r="G52" s="111" t="s">
        <v>642</v>
      </c>
      <c r="H52" s="163"/>
      <c r="I52" s="113"/>
      <c r="J52" s="187" t="s">
        <v>636</v>
      </c>
      <c r="K52" s="73">
        <f>I52*J52/100</f>
        <v>0</v>
      </c>
    </row>
    <row r="53" spans="1:11" s="845" customFormat="1" ht="12.95" customHeight="1" x14ac:dyDescent="0.2">
      <c r="A53" s="140" t="s">
        <v>643</v>
      </c>
      <c r="B53" s="1108" t="s">
        <v>644</v>
      </c>
      <c r="C53" s="1108"/>
      <c r="D53" s="1108"/>
      <c r="E53" s="140"/>
      <c r="F53" s="140"/>
      <c r="G53" s="160"/>
      <c r="H53" s="108"/>
      <c r="I53" s="161"/>
      <c r="J53" s="162"/>
      <c r="K53" s="161"/>
    </row>
    <row r="54" spans="1:11" s="845" customFormat="1" ht="12.95" customHeight="1" x14ac:dyDescent="0.2">
      <c r="A54" s="108" t="s">
        <v>507</v>
      </c>
      <c r="B54" s="1108" t="s">
        <v>645</v>
      </c>
      <c r="C54" s="1108"/>
      <c r="D54" s="1108"/>
      <c r="E54" s="140"/>
      <c r="F54" s="140"/>
      <c r="G54" s="160"/>
      <c r="H54" s="108"/>
      <c r="I54" s="161"/>
      <c r="J54" s="162"/>
      <c r="K54" s="161"/>
    </row>
    <row r="55" spans="1:11" s="845" customFormat="1" ht="12.95" customHeight="1" x14ac:dyDescent="0.2">
      <c r="A55" s="108"/>
      <c r="B55" s="108" t="s">
        <v>275</v>
      </c>
      <c r="C55" s="1116" t="s">
        <v>646</v>
      </c>
      <c r="D55" s="1118"/>
      <c r="E55" s="191"/>
      <c r="F55" s="191"/>
      <c r="G55" s="111" t="s">
        <v>647</v>
      </c>
      <c r="H55" s="163"/>
      <c r="I55" s="113"/>
      <c r="J55" s="162"/>
      <c r="K55" s="161"/>
    </row>
    <row r="56" spans="1:11" s="845" customFormat="1" ht="12.95" customHeight="1" x14ac:dyDescent="0.2">
      <c r="A56" s="108"/>
      <c r="B56" s="108" t="s">
        <v>278</v>
      </c>
      <c r="C56" s="1116" t="s">
        <v>648</v>
      </c>
      <c r="D56" s="1118"/>
      <c r="E56" s="191"/>
      <c r="F56" s="191"/>
      <c r="G56" s="111" t="s">
        <v>649</v>
      </c>
      <c r="H56" s="163"/>
      <c r="I56" s="113"/>
      <c r="J56" s="162"/>
      <c r="K56" s="161"/>
    </row>
    <row r="57" spans="1:11" s="845" customFormat="1" ht="25.5" customHeight="1" x14ac:dyDescent="0.2">
      <c r="A57" s="108"/>
      <c r="B57" s="108" t="s">
        <v>281</v>
      </c>
      <c r="C57" s="1123" t="s">
        <v>1682</v>
      </c>
      <c r="D57" s="1124"/>
      <c r="E57" s="191"/>
      <c r="F57" s="191"/>
      <c r="G57" s="121" t="s">
        <v>650</v>
      </c>
      <c r="H57" s="171"/>
      <c r="I57" s="73">
        <f>I27+I38+I42+I44+I48++I50+I51+I52+I46</f>
        <v>0</v>
      </c>
      <c r="J57" s="162"/>
      <c r="K57" s="161"/>
    </row>
    <row r="58" spans="1:11" s="845" customFormat="1" ht="25.5" customHeight="1" x14ac:dyDescent="0.2">
      <c r="A58" s="108"/>
      <c r="B58" s="108" t="s">
        <v>284</v>
      </c>
      <c r="C58" s="1116" t="s">
        <v>651</v>
      </c>
      <c r="D58" s="1118"/>
      <c r="E58" s="191"/>
      <c r="F58" s="191"/>
      <c r="G58" s="121" t="s">
        <v>652</v>
      </c>
      <c r="H58" s="122"/>
      <c r="I58" s="62">
        <f>I55+I56-I57</f>
        <v>0</v>
      </c>
      <c r="J58" s="162"/>
      <c r="K58" s="161"/>
    </row>
    <row r="59" spans="1:11" s="845" customFormat="1" ht="12.95" customHeight="1" x14ac:dyDescent="0.2">
      <c r="A59" s="192" t="s">
        <v>508</v>
      </c>
      <c r="B59" s="1108" t="s">
        <v>653</v>
      </c>
      <c r="C59" s="1108"/>
      <c r="D59" s="1108"/>
      <c r="E59" s="140"/>
      <c r="F59" s="140"/>
      <c r="G59" s="160"/>
      <c r="H59" s="108"/>
      <c r="I59" s="161"/>
      <c r="J59" s="162"/>
      <c r="K59" s="161"/>
    </row>
    <row r="60" spans="1:11" s="845" customFormat="1" ht="38.25" customHeight="1" x14ac:dyDescent="0.2">
      <c r="A60" s="108"/>
      <c r="B60" s="108" t="s">
        <v>275</v>
      </c>
      <c r="C60" s="1108" t="s">
        <v>654</v>
      </c>
      <c r="D60" s="1108"/>
      <c r="E60" s="140"/>
      <c r="F60" s="140"/>
      <c r="G60" s="168" t="s">
        <v>655</v>
      </c>
      <c r="H60" s="193"/>
      <c r="I60" s="73">
        <f>TQC!I27</f>
        <v>0</v>
      </c>
      <c r="J60" s="162"/>
      <c r="K60" s="161"/>
    </row>
    <row r="61" spans="1:11" s="845" customFormat="1" ht="38.25" customHeight="1" x14ac:dyDescent="0.2">
      <c r="A61" s="108"/>
      <c r="B61" s="108" t="s">
        <v>278</v>
      </c>
      <c r="C61" s="1108" t="s">
        <v>656</v>
      </c>
      <c r="D61" s="1108"/>
      <c r="E61" s="140"/>
      <c r="F61" s="140"/>
      <c r="G61" s="168" t="s">
        <v>657</v>
      </c>
      <c r="H61" s="193"/>
      <c r="I61" s="73">
        <f>TQC!I28</f>
        <v>0</v>
      </c>
      <c r="J61" s="162"/>
      <c r="K61" s="161"/>
    </row>
    <row r="62" spans="1:11" s="845" customFormat="1" ht="24.95" customHeight="1" x14ac:dyDescent="0.2">
      <c r="A62" s="108"/>
      <c r="B62" s="108" t="s">
        <v>281</v>
      </c>
      <c r="C62" s="1108" t="s">
        <v>658</v>
      </c>
      <c r="D62" s="1108"/>
      <c r="E62" s="140"/>
      <c r="F62" s="140"/>
      <c r="G62" s="168" t="s">
        <v>659</v>
      </c>
      <c r="H62" s="193"/>
      <c r="I62" s="73">
        <f>TQC!I29</f>
        <v>0</v>
      </c>
      <c r="J62" s="162"/>
      <c r="K62" s="161"/>
    </row>
    <row r="63" spans="1:11" s="845" customFormat="1" ht="24.95" customHeight="1" x14ac:dyDescent="0.2">
      <c r="A63" s="108"/>
      <c r="B63" s="108" t="s">
        <v>284</v>
      </c>
      <c r="C63" s="1108" t="s">
        <v>660</v>
      </c>
      <c r="D63" s="1108"/>
      <c r="E63" s="140"/>
      <c r="F63" s="140"/>
      <c r="G63" s="168" t="s">
        <v>661</v>
      </c>
      <c r="H63" s="193"/>
      <c r="I63" s="73">
        <f>TQC!I30</f>
        <v>0</v>
      </c>
      <c r="J63" s="162"/>
      <c r="K63" s="161"/>
    </row>
    <row r="64" spans="1:11" s="845" customFormat="1" ht="37.5" customHeight="1" x14ac:dyDescent="0.2">
      <c r="A64" s="173"/>
      <c r="B64" s="108" t="s">
        <v>287</v>
      </c>
      <c r="C64" s="1108" t="s">
        <v>662</v>
      </c>
      <c r="D64" s="1108"/>
      <c r="E64" s="140"/>
      <c r="F64" s="140"/>
      <c r="G64" s="168" t="s">
        <v>663</v>
      </c>
      <c r="H64" s="193"/>
      <c r="I64" s="73">
        <f>TQC!I54</f>
        <v>0</v>
      </c>
      <c r="J64" s="162"/>
      <c r="K64" s="161"/>
    </row>
    <row r="65" spans="1:15" s="845" customFormat="1" ht="50.25" customHeight="1" x14ac:dyDescent="0.2">
      <c r="A65" s="173"/>
      <c r="B65" s="108" t="s">
        <v>289</v>
      </c>
      <c r="C65" s="1108" t="s">
        <v>664</v>
      </c>
      <c r="D65" s="1108"/>
      <c r="E65" s="140"/>
      <c r="F65" s="140"/>
      <c r="G65" s="168" t="s">
        <v>665</v>
      </c>
      <c r="H65" s="193"/>
      <c r="I65" s="73">
        <f>TQC!I65</f>
        <v>0</v>
      </c>
      <c r="J65" s="162"/>
      <c r="K65" s="161"/>
    </row>
    <row r="66" spans="1:15" s="845" customFormat="1" ht="39" customHeight="1" x14ac:dyDescent="0.2">
      <c r="A66" s="173"/>
      <c r="B66" s="108" t="s">
        <v>291</v>
      </c>
      <c r="C66" s="1108" t="s">
        <v>666</v>
      </c>
      <c r="D66" s="1108"/>
      <c r="E66" s="140"/>
      <c r="F66" s="140"/>
      <c r="G66" s="168" t="s">
        <v>667</v>
      </c>
      <c r="H66" s="193"/>
      <c r="I66" s="73">
        <f>TQC!I75</f>
        <v>0</v>
      </c>
      <c r="J66" s="162"/>
      <c r="K66" s="161"/>
    </row>
    <row r="67" spans="1:15" s="845" customFormat="1" ht="36.950000000000003" customHeight="1" x14ac:dyDescent="0.2">
      <c r="A67" s="173"/>
      <c r="B67" s="108" t="s">
        <v>294</v>
      </c>
      <c r="C67" s="1108" t="s">
        <v>668</v>
      </c>
      <c r="D67" s="1108"/>
      <c r="E67" s="140"/>
      <c r="F67" s="140"/>
      <c r="G67" s="168" t="s">
        <v>669</v>
      </c>
      <c r="H67" s="193"/>
      <c r="I67" s="73">
        <f>TQC!I76</f>
        <v>0</v>
      </c>
      <c r="J67" s="162"/>
      <c r="K67" s="161"/>
    </row>
    <row r="68" spans="1:15" s="845" customFormat="1" ht="37.5" customHeight="1" x14ac:dyDescent="0.2">
      <c r="A68" s="173"/>
      <c r="B68" s="108" t="s">
        <v>670</v>
      </c>
      <c r="C68" s="1108" t="s">
        <v>671</v>
      </c>
      <c r="D68" s="1108"/>
      <c r="E68" s="140"/>
      <c r="F68" s="140"/>
      <c r="G68" s="168" t="s">
        <v>672</v>
      </c>
      <c r="H68" s="193"/>
      <c r="I68" s="73">
        <f>TQC!I77</f>
        <v>0</v>
      </c>
      <c r="J68" s="162"/>
      <c r="K68" s="161"/>
    </row>
    <row r="69" spans="1:15" s="845" customFormat="1" ht="39" customHeight="1" x14ac:dyDescent="0.2">
      <c r="A69" s="173"/>
      <c r="B69" s="108" t="s">
        <v>673</v>
      </c>
      <c r="C69" s="1108" t="s">
        <v>1383</v>
      </c>
      <c r="D69" s="1108"/>
      <c r="E69" s="140"/>
      <c r="F69" s="140"/>
      <c r="G69" s="168" t="s">
        <v>1384</v>
      </c>
      <c r="H69" s="193"/>
      <c r="I69" s="73">
        <f>TQC!I78</f>
        <v>0</v>
      </c>
      <c r="J69" s="162"/>
      <c r="K69" s="161"/>
    </row>
    <row r="70" spans="1:15" s="845" customFormat="1" ht="36.950000000000003" customHeight="1" x14ac:dyDescent="0.2">
      <c r="A70" s="173"/>
      <c r="B70" s="108" t="s">
        <v>1385</v>
      </c>
      <c r="C70" s="1108" t="s">
        <v>1386</v>
      </c>
      <c r="D70" s="1108"/>
      <c r="E70" s="140"/>
      <c r="F70" s="140"/>
      <c r="G70" s="168" t="s">
        <v>1387</v>
      </c>
      <c r="H70" s="193"/>
      <c r="I70" s="73">
        <f>TQC!I79</f>
        <v>0</v>
      </c>
      <c r="J70" s="162"/>
      <c r="K70" s="161"/>
    </row>
    <row r="71" spans="1:15" s="845" customFormat="1" ht="17.25" customHeight="1" x14ac:dyDescent="0.2">
      <c r="A71" s="173"/>
      <c r="B71" s="108" t="s">
        <v>1388</v>
      </c>
      <c r="C71" s="1108" t="s">
        <v>1389</v>
      </c>
      <c r="D71" s="1108"/>
      <c r="E71" s="140"/>
      <c r="F71" s="140"/>
      <c r="G71" s="168" t="s">
        <v>1390</v>
      </c>
      <c r="H71" s="169"/>
      <c r="I71" s="113"/>
      <c r="J71" s="162"/>
      <c r="K71" s="161"/>
    </row>
    <row r="72" spans="1:15" s="845" customFormat="1" ht="12.95" customHeight="1" x14ac:dyDescent="0.2">
      <c r="A72" s="173"/>
      <c r="B72" s="108" t="s">
        <v>1391</v>
      </c>
      <c r="C72" s="1108" t="s">
        <v>1392</v>
      </c>
      <c r="D72" s="1108"/>
      <c r="E72" s="140"/>
      <c r="F72" s="140"/>
      <c r="G72" s="168" t="s">
        <v>1393</v>
      </c>
      <c r="H72" s="169"/>
      <c r="I72" s="113"/>
      <c r="J72" s="162"/>
      <c r="K72" s="161"/>
    </row>
    <row r="73" spans="1:15" s="845" customFormat="1" ht="12.95" customHeight="1" x14ac:dyDescent="0.2">
      <c r="A73" s="194"/>
      <c r="B73" s="108" t="s">
        <v>1394</v>
      </c>
      <c r="C73" s="1108" t="s">
        <v>1395</v>
      </c>
      <c r="D73" s="1108"/>
      <c r="E73" s="140"/>
      <c r="F73" s="140"/>
      <c r="G73" s="168" t="s">
        <v>1396</v>
      </c>
      <c r="H73" s="169"/>
      <c r="I73" s="113"/>
      <c r="J73" s="162"/>
      <c r="K73" s="161"/>
      <c r="O73" s="839"/>
    </row>
    <row r="74" spans="1:15" s="845" customFormat="1" ht="26.25" customHeight="1" x14ac:dyDescent="0.2">
      <c r="A74" s="194"/>
      <c r="B74" s="108" t="s">
        <v>1397</v>
      </c>
      <c r="C74" s="1108" t="s">
        <v>1398</v>
      </c>
      <c r="D74" s="1108"/>
      <c r="E74" s="140"/>
      <c r="F74" s="140"/>
      <c r="G74" s="168" t="s">
        <v>1399</v>
      </c>
      <c r="H74" s="193"/>
      <c r="I74" s="73">
        <f>SUM(I60:I73)</f>
        <v>0</v>
      </c>
      <c r="J74" s="162"/>
      <c r="K74" s="161"/>
      <c r="O74" s="839"/>
    </row>
    <row r="75" spans="1:15" s="845" customFormat="1" ht="25.5" customHeight="1" x14ac:dyDescent="0.2">
      <c r="A75" s="192" t="s">
        <v>1245</v>
      </c>
      <c r="B75" s="1108" t="s">
        <v>1400</v>
      </c>
      <c r="C75" s="1108"/>
      <c r="D75" s="1108"/>
      <c r="E75" s="140"/>
      <c r="F75" s="140"/>
      <c r="G75" s="121" t="s">
        <v>1401</v>
      </c>
      <c r="H75" s="171"/>
      <c r="I75" s="73">
        <f>I58-I74</f>
        <v>0</v>
      </c>
      <c r="J75" s="195" t="s">
        <v>629</v>
      </c>
      <c r="K75" s="73">
        <f>I75*J75/100</f>
        <v>0</v>
      </c>
      <c r="O75" s="839"/>
    </row>
    <row r="76" spans="1:15" s="845" customFormat="1" ht="24.95" customHeight="1" x14ac:dyDescent="0.2">
      <c r="A76" s="140" t="s">
        <v>1402</v>
      </c>
      <c r="B76" s="1112" t="s">
        <v>1681</v>
      </c>
      <c r="C76" s="1113"/>
      <c r="D76" s="1114"/>
      <c r="E76" s="140"/>
      <c r="F76" s="140"/>
      <c r="G76" s="121" t="s">
        <v>277</v>
      </c>
      <c r="H76" s="122"/>
      <c r="I76" s="161"/>
      <c r="J76" s="162"/>
      <c r="K76" s="73">
        <f>K75+K44+K42+K38+K27+K50+K51+K52+K48+K46</f>
        <v>0</v>
      </c>
      <c r="O76" s="839"/>
    </row>
    <row r="77" spans="1:15" s="845" customFormat="1" ht="11.25" x14ac:dyDescent="0.2">
      <c r="A77" s="196"/>
      <c r="B77" s="197"/>
      <c r="C77" s="197"/>
      <c r="D77" s="197"/>
      <c r="E77" s="197"/>
      <c r="F77" s="197"/>
      <c r="G77" s="198" t="s">
        <v>309</v>
      </c>
      <c r="H77" s="199"/>
      <c r="I77" s="200"/>
      <c r="J77" s="201"/>
      <c r="K77" s="200"/>
      <c r="O77" s="839"/>
    </row>
    <row r="78" spans="1:15" s="845" customFormat="1" ht="27.75" customHeight="1" x14ac:dyDescent="0.2">
      <c r="A78" s="141" t="s">
        <v>494</v>
      </c>
      <c r="B78" s="1093" t="s">
        <v>1403</v>
      </c>
      <c r="C78" s="1093"/>
      <c r="D78" s="1093"/>
      <c r="E78" s="1093"/>
      <c r="F78" s="1093"/>
      <c r="G78" s="1093"/>
      <c r="H78" s="1093"/>
      <c r="I78" s="1093"/>
      <c r="J78" s="1093"/>
      <c r="K78" s="200"/>
      <c r="O78" s="839"/>
    </row>
  </sheetData>
  <sheetProtection password="B7E0" sheet="1" objects="1" scenarios="1"/>
  <mergeCells count="72">
    <mergeCell ref="B76:D76"/>
    <mergeCell ref="B78:J78"/>
    <mergeCell ref="C72:D72"/>
    <mergeCell ref="C73:D73"/>
    <mergeCell ref="C74:D74"/>
    <mergeCell ref="B75:D75"/>
    <mergeCell ref="C70:D70"/>
    <mergeCell ref="C71:D71"/>
    <mergeCell ref="C64:D64"/>
    <mergeCell ref="C65:D65"/>
    <mergeCell ref="C66:D66"/>
    <mergeCell ref="C67:D67"/>
    <mergeCell ref="C68:D68"/>
    <mergeCell ref="C69:D69"/>
    <mergeCell ref="C60:D60"/>
    <mergeCell ref="C61:D61"/>
    <mergeCell ref="C62:D62"/>
    <mergeCell ref="C63:D63"/>
    <mergeCell ref="C56:D56"/>
    <mergeCell ref="C57:D57"/>
    <mergeCell ref="C58:D58"/>
    <mergeCell ref="B59:D59"/>
    <mergeCell ref="B54:D54"/>
    <mergeCell ref="C55:D55"/>
    <mergeCell ref="B48:D48"/>
    <mergeCell ref="B49:D49"/>
    <mergeCell ref="B50:D50"/>
    <mergeCell ref="B51:D51"/>
    <mergeCell ref="B46:D46"/>
    <mergeCell ref="B47:D47"/>
    <mergeCell ref="B44:D44"/>
    <mergeCell ref="B45:D45"/>
    <mergeCell ref="B52:D52"/>
    <mergeCell ref="B53:D53"/>
    <mergeCell ref="B38:D38"/>
    <mergeCell ref="B39:D39"/>
    <mergeCell ref="B40:D40"/>
    <mergeCell ref="B43:D43"/>
    <mergeCell ref="B34:D34"/>
    <mergeCell ref="B35:D35"/>
    <mergeCell ref="B36:D36"/>
    <mergeCell ref="B37:D37"/>
    <mergeCell ref="B41:D41"/>
    <mergeCell ref="B42:D42"/>
    <mergeCell ref="B30:D30"/>
    <mergeCell ref="B31:D31"/>
    <mergeCell ref="B32:D32"/>
    <mergeCell ref="B33:D33"/>
    <mergeCell ref="B26:D26"/>
    <mergeCell ref="B27:D27"/>
    <mergeCell ref="B28:D28"/>
    <mergeCell ref="B29:D29"/>
    <mergeCell ref="B22:D22"/>
    <mergeCell ref="B23:D23"/>
    <mergeCell ref="B24:D24"/>
    <mergeCell ref="B25:D25"/>
    <mergeCell ref="C18:D18"/>
    <mergeCell ref="C19:D19"/>
    <mergeCell ref="B20:D20"/>
    <mergeCell ref="B21:D21"/>
    <mergeCell ref="C16:D16"/>
    <mergeCell ref="C17:D17"/>
    <mergeCell ref="B10:D10"/>
    <mergeCell ref="B11:D11"/>
    <mergeCell ref="C12:D12"/>
    <mergeCell ref="C13:D13"/>
    <mergeCell ref="A7:A8"/>
    <mergeCell ref="B7:D8"/>
    <mergeCell ref="G7:G8"/>
    <mergeCell ref="B9:D9"/>
    <mergeCell ref="C14:D14"/>
    <mergeCell ref="C15:D15"/>
  </mergeCells>
  <phoneticPr fontId="36" type="noConversion"/>
  <dataValidations count="1">
    <dataValidation type="decimal" allowBlank="1" showInputMessage="1" showErrorMessage="1" sqref="I55:I56 I10 I12:I26 I44 I46 I29:I37 I40:I41 I50:I52 I48 I71:I73">
      <formula1>-999999999999.999</formula1>
      <formula2>999999999999.999</formula2>
    </dataValidation>
  </dataValidations>
  <printOptions horizontalCentered="1"/>
  <pageMargins left="0.75" right="0.75" top="1" bottom="1" header="0.5" footer="0.5"/>
  <pageSetup paperSize="9" scale="69" orientation="landscape" r:id="rId1"/>
  <headerFooter alignWithMargins="0">
    <oddHeader>&amp;C&amp;"Arial,Bold"&amp;8 NEW RURAL BANK OF SAN LEONARDO, INC  [ 04-040656 ]
 As of: September 30, 2017</oddHeader>
  </headerFooter>
  <rowBreaks count="2" manualBreakCount="2">
    <brk id="36" max="10" man="1"/>
    <brk id="63" max="10" man="1"/>
  </rowBreak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A1:P56"/>
  <sheetViews>
    <sheetView view="pageBreakPreview" zoomScale="85" zoomScaleNormal="100" workbookViewId="0">
      <selection activeCell="D48" sqref="D48"/>
    </sheetView>
  </sheetViews>
  <sheetFormatPr defaultRowHeight="12.75" x14ac:dyDescent="0.2"/>
  <cols>
    <col min="1" max="1" width="4.42578125" style="852" customWidth="1"/>
    <col min="2" max="2" width="4.140625" style="852" customWidth="1"/>
    <col min="3" max="3" width="1.7109375" style="852" customWidth="1"/>
    <col min="4" max="4" width="52" style="853" customWidth="1"/>
    <col min="5" max="5" width="5" style="853" hidden="1" customWidth="1"/>
    <col min="6" max="6" width="0.140625" style="853" customWidth="1"/>
    <col min="7" max="7" width="17.5703125" style="854" customWidth="1"/>
    <col min="8" max="8" width="4.7109375" style="855" customWidth="1"/>
    <col min="9" max="9" width="14.42578125" style="856" customWidth="1"/>
    <col min="10" max="10" width="8.5703125" style="857" customWidth="1"/>
    <col min="11" max="11" width="14.140625" style="858" customWidth="1"/>
    <col min="12" max="16" width="17" style="858" customWidth="1"/>
  </cols>
  <sheetData>
    <row r="1" spans="1:16" s="852" customFormat="1" ht="12" x14ac:dyDescent="0.2">
      <c r="A1" s="202"/>
      <c r="B1" s="202"/>
      <c r="C1" s="202"/>
      <c r="D1" s="204"/>
      <c r="E1" s="204"/>
      <c r="F1" s="204"/>
      <c r="G1" s="205"/>
      <c r="H1" s="206"/>
      <c r="I1" s="207"/>
      <c r="J1" s="208"/>
      <c r="K1" s="209"/>
      <c r="L1" s="209"/>
      <c r="M1" s="209"/>
      <c r="N1" s="209"/>
      <c r="O1" s="209"/>
      <c r="P1" s="209"/>
    </row>
    <row r="2" spans="1:16" s="852" customFormat="1" ht="12" hidden="1" customHeight="1" x14ac:dyDescent="0.2">
      <c r="A2" s="202"/>
      <c r="B2" s="202"/>
      <c r="C2" s="202"/>
      <c r="D2" s="204"/>
      <c r="E2" s="204"/>
      <c r="F2" s="204"/>
      <c r="G2" s="205"/>
      <c r="H2" s="206"/>
      <c r="I2" s="207"/>
      <c r="J2" s="208"/>
      <c r="K2" s="209"/>
      <c r="L2" s="209"/>
      <c r="M2" s="209"/>
      <c r="N2" s="209"/>
      <c r="O2" s="209"/>
      <c r="P2" s="209"/>
    </row>
    <row r="3" spans="1:16" s="852" customFormat="1" ht="12" hidden="1" customHeight="1" x14ac:dyDescent="0.2">
      <c r="A3" s="202"/>
      <c r="B3" s="202"/>
      <c r="C3" s="202"/>
      <c r="D3" s="204"/>
      <c r="E3" s="204"/>
      <c r="F3" s="204"/>
      <c r="G3" s="205"/>
      <c r="H3" s="206"/>
      <c r="I3" s="207"/>
      <c r="J3" s="208"/>
      <c r="K3" s="209"/>
      <c r="L3" s="209"/>
      <c r="M3" s="209"/>
      <c r="N3" s="209"/>
      <c r="O3" s="209"/>
      <c r="P3" s="209"/>
    </row>
    <row r="4" spans="1:16" s="852" customFormat="1" ht="12" hidden="1" customHeight="1" x14ac:dyDescent="0.2">
      <c r="A4" s="210"/>
      <c r="B4" s="202"/>
      <c r="C4" s="202"/>
      <c r="D4" s="204"/>
      <c r="E4" s="204"/>
      <c r="F4" s="204"/>
      <c r="G4" s="205"/>
      <c r="H4" s="206"/>
      <c r="I4" s="207"/>
      <c r="J4" s="208"/>
      <c r="K4" s="209"/>
      <c r="L4" s="209"/>
      <c r="M4" s="209"/>
      <c r="N4" s="209"/>
      <c r="O4" s="209"/>
      <c r="P4" s="211"/>
    </row>
    <row r="5" spans="1:16" s="859" customFormat="1" ht="12" x14ac:dyDescent="0.2">
      <c r="A5" s="212" t="s">
        <v>1404</v>
      </c>
      <c r="B5" s="210"/>
      <c r="C5" s="210"/>
      <c r="D5" s="201"/>
      <c r="E5" s="201"/>
      <c r="F5" s="201"/>
      <c r="G5" s="213"/>
      <c r="H5" s="214"/>
      <c r="I5" s="200"/>
      <c r="J5" s="196"/>
      <c r="K5" s="215"/>
      <c r="L5" s="216"/>
      <c r="M5" s="216"/>
      <c r="N5" s="216"/>
      <c r="O5" s="216"/>
      <c r="P5" s="216"/>
    </row>
    <row r="6" spans="1:16" s="852" customFormat="1" ht="11.25" customHeight="1" x14ac:dyDescent="0.2">
      <c r="A6" s="1125" t="s">
        <v>964</v>
      </c>
      <c r="B6" s="1125" t="s">
        <v>1405</v>
      </c>
      <c r="C6" s="1125"/>
      <c r="D6" s="1125"/>
      <c r="E6" s="1125"/>
      <c r="F6" s="217"/>
      <c r="G6" s="1126" t="s">
        <v>257</v>
      </c>
      <c r="H6" s="1126" t="s">
        <v>1406</v>
      </c>
      <c r="I6" s="1130" t="s">
        <v>1407</v>
      </c>
      <c r="J6" s="1131" t="s">
        <v>1408</v>
      </c>
      <c r="K6" s="1129" t="s">
        <v>1409</v>
      </c>
      <c r="L6" s="1129" t="s">
        <v>1410</v>
      </c>
      <c r="M6" s="1129"/>
      <c r="N6" s="1129"/>
      <c r="O6" s="1129"/>
      <c r="P6" s="1129" t="s">
        <v>1411</v>
      </c>
    </row>
    <row r="7" spans="1:16" s="852" customFormat="1" ht="21.75" customHeight="1" x14ac:dyDescent="0.2">
      <c r="A7" s="1125"/>
      <c r="B7" s="1125"/>
      <c r="C7" s="1125"/>
      <c r="D7" s="1125"/>
      <c r="E7" s="1125"/>
      <c r="F7" s="217"/>
      <c r="G7" s="1127"/>
      <c r="H7" s="1127"/>
      <c r="I7" s="1130"/>
      <c r="J7" s="1131"/>
      <c r="K7" s="1129"/>
      <c r="L7" s="1129"/>
      <c r="M7" s="1129"/>
      <c r="N7" s="1129"/>
      <c r="O7" s="1129"/>
      <c r="P7" s="1129"/>
    </row>
    <row r="8" spans="1:16" s="852" customFormat="1" ht="12" x14ac:dyDescent="0.2">
      <c r="A8" s="1125"/>
      <c r="B8" s="1125"/>
      <c r="C8" s="1125"/>
      <c r="D8" s="1125"/>
      <c r="E8" s="1125"/>
      <c r="F8" s="217"/>
      <c r="G8" s="1127"/>
      <c r="H8" s="1127"/>
      <c r="I8" s="1130"/>
      <c r="J8" s="1131"/>
      <c r="K8" s="1129"/>
      <c r="L8" s="218">
        <v>0</v>
      </c>
      <c r="M8" s="218">
        <v>0.2</v>
      </c>
      <c r="N8" s="218">
        <v>0.75</v>
      </c>
      <c r="O8" s="218">
        <v>1</v>
      </c>
      <c r="P8" s="1129"/>
    </row>
    <row r="9" spans="1:16" s="852" customFormat="1" ht="12" x14ac:dyDescent="0.2">
      <c r="A9" s="1125"/>
      <c r="B9" s="1125"/>
      <c r="C9" s="1125"/>
      <c r="D9" s="1125"/>
      <c r="E9" s="1125"/>
      <c r="F9" s="217"/>
      <c r="G9" s="1128"/>
      <c r="H9" s="1128"/>
      <c r="I9" s="219" t="s">
        <v>507</v>
      </c>
      <c r="J9" s="220" t="s">
        <v>508</v>
      </c>
      <c r="K9" s="219" t="s">
        <v>1412</v>
      </c>
      <c r="L9" s="221" t="s">
        <v>1248</v>
      </c>
      <c r="M9" s="219" t="s">
        <v>1251</v>
      </c>
      <c r="N9" s="219" t="s">
        <v>1254</v>
      </c>
      <c r="O9" s="219" t="s">
        <v>1257</v>
      </c>
      <c r="P9" s="179" t="s">
        <v>1413</v>
      </c>
    </row>
    <row r="10" spans="1:16" s="860" customFormat="1" ht="39" customHeight="1" x14ac:dyDescent="0.2">
      <c r="A10" s="166" t="s">
        <v>1414</v>
      </c>
      <c r="B10" s="1109" t="s">
        <v>1415</v>
      </c>
      <c r="C10" s="1109"/>
      <c r="D10" s="1109"/>
      <c r="E10" s="1109"/>
      <c r="F10" s="222"/>
      <c r="G10" s="190"/>
      <c r="H10" s="223"/>
      <c r="I10" s="224"/>
      <c r="J10" s="225"/>
      <c r="K10" s="226"/>
      <c r="L10" s="226"/>
      <c r="M10" s="226"/>
      <c r="N10" s="226"/>
      <c r="O10" s="226"/>
      <c r="P10" s="226"/>
    </row>
    <row r="11" spans="1:16" s="860" customFormat="1" ht="24" customHeight="1" x14ac:dyDescent="0.2">
      <c r="A11" s="166"/>
      <c r="B11" s="227">
        <f>ABS(-1)</f>
        <v>1</v>
      </c>
      <c r="C11" s="1109" t="s">
        <v>1416</v>
      </c>
      <c r="D11" s="1109"/>
      <c r="E11" s="1109"/>
      <c r="F11" s="222"/>
      <c r="G11" s="228" t="s">
        <v>1417</v>
      </c>
      <c r="H11" s="229"/>
      <c r="I11" s="113"/>
      <c r="J11" s="230">
        <v>1</v>
      </c>
      <c r="K11" s="231">
        <f>I11*J11</f>
        <v>0</v>
      </c>
      <c r="L11" s="113"/>
      <c r="M11" s="113"/>
      <c r="N11" s="226"/>
      <c r="O11" s="113"/>
      <c r="P11" s="226"/>
    </row>
    <row r="12" spans="1:16" s="860" customFormat="1" ht="25.5" customHeight="1" x14ac:dyDescent="0.2">
      <c r="A12" s="166"/>
      <c r="B12" s="232" t="s">
        <v>508</v>
      </c>
      <c r="C12" s="1109" t="s">
        <v>1418</v>
      </c>
      <c r="D12" s="1109"/>
      <c r="E12" s="1109"/>
      <c r="F12" s="222"/>
      <c r="G12" s="111" t="s">
        <v>1419</v>
      </c>
      <c r="H12" s="233"/>
      <c r="I12" s="113"/>
      <c r="J12" s="230">
        <v>1</v>
      </c>
      <c r="K12" s="231">
        <f>I12*J12</f>
        <v>0</v>
      </c>
      <c r="L12" s="113"/>
      <c r="M12" s="113"/>
      <c r="N12" s="226"/>
      <c r="O12" s="113"/>
      <c r="P12" s="226"/>
    </row>
    <row r="13" spans="1:16" s="860" customFormat="1" ht="25.5" customHeight="1" x14ac:dyDescent="0.2">
      <c r="A13" s="166"/>
      <c r="B13" s="227">
        <f>ABS(B12)+1</f>
        <v>3</v>
      </c>
      <c r="C13" s="1109" t="s">
        <v>1420</v>
      </c>
      <c r="D13" s="1109"/>
      <c r="E13" s="1109"/>
      <c r="F13" s="222"/>
      <c r="G13" s="228" t="s">
        <v>1421</v>
      </c>
      <c r="H13" s="229"/>
      <c r="I13" s="113"/>
      <c r="J13" s="183">
        <v>1</v>
      </c>
      <c r="K13" s="234">
        <f>I13*J13</f>
        <v>0</v>
      </c>
      <c r="L13" s="113"/>
      <c r="M13" s="113"/>
      <c r="N13" s="226"/>
      <c r="O13" s="113"/>
      <c r="P13" s="226"/>
    </row>
    <row r="14" spans="1:16" s="860" customFormat="1" ht="24" customHeight="1" x14ac:dyDescent="0.2">
      <c r="A14" s="166"/>
      <c r="B14" s="227">
        <f>ABS(B13)+1</f>
        <v>4</v>
      </c>
      <c r="C14" s="1109" t="s">
        <v>1422</v>
      </c>
      <c r="D14" s="1109"/>
      <c r="E14" s="1109"/>
      <c r="F14" s="222"/>
      <c r="G14" s="228" t="s">
        <v>1423</v>
      </c>
      <c r="H14" s="229"/>
      <c r="I14" s="234">
        <f>SUM(I11:I13)</f>
        <v>0</v>
      </c>
      <c r="J14" s="235"/>
      <c r="K14" s="234">
        <f>SUM(K11:K13)</f>
        <v>0</v>
      </c>
      <c r="L14" s="234">
        <f>SUM(L11:L13)</f>
        <v>0</v>
      </c>
      <c r="M14" s="234">
        <f>SUM(M11:M13)</f>
        <v>0</v>
      </c>
      <c r="N14" s="226"/>
      <c r="O14" s="234">
        <f>SUM(O11:O13)</f>
        <v>0</v>
      </c>
      <c r="P14" s="226"/>
    </row>
    <row r="15" spans="1:16" s="861" customFormat="1" ht="26.25" customHeight="1" x14ac:dyDescent="0.2">
      <c r="A15" s="166"/>
      <c r="B15" s="227">
        <f>ABS(B14)+1</f>
        <v>5</v>
      </c>
      <c r="C15" s="1109" t="s">
        <v>1424</v>
      </c>
      <c r="D15" s="1109"/>
      <c r="E15" s="1109"/>
      <c r="F15" s="222"/>
      <c r="G15" s="228" t="s">
        <v>1425</v>
      </c>
      <c r="H15" s="229"/>
      <c r="I15" s="224"/>
      <c r="J15" s="225"/>
      <c r="K15" s="224"/>
      <c r="L15" s="234">
        <f>L14*L8</f>
        <v>0</v>
      </c>
      <c r="M15" s="234">
        <f>M14*M8</f>
        <v>0</v>
      </c>
      <c r="N15" s="226"/>
      <c r="O15" s="234">
        <f>O14*O8</f>
        <v>0</v>
      </c>
      <c r="P15" s="234">
        <f>SUM(L15:O15)</f>
        <v>0</v>
      </c>
    </row>
    <row r="16" spans="1:16" s="860" customFormat="1" ht="51" customHeight="1" x14ac:dyDescent="0.2">
      <c r="A16" s="166" t="s">
        <v>1426</v>
      </c>
      <c r="B16" s="1109" t="s">
        <v>1427</v>
      </c>
      <c r="C16" s="1132"/>
      <c r="D16" s="1132"/>
      <c r="E16" s="1132"/>
      <c r="F16" s="236"/>
      <c r="G16" s="228"/>
      <c r="H16" s="237"/>
      <c r="I16" s="224"/>
      <c r="J16" s="162"/>
      <c r="K16" s="224"/>
      <c r="L16" s="224"/>
      <c r="M16" s="224"/>
      <c r="N16" s="224"/>
      <c r="O16" s="224"/>
      <c r="P16" s="224"/>
    </row>
    <row r="17" spans="1:16" s="860" customFormat="1" ht="49.5" customHeight="1" x14ac:dyDescent="0.2">
      <c r="A17" s="166"/>
      <c r="B17" s="227">
        <f>ABS(-1)</f>
        <v>1</v>
      </c>
      <c r="C17" s="1109" t="s">
        <v>1428</v>
      </c>
      <c r="D17" s="1132"/>
      <c r="E17" s="1132"/>
      <c r="F17" s="236"/>
      <c r="G17" s="228" t="s">
        <v>1429</v>
      </c>
      <c r="H17" s="238"/>
      <c r="I17" s="113"/>
      <c r="J17" s="239">
        <v>0.5</v>
      </c>
      <c r="K17" s="231">
        <f>I17*J17</f>
        <v>0</v>
      </c>
      <c r="L17" s="113"/>
      <c r="M17" s="113"/>
      <c r="N17" s="224"/>
      <c r="O17" s="113"/>
      <c r="P17" s="224"/>
    </row>
    <row r="18" spans="1:16" s="860" customFormat="1" ht="63" customHeight="1" x14ac:dyDescent="0.2">
      <c r="A18" s="166"/>
      <c r="B18" s="227">
        <f>ABS(B17)+1</f>
        <v>2</v>
      </c>
      <c r="C18" s="1109" t="s">
        <v>1430</v>
      </c>
      <c r="D18" s="1132"/>
      <c r="E18" s="1132"/>
      <c r="F18" s="236"/>
      <c r="G18" s="133" t="s">
        <v>1431</v>
      </c>
      <c r="H18" s="238"/>
      <c r="I18" s="113"/>
      <c r="J18" s="239">
        <v>0.5</v>
      </c>
      <c r="K18" s="234">
        <f>I18*J18</f>
        <v>0</v>
      </c>
      <c r="L18" s="113"/>
      <c r="M18" s="113"/>
      <c r="N18" s="240"/>
      <c r="O18" s="113"/>
      <c r="P18" s="224"/>
    </row>
    <row r="19" spans="1:16" s="860" customFormat="1" ht="50.25" customHeight="1" x14ac:dyDescent="0.2">
      <c r="A19" s="166"/>
      <c r="B19" s="227">
        <f>ABS(B18)+1</f>
        <v>3</v>
      </c>
      <c r="C19" s="1109" t="s">
        <v>1432</v>
      </c>
      <c r="D19" s="1132"/>
      <c r="E19" s="1132"/>
      <c r="F19" s="236"/>
      <c r="G19" s="228" t="s">
        <v>1433</v>
      </c>
      <c r="H19" s="241"/>
      <c r="I19" s="113"/>
      <c r="J19" s="239">
        <v>0.5</v>
      </c>
      <c r="K19" s="231">
        <f>I19*J19</f>
        <v>0</v>
      </c>
      <c r="L19" s="113"/>
      <c r="M19" s="113"/>
      <c r="N19" s="224"/>
      <c r="O19" s="113"/>
      <c r="P19" s="224"/>
    </row>
    <row r="20" spans="1:16" s="860" customFormat="1" ht="25.5" customHeight="1" x14ac:dyDescent="0.2">
      <c r="A20" s="166"/>
      <c r="B20" s="227">
        <f>ABS(B19)+1</f>
        <v>4</v>
      </c>
      <c r="C20" s="1109" t="s">
        <v>1434</v>
      </c>
      <c r="D20" s="1109"/>
      <c r="E20" s="1109"/>
      <c r="F20" s="222"/>
      <c r="G20" s="228" t="s">
        <v>1435</v>
      </c>
      <c r="H20" s="229"/>
      <c r="I20" s="231">
        <f>SUM(I17:I19)</f>
        <v>0</v>
      </c>
      <c r="J20" s="235"/>
      <c r="K20" s="231">
        <f>SUM(K17:K19)</f>
        <v>0</v>
      </c>
      <c r="L20" s="231">
        <f>SUM(L17:L19)</f>
        <v>0</v>
      </c>
      <c r="M20" s="231">
        <f>SUM(M17:M19)</f>
        <v>0</v>
      </c>
      <c r="N20" s="224"/>
      <c r="O20" s="231">
        <f>SUM(O17:O19)</f>
        <v>0</v>
      </c>
      <c r="P20" s="224"/>
    </row>
    <row r="21" spans="1:16" s="861" customFormat="1" ht="25.5" customHeight="1" x14ac:dyDescent="0.2">
      <c r="A21" s="166"/>
      <c r="B21" s="227">
        <f>ABS(B20)+1</f>
        <v>5</v>
      </c>
      <c r="C21" s="1109" t="s">
        <v>1436</v>
      </c>
      <c r="D21" s="1109"/>
      <c r="E21" s="1109"/>
      <c r="F21" s="222"/>
      <c r="G21" s="111" t="s">
        <v>1437</v>
      </c>
      <c r="H21" s="229"/>
      <c r="I21" s="226"/>
      <c r="J21" s="162"/>
      <c r="K21" s="224"/>
      <c r="L21" s="234">
        <f>L20*L8</f>
        <v>0</v>
      </c>
      <c r="M21" s="234">
        <f>M20*M8</f>
        <v>0</v>
      </c>
      <c r="N21" s="224"/>
      <c r="O21" s="234">
        <f>O20*O8</f>
        <v>0</v>
      </c>
      <c r="P21" s="234">
        <f>SUM(L21:O21)</f>
        <v>0</v>
      </c>
    </row>
    <row r="22" spans="1:16" s="860" customFormat="1" ht="86.25" customHeight="1" x14ac:dyDescent="0.2">
      <c r="A22" s="166" t="s">
        <v>1438</v>
      </c>
      <c r="B22" s="1109" t="s">
        <v>1439</v>
      </c>
      <c r="C22" s="1132"/>
      <c r="D22" s="1132"/>
      <c r="E22" s="1132"/>
      <c r="F22" s="236"/>
      <c r="G22" s="242"/>
      <c r="H22" s="237"/>
      <c r="I22" s="224"/>
      <c r="J22" s="162"/>
      <c r="K22" s="224"/>
      <c r="L22" s="224"/>
      <c r="M22" s="224"/>
      <c r="N22" s="224"/>
      <c r="O22" s="224"/>
      <c r="P22" s="224"/>
    </row>
    <row r="23" spans="1:16" s="860" customFormat="1" ht="26.1" customHeight="1" x14ac:dyDescent="0.2">
      <c r="A23" s="166"/>
      <c r="B23" s="227">
        <f>ABS(-1)</f>
        <v>1</v>
      </c>
      <c r="C23" s="1109" t="s">
        <v>1440</v>
      </c>
      <c r="D23" s="1132"/>
      <c r="E23" s="1132"/>
      <c r="F23" s="236"/>
      <c r="G23" s="111" t="s">
        <v>1441</v>
      </c>
      <c r="H23" s="233"/>
      <c r="I23" s="113"/>
      <c r="J23" s="239">
        <v>0.2</v>
      </c>
      <c r="K23" s="234">
        <f>I23*J23</f>
        <v>0</v>
      </c>
      <c r="L23" s="113"/>
      <c r="M23" s="113"/>
      <c r="N23" s="113"/>
      <c r="O23" s="113"/>
      <c r="P23" s="224"/>
    </row>
    <row r="24" spans="1:16" s="860" customFormat="1" ht="26.1" customHeight="1" x14ac:dyDescent="0.2">
      <c r="A24" s="166"/>
      <c r="B24" s="227">
        <f>ABS(-2)</f>
        <v>2</v>
      </c>
      <c r="C24" s="1109" t="s">
        <v>1442</v>
      </c>
      <c r="D24" s="1132"/>
      <c r="E24" s="1132"/>
      <c r="F24" s="236"/>
      <c r="G24" s="111" t="s">
        <v>1443</v>
      </c>
      <c r="H24" s="233"/>
      <c r="I24" s="113"/>
      <c r="J24" s="239">
        <v>0.2</v>
      </c>
      <c r="K24" s="234">
        <f t="shared" ref="K24:K33" si="0">I24*J24</f>
        <v>0</v>
      </c>
      <c r="L24" s="113"/>
      <c r="M24" s="113"/>
      <c r="N24" s="226"/>
      <c r="O24" s="113"/>
      <c r="P24" s="224"/>
    </row>
    <row r="25" spans="1:16" s="860" customFormat="1" ht="26.1" customHeight="1" x14ac:dyDescent="0.2">
      <c r="A25" s="166"/>
      <c r="B25" s="232" t="s">
        <v>1245</v>
      </c>
      <c r="C25" s="1109" t="s">
        <v>1444</v>
      </c>
      <c r="D25" s="1132"/>
      <c r="E25" s="1132"/>
      <c r="F25" s="236"/>
      <c r="G25" s="111" t="s">
        <v>1445</v>
      </c>
      <c r="H25" s="233"/>
      <c r="I25" s="113"/>
      <c r="J25" s="239">
        <v>0.2</v>
      </c>
      <c r="K25" s="234">
        <f t="shared" si="0"/>
        <v>0</v>
      </c>
      <c r="L25" s="113"/>
      <c r="M25" s="113"/>
      <c r="N25" s="113"/>
      <c r="O25" s="113"/>
      <c r="P25" s="224"/>
    </row>
    <row r="26" spans="1:16" s="860" customFormat="1" ht="26.1" customHeight="1" x14ac:dyDescent="0.2">
      <c r="A26" s="166"/>
      <c r="B26" s="232" t="s">
        <v>1248</v>
      </c>
      <c r="C26" s="1109" t="s">
        <v>1446</v>
      </c>
      <c r="D26" s="1132"/>
      <c r="E26" s="1132"/>
      <c r="F26" s="236"/>
      <c r="G26" s="111" t="s">
        <v>1447</v>
      </c>
      <c r="H26" s="238"/>
      <c r="I26" s="113"/>
      <c r="J26" s="239">
        <v>0.2</v>
      </c>
      <c r="K26" s="234">
        <f t="shared" si="0"/>
        <v>0</v>
      </c>
      <c r="L26" s="113"/>
      <c r="M26" s="113"/>
      <c r="N26" s="113"/>
      <c r="O26" s="113"/>
      <c r="P26" s="224"/>
    </row>
    <row r="27" spans="1:16" s="860" customFormat="1" ht="26.1" customHeight="1" x14ac:dyDescent="0.2">
      <c r="A27" s="166"/>
      <c r="B27" s="232" t="s">
        <v>1251</v>
      </c>
      <c r="C27" s="1109" t="s">
        <v>1448</v>
      </c>
      <c r="D27" s="1132"/>
      <c r="E27" s="1132"/>
      <c r="F27" s="236"/>
      <c r="G27" s="111" t="s">
        <v>1449</v>
      </c>
      <c r="H27" s="233"/>
      <c r="I27" s="113"/>
      <c r="J27" s="239">
        <v>0.2</v>
      </c>
      <c r="K27" s="234">
        <f t="shared" si="0"/>
        <v>0</v>
      </c>
      <c r="L27" s="113"/>
      <c r="M27" s="113"/>
      <c r="N27" s="113"/>
      <c r="O27" s="113"/>
      <c r="P27" s="224"/>
    </row>
    <row r="28" spans="1:16" s="860" customFormat="1" ht="26.1" customHeight="1" x14ac:dyDescent="0.2">
      <c r="A28" s="166"/>
      <c r="B28" s="232" t="s">
        <v>1254</v>
      </c>
      <c r="C28" s="1109" t="s">
        <v>1450</v>
      </c>
      <c r="D28" s="1109"/>
      <c r="E28" s="1109"/>
      <c r="F28" s="222"/>
      <c r="G28" s="133" t="s">
        <v>1451</v>
      </c>
      <c r="H28" s="238"/>
      <c r="I28" s="113"/>
      <c r="J28" s="239">
        <v>0.2</v>
      </c>
      <c r="K28" s="234">
        <f t="shared" si="0"/>
        <v>0</v>
      </c>
      <c r="L28" s="113"/>
      <c r="M28" s="113"/>
      <c r="N28" s="113"/>
      <c r="O28" s="113"/>
      <c r="P28" s="224"/>
    </row>
    <row r="29" spans="1:16" s="860" customFormat="1" ht="26.1" customHeight="1" x14ac:dyDescent="0.2">
      <c r="A29" s="166"/>
      <c r="B29" s="232" t="s">
        <v>1257</v>
      </c>
      <c r="C29" s="1109" t="s">
        <v>1452</v>
      </c>
      <c r="D29" s="1132"/>
      <c r="E29" s="1132"/>
      <c r="F29" s="236"/>
      <c r="G29" s="111" t="s">
        <v>1453</v>
      </c>
      <c r="H29" s="233"/>
      <c r="I29" s="113"/>
      <c r="J29" s="239">
        <v>0.2</v>
      </c>
      <c r="K29" s="234">
        <f t="shared" si="0"/>
        <v>0</v>
      </c>
      <c r="L29" s="113"/>
      <c r="M29" s="113"/>
      <c r="N29" s="113"/>
      <c r="O29" s="113"/>
      <c r="P29" s="224"/>
    </row>
    <row r="30" spans="1:16" s="860" customFormat="1" ht="26.1" customHeight="1" x14ac:dyDescent="0.2">
      <c r="A30" s="108"/>
      <c r="B30" s="243" t="s">
        <v>1260</v>
      </c>
      <c r="C30" s="1108" t="s">
        <v>1454</v>
      </c>
      <c r="D30" s="1133"/>
      <c r="E30" s="1133"/>
      <c r="F30" s="244"/>
      <c r="G30" s="133" t="s">
        <v>1455</v>
      </c>
      <c r="H30" s="238"/>
      <c r="I30" s="113"/>
      <c r="J30" s="239">
        <v>0.2</v>
      </c>
      <c r="K30" s="234">
        <f t="shared" si="0"/>
        <v>0</v>
      </c>
      <c r="L30" s="113"/>
      <c r="M30" s="113"/>
      <c r="N30" s="113"/>
      <c r="O30" s="113"/>
      <c r="P30" s="224"/>
    </row>
    <row r="31" spans="1:16" s="860" customFormat="1" ht="26.1" customHeight="1" x14ac:dyDescent="0.2">
      <c r="A31" s="108"/>
      <c r="B31" s="243" t="s">
        <v>1263</v>
      </c>
      <c r="C31" s="1108" t="s">
        <v>1456</v>
      </c>
      <c r="D31" s="1133"/>
      <c r="E31" s="1133"/>
      <c r="F31" s="244"/>
      <c r="G31" s="111" t="s">
        <v>1457</v>
      </c>
      <c r="H31" s="233"/>
      <c r="I31" s="113"/>
      <c r="J31" s="239">
        <v>0.2</v>
      </c>
      <c r="K31" s="234">
        <f t="shared" si="0"/>
        <v>0</v>
      </c>
      <c r="L31" s="113"/>
      <c r="M31" s="113"/>
      <c r="N31" s="113"/>
      <c r="O31" s="113"/>
      <c r="P31" s="224"/>
    </row>
    <row r="32" spans="1:16" s="860" customFormat="1" ht="26.1" customHeight="1" x14ac:dyDescent="0.2">
      <c r="A32" s="108"/>
      <c r="B32" s="243" t="s">
        <v>1266</v>
      </c>
      <c r="C32" s="1108" t="s">
        <v>806</v>
      </c>
      <c r="D32" s="1133"/>
      <c r="E32" s="1133"/>
      <c r="F32" s="244"/>
      <c r="G32" s="111" t="s">
        <v>807</v>
      </c>
      <c r="H32" s="238"/>
      <c r="I32" s="113"/>
      <c r="J32" s="239">
        <v>0.2</v>
      </c>
      <c r="K32" s="234">
        <f t="shared" si="0"/>
        <v>0</v>
      </c>
      <c r="L32" s="113"/>
      <c r="M32" s="113"/>
      <c r="N32" s="113"/>
      <c r="O32" s="113"/>
      <c r="P32" s="224"/>
    </row>
    <row r="33" spans="1:16" s="860" customFormat="1" ht="26.1" customHeight="1" x14ac:dyDescent="0.2">
      <c r="A33" s="108"/>
      <c r="B33" s="243" t="s">
        <v>808</v>
      </c>
      <c r="C33" s="1108" t="s">
        <v>809</v>
      </c>
      <c r="D33" s="1108"/>
      <c r="E33" s="1108"/>
      <c r="F33" s="245"/>
      <c r="G33" s="111" t="s">
        <v>810</v>
      </c>
      <c r="H33" s="241"/>
      <c r="I33" s="113"/>
      <c r="J33" s="239">
        <v>0.2</v>
      </c>
      <c r="K33" s="234">
        <f t="shared" si="0"/>
        <v>0</v>
      </c>
      <c r="L33" s="113"/>
      <c r="M33" s="113"/>
      <c r="N33" s="226"/>
      <c r="O33" s="113"/>
      <c r="P33" s="224"/>
    </row>
    <row r="34" spans="1:16" s="860" customFormat="1" ht="26.1" customHeight="1" x14ac:dyDescent="0.2">
      <c r="A34" s="108"/>
      <c r="B34" s="243" t="s">
        <v>811</v>
      </c>
      <c r="C34" s="1108" t="s">
        <v>812</v>
      </c>
      <c r="D34" s="1108"/>
      <c r="E34" s="1108"/>
      <c r="F34" s="245"/>
      <c r="G34" s="111" t="s">
        <v>813</v>
      </c>
      <c r="H34" s="229"/>
      <c r="I34" s="231">
        <f>SUM(I23:I33)</f>
        <v>0</v>
      </c>
      <c r="J34" s="235"/>
      <c r="K34" s="231">
        <f>SUM(K23:K33)</f>
        <v>0</v>
      </c>
      <c r="L34" s="231">
        <f>SUM(L23:L33)</f>
        <v>0</v>
      </c>
      <c r="M34" s="231">
        <f>SUM(M23:M33)</f>
        <v>0</v>
      </c>
      <c r="N34" s="231">
        <f>SUM(N23:N33)</f>
        <v>0</v>
      </c>
      <c r="O34" s="231">
        <f>SUM(O23:O33)</f>
        <v>0</v>
      </c>
      <c r="P34" s="224"/>
    </row>
    <row r="35" spans="1:16" s="861" customFormat="1" ht="27.75" customHeight="1" x14ac:dyDescent="0.2">
      <c r="A35" s="108"/>
      <c r="B35" s="246">
        <f>ABS(B34)+1</f>
        <v>13</v>
      </c>
      <c r="C35" s="1108" t="s">
        <v>814</v>
      </c>
      <c r="D35" s="1108"/>
      <c r="E35" s="1108"/>
      <c r="F35" s="245"/>
      <c r="G35" s="111" t="s">
        <v>815</v>
      </c>
      <c r="H35" s="229"/>
      <c r="I35" s="224"/>
      <c r="J35" s="162"/>
      <c r="K35" s="224"/>
      <c r="L35" s="234">
        <f>L34*L8</f>
        <v>0</v>
      </c>
      <c r="M35" s="234">
        <f>M34*M8</f>
        <v>0</v>
      </c>
      <c r="N35" s="234">
        <f>N34*N8</f>
        <v>0</v>
      </c>
      <c r="O35" s="234">
        <f>O34*O8</f>
        <v>0</v>
      </c>
      <c r="P35" s="234">
        <f>SUM(L35:O35)</f>
        <v>0</v>
      </c>
    </row>
    <row r="36" spans="1:16" s="860" customFormat="1" ht="48" customHeight="1" x14ac:dyDescent="0.2">
      <c r="A36" s="108" t="s">
        <v>816</v>
      </c>
      <c r="B36" s="1108" t="s">
        <v>817</v>
      </c>
      <c r="C36" s="1108"/>
      <c r="D36" s="1108"/>
      <c r="E36" s="1108"/>
      <c r="F36" s="245"/>
      <c r="G36" s="160"/>
      <c r="H36" s="223"/>
      <c r="I36" s="224"/>
      <c r="J36" s="162"/>
      <c r="K36" s="224"/>
      <c r="L36" s="224"/>
      <c r="M36" s="224"/>
      <c r="N36" s="224"/>
      <c r="O36" s="224"/>
      <c r="P36" s="224"/>
    </row>
    <row r="37" spans="1:16" s="860" customFormat="1" ht="14.25" customHeight="1" x14ac:dyDescent="0.2">
      <c r="A37" s="108"/>
      <c r="B37" s="246">
        <f>ABS(-1)</f>
        <v>1</v>
      </c>
      <c r="C37" s="1108" t="s">
        <v>818</v>
      </c>
      <c r="D37" s="1133"/>
      <c r="E37" s="1133"/>
      <c r="F37" s="244"/>
      <c r="G37" s="111" t="s">
        <v>819</v>
      </c>
      <c r="H37" s="233"/>
      <c r="I37" s="113"/>
      <c r="J37" s="247">
        <v>0</v>
      </c>
      <c r="K37" s="224"/>
      <c r="L37" s="224"/>
      <c r="M37" s="224"/>
      <c r="N37" s="224"/>
      <c r="O37" s="224"/>
      <c r="P37" s="224"/>
    </row>
    <row r="38" spans="1:16" s="860" customFormat="1" ht="12" customHeight="1" x14ac:dyDescent="0.2">
      <c r="A38" s="108" t="s">
        <v>486</v>
      </c>
      <c r="B38" s="1108" t="s">
        <v>820</v>
      </c>
      <c r="C38" s="1108"/>
      <c r="D38" s="1108"/>
      <c r="E38" s="1108"/>
      <c r="F38" s="245"/>
      <c r="G38" s="160"/>
      <c r="H38" s="223"/>
      <c r="I38" s="224"/>
      <c r="J38" s="248"/>
      <c r="K38" s="224"/>
      <c r="L38" s="224"/>
      <c r="M38" s="224"/>
      <c r="N38" s="224"/>
      <c r="O38" s="224"/>
      <c r="P38" s="224"/>
    </row>
    <row r="39" spans="1:16" s="860" customFormat="1" ht="12" customHeight="1" x14ac:dyDescent="0.2">
      <c r="A39" s="108"/>
      <c r="B39" s="227">
        <f>ABS(-1)</f>
        <v>1</v>
      </c>
      <c r="C39" s="1108" t="s">
        <v>821</v>
      </c>
      <c r="D39" s="1108"/>
      <c r="E39" s="1108"/>
      <c r="F39" s="245"/>
      <c r="G39" s="111" t="s">
        <v>822</v>
      </c>
      <c r="H39" s="233"/>
      <c r="I39" s="113"/>
      <c r="J39" s="247">
        <v>0</v>
      </c>
      <c r="K39" s="224"/>
      <c r="L39" s="224"/>
      <c r="M39" s="224"/>
      <c r="N39" s="224"/>
      <c r="O39" s="224"/>
      <c r="P39" s="224"/>
    </row>
    <row r="40" spans="1:16" s="860" customFormat="1" ht="12" customHeight="1" x14ac:dyDescent="0.2">
      <c r="A40" s="108"/>
      <c r="B40" s="227">
        <f t="shared" ref="B40:B47" si="1">ABS(B39)+1</f>
        <v>2</v>
      </c>
      <c r="C40" s="1108" t="s">
        <v>823</v>
      </c>
      <c r="D40" s="1108"/>
      <c r="E40" s="1108"/>
      <c r="F40" s="245"/>
      <c r="G40" s="111" t="s">
        <v>824</v>
      </c>
      <c r="H40" s="233"/>
      <c r="I40" s="113"/>
      <c r="J40" s="247">
        <v>0</v>
      </c>
      <c r="K40" s="224"/>
      <c r="L40" s="224"/>
      <c r="M40" s="224"/>
      <c r="N40" s="224"/>
      <c r="O40" s="224"/>
      <c r="P40" s="224"/>
    </row>
    <row r="41" spans="1:16" s="860" customFormat="1" ht="12" customHeight="1" x14ac:dyDescent="0.2">
      <c r="A41" s="108"/>
      <c r="B41" s="227">
        <f t="shared" si="1"/>
        <v>3</v>
      </c>
      <c r="C41" s="1108" t="s">
        <v>825</v>
      </c>
      <c r="D41" s="1108"/>
      <c r="E41" s="1108"/>
      <c r="F41" s="245"/>
      <c r="G41" s="111" t="s">
        <v>826</v>
      </c>
      <c r="H41" s="233"/>
      <c r="I41" s="113"/>
      <c r="J41" s="247">
        <v>0</v>
      </c>
      <c r="K41" s="224"/>
      <c r="L41" s="224"/>
      <c r="M41" s="224"/>
      <c r="N41" s="224"/>
      <c r="O41" s="224"/>
      <c r="P41" s="224"/>
    </row>
    <row r="42" spans="1:16" s="860" customFormat="1" ht="12" customHeight="1" x14ac:dyDescent="0.2">
      <c r="A42" s="108"/>
      <c r="B42" s="227">
        <f t="shared" si="1"/>
        <v>4</v>
      </c>
      <c r="C42" s="1108" t="s">
        <v>827</v>
      </c>
      <c r="D42" s="1108"/>
      <c r="E42" s="1108"/>
      <c r="F42" s="245"/>
      <c r="G42" s="111" t="s">
        <v>828</v>
      </c>
      <c r="H42" s="233"/>
      <c r="I42" s="113"/>
      <c r="J42" s="247">
        <v>0</v>
      </c>
      <c r="K42" s="224"/>
      <c r="L42" s="224"/>
      <c r="M42" s="224"/>
      <c r="N42" s="224"/>
      <c r="O42" s="224"/>
      <c r="P42" s="224"/>
    </row>
    <row r="43" spans="1:16" s="860" customFormat="1" ht="12" customHeight="1" x14ac:dyDescent="0.2">
      <c r="A43" s="108"/>
      <c r="B43" s="227">
        <f t="shared" si="1"/>
        <v>5</v>
      </c>
      <c r="C43" s="1108" t="s">
        <v>829</v>
      </c>
      <c r="D43" s="1108"/>
      <c r="E43" s="1108"/>
      <c r="F43" s="245"/>
      <c r="G43" s="111" t="s">
        <v>830</v>
      </c>
      <c r="H43" s="233"/>
      <c r="I43" s="113"/>
      <c r="J43" s="247">
        <v>0</v>
      </c>
      <c r="K43" s="224"/>
      <c r="L43" s="224"/>
      <c r="M43" s="224"/>
      <c r="N43" s="224"/>
      <c r="O43" s="224"/>
      <c r="P43" s="224"/>
    </row>
    <row r="44" spans="1:16" s="860" customFormat="1" ht="24" customHeight="1" x14ac:dyDescent="0.2">
      <c r="A44" s="108"/>
      <c r="B44" s="227">
        <f t="shared" si="1"/>
        <v>6</v>
      </c>
      <c r="C44" s="1108" t="s">
        <v>831</v>
      </c>
      <c r="D44" s="1108"/>
      <c r="E44" s="1108"/>
      <c r="F44" s="245"/>
      <c r="G44" s="111" t="s">
        <v>832</v>
      </c>
      <c r="H44" s="233"/>
      <c r="I44" s="113"/>
      <c r="J44" s="247">
        <v>0</v>
      </c>
      <c r="K44" s="224"/>
      <c r="L44" s="224"/>
      <c r="M44" s="224"/>
      <c r="N44" s="224"/>
      <c r="O44" s="224"/>
      <c r="P44" s="224"/>
    </row>
    <row r="45" spans="1:16" s="860" customFormat="1" ht="12" customHeight="1" x14ac:dyDescent="0.2">
      <c r="A45" s="108"/>
      <c r="B45" s="227">
        <f t="shared" si="1"/>
        <v>7</v>
      </c>
      <c r="C45" s="1108" t="s">
        <v>833</v>
      </c>
      <c r="D45" s="1108"/>
      <c r="E45" s="1108"/>
      <c r="F45" s="245"/>
      <c r="G45" s="111" t="s">
        <v>834</v>
      </c>
      <c r="H45" s="233"/>
      <c r="I45" s="113"/>
      <c r="J45" s="247">
        <v>0</v>
      </c>
      <c r="K45" s="224"/>
      <c r="L45" s="224"/>
      <c r="M45" s="224"/>
      <c r="N45" s="224"/>
      <c r="O45" s="224"/>
      <c r="P45" s="224"/>
    </row>
    <row r="46" spans="1:16" s="860" customFormat="1" ht="12" customHeight="1" x14ac:dyDescent="0.2">
      <c r="A46" s="108"/>
      <c r="B46" s="227">
        <f t="shared" si="1"/>
        <v>8</v>
      </c>
      <c r="C46" s="1108" t="s">
        <v>835</v>
      </c>
      <c r="D46" s="1108"/>
      <c r="E46" s="1108"/>
      <c r="F46" s="245"/>
      <c r="G46" s="111" t="s">
        <v>836</v>
      </c>
      <c r="H46" s="233"/>
      <c r="I46" s="113"/>
      <c r="J46" s="247">
        <v>0</v>
      </c>
      <c r="K46" s="224"/>
      <c r="L46" s="224"/>
      <c r="M46" s="224"/>
      <c r="N46" s="224"/>
      <c r="O46" s="224"/>
      <c r="P46" s="224"/>
    </row>
    <row r="47" spans="1:16" s="860" customFormat="1" ht="12.75" customHeight="1" x14ac:dyDescent="0.2">
      <c r="A47" s="108"/>
      <c r="B47" s="227">
        <f t="shared" si="1"/>
        <v>9</v>
      </c>
      <c r="C47" s="1109" t="s">
        <v>837</v>
      </c>
      <c r="D47" s="1132"/>
      <c r="E47" s="1132"/>
      <c r="F47" s="249"/>
      <c r="G47" s="111" t="s">
        <v>838</v>
      </c>
      <c r="H47" s="250" t="s">
        <v>839</v>
      </c>
      <c r="I47" s="231">
        <f>SUM(I48:I50)</f>
        <v>0</v>
      </c>
      <c r="J47" s="183">
        <v>0</v>
      </c>
      <c r="K47" s="224"/>
      <c r="L47" s="224"/>
      <c r="M47" s="224"/>
      <c r="N47" s="224"/>
      <c r="O47" s="224"/>
      <c r="P47" s="224"/>
    </row>
    <row r="48" spans="1:16" s="860" customFormat="1" ht="12" x14ac:dyDescent="0.2">
      <c r="A48" s="108"/>
      <c r="B48" s="251"/>
      <c r="C48" s="252" t="s">
        <v>840</v>
      </c>
      <c r="D48" s="253" t="s">
        <v>1673</v>
      </c>
      <c r="E48" s="254"/>
      <c r="F48" s="255"/>
      <c r="G48" s="256" t="s">
        <v>838</v>
      </c>
      <c r="H48" s="257" t="s">
        <v>841</v>
      </c>
      <c r="I48" s="113"/>
      <c r="J48" s="258">
        <v>0</v>
      </c>
      <c r="K48" s="224"/>
      <c r="L48" s="224"/>
      <c r="M48" s="224"/>
      <c r="N48" s="224"/>
      <c r="O48" s="224"/>
      <c r="P48" s="224"/>
    </row>
    <row r="49" spans="1:16" s="852" customFormat="1" ht="12" x14ac:dyDescent="0.2">
      <c r="A49" s="108"/>
      <c r="B49" s="251"/>
      <c r="C49" s="259" t="s">
        <v>840</v>
      </c>
      <c r="D49" s="236"/>
      <c r="E49" s="236"/>
      <c r="F49" s="255"/>
      <c r="G49" s="256"/>
      <c r="H49" s="260" t="s">
        <v>842</v>
      </c>
      <c r="I49" s="261"/>
      <c r="J49" s="258"/>
      <c r="K49" s="224"/>
      <c r="L49" s="224"/>
      <c r="M49" s="224"/>
      <c r="N49" s="224"/>
      <c r="O49" s="224"/>
      <c r="P49" s="224"/>
    </row>
    <row r="50" spans="1:16" s="852" customFormat="1" ht="12" x14ac:dyDescent="0.2">
      <c r="A50" s="108"/>
      <c r="B50" s="251"/>
      <c r="C50" s="222"/>
      <c r="D50" s="254"/>
      <c r="E50" s="254"/>
      <c r="F50" s="255"/>
      <c r="G50" s="260" t="s">
        <v>309</v>
      </c>
      <c r="H50" s="257"/>
      <c r="I50" s="261"/>
      <c r="J50" s="258"/>
      <c r="K50" s="224"/>
      <c r="L50" s="224"/>
      <c r="M50" s="224"/>
      <c r="N50" s="224"/>
      <c r="O50" s="224"/>
      <c r="P50" s="224"/>
    </row>
    <row r="51" spans="1:16" s="852" customFormat="1" ht="24" customHeight="1" x14ac:dyDescent="0.2">
      <c r="A51" s="108"/>
      <c r="B51" s="227">
        <f>ABS(B47)+1</f>
        <v>10</v>
      </c>
      <c r="C51" s="1108" t="s">
        <v>843</v>
      </c>
      <c r="D51" s="1108"/>
      <c r="E51" s="1108"/>
      <c r="F51" s="245"/>
      <c r="G51" s="111" t="s">
        <v>844</v>
      </c>
      <c r="H51" s="229"/>
      <c r="I51" s="231">
        <f>SUM(I39:I47)</f>
        <v>0</v>
      </c>
      <c r="J51" s="162"/>
      <c r="K51" s="224"/>
      <c r="L51" s="224"/>
      <c r="M51" s="224"/>
      <c r="N51" s="224"/>
      <c r="O51" s="224"/>
      <c r="P51" s="224"/>
    </row>
    <row r="52" spans="1:16" s="852" customFormat="1" ht="24" customHeight="1" x14ac:dyDescent="0.2">
      <c r="A52" s="108" t="s">
        <v>492</v>
      </c>
      <c r="B52" s="1134" t="s">
        <v>845</v>
      </c>
      <c r="C52" s="1135"/>
      <c r="D52" s="1135"/>
      <c r="E52" s="1135"/>
      <c r="F52" s="263"/>
      <c r="G52" s="111" t="s">
        <v>846</v>
      </c>
      <c r="H52" s="229"/>
      <c r="I52" s="234">
        <f>I51+I34+I20+I14+I37</f>
        <v>0</v>
      </c>
      <c r="J52" s="162"/>
      <c r="K52" s="224"/>
      <c r="L52" s="224"/>
      <c r="M52" s="224"/>
      <c r="N52" s="224"/>
      <c r="O52" s="224"/>
      <c r="P52" s="224"/>
    </row>
    <row r="53" spans="1:16" s="852" customFormat="1" ht="24" customHeight="1" x14ac:dyDescent="0.2">
      <c r="A53" s="108" t="s">
        <v>847</v>
      </c>
      <c r="B53" s="1134" t="s">
        <v>848</v>
      </c>
      <c r="C53" s="1135"/>
      <c r="D53" s="1135"/>
      <c r="E53" s="1135"/>
      <c r="F53" s="263"/>
      <c r="G53" s="228" t="s">
        <v>280</v>
      </c>
      <c r="H53" s="241"/>
      <c r="I53" s="224"/>
      <c r="J53" s="162"/>
      <c r="K53" s="224"/>
      <c r="L53" s="224"/>
      <c r="M53" s="224"/>
      <c r="N53" s="224"/>
      <c r="O53" s="224"/>
      <c r="P53" s="234">
        <f>P35+P21+P15</f>
        <v>0</v>
      </c>
    </row>
    <row r="54" spans="1:16" s="852" customFormat="1" ht="12" x14ac:dyDescent="0.2">
      <c r="A54" s="264"/>
      <c r="B54" s="265"/>
      <c r="C54" s="266"/>
      <c r="D54" s="266"/>
      <c r="E54" s="266"/>
      <c r="F54" s="267"/>
      <c r="G54" s="94" t="s">
        <v>309</v>
      </c>
      <c r="H54" s="268"/>
      <c r="I54" s="269"/>
      <c r="J54" s="270"/>
      <c r="K54" s="269"/>
      <c r="L54" s="269"/>
      <c r="M54" s="269"/>
      <c r="N54" s="269"/>
      <c r="O54" s="269"/>
      <c r="P54" s="269"/>
    </row>
    <row r="55" spans="1:16" s="852" customFormat="1" ht="21.75" customHeight="1" x14ac:dyDescent="0.2">
      <c r="A55" s="210"/>
      <c r="B55" s="271" t="s">
        <v>494</v>
      </c>
      <c r="C55" s="1137" t="s">
        <v>849</v>
      </c>
      <c r="D55" s="1137"/>
      <c r="E55" s="1137"/>
      <c r="F55" s="1137"/>
      <c r="G55" s="1137"/>
      <c r="H55" s="1051"/>
      <c r="I55" s="1051"/>
      <c r="J55" s="1051"/>
      <c r="K55" s="1051"/>
      <c r="L55" s="1051"/>
      <c r="M55" s="1051"/>
      <c r="N55" s="1051"/>
      <c r="O55" s="1051"/>
      <c r="P55" s="272"/>
    </row>
    <row r="56" spans="1:16" s="852" customFormat="1" ht="12" x14ac:dyDescent="0.2">
      <c r="A56" s="202"/>
      <c r="B56" s="202"/>
      <c r="C56" s="1136"/>
      <c r="D56" s="1136"/>
      <c r="E56" s="1136"/>
      <c r="F56" s="1136"/>
      <c r="G56" s="1136"/>
      <c r="H56" s="1136"/>
      <c r="I56" s="1136"/>
      <c r="J56" s="1136"/>
      <c r="K56" s="1136"/>
      <c r="L56" s="1136"/>
      <c r="M56" s="1136"/>
      <c r="N56" s="1136"/>
      <c r="O56" s="1136"/>
      <c r="P56" s="1136"/>
    </row>
  </sheetData>
  <sheetProtection password="A569" sheet="1" objects="1" scenarios="1"/>
  <mergeCells count="52">
    <mergeCell ref="B52:E52"/>
    <mergeCell ref="B53:E53"/>
    <mergeCell ref="C56:P56"/>
    <mergeCell ref="C55:G55"/>
    <mergeCell ref="C45:E45"/>
    <mergeCell ref="C46:E46"/>
    <mergeCell ref="C47:E47"/>
    <mergeCell ref="C51:E51"/>
    <mergeCell ref="C41:E41"/>
    <mergeCell ref="C42:E42"/>
    <mergeCell ref="C43:E43"/>
    <mergeCell ref="C44:E44"/>
    <mergeCell ref="C37:E37"/>
    <mergeCell ref="B38:E38"/>
    <mergeCell ref="C39:E39"/>
    <mergeCell ref="C40:E40"/>
    <mergeCell ref="C33:E33"/>
    <mergeCell ref="C34:E34"/>
    <mergeCell ref="C35:E35"/>
    <mergeCell ref="B36:E36"/>
    <mergeCell ref="C29:E29"/>
    <mergeCell ref="C30:E30"/>
    <mergeCell ref="C31:E31"/>
    <mergeCell ref="C32:E32"/>
    <mergeCell ref="C25:E25"/>
    <mergeCell ref="C26:E26"/>
    <mergeCell ref="C27:E27"/>
    <mergeCell ref="C28:E28"/>
    <mergeCell ref="C21:E21"/>
    <mergeCell ref="B22:E22"/>
    <mergeCell ref="C23:E23"/>
    <mergeCell ref="C24:E24"/>
    <mergeCell ref="C17:E17"/>
    <mergeCell ref="C18:E18"/>
    <mergeCell ref="C19:E19"/>
    <mergeCell ref="C20:E20"/>
    <mergeCell ref="C13:E13"/>
    <mergeCell ref="C14:E14"/>
    <mergeCell ref="C15:E15"/>
    <mergeCell ref="B16:E16"/>
    <mergeCell ref="C11:E11"/>
    <mergeCell ref="C12:E12"/>
    <mergeCell ref="I6:I8"/>
    <mergeCell ref="J6:J8"/>
    <mergeCell ref="K6:K8"/>
    <mergeCell ref="L6:O7"/>
    <mergeCell ref="A6:A9"/>
    <mergeCell ref="B6:E9"/>
    <mergeCell ref="G6:G9"/>
    <mergeCell ref="H6:H9"/>
    <mergeCell ref="P6:P8"/>
    <mergeCell ref="B10:E10"/>
  </mergeCells>
  <phoneticPr fontId="36" type="noConversion"/>
  <dataValidations count="1">
    <dataValidation type="decimal" allowBlank="1" showInputMessage="1" showErrorMessage="1" sqref="I11:I13 L11:M13 O11:O13 O17:O19 L17:M19 I17:I19 I23:I33 L23:M33 O23:O33 N23 N25:N32 I37 I39:I46 I48:J50">
      <formula1>-999999999999.999</formula1>
      <formula2>999999999999.999</formula2>
    </dataValidation>
  </dataValidations>
  <printOptions horizontalCentered="1"/>
  <pageMargins left="0.75" right="0.75" top="1" bottom="1" header="0.5" footer="0.5"/>
  <pageSetup paperSize="9" orientation="landscape" r:id="rId1"/>
  <headerFooter alignWithMargins="0">
    <oddHeader>&amp;C&amp;"Arial,Bold"&amp;8 NEW RURAL BANK OF SAN LEONARDO, INC  [ 04-040656 ]
 As of: September 30, 2017</oddHeader>
  </headerFooter>
  <drawing r:id="rId2"/>
  <legacyDrawing r:id="rId3"/>
  <controls>
    <mc:AlternateContent xmlns:mc="http://schemas.openxmlformats.org/markup-compatibility/2006">
      <mc:Choice Requires="x14">
        <control shapeId="1025" r:id="rId4" name="LabelAddRow">
          <controlPr defaultSize="0" autoLine="0" r:id="rId5">
            <anchor moveWithCells="1">
              <from>
                <xdr:col>7</xdr:col>
                <xdr:colOff>28575</xdr:colOff>
                <xdr:row>48</xdr:row>
                <xdr:rowOff>38100</xdr:rowOff>
              </from>
              <to>
                <xdr:col>8</xdr:col>
                <xdr:colOff>0</xdr:colOff>
                <xdr:row>49</xdr:row>
                <xdr:rowOff>28575</xdr:rowOff>
              </to>
            </anchor>
          </controlPr>
        </control>
      </mc:Choice>
      <mc:Fallback>
        <control shapeId="1025" r:id="rId4" name="LabelAddRow"/>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X40"/>
  <sheetViews>
    <sheetView view="pageBreakPreview" topLeftCell="A4" zoomScale="85" zoomScaleNormal="100" workbookViewId="0">
      <selection activeCell="B5" sqref="B5:C8"/>
    </sheetView>
  </sheetViews>
  <sheetFormatPr defaultRowHeight="12.75" x14ac:dyDescent="0.2"/>
  <cols>
    <col min="1" max="1" width="4.28515625" style="852" customWidth="1"/>
    <col min="2" max="2" width="3.5703125" style="852" customWidth="1"/>
    <col min="3" max="3" width="27.42578125" style="852" customWidth="1"/>
    <col min="4" max="6" width="7.5703125" style="852" hidden="1" customWidth="1"/>
    <col min="7" max="7" width="16.140625" style="862" customWidth="1"/>
    <col min="8" max="8" width="1.5703125" style="857" hidden="1" customWidth="1"/>
    <col min="9" max="10" width="15.28515625" style="858" customWidth="1"/>
    <col min="11" max="11" width="10.28515625" style="863" customWidth="1"/>
    <col min="12" max="16" width="15.28515625" style="856" customWidth="1"/>
    <col min="17" max="17" width="17.85546875" style="856" customWidth="1"/>
  </cols>
  <sheetData>
    <row r="1" spans="1:17" s="852" customFormat="1" ht="12" hidden="1" x14ac:dyDescent="0.2">
      <c r="A1" s="210"/>
      <c r="B1" s="210"/>
      <c r="C1" s="210"/>
      <c r="D1" s="210"/>
      <c r="E1" s="210"/>
      <c r="F1" s="210"/>
      <c r="G1" s="273"/>
      <c r="H1" s="196"/>
      <c r="I1" s="209"/>
      <c r="J1" s="209"/>
      <c r="K1" s="274"/>
      <c r="L1" s="207"/>
      <c r="M1" s="207"/>
      <c r="N1" s="207"/>
      <c r="O1" s="207"/>
      <c r="P1" s="207"/>
      <c r="Q1" s="207"/>
    </row>
    <row r="2" spans="1:17" s="852" customFormat="1" ht="12" hidden="1" x14ac:dyDescent="0.2">
      <c r="A2" s="210"/>
      <c r="B2" s="210"/>
      <c r="C2" s="210"/>
      <c r="D2" s="210"/>
      <c r="E2" s="210"/>
      <c r="F2" s="210"/>
      <c r="G2" s="273"/>
      <c r="H2" s="196"/>
      <c r="I2" s="209"/>
      <c r="J2" s="209"/>
      <c r="K2" s="274"/>
      <c r="L2" s="207"/>
      <c r="M2" s="207"/>
      <c r="N2" s="207"/>
      <c r="O2" s="207"/>
      <c r="P2" s="207"/>
      <c r="Q2" s="207"/>
    </row>
    <row r="3" spans="1:17" s="852" customFormat="1" ht="12" hidden="1" x14ac:dyDescent="0.2">
      <c r="A3" s="202"/>
      <c r="B3" s="202"/>
      <c r="C3" s="202"/>
      <c r="D3" s="202"/>
      <c r="E3" s="202"/>
      <c r="F3" s="202"/>
      <c r="G3" s="275"/>
      <c r="H3" s="208"/>
      <c r="I3" s="209"/>
      <c r="J3" s="209"/>
      <c r="K3" s="274"/>
      <c r="L3" s="207"/>
      <c r="M3" s="207"/>
      <c r="N3" s="207"/>
      <c r="O3" s="207"/>
      <c r="P3" s="207"/>
      <c r="Q3" s="207"/>
    </row>
    <row r="4" spans="1:17" s="852" customFormat="1" ht="12" x14ac:dyDescent="0.2">
      <c r="A4" s="212" t="s">
        <v>850</v>
      </c>
      <c r="B4" s="202"/>
      <c r="C4" s="202"/>
      <c r="D4" s="202"/>
      <c r="E4" s="202"/>
      <c r="F4" s="202"/>
      <c r="G4" s="275"/>
      <c r="H4" s="208"/>
      <c r="I4" s="276"/>
      <c r="J4" s="209"/>
      <c r="K4" s="274"/>
      <c r="L4" s="277"/>
      <c r="M4" s="207"/>
      <c r="N4" s="207"/>
      <c r="O4" s="207"/>
      <c r="P4" s="207"/>
      <c r="Q4" s="207"/>
    </row>
    <row r="5" spans="1:17" s="852" customFormat="1" ht="12" x14ac:dyDescent="0.2">
      <c r="A5" s="1098" t="s">
        <v>964</v>
      </c>
      <c r="B5" s="1151" t="s">
        <v>851</v>
      </c>
      <c r="C5" s="1152"/>
      <c r="D5" s="279"/>
      <c r="E5" s="279"/>
      <c r="F5" s="279"/>
      <c r="G5" s="1098" t="s">
        <v>257</v>
      </c>
      <c r="H5" s="278"/>
      <c r="I5" s="1141" t="s">
        <v>852</v>
      </c>
      <c r="J5" s="1141" t="s">
        <v>853</v>
      </c>
      <c r="K5" s="1148" t="s">
        <v>854</v>
      </c>
      <c r="L5" s="1141" t="s">
        <v>855</v>
      </c>
      <c r="M5" s="1141" t="s">
        <v>856</v>
      </c>
      <c r="N5" s="1141" t="s">
        <v>857</v>
      </c>
      <c r="O5" s="1145"/>
      <c r="P5" s="1145"/>
      <c r="Q5" s="1138" t="s">
        <v>858</v>
      </c>
    </row>
    <row r="6" spans="1:17" s="852" customFormat="1" ht="12" x14ac:dyDescent="0.2">
      <c r="A6" s="1150"/>
      <c r="B6" s="1153"/>
      <c r="C6" s="1154"/>
      <c r="D6" s="281"/>
      <c r="E6" s="281"/>
      <c r="F6" s="281"/>
      <c r="G6" s="1150"/>
      <c r="H6" s="280"/>
      <c r="I6" s="1142"/>
      <c r="J6" s="1142"/>
      <c r="K6" s="1149"/>
      <c r="L6" s="1142"/>
      <c r="M6" s="1142"/>
      <c r="N6" s="1146"/>
      <c r="O6" s="1147"/>
      <c r="P6" s="1147"/>
      <c r="Q6" s="1139"/>
    </row>
    <row r="7" spans="1:17" s="852" customFormat="1" ht="12" x14ac:dyDescent="0.2">
      <c r="A7" s="1150"/>
      <c r="B7" s="1153"/>
      <c r="C7" s="1154"/>
      <c r="D7" s="281"/>
      <c r="E7" s="281"/>
      <c r="F7" s="281"/>
      <c r="G7" s="1150"/>
      <c r="H7" s="280"/>
      <c r="I7" s="1142"/>
      <c r="J7" s="1142"/>
      <c r="K7" s="1149"/>
      <c r="L7" s="1142"/>
      <c r="M7" s="1142"/>
      <c r="N7" s="282">
        <v>0</v>
      </c>
      <c r="O7" s="282">
        <v>0.2</v>
      </c>
      <c r="P7" s="283">
        <v>1</v>
      </c>
      <c r="Q7" s="1140"/>
    </row>
    <row r="8" spans="1:17" s="864" customFormat="1" ht="12" x14ac:dyDescent="0.2">
      <c r="A8" s="1099"/>
      <c r="B8" s="1155"/>
      <c r="C8" s="1156"/>
      <c r="D8" s="285"/>
      <c r="E8" s="285"/>
      <c r="F8" s="285"/>
      <c r="G8" s="1099"/>
      <c r="H8" s="155"/>
      <c r="I8" s="221" t="s">
        <v>507</v>
      </c>
      <c r="J8" s="221" t="s">
        <v>508</v>
      </c>
      <c r="K8" s="286" t="s">
        <v>1245</v>
      </c>
      <c r="L8" s="221" t="s">
        <v>859</v>
      </c>
      <c r="M8" s="221" t="s">
        <v>860</v>
      </c>
      <c r="N8" s="221" t="s">
        <v>1254</v>
      </c>
      <c r="O8" s="287" t="s">
        <v>1257</v>
      </c>
      <c r="P8" s="287" t="s">
        <v>1260</v>
      </c>
      <c r="Q8" s="284" t="s">
        <v>861</v>
      </c>
    </row>
    <row r="9" spans="1:17" s="859" customFormat="1" ht="12" x14ac:dyDescent="0.2">
      <c r="A9" s="1143" t="s">
        <v>862</v>
      </c>
      <c r="B9" s="1144"/>
      <c r="C9" s="1144"/>
      <c r="D9" s="288"/>
      <c r="E9" s="288"/>
      <c r="F9" s="288"/>
      <c r="G9" s="289"/>
      <c r="H9" s="290"/>
      <c r="I9" s="291"/>
      <c r="J9" s="292"/>
      <c r="K9" s="293"/>
      <c r="L9" s="49"/>
      <c r="M9" s="49"/>
      <c r="N9" s="49"/>
      <c r="O9" s="49"/>
      <c r="P9" s="49"/>
      <c r="Q9" s="107"/>
    </row>
    <row r="10" spans="1:17" s="859" customFormat="1" ht="12" x14ac:dyDescent="0.2">
      <c r="A10" s="294" t="s">
        <v>1414</v>
      </c>
      <c r="B10" s="1143" t="s">
        <v>863</v>
      </c>
      <c r="C10" s="1144"/>
      <c r="D10" s="288"/>
      <c r="E10" s="288"/>
      <c r="F10" s="288"/>
      <c r="G10" s="289"/>
      <c r="H10" s="290"/>
      <c r="I10" s="291"/>
      <c r="J10" s="292"/>
      <c r="K10" s="293"/>
      <c r="L10" s="49"/>
      <c r="M10" s="49"/>
      <c r="N10" s="49"/>
      <c r="O10" s="49"/>
      <c r="P10" s="49"/>
      <c r="Q10" s="107"/>
    </row>
    <row r="11" spans="1:17" s="859" customFormat="1" ht="22.5" x14ac:dyDescent="0.2">
      <c r="A11" s="295"/>
      <c r="B11" s="296">
        <v>1</v>
      </c>
      <c r="C11" s="297" t="s">
        <v>864</v>
      </c>
      <c r="D11" s="297"/>
      <c r="E11" s="297"/>
      <c r="F11" s="297"/>
      <c r="G11" s="298"/>
      <c r="H11" s="299"/>
      <c r="I11" s="300"/>
      <c r="J11" s="300"/>
      <c r="K11" s="301"/>
      <c r="L11" s="302"/>
      <c r="M11" s="49"/>
      <c r="N11" s="49"/>
      <c r="O11" s="49"/>
      <c r="P11" s="49"/>
      <c r="Q11" s="107"/>
    </row>
    <row r="12" spans="1:17" s="859" customFormat="1" ht="12" x14ac:dyDescent="0.2">
      <c r="A12" s="295"/>
      <c r="B12" s="296" t="s">
        <v>865</v>
      </c>
      <c r="C12" s="297" t="s">
        <v>866</v>
      </c>
      <c r="D12" s="297"/>
      <c r="E12" s="297"/>
      <c r="F12" s="297"/>
      <c r="G12" s="228" t="s">
        <v>867</v>
      </c>
      <c r="H12" s="303"/>
      <c r="I12" s="113"/>
      <c r="J12" s="113"/>
      <c r="K12" s="304">
        <v>0</v>
      </c>
      <c r="L12" s="73">
        <f>I12*K12</f>
        <v>0</v>
      </c>
      <c r="M12" s="73">
        <f>J12+L12</f>
        <v>0</v>
      </c>
      <c r="N12" s="113"/>
      <c r="O12" s="113"/>
      <c r="P12" s="113"/>
      <c r="Q12" s="107"/>
    </row>
    <row r="13" spans="1:17" s="859" customFormat="1" ht="22.5" x14ac:dyDescent="0.2">
      <c r="A13" s="295"/>
      <c r="B13" s="296" t="s">
        <v>868</v>
      </c>
      <c r="C13" s="297" t="s">
        <v>869</v>
      </c>
      <c r="D13" s="297"/>
      <c r="E13" s="297"/>
      <c r="F13" s="297"/>
      <c r="G13" s="305" t="s">
        <v>870</v>
      </c>
      <c r="H13" s="306"/>
      <c r="I13" s="113"/>
      <c r="J13" s="113"/>
      <c r="K13" s="304">
        <v>0</v>
      </c>
      <c r="L13" s="73">
        <f>I13*K13</f>
        <v>0</v>
      </c>
      <c r="M13" s="73">
        <f>J13+L13</f>
        <v>0</v>
      </c>
      <c r="N13" s="113"/>
      <c r="O13" s="113"/>
      <c r="P13" s="113"/>
      <c r="Q13" s="107"/>
    </row>
    <row r="14" spans="1:17" s="859" customFormat="1" ht="22.5" x14ac:dyDescent="0.2">
      <c r="A14" s="295"/>
      <c r="B14" s="296">
        <v>2</v>
      </c>
      <c r="C14" s="297" t="s">
        <v>871</v>
      </c>
      <c r="D14" s="297"/>
      <c r="E14" s="297"/>
      <c r="F14" s="297"/>
      <c r="G14" s="307"/>
      <c r="H14" s="308"/>
      <c r="I14" s="49"/>
      <c r="J14" s="49"/>
      <c r="K14" s="301"/>
      <c r="L14" s="302"/>
      <c r="M14" s="49"/>
      <c r="N14" s="49"/>
      <c r="O14" s="49"/>
      <c r="P14" s="49"/>
      <c r="Q14" s="107"/>
    </row>
    <row r="15" spans="1:17" s="859" customFormat="1" ht="12" x14ac:dyDescent="0.2">
      <c r="A15" s="295"/>
      <c r="B15" s="296" t="s">
        <v>872</v>
      </c>
      <c r="C15" s="297" t="s">
        <v>866</v>
      </c>
      <c r="D15" s="297"/>
      <c r="E15" s="297"/>
      <c r="F15" s="297"/>
      <c r="G15" s="228" t="s">
        <v>873</v>
      </c>
      <c r="H15" s="309"/>
      <c r="I15" s="113"/>
      <c r="J15" s="113"/>
      <c r="K15" s="304">
        <v>5.0000000000000001E-3</v>
      </c>
      <c r="L15" s="73">
        <f>I15*K15</f>
        <v>0</v>
      </c>
      <c r="M15" s="73">
        <f>J15+L15</f>
        <v>0</v>
      </c>
      <c r="N15" s="113"/>
      <c r="O15" s="113"/>
      <c r="P15" s="113"/>
      <c r="Q15" s="107"/>
    </row>
    <row r="16" spans="1:17" s="859" customFormat="1" ht="22.5" x14ac:dyDescent="0.2">
      <c r="A16" s="295"/>
      <c r="B16" s="296" t="s">
        <v>874</v>
      </c>
      <c r="C16" s="297" t="s">
        <v>869</v>
      </c>
      <c r="D16" s="297"/>
      <c r="E16" s="297"/>
      <c r="F16" s="297"/>
      <c r="G16" s="305" t="s">
        <v>875</v>
      </c>
      <c r="H16" s="310"/>
      <c r="I16" s="113"/>
      <c r="J16" s="113"/>
      <c r="K16" s="304">
        <v>5.0000000000000001E-3</v>
      </c>
      <c r="L16" s="73">
        <f>I16*K16</f>
        <v>0</v>
      </c>
      <c r="M16" s="73">
        <f>J16+L16</f>
        <v>0</v>
      </c>
      <c r="N16" s="113"/>
      <c r="O16" s="113"/>
      <c r="P16" s="113"/>
      <c r="Q16" s="107"/>
    </row>
    <row r="17" spans="1:17" s="859" customFormat="1" ht="22.5" x14ac:dyDescent="0.2">
      <c r="A17" s="295"/>
      <c r="B17" s="296">
        <v>3</v>
      </c>
      <c r="C17" s="297" t="s">
        <v>876</v>
      </c>
      <c r="D17" s="297"/>
      <c r="E17" s="297"/>
      <c r="F17" s="297"/>
      <c r="G17" s="307"/>
      <c r="H17" s="308"/>
      <c r="I17" s="49"/>
      <c r="J17" s="49"/>
      <c r="K17" s="301"/>
      <c r="L17" s="302"/>
      <c r="M17" s="49"/>
      <c r="N17" s="49"/>
      <c r="O17" s="49"/>
      <c r="P17" s="49"/>
      <c r="Q17" s="107"/>
    </row>
    <row r="18" spans="1:17" s="859" customFormat="1" ht="12" x14ac:dyDescent="0.2">
      <c r="A18" s="295"/>
      <c r="B18" s="296" t="s">
        <v>0</v>
      </c>
      <c r="C18" s="297" t="s">
        <v>866</v>
      </c>
      <c r="D18" s="297"/>
      <c r="E18" s="297"/>
      <c r="F18" s="297"/>
      <c r="G18" s="228" t="s">
        <v>1</v>
      </c>
      <c r="H18" s="309"/>
      <c r="I18" s="113"/>
      <c r="J18" s="113"/>
      <c r="K18" s="304">
        <v>1.4999999999999999E-2</v>
      </c>
      <c r="L18" s="73">
        <f>I18*K18</f>
        <v>0</v>
      </c>
      <c r="M18" s="73">
        <f>J18+L18</f>
        <v>0</v>
      </c>
      <c r="N18" s="113"/>
      <c r="O18" s="113"/>
      <c r="P18" s="113"/>
      <c r="Q18" s="107"/>
    </row>
    <row r="19" spans="1:17" s="859" customFormat="1" ht="22.5" x14ac:dyDescent="0.2">
      <c r="A19" s="295"/>
      <c r="B19" s="296" t="s">
        <v>2</v>
      </c>
      <c r="C19" s="297" t="s">
        <v>869</v>
      </c>
      <c r="D19" s="297"/>
      <c r="E19" s="297"/>
      <c r="F19" s="297"/>
      <c r="G19" s="305" t="s">
        <v>3</v>
      </c>
      <c r="H19" s="310"/>
      <c r="I19" s="113"/>
      <c r="J19" s="113"/>
      <c r="K19" s="304">
        <v>1.4999999999999999E-2</v>
      </c>
      <c r="L19" s="73">
        <f>I19*K19</f>
        <v>0</v>
      </c>
      <c r="M19" s="73">
        <f>J19+L19</f>
        <v>0</v>
      </c>
      <c r="N19" s="113"/>
      <c r="O19" s="113"/>
      <c r="P19" s="113"/>
      <c r="Q19" s="107"/>
    </row>
    <row r="20" spans="1:17" s="859" customFormat="1" ht="22.5" x14ac:dyDescent="0.2">
      <c r="A20" s="295"/>
      <c r="B20" s="296">
        <v>4</v>
      </c>
      <c r="C20" s="297" t="s">
        <v>4</v>
      </c>
      <c r="D20" s="297"/>
      <c r="E20" s="297"/>
      <c r="F20" s="297"/>
      <c r="G20" s="305" t="s">
        <v>5</v>
      </c>
      <c r="H20" s="311"/>
      <c r="I20" s="73">
        <f>SUM(I12:I19)</f>
        <v>0</v>
      </c>
      <c r="J20" s="73">
        <f>SUM(J12:J19)</f>
        <v>0</v>
      </c>
      <c r="K20" s="312"/>
      <c r="L20" s="73">
        <f>SUM(L12:L19)</f>
        <v>0</v>
      </c>
      <c r="M20" s="73">
        <f>SUM(M12:M19)</f>
        <v>0</v>
      </c>
      <c r="N20" s="73">
        <f>SUM(N12:N19)</f>
        <v>0</v>
      </c>
      <c r="O20" s="73">
        <f>SUM(O12:O19)</f>
        <v>0</v>
      </c>
      <c r="P20" s="73">
        <f>SUM(P12:P19)</f>
        <v>0</v>
      </c>
      <c r="Q20" s="107"/>
    </row>
    <row r="21" spans="1:17" s="865" customFormat="1" ht="22.5" x14ac:dyDescent="0.2">
      <c r="A21" s="313"/>
      <c r="B21" s="296">
        <v>5</v>
      </c>
      <c r="C21" s="297" t="s">
        <v>6</v>
      </c>
      <c r="D21" s="297"/>
      <c r="E21" s="297"/>
      <c r="F21" s="297"/>
      <c r="G21" s="305" t="s">
        <v>7</v>
      </c>
      <c r="H21" s="310"/>
      <c r="I21" s="49"/>
      <c r="J21" s="49"/>
      <c r="K21" s="301"/>
      <c r="L21" s="302"/>
      <c r="M21" s="49" t="s">
        <v>8</v>
      </c>
      <c r="N21" s="73">
        <f>N20*N7</f>
        <v>0</v>
      </c>
      <c r="O21" s="73">
        <f>O20*O7</f>
        <v>0</v>
      </c>
      <c r="P21" s="73">
        <f>P20*P7</f>
        <v>0</v>
      </c>
      <c r="Q21" s="73">
        <f>SUM(N21:P21)</f>
        <v>0</v>
      </c>
    </row>
    <row r="22" spans="1:17" s="859" customFormat="1" ht="12" x14ac:dyDescent="0.2">
      <c r="A22" s="314" t="s">
        <v>1426</v>
      </c>
      <c r="B22" s="1158" t="s">
        <v>9</v>
      </c>
      <c r="C22" s="1159"/>
      <c r="D22" s="40"/>
      <c r="E22" s="40"/>
      <c r="F22" s="40"/>
      <c r="G22" s="315"/>
      <c r="H22" s="316"/>
      <c r="I22" s="317"/>
      <c r="J22" s="318"/>
      <c r="K22" s="319"/>
      <c r="L22" s="320"/>
      <c r="M22" s="320"/>
      <c r="N22" s="320"/>
      <c r="O22" s="320"/>
      <c r="P22" s="320"/>
      <c r="Q22" s="321"/>
    </row>
    <row r="23" spans="1:17" s="859" customFormat="1" ht="22.5" x14ac:dyDescent="0.2">
      <c r="A23" s="295"/>
      <c r="B23" s="296">
        <v>1</v>
      </c>
      <c r="C23" s="297" t="s">
        <v>864</v>
      </c>
      <c r="D23" s="297"/>
      <c r="E23" s="297"/>
      <c r="F23" s="297"/>
      <c r="G23" s="307"/>
      <c r="H23" s="308"/>
      <c r="I23" s="49"/>
      <c r="J23" s="49"/>
      <c r="K23" s="322"/>
      <c r="L23" s="302"/>
      <c r="M23" s="49"/>
      <c r="N23" s="49"/>
      <c r="O23" s="49"/>
      <c r="P23" s="49"/>
      <c r="Q23" s="107"/>
    </row>
    <row r="24" spans="1:17" s="859" customFormat="1" ht="22.5" x14ac:dyDescent="0.2">
      <c r="A24" s="295"/>
      <c r="B24" s="296" t="s">
        <v>865</v>
      </c>
      <c r="C24" s="297" t="s">
        <v>10</v>
      </c>
      <c r="D24" s="297"/>
      <c r="E24" s="297"/>
      <c r="F24" s="297"/>
      <c r="G24" s="168" t="s">
        <v>11</v>
      </c>
      <c r="H24" s="323"/>
      <c r="I24" s="113"/>
      <c r="J24" s="113"/>
      <c r="K24" s="304">
        <v>0.01</v>
      </c>
      <c r="L24" s="73">
        <f>I24*K24</f>
        <v>0</v>
      </c>
      <c r="M24" s="73">
        <f>J24+L24</f>
        <v>0</v>
      </c>
      <c r="N24" s="113"/>
      <c r="O24" s="113"/>
      <c r="P24" s="113"/>
      <c r="Q24" s="107"/>
    </row>
    <row r="25" spans="1:17" s="859" customFormat="1" ht="22.5" x14ac:dyDescent="0.2">
      <c r="A25" s="295"/>
      <c r="B25" s="296" t="s">
        <v>868</v>
      </c>
      <c r="C25" s="297" t="s">
        <v>12</v>
      </c>
      <c r="D25" s="297"/>
      <c r="E25" s="297"/>
      <c r="F25" s="297"/>
      <c r="G25" s="305" t="s">
        <v>13</v>
      </c>
      <c r="H25" s="310"/>
      <c r="I25" s="113"/>
      <c r="J25" s="113"/>
      <c r="K25" s="304">
        <v>0.01</v>
      </c>
      <c r="L25" s="73">
        <f>I25*K25</f>
        <v>0</v>
      </c>
      <c r="M25" s="73">
        <f>J25+L25</f>
        <v>0</v>
      </c>
      <c r="N25" s="113"/>
      <c r="O25" s="113"/>
      <c r="P25" s="113"/>
      <c r="Q25" s="107"/>
    </row>
    <row r="26" spans="1:17" s="859" customFormat="1" ht="22.5" x14ac:dyDescent="0.2">
      <c r="A26" s="295"/>
      <c r="B26" s="296">
        <v>2</v>
      </c>
      <c r="C26" s="297" t="s">
        <v>871</v>
      </c>
      <c r="D26" s="297"/>
      <c r="E26" s="297"/>
      <c r="F26" s="297"/>
      <c r="G26" s="307"/>
      <c r="H26" s="308"/>
      <c r="I26" s="49"/>
      <c r="J26" s="49"/>
      <c r="K26" s="322"/>
      <c r="L26" s="302"/>
      <c r="M26" s="49"/>
      <c r="N26" s="49"/>
      <c r="O26" s="49"/>
      <c r="P26" s="49"/>
      <c r="Q26" s="107"/>
    </row>
    <row r="27" spans="1:17" s="859" customFormat="1" ht="22.5" x14ac:dyDescent="0.2">
      <c r="A27" s="295"/>
      <c r="B27" s="296" t="s">
        <v>872</v>
      </c>
      <c r="C27" s="297" t="s">
        <v>10</v>
      </c>
      <c r="D27" s="297"/>
      <c r="E27" s="297"/>
      <c r="F27" s="297"/>
      <c r="G27" s="168" t="s">
        <v>14</v>
      </c>
      <c r="H27" s="323"/>
      <c r="I27" s="113"/>
      <c r="J27" s="113"/>
      <c r="K27" s="304">
        <v>0.05</v>
      </c>
      <c r="L27" s="73">
        <f>I27*K27</f>
        <v>0</v>
      </c>
      <c r="M27" s="73">
        <f>J27+L27</f>
        <v>0</v>
      </c>
      <c r="N27" s="113"/>
      <c r="O27" s="113"/>
      <c r="P27" s="113"/>
      <c r="Q27" s="107"/>
    </row>
    <row r="28" spans="1:17" s="865" customFormat="1" ht="22.5" x14ac:dyDescent="0.2">
      <c r="A28" s="324"/>
      <c r="B28" s="296" t="s">
        <v>874</v>
      </c>
      <c r="C28" s="297" t="s">
        <v>12</v>
      </c>
      <c r="D28" s="297"/>
      <c r="E28" s="297"/>
      <c r="F28" s="297"/>
      <c r="G28" s="305" t="s">
        <v>15</v>
      </c>
      <c r="H28" s="310"/>
      <c r="I28" s="113"/>
      <c r="J28" s="113"/>
      <c r="K28" s="304">
        <v>0.05</v>
      </c>
      <c r="L28" s="73">
        <f>I28*K28</f>
        <v>0</v>
      </c>
      <c r="M28" s="73">
        <f>J28+L28</f>
        <v>0</v>
      </c>
      <c r="N28" s="113"/>
      <c r="O28" s="113"/>
      <c r="P28" s="113"/>
      <c r="Q28" s="107"/>
    </row>
    <row r="29" spans="1:17" s="859" customFormat="1" ht="22.5" x14ac:dyDescent="0.2">
      <c r="A29" s="295"/>
      <c r="B29" s="296">
        <v>3</v>
      </c>
      <c r="C29" s="297" t="s">
        <v>876</v>
      </c>
      <c r="D29" s="297"/>
      <c r="E29" s="297"/>
      <c r="F29" s="297"/>
      <c r="G29" s="307"/>
      <c r="H29" s="308"/>
      <c r="I29" s="49"/>
      <c r="J29" s="49"/>
      <c r="K29" s="301"/>
      <c r="L29" s="302"/>
      <c r="M29" s="49"/>
      <c r="N29" s="49"/>
      <c r="O29" s="49"/>
      <c r="P29" s="49"/>
      <c r="Q29" s="107"/>
    </row>
    <row r="30" spans="1:17" s="859" customFormat="1" ht="22.5" x14ac:dyDescent="0.2">
      <c r="A30" s="295"/>
      <c r="B30" s="296" t="s">
        <v>0</v>
      </c>
      <c r="C30" s="297" t="s">
        <v>10</v>
      </c>
      <c r="D30" s="297"/>
      <c r="E30" s="297"/>
      <c r="F30" s="297"/>
      <c r="G30" s="168" t="s">
        <v>16</v>
      </c>
      <c r="H30" s="323"/>
      <c r="I30" s="113"/>
      <c r="J30" s="113"/>
      <c r="K30" s="304">
        <v>7.4999999999999997E-2</v>
      </c>
      <c r="L30" s="73">
        <f>I30*K30</f>
        <v>0</v>
      </c>
      <c r="M30" s="73">
        <f>J30+L30</f>
        <v>0</v>
      </c>
      <c r="N30" s="113"/>
      <c r="O30" s="113"/>
      <c r="P30" s="113"/>
      <c r="Q30" s="107"/>
    </row>
    <row r="31" spans="1:17" s="859" customFormat="1" ht="22.5" x14ac:dyDescent="0.2">
      <c r="A31" s="295"/>
      <c r="B31" s="296" t="s">
        <v>2</v>
      </c>
      <c r="C31" s="297" t="s">
        <v>12</v>
      </c>
      <c r="D31" s="297"/>
      <c r="E31" s="297"/>
      <c r="F31" s="297"/>
      <c r="G31" s="305" t="s">
        <v>17</v>
      </c>
      <c r="H31" s="310"/>
      <c r="I31" s="113"/>
      <c r="J31" s="113"/>
      <c r="K31" s="304">
        <v>7.4999999999999997E-2</v>
      </c>
      <c r="L31" s="73">
        <f>I31*K31</f>
        <v>0</v>
      </c>
      <c r="M31" s="73">
        <f>J31+L31</f>
        <v>0</v>
      </c>
      <c r="N31" s="113"/>
      <c r="O31" s="113"/>
      <c r="P31" s="113"/>
      <c r="Q31" s="107"/>
    </row>
    <row r="32" spans="1:17" s="859" customFormat="1" ht="22.5" x14ac:dyDescent="0.2">
      <c r="A32" s="295"/>
      <c r="B32" s="296">
        <v>4</v>
      </c>
      <c r="C32" s="297" t="s">
        <v>4</v>
      </c>
      <c r="D32" s="297"/>
      <c r="E32" s="297"/>
      <c r="F32" s="297"/>
      <c r="G32" s="228" t="s">
        <v>18</v>
      </c>
      <c r="H32" s="325"/>
      <c r="I32" s="73">
        <f>SUM(I24:I31)</f>
        <v>0</v>
      </c>
      <c r="J32" s="73">
        <f>SUM(J24:J31)</f>
        <v>0</v>
      </c>
      <c r="K32" s="312"/>
      <c r="L32" s="73">
        <f>SUM(L24:L31)</f>
        <v>0</v>
      </c>
      <c r="M32" s="73">
        <f>SUM(M24:M31)</f>
        <v>0</v>
      </c>
      <c r="N32" s="73">
        <f>SUM(N24:N31)</f>
        <v>0</v>
      </c>
      <c r="O32" s="73">
        <f>SUM(O24:O31)</f>
        <v>0</v>
      </c>
      <c r="P32" s="73">
        <f>SUM(P24:P31)</f>
        <v>0</v>
      </c>
      <c r="Q32" s="107"/>
    </row>
    <row r="33" spans="1:24" s="865" customFormat="1" ht="22.5" x14ac:dyDescent="0.2">
      <c r="A33" s="326"/>
      <c r="B33" s="326">
        <v>5</v>
      </c>
      <c r="C33" s="327" t="s">
        <v>6</v>
      </c>
      <c r="D33" s="327"/>
      <c r="E33" s="327"/>
      <c r="F33" s="327"/>
      <c r="G33" s="328" t="s">
        <v>19</v>
      </c>
      <c r="H33" s="309"/>
      <c r="I33" s="49"/>
      <c r="J33" s="49"/>
      <c r="K33" s="301"/>
      <c r="L33" s="302"/>
      <c r="M33" s="49"/>
      <c r="N33" s="73">
        <f>N32*N7</f>
        <v>0</v>
      </c>
      <c r="O33" s="73">
        <f>O32*O7</f>
        <v>0</v>
      </c>
      <c r="P33" s="73">
        <f>P32*P7</f>
        <v>0</v>
      </c>
      <c r="Q33" s="73">
        <f>SUM(N33:P33)</f>
        <v>0</v>
      </c>
    </row>
    <row r="34" spans="1:24" s="866" customFormat="1" ht="24" customHeight="1" x14ac:dyDescent="0.2">
      <c r="A34" s="329" t="s">
        <v>1438</v>
      </c>
      <c r="B34" s="1160" t="s">
        <v>20</v>
      </c>
      <c r="C34" s="1161"/>
      <c r="D34" s="41"/>
      <c r="E34" s="41"/>
      <c r="F34" s="41"/>
      <c r="G34" s="228" t="s">
        <v>21</v>
      </c>
      <c r="H34" s="330"/>
      <c r="I34" s="73">
        <f>I20+I32</f>
        <v>0</v>
      </c>
      <c r="J34" s="73">
        <f>J32+J20</f>
        <v>0</v>
      </c>
      <c r="K34" s="331"/>
      <c r="L34" s="73">
        <f>L32+L20</f>
        <v>0</v>
      </c>
      <c r="M34" s="73">
        <f>M32+M20</f>
        <v>0</v>
      </c>
      <c r="N34" s="332"/>
      <c r="O34" s="332"/>
      <c r="P34" s="332"/>
      <c r="Q34" s="332"/>
    </row>
    <row r="35" spans="1:24" s="859" customFormat="1" ht="36.75" customHeight="1" thickBot="1" x14ac:dyDescent="0.25">
      <c r="A35" s="333" t="s">
        <v>816</v>
      </c>
      <c r="B35" s="1162" t="s">
        <v>22</v>
      </c>
      <c r="C35" s="1163"/>
      <c r="D35" s="334"/>
      <c r="E35" s="334"/>
      <c r="F35" s="334"/>
      <c r="G35" s="228" t="s">
        <v>283</v>
      </c>
      <c r="H35" s="335"/>
      <c r="I35" s="336"/>
      <c r="J35" s="336"/>
      <c r="K35" s="337"/>
      <c r="L35" s="338"/>
      <c r="M35" s="336"/>
      <c r="N35" s="336"/>
      <c r="O35" s="336"/>
      <c r="P35" s="336"/>
      <c r="Q35" s="62">
        <f>+Q33+Q21</f>
        <v>0</v>
      </c>
    </row>
    <row r="36" spans="1:24" s="867" customFormat="1" ht="12" x14ac:dyDescent="0.2">
      <c r="A36" s="339"/>
      <c r="B36" s="339"/>
      <c r="C36" s="39"/>
      <c r="D36" s="39"/>
      <c r="E36" s="39"/>
      <c r="F36" s="39"/>
      <c r="G36" s="340" t="s">
        <v>309</v>
      </c>
      <c r="H36" s="339"/>
      <c r="I36" s="341"/>
      <c r="J36" s="341"/>
      <c r="K36" s="342"/>
      <c r="L36" s="343"/>
      <c r="M36" s="344"/>
      <c r="N36" s="344"/>
      <c r="O36" s="344"/>
      <c r="P36" s="344"/>
      <c r="Q36" s="344"/>
    </row>
    <row r="37" spans="1:24" s="869" customFormat="1" ht="11.25" x14ac:dyDescent="0.2">
      <c r="A37" s="271" t="s">
        <v>494</v>
      </c>
      <c r="B37" s="1157" t="s">
        <v>23</v>
      </c>
      <c r="C37" s="1157"/>
      <c r="D37" s="1157"/>
      <c r="E37" s="1157"/>
      <c r="F37" s="1157"/>
      <c r="G37" s="1157"/>
      <c r="H37" s="1157"/>
      <c r="I37" s="1157"/>
      <c r="J37" s="1157"/>
      <c r="K37" s="1157"/>
      <c r="L37" s="1157"/>
      <c r="M37" s="1157"/>
      <c r="N37" s="1157"/>
      <c r="O37" s="1157"/>
      <c r="P37" s="1157"/>
      <c r="Q37" s="345"/>
      <c r="R37" s="868"/>
      <c r="S37" s="868"/>
      <c r="T37" s="868"/>
      <c r="U37" s="868"/>
      <c r="V37" s="868"/>
      <c r="X37" s="870"/>
    </row>
    <row r="38" spans="1:24" s="869" customFormat="1" ht="11.25" x14ac:dyDescent="0.2">
      <c r="A38" s="271" t="s">
        <v>496</v>
      </c>
      <c r="B38" s="1157" t="s">
        <v>24</v>
      </c>
      <c r="C38" s="1157"/>
      <c r="D38" s="1157"/>
      <c r="E38" s="1157"/>
      <c r="F38" s="1157"/>
      <c r="G38" s="1157"/>
      <c r="H38" s="1157"/>
      <c r="I38" s="1157"/>
      <c r="J38" s="1157"/>
      <c r="K38" s="1157"/>
      <c r="L38" s="1157"/>
      <c r="M38" s="1157"/>
      <c r="N38" s="1157"/>
      <c r="O38" s="1157"/>
      <c r="P38" s="1157"/>
      <c r="Q38" s="345"/>
      <c r="R38" s="868"/>
      <c r="S38" s="868"/>
      <c r="T38" s="868"/>
      <c r="U38" s="868"/>
      <c r="V38" s="868"/>
      <c r="X38" s="870"/>
    </row>
    <row r="39" spans="1:24" s="869" customFormat="1" ht="11.25" x14ac:dyDescent="0.2">
      <c r="A39" s="271" t="s">
        <v>498</v>
      </c>
      <c r="B39" s="1157" t="s">
        <v>25</v>
      </c>
      <c r="C39" s="1157"/>
      <c r="D39" s="1157"/>
      <c r="E39" s="1157"/>
      <c r="F39" s="1157"/>
      <c r="G39" s="1157"/>
      <c r="H39" s="1157"/>
      <c r="I39" s="1157"/>
      <c r="J39" s="1157"/>
      <c r="K39" s="1157"/>
      <c r="L39" s="1157"/>
      <c r="M39" s="1157"/>
      <c r="N39" s="1157"/>
      <c r="O39" s="1157"/>
      <c r="P39" s="1157"/>
      <c r="Q39" s="345"/>
      <c r="R39" s="868"/>
      <c r="S39" s="868"/>
      <c r="T39" s="868"/>
      <c r="U39" s="868"/>
      <c r="V39" s="868"/>
      <c r="X39" s="870"/>
    </row>
    <row r="40" spans="1:24" s="869" customFormat="1" ht="11.25" x14ac:dyDescent="0.2">
      <c r="A40" s="271" t="s">
        <v>500</v>
      </c>
      <c r="B40" s="1157" t="s">
        <v>26</v>
      </c>
      <c r="C40" s="1157"/>
      <c r="D40" s="1157"/>
      <c r="E40" s="1157"/>
      <c r="F40" s="1157"/>
      <c r="G40" s="1157"/>
      <c r="H40" s="1157"/>
      <c r="I40" s="1157"/>
      <c r="J40" s="1157"/>
      <c r="K40" s="1157"/>
      <c r="L40" s="1157"/>
      <c r="M40" s="1157"/>
      <c r="N40" s="1157"/>
      <c r="O40" s="1157"/>
      <c r="P40" s="1157"/>
      <c r="Q40" s="345"/>
      <c r="R40" s="868"/>
      <c r="S40" s="868"/>
      <c r="T40" s="868"/>
      <c r="U40" s="868"/>
      <c r="V40" s="868"/>
      <c r="X40" s="870"/>
    </row>
  </sheetData>
  <sheetProtection password="A8A0" sheet="1" objects="1" scenarios="1"/>
  <mergeCells count="19">
    <mergeCell ref="G5:G8"/>
    <mergeCell ref="I5:I7"/>
    <mergeCell ref="B38:P38"/>
    <mergeCell ref="B39:P39"/>
    <mergeCell ref="B40:P40"/>
    <mergeCell ref="B22:C22"/>
    <mergeCell ref="B34:C34"/>
    <mergeCell ref="B35:C35"/>
    <mergeCell ref="B37:P37"/>
    <mergeCell ref="Q5:Q7"/>
    <mergeCell ref="L5:L7"/>
    <mergeCell ref="M5:M7"/>
    <mergeCell ref="A9:C9"/>
    <mergeCell ref="N5:P6"/>
    <mergeCell ref="B10:C10"/>
    <mergeCell ref="J5:J7"/>
    <mergeCell ref="K5:K7"/>
    <mergeCell ref="A5:A8"/>
    <mergeCell ref="B5:C8"/>
  </mergeCells>
  <phoneticPr fontId="36" type="noConversion"/>
  <dataValidations count="1">
    <dataValidation type="decimal" allowBlank="1" showInputMessage="1" showErrorMessage="1" sqref="I12:J13 I15:J16 I18:J19 I24:J25 I27:J28 I30:J31 N12:P13 N15:P16 N18:P19 N24:P25 N27:P28 N30:P31">
      <formula1>-999999999999.999</formula1>
      <formula2>999999999999.999</formula2>
    </dataValidation>
  </dataValidations>
  <printOptions horizontalCentered="1"/>
  <pageMargins left="0.75" right="0.75" top="1" bottom="1" header="0.5" footer="0.5"/>
  <pageSetup paperSize="9" scale="68" orientation="landscape" r:id="rId1"/>
  <headerFooter alignWithMargins="0">
    <oddHeader>&amp;C&amp;"Arial,Bold"&amp;8 NEW RURAL BANK OF SAN LEONARDO, INC  [ 04-040656 ]
 As of: September 30, 2017</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CM29"/>
  <sheetViews>
    <sheetView view="pageBreakPreview" topLeftCell="A5" zoomScale="115" zoomScaleNormal="100" workbookViewId="0">
      <selection activeCell="I11" sqref="I11"/>
    </sheetView>
  </sheetViews>
  <sheetFormatPr defaultRowHeight="12.75" x14ac:dyDescent="0.2"/>
  <cols>
    <col min="1" max="1" width="5.28515625" style="873" customWidth="1"/>
    <col min="2" max="2" width="4.42578125" style="873" customWidth="1"/>
    <col min="3" max="3" width="34.5703125" style="873" customWidth="1"/>
    <col min="4" max="6" width="26" style="873" hidden="1" customWidth="1"/>
    <col min="7" max="7" width="17.85546875" style="873" customWidth="1"/>
    <col min="8" max="8" width="17.85546875" style="873" hidden="1" customWidth="1"/>
    <col min="9" max="12" width="19.5703125" style="874" customWidth="1"/>
  </cols>
  <sheetData>
    <row r="1" spans="1:91" s="876" customFormat="1" x14ac:dyDescent="0.2">
      <c r="A1" s="346"/>
      <c r="B1" s="346"/>
      <c r="C1" s="346"/>
      <c r="D1" s="346"/>
      <c r="E1" s="346"/>
      <c r="F1" s="346"/>
      <c r="G1" s="346"/>
      <c r="H1" s="346"/>
      <c r="I1" s="347"/>
      <c r="J1" s="347"/>
      <c r="K1" s="347"/>
      <c r="L1" s="351">
        <f>Bank!A6</f>
        <v>2017</v>
      </c>
      <c r="M1" s="875"/>
      <c r="N1" s="875"/>
      <c r="O1" s="875"/>
      <c r="P1" s="875"/>
      <c r="Q1" s="875"/>
      <c r="R1" s="875"/>
      <c r="S1" s="875"/>
      <c r="T1" s="875"/>
      <c r="U1" s="875"/>
      <c r="V1" s="875"/>
      <c r="W1" s="875"/>
      <c r="X1" s="875"/>
      <c r="Y1" s="875"/>
      <c r="Z1" s="875"/>
      <c r="AA1" s="875"/>
      <c r="AB1" s="875"/>
      <c r="AC1" s="875"/>
      <c r="AD1" s="875"/>
      <c r="AE1" s="875"/>
      <c r="AF1" s="875"/>
      <c r="AG1" s="875"/>
      <c r="AH1" s="875"/>
      <c r="AI1" s="875"/>
      <c r="AJ1" s="875"/>
      <c r="AK1" s="875"/>
      <c r="AL1" s="875"/>
      <c r="AM1" s="875"/>
      <c r="AN1" s="875"/>
      <c r="AO1" s="875"/>
      <c r="AP1" s="875"/>
      <c r="AQ1" s="875"/>
      <c r="AR1" s="875"/>
      <c r="AS1" s="875"/>
      <c r="AT1" s="875"/>
      <c r="AU1" s="875"/>
      <c r="AV1" s="875"/>
      <c r="AW1" s="875"/>
      <c r="AX1" s="875"/>
      <c r="AY1" s="875"/>
      <c r="AZ1" s="875"/>
      <c r="BA1" s="875"/>
      <c r="BB1" s="875"/>
      <c r="BC1" s="875"/>
      <c r="BD1" s="875"/>
      <c r="BE1" s="875"/>
      <c r="BF1" s="875"/>
      <c r="BG1" s="875"/>
      <c r="BH1" s="875"/>
      <c r="BI1" s="875"/>
      <c r="BJ1" s="875"/>
      <c r="BK1" s="875"/>
      <c r="BL1" s="875"/>
      <c r="BM1" s="875"/>
      <c r="BN1" s="875"/>
      <c r="BO1" s="875"/>
      <c r="BP1" s="875"/>
      <c r="BQ1" s="875"/>
      <c r="BR1" s="875"/>
      <c r="BS1" s="875"/>
      <c r="BT1" s="875"/>
      <c r="BU1" s="875"/>
      <c r="BV1" s="875"/>
      <c r="BW1" s="875"/>
      <c r="BX1" s="875"/>
      <c r="BY1" s="875"/>
      <c r="BZ1" s="875"/>
      <c r="CA1" s="875"/>
      <c r="CB1" s="875"/>
      <c r="CC1" s="875"/>
      <c r="CD1" s="875"/>
      <c r="CE1" s="875"/>
      <c r="CF1" s="875"/>
      <c r="CG1" s="875"/>
      <c r="CH1" s="875"/>
      <c r="CI1" s="875"/>
      <c r="CJ1" s="875"/>
      <c r="CK1" s="875"/>
      <c r="CL1" s="875"/>
      <c r="CM1" s="875"/>
    </row>
    <row r="2" spans="1:91" s="876" customFormat="1" hidden="1" x14ac:dyDescent="0.2">
      <c r="A2" s="346"/>
      <c r="B2" s="346"/>
      <c r="C2" s="346"/>
      <c r="D2" s="346"/>
      <c r="E2" s="346"/>
      <c r="F2" s="346"/>
      <c r="G2" s="346"/>
      <c r="H2" s="346"/>
      <c r="I2" s="347"/>
      <c r="J2" s="347"/>
      <c r="K2" s="347"/>
      <c r="L2" s="348"/>
      <c r="M2" s="875"/>
      <c r="N2" s="875"/>
      <c r="O2" s="875"/>
      <c r="P2" s="875"/>
      <c r="Q2" s="875"/>
      <c r="R2" s="875"/>
      <c r="S2" s="875"/>
      <c r="T2" s="875"/>
      <c r="U2" s="875"/>
      <c r="V2" s="875"/>
      <c r="W2" s="875"/>
      <c r="X2" s="875"/>
      <c r="Y2" s="875"/>
      <c r="Z2" s="875"/>
      <c r="AA2" s="875"/>
      <c r="AB2" s="875"/>
      <c r="AC2" s="875"/>
      <c r="AD2" s="875"/>
      <c r="AE2" s="875"/>
      <c r="AF2" s="875"/>
      <c r="AG2" s="875"/>
      <c r="AH2" s="875"/>
      <c r="AI2" s="875"/>
      <c r="AJ2" s="875"/>
      <c r="AK2" s="875"/>
      <c r="AL2" s="875"/>
      <c r="AM2" s="875"/>
      <c r="AN2" s="875"/>
      <c r="AO2" s="875"/>
      <c r="AP2" s="875"/>
      <c r="AQ2" s="875"/>
      <c r="AR2" s="875"/>
      <c r="AS2" s="875"/>
      <c r="AT2" s="875"/>
      <c r="AU2" s="875"/>
      <c r="AV2" s="875"/>
      <c r="AW2" s="875"/>
      <c r="AX2" s="875"/>
      <c r="AY2" s="875"/>
      <c r="AZ2" s="875"/>
      <c r="BA2" s="875"/>
      <c r="BB2" s="875"/>
      <c r="BC2" s="875"/>
      <c r="BD2" s="875"/>
      <c r="BE2" s="875"/>
      <c r="BF2" s="875"/>
      <c r="BG2" s="875"/>
      <c r="BH2" s="875"/>
      <c r="BI2" s="875"/>
      <c r="BJ2" s="875"/>
      <c r="BK2" s="875"/>
      <c r="BL2" s="875"/>
      <c r="BM2" s="875"/>
      <c r="BN2" s="875"/>
      <c r="BO2" s="875"/>
      <c r="BP2" s="875"/>
      <c r="BQ2" s="875"/>
      <c r="BR2" s="875"/>
      <c r="BS2" s="875"/>
      <c r="BT2" s="875"/>
      <c r="BU2" s="875"/>
      <c r="BV2" s="875"/>
      <c r="BW2" s="875"/>
      <c r="BX2" s="875"/>
      <c r="BY2" s="875"/>
      <c r="BZ2" s="875"/>
      <c r="CA2" s="875"/>
      <c r="CB2" s="875"/>
      <c r="CC2" s="875"/>
      <c r="CD2" s="875"/>
      <c r="CE2" s="875"/>
      <c r="CF2" s="875"/>
      <c r="CG2" s="875"/>
      <c r="CH2" s="875"/>
      <c r="CI2" s="875"/>
      <c r="CJ2" s="875"/>
      <c r="CK2" s="875"/>
      <c r="CL2" s="875"/>
      <c r="CM2" s="875"/>
    </row>
    <row r="3" spans="1:91" s="876" customFormat="1" hidden="1" x14ac:dyDescent="0.2">
      <c r="A3" s="346"/>
      <c r="B3" s="346"/>
      <c r="C3" s="346"/>
      <c r="D3" s="346"/>
      <c r="E3" s="346"/>
      <c r="F3" s="346"/>
      <c r="G3" s="346"/>
      <c r="H3" s="346"/>
      <c r="I3" s="347"/>
      <c r="J3" s="347"/>
      <c r="K3" s="347"/>
      <c r="L3" s="348"/>
      <c r="M3" s="875"/>
      <c r="N3" s="875"/>
      <c r="O3" s="875"/>
      <c r="P3" s="875"/>
      <c r="Q3" s="875"/>
      <c r="R3" s="875"/>
      <c r="S3" s="875"/>
      <c r="T3" s="875"/>
      <c r="U3" s="875"/>
      <c r="V3" s="875"/>
      <c r="W3" s="875"/>
      <c r="X3" s="875"/>
      <c r="Y3" s="875"/>
      <c r="Z3" s="875"/>
      <c r="AA3" s="875"/>
      <c r="AB3" s="875"/>
      <c r="AC3" s="875"/>
      <c r="AD3" s="875"/>
      <c r="AE3" s="875"/>
      <c r="AF3" s="875"/>
      <c r="AG3" s="875"/>
      <c r="AH3" s="875"/>
      <c r="AI3" s="875"/>
      <c r="AJ3" s="875"/>
      <c r="AK3" s="875"/>
      <c r="AL3" s="875"/>
      <c r="AM3" s="875"/>
      <c r="AN3" s="875"/>
      <c r="AO3" s="875"/>
      <c r="AP3" s="875"/>
      <c r="AQ3" s="875"/>
      <c r="AR3" s="875"/>
      <c r="AS3" s="875"/>
      <c r="AT3" s="875"/>
      <c r="AU3" s="875"/>
      <c r="AV3" s="875"/>
      <c r="AW3" s="875"/>
      <c r="AX3" s="875"/>
      <c r="AY3" s="875"/>
      <c r="AZ3" s="875"/>
      <c r="BA3" s="875"/>
      <c r="BB3" s="875"/>
      <c r="BC3" s="875"/>
      <c r="BD3" s="875"/>
      <c r="BE3" s="875"/>
      <c r="BF3" s="875"/>
      <c r="BG3" s="875"/>
      <c r="BH3" s="875"/>
      <c r="BI3" s="875"/>
      <c r="BJ3" s="875"/>
      <c r="BK3" s="875"/>
      <c r="BL3" s="875"/>
      <c r="BM3" s="875"/>
      <c r="BN3" s="875"/>
      <c r="BO3" s="875"/>
      <c r="BP3" s="875"/>
      <c r="BQ3" s="875"/>
      <c r="BR3" s="875"/>
      <c r="BS3" s="875"/>
      <c r="BT3" s="875"/>
      <c r="BU3" s="875"/>
      <c r="BV3" s="875"/>
      <c r="BW3" s="875"/>
      <c r="BX3" s="875"/>
      <c r="BY3" s="875"/>
      <c r="BZ3" s="875"/>
      <c r="CA3" s="875"/>
      <c r="CB3" s="875"/>
      <c r="CC3" s="875"/>
      <c r="CD3" s="875"/>
      <c r="CE3" s="875"/>
      <c r="CF3" s="875"/>
      <c r="CG3" s="875"/>
      <c r="CH3" s="875"/>
      <c r="CI3" s="875"/>
      <c r="CJ3" s="875"/>
      <c r="CK3" s="875"/>
      <c r="CL3" s="875"/>
      <c r="CM3" s="875"/>
    </row>
    <row r="4" spans="1:91" s="876" customFormat="1" hidden="1" x14ac:dyDescent="0.2">
      <c r="A4" s="346"/>
      <c r="B4" s="346"/>
      <c r="C4" s="346"/>
      <c r="D4" s="346"/>
      <c r="E4" s="346"/>
      <c r="F4" s="346"/>
      <c r="G4" s="346"/>
      <c r="H4" s="346"/>
      <c r="I4" s="347"/>
      <c r="J4" s="347"/>
      <c r="K4" s="347"/>
      <c r="L4" s="348"/>
      <c r="M4" s="875"/>
      <c r="N4" s="875"/>
      <c r="O4" s="875"/>
      <c r="P4" s="875"/>
      <c r="Q4" s="875"/>
      <c r="R4" s="875"/>
      <c r="S4" s="875"/>
      <c r="T4" s="875"/>
      <c r="U4" s="875"/>
      <c r="V4" s="875"/>
      <c r="W4" s="875"/>
      <c r="X4" s="875"/>
      <c r="Y4" s="875"/>
      <c r="Z4" s="875"/>
      <c r="AA4" s="875"/>
      <c r="AB4" s="875"/>
      <c r="AC4" s="875"/>
      <c r="AD4" s="875"/>
      <c r="AE4" s="875"/>
      <c r="AF4" s="875"/>
      <c r="AG4" s="875"/>
      <c r="AH4" s="875"/>
      <c r="AI4" s="875"/>
      <c r="AJ4" s="875"/>
      <c r="AK4" s="875"/>
      <c r="AL4" s="875"/>
      <c r="AM4" s="875"/>
      <c r="AN4" s="875"/>
      <c r="AO4" s="875"/>
      <c r="AP4" s="875"/>
      <c r="AQ4" s="875"/>
      <c r="AR4" s="875"/>
      <c r="AS4" s="875"/>
      <c r="AT4" s="875"/>
      <c r="AU4" s="875"/>
      <c r="AV4" s="875"/>
      <c r="AW4" s="875"/>
      <c r="AX4" s="875"/>
      <c r="AY4" s="875"/>
      <c r="AZ4" s="875"/>
      <c r="BA4" s="875"/>
      <c r="BB4" s="875"/>
      <c r="BC4" s="875"/>
      <c r="BD4" s="875"/>
      <c r="BE4" s="875"/>
      <c r="BF4" s="875"/>
      <c r="BG4" s="875"/>
      <c r="BH4" s="875"/>
      <c r="BI4" s="875"/>
      <c r="BJ4" s="875"/>
      <c r="BK4" s="875"/>
      <c r="BL4" s="875"/>
      <c r="BM4" s="875"/>
      <c r="BN4" s="875"/>
      <c r="BO4" s="875"/>
      <c r="BP4" s="875"/>
      <c r="BQ4" s="875"/>
      <c r="BR4" s="875"/>
      <c r="BS4" s="875"/>
      <c r="BT4" s="875"/>
      <c r="BU4" s="875"/>
      <c r="BV4" s="875"/>
      <c r="BW4" s="875"/>
      <c r="BX4" s="875"/>
      <c r="BY4" s="875"/>
      <c r="BZ4" s="875"/>
      <c r="CA4" s="875"/>
      <c r="CB4" s="875"/>
      <c r="CC4" s="875"/>
      <c r="CD4" s="875"/>
      <c r="CE4" s="875"/>
      <c r="CF4" s="875"/>
      <c r="CG4" s="875"/>
      <c r="CH4" s="875"/>
      <c r="CI4" s="875"/>
      <c r="CJ4" s="875"/>
      <c r="CK4" s="875"/>
      <c r="CL4" s="875"/>
      <c r="CM4" s="875"/>
    </row>
    <row r="5" spans="1:91" s="876" customFormat="1" x14ac:dyDescent="0.2">
      <c r="A5" s="349" t="s">
        <v>27</v>
      </c>
      <c r="B5" s="350"/>
      <c r="C5" s="350"/>
      <c r="D5" s="350"/>
      <c r="E5" s="350"/>
      <c r="F5" s="350"/>
      <c r="G5" s="350"/>
      <c r="H5" s="350"/>
      <c r="I5" s="347"/>
      <c r="J5" s="347"/>
      <c r="K5" s="347"/>
      <c r="L5" s="351">
        <f>0.12</f>
        <v>0.12</v>
      </c>
      <c r="M5" s="875"/>
      <c r="N5" s="875"/>
      <c r="O5" s="875"/>
      <c r="P5" s="875"/>
      <c r="Q5" s="875"/>
      <c r="R5" s="875"/>
      <c r="S5" s="875"/>
      <c r="T5" s="875"/>
      <c r="U5" s="875"/>
      <c r="V5" s="875"/>
      <c r="W5" s="875"/>
      <c r="X5" s="875"/>
      <c r="Y5" s="875"/>
      <c r="Z5" s="875"/>
      <c r="AA5" s="875"/>
      <c r="AB5" s="875"/>
      <c r="AC5" s="875"/>
      <c r="AD5" s="875"/>
      <c r="AE5" s="875"/>
      <c r="AF5" s="875"/>
      <c r="AG5" s="875"/>
      <c r="AH5" s="875"/>
      <c r="AI5" s="875"/>
      <c r="AJ5" s="875"/>
      <c r="AK5" s="875"/>
      <c r="AL5" s="875"/>
      <c r="AM5" s="875"/>
      <c r="AN5" s="875"/>
      <c r="AO5" s="875"/>
      <c r="AP5" s="875"/>
      <c r="AQ5" s="875"/>
      <c r="AR5" s="875"/>
      <c r="AS5" s="875"/>
      <c r="AT5" s="875"/>
      <c r="AU5" s="875"/>
      <c r="AV5" s="875"/>
      <c r="AW5" s="875"/>
      <c r="AX5" s="875"/>
      <c r="AY5" s="875"/>
      <c r="AZ5" s="875"/>
      <c r="BA5" s="875"/>
      <c r="BB5" s="875"/>
      <c r="BC5" s="875"/>
      <c r="BD5" s="875"/>
      <c r="BE5" s="875"/>
      <c r="BF5" s="875"/>
      <c r="BG5" s="875"/>
      <c r="BH5" s="875"/>
      <c r="BI5" s="875"/>
      <c r="BJ5" s="875"/>
      <c r="BK5" s="875"/>
      <c r="BL5" s="875"/>
      <c r="BM5" s="875"/>
      <c r="BN5" s="875"/>
      <c r="BO5" s="875"/>
      <c r="BP5" s="875"/>
      <c r="BQ5" s="875"/>
      <c r="BR5" s="875"/>
      <c r="BS5" s="875"/>
      <c r="BT5" s="875"/>
      <c r="BU5" s="875"/>
      <c r="BV5" s="875"/>
      <c r="BW5" s="875"/>
      <c r="BX5" s="875"/>
      <c r="BY5" s="875"/>
      <c r="BZ5" s="875"/>
      <c r="CA5" s="875"/>
      <c r="CB5" s="875"/>
      <c r="CC5" s="875"/>
      <c r="CD5" s="875"/>
      <c r="CE5" s="875"/>
      <c r="CF5" s="875"/>
      <c r="CG5" s="875"/>
      <c r="CH5" s="875"/>
      <c r="CI5" s="875"/>
      <c r="CJ5" s="875"/>
      <c r="CK5" s="875"/>
      <c r="CL5" s="875"/>
      <c r="CM5" s="875"/>
    </row>
    <row r="6" spans="1:91" s="878" customFormat="1" ht="14.25" customHeight="1" x14ac:dyDescent="0.2">
      <c r="A6" s="1168" t="s">
        <v>964</v>
      </c>
      <c r="B6" s="1170" t="s">
        <v>256</v>
      </c>
      <c r="C6" s="1171"/>
      <c r="D6" s="352"/>
      <c r="E6" s="352"/>
      <c r="F6" s="352"/>
      <c r="G6" s="1174" t="s">
        <v>257</v>
      </c>
      <c r="H6" s="1052"/>
      <c r="I6" s="353" t="s">
        <v>28</v>
      </c>
      <c r="J6" s="354"/>
      <c r="K6" s="355"/>
      <c r="L6" s="356"/>
      <c r="M6" s="877"/>
      <c r="N6" s="877"/>
      <c r="O6" s="877"/>
      <c r="P6" s="877"/>
      <c r="Q6" s="877"/>
      <c r="R6" s="877"/>
      <c r="S6" s="877"/>
      <c r="T6" s="877"/>
      <c r="U6" s="877"/>
      <c r="V6" s="877"/>
      <c r="W6" s="877"/>
      <c r="X6" s="877"/>
      <c r="Y6" s="877"/>
      <c r="Z6" s="877"/>
      <c r="AA6" s="877"/>
      <c r="AB6" s="877"/>
      <c r="AC6" s="877"/>
      <c r="AD6" s="877"/>
      <c r="AE6" s="877"/>
      <c r="AF6" s="877"/>
      <c r="AG6" s="877"/>
      <c r="AH6" s="877"/>
      <c r="AI6" s="877"/>
      <c r="AJ6" s="877"/>
      <c r="AK6" s="877"/>
      <c r="AL6" s="877"/>
      <c r="AM6" s="877"/>
      <c r="AN6" s="877"/>
      <c r="AO6" s="877"/>
      <c r="AP6" s="877"/>
      <c r="AQ6" s="877"/>
      <c r="AR6" s="877"/>
      <c r="AS6" s="877"/>
      <c r="AT6" s="877"/>
      <c r="AU6" s="877"/>
      <c r="AV6" s="877"/>
      <c r="AW6" s="877"/>
      <c r="AX6" s="877"/>
      <c r="AY6" s="877"/>
      <c r="AZ6" s="877"/>
      <c r="BA6" s="877"/>
      <c r="BB6" s="877"/>
      <c r="BC6" s="877"/>
      <c r="BD6" s="877"/>
      <c r="BE6" s="877"/>
      <c r="BF6" s="877"/>
      <c r="BG6" s="877"/>
      <c r="BH6" s="877"/>
      <c r="BI6" s="877"/>
      <c r="BJ6" s="877"/>
      <c r="BK6" s="877"/>
      <c r="BL6" s="877"/>
      <c r="BM6" s="877"/>
      <c r="BN6" s="877"/>
      <c r="BO6" s="877"/>
      <c r="BP6" s="877"/>
      <c r="BQ6" s="877"/>
      <c r="BR6" s="877"/>
      <c r="BS6" s="877"/>
      <c r="BT6" s="877"/>
      <c r="BU6" s="877"/>
      <c r="BV6" s="877"/>
      <c r="BW6" s="877"/>
      <c r="BX6" s="877"/>
      <c r="BY6" s="877"/>
      <c r="BZ6" s="877"/>
      <c r="CA6" s="877"/>
      <c r="CB6" s="877"/>
      <c r="CC6" s="877"/>
      <c r="CD6" s="877"/>
      <c r="CE6" s="877"/>
      <c r="CF6" s="877"/>
      <c r="CG6" s="877"/>
      <c r="CH6" s="877"/>
      <c r="CI6" s="877"/>
      <c r="CJ6" s="877"/>
      <c r="CK6" s="877"/>
      <c r="CL6" s="877"/>
      <c r="CM6" s="877"/>
    </row>
    <row r="7" spans="1:91" s="881" customFormat="1" x14ac:dyDescent="0.2">
      <c r="A7" s="1169"/>
      <c r="B7" s="1172"/>
      <c r="C7" s="1173"/>
      <c r="D7" s="357"/>
      <c r="E7" s="357"/>
      <c r="F7" s="357"/>
      <c r="G7" s="1175"/>
      <c r="H7" s="1053"/>
      <c r="I7" s="1176" t="s">
        <v>29</v>
      </c>
      <c r="J7" s="1176" t="s">
        <v>30</v>
      </c>
      <c r="K7" s="1176" t="s">
        <v>31</v>
      </c>
      <c r="L7" s="1164" t="s">
        <v>32</v>
      </c>
      <c r="M7" s="879"/>
      <c r="N7" s="879"/>
      <c r="O7" s="879"/>
      <c r="P7" s="877"/>
      <c r="Q7" s="880"/>
      <c r="R7" s="880"/>
      <c r="S7" s="880"/>
      <c r="T7" s="880"/>
      <c r="U7" s="880"/>
      <c r="V7" s="880"/>
      <c r="W7" s="880"/>
      <c r="X7" s="880"/>
      <c r="Y7" s="880"/>
      <c r="Z7" s="880"/>
      <c r="AA7" s="880"/>
      <c r="AB7" s="880"/>
      <c r="AC7" s="880"/>
      <c r="AD7" s="880"/>
      <c r="AE7" s="880"/>
      <c r="AF7" s="880"/>
      <c r="AG7" s="880"/>
      <c r="AH7" s="880"/>
      <c r="AI7" s="880"/>
      <c r="AJ7" s="880"/>
      <c r="AK7" s="880"/>
      <c r="AL7" s="880"/>
      <c r="AM7" s="880"/>
      <c r="AN7" s="880"/>
      <c r="AO7" s="880"/>
      <c r="AP7" s="880"/>
      <c r="AQ7" s="880"/>
      <c r="AR7" s="880"/>
      <c r="AS7" s="880"/>
      <c r="AT7" s="880"/>
      <c r="AU7" s="880"/>
      <c r="AV7" s="880"/>
      <c r="AW7" s="880"/>
      <c r="AX7" s="880"/>
      <c r="AY7" s="880"/>
      <c r="AZ7" s="880"/>
      <c r="BA7" s="880"/>
      <c r="BB7" s="880"/>
      <c r="BC7" s="880"/>
      <c r="BD7" s="880"/>
      <c r="BE7" s="880"/>
      <c r="BF7" s="880"/>
      <c r="BG7" s="880"/>
      <c r="BH7" s="880"/>
      <c r="BI7" s="880"/>
      <c r="BJ7" s="880"/>
      <c r="BK7" s="880"/>
      <c r="BL7" s="880"/>
      <c r="BM7" s="880"/>
      <c r="BN7" s="880"/>
      <c r="BO7" s="880"/>
      <c r="BP7" s="880"/>
      <c r="BQ7" s="880"/>
      <c r="BR7" s="880"/>
      <c r="BS7" s="880"/>
      <c r="BT7" s="880"/>
      <c r="BU7" s="880"/>
      <c r="BV7" s="880"/>
      <c r="BW7" s="880"/>
      <c r="BX7" s="880"/>
      <c r="BY7" s="880"/>
      <c r="BZ7" s="880"/>
      <c r="CA7" s="880"/>
      <c r="CB7" s="880"/>
      <c r="CC7" s="880"/>
      <c r="CD7" s="880"/>
      <c r="CE7" s="880"/>
      <c r="CF7" s="880"/>
      <c r="CG7" s="880"/>
      <c r="CH7" s="880"/>
      <c r="CI7" s="880"/>
      <c r="CJ7" s="880"/>
      <c r="CK7" s="880"/>
      <c r="CL7" s="880"/>
      <c r="CM7" s="880"/>
    </row>
    <row r="8" spans="1:91" s="881" customFormat="1" ht="9" customHeight="1" x14ac:dyDescent="0.2">
      <c r="A8" s="1169"/>
      <c r="B8" s="1172"/>
      <c r="C8" s="1173"/>
      <c r="D8" s="357"/>
      <c r="E8" s="357"/>
      <c r="F8" s="357"/>
      <c r="G8" s="1175"/>
      <c r="H8" s="1053"/>
      <c r="I8" s="1177"/>
      <c r="J8" s="1177"/>
      <c r="K8" s="1177"/>
      <c r="L8" s="1165"/>
      <c r="M8" s="879"/>
      <c r="N8" s="879"/>
      <c r="O8" s="879"/>
      <c r="P8" s="877"/>
      <c r="Q8" s="880"/>
      <c r="R8" s="880"/>
      <c r="S8" s="880"/>
      <c r="T8" s="880"/>
      <c r="U8" s="880"/>
      <c r="V8" s="880"/>
      <c r="W8" s="880"/>
      <c r="X8" s="880"/>
      <c r="Y8" s="880"/>
      <c r="Z8" s="880"/>
      <c r="AA8" s="880"/>
      <c r="AB8" s="880"/>
      <c r="AC8" s="880"/>
      <c r="AD8" s="880"/>
      <c r="AE8" s="880"/>
      <c r="AF8" s="880"/>
      <c r="AG8" s="880"/>
      <c r="AH8" s="880"/>
      <c r="AI8" s="880"/>
      <c r="AJ8" s="880"/>
      <c r="AK8" s="880"/>
      <c r="AL8" s="880"/>
      <c r="AM8" s="880"/>
      <c r="AN8" s="880"/>
      <c r="AO8" s="880"/>
      <c r="AP8" s="880"/>
      <c r="AQ8" s="880"/>
      <c r="AR8" s="880"/>
      <c r="AS8" s="880"/>
      <c r="AT8" s="880"/>
      <c r="AU8" s="880"/>
      <c r="AV8" s="880"/>
      <c r="AW8" s="880"/>
      <c r="AX8" s="880"/>
      <c r="AY8" s="880"/>
      <c r="AZ8" s="880"/>
      <c r="BA8" s="880"/>
      <c r="BB8" s="880"/>
      <c r="BC8" s="880"/>
      <c r="BD8" s="880"/>
      <c r="BE8" s="880"/>
      <c r="BF8" s="880"/>
      <c r="BG8" s="880"/>
      <c r="BH8" s="880"/>
      <c r="BI8" s="880"/>
      <c r="BJ8" s="880"/>
      <c r="BK8" s="880"/>
      <c r="BL8" s="880"/>
      <c r="BM8" s="880"/>
      <c r="BN8" s="880"/>
      <c r="BO8" s="880"/>
      <c r="BP8" s="880"/>
      <c r="BQ8" s="880"/>
      <c r="BR8" s="880"/>
      <c r="BS8" s="880"/>
      <c r="BT8" s="880"/>
      <c r="BU8" s="880"/>
      <c r="BV8" s="880"/>
      <c r="BW8" s="880"/>
      <c r="BX8" s="880"/>
      <c r="BY8" s="880"/>
      <c r="BZ8" s="880"/>
      <c r="CA8" s="880"/>
      <c r="CB8" s="880"/>
      <c r="CC8" s="880"/>
      <c r="CD8" s="880"/>
      <c r="CE8" s="880"/>
      <c r="CF8" s="880"/>
      <c r="CG8" s="880"/>
      <c r="CH8" s="880"/>
      <c r="CI8" s="880"/>
      <c r="CJ8" s="880"/>
      <c r="CK8" s="880"/>
      <c r="CL8" s="880"/>
      <c r="CM8" s="880"/>
    </row>
    <row r="9" spans="1:91" s="882" customFormat="1" ht="12.95" customHeight="1" x14ac:dyDescent="0.2">
      <c r="A9" s="1166" t="s">
        <v>33</v>
      </c>
      <c r="B9" s="1167"/>
      <c r="C9" s="1167"/>
      <c r="D9" s="358"/>
      <c r="E9" s="358"/>
      <c r="F9" s="358"/>
      <c r="G9" s="359"/>
      <c r="H9" s="1054"/>
      <c r="I9" s="360"/>
      <c r="J9" s="360"/>
      <c r="K9" s="360"/>
      <c r="L9" s="361"/>
    </row>
    <row r="10" spans="1:91" s="871" customFormat="1" ht="12.95" customHeight="1" x14ac:dyDescent="0.2">
      <c r="A10" s="362" t="s">
        <v>261</v>
      </c>
      <c r="B10" s="1178" t="s">
        <v>34</v>
      </c>
      <c r="C10" s="1179"/>
      <c r="D10" s="363"/>
      <c r="E10" s="363"/>
      <c r="F10" s="364"/>
      <c r="G10" s="365" t="s">
        <v>35</v>
      </c>
      <c r="H10" s="365"/>
      <c r="I10" s="113"/>
      <c r="J10" s="113"/>
      <c r="K10" s="113"/>
      <c r="L10" s="366"/>
    </row>
    <row r="11" spans="1:91" s="871" customFormat="1" ht="12.95" customHeight="1" x14ac:dyDescent="0.2">
      <c r="A11" s="367" t="s">
        <v>264</v>
      </c>
      <c r="B11" s="1180" t="s">
        <v>36</v>
      </c>
      <c r="C11" s="1181"/>
      <c r="D11" s="368"/>
      <c r="E11" s="368"/>
      <c r="F11" s="369"/>
      <c r="G11" s="365" t="s">
        <v>37</v>
      </c>
      <c r="H11" s="365"/>
      <c r="I11" s="113"/>
      <c r="J11" s="113"/>
      <c r="K11" s="113"/>
      <c r="L11" s="370"/>
    </row>
    <row r="12" spans="1:91" s="871" customFormat="1" ht="24.95" customHeight="1" x14ac:dyDescent="0.2">
      <c r="A12" s="371" t="s">
        <v>267</v>
      </c>
      <c r="B12" s="1182" t="s">
        <v>1584</v>
      </c>
      <c r="C12" s="1183"/>
      <c r="D12" s="372"/>
      <c r="E12" s="372"/>
      <c r="F12" s="373"/>
      <c r="G12" s="365" t="s">
        <v>1585</v>
      </c>
      <c r="H12" s="1055"/>
      <c r="I12" s="374">
        <f>I10-I11</f>
        <v>0</v>
      </c>
      <c r="J12" s="67">
        <f>J10-J11</f>
        <v>0</v>
      </c>
      <c r="K12" s="67">
        <f>K10-K11</f>
        <v>0</v>
      </c>
      <c r="L12" s="375"/>
      <c r="M12" s="883"/>
    </row>
    <row r="13" spans="1:91" s="871" customFormat="1" ht="12.95" customHeight="1" x14ac:dyDescent="0.2">
      <c r="A13" s="1184" t="s">
        <v>1586</v>
      </c>
      <c r="B13" s="1185"/>
      <c r="C13" s="1185"/>
      <c r="D13" s="376"/>
      <c r="E13" s="376"/>
      <c r="F13" s="376"/>
      <c r="G13" s="377"/>
      <c r="H13" s="1056"/>
      <c r="I13" s="378"/>
      <c r="J13" s="378"/>
      <c r="K13" s="378"/>
      <c r="L13" s="370"/>
    </row>
    <row r="14" spans="1:91" s="871" customFormat="1" ht="12.95" customHeight="1" x14ac:dyDescent="0.2">
      <c r="A14" s="362" t="s">
        <v>272</v>
      </c>
      <c r="B14" s="1188" t="s">
        <v>1587</v>
      </c>
      <c r="C14" s="1189"/>
      <c r="D14" s="379"/>
      <c r="E14" s="379"/>
      <c r="F14" s="380"/>
      <c r="G14" s="365" t="s">
        <v>1588</v>
      </c>
      <c r="H14" s="365"/>
      <c r="I14" s="113"/>
      <c r="J14" s="113"/>
      <c r="K14" s="113"/>
      <c r="L14" s="366"/>
    </row>
    <row r="15" spans="1:91" s="871" customFormat="1" ht="12.95" customHeight="1" x14ac:dyDescent="0.2">
      <c r="A15" s="367" t="s">
        <v>297</v>
      </c>
      <c r="B15" s="1186" t="s">
        <v>1589</v>
      </c>
      <c r="C15" s="1187"/>
      <c r="D15" s="381"/>
      <c r="E15" s="381"/>
      <c r="F15" s="382"/>
      <c r="G15" s="365" t="s">
        <v>1590</v>
      </c>
      <c r="H15" s="365"/>
      <c r="I15" s="113"/>
      <c r="J15" s="113"/>
      <c r="K15" s="113"/>
      <c r="L15" s="370"/>
    </row>
    <row r="16" spans="1:91" s="871" customFormat="1" ht="24.95" customHeight="1" x14ac:dyDescent="0.2">
      <c r="A16" s="367" t="s">
        <v>300</v>
      </c>
      <c r="B16" s="1186" t="s">
        <v>1591</v>
      </c>
      <c r="C16" s="1187"/>
      <c r="D16" s="381"/>
      <c r="E16" s="381"/>
      <c r="F16" s="382"/>
      <c r="G16" s="365" t="s">
        <v>1592</v>
      </c>
      <c r="H16" s="365"/>
      <c r="I16" s="113"/>
      <c r="J16" s="113"/>
      <c r="K16" s="113"/>
      <c r="L16" s="370"/>
    </row>
    <row r="17" spans="1:18" s="871" customFormat="1" ht="36.950000000000003" customHeight="1" x14ac:dyDescent="0.2">
      <c r="A17" s="367" t="s">
        <v>303</v>
      </c>
      <c r="B17" s="1186" t="s">
        <v>1593</v>
      </c>
      <c r="C17" s="1187"/>
      <c r="D17" s="381"/>
      <c r="E17" s="381"/>
      <c r="F17" s="382"/>
      <c r="G17" s="365" t="s">
        <v>1594</v>
      </c>
      <c r="H17" s="365"/>
      <c r="I17" s="113"/>
      <c r="J17" s="113"/>
      <c r="K17" s="113"/>
      <c r="L17" s="383"/>
    </row>
    <row r="18" spans="1:18" s="871" customFormat="1" ht="12.95" customHeight="1" x14ac:dyDescent="0.2">
      <c r="A18" s="367" t="s">
        <v>445</v>
      </c>
      <c r="B18" s="1186" t="s">
        <v>1595</v>
      </c>
      <c r="C18" s="1187"/>
      <c r="D18" s="381"/>
      <c r="E18" s="381"/>
      <c r="F18" s="382"/>
      <c r="G18" s="365" t="s">
        <v>1596</v>
      </c>
      <c r="H18" s="365"/>
      <c r="I18" s="113"/>
      <c r="J18" s="113"/>
      <c r="K18" s="113"/>
      <c r="L18" s="383"/>
    </row>
    <row r="19" spans="1:18" s="871" customFormat="1" ht="24.95" customHeight="1" x14ac:dyDescent="0.2">
      <c r="A19" s="367" t="s">
        <v>453</v>
      </c>
      <c r="B19" s="1186" t="s">
        <v>1597</v>
      </c>
      <c r="C19" s="1187"/>
      <c r="D19" s="381"/>
      <c r="E19" s="381"/>
      <c r="F19" s="382"/>
      <c r="G19" s="365" t="s">
        <v>1598</v>
      </c>
      <c r="H19" s="365"/>
      <c r="I19" s="113"/>
      <c r="J19" s="113"/>
      <c r="K19" s="113"/>
      <c r="L19" s="383"/>
    </row>
    <row r="20" spans="1:18" s="871" customFormat="1" ht="12.95" customHeight="1" x14ac:dyDescent="0.2">
      <c r="A20" s="367" t="s">
        <v>456</v>
      </c>
      <c r="B20" s="1186" t="s">
        <v>1599</v>
      </c>
      <c r="C20" s="1187"/>
      <c r="D20" s="381"/>
      <c r="E20" s="381"/>
      <c r="F20" s="382"/>
      <c r="G20" s="365" t="s">
        <v>1600</v>
      </c>
      <c r="H20" s="365"/>
      <c r="I20" s="113"/>
      <c r="J20" s="113"/>
      <c r="K20" s="113"/>
      <c r="L20" s="370"/>
    </row>
    <row r="21" spans="1:18" s="871" customFormat="1" ht="24.95" customHeight="1" x14ac:dyDescent="0.2">
      <c r="A21" s="367" t="s">
        <v>459</v>
      </c>
      <c r="B21" s="1186" t="s">
        <v>1601</v>
      </c>
      <c r="C21" s="1187"/>
      <c r="D21" s="381"/>
      <c r="E21" s="381"/>
      <c r="F21" s="382"/>
      <c r="G21" s="365" t="s">
        <v>1602</v>
      </c>
      <c r="H21" s="1057"/>
      <c r="I21" s="384">
        <f>SUM(I14:I20)</f>
        <v>0</v>
      </c>
      <c r="J21" s="384">
        <f>SUM(J14:J20)</f>
        <v>0</v>
      </c>
      <c r="K21" s="62">
        <f>SUM(K14:K20)</f>
        <v>0</v>
      </c>
      <c r="L21" s="370"/>
    </row>
    <row r="22" spans="1:18" s="871" customFormat="1" ht="24.95" customHeight="1" x14ac:dyDescent="0.2">
      <c r="A22" s="1180" t="s">
        <v>1603</v>
      </c>
      <c r="B22" s="1191"/>
      <c r="C22" s="1181"/>
      <c r="D22" s="368"/>
      <c r="E22" s="368"/>
      <c r="F22" s="369"/>
      <c r="G22" s="365" t="s">
        <v>1604</v>
      </c>
      <c r="H22" s="1057"/>
      <c r="I22" s="384">
        <f>I12+I21</f>
        <v>0</v>
      </c>
      <c r="J22" s="62">
        <f>J12+J21</f>
        <v>0</v>
      </c>
      <c r="K22" s="62">
        <f>K12+K21</f>
        <v>0</v>
      </c>
      <c r="L22" s="385">
        <f>IF(COUNTIF(I22:K22,"&gt;0")=0,0,SUMIF(I22:K22,"&gt;0",I22:K22)/COUNTIF(I22:K22,"&gt;0"))</f>
        <v>0</v>
      </c>
    </row>
    <row r="23" spans="1:18" s="871" customFormat="1" ht="38.25" customHeight="1" x14ac:dyDescent="0.2">
      <c r="A23" s="1180" t="s">
        <v>1605</v>
      </c>
      <c r="B23" s="1191"/>
      <c r="C23" s="1181"/>
      <c r="D23" s="368"/>
      <c r="E23" s="368"/>
      <c r="F23" s="369"/>
      <c r="G23" s="365" t="s">
        <v>1606</v>
      </c>
      <c r="H23" s="1057"/>
      <c r="I23" s="386"/>
      <c r="J23" s="387"/>
      <c r="K23" s="387"/>
      <c r="L23" s="385">
        <f>L22*L5</f>
        <v>0</v>
      </c>
    </row>
    <row r="24" spans="1:18" s="871" customFormat="1" ht="24.95" customHeight="1" x14ac:dyDescent="0.2">
      <c r="A24" s="1182" t="s">
        <v>1607</v>
      </c>
      <c r="B24" s="1192"/>
      <c r="C24" s="1183"/>
      <c r="D24" s="372"/>
      <c r="E24" s="372"/>
      <c r="F24" s="373"/>
      <c r="G24" s="365" t="s">
        <v>1608</v>
      </c>
      <c r="H24" s="1055"/>
      <c r="I24" s="388"/>
      <c r="J24" s="389"/>
      <c r="K24" s="389"/>
      <c r="L24" s="385">
        <f>L23*1.25</f>
        <v>0</v>
      </c>
    </row>
    <row r="25" spans="1:18" s="871" customFormat="1" ht="24.95" customHeight="1" x14ac:dyDescent="0.2">
      <c r="A25" s="1180" t="s">
        <v>1609</v>
      </c>
      <c r="B25" s="1191"/>
      <c r="C25" s="1181"/>
      <c r="D25" s="368"/>
      <c r="E25" s="368"/>
      <c r="F25" s="369"/>
      <c r="G25" s="365" t="s">
        <v>299</v>
      </c>
      <c r="H25" s="1057"/>
      <c r="I25" s="386"/>
      <c r="J25" s="387"/>
      <c r="K25" s="387"/>
      <c r="L25" s="385">
        <f>L24*10</f>
        <v>0</v>
      </c>
    </row>
    <row r="26" spans="1:18" s="876" customFormat="1" x14ac:dyDescent="0.2">
      <c r="A26" s="346"/>
      <c r="B26" s="346"/>
      <c r="C26" s="346"/>
      <c r="D26" s="346"/>
      <c r="E26" s="346"/>
      <c r="F26" s="346"/>
      <c r="G26" s="390" t="s">
        <v>309</v>
      </c>
      <c r="H26" s="390"/>
      <c r="I26" s="347"/>
      <c r="J26" s="347"/>
      <c r="K26" s="347"/>
      <c r="L26" s="347"/>
    </row>
    <row r="27" spans="1:18" s="876" customFormat="1" ht="24.75" customHeight="1" x14ac:dyDescent="0.2">
      <c r="A27" s="391" t="s">
        <v>494</v>
      </c>
      <c r="B27" s="1190" t="s">
        <v>1610</v>
      </c>
      <c r="C27" s="1190"/>
      <c r="D27" s="1190"/>
      <c r="E27" s="1190"/>
      <c r="F27" s="1190"/>
      <c r="G27" s="1190"/>
      <c r="H27" s="1190"/>
      <c r="I27" s="1190"/>
      <c r="J27" s="1190"/>
      <c r="K27" s="1190"/>
      <c r="L27" s="392"/>
      <c r="M27" s="871"/>
      <c r="N27" s="884"/>
      <c r="O27" s="884"/>
      <c r="P27" s="884"/>
      <c r="Q27" s="884"/>
      <c r="R27" s="884"/>
    </row>
    <row r="28" spans="1:18" s="876" customFormat="1" ht="24" customHeight="1" x14ac:dyDescent="0.2">
      <c r="A28" s="391" t="s">
        <v>496</v>
      </c>
      <c r="B28" s="1190" t="s">
        <v>1611</v>
      </c>
      <c r="C28" s="1190"/>
      <c r="D28" s="1190"/>
      <c r="E28" s="1190"/>
      <c r="F28" s="1190"/>
      <c r="G28" s="1190"/>
      <c r="H28" s="1190"/>
      <c r="I28" s="1190"/>
      <c r="J28" s="1190"/>
      <c r="K28" s="1190"/>
      <c r="L28" s="347"/>
      <c r="M28" s="884"/>
      <c r="N28" s="884"/>
      <c r="O28" s="884"/>
      <c r="P28" s="884"/>
      <c r="Q28" s="884"/>
      <c r="R28" s="884"/>
    </row>
    <row r="29" spans="1:18" x14ac:dyDescent="0.2">
      <c r="A29" s="871"/>
      <c r="B29" s="871"/>
      <c r="C29" s="871"/>
      <c r="D29" s="871"/>
      <c r="E29" s="871"/>
      <c r="F29" s="871"/>
      <c r="G29" s="871"/>
      <c r="H29" s="871"/>
      <c r="I29" s="872"/>
      <c r="J29" s="872"/>
      <c r="K29" s="872"/>
      <c r="L29" s="872"/>
    </row>
  </sheetData>
  <sheetProtection password="AAE2" sheet="1" objects="1" scenarios="1"/>
  <mergeCells count="26">
    <mergeCell ref="B27:K27"/>
    <mergeCell ref="B28:K28"/>
    <mergeCell ref="A22:C22"/>
    <mergeCell ref="A23:C23"/>
    <mergeCell ref="A24:C24"/>
    <mergeCell ref="A25:C25"/>
    <mergeCell ref="B20:C20"/>
    <mergeCell ref="B21:C21"/>
    <mergeCell ref="B14:C14"/>
    <mergeCell ref="B15:C15"/>
    <mergeCell ref="B16:C16"/>
    <mergeCell ref="B17:C17"/>
    <mergeCell ref="B10:C10"/>
    <mergeCell ref="B11:C11"/>
    <mergeCell ref="B12:C12"/>
    <mergeCell ref="A13:C13"/>
    <mergeCell ref="B18:C18"/>
    <mergeCell ref="B19:C19"/>
    <mergeCell ref="L7:L8"/>
    <mergeCell ref="A9:C9"/>
    <mergeCell ref="A6:A8"/>
    <mergeCell ref="B6:C8"/>
    <mergeCell ref="G6:G8"/>
    <mergeCell ref="I7:I8"/>
    <mergeCell ref="J7:J8"/>
    <mergeCell ref="K7:K8"/>
  </mergeCells>
  <phoneticPr fontId="36" type="noConversion"/>
  <dataValidations count="1">
    <dataValidation type="decimal" allowBlank="1" showInputMessage="1" showErrorMessage="1" sqref="I10:K11 I14:K20">
      <formula1>-999999999999.999</formula1>
      <formula2>999999999999.999</formula2>
    </dataValidation>
  </dataValidations>
  <printOptions horizontalCentered="1"/>
  <pageMargins left="0.75" right="0.75" top="1" bottom="1" header="0.5" footer="0.5"/>
  <pageSetup paperSize="9" scale="94" orientation="landscape" r:id="rId1"/>
  <headerFooter alignWithMargins="0">
    <oddHeader>&amp;C&amp;"Arial,Bold"&amp;8 NEW RURAL BANK OF SAN LEONARDO, INC  [ 04-040656 ]
 As of: September 30, 2017</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J26"/>
  <sheetViews>
    <sheetView view="pageBreakPreview" topLeftCell="A6" zoomScale="115" zoomScaleNormal="100" workbookViewId="0">
      <selection activeCell="F7" sqref="F1:F65536"/>
    </sheetView>
  </sheetViews>
  <sheetFormatPr defaultRowHeight="12.75" x14ac:dyDescent="0.2"/>
  <cols>
    <col min="1" max="1" width="10.42578125" style="425" customWidth="1"/>
    <col min="2" max="2" width="9.42578125" style="425" customWidth="1"/>
    <col min="3" max="3" width="37.7109375" style="425" customWidth="1"/>
    <col min="4" max="5" width="37.7109375" style="425" hidden="1" customWidth="1"/>
    <col min="6" max="6" width="17.85546875" style="425" hidden="1" customWidth="1"/>
    <col min="7" max="7" width="16.7109375" style="425" bestFit="1" customWidth="1"/>
    <col min="8" max="8" width="21.42578125" style="425" hidden="1" customWidth="1"/>
    <col min="9" max="9" width="15.85546875" style="425" customWidth="1"/>
  </cols>
  <sheetData>
    <row r="1" spans="1:10" s="425" customFormat="1" hidden="1" x14ac:dyDescent="0.2">
      <c r="A1" s="393"/>
      <c r="B1" s="393"/>
      <c r="C1" s="393"/>
      <c r="D1" s="393"/>
      <c r="E1" s="393"/>
      <c r="F1" s="393"/>
      <c r="G1" s="393"/>
      <c r="H1" s="393"/>
      <c r="I1" s="393"/>
      <c r="J1" s="393"/>
    </row>
    <row r="2" spans="1:10" s="425" customFormat="1" hidden="1" x14ac:dyDescent="0.2">
      <c r="A2" s="393"/>
      <c r="B2" s="393"/>
      <c r="C2" s="393"/>
      <c r="D2" s="393"/>
      <c r="E2" s="393"/>
      <c r="F2" s="393"/>
      <c r="G2" s="393"/>
      <c r="H2" s="393"/>
      <c r="I2" s="393"/>
      <c r="J2" s="393"/>
    </row>
    <row r="3" spans="1:10" s="425" customFormat="1" hidden="1" x14ac:dyDescent="0.2">
      <c r="A3" s="393"/>
      <c r="B3" s="393"/>
      <c r="C3" s="393"/>
      <c r="D3" s="393"/>
      <c r="E3" s="393"/>
      <c r="F3" s="393"/>
      <c r="G3" s="393"/>
      <c r="H3" s="393"/>
      <c r="I3" s="393"/>
      <c r="J3" s="393"/>
    </row>
    <row r="4" spans="1:10" s="425" customFormat="1" hidden="1" x14ac:dyDescent="0.2">
      <c r="A4" s="393"/>
      <c r="B4" s="393"/>
      <c r="C4" s="393"/>
      <c r="D4" s="393"/>
      <c r="E4" s="393"/>
      <c r="F4" s="393"/>
      <c r="G4" s="393"/>
      <c r="H4" s="393"/>
      <c r="I4" s="393"/>
      <c r="J4" s="393"/>
    </row>
    <row r="5" spans="1:10" s="425" customFormat="1" hidden="1" x14ac:dyDescent="0.2">
      <c r="A5" s="393"/>
      <c r="B5" s="393"/>
      <c r="C5" s="393"/>
      <c r="D5" s="393"/>
      <c r="E5" s="393"/>
      <c r="F5" s="393"/>
      <c r="G5" s="393"/>
      <c r="H5" s="393"/>
      <c r="I5" s="393"/>
      <c r="J5" s="393"/>
    </row>
    <row r="6" spans="1:10" s="425" customFormat="1" ht="18" customHeight="1" x14ac:dyDescent="0.2">
      <c r="A6" s="1193" t="s">
        <v>1612</v>
      </c>
      <c r="B6" s="1193"/>
      <c r="C6" s="1193"/>
      <c r="D6" s="1193"/>
      <c r="E6" s="1193"/>
      <c r="F6" s="1193"/>
      <c r="G6" s="1193"/>
      <c r="H6" s="1193"/>
      <c r="I6" s="1193"/>
      <c r="J6" s="809"/>
    </row>
    <row r="7" spans="1:10" s="425" customFormat="1" ht="12" customHeight="1" thickBot="1" x14ac:dyDescent="0.25">
      <c r="A7" s="394"/>
      <c r="B7" s="393"/>
      <c r="C7" s="393"/>
      <c r="D7" s="393"/>
      <c r="E7" s="393"/>
      <c r="F7" s="393"/>
      <c r="G7" s="393"/>
      <c r="H7" s="393"/>
      <c r="I7" s="393"/>
      <c r="J7" s="393"/>
    </row>
    <row r="8" spans="1:10" s="886" customFormat="1" ht="36" customHeight="1" x14ac:dyDescent="0.2">
      <c r="A8" s="395" t="s">
        <v>964</v>
      </c>
      <c r="B8" s="1194" t="s">
        <v>256</v>
      </c>
      <c r="C8" s="1195"/>
      <c r="D8" s="396"/>
      <c r="E8" s="396"/>
      <c r="F8" s="397"/>
      <c r="G8" s="396" t="s">
        <v>257</v>
      </c>
      <c r="H8" s="398"/>
      <c r="I8" s="399" t="s">
        <v>258</v>
      </c>
      <c r="J8" s="885"/>
    </row>
    <row r="9" spans="1:10" s="886" customFormat="1" x14ac:dyDescent="0.2">
      <c r="A9" s="400" t="s">
        <v>1414</v>
      </c>
      <c r="B9" s="1196" t="s">
        <v>1613</v>
      </c>
      <c r="C9" s="1197"/>
      <c r="D9" s="401"/>
      <c r="E9" s="401"/>
      <c r="F9" s="402"/>
      <c r="G9" s="401"/>
      <c r="H9" s="403"/>
      <c r="I9" s="404"/>
      <c r="J9" s="885"/>
    </row>
    <row r="10" spans="1:10" s="886" customFormat="1" x14ac:dyDescent="0.2">
      <c r="A10" s="405" t="s">
        <v>261</v>
      </c>
      <c r="B10" s="1198" t="s">
        <v>1614</v>
      </c>
      <c r="C10" s="1199"/>
      <c r="D10" s="406"/>
      <c r="E10" s="406"/>
      <c r="F10" s="407"/>
      <c r="G10" s="408" t="s">
        <v>1615</v>
      </c>
      <c r="H10" s="409"/>
      <c r="I10" s="410">
        <f>'IR-EXP'!J25</f>
        <v>0</v>
      </c>
      <c r="J10" s="885"/>
    </row>
    <row r="11" spans="1:10" s="886" customFormat="1" x14ac:dyDescent="0.2">
      <c r="A11" s="405" t="s">
        <v>264</v>
      </c>
      <c r="B11" s="1198" t="s">
        <v>1616</v>
      </c>
      <c r="C11" s="1199"/>
      <c r="D11" s="406"/>
      <c r="E11" s="406"/>
      <c r="F11" s="407"/>
      <c r="G11" s="408" t="s">
        <v>1617</v>
      </c>
      <c r="H11" s="409"/>
      <c r="I11" s="410">
        <f>'EQ-EXP'!M38</f>
        <v>0</v>
      </c>
      <c r="J11" s="885"/>
    </row>
    <row r="12" spans="1:10" s="886" customFormat="1" x14ac:dyDescent="0.2">
      <c r="A12" s="405" t="s">
        <v>267</v>
      </c>
      <c r="B12" s="1198" t="s">
        <v>1618</v>
      </c>
      <c r="C12" s="1199"/>
      <c r="D12" s="406"/>
      <c r="E12" s="406"/>
      <c r="F12" s="407"/>
      <c r="G12" s="408" t="s">
        <v>1619</v>
      </c>
      <c r="H12" s="409"/>
      <c r="I12" s="410">
        <f>'FX-EXP'!M25</f>
        <v>0</v>
      </c>
      <c r="J12" s="885"/>
    </row>
    <row r="13" spans="1:10" s="886" customFormat="1" x14ac:dyDescent="0.2">
      <c r="A13" s="405" t="s">
        <v>1078</v>
      </c>
      <c r="B13" s="1198" t="s">
        <v>1620</v>
      </c>
      <c r="C13" s="1199"/>
      <c r="D13" s="406"/>
      <c r="E13" s="406"/>
      <c r="F13" s="407"/>
      <c r="G13" s="408" t="s">
        <v>1621</v>
      </c>
      <c r="H13" s="409"/>
      <c r="I13" s="411"/>
      <c r="J13" s="885"/>
    </row>
    <row r="14" spans="1:10" s="886" customFormat="1" x14ac:dyDescent="0.2">
      <c r="A14" s="400" t="s">
        <v>1088</v>
      </c>
      <c r="B14" s="1198" t="s">
        <v>1622</v>
      </c>
      <c r="C14" s="1199"/>
      <c r="D14" s="406"/>
      <c r="E14" s="406"/>
      <c r="F14" s="412"/>
      <c r="G14" s="408" t="s">
        <v>1623</v>
      </c>
      <c r="H14" s="409"/>
      <c r="I14" s="410">
        <f>SUM(I10:I13)</f>
        <v>0</v>
      </c>
      <c r="J14" s="887"/>
    </row>
    <row r="15" spans="1:10" s="886" customFormat="1" x14ac:dyDescent="0.2">
      <c r="A15" s="400" t="s">
        <v>1426</v>
      </c>
      <c r="B15" s="1196" t="s">
        <v>1624</v>
      </c>
      <c r="C15" s="1197"/>
      <c r="D15" s="401"/>
      <c r="E15" s="401"/>
      <c r="F15" s="407"/>
      <c r="G15" s="408" t="s">
        <v>1625</v>
      </c>
      <c r="H15" s="409"/>
      <c r="I15" s="411"/>
      <c r="J15" s="887"/>
    </row>
    <row r="16" spans="1:10" s="886" customFormat="1" ht="13.5" thickBot="1" x14ac:dyDescent="0.25">
      <c r="A16" s="413" t="s">
        <v>1438</v>
      </c>
      <c r="B16" s="1200" t="s">
        <v>1626</v>
      </c>
      <c r="C16" s="1201"/>
      <c r="D16" s="414"/>
      <c r="E16" s="414"/>
      <c r="F16" s="415"/>
      <c r="G16" s="416" t="s">
        <v>302</v>
      </c>
      <c r="H16" s="417"/>
      <c r="I16" s="418">
        <f>SUM(I14:I15)</f>
        <v>0</v>
      </c>
      <c r="J16" s="887"/>
    </row>
    <row r="17" spans="1:10" s="888" customFormat="1" x14ac:dyDescent="0.2">
      <c r="A17" s="419"/>
      <c r="B17" s="420"/>
      <c r="C17" s="421"/>
      <c r="D17" s="421"/>
      <c r="E17" s="421"/>
      <c r="F17" s="422" t="s">
        <v>309</v>
      </c>
      <c r="G17" s="423" t="s">
        <v>309</v>
      </c>
      <c r="H17" s="423"/>
      <c r="I17" s="421"/>
      <c r="J17" s="421"/>
    </row>
    <row r="18" spans="1:10" s="425" customFormat="1" ht="32.25" customHeight="1" x14ac:dyDescent="0.2">
      <c r="A18" s="1202" t="s">
        <v>494</v>
      </c>
      <c r="B18" s="1203" t="s">
        <v>965</v>
      </c>
      <c r="C18" s="1203"/>
      <c r="D18" s="1203"/>
      <c r="E18" s="1203"/>
      <c r="F18" s="1203"/>
      <c r="G18" s="1203"/>
      <c r="H18" s="1203"/>
      <c r="I18" s="1203"/>
      <c r="J18" s="424"/>
    </row>
    <row r="19" spans="1:10" s="425" customFormat="1" ht="15.75" customHeight="1" x14ac:dyDescent="0.2">
      <c r="A19" s="1202"/>
      <c r="B19" s="1204" t="s">
        <v>1627</v>
      </c>
      <c r="C19" s="1204"/>
      <c r="D19" s="1204"/>
      <c r="E19" s="1204"/>
      <c r="F19" s="1204"/>
      <c r="G19" s="1204"/>
      <c r="H19" s="1204"/>
      <c r="I19" s="1204"/>
      <c r="J19" s="424"/>
    </row>
    <row r="26" spans="1:10" x14ac:dyDescent="0.2">
      <c r="C26"/>
      <c r="D26"/>
      <c r="E26"/>
      <c r="F26"/>
      <c r="G26"/>
      <c r="H26"/>
      <c r="I26"/>
    </row>
  </sheetData>
  <sheetProtection password="AAE3" sheet="1" objects="1" scenarios="1"/>
  <mergeCells count="13">
    <mergeCell ref="A18:A19"/>
    <mergeCell ref="B18:I18"/>
    <mergeCell ref="B19:I19"/>
    <mergeCell ref="B11:C11"/>
    <mergeCell ref="B12:C12"/>
    <mergeCell ref="B13:C13"/>
    <mergeCell ref="B14:C14"/>
    <mergeCell ref="A6:I6"/>
    <mergeCell ref="B8:C8"/>
    <mergeCell ref="B9:C9"/>
    <mergeCell ref="B10:C10"/>
    <mergeCell ref="B15:C15"/>
    <mergeCell ref="B16:C16"/>
  </mergeCells>
  <phoneticPr fontId="36" type="noConversion"/>
  <printOptions horizontalCentered="1"/>
  <pageMargins left="0.75" right="0.75" top="1" bottom="1" header="0.5" footer="0.5"/>
  <pageSetup paperSize="9" orientation="landscape" r:id="rId1"/>
  <headerFooter alignWithMargins="0">
    <oddHeader>&amp;C&amp;"Arial,Bold"&amp;8 NEW RURAL BANK OF SAN LEONARDO, INC  [ 04-040656 ]
 As of: September 30, 2017</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BM28"/>
  <sheetViews>
    <sheetView view="pageBreakPreview" topLeftCell="A6" zoomScale="115" zoomScaleNormal="100" workbookViewId="0">
      <selection activeCell="C7" sqref="C7"/>
    </sheetView>
  </sheetViews>
  <sheetFormatPr defaultRowHeight="12.75" x14ac:dyDescent="0.2"/>
  <cols>
    <col min="1" max="2" width="8" style="889" customWidth="1"/>
    <col min="3" max="3" width="39.5703125" style="889" customWidth="1"/>
    <col min="4" max="4" width="14.28515625" style="889" hidden="1" customWidth="1"/>
    <col min="5" max="5" width="8" style="889" bestFit="1" customWidth="1"/>
    <col min="6" max="6" width="14.28515625" style="889" hidden="1" customWidth="1"/>
    <col min="7" max="7" width="16.7109375" style="889" bestFit="1" customWidth="1"/>
    <col min="8" max="8" width="41.140625" style="889" hidden="1" customWidth="1"/>
    <col min="9" max="10" width="15.85546875" style="890" customWidth="1"/>
  </cols>
  <sheetData>
    <row r="1" spans="1:65" s="889" customFormat="1" hidden="1" x14ac:dyDescent="0.2">
      <c r="A1" s="426"/>
      <c r="B1" s="426"/>
      <c r="C1" s="426"/>
      <c r="D1" s="426"/>
      <c r="E1" s="426"/>
      <c r="F1" s="426"/>
      <c r="G1" s="426"/>
      <c r="H1" s="426"/>
      <c r="I1" s="427"/>
      <c r="J1" s="427"/>
      <c r="K1" s="891"/>
      <c r="L1" s="891"/>
      <c r="M1" s="891"/>
      <c r="N1" s="891"/>
      <c r="O1" s="891"/>
      <c r="P1" s="891"/>
      <c r="Q1" s="891"/>
      <c r="R1" s="891"/>
      <c r="S1" s="891"/>
      <c r="T1" s="891"/>
      <c r="U1" s="891"/>
      <c r="V1" s="891"/>
      <c r="W1" s="891"/>
      <c r="X1" s="891"/>
      <c r="Y1" s="891"/>
      <c r="Z1" s="891"/>
      <c r="AA1" s="891"/>
      <c r="AB1" s="891"/>
      <c r="AC1" s="891"/>
      <c r="AD1" s="891"/>
      <c r="AE1" s="891"/>
      <c r="AF1" s="891"/>
      <c r="AG1" s="891"/>
      <c r="AH1" s="891"/>
      <c r="AI1" s="891"/>
      <c r="AJ1" s="891"/>
      <c r="AK1" s="891"/>
      <c r="AL1" s="891"/>
      <c r="AM1" s="891"/>
      <c r="AN1" s="891"/>
      <c r="AO1" s="891"/>
      <c r="AP1" s="891"/>
      <c r="AQ1" s="891"/>
      <c r="AR1" s="891"/>
      <c r="AS1" s="891"/>
      <c r="AT1" s="891"/>
      <c r="AU1" s="891"/>
      <c r="AV1" s="891"/>
      <c r="AW1" s="891"/>
      <c r="AX1" s="891"/>
      <c r="AY1" s="891"/>
      <c r="AZ1" s="891"/>
      <c r="BA1" s="891"/>
      <c r="BB1" s="891"/>
      <c r="BC1" s="891"/>
      <c r="BD1" s="891"/>
      <c r="BE1" s="891"/>
      <c r="BF1" s="891"/>
      <c r="BG1" s="891"/>
      <c r="BH1" s="891"/>
      <c r="BI1" s="891"/>
      <c r="BJ1" s="891"/>
      <c r="BK1" s="891"/>
      <c r="BL1" s="891"/>
      <c r="BM1" s="891"/>
    </row>
    <row r="2" spans="1:65" s="889" customFormat="1" hidden="1" x14ac:dyDescent="0.2">
      <c r="A2" s="426"/>
      <c r="B2" s="426"/>
      <c r="C2" s="426"/>
      <c r="D2" s="426"/>
      <c r="E2" s="426"/>
      <c r="F2" s="426"/>
      <c r="G2" s="426"/>
      <c r="H2" s="426"/>
      <c r="I2" s="427"/>
      <c r="J2" s="427"/>
      <c r="K2" s="891"/>
      <c r="L2" s="891"/>
      <c r="M2" s="891"/>
      <c r="N2" s="891"/>
      <c r="O2" s="891"/>
      <c r="P2" s="891"/>
      <c r="Q2" s="891"/>
      <c r="R2" s="891"/>
      <c r="S2" s="891"/>
      <c r="T2" s="891"/>
      <c r="U2" s="891"/>
      <c r="V2" s="891"/>
      <c r="W2" s="891"/>
      <c r="X2" s="891"/>
      <c r="Y2" s="891"/>
      <c r="Z2" s="891"/>
      <c r="AA2" s="891"/>
      <c r="AB2" s="891"/>
      <c r="AC2" s="891"/>
      <c r="AD2" s="891"/>
      <c r="AE2" s="891"/>
      <c r="AF2" s="891"/>
      <c r="AG2" s="891"/>
      <c r="AH2" s="891"/>
      <c r="AI2" s="891"/>
      <c r="AJ2" s="891"/>
      <c r="AK2" s="891"/>
      <c r="AL2" s="891"/>
      <c r="AM2" s="891"/>
      <c r="AN2" s="891"/>
      <c r="AO2" s="891"/>
      <c r="AP2" s="891"/>
      <c r="AQ2" s="891"/>
      <c r="AR2" s="891"/>
      <c r="AS2" s="891"/>
      <c r="AT2" s="891"/>
      <c r="AU2" s="891"/>
      <c r="AV2" s="891"/>
      <c r="AW2" s="891"/>
      <c r="AX2" s="891"/>
      <c r="AY2" s="891"/>
      <c r="AZ2" s="891"/>
      <c r="BA2" s="891"/>
      <c r="BB2" s="891"/>
      <c r="BC2" s="891"/>
      <c r="BD2" s="891"/>
      <c r="BE2" s="891"/>
      <c r="BF2" s="891"/>
      <c r="BG2" s="891"/>
      <c r="BH2" s="891"/>
      <c r="BI2" s="891"/>
      <c r="BJ2" s="891"/>
      <c r="BK2" s="891"/>
      <c r="BL2" s="891"/>
      <c r="BM2" s="891"/>
    </row>
    <row r="3" spans="1:65" s="889" customFormat="1" hidden="1" x14ac:dyDescent="0.2">
      <c r="A3" s="426"/>
      <c r="B3" s="426"/>
      <c r="C3" s="426"/>
      <c r="D3" s="426"/>
      <c r="E3" s="426"/>
      <c r="F3" s="426"/>
      <c r="G3" s="426"/>
      <c r="H3" s="426"/>
      <c r="I3" s="427"/>
      <c r="J3" s="427"/>
      <c r="K3" s="891"/>
      <c r="L3" s="891"/>
      <c r="M3" s="891"/>
      <c r="N3" s="891"/>
      <c r="O3" s="891"/>
      <c r="P3" s="891"/>
      <c r="Q3" s="891"/>
      <c r="R3" s="891"/>
      <c r="S3" s="891"/>
      <c r="T3" s="891"/>
      <c r="U3" s="891"/>
      <c r="V3" s="891"/>
      <c r="W3" s="891"/>
      <c r="X3" s="891"/>
      <c r="Y3" s="891"/>
      <c r="Z3" s="891"/>
      <c r="AA3" s="891"/>
      <c r="AB3" s="891"/>
      <c r="AC3" s="891"/>
      <c r="AD3" s="891"/>
      <c r="AE3" s="891"/>
      <c r="AF3" s="891"/>
      <c r="AG3" s="891"/>
      <c r="AH3" s="891"/>
      <c r="AI3" s="891"/>
      <c r="AJ3" s="891"/>
      <c r="AK3" s="891"/>
      <c r="AL3" s="891"/>
      <c r="AM3" s="891"/>
      <c r="AN3" s="891"/>
      <c r="AO3" s="891"/>
      <c r="AP3" s="891"/>
      <c r="AQ3" s="891"/>
      <c r="AR3" s="891"/>
      <c r="AS3" s="891"/>
      <c r="AT3" s="891"/>
      <c r="AU3" s="891"/>
      <c r="AV3" s="891"/>
      <c r="AW3" s="891"/>
      <c r="AX3" s="891"/>
      <c r="AY3" s="891"/>
      <c r="AZ3" s="891"/>
      <c r="BA3" s="891"/>
      <c r="BB3" s="891"/>
      <c r="BC3" s="891"/>
      <c r="BD3" s="891"/>
      <c r="BE3" s="891"/>
      <c r="BF3" s="891"/>
      <c r="BG3" s="891"/>
      <c r="BH3" s="891"/>
      <c r="BI3" s="891"/>
      <c r="BJ3" s="891"/>
      <c r="BK3" s="891"/>
      <c r="BL3" s="891"/>
      <c r="BM3" s="891"/>
    </row>
    <row r="4" spans="1:65" s="889" customFormat="1" hidden="1" x14ac:dyDescent="0.2">
      <c r="A4" s="426"/>
      <c r="B4" s="426"/>
      <c r="C4" s="426"/>
      <c r="D4" s="426"/>
      <c r="E4" s="426"/>
      <c r="F4" s="426"/>
      <c r="G4" s="426"/>
      <c r="H4" s="426"/>
      <c r="I4" s="427"/>
      <c r="J4" s="427"/>
      <c r="K4" s="891"/>
      <c r="L4" s="891"/>
      <c r="M4" s="891"/>
      <c r="N4" s="891"/>
      <c r="O4" s="891"/>
      <c r="P4" s="891"/>
      <c r="Q4" s="891"/>
      <c r="R4" s="891"/>
      <c r="S4" s="891"/>
      <c r="T4" s="891"/>
      <c r="U4" s="891"/>
      <c r="V4" s="891"/>
      <c r="W4" s="891"/>
      <c r="X4" s="891"/>
      <c r="Y4" s="891"/>
      <c r="Z4" s="891"/>
      <c r="AA4" s="891"/>
      <c r="AB4" s="891"/>
      <c r="AC4" s="891"/>
      <c r="AD4" s="891"/>
      <c r="AE4" s="891"/>
      <c r="AF4" s="891"/>
      <c r="AG4" s="891"/>
      <c r="AH4" s="891"/>
      <c r="AI4" s="891"/>
      <c r="AJ4" s="891"/>
      <c r="AK4" s="891"/>
      <c r="AL4" s="891"/>
      <c r="AM4" s="891"/>
      <c r="AN4" s="891"/>
      <c r="AO4" s="891"/>
      <c r="AP4" s="891"/>
      <c r="AQ4" s="891"/>
      <c r="AR4" s="891"/>
      <c r="AS4" s="891"/>
      <c r="AT4" s="891"/>
      <c r="AU4" s="891"/>
      <c r="AV4" s="891"/>
      <c r="AW4" s="891"/>
      <c r="AX4" s="891"/>
      <c r="AY4" s="891"/>
      <c r="AZ4" s="891"/>
      <c r="BA4" s="891"/>
      <c r="BB4" s="891"/>
      <c r="BC4" s="891"/>
      <c r="BD4" s="891"/>
      <c r="BE4" s="891"/>
      <c r="BF4" s="891"/>
      <c r="BG4" s="891"/>
      <c r="BH4" s="891"/>
      <c r="BI4" s="891"/>
      <c r="BJ4" s="891"/>
      <c r="BK4" s="891"/>
      <c r="BL4" s="891"/>
      <c r="BM4" s="891"/>
    </row>
    <row r="5" spans="1:65" s="889" customFormat="1" hidden="1" x14ac:dyDescent="0.2">
      <c r="A5" s="426"/>
      <c r="B5" s="426"/>
      <c r="C5" s="426"/>
      <c r="D5" s="426"/>
      <c r="E5" s="426"/>
      <c r="F5" s="426"/>
      <c r="G5" s="426"/>
      <c r="H5" s="426"/>
      <c r="I5" s="427"/>
      <c r="J5" s="427"/>
      <c r="K5" s="891"/>
      <c r="L5" s="891"/>
      <c r="M5" s="891"/>
      <c r="N5" s="891"/>
      <c r="O5" s="891"/>
      <c r="P5" s="891"/>
      <c r="Q5" s="891"/>
      <c r="R5" s="891"/>
      <c r="S5" s="891"/>
      <c r="T5" s="891"/>
      <c r="U5" s="891"/>
      <c r="V5" s="891"/>
      <c r="W5" s="891"/>
      <c r="X5" s="891"/>
      <c r="Y5" s="891"/>
      <c r="Z5" s="891"/>
      <c r="AA5" s="891"/>
      <c r="AB5" s="891"/>
      <c r="AC5" s="891"/>
      <c r="AD5" s="891"/>
      <c r="AE5" s="891"/>
      <c r="AF5" s="891"/>
      <c r="AG5" s="891"/>
      <c r="AH5" s="891"/>
      <c r="AI5" s="891"/>
      <c r="AJ5" s="891"/>
      <c r="AK5" s="891"/>
      <c r="AL5" s="891"/>
      <c r="AM5" s="891"/>
      <c r="AN5" s="891"/>
      <c r="AO5" s="891"/>
      <c r="AP5" s="891"/>
      <c r="AQ5" s="891"/>
      <c r="AR5" s="891"/>
      <c r="AS5" s="891"/>
      <c r="AT5" s="891"/>
      <c r="AU5" s="891"/>
      <c r="AV5" s="891"/>
      <c r="AW5" s="891"/>
      <c r="AX5" s="891"/>
      <c r="AY5" s="891"/>
      <c r="AZ5" s="891"/>
      <c r="BA5" s="891"/>
      <c r="BB5" s="891"/>
      <c r="BC5" s="891"/>
      <c r="BD5" s="891"/>
      <c r="BE5" s="891"/>
      <c r="BF5" s="891"/>
      <c r="BG5" s="891"/>
      <c r="BH5" s="891"/>
      <c r="BI5" s="891"/>
      <c r="BJ5" s="891"/>
      <c r="BK5" s="891"/>
      <c r="BL5" s="891"/>
      <c r="BM5" s="891"/>
    </row>
    <row r="6" spans="1:65" s="889" customFormat="1" x14ac:dyDescent="0.2">
      <c r="A6" s="426"/>
      <c r="B6" s="426"/>
      <c r="C6" s="426"/>
      <c r="D6" s="426"/>
      <c r="E6" s="426"/>
      <c r="F6" s="426"/>
      <c r="G6" s="426"/>
      <c r="H6" s="426"/>
      <c r="I6" s="427"/>
      <c r="J6" s="427"/>
      <c r="K6" s="891"/>
      <c r="L6" s="891"/>
      <c r="M6" s="891"/>
      <c r="N6" s="891"/>
      <c r="O6" s="891"/>
      <c r="P6" s="891"/>
      <c r="Q6" s="891"/>
      <c r="R6" s="891"/>
      <c r="S6" s="891"/>
      <c r="T6" s="891"/>
      <c r="U6" s="891"/>
      <c r="V6" s="891"/>
      <c r="W6" s="891"/>
      <c r="X6" s="891"/>
      <c r="Y6" s="891"/>
      <c r="Z6" s="891"/>
      <c r="AA6" s="891"/>
      <c r="AB6" s="891"/>
      <c r="AC6" s="891"/>
      <c r="AD6" s="891"/>
      <c r="AE6" s="891"/>
      <c r="AF6" s="891"/>
      <c r="AG6" s="891"/>
      <c r="AH6" s="891"/>
      <c r="AI6" s="891"/>
      <c r="AJ6" s="891"/>
      <c r="AK6" s="891"/>
      <c r="AL6" s="891"/>
      <c r="AM6" s="891"/>
      <c r="AN6" s="891"/>
      <c r="AO6" s="891"/>
      <c r="AP6" s="891"/>
      <c r="AQ6" s="891"/>
      <c r="AR6" s="891"/>
      <c r="AS6" s="891"/>
      <c r="AT6" s="891"/>
      <c r="AU6" s="891"/>
      <c r="AV6" s="891"/>
      <c r="AW6" s="891"/>
      <c r="AX6" s="891"/>
      <c r="AY6" s="891"/>
      <c r="AZ6" s="891"/>
      <c r="BA6" s="891"/>
      <c r="BB6" s="891"/>
      <c r="BC6" s="891"/>
      <c r="BD6" s="891"/>
      <c r="BE6" s="891"/>
      <c r="BF6" s="891"/>
      <c r="BG6" s="891"/>
      <c r="BH6" s="891"/>
      <c r="BI6" s="891"/>
      <c r="BJ6" s="891"/>
      <c r="BK6" s="891"/>
      <c r="BL6" s="891"/>
      <c r="BM6" s="891"/>
    </row>
    <row r="7" spans="1:65" s="894" customFormat="1" x14ac:dyDescent="0.2">
      <c r="A7" s="428" t="s">
        <v>1628</v>
      </c>
      <c r="B7" s="428"/>
      <c r="C7" s="428"/>
      <c r="D7" s="428"/>
      <c r="E7" s="428"/>
      <c r="F7" s="428"/>
      <c r="G7" s="428"/>
      <c r="H7" s="429"/>
      <c r="I7" s="430"/>
      <c r="J7" s="430"/>
      <c r="K7" s="1209"/>
      <c r="L7" s="1209"/>
      <c r="M7" s="892"/>
      <c r="N7" s="1210"/>
      <c r="O7" s="1210"/>
      <c r="P7" s="1210"/>
      <c r="Q7" s="893"/>
      <c r="R7" s="892"/>
      <c r="S7" s="892"/>
      <c r="T7" s="892"/>
      <c r="U7" s="892"/>
      <c r="V7" s="892"/>
      <c r="W7" s="892"/>
      <c r="X7" s="892"/>
      <c r="Y7" s="892"/>
      <c r="Z7" s="892"/>
      <c r="AA7" s="892"/>
      <c r="AB7" s="892"/>
      <c r="AC7" s="892"/>
      <c r="AD7" s="892"/>
      <c r="AE7" s="892"/>
      <c r="AF7" s="892"/>
      <c r="AG7" s="892"/>
      <c r="AH7" s="892"/>
      <c r="AI7" s="892"/>
      <c r="AJ7" s="892"/>
      <c r="AK7" s="892"/>
      <c r="AL7" s="892"/>
      <c r="AM7" s="892"/>
      <c r="AN7" s="892"/>
      <c r="AO7" s="892"/>
      <c r="AP7" s="892"/>
      <c r="AQ7" s="892"/>
      <c r="AR7" s="892"/>
      <c r="AS7" s="892"/>
      <c r="AT7" s="892"/>
      <c r="AU7" s="892"/>
      <c r="AV7" s="892"/>
      <c r="AW7" s="892"/>
      <c r="AX7" s="892"/>
      <c r="AY7" s="892"/>
      <c r="AZ7" s="892"/>
      <c r="BA7" s="892"/>
      <c r="BB7" s="892"/>
      <c r="BC7" s="892"/>
      <c r="BD7" s="892"/>
      <c r="BE7" s="892"/>
      <c r="BF7" s="892"/>
      <c r="BG7" s="892"/>
      <c r="BH7" s="892"/>
      <c r="BI7" s="892"/>
      <c r="BJ7" s="892"/>
      <c r="BK7" s="892"/>
      <c r="BL7" s="892"/>
      <c r="BM7" s="892"/>
    </row>
    <row r="8" spans="1:65" s="889" customFormat="1" ht="13.5" thickBot="1" x14ac:dyDescent="0.25">
      <c r="A8" s="426"/>
      <c r="B8" s="426"/>
      <c r="C8" s="426"/>
      <c r="D8" s="426"/>
      <c r="E8" s="426"/>
      <c r="F8" s="426"/>
      <c r="G8" s="426"/>
      <c r="H8" s="426"/>
      <c r="I8" s="427"/>
      <c r="J8" s="427"/>
      <c r="K8" s="891"/>
      <c r="L8" s="891"/>
      <c r="M8" s="891"/>
      <c r="N8" s="891"/>
      <c r="O8" s="891"/>
      <c r="P8" s="891"/>
      <c r="Q8" s="891"/>
      <c r="R8" s="891"/>
      <c r="S8" s="891"/>
      <c r="T8" s="891"/>
      <c r="U8" s="891"/>
      <c r="V8" s="891"/>
      <c r="W8" s="891"/>
      <c r="X8" s="891"/>
      <c r="Y8" s="891"/>
      <c r="Z8" s="891"/>
      <c r="AA8" s="891"/>
      <c r="AB8" s="891"/>
      <c r="AC8" s="891"/>
      <c r="AD8" s="891"/>
      <c r="AE8" s="891"/>
      <c r="AF8" s="891"/>
      <c r="AG8" s="891"/>
      <c r="AH8" s="891"/>
      <c r="AI8" s="891"/>
      <c r="AJ8" s="891"/>
      <c r="AK8" s="891"/>
      <c r="AL8" s="891"/>
      <c r="AM8" s="891"/>
      <c r="AN8" s="891"/>
      <c r="AO8" s="891"/>
      <c r="AP8" s="891"/>
      <c r="AQ8" s="891"/>
      <c r="AR8" s="891"/>
      <c r="AS8" s="891"/>
      <c r="AT8" s="891"/>
      <c r="AU8" s="891"/>
      <c r="AV8" s="891"/>
      <c r="AW8" s="891"/>
      <c r="AX8" s="891"/>
      <c r="AY8" s="891"/>
      <c r="AZ8" s="891"/>
      <c r="BA8" s="891"/>
      <c r="BB8" s="891"/>
      <c r="BC8" s="891"/>
      <c r="BD8" s="891"/>
      <c r="BE8" s="891"/>
      <c r="BF8" s="891"/>
      <c r="BG8" s="891"/>
      <c r="BH8" s="891"/>
      <c r="BI8" s="891"/>
      <c r="BJ8" s="891"/>
      <c r="BK8" s="891"/>
      <c r="BL8" s="891"/>
      <c r="BM8" s="891"/>
    </row>
    <row r="9" spans="1:65" s="895" customFormat="1" ht="12" x14ac:dyDescent="0.2">
      <c r="A9" s="431" t="s">
        <v>964</v>
      </c>
      <c r="B9" s="1211" t="s">
        <v>256</v>
      </c>
      <c r="C9" s="1212"/>
      <c r="D9" s="433"/>
      <c r="E9" s="433" t="s">
        <v>1629</v>
      </c>
      <c r="F9" s="426"/>
      <c r="G9" s="432" t="s">
        <v>257</v>
      </c>
      <c r="H9" s="432"/>
      <c r="I9" s="434" t="s">
        <v>1630</v>
      </c>
      <c r="J9" s="435" t="s">
        <v>258</v>
      </c>
      <c r="M9" s="896"/>
      <c r="N9" s="896"/>
      <c r="O9" s="896"/>
      <c r="P9" s="896"/>
      <c r="Q9" s="896"/>
      <c r="R9" s="896"/>
      <c r="S9" s="896"/>
      <c r="T9" s="896"/>
      <c r="U9" s="896"/>
      <c r="V9" s="896"/>
      <c r="W9" s="896"/>
      <c r="X9" s="896"/>
      <c r="Y9" s="896"/>
      <c r="Z9" s="896"/>
      <c r="AA9" s="896"/>
      <c r="AB9" s="896"/>
      <c r="AC9" s="896"/>
      <c r="AD9" s="896"/>
      <c r="AE9" s="896"/>
      <c r="AF9" s="896"/>
      <c r="AG9" s="896"/>
      <c r="AH9" s="896"/>
      <c r="AI9" s="896"/>
      <c r="AJ9" s="896"/>
      <c r="AK9" s="896"/>
      <c r="AL9" s="896"/>
      <c r="AM9" s="896"/>
      <c r="AN9" s="896"/>
      <c r="AO9" s="896"/>
      <c r="AP9" s="896"/>
      <c r="AQ9" s="896"/>
      <c r="AR9" s="896"/>
      <c r="AS9" s="896"/>
      <c r="AT9" s="896"/>
      <c r="AU9" s="896"/>
      <c r="AV9" s="896"/>
      <c r="AW9" s="896"/>
      <c r="AX9" s="896"/>
      <c r="AY9" s="896"/>
      <c r="AZ9" s="896"/>
      <c r="BA9" s="896"/>
      <c r="BB9" s="896"/>
      <c r="BC9" s="896"/>
      <c r="BD9" s="896"/>
      <c r="BE9" s="896"/>
      <c r="BF9" s="896"/>
      <c r="BG9" s="896"/>
      <c r="BH9" s="896"/>
      <c r="BI9" s="896"/>
      <c r="BJ9" s="896"/>
      <c r="BK9" s="896"/>
      <c r="BL9" s="896"/>
      <c r="BM9" s="896"/>
    </row>
    <row r="10" spans="1:65" s="897" customFormat="1" ht="12" x14ac:dyDescent="0.2">
      <c r="A10" s="436" t="s">
        <v>1414</v>
      </c>
      <c r="B10" s="1213" t="s">
        <v>1631</v>
      </c>
      <c r="C10" s="1213"/>
      <c r="D10" s="438"/>
      <c r="E10" s="439"/>
      <c r="F10" s="350"/>
      <c r="G10" s="440" t="s">
        <v>1632</v>
      </c>
      <c r="H10" s="440"/>
      <c r="I10" s="441"/>
      <c r="J10" s="442">
        <f>'IRX-SP'!O33</f>
        <v>0</v>
      </c>
      <c r="M10" s="898"/>
      <c r="N10" s="898"/>
      <c r="O10" s="898"/>
      <c r="P10" s="898"/>
      <c r="Q10" s="898"/>
      <c r="R10" s="898"/>
      <c r="S10" s="898"/>
      <c r="T10" s="898"/>
      <c r="U10" s="898"/>
      <c r="V10" s="898"/>
      <c r="W10" s="898"/>
      <c r="X10" s="898"/>
      <c r="Y10" s="898"/>
      <c r="Z10" s="898"/>
      <c r="AA10" s="898"/>
      <c r="AB10" s="898"/>
      <c r="AC10" s="898"/>
      <c r="AD10" s="898"/>
      <c r="AE10" s="898"/>
      <c r="AF10" s="898"/>
      <c r="AG10" s="898"/>
      <c r="AH10" s="898"/>
      <c r="AI10" s="898"/>
      <c r="AJ10" s="898"/>
      <c r="AK10" s="898"/>
      <c r="AL10" s="898"/>
      <c r="AM10" s="898"/>
      <c r="AN10" s="898"/>
      <c r="AO10" s="898"/>
      <c r="AP10" s="898"/>
      <c r="AQ10" s="898"/>
      <c r="AR10" s="898"/>
      <c r="AS10" s="898"/>
      <c r="AT10" s="898"/>
      <c r="AU10" s="898"/>
      <c r="AV10" s="898"/>
      <c r="AW10" s="898"/>
      <c r="AX10" s="898"/>
      <c r="AY10" s="898"/>
      <c r="AZ10" s="898"/>
      <c r="BA10" s="898"/>
      <c r="BB10" s="898"/>
      <c r="BC10" s="898"/>
      <c r="BD10" s="898"/>
      <c r="BE10" s="898"/>
      <c r="BF10" s="898"/>
      <c r="BG10" s="898"/>
      <c r="BH10" s="898"/>
      <c r="BI10" s="898"/>
      <c r="BJ10" s="898"/>
      <c r="BK10" s="898"/>
      <c r="BL10" s="898"/>
      <c r="BM10" s="898"/>
    </row>
    <row r="11" spans="1:65" s="895" customFormat="1" ht="12" x14ac:dyDescent="0.2">
      <c r="A11" s="443" t="s">
        <v>1426</v>
      </c>
      <c r="B11" s="1214" t="s">
        <v>1633</v>
      </c>
      <c r="C11" s="1214"/>
      <c r="D11" s="445"/>
      <c r="E11" s="446"/>
      <c r="F11" s="426"/>
      <c r="G11" s="444"/>
      <c r="H11" s="444"/>
      <c r="I11" s="447"/>
      <c r="J11" s="448"/>
      <c r="M11" s="896"/>
      <c r="N11" s="896"/>
      <c r="O11" s="896"/>
      <c r="P11" s="896"/>
      <c r="Q11" s="896"/>
      <c r="R11" s="896"/>
      <c r="S11" s="896"/>
      <c r="T11" s="896"/>
      <c r="U11" s="896"/>
      <c r="V11" s="896"/>
      <c r="W11" s="896"/>
      <c r="X11" s="896"/>
      <c r="Y11" s="896"/>
      <c r="Z11" s="896"/>
      <c r="AA11" s="896"/>
      <c r="AB11" s="896"/>
      <c r="AC11" s="896"/>
      <c r="AD11" s="896"/>
      <c r="AE11" s="896"/>
      <c r="AF11" s="896"/>
      <c r="AG11" s="896"/>
      <c r="AH11" s="896"/>
      <c r="AI11" s="896"/>
      <c r="AJ11" s="896"/>
      <c r="AK11" s="896"/>
      <c r="AL11" s="896"/>
      <c r="AM11" s="896"/>
      <c r="AN11" s="896"/>
      <c r="AO11" s="896"/>
      <c r="AP11" s="896"/>
      <c r="AQ11" s="896"/>
      <c r="AR11" s="896"/>
      <c r="AS11" s="896"/>
      <c r="AT11" s="896"/>
      <c r="AU11" s="896"/>
      <c r="AV11" s="896"/>
      <c r="AW11" s="896"/>
      <c r="AX11" s="896"/>
      <c r="AY11" s="896"/>
      <c r="AZ11" s="896"/>
      <c r="BA11" s="896"/>
      <c r="BB11" s="896"/>
      <c r="BC11" s="896"/>
      <c r="BD11" s="896"/>
      <c r="BE11" s="896"/>
      <c r="BF11" s="896"/>
      <c r="BG11" s="896"/>
      <c r="BH11" s="896"/>
      <c r="BI11" s="896"/>
      <c r="BJ11" s="896"/>
      <c r="BK11" s="896"/>
      <c r="BL11" s="896"/>
      <c r="BM11" s="896"/>
    </row>
    <row r="12" spans="1:65" s="895" customFormat="1" ht="12" x14ac:dyDescent="0.2">
      <c r="A12" s="443" t="s">
        <v>272</v>
      </c>
      <c r="B12" s="449" t="s">
        <v>1634</v>
      </c>
      <c r="C12" s="450"/>
      <c r="D12" s="451"/>
      <c r="E12" s="451" t="s">
        <v>1635</v>
      </c>
      <c r="F12" s="426"/>
      <c r="G12" s="450" t="s">
        <v>1636</v>
      </c>
      <c r="H12" s="450"/>
      <c r="I12" s="452">
        <f>'IRX-GMR(PHP)'!Q30</f>
        <v>0</v>
      </c>
      <c r="J12" s="453"/>
      <c r="M12" s="896"/>
      <c r="N12" s="896"/>
      <c r="O12" s="896"/>
      <c r="P12" s="896"/>
      <c r="Q12" s="896"/>
      <c r="R12" s="896"/>
      <c r="S12" s="896"/>
      <c r="T12" s="896"/>
      <c r="U12" s="896"/>
      <c r="V12" s="896"/>
      <c r="W12" s="896"/>
      <c r="X12" s="896"/>
      <c r="Y12" s="896"/>
      <c r="Z12" s="896"/>
      <c r="AA12" s="896"/>
      <c r="AB12" s="896"/>
      <c r="AC12" s="896"/>
      <c r="AD12" s="896"/>
      <c r="AE12" s="896"/>
      <c r="AF12" s="896"/>
      <c r="AG12" s="896"/>
      <c r="AH12" s="896"/>
      <c r="AI12" s="896"/>
      <c r="AJ12" s="896"/>
      <c r="AK12" s="896"/>
      <c r="AL12" s="896"/>
      <c r="AM12" s="896"/>
      <c r="AN12" s="896"/>
      <c r="AO12" s="896"/>
      <c r="AP12" s="896"/>
      <c r="AQ12" s="896"/>
      <c r="AR12" s="896"/>
      <c r="AS12" s="896"/>
      <c r="AT12" s="896"/>
      <c r="AU12" s="896"/>
      <c r="AV12" s="896"/>
      <c r="AW12" s="896"/>
      <c r="AX12" s="896"/>
      <c r="AY12" s="896"/>
      <c r="AZ12" s="896"/>
      <c r="BA12" s="896"/>
      <c r="BB12" s="896"/>
      <c r="BC12" s="896"/>
      <c r="BD12" s="896"/>
      <c r="BE12" s="896"/>
      <c r="BF12" s="896"/>
      <c r="BG12" s="896"/>
      <c r="BH12" s="896"/>
      <c r="BI12" s="896"/>
      <c r="BJ12" s="896"/>
      <c r="BK12" s="896"/>
      <c r="BL12" s="896"/>
      <c r="BM12" s="896"/>
    </row>
    <row r="13" spans="1:65" s="895" customFormat="1" ht="12" x14ac:dyDescent="0.2">
      <c r="A13" s="443" t="s">
        <v>297</v>
      </c>
      <c r="B13" s="449" t="s">
        <v>1637</v>
      </c>
      <c r="C13" s="450"/>
      <c r="D13" s="451"/>
      <c r="E13" s="451" t="s">
        <v>1638</v>
      </c>
      <c r="F13" s="426"/>
      <c r="G13" s="454" t="s">
        <v>1639</v>
      </c>
      <c r="H13" s="454"/>
      <c r="I13" s="452">
        <f>'IRX-GMR(USD)'!Q30</f>
        <v>0</v>
      </c>
      <c r="J13" s="455"/>
      <c r="M13" s="896"/>
      <c r="N13" s="896"/>
      <c r="O13" s="896"/>
      <c r="P13" s="896"/>
      <c r="Q13" s="896"/>
      <c r="R13" s="896"/>
      <c r="S13" s="896"/>
      <c r="T13" s="896"/>
      <c r="U13" s="896"/>
      <c r="V13" s="896"/>
      <c r="W13" s="896"/>
      <c r="X13" s="896"/>
      <c r="Y13" s="896"/>
      <c r="Z13" s="896"/>
      <c r="AA13" s="896"/>
      <c r="AB13" s="896"/>
      <c r="AC13" s="896"/>
      <c r="AD13" s="896"/>
      <c r="AE13" s="896"/>
      <c r="AF13" s="896"/>
      <c r="AG13" s="896"/>
      <c r="AH13" s="896"/>
      <c r="AI13" s="896"/>
      <c r="AJ13" s="896"/>
      <c r="AK13" s="896"/>
      <c r="AL13" s="896"/>
      <c r="AM13" s="896"/>
      <c r="AN13" s="896"/>
      <c r="AO13" s="896"/>
      <c r="AP13" s="896"/>
      <c r="AQ13" s="896"/>
      <c r="AR13" s="896"/>
      <c r="AS13" s="896"/>
      <c r="AT13" s="896"/>
      <c r="AU13" s="896"/>
      <c r="AV13" s="896"/>
      <c r="AW13" s="896"/>
      <c r="AX13" s="896"/>
      <c r="AY13" s="896"/>
      <c r="AZ13" s="896"/>
      <c r="BA13" s="896"/>
      <c r="BB13" s="896"/>
      <c r="BC13" s="896"/>
      <c r="BD13" s="896"/>
      <c r="BE13" s="896"/>
      <c r="BF13" s="896"/>
      <c r="BG13" s="896"/>
      <c r="BH13" s="896"/>
      <c r="BI13" s="896"/>
      <c r="BJ13" s="896"/>
      <c r="BK13" s="896"/>
      <c r="BL13" s="896"/>
      <c r="BM13" s="896"/>
    </row>
    <row r="14" spans="1:65" s="895" customFormat="1" ht="12" x14ac:dyDescent="0.2">
      <c r="A14" s="443" t="s">
        <v>300</v>
      </c>
      <c r="B14" s="449" t="s">
        <v>1640</v>
      </c>
      <c r="C14" s="450"/>
      <c r="D14" s="451"/>
      <c r="E14" s="451" t="s">
        <v>1641</v>
      </c>
      <c r="F14" s="426"/>
      <c r="G14" s="454" t="s">
        <v>1642</v>
      </c>
      <c r="H14" s="454"/>
      <c r="I14" s="452">
        <f>'IRX-GMR(JPY)'!Q30</f>
        <v>0</v>
      </c>
      <c r="J14" s="455"/>
      <c r="M14" s="896"/>
      <c r="N14" s="896"/>
      <c r="O14" s="896"/>
      <c r="P14" s="896"/>
      <c r="Q14" s="896"/>
      <c r="R14" s="896"/>
      <c r="S14" s="896"/>
      <c r="T14" s="896"/>
      <c r="U14" s="896"/>
      <c r="V14" s="896"/>
      <c r="W14" s="896"/>
      <c r="X14" s="896"/>
      <c r="Y14" s="896"/>
      <c r="Z14" s="896"/>
      <c r="AA14" s="896"/>
      <c r="AB14" s="896"/>
      <c r="AC14" s="896"/>
      <c r="AD14" s="896"/>
      <c r="AE14" s="896"/>
      <c r="AF14" s="896"/>
      <c r="AG14" s="896"/>
      <c r="AH14" s="896"/>
      <c r="AI14" s="896"/>
      <c r="AJ14" s="896"/>
      <c r="AK14" s="896"/>
      <c r="AL14" s="896"/>
      <c r="AM14" s="896"/>
      <c r="AN14" s="896"/>
      <c r="AO14" s="896"/>
      <c r="AP14" s="896"/>
      <c r="AQ14" s="896"/>
      <c r="AR14" s="896"/>
      <c r="AS14" s="896"/>
      <c r="AT14" s="896"/>
      <c r="AU14" s="896"/>
      <c r="AV14" s="896"/>
      <c r="AW14" s="896"/>
      <c r="AX14" s="896"/>
      <c r="AY14" s="896"/>
      <c r="AZ14" s="896"/>
      <c r="BA14" s="896"/>
      <c r="BB14" s="896"/>
      <c r="BC14" s="896"/>
      <c r="BD14" s="896"/>
      <c r="BE14" s="896"/>
      <c r="BF14" s="896"/>
      <c r="BG14" s="896"/>
      <c r="BH14" s="896"/>
      <c r="BI14" s="896"/>
      <c r="BJ14" s="896"/>
      <c r="BK14" s="896"/>
      <c r="BL14" s="896"/>
      <c r="BM14" s="896"/>
    </row>
    <row r="15" spans="1:65" s="895" customFormat="1" ht="12" x14ac:dyDescent="0.2">
      <c r="A15" s="443" t="s">
        <v>303</v>
      </c>
      <c r="B15" s="449" t="s">
        <v>1643</v>
      </c>
      <c r="C15" s="450"/>
      <c r="D15" s="451"/>
      <c r="E15" s="451" t="s">
        <v>1644</v>
      </c>
      <c r="F15" s="426"/>
      <c r="G15" s="454" t="s">
        <v>1645</v>
      </c>
      <c r="H15" s="454"/>
      <c r="I15" s="452">
        <f>'IRX-GMR(CHF)'!Q30</f>
        <v>0</v>
      </c>
      <c r="J15" s="455"/>
      <c r="M15" s="896"/>
      <c r="N15" s="896"/>
      <c r="O15" s="896"/>
      <c r="P15" s="896"/>
      <c r="Q15" s="896"/>
      <c r="R15" s="896"/>
      <c r="S15" s="896"/>
      <c r="T15" s="896"/>
      <c r="U15" s="896"/>
      <c r="V15" s="896"/>
      <c r="W15" s="896"/>
      <c r="X15" s="896"/>
      <c r="Y15" s="896"/>
      <c r="Z15" s="896"/>
      <c r="AA15" s="896"/>
      <c r="AB15" s="896"/>
      <c r="AC15" s="896"/>
      <c r="AD15" s="896"/>
      <c r="AE15" s="896"/>
      <c r="AF15" s="896"/>
      <c r="AG15" s="896"/>
      <c r="AH15" s="896"/>
      <c r="AI15" s="896"/>
      <c r="AJ15" s="896"/>
      <c r="AK15" s="896"/>
      <c r="AL15" s="896"/>
      <c r="AM15" s="896"/>
      <c r="AN15" s="896"/>
      <c r="AO15" s="896"/>
      <c r="AP15" s="896"/>
      <c r="AQ15" s="896"/>
      <c r="AR15" s="896"/>
      <c r="AS15" s="896"/>
      <c r="AT15" s="896"/>
      <c r="AU15" s="896"/>
      <c r="AV15" s="896"/>
      <c r="AW15" s="896"/>
      <c r="AX15" s="896"/>
      <c r="AY15" s="896"/>
      <c r="AZ15" s="896"/>
      <c r="BA15" s="896"/>
      <c r="BB15" s="896"/>
      <c r="BC15" s="896"/>
      <c r="BD15" s="896"/>
      <c r="BE15" s="896"/>
      <c r="BF15" s="896"/>
      <c r="BG15" s="896"/>
      <c r="BH15" s="896"/>
      <c r="BI15" s="896"/>
      <c r="BJ15" s="896"/>
      <c r="BK15" s="896"/>
      <c r="BL15" s="896"/>
      <c r="BM15" s="896"/>
    </row>
    <row r="16" spans="1:65" s="895" customFormat="1" ht="12" x14ac:dyDescent="0.2">
      <c r="A16" s="443" t="s">
        <v>445</v>
      </c>
      <c r="B16" s="449" t="s">
        <v>1646</v>
      </c>
      <c r="C16" s="450"/>
      <c r="D16" s="451"/>
      <c r="E16" s="451" t="s">
        <v>1647</v>
      </c>
      <c r="F16" s="426"/>
      <c r="G16" s="454" t="s">
        <v>1648</v>
      </c>
      <c r="H16" s="454"/>
      <c r="I16" s="452">
        <f>'IRX-GMR(GBP)'!Q30</f>
        <v>0</v>
      </c>
      <c r="J16" s="455"/>
      <c r="M16" s="896"/>
      <c r="N16" s="896"/>
      <c r="O16" s="896"/>
      <c r="P16" s="896"/>
      <c r="Q16" s="896"/>
      <c r="R16" s="896"/>
      <c r="S16" s="896"/>
      <c r="T16" s="896"/>
      <c r="U16" s="896"/>
      <c r="V16" s="896"/>
      <c r="W16" s="896"/>
      <c r="X16" s="896"/>
      <c r="Y16" s="896"/>
      <c r="Z16" s="896"/>
      <c r="AA16" s="896"/>
      <c r="AB16" s="896"/>
      <c r="AC16" s="896"/>
      <c r="AD16" s="896"/>
      <c r="AE16" s="896"/>
      <c r="AF16" s="896"/>
      <c r="AG16" s="896"/>
      <c r="AH16" s="896"/>
      <c r="AI16" s="896"/>
      <c r="AJ16" s="896"/>
      <c r="AK16" s="896"/>
      <c r="AL16" s="896"/>
      <c r="AM16" s="896"/>
      <c r="AN16" s="896"/>
      <c r="AO16" s="896"/>
      <c r="AP16" s="896"/>
      <c r="AQ16" s="896"/>
      <c r="AR16" s="896"/>
      <c r="AS16" s="896"/>
      <c r="AT16" s="896"/>
      <c r="AU16" s="896"/>
      <c r="AV16" s="896"/>
      <c r="AW16" s="896"/>
      <c r="AX16" s="896"/>
      <c r="AY16" s="896"/>
      <c r="AZ16" s="896"/>
      <c r="BA16" s="896"/>
      <c r="BB16" s="896"/>
      <c r="BC16" s="896"/>
      <c r="BD16" s="896"/>
      <c r="BE16" s="896"/>
      <c r="BF16" s="896"/>
      <c r="BG16" s="896"/>
      <c r="BH16" s="896"/>
      <c r="BI16" s="896"/>
      <c r="BJ16" s="896"/>
      <c r="BK16" s="896"/>
      <c r="BL16" s="896"/>
      <c r="BM16" s="896"/>
    </row>
    <row r="17" spans="1:65" s="895" customFormat="1" ht="12" x14ac:dyDescent="0.2">
      <c r="A17" s="443" t="s">
        <v>453</v>
      </c>
      <c r="B17" s="456" t="s">
        <v>1649</v>
      </c>
      <c r="C17" s="457"/>
      <c r="D17" s="451"/>
      <c r="E17" s="451" t="s">
        <v>1650</v>
      </c>
      <c r="F17" s="426"/>
      <c r="G17" s="454" t="s">
        <v>1651</v>
      </c>
      <c r="H17" s="454"/>
      <c r="I17" s="452">
        <f>'IRX-GMR(EUR)'!Q30</f>
        <v>0</v>
      </c>
      <c r="J17" s="455"/>
      <c r="M17" s="896"/>
      <c r="N17" s="896"/>
      <c r="O17" s="896"/>
      <c r="P17" s="896"/>
      <c r="Q17" s="896"/>
      <c r="R17" s="896"/>
      <c r="S17" s="896"/>
      <c r="T17" s="896"/>
      <c r="U17" s="896"/>
      <c r="V17" s="896"/>
      <c r="W17" s="896"/>
      <c r="X17" s="896"/>
      <c r="Y17" s="896"/>
      <c r="Z17" s="896"/>
      <c r="AA17" s="896"/>
      <c r="AB17" s="896"/>
      <c r="AC17" s="896"/>
      <c r="AD17" s="896"/>
      <c r="AE17" s="896"/>
      <c r="AF17" s="896"/>
      <c r="AG17" s="896"/>
      <c r="AH17" s="896"/>
      <c r="AI17" s="896"/>
      <c r="AJ17" s="896"/>
      <c r="AK17" s="896"/>
      <c r="AL17" s="896"/>
      <c r="AM17" s="896"/>
      <c r="AN17" s="896"/>
      <c r="AO17" s="896"/>
      <c r="AP17" s="896"/>
      <c r="AQ17" s="896"/>
      <c r="AR17" s="896"/>
      <c r="AS17" s="896"/>
      <c r="AT17" s="896"/>
      <c r="AU17" s="896"/>
      <c r="AV17" s="896"/>
      <c r="AW17" s="896"/>
      <c r="AX17" s="896"/>
      <c r="AY17" s="896"/>
      <c r="AZ17" s="896"/>
      <c r="BA17" s="896"/>
      <c r="BB17" s="896"/>
      <c r="BC17" s="896"/>
      <c r="BD17" s="896"/>
      <c r="BE17" s="896"/>
      <c r="BF17" s="896"/>
      <c r="BG17" s="896"/>
      <c r="BH17" s="896"/>
      <c r="BI17" s="896"/>
      <c r="BJ17" s="896"/>
      <c r="BK17" s="896"/>
      <c r="BL17" s="896"/>
      <c r="BM17" s="896"/>
    </row>
    <row r="18" spans="1:65" s="895" customFormat="1" ht="12" x14ac:dyDescent="0.2">
      <c r="A18" s="443" t="s">
        <v>456</v>
      </c>
      <c r="B18" s="449" t="s">
        <v>1652</v>
      </c>
      <c r="C18" s="450"/>
      <c r="D18" s="451"/>
      <c r="E18" s="451" t="s">
        <v>1653</v>
      </c>
      <c r="F18" s="426"/>
      <c r="G18" s="454" t="s">
        <v>1654</v>
      </c>
      <c r="H18" s="454"/>
      <c r="I18" s="452">
        <f>'IRX-GMR(CAD)'!Q30</f>
        <v>0</v>
      </c>
      <c r="J18" s="455"/>
      <c r="M18" s="896"/>
      <c r="N18" s="896"/>
      <c r="O18" s="896"/>
      <c r="P18" s="896"/>
      <c r="Q18" s="896"/>
      <c r="R18" s="896"/>
      <c r="S18" s="896"/>
      <c r="T18" s="896"/>
      <c r="U18" s="896"/>
      <c r="V18" s="896"/>
      <c r="W18" s="896"/>
      <c r="X18" s="896"/>
      <c r="Y18" s="896"/>
      <c r="Z18" s="896"/>
      <c r="AA18" s="896"/>
      <c r="AB18" s="896"/>
      <c r="AC18" s="896"/>
      <c r="AD18" s="896"/>
      <c r="AE18" s="896"/>
      <c r="AF18" s="896"/>
      <c r="AG18" s="896"/>
      <c r="AH18" s="896"/>
      <c r="AI18" s="896"/>
      <c r="AJ18" s="896"/>
      <c r="AK18" s="896"/>
      <c r="AL18" s="896"/>
      <c r="AM18" s="896"/>
      <c r="AN18" s="896"/>
      <c r="AO18" s="896"/>
      <c r="AP18" s="896"/>
      <c r="AQ18" s="896"/>
      <c r="AR18" s="896"/>
      <c r="AS18" s="896"/>
      <c r="AT18" s="896"/>
      <c r="AU18" s="896"/>
      <c r="AV18" s="896"/>
      <c r="AW18" s="896"/>
      <c r="AX18" s="896"/>
      <c r="AY18" s="896"/>
      <c r="AZ18" s="896"/>
      <c r="BA18" s="896"/>
      <c r="BB18" s="896"/>
      <c r="BC18" s="896"/>
      <c r="BD18" s="896"/>
      <c r="BE18" s="896"/>
      <c r="BF18" s="896"/>
      <c r="BG18" s="896"/>
      <c r="BH18" s="896"/>
      <c r="BI18" s="896"/>
      <c r="BJ18" s="896"/>
      <c r="BK18" s="896"/>
      <c r="BL18" s="896"/>
      <c r="BM18" s="896"/>
    </row>
    <row r="19" spans="1:65" s="895" customFormat="1" ht="12" x14ac:dyDescent="0.2">
      <c r="A19" s="443" t="s">
        <v>459</v>
      </c>
      <c r="B19" s="449" t="s">
        <v>1655</v>
      </c>
      <c r="C19" s="450"/>
      <c r="D19" s="451"/>
      <c r="E19" s="451" t="s">
        <v>1656</v>
      </c>
      <c r="F19" s="426"/>
      <c r="G19" s="454" t="s">
        <v>1657</v>
      </c>
      <c r="H19" s="454"/>
      <c r="I19" s="452">
        <f>'IRX-GMR(AUD)'!Q30</f>
        <v>0</v>
      </c>
      <c r="J19" s="455"/>
      <c r="M19" s="896"/>
      <c r="N19" s="896"/>
      <c r="O19" s="896"/>
      <c r="P19" s="896"/>
      <c r="Q19" s="896"/>
      <c r="R19" s="896"/>
      <c r="S19" s="896"/>
      <c r="T19" s="896"/>
      <c r="U19" s="896"/>
      <c r="V19" s="896"/>
      <c r="W19" s="896"/>
      <c r="X19" s="896"/>
      <c r="Y19" s="896"/>
      <c r="Z19" s="896"/>
      <c r="AA19" s="896"/>
      <c r="AB19" s="896"/>
      <c r="AC19" s="896"/>
      <c r="AD19" s="896"/>
      <c r="AE19" s="896"/>
      <c r="AF19" s="896"/>
      <c r="AG19" s="896"/>
      <c r="AH19" s="896"/>
      <c r="AI19" s="896"/>
      <c r="AJ19" s="896"/>
      <c r="AK19" s="896"/>
      <c r="AL19" s="896"/>
      <c r="AM19" s="896"/>
      <c r="AN19" s="896"/>
      <c r="AO19" s="896"/>
      <c r="AP19" s="896"/>
      <c r="AQ19" s="896"/>
      <c r="AR19" s="896"/>
      <c r="AS19" s="896"/>
      <c r="AT19" s="896"/>
      <c r="AU19" s="896"/>
      <c r="AV19" s="896"/>
      <c r="AW19" s="896"/>
      <c r="AX19" s="896"/>
      <c r="AY19" s="896"/>
      <c r="AZ19" s="896"/>
      <c r="BA19" s="896"/>
      <c r="BB19" s="896"/>
      <c r="BC19" s="896"/>
      <c r="BD19" s="896"/>
      <c r="BE19" s="896"/>
      <c r="BF19" s="896"/>
      <c r="BG19" s="896"/>
      <c r="BH19" s="896"/>
      <c r="BI19" s="896"/>
      <c r="BJ19" s="896"/>
      <c r="BK19" s="896"/>
      <c r="BL19" s="896"/>
      <c r="BM19" s="896"/>
    </row>
    <row r="20" spans="1:65" s="895" customFormat="1" ht="12" x14ac:dyDescent="0.2">
      <c r="A20" s="443" t="s">
        <v>462</v>
      </c>
      <c r="B20" s="449" t="s">
        <v>1658</v>
      </c>
      <c r="C20" s="450"/>
      <c r="D20" s="451"/>
      <c r="E20" s="451" t="s">
        <v>1659</v>
      </c>
      <c r="F20" s="426"/>
      <c r="G20" s="454" t="s">
        <v>1660</v>
      </c>
      <c r="H20" s="454"/>
      <c r="I20" s="452">
        <f>'IRX-GMR(SGD)'!Q30</f>
        <v>0</v>
      </c>
      <c r="J20" s="455"/>
      <c r="M20" s="896"/>
      <c r="N20" s="896"/>
      <c r="O20" s="896"/>
      <c r="P20" s="896"/>
      <c r="Q20" s="896"/>
      <c r="R20" s="896"/>
      <c r="S20" s="896"/>
      <c r="T20" s="896"/>
      <c r="U20" s="896"/>
      <c r="V20" s="896"/>
      <c r="W20" s="896"/>
      <c r="X20" s="896"/>
      <c r="Y20" s="896"/>
      <c r="Z20" s="896"/>
      <c r="AA20" s="896"/>
      <c r="AB20" s="896"/>
      <c r="AC20" s="896"/>
      <c r="AD20" s="896"/>
      <c r="AE20" s="896"/>
      <c r="AF20" s="896"/>
      <c r="AG20" s="896"/>
      <c r="AH20" s="896"/>
      <c r="AI20" s="896"/>
      <c r="AJ20" s="896"/>
      <c r="AK20" s="896"/>
      <c r="AL20" s="896"/>
      <c r="AM20" s="896"/>
      <c r="AN20" s="896"/>
      <c r="AO20" s="896"/>
      <c r="AP20" s="896"/>
      <c r="AQ20" s="896"/>
      <c r="AR20" s="896"/>
      <c r="AS20" s="896"/>
      <c r="AT20" s="896"/>
      <c r="AU20" s="896"/>
      <c r="AV20" s="896"/>
      <c r="AW20" s="896"/>
      <c r="AX20" s="896"/>
      <c r="AY20" s="896"/>
      <c r="AZ20" s="896"/>
      <c r="BA20" s="896"/>
      <c r="BB20" s="896"/>
      <c r="BC20" s="896"/>
      <c r="BD20" s="896"/>
      <c r="BE20" s="896"/>
      <c r="BF20" s="896"/>
      <c r="BG20" s="896"/>
      <c r="BH20" s="896"/>
      <c r="BI20" s="896"/>
      <c r="BJ20" s="896"/>
      <c r="BK20" s="896"/>
      <c r="BL20" s="896"/>
      <c r="BM20" s="896"/>
    </row>
    <row r="21" spans="1:65" s="895" customFormat="1" ht="12" x14ac:dyDescent="0.2">
      <c r="A21" s="443" t="s">
        <v>1661</v>
      </c>
      <c r="B21" s="449" t="s">
        <v>1662</v>
      </c>
      <c r="C21" s="450"/>
      <c r="D21" s="458"/>
      <c r="E21" s="458"/>
      <c r="F21" s="426"/>
      <c r="G21" s="454" t="s">
        <v>1663</v>
      </c>
      <c r="H21" s="454"/>
      <c r="I21" s="459"/>
      <c r="J21" s="460"/>
      <c r="M21" s="896"/>
      <c r="N21" s="896"/>
      <c r="O21" s="896"/>
      <c r="P21" s="896"/>
      <c r="Q21" s="896"/>
      <c r="R21" s="896"/>
      <c r="S21" s="896"/>
      <c r="T21" s="896"/>
      <c r="U21" s="896"/>
      <c r="V21" s="896"/>
      <c r="W21" s="896"/>
      <c r="X21" s="896"/>
      <c r="Y21" s="896"/>
      <c r="Z21" s="896"/>
      <c r="AA21" s="896"/>
      <c r="AB21" s="896"/>
      <c r="AC21" s="896"/>
      <c r="AD21" s="896"/>
      <c r="AE21" s="896"/>
      <c r="AF21" s="896"/>
      <c r="AG21" s="896"/>
      <c r="AH21" s="896"/>
      <c r="AI21" s="896"/>
      <c r="AJ21" s="896"/>
      <c r="AK21" s="896"/>
      <c r="AL21" s="896"/>
      <c r="AM21" s="896"/>
      <c r="AN21" s="896"/>
      <c r="AO21" s="896"/>
      <c r="AP21" s="896"/>
      <c r="AQ21" s="896"/>
      <c r="AR21" s="896"/>
      <c r="AS21" s="896"/>
      <c r="AT21" s="896"/>
      <c r="AU21" s="896"/>
      <c r="AV21" s="896"/>
      <c r="AW21" s="896"/>
      <c r="AX21" s="896"/>
      <c r="AY21" s="896"/>
      <c r="AZ21" s="896"/>
      <c r="BA21" s="896"/>
      <c r="BB21" s="896"/>
      <c r="BC21" s="896"/>
      <c r="BD21" s="896"/>
      <c r="BE21" s="896"/>
      <c r="BF21" s="896"/>
      <c r="BG21" s="896"/>
      <c r="BH21" s="896"/>
      <c r="BI21" s="896"/>
      <c r="BJ21" s="896"/>
      <c r="BK21" s="896"/>
      <c r="BL21" s="896"/>
      <c r="BM21" s="896"/>
    </row>
    <row r="22" spans="1:65" s="897" customFormat="1" ht="12" x14ac:dyDescent="0.2">
      <c r="A22" s="436" t="s">
        <v>1664</v>
      </c>
      <c r="B22" s="461" t="s">
        <v>1665</v>
      </c>
      <c r="C22" s="461"/>
      <c r="D22" s="439"/>
      <c r="E22" s="439"/>
      <c r="F22" s="350"/>
      <c r="G22" s="462" t="s">
        <v>1666</v>
      </c>
      <c r="H22" s="463"/>
      <c r="I22" s="441"/>
      <c r="J22" s="464">
        <f>SUM(I12:I21)</f>
        <v>0</v>
      </c>
      <c r="M22" s="898"/>
      <c r="N22" s="898"/>
      <c r="O22" s="898"/>
      <c r="P22" s="898"/>
      <c r="Q22" s="898"/>
      <c r="R22" s="898"/>
      <c r="S22" s="898"/>
      <c r="T22" s="898"/>
      <c r="U22" s="898"/>
      <c r="V22" s="898"/>
      <c r="W22" s="898"/>
      <c r="X22" s="898"/>
      <c r="Y22" s="898"/>
      <c r="Z22" s="898"/>
      <c r="AA22" s="898"/>
      <c r="AB22" s="898"/>
      <c r="AC22" s="898"/>
      <c r="AD22" s="898"/>
      <c r="AE22" s="898"/>
      <c r="AF22" s="898"/>
      <c r="AG22" s="898"/>
      <c r="AH22" s="898"/>
      <c r="AI22" s="898"/>
      <c r="AJ22" s="898"/>
      <c r="AK22" s="898"/>
      <c r="AL22" s="898"/>
      <c r="AM22" s="898"/>
      <c r="AN22" s="898"/>
      <c r="AO22" s="898"/>
      <c r="AP22" s="898"/>
      <c r="AQ22" s="898"/>
      <c r="AR22" s="898"/>
      <c r="AS22" s="898"/>
      <c r="AT22" s="898"/>
      <c r="AU22" s="898"/>
      <c r="AV22" s="898"/>
      <c r="AW22" s="898"/>
      <c r="AX22" s="898"/>
      <c r="AY22" s="898"/>
      <c r="AZ22" s="898"/>
      <c r="BA22" s="898"/>
      <c r="BB22" s="898"/>
      <c r="BC22" s="898"/>
      <c r="BD22" s="898"/>
      <c r="BE22" s="898"/>
      <c r="BF22" s="898"/>
      <c r="BG22" s="898"/>
      <c r="BH22" s="898"/>
      <c r="BI22" s="898"/>
      <c r="BJ22" s="898"/>
      <c r="BK22" s="898"/>
      <c r="BL22" s="898"/>
      <c r="BM22" s="898"/>
    </row>
    <row r="23" spans="1:65" s="897" customFormat="1" ht="25.5" customHeight="1" x14ac:dyDescent="0.2">
      <c r="A23" s="465" t="s">
        <v>1438</v>
      </c>
      <c r="B23" s="1215" t="s">
        <v>1667</v>
      </c>
      <c r="C23" s="1216"/>
      <c r="D23" s="439"/>
      <c r="E23" s="439"/>
      <c r="F23" s="350"/>
      <c r="G23" s="466" t="s">
        <v>1668</v>
      </c>
      <c r="H23" s="467"/>
      <c r="I23" s="441"/>
      <c r="J23" s="468">
        <f>J10+J22</f>
        <v>0</v>
      </c>
      <c r="M23" s="898"/>
      <c r="N23" s="898"/>
      <c r="O23" s="898"/>
      <c r="P23" s="898"/>
      <c r="Q23" s="898"/>
      <c r="R23" s="898"/>
      <c r="S23" s="898"/>
      <c r="T23" s="898"/>
      <c r="U23" s="898"/>
      <c r="V23" s="898"/>
      <c r="W23" s="898"/>
      <c r="X23" s="898"/>
      <c r="Y23" s="898"/>
      <c r="Z23" s="898"/>
      <c r="AA23" s="898"/>
      <c r="AB23" s="898"/>
      <c r="AC23" s="898"/>
      <c r="AD23" s="898"/>
      <c r="AE23" s="898"/>
      <c r="AF23" s="898"/>
      <c r="AG23" s="898"/>
      <c r="AH23" s="898"/>
      <c r="AI23" s="898"/>
      <c r="AJ23" s="898"/>
      <c r="AK23" s="898"/>
      <c r="AL23" s="898"/>
      <c r="AM23" s="898"/>
      <c r="AN23" s="898"/>
      <c r="AO23" s="898"/>
      <c r="AP23" s="898"/>
      <c r="AQ23" s="898"/>
      <c r="AR23" s="898"/>
      <c r="AS23" s="898"/>
      <c r="AT23" s="898"/>
      <c r="AU23" s="898"/>
      <c r="AV23" s="898"/>
      <c r="AW23" s="898"/>
      <c r="AX23" s="898"/>
      <c r="AY23" s="898"/>
      <c r="AZ23" s="898"/>
      <c r="BA23" s="898"/>
      <c r="BB23" s="898"/>
      <c r="BC23" s="898"/>
      <c r="BD23" s="898"/>
      <c r="BE23" s="898"/>
      <c r="BF23" s="898"/>
      <c r="BG23" s="898"/>
      <c r="BH23" s="898"/>
      <c r="BI23" s="898"/>
      <c r="BJ23" s="898"/>
      <c r="BK23" s="898"/>
      <c r="BL23" s="898"/>
      <c r="BM23" s="898"/>
    </row>
    <row r="24" spans="1:65" s="895" customFormat="1" ht="25.5" customHeight="1" x14ac:dyDescent="0.2">
      <c r="A24" s="469" t="s">
        <v>816</v>
      </c>
      <c r="B24" s="1205" t="s">
        <v>101</v>
      </c>
      <c r="C24" s="1206"/>
      <c r="D24" s="446"/>
      <c r="E24" s="446"/>
      <c r="F24" s="426"/>
      <c r="G24" s="470" t="s">
        <v>102</v>
      </c>
      <c r="H24" s="470"/>
      <c r="I24" s="471"/>
      <c r="J24" s="472">
        <f>J23*1.25</f>
        <v>0</v>
      </c>
      <c r="M24" s="896"/>
      <c r="N24" s="896"/>
      <c r="O24" s="896"/>
      <c r="P24" s="896"/>
      <c r="Q24" s="896"/>
      <c r="R24" s="896"/>
      <c r="S24" s="896"/>
      <c r="T24" s="896"/>
      <c r="U24" s="896"/>
      <c r="V24" s="896"/>
      <c r="W24" s="896"/>
      <c r="X24" s="896"/>
      <c r="Y24" s="896"/>
      <c r="Z24" s="896"/>
      <c r="AA24" s="896"/>
      <c r="AB24" s="896"/>
      <c r="AC24" s="896"/>
      <c r="AD24" s="896"/>
      <c r="AE24" s="896"/>
      <c r="AF24" s="896"/>
      <c r="AG24" s="896"/>
      <c r="AH24" s="896"/>
      <c r="AI24" s="896"/>
      <c r="AJ24" s="896"/>
      <c r="AK24" s="896"/>
      <c r="AL24" s="896"/>
      <c r="AM24" s="896"/>
      <c r="AN24" s="896"/>
      <c r="AO24" s="896"/>
      <c r="AP24" s="896"/>
      <c r="AQ24" s="896"/>
      <c r="AR24" s="896"/>
      <c r="AS24" s="896"/>
      <c r="AT24" s="896"/>
      <c r="AU24" s="896"/>
      <c r="AV24" s="896"/>
      <c r="AW24" s="896"/>
      <c r="AX24" s="896"/>
      <c r="AY24" s="896"/>
      <c r="AZ24" s="896"/>
      <c r="BA24" s="896"/>
      <c r="BB24" s="896"/>
      <c r="BC24" s="896"/>
      <c r="BD24" s="896"/>
      <c r="BE24" s="896"/>
      <c r="BF24" s="896"/>
      <c r="BG24" s="896"/>
      <c r="BH24" s="896"/>
      <c r="BI24" s="896"/>
      <c r="BJ24" s="896"/>
      <c r="BK24" s="896"/>
      <c r="BL24" s="896"/>
      <c r="BM24" s="896"/>
    </row>
    <row r="25" spans="1:65" s="895" customFormat="1" thickBot="1" x14ac:dyDescent="0.25">
      <c r="A25" s="473" t="s">
        <v>486</v>
      </c>
      <c r="B25" s="1207" t="s">
        <v>103</v>
      </c>
      <c r="C25" s="1208"/>
      <c r="D25" s="474"/>
      <c r="E25" s="474"/>
      <c r="F25" s="426"/>
      <c r="G25" s="475" t="s">
        <v>1615</v>
      </c>
      <c r="H25" s="475"/>
      <c r="I25" s="476"/>
      <c r="J25" s="477">
        <f>J24*10</f>
        <v>0</v>
      </c>
      <c r="M25" s="896"/>
      <c r="N25" s="896"/>
      <c r="O25" s="896"/>
      <c r="P25" s="896"/>
      <c r="Q25" s="896"/>
      <c r="R25" s="896"/>
      <c r="S25" s="896"/>
      <c r="T25" s="896"/>
      <c r="U25" s="896"/>
      <c r="V25" s="896"/>
      <c r="W25" s="896"/>
      <c r="X25" s="896"/>
      <c r="Y25" s="896"/>
      <c r="Z25" s="896"/>
      <c r="AA25" s="896"/>
      <c r="AB25" s="896"/>
      <c r="AC25" s="896"/>
      <c r="AD25" s="896"/>
      <c r="AE25" s="896"/>
      <c r="AF25" s="896"/>
      <c r="AG25" s="896"/>
      <c r="AH25" s="896"/>
      <c r="AI25" s="896"/>
      <c r="AJ25" s="896"/>
      <c r="AK25" s="896"/>
      <c r="AL25" s="896"/>
      <c r="AM25" s="896"/>
      <c r="AN25" s="896"/>
      <c r="AO25" s="896"/>
      <c r="AP25" s="896"/>
      <c r="AQ25" s="896"/>
      <c r="AR25" s="896"/>
      <c r="AS25" s="896"/>
      <c r="AT25" s="896"/>
      <c r="AU25" s="896"/>
      <c r="AV25" s="896"/>
      <c r="AW25" s="896"/>
      <c r="AX25" s="896"/>
      <c r="AY25" s="896"/>
      <c r="AZ25" s="896"/>
      <c r="BA25" s="896"/>
      <c r="BB25" s="896"/>
      <c r="BC25" s="896"/>
      <c r="BD25" s="896"/>
      <c r="BE25" s="896"/>
      <c r="BF25" s="896"/>
      <c r="BG25" s="896"/>
      <c r="BH25" s="896"/>
      <c r="BI25" s="896"/>
      <c r="BJ25" s="896"/>
      <c r="BK25" s="896"/>
      <c r="BL25" s="896"/>
      <c r="BM25" s="896"/>
    </row>
    <row r="26" spans="1:65" s="889" customFormat="1" x14ac:dyDescent="0.2">
      <c r="A26" s="426"/>
      <c r="B26" s="426"/>
      <c r="C26" s="426"/>
      <c r="D26" s="426"/>
      <c r="E26" s="426"/>
      <c r="F26" s="426"/>
      <c r="G26" s="478" t="s">
        <v>309</v>
      </c>
      <c r="H26" s="426"/>
      <c r="I26" s="427"/>
      <c r="J26" s="427"/>
      <c r="K26" s="891"/>
      <c r="L26" s="891"/>
      <c r="M26" s="891"/>
      <c r="N26" s="891"/>
      <c r="O26" s="891"/>
      <c r="P26" s="891"/>
      <c r="Q26" s="891"/>
      <c r="R26" s="891"/>
      <c r="S26" s="891"/>
      <c r="T26" s="891"/>
      <c r="U26" s="891"/>
      <c r="V26" s="891"/>
      <c r="W26" s="891"/>
      <c r="X26" s="891"/>
      <c r="Y26" s="891"/>
      <c r="Z26" s="891"/>
      <c r="AA26" s="891"/>
      <c r="AB26" s="891"/>
      <c r="AC26" s="891"/>
      <c r="AD26" s="891"/>
      <c r="AE26" s="891"/>
      <c r="AF26" s="891"/>
      <c r="AG26" s="891"/>
      <c r="AH26" s="891"/>
      <c r="AI26" s="891"/>
      <c r="AJ26" s="891"/>
      <c r="AK26" s="891"/>
      <c r="AL26" s="891"/>
      <c r="AM26" s="891"/>
      <c r="AN26" s="891"/>
      <c r="AO26" s="891"/>
      <c r="AP26" s="891"/>
      <c r="AQ26" s="891"/>
      <c r="AR26" s="891"/>
      <c r="AS26" s="891"/>
      <c r="AT26" s="891"/>
      <c r="AU26" s="891"/>
      <c r="AV26" s="891"/>
      <c r="AW26" s="891"/>
      <c r="AX26" s="891"/>
      <c r="AY26" s="891"/>
      <c r="AZ26" s="891"/>
      <c r="BA26" s="891"/>
      <c r="BB26" s="891"/>
      <c r="BC26" s="891"/>
      <c r="BD26" s="891"/>
      <c r="BE26" s="891"/>
      <c r="BF26" s="891"/>
      <c r="BG26" s="891"/>
      <c r="BH26" s="891"/>
      <c r="BI26" s="891"/>
      <c r="BJ26" s="891"/>
      <c r="BK26" s="891"/>
      <c r="BL26" s="891"/>
      <c r="BM26" s="891"/>
    </row>
    <row r="27" spans="1:65" s="889" customFormat="1" x14ac:dyDescent="0.2">
      <c r="A27" s="479" t="s">
        <v>494</v>
      </c>
      <c r="B27" s="426" t="s">
        <v>104</v>
      </c>
      <c r="C27" s="426"/>
      <c r="D27" s="426"/>
      <c r="E27" s="426"/>
      <c r="F27" s="426"/>
      <c r="G27" s="426"/>
      <c r="H27" s="426"/>
      <c r="I27" s="427"/>
      <c r="J27" s="427"/>
      <c r="K27" s="891"/>
      <c r="L27" s="891"/>
      <c r="M27" s="891"/>
      <c r="N27" s="891"/>
      <c r="O27" s="891"/>
      <c r="P27" s="891"/>
      <c r="Q27" s="891"/>
      <c r="R27" s="891"/>
      <c r="S27" s="891"/>
      <c r="T27" s="891"/>
      <c r="U27" s="891"/>
      <c r="V27" s="891"/>
      <c r="W27" s="891"/>
      <c r="X27" s="891"/>
      <c r="Y27" s="891"/>
      <c r="Z27" s="891"/>
      <c r="AA27" s="891"/>
      <c r="AB27" s="891"/>
      <c r="AC27" s="891"/>
      <c r="AD27" s="891"/>
      <c r="AE27" s="891"/>
      <c r="AF27" s="891"/>
      <c r="AG27" s="891"/>
      <c r="AH27" s="891"/>
      <c r="AI27" s="891"/>
      <c r="AJ27" s="891"/>
      <c r="AK27" s="891"/>
      <c r="AL27" s="891"/>
      <c r="AM27" s="891"/>
      <c r="AN27" s="891"/>
      <c r="AO27" s="891"/>
      <c r="AP27" s="891"/>
      <c r="AQ27" s="891"/>
      <c r="AR27" s="891"/>
      <c r="AS27" s="891"/>
      <c r="AT27" s="891"/>
      <c r="AU27" s="891"/>
      <c r="AV27" s="891"/>
      <c r="AW27" s="891"/>
      <c r="AX27" s="891"/>
      <c r="AY27" s="891"/>
      <c r="AZ27" s="891"/>
      <c r="BA27" s="891"/>
      <c r="BB27" s="891"/>
      <c r="BC27" s="891"/>
      <c r="BD27" s="891"/>
      <c r="BE27" s="891"/>
      <c r="BF27" s="891"/>
      <c r="BG27" s="891"/>
      <c r="BH27" s="891"/>
      <c r="BI27" s="891"/>
      <c r="BJ27" s="891"/>
      <c r="BK27" s="891"/>
      <c r="BL27" s="891"/>
      <c r="BM27" s="891"/>
    </row>
    <row r="28" spans="1:65" s="889" customFormat="1" x14ac:dyDescent="0.2">
      <c r="A28" s="479" t="s">
        <v>496</v>
      </c>
      <c r="B28" s="426" t="s">
        <v>105</v>
      </c>
      <c r="C28" s="426"/>
      <c r="D28" s="426"/>
      <c r="E28" s="426"/>
      <c r="F28" s="426"/>
      <c r="G28" s="426"/>
      <c r="H28" s="426"/>
      <c r="I28" s="427"/>
      <c r="J28" s="427"/>
      <c r="K28" s="891"/>
      <c r="L28" s="891"/>
      <c r="M28" s="891"/>
      <c r="N28" s="891"/>
      <c r="O28" s="891"/>
      <c r="P28" s="891"/>
      <c r="Q28" s="891"/>
      <c r="R28" s="891"/>
      <c r="S28" s="891"/>
      <c r="T28" s="891"/>
      <c r="U28" s="891"/>
      <c r="V28" s="891"/>
      <c r="W28" s="891"/>
      <c r="X28" s="891"/>
      <c r="Y28" s="891"/>
      <c r="Z28" s="891"/>
      <c r="AA28" s="891"/>
      <c r="AB28" s="891"/>
      <c r="AC28" s="891"/>
      <c r="AD28" s="891"/>
      <c r="AE28" s="891"/>
      <c r="AF28" s="891"/>
      <c r="AG28" s="891"/>
      <c r="AH28" s="891"/>
      <c r="AI28" s="891"/>
      <c r="AJ28" s="891"/>
      <c r="AK28" s="891"/>
      <c r="AL28" s="891"/>
      <c r="AM28" s="891"/>
      <c r="AN28" s="891"/>
      <c r="AO28" s="891"/>
      <c r="AP28" s="891"/>
      <c r="AQ28" s="891"/>
      <c r="AR28" s="891"/>
      <c r="AS28" s="891"/>
      <c r="AT28" s="891"/>
      <c r="AU28" s="891"/>
      <c r="AV28" s="891"/>
      <c r="AW28" s="891"/>
      <c r="AX28" s="891"/>
      <c r="AY28" s="891"/>
      <c r="AZ28" s="891"/>
      <c r="BA28" s="891"/>
      <c r="BB28" s="891"/>
      <c r="BC28" s="891"/>
      <c r="BD28" s="891"/>
      <c r="BE28" s="891"/>
      <c r="BF28" s="891"/>
      <c r="BG28" s="891"/>
      <c r="BH28" s="891"/>
      <c r="BI28" s="891"/>
      <c r="BJ28" s="891"/>
      <c r="BK28" s="891"/>
      <c r="BL28" s="891"/>
      <c r="BM28" s="891"/>
    </row>
  </sheetData>
  <sheetProtection password="ADC7" sheet="1" objects="1" scenarios="1"/>
  <mergeCells count="8">
    <mergeCell ref="B24:C24"/>
    <mergeCell ref="B25:C25"/>
    <mergeCell ref="K7:L7"/>
    <mergeCell ref="N7:P7"/>
    <mergeCell ref="B9:C9"/>
    <mergeCell ref="B10:C10"/>
    <mergeCell ref="B11:C11"/>
    <mergeCell ref="B23:C23"/>
  </mergeCells>
  <phoneticPr fontId="36" type="noConversion"/>
  <dataValidations count="1">
    <dataValidation type="decimal" operator="greaterThanOrEqual" allowBlank="1" showInputMessage="1" showErrorMessage="1" sqref="I21">
      <formula1>0</formula1>
    </dataValidation>
  </dataValidations>
  <pageMargins left="0.75" right="0.75" top="1" bottom="1" header="0.5" footer="0.5"/>
  <pageSetup paperSize="9" orientation="landscape" r:id="rId1"/>
  <headerFooter alignWithMargins="0">
    <oddHeader>&amp;C&amp;"Arial,Bold"&amp;8 NEW RURAL BANK OF SAN LEONARDO, INC  [ 04-040656 ]
 As of: September 30, 2017</oddHead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BL38"/>
  <sheetViews>
    <sheetView view="pageBreakPreview" topLeftCell="A3" zoomScale="85" zoomScaleNormal="100" workbookViewId="0">
      <selection activeCell="L13" sqref="J12:L13"/>
    </sheetView>
  </sheetViews>
  <sheetFormatPr defaultRowHeight="12.75" x14ac:dyDescent="0.2"/>
  <cols>
    <col min="1" max="1" width="6.42578125" style="899" customWidth="1"/>
    <col min="2" max="2" width="62.42578125" style="899" customWidth="1"/>
    <col min="3" max="3" width="9.140625" style="899"/>
    <col min="4" max="4" width="20.5703125" style="899" hidden="1" customWidth="1"/>
    <col min="5" max="5" width="41.7109375" style="899" hidden="1" customWidth="1"/>
    <col min="6" max="6" width="6.5703125" style="899" hidden="1" customWidth="1"/>
    <col min="7" max="7" width="16.28515625" style="899" customWidth="1"/>
    <col min="8" max="8" width="40" style="899" hidden="1" customWidth="1"/>
    <col min="9" max="9" width="15.85546875" style="899" customWidth="1"/>
    <col min="10" max="12" width="15.85546875" style="763" customWidth="1"/>
    <col min="13" max="15" width="15.85546875" style="900" customWidth="1"/>
  </cols>
  <sheetData>
    <row r="1" spans="1:64" s="899" customFormat="1" ht="11.25" hidden="1" x14ac:dyDescent="0.2">
      <c r="A1" s="426"/>
      <c r="B1" s="426"/>
      <c r="C1" s="426"/>
      <c r="D1" s="426"/>
      <c r="E1" s="426"/>
      <c r="F1" s="426"/>
      <c r="G1" s="426"/>
      <c r="H1" s="426"/>
      <c r="I1" s="426"/>
      <c r="J1" s="480"/>
      <c r="K1" s="480"/>
      <c r="L1" s="480"/>
      <c r="M1" s="539"/>
      <c r="N1" s="539"/>
      <c r="O1" s="539"/>
      <c r="P1" s="900"/>
      <c r="Q1" s="763"/>
      <c r="R1" s="763"/>
      <c r="S1" s="763"/>
      <c r="T1" s="763"/>
      <c r="U1" s="763"/>
      <c r="V1" s="763"/>
      <c r="W1" s="763"/>
      <c r="X1" s="763"/>
      <c r="Y1" s="763"/>
      <c r="Z1" s="763"/>
      <c r="AA1" s="763"/>
      <c r="AB1" s="763"/>
      <c r="AC1" s="763"/>
      <c r="AD1" s="763"/>
      <c r="AE1" s="763"/>
      <c r="AF1" s="763"/>
      <c r="AG1" s="763"/>
      <c r="AH1" s="763"/>
      <c r="AI1" s="763"/>
      <c r="AJ1" s="763"/>
      <c r="AK1" s="763"/>
      <c r="AL1" s="763"/>
      <c r="AM1" s="763"/>
      <c r="AN1" s="763"/>
      <c r="AO1" s="763"/>
      <c r="AP1" s="763"/>
      <c r="AQ1" s="763"/>
      <c r="AR1" s="763"/>
      <c r="AS1" s="763"/>
      <c r="AT1" s="763"/>
      <c r="AU1" s="763"/>
      <c r="AV1" s="763"/>
      <c r="AW1" s="763"/>
      <c r="AX1" s="763"/>
      <c r="AY1" s="763"/>
      <c r="AZ1" s="763"/>
      <c r="BA1" s="763"/>
      <c r="BB1" s="763"/>
      <c r="BC1" s="763"/>
      <c r="BD1" s="763"/>
      <c r="BE1" s="763"/>
      <c r="BF1" s="763"/>
      <c r="BG1" s="763"/>
      <c r="BH1" s="763"/>
      <c r="BI1" s="763"/>
      <c r="BJ1" s="763"/>
      <c r="BK1" s="763"/>
      <c r="BL1" s="763"/>
    </row>
    <row r="2" spans="1:64" s="899" customFormat="1" ht="11.25" hidden="1" x14ac:dyDescent="0.2">
      <c r="A2" s="426"/>
      <c r="B2" s="426"/>
      <c r="C2" s="426"/>
      <c r="D2" s="426"/>
      <c r="E2" s="426"/>
      <c r="F2" s="426"/>
      <c r="G2" s="426"/>
      <c r="H2" s="426"/>
      <c r="I2" s="426"/>
      <c r="J2" s="480"/>
      <c r="K2" s="480"/>
      <c r="L2" s="480"/>
      <c r="M2" s="539"/>
      <c r="N2" s="539"/>
      <c r="O2" s="539"/>
      <c r="P2" s="900"/>
      <c r="Q2" s="763"/>
      <c r="R2" s="763"/>
      <c r="S2" s="763"/>
      <c r="T2" s="763"/>
      <c r="U2" s="763"/>
      <c r="V2" s="763"/>
      <c r="W2" s="763"/>
      <c r="X2" s="763"/>
      <c r="Y2" s="763"/>
      <c r="Z2" s="763"/>
      <c r="AA2" s="763"/>
      <c r="AB2" s="763"/>
      <c r="AC2" s="763"/>
      <c r="AD2" s="763"/>
      <c r="AE2" s="763"/>
      <c r="AF2" s="763"/>
      <c r="AG2" s="763"/>
      <c r="AH2" s="763"/>
      <c r="AI2" s="763"/>
      <c r="AJ2" s="763"/>
      <c r="AK2" s="763"/>
      <c r="AL2" s="763"/>
      <c r="AM2" s="763"/>
      <c r="AN2" s="763"/>
      <c r="AO2" s="763"/>
      <c r="AP2" s="763"/>
      <c r="AQ2" s="763"/>
      <c r="AR2" s="763"/>
      <c r="AS2" s="763"/>
      <c r="AT2" s="763"/>
      <c r="AU2" s="763"/>
      <c r="AV2" s="763"/>
      <c r="AW2" s="763"/>
      <c r="AX2" s="763"/>
      <c r="AY2" s="763"/>
      <c r="AZ2" s="763"/>
      <c r="BA2" s="763"/>
      <c r="BB2" s="763"/>
      <c r="BC2" s="763"/>
      <c r="BD2" s="763"/>
      <c r="BE2" s="763"/>
      <c r="BF2" s="763"/>
      <c r="BG2" s="763"/>
      <c r="BH2" s="763"/>
      <c r="BI2" s="763"/>
      <c r="BJ2" s="763"/>
      <c r="BK2" s="763"/>
      <c r="BL2" s="763"/>
    </row>
    <row r="3" spans="1:64" s="899" customFormat="1" ht="11.25" x14ac:dyDescent="0.2">
      <c r="A3" s="426"/>
      <c r="B3" s="426"/>
      <c r="C3" s="426"/>
      <c r="D3" s="426"/>
      <c r="E3" s="426"/>
      <c r="F3" s="426"/>
      <c r="G3" s="426"/>
      <c r="H3" s="426"/>
      <c r="I3" s="426"/>
      <c r="J3" s="426"/>
      <c r="K3" s="426"/>
      <c r="L3" s="426"/>
      <c r="M3" s="480"/>
      <c r="N3" s="480"/>
      <c r="O3" s="480"/>
      <c r="P3" s="900"/>
      <c r="Q3" s="763"/>
      <c r="R3" s="763"/>
      <c r="S3" s="763"/>
      <c r="T3" s="763"/>
      <c r="U3" s="763"/>
      <c r="V3" s="763"/>
      <c r="W3" s="763"/>
      <c r="X3" s="763"/>
      <c r="Y3" s="763"/>
      <c r="Z3" s="763"/>
      <c r="AA3" s="763"/>
      <c r="AB3" s="763"/>
      <c r="AC3" s="763"/>
      <c r="AD3" s="763"/>
      <c r="AE3" s="763"/>
      <c r="AF3" s="763"/>
      <c r="AG3" s="763"/>
      <c r="AH3" s="763"/>
      <c r="AI3" s="763"/>
      <c r="AJ3" s="763"/>
      <c r="AK3" s="763"/>
      <c r="AL3" s="763"/>
      <c r="AM3" s="763"/>
      <c r="AN3" s="763"/>
      <c r="AO3" s="763"/>
      <c r="AP3" s="763"/>
      <c r="AQ3" s="763"/>
      <c r="AR3" s="763"/>
      <c r="AS3" s="763"/>
      <c r="AT3" s="763"/>
      <c r="AU3" s="763"/>
      <c r="AV3" s="763"/>
      <c r="AW3" s="763"/>
      <c r="AX3" s="763"/>
      <c r="AY3" s="763"/>
      <c r="AZ3" s="763"/>
      <c r="BA3" s="763"/>
      <c r="BB3" s="763"/>
      <c r="BC3" s="763"/>
      <c r="BD3" s="763"/>
      <c r="BE3" s="763"/>
      <c r="BF3" s="763"/>
      <c r="BG3" s="763"/>
      <c r="BH3" s="763"/>
      <c r="BI3" s="763"/>
      <c r="BJ3" s="763"/>
      <c r="BK3" s="763"/>
      <c r="BL3" s="763"/>
    </row>
    <row r="4" spans="1:64" s="899" customFormat="1" ht="11.25" x14ac:dyDescent="0.2">
      <c r="A4" s="481" t="s">
        <v>106</v>
      </c>
      <c r="B4" s="428"/>
      <c r="C4" s="426"/>
      <c r="D4" s="426"/>
      <c r="E4" s="426"/>
      <c r="F4" s="426"/>
      <c r="G4" s="426"/>
      <c r="H4" s="426"/>
      <c r="I4" s="426"/>
      <c r="J4" s="426"/>
      <c r="K4" s="426"/>
      <c r="L4" s="426"/>
      <c r="M4" s="480"/>
      <c r="N4" s="480"/>
      <c r="O4" s="480"/>
      <c r="P4" s="900"/>
      <c r="Q4" s="763"/>
      <c r="R4" s="763"/>
      <c r="S4" s="763"/>
      <c r="T4" s="763"/>
      <c r="U4" s="763"/>
      <c r="V4" s="763"/>
      <c r="W4" s="763"/>
      <c r="X4" s="763"/>
      <c r="Y4" s="763"/>
      <c r="Z4" s="763"/>
      <c r="AA4" s="763"/>
      <c r="AB4" s="763"/>
      <c r="AC4" s="763"/>
      <c r="AD4" s="763"/>
      <c r="AE4" s="763"/>
      <c r="AF4" s="763"/>
      <c r="AG4" s="763"/>
      <c r="AH4" s="763"/>
      <c r="AI4" s="763"/>
      <c r="AJ4" s="763"/>
      <c r="AK4" s="763"/>
      <c r="AL4" s="763"/>
      <c r="AM4" s="763"/>
      <c r="AN4" s="763"/>
      <c r="AO4" s="763"/>
      <c r="AP4" s="763"/>
      <c r="AQ4" s="763"/>
      <c r="AR4" s="763"/>
      <c r="AS4" s="763"/>
      <c r="AT4" s="763"/>
      <c r="AU4" s="763"/>
      <c r="AV4" s="763"/>
      <c r="AW4" s="763"/>
      <c r="AX4" s="763"/>
      <c r="AY4" s="763"/>
      <c r="AZ4" s="763"/>
      <c r="BA4" s="763"/>
      <c r="BB4" s="763"/>
      <c r="BC4" s="763"/>
      <c r="BD4" s="763"/>
      <c r="BE4" s="763"/>
      <c r="BF4" s="763"/>
      <c r="BG4" s="763"/>
      <c r="BH4" s="763"/>
      <c r="BI4" s="763"/>
      <c r="BJ4" s="763"/>
      <c r="BK4" s="763"/>
      <c r="BL4" s="763"/>
    </row>
    <row r="5" spans="1:64" s="899" customFormat="1" ht="12" thickBot="1" x14ac:dyDescent="0.25">
      <c r="A5" s="426"/>
      <c r="B5" s="426"/>
      <c r="C5" s="426"/>
      <c r="D5" s="426"/>
      <c r="E5" s="426"/>
      <c r="F5" s="426"/>
      <c r="G5" s="426"/>
      <c r="H5" s="426"/>
      <c r="I5" s="426"/>
      <c r="J5" s="426"/>
      <c r="K5" s="426"/>
      <c r="L5" s="426"/>
      <c r="M5" s="480"/>
      <c r="N5" s="480"/>
      <c r="O5" s="480"/>
      <c r="P5" s="900"/>
      <c r="Q5" s="763"/>
      <c r="R5" s="763"/>
      <c r="S5" s="763"/>
      <c r="T5" s="763"/>
      <c r="U5" s="763"/>
      <c r="V5" s="763"/>
      <c r="W5" s="763"/>
      <c r="X5" s="763"/>
      <c r="Y5" s="763"/>
      <c r="Z5" s="763"/>
      <c r="AA5" s="763"/>
      <c r="AB5" s="763"/>
      <c r="AC5" s="763"/>
      <c r="AD5" s="763"/>
      <c r="AE5" s="763"/>
      <c r="AF5" s="763"/>
      <c r="AG5" s="763"/>
      <c r="AH5" s="763"/>
      <c r="AI5" s="763"/>
      <c r="AJ5" s="763"/>
      <c r="AK5" s="763"/>
      <c r="AL5" s="763"/>
      <c r="AM5" s="763"/>
      <c r="AN5" s="763"/>
      <c r="AO5" s="763"/>
      <c r="AP5" s="763"/>
      <c r="AQ5" s="763"/>
      <c r="AR5" s="763"/>
      <c r="AS5" s="763"/>
      <c r="AT5" s="763"/>
      <c r="AU5" s="763"/>
      <c r="AV5" s="763"/>
      <c r="AW5" s="763"/>
      <c r="AX5" s="763"/>
      <c r="AY5" s="763"/>
      <c r="AZ5" s="763"/>
      <c r="BA5" s="763"/>
      <c r="BB5" s="763"/>
      <c r="BC5" s="763"/>
      <c r="BD5" s="763"/>
      <c r="BE5" s="763"/>
      <c r="BF5" s="763"/>
      <c r="BG5" s="763"/>
      <c r="BH5" s="763"/>
      <c r="BI5" s="763"/>
      <c r="BJ5" s="763"/>
      <c r="BK5" s="763"/>
      <c r="BL5" s="763"/>
    </row>
    <row r="6" spans="1:64" s="895" customFormat="1" ht="12" x14ac:dyDescent="0.2">
      <c r="A6" s="1241" t="s">
        <v>964</v>
      </c>
      <c r="B6" s="1229" t="s">
        <v>256</v>
      </c>
      <c r="C6" s="1229" t="s">
        <v>107</v>
      </c>
      <c r="D6" s="426"/>
      <c r="E6" s="426"/>
      <c r="F6" s="426"/>
      <c r="G6" s="1229" t="s">
        <v>257</v>
      </c>
      <c r="H6" s="1229"/>
      <c r="I6" s="1232" t="s">
        <v>108</v>
      </c>
      <c r="J6" s="1233"/>
      <c r="K6" s="1233"/>
      <c r="L6" s="1233"/>
      <c r="M6" s="1233"/>
      <c r="N6" s="1234"/>
      <c r="O6" s="1217" t="s">
        <v>1411</v>
      </c>
      <c r="P6" s="901"/>
      <c r="Q6" s="896"/>
      <c r="R6" s="896"/>
      <c r="S6" s="896"/>
      <c r="T6" s="896"/>
      <c r="U6" s="896"/>
      <c r="V6" s="896"/>
      <c r="W6" s="896"/>
      <c r="X6" s="896"/>
      <c r="Y6" s="896"/>
      <c r="Z6" s="896"/>
      <c r="AA6" s="896"/>
      <c r="AB6" s="896"/>
      <c r="AC6" s="896"/>
      <c r="AD6" s="896"/>
      <c r="AE6" s="896"/>
      <c r="AF6" s="896"/>
      <c r="AG6" s="896"/>
      <c r="AH6" s="896"/>
      <c r="AI6" s="896"/>
      <c r="AJ6" s="896"/>
      <c r="AK6" s="896"/>
      <c r="AL6" s="896"/>
      <c r="AM6" s="896"/>
      <c r="AN6" s="896"/>
      <c r="AO6" s="896"/>
      <c r="AP6" s="896"/>
      <c r="AQ6" s="896"/>
      <c r="AR6" s="896"/>
      <c r="AS6" s="896"/>
      <c r="AT6" s="896"/>
      <c r="AU6" s="896"/>
      <c r="AV6" s="896"/>
      <c r="AW6" s="896"/>
      <c r="AX6" s="896"/>
      <c r="AY6" s="896"/>
      <c r="AZ6" s="896"/>
      <c r="BA6" s="896"/>
      <c r="BB6" s="896"/>
      <c r="BC6" s="896"/>
      <c r="BD6" s="896"/>
      <c r="BE6" s="896"/>
      <c r="BF6" s="896"/>
      <c r="BG6" s="896"/>
      <c r="BH6" s="896"/>
      <c r="BI6" s="896"/>
      <c r="BJ6" s="896"/>
      <c r="BK6" s="896"/>
      <c r="BL6" s="896"/>
    </row>
    <row r="7" spans="1:64" s="895" customFormat="1" ht="12" x14ac:dyDescent="0.2">
      <c r="A7" s="1242"/>
      <c r="B7" s="1230"/>
      <c r="C7" s="1230"/>
      <c r="D7" s="426"/>
      <c r="E7" s="426"/>
      <c r="F7" s="426"/>
      <c r="G7" s="1230"/>
      <c r="H7" s="1230"/>
      <c r="I7" s="1220" t="s">
        <v>109</v>
      </c>
      <c r="J7" s="1223" t="s">
        <v>110</v>
      </c>
      <c r="K7" s="1224"/>
      <c r="L7" s="1225"/>
      <c r="M7" s="1226">
        <v>0.04</v>
      </c>
      <c r="N7" s="1226">
        <v>0.08</v>
      </c>
      <c r="O7" s="1218"/>
      <c r="P7" s="901"/>
      <c r="Q7" s="896"/>
      <c r="R7" s="896"/>
      <c r="S7" s="896"/>
      <c r="T7" s="896"/>
      <c r="U7" s="896"/>
      <c r="V7" s="896"/>
      <c r="W7" s="896"/>
      <c r="X7" s="896"/>
      <c r="Y7" s="896"/>
      <c r="Z7" s="896"/>
      <c r="AA7" s="896"/>
      <c r="AB7" s="896"/>
      <c r="AC7" s="896"/>
      <c r="AD7" s="896"/>
      <c r="AE7" s="896"/>
      <c r="AF7" s="896"/>
      <c r="AG7" s="896"/>
      <c r="AH7" s="896"/>
      <c r="AI7" s="896"/>
      <c r="AJ7" s="896"/>
      <c r="AK7" s="896"/>
      <c r="AL7" s="896"/>
      <c r="AM7" s="896"/>
      <c r="AN7" s="896"/>
      <c r="AO7" s="896"/>
      <c r="AP7" s="896"/>
      <c r="AQ7" s="896"/>
      <c r="AR7" s="896"/>
      <c r="AS7" s="896"/>
      <c r="AT7" s="896"/>
      <c r="AU7" s="896"/>
      <c r="AV7" s="896"/>
      <c r="AW7" s="896"/>
      <c r="AX7" s="896"/>
      <c r="AY7" s="896"/>
      <c r="AZ7" s="896"/>
      <c r="BA7" s="896"/>
      <c r="BB7" s="896"/>
      <c r="BC7" s="896"/>
      <c r="BD7" s="896"/>
      <c r="BE7" s="896"/>
      <c r="BF7" s="896"/>
      <c r="BG7" s="896"/>
      <c r="BH7" s="896"/>
      <c r="BI7" s="896"/>
      <c r="BJ7" s="896"/>
      <c r="BK7" s="896"/>
      <c r="BL7" s="896"/>
    </row>
    <row r="8" spans="1:64" s="895" customFormat="1" ht="22.5" x14ac:dyDescent="0.2">
      <c r="A8" s="1242"/>
      <c r="B8" s="1230"/>
      <c r="C8" s="1230"/>
      <c r="D8" s="426"/>
      <c r="E8" s="426"/>
      <c r="F8" s="426"/>
      <c r="G8" s="1230"/>
      <c r="H8" s="1230"/>
      <c r="I8" s="1221"/>
      <c r="J8" s="483" t="s">
        <v>111</v>
      </c>
      <c r="K8" s="483" t="s">
        <v>112</v>
      </c>
      <c r="L8" s="483" t="s">
        <v>1023</v>
      </c>
      <c r="M8" s="1227"/>
      <c r="N8" s="1227"/>
      <c r="O8" s="1218"/>
      <c r="P8" s="901"/>
      <c r="Q8" s="896"/>
      <c r="R8" s="896"/>
      <c r="S8" s="896"/>
      <c r="T8" s="896"/>
      <c r="U8" s="896"/>
      <c r="V8" s="896"/>
      <c r="W8" s="896"/>
      <c r="X8" s="896"/>
      <c r="Y8" s="896"/>
      <c r="Z8" s="896"/>
      <c r="AA8" s="896"/>
      <c r="AB8" s="896"/>
      <c r="AC8" s="896"/>
      <c r="AD8" s="896"/>
      <c r="AE8" s="896"/>
      <c r="AF8" s="896"/>
      <c r="AG8" s="896"/>
      <c r="AH8" s="896"/>
      <c r="AI8" s="896"/>
      <c r="AJ8" s="896"/>
      <c r="AK8" s="896"/>
      <c r="AL8" s="896"/>
      <c r="AM8" s="896"/>
      <c r="AN8" s="896"/>
      <c r="AO8" s="896"/>
      <c r="AP8" s="896"/>
      <c r="AQ8" s="896"/>
      <c r="AR8" s="896"/>
      <c r="AS8" s="896"/>
      <c r="AT8" s="896"/>
      <c r="AU8" s="896"/>
      <c r="AV8" s="896"/>
      <c r="AW8" s="896"/>
      <c r="AX8" s="896"/>
      <c r="AY8" s="896"/>
      <c r="AZ8" s="896"/>
      <c r="BA8" s="896"/>
      <c r="BB8" s="896"/>
      <c r="BC8" s="896"/>
      <c r="BD8" s="896"/>
      <c r="BE8" s="896"/>
      <c r="BF8" s="896"/>
      <c r="BG8" s="896"/>
      <c r="BH8" s="896"/>
      <c r="BI8" s="896"/>
      <c r="BJ8" s="896"/>
      <c r="BK8" s="896"/>
      <c r="BL8" s="896"/>
    </row>
    <row r="9" spans="1:64" s="895" customFormat="1" ht="12" x14ac:dyDescent="0.2">
      <c r="A9" s="1242"/>
      <c r="B9" s="1231"/>
      <c r="C9" s="1231"/>
      <c r="D9" s="426"/>
      <c r="E9" s="426"/>
      <c r="F9" s="426"/>
      <c r="G9" s="1231"/>
      <c r="H9" s="1231"/>
      <c r="I9" s="1222"/>
      <c r="J9" s="485">
        <v>2.5000000000000001E-3</v>
      </c>
      <c r="K9" s="485">
        <v>0.01</v>
      </c>
      <c r="L9" s="485">
        <v>1.6E-2</v>
      </c>
      <c r="M9" s="1228"/>
      <c r="N9" s="1228"/>
      <c r="O9" s="1219"/>
      <c r="P9" s="901"/>
      <c r="Q9" s="896"/>
      <c r="R9" s="896"/>
      <c r="S9" s="896"/>
      <c r="T9" s="896"/>
      <c r="U9" s="896"/>
      <c r="V9" s="896"/>
      <c r="W9" s="896"/>
      <c r="X9" s="896"/>
      <c r="Y9" s="896"/>
      <c r="Z9" s="896"/>
      <c r="AA9" s="896"/>
      <c r="AB9" s="896"/>
      <c r="AC9" s="896"/>
      <c r="AD9" s="896"/>
      <c r="AE9" s="896"/>
      <c r="AF9" s="896"/>
      <c r="AG9" s="896"/>
      <c r="AH9" s="896"/>
      <c r="AI9" s="896"/>
      <c r="AJ9" s="896"/>
      <c r="AK9" s="896"/>
      <c r="AL9" s="896"/>
      <c r="AM9" s="896"/>
      <c r="AN9" s="896"/>
      <c r="AO9" s="896"/>
      <c r="AP9" s="896"/>
      <c r="AQ9" s="896"/>
      <c r="AR9" s="896"/>
      <c r="AS9" s="896"/>
      <c r="AT9" s="896"/>
      <c r="AU9" s="896"/>
      <c r="AV9" s="896"/>
      <c r="AW9" s="896"/>
      <c r="AX9" s="896"/>
      <c r="AY9" s="896"/>
      <c r="AZ9" s="896"/>
      <c r="BA9" s="896"/>
      <c r="BB9" s="896"/>
      <c r="BC9" s="896"/>
      <c r="BD9" s="896"/>
      <c r="BE9" s="896"/>
      <c r="BF9" s="896"/>
      <c r="BG9" s="896"/>
      <c r="BH9" s="896"/>
      <c r="BI9" s="896"/>
      <c r="BJ9" s="896"/>
      <c r="BK9" s="896"/>
      <c r="BL9" s="896"/>
    </row>
    <row r="10" spans="1:64" s="897" customFormat="1" ht="12.75" customHeight="1" x14ac:dyDescent="0.2">
      <c r="A10" s="1235" t="s">
        <v>261</v>
      </c>
      <c r="B10" s="1237" t="s">
        <v>1024</v>
      </c>
      <c r="C10" s="438" t="s">
        <v>1025</v>
      </c>
      <c r="D10" s="350"/>
      <c r="E10" s="350"/>
      <c r="F10" s="350"/>
      <c r="G10" s="440" t="s">
        <v>1026</v>
      </c>
      <c r="H10" s="440"/>
      <c r="I10" s="487"/>
      <c r="J10" s="488"/>
      <c r="K10" s="488"/>
      <c r="L10" s="488"/>
      <c r="M10" s="488"/>
      <c r="N10" s="488"/>
      <c r="O10" s="489"/>
      <c r="P10" s="902"/>
      <c r="Q10" s="898"/>
      <c r="R10" s="898"/>
      <c r="S10" s="898"/>
      <c r="T10" s="898"/>
      <c r="U10" s="898"/>
      <c r="V10" s="898"/>
      <c r="W10" s="898"/>
      <c r="X10" s="898"/>
      <c r="Y10" s="898"/>
      <c r="Z10" s="898"/>
      <c r="AA10" s="898"/>
      <c r="AB10" s="898"/>
      <c r="AC10" s="898"/>
      <c r="AD10" s="898"/>
      <c r="AE10" s="898"/>
      <c r="AF10" s="898"/>
      <c r="AG10" s="898"/>
      <c r="AH10" s="898"/>
      <c r="AI10" s="898"/>
      <c r="AJ10" s="898"/>
      <c r="AK10" s="898"/>
      <c r="AL10" s="898"/>
      <c r="AM10" s="898"/>
      <c r="AN10" s="898"/>
      <c r="AO10" s="898"/>
      <c r="AP10" s="898"/>
      <c r="AQ10" s="898"/>
      <c r="AR10" s="898"/>
      <c r="AS10" s="898"/>
      <c r="AT10" s="898"/>
      <c r="AU10" s="898"/>
      <c r="AV10" s="898"/>
      <c r="AW10" s="898"/>
      <c r="AX10" s="898"/>
      <c r="AY10" s="898"/>
      <c r="AZ10" s="898"/>
      <c r="BA10" s="898"/>
      <c r="BB10" s="898"/>
      <c r="BC10" s="898"/>
      <c r="BD10" s="898"/>
      <c r="BE10" s="898"/>
      <c r="BF10" s="898"/>
      <c r="BG10" s="898"/>
      <c r="BH10" s="898"/>
      <c r="BI10" s="898"/>
      <c r="BJ10" s="898"/>
      <c r="BK10" s="898"/>
      <c r="BL10" s="898"/>
    </row>
    <row r="11" spans="1:64" s="897" customFormat="1" ht="12" x14ac:dyDescent="0.2">
      <c r="A11" s="1236"/>
      <c r="B11" s="1238"/>
      <c r="C11" s="438" t="s">
        <v>1027</v>
      </c>
      <c r="D11" s="350"/>
      <c r="E11" s="350"/>
      <c r="F11" s="350"/>
      <c r="G11" s="440" t="s">
        <v>1028</v>
      </c>
      <c r="H11" s="440"/>
      <c r="I11" s="487"/>
      <c r="J11" s="490"/>
      <c r="K11" s="490"/>
      <c r="L11" s="490"/>
      <c r="M11" s="491"/>
      <c r="N11" s="491"/>
      <c r="O11" s="492"/>
      <c r="P11" s="902"/>
      <c r="Q11" s="898"/>
      <c r="R11" s="898"/>
      <c r="S11" s="898"/>
      <c r="T11" s="898"/>
      <c r="U11" s="898"/>
      <c r="V11" s="898"/>
      <c r="W11" s="898"/>
      <c r="X11" s="898"/>
      <c r="Y11" s="898"/>
      <c r="Z11" s="898"/>
      <c r="AA11" s="898"/>
      <c r="AB11" s="898"/>
      <c r="AC11" s="898"/>
      <c r="AD11" s="898"/>
      <c r="AE11" s="898"/>
      <c r="AF11" s="898"/>
      <c r="AG11" s="898"/>
      <c r="AH11" s="898"/>
      <c r="AI11" s="898"/>
      <c r="AJ11" s="898"/>
      <c r="AK11" s="898"/>
      <c r="AL11" s="898"/>
      <c r="AM11" s="898"/>
      <c r="AN11" s="898"/>
      <c r="AO11" s="898"/>
      <c r="AP11" s="898"/>
      <c r="AQ11" s="898"/>
      <c r="AR11" s="898"/>
      <c r="AS11" s="898"/>
      <c r="AT11" s="898"/>
      <c r="AU11" s="898"/>
      <c r="AV11" s="898"/>
      <c r="AW11" s="898"/>
      <c r="AX11" s="898"/>
      <c r="AY11" s="898"/>
      <c r="AZ11" s="898"/>
      <c r="BA11" s="898"/>
      <c r="BB11" s="898"/>
      <c r="BC11" s="898"/>
      <c r="BD11" s="898"/>
      <c r="BE11" s="898"/>
      <c r="BF11" s="898"/>
      <c r="BG11" s="898"/>
      <c r="BH11" s="898"/>
      <c r="BI11" s="898"/>
      <c r="BJ11" s="898"/>
      <c r="BK11" s="898"/>
      <c r="BL11" s="898"/>
    </row>
    <row r="12" spans="1:64" s="897" customFormat="1" ht="12.75" customHeight="1" x14ac:dyDescent="0.2">
      <c r="A12" s="1235" t="s">
        <v>264</v>
      </c>
      <c r="B12" s="1239" t="s">
        <v>1029</v>
      </c>
      <c r="C12" s="438" t="s">
        <v>1025</v>
      </c>
      <c r="D12" s="350"/>
      <c r="E12" s="350"/>
      <c r="F12" s="350"/>
      <c r="G12" s="440" t="s">
        <v>1030</v>
      </c>
      <c r="H12" s="493"/>
      <c r="I12" s="494"/>
      <c r="J12" s="496"/>
      <c r="K12" s="496"/>
      <c r="L12" s="496"/>
      <c r="M12" s="495"/>
      <c r="N12" s="496"/>
      <c r="O12" s="489"/>
      <c r="P12" s="902"/>
      <c r="Q12" s="898"/>
      <c r="R12" s="898"/>
      <c r="S12" s="898"/>
      <c r="T12" s="898"/>
      <c r="U12" s="898"/>
      <c r="V12" s="898"/>
      <c r="W12" s="898"/>
      <c r="X12" s="898"/>
      <c r="Y12" s="898"/>
      <c r="Z12" s="898"/>
      <c r="AA12" s="898"/>
      <c r="AB12" s="898"/>
      <c r="AC12" s="898"/>
      <c r="AD12" s="898"/>
      <c r="AE12" s="898"/>
      <c r="AF12" s="898"/>
      <c r="AG12" s="898"/>
      <c r="AH12" s="898"/>
      <c r="AI12" s="898"/>
      <c r="AJ12" s="898"/>
      <c r="AK12" s="898"/>
      <c r="AL12" s="898"/>
      <c r="AM12" s="898"/>
      <c r="AN12" s="898"/>
      <c r="AO12" s="898"/>
      <c r="AP12" s="898"/>
      <c r="AQ12" s="898"/>
      <c r="AR12" s="898"/>
      <c r="AS12" s="898"/>
      <c r="AT12" s="898"/>
      <c r="AU12" s="898"/>
      <c r="AV12" s="898"/>
      <c r="AW12" s="898"/>
      <c r="AX12" s="898"/>
      <c r="AY12" s="898"/>
      <c r="AZ12" s="898"/>
      <c r="BA12" s="898"/>
      <c r="BB12" s="898"/>
      <c r="BC12" s="898"/>
      <c r="BD12" s="898"/>
      <c r="BE12" s="898"/>
      <c r="BF12" s="898"/>
      <c r="BG12" s="898"/>
      <c r="BH12" s="898"/>
      <c r="BI12" s="898"/>
      <c r="BJ12" s="898"/>
      <c r="BK12" s="898"/>
      <c r="BL12" s="898"/>
    </row>
    <row r="13" spans="1:64" s="897" customFormat="1" ht="12" x14ac:dyDescent="0.2">
      <c r="A13" s="1236"/>
      <c r="B13" s="1240"/>
      <c r="C13" s="438" t="s">
        <v>1027</v>
      </c>
      <c r="D13" s="350"/>
      <c r="E13" s="350"/>
      <c r="F13" s="350"/>
      <c r="G13" s="440" t="s">
        <v>1031</v>
      </c>
      <c r="H13" s="497"/>
      <c r="I13" s="498"/>
      <c r="J13" s="496"/>
      <c r="K13" s="496"/>
      <c r="L13" s="496"/>
      <c r="M13" s="499"/>
      <c r="N13" s="500"/>
      <c r="O13" s="492"/>
      <c r="P13" s="902"/>
      <c r="Q13" s="898"/>
      <c r="R13" s="898"/>
      <c r="S13" s="898"/>
      <c r="T13" s="898"/>
      <c r="U13" s="898"/>
      <c r="V13" s="898"/>
      <c r="W13" s="898"/>
      <c r="X13" s="898"/>
      <c r="Y13" s="898"/>
      <c r="Z13" s="898"/>
      <c r="AA13" s="898"/>
      <c r="AB13" s="898"/>
      <c r="AC13" s="898"/>
      <c r="AD13" s="898"/>
      <c r="AE13" s="898"/>
      <c r="AF13" s="898"/>
      <c r="AG13" s="898"/>
      <c r="AH13" s="898"/>
      <c r="AI13" s="898"/>
      <c r="AJ13" s="898"/>
      <c r="AK13" s="898"/>
      <c r="AL13" s="898"/>
      <c r="AM13" s="898"/>
      <c r="AN13" s="898"/>
      <c r="AO13" s="898"/>
      <c r="AP13" s="898"/>
      <c r="AQ13" s="898"/>
      <c r="AR13" s="898"/>
      <c r="AS13" s="898"/>
      <c r="AT13" s="898"/>
      <c r="AU13" s="898"/>
      <c r="AV13" s="898"/>
      <c r="AW13" s="898"/>
      <c r="AX13" s="898"/>
      <c r="AY13" s="898"/>
      <c r="AZ13" s="898"/>
      <c r="BA13" s="898"/>
      <c r="BB13" s="898"/>
      <c r="BC13" s="898"/>
      <c r="BD13" s="898"/>
      <c r="BE13" s="898"/>
      <c r="BF13" s="898"/>
      <c r="BG13" s="898"/>
      <c r="BH13" s="898"/>
      <c r="BI13" s="898"/>
      <c r="BJ13" s="898"/>
      <c r="BK13" s="898"/>
      <c r="BL13" s="898"/>
    </row>
    <row r="14" spans="1:64" s="897" customFormat="1" ht="12.75" customHeight="1" x14ac:dyDescent="0.2">
      <c r="A14" s="1235" t="s">
        <v>267</v>
      </c>
      <c r="B14" s="1239" t="s">
        <v>1032</v>
      </c>
      <c r="C14" s="438" t="s">
        <v>1025</v>
      </c>
      <c r="D14" s="350"/>
      <c r="E14" s="350"/>
      <c r="F14" s="350"/>
      <c r="G14" s="440" t="s">
        <v>1033</v>
      </c>
      <c r="H14" s="440"/>
      <c r="I14" s="487"/>
      <c r="J14" s="496"/>
      <c r="K14" s="496"/>
      <c r="L14" s="496"/>
      <c r="M14" s="495"/>
      <c r="N14" s="491"/>
      <c r="O14" s="489"/>
      <c r="P14" s="902"/>
      <c r="Q14" s="898"/>
      <c r="R14" s="898"/>
      <c r="S14" s="898"/>
      <c r="T14" s="898"/>
      <c r="U14" s="898"/>
      <c r="V14" s="898"/>
      <c r="W14" s="898"/>
      <c r="X14" s="898"/>
      <c r="Y14" s="898"/>
      <c r="Z14" s="898"/>
      <c r="AA14" s="898"/>
      <c r="AB14" s="898"/>
      <c r="AC14" s="898"/>
      <c r="AD14" s="898"/>
      <c r="AE14" s="898"/>
      <c r="AF14" s="898"/>
      <c r="AG14" s="898"/>
      <c r="AH14" s="898"/>
      <c r="AI14" s="898"/>
      <c r="AJ14" s="898"/>
      <c r="AK14" s="898"/>
      <c r="AL14" s="898"/>
      <c r="AM14" s="898"/>
      <c r="AN14" s="898"/>
      <c r="AO14" s="898"/>
      <c r="AP14" s="898"/>
      <c r="AQ14" s="898"/>
      <c r="AR14" s="898"/>
      <c r="AS14" s="898"/>
      <c r="AT14" s="898"/>
      <c r="AU14" s="898"/>
      <c r="AV14" s="898"/>
      <c r="AW14" s="898"/>
      <c r="AX14" s="898"/>
      <c r="AY14" s="898"/>
      <c r="AZ14" s="898"/>
      <c r="BA14" s="898"/>
      <c r="BB14" s="898"/>
      <c r="BC14" s="898"/>
      <c r="BD14" s="898"/>
      <c r="BE14" s="898"/>
      <c r="BF14" s="898"/>
      <c r="BG14" s="898"/>
      <c r="BH14" s="898"/>
      <c r="BI14" s="898"/>
      <c r="BJ14" s="898"/>
      <c r="BK14" s="898"/>
      <c r="BL14" s="898"/>
    </row>
    <row r="15" spans="1:64" s="897" customFormat="1" ht="12" x14ac:dyDescent="0.2">
      <c r="A15" s="1236"/>
      <c r="B15" s="1240"/>
      <c r="C15" s="438" t="s">
        <v>1027</v>
      </c>
      <c r="D15" s="350"/>
      <c r="E15" s="350"/>
      <c r="F15" s="350"/>
      <c r="G15" s="440" t="s">
        <v>1034</v>
      </c>
      <c r="H15" s="440"/>
      <c r="I15" s="487"/>
      <c r="J15" s="500"/>
      <c r="K15" s="500"/>
      <c r="L15" s="500"/>
      <c r="M15" s="499"/>
      <c r="N15" s="490"/>
      <c r="O15" s="492"/>
      <c r="P15" s="902"/>
      <c r="Q15" s="898"/>
      <c r="R15" s="898"/>
      <c r="S15" s="898"/>
      <c r="T15" s="898"/>
      <c r="U15" s="898"/>
      <c r="V15" s="898"/>
      <c r="W15" s="898"/>
      <c r="X15" s="898"/>
      <c r="Y15" s="898"/>
      <c r="Z15" s="898"/>
      <c r="AA15" s="898"/>
      <c r="AB15" s="898"/>
      <c r="AC15" s="898"/>
      <c r="AD15" s="898"/>
      <c r="AE15" s="898"/>
      <c r="AF15" s="898"/>
      <c r="AG15" s="898"/>
      <c r="AH15" s="898"/>
      <c r="AI15" s="898"/>
      <c r="AJ15" s="898"/>
      <c r="AK15" s="898"/>
      <c r="AL15" s="898"/>
      <c r="AM15" s="898"/>
      <c r="AN15" s="898"/>
      <c r="AO15" s="898"/>
      <c r="AP15" s="898"/>
      <c r="AQ15" s="898"/>
      <c r="AR15" s="898"/>
      <c r="AS15" s="898"/>
      <c r="AT15" s="898"/>
      <c r="AU15" s="898"/>
      <c r="AV15" s="898"/>
      <c r="AW15" s="898"/>
      <c r="AX15" s="898"/>
      <c r="AY15" s="898"/>
      <c r="AZ15" s="898"/>
      <c r="BA15" s="898"/>
      <c r="BB15" s="898"/>
      <c r="BC15" s="898"/>
      <c r="BD15" s="898"/>
      <c r="BE15" s="898"/>
      <c r="BF15" s="898"/>
      <c r="BG15" s="898"/>
      <c r="BH15" s="898"/>
      <c r="BI15" s="898"/>
      <c r="BJ15" s="898"/>
      <c r="BK15" s="898"/>
      <c r="BL15" s="898"/>
    </row>
    <row r="16" spans="1:64" s="897" customFormat="1" ht="12.75" customHeight="1" x14ac:dyDescent="0.2">
      <c r="A16" s="1235" t="s">
        <v>1078</v>
      </c>
      <c r="B16" s="1239" t="s">
        <v>1035</v>
      </c>
      <c r="C16" s="486" t="s">
        <v>1025</v>
      </c>
      <c r="D16" s="350"/>
      <c r="E16" s="350"/>
      <c r="F16" s="350"/>
      <c r="G16" s="501" t="s">
        <v>1036</v>
      </c>
      <c r="H16" s="501"/>
      <c r="I16" s="502"/>
      <c r="J16" s="496"/>
      <c r="K16" s="496"/>
      <c r="L16" s="496"/>
      <c r="M16" s="503"/>
      <c r="N16" s="491"/>
      <c r="O16" s="489"/>
      <c r="P16" s="902"/>
      <c r="Q16" s="898"/>
      <c r="R16" s="898"/>
      <c r="S16" s="898"/>
      <c r="T16" s="898"/>
      <c r="U16" s="898"/>
      <c r="V16" s="898"/>
      <c r="W16" s="898"/>
      <c r="X16" s="898"/>
      <c r="Y16" s="898"/>
      <c r="Z16" s="898"/>
      <c r="AA16" s="898"/>
      <c r="AB16" s="898"/>
      <c r="AC16" s="898"/>
      <c r="AD16" s="898"/>
      <c r="AE16" s="898"/>
      <c r="AF16" s="898"/>
      <c r="AG16" s="898"/>
      <c r="AH16" s="898"/>
      <c r="AI16" s="898"/>
      <c r="AJ16" s="898"/>
      <c r="AK16" s="898"/>
      <c r="AL16" s="898"/>
      <c r="AM16" s="898"/>
      <c r="AN16" s="898"/>
      <c r="AO16" s="898"/>
      <c r="AP16" s="898"/>
      <c r="AQ16" s="898"/>
      <c r="AR16" s="898"/>
      <c r="AS16" s="898"/>
      <c r="AT16" s="898"/>
      <c r="AU16" s="898"/>
      <c r="AV16" s="898"/>
      <c r="AW16" s="898"/>
      <c r="AX16" s="898"/>
      <c r="AY16" s="898"/>
      <c r="AZ16" s="898"/>
      <c r="BA16" s="898"/>
      <c r="BB16" s="898"/>
      <c r="BC16" s="898"/>
      <c r="BD16" s="898"/>
      <c r="BE16" s="898"/>
      <c r="BF16" s="898"/>
      <c r="BG16" s="898"/>
      <c r="BH16" s="898"/>
      <c r="BI16" s="898"/>
      <c r="BJ16" s="898"/>
      <c r="BK16" s="898"/>
      <c r="BL16" s="898"/>
    </row>
    <row r="17" spans="1:64" s="897" customFormat="1" ht="22.5" x14ac:dyDescent="0.2">
      <c r="A17" s="1236"/>
      <c r="B17" s="1240"/>
      <c r="C17" s="486" t="s">
        <v>1027</v>
      </c>
      <c r="D17" s="350"/>
      <c r="E17" s="350"/>
      <c r="F17" s="350"/>
      <c r="G17" s="501" t="s">
        <v>1037</v>
      </c>
      <c r="H17" s="501"/>
      <c r="I17" s="502"/>
      <c r="J17" s="496"/>
      <c r="K17" s="496"/>
      <c r="L17" s="496"/>
      <c r="M17" s="499"/>
      <c r="N17" s="490"/>
      <c r="O17" s="492"/>
      <c r="P17" s="902"/>
      <c r="Q17" s="898"/>
      <c r="R17" s="898"/>
      <c r="S17" s="898"/>
      <c r="T17" s="898"/>
      <c r="U17" s="898"/>
      <c r="V17" s="898"/>
      <c r="W17" s="898"/>
      <c r="X17" s="898"/>
      <c r="Y17" s="898"/>
      <c r="Z17" s="898"/>
      <c r="AA17" s="898"/>
      <c r="AB17" s="898"/>
      <c r="AC17" s="898"/>
      <c r="AD17" s="898"/>
      <c r="AE17" s="898"/>
      <c r="AF17" s="898"/>
      <c r="AG17" s="898"/>
      <c r="AH17" s="898"/>
      <c r="AI17" s="898"/>
      <c r="AJ17" s="898"/>
      <c r="AK17" s="898"/>
      <c r="AL17" s="898"/>
      <c r="AM17" s="898"/>
      <c r="AN17" s="898"/>
      <c r="AO17" s="898"/>
      <c r="AP17" s="898"/>
      <c r="AQ17" s="898"/>
      <c r="AR17" s="898"/>
      <c r="AS17" s="898"/>
      <c r="AT17" s="898"/>
      <c r="AU17" s="898"/>
      <c r="AV17" s="898"/>
      <c r="AW17" s="898"/>
      <c r="AX17" s="898"/>
      <c r="AY17" s="898"/>
      <c r="AZ17" s="898"/>
      <c r="BA17" s="898"/>
      <c r="BB17" s="898"/>
      <c r="BC17" s="898"/>
      <c r="BD17" s="898"/>
      <c r="BE17" s="898"/>
      <c r="BF17" s="898"/>
      <c r="BG17" s="898"/>
      <c r="BH17" s="898"/>
      <c r="BI17" s="898"/>
      <c r="BJ17" s="898"/>
      <c r="BK17" s="898"/>
      <c r="BL17" s="898"/>
    </row>
    <row r="18" spans="1:64" s="897" customFormat="1" ht="12.75" customHeight="1" x14ac:dyDescent="0.2">
      <c r="A18" s="1235" t="s">
        <v>1088</v>
      </c>
      <c r="B18" s="1239" t="s">
        <v>1038</v>
      </c>
      <c r="C18" s="438" t="s">
        <v>1025</v>
      </c>
      <c r="D18" s="350"/>
      <c r="E18" s="350"/>
      <c r="F18" s="350"/>
      <c r="G18" s="440" t="s">
        <v>1039</v>
      </c>
      <c r="H18" s="504"/>
      <c r="I18" s="503"/>
      <c r="J18" s="487"/>
      <c r="K18" s="487"/>
      <c r="L18" s="487"/>
      <c r="M18" s="503"/>
      <c r="N18" s="491"/>
      <c r="O18" s="489"/>
      <c r="P18" s="902"/>
      <c r="Q18" s="898"/>
      <c r="R18" s="898"/>
      <c r="S18" s="898"/>
      <c r="T18" s="898"/>
      <c r="U18" s="898"/>
      <c r="V18" s="898"/>
      <c r="W18" s="898"/>
      <c r="X18" s="898"/>
      <c r="Y18" s="898"/>
      <c r="Z18" s="898"/>
      <c r="AA18" s="898"/>
      <c r="AB18" s="898"/>
      <c r="AC18" s="898"/>
      <c r="AD18" s="898"/>
      <c r="AE18" s="898"/>
      <c r="AF18" s="898"/>
      <c r="AG18" s="898"/>
      <c r="AH18" s="898"/>
      <c r="AI18" s="898"/>
      <c r="AJ18" s="898"/>
      <c r="AK18" s="898"/>
      <c r="AL18" s="898"/>
      <c r="AM18" s="898"/>
      <c r="AN18" s="898"/>
      <c r="AO18" s="898"/>
      <c r="AP18" s="898"/>
      <c r="AQ18" s="898"/>
      <c r="AR18" s="898"/>
      <c r="AS18" s="898"/>
      <c r="AT18" s="898"/>
      <c r="AU18" s="898"/>
      <c r="AV18" s="898"/>
      <c r="AW18" s="898"/>
      <c r="AX18" s="898"/>
      <c r="AY18" s="898"/>
      <c r="AZ18" s="898"/>
      <c r="BA18" s="898"/>
      <c r="BB18" s="898"/>
      <c r="BC18" s="898"/>
      <c r="BD18" s="898"/>
      <c r="BE18" s="898"/>
      <c r="BF18" s="898"/>
      <c r="BG18" s="898"/>
      <c r="BH18" s="898"/>
      <c r="BI18" s="898"/>
      <c r="BJ18" s="898"/>
      <c r="BK18" s="898"/>
      <c r="BL18" s="898"/>
    </row>
    <row r="19" spans="1:64" s="897" customFormat="1" ht="12" x14ac:dyDescent="0.2">
      <c r="A19" s="1236"/>
      <c r="B19" s="1240"/>
      <c r="C19" s="438" t="s">
        <v>1027</v>
      </c>
      <c r="D19" s="350"/>
      <c r="E19" s="350"/>
      <c r="F19" s="350"/>
      <c r="G19" s="440" t="s">
        <v>1040</v>
      </c>
      <c r="H19" s="497"/>
      <c r="I19" s="499"/>
      <c r="J19" s="487"/>
      <c r="K19" s="487"/>
      <c r="L19" s="487"/>
      <c r="M19" s="499"/>
      <c r="N19" s="490"/>
      <c r="O19" s="492"/>
      <c r="P19" s="902"/>
      <c r="Q19" s="898"/>
      <c r="R19" s="898"/>
      <c r="S19" s="898"/>
      <c r="T19" s="898"/>
      <c r="U19" s="898"/>
      <c r="V19" s="898"/>
      <c r="W19" s="898"/>
      <c r="X19" s="898"/>
      <c r="Y19" s="898"/>
      <c r="Z19" s="898"/>
      <c r="AA19" s="898"/>
      <c r="AB19" s="898"/>
      <c r="AC19" s="898"/>
      <c r="AD19" s="898"/>
      <c r="AE19" s="898"/>
      <c r="AF19" s="898"/>
      <c r="AG19" s="898"/>
      <c r="AH19" s="898"/>
      <c r="AI19" s="898"/>
      <c r="AJ19" s="898"/>
      <c r="AK19" s="898"/>
      <c r="AL19" s="898"/>
      <c r="AM19" s="898"/>
      <c r="AN19" s="898"/>
      <c r="AO19" s="898"/>
      <c r="AP19" s="898"/>
      <c r="AQ19" s="898"/>
      <c r="AR19" s="898"/>
      <c r="AS19" s="898"/>
      <c r="AT19" s="898"/>
      <c r="AU19" s="898"/>
      <c r="AV19" s="898"/>
      <c r="AW19" s="898"/>
      <c r="AX19" s="898"/>
      <c r="AY19" s="898"/>
      <c r="AZ19" s="898"/>
      <c r="BA19" s="898"/>
      <c r="BB19" s="898"/>
      <c r="BC19" s="898"/>
      <c r="BD19" s="898"/>
      <c r="BE19" s="898"/>
      <c r="BF19" s="898"/>
      <c r="BG19" s="898"/>
      <c r="BH19" s="898"/>
      <c r="BI19" s="898"/>
      <c r="BJ19" s="898"/>
      <c r="BK19" s="898"/>
      <c r="BL19" s="898"/>
    </row>
    <row r="20" spans="1:64" s="897" customFormat="1" ht="12" x14ac:dyDescent="0.2">
      <c r="A20" s="1235" t="s">
        <v>1041</v>
      </c>
      <c r="B20" s="1239" t="s">
        <v>1042</v>
      </c>
      <c r="C20" s="438" t="s">
        <v>1025</v>
      </c>
      <c r="D20" s="350"/>
      <c r="E20" s="350"/>
      <c r="F20" s="350"/>
      <c r="G20" s="440" t="s">
        <v>1043</v>
      </c>
      <c r="H20" s="504"/>
      <c r="I20" s="503"/>
      <c r="J20" s="487"/>
      <c r="K20" s="487"/>
      <c r="L20" s="505"/>
      <c r="M20" s="503"/>
      <c r="N20" s="491"/>
      <c r="O20" s="489"/>
      <c r="P20" s="902"/>
      <c r="Q20" s="898"/>
      <c r="R20" s="898"/>
      <c r="S20" s="898"/>
      <c r="T20" s="898"/>
      <c r="U20" s="898"/>
      <c r="V20" s="898"/>
      <c r="W20" s="898"/>
      <c r="X20" s="898"/>
      <c r="Y20" s="898"/>
      <c r="Z20" s="898"/>
      <c r="AA20" s="898"/>
      <c r="AB20" s="898"/>
      <c r="AC20" s="898"/>
      <c r="AD20" s="898"/>
      <c r="AE20" s="898"/>
      <c r="AF20" s="898"/>
      <c r="AG20" s="898"/>
      <c r="AH20" s="898"/>
      <c r="AI20" s="898"/>
      <c r="AJ20" s="898"/>
      <c r="AK20" s="898"/>
      <c r="AL20" s="898"/>
      <c r="AM20" s="898"/>
      <c r="AN20" s="898"/>
      <c r="AO20" s="898"/>
      <c r="AP20" s="898"/>
      <c r="AQ20" s="898"/>
      <c r="AR20" s="898"/>
      <c r="AS20" s="898"/>
      <c r="AT20" s="898"/>
      <c r="AU20" s="898"/>
      <c r="AV20" s="898"/>
      <c r="AW20" s="898"/>
      <c r="AX20" s="898"/>
      <c r="AY20" s="898"/>
      <c r="AZ20" s="898"/>
      <c r="BA20" s="898"/>
      <c r="BB20" s="898"/>
      <c r="BC20" s="898"/>
      <c r="BD20" s="898"/>
      <c r="BE20" s="898"/>
      <c r="BF20" s="898"/>
      <c r="BG20" s="898"/>
      <c r="BH20" s="898"/>
      <c r="BI20" s="898"/>
      <c r="BJ20" s="898"/>
      <c r="BK20" s="898"/>
      <c r="BL20" s="898"/>
    </row>
    <row r="21" spans="1:64" s="897" customFormat="1" ht="12" x14ac:dyDescent="0.2">
      <c r="A21" s="1236"/>
      <c r="B21" s="1240"/>
      <c r="C21" s="506" t="s">
        <v>1027</v>
      </c>
      <c r="D21" s="350"/>
      <c r="E21" s="350"/>
      <c r="F21" s="350"/>
      <c r="G21" s="440" t="s">
        <v>1044</v>
      </c>
      <c r="H21" s="497"/>
      <c r="I21" s="499"/>
      <c r="J21" s="487"/>
      <c r="K21" s="487"/>
      <c r="L21" s="487"/>
      <c r="M21" s="499"/>
      <c r="N21" s="490"/>
      <c r="O21" s="492"/>
      <c r="P21" s="902"/>
      <c r="Q21" s="898"/>
      <c r="R21" s="898"/>
      <c r="S21" s="898"/>
      <c r="T21" s="898"/>
      <c r="U21" s="898"/>
      <c r="V21" s="898"/>
      <c r="W21" s="898"/>
      <c r="X21" s="898"/>
      <c r="Y21" s="898"/>
      <c r="Z21" s="898"/>
      <c r="AA21" s="898"/>
      <c r="AB21" s="898"/>
      <c r="AC21" s="898"/>
      <c r="AD21" s="898"/>
      <c r="AE21" s="898"/>
      <c r="AF21" s="898"/>
      <c r="AG21" s="898"/>
      <c r="AH21" s="898"/>
      <c r="AI21" s="898"/>
      <c r="AJ21" s="898"/>
      <c r="AK21" s="898"/>
      <c r="AL21" s="898"/>
      <c r="AM21" s="898"/>
      <c r="AN21" s="898"/>
      <c r="AO21" s="898"/>
      <c r="AP21" s="898"/>
      <c r="AQ21" s="898"/>
      <c r="AR21" s="898"/>
      <c r="AS21" s="898"/>
      <c r="AT21" s="898"/>
      <c r="AU21" s="898"/>
      <c r="AV21" s="898"/>
      <c r="AW21" s="898"/>
      <c r="AX21" s="898"/>
      <c r="AY21" s="898"/>
      <c r="AZ21" s="898"/>
      <c r="BA21" s="898"/>
      <c r="BB21" s="898"/>
      <c r="BC21" s="898"/>
      <c r="BD21" s="898"/>
      <c r="BE21" s="898"/>
      <c r="BF21" s="898"/>
      <c r="BG21" s="898"/>
      <c r="BH21" s="898"/>
      <c r="BI21" s="898"/>
      <c r="BJ21" s="898"/>
      <c r="BK21" s="898"/>
      <c r="BL21" s="898"/>
    </row>
    <row r="22" spans="1:64" s="897" customFormat="1" ht="12" x14ac:dyDescent="0.2">
      <c r="A22" s="1235" t="s">
        <v>1045</v>
      </c>
      <c r="B22" s="1239" t="s">
        <v>1046</v>
      </c>
      <c r="C22" s="438" t="s">
        <v>1025</v>
      </c>
      <c r="D22" s="350"/>
      <c r="E22" s="350"/>
      <c r="F22" s="350"/>
      <c r="G22" s="440" t="s">
        <v>1047</v>
      </c>
      <c r="H22" s="507"/>
      <c r="I22" s="508"/>
      <c r="J22" s="509"/>
      <c r="K22" s="494"/>
      <c r="L22" s="509"/>
      <c r="M22" s="495"/>
      <c r="N22" s="491"/>
      <c r="O22" s="489"/>
      <c r="P22" s="902"/>
      <c r="Q22" s="898"/>
      <c r="R22" s="898"/>
      <c r="S22" s="898"/>
      <c r="T22" s="898"/>
      <c r="U22" s="898"/>
      <c r="V22" s="898"/>
      <c r="W22" s="898"/>
      <c r="X22" s="898"/>
      <c r="Y22" s="898"/>
      <c r="Z22" s="898"/>
      <c r="AA22" s="898"/>
      <c r="AB22" s="898"/>
      <c r="AC22" s="898"/>
      <c r="AD22" s="898"/>
      <c r="AE22" s="898"/>
      <c r="AF22" s="898"/>
      <c r="AG22" s="898"/>
      <c r="AH22" s="898"/>
      <c r="AI22" s="898"/>
      <c r="AJ22" s="898"/>
      <c r="AK22" s="898"/>
      <c r="AL22" s="898"/>
      <c r="AM22" s="898"/>
      <c r="AN22" s="898"/>
      <c r="AO22" s="898"/>
      <c r="AP22" s="898"/>
      <c r="AQ22" s="898"/>
      <c r="AR22" s="898"/>
      <c r="AS22" s="898"/>
      <c r="AT22" s="898"/>
      <c r="AU22" s="898"/>
      <c r="AV22" s="898"/>
      <c r="AW22" s="898"/>
      <c r="AX22" s="898"/>
      <c r="AY22" s="898"/>
      <c r="AZ22" s="898"/>
      <c r="BA22" s="898"/>
      <c r="BB22" s="898"/>
      <c r="BC22" s="898"/>
      <c r="BD22" s="898"/>
      <c r="BE22" s="898"/>
      <c r="BF22" s="898"/>
      <c r="BG22" s="898"/>
      <c r="BH22" s="898"/>
      <c r="BI22" s="898"/>
      <c r="BJ22" s="898"/>
      <c r="BK22" s="898"/>
      <c r="BL22" s="898"/>
    </row>
    <row r="23" spans="1:64" s="897" customFormat="1" ht="12" x14ac:dyDescent="0.2">
      <c r="A23" s="1236"/>
      <c r="B23" s="1240"/>
      <c r="C23" s="506" t="s">
        <v>1027</v>
      </c>
      <c r="D23" s="350"/>
      <c r="E23" s="350"/>
      <c r="F23" s="350"/>
      <c r="G23" s="440" t="s">
        <v>1048</v>
      </c>
      <c r="H23" s="497"/>
      <c r="I23" s="499"/>
      <c r="J23" s="498"/>
      <c r="K23" s="498"/>
      <c r="L23" s="498"/>
      <c r="M23" s="499"/>
      <c r="N23" s="490"/>
      <c r="O23" s="492"/>
      <c r="P23" s="902"/>
      <c r="Q23" s="898"/>
      <c r="R23" s="898"/>
      <c r="S23" s="898"/>
      <c r="T23" s="898"/>
      <c r="U23" s="898"/>
      <c r="V23" s="898"/>
      <c r="W23" s="898"/>
      <c r="X23" s="898"/>
      <c r="Y23" s="898"/>
      <c r="Z23" s="898"/>
      <c r="AA23" s="898"/>
      <c r="AB23" s="898"/>
      <c r="AC23" s="898"/>
      <c r="AD23" s="898"/>
      <c r="AE23" s="898"/>
      <c r="AF23" s="898"/>
      <c r="AG23" s="898"/>
      <c r="AH23" s="898"/>
      <c r="AI23" s="898"/>
      <c r="AJ23" s="898"/>
      <c r="AK23" s="898"/>
      <c r="AL23" s="898"/>
      <c r="AM23" s="898"/>
      <c r="AN23" s="898"/>
      <c r="AO23" s="898"/>
      <c r="AP23" s="898"/>
      <c r="AQ23" s="898"/>
      <c r="AR23" s="898"/>
      <c r="AS23" s="898"/>
      <c r="AT23" s="898"/>
      <c r="AU23" s="898"/>
      <c r="AV23" s="898"/>
      <c r="AW23" s="898"/>
      <c r="AX23" s="898"/>
      <c r="AY23" s="898"/>
      <c r="AZ23" s="898"/>
      <c r="BA23" s="898"/>
      <c r="BB23" s="898"/>
      <c r="BC23" s="898"/>
      <c r="BD23" s="898"/>
      <c r="BE23" s="898"/>
      <c r="BF23" s="898"/>
      <c r="BG23" s="898"/>
      <c r="BH23" s="898"/>
      <c r="BI23" s="898"/>
      <c r="BJ23" s="898"/>
      <c r="BK23" s="898"/>
      <c r="BL23" s="898"/>
    </row>
    <row r="24" spans="1:64" s="897" customFormat="1" ht="12.75" customHeight="1" x14ac:dyDescent="0.2">
      <c r="A24" s="1235" t="s">
        <v>1049</v>
      </c>
      <c r="B24" s="1239" t="s">
        <v>1050</v>
      </c>
      <c r="C24" s="438" t="s">
        <v>1025</v>
      </c>
      <c r="D24" s="350"/>
      <c r="E24" s="350"/>
      <c r="F24" s="350"/>
      <c r="G24" s="440" t="s">
        <v>1051</v>
      </c>
      <c r="H24" s="504"/>
      <c r="I24" s="503"/>
      <c r="J24" s="510"/>
      <c r="K24" s="503"/>
      <c r="L24" s="508"/>
      <c r="M24" s="511"/>
      <c r="N24" s="512"/>
      <c r="O24" s="489"/>
      <c r="P24" s="902"/>
      <c r="Q24" s="898"/>
      <c r="R24" s="898"/>
      <c r="S24" s="898"/>
      <c r="T24" s="898"/>
      <c r="U24" s="898"/>
      <c r="V24" s="898"/>
      <c r="W24" s="898"/>
      <c r="X24" s="898"/>
      <c r="Y24" s="898"/>
      <c r="Z24" s="898"/>
      <c r="AA24" s="898"/>
      <c r="AB24" s="898"/>
      <c r="AC24" s="898"/>
      <c r="AD24" s="898"/>
      <c r="AE24" s="898"/>
      <c r="AF24" s="898"/>
      <c r="AG24" s="898"/>
      <c r="AH24" s="898"/>
      <c r="AI24" s="898"/>
      <c r="AJ24" s="898"/>
      <c r="AK24" s="898"/>
      <c r="AL24" s="898"/>
      <c r="AM24" s="898"/>
      <c r="AN24" s="898"/>
      <c r="AO24" s="898"/>
      <c r="AP24" s="898"/>
      <c r="AQ24" s="898"/>
      <c r="AR24" s="898"/>
      <c r="AS24" s="898"/>
      <c r="AT24" s="898"/>
      <c r="AU24" s="898"/>
      <c r="AV24" s="898"/>
      <c r="AW24" s="898"/>
      <c r="AX24" s="898"/>
      <c r="AY24" s="898"/>
      <c r="AZ24" s="898"/>
      <c r="BA24" s="898"/>
      <c r="BB24" s="898"/>
      <c r="BC24" s="898"/>
      <c r="BD24" s="898"/>
      <c r="BE24" s="898"/>
      <c r="BF24" s="898"/>
      <c r="BG24" s="898"/>
      <c r="BH24" s="898"/>
      <c r="BI24" s="898"/>
      <c r="BJ24" s="898"/>
      <c r="BK24" s="898"/>
      <c r="BL24" s="898"/>
    </row>
    <row r="25" spans="1:64" s="897" customFormat="1" ht="12" x14ac:dyDescent="0.2">
      <c r="A25" s="1236"/>
      <c r="B25" s="1240"/>
      <c r="C25" s="506" t="s">
        <v>1027</v>
      </c>
      <c r="D25" s="350"/>
      <c r="E25" s="350"/>
      <c r="F25" s="350"/>
      <c r="G25" s="440" t="s">
        <v>1052</v>
      </c>
      <c r="H25" s="497"/>
      <c r="I25" s="499"/>
      <c r="J25" s="498"/>
      <c r="K25" s="499"/>
      <c r="L25" s="513"/>
      <c r="M25" s="514"/>
      <c r="N25" s="490"/>
      <c r="O25" s="492"/>
      <c r="P25" s="902"/>
      <c r="Q25" s="898"/>
      <c r="R25" s="898"/>
      <c r="S25" s="898"/>
      <c r="T25" s="898"/>
      <c r="U25" s="898"/>
      <c r="V25" s="898"/>
      <c r="W25" s="898"/>
      <c r="X25" s="898"/>
      <c r="Y25" s="898"/>
      <c r="Z25" s="898"/>
      <c r="AA25" s="898"/>
      <c r="AB25" s="898"/>
      <c r="AC25" s="898"/>
      <c r="AD25" s="898"/>
      <c r="AE25" s="898"/>
      <c r="AF25" s="898"/>
      <c r="AG25" s="898"/>
      <c r="AH25" s="898"/>
      <c r="AI25" s="898"/>
      <c r="AJ25" s="898"/>
      <c r="AK25" s="898"/>
      <c r="AL25" s="898"/>
      <c r="AM25" s="898"/>
      <c r="AN25" s="898"/>
      <c r="AO25" s="898"/>
      <c r="AP25" s="898"/>
      <c r="AQ25" s="898"/>
      <c r="AR25" s="898"/>
      <c r="AS25" s="898"/>
      <c r="AT25" s="898"/>
      <c r="AU25" s="898"/>
      <c r="AV25" s="898"/>
      <c r="AW25" s="898"/>
      <c r="AX25" s="898"/>
      <c r="AY25" s="898"/>
      <c r="AZ25" s="898"/>
      <c r="BA25" s="898"/>
      <c r="BB25" s="898"/>
      <c r="BC25" s="898"/>
      <c r="BD25" s="898"/>
      <c r="BE25" s="898"/>
      <c r="BF25" s="898"/>
      <c r="BG25" s="898"/>
      <c r="BH25" s="898"/>
      <c r="BI25" s="898"/>
      <c r="BJ25" s="898"/>
      <c r="BK25" s="898"/>
      <c r="BL25" s="898"/>
    </row>
    <row r="26" spans="1:64" s="897" customFormat="1" ht="12" x14ac:dyDescent="0.2">
      <c r="A26" s="1235" t="s">
        <v>1053</v>
      </c>
      <c r="B26" s="1239" t="s">
        <v>1054</v>
      </c>
      <c r="C26" s="438" t="s">
        <v>1025</v>
      </c>
      <c r="D26" s="350"/>
      <c r="E26" s="350"/>
      <c r="F26" s="350"/>
      <c r="G26" s="440" t="s">
        <v>1055</v>
      </c>
      <c r="H26" s="504"/>
      <c r="I26" s="503"/>
      <c r="J26" s="510"/>
      <c r="K26" s="503"/>
      <c r="L26" s="508"/>
      <c r="M26" s="503"/>
      <c r="N26" s="511"/>
      <c r="O26" s="489"/>
      <c r="P26" s="902"/>
      <c r="Q26" s="898"/>
      <c r="R26" s="898"/>
      <c r="S26" s="898"/>
      <c r="T26" s="898"/>
      <c r="U26" s="898"/>
      <c r="V26" s="898"/>
      <c r="W26" s="898"/>
      <c r="X26" s="898"/>
      <c r="Y26" s="898"/>
      <c r="Z26" s="898"/>
      <c r="AA26" s="898"/>
      <c r="AB26" s="898"/>
      <c r="AC26" s="898"/>
      <c r="AD26" s="898"/>
      <c r="AE26" s="898"/>
      <c r="AF26" s="898"/>
      <c r="AG26" s="898"/>
      <c r="AH26" s="898"/>
      <c r="AI26" s="898"/>
      <c r="AJ26" s="898"/>
      <c r="AK26" s="898"/>
      <c r="AL26" s="898"/>
      <c r="AM26" s="898"/>
      <c r="AN26" s="898"/>
      <c r="AO26" s="898"/>
      <c r="AP26" s="898"/>
      <c r="AQ26" s="898"/>
      <c r="AR26" s="898"/>
      <c r="AS26" s="898"/>
      <c r="AT26" s="898"/>
      <c r="AU26" s="898"/>
      <c r="AV26" s="898"/>
      <c r="AW26" s="898"/>
      <c r="AX26" s="898"/>
      <c r="AY26" s="898"/>
      <c r="AZ26" s="898"/>
      <c r="BA26" s="898"/>
      <c r="BB26" s="898"/>
      <c r="BC26" s="898"/>
      <c r="BD26" s="898"/>
      <c r="BE26" s="898"/>
      <c r="BF26" s="898"/>
      <c r="BG26" s="898"/>
      <c r="BH26" s="898"/>
      <c r="BI26" s="898"/>
      <c r="BJ26" s="898"/>
      <c r="BK26" s="898"/>
      <c r="BL26" s="898"/>
    </row>
    <row r="27" spans="1:64" s="897" customFormat="1" ht="12" x14ac:dyDescent="0.2">
      <c r="A27" s="1236"/>
      <c r="B27" s="1240"/>
      <c r="C27" s="506" t="s">
        <v>1027</v>
      </c>
      <c r="D27" s="350"/>
      <c r="E27" s="350"/>
      <c r="F27" s="350"/>
      <c r="G27" s="440" t="s">
        <v>1056</v>
      </c>
      <c r="H27" s="504"/>
      <c r="I27" s="503"/>
      <c r="J27" s="510"/>
      <c r="K27" s="503"/>
      <c r="L27" s="508"/>
      <c r="M27" s="503"/>
      <c r="N27" s="515"/>
      <c r="O27" s="516"/>
      <c r="P27" s="902"/>
      <c r="Q27" s="898"/>
      <c r="R27" s="898"/>
      <c r="S27" s="898"/>
      <c r="T27" s="898"/>
      <c r="U27" s="898"/>
      <c r="V27" s="898"/>
      <c r="W27" s="898"/>
      <c r="X27" s="898"/>
      <c r="Y27" s="898"/>
      <c r="Z27" s="898"/>
      <c r="AA27" s="898"/>
      <c r="AB27" s="898"/>
      <c r="AC27" s="898"/>
      <c r="AD27" s="898"/>
      <c r="AE27" s="898"/>
      <c r="AF27" s="898"/>
      <c r="AG27" s="898"/>
      <c r="AH27" s="898"/>
      <c r="AI27" s="898"/>
      <c r="AJ27" s="898"/>
      <c r="AK27" s="898"/>
      <c r="AL27" s="898"/>
      <c r="AM27" s="898"/>
      <c r="AN27" s="898"/>
      <c r="AO27" s="898"/>
      <c r="AP27" s="898"/>
      <c r="AQ27" s="898"/>
      <c r="AR27" s="898"/>
      <c r="AS27" s="898"/>
      <c r="AT27" s="898"/>
      <c r="AU27" s="898"/>
      <c r="AV27" s="898"/>
      <c r="AW27" s="898"/>
      <c r="AX27" s="898"/>
      <c r="AY27" s="898"/>
      <c r="AZ27" s="898"/>
      <c r="BA27" s="898"/>
      <c r="BB27" s="898"/>
      <c r="BC27" s="898"/>
      <c r="BD27" s="898"/>
      <c r="BE27" s="898"/>
      <c r="BF27" s="898"/>
      <c r="BG27" s="898"/>
      <c r="BH27" s="898"/>
      <c r="BI27" s="898"/>
      <c r="BJ27" s="898"/>
      <c r="BK27" s="898"/>
      <c r="BL27" s="898"/>
    </row>
    <row r="28" spans="1:64" s="897" customFormat="1" ht="12" x14ac:dyDescent="0.2">
      <c r="A28" s="1235" t="s">
        <v>1057</v>
      </c>
      <c r="B28" s="1239" t="s">
        <v>1058</v>
      </c>
      <c r="C28" s="438" t="s">
        <v>1025</v>
      </c>
      <c r="D28" s="350"/>
      <c r="E28" s="350"/>
      <c r="F28" s="350"/>
      <c r="G28" s="440" t="s">
        <v>1059</v>
      </c>
      <c r="H28" s="501"/>
      <c r="I28" s="517">
        <f t="shared" ref="I28:N29" si="0">(I10+I12+I14+I16+I18+I20+I22+I24+I26)</f>
        <v>0</v>
      </c>
      <c r="J28" s="517">
        <f t="shared" si="0"/>
        <v>0</v>
      </c>
      <c r="K28" s="517">
        <f t="shared" si="0"/>
        <v>0</v>
      </c>
      <c r="L28" s="517">
        <f t="shared" si="0"/>
        <v>0</v>
      </c>
      <c r="M28" s="517">
        <f t="shared" si="0"/>
        <v>0</v>
      </c>
      <c r="N28" s="517">
        <f t="shared" si="0"/>
        <v>0</v>
      </c>
      <c r="O28" s="518"/>
      <c r="P28" s="902"/>
      <c r="Q28" s="898"/>
      <c r="R28" s="898"/>
      <c r="S28" s="898"/>
      <c r="T28" s="898"/>
      <c r="U28" s="898"/>
      <c r="V28" s="898"/>
      <c r="W28" s="898"/>
      <c r="X28" s="898"/>
      <c r="Y28" s="898"/>
      <c r="Z28" s="898"/>
      <c r="AA28" s="898"/>
      <c r="AB28" s="898"/>
      <c r="AC28" s="898"/>
      <c r="AD28" s="898"/>
      <c r="AE28" s="898"/>
      <c r="AF28" s="898"/>
      <c r="AG28" s="898"/>
      <c r="AH28" s="898"/>
      <c r="AI28" s="898"/>
      <c r="AJ28" s="898"/>
      <c r="AK28" s="898"/>
      <c r="AL28" s="898"/>
      <c r="AM28" s="898"/>
      <c r="AN28" s="898"/>
      <c r="AO28" s="898"/>
      <c r="AP28" s="898"/>
      <c r="AQ28" s="898"/>
      <c r="AR28" s="898"/>
      <c r="AS28" s="898"/>
      <c r="AT28" s="898"/>
      <c r="AU28" s="898"/>
      <c r="AV28" s="898"/>
      <c r="AW28" s="898"/>
      <c r="AX28" s="898"/>
      <c r="AY28" s="898"/>
      <c r="AZ28" s="898"/>
      <c r="BA28" s="898"/>
      <c r="BB28" s="898"/>
      <c r="BC28" s="898"/>
      <c r="BD28" s="898"/>
      <c r="BE28" s="898"/>
      <c r="BF28" s="898"/>
      <c r="BG28" s="898"/>
      <c r="BH28" s="898"/>
      <c r="BI28" s="898"/>
      <c r="BJ28" s="898"/>
      <c r="BK28" s="898"/>
      <c r="BL28" s="898"/>
    </row>
    <row r="29" spans="1:64" s="897" customFormat="1" ht="12" x14ac:dyDescent="0.2">
      <c r="A29" s="1236"/>
      <c r="B29" s="1240"/>
      <c r="C29" s="438" t="s">
        <v>1027</v>
      </c>
      <c r="D29" s="350"/>
      <c r="E29" s="350"/>
      <c r="F29" s="350"/>
      <c r="G29" s="440" t="s">
        <v>1060</v>
      </c>
      <c r="H29" s="501"/>
      <c r="I29" s="517">
        <f t="shared" si="0"/>
        <v>0</v>
      </c>
      <c r="J29" s="517">
        <f t="shared" si="0"/>
        <v>0</v>
      </c>
      <c r="K29" s="517">
        <f t="shared" si="0"/>
        <v>0</v>
      </c>
      <c r="L29" s="517">
        <f t="shared" si="0"/>
        <v>0</v>
      </c>
      <c r="M29" s="517">
        <f t="shared" si="0"/>
        <v>0</v>
      </c>
      <c r="N29" s="517">
        <f t="shared" si="0"/>
        <v>0</v>
      </c>
      <c r="O29" s="516"/>
      <c r="P29" s="902"/>
      <c r="Q29" s="898"/>
      <c r="R29" s="898"/>
      <c r="S29" s="898"/>
      <c r="T29" s="898"/>
      <c r="U29" s="898"/>
      <c r="V29" s="898"/>
      <c r="W29" s="898"/>
      <c r="X29" s="898"/>
      <c r="Y29" s="898"/>
      <c r="Z29" s="898"/>
      <c r="AA29" s="898"/>
      <c r="AB29" s="898"/>
      <c r="AC29" s="898"/>
      <c r="AD29" s="898"/>
      <c r="AE29" s="898"/>
      <c r="AF29" s="898"/>
      <c r="AG29" s="898"/>
      <c r="AH29" s="898"/>
      <c r="AI29" s="898"/>
      <c r="AJ29" s="898"/>
      <c r="AK29" s="898"/>
      <c r="AL29" s="898"/>
      <c r="AM29" s="898"/>
      <c r="AN29" s="898"/>
      <c r="AO29" s="898"/>
      <c r="AP29" s="898"/>
      <c r="AQ29" s="898"/>
      <c r="AR29" s="898"/>
      <c r="AS29" s="898"/>
      <c r="AT29" s="898"/>
      <c r="AU29" s="898"/>
      <c r="AV29" s="898"/>
      <c r="AW29" s="898"/>
      <c r="AX29" s="898"/>
      <c r="AY29" s="898"/>
      <c r="AZ29" s="898"/>
      <c r="BA29" s="898"/>
      <c r="BB29" s="898"/>
      <c r="BC29" s="898"/>
      <c r="BD29" s="898"/>
      <c r="BE29" s="898"/>
      <c r="BF29" s="898"/>
      <c r="BG29" s="898"/>
      <c r="BH29" s="898"/>
      <c r="BI29" s="898"/>
      <c r="BJ29" s="898"/>
      <c r="BK29" s="898"/>
      <c r="BL29" s="898"/>
    </row>
    <row r="30" spans="1:64" s="897" customFormat="1" ht="12" x14ac:dyDescent="0.2">
      <c r="A30" s="465" t="s">
        <v>1426</v>
      </c>
      <c r="B30" s="519" t="s">
        <v>1061</v>
      </c>
      <c r="C30" s="461"/>
      <c r="D30" s="350"/>
      <c r="E30" s="350"/>
      <c r="F30" s="350"/>
      <c r="G30" s="504" t="s">
        <v>1062</v>
      </c>
      <c r="H30" s="520"/>
      <c r="I30" s="521">
        <f>(I28+I29)*0</f>
        <v>0</v>
      </c>
      <c r="J30" s="521">
        <f>(J28+J29)*0.0025</f>
        <v>0</v>
      </c>
      <c r="K30" s="521">
        <f>(K28+K29)*0.01</f>
        <v>0</v>
      </c>
      <c r="L30" s="521">
        <f>(L28+L29)*0.016</f>
        <v>0</v>
      </c>
      <c r="M30" s="521">
        <f>(M28+M29)*0.04</f>
        <v>0</v>
      </c>
      <c r="N30" s="521">
        <f>(N28+N29)*0.08</f>
        <v>0</v>
      </c>
      <c r="O30" s="522">
        <f>SUM(I30:N30)</f>
        <v>0</v>
      </c>
      <c r="P30" s="902"/>
      <c r="Q30" s="898"/>
      <c r="R30" s="898"/>
      <c r="S30" s="898"/>
      <c r="T30" s="898"/>
      <c r="U30" s="898"/>
      <c r="V30" s="898"/>
      <c r="W30" s="898"/>
      <c r="X30" s="898"/>
      <c r="Y30" s="898"/>
      <c r="Z30" s="898"/>
      <c r="AA30" s="898"/>
      <c r="AB30" s="898"/>
      <c r="AC30" s="898"/>
      <c r="AD30" s="898"/>
      <c r="AE30" s="898"/>
      <c r="AF30" s="898"/>
      <c r="AG30" s="898"/>
      <c r="AH30" s="898"/>
      <c r="AI30" s="898"/>
      <c r="AJ30" s="898"/>
      <c r="AK30" s="898"/>
      <c r="AL30" s="898"/>
      <c r="AM30" s="898"/>
      <c r="AN30" s="898"/>
      <c r="AO30" s="898"/>
      <c r="AP30" s="898"/>
      <c r="AQ30" s="898"/>
      <c r="AR30" s="898"/>
      <c r="AS30" s="898"/>
      <c r="AT30" s="898"/>
      <c r="AU30" s="898"/>
      <c r="AV30" s="898"/>
      <c r="AW30" s="898"/>
      <c r="AX30" s="898"/>
      <c r="AY30" s="898"/>
      <c r="AZ30" s="898"/>
      <c r="BA30" s="898"/>
      <c r="BB30" s="898"/>
      <c r="BC30" s="898"/>
      <c r="BD30" s="898"/>
      <c r="BE30" s="898"/>
      <c r="BF30" s="898"/>
      <c r="BG30" s="898"/>
      <c r="BH30" s="898"/>
      <c r="BI30" s="898"/>
      <c r="BJ30" s="898"/>
      <c r="BK30" s="898"/>
      <c r="BL30" s="898"/>
    </row>
    <row r="31" spans="1:64" s="897" customFormat="1" ht="12.75" customHeight="1" x14ac:dyDescent="0.2">
      <c r="A31" s="465" t="s">
        <v>1438</v>
      </c>
      <c r="B31" s="1245" t="s">
        <v>1063</v>
      </c>
      <c r="C31" s="1246"/>
      <c r="D31" s="350"/>
      <c r="E31" s="350"/>
      <c r="F31" s="350"/>
      <c r="G31" s="501" t="s">
        <v>1064</v>
      </c>
      <c r="H31" s="501"/>
      <c r="I31" s="523"/>
      <c r="J31" s="523"/>
      <c r="K31" s="523"/>
      <c r="L31" s="523"/>
      <c r="M31" s="523"/>
      <c r="N31" s="523"/>
      <c r="O31" s="524">
        <f>'IRX-CLN'!T20</f>
        <v>0</v>
      </c>
      <c r="P31" s="902"/>
      <c r="Q31" s="898"/>
      <c r="R31" s="898"/>
      <c r="S31" s="898"/>
      <c r="T31" s="898"/>
      <c r="U31" s="898"/>
      <c r="V31" s="898"/>
      <c r="W31" s="898"/>
      <c r="X31" s="898"/>
      <c r="Y31" s="898"/>
      <c r="Z31" s="898"/>
      <c r="AA31" s="898"/>
      <c r="AB31" s="898"/>
      <c r="AC31" s="898"/>
      <c r="AD31" s="898"/>
      <c r="AE31" s="898"/>
      <c r="AF31" s="898"/>
      <c r="AG31" s="898"/>
      <c r="AH31" s="898"/>
      <c r="AI31" s="898"/>
      <c r="AJ31" s="898"/>
      <c r="AK31" s="898"/>
      <c r="AL31" s="898"/>
      <c r="AM31" s="898"/>
      <c r="AN31" s="898"/>
      <c r="AO31" s="898"/>
      <c r="AP31" s="898"/>
      <c r="AQ31" s="898"/>
      <c r="AR31" s="898"/>
      <c r="AS31" s="898"/>
      <c r="AT31" s="898"/>
      <c r="AU31" s="898"/>
      <c r="AV31" s="898"/>
      <c r="AW31" s="898"/>
      <c r="AX31" s="898"/>
      <c r="AY31" s="898"/>
      <c r="AZ31" s="898"/>
      <c r="BA31" s="898"/>
      <c r="BB31" s="898"/>
      <c r="BC31" s="898"/>
      <c r="BD31" s="898"/>
      <c r="BE31" s="898"/>
      <c r="BF31" s="898"/>
      <c r="BG31" s="898"/>
      <c r="BH31" s="898"/>
      <c r="BI31" s="898"/>
      <c r="BJ31" s="898"/>
      <c r="BK31" s="898"/>
      <c r="BL31" s="898"/>
    </row>
    <row r="32" spans="1:64" s="897" customFormat="1" ht="12.75" customHeight="1" x14ac:dyDescent="0.2">
      <c r="A32" s="465" t="s">
        <v>816</v>
      </c>
      <c r="B32" s="1245" t="s">
        <v>1065</v>
      </c>
      <c r="C32" s="1246"/>
      <c r="D32" s="350"/>
      <c r="E32" s="350"/>
      <c r="F32" s="350"/>
      <c r="G32" s="501" t="s">
        <v>1066</v>
      </c>
      <c r="H32" s="501"/>
      <c r="I32" s="523"/>
      <c r="J32" s="523"/>
      <c r="K32" s="523"/>
      <c r="L32" s="523"/>
      <c r="M32" s="523"/>
      <c r="N32" s="523"/>
      <c r="O32" s="524">
        <f>'IRX-SWAP'!P32</f>
        <v>0</v>
      </c>
      <c r="P32" s="902"/>
      <c r="Q32" s="898"/>
      <c r="R32" s="898"/>
      <c r="S32" s="898"/>
      <c r="T32" s="898"/>
      <c r="U32" s="898"/>
      <c r="V32" s="898"/>
      <c r="W32" s="898"/>
      <c r="X32" s="898"/>
      <c r="Y32" s="898"/>
      <c r="Z32" s="898"/>
      <c r="AA32" s="898"/>
      <c r="AB32" s="898"/>
      <c r="AC32" s="898"/>
      <c r="AD32" s="898"/>
      <c r="AE32" s="898"/>
      <c r="AF32" s="898"/>
      <c r="AG32" s="898"/>
      <c r="AH32" s="898"/>
      <c r="AI32" s="898"/>
      <c r="AJ32" s="898"/>
      <c r="AK32" s="898"/>
      <c r="AL32" s="898"/>
      <c r="AM32" s="898"/>
      <c r="AN32" s="898"/>
      <c r="AO32" s="898"/>
      <c r="AP32" s="898"/>
      <c r="AQ32" s="898"/>
      <c r="AR32" s="898"/>
      <c r="AS32" s="898"/>
      <c r="AT32" s="898"/>
      <c r="AU32" s="898"/>
      <c r="AV32" s="898"/>
      <c r="AW32" s="898"/>
      <c r="AX32" s="898"/>
      <c r="AY32" s="898"/>
      <c r="AZ32" s="898"/>
      <c r="BA32" s="898"/>
      <c r="BB32" s="898"/>
      <c r="BC32" s="898"/>
      <c r="BD32" s="898"/>
      <c r="BE32" s="898"/>
      <c r="BF32" s="898"/>
      <c r="BG32" s="898"/>
      <c r="BH32" s="898"/>
      <c r="BI32" s="898"/>
      <c r="BJ32" s="898"/>
      <c r="BK32" s="898"/>
      <c r="BL32" s="898"/>
    </row>
    <row r="33" spans="1:64" s="897" customFormat="1" ht="23.25" thickBot="1" x14ac:dyDescent="0.25">
      <c r="A33" s="525" t="s">
        <v>486</v>
      </c>
      <c r="B33" s="526" t="s">
        <v>1067</v>
      </c>
      <c r="C33" s="527"/>
      <c r="D33" s="350"/>
      <c r="E33" s="350"/>
      <c r="F33" s="350"/>
      <c r="G33" s="528" t="s">
        <v>1632</v>
      </c>
      <c r="H33" s="529"/>
      <c r="I33" s="527"/>
      <c r="J33" s="527"/>
      <c r="K33" s="527"/>
      <c r="L33" s="527"/>
      <c r="M33" s="527"/>
      <c r="N33" s="527"/>
      <c r="O33" s="530">
        <f>SUM(O30:O32)</f>
        <v>0</v>
      </c>
      <c r="P33" s="902"/>
      <c r="Q33" s="898"/>
      <c r="R33" s="898"/>
      <c r="S33" s="898"/>
      <c r="T33" s="898"/>
      <c r="U33" s="898"/>
      <c r="V33" s="898"/>
      <c r="W33" s="898"/>
      <c r="X33" s="898"/>
      <c r="Y33" s="898"/>
      <c r="Z33" s="898"/>
      <c r="AA33" s="898"/>
      <c r="AB33" s="898"/>
      <c r="AC33" s="898"/>
      <c r="AD33" s="898"/>
      <c r="AE33" s="898"/>
      <c r="AF33" s="898"/>
      <c r="AG33" s="898"/>
      <c r="AH33" s="898"/>
      <c r="AI33" s="898"/>
      <c r="AJ33" s="898"/>
      <c r="AK33" s="898"/>
      <c r="AL33" s="898"/>
      <c r="AM33" s="898"/>
      <c r="AN33" s="898"/>
      <c r="AO33" s="898"/>
      <c r="AP33" s="898"/>
      <c r="AQ33" s="898"/>
      <c r="AR33" s="898"/>
      <c r="AS33" s="898"/>
      <c r="AT33" s="898"/>
      <c r="AU33" s="898"/>
      <c r="AV33" s="898"/>
      <c r="AW33" s="898"/>
      <c r="AX33" s="898"/>
      <c r="AY33" s="898"/>
      <c r="AZ33" s="898"/>
      <c r="BA33" s="898"/>
      <c r="BB33" s="898"/>
      <c r="BC33" s="898"/>
      <c r="BD33" s="898"/>
      <c r="BE33" s="898"/>
      <c r="BF33" s="898"/>
      <c r="BG33" s="898"/>
      <c r="BH33" s="898"/>
      <c r="BI33" s="898"/>
      <c r="BJ33" s="898"/>
      <c r="BK33" s="898"/>
      <c r="BL33" s="898"/>
    </row>
    <row r="34" spans="1:64" s="905" customFormat="1" ht="11.25" x14ac:dyDescent="0.2">
      <c r="A34" s="350"/>
      <c r="B34" s="350"/>
      <c r="C34" s="350"/>
      <c r="D34" s="350"/>
      <c r="E34" s="350"/>
      <c r="F34" s="350"/>
      <c r="G34" s="478" t="s">
        <v>309</v>
      </c>
      <c r="H34" s="350"/>
      <c r="I34" s="350"/>
      <c r="J34" s="531"/>
      <c r="K34" s="531"/>
      <c r="L34" s="531"/>
      <c r="M34" s="532"/>
      <c r="N34" s="532"/>
      <c r="O34" s="532"/>
      <c r="P34" s="903"/>
      <c r="Q34" s="904"/>
      <c r="R34" s="904"/>
      <c r="S34" s="904"/>
      <c r="T34" s="904"/>
      <c r="U34" s="904"/>
      <c r="V34" s="904"/>
      <c r="W34" s="904"/>
      <c r="X34" s="904"/>
      <c r="Y34" s="904"/>
      <c r="Z34" s="904"/>
      <c r="AA34" s="904"/>
      <c r="AB34" s="904"/>
      <c r="AC34" s="904"/>
      <c r="AD34" s="904"/>
      <c r="AE34" s="904"/>
      <c r="AF34" s="904"/>
      <c r="AG34" s="904"/>
      <c r="AH34" s="904"/>
      <c r="AI34" s="904"/>
      <c r="AJ34" s="904"/>
      <c r="AK34" s="904"/>
      <c r="AL34" s="904"/>
      <c r="AM34" s="904"/>
      <c r="AN34" s="904"/>
      <c r="AO34" s="904"/>
      <c r="AP34" s="904"/>
      <c r="AQ34" s="904"/>
      <c r="AR34" s="904"/>
      <c r="AS34" s="904"/>
      <c r="AT34" s="904"/>
      <c r="AU34" s="904"/>
      <c r="AV34" s="904"/>
      <c r="AW34" s="904"/>
      <c r="AX34" s="904"/>
      <c r="AY34" s="904"/>
      <c r="AZ34" s="904"/>
      <c r="BA34" s="904"/>
      <c r="BB34" s="904"/>
      <c r="BC34" s="904"/>
      <c r="BD34" s="904"/>
      <c r="BE34" s="904"/>
      <c r="BF34" s="904"/>
      <c r="BG34" s="904"/>
      <c r="BH34" s="904"/>
      <c r="BI34" s="904"/>
      <c r="BJ34" s="904"/>
      <c r="BK34" s="904"/>
      <c r="BL34" s="904"/>
    </row>
    <row r="35" spans="1:64" s="905" customFormat="1" ht="12.75" customHeight="1" x14ac:dyDescent="0.2">
      <c r="A35" s="533" t="s">
        <v>494</v>
      </c>
      <c r="B35" s="1244" t="s">
        <v>200</v>
      </c>
      <c r="C35" s="1244"/>
      <c r="D35" s="1244"/>
      <c r="E35" s="1244"/>
      <c r="F35" s="1244"/>
      <c r="G35" s="1244"/>
      <c r="H35" s="534"/>
      <c r="I35" s="534"/>
      <c r="J35" s="534"/>
      <c r="K35" s="534"/>
      <c r="L35" s="534"/>
      <c r="M35" s="532"/>
      <c r="N35" s="532"/>
      <c r="O35" s="532"/>
      <c r="P35" s="903"/>
      <c r="Q35" s="904"/>
      <c r="R35" s="904"/>
      <c r="S35" s="904"/>
      <c r="T35" s="904"/>
      <c r="U35" s="904"/>
      <c r="V35" s="904"/>
      <c r="W35" s="904"/>
      <c r="X35" s="904"/>
      <c r="Y35" s="904"/>
      <c r="Z35" s="904"/>
      <c r="AA35" s="904"/>
      <c r="AB35" s="904"/>
      <c r="AC35" s="904"/>
      <c r="AD35" s="904"/>
      <c r="AE35" s="904"/>
      <c r="AF35" s="904"/>
      <c r="AG35" s="904"/>
      <c r="AH35" s="904"/>
      <c r="AI35" s="904"/>
      <c r="AJ35" s="904"/>
      <c r="AK35" s="904"/>
      <c r="AL35" s="904"/>
      <c r="AM35" s="904"/>
      <c r="AN35" s="904"/>
      <c r="AO35" s="904"/>
      <c r="AP35" s="904"/>
      <c r="AQ35" s="904"/>
      <c r="AR35" s="904"/>
      <c r="AS35" s="904"/>
      <c r="AT35" s="904"/>
      <c r="AU35" s="904"/>
      <c r="AV35" s="904"/>
      <c r="AW35" s="904"/>
      <c r="AX35" s="904"/>
      <c r="AY35" s="904"/>
      <c r="AZ35" s="904"/>
      <c r="BA35" s="904"/>
      <c r="BB35" s="904"/>
      <c r="BC35" s="904"/>
      <c r="BD35" s="904"/>
      <c r="BE35" s="904"/>
      <c r="BF35" s="904"/>
      <c r="BG35" s="904"/>
      <c r="BH35" s="904"/>
      <c r="BI35" s="904"/>
      <c r="BJ35" s="904"/>
      <c r="BK35" s="904"/>
      <c r="BL35" s="904"/>
    </row>
    <row r="36" spans="1:64" s="905" customFormat="1" ht="23.25" customHeight="1" x14ac:dyDescent="0.2">
      <c r="A36" s="533"/>
      <c r="B36" s="1247" t="s">
        <v>201</v>
      </c>
      <c r="C36" s="1247"/>
      <c r="D36" s="1247"/>
      <c r="E36" s="1247"/>
      <c r="F36" s="1247"/>
      <c r="G36" s="1247"/>
      <c r="H36" s="534"/>
      <c r="I36" s="534"/>
      <c r="J36" s="534"/>
      <c r="K36" s="534"/>
      <c r="L36" s="531"/>
      <c r="M36" s="532"/>
      <c r="N36" s="532"/>
      <c r="O36" s="532"/>
      <c r="P36" s="903"/>
      <c r="Q36" s="904"/>
      <c r="R36" s="904"/>
      <c r="S36" s="904"/>
      <c r="T36" s="904"/>
      <c r="U36" s="904"/>
      <c r="V36" s="904"/>
      <c r="W36" s="904"/>
      <c r="X36" s="904"/>
      <c r="Y36" s="904"/>
      <c r="Z36" s="904"/>
      <c r="AA36" s="904"/>
      <c r="AB36" s="904"/>
      <c r="AC36" s="904"/>
      <c r="AD36" s="904"/>
      <c r="AE36" s="904"/>
      <c r="AF36" s="904"/>
      <c r="AG36" s="904"/>
      <c r="AH36" s="904"/>
      <c r="AI36" s="904"/>
      <c r="AJ36" s="904"/>
      <c r="AK36" s="904"/>
      <c r="AL36" s="904"/>
      <c r="AM36" s="904"/>
      <c r="AN36" s="904"/>
      <c r="AO36" s="904"/>
      <c r="AP36" s="904"/>
      <c r="AQ36" s="904"/>
      <c r="AR36" s="904"/>
      <c r="AS36" s="904"/>
      <c r="AT36" s="904"/>
      <c r="AU36" s="904"/>
      <c r="AV36" s="904"/>
      <c r="AW36" s="904"/>
      <c r="AX36" s="904"/>
      <c r="AY36" s="904"/>
      <c r="AZ36" s="904"/>
      <c r="BA36" s="904"/>
      <c r="BB36" s="904"/>
      <c r="BC36" s="904"/>
      <c r="BD36" s="904"/>
      <c r="BE36" s="904"/>
      <c r="BF36" s="904"/>
      <c r="BG36" s="904"/>
      <c r="BH36" s="904"/>
      <c r="BI36" s="904"/>
      <c r="BJ36" s="904"/>
      <c r="BK36" s="904"/>
      <c r="BL36" s="904"/>
    </row>
    <row r="37" spans="1:64" s="905" customFormat="1" ht="13.5" customHeight="1" x14ac:dyDescent="0.2">
      <c r="A37" s="533" t="s">
        <v>496</v>
      </c>
      <c r="B37" s="1243" t="s">
        <v>202</v>
      </c>
      <c r="C37" s="1243"/>
      <c r="D37" s="1243"/>
      <c r="E37" s="1243"/>
      <c r="F37" s="1243"/>
      <c r="G37" s="1243"/>
      <c r="H37" s="350"/>
      <c r="I37" s="350"/>
      <c r="J37" s="531"/>
      <c r="K37" s="531"/>
      <c r="L37" s="531"/>
      <c r="M37" s="532"/>
      <c r="N37" s="532"/>
      <c r="O37" s="532"/>
      <c r="P37" s="903"/>
      <c r="Q37" s="904"/>
      <c r="R37" s="904"/>
      <c r="S37" s="904"/>
      <c r="T37" s="904"/>
      <c r="U37" s="904"/>
      <c r="V37" s="904"/>
      <c r="W37" s="904"/>
      <c r="X37" s="904"/>
      <c r="Y37" s="904"/>
      <c r="Z37" s="904"/>
      <c r="AA37" s="904"/>
      <c r="AB37" s="904"/>
      <c r="AC37" s="904"/>
      <c r="AD37" s="904"/>
      <c r="AE37" s="904"/>
      <c r="AF37" s="904"/>
      <c r="AG37" s="904"/>
      <c r="AH37" s="904"/>
      <c r="AI37" s="904"/>
      <c r="AJ37" s="904"/>
      <c r="AK37" s="904"/>
      <c r="AL37" s="904"/>
      <c r="AM37" s="904"/>
      <c r="AN37" s="904"/>
      <c r="AO37" s="904"/>
      <c r="AP37" s="904"/>
      <c r="AQ37" s="904"/>
      <c r="AR37" s="904"/>
      <c r="AS37" s="904"/>
      <c r="AT37" s="904"/>
      <c r="AU37" s="904"/>
      <c r="AV37" s="904"/>
      <c r="AW37" s="904"/>
      <c r="AX37" s="904"/>
      <c r="AY37" s="904"/>
      <c r="AZ37" s="904"/>
      <c r="BA37" s="904"/>
      <c r="BB37" s="904"/>
      <c r="BC37" s="904"/>
      <c r="BD37" s="904"/>
      <c r="BE37" s="904"/>
      <c r="BF37" s="904"/>
      <c r="BG37" s="904"/>
      <c r="BH37" s="904"/>
      <c r="BI37" s="904"/>
      <c r="BJ37" s="904"/>
      <c r="BK37" s="904"/>
      <c r="BL37" s="904"/>
    </row>
    <row r="38" spans="1:64" s="905" customFormat="1" ht="34.5" customHeight="1" x14ac:dyDescent="0.2">
      <c r="A38" s="535" t="s">
        <v>498</v>
      </c>
      <c r="B38" s="1244" t="s">
        <v>1683</v>
      </c>
      <c r="C38" s="1244"/>
      <c r="D38" s="1244"/>
      <c r="E38" s="1244"/>
      <c r="F38" s="1244"/>
      <c r="G38" s="1244"/>
      <c r="H38" s="534"/>
      <c r="I38" s="534"/>
      <c r="J38" s="534"/>
      <c r="K38" s="534"/>
      <c r="L38" s="534"/>
      <c r="M38" s="532"/>
      <c r="N38" s="532"/>
      <c r="O38" s="532"/>
      <c r="P38" s="903"/>
      <c r="Q38" s="904"/>
      <c r="R38" s="904"/>
      <c r="S38" s="904"/>
      <c r="T38" s="904"/>
      <c r="U38" s="904"/>
      <c r="V38" s="904"/>
      <c r="W38" s="904"/>
      <c r="X38" s="904"/>
      <c r="Y38" s="904"/>
      <c r="Z38" s="904"/>
      <c r="AA38" s="904"/>
      <c r="AB38" s="904"/>
      <c r="AC38" s="904"/>
      <c r="AD38" s="904"/>
      <c r="AE38" s="904"/>
      <c r="AF38" s="904"/>
      <c r="AG38" s="904"/>
      <c r="AH38" s="904"/>
      <c r="AI38" s="904"/>
      <c r="AJ38" s="904"/>
      <c r="AK38" s="904"/>
      <c r="AL38" s="904"/>
      <c r="AM38" s="904"/>
      <c r="AN38" s="904"/>
      <c r="AO38" s="904"/>
      <c r="AP38" s="904"/>
      <c r="AQ38" s="904"/>
      <c r="AR38" s="904"/>
      <c r="AS38" s="904"/>
      <c r="AT38" s="904"/>
      <c r="AU38" s="904"/>
      <c r="AV38" s="904"/>
      <c r="AW38" s="904"/>
      <c r="AX38" s="904"/>
      <c r="AY38" s="904"/>
      <c r="AZ38" s="904"/>
      <c r="BA38" s="904"/>
      <c r="BB38" s="904"/>
      <c r="BC38" s="904"/>
      <c r="BD38" s="904"/>
      <c r="BE38" s="904"/>
      <c r="BF38" s="904"/>
      <c r="BG38" s="904"/>
      <c r="BH38" s="904"/>
      <c r="BI38" s="904"/>
      <c r="BJ38" s="904"/>
      <c r="BK38" s="904"/>
      <c r="BL38" s="904"/>
    </row>
  </sheetData>
  <sheetProtection password="ACD5" sheet="1" objects="1" scenarios="1"/>
  <mergeCells count="37">
    <mergeCell ref="B37:G37"/>
    <mergeCell ref="B38:G38"/>
    <mergeCell ref="B31:C31"/>
    <mergeCell ref="B32:C32"/>
    <mergeCell ref="B35:G35"/>
    <mergeCell ref="B36:G36"/>
    <mergeCell ref="A26:A27"/>
    <mergeCell ref="B26:B27"/>
    <mergeCell ref="A28:A29"/>
    <mergeCell ref="B28:B29"/>
    <mergeCell ref="A22:A23"/>
    <mergeCell ref="B22:B23"/>
    <mergeCell ref="A24:A25"/>
    <mergeCell ref="B24:B25"/>
    <mergeCell ref="A20:A21"/>
    <mergeCell ref="B20:B21"/>
    <mergeCell ref="A14:A15"/>
    <mergeCell ref="B14:B15"/>
    <mergeCell ref="A16:A17"/>
    <mergeCell ref="B16:B17"/>
    <mergeCell ref="A18:A19"/>
    <mergeCell ref="B18:B19"/>
    <mergeCell ref="A10:A11"/>
    <mergeCell ref="B10:B11"/>
    <mergeCell ref="A12:A13"/>
    <mergeCell ref="B12:B13"/>
    <mergeCell ref="C6:C9"/>
    <mergeCell ref="G6:G9"/>
    <mergeCell ref="A6:A9"/>
    <mergeCell ref="B6:B9"/>
    <mergeCell ref="O6:O9"/>
    <mergeCell ref="I7:I9"/>
    <mergeCell ref="J7:L7"/>
    <mergeCell ref="M7:M9"/>
    <mergeCell ref="N7:N9"/>
    <mergeCell ref="H6:H9"/>
    <mergeCell ref="I6:N6"/>
  </mergeCells>
  <phoneticPr fontId="36" type="noConversion"/>
  <dataValidations count="1">
    <dataValidation type="decimal" operator="greaterThanOrEqual" allowBlank="1" showInputMessage="1" showErrorMessage="1" sqref="I10:I11 N12:N13 I14:L17 J18:L21 M24:M25 N26:N27 J12:L13">
      <formula1>0</formula1>
    </dataValidation>
  </dataValidations>
  <pageMargins left="0.25" right="0.25" top="0.68" bottom="0.2" header="0.31" footer="0.2"/>
  <pageSetup paperSize="9" scale="72" orientation="landscape" r:id="rId1"/>
  <headerFooter alignWithMargins="0">
    <oddHeader>&amp;C&amp;"Arial,Bold"&amp;8 NEW RURAL BANK OF SAN LEONARDO, INC  [ 04-040656 ]
 As of: September 30, 2017</oddHeader>
  </headerFooter>
  <colBreaks count="1" manualBreakCount="1">
    <brk id="14" max="1048575" man="1"/>
  </colBreak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BN46"/>
  <sheetViews>
    <sheetView view="pageBreakPreview" topLeftCell="A2" zoomScaleNormal="100" workbookViewId="0">
      <selection activeCell="B5" sqref="B5:K5"/>
    </sheetView>
  </sheetViews>
  <sheetFormatPr defaultRowHeight="12.75" x14ac:dyDescent="0.2"/>
  <cols>
    <col min="1" max="1" width="1.85546875" style="889" customWidth="1"/>
    <col min="2" max="2" width="2.42578125" style="889" customWidth="1"/>
    <col min="3" max="3" width="24.5703125" style="909" customWidth="1"/>
    <col min="4" max="4" width="8.140625" style="889" hidden="1" customWidth="1"/>
    <col min="5" max="5" width="21.140625" style="889" hidden="1" customWidth="1"/>
    <col min="6" max="6" width="7.85546875" style="889" hidden="1" customWidth="1"/>
    <col min="7" max="7" width="16.7109375" style="889" bestFit="1" customWidth="1"/>
    <col min="8" max="8" width="8.28515625" style="907" customWidth="1"/>
    <col min="9" max="10" width="9.28515625" style="889" customWidth="1"/>
    <col min="11" max="11" width="13.5703125" style="908" customWidth="1"/>
    <col min="12" max="13" width="8.42578125" style="891" customWidth="1"/>
    <col min="14" max="14" width="15.85546875" style="891" customWidth="1"/>
    <col min="15" max="15" width="2.140625" style="891" bestFit="1" customWidth="1"/>
    <col min="16" max="18" width="15.85546875" style="891" customWidth="1"/>
    <col min="19" max="19" width="2.140625" style="891" bestFit="1" customWidth="1"/>
    <col min="20" max="20" width="15.85546875" style="891" customWidth="1"/>
  </cols>
  <sheetData>
    <row r="1" spans="1:66" s="889" customFormat="1" hidden="1" x14ac:dyDescent="0.2">
      <c r="A1" s="426"/>
      <c r="B1" s="426"/>
      <c r="C1" s="536"/>
      <c r="D1" s="426"/>
      <c r="E1" s="426"/>
      <c r="F1" s="426"/>
      <c r="G1" s="426"/>
      <c r="H1" s="537"/>
      <c r="I1" s="426"/>
      <c r="J1" s="426"/>
      <c r="K1" s="538"/>
      <c r="L1" s="480"/>
      <c r="M1" s="480"/>
      <c r="N1" s="480"/>
      <c r="O1" s="480"/>
      <c r="P1" s="480"/>
      <c r="Q1" s="480"/>
      <c r="R1" s="480"/>
      <c r="S1" s="480"/>
      <c r="T1" s="480"/>
      <c r="U1" s="891"/>
      <c r="V1" s="891"/>
      <c r="W1" s="891"/>
      <c r="X1" s="891"/>
      <c r="Y1" s="891"/>
      <c r="Z1" s="891"/>
      <c r="AA1" s="891"/>
      <c r="AB1" s="891"/>
      <c r="AC1" s="891"/>
      <c r="AD1" s="891"/>
      <c r="AE1" s="891"/>
      <c r="AF1" s="891"/>
      <c r="AG1" s="891"/>
      <c r="AH1" s="891"/>
      <c r="AI1" s="891"/>
      <c r="AJ1" s="891"/>
      <c r="AK1" s="891"/>
      <c r="AL1" s="891"/>
      <c r="AM1" s="891"/>
      <c r="AN1" s="891"/>
      <c r="AO1" s="891"/>
      <c r="AP1" s="891"/>
      <c r="AQ1" s="891"/>
      <c r="AR1" s="891"/>
      <c r="AS1" s="891"/>
      <c r="AT1" s="891"/>
      <c r="AU1" s="891"/>
      <c r="AV1" s="891"/>
      <c r="AW1" s="891"/>
      <c r="AX1" s="891"/>
      <c r="AY1" s="891"/>
      <c r="AZ1" s="891"/>
      <c r="BA1" s="891"/>
      <c r="BB1" s="891"/>
      <c r="BC1" s="891"/>
      <c r="BD1" s="891"/>
      <c r="BE1" s="891"/>
      <c r="BF1" s="891"/>
      <c r="BG1" s="891"/>
      <c r="BH1" s="891"/>
      <c r="BI1" s="891"/>
      <c r="BJ1" s="891"/>
      <c r="BK1" s="891"/>
      <c r="BL1" s="891"/>
      <c r="BM1" s="891"/>
    </row>
    <row r="2" spans="1:66" s="889" customFormat="1" x14ac:dyDescent="0.2">
      <c r="A2" s="426"/>
      <c r="B2" s="426"/>
      <c r="C2" s="536"/>
      <c r="D2" s="426"/>
      <c r="E2" s="426"/>
      <c r="F2" s="426"/>
      <c r="G2" s="426"/>
      <c r="H2" s="537"/>
      <c r="I2" s="426"/>
      <c r="J2" s="426"/>
      <c r="K2" s="538"/>
      <c r="L2" s="480"/>
      <c r="M2" s="480"/>
      <c r="N2" s="480"/>
      <c r="O2" s="480"/>
      <c r="P2" s="480"/>
      <c r="Q2" s="480"/>
      <c r="R2" s="480"/>
      <c r="S2" s="480"/>
      <c r="T2" s="480"/>
      <c r="U2" s="891"/>
      <c r="V2" s="891"/>
      <c r="W2" s="891"/>
      <c r="X2" s="891"/>
      <c r="Y2" s="891"/>
      <c r="Z2" s="891"/>
      <c r="AA2" s="891"/>
      <c r="AB2" s="891"/>
      <c r="AC2" s="891"/>
      <c r="AD2" s="891"/>
      <c r="AE2" s="891"/>
      <c r="AF2" s="891"/>
      <c r="AG2" s="891"/>
      <c r="AH2" s="891"/>
      <c r="AI2" s="891"/>
      <c r="AJ2" s="891"/>
      <c r="AK2" s="891"/>
      <c r="AL2" s="891"/>
      <c r="AM2" s="891"/>
      <c r="AN2" s="891"/>
      <c r="AO2" s="891"/>
      <c r="AP2" s="891"/>
      <c r="AQ2" s="891"/>
      <c r="AR2" s="891"/>
      <c r="AS2" s="891"/>
      <c r="AT2" s="891"/>
      <c r="AU2" s="891"/>
      <c r="AV2" s="891"/>
      <c r="AW2" s="891"/>
      <c r="AX2" s="891"/>
      <c r="AY2" s="891"/>
      <c r="AZ2" s="891"/>
      <c r="BA2" s="891"/>
      <c r="BB2" s="891"/>
      <c r="BC2" s="891"/>
      <c r="BD2" s="891"/>
      <c r="BE2" s="891"/>
      <c r="BF2" s="891"/>
      <c r="BG2" s="891"/>
      <c r="BH2" s="891"/>
      <c r="BI2" s="891"/>
      <c r="BJ2" s="891"/>
      <c r="BK2" s="891"/>
      <c r="BL2" s="891"/>
      <c r="BM2" s="891"/>
    </row>
    <row r="3" spans="1:66" s="899" customFormat="1" ht="11.25" x14ac:dyDescent="0.2">
      <c r="A3" s="426"/>
      <c r="B3" s="481" t="s">
        <v>203</v>
      </c>
      <c r="C3" s="481"/>
      <c r="D3" s="481"/>
      <c r="E3" s="481"/>
      <c r="F3" s="428"/>
      <c r="G3" s="426"/>
      <c r="H3" s="537"/>
      <c r="I3" s="426"/>
      <c r="J3" s="426"/>
      <c r="K3" s="538"/>
      <c r="L3" s="480"/>
      <c r="M3" s="480"/>
      <c r="N3" s="480"/>
      <c r="O3" s="539"/>
      <c r="P3" s="539"/>
      <c r="Q3" s="539"/>
      <c r="R3" s="539"/>
      <c r="S3" s="480"/>
      <c r="T3" s="480"/>
      <c r="U3" s="763"/>
      <c r="V3" s="763"/>
      <c r="W3" s="763"/>
      <c r="X3" s="763"/>
      <c r="Y3" s="763"/>
      <c r="Z3" s="763"/>
      <c r="AA3" s="763"/>
      <c r="AB3" s="763"/>
      <c r="AC3" s="763"/>
      <c r="AD3" s="763"/>
      <c r="AE3" s="763"/>
      <c r="AF3" s="763"/>
      <c r="AG3" s="763"/>
      <c r="AH3" s="763"/>
      <c r="AI3" s="763"/>
      <c r="AJ3" s="763"/>
      <c r="AK3" s="763"/>
      <c r="AL3" s="763"/>
      <c r="AM3" s="763"/>
      <c r="AN3" s="763"/>
      <c r="AO3" s="763"/>
      <c r="AP3" s="763"/>
      <c r="AQ3" s="763"/>
      <c r="AR3" s="763"/>
      <c r="AS3" s="763"/>
      <c r="AT3" s="763"/>
      <c r="AU3" s="763"/>
      <c r="AV3" s="763"/>
      <c r="AW3" s="763"/>
      <c r="AX3" s="763"/>
      <c r="AY3" s="763"/>
      <c r="AZ3" s="763"/>
      <c r="BA3" s="763"/>
      <c r="BB3" s="763"/>
      <c r="BC3" s="763"/>
      <c r="BD3" s="763"/>
      <c r="BE3" s="763"/>
      <c r="BF3" s="763"/>
      <c r="BG3" s="763"/>
      <c r="BH3" s="763"/>
      <c r="BI3" s="763"/>
      <c r="BJ3" s="763"/>
      <c r="BK3" s="763"/>
      <c r="BL3" s="763"/>
      <c r="BM3" s="763"/>
      <c r="BN3" s="763"/>
    </row>
    <row r="4" spans="1:66" s="889" customFormat="1" ht="13.5" thickBot="1" x14ac:dyDescent="0.25">
      <c r="A4" s="426"/>
      <c r="B4" s="540"/>
      <c r="C4" s="541"/>
      <c r="D4" s="540"/>
      <c r="E4" s="540"/>
      <c r="F4" s="540"/>
      <c r="G4" s="540"/>
      <c r="H4" s="542"/>
      <c r="I4" s="540"/>
      <c r="J4" s="540"/>
      <c r="K4" s="543"/>
      <c r="L4" s="544"/>
      <c r="M4" s="544"/>
      <c r="N4" s="480"/>
      <c r="O4" s="480"/>
      <c r="P4" s="480"/>
      <c r="Q4" s="480"/>
      <c r="R4" s="480"/>
      <c r="S4" s="480"/>
      <c r="T4" s="480"/>
      <c r="U4" s="891"/>
      <c r="V4" s="891"/>
      <c r="W4" s="891"/>
      <c r="X4" s="891"/>
      <c r="Y4" s="891"/>
      <c r="Z4" s="891"/>
      <c r="AA4" s="891"/>
      <c r="AB4" s="891"/>
      <c r="AC4" s="891"/>
      <c r="AD4" s="891"/>
      <c r="AE4" s="891"/>
      <c r="AF4" s="891"/>
      <c r="AG4" s="891"/>
      <c r="AH4" s="891"/>
      <c r="AI4" s="891"/>
      <c r="AJ4" s="891"/>
      <c r="AK4" s="891"/>
      <c r="AL4" s="891"/>
      <c r="AM4" s="891"/>
      <c r="AN4" s="891"/>
      <c r="AO4" s="891"/>
      <c r="AP4" s="891"/>
      <c r="AQ4" s="891"/>
      <c r="AR4" s="891"/>
      <c r="AS4" s="891"/>
      <c r="AT4" s="891"/>
      <c r="AU4" s="891"/>
      <c r="AV4" s="891"/>
      <c r="AW4" s="891"/>
      <c r="AX4" s="891"/>
      <c r="AY4" s="891"/>
      <c r="AZ4" s="891"/>
      <c r="BA4" s="891"/>
      <c r="BB4" s="891"/>
      <c r="BC4" s="891"/>
      <c r="BD4" s="891"/>
      <c r="BE4" s="891"/>
      <c r="BF4" s="891"/>
      <c r="BG4" s="891"/>
      <c r="BH4" s="891"/>
      <c r="BI4" s="891"/>
      <c r="BJ4" s="891"/>
      <c r="BK4" s="891"/>
      <c r="BL4" s="891"/>
      <c r="BM4" s="891"/>
    </row>
    <row r="5" spans="1:66" s="895" customFormat="1" ht="13.5" customHeight="1" x14ac:dyDescent="0.2">
      <c r="A5" s="545"/>
      <c r="B5" s="1260" t="s">
        <v>204</v>
      </c>
      <c r="C5" s="1261"/>
      <c r="D5" s="1261"/>
      <c r="E5" s="1261"/>
      <c r="F5" s="1261"/>
      <c r="G5" s="1261"/>
      <c r="H5" s="1261"/>
      <c r="I5" s="1261"/>
      <c r="J5" s="1261"/>
      <c r="K5" s="1262"/>
      <c r="L5" s="1263" t="s">
        <v>205</v>
      </c>
      <c r="M5" s="1263"/>
      <c r="N5" s="1270" t="s">
        <v>206</v>
      </c>
      <c r="O5" s="1271"/>
      <c r="P5" s="1269" t="s">
        <v>207</v>
      </c>
      <c r="Q5" s="1269" t="s">
        <v>208</v>
      </c>
      <c r="R5" s="1270" t="s">
        <v>209</v>
      </c>
      <c r="S5" s="1271"/>
      <c r="T5" s="1248" t="s">
        <v>210</v>
      </c>
      <c r="V5" s="896"/>
      <c r="W5" s="896"/>
      <c r="X5" s="896"/>
      <c r="Y5" s="896"/>
      <c r="Z5" s="896"/>
      <c r="AA5" s="896"/>
      <c r="AB5" s="896"/>
      <c r="AC5" s="896"/>
      <c r="AD5" s="896"/>
      <c r="AE5" s="896"/>
      <c r="AF5" s="896"/>
      <c r="AG5" s="896"/>
      <c r="AH5" s="896"/>
      <c r="AI5" s="896"/>
      <c r="AJ5" s="896"/>
      <c r="AK5" s="896"/>
      <c r="AL5" s="896"/>
      <c r="AM5" s="896"/>
      <c r="AN5" s="896"/>
      <c r="AO5" s="896"/>
      <c r="AP5" s="896"/>
      <c r="AQ5" s="896"/>
      <c r="AR5" s="896"/>
      <c r="AS5" s="896"/>
      <c r="AT5" s="896"/>
      <c r="AU5" s="896"/>
      <c r="AV5" s="896"/>
      <c r="AW5" s="896"/>
      <c r="AX5" s="896"/>
      <c r="AY5" s="896"/>
      <c r="AZ5" s="896"/>
      <c r="BA5" s="896"/>
      <c r="BB5" s="896"/>
      <c r="BC5" s="896"/>
      <c r="BD5" s="896"/>
      <c r="BE5" s="896"/>
      <c r="BF5" s="896"/>
      <c r="BG5" s="896"/>
      <c r="BH5" s="896"/>
      <c r="BI5" s="896"/>
      <c r="BJ5" s="896"/>
      <c r="BK5" s="896"/>
      <c r="BL5" s="896"/>
      <c r="BM5" s="896"/>
    </row>
    <row r="6" spans="1:66" s="964" customFormat="1" ht="12.75" customHeight="1" x14ac:dyDescent="0.2">
      <c r="A6" s="547"/>
      <c r="B6" s="1251" t="s">
        <v>211</v>
      </c>
      <c r="C6" s="1252"/>
      <c r="D6" s="549"/>
      <c r="E6" s="549"/>
      <c r="F6" s="549"/>
      <c r="G6" s="1255" t="s">
        <v>257</v>
      </c>
      <c r="H6" s="1257" t="s">
        <v>212</v>
      </c>
      <c r="I6" s="1255" t="s">
        <v>213</v>
      </c>
      <c r="J6" s="1256" t="s">
        <v>214</v>
      </c>
      <c r="K6" s="1256" t="s">
        <v>215</v>
      </c>
      <c r="L6" s="1255" t="s">
        <v>216</v>
      </c>
      <c r="M6" s="1255" t="s">
        <v>217</v>
      </c>
      <c r="N6" s="1272"/>
      <c r="O6" s="1273"/>
      <c r="P6" s="1256"/>
      <c r="Q6" s="1256"/>
      <c r="R6" s="1272"/>
      <c r="S6" s="1273"/>
      <c r="T6" s="1249"/>
      <c r="V6" s="965"/>
      <c r="W6" s="965"/>
      <c r="X6" s="965"/>
      <c r="Y6" s="965"/>
      <c r="Z6" s="965"/>
      <c r="AA6" s="965"/>
      <c r="AB6" s="965"/>
      <c r="AC6" s="965"/>
      <c r="AD6" s="965"/>
      <c r="AE6" s="965"/>
      <c r="AF6" s="965"/>
      <c r="AG6" s="965"/>
      <c r="AH6" s="965"/>
      <c r="AI6" s="965"/>
      <c r="AJ6" s="965"/>
      <c r="AK6" s="965"/>
      <c r="AL6" s="965"/>
      <c r="AM6" s="965"/>
      <c r="AN6" s="965"/>
      <c r="AO6" s="965"/>
      <c r="AP6" s="965"/>
      <c r="AQ6" s="965"/>
      <c r="AR6" s="965"/>
      <c r="AS6" s="965"/>
      <c r="AT6" s="965"/>
      <c r="AU6" s="965"/>
      <c r="AV6" s="965"/>
      <c r="AW6" s="965"/>
      <c r="AX6" s="965"/>
      <c r="AY6" s="965"/>
      <c r="AZ6" s="965"/>
      <c r="BA6" s="965"/>
      <c r="BB6" s="965"/>
      <c r="BC6" s="965"/>
      <c r="BD6" s="965"/>
      <c r="BE6" s="965"/>
      <c r="BF6" s="965"/>
      <c r="BG6" s="965"/>
      <c r="BH6" s="965"/>
      <c r="BI6" s="965"/>
      <c r="BJ6" s="965"/>
      <c r="BK6" s="965"/>
      <c r="BL6" s="965"/>
      <c r="BM6" s="965"/>
    </row>
    <row r="7" spans="1:66" s="964" customFormat="1" ht="12" customHeight="1" x14ac:dyDescent="0.2">
      <c r="A7" s="547"/>
      <c r="B7" s="1253"/>
      <c r="C7" s="1254"/>
      <c r="D7" s="549"/>
      <c r="E7" s="549"/>
      <c r="F7" s="549"/>
      <c r="G7" s="1256"/>
      <c r="H7" s="1258"/>
      <c r="I7" s="1256"/>
      <c r="J7" s="1256"/>
      <c r="K7" s="1256"/>
      <c r="L7" s="1256"/>
      <c r="M7" s="1256"/>
      <c r="N7" s="1272"/>
      <c r="O7" s="1273"/>
      <c r="P7" s="1256"/>
      <c r="Q7" s="1256"/>
      <c r="R7" s="1272"/>
      <c r="S7" s="1273"/>
      <c r="T7" s="1249"/>
      <c r="V7" s="965"/>
      <c r="W7" s="965"/>
      <c r="X7" s="965"/>
      <c r="Y7" s="965"/>
      <c r="Z7" s="965"/>
      <c r="AA7" s="965"/>
      <c r="AB7" s="965"/>
      <c r="AC7" s="965"/>
      <c r="AD7" s="965"/>
      <c r="AE7" s="965"/>
      <c r="AF7" s="965"/>
      <c r="AG7" s="965"/>
      <c r="AH7" s="965"/>
      <c r="AI7" s="965"/>
      <c r="AJ7" s="965"/>
      <c r="AK7" s="965"/>
      <c r="AL7" s="965"/>
      <c r="AM7" s="965"/>
      <c r="AN7" s="965"/>
      <c r="AO7" s="965"/>
      <c r="AP7" s="965"/>
      <c r="AQ7" s="965"/>
      <c r="AR7" s="965"/>
      <c r="AS7" s="965"/>
      <c r="AT7" s="965"/>
      <c r="AU7" s="965"/>
      <c r="AV7" s="965"/>
      <c r="AW7" s="965"/>
      <c r="AX7" s="965"/>
      <c r="AY7" s="965"/>
      <c r="AZ7" s="965"/>
      <c r="BA7" s="965"/>
      <c r="BB7" s="965"/>
      <c r="BC7" s="965"/>
      <c r="BD7" s="965"/>
      <c r="BE7" s="965"/>
      <c r="BF7" s="965"/>
      <c r="BG7" s="965"/>
      <c r="BH7" s="965"/>
      <c r="BI7" s="965"/>
      <c r="BJ7" s="965"/>
      <c r="BK7" s="965"/>
      <c r="BL7" s="965"/>
      <c r="BM7" s="965"/>
    </row>
    <row r="8" spans="1:66" s="964" customFormat="1" ht="12" customHeight="1" x14ac:dyDescent="0.2">
      <c r="A8" s="547"/>
      <c r="B8" s="1253"/>
      <c r="C8" s="1254"/>
      <c r="D8" s="549"/>
      <c r="E8" s="549"/>
      <c r="F8" s="549"/>
      <c r="G8" s="1252"/>
      <c r="H8" s="1259"/>
      <c r="I8" s="1252"/>
      <c r="J8" s="1252"/>
      <c r="K8" s="1252"/>
      <c r="L8" s="1252"/>
      <c r="M8" s="1252"/>
      <c r="N8" s="1274"/>
      <c r="O8" s="1251"/>
      <c r="P8" s="1252"/>
      <c r="Q8" s="1252"/>
      <c r="R8" s="1274"/>
      <c r="S8" s="1251"/>
      <c r="T8" s="1250"/>
      <c r="V8" s="965"/>
      <c r="W8" s="965"/>
      <c r="X8" s="965"/>
      <c r="Y8" s="965"/>
      <c r="Z8" s="965"/>
      <c r="AA8" s="965"/>
      <c r="AB8" s="965"/>
      <c r="AC8" s="965"/>
      <c r="AD8" s="965"/>
      <c r="AE8" s="965"/>
      <c r="AF8" s="965"/>
      <c r="AG8" s="965"/>
      <c r="AH8" s="965"/>
      <c r="AI8" s="965"/>
      <c r="AJ8" s="965"/>
      <c r="AK8" s="965"/>
      <c r="AL8" s="965"/>
      <c r="AM8" s="965"/>
      <c r="AN8" s="965"/>
      <c r="AO8" s="965"/>
      <c r="AP8" s="965"/>
      <c r="AQ8" s="965"/>
      <c r="AR8" s="965"/>
      <c r="AS8" s="965"/>
      <c r="AT8" s="965"/>
      <c r="AU8" s="965"/>
      <c r="AV8" s="965"/>
      <c r="AW8" s="965"/>
      <c r="AX8" s="965"/>
      <c r="AY8" s="965"/>
      <c r="AZ8" s="965"/>
      <c r="BA8" s="965"/>
      <c r="BB8" s="965"/>
      <c r="BC8" s="965"/>
      <c r="BD8" s="965"/>
      <c r="BE8" s="965"/>
      <c r="BF8" s="965"/>
      <c r="BG8" s="965"/>
      <c r="BH8" s="965"/>
      <c r="BI8" s="965"/>
      <c r="BJ8" s="965"/>
      <c r="BK8" s="965"/>
      <c r="BL8" s="965"/>
      <c r="BM8" s="965"/>
    </row>
    <row r="9" spans="1:66" s="895" customFormat="1" ht="18" customHeight="1" x14ac:dyDescent="0.2">
      <c r="A9" s="545"/>
      <c r="B9" s="1264">
        <v>1</v>
      </c>
      <c r="C9" s="1265"/>
      <c r="D9" s="426"/>
      <c r="E9" s="426"/>
      <c r="F9" s="426"/>
      <c r="G9" s="552"/>
      <c r="H9" s="554"/>
      <c r="I9" s="553">
        <v>2</v>
      </c>
      <c r="J9" s="553">
        <v>3</v>
      </c>
      <c r="K9" s="553">
        <v>4</v>
      </c>
      <c r="L9" s="553">
        <v>5</v>
      </c>
      <c r="M9" s="553">
        <v>6</v>
      </c>
      <c r="N9" s="1266">
        <v>7</v>
      </c>
      <c r="O9" s="1264"/>
      <c r="P9" s="553">
        <v>8</v>
      </c>
      <c r="Q9" s="553" t="s">
        <v>218</v>
      </c>
      <c r="R9" s="1266" t="s">
        <v>219</v>
      </c>
      <c r="S9" s="1264"/>
      <c r="T9" s="555" t="s">
        <v>220</v>
      </c>
      <c r="V9" s="896"/>
      <c r="W9" s="896"/>
      <c r="X9" s="896"/>
      <c r="Y9" s="896"/>
      <c r="Z9" s="896"/>
      <c r="AA9" s="896"/>
      <c r="AB9" s="896"/>
      <c r="AC9" s="896"/>
      <c r="AD9" s="896"/>
      <c r="AE9" s="896"/>
      <c r="AF9" s="896"/>
      <c r="AG9" s="896"/>
      <c r="AH9" s="896"/>
      <c r="AI9" s="896"/>
      <c r="AJ9" s="896"/>
      <c r="AK9" s="896"/>
      <c r="AL9" s="896"/>
      <c r="AM9" s="896"/>
      <c r="AN9" s="896"/>
      <c r="AO9" s="896"/>
      <c r="AP9" s="896"/>
      <c r="AQ9" s="896"/>
      <c r="AR9" s="896"/>
      <c r="AS9" s="896"/>
      <c r="AT9" s="896"/>
      <c r="AU9" s="896"/>
      <c r="AV9" s="896"/>
      <c r="AW9" s="896"/>
      <c r="AX9" s="896"/>
      <c r="AY9" s="896"/>
      <c r="AZ9" s="896"/>
      <c r="BA9" s="896"/>
      <c r="BB9" s="896"/>
      <c r="BC9" s="896"/>
      <c r="BD9" s="896"/>
      <c r="BE9" s="896"/>
      <c r="BF9" s="896"/>
      <c r="BG9" s="896"/>
      <c r="BH9" s="896"/>
      <c r="BI9" s="896"/>
      <c r="BJ9" s="896"/>
      <c r="BK9" s="896"/>
      <c r="BL9" s="896"/>
      <c r="BM9" s="896"/>
    </row>
    <row r="10" spans="1:66" s="897" customFormat="1" ht="12.75" customHeight="1" x14ac:dyDescent="0.2">
      <c r="A10" s="350"/>
      <c r="B10" s="1267" t="s">
        <v>221</v>
      </c>
      <c r="C10" s="1268"/>
      <c r="D10" s="556"/>
      <c r="E10" s="556"/>
      <c r="F10" s="556"/>
      <c r="G10" s="440" t="s">
        <v>222</v>
      </c>
      <c r="H10" s="557" t="s">
        <v>223</v>
      </c>
      <c r="I10" s="558"/>
      <c r="J10" s="559"/>
      <c r="K10" s="560"/>
      <c r="L10" s="559"/>
      <c r="M10" s="559"/>
      <c r="N10" s="559"/>
      <c r="O10" s="559"/>
      <c r="P10" s="559"/>
      <c r="Q10" s="559"/>
      <c r="R10" s="559"/>
      <c r="S10" s="559"/>
      <c r="T10" s="524">
        <f>SUM(T11:T14)</f>
        <v>0</v>
      </c>
      <c r="V10" s="898"/>
      <c r="W10" s="898"/>
      <c r="X10" s="898"/>
      <c r="Y10" s="898"/>
      <c r="Z10" s="898"/>
      <c r="AA10" s="898"/>
      <c r="AB10" s="898"/>
      <c r="AC10" s="898"/>
      <c r="AD10" s="898"/>
      <c r="AE10" s="898"/>
      <c r="AF10" s="898"/>
      <c r="AG10" s="898"/>
      <c r="AH10" s="898"/>
      <c r="AI10" s="898"/>
      <c r="AJ10" s="898"/>
      <c r="AK10" s="898"/>
      <c r="AL10" s="898"/>
      <c r="AM10" s="898"/>
      <c r="AN10" s="898"/>
      <c r="AO10" s="898"/>
      <c r="AP10" s="898"/>
      <c r="AQ10" s="898"/>
      <c r="AR10" s="898"/>
      <c r="AS10" s="898"/>
      <c r="AT10" s="898"/>
      <c r="AU10" s="898"/>
      <c r="AV10" s="898"/>
      <c r="AW10" s="898"/>
      <c r="AX10" s="898"/>
      <c r="AY10" s="898"/>
      <c r="AZ10" s="898"/>
      <c r="BA10" s="898"/>
      <c r="BB10" s="898"/>
      <c r="BC10" s="898"/>
      <c r="BD10" s="898"/>
      <c r="BE10" s="898"/>
      <c r="BF10" s="898"/>
      <c r="BG10" s="898"/>
      <c r="BH10" s="898"/>
      <c r="BI10" s="898"/>
      <c r="BJ10" s="898"/>
      <c r="BK10" s="898"/>
      <c r="BL10" s="898"/>
      <c r="BM10" s="898"/>
    </row>
    <row r="11" spans="1:66" s="897" customFormat="1" ht="12" x14ac:dyDescent="0.2">
      <c r="A11" s="350"/>
      <c r="B11" s="561" t="s">
        <v>840</v>
      </c>
      <c r="C11" s="562"/>
      <c r="D11" s="563"/>
      <c r="E11" s="563"/>
      <c r="F11" s="563"/>
      <c r="G11" s="564"/>
      <c r="H11" s="565" t="s">
        <v>224</v>
      </c>
      <c r="I11" s="566"/>
      <c r="J11" s="566"/>
      <c r="K11" s="567"/>
      <c r="L11" s="568"/>
      <c r="M11" s="568"/>
      <c r="N11" s="569"/>
      <c r="O11" s="570"/>
      <c r="P11" s="571"/>
      <c r="Q11" s="572">
        <f>SUM(Q12:Q13)</f>
        <v>0</v>
      </c>
      <c r="R11" s="572">
        <f>SUM(R12:R13)</f>
        <v>0</v>
      </c>
      <c r="S11" s="573" t="s">
        <v>225</v>
      </c>
      <c r="T11" s="524">
        <f>Q11+R11</f>
        <v>0</v>
      </c>
      <c r="U11" s="966"/>
      <c r="V11" s="966"/>
      <c r="W11" s="966"/>
      <c r="X11" s="966"/>
      <c r="Y11" s="966"/>
      <c r="Z11" s="966"/>
      <c r="AA11" s="966"/>
      <c r="AB11" s="966"/>
      <c r="AC11" s="966"/>
      <c r="AD11" s="966"/>
      <c r="AE11" s="898"/>
      <c r="AF11" s="898"/>
      <c r="AG11" s="898"/>
      <c r="AH11" s="898"/>
      <c r="AI11" s="898"/>
      <c r="AJ11" s="898"/>
      <c r="AK11" s="898"/>
      <c r="AL11" s="898"/>
      <c r="AM11" s="898"/>
      <c r="AN11" s="898"/>
      <c r="AO11" s="898"/>
      <c r="AP11" s="898"/>
      <c r="AQ11" s="898"/>
      <c r="AR11" s="898"/>
      <c r="AS11" s="898"/>
      <c r="AT11" s="898"/>
      <c r="AU11" s="898"/>
      <c r="AV11" s="898"/>
      <c r="AW11" s="898"/>
      <c r="AX11" s="898"/>
      <c r="AY11" s="898"/>
      <c r="AZ11" s="898"/>
      <c r="BA11" s="898"/>
      <c r="BB11" s="898"/>
      <c r="BC11" s="898"/>
      <c r="BD11" s="898"/>
      <c r="BE11" s="898"/>
      <c r="BF11" s="898"/>
      <c r="BG11" s="898"/>
      <c r="BH11" s="898"/>
      <c r="BI11" s="898"/>
      <c r="BJ11" s="898"/>
      <c r="BK11" s="898"/>
      <c r="BL11" s="898"/>
      <c r="BM11" s="898"/>
    </row>
    <row r="12" spans="1:66" s="897" customFormat="1" ht="12" x14ac:dyDescent="0.2">
      <c r="A12" s="350"/>
      <c r="B12" s="561"/>
      <c r="C12" s="574"/>
      <c r="D12" s="563"/>
      <c r="E12" s="563"/>
      <c r="F12" s="563"/>
      <c r="G12" s="564"/>
      <c r="H12" s="565" t="s">
        <v>226</v>
      </c>
      <c r="I12" s="575"/>
      <c r="J12" s="575"/>
      <c r="K12" s="576"/>
      <c r="L12" s="577"/>
      <c r="M12" s="577"/>
      <c r="N12" s="578"/>
      <c r="O12" s="573" t="s">
        <v>227</v>
      </c>
      <c r="P12" s="496"/>
      <c r="Q12" s="572">
        <f>L12*N12</f>
        <v>0</v>
      </c>
      <c r="R12" s="572">
        <f>M12*P12</f>
        <v>0</v>
      </c>
      <c r="S12" s="573" t="s">
        <v>225</v>
      </c>
      <c r="T12" s="579"/>
      <c r="U12" s="966"/>
      <c r="V12" s="966"/>
      <c r="W12" s="966"/>
      <c r="X12" s="966"/>
      <c r="Y12" s="966"/>
      <c r="Z12" s="966"/>
      <c r="AA12" s="966"/>
      <c r="AB12" s="966"/>
      <c r="AC12" s="966"/>
      <c r="AD12" s="966"/>
      <c r="AE12" s="898"/>
      <c r="AF12" s="898"/>
      <c r="AG12" s="898"/>
      <c r="AH12" s="898"/>
      <c r="AI12" s="898"/>
      <c r="AJ12" s="898"/>
      <c r="AK12" s="898"/>
      <c r="AL12" s="898"/>
      <c r="AM12" s="898"/>
      <c r="AN12" s="898"/>
      <c r="AO12" s="898"/>
      <c r="AP12" s="898"/>
      <c r="AQ12" s="898"/>
      <c r="AR12" s="898"/>
      <c r="AS12" s="898"/>
      <c r="AT12" s="898"/>
      <c r="AU12" s="898"/>
      <c r="AV12" s="898"/>
      <c r="AW12" s="898"/>
      <c r="AX12" s="898"/>
      <c r="AY12" s="898"/>
      <c r="AZ12" s="898"/>
      <c r="BA12" s="898"/>
      <c r="BB12" s="898"/>
      <c r="BC12" s="898"/>
      <c r="BD12" s="898"/>
      <c r="BE12" s="898"/>
      <c r="BF12" s="898"/>
      <c r="BG12" s="898"/>
      <c r="BH12" s="898"/>
      <c r="BI12" s="898"/>
      <c r="BJ12" s="898"/>
      <c r="BK12" s="898"/>
      <c r="BL12" s="898"/>
      <c r="BM12" s="898"/>
    </row>
    <row r="13" spans="1:66" s="897" customFormat="1" ht="12" hidden="1" x14ac:dyDescent="0.2">
      <c r="A13" s="350"/>
      <c r="B13" s="580"/>
      <c r="C13" s="203"/>
      <c r="D13" s="210"/>
      <c r="E13" s="210"/>
      <c r="F13" s="210"/>
      <c r="G13" s="564"/>
      <c r="H13" s="565" t="s">
        <v>842</v>
      </c>
      <c r="I13" s="581"/>
      <c r="J13" s="581"/>
      <c r="K13" s="582"/>
      <c r="L13" s="583"/>
      <c r="M13" s="583"/>
      <c r="N13" s="584"/>
      <c r="O13" s="573"/>
      <c r="P13" s="585"/>
      <c r="Q13" s="586"/>
      <c r="R13" s="586"/>
      <c r="S13" s="573"/>
      <c r="T13" s="587"/>
      <c r="U13" s="966"/>
      <c r="V13" s="966"/>
      <c r="W13" s="966"/>
      <c r="X13" s="966"/>
      <c r="Y13" s="966"/>
      <c r="Z13" s="966"/>
      <c r="AA13" s="966"/>
      <c r="AB13" s="966"/>
      <c r="AC13" s="966"/>
      <c r="AD13" s="966"/>
      <c r="AE13" s="898"/>
      <c r="AF13" s="898"/>
      <c r="AG13" s="898"/>
      <c r="AH13" s="898"/>
      <c r="AI13" s="898"/>
      <c r="AJ13" s="898"/>
      <c r="AK13" s="898"/>
      <c r="AL13" s="898"/>
      <c r="AM13" s="898"/>
      <c r="AN13" s="898"/>
      <c r="AO13" s="898"/>
      <c r="AP13" s="898"/>
      <c r="AQ13" s="898"/>
      <c r="AR13" s="898"/>
      <c r="AS13" s="898"/>
      <c r="AT13" s="898"/>
      <c r="AU13" s="898"/>
      <c r="AV13" s="898"/>
      <c r="AW13" s="898"/>
      <c r="AX13" s="898"/>
      <c r="AY13" s="898"/>
      <c r="AZ13" s="898"/>
      <c r="BA13" s="898"/>
      <c r="BB13" s="898"/>
      <c r="BC13" s="898"/>
      <c r="BD13" s="898"/>
      <c r="BE13" s="898"/>
      <c r="BF13" s="898"/>
      <c r="BG13" s="898"/>
      <c r="BH13" s="898"/>
      <c r="BI13" s="898"/>
      <c r="BJ13" s="898"/>
      <c r="BK13" s="898"/>
      <c r="BL13" s="898"/>
      <c r="BM13" s="898"/>
    </row>
    <row r="14" spans="1:66" s="897" customFormat="1" ht="12" x14ac:dyDescent="0.2">
      <c r="A14" s="350"/>
      <c r="B14" s="588"/>
      <c r="C14" s="437"/>
      <c r="D14" s="350"/>
      <c r="E14" s="350"/>
      <c r="F14" s="350"/>
      <c r="G14" s="589"/>
      <c r="H14" s="590" t="s">
        <v>839</v>
      </c>
      <c r="I14" s="461"/>
      <c r="J14" s="461"/>
      <c r="K14" s="591"/>
      <c r="L14" s="592"/>
      <c r="M14" s="592"/>
      <c r="N14" s="593"/>
      <c r="O14" s="594"/>
      <c r="P14" s="595"/>
      <c r="Q14" s="596"/>
      <c r="R14" s="596"/>
      <c r="S14" s="594"/>
      <c r="T14" s="597"/>
      <c r="V14" s="898"/>
      <c r="W14" s="898"/>
      <c r="X14" s="898"/>
      <c r="Y14" s="898"/>
      <c r="Z14" s="898"/>
      <c r="AA14" s="898"/>
      <c r="AB14" s="898"/>
      <c r="AC14" s="898"/>
      <c r="AD14" s="898"/>
      <c r="AE14" s="898"/>
      <c r="AF14" s="898"/>
      <c r="AG14" s="898"/>
      <c r="AH14" s="898"/>
      <c r="AI14" s="898"/>
      <c r="AJ14" s="898"/>
      <c r="AK14" s="898"/>
      <c r="AL14" s="898"/>
      <c r="AM14" s="898"/>
      <c r="AN14" s="898"/>
      <c r="AO14" s="898"/>
      <c r="AP14" s="898"/>
      <c r="AQ14" s="898"/>
      <c r="AR14" s="898"/>
      <c r="AS14" s="898"/>
      <c r="AT14" s="898"/>
      <c r="AU14" s="898"/>
      <c r="AV14" s="898"/>
      <c r="AW14" s="898"/>
      <c r="AX14" s="898"/>
      <c r="AY14" s="898"/>
      <c r="AZ14" s="898"/>
      <c r="BA14" s="898"/>
      <c r="BB14" s="898"/>
      <c r="BC14" s="898"/>
      <c r="BD14" s="898"/>
      <c r="BE14" s="898"/>
      <c r="BF14" s="898"/>
      <c r="BG14" s="898"/>
      <c r="BH14" s="898"/>
      <c r="BI14" s="898"/>
      <c r="BJ14" s="898"/>
      <c r="BK14" s="898"/>
      <c r="BL14" s="898"/>
      <c r="BM14" s="898"/>
    </row>
    <row r="15" spans="1:66" s="897" customFormat="1" ht="12.75" customHeight="1" x14ac:dyDescent="0.2">
      <c r="A15" s="350"/>
      <c r="B15" s="1267" t="s">
        <v>228</v>
      </c>
      <c r="C15" s="1268"/>
      <c r="D15" s="556"/>
      <c r="E15" s="556"/>
      <c r="F15" s="556"/>
      <c r="G15" s="440" t="s">
        <v>229</v>
      </c>
      <c r="H15" s="557" t="s">
        <v>230</v>
      </c>
      <c r="I15" s="558"/>
      <c r="J15" s="559"/>
      <c r="K15" s="560"/>
      <c r="L15" s="559"/>
      <c r="M15" s="559"/>
      <c r="N15" s="559"/>
      <c r="O15" s="559"/>
      <c r="P15" s="559"/>
      <c r="Q15" s="559"/>
      <c r="R15" s="559"/>
      <c r="S15" s="559"/>
      <c r="T15" s="524">
        <f>SUM(T16:T19)</f>
        <v>0</v>
      </c>
      <c r="V15" s="898"/>
      <c r="W15" s="898"/>
      <c r="X15" s="898"/>
      <c r="Y15" s="898"/>
      <c r="Z15" s="898"/>
      <c r="AA15" s="898"/>
      <c r="AB15" s="898"/>
      <c r="AC15" s="898"/>
      <c r="AD15" s="898"/>
      <c r="AE15" s="898"/>
      <c r="AF15" s="898"/>
      <c r="AG15" s="898"/>
      <c r="AH15" s="898"/>
      <c r="AI15" s="898"/>
      <c r="AJ15" s="898"/>
      <c r="AK15" s="898"/>
      <c r="AL15" s="898"/>
      <c r="AM15" s="898"/>
      <c r="AN15" s="898"/>
      <c r="AO15" s="898"/>
      <c r="AP15" s="898"/>
      <c r="AQ15" s="898"/>
      <c r="AR15" s="898"/>
      <c r="AS15" s="898"/>
      <c r="AT15" s="898"/>
      <c r="AU15" s="898"/>
      <c r="AV15" s="898"/>
      <c r="AW15" s="898"/>
      <c r="AX15" s="898"/>
      <c r="AY15" s="898"/>
      <c r="AZ15" s="898"/>
      <c r="BA15" s="898"/>
      <c r="BB15" s="898"/>
      <c r="BC15" s="898"/>
      <c r="BD15" s="898"/>
      <c r="BE15" s="898"/>
      <c r="BF15" s="898"/>
      <c r="BG15" s="898"/>
      <c r="BH15" s="898"/>
      <c r="BI15" s="898"/>
      <c r="BJ15" s="898"/>
      <c r="BK15" s="898"/>
      <c r="BL15" s="898"/>
      <c r="BM15" s="898"/>
    </row>
    <row r="16" spans="1:66" s="897" customFormat="1" ht="12" x14ac:dyDescent="0.2">
      <c r="A16" s="350"/>
      <c r="B16" s="561" t="s">
        <v>840</v>
      </c>
      <c r="C16" s="562"/>
      <c r="D16" s="563"/>
      <c r="E16" s="563"/>
      <c r="F16" s="563"/>
      <c r="G16" s="598"/>
      <c r="H16" s="599" t="s">
        <v>224</v>
      </c>
      <c r="I16" s="566"/>
      <c r="J16" s="566"/>
      <c r="K16" s="567"/>
      <c r="L16" s="568"/>
      <c r="M16" s="568"/>
      <c r="N16" s="600"/>
      <c r="O16" s="601"/>
      <c r="P16" s="571"/>
      <c r="Q16" s="602"/>
      <c r="R16" s="572">
        <f>SUM(R17:R18)</f>
        <v>0</v>
      </c>
      <c r="S16" s="573" t="s">
        <v>231</v>
      </c>
      <c r="T16" s="524">
        <f>Q16+R16</f>
        <v>0</v>
      </c>
      <c r="U16" s="966"/>
      <c r="V16" s="966"/>
      <c r="W16" s="966"/>
      <c r="X16" s="966"/>
      <c r="Y16" s="966"/>
      <c r="Z16" s="966"/>
      <c r="AA16" s="966"/>
      <c r="AB16" s="966"/>
      <c r="AC16" s="966"/>
      <c r="AD16" s="966"/>
      <c r="AE16" s="898"/>
      <c r="AF16" s="898"/>
      <c r="AG16" s="898"/>
      <c r="AH16" s="898"/>
      <c r="AI16" s="898"/>
      <c r="AJ16" s="898"/>
      <c r="AK16" s="898"/>
      <c r="AL16" s="898"/>
      <c r="AM16" s="898"/>
      <c r="AN16" s="898"/>
      <c r="AO16" s="898"/>
      <c r="AP16" s="898"/>
      <c r="AQ16" s="898"/>
      <c r="AR16" s="898"/>
      <c r="AS16" s="898"/>
      <c r="AT16" s="898"/>
      <c r="AU16" s="898"/>
      <c r="AV16" s="898"/>
      <c r="AW16" s="898"/>
      <c r="AX16" s="898"/>
      <c r="AY16" s="898"/>
      <c r="AZ16" s="898"/>
      <c r="BA16" s="898"/>
      <c r="BB16" s="898"/>
      <c r="BC16" s="898"/>
      <c r="BD16" s="898"/>
      <c r="BE16" s="898"/>
      <c r="BF16" s="898"/>
      <c r="BG16" s="898"/>
      <c r="BH16" s="898"/>
      <c r="BI16" s="898"/>
      <c r="BJ16" s="898"/>
      <c r="BK16" s="898"/>
      <c r="BL16" s="898"/>
      <c r="BM16" s="898"/>
    </row>
    <row r="17" spans="1:65" s="897" customFormat="1" ht="12" x14ac:dyDescent="0.2">
      <c r="A17" s="350"/>
      <c r="B17" s="561"/>
      <c r="C17" s="574"/>
      <c r="D17" s="563"/>
      <c r="E17" s="563"/>
      <c r="F17" s="563"/>
      <c r="G17" s="598"/>
      <c r="H17" s="599" t="s">
        <v>226</v>
      </c>
      <c r="I17" s="575"/>
      <c r="J17" s="575"/>
      <c r="K17" s="576"/>
      <c r="L17" s="568"/>
      <c r="M17" s="577"/>
      <c r="N17" s="600"/>
      <c r="O17" s="601"/>
      <c r="P17" s="496"/>
      <c r="Q17" s="602"/>
      <c r="R17" s="572">
        <f>M17*P17</f>
        <v>0</v>
      </c>
      <c r="S17" s="573" t="s">
        <v>231</v>
      </c>
      <c r="T17" s="603"/>
      <c r="U17" s="966"/>
      <c r="V17" s="966"/>
      <c r="W17" s="966"/>
      <c r="X17" s="966"/>
      <c r="Y17" s="966"/>
      <c r="Z17" s="966"/>
      <c r="AA17" s="966"/>
      <c r="AB17" s="966"/>
      <c r="AC17" s="966"/>
      <c r="AD17" s="966"/>
      <c r="AE17" s="898"/>
      <c r="AF17" s="898"/>
      <c r="AG17" s="898"/>
      <c r="AH17" s="898"/>
      <c r="AI17" s="898"/>
      <c r="AJ17" s="898"/>
      <c r="AK17" s="898"/>
      <c r="AL17" s="898"/>
      <c r="AM17" s="898"/>
      <c r="AN17" s="898"/>
      <c r="AO17" s="898"/>
      <c r="AP17" s="898"/>
      <c r="AQ17" s="898"/>
      <c r="AR17" s="898"/>
      <c r="AS17" s="898"/>
      <c r="AT17" s="898"/>
      <c r="AU17" s="898"/>
      <c r="AV17" s="898"/>
      <c r="AW17" s="898"/>
      <c r="AX17" s="898"/>
      <c r="AY17" s="898"/>
      <c r="AZ17" s="898"/>
      <c r="BA17" s="898"/>
      <c r="BB17" s="898"/>
      <c r="BC17" s="898"/>
      <c r="BD17" s="898"/>
      <c r="BE17" s="898"/>
      <c r="BF17" s="898"/>
      <c r="BG17" s="898"/>
      <c r="BH17" s="898"/>
      <c r="BI17" s="898"/>
      <c r="BJ17" s="898"/>
      <c r="BK17" s="898"/>
      <c r="BL17" s="898"/>
      <c r="BM17" s="898"/>
    </row>
    <row r="18" spans="1:65" s="897" customFormat="1" ht="12" hidden="1" x14ac:dyDescent="0.2">
      <c r="A18" s="350"/>
      <c r="B18" s="580"/>
      <c r="C18" s="604"/>
      <c r="D18" s="210"/>
      <c r="E18" s="210"/>
      <c r="F18" s="210"/>
      <c r="G18" s="605"/>
      <c r="H18" s="599" t="s">
        <v>842</v>
      </c>
      <c r="I18" s="581"/>
      <c r="J18" s="581"/>
      <c r="K18" s="582"/>
      <c r="L18" s="583"/>
      <c r="M18" s="583"/>
      <c r="N18" s="606"/>
      <c r="O18" s="607"/>
      <c r="P18" s="585"/>
      <c r="Q18" s="608"/>
      <c r="R18" s="572"/>
      <c r="S18" s="573"/>
      <c r="T18" s="587"/>
      <c r="U18" s="966"/>
      <c r="V18" s="966"/>
      <c r="W18" s="966"/>
      <c r="X18" s="966"/>
      <c r="Y18" s="966"/>
      <c r="Z18" s="966"/>
      <c r="AA18" s="966"/>
      <c r="AB18" s="966"/>
      <c r="AC18" s="966"/>
      <c r="AD18" s="966"/>
      <c r="AE18" s="898"/>
      <c r="AF18" s="898"/>
      <c r="AG18" s="898"/>
      <c r="AH18" s="898"/>
      <c r="AI18" s="898"/>
      <c r="AJ18" s="898"/>
      <c r="AK18" s="898"/>
      <c r="AL18" s="898"/>
      <c r="AM18" s="898"/>
      <c r="AN18" s="898"/>
      <c r="AO18" s="898"/>
      <c r="AP18" s="898"/>
      <c r="AQ18" s="898"/>
      <c r="AR18" s="898"/>
      <c r="AS18" s="898"/>
      <c r="AT18" s="898"/>
      <c r="AU18" s="898"/>
      <c r="AV18" s="898"/>
      <c r="AW18" s="898"/>
      <c r="AX18" s="898"/>
      <c r="AY18" s="898"/>
      <c r="AZ18" s="898"/>
      <c r="BA18" s="898"/>
      <c r="BB18" s="898"/>
      <c r="BC18" s="898"/>
      <c r="BD18" s="898"/>
      <c r="BE18" s="898"/>
      <c r="BF18" s="898"/>
      <c r="BG18" s="898"/>
      <c r="BH18" s="898"/>
      <c r="BI18" s="898"/>
      <c r="BJ18" s="898"/>
      <c r="BK18" s="898"/>
      <c r="BL18" s="898"/>
      <c r="BM18" s="898"/>
    </row>
    <row r="19" spans="1:65" s="897" customFormat="1" ht="12" x14ac:dyDescent="0.2">
      <c r="A19" s="350"/>
      <c r="B19" s="588"/>
      <c r="C19" s="437"/>
      <c r="D19" s="350"/>
      <c r="E19" s="350"/>
      <c r="F19" s="350"/>
      <c r="G19" s="609"/>
      <c r="H19" s="610" t="s">
        <v>232</v>
      </c>
      <c r="I19" s="461"/>
      <c r="J19" s="461"/>
      <c r="K19" s="591"/>
      <c r="L19" s="611"/>
      <c r="M19" s="611"/>
      <c r="N19" s="612"/>
      <c r="O19" s="613"/>
      <c r="P19" s="595"/>
      <c r="Q19" s="595"/>
      <c r="R19" s="596"/>
      <c r="S19" s="594"/>
      <c r="T19" s="597"/>
      <c r="V19" s="898"/>
      <c r="W19" s="898"/>
      <c r="X19" s="898"/>
      <c r="Y19" s="898"/>
      <c r="Z19" s="898"/>
      <c r="AA19" s="898"/>
      <c r="AB19" s="898"/>
      <c r="AC19" s="898"/>
      <c r="AD19" s="898"/>
      <c r="AE19" s="898"/>
      <c r="AF19" s="898"/>
      <c r="AG19" s="898"/>
      <c r="AH19" s="898"/>
      <c r="AI19" s="898"/>
      <c r="AJ19" s="898"/>
      <c r="AK19" s="898"/>
      <c r="AL19" s="898"/>
      <c r="AM19" s="898"/>
      <c r="AN19" s="898"/>
      <c r="AO19" s="898"/>
      <c r="AP19" s="898"/>
      <c r="AQ19" s="898"/>
      <c r="AR19" s="898"/>
      <c r="AS19" s="898"/>
      <c r="AT19" s="898"/>
      <c r="AU19" s="898"/>
      <c r="AV19" s="898"/>
      <c r="AW19" s="898"/>
      <c r="AX19" s="898"/>
      <c r="AY19" s="898"/>
      <c r="AZ19" s="898"/>
      <c r="BA19" s="898"/>
      <c r="BB19" s="898"/>
      <c r="BC19" s="898"/>
      <c r="BD19" s="898"/>
      <c r="BE19" s="898"/>
      <c r="BF19" s="898"/>
      <c r="BG19" s="898"/>
      <c r="BH19" s="898"/>
      <c r="BI19" s="898"/>
      <c r="BJ19" s="898"/>
      <c r="BK19" s="898"/>
      <c r="BL19" s="898"/>
      <c r="BM19" s="898"/>
    </row>
    <row r="20" spans="1:65" s="897" customFormat="1" thickBot="1" x14ac:dyDescent="0.25">
      <c r="A20" s="350"/>
      <c r="B20" s="614" t="s">
        <v>233</v>
      </c>
      <c r="C20" s="615"/>
      <c r="D20" s="350"/>
      <c r="E20" s="350"/>
      <c r="F20" s="350"/>
      <c r="G20" s="615" t="s">
        <v>234</v>
      </c>
      <c r="H20" s="616"/>
      <c r="I20" s="617"/>
      <c r="J20" s="618"/>
      <c r="K20" s="619"/>
      <c r="L20" s="618"/>
      <c r="M20" s="618"/>
      <c r="N20" s="618"/>
      <c r="O20" s="618"/>
      <c r="P20" s="618"/>
      <c r="Q20" s="618"/>
      <c r="R20" s="618"/>
      <c r="S20" s="618"/>
      <c r="T20" s="620">
        <f>T15+T10</f>
        <v>0</v>
      </c>
      <c r="V20" s="898"/>
      <c r="W20" s="898"/>
      <c r="X20" s="898"/>
      <c r="Y20" s="898"/>
      <c r="Z20" s="898"/>
      <c r="AA20" s="898"/>
      <c r="AB20" s="898"/>
      <c r="AC20" s="898"/>
      <c r="AD20" s="898"/>
      <c r="AE20" s="898"/>
      <c r="AF20" s="898"/>
      <c r="AG20" s="898"/>
      <c r="AH20" s="898"/>
      <c r="AI20" s="898"/>
      <c r="AJ20" s="898"/>
      <c r="AK20" s="898"/>
      <c r="AL20" s="898"/>
      <c r="AM20" s="898"/>
      <c r="AN20" s="898"/>
      <c r="AO20" s="898"/>
      <c r="AP20" s="898"/>
      <c r="AQ20" s="898"/>
      <c r="AR20" s="898"/>
      <c r="AS20" s="898"/>
      <c r="AT20" s="898"/>
      <c r="AU20" s="898"/>
      <c r="AV20" s="898"/>
      <c r="AW20" s="898"/>
      <c r="AX20" s="898"/>
      <c r="AY20" s="898"/>
      <c r="AZ20" s="898"/>
      <c r="BA20" s="898"/>
      <c r="BB20" s="898"/>
      <c r="BC20" s="898"/>
      <c r="BD20" s="898"/>
      <c r="BE20" s="898"/>
      <c r="BF20" s="898"/>
      <c r="BG20" s="898"/>
      <c r="BH20" s="898"/>
      <c r="BI20" s="898"/>
      <c r="BJ20" s="898"/>
      <c r="BK20" s="898"/>
      <c r="BL20" s="898"/>
      <c r="BM20" s="898"/>
    </row>
    <row r="21" spans="1:65" s="899" customFormat="1" ht="11.25" x14ac:dyDescent="0.2">
      <c r="A21" s="426"/>
      <c r="B21" s="426"/>
      <c r="C21" s="536"/>
      <c r="D21" s="426"/>
      <c r="E21" s="426"/>
      <c r="F21" s="426"/>
      <c r="G21" s="478" t="s">
        <v>309</v>
      </c>
      <c r="H21" s="537"/>
      <c r="I21" s="426"/>
      <c r="J21" s="426"/>
      <c r="K21" s="549"/>
      <c r="L21" s="426"/>
      <c r="M21" s="426"/>
      <c r="N21" s="426"/>
      <c r="O21" s="480"/>
      <c r="P21" s="480"/>
      <c r="Q21" s="480"/>
      <c r="R21" s="480"/>
      <c r="S21" s="480"/>
      <c r="T21" s="480"/>
      <c r="V21" s="763"/>
      <c r="W21" s="763"/>
      <c r="X21" s="763"/>
      <c r="Y21" s="763"/>
      <c r="Z21" s="763"/>
      <c r="AA21" s="763"/>
      <c r="AB21" s="763"/>
      <c r="AC21" s="763"/>
      <c r="AD21" s="763"/>
      <c r="AE21" s="763"/>
      <c r="AF21" s="763"/>
      <c r="AG21" s="763"/>
      <c r="AH21" s="763"/>
      <c r="AI21" s="763"/>
      <c r="AJ21" s="763"/>
      <c r="AK21" s="763"/>
      <c r="AL21" s="763"/>
      <c r="AM21" s="763"/>
      <c r="AN21" s="763"/>
      <c r="AO21" s="763"/>
      <c r="AP21" s="763"/>
      <c r="AQ21" s="763"/>
      <c r="AR21" s="763"/>
      <c r="AS21" s="763"/>
      <c r="AT21" s="763"/>
      <c r="AU21" s="763"/>
      <c r="AV21" s="763"/>
      <c r="AW21" s="763"/>
      <c r="AX21" s="763"/>
      <c r="AY21" s="763"/>
      <c r="AZ21" s="763"/>
      <c r="BA21" s="763"/>
      <c r="BB21" s="763"/>
      <c r="BC21" s="763"/>
      <c r="BD21" s="763"/>
      <c r="BE21" s="763"/>
      <c r="BF21" s="763"/>
      <c r="BG21" s="763"/>
      <c r="BH21" s="763"/>
      <c r="BI21" s="763"/>
      <c r="BJ21" s="763"/>
      <c r="BK21" s="763"/>
      <c r="BL21" s="763"/>
      <c r="BM21" s="763"/>
    </row>
    <row r="22" spans="1:65" s="899" customFormat="1" ht="11.25" customHeight="1" x14ac:dyDescent="0.2">
      <c r="A22" s="621" t="s">
        <v>494</v>
      </c>
      <c r="B22" s="1275" t="s">
        <v>235</v>
      </c>
      <c r="C22" s="1275"/>
      <c r="D22" s="1275"/>
      <c r="E22" s="1275"/>
      <c r="F22" s="1275"/>
      <c r="G22" s="1275"/>
      <c r="H22" s="1275"/>
      <c r="I22" s="1275"/>
      <c r="J22" s="1275"/>
      <c r="K22" s="1275"/>
      <c r="L22" s="622"/>
      <c r="M22" s="622"/>
      <c r="N22" s="622"/>
      <c r="O22" s="622"/>
      <c r="P22" s="622"/>
      <c r="Q22" s="480"/>
      <c r="R22" s="480"/>
      <c r="S22" s="480"/>
      <c r="T22" s="480"/>
      <c r="U22" s="763"/>
      <c r="V22" s="763"/>
      <c r="W22" s="763"/>
      <c r="X22" s="763"/>
      <c r="Y22" s="763"/>
      <c r="Z22" s="763"/>
      <c r="AA22" s="763"/>
      <c r="AB22" s="763"/>
      <c r="AC22" s="763"/>
      <c r="AD22" s="763"/>
      <c r="AE22" s="763"/>
      <c r="AF22" s="763"/>
      <c r="AG22" s="763"/>
      <c r="AH22" s="763"/>
      <c r="AI22" s="763"/>
      <c r="AJ22" s="763"/>
      <c r="AK22" s="763"/>
      <c r="AL22" s="763"/>
      <c r="AM22" s="763"/>
      <c r="AN22" s="763"/>
      <c r="AO22" s="763"/>
      <c r="AP22" s="763"/>
      <c r="AQ22" s="763"/>
      <c r="AR22" s="763"/>
      <c r="AS22" s="763"/>
      <c r="AT22" s="763"/>
      <c r="AU22" s="763"/>
      <c r="AV22" s="763"/>
      <c r="AW22" s="763"/>
      <c r="AX22" s="763"/>
      <c r="AY22" s="763"/>
      <c r="AZ22" s="763"/>
      <c r="BA22" s="763"/>
      <c r="BB22" s="763"/>
      <c r="BC22" s="763"/>
      <c r="BD22" s="763"/>
      <c r="BE22" s="763"/>
      <c r="BF22" s="763"/>
      <c r="BG22" s="763"/>
      <c r="BH22" s="763"/>
      <c r="BI22" s="763"/>
      <c r="BJ22" s="763"/>
      <c r="BK22" s="763"/>
      <c r="BL22" s="763"/>
      <c r="BM22" s="763"/>
    </row>
    <row r="23" spans="1:65" s="899" customFormat="1" ht="11.25" customHeight="1" x14ac:dyDescent="0.2">
      <c r="A23" s="621" t="s">
        <v>496</v>
      </c>
      <c r="B23" s="1275" t="s">
        <v>236</v>
      </c>
      <c r="C23" s="1275"/>
      <c r="D23" s="1275"/>
      <c r="E23" s="1275"/>
      <c r="F23" s="1275"/>
      <c r="G23" s="1275"/>
      <c r="H23" s="1275"/>
      <c r="I23" s="1275"/>
      <c r="J23" s="1275"/>
      <c r="K23" s="1275"/>
      <c r="L23" s="622"/>
      <c r="M23" s="622"/>
      <c r="N23" s="622"/>
      <c r="O23" s="622"/>
      <c r="P23" s="622"/>
      <c r="Q23" s="480"/>
      <c r="R23" s="480"/>
      <c r="S23" s="480"/>
      <c r="T23" s="480"/>
      <c r="U23" s="763"/>
      <c r="V23" s="763"/>
      <c r="W23" s="763"/>
      <c r="X23" s="763"/>
      <c r="Y23" s="763"/>
      <c r="Z23" s="763"/>
      <c r="AA23" s="763"/>
      <c r="AB23" s="763"/>
      <c r="AC23" s="763"/>
      <c r="AD23" s="763"/>
      <c r="AE23" s="763"/>
      <c r="AF23" s="763"/>
      <c r="AG23" s="763"/>
      <c r="AH23" s="763"/>
      <c r="AI23" s="763"/>
      <c r="AJ23" s="763"/>
      <c r="AK23" s="763"/>
      <c r="AL23" s="763"/>
      <c r="AM23" s="763"/>
      <c r="AN23" s="763"/>
      <c r="AO23" s="763"/>
      <c r="AP23" s="763"/>
      <c r="AQ23" s="763"/>
      <c r="AR23" s="763"/>
      <c r="AS23" s="763"/>
      <c r="AT23" s="763"/>
      <c r="AU23" s="763"/>
      <c r="AV23" s="763"/>
      <c r="AW23" s="763"/>
      <c r="AX23" s="763"/>
      <c r="AY23" s="763"/>
      <c r="AZ23" s="763"/>
      <c r="BA23" s="763"/>
      <c r="BB23" s="763"/>
      <c r="BC23" s="763"/>
      <c r="BD23" s="763"/>
      <c r="BE23" s="763"/>
      <c r="BF23" s="763"/>
      <c r="BG23" s="763"/>
      <c r="BH23" s="763"/>
      <c r="BI23" s="763"/>
      <c r="BJ23" s="763"/>
      <c r="BK23" s="763"/>
      <c r="BL23" s="763"/>
      <c r="BM23" s="763"/>
    </row>
    <row r="24" spans="1:65" s="899" customFormat="1" ht="21.75" customHeight="1" x14ac:dyDescent="0.2">
      <c r="A24" s="533" t="s">
        <v>498</v>
      </c>
      <c r="B24" s="1276" t="s">
        <v>237</v>
      </c>
      <c r="C24" s="1276"/>
      <c r="D24" s="1276"/>
      <c r="E24" s="1276"/>
      <c r="F24" s="1276"/>
      <c r="G24" s="1276"/>
      <c r="H24" s="1276"/>
      <c r="I24" s="1276"/>
      <c r="J24" s="1276"/>
      <c r="K24" s="1276"/>
      <c r="L24" s="623"/>
      <c r="M24" s="623"/>
      <c r="N24" s="623"/>
      <c r="O24" s="623"/>
      <c r="P24" s="623"/>
      <c r="Q24" s="480"/>
      <c r="R24" s="480"/>
      <c r="S24" s="480"/>
      <c r="T24" s="480"/>
      <c r="U24" s="763"/>
      <c r="V24" s="763"/>
      <c r="W24" s="763"/>
      <c r="X24" s="763"/>
      <c r="Y24" s="763"/>
      <c r="Z24" s="763"/>
      <c r="AA24" s="763"/>
      <c r="AB24" s="763"/>
      <c r="AC24" s="763"/>
      <c r="AD24" s="763"/>
      <c r="AE24" s="763"/>
      <c r="AF24" s="763"/>
      <c r="AG24" s="763"/>
      <c r="AH24" s="763"/>
      <c r="AI24" s="763"/>
      <c r="AJ24" s="763"/>
      <c r="AK24" s="763"/>
      <c r="AL24" s="763"/>
      <c r="AM24" s="763"/>
      <c r="AN24" s="763"/>
      <c r="AO24" s="763"/>
      <c r="AP24" s="763"/>
      <c r="AQ24" s="763"/>
      <c r="AR24" s="763"/>
      <c r="AS24" s="763"/>
      <c r="AT24" s="763"/>
      <c r="AU24" s="763"/>
      <c r="AV24" s="763"/>
      <c r="AW24" s="763"/>
      <c r="AX24" s="763"/>
      <c r="AY24" s="763"/>
      <c r="AZ24" s="763"/>
      <c r="BA24" s="763"/>
      <c r="BB24" s="763"/>
      <c r="BC24" s="763"/>
      <c r="BD24" s="763"/>
      <c r="BE24" s="763"/>
      <c r="BF24" s="763"/>
      <c r="BG24" s="763"/>
      <c r="BH24" s="763"/>
      <c r="BI24" s="763"/>
      <c r="BJ24" s="763"/>
      <c r="BK24" s="763"/>
      <c r="BL24" s="763"/>
      <c r="BM24" s="763"/>
    </row>
    <row r="25" spans="1:65" s="899" customFormat="1" ht="22.5" customHeight="1" x14ac:dyDescent="0.2">
      <c r="A25" s="621" t="s">
        <v>500</v>
      </c>
      <c r="B25" s="1275" t="s">
        <v>238</v>
      </c>
      <c r="C25" s="1275"/>
      <c r="D25" s="1275"/>
      <c r="E25" s="1275"/>
      <c r="F25" s="1275"/>
      <c r="G25" s="1275"/>
      <c r="H25" s="1275"/>
      <c r="I25" s="1275"/>
      <c r="J25" s="1275"/>
      <c r="K25" s="1275"/>
      <c r="L25" s="622"/>
      <c r="M25" s="622"/>
      <c r="N25" s="622"/>
      <c r="O25" s="622"/>
      <c r="P25" s="622"/>
      <c r="Q25" s="480"/>
      <c r="R25" s="480"/>
      <c r="S25" s="480"/>
      <c r="T25" s="480"/>
      <c r="U25" s="763"/>
      <c r="V25" s="763"/>
      <c r="W25" s="763"/>
      <c r="X25" s="763"/>
      <c r="Y25" s="763"/>
      <c r="Z25" s="763"/>
      <c r="AA25" s="763"/>
      <c r="AB25" s="763"/>
      <c r="AC25" s="763"/>
      <c r="AD25" s="763"/>
      <c r="AE25" s="763"/>
      <c r="AF25" s="763"/>
      <c r="AG25" s="763"/>
      <c r="AH25" s="763"/>
      <c r="AI25" s="763"/>
      <c r="AJ25" s="763"/>
      <c r="AK25" s="763"/>
      <c r="AL25" s="763"/>
      <c r="AM25" s="763"/>
      <c r="AN25" s="763"/>
      <c r="AO25" s="763"/>
      <c r="AP25" s="763"/>
      <c r="AQ25" s="763"/>
      <c r="AR25" s="763"/>
      <c r="AS25" s="763"/>
      <c r="AT25" s="763"/>
      <c r="AU25" s="763"/>
      <c r="AV25" s="763"/>
      <c r="AW25" s="763"/>
      <c r="AX25" s="763"/>
      <c r="AY25" s="763"/>
      <c r="AZ25" s="763"/>
      <c r="BA25" s="763"/>
      <c r="BB25" s="763"/>
      <c r="BC25" s="763"/>
      <c r="BD25" s="763"/>
      <c r="BE25" s="763"/>
      <c r="BF25" s="763"/>
      <c r="BG25" s="763"/>
      <c r="BH25" s="763"/>
      <c r="BI25" s="763"/>
      <c r="BJ25" s="763"/>
      <c r="BK25" s="763"/>
      <c r="BL25" s="763"/>
      <c r="BM25" s="763"/>
    </row>
    <row r="26" spans="1:65" s="899" customFormat="1" ht="11.25" customHeight="1" x14ac:dyDescent="0.2">
      <c r="A26" s="621" t="s">
        <v>227</v>
      </c>
      <c r="B26" s="1275" t="s">
        <v>239</v>
      </c>
      <c r="C26" s="1275"/>
      <c r="D26" s="1275"/>
      <c r="E26" s="1275"/>
      <c r="F26" s="1275"/>
      <c r="G26" s="1275"/>
      <c r="H26" s="1275"/>
      <c r="I26" s="1275"/>
      <c r="J26" s="1275"/>
      <c r="K26" s="1275"/>
      <c r="L26" s="622"/>
      <c r="M26" s="622"/>
      <c r="N26" s="622"/>
      <c r="O26" s="622"/>
      <c r="P26" s="622"/>
      <c r="Q26" s="480"/>
      <c r="R26" s="480"/>
      <c r="S26" s="480"/>
      <c r="T26" s="480"/>
      <c r="U26" s="763"/>
      <c r="V26" s="763"/>
      <c r="W26" s="763"/>
      <c r="X26" s="763"/>
      <c r="Y26" s="763"/>
      <c r="Z26" s="763"/>
      <c r="AA26" s="763"/>
      <c r="AB26" s="763"/>
      <c r="AC26" s="763"/>
      <c r="AD26" s="763"/>
      <c r="AE26" s="763"/>
      <c r="AF26" s="763"/>
      <c r="AG26" s="763"/>
      <c r="AH26" s="763"/>
      <c r="AI26" s="763"/>
      <c r="AJ26" s="763"/>
      <c r="AK26" s="763"/>
      <c r="AL26" s="763"/>
      <c r="AM26" s="763"/>
      <c r="AN26" s="763"/>
      <c r="AO26" s="763"/>
      <c r="AP26" s="763"/>
      <c r="AQ26" s="763"/>
      <c r="AR26" s="763"/>
      <c r="AS26" s="763"/>
      <c r="AT26" s="763"/>
      <c r="AU26" s="763"/>
      <c r="AV26" s="763"/>
      <c r="AW26" s="763"/>
      <c r="AX26" s="763"/>
      <c r="AY26" s="763"/>
      <c r="AZ26" s="763"/>
      <c r="BA26" s="763"/>
      <c r="BB26" s="763"/>
      <c r="BC26" s="763"/>
      <c r="BD26" s="763"/>
      <c r="BE26" s="763"/>
      <c r="BF26" s="763"/>
      <c r="BG26" s="763"/>
      <c r="BH26" s="763"/>
      <c r="BI26" s="763"/>
      <c r="BJ26" s="763"/>
      <c r="BK26" s="763"/>
      <c r="BL26" s="763"/>
      <c r="BM26" s="763"/>
    </row>
    <row r="27" spans="1:65" s="899" customFormat="1" ht="59.25" customHeight="1" x14ac:dyDescent="0.2">
      <c r="A27" s="533" t="s">
        <v>225</v>
      </c>
      <c r="B27" s="1244" t="s">
        <v>240</v>
      </c>
      <c r="C27" s="1244"/>
      <c r="D27" s="1244"/>
      <c r="E27" s="1244"/>
      <c r="F27" s="1244"/>
      <c r="G27" s="1244"/>
      <c r="H27" s="1244"/>
      <c r="I27" s="1244"/>
      <c r="J27" s="1244"/>
      <c r="K27" s="1244"/>
      <c r="L27" s="534"/>
      <c r="M27" s="534"/>
      <c r="N27" s="534"/>
      <c r="O27" s="534"/>
      <c r="P27" s="534"/>
      <c r="Q27" s="480"/>
      <c r="R27" s="480"/>
      <c r="S27" s="480"/>
      <c r="T27" s="480"/>
      <c r="U27" s="763"/>
      <c r="V27" s="763"/>
      <c r="W27" s="763"/>
      <c r="X27" s="763"/>
      <c r="Y27" s="763"/>
      <c r="Z27" s="763"/>
      <c r="AA27" s="763"/>
      <c r="AB27" s="763"/>
      <c r="AC27" s="763"/>
      <c r="AD27" s="763"/>
      <c r="AE27" s="763"/>
      <c r="AF27" s="763"/>
      <c r="AG27" s="763"/>
      <c r="AH27" s="763"/>
      <c r="AI27" s="763"/>
      <c r="AJ27" s="763"/>
      <c r="AK27" s="763"/>
      <c r="AL27" s="763"/>
      <c r="AM27" s="763"/>
      <c r="AN27" s="763"/>
      <c r="AO27" s="763"/>
      <c r="AP27" s="763"/>
      <c r="AQ27" s="763"/>
      <c r="AR27" s="763"/>
      <c r="AS27" s="763"/>
      <c r="AT27" s="763"/>
      <c r="AU27" s="763"/>
      <c r="AV27" s="763"/>
      <c r="AW27" s="763"/>
      <c r="AX27" s="763"/>
      <c r="AY27" s="763"/>
      <c r="AZ27" s="763"/>
      <c r="BA27" s="763"/>
      <c r="BB27" s="763"/>
      <c r="BC27" s="763"/>
      <c r="BD27" s="763"/>
      <c r="BE27" s="763"/>
      <c r="BF27" s="763"/>
      <c r="BG27" s="763"/>
      <c r="BH27" s="763"/>
      <c r="BI27" s="763"/>
      <c r="BJ27" s="763"/>
      <c r="BK27" s="763"/>
      <c r="BL27" s="763"/>
      <c r="BM27" s="763"/>
    </row>
    <row r="28" spans="1:65" s="899" customFormat="1" ht="37.5" customHeight="1" x14ac:dyDescent="0.2">
      <c r="A28" s="533" t="s">
        <v>231</v>
      </c>
      <c r="B28" s="1244" t="s">
        <v>241</v>
      </c>
      <c r="C28" s="1244"/>
      <c r="D28" s="1244"/>
      <c r="E28" s="1244"/>
      <c r="F28" s="1244"/>
      <c r="G28" s="1244"/>
      <c r="H28" s="1244"/>
      <c r="I28" s="1244"/>
      <c r="J28" s="1244"/>
      <c r="K28" s="1244"/>
      <c r="L28" s="624"/>
      <c r="M28" s="624"/>
      <c r="N28" s="624"/>
      <c r="O28" s="624"/>
      <c r="P28" s="624"/>
      <c r="Q28" s="480"/>
      <c r="R28" s="480"/>
      <c r="S28" s="480"/>
      <c r="T28" s="480"/>
      <c r="U28" s="763"/>
      <c r="V28" s="763"/>
      <c r="W28" s="763"/>
      <c r="X28" s="763"/>
      <c r="Y28" s="763"/>
      <c r="Z28" s="763"/>
      <c r="AA28" s="763"/>
      <c r="AB28" s="763"/>
      <c r="AC28" s="763"/>
      <c r="AD28" s="763"/>
      <c r="AE28" s="763"/>
      <c r="AF28" s="763"/>
      <c r="AG28" s="763"/>
      <c r="AH28" s="763"/>
      <c r="AI28" s="763"/>
      <c r="AJ28" s="763"/>
      <c r="AK28" s="763"/>
      <c r="AL28" s="763"/>
      <c r="AM28" s="763"/>
      <c r="AN28" s="763"/>
      <c r="AO28" s="763"/>
      <c r="AP28" s="763"/>
      <c r="AQ28" s="763"/>
      <c r="AR28" s="763"/>
      <c r="AS28" s="763"/>
      <c r="AT28" s="763"/>
      <c r="AU28" s="763"/>
      <c r="AV28" s="763"/>
      <c r="AW28" s="763"/>
      <c r="AX28" s="763"/>
      <c r="AY28" s="763"/>
      <c r="AZ28" s="763"/>
      <c r="BA28" s="763"/>
      <c r="BB28" s="763"/>
      <c r="BC28" s="763"/>
      <c r="BD28" s="763"/>
      <c r="BE28" s="763"/>
      <c r="BF28" s="763"/>
      <c r="BG28" s="763"/>
      <c r="BH28" s="763"/>
      <c r="BI28" s="763"/>
      <c r="BJ28" s="763"/>
      <c r="BK28" s="763"/>
      <c r="BL28" s="763"/>
      <c r="BM28" s="763"/>
    </row>
    <row r="29" spans="1:65" s="899" customFormat="1" ht="11.25" customHeight="1" x14ac:dyDescent="0.2">
      <c r="A29" s="621" t="s">
        <v>242</v>
      </c>
      <c r="B29" s="1275" t="s">
        <v>243</v>
      </c>
      <c r="C29" s="1275"/>
      <c r="D29" s="1275"/>
      <c r="E29" s="1275"/>
      <c r="F29" s="1275"/>
      <c r="G29" s="1275"/>
      <c r="H29" s="1275"/>
      <c r="I29" s="1275"/>
      <c r="J29" s="1275"/>
      <c r="K29" s="1275"/>
      <c r="L29" s="480"/>
      <c r="M29" s="480"/>
      <c r="N29" s="480"/>
      <c r="O29" s="480"/>
      <c r="P29" s="480"/>
      <c r="Q29" s="480"/>
      <c r="R29" s="480"/>
      <c r="S29" s="480"/>
      <c r="T29" s="480"/>
      <c r="U29" s="763"/>
      <c r="V29" s="763"/>
      <c r="W29" s="763"/>
      <c r="X29" s="763"/>
      <c r="Y29" s="763"/>
      <c r="Z29" s="763"/>
      <c r="AA29" s="763"/>
      <c r="AB29" s="763"/>
      <c r="AC29" s="763"/>
      <c r="AD29" s="763"/>
      <c r="AE29" s="763"/>
      <c r="AF29" s="763"/>
      <c r="AG29" s="763"/>
      <c r="AH29" s="763"/>
      <c r="AI29" s="763"/>
      <c r="AJ29" s="763"/>
      <c r="AK29" s="763"/>
      <c r="AL29" s="763"/>
      <c r="AM29" s="763"/>
      <c r="AN29" s="763"/>
      <c r="AO29" s="763"/>
      <c r="AP29" s="763"/>
      <c r="AQ29" s="763"/>
      <c r="AR29" s="763"/>
      <c r="AS29" s="763"/>
      <c r="AT29" s="763"/>
      <c r="AU29" s="763"/>
      <c r="AV29" s="763"/>
      <c r="AW29" s="763"/>
      <c r="AX29" s="763"/>
      <c r="AY29" s="763"/>
      <c r="AZ29" s="763"/>
      <c r="BA29" s="763"/>
      <c r="BB29" s="763"/>
      <c r="BC29" s="763"/>
      <c r="BD29" s="763"/>
      <c r="BE29" s="763"/>
      <c r="BF29" s="763"/>
      <c r="BG29" s="763"/>
      <c r="BH29" s="763"/>
      <c r="BI29" s="763"/>
      <c r="BJ29" s="763"/>
      <c r="BK29" s="763"/>
      <c r="BL29" s="763"/>
      <c r="BM29" s="763"/>
    </row>
    <row r="30" spans="1:65" s="889" customFormat="1" x14ac:dyDescent="0.2">
      <c r="B30" s="906"/>
      <c r="C30" s="906"/>
      <c r="D30" s="906"/>
      <c r="E30" s="906"/>
      <c r="H30" s="907"/>
      <c r="K30" s="908"/>
      <c r="L30" s="891"/>
      <c r="M30" s="891"/>
      <c r="N30" s="891"/>
      <c r="O30" s="891"/>
      <c r="P30" s="891"/>
      <c r="Q30" s="891"/>
      <c r="R30" s="891"/>
      <c r="S30" s="891"/>
      <c r="T30" s="891"/>
      <c r="U30" s="891"/>
      <c r="V30" s="891"/>
      <c r="W30" s="891"/>
      <c r="X30" s="891"/>
      <c r="Y30" s="891"/>
      <c r="Z30" s="891"/>
      <c r="AA30" s="891"/>
      <c r="AB30" s="891"/>
      <c r="AC30" s="891"/>
      <c r="AD30" s="891"/>
      <c r="AE30" s="891"/>
      <c r="AF30" s="891"/>
      <c r="AG30" s="891"/>
      <c r="AH30" s="891"/>
      <c r="AI30" s="891"/>
      <c r="AJ30" s="891"/>
      <c r="AK30" s="891"/>
      <c r="AL30" s="891"/>
      <c r="AM30" s="891"/>
      <c r="AN30" s="891"/>
      <c r="AO30" s="891"/>
      <c r="AP30" s="891"/>
      <c r="AQ30" s="891"/>
      <c r="AR30" s="891"/>
      <c r="AS30" s="891"/>
      <c r="AT30" s="891"/>
      <c r="AU30" s="891"/>
      <c r="AV30" s="891"/>
      <c r="AW30" s="891"/>
      <c r="AX30" s="891"/>
      <c r="AY30" s="891"/>
      <c r="AZ30" s="891"/>
      <c r="BA30" s="891"/>
      <c r="BB30" s="891"/>
      <c r="BC30" s="891"/>
      <c r="BD30" s="891"/>
      <c r="BE30" s="891"/>
      <c r="BF30" s="891"/>
      <c r="BG30" s="891"/>
      <c r="BH30" s="891"/>
      <c r="BI30" s="891"/>
      <c r="BJ30" s="891"/>
      <c r="BK30" s="891"/>
      <c r="BL30" s="891"/>
      <c r="BM30" s="891"/>
    </row>
    <row r="31" spans="1:65" s="889" customFormat="1" x14ac:dyDescent="0.2">
      <c r="C31" s="909"/>
      <c r="H31" s="907"/>
      <c r="K31" s="908"/>
      <c r="L31" s="891"/>
      <c r="M31" s="891"/>
      <c r="N31" s="891"/>
      <c r="O31" s="891"/>
      <c r="P31" s="891"/>
      <c r="Q31" s="891"/>
      <c r="R31" s="891"/>
      <c r="S31" s="891"/>
      <c r="T31" s="891"/>
      <c r="U31" s="891"/>
      <c r="V31" s="891"/>
      <c r="W31" s="891"/>
      <c r="X31" s="891"/>
      <c r="Y31" s="891"/>
      <c r="Z31" s="891"/>
      <c r="AA31" s="891"/>
      <c r="AB31" s="891"/>
      <c r="AC31" s="891"/>
      <c r="AD31" s="891"/>
      <c r="AE31" s="891"/>
      <c r="AF31" s="891"/>
      <c r="AG31" s="891"/>
      <c r="AH31" s="891"/>
      <c r="AI31" s="891"/>
      <c r="AJ31" s="891"/>
      <c r="AK31" s="891"/>
      <c r="AL31" s="891"/>
      <c r="AM31" s="891"/>
      <c r="AN31" s="891"/>
      <c r="AO31" s="891"/>
      <c r="AP31" s="891"/>
      <c r="AQ31" s="891"/>
      <c r="AR31" s="891"/>
      <c r="AS31" s="891"/>
      <c r="AT31" s="891"/>
      <c r="AU31" s="891"/>
      <c r="AV31" s="891"/>
      <c r="AW31" s="891"/>
      <c r="AX31" s="891"/>
      <c r="AY31" s="891"/>
      <c r="AZ31" s="891"/>
      <c r="BA31" s="891"/>
      <c r="BB31" s="891"/>
      <c r="BC31" s="891"/>
      <c r="BD31" s="891"/>
      <c r="BE31" s="891"/>
      <c r="BF31" s="891"/>
      <c r="BG31" s="891"/>
      <c r="BH31" s="891"/>
      <c r="BI31" s="891"/>
      <c r="BJ31" s="891"/>
      <c r="BK31" s="891"/>
      <c r="BL31" s="891"/>
      <c r="BM31" s="891"/>
    </row>
    <row r="32" spans="1:65" s="889" customFormat="1" x14ac:dyDescent="0.2">
      <c r="C32" s="909"/>
      <c r="H32" s="907"/>
      <c r="K32" s="908"/>
      <c r="L32" s="891"/>
      <c r="M32" s="891"/>
      <c r="N32" s="891"/>
      <c r="O32" s="891"/>
      <c r="P32" s="891"/>
      <c r="Q32" s="891"/>
      <c r="R32" s="891"/>
      <c r="S32" s="891"/>
      <c r="T32" s="891"/>
      <c r="U32" s="891"/>
      <c r="V32" s="891"/>
      <c r="W32" s="891"/>
      <c r="X32" s="891"/>
      <c r="Y32" s="891"/>
      <c r="Z32" s="891"/>
      <c r="AA32" s="891"/>
      <c r="AB32" s="891"/>
      <c r="AC32" s="891"/>
      <c r="AD32" s="891"/>
      <c r="AE32" s="891"/>
      <c r="AF32" s="891"/>
      <c r="AG32" s="891"/>
      <c r="AH32" s="891"/>
      <c r="AI32" s="891"/>
      <c r="AJ32" s="891"/>
      <c r="AK32" s="891"/>
      <c r="AL32" s="891"/>
      <c r="AM32" s="891"/>
      <c r="AN32" s="891"/>
      <c r="AO32" s="891"/>
      <c r="AP32" s="891"/>
      <c r="AQ32" s="891"/>
      <c r="AR32" s="891"/>
      <c r="AS32" s="891"/>
      <c r="AT32" s="891"/>
      <c r="AU32" s="891"/>
      <c r="AV32" s="891"/>
      <c r="AW32" s="891"/>
      <c r="AX32" s="891"/>
      <c r="AY32" s="891"/>
      <c r="AZ32" s="891"/>
      <c r="BA32" s="891"/>
      <c r="BB32" s="891"/>
      <c r="BC32" s="891"/>
      <c r="BD32" s="891"/>
      <c r="BE32" s="891"/>
      <c r="BF32" s="891"/>
      <c r="BG32" s="891"/>
      <c r="BH32" s="891"/>
      <c r="BI32" s="891"/>
      <c r="BJ32" s="891"/>
      <c r="BK32" s="891"/>
      <c r="BL32" s="891"/>
      <c r="BM32" s="891"/>
    </row>
    <row r="33" spans="1:65" s="889" customFormat="1" x14ac:dyDescent="0.2">
      <c r="C33" s="909"/>
      <c r="H33" s="907"/>
      <c r="K33" s="908"/>
      <c r="L33" s="891"/>
      <c r="M33" s="891"/>
      <c r="N33" s="891"/>
      <c r="O33" s="891"/>
      <c r="P33" s="891"/>
      <c r="Q33" s="891"/>
      <c r="R33" s="891"/>
      <c r="S33" s="891"/>
      <c r="T33" s="891"/>
      <c r="U33" s="891"/>
      <c r="V33" s="891"/>
      <c r="W33" s="891"/>
      <c r="X33" s="891"/>
      <c r="Y33" s="891"/>
      <c r="Z33" s="891"/>
      <c r="AA33" s="891"/>
      <c r="AB33" s="891"/>
      <c r="AC33" s="891"/>
      <c r="AD33" s="891"/>
      <c r="AE33" s="891"/>
      <c r="AF33" s="891"/>
      <c r="AG33" s="891"/>
      <c r="AH33" s="891"/>
      <c r="AI33" s="891"/>
      <c r="AJ33" s="891"/>
      <c r="AK33" s="891"/>
      <c r="AL33" s="891"/>
      <c r="AM33" s="891"/>
      <c r="AN33" s="891"/>
      <c r="AO33" s="891"/>
      <c r="AP33" s="891"/>
      <c r="AQ33" s="891"/>
      <c r="AR33" s="891"/>
      <c r="AS33" s="891"/>
      <c r="AT33" s="891"/>
      <c r="AU33" s="891"/>
      <c r="AV33" s="891"/>
      <c r="AW33" s="891"/>
      <c r="AX33" s="891"/>
      <c r="AY33" s="891"/>
      <c r="AZ33" s="891"/>
      <c r="BA33" s="891"/>
      <c r="BB33" s="891"/>
      <c r="BC33" s="891"/>
      <c r="BD33" s="891"/>
      <c r="BE33" s="891"/>
      <c r="BF33" s="891"/>
      <c r="BG33" s="891"/>
      <c r="BH33" s="891"/>
      <c r="BI33" s="891"/>
      <c r="BJ33" s="891"/>
      <c r="BK33" s="891"/>
      <c r="BL33" s="891"/>
      <c r="BM33" s="891"/>
    </row>
    <row r="34" spans="1:65" s="889" customFormat="1" x14ac:dyDescent="0.2">
      <c r="C34" s="909"/>
      <c r="H34" s="907"/>
      <c r="K34" s="908"/>
      <c r="L34" s="891"/>
      <c r="M34" s="891"/>
      <c r="N34" s="891"/>
      <c r="O34" s="891"/>
      <c r="P34" s="891"/>
      <c r="Q34" s="891"/>
      <c r="R34" s="891"/>
      <c r="S34" s="891"/>
      <c r="T34" s="891"/>
      <c r="U34" s="891"/>
      <c r="V34" s="891"/>
      <c r="W34" s="891"/>
      <c r="X34" s="891"/>
      <c r="Y34" s="891"/>
      <c r="Z34" s="891"/>
      <c r="AA34" s="891"/>
      <c r="AB34" s="891"/>
      <c r="AC34" s="891"/>
      <c r="AD34" s="891"/>
      <c r="AE34" s="891"/>
      <c r="AF34" s="891"/>
      <c r="AG34" s="891"/>
      <c r="AH34" s="891"/>
      <c r="AI34" s="891"/>
      <c r="AJ34" s="891"/>
      <c r="AK34" s="891"/>
      <c r="AL34" s="891"/>
      <c r="AM34" s="891"/>
      <c r="AN34" s="891"/>
      <c r="AO34" s="891"/>
      <c r="AP34" s="891"/>
      <c r="AQ34" s="891"/>
      <c r="AR34" s="891"/>
      <c r="AS34" s="891"/>
      <c r="AT34" s="891"/>
      <c r="AU34" s="891"/>
      <c r="AV34" s="891"/>
      <c r="AW34" s="891"/>
      <c r="AX34" s="891"/>
      <c r="AY34" s="891"/>
      <c r="AZ34" s="891"/>
      <c r="BA34" s="891"/>
      <c r="BB34" s="891"/>
      <c r="BC34" s="891"/>
      <c r="BD34" s="891"/>
      <c r="BE34" s="891"/>
      <c r="BF34" s="891"/>
      <c r="BG34" s="891"/>
      <c r="BH34" s="891"/>
      <c r="BI34" s="891"/>
      <c r="BJ34" s="891"/>
      <c r="BK34" s="891"/>
      <c r="BL34" s="891"/>
      <c r="BM34" s="891"/>
    </row>
    <row r="35" spans="1:65" s="889" customFormat="1" hidden="1" x14ac:dyDescent="0.2">
      <c r="A35" s="889" t="s">
        <v>1016</v>
      </c>
      <c r="C35" s="909"/>
      <c r="H35" s="907"/>
      <c r="K35" s="908"/>
      <c r="L35" s="891"/>
      <c r="M35" s="891"/>
      <c r="N35" s="891"/>
      <c r="O35" s="891"/>
      <c r="P35" s="891"/>
      <c r="Q35" s="891"/>
      <c r="R35" s="891"/>
      <c r="S35" s="891"/>
      <c r="T35" s="891"/>
      <c r="U35" s="891"/>
      <c r="V35" s="891"/>
      <c r="W35" s="891"/>
      <c r="X35" s="891"/>
      <c r="Y35" s="891"/>
      <c r="Z35" s="891"/>
      <c r="AA35" s="891"/>
      <c r="AB35" s="891"/>
      <c r="AC35" s="891"/>
      <c r="AD35" s="891"/>
      <c r="AE35" s="891"/>
      <c r="AF35" s="891"/>
      <c r="AG35" s="891"/>
      <c r="AH35" s="891"/>
      <c r="AI35" s="891"/>
      <c r="AJ35" s="891"/>
      <c r="AK35" s="891"/>
      <c r="AL35" s="891"/>
      <c r="AM35" s="891"/>
      <c r="AN35" s="891"/>
      <c r="AO35" s="891"/>
      <c r="AP35" s="891"/>
      <c r="AQ35" s="891"/>
      <c r="AR35" s="891"/>
      <c r="AS35" s="891"/>
      <c r="AT35" s="891"/>
      <c r="AU35" s="891"/>
      <c r="AV35" s="891"/>
      <c r="AW35" s="891"/>
      <c r="AX35" s="891"/>
      <c r="AY35" s="891"/>
      <c r="AZ35" s="891"/>
      <c r="BA35" s="891"/>
      <c r="BB35" s="891"/>
      <c r="BC35" s="891"/>
      <c r="BD35" s="891"/>
      <c r="BE35" s="891"/>
      <c r="BF35" s="891"/>
      <c r="BG35" s="891"/>
      <c r="BH35" s="891"/>
      <c r="BI35" s="891"/>
      <c r="BJ35" s="891"/>
      <c r="BK35" s="891"/>
      <c r="BL35" s="891"/>
      <c r="BM35" s="891"/>
    </row>
    <row r="36" spans="1:65" s="889" customFormat="1" ht="15" hidden="1" x14ac:dyDescent="0.2">
      <c r="A36" s="889" t="s">
        <v>1017</v>
      </c>
      <c r="B36" s="889" t="s">
        <v>840</v>
      </c>
      <c r="C36" s="910"/>
      <c r="D36" s="897"/>
      <c r="E36" s="897"/>
      <c r="F36" s="897"/>
      <c r="G36" s="911"/>
      <c r="H36" s="912"/>
      <c r="I36" s="913"/>
      <c r="J36" s="913"/>
      <c r="K36" s="914"/>
      <c r="L36" s="915"/>
      <c r="M36" s="915"/>
      <c r="N36" s="916"/>
      <c r="O36" s="917"/>
      <c r="P36" s="915"/>
      <c r="Q36" s="918">
        <f>SUM(Q37:Q38)</f>
        <v>0</v>
      </c>
      <c r="R36" s="918">
        <f>SUM(R37:R38)</f>
        <v>0</v>
      </c>
      <c r="S36" s="919" t="s">
        <v>225</v>
      </c>
      <c r="T36" s="920">
        <f>Q36+R36</f>
        <v>0</v>
      </c>
      <c r="U36" s="891"/>
      <c r="V36" s="891"/>
      <c r="W36" s="891"/>
      <c r="X36" s="891"/>
      <c r="Y36" s="891"/>
      <c r="Z36" s="891"/>
      <c r="AA36" s="891"/>
      <c r="AB36" s="891"/>
      <c r="AC36" s="891"/>
      <c r="AD36" s="891"/>
      <c r="AE36" s="891"/>
      <c r="AF36" s="891"/>
      <c r="AG36" s="891"/>
      <c r="AH36" s="891"/>
      <c r="AI36" s="891"/>
      <c r="AJ36" s="891"/>
      <c r="AK36" s="891"/>
      <c r="AL36" s="891"/>
      <c r="AM36" s="891"/>
      <c r="AN36" s="891"/>
      <c r="AO36" s="891"/>
      <c r="AP36" s="891"/>
      <c r="AQ36" s="891"/>
      <c r="AR36" s="891"/>
      <c r="AS36" s="891"/>
      <c r="AT36" s="891"/>
      <c r="AU36" s="891"/>
      <c r="AV36" s="891"/>
      <c r="AW36" s="891"/>
      <c r="AX36" s="891"/>
      <c r="AY36" s="891"/>
      <c r="AZ36" s="891"/>
      <c r="BA36" s="891"/>
      <c r="BB36" s="891"/>
      <c r="BC36" s="891"/>
      <c r="BD36" s="891"/>
      <c r="BE36" s="891"/>
      <c r="BF36" s="891"/>
      <c r="BG36" s="891"/>
      <c r="BH36" s="891"/>
      <c r="BI36" s="891"/>
      <c r="BJ36" s="891"/>
      <c r="BK36" s="891"/>
      <c r="BL36" s="891"/>
      <c r="BM36" s="891"/>
    </row>
    <row r="37" spans="1:65" s="889" customFormat="1" ht="15" hidden="1" x14ac:dyDescent="0.2">
      <c r="A37" s="889" t="s">
        <v>1018</v>
      </c>
      <c r="C37" s="921"/>
      <c r="D37" s="897"/>
      <c r="E37" s="897"/>
      <c r="F37" s="897"/>
      <c r="G37" s="922"/>
      <c r="H37" s="923"/>
      <c r="I37" s="924"/>
      <c r="J37" s="924"/>
      <c r="K37" s="925"/>
      <c r="L37" s="926"/>
      <c r="M37" s="926"/>
      <c r="N37" s="927"/>
      <c r="O37" s="928" t="s">
        <v>227</v>
      </c>
      <c r="P37" s="929"/>
      <c r="Q37" s="930">
        <f>L37*N37</f>
        <v>0</v>
      </c>
      <c r="R37" s="930">
        <f>M37*P37</f>
        <v>0</v>
      </c>
      <c r="S37" s="928" t="s">
        <v>225</v>
      </c>
      <c r="T37" s="931"/>
      <c r="U37" s="891"/>
      <c r="V37" s="891"/>
      <c r="W37" s="891"/>
      <c r="X37" s="891"/>
      <c r="Y37" s="891"/>
      <c r="Z37" s="891"/>
      <c r="AA37" s="891"/>
      <c r="AB37" s="891"/>
      <c r="AC37" s="891"/>
      <c r="AD37" s="891"/>
      <c r="AE37" s="891"/>
      <c r="AF37" s="891"/>
      <c r="AG37" s="891"/>
      <c r="AH37" s="891"/>
      <c r="AI37" s="891"/>
      <c r="AJ37" s="891"/>
      <c r="AK37" s="891"/>
      <c r="AL37" s="891"/>
      <c r="AM37" s="891"/>
      <c r="AN37" s="891"/>
      <c r="AO37" s="891"/>
      <c r="AP37" s="891"/>
      <c r="AQ37" s="891"/>
      <c r="AR37" s="891"/>
      <c r="AS37" s="891"/>
      <c r="AT37" s="891"/>
      <c r="AU37" s="891"/>
      <c r="AV37" s="891"/>
      <c r="AW37" s="891"/>
      <c r="AX37" s="891"/>
      <c r="AY37" s="891"/>
      <c r="AZ37" s="891"/>
      <c r="BA37" s="891"/>
      <c r="BB37" s="891"/>
      <c r="BC37" s="891"/>
      <c r="BD37" s="891"/>
      <c r="BE37" s="891"/>
      <c r="BF37" s="891"/>
      <c r="BG37" s="891"/>
      <c r="BH37" s="891"/>
      <c r="BI37" s="891"/>
      <c r="BJ37" s="891"/>
      <c r="BK37" s="891"/>
      <c r="BL37" s="891"/>
      <c r="BM37" s="891"/>
    </row>
    <row r="38" spans="1:65" s="889" customFormat="1" hidden="1" x14ac:dyDescent="0.2">
      <c r="A38" s="889" t="s">
        <v>1019</v>
      </c>
      <c r="C38" s="932"/>
      <c r="D38" s="933"/>
      <c r="E38" s="933"/>
      <c r="F38" s="933"/>
      <c r="G38" s="933"/>
      <c r="H38" s="934" t="s">
        <v>842</v>
      </c>
      <c r="I38" s="935"/>
      <c r="J38" s="935"/>
      <c r="K38" s="936"/>
      <c r="L38" s="937"/>
      <c r="M38" s="937"/>
      <c r="N38" s="937"/>
      <c r="O38" s="937"/>
      <c r="P38" s="937"/>
      <c r="Q38" s="937"/>
      <c r="R38" s="937"/>
      <c r="S38" s="937"/>
      <c r="T38" s="937"/>
      <c r="U38" s="891"/>
      <c r="V38" s="891"/>
      <c r="W38" s="891"/>
      <c r="X38" s="891"/>
      <c r="Y38" s="891"/>
      <c r="Z38" s="891"/>
      <c r="AA38" s="891"/>
      <c r="AB38" s="891"/>
      <c r="AC38" s="891"/>
      <c r="AD38" s="891"/>
      <c r="AE38" s="891"/>
      <c r="AF38" s="891"/>
      <c r="AG38" s="891"/>
      <c r="AH38" s="891"/>
      <c r="AI38" s="891"/>
      <c r="AJ38" s="891"/>
      <c r="AK38" s="891"/>
      <c r="AL38" s="891"/>
      <c r="AM38" s="891"/>
      <c r="AN38" s="891"/>
      <c r="AO38" s="891"/>
      <c r="AP38" s="891"/>
      <c r="AQ38" s="891"/>
      <c r="AR38" s="891"/>
      <c r="AS38" s="891"/>
      <c r="AT38" s="891"/>
      <c r="AU38" s="891"/>
      <c r="AV38" s="891"/>
      <c r="AW38" s="891"/>
      <c r="AX38" s="891"/>
      <c r="AY38" s="891"/>
      <c r="AZ38" s="891"/>
      <c r="BA38" s="891"/>
      <c r="BB38" s="891"/>
      <c r="BC38" s="891"/>
      <c r="BD38" s="891"/>
      <c r="BE38" s="891"/>
      <c r="BF38" s="891"/>
      <c r="BG38" s="891"/>
      <c r="BH38" s="891"/>
      <c r="BI38" s="891"/>
      <c r="BJ38" s="891"/>
      <c r="BK38" s="891"/>
      <c r="BL38" s="891"/>
      <c r="BM38" s="891"/>
    </row>
    <row r="39" spans="1:65" s="889" customFormat="1" hidden="1" x14ac:dyDescent="0.2">
      <c r="C39" s="909"/>
      <c r="H39" s="907"/>
      <c r="K39" s="908"/>
      <c r="L39" s="891"/>
      <c r="M39" s="891"/>
      <c r="N39" s="891"/>
      <c r="O39" s="891"/>
      <c r="P39" s="891"/>
      <c r="Q39" s="891"/>
      <c r="R39" s="891"/>
      <c r="S39" s="891"/>
      <c r="T39" s="891"/>
      <c r="U39" s="891"/>
      <c r="V39" s="891"/>
      <c r="W39" s="891"/>
      <c r="X39" s="891"/>
      <c r="Y39" s="891"/>
      <c r="Z39" s="891"/>
      <c r="AA39" s="891"/>
      <c r="AB39" s="891"/>
      <c r="AC39" s="891"/>
      <c r="AD39" s="891"/>
      <c r="AE39" s="891"/>
      <c r="AF39" s="891"/>
      <c r="AG39" s="891"/>
      <c r="AH39" s="891"/>
      <c r="AI39" s="891"/>
      <c r="AJ39" s="891"/>
      <c r="AK39" s="891"/>
      <c r="AL39" s="891"/>
      <c r="AM39" s="891"/>
      <c r="AN39" s="891"/>
      <c r="AO39" s="891"/>
      <c r="AP39" s="891"/>
      <c r="AQ39" s="891"/>
      <c r="AR39" s="891"/>
      <c r="AS39" s="891"/>
      <c r="AT39" s="891"/>
      <c r="AU39" s="891"/>
      <c r="AV39" s="891"/>
      <c r="AW39" s="891"/>
      <c r="AX39" s="891"/>
      <c r="AY39" s="891"/>
      <c r="AZ39" s="891"/>
      <c r="BA39" s="891"/>
      <c r="BB39" s="891"/>
      <c r="BC39" s="891"/>
      <c r="BD39" s="891"/>
      <c r="BE39" s="891"/>
      <c r="BF39" s="891"/>
      <c r="BG39" s="891"/>
      <c r="BH39" s="891"/>
      <c r="BI39" s="891"/>
      <c r="BJ39" s="891"/>
      <c r="BK39" s="891"/>
      <c r="BL39" s="891"/>
      <c r="BM39" s="891"/>
    </row>
    <row r="40" spans="1:65" s="889" customFormat="1" hidden="1" x14ac:dyDescent="0.2">
      <c r="A40" s="889" t="s">
        <v>1020</v>
      </c>
      <c r="C40" s="909"/>
      <c r="H40" s="907"/>
      <c r="K40" s="908"/>
      <c r="L40" s="891"/>
      <c r="M40" s="891"/>
      <c r="N40" s="891"/>
      <c r="O40" s="891"/>
      <c r="P40" s="891"/>
      <c r="Q40" s="891"/>
      <c r="R40" s="891"/>
      <c r="S40" s="891"/>
      <c r="T40" s="891"/>
      <c r="U40" s="891"/>
      <c r="V40" s="891"/>
      <c r="W40" s="891"/>
      <c r="X40" s="891"/>
      <c r="Y40" s="891"/>
      <c r="Z40" s="891"/>
      <c r="AA40" s="891"/>
      <c r="AB40" s="891"/>
      <c r="AC40" s="891"/>
      <c r="AD40" s="891"/>
      <c r="AE40" s="891"/>
      <c r="AF40" s="891"/>
      <c r="AG40" s="891"/>
      <c r="AH40" s="891"/>
      <c r="AI40" s="891"/>
      <c r="AJ40" s="891"/>
      <c r="AK40" s="891"/>
      <c r="AL40" s="891"/>
      <c r="AM40" s="891"/>
      <c r="AN40" s="891"/>
      <c r="AO40" s="891"/>
      <c r="AP40" s="891"/>
      <c r="AQ40" s="891"/>
      <c r="AR40" s="891"/>
      <c r="AS40" s="891"/>
      <c r="AT40" s="891"/>
      <c r="AU40" s="891"/>
      <c r="AV40" s="891"/>
      <c r="AW40" s="891"/>
      <c r="AX40" s="891"/>
      <c r="AY40" s="891"/>
      <c r="AZ40" s="891"/>
      <c r="BA40" s="891"/>
      <c r="BB40" s="891"/>
      <c r="BC40" s="891"/>
      <c r="BD40" s="891"/>
      <c r="BE40" s="891"/>
      <c r="BF40" s="891"/>
      <c r="BG40" s="891"/>
      <c r="BH40" s="891"/>
      <c r="BI40" s="891"/>
      <c r="BJ40" s="891"/>
      <c r="BK40" s="891"/>
      <c r="BL40" s="891"/>
      <c r="BM40" s="891"/>
    </row>
    <row r="41" spans="1:65" s="889" customFormat="1" ht="15" hidden="1" x14ac:dyDescent="0.2">
      <c r="A41" s="889" t="s">
        <v>1017</v>
      </c>
      <c r="B41" s="889" t="s">
        <v>840</v>
      </c>
      <c r="C41" s="910"/>
      <c r="D41" s="897"/>
      <c r="E41" s="897"/>
      <c r="F41" s="897"/>
      <c r="G41" s="938"/>
      <c r="H41" s="939"/>
      <c r="I41" s="940"/>
      <c r="J41" s="940"/>
      <c r="K41" s="941"/>
      <c r="L41" s="942"/>
      <c r="M41" s="943"/>
      <c r="N41" s="944"/>
      <c r="O41" s="945"/>
      <c r="P41" s="943"/>
      <c r="Q41" s="942"/>
      <c r="R41" s="918">
        <f>SUM(R42:R43)</f>
        <v>0</v>
      </c>
      <c r="S41" s="919" t="s">
        <v>231</v>
      </c>
      <c r="T41" s="920">
        <f>Q41+R41</f>
        <v>0</v>
      </c>
      <c r="U41" s="891"/>
      <c r="V41" s="891"/>
      <c r="W41" s="891"/>
      <c r="X41" s="891"/>
      <c r="Y41" s="891"/>
      <c r="Z41" s="891"/>
      <c r="AA41" s="891"/>
      <c r="AB41" s="891"/>
      <c r="AC41" s="891"/>
      <c r="AD41" s="891"/>
      <c r="AE41" s="891"/>
      <c r="AF41" s="891"/>
      <c r="AG41" s="891"/>
      <c r="AH41" s="891"/>
      <c r="AI41" s="891"/>
      <c r="AJ41" s="891"/>
      <c r="AK41" s="891"/>
      <c r="AL41" s="891"/>
      <c r="AM41" s="891"/>
      <c r="AN41" s="891"/>
      <c r="AO41" s="891"/>
      <c r="AP41" s="891"/>
      <c r="AQ41" s="891"/>
      <c r="AR41" s="891"/>
      <c r="AS41" s="891"/>
      <c r="AT41" s="891"/>
      <c r="AU41" s="891"/>
      <c r="AV41" s="891"/>
      <c r="AW41" s="891"/>
      <c r="AX41" s="891"/>
      <c r="AY41" s="891"/>
      <c r="AZ41" s="891"/>
      <c r="BA41" s="891"/>
      <c r="BB41" s="891"/>
      <c r="BC41" s="891"/>
      <c r="BD41" s="891"/>
      <c r="BE41" s="891"/>
      <c r="BF41" s="891"/>
      <c r="BG41" s="891"/>
      <c r="BH41" s="891"/>
      <c r="BI41" s="891"/>
      <c r="BJ41" s="891"/>
      <c r="BK41" s="891"/>
      <c r="BL41" s="891"/>
      <c r="BM41" s="891"/>
    </row>
    <row r="42" spans="1:65" s="889" customFormat="1" ht="15" hidden="1" x14ac:dyDescent="0.2">
      <c r="A42" s="889" t="s">
        <v>1018</v>
      </c>
      <c r="C42" s="946"/>
      <c r="D42" s="897"/>
      <c r="E42" s="897"/>
      <c r="F42" s="897"/>
      <c r="G42" s="938"/>
      <c r="H42" s="939"/>
      <c r="I42" s="947"/>
      <c r="J42" s="947"/>
      <c r="K42" s="948"/>
      <c r="L42" s="942"/>
      <c r="M42" s="949"/>
      <c r="N42" s="944"/>
      <c r="O42" s="950"/>
      <c r="P42" s="951"/>
      <c r="Q42" s="942"/>
      <c r="R42" s="918">
        <f>M42*P42</f>
        <v>0</v>
      </c>
      <c r="S42" s="919" t="s">
        <v>231</v>
      </c>
      <c r="T42" s="952"/>
      <c r="U42" s="891"/>
      <c r="V42" s="891"/>
      <c r="W42" s="891"/>
      <c r="X42" s="891"/>
      <c r="Y42" s="891"/>
      <c r="Z42" s="891"/>
      <c r="AA42" s="891"/>
      <c r="AB42" s="891"/>
      <c r="AC42" s="891"/>
      <c r="AD42" s="891"/>
      <c r="AE42" s="891"/>
      <c r="AF42" s="891"/>
      <c r="AG42" s="891"/>
      <c r="AH42" s="891"/>
      <c r="AI42" s="891"/>
      <c r="AJ42" s="891"/>
      <c r="AK42" s="891"/>
      <c r="AL42" s="891"/>
      <c r="AM42" s="891"/>
      <c r="AN42" s="891"/>
      <c r="AO42" s="891"/>
      <c r="AP42" s="891"/>
      <c r="AQ42" s="891"/>
      <c r="AR42" s="891"/>
      <c r="AS42" s="891"/>
      <c r="AT42" s="891"/>
      <c r="AU42" s="891"/>
      <c r="AV42" s="891"/>
      <c r="AW42" s="891"/>
      <c r="AX42" s="891"/>
      <c r="AY42" s="891"/>
      <c r="AZ42" s="891"/>
      <c r="BA42" s="891"/>
      <c r="BB42" s="891"/>
      <c r="BC42" s="891"/>
      <c r="BD42" s="891"/>
      <c r="BE42" s="891"/>
      <c r="BF42" s="891"/>
      <c r="BG42" s="891"/>
      <c r="BH42" s="891"/>
      <c r="BI42" s="891"/>
      <c r="BJ42" s="891"/>
      <c r="BK42" s="891"/>
      <c r="BL42" s="891"/>
      <c r="BM42" s="891"/>
    </row>
    <row r="43" spans="1:65" s="889" customFormat="1" ht="15" hidden="1" x14ac:dyDescent="0.2">
      <c r="A43" s="889" t="s">
        <v>1019</v>
      </c>
      <c r="C43" s="910"/>
      <c r="D43" s="897"/>
      <c r="E43" s="897"/>
      <c r="F43" s="897"/>
      <c r="G43" s="953"/>
      <c r="H43" s="954" t="s">
        <v>842</v>
      </c>
      <c r="I43" s="955"/>
      <c r="J43" s="955"/>
      <c r="K43" s="956"/>
      <c r="L43" s="957"/>
      <c r="M43" s="958"/>
      <c r="N43" s="959"/>
      <c r="O43" s="960"/>
      <c r="P43" s="961"/>
      <c r="Q43" s="957"/>
      <c r="R43" s="962"/>
      <c r="S43" s="919"/>
      <c r="T43" s="963"/>
      <c r="U43" s="891"/>
      <c r="V43" s="891"/>
      <c r="W43" s="891"/>
      <c r="X43" s="891"/>
      <c r="Y43" s="891"/>
      <c r="Z43" s="891"/>
      <c r="AA43" s="891"/>
      <c r="AB43" s="891"/>
      <c r="AC43" s="891"/>
      <c r="AD43" s="891"/>
      <c r="AE43" s="891"/>
      <c r="AF43" s="891"/>
      <c r="AG43" s="891"/>
      <c r="AH43" s="891"/>
      <c r="AI43" s="891"/>
      <c r="AJ43" s="891"/>
      <c r="AK43" s="891"/>
      <c r="AL43" s="891"/>
      <c r="AM43" s="891"/>
      <c r="AN43" s="891"/>
      <c r="AO43" s="891"/>
      <c r="AP43" s="891"/>
      <c r="AQ43" s="891"/>
      <c r="AR43" s="891"/>
      <c r="AS43" s="891"/>
      <c r="AT43" s="891"/>
      <c r="AU43" s="891"/>
      <c r="AV43" s="891"/>
      <c r="AW43" s="891"/>
      <c r="AX43" s="891"/>
      <c r="AY43" s="891"/>
      <c r="AZ43" s="891"/>
      <c r="BA43" s="891"/>
      <c r="BB43" s="891"/>
      <c r="BC43" s="891"/>
      <c r="BD43" s="891"/>
      <c r="BE43" s="891"/>
      <c r="BF43" s="891"/>
      <c r="BG43" s="891"/>
      <c r="BH43" s="891"/>
      <c r="BI43" s="891"/>
      <c r="BJ43" s="891"/>
      <c r="BK43" s="891"/>
      <c r="BL43" s="891"/>
      <c r="BM43" s="891"/>
    </row>
    <row r="44" spans="1:65" s="889" customFormat="1" hidden="1" x14ac:dyDescent="0.2">
      <c r="C44" s="909"/>
      <c r="H44" s="907"/>
      <c r="K44" s="908"/>
      <c r="L44" s="891"/>
      <c r="M44" s="891"/>
      <c r="N44" s="891"/>
      <c r="O44" s="891"/>
      <c r="P44" s="891"/>
      <c r="Q44" s="891"/>
      <c r="R44" s="891"/>
      <c r="S44" s="891"/>
      <c r="T44" s="891"/>
      <c r="U44" s="891"/>
      <c r="V44" s="891"/>
      <c r="W44" s="891"/>
      <c r="X44" s="891"/>
      <c r="Y44" s="891"/>
      <c r="Z44" s="891"/>
      <c r="AA44" s="891"/>
      <c r="AB44" s="891"/>
      <c r="AC44" s="891"/>
      <c r="AD44" s="891"/>
      <c r="AE44" s="891"/>
      <c r="AF44" s="891"/>
      <c r="AG44" s="891"/>
      <c r="AH44" s="891"/>
      <c r="AI44" s="891"/>
      <c r="AJ44" s="891"/>
      <c r="AK44" s="891"/>
      <c r="AL44" s="891"/>
      <c r="AM44" s="891"/>
      <c r="AN44" s="891"/>
      <c r="AO44" s="891"/>
      <c r="AP44" s="891"/>
      <c r="AQ44" s="891"/>
      <c r="AR44" s="891"/>
      <c r="AS44" s="891"/>
      <c r="AT44" s="891"/>
      <c r="AU44" s="891"/>
      <c r="AV44" s="891"/>
      <c r="AW44" s="891"/>
      <c r="AX44" s="891"/>
      <c r="AY44" s="891"/>
      <c r="AZ44" s="891"/>
      <c r="BA44" s="891"/>
      <c r="BB44" s="891"/>
      <c r="BC44" s="891"/>
      <c r="BD44" s="891"/>
      <c r="BE44" s="891"/>
      <c r="BF44" s="891"/>
      <c r="BG44" s="891"/>
      <c r="BH44" s="891"/>
      <c r="BI44" s="891"/>
      <c r="BJ44" s="891"/>
      <c r="BK44" s="891"/>
      <c r="BL44" s="891"/>
      <c r="BM44" s="891"/>
    </row>
    <row r="45" spans="1:65" s="889" customFormat="1" hidden="1" x14ac:dyDescent="0.2">
      <c r="C45" s="909"/>
      <c r="H45" s="907"/>
      <c r="K45" s="908"/>
      <c r="L45" s="891"/>
      <c r="M45" s="891"/>
      <c r="N45" s="891"/>
      <c r="O45" s="891"/>
      <c r="P45" s="891"/>
      <c r="Q45" s="891"/>
      <c r="R45" s="891"/>
      <c r="S45" s="891"/>
      <c r="T45" s="891"/>
      <c r="U45" s="891"/>
      <c r="V45" s="891"/>
      <c r="W45" s="891"/>
      <c r="X45" s="891"/>
      <c r="Y45" s="891"/>
      <c r="Z45" s="891"/>
      <c r="AA45" s="891"/>
      <c r="AB45" s="891"/>
      <c r="AC45" s="891"/>
      <c r="AD45" s="891"/>
      <c r="AE45" s="891"/>
      <c r="AF45" s="891"/>
      <c r="AG45" s="891"/>
      <c r="AH45" s="891"/>
      <c r="AI45" s="891"/>
      <c r="AJ45" s="891"/>
      <c r="AK45" s="891"/>
      <c r="AL45" s="891"/>
      <c r="AM45" s="891"/>
      <c r="AN45" s="891"/>
      <c r="AO45" s="891"/>
      <c r="AP45" s="891"/>
      <c r="AQ45" s="891"/>
      <c r="AR45" s="891"/>
      <c r="AS45" s="891"/>
      <c r="AT45" s="891"/>
      <c r="AU45" s="891"/>
      <c r="AV45" s="891"/>
      <c r="AW45" s="891"/>
      <c r="AX45" s="891"/>
      <c r="AY45" s="891"/>
      <c r="AZ45" s="891"/>
      <c r="BA45" s="891"/>
      <c r="BB45" s="891"/>
      <c r="BC45" s="891"/>
      <c r="BD45" s="891"/>
      <c r="BE45" s="891"/>
      <c r="BF45" s="891"/>
      <c r="BG45" s="891"/>
      <c r="BH45" s="891"/>
      <c r="BI45" s="891"/>
      <c r="BJ45" s="891"/>
      <c r="BK45" s="891"/>
      <c r="BL45" s="891"/>
      <c r="BM45" s="891"/>
    </row>
    <row r="46" spans="1:65" s="889" customFormat="1" x14ac:dyDescent="0.2">
      <c r="C46" s="909"/>
      <c r="H46" s="907"/>
      <c r="K46" s="908"/>
      <c r="L46" s="891"/>
      <c r="M46" s="891"/>
      <c r="N46" s="891"/>
      <c r="O46" s="891"/>
      <c r="P46" s="891"/>
      <c r="Q46" s="891"/>
      <c r="R46" s="891"/>
      <c r="S46" s="891"/>
      <c r="T46" s="891"/>
      <c r="U46" s="891"/>
      <c r="V46" s="891"/>
      <c r="W46" s="891"/>
      <c r="X46" s="891"/>
      <c r="Y46" s="891"/>
      <c r="Z46" s="891"/>
      <c r="AA46" s="891"/>
      <c r="AB46" s="891"/>
      <c r="AC46" s="891"/>
      <c r="AD46" s="891"/>
      <c r="AE46" s="891"/>
      <c r="AF46" s="891"/>
      <c r="AG46" s="891"/>
      <c r="AH46" s="891"/>
      <c r="AI46" s="891"/>
      <c r="AJ46" s="891"/>
      <c r="AK46" s="891"/>
      <c r="AL46" s="891"/>
      <c r="AM46" s="891"/>
      <c r="AN46" s="891"/>
      <c r="AO46" s="891"/>
      <c r="AP46" s="891"/>
      <c r="AQ46" s="891"/>
      <c r="AR46" s="891"/>
      <c r="AS46" s="891"/>
      <c r="AT46" s="891"/>
      <c r="AU46" s="891"/>
      <c r="AV46" s="891"/>
      <c r="AW46" s="891"/>
      <c r="AX46" s="891"/>
      <c r="AY46" s="891"/>
      <c r="AZ46" s="891"/>
      <c r="BA46" s="891"/>
      <c r="BB46" s="891"/>
      <c r="BC46" s="891"/>
      <c r="BD46" s="891"/>
      <c r="BE46" s="891"/>
      <c r="BF46" s="891"/>
      <c r="BG46" s="891"/>
      <c r="BH46" s="891"/>
      <c r="BI46" s="891"/>
      <c r="BJ46" s="891"/>
      <c r="BK46" s="891"/>
      <c r="BL46" s="891"/>
      <c r="BM46" s="891"/>
    </row>
  </sheetData>
  <sheetProtection password="A452" sheet="1" objects="1" scenarios="1"/>
  <mergeCells count="28">
    <mergeCell ref="B29:K29"/>
    <mergeCell ref="B25:K25"/>
    <mergeCell ref="B26:K26"/>
    <mergeCell ref="B27:K27"/>
    <mergeCell ref="B28:K28"/>
    <mergeCell ref="B15:C15"/>
    <mergeCell ref="B22:K22"/>
    <mergeCell ref="B23:K23"/>
    <mergeCell ref="B24:K24"/>
    <mergeCell ref="B9:C9"/>
    <mergeCell ref="N9:O9"/>
    <mergeCell ref="R9:S9"/>
    <mergeCell ref="B10:C10"/>
    <mergeCell ref="Q5:Q8"/>
    <mergeCell ref="R5:S8"/>
    <mergeCell ref="N5:O8"/>
    <mergeCell ref="P5:P8"/>
    <mergeCell ref="M6:M8"/>
    <mergeCell ref="T5:T8"/>
    <mergeCell ref="B6:C8"/>
    <mergeCell ref="G6:G8"/>
    <mergeCell ref="H6:H8"/>
    <mergeCell ref="I6:I8"/>
    <mergeCell ref="J6:J8"/>
    <mergeCell ref="K6:K8"/>
    <mergeCell ref="L6:L8"/>
    <mergeCell ref="B5:K5"/>
    <mergeCell ref="L5:M5"/>
  </mergeCells>
  <phoneticPr fontId="36" type="noConversion"/>
  <dataValidations count="2">
    <dataValidation type="date" operator="greaterThanOrEqual" allowBlank="1" showInputMessage="1" showErrorMessage="1" sqref="I16:J19 I11:J14">
      <formula1>1</formula1>
    </dataValidation>
    <dataValidation type="decimal" operator="greaterThanOrEqual" allowBlank="1" showInputMessage="1" showErrorMessage="1" sqref="L16:N19 P16:P19 P11:P14 L11:N14">
      <formula1>0</formula1>
    </dataValidation>
  </dataValidations>
  <pageMargins left="0.25" right="0.25" top="0.68" bottom="0.2" header="0.31" footer="0.2"/>
  <pageSetup paperSize="9" orientation="landscape" r:id="rId1"/>
  <headerFooter alignWithMargins="0">
    <oddHeader>&amp;C&amp;"Arial,Bold"&amp;8 NEW RURAL BANK OF SAN LEONARDO, INC  [ 04-040656 ]
 As of: September 30, 2017</oddHeader>
  </headerFooter>
  <drawing r:id="rId2"/>
  <legacyDrawing r:id="rId3"/>
  <controls>
    <mc:AlternateContent xmlns:mc="http://schemas.openxmlformats.org/markup-compatibility/2006">
      <mc:Choice Requires="x14">
        <control shapeId="2050" r:id="rId4" name="Label_pbs">
          <controlPr defaultSize="0" autoLine="0" r:id="rId5">
            <anchor moveWithCells="1">
              <from>
                <xdr:col>7</xdr:col>
                <xdr:colOff>228600</xdr:colOff>
                <xdr:row>18</xdr:row>
                <xdr:rowOff>38100</xdr:rowOff>
              </from>
              <to>
                <xdr:col>7</xdr:col>
                <xdr:colOff>514350</xdr:colOff>
                <xdr:row>19</xdr:row>
                <xdr:rowOff>28575</xdr:rowOff>
              </to>
            </anchor>
          </controlPr>
        </control>
      </mc:Choice>
      <mc:Fallback>
        <control shapeId="2050" r:id="rId4" name="Label_pbs"/>
      </mc:Fallback>
    </mc:AlternateContent>
    <mc:AlternateContent xmlns:mc="http://schemas.openxmlformats.org/markup-compatibility/2006">
      <mc:Choice Requires="x14">
        <control shapeId="2049" r:id="rId6" name="Label_psl">
          <controlPr defaultSize="0" autoLine="0" r:id="rId7">
            <anchor moveWithCells="1">
              <from>
                <xdr:col>7</xdr:col>
                <xdr:colOff>219075</xdr:colOff>
                <xdr:row>13</xdr:row>
                <xdr:rowOff>47625</xdr:rowOff>
              </from>
              <to>
                <xdr:col>7</xdr:col>
                <xdr:colOff>504825</xdr:colOff>
                <xdr:row>14</xdr:row>
                <xdr:rowOff>19050</xdr:rowOff>
              </to>
            </anchor>
          </controlPr>
        </control>
      </mc:Choice>
      <mc:Fallback>
        <control shapeId="2049" r:id="rId6" name="Label_psl"/>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BR65"/>
  <sheetViews>
    <sheetView view="pageBreakPreview" topLeftCell="B2" zoomScaleNormal="100" workbookViewId="0">
      <selection activeCell="B6" sqref="B6:C8"/>
    </sheetView>
  </sheetViews>
  <sheetFormatPr defaultRowHeight="12.75" x14ac:dyDescent="0.2"/>
  <cols>
    <col min="1" max="1" width="1.5703125" style="889" customWidth="1"/>
    <col min="2" max="2" width="2.85546875" style="889" customWidth="1"/>
    <col min="3" max="3" width="27" style="889" customWidth="1"/>
    <col min="4" max="6" width="27" style="889" hidden="1" customWidth="1"/>
    <col min="7" max="7" width="16.7109375" style="889" bestFit="1" customWidth="1"/>
    <col min="8" max="8" width="8.28515625" style="907" customWidth="1"/>
    <col min="9" max="9" width="13.5703125" style="968" customWidth="1"/>
    <col min="10" max="11" width="9.28515625" style="889" customWidth="1"/>
    <col min="12" max="12" width="8.42578125" style="889" customWidth="1"/>
    <col min="13" max="14" width="15.85546875" style="889" customWidth="1"/>
    <col min="15" max="16" width="15.85546875" style="891" customWidth="1"/>
  </cols>
  <sheetData>
    <row r="1" spans="1:70" s="889" customFormat="1" hidden="1" x14ac:dyDescent="0.2">
      <c r="A1" s="426"/>
      <c r="B1" s="426"/>
      <c r="C1" s="426"/>
      <c r="D1" s="426"/>
      <c r="E1" s="426"/>
      <c r="F1" s="426"/>
      <c r="G1" s="426"/>
      <c r="H1" s="537"/>
      <c r="I1" s="549"/>
      <c r="J1" s="426"/>
      <c r="K1" s="426"/>
      <c r="L1" s="426"/>
      <c r="M1" s="426"/>
      <c r="N1" s="426"/>
      <c r="O1" s="480"/>
      <c r="P1" s="480"/>
      <c r="Q1" s="891"/>
      <c r="R1" s="1000"/>
      <c r="S1" s="1000"/>
      <c r="T1" s="1000"/>
      <c r="U1" s="1000"/>
      <c r="V1" s="891"/>
      <c r="W1" s="891"/>
      <c r="X1" s="891"/>
      <c r="Y1" s="891"/>
      <c r="Z1" s="891"/>
      <c r="AA1" s="891"/>
      <c r="AB1" s="891"/>
      <c r="AC1" s="891"/>
      <c r="AD1" s="891"/>
      <c r="AE1" s="891"/>
      <c r="AF1" s="891"/>
      <c r="AG1" s="891"/>
      <c r="AH1" s="891"/>
      <c r="AI1" s="891"/>
      <c r="AJ1" s="891"/>
      <c r="AK1" s="891"/>
      <c r="AL1" s="891"/>
      <c r="AM1" s="891"/>
      <c r="AN1" s="891"/>
      <c r="AO1" s="891"/>
      <c r="AP1" s="891"/>
      <c r="AQ1" s="891"/>
      <c r="AR1" s="891"/>
      <c r="AS1" s="891"/>
      <c r="AT1" s="891"/>
      <c r="AU1" s="891"/>
      <c r="AV1" s="891"/>
      <c r="AW1" s="891"/>
      <c r="AX1" s="891"/>
      <c r="AY1" s="891"/>
      <c r="AZ1" s="891"/>
      <c r="BA1" s="891"/>
      <c r="BB1" s="891"/>
      <c r="BC1" s="891"/>
      <c r="BD1" s="891"/>
      <c r="BE1" s="891"/>
      <c r="BF1" s="891"/>
      <c r="BG1" s="891"/>
      <c r="BH1" s="891"/>
      <c r="BI1" s="891"/>
      <c r="BJ1" s="891"/>
      <c r="BK1" s="891"/>
      <c r="BL1" s="891"/>
      <c r="BM1" s="891"/>
      <c r="BN1" s="891"/>
      <c r="BO1" s="891"/>
      <c r="BP1" s="891"/>
      <c r="BQ1" s="891"/>
    </row>
    <row r="2" spans="1:70" s="889" customFormat="1" x14ac:dyDescent="0.2">
      <c r="A2" s="426"/>
      <c r="B2" s="426"/>
      <c r="C2" s="426"/>
      <c r="D2" s="426"/>
      <c r="E2" s="426"/>
      <c r="F2" s="426"/>
      <c r="G2" s="426"/>
      <c r="H2" s="537"/>
      <c r="I2" s="549"/>
      <c r="J2" s="426"/>
      <c r="K2" s="426"/>
      <c r="L2" s="426"/>
      <c r="M2" s="426"/>
      <c r="N2" s="426"/>
      <c r="O2" s="480"/>
      <c r="P2" s="480"/>
      <c r="Q2" s="891"/>
      <c r="R2" s="1000"/>
      <c r="S2" s="1000"/>
      <c r="T2" s="1000"/>
      <c r="U2" s="1000"/>
      <c r="V2" s="891"/>
      <c r="W2" s="891"/>
      <c r="X2" s="891"/>
      <c r="Y2" s="891"/>
      <c r="Z2" s="891"/>
      <c r="AA2" s="891"/>
      <c r="AB2" s="891"/>
      <c r="AC2" s="891"/>
      <c r="AD2" s="891"/>
      <c r="AE2" s="891"/>
      <c r="AF2" s="891"/>
      <c r="AG2" s="891"/>
      <c r="AH2" s="891"/>
      <c r="AI2" s="891"/>
      <c r="AJ2" s="891"/>
      <c r="AK2" s="891"/>
      <c r="AL2" s="891"/>
      <c r="AM2" s="891"/>
      <c r="AN2" s="891"/>
      <c r="AO2" s="891"/>
      <c r="AP2" s="891"/>
      <c r="AQ2" s="891"/>
      <c r="AR2" s="891"/>
      <c r="AS2" s="891"/>
      <c r="AT2" s="891"/>
      <c r="AU2" s="891"/>
      <c r="AV2" s="891"/>
      <c r="AW2" s="891"/>
      <c r="AX2" s="891"/>
      <c r="AY2" s="891"/>
      <c r="AZ2" s="891"/>
      <c r="BA2" s="891"/>
      <c r="BB2" s="891"/>
      <c r="BC2" s="891"/>
      <c r="BD2" s="891"/>
      <c r="BE2" s="891"/>
      <c r="BF2" s="891"/>
      <c r="BG2" s="891"/>
      <c r="BH2" s="891"/>
      <c r="BI2" s="891"/>
      <c r="BJ2" s="891"/>
      <c r="BK2" s="891"/>
      <c r="BL2" s="891"/>
      <c r="BM2" s="891"/>
      <c r="BN2" s="891"/>
      <c r="BO2" s="891"/>
      <c r="BP2" s="891"/>
      <c r="BQ2" s="891"/>
    </row>
    <row r="3" spans="1:70" s="889" customFormat="1" x14ac:dyDescent="0.2">
      <c r="A3" s="426"/>
      <c r="B3" s="426"/>
      <c r="C3" s="426"/>
      <c r="D3" s="426"/>
      <c r="E3" s="426"/>
      <c r="F3" s="426"/>
      <c r="G3" s="426"/>
      <c r="H3" s="537"/>
      <c r="I3" s="549"/>
      <c r="J3" s="426"/>
      <c r="K3" s="426"/>
      <c r="L3" s="426"/>
      <c r="M3" s="426"/>
      <c r="N3" s="426"/>
      <c r="O3" s="480"/>
      <c r="P3" s="480"/>
      <c r="Q3" s="891"/>
      <c r="R3" s="1000"/>
      <c r="S3" s="1000"/>
      <c r="T3" s="1000"/>
      <c r="U3" s="1000"/>
      <c r="V3" s="891"/>
      <c r="W3" s="891"/>
      <c r="X3" s="891"/>
      <c r="Y3" s="891"/>
      <c r="Z3" s="891"/>
      <c r="AA3" s="891"/>
      <c r="AB3" s="891"/>
      <c r="AC3" s="891"/>
      <c r="AD3" s="891"/>
      <c r="AE3" s="891"/>
      <c r="AF3" s="891"/>
      <c r="AG3" s="891"/>
      <c r="AH3" s="891"/>
      <c r="AI3" s="891"/>
      <c r="AJ3" s="891"/>
      <c r="AK3" s="891"/>
      <c r="AL3" s="891"/>
      <c r="AM3" s="891"/>
      <c r="AN3" s="891"/>
      <c r="AO3" s="891"/>
      <c r="AP3" s="891"/>
      <c r="AQ3" s="891"/>
      <c r="AR3" s="891"/>
      <c r="AS3" s="891"/>
      <c r="AT3" s="891"/>
      <c r="AU3" s="891"/>
      <c r="AV3" s="891"/>
      <c r="AW3" s="891"/>
      <c r="AX3" s="891"/>
      <c r="AY3" s="891"/>
      <c r="AZ3" s="891"/>
      <c r="BA3" s="891"/>
      <c r="BB3" s="891"/>
      <c r="BC3" s="891"/>
      <c r="BD3" s="891"/>
      <c r="BE3" s="891"/>
      <c r="BF3" s="891"/>
      <c r="BG3" s="891"/>
      <c r="BH3" s="891"/>
      <c r="BI3" s="891"/>
      <c r="BJ3" s="891"/>
      <c r="BK3" s="891"/>
      <c r="BL3" s="891"/>
      <c r="BM3" s="891"/>
      <c r="BN3" s="891"/>
      <c r="BO3" s="891"/>
      <c r="BP3" s="891"/>
      <c r="BQ3" s="891"/>
    </row>
    <row r="4" spans="1:70" s="899" customFormat="1" x14ac:dyDescent="0.2">
      <c r="A4" s="426"/>
      <c r="B4" s="481" t="s">
        <v>244</v>
      </c>
      <c r="C4" s="481"/>
      <c r="D4" s="481"/>
      <c r="E4" s="481"/>
      <c r="F4" s="481"/>
      <c r="G4" s="481"/>
      <c r="H4" s="625"/>
      <c r="I4" s="626"/>
      <c r="J4" s="426"/>
      <c r="K4" s="426"/>
      <c r="L4" s="426"/>
      <c r="M4" s="426"/>
      <c r="N4" s="426"/>
      <c r="O4" s="480"/>
      <c r="P4" s="480"/>
      <c r="Q4" s="891"/>
      <c r="R4" s="891"/>
      <c r="S4" s="900"/>
      <c r="T4" s="900"/>
      <c r="U4" s="900"/>
      <c r="V4" s="900"/>
      <c r="W4" s="763"/>
      <c r="X4" s="763"/>
      <c r="Y4" s="763"/>
      <c r="Z4" s="763"/>
      <c r="AA4" s="763"/>
      <c r="AB4" s="763"/>
      <c r="AC4" s="763"/>
      <c r="AD4" s="763"/>
      <c r="AE4" s="763"/>
      <c r="AF4" s="763"/>
      <c r="AG4" s="763"/>
      <c r="AH4" s="763"/>
      <c r="AI4" s="763"/>
      <c r="AJ4" s="763"/>
      <c r="AK4" s="763"/>
      <c r="AL4" s="763"/>
      <c r="AM4" s="763"/>
      <c r="AN4" s="763"/>
      <c r="AO4" s="763"/>
      <c r="AP4" s="763"/>
      <c r="AQ4" s="763"/>
      <c r="AR4" s="763"/>
      <c r="AS4" s="763"/>
      <c r="AT4" s="763"/>
      <c r="AU4" s="763"/>
      <c r="AV4" s="763"/>
      <c r="AW4" s="763"/>
      <c r="AX4" s="763"/>
      <c r="AY4" s="763"/>
      <c r="AZ4" s="763"/>
      <c r="BA4" s="763"/>
      <c r="BB4" s="763"/>
      <c r="BC4" s="763"/>
      <c r="BD4" s="763"/>
      <c r="BE4" s="763"/>
      <c r="BF4" s="763"/>
      <c r="BG4" s="763"/>
      <c r="BH4" s="763"/>
      <c r="BI4" s="763"/>
      <c r="BJ4" s="763"/>
      <c r="BK4" s="763"/>
      <c r="BL4" s="763"/>
      <c r="BM4" s="763"/>
      <c r="BN4" s="763"/>
      <c r="BO4" s="763"/>
      <c r="BP4" s="763"/>
      <c r="BQ4" s="763"/>
      <c r="BR4" s="763"/>
    </row>
    <row r="5" spans="1:70" s="889" customFormat="1" ht="7.5" customHeight="1" thickBot="1" x14ac:dyDescent="0.25">
      <c r="A5" s="426"/>
      <c r="B5" s="426"/>
      <c r="C5" s="426"/>
      <c r="D5" s="426"/>
      <c r="E5" s="426"/>
      <c r="F5" s="426"/>
      <c r="G5" s="426"/>
      <c r="H5" s="537"/>
      <c r="I5" s="549"/>
      <c r="J5" s="426"/>
      <c r="K5" s="426"/>
      <c r="L5" s="426"/>
      <c r="M5" s="426"/>
      <c r="N5" s="627"/>
      <c r="O5" s="628"/>
      <c r="P5" s="480"/>
      <c r="Q5" s="891"/>
      <c r="R5" s="1000"/>
      <c r="S5" s="1000"/>
      <c r="T5" s="1000"/>
      <c r="U5" s="1000"/>
      <c r="V5" s="891"/>
      <c r="W5" s="891"/>
      <c r="X5" s="891"/>
      <c r="Y5" s="891"/>
      <c r="Z5" s="891"/>
      <c r="AA5" s="891"/>
      <c r="AB5" s="891"/>
      <c r="AC5" s="891"/>
      <c r="AD5" s="891"/>
      <c r="AE5" s="891"/>
      <c r="AF5" s="891"/>
      <c r="AG5" s="891"/>
      <c r="AH5" s="891"/>
      <c r="AI5" s="891"/>
      <c r="AJ5" s="891"/>
      <c r="AK5" s="891"/>
      <c r="AL5" s="891"/>
      <c r="AM5" s="891"/>
      <c r="AN5" s="891"/>
      <c r="AO5" s="891"/>
      <c r="AP5" s="891"/>
      <c r="AQ5" s="891"/>
      <c r="AR5" s="891"/>
      <c r="AS5" s="891"/>
      <c r="AT5" s="891"/>
      <c r="AU5" s="891"/>
      <c r="AV5" s="891"/>
      <c r="AW5" s="891"/>
      <c r="AX5" s="891"/>
      <c r="AY5" s="891"/>
      <c r="AZ5" s="891"/>
      <c r="BA5" s="891"/>
      <c r="BB5" s="891"/>
      <c r="BC5" s="891"/>
      <c r="BD5" s="891"/>
      <c r="BE5" s="891"/>
      <c r="BF5" s="891"/>
      <c r="BG5" s="891"/>
      <c r="BH5" s="891"/>
      <c r="BI5" s="891"/>
      <c r="BJ5" s="891"/>
      <c r="BK5" s="891"/>
      <c r="BL5" s="891"/>
      <c r="BM5" s="891"/>
      <c r="BN5" s="891"/>
      <c r="BO5" s="891"/>
      <c r="BP5" s="891"/>
      <c r="BQ5" s="891"/>
    </row>
    <row r="6" spans="1:70" s="895" customFormat="1" ht="18" customHeight="1" x14ac:dyDescent="0.2">
      <c r="A6" s="426"/>
      <c r="B6" s="1277" t="s">
        <v>245</v>
      </c>
      <c r="C6" s="1271"/>
      <c r="D6" s="546"/>
      <c r="E6" s="546"/>
      <c r="F6" s="546"/>
      <c r="G6" s="1269" t="s">
        <v>257</v>
      </c>
      <c r="H6" s="1280" t="s">
        <v>246</v>
      </c>
      <c r="I6" s="1281" t="s">
        <v>247</v>
      </c>
      <c r="J6" s="1281" t="s">
        <v>214</v>
      </c>
      <c r="K6" s="1281" t="s">
        <v>248</v>
      </c>
      <c r="L6" s="1281" t="s">
        <v>249</v>
      </c>
      <c r="M6" s="1270" t="s">
        <v>207</v>
      </c>
      <c r="N6" s="1282" t="s">
        <v>250</v>
      </c>
      <c r="O6" s="1283"/>
      <c r="P6" s="1284"/>
      <c r="Q6" s="896"/>
      <c r="R6" s="901"/>
      <c r="S6" s="901"/>
      <c r="T6" s="901"/>
      <c r="U6" s="901"/>
      <c r="V6" s="896"/>
      <c r="W6" s="896"/>
      <c r="X6" s="896"/>
      <c r="Y6" s="896"/>
      <c r="Z6" s="896"/>
      <c r="AA6" s="896"/>
      <c r="AB6" s="896"/>
      <c r="AC6" s="896"/>
      <c r="AD6" s="896"/>
      <c r="AE6" s="896"/>
      <c r="AF6" s="896"/>
      <c r="AG6" s="896"/>
      <c r="AH6" s="896"/>
      <c r="AI6" s="896"/>
      <c r="AJ6" s="896"/>
      <c r="AK6" s="896"/>
      <c r="AL6" s="896"/>
      <c r="AM6" s="896"/>
      <c r="AN6" s="896"/>
      <c r="AO6" s="896"/>
      <c r="AP6" s="896"/>
      <c r="AQ6" s="896"/>
      <c r="AR6" s="896"/>
      <c r="AS6" s="896"/>
      <c r="AT6" s="896"/>
      <c r="AU6" s="896"/>
      <c r="AV6" s="896"/>
      <c r="AW6" s="896"/>
      <c r="AX6" s="896"/>
      <c r="AY6" s="896"/>
      <c r="AZ6" s="896"/>
      <c r="BA6" s="896"/>
      <c r="BB6" s="896"/>
      <c r="BC6" s="896"/>
      <c r="BD6" s="896"/>
      <c r="BE6" s="896"/>
      <c r="BF6" s="896"/>
      <c r="BG6" s="896"/>
      <c r="BH6" s="896"/>
      <c r="BI6" s="896"/>
      <c r="BJ6" s="896"/>
      <c r="BK6" s="896"/>
      <c r="BL6" s="896"/>
      <c r="BM6" s="896"/>
      <c r="BN6" s="896"/>
      <c r="BO6" s="896"/>
      <c r="BP6" s="896"/>
      <c r="BQ6" s="896"/>
    </row>
    <row r="7" spans="1:70" s="895" customFormat="1" ht="18" customHeight="1" x14ac:dyDescent="0.2">
      <c r="A7" s="426"/>
      <c r="B7" s="1278"/>
      <c r="C7" s="1273"/>
      <c r="D7" s="550"/>
      <c r="E7" s="550"/>
      <c r="F7" s="550"/>
      <c r="G7" s="1256"/>
      <c r="H7" s="1258"/>
      <c r="I7" s="1254"/>
      <c r="J7" s="1254"/>
      <c r="K7" s="1254"/>
      <c r="L7" s="1254"/>
      <c r="M7" s="1272"/>
      <c r="N7" s="1252" t="s">
        <v>251</v>
      </c>
      <c r="O7" s="1256" t="s">
        <v>252</v>
      </c>
      <c r="P7" s="1249" t="s">
        <v>253</v>
      </c>
      <c r="Q7" s="896"/>
      <c r="R7" s="901"/>
      <c r="S7" s="901"/>
      <c r="T7" s="901"/>
      <c r="U7" s="901"/>
      <c r="V7" s="896"/>
      <c r="W7" s="896"/>
      <c r="X7" s="896"/>
      <c r="Y7" s="896"/>
      <c r="Z7" s="896"/>
      <c r="AA7" s="896"/>
      <c r="AB7" s="896"/>
      <c r="AC7" s="896"/>
      <c r="AD7" s="896"/>
      <c r="AE7" s="896"/>
      <c r="AF7" s="896"/>
      <c r="AG7" s="896"/>
      <c r="AH7" s="896"/>
      <c r="AI7" s="896"/>
      <c r="AJ7" s="896"/>
      <c r="AK7" s="896"/>
      <c r="AL7" s="896"/>
      <c r="AM7" s="896"/>
      <c r="AN7" s="896"/>
      <c r="AO7" s="896"/>
      <c r="AP7" s="896"/>
      <c r="AQ7" s="896"/>
      <c r="AR7" s="896"/>
      <c r="AS7" s="896"/>
      <c r="AT7" s="896"/>
      <c r="AU7" s="896"/>
      <c r="AV7" s="896"/>
      <c r="AW7" s="896"/>
      <c r="AX7" s="896"/>
      <c r="AY7" s="896"/>
      <c r="AZ7" s="896"/>
      <c r="BA7" s="896"/>
      <c r="BB7" s="896"/>
      <c r="BC7" s="896"/>
      <c r="BD7" s="896"/>
      <c r="BE7" s="896"/>
      <c r="BF7" s="896"/>
      <c r="BG7" s="896"/>
      <c r="BH7" s="896"/>
      <c r="BI7" s="896"/>
      <c r="BJ7" s="896"/>
      <c r="BK7" s="896"/>
      <c r="BL7" s="896"/>
      <c r="BM7" s="896"/>
      <c r="BN7" s="896"/>
      <c r="BO7" s="896"/>
      <c r="BP7" s="896"/>
      <c r="BQ7" s="896"/>
    </row>
    <row r="8" spans="1:70" s="895" customFormat="1" ht="18" customHeight="1" x14ac:dyDescent="0.2">
      <c r="A8" s="426"/>
      <c r="B8" s="1279"/>
      <c r="C8" s="1251"/>
      <c r="D8" s="548"/>
      <c r="E8" s="548"/>
      <c r="F8" s="548"/>
      <c r="G8" s="1252"/>
      <c r="H8" s="1259"/>
      <c r="I8" s="1254"/>
      <c r="J8" s="1254"/>
      <c r="K8" s="1254"/>
      <c r="L8" s="1254"/>
      <c r="M8" s="1272"/>
      <c r="N8" s="1254"/>
      <c r="O8" s="1252"/>
      <c r="P8" s="1250"/>
      <c r="Q8" s="896"/>
      <c r="R8" s="901"/>
      <c r="S8" s="901"/>
      <c r="T8" s="901"/>
      <c r="U8" s="901"/>
      <c r="V8" s="896"/>
      <c r="W8" s="896"/>
      <c r="X8" s="896"/>
      <c r="Y8" s="896"/>
      <c r="Z8" s="896"/>
      <c r="AA8" s="896"/>
      <c r="AB8" s="896"/>
      <c r="AC8" s="896"/>
      <c r="AD8" s="896"/>
      <c r="AE8" s="896"/>
      <c r="AF8" s="896"/>
      <c r="AG8" s="896"/>
      <c r="AH8" s="896"/>
      <c r="AI8" s="896"/>
      <c r="AJ8" s="896"/>
      <c r="AK8" s="896"/>
      <c r="AL8" s="896"/>
      <c r="AM8" s="896"/>
      <c r="AN8" s="896"/>
      <c r="AO8" s="896"/>
      <c r="AP8" s="896"/>
      <c r="AQ8" s="896"/>
      <c r="AR8" s="896"/>
      <c r="AS8" s="896"/>
      <c r="AT8" s="896"/>
      <c r="AU8" s="896"/>
      <c r="AV8" s="896"/>
      <c r="AW8" s="896"/>
      <c r="AX8" s="896"/>
      <c r="AY8" s="896"/>
      <c r="AZ8" s="896"/>
      <c r="BA8" s="896"/>
      <c r="BB8" s="896"/>
      <c r="BC8" s="896"/>
      <c r="BD8" s="896"/>
      <c r="BE8" s="896"/>
      <c r="BF8" s="896"/>
      <c r="BG8" s="896"/>
      <c r="BH8" s="896"/>
      <c r="BI8" s="896"/>
      <c r="BJ8" s="896"/>
      <c r="BK8" s="896"/>
      <c r="BL8" s="896"/>
      <c r="BM8" s="896"/>
      <c r="BN8" s="896"/>
      <c r="BO8" s="896"/>
      <c r="BP8" s="896"/>
      <c r="BQ8" s="896"/>
    </row>
    <row r="9" spans="1:70" s="895" customFormat="1" ht="14.25" customHeight="1" x14ac:dyDescent="0.2">
      <c r="A9" s="426"/>
      <c r="B9" s="1289">
        <v>1</v>
      </c>
      <c r="C9" s="1264"/>
      <c r="D9" s="552"/>
      <c r="E9" s="552"/>
      <c r="F9" s="552"/>
      <c r="G9" s="552"/>
      <c r="H9" s="554"/>
      <c r="I9" s="553">
        <v>2</v>
      </c>
      <c r="J9" s="553">
        <v>3</v>
      </c>
      <c r="K9" s="553">
        <v>4</v>
      </c>
      <c r="L9" s="553">
        <v>5</v>
      </c>
      <c r="M9" s="553">
        <v>6</v>
      </c>
      <c r="N9" s="553" t="s">
        <v>254</v>
      </c>
      <c r="O9" s="553" t="s">
        <v>255</v>
      </c>
      <c r="P9" s="555" t="s">
        <v>1133</v>
      </c>
      <c r="Q9" s="896"/>
      <c r="R9" s="901"/>
      <c r="S9" s="901"/>
      <c r="T9" s="901"/>
      <c r="U9" s="901"/>
      <c r="V9" s="896"/>
      <c r="W9" s="896"/>
      <c r="X9" s="896"/>
      <c r="Y9" s="896"/>
      <c r="Z9" s="896"/>
      <c r="AA9" s="896"/>
      <c r="AB9" s="896"/>
      <c r="AC9" s="896"/>
      <c r="AD9" s="896"/>
      <c r="AE9" s="896"/>
      <c r="AF9" s="896"/>
      <c r="AG9" s="896"/>
      <c r="AH9" s="896"/>
      <c r="AI9" s="896"/>
      <c r="AJ9" s="896"/>
      <c r="AK9" s="896"/>
      <c r="AL9" s="896"/>
      <c r="AM9" s="896"/>
      <c r="AN9" s="896"/>
      <c r="AO9" s="896"/>
      <c r="AP9" s="896"/>
      <c r="AQ9" s="896"/>
      <c r="AR9" s="896"/>
      <c r="AS9" s="896"/>
      <c r="AT9" s="896"/>
      <c r="AU9" s="896"/>
      <c r="AV9" s="896"/>
      <c r="AW9" s="896"/>
      <c r="AX9" s="896"/>
      <c r="AY9" s="896"/>
      <c r="AZ9" s="896"/>
      <c r="BA9" s="896"/>
      <c r="BB9" s="896"/>
      <c r="BC9" s="896"/>
      <c r="BD9" s="896"/>
      <c r="BE9" s="896"/>
      <c r="BF9" s="896"/>
      <c r="BG9" s="896"/>
      <c r="BH9" s="896"/>
      <c r="BI9" s="896"/>
      <c r="BJ9" s="896"/>
      <c r="BK9" s="896"/>
      <c r="BL9" s="896"/>
      <c r="BM9" s="896"/>
      <c r="BN9" s="896"/>
      <c r="BO9" s="896"/>
      <c r="BP9" s="896"/>
      <c r="BQ9" s="896"/>
    </row>
    <row r="10" spans="1:70" s="895" customFormat="1" ht="14.1" customHeight="1" x14ac:dyDescent="0.2">
      <c r="A10" s="426"/>
      <c r="B10" s="1290" t="s">
        <v>221</v>
      </c>
      <c r="C10" s="1291"/>
      <c r="D10" s="189"/>
      <c r="E10" s="189"/>
      <c r="F10" s="189"/>
      <c r="G10" s="440" t="s">
        <v>1134</v>
      </c>
      <c r="H10" s="629"/>
      <c r="I10" s="630"/>
      <c r="J10" s="631"/>
      <c r="K10" s="631"/>
      <c r="L10" s="631"/>
      <c r="M10" s="631"/>
      <c r="N10" s="631"/>
      <c r="O10" s="631"/>
      <c r="P10" s="632">
        <f>P11+P16</f>
        <v>0</v>
      </c>
      <c r="Q10" s="896"/>
      <c r="R10" s="901"/>
      <c r="S10" s="901"/>
      <c r="T10" s="901"/>
      <c r="U10" s="901"/>
      <c r="V10" s="896"/>
      <c r="W10" s="896"/>
      <c r="X10" s="896"/>
      <c r="Y10" s="896"/>
      <c r="Z10" s="896"/>
      <c r="AA10" s="896"/>
      <c r="AB10" s="896"/>
      <c r="AC10" s="896"/>
      <c r="AD10" s="896"/>
      <c r="AE10" s="896"/>
      <c r="AF10" s="896"/>
      <c r="AG10" s="896"/>
      <c r="AH10" s="896"/>
      <c r="AI10" s="896"/>
      <c r="AJ10" s="896"/>
      <c r="AK10" s="896"/>
      <c r="AL10" s="896"/>
      <c r="AM10" s="896"/>
      <c r="AN10" s="896"/>
      <c r="AO10" s="896"/>
      <c r="AP10" s="896"/>
      <c r="AQ10" s="896"/>
      <c r="AR10" s="896"/>
      <c r="AS10" s="896"/>
      <c r="AT10" s="896"/>
      <c r="AU10" s="896"/>
      <c r="AV10" s="896"/>
      <c r="AW10" s="896"/>
      <c r="AX10" s="896"/>
      <c r="AY10" s="896"/>
      <c r="AZ10" s="896"/>
      <c r="BA10" s="896"/>
      <c r="BB10" s="896"/>
      <c r="BC10" s="896"/>
      <c r="BD10" s="896"/>
      <c r="BE10" s="896"/>
      <c r="BF10" s="896"/>
      <c r="BG10" s="896"/>
      <c r="BH10" s="896"/>
      <c r="BI10" s="896"/>
      <c r="BJ10" s="896"/>
      <c r="BK10" s="896"/>
      <c r="BL10" s="896"/>
      <c r="BM10" s="896"/>
      <c r="BN10" s="896"/>
      <c r="BO10" s="896"/>
      <c r="BP10" s="896"/>
      <c r="BQ10" s="896"/>
    </row>
    <row r="11" spans="1:70" s="897" customFormat="1" ht="12" x14ac:dyDescent="0.2">
      <c r="A11" s="350"/>
      <c r="B11" s="1285" t="s">
        <v>1135</v>
      </c>
      <c r="C11" s="1286"/>
      <c r="D11" s="609"/>
      <c r="E11" s="609"/>
      <c r="F11" s="609"/>
      <c r="G11" s="633" t="s">
        <v>1136</v>
      </c>
      <c r="H11" s="634" t="s">
        <v>223</v>
      </c>
      <c r="I11" s="635"/>
      <c r="J11" s="636"/>
      <c r="K11" s="636"/>
      <c r="L11" s="637"/>
      <c r="M11" s="439"/>
      <c r="N11" s="638"/>
      <c r="O11" s="638"/>
      <c r="P11" s="524">
        <f>SUM(P12:P15)</f>
        <v>0</v>
      </c>
      <c r="Q11" s="898"/>
      <c r="R11" s="902"/>
      <c r="S11" s="902"/>
      <c r="T11" s="902"/>
      <c r="U11" s="902"/>
      <c r="V11" s="898"/>
      <c r="W11" s="898"/>
      <c r="X11" s="898"/>
      <c r="Y11" s="898"/>
      <c r="Z11" s="898"/>
      <c r="AA11" s="898"/>
      <c r="AB11" s="898"/>
      <c r="AC11" s="898"/>
      <c r="AD11" s="898"/>
      <c r="AE11" s="898"/>
      <c r="AF11" s="898"/>
      <c r="AG11" s="898"/>
      <c r="AH11" s="898"/>
      <c r="AI11" s="898"/>
      <c r="AJ11" s="898"/>
      <c r="AK11" s="898"/>
      <c r="AL11" s="898"/>
      <c r="AM11" s="898"/>
      <c r="AN11" s="898"/>
      <c r="AO11" s="898"/>
      <c r="AP11" s="898"/>
      <c r="AQ11" s="898"/>
      <c r="AR11" s="898"/>
      <c r="AS11" s="898"/>
      <c r="AT11" s="898"/>
      <c r="AU11" s="898"/>
      <c r="AV11" s="898"/>
      <c r="AW11" s="898"/>
      <c r="AX11" s="898"/>
      <c r="AY11" s="898"/>
      <c r="AZ11" s="898"/>
      <c r="BA11" s="898"/>
      <c r="BB11" s="898"/>
      <c r="BC11" s="898"/>
      <c r="BD11" s="898"/>
      <c r="BE11" s="898"/>
      <c r="BF11" s="898"/>
      <c r="BG11" s="898"/>
      <c r="BH11" s="898"/>
      <c r="BI11" s="898"/>
      <c r="BJ11" s="898"/>
      <c r="BK11" s="898"/>
      <c r="BL11" s="898"/>
      <c r="BM11" s="898"/>
      <c r="BN11" s="898"/>
      <c r="BO11" s="898"/>
      <c r="BP11" s="898"/>
      <c r="BQ11" s="898"/>
    </row>
    <row r="12" spans="1:70" s="897" customFormat="1" ht="13.5" customHeight="1" x14ac:dyDescent="0.2">
      <c r="A12" s="350"/>
      <c r="B12" s="639" t="s">
        <v>840</v>
      </c>
      <c r="C12" s="604"/>
      <c r="D12" s="609"/>
      <c r="E12" s="609"/>
      <c r="F12" s="609"/>
      <c r="G12" s="598"/>
      <c r="H12" s="640" t="s">
        <v>224</v>
      </c>
      <c r="I12" s="641"/>
      <c r="J12" s="566"/>
      <c r="K12" s="566"/>
      <c r="L12" s="568"/>
      <c r="M12" s="571"/>
      <c r="N12" s="642">
        <f>SUM(N13:N14)</f>
        <v>0</v>
      </c>
      <c r="O12" s="638"/>
      <c r="P12" s="524">
        <f>N12</f>
        <v>0</v>
      </c>
      <c r="Q12" s="898"/>
      <c r="R12" s="902"/>
      <c r="S12" s="902"/>
      <c r="T12" s="902"/>
      <c r="U12" s="902"/>
      <c r="V12" s="898"/>
      <c r="W12" s="898"/>
      <c r="X12" s="898"/>
      <c r="Y12" s="898"/>
      <c r="Z12" s="898"/>
      <c r="AA12" s="898"/>
      <c r="AB12" s="898"/>
      <c r="AC12" s="898"/>
      <c r="AD12" s="898"/>
      <c r="AE12" s="898"/>
      <c r="AF12" s="898"/>
      <c r="AG12" s="898"/>
      <c r="AH12" s="898"/>
      <c r="AI12" s="898"/>
      <c r="AJ12" s="898"/>
      <c r="AK12" s="898"/>
      <c r="AL12" s="898"/>
      <c r="AM12" s="898"/>
      <c r="AN12" s="898"/>
      <c r="AO12" s="898"/>
      <c r="AP12" s="898"/>
      <c r="AQ12" s="898"/>
      <c r="AR12" s="898"/>
      <c r="AS12" s="898"/>
      <c r="AT12" s="898"/>
      <c r="AU12" s="898"/>
      <c r="AV12" s="898"/>
      <c r="AW12" s="898"/>
      <c r="AX12" s="898"/>
      <c r="AY12" s="898"/>
      <c r="AZ12" s="898"/>
      <c r="BA12" s="898"/>
      <c r="BB12" s="898"/>
      <c r="BC12" s="898"/>
      <c r="BD12" s="898"/>
      <c r="BE12" s="898"/>
      <c r="BF12" s="898"/>
      <c r="BG12" s="898"/>
      <c r="BH12" s="898"/>
      <c r="BI12" s="898"/>
      <c r="BJ12" s="898"/>
      <c r="BK12" s="898"/>
      <c r="BL12" s="898"/>
      <c r="BM12" s="898"/>
      <c r="BN12" s="898"/>
      <c r="BO12" s="898"/>
      <c r="BP12" s="898"/>
      <c r="BQ12" s="898"/>
    </row>
    <row r="13" spans="1:70" s="897" customFormat="1" ht="13.5" customHeight="1" x14ac:dyDescent="0.2">
      <c r="A13" s="350"/>
      <c r="B13" s="639"/>
      <c r="C13" s="574"/>
      <c r="D13" s="609"/>
      <c r="E13" s="609"/>
      <c r="F13" s="609"/>
      <c r="G13" s="598"/>
      <c r="H13" s="640" t="s">
        <v>226</v>
      </c>
      <c r="I13" s="643"/>
      <c r="J13" s="644"/>
      <c r="K13" s="644"/>
      <c r="L13" s="645"/>
      <c r="M13" s="646"/>
      <c r="N13" s="642">
        <f>L13*M13</f>
        <v>0</v>
      </c>
      <c r="O13" s="638"/>
      <c r="P13" s="647"/>
      <c r="Q13" s="898"/>
      <c r="R13" s="902"/>
      <c r="S13" s="902"/>
      <c r="T13" s="902"/>
      <c r="U13" s="902"/>
      <c r="V13" s="898"/>
      <c r="W13" s="898"/>
      <c r="X13" s="898"/>
      <c r="Y13" s="898"/>
      <c r="Z13" s="898"/>
      <c r="AA13" s="898"/>
      <c r="AB13" s="898"/>
      <c r="AC13" s="898"/>
      <c r="AD13" s="898"/>
      <c r="AE13" s="898"/>
      <c r="AF13" s="898"/>
      <c r="AG13" s="898"/>
      <c r="AH13" s="898"/>
      <c r="AI13" s="898"/>
      <c r="AJ13" s="898"/>
      <c r="AK13" s="898"/>
      <c r="AL13" s="898"/>
      <c r="AM13" s="898"/>
      <c r="AN13" s="898"/>
      <c r="AO13" s="898"/>
      <c r="AP13" s="898"/>
      <c r="AQ13" s="898"/>
      <c r="AR13" s="898"/>
      <c r="AS13" s="898"/>
      <c r="AT13" s="898"/>
      <c r="AU13" s="898"/>
      <c r="AV13" s="898"/>
      <c r="AW13" s="898"/>
      <c r="AX13" s="898"/>
      <c r="AY13" s="898"/>
      <c r="AZ13" s="898"/>
      <c r="BA13" s="898"/>
      <c r="BB13" s="898"/>
      <c r="BC13" s="898"/>
      <c r="BD13" s="898"/>
      <c r="BE13" s="898"/>
      <c r="BF13" s="898"/>
      <c r="BG13" s="898"/>
      <c r="BH13" s="898"/>
      <c r="BI13" s="898"/>
      <c r="BJ13" s="898"/>
      <c r="BK13" s="898"/>
      <c r="BL13" s="898"/>
      <c r="BM13" s="898"/>
      <c r="BN13" s="898"/>
      <c r="BO13" s="898"/>
      <c r="BP13" s="898"/>
      <c r="BQ13" s="898"/>
    </row>
    <row r="14" spans="1:70" s="1003" customFormat="1" ht="13.5" hidden="1" customHeight="1" x14ac:dyDescent="0.2">
      <c r="A14" s="648"/>
      <c r="B14" s="649"/>
      <c r="C14" s="244"/>
      <c r="D14" s="650"/>
      <c r="E14" s="650"/>
      <c r="F14" s="650"/>
      <c r="G14" s="651"/>
      <c r="H14" s="652" t="s">
        <v>842</v>
      </c>
      <c r="I14" s="653"/>
      <c r="J14" s="654"/>
      <c r="K14" s="654"/>
      <c r="L14" s="655"/>
      <c r="M14" s="656"/>
      <c r="N14" s="642"/>
      <c r="O14" s="657"/>
      <c r="P14" s="524"/>
      <c r="Q14" s="1001"/>
      <c r="R14" s="1002"/>
      <c r="S14" s="1002"/>
      <c r="T14" s="1002"/>
      <c r="U14" s="1002"/>
      <c r="V14" s="1001"/>
      <c r="W14" s="1001"/>
      <c r="X14" s="1001"/>
      <c r="Y14" s="1001"/>
      <c r="Z14" s="1001"/>
      <c r="AA14" s="1001"/>
      <c r="AB14" s="1001"/>
      <c r="AC14" s="1001"/>
      <c r="AD14" s="1001"/>
      <c r="AE14" s="1001"/>
      <c r="AF14" s="1001"/>
      <c r="AG14" s="1001"/>
      <c r="AH14" s="1001"/>
      <c r="AI14" s="1001"/>
      <c r="AJ14" s="1001"/>
      <c r="AK14" s="1001"/>
      <c r="AL14" s="1001"/>
      <c r="AM14" s="1001"/>
      <c r="AN14" s="1001"/>
      <c r="AO14" s="1001"/>
      <c r="AP14" s="1001"/>
      <c r="AQ14" s="1001"/>
      <c r="AR14" s="1001"/>
      <c r="AS14" s="1001"/>
      <c r="AT14" s="1001"/>
      <c r="AU14" s="1001"/>
      <c r="AV14" s="1001"/>
      <c r="AW14" s="1001"/>
      <c r="AX14" s="1001"/>
      <c r="AY14" s="1001"/>
      <c r="AZ14" s="1001"/>
      <c r="BA14" s="1001"/>
      <c r="BB14" s="1001"/>
      <c r="BC14" s="1001"/>
      <c r="BD14" s="1001"/>
      <c r="BE14" s="1001"/>
      <c r="BF14" s="1001"/>
      <c r="BG14" s="1001"/>
      <c r="BH14" s="1001"/>
      <c r="BI14" s="1001"/>
      <c r="BJ14" s="1001"/>
      <c r="BK14" s="1001"/>
      <c r="BL14" s="1001"/>
      <c r="BM14" s="1001"/>
      <c r="BN14" s="1001"/>
      <c r="BO14" s="1001"/>
      <c r="BP14" s="1001"/>
      <c r="BQ14" s="1001"/>
    </row>
    <row r="15" spans="1:70" s="1003" customFormat="1" ht="13.5" customHeight="1" x14ac:dyDescent="0.2">
      <c r="A15" s="648"/>
      <c r="B15" s="658"/>
      <c r="C15" s="244"/>
      <c r="D15" s="650"/>
      <c r="E15" s="650"/>
      <c r="F15" s="650"/>
      <c r="G15" s="651"/>
      <c r="H15" s="659" t="s">
        <v>839</v>
      </c>
      <c r="I15" s="653"/>
      <c r="J15" s="654"/>
      <c r="K15" s="654"/>
      <c r="L15" s="655"/>
      <c r="M15" s="656"/>
      <c r="N15" s="642"/>
      <c r="O15" s="657"/>
      <c r="P15" s="524"/>
      <c r="Q15" s="1001"/>
      <c r="R15" s="1002"/>
      <c r="S15" s="1002"/>
      <c r="T15" s="1002"/>
      <c r="U15" s="1002"/>
      <c r="V15" s="1001"/>
      <c r="W15" s="1001"/>
      <c r="X15" s="1001"/>
      <c r="Y15" s="1001"/>
      <c r="Z15" s="1001"/>
      <c r="AA15" s="1001"/>
      <c r="AB15" s="1001"/>
      <c r="AC15" s="1001"/>
      <c r="AD15" s="1001"/>
      <c r="AE15" s="1001"/>
      <c r="AF15" s="1001"/>
      <c r="AG15" s="1001"/>
      <c r="AH15" s="1001"/>
      <c r="AI15" s="1001"/>
      <c r="AJ15" s="1001"/>
      <c r="AK15" s="1001"/>
      <c r="AL15" s="1001"/>
      <c r="AM15" s="1001"/>
      <c r="AN15" s="1001"/>
      <c r="AO15" s="1001"/>
      <c r="AP15" s="1001"/>
      <c r="AQ15" s="1001"/>
      <c r="AR15" s="1001"/>
      <c r="AS15" s="1001"/>
      <c r="AT15" s="1001"/>
      <c r="AU15" s="1001"/>
      <c r="AV15" s="1001"/>
      <c r="AW15" s="1001"/>
      <c r="AX15" s="1001"/>
      <c r="AY15" s="1001"/>
      <c r="AZ15" s="1001"/>
      <c r="BA15" s="1001"/>
      <c r="BB15" s="1001"/>
      <c r="BC15" s="1001"/>
      <c r="BD15" s="1001"/>
      <c r="BE15" s="1001"/>
      <c r="BF15" s="1001"/>
      <c r="BG15" s="1001"/>
      <c r="BH15" s="1001"/>
      <c r="BI15" s="1001"/>
      <c r="BJ15" s="1001"/>
      <c r="BK15" s="1001"/>
      <c r="BL15" s="1001"/>
      <c r="BM15" s="1001"/>
      <c r="BN15" s="1001"/>
      <c r="BO15" s="1001"/>
      <c r="BP15" s="1001"/>
      <c r="BQ15" s="1001"/>
    </row>
    <row r="16" spans="1:70" s="897" customFormat="1" ht="12" x14ac:dyDescent="0.2">
      <c r="A16" s="350"/>
      <c r="B16" s="1285" t="s">
        <v>1137</v>
      </c>
      <c r="C16" s="1286"/>
      <c r="D16" s="609"/>
      <c r="E16" s="609"/>
      <c r="F16" s="609"/>
      <c r="G16" s="633" t="s">
        <v>1138</v>
      </c>
      <c r="H16" s="634" t="s">
        <v>230</v>
      </c>
      <c r="I16" s="635"/>
      <c r="J16" s="636"/>
      <c r="K16" s="636"/>
      <c r="L16" s="637"/>
      <c r="M16" s="439"/>
      <c r="N16" s="638"/>
      <c r="O16" s="638"/>
      <c r="P16" s="524">
        <f>SUM(P17:P20)</f>
        <v>0</v>
      </c>
      <c r="Q16" s="898"/>
      <c r="R16" s="902"/>
      <c r="S16" s="902"/>
      <c r="T16" s="902"/>
      <c r="U16" s="902"/>
      <c r="V16" s="898"/>
      <c r="W16" s="898"/>
      <c r="X16" s="898"/>
      <c r="Y16" s="898"/>
      <c r="Z16" s="898"/>
      <c r="AA16" s="898"/>
      <c r="AB16" s="898"/>
      <c r="AC16" s="898"/>
      <c r="AD16" s="898"/>
      <c r="AE16" s="898"/>
      <c r="AF16" s="898"/>
      <c r="AG16" s="898"/>
      <c r="AH16" s="898"/>
      <c r="AI16" s="898"/>
      <c r="AJ16" s="898"/>
      <c r="AK16" s="898"/>
      <c r="AL16" s="898"/>
      <c r="AM16" s="898"/>
      <c r="AN16" s="898"/>
      <c r="AO16" s="898"/>
      <c r="AP16" s="898"/>
      <c r="AQ16" s="898"/>
      <c r="AR16" s="898"/>
      <c r="AS16" s="898"/>
      <c r="AT16" s="898"/>
      <c r="AU16" s="898"/>
      <c r="AV16" s="898"/>
      <c r="AW16" s="898"/>
      <c r="AX16" s="898"/>
      <c r="AY16" s="898"/>
      <c r="AZ16" s="898"/>
      <c r="BA16" s="898"/>
      <c r="BB16" s="898"/>
      <c r="BC16" s="898"/>
      <c r="BD16" s="898"/>
      <c r="BE16" s="898"/>
      <c r="BF16" s="898"/>
      <c r="BG16" s="898"/>
      <c r="BH16" s="898"/>
      <c r="BI16" s="898"/>
      <c r="BJ16" s="898"/>
      <c r="BK16" s="898"/>
      <c r="BL16" s="898"/>
      <c r="BM16" s="898"/>
      <c r="BN16" s="898"/>
      <c r="BO16" s="898"/>
      <c r="BP16" s="898"/>
      <c r="BQ16" s="898"/>
    </row>
    <row r="17" spans="1:69" s="897" customFormat="1" ht="14.1" customHeight="1" x14ac:dyDescent="0.2">
      <c r="A17" s="350"/>
      <c r="B17" s="639" t="s">
        <v>840</v>
      </c>
      <c r="C17" s="604"/>
      <c r="D17" s="609"/>
      <c r="E17" s="609"/>
      <c r="F17" s="609"/>
      <c r="G17" s="598"/>
      <c r="H17" s="640" t="s">
        <v>224</v>
      </c>
      <c r="I17" s="641"/>
      <c r="J17" s="566"/>
      <c r="K17" s="566"/>
      <c r="L17" s="568"/>
      <c r="M17" s="571"/>
      <c r="N17" s="642">
        <f>SUM(N18:N19)</f>
        <v>0</v>
      </c>
      <c r="O17" s="638"/>
      <c r="P17" s="524">
        <f>N17</f>
        <v>0</v>
      </c>
      <c r="Q17" s="898"/>
      <c r="R17" s="902"/>
      <c r="S17" s="902"/>
      <c r="T17" s="902"/>
      <c r="U17" s="902"/>
      <c r="V17" s="898"/>
      <c r="W17" s="898"/>
      <c r="X17" s="898"/>
      <c r="Y17" s="898"/>
      <c r="Z17" s="898"/>
      <c r="AA17" s="898"/>
      <c r="AB17" s="898"/>
      <c r="AC17" s="898"/>
      <c r="AD17" s="898"/>
      <c r="AE17" s="898"/>
      <c r="AF17" s="898"/>
      <c r="AG17" s="898"/>
      <c r="AH17" s="898"/>
      <c r="AI17" s="898"/>
      <c r="AJ17" s="898"/>
      <c r="AK17" s="898"/>
      <c r="AL17" s="898"/>
      <c r="AM17" s="898"/>
      <c r="AN17" s="898"/>
      <c r="AO17" s="898"/>
      <c r="AP17" s="898"/>
      <c r="AQ17" s="898"/>
      <c r="AR17" s="898"/>
      <c r="AS17" s="898"/>
      <c r="AT17" s="898"/>
      <c r="AU17" s="898"/>
      <c r="AV17" s="898"/>
      <c r="AW17" s="898"/>
      <c r="AX17" s="898"/>
      <c r="AY17" s="898"/>
      <c r="AZ17" s="898"/>
      <c r="BA17" s="898"/>
      <c r="BB17" s="898"/>
      <c r="BC17" s="898"/>
      <c r="BD17" s="898"/>
      <c r="BE17" s="898"/>
      <c r="BF17" s="898"/>
      <c r="BG17" s="898"/>
      <c r="BH17" s="898"/>
      <c r="BI17" s="898"/>
      <c r="BJ17" s="898"/>
      <c r="BK17" s="898"/>
      <c r="BL17" s="898"/>
      <c r="BM17" s="898"/>
      <c r="BN17" s="898"/>
      <c r="BO17" s="898"/>
      <c r="BP17" s="898"/>
      <c r="BQ17" s="898"/>
    </row>
    <row r="18" spans="1:69" s="897" customFormat="1" ht="14.1" customHeight="1" x14ac:dyDescent="0.2">
      <c r="A18" s="350"/>
      <c r="B18" s="639"/>
      <c r="C18" s="574"/>
      <c r="D18" s="589"/>
      <c r="E18" s="589"/>
      <c r="F18" s="589"/>
      <c r="G18" s="598"/>
      <c r="H18" s="660" t="s">
        <v>226</v>
      </c>
      <c r="I18" s="643"/>
      <c r="J18" s="644"/>
      <c r="K18" s="644"/>
      <c r="L18" s="645"/>
      <c r="M18" s="646"/>
      <c r="N18" s="642">
        <f>L18*M18</f>
        <v>0</v>
      </c>
      <c r="O18" s="638"/>
      <c r="P18" s="603"/>
      <c r="Q18" s="898"/>
      <c r="R18" s="902"/>
      <c r="S18" s="902"/>
      <c r="T18" s="902"/>
      <c r="U18" s="902"/>
      <c r="V18" s="898"/>
      <c r="W18" s="898"/>
      <c r="X18" s="898"/>
      <c r="Y18" s="898"/>
      <c r="Z18" s="898"/>
      <c r="AA18" s="898"/>
      <c r="AB18" s="898"/>
      <c r="AC18" s="898"/>
      <c r="AD18" s="898"/>
      <c r="AE18" s="898"/>
      <c r="AF18" s="898"/>
      <c r="AG18" s="898"/>
      <c r="AH18" s="898"/>
      <c r="AI18" s="898"/>
      <c r="AJ18" s="898"/>
      <c r="AK18" s="898"/>
      <c r="AL18" s="898"/>
      <c r="AM18" s="898"/>
      <c r="AN18" s="898"/>
      <c r="AO18" s="898"/>
      <c r="AP18" s="898"/>
      <c r="AQ18" s="898"/>
      <c r="AR18" s="898"/>
      <c r="AS18" s="898"/>
      <c r="AT18" s="898"/>
      <c r="AU18" s="898"/>
      <c r="AV18" s="898"/>
      <c r="AW18" s="898"/>
      <c r="AX18" s="898"/>
      <c r="AY18" s="898"/>
      <c r="AZ18" s="898"/>
      <c r="BA18" s="898"/>
      <c r="BB18" s="898"/>
      <c r="BC18" s="898"/>
      <c r="BD18" s="898"/>
      <c r="BE18" s="898"/>
      <c r="BF18" s="898"/>
      <c r="BG18" s="898"/>
      <c r="BH18" s="898"/>
      <c r="BI18" s="898"/>
      <c r="BJ18" s="898"/>
      <c r="BK18" s="898"/>
      <c r="BL18" s="898"/>
      <c r="BM18" s="898"/>
      <c r="BN18" s="898"/>
      <c r="BO18" s="898"/>
      <c r="BP18" s="898"/>
      <c r="BQ18" s="898"/>
    </row>
    <row r="19" spans="1:69" s="897" customFormat="1" ht="14.1" hidden="1" customHeight="1" x14ac:dyDescent="0.2">
      <c r="A19" s="350"/>
      <c r="B19" s="639"/>
      <c r="C19" s="604"/>
      <c r="D19" s="589"/>
      <c r="E19" s="589"/>
      <c r="F19" s="589"/>
      <c r="G19" s="661"/>
      <c r="H19" s="660" t="s">
        <v>842</v>
      </c>
      <c r="I19" s="662"/>
      <c r="J19" s="644"/>
      <c r="K19" s="644"/>
      <c r="L19" s="645"/>
      <c r="M19" s="646"/>
      <c r="N19" s="663"/>
      <c r="O19" s="638"/>
      <c r="P19" s="597"/>
      <c r="Q19" s="898"/>
      <c r="R19" s="902"/>
      <c r="S19" s="902"/>
      <c r="T19" s="902"/>
      <c r="U19" s="902"/>
      <c r="V19" s="898"/>
      <c r="W19" s="898"/>
      <c r="X19" s="898"/>
      <c r="Y19" s="898"/>
      <c r="Z19" s="898"/>
      <c r="AA19" s="898"/>
      <c r="AB19" s="898"/>
      <c r="AC19" s="898"/>
      <c r="AD19" s="898"/>
      <c r="AE19" s="898"/>
      <c r="AF19" s="898"/>
      <c r="AG19" s="898"/>
      <c r="AH19" s="898"/>
      <c r="AI19" s="898"/>
      <c r="AJ19" s="898"/>
      <c r="AK19" s="898"/>
      <c r="AL19" s="898"/>
      <c r="AM19" s="898"/>
      <c r="AN19" s="898"/>
      <c r="AO19" s="898"/>
      <c r="AP19" s="898"/>
      <c r="AQ19" s="898"/>
      <c r="AR19" s="898"/>
      <c r="AS19" s="898"/>
      <c r="AT19" s="898"/>
      <c r="AU19" s="898"/>
      <c r="AV19" s="898"/>
      <c r="AW19" s="898"/>
      <c r="AX19" s="898"/>
      <c r="AY19" s="898"/>
      <c r="AZ19" s="898"/>
      <c r="BA19" s="898"/>
      <c r="BB19" s="898"/>
      <c r="BC19" s="898"/>
      <c r="BD19" s="898"/>
      <c r="BE19" s="898"/>
      <c r="BF19" s="898"/>
      <c r="BG19" s="898"/>
      <c r="BH19" s="898"/>
      <c r="BI19" s="898"/>
      <c r="BJ19" s="898"/>
      <c r="BK19" s="898"/>
      <c r="BL19" s="898"/>
      <c r="BM19" s="898"/>
      <c r="BN19" s="898"/>
      <c r="BO19" s="898"/>
      <c r="BP19" s="898"/>
      <c r="BQ19" s="898"/>
    </row>
    <row r="20" spans="1:69" s="1003" customFormat="1" ht="14.1" customHeight="1" x14ac:dyDescent="0.2">
      <c r="A20" s="648"/>
      <c r="B20" s="658"/>
      <c r="C20" s="244"/>
      <c r="D20" s="664"/>
      <c r="E20" s="664"/>
      <c r="F20" s="664"/>
      <c r="G20" s="651"/>
      <c r="H20" s="665" t="s">
        <v>232</v>
      </c>
      <c r="I20" s="653"/>
      <c r="J20" s="654"/>
      <c r="K20" s="654"/>
      <c r="L20" s="655"/>
      <c r="M20" s="656"/>
      <c r="N20" s="642"/>
      <c r="O20" s="657"/>
      <c r="P20" s="524"/>
      <c r="Q20" s="1001"/>
      <c r="R20" s="1002"/>
      <c r="S20" s="1002"/>
      <c r="T20" s="1002"/>
      <c r="U20" s="1002"/>
      <c r="V20" s="1001"/>
      <c r="W20" s="1001"/>
      <c r="X20" s="1001"/>
      <c r="Y20" s="1001"/>
      <c r="Z20" s="1001"/>
      <c r="AA20" s="1001"/>
      <c r="AB20" s="1001"/>
      <c r="AC20" s="1001"/>
      <c r="AD20" s="1001"/>
      <c r="AE20" s="1001"/>
      <c r="AF20" s="1001"/>
      <c r="AG20" s="1001"/>
      <c r="AH20" s="1001"/>
      <c r="AI20" s="1001"/>
      <c r="AJ20" s="1001"/>
      <c r="AK20" s="1001"/>
      <c r="AL20" s="1001"/>
      <c r="AM20" s="1001"/>
      <c r="AN20" s="1001"/>
      <c r="AO20" s="1001"/>
      <c r="AP20" s="1001"/>
      <c r="AQ20" s="1001"/>
      <c r="AR20" s="1001"/>
      <c r="AS20" s="1001"/>
      <c r="AT20" s="1001"/>
      <c r="AU20" s="1001"/>
      <c r="AV20" s="1001"/>
      <c r="AW20" s="1001"/>
      <c r="AX20" s="1001"/>
      <c r="AY20" s="1001"/>
      <c r="AZ20" s="1001"/>
      <c r="BA20" s="1001"/>
      <c r="BB20" s="1001"/>
      <c r="BC20" s="1001"/>
      <c r="BD20" s="1001"/>
      <c r="BE20" s="1001"/>
      <c r="BF20" s="1001"/>
      <c r="BG20" s="1001"/>
      <c r="BH20" s="1001"/>
      <c r="BI20" s="1001"/>
      <c r="BJ20" s="1001"/>
      <c r="BK20" s="1001"/>
      <c r="BL20" s="1001"/>
      <c r="BM20" s="1001"/>
      <c r="BN20" s="1001"/>
      <c r="BO20" s="1001"/>
      <c r="BP20" s="1001"/>
      <c r="BQ20" s="1001"/>
    </row>
    <row r="21" spans="1:69" s="897" customFormat="1" ht="14.1" customHeight="1" x14ac:dyDescent="0.2">
      <c r="A21" s="350"/>
      <c r="B21" s="1267" t="s">
        <v>228</v>
      </c>
      <c r="C21" s="1268"/>
      <c r="D21" s="666"/>
      <c r="E21" s="666"/>
      <c r="F21" s="666"/>
      <c r="G21" s="440" t="s">
        <v>1139</v>
      </c>
      <c r="H21" s="667"/>
      <c r="I21" s="635"/>
      <c r="J21" s="668"/>
      <c r="K21" s="668"/>
      <c r="L21" s="669"/>
      <c r="M21" s="638"/>
      <c r="N21" s="638"/>
      <c r="O21" s="638"/>
      <c r="P21" s="524">
        <f>P22+P27</f>
        <v>0</v>
      </c>
      <c r="Q21" s="898"/>
      <c r="R21" s="902"/>
      <c r="S21" s="902"/>
      <c r="T21" s="902"/>
      <c r="U21" s="902"/>
      <c r="V21" s="898"/>
      <c r="W21" s="898"/>
      <c r="X21" s="898"/>
      <c r="Y21" s="898"/>
      <c r="Z21" s="898"/>
      <c r="AA21" s="898"/>
      <c r="AB21" s="898"/>
      <c r="AC21" s="898"/>
      <c r="AD21" s="898"/>
      <c r="AE21" s="898"/>
      <c r="AF21" s="898"/>
      <c r="AG21" s="898"/>
      <c r="AH21" s="898"/>
      <c r="AI21" s="898"/>
      <c r="AJ21" s="898"/>
      <c r="AK21" s="898"/>
      <c r="AL21" s="898"/>
      <c r="AM21" s="898"/>
      <c r="AN21" s="898"/>
      <c r="AO21" s="898"/>
      <c r="AP21" s="898"/>
      <c r="AQ21" s="898"/>
      <c r="AR21" s="898"/>
      <c r="AS21" s="898"/>
      <c r="AT21" s="898"/>
      <c r="AU21" s="898"/>
      <c r="AV21" s="898"/>
      <c r="AW21" s="898"/>
      <c r="AX21" s="898"/>
      <c r="AY21" s="898"/>
      <c r="AZ21" s="898"/>
      <c r="BA21" s="898"/>
      <c r="BB21" s="898"/>
      <c r="BC21" s="898"/>
      <c r="BD21" s="898"/>
      <c r="BE21" s="898"/>
      <c r="BF21" s="898"/>
      <c r="BG21" s="898"/>
      <c r="BH21" s="898"/>
      <c r="BI21" s="898"/>
      <c r="BJ21" s="898"/>
      <c r="BK21" s="898"/>
      <c r="BL21" s="898"/>
      <c r="BM21" s="898"/>
      <c r="BN21" s="898"/>
      <c r="BO21" s="898"/>
      <c r="BP21" s="898"/>
      <c r="BQ21" s="898"/>
    </row>
    <row r="22" spans="1:69" s="897" customFormat="1" ht="12" x14ac:dyDescent="0.2">
      <c r="A22" s="350"/>
      <c r="B22" s="1285" t="s">
        <v>1135</v>
      </c>
      <c r="C22" s="1286"/>
      <c r="D22" s="609"/>
      <c r="E22" s="609"/>
      <c r="F22" s="609"/>
      <c r="G22" s="633" t="s">
        <v>1140</v>
      </c>
      <c r="H22" s="634" t="s">
        <v>1141</v>
      </c>
      <c r="I22" s="635"/>
      <c r="J22" s="636"/>
      <c r="K22" s="636"/>
      <c r="L22" s="637"/>
      <c r="M22" s="439"/>
      <c r="N22" s="638"/>
      <c r="O22" s="638"/>
      <c r="P22" s="524">
        <f>SUM(P23:P26)</f>
        <v>0</v>
      </c>
      <c r="Q22" s="898"/>
      <c r="R22" s="902"/>
      <c r="S22" s="902"/>
      <c r="T22" s="902"/>
      <c r="U22" s="902"/>
      <c r="V22" s="898"/>
      <c r="W22" s="898"/>
      <c r="X22" s="898"/>
      <c r="Y22" s="898"/>
      <c r="Z22" s="898"/>
      <c r="AA22" s="898"/>
      <c r="AB22" s="898"/>
      <c r="AC22" s="898"/>
      <c r="AD22" s="898"/>
      <c r="AE22" s="898"/>
      <c r="AF22" s="898"/>
      <c r="AG22" s="898"/>
      <c r="AH22" s="898"/>
      <c r="AI22" s="898"/>
      <c r="AJ22" s="898"/>
      <c r="AK22" s="898"/>
      <c r="AL22" s="898"/>
      <c r="AM22" s="898"/>
      <c r="AN22" s="898"/>
      <c r="AO22" s="898"/>
      <c r="AP22" s="898"/>
      <c r="AQ22" s="898"/>
      <c r="AR22" s="898"/>
      <c r="AS22" s="898"/>
      <c r="AT22" s="898"/>
      <c r="AU22" s="898"/>
      <c r="AV22" s="898"/>
      <c r="AW22" s="898"/>
      <c r="AX22" s="898"/>
      <c r="AY22" s="898"/>
      <c r="AZ22" s="898"/>
      <c r="BA22" s="898"/>
      <c r="BB22" s="898"/>
      <c r="BC22" s="898"/>
      <c r="BD22" s="898"/>
      <c r="BE22" s="898"/>
      <c r="BF22" s="898"/>
      <c r="BG22" s="898"/>
      <c r="BH22" s="898"/>
      <c r="BI22" s="898"/>
      <c r="BJ22" s="898"/>
      <c r="BK22" s="898"/>
      <c r="BL22" s="898"/>
      <c r="BM22" s="898"/>
      <c r="BN22" s="898"/>
      <c r="BO22" s="898"/>
      <c r="BP22" s="898"/>
      <c r="BQ22" s="898"/>
    </row>
    <row r="23" spans="1:69" s="897" customFormat="1" ht="14.1" customHeight="1" x14ac:dyDescent="0.2">
      <c r="A23" s="350"/>
      <c r="B23" s="639" t="s">
        <v>840</v>
      </c>
      <c r="C23" s="604"/>
      <c r="D23" s="609"/>
      <c r="E23" s="609"/>
      <c r="F23" s="609"/>
      <c r="G23" s="598"/>
      <c r="H23" s="670" t="s">
        <v>224</v>
      </c>
      <c r="I23" s="641"/>
      <c r="J23" s="566"/>
      <c r="K23" s="566"/>
      <c r="L23" s="568"/>
      <c r="M23" s="571"/>
      <c r="N23" s="638"/>
      <c r="O23" s="572">
        <f>SUM(O24:O25)</f>
        <v>0</v>
      </c>
      <c r="P23" s="524">
        <f>O23</f>
        <v>0</v>
      </c>
      <c r="Q23" s="898"/>
      <c r="R23" s="902"/>
      <c r="S23" s="902"/>
      <c r="T23" s="902"/>
      <c r="U23" s="902"/>
      <c r="V23" s="898"/>
      <c r="W23" s="898"/>
      <c r="X23" s="898"/>
      <c r="Y23" s="898"/>
      <c r="Z23" s="898"/>
      <c r="AA23" s="898"/>
      <c r="AB23" s="898"/>
      <c r="AC23" s="898"/>
      <c r="AD23" s="898"/>
      <c r="AE23" s="898"/>
      <c r="AF23" s="898"/>
      <c r="AG23" s="898"/>
      <c r="AH23" s="898"/>
      <c r="AI23" s="898"/>
      <c r="AJ23" s="898"/>
      <c r="AK23" s="898"/>
      <c r="AL23" s="898"/>
      <c r="AM23" s="898"/>
      <c r="AN23" s="898"/>
      <c r="AO23" s="898"/>
      <c r="AP23" s="898"/>
      <c r="AQ23" s="898"/>
      <c r="AR23" s="898"/>
      <c r="AS23" s="898"/>
      <c r="AT23" s="898"/>
      <c r="AU23" s="898"/>
      <c r="AV23" s="898"/>
      <c r="AW23" s="898"/>
      <c r="AX23" s="898"/>
      <c r="AY23" s="898"/>
      <c r="AZ23" s="898"/>
      <c r="BA23" s="898"/>
      <c r="BB23" s="898"/>
      <c r="BC23" s="898"/>
      <c r="BD23" s="898"/>
      <c r="BE23" s="898"/>
      <c r="BF23" s="898"/>
      <c r="BG23" s="898"/>
      <c r="BH23" s="898"/>
      <c r="BI23" s="898"/>
      <c r="BJ23" s="898"/>
      <c r="BK23" s="898"/>
      <c r="BL23" s="898"/>
      <c r="BM23" s="898"/>
      <c r="BN23" s="898"/>
      <c r="BO23" s="898"/>
      <c r="BP23" s="898"/>
      <c r="BQ23" s="898"/>
    </row>
    <row r="24" spans="1:69" s="897" customFormat="1" ht="14.1" customHeight="1" x14ac:dyDescent="0.2">
      <c r="A24" s="350"/>
      <c r="B24" s="639"/>
      <c r="C24" s="574"/>
      <c r="D24" s="609"/>
      <c r="E24" s="609"/>
      <c r="F24" s="609"/>
      <c r="G24" s="598"/>
      <c r="H24" s="670">
        <v>1.1000000000000001</v>
      </c>
      <c r="I24" s="643"/>
      <c r="J24" s="644"/>
      <c r="K24" s="575"/>
      <c r="L24" s="645"/>
      <c r="M24" s="646"/>
      <c r="N24" s="638"/>
      <c r="O24" s="572">
        <f>L24*M24</f>
        <v>0</v>
      </c>
      <c r="P24" s="603"/>
      <c r="Q24" s="898"/>
      <c r="R24" s="902"/>
      <c r="S24" s="902"/>
      <c r="T24" s="902"/>
      <c r="U24" s="902"/>
      <c r="V24" s="898"/>
      <c r="W24" s="898"/>
      <c r="X24" s="898"/>
      <c r="Y24" s="898"/>
      <c r="Z24" s="898"/>
      <c r="AA24" s="898"/>
      <c r="AB24" s="898"/>
      <c r="AC24" s="898"/>
      <c r="AD24" s="898"/>
      <c r="AE24" s="898"/>
      <c r="AF24" s="898"/>
      <c r="AG24" s="898"/>
      <c r="AH24" s="898"/>
      <c r="AI24" s="898"/>
      <c r="AJ24" s="898"/>
      <c r="AK24" s="898"/>
      <c r="AL24" s="898"/>
      <c r="AM24" s="898"/>
      <c r="AN24" s="898"/>
      <c r="AO24" s="898"/>
      <c r="AP24" s="898"/>
      <c r="AQ24" s="898"/>
      <c r="AR24" s="898"/>
      <c r="AS24" s="898"/>
      <c r="AT24" s="898"/>
      <c r="AU24" s="898"/>
      <c r="AV24" s="898"/>
      <c r="AW24" s="898"/>
      <c r="AX24" s="898"/>
      <c r="AY24" s="898"/>
      <c r="AZ24" s="898"/>
      <c r="BA24" s="898"/>
      <c r="BB24" s="898"/>
      <c r="BC24" s="898"/>
      <c r="BD24" s="898"/>
      <c r="BE24" s="898"/>
      <c r="BF24" s="898"/>
      <c r="BG24" s="898"/>
      <c r="BH24" s="898"/>
      <c r="BI24" s="898"/>
      <c r="BJ24" s="898"/>
      <c r="BK24" s="898"/>
      <c r="BL24" s="898"/>
      <c r="BM24" s="898"/>
      <c r="BN24" s="898"/>
      <c r="BO24" s="898"/>
      <c r="BP24" s="898"/>
      <c r="BQ24" s="898"/>
    </row>
    <row r="25" spans="1:69" s="897" customFormat="1" ht="14.1" hidden="1" customHeight="1" x14ac:dyDescent="0.2">
      <c r="A25" s="350"/>
      <c r="B25" s="639"/>
      <c r="C25" s="604"/>
      <c r="D25" s="609"/>
      <c r="E25" s="609"/>
      <c r="F25" s="609"/>
      <c r="G25" s="609"/>
      <c r="H25" s="670" t="s">
        <v>842</v>
      </c>
      <c r="I25" s="662"/>
      <c r="J25" s="644"/>
      <c r="K25" s="575"/>
      <c r="L25" s="645"/>
      <c r="M25" s="646"/>
      <c r="N25" s="638"/>
      <c r="O25" s="596"/>
      <c r="P25" s="597"/>
      <c r="Q25" s="898"/>
      <c r="R25" s="902"/>
      <c r="S25" s="902"/>
      <c r="T25" s="902"/>
      <c r="U25" s="902"/>
      <c r="V25" s="898"/>
      <c r="W25" s="898"/>
      <c r="X25" s="898"/>
      <c r="Y25" s="898"/>
      <c r="Z25" s="898"/>
      <c r="AA25" s="898"/>
      <c r="AB25" s="898"/>
      <c r="AC25" s="898"/>
      <c r="AD25" s="898"/>
      <c r="AE25" s="898"/>
      <c r="AF25" s="898"/>
      <c r="AG25" s="898"/>
      <c r="AH25" s="898"/>
      <c r="AI25" s="898"/>
      <c r="AJ25" s="898"/>
      <c r="AK25" s="898"/>
      <c r="AL25" s="898"/>
      <c r="AM25" s="898"/>
      <c r="AN25" s="898"/>
      <c r="AO25" s="898"/>
      <c r="AP25" s="898"/>
      <c r="AQ25" s="898"/>
      <c r="AR25" s="898"/>
      <c r="AS25" s="898"/>
      <c r="AT25" s="898"/>
      <c r="AU25" s="898"/>
      <c r="AV25" s="898"/>
      <c r="AW25" s="898"/>
      <c r="AX25" s="898"/>
      <c r="AY25" s="898"/>
      <c r="AZ25" s="898"/>
      <c r="BA25" s="898"/>
      <c r="BB25" s="898"/>
      <c r="BC25" s="898"/>
      <c r="BD25" s="898"/>
      <c r="BE25" s="898"/>
      <c r="BF25" s="898"/>
      <c r="BG25" s="898"/>
      <c r="BH25" s="898"/>
      <c r="BI25" s="898"/>
      <c r="BJ25" s="898"/>
      <c r="BK25" s="898"/>
      <c r="BL25" s="898"/>
      <c r="BM25" s="898"/>
      <c r="BN25" s="898"/>
      <c r="BO25" s="898"/>
      <c r="BP25" s="898"/>
      <c r="BQ25" s="898"/>
    </row>
    <row r="26" spans="1:69" s="1003" customFormat="1" ht="14.1" customHeight="1" x14ac:dyDescent="0.2">
      <c r="A26" s="648"/>
      <c r="B26" s="658"/>
      <c r="C26" s="244"/>
      <c r="D26" s="650"/>
      <c r="E26" s="650"/>
      <c r="F26" s="650"/>
      <c r="G26" s="650"/>
      <c r="H26" s="671" t="s">
        <v>1142</v>
      </c>
      <c r="I26" s="653"/>
      <c r="J26" s="654"/>
      <c r="K26" s="672"/>
      <c r="L26" s="655"/>
      <c r="M26" s="656"/>
      <c r="N26" s="657"/>
      <c r="O26" s="572"/>
      <c r="P26" s="524"/>
      <c r="Q26" s="1001"/>
      <c r="R26" s="1002"/>
      <c r="S26" s="1002"/>
      <c r="T26" s="1002"/>
      <c r="U26" s="1002"/>
      <c r="V26" s="1001"/>
      <c r="W26" s="1001"/>
      <c r="X26" s="1001"/>
      <c r="Y26" s="1001"/>
      <c r="Z26" s="1001"/>
      <c r="AA26" s="1001"/>
      <c r="AB26" s="1001"/>
      <c r="AC26" s="1001"/>
      <c r="AD26" s="1001"/>
      <c r="AE26" s="1001"/>
      <c r="AF26" s="1001"/>
      <c r="AG26" s="1001"/>
      <c r="AH26" s="1001"/>
      <c r="AI26" s="1001"/>
      <c r="AJ26" s="1001"/>
      <c r="AK26" s="1001"/>
      <c r="AL26" s="1001"/>
      <c r="AM26" s="1001"/>
      <c r="AN26" s="1001"/>
      <c r="AO26" s="1001"/>
      <c r="AP26" s="1001"/>
      <c r="AQ26" s="1001"/>
      <c r="AR26" s="1001"/>
      <c r="AS26" s="1001"/>
      <c r="AT26" s="1001"/>
      <c r="AU26" s="1001"/>
      <c r="AV26" s="1001"/>
      <c r="AW26" s="1001"/>
      <c r="AX26" s="1001"/>
      <c r="AY26" s="1001"/>
      <c r="AZ26" s="1001"/>
      <c r="BA26" s="1001"/>
      <c r="BB26" s="1001"/>
      <c r="BC26" s="1001"/>
      <c r="BD26" s="1001"/>
      <c r="BE26" s="1001"/>
      <c r="BF26" s="1001"/>
      <c r="BG26" s="1001"/>
      <c r="BH26" s="1001"/>
      <c r="BI26" s="1001"/>
      <c r="BJ26" s="1001"/>
      <c r="BK26" s="1001"/>
      <c r="BL26" s="1001"/>
      <c r="BM26" s="1001"/>
      <c r="BN26" s="1001"/>
      <c r="BO26" s="1001"/>
      <c r="BP26" s="1001"/>
      <c r="BQ26" s="1001"/>
    </row>
    <row r="27" spans="1:69" s="897" customFormat="1" ht="12" x14ac:dyDescent="0.2">
      <c r="A27" s="350"/>
      <c r="B27" s="1285" t="s">
        <v>1137</v>
      </c>
      <c r="C27" s="1286"/>
      <c r="D27" s="609"/>
      <c r="E27" s="609"/>
      <c r="F27" s="609"/>
      <c r="G27" s="633" t="s">
        <v>1143</v>
      </c>
      <c r="H27" s="634" t="s">
        <v>1144</v>
      </c>
      <c r="I27" s="635"/>
      <c r="J27" s="636"/>
      <c r="K27" s="636"/>
      <c r="L27" s="637"/>
      <c r="M27" s="439"/>
      <c r="N27" s="638"/>
      <c r="O27" s="638"/>
      <c r="P27" s="524">
        <f>SUM(P28:P31)</f>
        <v>0</v>
      </c>
      <c r="Q27" s="898"/>
      <c r="R27" s="902"/>
      <c r="S27" s="902"/>
      <c r="T27" s="902"/>
      <c r="U27" s="902"/>
      <c r="V27" s="898"/>
      <c r="W27" s="898"/>
      <c r="X27" s="898"/>
      <c r="Y27" s="898"/>
      <c r="Z27" s="898"/>
      <c r="AA27" s="898"/>
      <c r="AB27" s="898"/>
      <c r="AC27" s="898"/>
      <c r="AD27" s="898"/>
      <c r="AE27" s="898"/>
      <c r="AF27" s="898"/>
      <c r="AG27" s="898"/>
      <c r="AH27" s="898"/>
      <c r="AI27" s="898"/>
      <c r="AJ27" s="898"/>
      <c r="AK27" s="898"/>
      <c r="AL27" s="898"/>
      <c r="AM27" s="898"/>
      <c r="AN27" s="898"/>
      <c r="AO27" s="898"/>
      <c r="AP27" s="898"/>
      <c r="AQ27" s="898"/>
      <c r="AR27" s="898"/>
      <c r="AS27" s="898"/>
      <c r="AT27" s="898"/>
      <c r="AU27" s="898"/>
      <c r="AV27" s="898"/>
      <c r="AW27" s="898"/>
      <c r="AX27" s="898"/>
      <c r="AY27" s="898"/>
      <c r="AZ27" s="898"/>
      <c r="BA27" s="898"/>
      <c r="BB27" s="898"/>
      <c r="BC27" s="898"/>
      <c r="BD27" s="898"/>
      <c r="BE27" s="898"/>
      <c r="BF27" s="898"/>
      <c r="BG27" s="898"/>
      <c r="BH27" s="898"/>
      <c r="BI27" s="898"/>
      <c r="BJ27" s="898"/>
      <c r="BK27" s="898"/>
      <c r="BL27" s="898"/>
      <c r="BM27" s="898"/>
      <c r="BN27" s="898"/>
      <c r="BO27" s="898"/>
      <c r="BP27" s="898"/>
      <c r="BQ27" s="898"/>
    </row>
    <row r="28" spans="1:69" s="897" customFormat="1" ht="14.1" customHeight="1" x14ac:dyDescent="0.2">
      <c r="A28" s="350"/>
      <c r="B28" s="639" t="s">
        <v>840</v>
      </c>
      <c r="C28" s="604"/>
      <c r="D28" s="609"/>
      <c r="E28" s="609"/>
      <c r="F28" s="609"/>
      <c r="G28" s="598"/>
      <c r="H28" s="670" t="s">
        <v>224</v>
      </c>
      <c r="I28" s="641"/>
      <c r="J28" s="566"/>
      <c r="K28" s="566"/>
      <c r="L28" s="568"/>
      <c r="M28" s="571"/>
      <c r="N28" s="638"/>
      <c r="O28" s="572">
        <f>SUM(O29:O30)</f>
        <v>0</v>
      </c>
      <c r="P28" s="524">
        <f>O28</f>
        <v>0</v>
      </c>
      <c r="Q28" s="898"/>
      <c r="R28" s="902"/>
      <c r="S28" s="902"/>
      <c r="T28" s="902"/>
      <c r="U28" s="902"/>
      <c r="V28" s="898"/>
      <c r="W28" s="898"/>
      <c r="X28" s="898"/>
      <c r="Y28" s="898"/>
      <c r="Z28" s="898"/>
      <c r="AA28" s="898"/>
      <c r="AB28" s="898"/>
      <c r="AC28" s="898"/>
      <c r="AD28" s="898"/>
      <c r="AE28" s="898"/>
      <c r="AF28" s="898"/>
      <c r="AG28" s="898"/>
      <c r="AH28" s="898"/>
      <c r="AI28" s="898"/>
      <c r="AJ28" s="898"/>
      <c r="AK28" s="898"/>
      <c r="AL28" s="898"/>
      <c r="AM28" s="898"/>
      <c r="AN28" s="898"/>
      <c r="AO28" s="898"/>
      <c r="AP28" s="898"/>
      <c r="AQ28" s="898"/>
      <c r="AR28" s="898"/>
      <c r="AS28" s="898"/>
      <c r="AT28" s="898"/>
      <c r="AU28" s="898"/>
      <c r="AV28" s="898"/>
      <c r="AW28" s="898"/>
      <c r="AX28" s="898"/>
      <c r="AY28" s="898"/>
      <c r="AZ28" s="898"/>
      <c r="BA28" s="898"/>
      <c r="BB28" s="898"/>
      <c r="BC28" s="898"/>
      <c r="BD28" s="898"/>
      <c r="BE28" s="898"/>
      <c r="BF28" s="898"/>
      <c r="BG28" s="898"/>
      <c r="BH28" s="898"/>
      <c r="BI28" s="898"/>
      <c r="BJ28" s="898"/>
      <c r="BK28" s="898"/>
      <c r="BL28" s="898"/>
      <c r="BM28" s="898"/>
      <c r="BN28" s="898"/>
      <c r="BO28" s="898"/>
      <c r="BP28" s="898"/>
      <c r="BQ28" s="898"/>
    </row>
    <row r="29" spans="1:69" s="897" customFormat="1" ht="14.1" customHeight="1" x14ac:dyDescent="0.2">
      <c r="A29" s="350"/>
      <c r="B29" s="639"/>
      <c r="C29" s="574"/>
      <c r="D29" s="589"/>
      <c r="E29" s="589"/>
      <c r="F29" s="589"/>
      <c r="G29" s="598"/>
      <c r="H29" s="673" t="s">
        <v>226</v>
      </c>
      <c r="I29" s="643"/>
      <c r="J29" s="644"/>
      <c r="K29" s="575"/>
      <c r="L29" s="645"/>
      <c r="M29" s="646"/>
      <c r="N29" s="638"/>
      <c r="O29" s="572">
        <f>L29*M29</f>
        <v>0</v>
      </c>
      <c r="P29" s="603"/>
      <c r="Q29" s="898"/>
      <c r="R29" s="902"/>
      <c r="S29" s="902"/>
      <c r="T29" s="902"/>
      <c r="U29" s="902"/>
      <c r="V29" s="898"/>
      <c r="W29" s="898"/>
      <c r="X29" s="898"/>
      <c r="Y29" s="898"/>
      <c r="Z29" s="898"/>
      <c r="AA29" s="898"/>
      <c r="AB29" s="898"/>
      <c r="AC29" s="898"/>
      <c r="AD29" s="898"/>
      <c r="AE29" s="898"/>
      <c r="AF29" s="898"/>
      <c r="AG29" s="898"/>
      <c r="AH29" s="898"/>
      <c r="AI29" s="898"/>
      <c r="AJ29" s="898"/>
      <c r="AK29" s="898"/>
      <c r="AL29" s="898"/>
      <c r="AM29" s="898"/>
      <c r="AN29" s="898"/>
      <c r="AO29" s="898"/>
      <c r="AP29" s="898"/>
      <c r="AQ29" s="898"/>
      <c r="AR29" s="898"/>
      <c r="AS29" s="898"/>
      <c r="AT29" s="898"/>
      <c r="AU29" s="898"/>
      <c r="AV29" s="898"/>
      <c r="AW29" s="898"/>
      <c r="AX29" s="898"/>
      <c r="AY29" s="898"/>
      <c r="AZ29" s="898"/>
      <c r="BA29" s="898"/>
      <c r="BB29" s="898"/>
      <c r="BC29" s="898"/>
      <c r="BD29" s="898"/>
      <c r="BE29" s="898"/>
      <c r="BF29" s="898"/>
      <c r="BG29" s="898"/>
      <c r="BH29" s="898"/>
      <c r="BI29" s="898"/>
      <c r="BJ29" s="898"/>
      <c r="BK29" s="898"/>
      <c r="BL29" s="898"/>
      <c r="BM29" s="898"/>
      <c r="BN29" s="898"/>
      <c r="BO29" s="898"/>
      <c r="BP29" s="898"/>
      <c r="BQ29" s="898"/>
    </row>
    <row r="30" spans="1:69" s="897" customFormat="1" ht="14.1" hidden="1" customHeight="1" x14ac:dyDescent="0.2">
      <c r="A30" s="350"/>
      <c r="B30" s="639"/>
      <c r="C30" s="604"/>
      <c r="D30" s="589"/>
      <c r="E30" s="589"/>
      <c r="F30" s="589"/>
      <c r="G30" s="609"/>
      <c r="H30" s="673" t="s">
        <v>842</v>
      </c>
      <c r="I30" s="662"/>
      <c r="J30" s="644"/>
      <c r="K30" s="575"/>
      <c r="L30" s="645"/>
      <c r="M30" s="646"/>
      <c r="N30" s="638"/>
      <c r="O30" s="596"/>
      <c r="P30" s="597"/>
      <c r="Q30" s="898"/>
      <c r="R30" s="902"/>
      <c r="S30" s="902"/>
      <c r="T30" s="902"/>
      <c r="U30" s="902"/>
      <c r="V30" s="898"/>
      <c r="W30" s="898"/>
      <c r="X30" s="898"/>
      <c r="Y30" s="898"/>
      <c r="Z30" s="898"/>
      <c r="AA30" s="898"/>
      <c r="AB30" s="898"/>
      <c r="AC30" s="898"/>
      <c r="AD30" s="898"/>
      <c r="AE30" s="898"/>
      <c r="AF30" s="898"/>
      <c r="AG30" s="898"/>
      <c r="AH30" s="898"/>
      <c r="AI30" s="898"/>
      <c r="AJ30" s="898"/>
      <c r="AK30" s="898"/>
      <c r="AL30" s="898"/>
      <c r="AM30" s="898"/>
      <c r="AN30" s="898"/>
      <c r="AO30" s="898"/>
      <c r="AP30" s="898"/>
      <c r="AQ30" s="898"/>
      <c r="AR30" s="898"/>
      <c r="AS30" s="898"/>
      <c r="AT30" s="898"/>
      <c r="AU30" s="898"/>
      <c r="AV30" s="898"/>
      <c r="AW30" s="898"/>
      <c r="AX30" s="898"/>
      <c r="AY30" s="898"/>
      <c r="AZ30" s="898"/>
      <c r="BA30" s="898"/>
      <c r="BB30" s="898"/>
      <c r="BC30" s="898"/>
      <c r="BD30" s="898"/>
      <c r="BE30" s="898"/>
      <c r="BF30" s="898"/>
      <c r="BG30" s="898"/>
      <c r="BH30" s="898"/>
      <c r="BI30" s="898"/>
      <c r="BJ30" s="898"/>
      <c r="BK30" s="898"/>
      <c r="BL30" s="898"/>
      <c r="BM30" s="898"/>
      <c r="BN30" s="898"/>
      <c r="BO30" s="898"/>
      <c r="BP30" s="898"/>
      <c r="BQ30" s="898"/>
    </row>
    <row r="31" spans="1:69" s="1003" customFormat="1" ht="14.1" customHeight="1" x14ac:dyDescent="0.2">
      <c r="A31" s="648"/>
      <c r="B31" s="658"/>
      <c r="C31" s="244"/>
      <c r="D31" s="664"/>
      <c r="E31" s="664"/>
      <c r="F31" s="664"/>
      <c r="G31" s="650"/>
      <c r="H31" s="674" t="s">
        <v>1145</v>
      </c>
      <c r="I31" s="653"/>
      <c r="J31" s="654"/>
      <c r="K31" s="672"/>
      <c r="L31" s="655"/>
      <c r="M31" s="656"/>
      <c r="N31" s="657"/>
      <c r="O31" s="572"/>
      <c r="P31" s="524"/>
      <c r="Q31" s="1001"/>
      <c r="R31" s="1002"/>
      <c r="S31" s="1002"/>
      <c r="T31" s="1002"/>
      <c r="U31" s="1002"/>
      <c r="V31" s="1001"/>
      <c r="W31" s="1001"/>
      <c r="X31" s="1001"/>
      <c r="Y31" s="1001"/>
      <c r="Z31" s="1001"/>
      <c r="AA31" s="1001"/>
      <c r="AB31" s="1001"/>
      <c r="AC31" s="1001"/>
      <c r="AD31" s="1001"/>
      <c r="AE31" s="1001"/>
      <c r="AF31" s="1001"/>
      <c r="AG31" s="1001"/>
      <c r="AH31" s="1001"/>
      <c r="AI31" s="1001"/>
      <c r="AJ31" s="1001"/>
      <c r="AK31" s="1001"/>
      <c r="AL31" s="1001"/>
      <c r="AM31" s="1001"/>
      <c r="AN31" s="1001"/>
      <c r="AO31" s="1001"/>
      <c r="AP31" s="1001"/>
      <c r="AQ31" s="1001"/>
      <c r="AR31" s="1001"/>
      <c r="AS31" s="1001"/>
      <c r="AT31" s="1001"/>
      <c r="AU31" s="1001"/>
      <c r="AV31" s="1001"/>
      <c r="AW31" s="1001"/>
      <c r="AX31" s="1001"/>
      <c r="AY31" s="1001"/>
      <c r="AZ31" s="1001"/>
      <c r="BA31" s="1001"/>
      <c r="BB31" s="1001"/>
      <c r="BC31" s="1001"/>
      <c r="BD31" s="1001"/>
      <c r="BE31" s="1001"/>
      <c r="BF31" s="1001"/>
      <c r="BG31" s="1001"/>
      <c r="BH31" s="1001"/>
      <c r="BI31" s="1001"/>
      <c r="BJ31" s="1001"/>
      <c r="BK31" s="1001"/>
      <c r="BL31" s="1001"/>
      <c r="BM31" s="1001"/>
      <c r="BN31" s="1001"/>
      <c r="BO31" s="1001"/>
      <c r="BP31" s="1001"/>
      <c r="BQ31" s="1001"/>
    </row>
    <row r="32" spans="1:69" s="897" customFormat="1" ht="15" thickBot="1" x14ac:dyDescent="0.25">
      <c r="A32" s="350"/>
      <c r="B32" s="1287" t="s">
        <v>233</v>
      </c>
      <c r="C32" s="1288"/>
      <c r="D32" s="675"/>
      <c r="E32" s="675"/>
      <c r="F32" s="675"/>
      <c r="G32" s="615" t="s">
        <v>1146</v>
      </c>
      <c r="H32" s="676"/>
      <c r="I32" s="677"/>
      <c r="J32" s="678"/>
      <c r="K32" s="678"/>
      <c r="L32" s="679"/>
      <c r="M32" s="618"/>
      <c r="N32" s="618"/>
      <c r="O32" s="618"/>
      <c r="P32" s="620">
        <f>P10+P21</f>
        <v>0</v>
      </c>
      <c r="Q32" s="1004"/>
      <c r="R32" s="902"/>
      <c r="S32" s="902"/>
      <c r="T32" s="902"/>
      <c r="U32" s="902"/>
      <c r="V32" s="898"/>
      <c r="W32" s="898"/>
      <c r="X32" s="898"/>
      <c r="Y32" s="898"/>
      <c r="Z32" s="898"/>
      <c r="AA32" s="898"/>
      <c r="AB32" s="898"/>
      <c r="AC32" s="898"/>
      <c r="AD32" s="898"/>
      <c r="AE32" s="898"/>
      <c r="AF32" s="898"/>
      <c r="AG32" s="898"/>
      <c r="AH32" s="898"/>
      <c r="AI32" s="898"/>
      <c r="AJ32" s="898"/>
      <c r="AK32" s="898"/>
      <c r="AL32" s="898"/>
      <c r="AM32" s="898"/>
      <c r="AN32" s="898"/>
      <c r="AO32" s="898"/>
      <c r="AP32" s="898"/>
      <c r="AQ32" s="898"/>
      <c r="AR32" s="898"/>
      <c r="AS32" s="898"/>
      <c r="AT32" s="898"/>
      <c r="AU32" s="898"/>
      <c r="AV32" s="898"/>
      <c r="AW32" s="898"/>
      <c r="AX32" s="898"/>
      <c r="AY32" s="898"/>
      <c r="AZ32" s="898"/>
      <c r="BA32" s="898"/>
      <c r="BB32" s="898"/>
      <c r="BC32" s="898"/>
      <c r="BD32" s="898"/>
      <c r="BE32" s="898"/>
      <c r="BF32" s="898"/>
      <c r="BG32" s="898"/>
      <c r="BH32" s="898"/>
      <c r="BI32" s="898"/>
      <c r="BJ32" s="898"/>
      <c r="BK32" s="898"/>
      <c r="BL32" s="898"/>
      <c r="BM32" s="898"/>
      <c r="BN32" s="898"/>
      <c r="BO32" s="898"/>
      <c r="BP32" s="898"/>
      <c r="BQ32" s="898"/>
    </row>
    <row r="33" spans="1:69" s="899" customFormat="1" ht="11.25" x14ac:dyDescent="0.2">
      <c r="A33" s="426"/>
      <c r="B33" s="426"/>
      <c r="C33" s="426"/>
      <c r="D33" s="426"/>
      <c r="E33" s="426"/>
      <c r="F33" s="426"/>
      <c r="G33" s="478" t="s">
        <v>309</v>
      </c>
      <c r="H33" s="537"/>
      <c r="I33" s="549"/>
      <c r="J33" s="426"/>
      <c r="K33" s="426"/>
      <c r="L33" s="426"/>
      <c r="M33" s="426"/>
      <c r="N33" s="426"/>
      <c r="O33" s="480"/>
      <c r="P33" s="480"/>
      <c r="Q33" s="763"/>
      <c r="R33" s="900"/>
      <c r="S33" s="900"/>
      <c r="T33" s="900"/>
      <c r="U33" s="900"/>
      <c r="V33" s="763"/>
      <c r="W33" s="763"/>
      <c r="X33" s="763"/>
      <c r="Y33" s="763"/>
      <c r="Z33" s="763"/>
      <c r="AA33" s="763"/>
      <c r="AB33" s="763"/>
      <c r="AC33" s="763"/>
      <c r="AD33" s="763"/>
      <c r="AE33" s="763"/>
      <c r="AF33" s="763"/>
      <c r="AG33" s="763"/>
      <c r="AH33" s="763"/>
      <c r="AI33" s="763"/>
      <c r="AJ33" s="763"/>
      <c r="AK33" s="763"/>
      <c r="AL33" s="763"/>
      <c r="AM33" s="763"/>
      <c r="AN33" s="763"/>
      <c r="AO33" s="763"/>
      <c r="AP33" s="763"/>
      <c r="AQ33" s="763"/>
      <c r="AR33" s="763"/>
      <c r="AS33" s="763"/>
      <c r="AT33" s="763"/>
      <c r="AU33" s="763"/>
      <c r="AV33" s="763"/>
      <c r="AW33" s="763"/>
      <c r="AX33" s="763"/>
      <c r="AY33" s="763"/>
      <c r="AZ33" s="763"/>
      <c r="BA33" s="763"/>
      <c r="BB33" s="763"/>
      <c r="BC33" s="763"/>
      <c r="BD33" s="763"/>
      <c r="BE33" s="763"/>
      <c r="BF33" s="763"/>
      <c r="BG33" s="763"/>
      <c r="BH33" s="763"/>
      <c r="BI33" s="763"/>
      <c r="BJ33" s="763"/>
      <c r="BK33" s="763"/>
      <c r="BL33" s="763"/>
      <c r="BM33" s="763"/>
      <c r="BN33" s="763"/>
      <c r="BO33" s="763"/>
      <c r="BP33" s="763"/>
      <c r="BQ33" s="763"/>
    </row>
    <row r="34" spans="1:69" s="899" customFormat="1" ht="11.25" x14ac:dyDescent="0.2">
      <c r="A34" s="533" t="s">
        <v>494</v>
      </c>
      <c r="B34" s="1243" t="s">
        <v>236</v>
      </c>
      <c r="C34" s="1243"/>
      <c r="D34" s="1243"/>
      <c r="E34" s="1243"/>
      <c r="F34" s="1243"/>
      <c r="G34" s="1243"/>
      <c r="H34" s="1243"/>
      <c r="I34" s="1243"/>
      <c r="J34" s="1243"/>
      <c r="K34" s="1243"/>
      <c r="L34" s="1243"/>
      <c r="M34" s="1243"/>
      <c r="N34" s="1243"/>
      <c r="O34" s="1243"/>
      <c r="P34" s="1243"/>
      <c r="Q34" s="763"/>
      <c r="R34" s="900"/>
      <c r="S34" s="900"/>
      <c r="T34" s="900"/>
      <c r="U34" s="900"/>
      <c r="V34" s="763"/>
      <c r="W34" s="763"/>
      <c r="X34" s="763"/>
      <c r="Y34" s="763"/>
      <c r="Z34" s="763"/>
      <c r="AA34" s="763"/>
      <c r="AB34" s="763"/>
      <c r="AC34" s="763"/>
      <c r="AD34" s="763"/>
      <c r="AE34" s="763"/>
      <c r="AF34" s="763"/>
      <c r="AG34" s="763"/>
      <c r="AH34" s="763"/>
      <c r="AI34" s="763"/>
      <c r="AJ34" s="763"/>
      <c r="AK34" s="763"/>
      <c r="AL34" s="763"/>
      <c r="AM34" s="763"/>
      <c r="AN34" s="763"/>
      <c r="AO34" s="763"/>
      <c r="AP34" s="763"/>
      <c r="AQ34" s="763"/>
      <c r="AR34" s="763"/>
      <c r="AS34" s="763"/>
      <c r="AT34" s="763"/>
      <c r="AU34" s="763"/>
      <c r="AV34" s="763"/>
      <c r="AW34" s="763"/>
      <c r="AX34" s="763"/>
      <c r="AY34" s="763"/>
      <c r="AZ34" s="763"/>
      <c r="BA34" s="763"/>
      <c r="BB34" s="763"/>
      <c r="BC34" s="763"/>
      <c r="BD34" s="763"/>
      <c r="BE34" s="763"/>
      <c r="BF34" s="763"/>
      <c r="BG34" s="763"/>
      <c r="BH34" s="763"/>
      <c r="BI34" s="763"/>
      <c r="BJ34" s="763"/>
      <c r="BK34" s="763"/>
      <c r="BL34" s="763"/>
      <c r="BM34" s="763"/>
      <c r="BN34" s="763"/>
      <c r="BO34" s="763"/>
      <c r="BP34" s="763"/>
      <c r="BQ34" s="763"/>
    </row>
    <row r="35" spans="1:69" s="899" customFormat="1" ht="11.25" x14ac:dyDescent="0.2">
      <c r="A35" s="533" t="s">
        <v>496</v>
      </c>
      <c r="B35" s="1243" t="s">
        <v>1147</v>
      </c>
      <c r="C35" s="1243"/>
      <c r="D35" s="1243"/>
      <c r="E35" s="1243"/>
      <c r="F35" s="1243"/>
      <c r="G35" s="1243"/>
      <c r="H35" s="1243"/>
      <c r="I35" s="1243"/>
      <c r="J35" s="1243"/>
      <c r="K35" s="1243"/>
      <c r="L35" s="1243"/>
      <c r="M35" s="1243"/>
      <c r="N35" s="1243"/>
      <c r="O35" s="1243"/>
      <c r="P35" s="1243"/>
      <c r="Q35" s="763"/>
      <c r="R35" s="900"/>
      <c r="S35" s="900"/>
      <c r="T35" s="900"/>
      <c r="U35" s="900"/>
      <c r="V35" s="763"/>
      <c r="W35" s="763"/>
      <c r="X35" s="763"/>
      <c r="Y35" s="763"/>
      <c r="Z35" s="763"/>
      <c r="AA35" s="763"/>
      <c r="AB35" s="763"/>
      <c r="AC35" s="763"/>
      <c r="AD35" s="763"/>
      <c r="AE35" s="763"/>
      <c r="AF35" s="763"/>
      <c r="AG35" s="763"/>
      <c r="AH35" s="763"/>
      <c r="AI35" s="763"/>
      <c r="AJ35" s="763"/>
      <c r="AK35" s="763"/>
      <c r="AL35" s="763"/>
      <c r="AM35" s="763"/>
      <c r="AN35" s="763"/>
      <c r="AO35" s="763"/>
      <c r="AP35" s="763"/>
      <c r="AQ35" s="763"/>
      <c r="AR35" s="763"/>
      <c r="AS35" s="763"/>
      <c r="AT35" s="763"/>
      <c r="AU35" s="763"/>
      <c r="AV35" s="763"/>
      <c r="AW35" s="763"/>
      <c r="AX35" s="763"/>
      <c r="AY35" s="763"/>
      <c r="AZ35" s="763"/>
      <c r="BA35" s="763"/>
      <c r="BB35" s="763"/>
      <c r="BC35" s="763"/>
      <c r="BD35" s="763"/>
      <c r="BE35" s="763"/>
      <c r="BF35" s="763"/>
      <c r="BG35" s="763"/>
      <c r="BH35" s="763"/>
      <c r="BI35" s="763"/>
      <c r="BJ35" s="763"/>
      <c r="BK35" s="763"/>
      <c r="BL35" s="763"/>
      <c r="BM35" s="763"/>
      <c r="BN35" s="763"/>
      <c r="BO35" s="763"/>
      <c r="BP35" s="763"/>
      <c r="BQ35" s="763"/>
    </row>
    <row r="36" spans="1:69" s="899" customFormat="1" ht="12" customHeight="1" x14ac:dyDescent="0.2">
      <c r="A36" s="533" t="s">
        <v>498</v>
      </c>
      <c r="B36" s="1244" t="s">
        <v>1148</v>
      </c>
      <c r="C36" s="1244"/>
      <c r="D36" s="1244"/>
      <c r="E36" s="1244"/>
      <c r="F36" s="1244"/>
      <c r="G36" s="1244"/>
      <c r="H36" s="1244"/>
      <c r="I36" s="1244"/>
      <c r="J36" s="1244"/>
      <c r="K36" s="1244"/>
      <c r="L36" s="1244"/>
      <c r="M36" s="1244"/>
      <c r="N36" s="1244"/>
      <c r="O36" s="1244"/>
      <c r="P36" s="1244"/>
      <c r="Q36" s="1005"/>
      <c r="R36" s="1006"/>
      <c r="S36" s="1007"/>
      <c r="T36" s="900"/>
      <c r="U36" s="900"/>
      <c r="V36" s="763"/>
      <c r="W36" s="763"/>
      <c r="X36" s="763"/>
      <c r="Y36" s="763"/>
      <c r="Z36" s="763"/>
      <c r="AA36" s="763"/>
      <c r="AB36" s="763"/>
      <c r="AC36" s="763"/>
      <c r="AD36" s="763"/>
      <c r="AE36" s="763"/>
      <c r="AF36" s="763"/>
      <c r="AG36" s="763"/>
      <c r="AH36" s="763"/>
      <c r="AI36" s="763"/>
      <c r="AJ36" s="763"/>
      <c r="AK36" s="763"/>
      <c r="AL36" s="763"/>
      <c r="AM36" s="763"/>
      <c r="AN36" s="763"/>
      <c r="AO36" s="763"/>
      <c r="AP36" s="763"/>
      <c r="AQ36" s="763"/>
      <c r="AR36" s="763"/>
      <c r="AS36" s="763"/>
      <c r="AT36" s="763"/>
      <c r="AU36" s="763"/>
      <c r="AV36" s="763"/>
      <c r="AW36" s="763"/>
      <c r="AX36" s="763"/>
      <c r="AY36" s="763"/>
      <c r="AZ36" s="763"/>
      <c r="BA36" s="763"/>
      <c r="BB36" s="763"/>
      <c r="BC36" s="763"/>
      <c r="BD36" s="763"/>
      <c r="BE36" s="763"/>
      <c r="BF36" s="763"/>
      <c r="BG36" s="763"/>
      <c r="BH36" s="763"/>
      <c r="BI36" s="763"/>
      <c r="BJ36" s="763"/>
      <c r="BK36" s="763"/>
      <c r="BL36" s="763"/>
      <c r="BM36" s="763"/>
      <c r="BN36" s="763"/>
      <c r="BO36" s="763"/>
      <c r="BP36" s="763"/>
      <c r="BQ36" s="763"/>
    </row>
    <row r="37" spans="1:69" s="899" customFormat="1" ht="24" customHeight="1" x14ac:dyDescent="0.2">
      <c r="A37" s="533" t="s">
        <v>500</v>
      </c>
      <c r="B37" s="1244" t="s">
        <v>1149</v>
      </c>
      <c r="C37" s="1244"/>
      <c r="D37" s="1244"/>
      <c r="E37" s="1244"/>
      <c r="F37" s="1244"/>
      <c r="G37" s="1244"/>
      <c r="H37" s="1244"/>
      <c r="I37" s="1244"/>
      <c r="J37" s="1244"/>
      <c r="K37" s="1244"/>
      <c r="L37" s="1244"/>
      <c r="M37" s="1244"/>
      <c r="N37" s="1244"/>
      <c r="O37" s="1244"/>
      <c r="P37" s="1244"/>
      <c r="Q37" s="1008"/>
      <c r="R37" s="1009"/>
      <c r="S37" s="900"/>
      <c r="T37" s="900"/>
      <c r="U37" s="900"/>
      <c r="V37" s="763"/>
      <c r="W37" s="763"/>
      <c r="X37" s="763"/>
      <c r="Y37" s="763"/>
      <c r="Z37" s="763"/>
      <c r="AA37" s="763"/>
      <c r="AB37" s="763"/>
      <c r="AC37" s="763"/>
      <c r="AD37" s="763"/>
      <c r="AE37" s="763"/>
      <c r="AF37" s="763"/>
      <c r="AG37" s="763"/>
      <c r="AH37" s="763"/>
      <c r="AI37" s="763"/>
      <c r="AJ37" s="763"/>
      <c r="AK37" s="763"/>
      <c r="AL37" s="763"/>
      <c r="AM37" s="763"/>
      <c r="AN37" s="763"/>
      <c r="AO37" s="763"/>
      <c r="AP37" s="763"/>
      <c r="AQ37" s="763"/>
      <c r="AR37" s="763"/>
      <c r="AS37" s="763"/>
      <c r="AT37" s="763"/>
      <c r="AU37" s="763"/>
      <c r="AV37" s="763"/>
      <c r="AW37" s="763"/>
      <c r="AX37" s="763"/>
      <c r="AY37" s="763"/>
      <c r="AZ37" s="763"/>
      <c r="BA37" s="763"/>
      <c r="BB37" s="763"/>
      <c r="BC37" s="763"/>
      <c r="BD37" s="763"/>
      <c r="BE37" s="763"/>
      <c r="BF37" s="763"/>
      <c r="BG37" s="763"/>
      <c r="BH37" s="763"/>
      <c r="BI37" s="763"/>
      <c r="BJ37" s="763"/>
      <c r="BK37" s="763"/>
      <c r="BL37" s="763"/>
      <c r="BM37" s="763"/>
      <c r="BN37" s="763"/>
      <c r="BO37" s="763"/>
      <c r="BP37" s="763"/>
      <c r="BQ37" s="763"/>
    </row>
    <row r="38" spans="1:69" s="899" customFormat="1" ht="24" customHeight="1" x14ac:dyDescent="0.2">
      <c r="A38" s="533" t="s">
        <v>227</v>
      </c>
      <c r="B38" s="1244" t="s">
        <v>241</v>
      </c>
      <c r="C38" s="1244"/>
      <c r="D38" s="1244"/>
      <c r="E38" s="1244"/>
      <c r="F38" s="1244"/>
      <c r="G38" s="1244"/>
      <c r="H38" s="1244"/>
      <c r="I38" s="1244"/>
      <c r="J38" s="1244"/>
      <c r="K38" s="1244"/>
      <c r="L38" s="1244"/>
      <c r="M38" s="1244"/>
      <c r="N38" s="1244"/>
      <c r="O38" s="1244"/>
      <c r="P38" s="1244"/>
      <c r="Q38" s="1010"/>
      <c r="R38" s="1007"/>
      <c r="S38" s="900"/>
      <c r="T38" s="900"/>
      <c r="U38" s="900"/>
      <c r="V38" s="763"/>
      <c r="W38" s="763"/>
      <c r="X38" s="763"/>
      <c r="Y38" s="763"/>
      <c r="Z38" s="763"/>
      <c r="AA38" s="763"/>
      <c r="AB38" s="763"/>
      <c r="AC38" s="763"/>
      <c r="AD38" s="763"/>
      <c r="AE38" s="763"/>
      <c r="AF38" s="763"/>
      <c r="AG38" s="763"/>
      <c r="AH38" s="763"/>
      <c r="AI38" s="763"/>
      <c r="AJ38" s="763"/>
      <c r="AK38" s="763"/>
      <c r="AL38" s="763"/>
      <c r="AM38" s="763"/>
      <c r="AN38" s="763"/>
      <c r="AO38" s="763"/>
      <c r="AP38" s="763"/>
      <c r="AQ38" s="763"/>
      <c r="AR38" s="763"/>
      <c r="AS38" s="763"/>
      <c r="AT38" s="763"/>
      <c r="AU38" s="763"/>
      <c r="AV38" s="763"/>
      <c r="AW38" s="763"/>
      <c r="AX38" s="763"/>
      <c r="AY38" s="763"/>
      <c r="AZ38" s="763"/>
      <c r="BA38" s="763"/>
      <c r="BB38" s="763"/>
      <c r="BC38" s="763"/>
      <c r="BD38" s="763"/>
      <c r="BE38" s="763"/>
      <c r="BF38" s="763"/>
      <c r="BG38" s="763"/>
      <c r="BH38" s="763"/>
      <c r="BI38" s="763"/>
      <c r="BJ38" s="763"/>
      <c r="BK38" s="763"/>
      <c r="BL38" s="763"/>
      <c r="BM38" s="763"/>
      <c r="BN38" s="763"/>
      <c r="BO38" s="763"/>
      <c r="BP38" s="763"/>
      <c r="BQ38" s="763"/>
    </row>
    <row r="39" spans="1:69" s="899" customFormat="1" ht="12" customHeight="1" x14ac:dyDescent="0.2">
      <c r="A39" s="533" t="s">
        <v>225</v>
      </c>
      <c r="B39" s="1243" t="s">
        <v>1150</v>
      </c>
      <c r="C39" s="1243"/>
      <c r="D39" s="1243"/>
      <c r="E39" s="1243"/>
      <c r="F39" s="1243"/>
      <c r="G39" s="1243"/>
      <c r="H39" s="1243"/>
      <c r="I39" s="1243"/>
      <c r="J39" s="1243"/>
      <c r="K39" s="1243"/>
      <c r="L39" s="1243"/>
      <c r="M39" s="1243"/>
      <c r="N39" s="1243"/>
      <c r="O39" s="1243"/>
      <c r="P39" s="1243"/>
      <c r="Q39" s="763"/>
      <c r="R39" s="900"/>
      <c r="S39" s="900"/>
      <c r="T39" s="900"/>
      <c r="U39" s="900"/>
      <c r="V39" s="763"/>
      <c r="W39" s="763"/>
      <c r="X39" s="763"/>
      <c r="Y39" s="763"/>
      <c r="Z39" s="763"/>
      <c r="AA39" s="763"/>
      <c r="AB39" s="763"/>
      <c r="AC39" s="763"/>
      <c r="AD39" s="763"/>
      <c r="AE39" s="763"/>
      <c r="AF39" s="763"/>
      <c r="AG39" s="763"/>
      <c r="AH39" s="763"/>
      <c r="AI39" s="763"/>
      <c r="AJ39" s="763"/>
      <c r="AK39" s="763"/>
      <c r="AL39" s="763"/>
      <c r="AM39" s="763"/>
      <c r="AN39" s="763"/>
      <c r="AO39" s="763"/>
      <c r="AP39" s="763"/>
      <c r="AQ39" s="763"/>
      <c r="AR39" s="763"/>
      <c r="AS39" s="763"/>
      <c r="AT39" s="763"/>
      <c r="AU39" s="763"/>
      <c r="AV39" s="763"/>
      <c r="AW39" s="763"/>
      <c r="AX39" s="763"/>
      <c r="AY39" s="763"/>
      <c r="AZ39" s="763"/>
      <c r="BA39" s="763"/>
      <c r="BB39" s="763"/>
      <c r="BC39" s="763"/>
      <c r="BD39" s="763"/>
      <c r="BE39" s="763"/>
      <c r="BF39" s="763"/>
      <c r="BG39" s="763"/>
      <c r="BH39" s="763"/>
      <c r="BI39" s="763"/>
      <c r="BJ39" s="763"/>
      <c r="BK39" s="763"/>
      <c r="BL39" s="763"/>
      <c r="BM39" s="763"/>
      <c r="BN39" s="763"/>
      <c r="BO39" s="763"/>
      <c r="BP39" s="763"/>
      <c r="BQ39" s="763"/>
    </row>
    <row r="40" spans="1:69" s="899" customFormat="1" ht="24" customHeight="1" x14ac:dyDescent="0.2">
      <c r="A40" s="533" t="s">
        <v>231</v>
      </c>
      <c r="B40" s="1244" t="s">
        <v>1151</v>
      </c>
      <c r="C40" s="1244"/>
      <c r="D40" s="1244"/>
      <c r="E40" s="1244"/>
      <c r="F40" s="1244"/>
      <c r="G40" s="1244"/>
      <c r="H40" s="1244"/>
      <c r="I40" s="1244"/>
      <c r="J40" s="1244"/>
      <c r="K40" s="1244"/>
      <c r="L40" s="1244"/>
      <c r="M40" s="1244"/>
      <c r="N40" s="1244"/>
      <c r="O40" s="1244"/>
      <c r="P40" s="1244"/>
      <c r="Q40" s="763"/>
      <c r="R40" s="900"/>
      <c r="S40" s="900"/>
      <c r="T40" s="900"/>
      <c r="U40" s="900"/>
      <c r="V40" s="763"/>
      <c r="W40" s="763"/>
      <c r="X40" s="763"/>
      <c r="Y40" s="763"/>
      <c r="Z40" s="763"/>
      <c r="AA40" s="763"/>
      <c r="AB40" s="763"/>
      <c r="AC40" s="763"/>
      <c r="AD40" s="763"/>
      <c r="AE40" s="763"/>
      <c r="AF40" s="763"/>
      <c r="AG40" s="763"/>
      <c r="AH40" s="763"/>
      <c r="AI40" s="763"/>
      <c r="AJ40" s="763"/>
      <c r="AK40" s="763"/>
      <c r="AL40" s="763"/>
      <c r="AM40" s="763"/>
      <c r="AN40" s="763"/>
      <c r="AO40" s="763"/>
      <c r="AP40" s="763"/>
      <c r="AQ40" s="763"/>
      <c r="AR40" s="763"/>
      <c r="AS40" s="763"/>
      <c r="AT40" s="763"/>
      <c r="AU40" s="763"/>
      <c r="AV40" s="763"/>
      <c r="AW40" s="763"/>
      <c r="AX40" s="763"/>
      <c r="AY40" s="763"/>
      <c r="AZ40" s="763"/>
      <c r="BA40" s="763"/>
      <c r="BB40" s="763"/>
      <c r="BC40" s="763"/>
      <c r="BD40" s="763"/>
      <c r="BE40" s="763"/>
      <c r="BF40" s="763"/>
      <c r="BG40" s="763"/>
      <c r="BH40" s="763"/>
      <c r="BI40" s="763"/>
      <c r="BJ40" s="763"/>
      <c r="BK40" s="763"/>
      <c r="BL40" s="763"/>
      <c r="BM40" s="763"/>
      <c r="BN40" s="763"/>
      <c r="BO40" s="763"/>
      <c r="BP40" s="763"/>
      <c r="BQ40" s="763"/>
    </row>
    <row r="41" spans="1:69" s="899" customFormat="1" ht="11.25" x14ac:dyDescent="0.2">
      <c r="A41" s="533" t="s">
        <v>242</v>
      </c>
      <c r="B41" s="1243" t="s">
        <v>243</v>
      </c>
      <c r="C41" s="1243"/>
      <c r="D41" s="1243"/>
      <c r="E41" s="1243"/>
      <c r="F41" s="1243"/>
      <c r="G41" s="1243"/>
      <c r="H41" s="1243"/>
      <c r="I41" s="1243"/>
      <c r="J41" s="1243"/>
      <c r="K41" s="1243"/>
      <c r="L41" s="1243"/>
      <c r="M41" s="1243"/>
      <c r="N41" s="1243"/>
      <c r="O41" s="1243"/>
      <c r="P41" s="1243"/>
      <c r="Q41" s="763"/>
      <c r="R41" s="900"/>
      <c r="S41" s="900"/>
      <c r="T41" s="900"/>
      <c r="U41" s="900"/>
      <c r="V41" s="763"/>
      <c r="W41" s="763"/>
      <c r="X41" s="763"/>
      <c r="Y41" s="763"/>
      <c r="Z41" s="763"/>
      <c r="AA41" s="763"/>
      <c r="AB41" s="763"/>
      <c r="AC41" s="763"/>
      <c r="AD41" s="763"/>
      <c r="AE41" s="763"/>
      <c r="AF41" s="763"/>
      <c r="AG41" s="763"/>
      <c r="AH41" s="763"/>
      <c r="AI41" s="763"/>
      <c r="AJ41" s="763"/>
      <c r="AK41" s="763"/>
      <c r="AL41" s="763"/>
      <c r="AM41" s="763"/>
      <c r="AN41" s="763"/>
      <c r="AO41" s="763"/>
      <c r="AP41" s="763"/>
      <c r="AQ41" s="763"/>
      <c r="AR41" s="763"/>
      <c r="AS41" s="763"/>
      <c r="AT41" s="763"/>
      <c r="AU41" s="763"/>
      <c r="AV41" s="763"/>
      <c r="AW41" s="763"/>
      <c r="AX41" s="763"/>
      <c r="AY41" s="763"/>
      <c r="AZ41" s="763"/>
      <c r="BA41" s="763"/>
      <c r="BB41" s="763"/>
      <c r="BC41" s="763"/>
      <c r="BD41" s="763"/>
      <c r="BE41" s="763"/>
      <c r="BF41" s="763"/>
      <c r="BG41" s="763"/>
      <c r="BH41" s="763"/>
      <c r="BI41" s="763"/>
      <c r="BJ41" s="763"/>
      <c r="BK41" s="763"/>
      <c r="BL41" s="763"/>
      <c r="BM41" s="763"/>
      <c r="BN41" s="763"/>
      <c r="BO41" s="763"/>
      <c r="BP41" s="763"/>
      <c r="BQ41" s="763"/>
    </row>
    <row r="42" spans="1:69" s="889" customFormat="1" x14ac:dyDescent="0.2">
      <c r="B42" s="906"/>
      <c r="C42" s="906"/>
      <c r="D42" s="906"/>
      <c r="E42" s="906"/>
      <c r="F42" s="906"/>
      <c r="G42" s="906"/>
      <c r="H42" s="967"/>
      <c r="I42" s="968"/>
      <c r="O42" s="891"/>
      <c r="P42" s="891"/>
      <c r="Q42" s="891"/>
      <c r="R42" s="1000"/>
      <c r="S42" s="1000"/>
      <c r="T42" s="1000"/>
      <c r="U42" s="1000"/>
      <c r="V42" s="891"/>
      <c r="W42" s="891"/>
      <c r="X42" s="891"/>
      <c r="Y42" s="891"/>
      <c r="Z42" s="891"/>
      <c r="AA42" s="891"/>
      <c r="AB42" s="891"/>
      <c r="AC42" s="891"/>
      <c r="AD42" s="891"/>
      <c r="AE42" s="891"/>
      <c r="AF42" s="891"/>
      <c r="AG42" s="891"/>
      <c r="AH42" s="891"/>
      <c r="AI42" s="891"/>
      <c r="AJ42" s="891"/>
      <c r="AK42" s="891"/>
      <c r="AL42" s="891"/>
      <c r="AM42" s="891"/>
      <c r="AN42" s="891"/>
      <c r="AO42" s="891"/>
      <c r="AP42" s="891"/>
      <c r="AQ42" s="891"/>
      <c r="AR42" s="891"/>
      <c r="AS42" s="891"/>
      <c r="AT42" s="891"/>
      <c r="AU42" s="891"/>
      <c r="AV42" s="891"/>
      <c r="AW42" s="891"/>
      <c r="AX42" s="891"/>
      <c r="AY42" s="891"/>
      <c r="AZ42" s="891"/>
      <c r="BA42" s="891"/>
      <c r="BB42" s="891"/>
      <c r="BC42" s="891"/>
      <c r="BD42" s="891"/>
      <c r="BE42" s="891"/>
      <c r="BF42" s="891"/>
      <c r="BG42" s="891"/>
      <c r="BH42" s="891"/>
      <c r="BI42" s="891"/>
      <c r="BJ42" s="891"/>
      <c r="BK42" s="891"/>
      <c r="BL42" s="891"/>
      <c r="BM42" s="891"/>
      <c r="BN42" s="891"/>
      <c r="BO42" s="891"/>
      <c r="BP42" s="891"/>
      <c r="BQ42" s="891"/>
    </row>
    <row r="43" spans="1:69" s="899" customFormat="1" ht="11.25" x14ac:dyDescent="0.2">
      <c r="H43" s="969"/>
      <c r="I43" s="970"/>
      <c r="O43" s="763"/>
      <c r="P43" s="763"/>
      <c r="Q43" s="763"/>
      <c r="R43" s="900"/>
      <c r="S43" s="900"/>
      <c r="T43" s="900"/>
      <c r="U43" s="900"/>
      <c r="V43" s="763"/>
      <c r="W43" s="763"/>
      <c r="X43" s="763"/>
      <c r="Y43" s="763"/>
      <c r="Z43" s="763"/>
      <c r="AA43" s="763"/>
      <c r="AB43" s="763"/>
      <c r="AC43" s="763"/>
      <c r="AD43" s="763"/>
      <c r="AE43" s="763"/>
      <c r="AF43" s="763"/>
      <c r="AG43" s="763"/>
      <c r="AH43" s="763"/>
      <c r="AI43" s="763"/>
      <c r="AJ43" s="763"/>
      <c r="AK43" s="763"/>
      <c r="AL43" s="763"/>
      <c r="AM43" s="763"/>
      <c r="AN43" s="763"/>
      <c r="AO43" s="763"/>
      <c r="AP43" s="763"/>
      <c r="AQ43" s="763"/>
      <c r="AR43" s="763"/>
      <c r="AS43" s="763"/>
      <c r="AT43" s="763"/>
      <c r="AU43" s="763"/>
      <c r="AV43" s="763"/>
      <c r="AW43" s="763"/>
      <c r="AX43" s="763"/>
      <c r="AY43" s="763"/>
      <c r="AZ43" s="763"/>
      <c r="BA43" s="763"/>
      <c r="BB43" s="763"/>
      <c r="BC43" s="763"/>
      <c r="BD43" s="763"/>
      <c r="BE43" s="763"/>
      <c r="BF43" s="763"/>
      <c r="BG43" s="763"/>
      <c r="BH43" s="763"/>
      <c r="BI43" s="763"/>
      <c r="BJ43" s="763"/>
      <c r="BK43" s="763"/>
      <c r="BL43" s="763"/>
      <c r="BM43" s="763"/>
      <c r="BN43" s="763"/>
      <c r="BO43" s="763"/>
      <c r="BP43" s="763"/>
      <c r="BQ43" s="763"/>
    </row>
    <row r="44" spans="1:69" s="889" customFormat="1" x14ac:dyDescent="0.2">
      <c r="H44" s="907"/>
      <c r="I44" s="968"/>
      <c r="O44" s="891"/>
      <c r="P44" s="891"/>
      <c r="Q44" s="891"/>
      <c r="R44" s="1000"/>
      <c r="S44" s="1000"/>
      <c r="T44" s="1000"/>
      <c r="U44" s="1000"/>
      <c r="V44" s="891"/>
      <c r="W44" s="891"/>
      <c r="X44" s="891"/>
      <c r="Y44" s="891"/>
      <c r="Z44" s="891"/>
      <c r="AA44" s="891"/>
      <c r="AB44" s="891"/>
      <c r="AC44" s="891"/>
      <c r="AD44" s="891"/>
      <c r="AE44" s="891"/>
      <c r="AF44" s="891"/>
      <c r="AG44" s="891"/>
      <c r="AH44" s="891"/>
      <c r="AI44" s="891"/>
      <c r="AJ44" s="891"/>
      <c r="AK44" s="891"/>
      <c r="AL44" s="891"/>
      <c r="AM44" s="891"/>
      <c r="AN44" s="891"/>
      <c r="AO44" s="891"/>
      <c r="AP44" s="891"/>
      <c r="AQ44" s="891"/>
      <c r="AR44" s="891"/>
      <c r="AS44" s="891"/>
      <c r="AT44" s="891"/>
      <c r="AU44" s="891"/>
      <c r="AV44" s="891"/>
      <c r="AW44" s="891"/>
      <c r="AX44" s="891"/>
      <c r="AY44" s="891"/>
      <c r="AZ44" s="891"/>
      <c r="BA44" s="891"/>
      <c r="BB44" s="891"/>
      <c r="BC44" s="891"/>
      <c r="BD44" s="891"/>
      <c r="BE44" s="891"/>
      <c r="BF44" s="891"/>
      <c r="BG44" s="891"/>
      <c r="BH44" s="891"/>
      <c r="BI44" s="891"/>
      <c r="BJ44" s="891"/>
      <c r="BK44" s="891"/>
      <c r="BL44" s="891"/>
      <c r="BM44" s="891"/>
      <c r="BN44" s="891"/>
      <c r="BO44" s="891"/>
      <c r="BP44" s="891"/>
      <c r="BQ44" s="891"/>
    </row>
    <row r="45" spans="1:69" s="889" customFormat="1" x14ac:dyDescent="0.2">
      <c r="H45" s="907"/>
      <c r="I45" s="968"/>
      <c r="O45" s="891"/>
      <c r="P45" s="891"/>
      <c r="Q45" s="891"/>
      <c r="R45" s="1000"/>
      <c r="S45" s="1000"/>
      <c r="T45" s="1000"/>
      <c r="U45" s="1000"/>
      <c r="V45" s="891"/>
      <c r="W45" s="891"/>
      <c r="X45" s="891"/>
      <c r="Y45" s="891"/>
      <c r="Z45" s="891"/>
      <c r="AA45" s="891"/>
      <c r="AB45" s="891"/>
      <c r="AC45" s="891"/>
      <c r="AD45" s="891"/>
      <c r="AE45" s="891"/>
      <c r="AF45" s="891"/>
      <c r="AG45" s="891"/>
      <c r="AH45" s="891"/>
      <c r="AI45" s="891"/>
      <c r="AJ45" s="891"/>
      <c r="AK45" s="891"/>
      <c r="AL45" s="891"/>
      <c r="AM45" s="891"/>
      <c r="AN45" s="891"/>
      <c r="AO45" s="891"/>
      <c r="AP45" s="891"/>
      <c r="AQ45" s="891"/>
      <c r="AR45" s="891"/>
      <c r="AS45" s="891"/>
      <c r="AT45" s="891"/>
      <c r="AU45" s="891"/>
      <c r="AV45" s="891"/>
      <c r="AW45" s="891"/>
      <c r="AX45" s="891"/>
      <c r="AY45" s="891"/>
      <c r="AZ45" s="891"/>
      <c r="BA45" s="891"/>
      <c r="BB45" s="891"/>
      <c r="BC45" s="891"/>
      <c r="BD45" s="891"/>
      <c r="BE45" s="891"/>
      <c r="BF45" s="891"/>
      <c r="BG45" s="891"/>
      <c r="BH45" s="891"/>
      <c r="BI45" s="891"/>
      <c r="BJ45" s="891"/>
      <c r="BK45" s="891"/>
      <c r="BL45" s="891"/>
      <c r="BM45" s="891"/>
      <c r="BN45" s="891"/>
      <c r="BO45" s="891"/>
      <c r="BP45" s="891"/>
      <c r="BQ45" s="891"/>
    </row>
    <row r="46" spans="1:69" s="889" customFormat="1" hidden="1" x14ac:dyDescent="0.2">
      <c r="A46" s="889" t="s">
        <v>1016</v>
      </c>
      <c r="H46" s="907"/>
      <c r="I46" s="968"/>
      <c r="O46" s="891"/>
      <c r="P46" s="971"/>
      <c r="Q46" s="891"/>
      <c r="R46" s="1000"/>
      <c r="S46" s="1000"/>
      <c r="T46" s="1000"/>
      <c r="U46" s="1000"/>
      <c r="V46" s="891"/>
      <c r="W46" s="891"/>
      <c r="X46" s="891"/>
      <c r="Y46" s="891"/>
      <c r="Z46" s="891"/>
      <c r="AA46" s="891"/>
      <c r="AB46" s="891"/>
      <c r="AC46" s="891"/>
      <c r="AD46" s="891"/>
      <c r="AE46" s="891"/>
      <c r="AF46" s="891"/>
      <c r="AG46" s="891"/>
      <c r="AH46" s="891"/>
      <c r="AI46" s="891"/>
      <c r="AJ46" s="891"/>
      <c r="AK46" s="891"/>
      <c r="AL46" s="891"/>
      <c r="AM46" s="891"/>
      <c r="AN46" s="891"/>
      <c r="AO46" s="891"/>
      <c r="AP46" s="891"/>
      <c r="AQ46" s="891"/>
      <c r="AR46" s="891"/>
      <c r="AS46" s="891"/>
      <c r="AT46" s="891"/>
      <c r="AU46" s="891"/>
      <c r="AV46" s="891"/>
      <c r="AW46" s="891"/>
      <c r="AX46" s="891"/>
      <c r="AY46" s="891"/>
      <c r="AZ46" s="891"/>
      <c r="BA46" s="891"/>
      <c r="BB46" s="891"/>
      <c r="BC46" s="891"/>
      <c r="BD46" s="891"/>
      <c r="BE46" s="891"/>
      <c r="BF46" s="891"/>
      <c r="BG46" s="891"/>
      <c r="BH46" s="891"/>
      <c r="BI46" s="891"/>
      <c r="BJ46" s="891"/>
      <c r="BK46" s="891"/>
      <c r="BL46" s="891"/>
      <c r="BM46" s="891"/>
      <c r="BN46" s="891"/>
      <c r="BO46" s="891"/>
      <c r="BP46" s="891"/>
      <c r="BQ46" s="891"/>
    </row>
    <row r="47" spans="1:69" s="889" customFormat="1" hidden="1" x14ac:dyDescent="0.2">
      <c r="A47" s="889" t="s">
        <v>1017</v>
      </c>
      <c r="B47" s="972" t="s">
        <v>840</v>
      </c>
      <c r="C47" s="973"/>
      <c r="D47" s="953"/>
      <c r="E47" s="953"/>
      <c r="F47" s="953"/>
      <c r="G47" s="974"/>
      <c r="H47" s="975"/>
      <c r="I47" s="976"/>
      <c r="J47" s="943"/>
      <c r="K47" s="943"/>
      <c r="L47" s="943"/>
      <c r="M47" s="943"/>
      <c r="N47" s="977">
        <f>SUM(N48:N49)</f>
        <v>0</v>
      </c>
      <c r="O47" s="978"/>
      <c r="P47" s="920">
        <f>N47</f>
        <v>0</v>
      </c>
      <c r="Q47" s="891"/>
      <c r="R47" s="1000"/>
      <c r="S47" s="1000"/>
      <c r="T47" s="1000"/>
      <c r="U47" s="1000"/>
      <c r="V47" s="891"/>
      <c r="W47" s="891"/>
      <c r="X47" s="891"/>
      <c r="Y47" s="891"/>
      <c r="Z47" s="891"/>
      <c r="AA47" s="891"/>
      <c r="AB47" s="891"/>
      <c r="AC47" s="891"/>
      <c r="AD47" s="891"/>
      <c r="AE47" s="891"/>
      <c r="AF47" s="891"/>
      <c r="AG47" s="891"/>
      <c r="AH47" s="891"/>
      <c r="AI47" s="891"/>
      <c r="AJ47" s="891"/>
      <c r="AK47" s="891"/>
      <c r="AL47" s="891"/>
      <c r="AM47" s="891"/>
      <c r="AN47" s="891"/>
      <c r="AO47" s="891"/>
      <c r="AP47" s="891"/>
      <c r="AQ47" s="891"/>
      <c r="AR47" s="891"/>
      <c r="AS47" s="891"/>
      <c r="AT47" s="891"/>
      <c r="AU47" s="891"/>
      <c r="AV47" s="891"/>
      <c r="AW47" s="891"/>
      <c r="AX47" s="891"/>
      <c r="AY47" s="891"/>
      <c r="AZ47" s="891"/>
      <c r="BA47" s="891"/>
      <c r="BB47" s="891"/>
      <c r="BC47" s="891"/>
      <c r="BD47" s="891"/>
      <c r="BE47" s="891"/>
      <c r="BF47" s="891"/>
      <c r="BG47" s="891"/>
      <c r="BH47" s="891"/>
      <c r="BI47" s="891"/>
      <c r="BJ47" s="891"/>
      <c r="BK47" s="891"/>
      <c r="BL47" s="891"/>
      <c r="BM47" s="891"/>
      <c r="BN47" s="891"/>
      <c r="BO47" s="891"/>
      <c r="BP47" s="891"/>
      <c r="BQ47" s="891"/>
    </row>
    <row r="48" spans="1:69" s="889" customFormat="1" hidden="1" x14ac:dyDescent="0.2">
      <c r="A48" s="889" t="s">
        <v>1018</v>
      </c>
      <c r="B48" s="972"/>
      <c r="C48" s="979"/>
      <c r="D48" s="953"/>
      <c r="E48" s="953"/>
      <c r="F48" s="953"/>
      <c r="G48" s="974"/>
      <c r="H48" s="975"/>
      <c r="I48" s="980"/>
      <c r="J48" s="947"/>
      <c r="K48" s="947"/>
      <c r="L48" s="949"/>
      <c r="M48" s="949"/>
      <c r="N48" s="977">
        <f>L48*M48</f>
        <v>0</v>
      </c>
      <c r="O48" s="978"/>
      <c r="P48" s="981"/>
      <c r="Q48" s="891"/>
      <c r="R48" s="1000"/>
      <c r="S48" s="1000"/>
      <c r="T48" s="1000"/>
      <c r="U48" s="1000"/>
      <c r="V48" s="891"/>
      <c r="W48" s="891"/>
      <c r="X48" s="891"/>
      <c r="Y48" s="891"/>
      <c r="Z48" s="891"/>
      <c r="AA48" s="891"/>
      <c r="AB48" s="891"/>
      <c r="AC48" s="891"/>
      <c r="AD48" s="891"/>
      <c r="AE48" s="891"/>
      <c r="AF48" s="891"/>
      <c r="AG48" s="891"/>
      <c r="AH48" s="891"/>
      <c r="AI48" s="891"/>
      <c r="AJ48" s="891"/>
      <c r="AK48" s="891"/>
      <c r="AL48" s="891"/>
      <c r="AM48" s="891"/>
      <c r="AN48" s="891"/>
      <c r="AO48" s="891"/>
      <c r="AP48" s="891"/>
      <c r="AQ48" s="891"/>
      <c r="AR48" s="891"/>
      <c r="AS48" s="891"/>
      <c r="AT48" s="891"/>
      <c r="AU48" s="891"/>
      <c r="AV48" s="891"/>
      <c r="AW48" s="891"/>
      <c r="AX48" s="891"/>
      <c r="AY48" s="891"/>
      <c r="AZ48" s="891"/>
      <c r="BA48" s="891"/>
      <c r="BB48" s="891"/>
      <c r="BC48" s="891"/>
      <c r="BD48" s="891"/>
      <c r="BE48" s="891"/>
      <c r="BF48" s="891"/>
      <c r="BG48" s="891"/>
      <c r="BH48" s="891"/>
      <c r="BI48" s="891"/>
      <c r="BJ48" s="891"/>
      <c r="BK48" s="891"/>
      <c r="BL48" s="891"/>
      <c r="BM48" s="891"/>
      <c r="BN48" s="891"/>
      <c r="BO48" s="891"/>
      <c r="BP48" s="891"/>
      <c r="BQ48" s="891"/>
    </row>
    <row r="49" spans="1:69" s="982" customFormat="1" hidden="1" x14ac:dyDescent="0.2">
      <c r="A49" s="982" t="s">
        <v>1019</v>
      </c>
      <c r="B49" s="983"/>
      <c r="C49" s="984"/>
      <c r="D49" s="985"/>
      <c r="E49" s="985"/>
      <c r="F49" s="985"/>
      <c r="G49" s="986"/>
      <c r="H49" s="987" t="s">
        <v>842</v>
      </c>
      <c r="I49" s="988"/>
      <c r="J49" s="989"/>
      <c r="K49" s="989"/>
      <c r="L49" s="989"/>
      <c r="M49" s="989"/>
      <c r="N49" s="977"/>
      <c r="O49" s="990"/>
      <c r="P49" s="920"/>
      <c r="Q49" s="971"/>
      <c r="R49" s="1011"/>
      <c r="S49" s="1011"/>
      <c r="T49" s="1011"/>
      <c r="U49" s="1011"/>
      <c r="V49" s="971"/>
      <c r="W49" s="971"/>
      <c r="X49" s="971"/>
      <c r="Y49" s="971"/>
      <c r="Z49" s="971"/>
      <c r="AA49" s="971"/>
      <c r="AB49" s="971"/>
      <c r="AC49" s="971"/>
      <c r="AD49" s="971"/>
      <c r="AE49" s="971"/>
      <c r="AF49" s="971"/>
      <c r="AG49" s="971"/>
      <c r="AH49" s="971"/>
      <c r="AI49" s="971"/>
      <c r="AJ49" s="971"/>
      <c r="AK49" s="971"/>
      <c r="AL49" s="971"/>
      <c r="AM49" s="971"/>
      <c r="AN49" s="971"/>
      <c r="AO49" s="971"/>
      <c r="AP49" s="971"/>
      <c r="AQ49" s="971"/>
      <c r="AR49" s="971"/>
      <c r="AS49" s="971"/>
      <c r="AT49" s="971"/>
      <c r="AU49" s="971"/>
      <c r="AV49" s="971"/>
      <c r="AW49" s="971"/>
      <c r="AX49" s="971"/>
      <c r="AY49" s="971"/>
      <c r="AZ49" s="971"/>
      <c r="BA49" s="971"/>
      <c r="BB49" s="971"/>
      <c r="BC49" s="971"/>
      <c r="BD49" s="971"/>
      <c r="BE49" s="971"/>
      <c r="BF49" s="971"/>
      <c r="BG49" s="971"/>
      <c r="BH49" s="971"/>
      <c r="BI49" s="971"/>
      <c r="BJ49" s="971"/>
      <c r="BK49" s="971"/>
      <c r="BL49" s="971"/>
      <c r="BM49" s="971"/>
      <c r="BN49" s="971"/>
      <c r="BO49" s="971"/>
      <c r="BP49" s="971"/>
      <c r="BQ49" s="971"/>
    </row>
    <row r="50" spans="1:69" s="889" customFormat="1" hidden="1" x14ac:dyDescent="0.2">
      <c r="H50" s="907"/>
      <c r="I50" s="968"/>
      <c r="O50" s="891"/>
      <c r="P50" s="891"/>
      <c r="Q50" s="891"/>
      <c r="R50" s="1000"/>
      <c r="S50" s="1000"/>
      <c r="T50" s="1000"/>
      <c r="U50" s="1000"/>
      <c r="V50" s="891"/>
      <c r="W50" s="891"/>
      <c r="X50" s="891"/>
      <c r="Y50" s="891"/>
      <c r="Z50" s="891"/>
      <c r="AA50" s="891"/>
      <c r="AB50" s="891"/>
      <c r="AC50" s="891"/>
      <c r="AD50" s="891"/>
      <c r="AE50" s="891"/>
      <c r="AF50" s="891"/>
      <c r="AG50" s="891"/>
      <c r="AH50" s="891"/>
      <c r="AI50" s="891"/>
      <c r="AJ50" s="891"/>
      <c r="AK50" s="891"/>
      <c r="AL50" s="891"/>
      <c r="AM50" s="891"/>
      <c r="AN50" s="891"/>
      <c r="AO50" s="891"/>
      <c r="AP50" s="891"/>
      <c r="AQ50" s="891"/>
      <c r="AR50" s="891"/>
      <c r="AS50" s="891"/>
      <c r="AT50" s="891"/>
      <c r="AU50" s="891"/>
      <c r="AV50" s="891"/>
      <c r="AW50" s="891"/>
      <c r="AX50" s="891"/>
      <c r="AY50" s="891"/>
      <c r="AZ50" s="891"/>
      <c r="BA50" s="891"/>
      <c r="BB50" s="891"/>
      <c r="BC50" s="891"/>
      <c r="BD50" s="891"/>
      <c r="BE50" s="891"/>
      <c r="BF50" s="891"/>
      <c r="BG50" s="891"/>
      <c r="BH50" s="891"/>
      <c r="BI50" s="891"/>
      <c r="BJ50" s="891"/>
      <c r="BK50" s="891"/>
      <c r="BL50" s="891"/>
      <c r="BM50" s="891"/>
      <c r="BN50" s="891"/>
      <c r="BO50" s="891"/>
      <c r="BP50" s="891"/>
      <c r="BQ50" s="891"/>
    </row>
    <row r="51" spans="1:69" s="889" customFormat="1" hidden="1" x14ac:dyDescent="0.2">
      <c r="A51" s="889" t="s">
        <v>1020</v>
      </c>
      <c r="H51" s="907"/>
      <c r="I51" s="968"/>
      <c r="O51" s="891"/>
      <c r="P51" s="891"/>
      <c r="Q51" s="891"/>
      <c r="R51" s="1000"/>
      <c r="S51" s="1000"/>
      <c r="T51" s="1000"/>
      <c r="U51" s="1000"/>
      <c r="V51" s="891"/>
      <c r="W51" s="891"/>
      <c r="X51" s="891"/>
      <c r="Y51" s="891"/>
      <c r="Z51" s="891"/>
      <c r="AA51" s="891"/>
      <c r="AB51" s="891"/>
      <c r="AC51" s="891"/>
      <c r="AD51" s="891"/>
      <c r="AE51" s="891"/>
      <c r="AF51" s="891"/>
      <c r="AG51" s="891"/>
      <c r="AH51" s="891"/>
      <c r="AI51" s="891"/>
      <c r="AJ51" s="891"/>
      <c r="AK51" s="891"/>
      <c r="AL51" s="891"/>
      <c r="AM51" s="891"/>
      <c r="AN51" s="891"/>
      <c r="AO51" s="891"/>
      <c r="AP51" s="891"/>
      <c r="AQ51" s="891"/>
      <c r="AR51" s="891"/>
      <c r="AS51" s="891"/>
      <c r="AT51" s="891"/>
      <c r="AU51" s="891"/>
      <c r="AV51" s="891"/>
      <c r="AW51" s="891"/>
      <c r="AX51" s="891"/>
      <c r="AY51" s="891"/>
      <c r="AZ51" s="891"/>
      <c r="BA51" s="891"/>
      <c r="BB51" s="891"/>
      <c r="BC51" s="891"/>
      <c r="BD51" s="891"/>
      <c r="BE51" s="891"/>
      <c r="BF51" s="891"/>
      <c r="BG51" s="891"/>
      <c r="BH51" s="891"/>
      <c r="BI51" s="891"/>
      <c r="BJ51" s="891"/>
      <c r="BK51" s="891"/>
      <c r="BL51" s="891"/>
      <c r="BM51" s="891"/>
      <c r="BN51" s="891"/>
      <c r="BO51" s="891"/>
      <c r="BP51" s="891"/>
      <c r="BQ51" s="891"/>
    </row>
    <row r="52" spans="1:69" s="889" customFormat="1" hidden="1" x14ac:dyDescent="0.2">
      <c r="A52" s="889" t="s">
        <v>1017</v>
      </c>
      <c r="B52" s="972" t="s">
        <v>840</v>
      </c>
      <c r="C52" s="973"/>
      <c r="D52" s="953"/>
      <c r="E52" s="953"/>
      <c r="F52" s="953"/>
      <c r="G52" s="974"/>
      <c r="H52" s="975"/>
      <c r="I52" s="976"/>
      <c r="J52" s="943"/>
      <c r="K52" s="943"/>
      <c r="L52" s="943"/>
      <c r="M52" s="943"/>
      <c r="N52" s="977">
        <f>SUM(N53:N54)</f>
        <v>0</v>
      </c>
      <c r="O52" s="978"/>
      <c r="P52" s="920">
        <f>N52</f>
        <v>0</v>
      </c>
      <c r="Q52" s="891"/>
      <c r="R52" s="1000"/>
      <c r="S52" s="1000"/>
      <c r="T52" s="1000"/>
      <c r="U52" s="1000"/>
      <c r="V52" s="891"/>
      <c r="W52" s="891"/>
      <c r="X52" s="891"/>
      <c r="Y52" s="891"/>
      <c r="Z52" s="891"/>
      <c r="AA52" s="891"/>
      <c r="AB52" s="891"/>
      <c r="AC52" s="891"/>
      <c r="AD52" s="891"/>
      <c r="AE52" s="891"/>
      <c r="AF52" s="891"/>
      <c r="AG52" s="891"/>
      <c r="AH52" s="891"/>
      <c r="AI52" s="891"/>
      <c r="AJ52" s="891"/>
      <c r="AK52" s="891"/>
      <c r="AL52" s="891"/>
      <c r="AM52" s="891"/>
      <c r="AN52" s="891"/>
      <c r="AO52" s="891"/>
      <c r="AP52" s="891"/>
      <c r="AQ52" s="891"/>
      <c r="AR52" s="891"/>
      <c r="AS52" s="891"/>
      <c r="AT52" s="891"/>
      <c r="AU52" s="891"/>
      <c r="AV52" s="891"/>
      <c r="AW52" s="891"/>
      <c r="AX52" s="891"/>
      <c r="AY52" s="891"/>
      <c r="AZ52" s="891"/>
      <c r="BA52" s="891"/>
      <c r="BB52" s="891"/>
      <c r="BC52" s="891"/>
      <c r="BD52" s="891"/>
      <c r="BE52" s="891"/>
      <c r="BF52" s="891"/>
      <c r="BG52" s="891"/>
      <c r="BH52" s="891"/>
      <c r="BI52" s="891"/>
      <c r="BJ52" s="891"/>
      <c r="BK52" s="891"/>
      <c r="BL52" s="891"/>
      <c r="BM52" s="891"/>
      <c r="BN52" s="891"/>
      <c r="BO52" s="891"/>
      <c r="BP52" s="891"/>
      <c r="BQ52" s="891"/>
    </row>
    <row r="53" spans="1:69" s="889" customFormat="1" hidden="1" x14ac:dyDescent="0.2">
      <c r="A53" s="889" t="s">
        <v>1018</v>
      </c>
      <c r="B53" s="972"/>
      <c r="C53" s="979"/>
      <c r="D53" s="991"/>
      <c r="E53" s="991"/>
      <c r="F53" s="991"/>
      <c r="G53" s="974"/>
      <c r="H53" s="992"/>
      <c r="I53" s="980"/>
      <c r="J53" s="947"/>
      <c r="K53" s="947"/>
      <c r="L53" s="949"/>
      <c r="M53" s="949"/>
      <c r="N53" s="977">
        <f>L53*M53</f>
        <v>0</v>
      </c>
      <c r="O53" s="978"/>
      <c r="P53" s="952"/>
      <c r="Q53" s="891"/>
      <c r="R53" s="1000"/>
      <c r="S53" s="1000"/>
      <c r="T53" s="1000"/>
      <c r="U53" s="1000"/>
      <c r="V53" s="891"/>
      <c r="W53" s="891"/>
      <c r="X53" s="891"/>
      <c r="Y53" s="891"/>
      <c r="Z53" s="891"/>
      <c r="AA53" s="891"/>
      <c r="AB53" s="891"/>
      <c r="AC53" s="891"/>
      <c r="AD53" s="891"/>
      <c r="AE53" s="891"/>
      <c r="AF53" s="891"/>
      <c r="AG53" s="891"/>
      <c r="AH53" s="891"/>
      <c r="AI53" s="891"/>
      <c r="AJ53" s="891"/>
      <c r="AK53" s="891"/>
      <c r="AL53" s="891"/>
      <c r="AM53" s="891"/>
      <c r="AN53" s="891"/>
      <c r="AO53" s="891"/>
      <c r="AP53" s="891"/>
      <c r="AQ53" s="891"/>
      <c r="AR53" s="891"/>
      <c r="AS53" s="891"/>
      <c r="AT53" s="891"/>
      <c r="AU53" s="891"/>
      <c r="AV53" s="891"/>
      <c r="AW53" s="891"/>
      <c r="AX53" s="891"/>
      <c r="AY53" s="891"/>
      <c r="AZ53" s="891"/>
      <c r="BA53" s="891"/>
      <c r="BB53" s="891"/>
      <c r="BC53" s="891"/>
      <c r="BD53" s="891"/>
      <c r="BE53" s="891"/>
      <c r="BF53" s="891"/>
      <c r="BG53" s="891"/>
      <c r="BH53" s="891"/>
      <c r="BI53" s="891"/>
      <c r="BJ53" s="891"/>
      <c r="BK53" s="891"/>
      <c r="BL53" s="891"/>
      <c r="BM53" s="891"/>
      <c r="BN53" s="891"/>
      <c r="BO53" s="891"/>
      <c r="BP53" s="891"/>
      <c r="BQ53" s="891"/>
    </row>
    <row r="54" spans="1:69" s="982" customFormat="1" hidden="1" x14ac:dyDescent="0.2">
      <c r="A54" s="982" t="s">
        <v>1019</v>
      </c>
      <c r="B54" s="983"/>
      <c r="C54" s="984"/>
      <c r="D54" s="993"/>
      <c r="E54" s="993"/>
      <c r="F54" s="993"/>
      <c r="G54" s="986"/>
      <c r="H54" s="994" t="s">
        <v>842</v>
      </c>
      <c r="I54" s="988"/>
      <c r="J54" s="989"/>
      <c r="K54" s="989"/>
      <c r="L54" s="989"/>
      <c r="M54" s="989"/>
      <c r="N54" s="977"/>
      <c r="O54" s="990"/>
      <c r="P54" s="920"/>
      <c r="Q54" s="971"/>
      <c r="R54" s="1011"/>
      <c r="S54" s="1011"/>
      <c r="T54" s="1011"/>
      <c r="U54" s="1011"/>
      <c r="V54" s="971"/>
      <c r="W54" s="971"/>
      <c r="X54" s="971"/>
      <c r="Y54" s="971"/>
      <c r="Z54" s="971"/>
      <c r="AA54" s="971"/>
      <c r="AB54" s="971"/>
      <c r="AC54" s="971"/>
      <c r="AD54" s="971"/>
      <c r="AE54" s="971"/>
      <c r="AF54" s="971"/>
      <c r="AG54" s="971"/>
      <c r="AH54" s="971"/>
      <c r="AI54" s="971"/>
      <c r="AJ54" s="971"/>
      <c r="AK54" s="971"/>
      <c r="AL54" s="971"/>
      <c r="AM54" s="971"/>
      <c r="AN54" s="971"/>
      <c r="AO54" s="971"/>
      <c r="AP54" s="971"/>
      <c r="AQ54" s="971"/>
      <c r="AR54" s="971"/>
      <c r="AS54" s="971"/>
      <c r="AT54" s="971"/>
      <c r="AU54" s="971"/>
      <c r="AV54" s="971"/>
      <c r="AW54" s="971"/>
      <c r="AX54" s="971"/>
      <c r="AY54" s="971"/>
      <c r="AZ54" s="971"/>
      <c r="BA54" s="971"/>
      <c r="BB54" s="971"/>
      <c r="BC54" s="971"/>
      <c r="BD54" s="971"/>
      <c r="BE54" s="971"/>
      <c r="BF54" s="971"/>
      <c r="BG54" s="971"/>
      <c r="BH54" s="971"/>
      <c r="BI54" s="971"/>
      <c r="BJ54" s="971"/>
      <c r="BK54" s="971"/>
      <c r="BL54" s="971"/>
      <c r="BM54" s="971"/>
      <c r="BN54" s="971"/>
      <c r="BO54" s="971"/>
      <c r="BP54" s="971"/>
      <c r="BQ54" s="971"/>
    </row>
    <row r="55" spans="1:69" s="889" customFormat="1" hidden="1" x14ac:dyDescent="0.2">
      <c r="H55" s="907"/>
      <c r="I55" s="968"/>
      <c r="O55" s="891"/>
      <c r="P55" s="891"/>
      <c r="Q55" s="891"/>
      <c r="R55" s="1000"/>
      <c r="S55" s="1000"/>
      <c r="T55" s="1000"/>
      <c r="U55" s="1000"/>
      <c r="V55" s="891"/>
      <c r="W55" s="891"/>
      <c r="X55" s="891"/>
      <c r="Y55" s="891"/>
      <c r="Z55" s="891"/>
      <c r="AA55" s="891"/>
      <c r="AB55" s="891"/>
      <c r="AC55" s="891"/>
      <c r="AD55" s="891"/>
      <c r="AE55" s="891"/>
      <c r="AF55" s="891"/>
      <c r="AG55" s="891"/>
      <c r="AH55" s="891"/>
      <c r="AI55" s="891"/>
      <c r="AJ55" s="891"/>
      <c r="AK55" s="891"/>
      <c r="AL55" s="891"/>
      <c r="AM55" s="891"/>
      <c r="AN55" s="891"/>
      <c r="AO55" s="891"/>
      <c r="AP55" s="891"/>
      <c r="AQ55" s="891"/>
      <c r="AR55" s="891"/>
      <c r="AS55" s="891"/>
      <c r="AT55" s="891"/>
      <c r="AU55" s="891"/>
      <c r="AV55" s="891"/>
      <c r="AW55" s="891"/>
      <c r="AX55" s="891"/>
      <c r="AY55" s="891"/>
      <c r="AZ55" s="891"/>
      <c r="BA55" s="891"/>
      <c r="BB55" s="891"/>
      <c r="BC55" s="891"/>
      <c r="BD55" s="891"/>
      <c r="BE55" s="891"/>
      <c r="BF55" s="891"/>
      <c r="BG55" s="891"/>
      <c r="BH55" s="891"/>
      <c r="BI55" s="891"/>
      <c r="BJ55" s="891"/>
      <c r="BK55" s="891"/>
      <c r="BL55" s="891"/>
      <c r="BM55" s="891"/>
      <c r="BN55" s="891"/>
      <c r="BO55" s="891"/>
      <c r="BP55" s="891"/>
      <c r="BQ55" s="891"/>
    </row>
    <row r="56" spans="1:69" s="889" customFormat="1" hidden="1" x14ac:dyDescent="0.2">
      <c r="A56" s="889" t="s">
        <v>1021</v>
      </c>
      <c r="H56" s="907"/>
      <c r="I56" s="968"/>
      <c r="O56" s="891"/>
      <c r="P56" s="891"/>
      <c r="Q56" s="891"/>
      <c r="R56" s="1000"/>
      <c r="S56" s="1000"/>
      <c r="T56" s="1000"/>
      <c r="U56" s="1000"/>
      <c r="V56" s="891"/>
      <c r="W56" s="891"/>
      <c r="X56" s="891"/>
      <c r="Y56" s="891"/>
      <c r="Z56" s="891"/>
      <c r="AA56" s="891"/>
      <c r="AB56" s="891"/>
      <c r="AC56" s="891"/>
      <c r="AD56" s="891"/>
      <c r="AE56" s="891"/>
      <c r="AF56" s="891"/>
      <c r="AG56" s="891"/>
      <c r="AH56" s="891"/>
      <c r="AI56" s="891"/>
      <c r="AJ56" s="891"/>
      <c r="AK56" s="891"/>
      <c r="AL56" s="891"/>
      <c r="AM56" s="891"/>
      <c r="AN56" s="891"/>
      <c r="AO56" s="891"/>
      <c r="AP56" s="891"/>
      <c r="AQ56" s="891"/>
      <c r="AR56" s="891"/>
      <c r="AS56" s="891"/>
      <c r="AT56" s="891"/>
      <c r="AU56" s="891"/>
      <c r="AV56" s="891"/>
      <c r="AW56" s="891"/>
      <c r="AX56" s="891"/>
      <c r="AY56" s="891"/>
      <c r="AZ56" s="891"/>
      <c r="BA56" s="891"/>
      <c r="BB56" s="891"/>
      <c r="BC56" s="891"/>
      <c r="BD56" s="891"/>
      <c r="BE56" s="891"/>
      <c r="BF56" s="891"/>
      <c r="BG56" s="891"/>
      <c r="BH56" s="891"/>
      <c r="BI56" s="891"/>
      <c r="BJ56" s="891"/>
      <c r="BK56" s="891"/>
      <c r="BL56" s="891"/>
      <c r="BM56" s="891"/>
      <c r="BN56" s="891"/>
      <c r="BO56" s="891"/>
      <c r="BP56" s="891"/>
      <c r="BQ56" s="891"/>
    </row>
    <row r="57" spans="1:69" s="889" customFormat="1" hidden="1" x14ac:dyDescent="0.2">
      <c r="A57" s="889" t="s">
        <v>1017</v>
      </c>
      <c r="B57" s="972" t="s">
        <v>840</v>
      </c>
      <c r="C57" s="973"/>
      <c r="D57" s="953"/>
      <c r="E57" s="953"/>
      <c r="F57" s="953"/>
      <c r="G57" s="974"/>
      <c r="H57" s="939"/>
      <c r="I57" s="976"/>
      <c r="J57" s="943"/>
      <c r="K57" s="943"/>
      <c r="L57" s="943"/>
      <c r="M57" s="943"/>
      <c r="N57" s="978"/>
      <c r="O57" s="918">
        <f>SUM(O58:O59)</f>
        <v>0</v>
      </c>
      <c r="P57" s="920">
        <f>O57</f>
        <v>0</v>
      </c>
      <c r="Q57" s="891"/>
      <c r="R57" s="1000"/>
      <c r="S57" s="1000"/>
      <c r="T57" s="1000"/>
      <c r="U57" s="1000"/>
      <c r="V57" s="891"/>
      <c r="W57" s="891"/>
      <c r="X57" s="891"/>
      <c r="Y57" s="891"/>
      <c r="Z57" s="891"/>
      <c r="AA57" s="891"/>
      <c r="AB57" s="891"/>
      <c r="AC57" s="891"/>
      <c r="AD57" s="891"/>
      <c r="AE57" s="891"/>
      <c r="AF57" s="891"/>
      <c r="AG57" s="891"/>
      <c r="AH57" s="891"/>
      <c r="AI57" s="891"/>
      <c r="AJ57" s="891"/>
      <c r="AK57" s="891"/>
      <c r="AL57" s="891"/>
      <c r="AM57" s="891"/>
      <c r="AN57" s="891"/>
      <c r="AO57" s="891"/>
      <c r="AP57" s="891"/>
      <c r="AQ57" s="891"/>
      <c r="AR57" s="891"/>
      <c r="AS57" s="891"/>
      <c r="AT57" s="891"/>
      <c r="AU57" s="891"/>
      <c r="AV57" s="891"/>
      <c r="AW57" s="891"/>
      <c r="AX57" s="891"/>
      <c r="AY57" s="891"/>
      <c r="AZ57" s="891"/>
      <c r="BA57" s="891"/>
      <c r="BB57" s="891"/>
      <c r="BC57" s="891"/>
      <c r="BD57" s="891"/>
      <c r="BE57" s="891"/>
      <c r="BF57" s="891"/>
      <c r="BG57" s="891"/>
      <c r="BH57" s="891"/>
      <c r="BI57" s="891"/>
      <c r="BJ57" s="891"/>
      <c r="BK57" s="891"/>
      <c r="BL57" s="891"/>
      <c r="BM57" s="891"/>
      <c r="BN57" s="891"/>
      <c r="BO57" s="891"/>
      <c r="BP57" s="891"/>
      <c r="BQ57" s="891"/>
    </row>
    <row r="58" spans="1:69" s="889" customFormat="1" hidden="1" x14ac:dyDescent="0.2">
      <c r="A58" s="889" t="s">
        <v>1018</v>
      </c>
      <c r="B58" s="972"/>
      <c r="C58" s="979"/>
      <c r="D58" s="953"/>
      <c r="E58" s="953"/>
      <c r="F58" s="953"/>
      <c r="G58" s="974"/>
      <c r="H58" s="939"/>
      <c r="I58" s="980"/>
      <c r="J58" s="947"/>
      <c r="K58" s="995"/>
      <c r="L58" s="949"/>
      <c r="M58" s="949"/>
      <c r="N58" s="978"/>
      <c r="O58" s="918">
        <f>L58*M58</f>
        <v>0</v>
      </c>
      <c r="P58" s="952"/>
      <c r="Q58" s="891"/>
      <c r="R58" s="1000"/>
      <c r="S58" s="1000"/>
      <c r="T58" s="1000"/>
      <c r="U58" s="1000"/>
      <c r="V58" s="891"/>
      <c r="W58" s="891"/>
      <c r="X58" s="891"/>
      <c r="Y58" s="891"/>
      <c r="Z58" s="891"/>
      <c r="AA58" s="891"/>
      <c r="AB58" s="891"/>
      <c r="AC58" s="891"/>
      <c r="AD58" s="891"/>
      <c r="AE58" s="891"/>
      <c r="AF58" s="891"/>
      <c r="AG58" s="891"/>
      <c r="AH58" s="891"/>
      <c r="AI58" s="891"/>
      <c r="AJ58" s="891"/>
      <c r="AK58" s="891"/>
      <c r="AL58" s="891"/>
      <c r="AM58" s="891"/>
      <c r="AN58" s="891"/>
      <c r="AO58" s="891"/>
      <c r="AP58" s="891"/>
      <c r="AQ58" s="891"/>
      <c r="AR58" s="891"/>
      <c r="AS58" s="891"/>
      <c r="AT58" s="891"/>
      <c r="AU58" s="891"/>
      <c r="AV58" s="891"/>
      <c r="AW58" s="891"/>
      <c r="AX58" s="891"/>
      <c r="AY58" s="891"/>
      <c r="AZ58" s="891"/>
      <c r="BA58" s="891"/>
      <c r="BB58" s="891"/>
      <c r="BC58" s="891"/>
      <c r="BD58" s="891"/>
      <c r="BE58" s="891"/>
      <c r="BF58" s="891"/>
      <c r="BG58" s="891"/>
      <c r="BH58" s="891"/>
      <c r="BI58" s="891"/>
      <c r="BJ58" s="891"/>
      <c r="BK58" s="891"/>
      <c r="BL58" s="891"/>
      <c r="BM58" s="891"/>
      <c r="BN58" s="891"/>
      <c r="BO58" s="891"/>
      <c r="BP58" s="891"/>
      <c r="BQ58" s="891"/>
    </row>
    <row r="59" spans="1:69" s="982" customFormat="1" hidden="1" x14ac:dyDescent="0.2">
      <c r="A59" s="982" t="s">
        <v>1019</v>
      </c>
      <c r="B59" s="983"/>
      <c r="C59" s="984"/>
      <c r="D59" s="985"/>
      <c r="E59" s="985"/>
      <c r="F59" s="985"/>
      <c r="G59" s="985"/>
      <c r="H59" s="996" t="s">
        <v>842</v>
      </c>
      <c r="I59" s="988"/>
      <c r="J59" s="989"/>
      <c r="K59" s="997"/>
      <c r="L59" s="989"/>
      <c r="M59" s="989"/>
      <c r="N59" s="990"/>
      <c r="O59" s="918"/>
      <c r="P59" s="920"/>
      <c r="Q59" s="971"/>
      <c r="R59" s="1011"/>
      <c r="S59" s="1011"/>
      <c r="T59" s="1011"/>
      <c r="U59" s="1011"/>
      <c r="V59" s="971"/>
      <c r="W59" s="971"/>
      <c r="X59" s="971"/>
      <c r="Y59" s="971"/>
      <c r="Z59" s="971"/>
      <c r="AA59" s="971"/>
      <c r="AB59" s="971"/>
      <c r="AC59" s="971"/>
      <c r="AD59" s="971"/>
      <c r="AE59" s="971"/>
      <c r="AF59" s="971"/>
      <c r="AG59" s="971"/>
      <c r="AH59" s="971"/>
      <c r="AI59" s="971"/>
      <c r="AJ59" s="971"/>
      <c r="AK59" s="971"/>
      <c r="AL59" s="971"/>
      <c r="AM59" s="971"/>
      <c r="AN59" s="971"/>
      <c r="AO59" s="971"/>
      <c r="AP59" s="971"/>
      <c r="AQ59" s="971"/>
      <c r="AR59" s="971"/>
      <c r="AS59" s="971"/>
      <c r="AT59" s="971"/>
      <c r="AU59" s="971"/>
      <c r="AV59" s="971"/>
      <c r="AW59" s="971"/>
      <c r="AX59" s="971"/>
      <c r="AY59" s="971"/>
      <c r="AZ59" s="971"/>
      <c r="BA59" s="971"/>
      <c r="BB59" s="971"/>
      <c r="BC59" s="971"/>
      <c r="BD59" s="971"/>
      <c r="BE59" s="971"/>
      <c r="BF59" s="971"/>
      <c r="BG59" s="971"/>
      <c r="BH59" s="971"/>
      <c r="BI59" s="971"/>
      <c r="BJ59" s="971"/>
      <c r="BK59" s="971"/>
      <c r="BL59" s="971"/>
      <c r="BM59" s="971"/>
      <c r="BN59" s="971"/>
      <c r="BO59" s="971"/>
      <c r="BP59" s="971"/>
      <c r="BQ59" s="971"/>
    </row>
    <row r="60" spans="1:69" s="889" customFormat="1" hidden="1" x14ac:dyDescent="0.2">
      <c r="H60" s="907"/>
      <c r="I60" s="968"/>
      <c r="O60" s="891"/>
      <c r="P60" s="891"/>
      <c r="Q60" s="891"/>
      <c r="R60" s="1000"/>
      <c r="S60" s="1000"/>
      <c r="T60" s="1000"/>
      <c r="U60" s="1000"/>
      <c r="V60" s="891"/>
      <c r="W60" s="891"/>
      <c r="X60" s="891"/>
      <c r="Y60" s="891"/>
      <c r="Z60" s="891"/>
      <c r="AA60" s="891"/>
      <c r="AB60" s="891"/>
      <c r="AC60" s="891"/>
      <c r="AD60" s="891"/>
      <c r="AE60" s="891"/>
      <c r="AF60" s="891"/>
      <c r="AG60" s="891"/>
      <c r="AH60" s="891"/>
      <c r="AI60" s="891"/>
      <c r="AJ60" s="891"/>
      <c r="AK60" s="891"/>
      <c r="AL60" s="891"/>
      <c r="AM60" s="891"/>
      <c r="AN60" s="891"/>
      <c r="AO60" s="891"/>
      <c r="AP60" s="891"/>
      <c r="AQ60" s="891"/>
      <c r="AR60" s="891"/>
      <c r="AS60" s="891"/>
      <c r="AT60" s="891"/>
      <c r="AU60" s="891"/>
      <c r="AV60" s="891"/>
      <c r="AW60" s="891"/>
      <c r="AX60" s="891"/>
      <c r="AY60" s="891"/>
      <c r="AZ60" s="891"/>
      <c r="BA60" s="891"/>
      <c r="BB60" s="891"/>
      <c r="BC60" s="891"/>
      <c r="BD60" s="891"/>
      <c r="BE60" s="891"/>
      <c r="BF60" s="891"/>
      <c r="BG60" s="891"/>
      <c r="BH60" s="891"/>
      <c r="BI60" s="891"/>
      <c r="BJ60" s="891"/>
      <c r="BK60" s="891"/>
      <c r="BL60" s="891"/>
      <c r="BM60" s="891"/>
      <c r="BN60" s="891"/>
      <c r="BO60" s="891"/>
      <c r="BP60" s="891"/>
      <c r="BQ60" s="891"/>
    </row>
    <row r="61" spans="1:69" s="889" customFormat="1" hidden="1" x14ac:dyDescent="0.2">
      <c r="A61" s="889" t="s">
        <v>1022</v>
      </c>
      <c r="H61" s="907"/>
      <c r="I61" s="968"/>
      <c r="O61" s="891"/>
      <c r="P61" s="891"/>
      <c r="Q61" s="891"/>
      <c r="R61" s="1000"/>
      <c r="S61" s="1000"/>
      <c r="T61" s="1000"/>
      <c r="U61" s="1000"/>
      <c r="V61" s="891"/>
      <c r="W61" s="891"/>
      <c r="X61" s="891"/>
      <c r="Y61" s="891"/>
      <c r="Z61" s="891"/>
      <c r="AA61" s="891"/>
      <c r="AB61" s="891"/>
      <c r="AC61" s="891"/>
      <c r="AD61" s="891"/>
      <c r="AE61" s="891"/>
      <c r="AF61" s="891"/>
      <c r="AG61" s="891"/>
      <c r="AH61" s="891"/>
      <c r="AI61" s="891"/>
      <c r="AJ61" s="891"/>
      <c r="AK61" s="891"/>
      <c r="AL61" s="891"/>
      <c r="AM61" s="891"/>
      <c r="AN61" s="891"/>
      <c r="AO61" s="891"/>
      <c r="AP61" s="891"/>
      <c r="AQ61" s="891"/>
      <c r="AR61" s="891"/>
      <c r="AS61" s="891"/>
      <c r="AT61" s="891"/>
      <c r="AU61" s="891"/>
      <c r="AV61" s="891"/>
      <c r="AW61" s="891"/>
      <c r="AX61" s="891"/>
      <c r="AY61" s="891"/>
      <c r="AZ61" s="891"/>
      <c r="BA61" s="891"/>
      <c r="BB61" s="891"/>
      <c r="BC61" s="891"/>
      <c r="BD61" s="891"/>
      <c r="BE61" s="891"/>
      <c r="BF61" s="891"/>
      <c r="BG61" s="891"/>
      <c r="BH61" s="891"/>
      <c r="BI61" s="891"/>
      <c r="BJ61" s="891"/>
      <c r="BK61" s="891"/>
      <c r="BL61" s="891"/>
      <c r="BM61" s="891"/>
      <c r="BN61" s="891"/>
      <c r="BO61" s="891"/>
      <c r="BP61" s="891"/>
      <c r="BQ61" s="891"/>
    </row>
    <row r="62" spans="1:69" s="889" customFormat="1" hidden="1" x14ac:dyDescent="0.2">
      <c r="A62" s="889" t="s">
        <v>1017</v>
      </c>
      <c r="B62" s="972" t="s">
        <v>840</v>
      </c>
      <c r="C62" s="973"/>
      <c r="D62" s="953"/>
      <c r="E62" s="953"/>
      <c r="F62" s="953"/>
      <c r="G62" s="974"/>
      <c r="H62" s="939">
        <v>1</v>
      </c>
      <c r="I62" s="976"/>
      <c r="J62" s="943"/>
      <c r="K62" s="943"/>
      <c r="L62" s="943"/>
      <c r="M62" s="943"/>
      <c r="N62" s="978"/>
      <c r="O62" s="918">
        <f>SUM(O63:O64)</f>
        <v>0</v>
      </c>
      <c r="P62" s="920">
        <f>O62</f>
        <v>0</v>
      </c>
      <c r="Q62" s="891"/>
      <c r="R62" s="1000"/>
      <c r="S62" s="1000"/>
      <c r="T62" s="1000"/>
      <c r="U62" s="1000"/>
      <c r="V62" s="891"/>
      <c r="W62" s="891"/>
      <c r="X62" s="891"/>
      <c r="Y62" s="891"/>
      <c r="Z62" s="891"/>
      <c r="AA62" s="891"/>
      <c r="AB62" s="891"/>
      <c r="AC62" s="891"/>
      <c r="AD62" s="891"/>
      <c r="AE62" s="891"/>
      <c r="AF62" s="891"/>
      <c r="AG62" s="891"/>
      <c r="AH62" s="891"/>
      <c r="AI62" s="891"/>
      <c r="AJ62" s="891"/>
      <c r="AK62" s="891"/>
      <c r="AL62" s="891"/>
      <c r="AM62" s="891"/>
      <c r="AN62" s="891"/>
      <c r="AO62" s="891"/>
      <c r="AP62" s="891"/>
      <c r="AQ62" s="891"/>
      <c r="AR62" s="891"/>
      <c r="AS62" s="891"/>
      <c r="AT62" s="891"/>
      <c r="AU62" s="891"/>
      <c r="AV62" s="891"/>
      <c r="AW62" s="891"/>
      <c r="AX62" s="891"/>
      <c r="AY62" s="891"/>
      <c r="AZ62" s="891"/>
      <c r="BA62" s="891"/>
      <c r="BB62" s="891"/>
      <c r="BC62" s="891"/>
      <c r="BD62" s="891"/>
      <c r="BE62" s="891"/>
      <c r="BF62" s="891"/>
      <c r="BG62" s="891"/>
      <c r="BH62" s="891"/>
      <c r="BI62" s="891"/>
      <c r="BJ62" s="891"/>
      <c r="BK62" s="891"/>
      <c r="BL62" s="891"/>
      <c r="BM62" s="891"/>
      <c r="BN62" s="891"/>
      <c r="BO62" s="891"/>
      <c r="BP62" s="891"/>
      <c r="BQ62" s="891"/>
    </row>
    <row r="63" spans="1:69" s="889" customFormat="1" hidden="1" x14ac:dyDescent="0.2">
      <c r="A63" s="889" t="s">
        <v>1018</v>
      </c>
      <c r="B63" s="972"/>
      <c r="C63" s="979"/>
      <c r="D63" s="991"/>
      <c r="E63" s="991"/>
      <c r="F63" s="991"/>
      <c r="G63" s="974"/>
      <c r="H63" s="998">
        <v>1.1000000000000001</v>
      </c>
      <c r="I63" s="980"/>
      <c r="J63" s="947"/>
      <c r="K63" s="995"/>
      <c r="L63" s="949"/>
      <c r="M63" s="949"/>
      <c r="N63" s="978"/>
      <c r="O63" s="918">
        <f>L63*M63</f>
        <v>0</v>
      </c>
      <c r="P63" s="952"/>
      <c r="Q63" s="891"/>
      <c r="R63" s="1000"/>
      <c r="S63" s="1000"/>
      <c r="T63" s="1000"/>
      <c r="U63" s="1000"/>
      <c r="V63" s="891"/>
      <c r="W63" s="891"/>
      <c r="X63" s="891"/>
      <c r="Y63" s="891"/>
      <c r="Z63" s="891"/>
      <c r="AA63" s="891"/>
      <c r="AB63" s="891"/>
      <c r="AC63" s="891"/>
      <c r="AD63" s="891"/>
      <c r="AE63" s="891"/>
      <c r="AF63" s="891"/>
      <c r="AG63" s="891"/>
      <c r="AH63" s="891"/>
      <c r="AI63" s="891"/>
      <c r="AJ63" s="891"/>
      <c r="AK63" s="891"/>
      <c r="AL63" s="891"/>
      <c r="AM63" s="891"/>
      <c r="AN63" s="891"/>
      <c r="AO63" s="891"/>
      <c r="AP63" s="891"/>
      <c r="AQ63" s="891"/>
      <c r="AR63" s="891"/>
      <c r="AS63" s="891"/>
      <c r="AT63" s="891"/>
      <c r="AU63" s="891"/>
      <c r="AV63" s="891"/>
      <c r="AW63" s="891"/>
      <c r="AX63" s="891"/>
      <c r="AY63" s="891"/>
      <c r="AZ63" s="891"/>
      <c r="BA63" s="891"/>
      <c r="BB63" s="891"/>
      <c r="BC63" s="891"/>
      <c r="BD63" s="891"/>
      <c r="BE63" s="891"/>
      <c r="BF63" s="891"/>
      <c r="BG63" s="891"/>
      <c r="BH63" s="891"/>
      <c r="BI63" s="891"/>
      <c r="BJ63" s="891"/>
      <c r="BK63" s="891"/>
      <c r="BL63" s="891"/>
      <c r="BM63" s="891"/>
      <c r="BN63" s="891"/>
      <c r="BO63" s="891"/>
      <c r="BP63" s="891"/>
      <c r="BQ63" s="891"/>
    </row>
    <row r="64" spans="1:69" s="982" customFormat="1" hidden="1" x14ac:dyDescent="0.2">
      <c r="A64" s="982" t="s">
        <v>1019</v>
      </c>
      <c r="B64" s="983"/>
      <c r="C64" s="984"/>
      <c r="D64" s="993"/>
      <c r="E64" s="993"/>
      <c r="F64" s="993"/>
      <c r="G64" s="985"/>
      <c r="H64" s="999" t="s">
        <v>842</v>
      </c>
      <c r="I64" s="988"/>
      <c r="J64" s="989"/>
      <c r="K64" s="997"/>
      <c r="L64" s="989"/>
      <c r="M64" s="989"/>
      <c r="N64" s="990"/>
      <c r="O64" s="918"/>
      <c r="P64" s="920"/>
      <c r="Q64" s="971"/>
      <c r="R64" s="1011"/>
      <c r="S64" s="1011"/>
      <c r="T64" s="1011"/>
      <c r="U64" s="1011"/>
      <c r="V64" s="971"/>
      <c r="W64" s="971"/>
      <c r="X64" s="971"/>
      <c r="Y64" s="971"/>
      <c r="Z64" s="971"/>
      <c r="AA64" s="971"/>
      <c r="AB64" s="971"/>
      <c r="AC64" s="971"/>
      <c r="AD64" s="971"/>
      <c r="AE64" s="971"/>
      <c r="AF64" s="971"/>
      <c r="AG64" s="971"/>
      <c r="AH64" s="971"/>
      <c r="AI64" s="971"/>
      <c r="AJ64" s="971"/>
      <c r="AK64" s="971"/>
      <c r="AL64" s="971"/>
      <c r="AM64" s="971"/>
      <c r="AN64" s="971"/>
      <c r="AO64" s="971"/>
      <c r="AP64" s="971"/>
      <c r="AQ64" s="971"/>
      <c r="AR64" s="971"/>
      <c r="AS64" s="971"/>
      <c r="AT64" s="971"/>
      <c r="AU64" s="971"/>
      <c r="AV64" s="971"/>
      <c r="AW64" s="971"/>
      <c r="AX64" s="971"/>
      <c r="AY64" s="971"/>
      <c r="AZ64" s="971"/>
      <c r="BA64" s="971"/>
      <c r="BB64" s="971"/>
      <c r="BC64" s="971"/>
      <c r="BD64" s="971"/>
      <c r="BE64" s="971"/>
      <c r="BF64" s="971"/>
      <c r="BG64" s="971"/>
      <c r="BH64" s="971"/>
      <c r="BI64" s="971"/>
      <c r="BJ64" s="971"/>
      <c r="BK64" s="971"/>
      <c r="BL64" s="971"/>
      <c r="BM64" s="971"/>
      <c r="BN64" s="971"/>
      <c r="BO64" s="971"/>
      <c r="BP64" s="971"/>
      <c r="BQ64" s="971"/>
    </row>
    <row r="65" spans="8:69" s="889" customFormat="1" x14ac:dyDescent="0.2">
      <c r="H65" s="907"/>
      <c r="I65" s="968"/>
      <c r="O65" s="891"/>
      <c r="P65" s="891"/>
      <c r="Q65" s="891"/>
      <c r="R65" s="1000"/>
      <c r="S65" s="1000"/>
      <c r="T65" s="1000"/>
      <c r="U65" s="1000"/>
      <c r="V65" s="891"/>
      <c r="W65" s="891"/>
      <c r="X65" s="891"/>
      <c r="Y65" s="891"/>
      <c r="Z65" s="891"/>
      <c r="AA65" s="891"/>
      <c r="AB65" s="891"/>
      <c r="AC65" s="891"/>
      <c r="AD65" s="891"/>
      <c r="AE65" s="891"/>
      <c r="AF65" s="891"/>
      <c r="AG65" s="891"/>
      <c r="AH65" s="891"/>
      <c r="AI65" s="891"/>
      <c r="AJ65" s="891"/>
      <c r="AK65" s="891"/>
      <c r="AL65" s="891"/>
      <c r="AM65" s="891"/>
      <c r="AN65" s="891"/>
      <c r="AO65" s="891"/>
      <c r="AP65" s="891"/>
      <c r="AQ65" s="891"/>
      <c r="AR65" s="891"/>
      <c r="AS65" s="891"/>
      <c r="AT65" s="891"/>
      <c r="AU65" s="891"/>
      <c r="AV65" s="891"/>
      <c r="AW65" s="891"/>
      <c r="AX65" s="891"/>
      <c r="AY65" s="891"/>
      <c r="AZ65" s="891"/>
      <c r="BA65" s="891"/>
      <c r="BB65" s="891"/>
      <c r="BC65" s="891"/>
      <c r="BD65" s="891"/>
      <c r="BE65" s="891"/>
      <c r="BF65" s="891"/>
      <c r="BG65" s="891"/>
      <c r="BH65" s="891"/>
      <c r="BI65" s="891"/>
      <c r="BJ65" s="891"/>
      <c r="BK65" s="891"/>
      <c r="BL65" s="891"/>
      <c r="BM65" s="891"/>
      <c r="BN65" s="891"/>
      <c r="BO65" s="891"/>
      <c r="BP65" s="891"/>
      <c r="BQ65" s="891"/>
    </row>
  </sheetData>
  <sheetProtection password="B083" sheet="1" objects="1" scenarios="1"/>
  <mergeCells count="28">
    <mergeCell ref="B38:P38"/>
    <mergeCell ref="B39:P39"/>
    <mergeCell ref="B40:P40"/>
    <mergeCell ref="B41:P41"/>
    <mergeCell ref="B34:P34"/>
    <mergeCell ref="B35:P35"/>
    <mergeCell ref="B36:P36"/>
    <mergeCell ref="B37:P37"/>
    <mergeCell ref="L6:L8"/>
    <mergeCell ref="M6:M8"/>
    <mergeCell ref="B21:C21"/>
    <mergeCell ref="B22:C22"/>
    <mergeCell ref="B27:C27"/>
    <mergeCell ref="B32:C32"/>
    <mergeCell ref="B9:C9"/>
    <mergeCell ref="B10:C10"/>
    <mergeCell ref="B11:C11"/>
    <mergeCell ref="B16:C16"/>
    <mergeCell ref="B6:C8"/>
    <mergeCell ref="G6:G8"/>
    <mergeCell ref="H6:H8"/>
    <mergeCell ref="I6:I8"/>
    <mergeCell ref="N6:P6"/>
    <mergeCell ref="N7:N8"/>
    <mergeCell ref="O7:O8"/>
    <mergeCell ref="P7:P8"/>
    <mergeCell ref="J6:J8"/>
    <mergeCell ref="K6:K8"/>
  </mergeCells>
  <phoneticPr fontId="36" type="noConversion"/>
  <dataValidations count="3">
    <dataValidation type="decimal" operator="greaterThanOrEqual" allowBlank="1" showInputMessage="1" showErrorMessage="1" sqref="I62:M64 I57:M59 I47:M49 I52:M54 M12:M14 M17:M19 M28:M30 M23:M25 L11:L32">
      <formula1>0</formula1>
    </dataValidation>
    <dataValidation operator="greaterThanOrEqual" allowBlank="1" showInputMessage="1" showErrorMessage="1" sqref="I11:I32"/>
    <dataValidation type="date" operator="greaterThanOrEqual" allowBlank="1" showInputMessage="1" showErrorMessage="1" sqref="J11:K32">
      <formula1>1</formula1>
    </dataValidation>
  </dataValidations>
  <pageMargins left="0.25" right="0.25" top="1" bottom="1" header="0.5" footer="0.5"/>
  <pageSetup paperSize="9" scale="90" orientation="landscape" r:id="rId1"/>
  <headerFooter alignWithMargins="0">
    <oddHeader>&amp;C&amp;"Arial,Bold"&amp;8 NEW RURAL BANK OF SAN LEONARDO, INC  [ 04-040656 ]
 As of: September 30, 2017</oddHeader>
  </headerFooter>
  <drawing r:id="rId2"/>
  <legacyDrawing r:id="rId3"/>
  <controls>
    <mc:AlternateContent xmlns:mc="http://schemas.openxmlformats.org/markup-compatibility/2006">
      <mc:Choice Requires="x14">
        <control shapeId="3076" r:id="rId4" name="Label_strs">
          <controlPr defaultSize="0" autoLine="0" autoPict="0" r:id="rId5">
            <anchor moveWithCells="1">
              <from>
                <xdr:col>7</xdr:col>
                <xdr:colOff>209550</xdr:colOff>
                <xdr:row>30</xdr:row>
                <xdr:rowOff>28575</xdr:rowOff>
              </from>
              <to>
                <xdr:col>7</xdr:col>
                <xdr:colOff>495300</xdr:colOff>
                <xdr:row>31</xdr:row>
                <xdr:rowOff>0</xdr:rowOff>
              </to>
            </anchor>
          </controlPr>
        </control>
      </mc:Choice>
      <mc:Fallback>
        <control shapeId="3076" r:id="rId4" name="Label_strs"/>
      </mc:Fallback>
    </mc:AlternateContent>
    <mc:AlternateContent xmlns:mc="http://schemas.openxmlformats.org/markup-compatibility/2006">
      <mc:Choice Requires="x14">
        <control shapeId="3075" r:id="rId6" name="Label_scds">
          <controlPr defaultSize="0" autoLine="0" autoPict="0" r:id="rId7">
            <anchor moveWithCells="1">
              <from>
                <xdr:col>7</xdr:col>
                <xdr:colOff>209550</xdr:colOff>
                <xdr:row>25</xdr:row>
                <xdr:rowOff>28575</xdr:rowOff>
              </from>
              <to>
                <xdr:col>7</xdr:col>
                <xdr:colOff>495300</xdr:colOff>
                <xdr:row>25</xdr:row>
                <xdr:rowOff>152400</xdr:rowOff>
              </to>
            </anchor>
          </controlPr>
        </control>
      </mc:Choice>
      <mc:Fallback>
        <control shapeId="3075" r:id="rId6" name="Label_scds"/>
      </mc:Fallback>
    </mc:AlternateContent>
    <mc:AlternateContent xmlns:mc="http://schemas.openxmlformats.org/markup-compatibility/2006">
      <mc:Choice Requires="x14">
        <control shapeId="3074" r:id="rId8" name="Label_ltrs">
          <controlPr defaultSize="0" autoLine="0" autoPict="0" r:id="rId9">
            <anchor moveWithCells="1">
              <from>
                <xdr:col>7</xdr:col>
                <xdr:colOff>180975</xdr:colOff>
                <xdr:row>19</xdr:row>
                <xdr:rowOff>19050</xdr:rowOff>
              </from>
              <to>
                <xdr:col>7</xdr:col>
                <xdr:colOff>466725</xdr:colOff>
                <xdr:row>20</xdr:row>
                <xdr:rowOff>0</xdr:rowOff>
              </to>
            </anchor>
          </controlPr>
        </control>
      </mc:Choice>
      <mc:Fallback>
        <control shapeId="3074" r:id="rId8" name="Label_ltrs"/>
      </mc:Fallback>
    </mc:AlternateContent>
    <mc:AlternateContent xmlns:mc="http://schemas.openxmlformats.org/markup-compatibility/2006">
      <mc:Choice Requires="x14">
        <control shapeId="3073" r:id="rId10" name="Label_lcds">
          <controlPr defaultSize="0" autoLine="0" autoPict="0" r:id="rId11">
            <anchor moveWithCells="1">
              <from>
                <xdr:col>7</xdr:col>
                <xdr:colOff>180975</xdr:colOff>
                <xdr:row>14</xdr:row>
                <xdr:rowOff>38100</xdr:rowOff>
              </from>
              <to>
                <xdr:col>7</xdr:col>
                <xdr:colOff>466725</xdr:colOff>
                <xdr:row>15</xdr:row>
                <xdr:rowOff>0</xdr:rowOff>
              </to>
            </anchor>
          </controlPr>
        </control>
      </mc:Choice>
      <mc:Fallback>
        <control shapeId="3073" r:id="rId10" name="Label_lcds"/>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EE42"/>
  <sheetViews>
    <sheetView view="pageBreakPreview" zoomScaleNormal="100" workbookViewId="0">
      <selection activeCell="B30" sqref="B30:D30"/>
    </sheetView>
  </sheetViews>
  <sheetFormatPr defaultRowHeight="12.75" x14ac:dyDescent="0.2"/>
  <cols>
    <col min="1" max="1" width="2" style="889" customWidth="1"/>
    <col min="2" max="2" width="6.7109375" style="889" customWidth="1"/>
    <col min="3" max="3" width="21.28515625" style="889" customWidth="1"/>
    <col min="4" max="4" width="17.85546875" style="889" customWidth="1"/>
    <col min="5" max="5" width="5" style="889" customWidth="1"/>
    <col min="6" max="6" width="17.85546875" style="889" hidden="1" customWidth="1"/>
    <col min="7" max="7" width="16.5703125" style="889" customWidth="1"/>
    <col min="8" max="8" width="18.7109375" style="889" hidden="1" customWidth="1"/>
    <col min="9" max="11" width="15.85546875" style="889" customWidth="1"/>
    <col min="12" max="17" width="15.85546875" style="891" customWidth="1"/>
    <col min="18" max="18" width="10.5703125" style="1012" customWidth="1"/>
    <col min="19" max="20" width="8" style="891" customWidth="1"/>
    <col min="21" max="21" width="10.140625" style="891" customWidth="1"/>
    <col min="22" max="27" width="10.140625" style="891" hidden="1" customWidth="1"/>
    <col min="28" max="31" width="9.140625" style="891" hidden="1" customWidth="1"/>
    <col min="32" max="32" width="8" style="891" customWidth="1"/>
  </cols>
  <sheetData>
    <row r="1" spans="1:133" s="889" customFormat="1" x14ac:dyDescent="0.2">
      <c r="A1" s="426"/>
      <c r="B1" s="426"/>
      <c r="C1" s="426"/>
      <c r="D1" s="426"/>
      <c r="E1" s="426"/>
      <c r="F1" s="426"/>
      <c r="G1" s="426"/>
      <c r="H1" s="426"/>
      <c r="I1" s="426"/>
      <c r="J1" s="426"/>
      <c r="K1" s="426"/>
      <c r="L1" s="480"/>
      <c r="M1" s="480"/>
      <c r="N1" s="480"/>
      <c r="O1" s="480"/>
      <c r="P1" s="480"/>
      <c r="Q1" s="480"/>
      <c r="R1" s="1012"/>
      <c r="S1" s="891"/>
      <c r="T1" s="891"/>
      <c r="U1" s="891"/>
      <c r="V1" s="891"/>
      <c r="W1" s="891"/>
      <c r="X1" s="891"/>
      <c r="Y1" s="891"/>
      <c r="Z1" s="891"/>
      <c r="AA1" s="891"/>
      <c r="AB1" s="891"/>
      <c r="AC1" s="891"/>
      <c r="AD1" s="891"/>
      <c r="AE1" s="891"/>
      <c r="AF1" s="891"/>
      <c r="AG1" s="891"/>
      <c r="AH1" s="891"/>
      <c r="AI1" s="891"/>
      <c r="AJ1" s="891"/>
      <c r="AK1" s="891"/>
      <c r="AL1" s="891"/>
      <c r="AM1" s="891"/>
      <c r="AN1" s="891"/>
      <c r="AO1" s="891"/>
      <c r="AP1" s="891"/>
      <c r="AQ1" s="891"/>
      <c r="AR1" s="891"/>
      <c r="AS1" s="891"/>
      <c r="AT1" s="891"/>
      <c r="AU1" s="891"/>
      <c r="AV1" s="891"/>
      <c r="AW1" s="891"/>
      <c r="AX1" s="891"/>
      <c r="AY1" s="891"/>
      <c r="AZ1" s="891"/>
      <c r="BA1" s="891"/>
      <c r="BB1" s="891"/>
      <c r="BC1" s="891"/>
      <c r="BD1" s="891"/>
      <c r="BE1" s="891"/>
      <c r="BF1" s="891"/>
      <c r="BG1" s="891"/>
      <c r="BH1" s="891"/>
      <c r="BI1" s="891"/>
      <c r="BJ1" s="891"/>
      <c r="BK1" s="891"/>
      <c r="BL1" s="891"/>
      <c r="BM1" s="891"/>
      <c r="BN1" s="891"/>
      <c r="BO1" s="891"/>
      <c r="BP1" s="891"/>
      <c r="BQ1" s="891"/>
      <c r="BR1" s="891"/>
      <c r="BS1" s="891"/>
      <c r="BT1" s="891"/>
      <c r="BU1" s="891"/>
      <c r="BV1" s="891"/>
      <c r="BW1" s="891"/>
      <c r="BX1" s="891"/>
      <c r="BY1" s="891"/>
      <c r="BZ1" s="891"/>
      <c r="CA1" s="891"/>
      <c r="CB1" s="891"/>
      <c r="CC1" s="891"/>
      <c r="CD1" s="891"/>
      <c r="CE1" s="891"/>
      <c r="CF1" s="891"/>
      <c r="CG1" s="891"/>
      <c r="CH1" s="891"/>
      <c r="CI1" s="891"/>
      <c r="CJ1" s="891"/>
      <c r="CK1" s="891"/>
      <c r="CL1" s="891"/>
      <c r="CM1" s="891"/>
      <c r="CN1" s="891"/>
      <c r="CO1" s="891"/>
      <c r="CP1" s="891"/>
      <c r="CQ1" s="891"/>
      <c r="CR1" s="891"/>
      <c r="CS1" s="891"/>
      <c r="CT1" s="891"/>
      <c r="CU1" s="891"/>
      <c r="CV1" s="891"/>
      <c r="CW1" s="891"/>
      <c r="CX1" s="891"/>
      <c r="CY1" s="891"/>
      <c r="CZ1" s="891"/>
      <c r="DA1" s="891"/>
      <c r="DB1" s="891"/>
      <c r="DC1" s="891"/>
      <c r="DD1" s="891"/>
      <c r="DE1" s="891"/>
      <c r="DF1" s="891"/>
      <c r="DG1" s="891"/>
      <c r="DH1" s="891"/>
      <c r="DI1" s="891"/>
      <c r="DJ1" s="891"/>
      <c r="DK1" s="891"/>
      <c r="DL1" s="891"/>
      <c r="DM1" s="891"/>
      <c r="DN1" s="891"/>
      <c r="DO1" s="891"/>
      <c r="DP1" s="891"/>
      <c r="DQ1" s="891"/>
      <c r="DR1" s="891"/>
      <c r="DS1" s="891"/>
      <c r="DT1" s="891"/>
      <c r="DU1" s="891"/>
      <c r="DV1" s="891"/>
      <c r="DW1" s="891"/>
      <c r="DX1" s="891"/>
      <c r="DY1" s="891"/>
      <c r="DZ1" s="891"/>
      <c r="EA1" s="891"/>
      <c r="EB1" s="891"/>
      <c r="EC1" s="891"/>
    </row>
    <row r="2" spans="1:133" s="889" customFormat="1" ht="15.95" customHeight="1" x14ac:dyDescent="0.2">
      <c r="A2" s="426"/>
      <c r="B2" s="680" t="s">
        <v>1152</v>
      </c>
      <c r="C2" s="680"/>
      <c r="D2" s="680"/>
      <c r="E2" s="680"/>
      <c r="F2" s="680"/>
      <c r="G2" s="680"/>
      <c r="H2" s="680"/>
      <c r="I2" s="680"/>
      <c r="J2" s="680"/>
      <c r="K2" s="680"/>
      <c r="L2" s="680"/>
      <c r="M2" s="680"/>
      <c r="N2" s="480"/>
      <c r="O2" s="1303"/>
      <c r="P2" s="1303"/>
      <c r="Q2" s="1303"/>
      <c r="R2" s="1012"/>
      <c r="S2" s="891"/>
      <c r="T2" s="891"/>
      <c r="U2" s="891"/>
      <c r="V2" s="891"/>
      <c r="W2" s="891"/>
      <c r="X2" s="891"/>
      <c r="Y2" s="891"/>
      <c r="Z2" s="891"/>
      <c r="AA2" s="891"/>
      <c r="AB2" s="891"/>
      <c r="AC2" s="891"/>
      <c r="AD2" s="891"/>
      <c r="AE2" s="891"/>
      <c r="AF2" s="891"/>
      <c r="AG2" s="891"/>
      <c r="AH2" s="891"/>
      <c r="AI2" s="891"/>
      <c r="AJ2" s="891"/>
      <c r="AK2" s="891"/>
      <c r="AL2" s="891"/>
      <c r="AM2" s="891"/>
      <c r="AN2" s="891"/>
      <c r="AO2" s="891"/>
      <c r="AP2" s="891"/>
      <c r="AQ2" s="891"/>
      <c r="AR2" s="891"/>
      <c r="AS2" s="891"/>
      <c r="AT2" s="891"/>
      <c r="AU2" s="891"/>
      <c r="AV2" s="891"/>
      <c r="AW2" s="891"/>
      <c r="AX2" s="891"/>
      <c r="AY2" s="891"/>
      <c r="AZ2" s="891"/>
      <c r="BA2" s="891"/>
      <c r="BB2" s="891"/>
      <c r="BC2" s="891"/>
      <c r="BD2" s="891"/>
      <c r="BE2" s="891"/>
      <c r="BF2" s="891"/>
      <c r="BG2" s="891"/>
      <c r="BH2" s="891"/>
      <c r="BI2" s="891"/>
      <c r="BJ2" s="891"/>
      <c r="BK2" s="891"/>
      <c r="BL2" s="891"/>
      <c r="BM2" s="891"/>
      <c r="BN2" s="891"/>
      <c r="BO2" s="891"/>
      <c r="BP2" s="891"/>
      <c r="BQ2" s="891"/>
      <c r="BR2" s="891"/>
      <c r="BS2" s="891"/>
      <c r="BT2" s="891"/>
      <c r="BU2" s="891"/>
      <c r="BV2" s="891"/>
      <c r="BW2" s="891"/>
      <c r="BX2" s="891"/>
      <c r="BY2" s="891"/>
      <c r="BZ2" s="891"/>
      <c r="CA2" s="891"/>
      <c r="CB2" s="891"/>
      <c r="CC2" s="891"/>
      <c r="CD2" s="891"/>
      <c r="CE2" s="891"/>
      <c r="CF2" s="891"/>
      <c r="CG2" s="891"/>
      <c r="CH2" s="891"/>
      <c r="CI2" s="891"/>
      <c r="CJ2" s="891"/>
      <c r="CK2" s="891"/>
      <c r="CL2" s="891"/>
      <c r="CM2" s="891"/>
      <c r="CN2" s="891"/>
      <c r="CO2" s="891"/>
      <c r="CP2" s="891"/>
      <c r="CQ2" s="891"/>
      <c r="CR2" s="891"/>
      <c r="CS2" s="891"/>
      <c r="CT2" s="891"/>
      <c r="CU2" s="891"/>
      <c r="CV2" s="891"/>
      <c r="CW2" s="891"/>
      <c r="CX2" s="891"/>
      <c r="CY2" s="891"/>
      <c r="CZ2" s="891"/>
      <c r="DA2" s="891"/>
      <c r="DB2" s="891"/>
      <c r="DC2" s="891"/>
      <c r="DD2" s="891"/>
      <c r="DE2" s="891"/>
      <c r="DF2" s="891"/>
      <c r="DG2" s="891"/>
      <c r="DH2" s="891"/>
      <c r="DI2" s="891"/>
      <c r="DJ2" s="891"/>
      <c r="DK2" s="891"/>
      <c r="DL2" s="891"/>
      <c r="DM2" s="891"/>
      <c r="DN2" s="891"/>
      <c r="DO2" s="891"/>
      <c r="DP2" s="891"/>
      <c r="DQ2" s="891"/>
      <c r="DR2" s="891"/>
      <c r="DS2" s="891"/>
      <c r="DT2" s="891"/>
      <c r="DU2" s="891"/>
      <c r="DV2" s="891"/>
      <c r="DW2" s="891"/>
      <c r="DX2" s="891"/>
      <c r="DY2" s="891"/>
      <c r="DZ2" s="891"/>
      <c r="EA2" s="891"/>
      <c r="EB2" s="891"/>
      <c r="EC2" s="891"/>
    </row>
    <row r="3" spans="1:133" s="899" customFormat="1" ht="2.25" customHeight="1" x14ac:dyDescent="0.2">
      <c r="A3" s="426"/>
      <c r="B3" s="426"/>
      <c r="C3" s="426"/>
      <c r="D3" s="426"/>
      <c r="E3" s="426"/>
      <c r="F3" s="426"/>
      <c r="G3" s="426"/>
      <c r="H3" s="426"/>
      <c r="I3" s="426"/>
      <c r="J3" s="426"/>
      <c r="K3" s="426"/>
      <c r="L3" s="480"/>
      <c r="M3" s="480"/>
      <c r="N3" s="480"/>
      <c r="O3" s="480"/>
      <c r="P3" s="480"/>
      <c r="Q3" s="480"/>
      <c r="R3" s="762"/>
      <c r="S3" s="763"/>
      <c r="T3" s="763"/>
      <c r="U3" s="763"/>
      <c r="V3" s="763"/>
      <c r="W3" s="763"/>
      <c r="X3" s="763"/>
      <c r="Y3" s="763"/>
      <c r="Z3" s="763"/>
      <c r="AA3" s="763"/>
      <c r="AB3" s="763"/>
      <c r="AC3" s="763"/>
      <c r="AD3" s="763"/>
      <c r="AE3" s="763"/>
      <c r="AF3" s="763"/>
      <c r="AG3" s="763"/>
      <c r="AH3" s="763"/>
      <c r="AI3" s="763"/>
      <c r="AJ3" s="763"/>
      <c r="AK3" s="763"/>
      <c r="AL3" s="763"/>
      <c r="AM3" s="763"/>
      <c r="AN3" s="763"/>
      <c r="AO3" s="763"/>
      <c r="AP3" s="763"/>
      <c r="AQ3" s="763"/>
      <c r="AR3" s="763"/>
      <c r="AS3" s="763"/>
      <c r="AT3" s="763"/>
      <c r="AU3" s="763"/>
      <c r="AV3" s="763"/>
      <c r="AW3" s="763"/>
      <c r="AX3" s="763"/>
      <c r="AY3" s="763"/>
      <c r="AZ3" s="763"/>
      <c r="BA3" s="763"/>
      <c r="BB3" s="763"/>
      <c r="BC3" s="763"/>
      <c r="BD3" s="763"/>
      <c r="BE3" s="763"/>
      <c r="BF3" s="763"/>
      <c r="BG3" s="763"/>
      <c r="BH3" s="763"/>
      <c r="BI3" s="763"/>
      <c r="BJ3" s="763"/>
      <c r="BK3" s="763"/>
      <c r="BL3" s="763"/>
      <c r="BM3" s="763"/>
      <c r="BN3" s="763"/>
      <c r="BO3" s="763"/>
      <c r="BP3" s="763"/>
      <c r="BQ3" s="763"/>
      <c r="BR3" s="763"/>
      <c r="BS3" s="763"/>
      <c r="BT3" s="763"/>
      <c r="BU3" s="763"/>
      <c r="BV3" s="763"/>
      <c r="BW3" s="763"/>
      <c r="BX3" s="763"/>
      <c r="BY3" s="763"/>
      <c r="BZ3" s="763"/>
      <c r="CA3" s="763"/>
      <c r="CB3" s="763"/>
      <c r="CC3" s="763"/>
      <c r="CD3" s="763"/>
      <c r="CE3" s="763"/>
      <c r="CF3" s="763"/>
      <c r="CG3" s="763"/>
      <c r="CH3" s="763"/>
      <c r="CI3" s="763"/>
      <c r="CJ3" s="763"/>
      <c r="CK3" s="763"/>
      <c r="CL3" s="763"/>
      <c r="CM3" s="763"/>
      <c r="CN3" s="763"/>
      <c r="CO3" s="763"/>
      <c r="CP3" s="763"/>
      <c r="CQ3" s="763"/>
      <c r="CR3" s="763"/>
      <c r="CS3" s="763"/>
      <c r="CT3" s="763"/>
      <c r="CU3" s="763"/>
      <c r="CV3" s="763"/>
      <c r="CW3" s="763"/>
      <c r="CX3" s="763"/>
      <c r="CY3" s="763"/>
      <c r="CZ3" s="763"/>
      <c r="DA3" s="763"/>
      <c r="DB3" s="763"/>
      <c r="DC3" s="763"/>
      <c r="DD3" s="763"/>
      <c r="DE3" s="763"/>
      <c r="DF3" s="763"/>
      <c r="DG3" s="763"/>
      <c r="DH3" s="763"/>
      <c r="DI3" s="763"/>
      <c r="DJ3" s="763"/>
      <c r="DK3" s="763"/>
      <c r="DL3" s="763"/>
      <c r="DM3" s="763"/>
      <c r="DN3" s="763"/>
      <c r="DO3" s="763"/>
      <c r="DP3" s="763"/>
      <c r="DQ3" s="763"/>
      <c r="DR3" s="763"/>
      <c r="DS3" s="763"/>
      <c r="DT3" s="763"/>
      <c r="DU3" s="763"/>
      <c r="DV3" s="763"/>
      <c r="DW3" s="763"/>
      <c r="DX3" s="763"/>
      <c r="DY3" s="763"/>
      <c r="DZ3" s="763"/>
      <c r="EA3" s="763"/>
      <c r="EB3" s="763"/>
      <c r="EC3" s="763"/>
    </row>
    <row r="4" spans="1:133" s="899" customFormat="1" ht="11.25" x14ac:dyDescent="0.2">
      <c r="A4" s="426"/>
      <c r="B4" s="536" t="s">
        <v>1153</v>
      </c>
      <c r="C4" s="1304" t="s">
        <v>1635</v>
      </c>
      <c r="D4" s="1304"/>
      <c r="E4" s="681"/>
      <c r="F4" s="681"/>
      <c r="G4" s="682" t="s">
        <v>1154</v>
      </c>
      <c r="H4" s="682"/>
      <c r="I4" s="426"/>
      <c r="J4" s="426"/>
      <c r="K4" s="426"/>
      <c r="L4" s="480"/>
      <c r="M4" s="480"/>
      <c r="N4" s="480"/>
      <c r="O4" s="480"/>
      <c r="P4" s="480"/>
      <c r="Q4" s="480"/>
      <c r="R4" s="762"/>
      <c r="S4" s="763"/>
      <c r="T4" s="763"/>
      <c r="U4" s="763"/>
      <c r="V4" s="763"/>
      <c r="W4" s="763"/>
      <c r="X4" s="763"/>
      <c r="Y4" s="763"/>
      <c r="Z4" s="763"/>
      <c r="AA4" s="763"/>
      <c r="AB4" s="763"/>
      <c r="AC4" s="763"/>
      <c r="AD4" s="763"/>
      <c r="AE4" s="763"/>
      <c r="AF4" s="763"/>
      <c r="AG4" s="763"/>
      <c r="AH4" s="763"/>
      <c r="AI4" s="763"/>
      <c r="AJ4" s="763"/>
      <c r="AK4" s="763"/>
      <c r="AL4" s="763"/>
      <c r="AM4" s="763"/>
      <c r="AN4" s="763"/>
      <c r="AO4" s="763"/>
      <c r="AP4" s="763"/>
      <c r="AQ4" s="763"/>
      <c r="AR4" s="763"/>
      <c r="AS4" s="763"/>
      <c r="AT4" s="763"/>
      <c r="AU4" s="763"/>
      <c r="AV4" s="763"/>
      <c r="AW4" s="763"/>
      <c r="AX4" s="763"/>
      <c r="AY4" s="763"/>
      <c r="AZ4" s="763"/>
      <c r="BA4" s="763"/>
      <c r="BB4" s="763"/>
      <c r="BC4" s="763"/>
      <c r="BD4" s="763"/>
      <c r="BE4" s="763"/>
      <c r="BF4" s="763"/>
      <c r="BG4" s="763"/>
      <c r="BH4" s="763"/>
      <c r="BI4" s="763"/>
      <c r="BJ4" s="763"/>
      <c r="BK4" s="763"/>
      <c r="BL4" s="763"/>
      <c r="BM4" s="763"/>
      <c r="BN4" s="763"/>
      <c r="BO4" s="763"/>
      <c r="BP4" s="763"/>
      <c r="BQ4" s="763"/>
      <c r="BR4" s="763"/>
      <c r="BS4" s="763"/>
      <c r="BT4" s="763"/>
      <c r="BU4" s="763"/>
      <c r="BV4" s="763"/>
      <c r="BW4" s="763"/>
      <c r="BX4" s="763"/>
      <c r="BY4" s="763"/>
      <c r="BZ4" s="763"/>
      <c r="CA4" s="763"/>
      <c r="CB4" s="763"/>
      <c r="CC4" s="763"/>
      <c r="CD4" s="763"/>
      <c r="CE4" s="763"/>
      <c r="CF4" s="763"/>
      <c r="CG4" s="763"/>
      <c r="CH4" s="763"/>
      <c r="CI4" s="763"/>
      <c r="CJ4" s="763"/>
      <c r="CK4" s="763"/>
      <c r="CL4" s="763"/>
      <c r="CM4" s="763"/>
      <c r="CN4" s="763"/>
      <c r="CO4" s="763"/>
      <c r="CP4" s="763"/>
      <c r="CQ4" s="763"/>
      <c r="CR4" s="763"/>
      <c r="CS4" s="763"/>
      <c r="CT4" s="763"/>
      <c r="CU4" s="763"/>
      <c r="CV4" s="763"/>
      <c r="CW4" s="763"/>
      <c r="CX4" s="763"/>
      <c r="CY4" s="763"/>
      <c r="CZ4" s="763"/>
      <c r="DA4" s="763"/>
      <c r="DB4" s="763"/>
      <c r="DC4" s="763"/>
      <c r="DD4" s="763"/>
      <c r="DE4" s="763"/>
      <c r="DF4" s="763"/>
      <c r="DG4" s="763"/>
      <c r="DH4" s="763"/>
      <c r="DI4" s="763"/>
      <c r="DJ4" s="763"/>
      <c r="DK4" s="763"/>
      <c r="DL4" s="763"/>
      <c r="DM4" s="763"/>
      <c r="DN4" s="763"/>
      <c r="DO4" s="763"/>
      <c r="DP4" s="763"/>
      <c r="DQ4" s="763"/>
      <c r="DR4" s="763"/>
      <c r="DS4" s="763"/>
      <c r="DT4" s="763"/>
      <c r="DU4" s="763"/>
      <c r="DV4" s="763"/>
      <c r="DW4" s="763"/>
      <c r="DX4" s="763"/>
      <c r="DY4" s="763"/>
      <c r="DZ4" s="763"/>
      <c r="EA4" s="763"/>
      <c r="EB4" s="763"/>
      <c r="EC4" s="763"/>
    </row>
    <row r="5" spans="1:133" s="899" customFormat="1" ht="11.25" x14ac:dyDescent="0.2">
      <c r="A5" s="426"/>
      <c r="B5" s="536" t="s">
        <v>1155</v>
      </c>
      <c r="C5" s="426"/>
      <c r="D5" s="426"/>
      <c r="E5" s="426"/>
      <c r="F5" s="426"/>
      <c r="G5" s="426"/>
      <c r="H5" s="426"/>
      <c r="I5" s="426"/>
      <c r="J5" s="426"/>
      <c r="K5" s="426"/>
      <c r="L5" s="480"/>
      <c r="M5" s="480"/>
      <c r="N5" s="480"/>
      <c r="O5" s="480"/>
      <c r="P5" s="480"/>
      <c r="Q5" s="480"/>
      <c r="R5" s="762"/>
      <c r="S5" s="763"/>
      <c r="T5" s="763"/>
      <c r="U5" s="763"/>
      <c r="V5" s="763"/>
      <c r="W5" s="763"/>
      <c r="X5" s="763"/>
      <c r="Y5" s="763"/>
      <c r="Z5" s="763"/>
      <c r="AA5" s="763"/>
      <c r="AB5" s="763"/>
      <c r="AC5" s="763"/>
      <c r="AD5" s="763"/>
      <c r="AE5" s="763"/>
      <c r="AF5" s="763"/>
      <c r="AG5" s="763"/>
      <c r="AH5" s="763"/>
      <c r="AI5" s="763"/>
      <c r="AJ5" s="763"/>
      <c r="AK5" s="763"/>
      <c r="AL5" s="763"/>
      <c r="AM5" s="763"/>
      <c r="AN5" s="763"/>
      <c r="AO5" s="763"/>
      <c r="AP5" s="763"/>
      <c r="AQ5" s="763"/>
      <c r="AR5" s="763"/>
      <c r="AS5" s="763"/>
      <c r="AT5" s="763"/>
      <c r="AU5" s="763"/>
      <c r="AV5" s="763"/>
      <c r="AW5" s="763"/>
      <c r="AX5" s="763"/>
      <c r="AY5" s="763"/>
      <c r="AZ5" s="763"/>
      <c r="BA5" s="763"/>
      <c r="BB5" s="763"/>
      <c r="BC5" s="763"/>
      <c r="BD5" s="763"/>
      <c r="BE5" s="763"/>
      <c r="BF5" s="763"/>
      <c r="BG5" s="763"/>
      <c r="BH5" s="763"/>
      <c r="BI5" s="763"/>
      <c r="BJ5" s="763"/>
      <c r="BK5" s="763"/>
      <c r="BL5" s="763"/>
      <c r="BM5" s="763"/>
      <c r="BN5" s="763"/>
      <c r="BO5" s="763"/>
      <c r="BP5" s="763"/>
      <c r="BQ5" s="763"/>
      <c r="BR5" s="763"/>
      <c r="BS5" s="763"/>
      <c r="BT5" s="763"/>
      <c r="BU5" s="763"/>
      <c r="BV5" s="763"/>
      <c r="BW5" s="763"/>
      <c r="BX5" s="763"/>
      <c r="BY5" s="763"/>
      <c r="BZ5" s="763"/>
      <c r="CA5" s="763"/>
      <c r="CB5" s="763"/>
      <c r="CC5" s="763"/>
      <c r="CD5" s="763"/>
      <c r="CE5" s="763"/>
      <c r="CF5" s="763"/>
      <c r="CG5" s="763"/>
      <c r="CH5" s="763"/>
      <c r="CI5" s="763"/>
      <c r="CJ5" s="763"/>
      <c r="CK5" s="763"/>
      <c r="CL5" s="763"/>
      <c r="CM5" s="763"/>
      <c r="CN5" s="763"/>
      <c r="CO5" s="763"/>
      <c r="CP5" s="763"/>
      <c r="CQ5" s="763"/>
      <c r="CR5" s="763"/>
      <c r="CS5" s="763"/>
      <c r="CT5" s="763"/>
      <c r="CU5" s="763"/>
      <c r="CV5" s="763"/>
      <c r="CW5" s="763"/>
      <c r="CX5" s="763"/>
      <c r="CY5" s="763"/>
      <c r="CZ5" s="763"/>
      <c r="DA5" s="763"/>
      <c r="DB5" s="763"/>
      <c r="DC5" s="763"/>
      <c r="DD5" s="763"/>
      <c r="DE5" s="763"/>
      <c r="DF5" s="763"/>
      <c r="DG5" s="763"/>
      <c r="DH5" s="763"/>
      <c r="DI5" s="763"/>
      <c r="DJ5" s="763"/>
      <c r="DK5" s="763"/>
      <c r="DL5" s="763"/>
      <c r="DM5" s="763"/>
      <c r="DN5" s="763"/>
      <c r="DO5" s="763"/>
      <c r="DP5" s="763"/>
      <c r="DQ5" s="763"/>
      <c r="DR5" s="763"/>
      <c r="DS5" s="763"/>
      <c r="DT5" s="763"/>
      <c r="DU5" s="763"/>
      <c r="DV5" s="763"/>
      <c r="DW5" s="763"/>
      <c r="DX5" s="763"/>
      <c r="DY5" s="763"/>
      <c r="DZ5" s="763"/>
      <c r="EA5" s="763"/>
      <c r="EB5" s="763"/>
      <c r="EC5" s="763"/>
    </row>
    <row r="6" spans="1:133" s="899" customFormat="1" ht="3" customHeight="1" thickBot="1" x14ac:dyDescent="0.25">
      <c r="A6" s="426"/>
      <c r="B6" s="426"/>
      <c r="C6" s="426"/>
      <c r="D6" s="426"/>
      <c r="E6" s="426"/>
      <c r="F6" s="426"/>
      <c r="G6" s="426"/>
      <c r="H6" s="426"/>
      <c r="I6" s="426"/>
      <c r="J6" s="426"/>
      <c r="K6" s="426"/>
      <c r="L6" s="480"/>
      <c r="M6" s="480"/>
      <c r="N6" s="480"/>
      <c r="O6" s="480"/>
      <c r="P6" s="480"/>
      <c r="Q6" s="480"/>
      <c r="R6" s="762"/>
      <c r="S6" s="763"/>
      <c r="T6" s="763"/>
      <c r="U6" s="763"/>
      <c r="V6" s="763"/>
      <c r="W6" s="763"/>
      <c r="X6" s="763"/>
      <c r="Y6" s="763"/>
      <c r="Z6" s="763"/>
      <c r="AA6" s="763"/>
      <c r="AB6" s="763"/>
      <c r="AC6" s="763"/>
      <c r="AD6" s="763"/>
      <c r="AE6" s="763"/>
      <c r="AF6" s="763"/>
      <c r="AG6" s="763"/>
      <c r="AH6" s="763"/>
      <c r="AI6" s="763"/>
      <c r="AJ6" s="763"/>
      <c r="AK6" s="763"/>
      <c r="AL6" s="763"/>
      <c r="AM6" s="763"/>
      <c r="AN6" s="763"/>
      <c r="AO6" s="763"/>
      <c r="AP6" s="763"/>
      <c r="AQ6" s="763"/>
      <c r="AR6" s="763"/>
      <c r="AS6" s="763"/>
      <c r="AT6" s="763"/>
      <c r="AU6" s="763"/>
      <c r="AV6" s="763"/>
      <c r="AW6" s="763"/>
      <c r="AX6" s="763"/>
      <c r="AY6" s="763"/>
      <c r="AZ6" s="763"/>
      <c r="BA6" s="763"/>
      <c r="BB6" s="763"/>
      <c r="BC6" s="763"/>
      <c r="BD6" s="763"/>
      <c r="BE6" s="763"/>
      <c r="BF6" s="763"/>
      <c r="BG6" s="763"/>
      <c r="BH6" s="763"/>
      <c r="BI6" s="763"/>
      <c r="BJ6" s="763"/>
      <c r="BK6" s="763"/>
      <c r="BL6" s="763"/>
      <c r="BM6" s="763"/>
      <c r="BN6" s="763"/>
      <c r="BO6" s="763"/>
      <c r="BP6" s="763"/>
      <c r="BQ6" s="763"/>
      <c r="BR6" s="763"/>
      <c r="BS6" s="763"/>
      <c r="BT6" s="763"/>
      <c r="BU6" s="763"/>
      <c r="BV6" s="763"/>
      <c r="BW6" s="763"/>
      <c r="BX6" s="763"/>
      <c r="BY6" s="763"/>
      <c r="BZ6" s="763"/>
      <c r="CA6" s="763"/>
      <c r="CB6" s="763"/>
      <c r="CC6" s="763"/>
      <c r="CD6" s="763"/>
      <c r="CE6" s="763"/>
      <c r="CF6" s="763"/>
      <c r="CG6" s="763"/>
      <c r="CH6" s="763"/>
      <c r="CI6" s="763"/>
      <c r="CJ6" s="763"/>
      <c r="CK6" s="763"/>
      <c r="CL6" s="763"/>
      <c r="CM6" s="763"/>
      <c r="CN6" s="763"/>
      <c r="CO6" s="763"/>
      <c r="CP6" s="763"/>
      <c r="CQ6" s="763"/>
      <c r="CR6" s="763"/>
      <c r="CS6" s="763"/>
      <c r="CT6" s="763"/>
      <c r="CU6" s="763"/>
      <c r="CV6" s="763"/>
      <c r="CW6" s="763"/>
      <c r="CX6" s="763"/>
      <c r="CY6" s="763"/>
      <c r="CZ6" s="763"/>
      <c r="DA6" s="763"/>
      <c r="DB6" s="763"/>
      <c r="DC6" s="763"/>
      <c r="DD6" s="763"/>
      <c r="DE6" s="763"/>
      <c r="DF6" s="763"/>
      <c r="DG6" s="763"/>
      <c r="DH6" s="763"/>
      <c r="DI6" s="763"/>
      <c r="DJ6" s="763"/>
      <c r="DK6" s="763"/>
      <c r="DL6" s="763"/>
      <c r="DM6" s="763"/>
      <c r="DN6" s="763"/>
      <c r="DO6" s="763"/>
      <c r="DP6" s="763"/>
      <c r="DQ6" s="763"/>
      <c r="DR6" s="763"/>
      <c r="DS6" s="763"/>
      <c r="DT6" s="763"/>
      <c r="DU6" s="763"/>
      <c r="DV6" s="763"/>
      <c r="DW6" s="763"/>
      <c r="DX6" s="763"/>
      <c r="DY6" s="763"/>
      <c r="DZ6" s="763"/>
      <c r="EA6" s="763"/>
      <c r="EB6" s="763"/>
      <c r="EC6" s="763"/>
    </row>
    <row r="7" spans="1:133" s="899" customFormat="1" ht="14.1" customHeight="1" x14ac:dyDescent="0.2">
      <c r="A7" s="426"/>
      <c r="B7" s="1241" t="s">
        <v>1156</v>
      </c>
      <c r="C7" s="1211" t="s">
        <v>1157</v>
      </c>
      <c r="D7" s="1293"/>
      <c r="E7" s="1212"/>
      <c r="F7" s="683"/>
      <c r="G7" s="1229" t="s">
        <v>257</v>
      </c>
      <c r="H7" s="1229"/>
      <c r="I7" s="1307" t="s">
        <v>1158</v>
      </c>
      <c r="J7" s="1307"/>
      <c r="K7" s="1307"/>
      <c r="L7" s="1307"/>
      <c r="M7" s="1307"/>
      <c r="N7" s="1307"/>
      <c r="O7" s="1269" t="s">
        <v>1159</v>
      </c>
      <c r="P7" s="1270" t="s">
        <v>1160</v>
      </c>
      <c r="Q7" s="1305"/>
      <c r="R7" s="1013"/>
      <c r="S7" s="1013"/>
      <c r="T7" s="1013"/>
      <c r="U7" s="1013"/>
      <c r="V7" s="1309" t="s">
        <v>1008</v>
      </c>
      <c r="W7" s="1299" t="s">
        <v>1009</v>
      </c>
      <c r="X7" s="1300"/>
      <c r="Y7" s="1296" t="s">
        <v>1010</v>
      </c>
      <c r="Z7" s="1296" t="s">
        <v>1011</v>
      </c>
      <c r="AA7" s="1296" t="s">
        <v>1012</v>
      </c>
      <c r="AB7" s="1296" t="s">
        <v>1011</v>
      </c>
      <c r="AC7" s="1296" t="s">
        <v>1013</v>
      </c>
      <c r="AD7" s="1296" t="s">
        <v>1011</v>
      </c>
      <c r="AE7" s="1296" t="s">
        <v>1014</v>
      </c>
      <c r="AF7" s="763"/>
      <c r="AG7" s="763"/>
      <c r="AH7" s="763"/>
      <c r="AI7" s="763"/>
      <c r="AJ7" s="763"/>
      <c r="AK7" s="763"/>
      <c r="AL7" s="763"/>
      <c r="AM7" s="763"/>
      <c r="AN7" s="763"/>
      <c r="AO7" s="763"/>
      <c r="AP7" s="763"/>
      <c r="AQ7" s="763"/>
      <c r="AR7" s="763"/>
      <c r="AS7" s="763"/>
      <c r="AT7" s="763"/>
      <c r="AU7" s="763"/>
      <c r="AV7" s="763"/>
      <c r="AW7" s="763"/>
      <c r="AX7" s="763"/>
      <c r="AY7" s="763"/>
      <c r="AZ7" s="763"/>
      <c r="BA7" s="763"/>
      <c r="BB7" s="763"/>
      <c r="BC7" s="763"/>
      <c r="BD7" s="763"/>
      <c r="BE7" s="763"/>
      <c r="BF7" s="763"/>
      <c r="BG7" s="763"/>
      <c r="BH7" s="763"/>
      <c r="BI7" s="763"/>
      <c r="BJ7" s="763"/>
      <c r="BK7" s="763"/>
      <c r="BL7" s="763"/>
      <c r="BM7" s="763"/>
      <c r="BN7" s="763"/>
      <c r="BO7" s="763"/>
      <c r="BP7" s="763"/>
      <c r="BQ7" s="763"/>
      <c r="BR7" s="763"/>
      <c r="BS7" s="763"/>
      <c r="BT7" s="763"/>
      <c r="BU7" s="763"/>
      <c r="BV7" s="763"/>
      <c r="BW7" s="763"/>
      <c r="BX7" s="763"/>
      <c r="BY7" s="763"/>
      <c r="BZ7" s="763"/>
      <c r="CA7" s="763"/>
      <c r="CB7" s="763"/>
      <c r="CC7" s="763"/>
      <c r="CD7" s="763"/>
      <c r="CE7" s="763"/>
      <c r="CF7" s="763"/>
      <c r="CG7" s="763"/>
      <c r="CH7" s="763"/>
      <c r="CI7" s="763"/>
      <c r="CJ7" s="763"/>
      <c r="CK7" s="763"/>
      <c r="CL7" s="763"/>
      <c r="CM7" s="763"/>
      <c r="CN7" s="763"/>
      <c r="CO7" s="763"/>
      <c r="CP7" s="763"/>
      <c r="CQ7" s="763"/>
      <c r="CR7" s="763"/>
      <c r="CS7" s="763"/>
      <c r="CT7" s="763"/>
      <c r="CU7" s="763"/>
      <c r="CV7" s="763"/>
      <c r="CW7" s="763"/>
      <c r="CX7" s="763"/>
      <c r="CY7" s="763"/>
      <c r="CZ7" s="763"/>
      <c r="DA7" s="763"/>
      <c r="DB7" s="763"/>
      <c r="DC7" s="763"/>
      <c r="DD7" s="763"/>
      <c r="DE7" s="763"/>
      <c r="DF7" s="763"/>
      <c r="DG7" s="763"/>
      <c r="DH7" s="763"/>
      <c r="DI7" s="763"/>
      <c r="DJ7" s="763"/>
      <c r="DK7" s="763"/>
      <c r="DL7" s="763"/>
      <c r="DM7" s="763"/>
      <c r="DN7" s="763"/>
      <c r="DO7" s="763"/>
      <c r="DP7" s="763"/>
      <c r="DQ7" s="763"/>
      <c r="DR7" s="763"/>
      <c r="DS7" s="763"/>
      <c r="DT7" s="763"/>
      <c r="DU7" s="763"/>
      <c r="DV7" s="763"/>
      <c r="DW7" s="763"/>
      <c r="DX7" s="763"/>
      <c r="DY7" s="763"/>
      <c r="DZ7" s="763"/>
      <c r="EA7" s="763"/>
      <c r="EB7" s="763"/>
      <c r="EC7" s="763"/>
    </row>
    <row r="8" spans="1:133" s="899" customFormat="1" ht="27.95" customHeight="1" x14ac:dyDescent="0.2">
      <c r="A8" s="426"/>
      <c r="B8" s="1242"/>
      <c r="C8" s="1312" t="s">
        <v>1161</v>
      </c>
      <c r="D8" s="1314" t="s">
        <v>1162</v>
      </c>
      <c r="E8" s="1315"/>
      <c r="F8" s="684"/>
      <c r="G8" s="1294"/>
      <c r="H8" s="1294"/>
      <c r="I8" s="1254" t="s">
        <v>1163</v>
      </c>
      <c r="J8" s="1254"/>
      <c r="K8" s="1318" t="s">
        <v>1164</v>
      </c>
      <c r="L8" s="1253"/>
      <c r="M8" s="1318" t="s">
        <v>1411</v>
      </c>
      <c r="N8" s="1253"/>
      <c r="O8" s="1256"/>
      <c r="P8" s="1274"/>
      <c r="Q8" s="1306"/>
      <c r="R8" s="1013"/>
      <c r="S8" s="1013"/>
      <c r="T8" s="1013"/>
      <c r="U8" s="1013"/>
      <c r="V8" s="1310"/>
      <c r="W8" s="1301"/>
      <c r="X8" s="1302"/>
      <c r="Y8" s="1297"/>
      <c r="Z8" s="1297"/>
      <c r="AA8" s="1297"/>
      <c r="AB8" s="1297"/>
      <c r="AC8" s="1297"/>
      <c r="AD8" s="1297"/>
      <c r="AE8" s="1297"/>
      <c r="AF8" s="763"/>
      <c r="AG8" s="763"/>
      <c r="AH8" s="763"/>
      <c r="AI8" s="763"/>
      <c r="AJ8" s="763"/>
      <c r="AK8" s="763"/>
      <c r="AL8" s="763"/>
      <c r="AM8" s="763"/>
      <c r="AN8" s="763"/>
      <c r="AO8" s="763"/>
      <c r="AP8" s="763"/>
      <c r="AQ8" s="763"/>
      <c r="AR8" s="763"/>
      <c r="AS8" s="763"/>
      <c r="AT8" s="763"/>
      <c r="AU8" s="763"/>
      <c r="AV8" s="763"/>
      <c r="AW8" s="763"/>
      <c r="AX8" s="763"/>
      <c r="AY8" s="763"/>
      <c r="AZ8" s="763"/>
      <c r="BA8" s="763"/>
      <c r="BB8" s="763"/>
      <c r="BC8" s="763"/>
      <c r="BD8" s="763"/>
      <c r="BE8" s="763"/>
      <c r="BF8" s="763"/>
      <c r="BG8" s="763"/>
      <c r="BH8" s="763"/>
      <c r="BI8" s="763"/>
      <c r="BJ8" s="763"/>
      <c r="BK8" s="763"/>
      <c r="BL8" s="763"/>
      <c r="BM8" s="763"/>
      <c r="BN8" s="763"/>
      <c r="BO8" s="763"/>
      <c r="BP8" s="763"/>
      <c r="BQ8" s="763"/>
      <c r="BR8" s="763"/>
      <c r="BS8" s="763"/>
      <c r="BT8" s="763"/>
      <c r="BU8" s="763"/>
      <c r="BV8" s="763"/>
      <c r="BW8" s="763"/>
      <c r="BX8" s="763"/>
      <c r="BY8" s="763"/>
      <c r="BZ8" s="763"/>
      <c r="CA8" s="763"/>
      <c r="CB8" s="763"/>
      <c r="CC8" s="763"/>
      <c r="CD8" s="763"/>
      <c r="CE8" s="763"/>
      <c r="CF8" s="763"/>
      <c r="CG8" s="763"/>
      <c r="CH8" s="763"/>
      <c r="CI8" s="763"/>
      <c r="CJ8" s="763"/>
      <c r="CK8" s="763"/>
      <c r="CL8" s="763"/>
      <c r="CM8" s="763"/>
      <c r="CN8" s="763"/>
      <c r="CO8" s="763"/>
      <c r="CP8" s="763"/>
      <c r="CQ8" s="763"/>
      <c r="CR8" s="763"/>
      <c r="CS8" s="763"/>
      <c r="CT8" s="763"/>
      <c r="CU8" s="763"/>
      <c r="CV8" s="763"/>
      <c r="CW8" s="763"/>
      <c r="CX8" s="763"/>
      <c r="CY8" s="763"/>
      <c r="CZ8" s="763"/>
      <c r="DA8" s="763"/>
      <c r="DB8" s="763"/>
      <c r="DC8" s="763"/>
      <c r="DD8" s="763"/>
      <c r="DE8" s="763"/>
      <c r="DF8" s="763"/>
      <c r="DG8" s="763"/>
      <c r="DH8" s="763"/>
      <c r="DI8" s="763"/>
      <c r="DJ8" s="763"/>
      <c r="DK8" s="763"/>
      <c r="DL8" s="763"/>
      <c r="DM8" s="763"/>
      <c r="DN8" s="763"/>
      <c r="DO8" s="763"/>
      <c r="DP8" s="763"/>
      <c r="DQ8" s="763"/>
      <c r="DR8" s="763"/>
      <c r="DS8" s="763"/>
      <c r="DT8" s="763"/>
      <c r="DU8" s="763"/>
      <c r="DV8" s="763"/>
      <c r="DW8" s="763"/>
      <c r="DX8" s="763"/>
      <c r="DY8" s="763"/>
      <c r="DZ8" s="763"/>
      <c r="EA8" s="763"/>
      <c r="EB8" s="763"/>
      <c r="EC8" s="763"/>
    </row>
    <row r="9" spans="1:133" s="899" customFormat="1" ht="14.1" customHeight="1" thickBot="1" x14ac:dyDescent="0.25">
      <c r="A9" s="426"/>
      <c r="B9" s="1292"/>
      <c r="C9" s="1313"/>
      <c r="D9" s="1316"/>
      <c r="E9" s="1317"/>
      <c r="F9" s="687"/>
      <c r="G9" s="1295"/>
      <c r="H9" s="1295"/>
      <c r="I9" s="688" t="s">
        <v>1025</v>
      </c>
      <c r="J9" s="688" t="s">
        <v>1027</v>
      </c>
      <c r="K9" s="689" t="s">
        <v>1025</v>
      </c>
      <c r="L9" s="689" t="s">
        <v>1027</v>
      </c>
      <c r="M9" s="689" t="s">
        <v>1025</v>
      </c>
      <c r="N9" s="689" t="s">
        <v>1027</v>
      </c>
      <c r="O9" s="1308"/>
      <c r="P9" s="689" t="s">
        <v>1025</v>
      </c>
      <c r="Q9" s="690" t="s">
        <v>1027</v>
      </c>
      <c r="R9" s="1014"/>
      <c r="S9" s="1014"/>
      <c r="T9" s="1014"/>
      <c r="U9" s="1014"/>
      <c r="V9" s="1311"/>
      <c r="W9" s="1015" t="s">
        <v>1025</v>
      </c>
      <c r="X9" s="1015" t="s">
        <v>1027</v>
      </c>
      <c r="Y9" s="1298"/>
      <c r="Z9" s="1298"/>
      <c r="AA9" s="1298"/>
      <c r="AB9" s="1298"/>
      <c r="AC9" s="1298"/>
      <c r="AD9" s="1298"/>
      <c r="AE9" s="1298"/>
      <c r="AF9" s="763"/>
      <c r="AG9" s="763"/>
      <c r="AH9" s="763"/>
      <c r="AI9" s="763"/>
      <c r="AJ9" s="763"/>
      <c r="AK9" s="763"/>
      <c r="AL9" s="763"/>
      <c r="AM9" s="763"/>
      <c r="AN9" s="763"/>
      <c r="AO9" s="763"/>
      <c r="AP9" s="763"/>
      <c r="AQ9" s="763"/>
      <c r="AR9" s="763"/>
      <c r="AS9" s="763"/>
      <c r="AT9" s="763"/>
      <c r="AU9" s="763"/>
      <c r="AV9" s="763"/>
      <c r="AW9" s="763"/>
      <c r="AX9" s="763"/>
      <c r="AY9" s="763"/>
      <c r="AZ9" s="763"/>
      <c r="BA9" s="763"/>
      <c r="BB9" s="763"/>
      <c r="BC9" s="763"/>
      <c r="BD9" s="763"/>
      <c r="BE9" s="763"/>
      <c r="BF9" s="763"/>
      <c r="BG9" s="763"/>
      <c r="BH9" s="763"/>
      <c r="BI9" s="763"/>
      <c r="BJ9" s="763"/>
      <c r="BK9" s="763"/>
      <c r="BL9" s="763"/>
      <c r="BM9" s="763"/>
      <c r="BN9" s="763"/>
      <c r="BO9" s="763"/>
      <c r="BP9" s="763"/>
      <c r="BQ9" s="763"/>
      <c r="BR9" s="763"/>
      <c r="BS9" s="763"/>
      <c r="BT9" s="763"/>
      <c r="BU9" s="763"/>
      <c r="BV9" s="763"/>
      <c r="BW9" s="763"/>
      <c r="BX9" s="763"/>
      <c r="BY9" s="763"/>
      <c r="BZ9" s="763"/>
      <c r="CA9" s="763"/>
      <c r="CB9" s="763"/>
      <c r="CC9" s="763"/>
      <c r="CD9" s="763"/>
      <c r="CE9" s="763"/>
      <c r="CF9" s="763"/>
      <c r="CG9" s="763"/>
      <c r="CH9" s="763"/>
      <c r="CI9" s="763"/>
      <c r="CJ9" s="763"/>
      <c r="CK9" s="763"/>
      <c r="CL9" s="763"/>
      <c r="CM9" s="763"/>
      <c r="CN9" s="763"/>
      <c r="CO9" s="763"/>
      <c r="CP9" s="763"/>
      <c r="CQ9" s="763"/>
      <c r="CR9" s="763"/>
      <c r="CS9" s="763"/>
      <c r="CT9" s="763"/>
      <c r="CU9" s="763"/>
      <c r="CV9" s="763"/>
      <c r="CW9" s="763"/>
      <c r="CX9" s="763"/>
      <c r="CY9" s="763"/>
      <c r="CZ9" s="763"/>
      <c r="DA9" s="763"/>
      <c r="DB9" s="763"/>
      <c r="DC9" s="763"/>
      <c r="DD9" s="763"/>
      <c r="DE9" s="763"/>
      <c r="DF9" s="763"/>
      <c r="DG9" s="763"/>
      <c r="DH9" s="763"/>
      <c r="DI9" s="763"/>
      <c r="DJ9" s="763"/>
      <c r="DK9" s="763"/>
      <c r="DL9" s="763"/>
      <c r="DM9" s="763"/>
      <c r="DN9" s="763"/>
      <c r="DO9" s="763"/>
      <c r="DP9" s="763"/>
      <c r="DQ9" s="763"/>
      <c r="DR9" s="763"/>
      <c r="DS9" s="763"/>
      <c r="DT9" s="763"/>
      <c r="DU9" s="763"/>
      <c r="DV9" s="763"/>
      <c r="DW9" s="763"/>
      <c r="DX9" s="763"/>
      <c r="DY9" s="763"/>
      <c r="DZ9" s="763"/>
      <c r="EA9" s="763"/>
      <c r="EB9" s="763"/>
      <c r="EC9" s="763"/>
    </row>
    <row r="10" spans="1:133" s="899" customFormat="1" ht="14.1" customHeight="1" x14ac:dyDescent="0.2">
      <c r="A10" s="426"/>
      <c r="B10" s="1319">
        <v>1</v>
      </c>
      <c r="C10" s="691" t="s">
        <v>1165</v>
      </c>
      <c r="D10" s="1321" t="s">
        <v>1165</v>
      </c>
      <c r="E10" s="1322"/>
      <c r="F10" s="692"/>
      <c r="G10" s="693" t="s">
        <v>1166</v>
      </c>
      <c r="H10" s="693"/>
      <c r="I10" s="694"/>
      <c r="J10" s="694"/>
      <c r="K10" s="695"/>
      <c r="L10" s="696"/>
      <c r="M10" s="697">
        <f>I10+K10</f>
        <v>0</v>
      </c>
      <c r="N10" s="697">
        <f>J10+L10</f>
        <v>0</v>
      </c>
      <c r="O10" s="698">
        <v>0</v>
      </c>
      <c r="P10" s="699">
        <f>M10*O10</f>
        <v>0</v>
      </c>
      <c r="Q10" s="700">
        <f>N10*O10</f>
        <v>0</v>
      </c>
      <c r="R10" s="1016"/>
      <c r="S10" s="1016"/>
      <c r="T10" s="1016"/>
      <c r="U10" s="1016"/>
      <c r="V10" s="1017">
        <f>IF(P10&lt;=Q10,P10*10%,Q10*10%)</f>
        <v>0</v>
      </c>
      <c r="W10" s="1018">
        <f>IF(P10&gt;Q10,P10-Q10,0)</f>
        <v>0</v>
      </c>
      <c r="X10" s="1018">
        <f>IF(Q10&gt;P10,Q10-P10,0)</f>
        <v>0</v>
      </c>
      <c r="Y10" s="1323">
        <f>IF(SUM(W10:W13)&lt;SUM(X10:X13),SUM(W10:W13)*40%,SUM(X10:X13)*40%)</f>
        <v>0</v>
      </c>
      <c r="Z10" s="1323">
        <f>(SUM(W10:W13)-SUM(X10:X13))</f>
        <v>0</v>
      </c>
      <c r="AA10" s="1323">
        <f>(IF(Z10=0,0,IF(Z14=0,0,IF(Z10&gt;0,IF(Z14&lt;0,IF(Z10&lt;ABS(Z14),Z10*40%,ABS(Z14)*40%),0),IF(Z14&gt;0,IF(ABS(Z10)&lt;Z14,ABS(Z10)*40%,Z14*40%),0)))))</f>
        <v>0</v>
      </c>
      <c r="AB10" s="1323">
        <f>IF(AA10=0,Z10,IF(ABS(Z10)&lt;ABS(Z14),0,Z10+Z14))</f>
        <v>0</v>
      </c>
      <c r="AC10" s="1337"/>
      <c r="AD10" s="1323">
        <f>AB10</f>
        <v>0</v>
      </c>
      <c r="AE10" s="1330">
        <f>(IF(AD10=0,0,IF(AD17=0,0,IF(AD10&gt;0,IF(AD17&lt;0,IF(AD10&lt;ABS(AD17),AD10*100%,ABS(AD17)*100%),0),IF(AD17&gt;0,IF(ABS(AD10)&lt;AD17,ABS(AD10)*100%,AD17*100%),0)))))</f>
        <v>0</v>
      </c>
      <c r="AF10" s="763"/>
      <c r="AG10" s="763"/>
      <c r="AH10" s="763"/>
      <c r="AI10" s="763"/>
      <c r="AJ10" s="763"/>
      <c r="AK10" s="763"/>
      <c r="AL10" s="763"/>
      <c r="AM10" s="763"/>
      <c r="AN10" s="763"/>
      <c r="AO10" s="763"/>
      <c r="AP10" s="763"/>
      <c r="AQ10" s="763"/>
      <c r="AR10" s="763"/>
      <c r="AS10" s="763"/>
      <c r="AT10" s="763"/>
      <c r="AU10" s="763"/>
      <c r="AV10" s="763"/>
      <c r="AW10" s="763"/>
      <c r="AX10" s="763"/>
      <c r="AY10" s="763"/>
      <c r="AZ10" s="763"/>
      <c r="BA10" s="763"/>
      <c r="BB10" s="763"/>
      <c r="BC10" s="763"/>
      <c r="BD10" s="763"/>
      <c r="BE10" s="763"/>
      <c r="BF10" s="763"/>
      <c r="BG10" s="763"/>
      <c r="BH10" s="763"/>
      <c r="BI10" s="763"/>
      <c r="BJ10" s="763"/>
      <c r="BK10" s="763"/>
      <c r="BL10" s="763"/>
      <c r="BM10" s="763"/>
      <c r="BN10" s="763"/>
      <c r="BO10" s="763"/>
      <c r="BP10" s="763"/>
      <c r="BQ10" s="763"/>
      <c r="BR10" s="763"/>
      <c r="BS10" s="763"/>
      <c r="BT10" s="763"/>
      <c r="BU10" s="763"/>
      <c r="BV10" s="763"/>
      <c r="BW10" s="763"/>
      <c r="BX10" s="763"/>
      <c r="BY10" s="763"/>
      <c r="BZ10" s="763"/>
      <c r="CA10" s="763"/>
      <c r="CB10" s="763"/>
      <c r="CC10" s="763"/>
      <c r="CD10" s="763"/>
      <c r="CE10" s="763"/>
      <c r="CF10" s="763"/>
      <c r="CG10" s="763"/>
      <c r="CH10" s="763"/>
      <c r="CI10" s="763"/>
      <c r="CJ10" s="763"/>
      <c r="CK10" s="763"/>
      <c r="CL10" s="763"/>
      <c r="CM10" s="763"/>
      <c r="CN10" s="763"/>
      <c r="CO10" s="763"/>
      <c r="CP10" s="763"/>
      <c r="CQ10" s="763"/>
      <c r="CR10" s="763"/>
      <c r="CS10" s="763"/>
      <c r="CT10" s="763"/>
      <c r="CU10" s="763"/>
      <c r="CV10" s="763"/>
      <c r="CW10" s="763"/>
      <c r="CX10" s="763"/>
      <c r="CY10" s="763"/>
      <c r="CZ10" s="763"/>
      <c r="DA10" s="763"/>
      <c r="DB10" s="763"/>
      <c r="DC10" s="763"/>
      <c r="DD10" s="763"/>
      <c r="DE10" s="763"/>
      <c r="DF10" s="763"/>
      <c r="DG10" s="763"/>
      <c r="DH10" s="763"/>
      <c r="DI10" s="763"/>
      <c r="DJ10" s="763"/>
      <c r="DK10" s="763"/>
      <c r="DL10" s="763"/>
      <c r="DM10" s="763"/>
      <c r="DN10" s="763"/>
      <c r="DO10" s="763"/>
      <c r="DP10" s="763"/>
      <c r="DQ10" s="763"/>
      <c r="DR10" s="763"/>
      <c r="DS10" s="763"/>
      <c r="DT10" s="763"/>
      <c r="DU10" s="763"/>
      <c r="DV10" s="763"/>
      <c r="DW10" s="763"/>
      <c r="DX10" s="763"/>
      <c r="DY10" s="763"/>
      <c r="DZ10" s="763"/>
      <c r="EA10" s="763"/>
      <c r="EB10" s="763"/>
      <c r="EC10" s="763"/>
    </row>
    <row r="11" spans="1:133" s="899" customFormat="1" ht="14.1" customHeight="1" x14ac:dyDescent="0.2">
      <c r="A11" s="426"/>
      <c r="B11" s="1320"/>
      <c r="C11" s="451" t="s">
        <v>1167</v>
      </c>
      <c r="D11" s="1333" t="s">
        <v>1167</v>
      </c>
      <c r="E11" s="1334"/>
      <c r="F11" s="701"/>
      <c r="G11" s="702" t="s">
        <v>1168</v>
      </c>
      <c r="H11" s="702"/>
      <c r="I11" s="703"/>
      <c r="J11" s="703"/>
      <c r="K11" s="704"/>
      <c r="L11" s="705"/>
      <c r="M11" s="706">
        <f>I11+K11</f>
        <v>0</v>
      </c>
      <c r="N11" s="706">
        <f>J11+L11</f>
        <v>0</v>
      </c>
      <c r="O11" s="707">
        <v>2E-3</v>
      </c>
      <c r="P11" s="708">
        <f>M11*O11</f>
        <v>0</v>
      </c>
      <c r="Q11" s="709">
        <f>N11*O11</f>
        <v>0</v>
      </c>
      <c r="R11" s="1016"/>
      <c r="S11" s="1016"/>
      <c r="T11" s="1016"/>
      <c r="U11" s="1016"/>
      <c r="V11" s="1017">
        <f t="shared" ref="V11:V24" si="0">IF(P11&lt;=Q11,P11*10%,Q11*10%)</f>
        <v>0</v>
      </c>
      <c r="W11" s="1018">
        <f t="shared" ref="W11:W24" si="1">IF(P11&gt;Q11,P11-Q11,0)</f>
        <v>0</v>
      </c>
      <c r="X11" s="1018">
        <f t="shared" ref="X11:X23" si="2">IF(Q11&gt;P11,Q11-P11,0)</f>
        <v>0</v>
      </c>
      <c r="Y11" s="1324"/>
      <c r="Z11" s="1324"/>
      <c r="AA11" s="1324"/>
      <c r="AB11" s="1324"/>
      <c r="AC11" s="1338"/>
      <c r="AD11" s="1324"/>
      <c r="AE11" s="1331"/>
      <c r="AF11" s="763"/>
      <c r="AG11" s="763"/>
      <c r="AH11" s="763"/>
      <c r="AI11" s="763"/>
      <c r="AJ11" s="763"/>
      <c r="AK11" s="763"/>
      <c r="AL11" s="763"/>
      <c r="AM11" s="763"/>
      <c r="AN11" s="763"/>
      <c r="AO11" s="763"/>
      <c r="AP11" s="763"/>
      <c r="AQ11" s="763"/>
      <c r="AR11" s="763"/>
      <c r="AS11" s="763"/>
      <c r="AT11" s="763"/>
      <c r="AU11" s="763"/>
      <c r="AV11" s="763"/>
      <c r="AW11" s="763"/>
      <c r="AX11" s="763"/>
      <c r="AY11" s="763"/>
      <c r="AZ11" s="763"/>
      <c r="BA11" s="763"/>
      <c r="BB11" s="763"/>
      <c r="BC11" s="763"/>
      <c r="BD11" s="763"/>
      <c r="BE11" s="763"/>
      <c r="BF11" s="763"/>
      <c r="BG11" s="763"/>
      <c r="BH11" s="763"/>
      <c r="BI11" s="763"/>
      <c r="BJ11" s="763"/>
      <c r="BK11" s="763"/>
      <c r="BL11" s="763"/>
      <c r="BM11" s="763"/>
      <c r="BN11" s="763"/>
      <c r="BO11" s="763"/>
      <c r="BP11" s="763"/>
      <c r="BQ11" s="763"/>
      <c r="BR11" s="763"/>
      <c r="BS11" s="763"/>
      <c r="BT11" s="763"/>
      <c r="BU11" s="763"/>
      <c r="BV11" s="763"/>
      <c r="BW11" s="763"/>
      <c r="BX11" s="763"/>
      <c r="BY11" s="763"/>
      <c r="BZ11" s="763"/>
      <c r="CA11" s="763"/>
      <c r="CB11" s="763"/>
      <c r="CC11" s="763"/>
      <c r="CD11" s="763"/>
      <c r="CE11" s="763"/>
      <c r="CF11" s="763"/>
      <c r="CG11" s="763"/>
      <c r="CH11" s="763"/>
      <c r="CI11" s="763"/>
      <c r="CJ11" s="763"/>
      <c r="CK11" s="763"/>
      <c r="CL11" s="763"/>
      <c r="CM11" s="763"/>
      <c r="CN11" s="763"/>
      <c r="CO11" s="763"/>
      <c r="CP11" s="763"/>
      <c r="CQ11" s="763"/>
      <c r="CR11" s="763"/>
      <c r="CS11" s="763"/>
      <c r="CT11" s="763"/>
      <c r="CU11" s="763"/>
      <c r="CV11" s="763"/>
      <c r="CW11" s="763"/>
      <c r="CX11" s="763"/>
      <c r="CY11" s="763"/>
      <c r="CZ11" s="763"/>
      <c r="DA11" s="763"/>
      <c r="DB11" s="763"/>
      <c r="DC11" s="763"/>
      <c r="DD11" s="763"/>
      <c r="DE11" s="763"/>
      <c r="DF11" s="763"/>
      <c r="DG11" s="763"/>
      <c r="DH11" s="763"/>
      <c r="DI11" s="763"/>
      <c r="DJ11" s="763"/>
      <c r="DK11" s="763"/>
      <c r="DL11" s="763"/>
      <c r="DM11" s="763"/>
      <c r="DN11" s="763"/>
      <c r="DO11" s="763"/>
      <c r="DP11" s="763"/>
      <c r="DQ11" s="763"/>
      <c r="DR11" s="763"/>
      <c r="DS11" s="763"/>
      <c r="DT11" s="763"/>
      <c r="DU11" s="763"/>
      <c r="DV11" s="763"/>
      <c r="DW11" s="763"/>
      <c r="DX11" s="763"/>
      <c r="DY11" s="763"/>
      <c r="DZ11" s="763"/>
      <c r="EA11" s="763"/>
      <c r="EB11" s="763"/>
      <c r="EC11" s="763"/>
    </row>
    <row r="12" spans="1:133" s="899" customFormat="1" ht="14.1" customHeight="1" x14ac:dyDescent="0.2">
      <c r="A12" s="426"/>
      <c r="B12" s="1320"/>
      <c r="C12" s="710" t="s">
        <v>1169</v>
      </c>
      <c r="D12" s="1333" t="s">
        <v>1169</v>
      </c>
      <c r="E12" s="1334"/>
      <c r="F12" s="701"/>
      <c r="G12" s="702" t="s">
        <v>1170</v>
      </c>
      <c r="H12" s="702"/>
      <c r="I12" s="703"/>
      <c r="J12" s="703"/>
      <c r="K12" s="703"/>
      <c r="L12" s="711"/>
      <c r="M12" s="706">
        <f>I12+K12</f>
        <v>0</v>
      </c>
      <c r="N12" s="706">
        <f t="shared" ref="N12:N24" si="3">J12+L12</f>
        <v>0</v>
      </c>
      <c r="O12" s="712">
        <v>4.0000000000000001E-3</v>
      </c>
      <c r="P12" s="708">
        <f t="shared" ref="P12:P24" si="4">M12*O12</f>
        <v>0</v>
      </c>
      <c r="Q12" s="709">
        <f t="shared" ref="Q12:Q24" si="5">N12*O12</f>
        <v>0</v>
      </c>
      <c r="R12" s="1016"/>
      <c r="S12" s="1016"/>
      <c r="T12" s="1016"/>
      <c r="U12" s="1016"/>
      <c r="V12" s="1017">
        <f t="shared" si="0"/>
        <v>0</v>
      </c>
      <c r="W12" s="1019">
        <f t="shared" si="1"/>
        <v>0</v>
      </c>
      <c r="X12" s="1018">
        <f t="shared" si="2"/>
        <v>0</v>
      </c>
      <c r="Y12" s="1324"/>
      <c r="Z12" s="1324"/>
      <c r="AA12" s="1324"/>
      <c r="AB12" s="1324"/>
      <c r="AC12" s="1338"/>
      <c r="AD12" s="1324"/>
      <c r="AE12" s="1331"/>
      <c r="AF12" s="763"/>
      <c r="AG12" s="763"/>
      <c r="AH12" s="763"/>
      <c r="AI12" s="763"/>
      <c r="AJ12" s="763"/>
      <c r="AK12" s="763"/>
      <c r="AL12" s="763"/>
      <c r="AM12" s="763"/>
      <c r="AN12" s="763"/>
      <c r="AO12" s="763"/>
      <c r="AP12" s="763"/>
      <c r="AQ12" s="763"/>
      <c r="AR12" s="763"/>
      <c r="AS12" s="763"/>
      <c r="AT12" s="763"/>
      <c r="AU12" s="763"/>
      <c r="AV12" s="763"/>
      <c r="AW12" s="763"/>
      <c r="AX12" s="763"/>
      <c r="AY12" s="763"/>
      <c r="AZ12" s="763"/>
      <c r="BA12" s="763"/>
      <c r="BB12" s="763"/>
      <c r="BC12" s="763"/>
      <c r="BD12" s="763"/>
      <c r="BE12" s="763"/>
      <c r="BF12" s="763"/>
      <c r="BG12" s="763"/>
      <c r="BH12" s="763"/>
      <c r="BI12" s="763"/>
      <c r="BJ12" s="763"/>
      <c r="BK12" s="763"/>
      <c r="BL12" s="763"/>
      <c r="BM12" s="763"/>
      <c r="BN12" s="763"/>
      <c r="BO12" s="763"/>
      <c r="BP12" s="763"/>
      <c r="BQ12" s="763"/>
      <c r="BR12" s="763"/>
      <c r="BS12" s="763"/>
      <c r="BT12" s="763"/>
      <c r="BU12" s="763"/>
      <c r="BV12" s="763"/>
      <c r="BW12" s="763"/>
      <c r="BX12" s="763"/>
      <c r="BY12" s="763"/>
      <c r="BZ12" s="763"/>
      <c r="CA12" s="763"/>
      <c r="CB12" s="763"/>
      <c r="CC12" s="763"/>
      <c r="CD12" s="763"/>
      <c r="CE12" s="763"/>
      <c r="CF12" s="763"/>
      <c r="CG12" s="763"/>
      <c r="CH12" s="763"/>
      <c r="CI12" s="763"/>
      <c r="CJ12" s="763"/>
      <c r="CK12" s="763"/>
      <c r="CL12" s="763"/>
      <c r="CM12" s="763"/>
      <c r="CN12" s="763"/>
      <c r="CO12" s="763"/>
      <c r="CP12" s="763"/>
      <c r="CQ12" s="763"/>
      <c r="CR12" s="763"/>
      <c r="CS12" s="763"/>
      <c r="CT12" s="763"/>
      <c r="CU12" s="763"/>
      <c r="CV12" s="763"/>
      <c r="CW12" s="763"/>
      <c r="CX12" s="763"/>
      <c r="CY12" s="763"/>
      <c r="CZ12" s="763"/>
      <c r="DA12" s="763"/>
      <c r="DB12" s="763"/>
      <c r="DC12" s="763"/>
      <c r="DD12" s="763"/>
      <c r="DE12" s="763"/>
      <c r="DF12" s="763"/>
      <c r="DG12" s="763"/>
      <c r="DH12" s="763"/>
      <c r="DI12" s="763"/>
      <c r="DJ12" s="763"/>
      <c r="DK12" s="763"/>
      <c r="DL12" s="763"/>
      <c r="DM12" s="763"/>
      <c r="DN12" s="763"/>
      <c r="DO12" s="763"/>
      <c r="DP12" s="763"/>
      <c r="DQ12" s="763"/>
      <c r="DR12" s="763"/>
      <c r="DS12" s="763"/>
      <c r="DT12" s="763"/>
      <c r="DU12" s="763"/>
      <c r="DV12" s="763"/>
      <c r="DW12" s="763"/>
      <c r="DX12" s="763"/>
      <c r="DY12" s="763"/>
      <c r="DZ12" s="763"/>
      <c r="EA12" s="763"/>
      <c r="EB12" s="763"/>
      <c r="EC12" s="763"/>
    </row>
    <row r="13" spans="1:133" s="899" customFormat="1" ht="14.1" customHeight="1" thickBot="1" x14ac:dyDescent="0.25">
      <c r="A13" s="426"/>
      <c r="B13" s="1320"/>
      <c r="C13" s="710" t="s">
        <v>1171</v>
      </c>
      <c r="D13" s="1335" t="s">
        <v>1171</v>
      </c>
      <c r="E13" s="1336"/>
      <c r="F13" s="713"/>
      <c r="G13" s="714" t="s">
        <v>1172</v>
      </c>
      <c r="H13" s="714"/>
      <c r="I13" s="703"/>
      <c r="J13" s="703"/>
      <c r="K13" s="703"/>
      <c r="L13" s="711"/>
      <c r="M13" s="715">
        <f t="shared" ref="M13:M24" si="6">I13+K13</f>
        <v>0</v>
      </c>
      <c r="N13" s="715">
        <f t="shared" si="3"/>
        <v>0</v>
      </c>
      <c r="O13" s="712">
        <v>7.0000000000000001E-3</v>
      </c>
      <c r="P13" s="716">
        <f t="shared" si="4"/>
        <v>0</v>
      </c>
      <c r="Q13" s="717">
        <f t="shared" si="5"/>
        <v>0</v>
      </c>
      <c r="R13" s="1016"/>
      <c r="S13" s="1016"/>
      <c r="T13" s="1016"/>
      <c r="U13" s="1016"/>
      <c r="V13" s="1020">
        <f t="shared" si="0"/>
        <v>0</v>
      </c>
      <c r="W13" s="1021">
        <f t="shared" si="1"/>
        <v>0</v>
      </c>
      <c r="X13" s="1021">
        <f t="shared" si="2"/>
        <v>0</v>
      </c>
      <c r="Y13" s="1325"/>
      <c r="Z13" s="1325"/>
      <c r="AA13" s="1324"/>
      <c r="AB13" s="1325"/>
      <c r="AC13" s="1339"/>
      <c r="AD13" s="1325"/>
      <c r="AE13" s="1331"/>
      <c r="AF13" s="763"/>
      <c r="AG13" s="763"/>
      <c r="AH13" s="763"/>
      <c r="AI13" s="763"/>
      <c r="AJ13" s="763"/>
      <c r="AK13" s="763"/>
      <c r="AL13" s="763"/>
      <c r="AM13" s="763"/>
      <c r="AN13" s="763"/>
      <c r="AO13" s="763"/>
      <c r="AP13" s="763"/>
      <c r="AQ13" s="763"/>
      <c r="AR13" s="763"/>
      <c r="AS13" s="763"/>
      <c r="AT13" s="763"/>
      <c r="AU13" s="763"/>
      <c r="AV13" s="763"/>
      <c r="AW13" s="763"/>
      <c r="AX13" s="763"/>
      <c r="AY13" s="763"/>
      <c r="AZ13" s="763"/>
      <c r="BA13" s="763"/>
      <c r="BB13" s="763"/>
      <c r="BC13" s="763"/>
      <c r="BD13" s="763"/>
      <c r="BE13" s="763"/>
      <c r="BF13" s="763"/>
      <c r="BG13" s="763"/>
      <c r="BH13" s="763"/>
      <c r="BI13" s="763"/>
      <c r="BJ13" s="763"/>
      <c r="BK13" s="763"/>
      <c r="BL13" s="763"/>
      <c r="BM13" s="763"/>
      <c r="BN13" s="763"/>
      <c r="BO13" s="763"/>
      <c r="BP13" s="763"/>
      <c r="BQ13" s="763"/>
      <c r="BR13" s="763"/>
      <c r="BS13" s="763"/>
      <c r="BT13" s="763"/>
      <c r="BU13" s="763"/>
      <c r="BV13" s="763"/>
      <c r="BW13" s="763"/>
      <c r="BX13" s="763"/>
      <c r="BY13" s="763"/>
      <c r="BZ13" s="763"/>
      <c r="CA13" s="763"/>
      <c r="CB13" s="763"/>
      <c r="CC13" s="763"/>
      <c r="CD13" s="763"/>
      <c r="CE13" s="763"/>
      <c r="CF13" s="763"/>
      <c r="CG13" s="763"/>
      <c r="CH13" s="763"/>
      <c r="CI13" s="763"/>
      <c r="CJ13" s="763"/>
      <c r="CK13" s="763"/>
      <c r="CL13" s="763"/>
      <c r="CM13" s="763"/>
      <c r="CN13" s="763"/>
      <c r="CO13" s="763"/>
      <c r="CP13" s="763"/>
      <c r="CQ13" s="763"/>
      <c r="CR13" s="763"/>
      <c r="CS13" s="763"/>
      <c r="CT13" s="763"/>
      <c r="CU13" s="763"/>
      <c r="CV13" s="763"/>
      <c r="CW13" s="763"/>
      <c r="CX13" s="763"/>
      <c r="CY13" s="763"/>
      <c r="CZ13" s="763"/>
      <c r="DA13" s="763"/>
      <c r="DB13" s="763"/>
      <c r="DC13" s="763"/>
      <c r="DD13" s="763"/>
      <c r="DE13" s="763"/>
      <c r="DF13" s="763"/>
      <c r="DG13" s="763"/>
      <c r="DH13" s="763"/>
      <c r="DI13" s="763"/>
      <c r="DJ13" s="763"/>
      <c r="DK13" s="763"/>
      <c r="DL13" s="763"/>
      <c r="DM13" s="763"/>
      <c r="DN13" s="763"/>
      <c r="DO13" s="763"/>
      <c r="DP13" s="763"/>
      <c r="DQ13" s="763"/>
      <c r="DR13" s="763"/>
      <c r="DS13" s="763"/>
      <c r="DT13" s="763"/>
      <c r="DU13" s="763"/>
      <c r="DV13" s="763"/>
      <c r="DW13" s="763"/>
      <c r="DX13" s="763"/>
      <c r="DY13" s="763"/>
      <c r="DZ13" s="763"/>
      <c r="EA13" s="763"/>
      <c r="EB13" s="763"/>
      <c r="EC13" s="763"/>
    </row>
    <row r="14" spans="1:133" s="899" customFormat="1" ht="14.1" customHeight="1" x14ac:dyDescent="0.2">
      <c r="A14" s="426"/>
      <c r="B14" s="1319">
        <v>2</v>
      </c>
      <c r="C14" s="691" t="s">
        <v>1173</v>
      </c>
      <c r="D14" s="1321" t="s">
        <v>1174</v>
      </c>
      <c r="E14" s="1322"/>
      <c r="F14" s="692"/>
      <c r="G14" s="693" t="s">
        <v>1175</v>
      </c>
      <c r="H14" s="693"/>
      <c r="I14" s="695"/>
      <c r="J14" s="695"/>
      <c r="K14" s="695"/>
      <c r="L14" s="696"/>
      <c r="M14" s="718">
        <f t="shared" si="6"/>
        <v>0</v>
      </c>
      <c r="N14" s="718">
        <f t="shared" si="3"/>
        <v>0</v>
      </c>
      <c r="O14" s="698">
        <v>1.2500000000000001E-2</v>
      </c>
      <c r="P14" s="719">
        <f t="shared" si="4"/>
        <v>0</v>
      </c>
      <c r="Q14" s="720">
        <f t="shared" si="5"/>
        <v>0</v>
      </c>
      <c r="R14" s="1016"/>
      <c r="S14" s="1016"/>
      <c r="T14" s="1016"/>
      <c r="U14" s="1016"/>
      <c r="V14" s="1022">
        <f t="shared" si="0"/>
        <v>0</v>
      </c>
      <c r="W14" s="1023">
        <f t="shared" si="1"/>
        <v>0</v>
      </c>
      <c r="X14" s="1023">
        <f t="shared" si="2"/>
        <v>0</v>
      </c>
      <c r="Y14" s="1327">
        <f>IF(SUM(W14:W16)&lt;SUM(X14:X16),SUM(W14:W16)*30%,SUM(X14:X16)*30%)</f>
        <v>0</v>
      </c>
      <c r="Z14" s="1327">
        <f>(SUM(W14:W16)-SUM(X14:X16))</f>
        <v>0</v>
      </c>
      <c r="AA14" s="1324"/>
      <c r="AB14" s="1327">
        <f>IF(AA10=0,Z14,IF(ABS(Z10)&lt;ABS(Z14),Z10+Z14,0))</f>
        <v>0</v>
      </c>
      <c r="AC14" s="1327">
        <f>(IF(AB14=0,0,IF(AB17=0,0,IF(AB14&gt;0,IF(AB17&lt;0,IF(AB14&lt;ABS(AB17),AB14*40%,ABS(AB17)*40%),0),IF(AB17&gt;0,IF(ABS(AB14)&lt;AB17,ABS(AB14)*40%,AB17*40%),0)))))</f>
        <v>0</v>
      </c>
      <c r="AD14" s="1327">
        <f>IF(AC14=0,AB14,IF(ABS(AB14)&lt;ABS(AB17),0,AB14+AB17))</f>
        <v>0</v>
      </c>
      <c r="AE14" s="1331"/>
      <c r="AF14" s="763"/>
      <c r="AG14" s="763"/>
      <c r="AH14" s="763"/>
      <c r="AI14" s="763"/>
      <c r="AJ14" s="763"/>
      <c r="AK14" s="763"/>
      <c r="AL14" s="763"/>
      <c r="AM14" s="763"/>
      <c r="AN14" s="763"/>
      <c r="AO14" s="763"/>
      <c r="AP14" s="763"/>
      <c r="AQ14" s="763"/>
      <c r="AR14" s="763"/>
      <c r="AS14" s="763"/>
      <c r="AT14" s="763"/>
      <c r="AU14" s="763"/>
      <c r="AV14" s="763"/>
      <c r="AW14" s="763"/>
      <c r="AX14" s="763"/>
      <c r="AY14" s="763"/>
      <c r="AZ14" s="763"/>
      <c r="BA14" s="763"/>
      <c r="BB14" s="763"/>
      <c r="BC14" s="763"/>
      <c r="BD14" s="763"/>
      <c r="BE14" s="763"/>
      <c r="BF14" s="763"/>
      <c r="BG14" s="763"/>
      <c r="BH14" s="763"/>
      <c r="BI14" s="763"/>
      <c r="BJ14" s="763"/>
      <c r="BK14" s="763"/>
      <c r="BL14" s="763"/>
      <c r="BM14" s="763"/>
      <c r="BN14" s="763"/>
      <c r="BO14" s="763"/>
      <c r="BP14" s="763"/>
      <c r="BQ14" s="763"/>
      <c r="BR14" s="763"/>
      <c r="BS14" s="763"/>
      <c r="BT14" s="763"/>
      <c r="BU14" s="763"/>
      <c r="BV14" s="763"/>
      <c r="BW14" s="763"/>
      <c r="BX14" s="763"/>
      <c r="BY14" s="763"/>
      <c r="BZ14" s="763"/>
      <c r="CA14" s="763"/>
      <c r="CB14" s="763"/>
      <c r="CC14" s="763"/>
      <c r="CD14" s="763"/>
      <c r="CE14" s="763"/>
      <c r="CF14" s="763"/>
      <c r="CG14" s="763"/>
      <c r="CH14" s="763"/>
      <c r="CI14" s="763"/>
      <c r="CJ14" s="763"/>
      <c r="CK14" s="763"/>
      <c r="CL14" s="763"/>
      <c r="CM14" s="763"/>
      <c r="CN14" s="763"/>
      <c r="CO14" s="763"/>
      <c r="CP14" s="763"/>
      <c r="CQ14" s="763"/>
      <c r="CR14" s="763"/>
      <c r="CS14" s="763"/>
      <c r="CT14" s="763"/>
      <c r="CU14" s="763"/>
      <c r="CV14" s="763"/>
      <c r="CW14" s="763"/>
      <c r="CX14" s="763"/>
      <c r="CY14" s="763"/>
      <c r="CZ14" s="763"/>
      <c r="DA14" s="763"/>
      <c r="DB14" s="763"/>
      <c r="DC14" s="763"/>
      <c r="DD14" s="763"/>
      <c r="DE14" s="763"/>
      <c r="DF14" s="763"/>
      <c r="DG14" s="763"/>
      <c r="DH14" s="763"/>
      <c r="DI14" s="763"/>
      <c r="DJ14" s="763"/>
      <c r="DK14" s="763"/>
      <c r="DL14" s="763"/>
      <c r="DM14" s="763"/>
      <c r="DN14" s="763"/>
      <c r="DO14" s="763"/>
      <c r="DP14" s="763"/>
      <c r="DQ14" s="763"/>
      <c r="DR14" s="763"/>
      <c r="DS14" s="763"/>
      <c r="DT14" s="763"/>
      <c r="DU14" s="763"/>
      <c r="DV14" s="763"/>
      <c r="DW14" s="763"/>
      <c r="DX14" s="763"/>
      <c r="DY14" s="763"/>
      <c r="DZ14" s="763"/>
      <c r="EA14" s="763"/>
      <c r="EB14" s="763"/>
      <c r="EC14" s="763"/>
    </row>
    <row r="15" spans="1:133" s="899" customFormat="1" ht="14.1" customHeight="1" x14ac:dyDescent="0.2">
      <c r="A15" s="426"/>
      <c r="B15" s="1320"/>
      <c r="C15" s="451" t="s">
        <v>1176</v>
      </c>
      <c r="D15" s="1333" t="s">
        <v>1177</v>
      </c>
      <c r="E15" s="1334"/>
      <c r="F15" s="701"/>
      <c r="G15" s="702" t="s">
        <v>1178</v>
      </c>
      <c r="H15" s="702"/>
      <c r="I15" s="704"/>
      <c r="J15" s="704"/>
      <c r="K15" s="704"/>
      <c r="L15" s="705"/>
      <c r="M15" s="706">
        <f t="shared" si="6"/>
        <v>0</v>
      </c>
      <c r="N15" s="706">
        <f t="shared" si="3"/>
        <v>0</v>
      </c>
      <c r="O15" s="707">
        <v>1.7500000000000002E-2</v>
      </c>
      <c r="P15" s="708">
        <f t="shared" si="4"/>
        <v>0</v>
      </c>
      <c r="Q15" s="709">
        <f t="shared" si="5"/>
        <v>0</v>
      </c>
      <c r="R15" s="1016"/>
      <c r="S15" s="1016"/>
      <c r="T15" s="1016"/>
      <c r="U15" s="1016"/>
      <c r="V15" s="1024">
        <f t="shared" si="0"/>
        <v>0</v>
      </c>
      <c r="W15" s="1025">
        <f t="shared" si="1"/>
        <v>0</v>
      </c>
      <c r="X15" s="1025">
        <f t="shared" si="2"/>
        <v>0</v>
      </c>
      <c r="Y15" s="1328"/>
      <c r="Z15" s="1328"/>
      <c r="AA15" s="1324"/>
      <c r="AB15" s="1328"/>
      <c r="AC15" s="1328"/>
      <c r="AD15" s="1328"/>
      <c r="AE15" s="1331"/>
      <c r="AF15" s="763"/>
      <c r="AG15" s="763"/>
      <c r="AH15" s="763"/>
      <c r="AI15" s="763"/>
      <c r="AJ15" s="763"/>
      <c r="AK15" s="763"/>
      <c r="AL15" s="763"/>
      <c r="AM15" s="763"/>
      <c r="AN15" s="763"/>
      <c r="AO15" s="763"/>
      <c r="AP15" s="763"/>
      <c r="AQ15" s="763"/>
      <c r="AR15" s="763"/>
      <c r="AS15" s="763"/>
      <c r="AT15" s="763"/>
      <c r="AU15" s="763"/>
      <c r="AV15" s="763"/>
      <c r="AW15" s="763"/>
      <c r="AX15" s="763"/>
      <c r="AY15" s="763"/>
      <c r="AZ15" s="763"/>
      <c r="BA15" s="763"/>
      <c r="BB15" s="763"/>
      <c r="BC15" s="763"/>
      <c r="BD15" s="763"/>
      <c r="BE15" s="763"/>
      <c r="BF15" s="763"/>
      <c r="BG15" s="763"/>
      <c r="BH15" s="763"/>
      <c r="BI15" s="763"/>
      <c r="BJ15" s="763"/>
      <c r="BK15" s="763"/>
      <c r="BL15" s="763"/>
      <c r="BM15" s="763"/>
      <c r="BN15" s="763"/>
      <c r="BO15" s="763"/>
      <c r="BP15" s="763"/>
      <c r="BQ15" s="763"/>
      <c r="BR15" s="763"/>
      <c r="BS15" s="763"/>
      <c r="BT15" s="763"/>
      <c r="BU15" s="763"/>
      <c r="BV15" s="763"/>
      <c r="BW15" s="763"/>
      <c r="BX15" s="763"/>
      <c r="BY15" s="763"/>
      <c r="BZ15" s="763"/>
      <c r="CA15" s="763"/>
      <c r="CB15" s="763"/>
      <c r="CC15" s="763"/>
      <c r="CD15" s="763"/>
      <c r="CE15" s="763"/>
      <c r="CF15" s="763"/>
      <c r="CG15" s="763"/>
      <c r="CH15" s="763"/>
      <c r="CI15" s="763"/>
      <c r="CJ15" s="763"/>
      <c r="CK15" s="763"/>
      <c r="CL15" s="763"/>
      <c r="CM15" s="763"/>
      <c r="CN15" s="763"/>
      <c r="CO15" s="763"/>
      <c r="CP15" s="763"/>
      <c r="CQ15" s="763"/>
      <c r="CR15" s="763"/>
      <c r="CS15" s="763"/>
      <c r="CT15" s="763"/>
      <c r="CU15" s="763"/>
      <c r="CV15" s="763"/>
      <c r="CW15" s="763"/>
      <c r="CX15" s="763"/>
      <c r="CY15" s="763"/>
      <c r="CZ15" s="763"/>
      <c r="DA15" s="763"/>
      <c r="DB15" s="763"/>
      <c r="DC15" s="763"/>
      <c r="DD15" s="763"/>
      <c r="DE15" s="763"/>
      <c r="DF15" s="763"/>
      <c r="DG15" s="763"/>
      <c r="DH15" s="763"/>
      <c r="DI15" s="763"/>
      <c r="DJ15" s="763"/>
      <c r="DK15" s="763"/>
      <c r="DL15" s="763"/>
      <c r="DM15" s="763"/>
      <c r="DN15" s="763"/>
      <c r="DO15" s="763"/>
      <c r="DP15" s="763"/>
      <c r="DQ15" s="763"/>
      <c r="DR15" s="763"/>
      <c r="DS15" s="763"/>
      <c r="DT15" s="763"/>
      <c r="DU15" s="763"/>
      <c r="DV15" s="763"/>
      <c r="DW15" s="763"/>
      <c r="DX15" s="763"/>
      <c r="DY15" s="763"/>
      <c r="DZ15" s="763"/>
      <c r="EA15" s="763"/>
      <c r="EB15" s="763"/>
      <c r="EC15" s="763"/>
    </row>
    <row r="16" spans="1:133" s="899" customFormat="1" ht="14.1" customHeight="1" thickBot="1" x14ac:dyDescent="0.25">
      <c r="A16" s="426"/>
      <c r="B16" s="1326"/>
      <c r="C16" s="721" t="s">
        <v>1179</v>
      </c>
      <c r="D16" s="1335" t="s">
        <v>1180</v>
      </c>
      <c r="E16" s="1336"/>
      <c r="F16" s="713"/>
      <c r="G16" s="714" t="s">
        <v>1181</v>
      </c>
      <c r="H16" s="714"/>
      <c r="I16" s="722"/>
      <c r="J16" s="722"/>
      <c r="K16" s="722"/>
      <c r="L16" s="723"/>
      <c r="M16" s="715">
        <f t="shared" si="6"/>
        <v>0</v>
      </c>
      <c r="N16" s="715">
        <f t="shared" si="3"/>
        <v>0</v>
      </c>
      <c r="O16" s="724">
        <v>2.2499999999999999E-2</v>
      </c>
      <c r="P16" s="716">
        <f t="shared" si="4"/>
        <v>0</v>
      </c>
      <c r="Q16" s="717">
        <f t="shared" si="5"/>
        <v>0</v>
      </c>
      <c r="R16" s="1016"/>
      <c r="S16" s="1016"/>
      <c r="T16" s="1016"/>
      <c r="U16" s="1016"/>
      <c r="V16" s="1026">
        <f t="shared" si="0"/>
        <v>0</v>
      </c>
      <c r="W16" s="1027">
        <f t="shared" si="1"/>
        <v>0</v>
      </c>
      <c r="X16" s="1027">
        <f t="shared" si="2"/>
        <v>0</v>
      </c>
      <c r="Y16" s="1329"/>
      <c r="Z16" s="1329"/>
      <c r="AA16" s="1325"/>
      <c r="AB16" s="1329"/>
      <c r="AC16" s="1328"/>
      <c r="AD16" s="1329"/>
      <c r="AE16" s="1331"/>
      <c r="AF16" s="763"/>
      <c r="AG16" s="763"/>
      <c r="AH16" s="763"/>
      <c r="AI16" s="763"/>
      <c r="AJ16" s="763"/>
      <c r="AK16" s="763"/>
      <c r="AL16" s="763"/>
      <c r="AM16" s="763"/>
      <c r="AN16" s="763"/>
      <c r="AO16" s="763"/>
      <c r="AP16" s="763"/>
      <c r="AQ16" s="763"/>
      <c r="AR16" s="763"/>
      <c r="AS16" s="763"/>
      <c r="AT16" s="763"/>
      <c r="AU16" s="763"/>
      <c r="AV16" s="763"/>
      <c r="AW16" s="763"/>
      <c r="AX16" s="763"/>
      <c r="AY16" s="763"/>
      <c r="AZ16" s="763"/>
      <c r="BA16" s="763"/>
      <c r="BB16" s="763"/>
      <c r="BC16" s="763"/>
      <c r="BD16" s="763"/>
      <c r="BE16" s="763"/>
      <c r="BF16" s="763"/>
      <c r="BG16" s="763"/>
      <c r="BH16" s="763"/>
      <c r="BI16" s="763"/>
      <c r="BJ16" s="763"/>
      <c r="BK16" s="763"/>
      <c r="BL16" s="763"/>
      <c r="BM16" s="763"/>
      <c r="BN16" s="763"/>
      <c r="BO16" s="763"/>
      <c r="BP16" s="763"/>
      <c r="BQ16" s="763"/>
      <c r="BR16" s="763"/>
      <c r="BS16" s="763"/>
      <c r="BT16" s="763"/>
      <c r="BU16" s="763"/>
      <c r="BV16" s="763"/>
      <c r="BW16" s="763"/>
      <c r="BX16" s="763"/>
      <c r="BY16" s="763"/>
      <c r="BZ16" s="763"/>
      <c r="CA16" s="763"/>
      <c r="CB16" s="763"/>
      <c r="CC16" s="763"/>
      <c r="CD16" s="763"/>
      <c r="CE16" s="763"/>
      <c r="CF16" s="763"/>
      <c r="CG16" s="763"/>
      <c r="CH16" s="763"/>
      <c r="CI16" s="763"/>
      <c r="CJ16" s="763"/>
      <c r="CK16" s="763"/>
      <c r="CL16" s="763"/>
      <c r="CM16" s="763"/>
      <c r="CN16" s="763"/>
      <c r="CO16" s="763"/>
      <c r="CP16" s="763"/>
      <c r="CQ16" s="763"/>
      <c r="CR16" s="763"/>
      <c r="CS16" s="763"/>
      <c r="CT16" s="763"/>
      <c r="CU16" s="763"/>
      <c r="CV16" s="763"/>
      <c r="CW16" s="763"/>
      <c r="CX16" s="763"/>
      <c r="CY16" s="763"/>
      <c r="CZ16" s="763"/>
      <c r="DA16" s="763"/>
      <c r="DB16" s="763"/>
      <c r="DC16" s="763"/>
      <c r="DD16" s="763"/>
      <c r="DE16" s="763"/>
      <c r="DF16" s="763"/>
      <c r="DG16" s="763"/>
      <c r="DH16" s="763"/>
      <c r="DI16" s="763"/>
      <c r="DJ16" s="763"/>
      <c r="DK16" s="763"/>
      <c r="DL16" s="763"/>
      <c r="DM16" s="763"/>
      <c r="DN16" s="763"/>
      <c r="DO16" s="763"/>
      <c r="DP16" s="763"/>
      <c r="DQ16" s="763"/>
      <c r="DR16" s="763"/>
      <c r="DS16" s="763"/>
      <c r="DT16" s="763"/>
      <c r="DU16" s="763"/>
      <c r="DV16" s="763"/>
      <c r="DW16" s="763"/>
      <c r="DX16" s="763"/>
      <c r="DY16" s="763"/>
      <c r="DZ16" s="763"/>
      <c r="EA16" s="763"/>
      <c r="EB16" s="763"/>
      <c r="EC16" s="763"/>
    </row>
    <row r="17" spans="1:135" s="899" customFormat="1" ht="14.1" customHeight="1" x14ac:dyDescent="0.2">
      <c r="A17" s="426"/>
      <c r="B17" s="1319">
        <v>3</v>
      </c>
      <c r="C17" s="725" t="s">
        <v>1182</v>
      </c>
      <c r="D17" s="1321" t="s">
        <v>1183</v>
      </c>
      <c r="E17" s="1322"/>
      <c r="F17" s="692"/>
      <c r="G17" s="693" t="s">
        <v>1184</v>
      </c>
      <c r="H17" s="693"/>
      <c r="I17" s="694"/>
      <c r="J17" s="694"/>
      <c r="K17" s="694"/>
      <c r="L17" s="726"/>
      <c r="M17" s="718">
        <f t="shared" si="6"/>
        <v>0</v>
      </c>
      <c r="N17" s="718">
        <f t="shared" si="3"/>
        <v>0</v>
      </c>
      <c r="O17" s="727">
        <v>2.75E-2</v>
      </c>
      <c r="P17" s="719">
        <f t="shared" si="4"/>
        <v>0</v>
      </c>
      <c r="Q17" s="720">
        <f t="shared" si="5"/>
        <v>0</v>
      </c>
      <c r="R17" s="1016"/>
      <c r="S17" s="1016"/>
      <c r="T17" s="1016"/>
      <c r="U17" s="1016"/>
      <c r="V17" s="1028">
        <f t="shared" si="0"/>
        <v>0</v>
      </c>
      <c r="W17" s="1029">
        <f t="shared" si="1"/>
        <v>0</v>
      </c>
      <c r="X17" s="1029">
        <f t="shared" si="2"/>
        <v>0</v>
      </c>
      <c r="Y17" s="1330">
        <f>IF(SUM(W17:W24)&lt;SUM(X17:X24),SUM(W17:W24)*30%,SUM(X17:X24)*30%)</f>
        <v>0</v>
      </c>
      <c r="Z17" s="1330">
        <f>SUM(W17:W24)-SUM(X17:X24)</f>
        <v>0</v>
      </c>
      <c r="AA17" s="1337"/>
      <c r="AB17" s="1330">
        <f>Z17</f>
        <v>0</v>
      </c>
      <c r="AC17" s="1328"/>
      <c r="AD17" s="1330">
        <f>IF(AC14=0,AB17,IF(ABS(AB14)&lt;ABS(AB17),AB14+AB17,0))</f>
        <v>0</v>
      </c>
      <c r="AE17" s="1331"/>
      <c r="AF17" s="763"/>
      <c r="AG17" s="763"/>
      <c r="AH17" s="763"/>
      <c r="AI17" s="763"/>
      <c r="AJ17" s="763"/>
      <c r="AK17" s="763"/>
      <c r="AL17" s="763"/>
      <c r="AM17" s="763"/>
      <c r="AN17" s="763"/>
      <c r="AO17" s="763"/>
      <c r="AP17" s="763"/>
      <c r="AQ17" s="763"/>
      <c r="AR17" s="763"/>
      <c r="AS17" s="763"/>
      <c r="AT17" s="763"/>
      <c r="AU17" s="763"/>
      <c r="AV17" s="763"/>
      <c r="AW17" s="763"/>
      <c r="AX17" s="763"/>
      <c r="AY17" s="763"/>
      <c r="AZ17" s="763"/>
      <c r="BA17" s="763"/>
      <c r="BB17" s="763"/>
      <c r="BC17" s="763"/>
      <c r="BD17" s="763"/>
      <c r="BE17" s="763"/>
      <c r="BF17" s="763"/>
      <c r="BG17" s="763"/>
      <c r="BH17" s="763"/>
      <c r="BI17" s="763"/>
      <c r="BJ17" s="763"/>
      <c r="BK17" s="763"/>
      <c r="BL17" s="763"/>
      <c r="BM17" s="763"/>
      <c r="BN17" s="763"/>
      <c r="BO17" s="763"/>
      <c r="BP17" s="763"/>
      <c r="BQ17" s="763"/>
      <c r="BR17" s="763"/>
      <c r="BS17" s="763"/>
      <c r="BT17" s="763"/>
      <c r="BU17" s="763"/>
      <c r="BV17" s="763"/>
      <c r="BW17" s="763"/>
      <c r="BX17" s="763"/>
      <c r="BY17" s="763"/>
      <c r="BZ17" s="763"/>
      <c r="CA17" s="763"/>
      <c r="CB17" s="763"/>
      <c r="CC17" s="763"/>
      <c r="CD17" s="763"/>
      <c r="CE17" s="763"/>
      <c r="CF17" s="763"/>
      <c r="CG17" s="763"/>
      <c r="CH17" s="763"/>
      <c r="CI17" s="763"/>
      <c r="CJ17" s="763"/>
      <c r="CK17" s="763"/>
      <c r="CL17" s="763"/>
      <c r="CM17" s="763"/>
      <c r="CN17" s="763"/>
      <c r="CO17" s="763"/>
      <c r="CP17" s="763"/>
      <c r="CQ17" s="763"/>
      <c r="CR17" s="763"/>
      <c r="CS17" s="763"/>
      <c r="CT17" s="763"/>
      <c r="CU17" s="763"/>
      <c r="CV17" s="763"/>
      <c r="CW17" s="763"/>
      <c r="CX17" s="763"/>
      <c r="CY17" s="763"/>
      <c r="CZ17" s="763"/>
      <c r="DA17" s="763"/>
      <c r="DB17" s="763"/>
      <c r="DC17" s="763"/>
      <c r="DD17" s="763"/>
      <c r="DE17" s="763"/>
      <c r="DF17" s="763"/>
      <c r="DG17" s="763"/>
      <c r="DH17" s="763"/>
      <c r="DI17" s="763"/>
      <c r="DJ17" s="763"/>
      <c r="DK17" s="763"/>
      <c r="DL17" s="763"/>
      <c r="DM17" s="763"/>
      <c r="DN17" s="763"/>
      <c r="DO17" s="763"/>
      <c r="DP17" s="763"/>
      <c r="DQ17" s="763"/>
      <c r="DR17" s="763"/>
      <c r="DS17" s="763"/>
      <c r="DT17" s="763"/>
      <c r="DU17" s="763"/>
      <c r="DV17" s="763"/>
      <c r="DW17" s="763"/>
      <c r="DX17" s="763"/>
      <c r="DY17" s="763"/>
      <c r="DZ17" s="763"/>
      <c r="EA17" s="763"/>
      <c r="EB17" s="763"/>
      <c r="EC17" s="763"/>
    </row>
    <row r="18" spans="1:135" s="899" customFormat="1" ht="14.1" customHeight="1" x14ac:dyDescent="0.2">
      <c r="A18" s="426"/>
      <c r="B18" s="1320"/>
      <c r="C18" s="451" t="s">
        <v>1185</v>
      </c>
      <c r="D18" s="1333" t="s">
        <v>1186</v>
      </c>
      <c r="E18" s="1334"/>
      <c r="F18" s="701"/>
      <c r="G18" s="702" t="s">
        <v>1187</v>
      </c>
      <c r="H18" s="702"/>
      <c r="I18" s="704"/>
      <c r="J18" s="704"/>
      <c r="K18" s="704"/>
      <c r="L18" s="705"/>
      <c r="M18" s="706">
        <f t="shared" si="6"/>
        <v>0</v>
      </c>
      <c r="N18" s="706">
        <f t="shared" si="3"/>
        <v>0</v>
      </c>
      <c r="O18" s="707">
        <v>3.2500000000000001E-2</v>
      </c>
      <c r="P18" s="708">
        <f t="shared" si="4"/>
        <v>0</v>
      </c>
      <c r="Q18" s="709">
        <f t="shared" si="5"/>
        <v>0</v>
      </c>
      <c r="R18" s="1016"/>
      <c r="S18" s="1016"/>
      <c r="T18" s="1016"/>
      <c r="U18" s="1016"/>
      <c r="V18" s="1030">
        <f t="shared" si="0"/>
        <v>0</v>
      </c>
      <c r="W18" s="1031">
        <f t="shared" si="1"/>
        <v>0</v>
      </c>
      <c r="X18" s="1031">
        <f t="shared" si="2"/>
        <v>0</v>
      </c>
      <c r="Y18" s="1331"/>
      <c r="Z18" s="1331"/>
      <c r="AA18" s="1338"/>
      <c r="AB18" s="1331"/>
      <c r="AC18" s="1328"/>
      <c r="AD18" s="1331"/>
      <c r="AE18" s="1331"/>
      <c r="AF18" s="763"/>
      <c r="AG18" s="763"/>
      <c r="AH18" s="763"/>
      <c r="AI18" s="763"/>
      <c r="AJ18" s="763"/>
      <c r="AK18" s="763"/>
      <c r="AL18" s="763"/>
      <c r="AM18" s="763"/>
      <c r="AN18" s="763"/>
      <c r="AO18" s="763"/>
      <c r="AP18" s="763"/>
      <c r="AQ18" s="763"/>
      <c r="AR18" s="763"/>
      <c r="AS18" s="763"/>
      <c r="AT18" s="763"/>
      <c r="AU18" s="763"/>
      <c r="AV18" s="763"/>
      <c r="AW18" s="763"/>
      <c r="AX18" s="763"/>
      <c r="AY18" s="763"/>
      <c r="AZ18" s="763"/>
      <c r="BA18" s="763"/>
      <c r="BB18" s="763"/>
      <c r="BC18" s="763"/>
      <c r="BD18" s="763"/>
      <c r="BE18" s="763"/>
      <c r="BF18" s="763"/>
      <c r="BG18" s="763"/>
      <c r="BH18" s="763"/>
      <c r="BI18" s="763"/>
      <c r="BJ18" s="763"/>
      <c r="BK18" s="763"/>
      <c r="BL18" s="763"/>
      <c r="BM18" s="763"/>
      <c r="BN18" s="763"/>
      <c r="BO18" s="763"/>
      <c r="BP18" s="763"/>
      <c r="BQ18" s="763"/>
      <c r="BR18" s="763"/>
      <c r="BS18" s="763"/>
      <c r="BT18" s="763"/>
      <c r="BU18" s="763"/>
      <c r="BV18" s="763"/>
      <c r="BW18" s="763"/>
      <c r="BX18" s="763"/>
      <c r="BY18" s="763"/>
      <c r="BZ18" s="763"/>
      <c r="CA18" s="763"/>
      <c r="CB18" s="763"/>
      <c r="CC18" s="763"/>
      <c r="CD18" s="763"/>
      <c r="CE18" s="763"/>
      <c r="CF18" s="763"/>
      <c r="CG18" s="763"/>
      <c r="CH18" s="763"/>
      <c r="CI18" s="763"/>
      <c r="CJ18" s="763"/>
      <c r="CK18" s="763"/>
      <c r="CL18" s="763"/>
      <c r="CM18" s="763"/>
      <c r="CN18" s="763"/>
      <c r="CO18" s="763"/>
      <c r="CP18" s="763"/>
      <c r="CQ18" s="763"/>
      <c r="CR18" s="763"/>
      <c r="CS18" s="763"/>
      <c r="CT18" s="763"/>
      <c r="CU18" s="763"/>
      <c r="CV18" s="763"/>
      <c r="CW18" s="763"/>
      <c r="CX18" s="763"/>
      <c r="CY18" s="763"/>
      <c r="CZ18" s="763"/>
      <c r="DA18" s="763"/>
      <c r="DB18" s="763"/>
      <c r="DC18" s="763"/>
      <c r="DD18" s="763"/>
      <c r="DE18" s="763"/>
      <c r="DF18" s="763"/>
      <c r="DG18" s="763"/>
      <c r="DH18" s="763"/>
      <c r="DI18" s="763"/>
      <c r="DJ18" s="763"/>
      <c r="DK18" s="763"/>
      <c r="DL18" s="763"/>
      <c r="DM18" s="763"/>
      <c r="DN18" s="763"/>
      <c r="DO18" s="763"/>
      <c r="DP18" s="763"/>
      <c r="DQ18" s="763"/>
      <c r="DR18" s="763"/>
      <c r="DS18" s="763"/>
      <c r="DT18" s="763"/>
      <c r="DU18" s="763"/>
      <c r="DV18" s="763"/>
      <c r="DW18" s="763"/>
      <c r="DX18" s="763"/>
      <c r="DY18" s="763"/>
      <c r="DZ18" s="763"/>
      <c r="EA18" s="763"/>
      <c r="EB18" s="763"/>
      <c r="EC18" s="763"/>
    </row>
    <row r="19" spans="1:135" s="899" customFormat="1" ht="14.1" customHeight="1" x14ac:dyDescent="0.2">
      <c r="A19" s="426"/>
      <c r="B19" s="1320"/>
      <c r="C19" s="451" t="s">
        <v>1188</v>
      </c>
      <c r="D19" s="1333" t="s">
        <v>1189</v>
      </c>
      <c r="E19" s="1334"/>
      <c r="F19" s="701"/>
      <c r="G19" s="702" t="s">
        <v>1190</v>
      </c>
      <c r="H19" s="702"/>
      <c r="I19" s="704"/>
      <c r="J19" s="704"/>
      <c r="K19" s="704"/>
      <c r="L19" s="705"/>
      <c r="M19" s="706">
        <f t="shared" si="6"/>
        <v>0</v>
      </c>
      <c r="N19" s="706">
        <f t="shared" si="3"/>
        <v>0</v>
      </c>
      <c r="O19" s="707">
        <v>3.7499999999999999E-2</v>
      </c>
      <c r="P19" s="708">
        <f t="shared" si="4"/>
        <v>0</v>
      </c>
      <c r="Q19" s="709">
        <f t="shared" si="5"/>
        <v>0</v>
      </c>
      <c r="R19" s="1016"/>
      <c r="S19" s="1016"/>
      <c r="T19" s="1016"/>
      <c r="U19" s="1016"/>
      <c r="V19" s="1030">
        <f t="shared" si="0"/>
        <v>0</v>
      </c>
      <c r="W19" s="1031">
        <f t="shared" si="1"/>
        <v>0</v>
      </c>
      <c r="X19" s="1031">
        <f t="shared" si="2"/>
        <v>0</v>
      </c>
      <c r="Y19" s="1331"/>
      <c r="Z19" s="1331"/>
      <c r="AA19" s="1338"/>
      <c r="AB19" s="1331"/>
      <c r="AC19" s="1328"/>
      <c r="AD19" s="1331"/>
      <c r="AE19" s="1331"/>
      <c r="AF19" s="763"/>
      <c r="AG19" s="763"/>
      <c r="AH19" s="763"/>
      <c r="AI19" s="763"/>
      <c r="AJ19" s="763"/>
      <c r="AK19" s="763"/>
      <c r="AL19" s="763"/>
      <c r="AM19" s="763"/>
      <c r="AN19" s="763"/>
      <c r="AO19" s="763"/>
      <c r="AP19" s="763"/>
      <c r="AQ19" s="763"/>
      <c r="AR19" s="763"/>
      <c r="AS19" s="763"/>
      <c r="AT19" s="763"/>
      <c r="AU19" s="763"/>
      <c r="AV19" s="763"/>
      <c r="AW19" s="763"/>
      <c r="AX19" s="763"/>
      <c r="AY19" s="763"/>
      <c r="AZ19" s="763"/>
      <c r="BA19" s="763"/>
      <c r="BB19" s="763"/>
      <c r="BC19" s="763"/>
      <c r="BD19" s="763"/>
      <c r="BE19" s="763"/>
      <c r="BF19" s="763"/>
      <c r="BG19" s="763"/>
      <c r="BH19" s="763"/>
      <c r="BI19" s="763"/>
      <c r="BJ19" s="763"/>
      <c r="BK19" s="763"/>
      <c r="BL19" s="763"/>
      <c r="BM19" s="763"/>
      <c r="BN19" s="763"/>
      <c r="BO19" s="763"/>
      <c r="BP19" s="763"/>
      <c r="BQ19" s="763"/>
      <c r="BR19" s="763"/>
      <c r="BS19" s="763"/>
      <c r="BT19" s="763"/>
      <c r="BU19" s="763"/>
      <c r="BV19" s="763"/>
      <c r="BW19" s="763"/>
      <c r="BX19" s="763"/>
      <c r="BY19" s="763"/>
      <c r="BZ19" s="763"/>
      <c r="CA19" s="763"/>
      <c r="CB19" s="763"/>
      <c r="CC19" s="763"/>
      <c r="CD19" s="763"/>
      <c r="CE19" s="763"/>
      <c r="CF19" s="763"/>
      <c r="CG19" s="763"/>
      <c r="CH19" s="763"/>
      <c r="CI19" s="763"/>
      <c r="CJ19" s="763"/>
      <c r="CK19" s="763"/>
      <c r="CL19" s="763"/>
      <c r="CM19" s="763"/>
      <c r="CN19" s="763"/>
      <c r="CO19" s="763"/>
      <c r="CP19" s="763"/>
      <c r="CQ19" s="763"/>
      <c r="CR19" s="763"/>
      <c r="CS19" s="763"/>
      <c r="CT19" s="763"/>
      <c r="CU19" s="763"/>
      <c r="CV19" s="763"/>
      <c r="CW19" s="763"/>
      <c r="CX19" s="763"/>
      <c r="CY19" s="763"/>
      <c r="CZ19" s="763"/>
      <c r="DA19" s="763"/>
      <c r="DB19" s="763"/>
      <c r="DC19" s="763"/>
      <c r="DD19" s="763"/>
      <c r="DE19" s="763"/>
      <c r="DF19" s="763"/>
      <c r="DG19" s="763"/>
      <c r="DH19" s="763"/>
      <c r="DI19" s="763"/>
      <c r="DJ19" s="763"/>
      <c r="DK19" s="763"/>
      <c r="DL19" s="763"/>
      <c r="DM19" s="763"/>
      <c r="DN19" s="763"/>
      <c r="DO19" s="763"/>
      <c r="DP19" s="763"/>
      <c r="DQ19" s="763"/>
      <c r="DR19" s="763"/>
      <c r="DS19" s="763"/>
      <c r="DT19" s="763"/>
      <c r="DU19" s="763"/>
      <c r="DV19" s="763"/>
      <c r="DW19" s="763"/>
      <c r="DX19" s="763"/>
      <c r="DY19" s="763"/>
      <c r="DZ19" s="763"/>
      <c r="EA19" s="763"/>
      <c r="EB19" s="763"/>
      <c r="EC19" s="763"/>
    </row>
    <row r="20" spans="1:135" s="899" customFormat="1" ht="14.1" customHeight="1" x14ac:dyDescent="0.2">
      <c r="A20" s="426"/>
      <c r="B20" s="1320"/>
      <c r="C20" s="451" t="s">
        <v>1191</v>
      </c>
      <c r="D20" s="1333" t="s">
        <v>1192</v>
      </c>
      <c r="E20" s="1334"/>
      <c r="F20" s="701"/>
      <c r="G20" s="702" t="s">
        <v>1193</v>
      </c>
      <c r="H20" s="702"/>
      <c r="I20" s="704"/>
      <c r="J20" s="704"/>
      <c r="K20" s="704"/>
      <c r="L20" s="705"/>
      <c r="M20" s="706">
        <f t="shared" si="6"/>
        <v>0</v>
      </c>
      <c r="N20" s="706">
        <f t="shared" si="3"/>
        <v>0</v>
      </c>
      <c r="O20" s="707">
        <v>4.4999999999999998E-2</v>
      </c>
      <c r="P20" s="708">
        <f t="shared" si="4"/>
        <v>0</v>
      </c>
      <c r="Q20" s="709">
        <f t="shared" si="5"/>
        <v>0</v>
      </c>
      <c r="R20" s="1016"/>
      <c r="S20" s="1016"/>
      <c r="T20" s="1016"/>
      <c r="U20" s="1016"/>
      <c r="V20" s="1030">
        <f t="shared" si="0"/>
        <v>0</v>
      </c>
      <c r="W20" s="1031">
        <f t="shared" si="1"/>
        <v>0</v>
      </c>
      <c r="X20" s="1031">
        <f t="shared" si="2"/>
        <v>0</v>
      </c>
      <c r="Y20" s="1331"/>
      <c r="Z20" s="1331"/>
      <c r="AA20" s="1338"/>
      <c r="AB20" s="1331"/>
      <c r="AC20" s="1328"/>
      <c r="AD20" s="1331"/>
      <c r="AE20" s="1331"/>
      <c r="AF20" s="763"/>
      <c r="AG20" s="763"/>
      <c r="AH20" s="763"/>
      <c r="AI20" s="763"/>
      <c r="AJ20" s="763"/>
      <c r="AK20" s="763"/>
      <c r="AL20" s="763"/>
      <c r="AM20" s="763"/>
      <c r="AN20" s="763"/>
      <c r="AO20" s="763"/>
      <c r="AP20" s="763"/>
      <c r="AQ20" s="763"/>
      <c r="AR20" s="763"/>
      <c r="AS20" s="763"/>
      <c r="AT20" s="763"/>
      <c r="AU20" s="763"/>
      <c r="AV20" s="763"/>
      <c r="AW20" s="763"/>
      <c r="AX20" s="763"/>
      <c r="AY20" s="763"/>
      <c r="AZ20" s="763"/>
      <c r="BA20" s="763"/>
      <c r="BB20" s="763"/>
      <c r="BC20" s="763"/>
      <c r="BD20" s="763"/>
      <c r="BE20" s="763"/>
      <c r="BF20" s="763"/>
      <c r="BG20" s="763"/>
      <c r="BH20" s="763"/>
      <c r="BI20" s="763"/>
      <c r="BJ20" s="763"/>
      <c r="BK20" s="763"/>
      <c r="BL20" s="763"/>
      <c r="BM20" s="763"/>
      <c r="BN20" s="763"/>
      <c r="BO20" s="763"/>
      <c r="BP20" s="763"/>
      <c r="BQ20" s="763"/>
      <c r="BR20" s="763"/>
      <c r="BS20" s="763"/>
      <c r="BT20" s="763"/>
      <c r="BU20" s="763"/>
      <c r="BV20" s="763"/>
      <c r="BW20" s="763"/>
      <c r="BX20" s="763"/>
      <c r="BY20" s="763"/>
      <c r="BZ20" s="763"/>
      <c r="CA20" s="763"/>
      <c r="CB20" s="763"/>
      <c r="CC20" s="763"/>
      <c r="CD20" s="763"/>
      <c r="CE20" s="763"/>
      <c r="CF20" s="763"/>
      <c r="CG20" s="763"/>
      <c r="CH20" s="763"/>
      <c r="CI20" s="763"/>
      <c r="CJ20" s="763"/>
      <c r="CK20" s="763"/>
      <c r="CL20" s="763"/>
      <c r="CM20" s="763"/>
      <c r="CN20" s="763"/>
      <c r="CO20" s="763"/>
      <c r="CP20" s="763"/>
      <c r="CQ20" s="763"/>
      <c r="CR20" s="763"/>
      <c r="CS20" s="763"/>
      <c r="CT20" s="763"/>
      <c r="CU20" s="763"/>
      <c r="CV20" s="763"/>
      <c r="CW20" s="763"/>
      <c r="CX20" s="763"/>
      <c r="CY20" s="763"/>
      <c r="CZ20" s="763"/>
      <c r="DA20" s="763"/>
      <c r="DB20" s="763"/>
      <c r="DC20" s="763"/>
      <c r="DD20" s="763"/>
      <c r="DE20" s="763"/>
      <c r="DF20" s="763"/>
      <c r="DG20" s="763"/>
      <c r="DH20" s="763"/>
      <c r="DI20" s="763"/>
      <c r="DJ20" s="763"/>
      <c r="DK20" s="763"/>
      <c r="DL20" s="763"/>
      <c r="DM20" s="763"/>
      <c r="DN20" s="763"/>
      <c r="DO20" s="763"/>
      <c r="DP20" s="763"/>
      <c r="DQ20" s="763"/>
      <c r="DR20" s="763"/>
      <c r="DS20" s="763"/>
      <c r="DT20" s="763"/>
      <c r="DU20" s="763"/>
      <c r="DV20" s="763"/>
      <c r="DW20" s="763"/>
      <c r="DX20" s="763"/>
      <c r="DY20" s="763"/>
      <c r="DZ20" s="763"/>
      <c r="EA20" s="763"/>
      <c r="EB20" s="763"/>
      <c r="EC20" s="763"/>
    </row>
    <row r="21" spans="1:135" s="899" customFormat="1" ht="14.1" customHeight="1" x14ac:dyDescent="0.2">
      <c r="A21" s="426"/>
      <c r="B21" s="1320"/>
      <c r="C21" s="451" t="s">
        <v>1194</v>
      </c>
      <c r="D21" s="1333" t="s">
        <v>1195</v>
      </c>
      <c r="E21" s="1334"/>
      <c r="F21" s="701"/>
      <c r="G21" s="702" t="s">
        <v>1196</v>
      </c>
      <c r="H21" s="702"/>
      <c r="I21" s="704"/>
      <c r="J21" s="704"/>
      <c r="K21" s="704"/>
      <c r="L21" s="705"/>
      <c r="M21" s="706">
        <f t="shared" si="6"/>
        <v>0</v>
      </c>
      <c r="N21" s="706">
        <f t="shared" si="3"/>
        <v>0</v>
      </c>
      <c r="O21" s="707">
        <v>5.2499999999999998E-2</v>
      </c>
      <c r="P21" s="708">
        <f t="shared" si="4"/>
        <v>0</v>
      </c>
      <c r="Q21" s="709">
        <f t="shared" si="5"/>
        <v>0</v>
      </c>
      <c r="R21" s="1016"/>
      <c r="S21" s="1016"/>
      <c r="T21" s="1016"/>
      <c r="U21" s="1016"/>
      <c r="V21" s="1030">
        <f t="shared" si="0"/>
        <v>0</v>
      </c>
      <c r="W21" s="1031">
        <f t="shared" si="1"/>
        <v>0</v>
      </c>
      <c r="X21" s="1031">
        <f t="shared" si="2"/>
        <v>0</v>
      </c>
      <c r="Y21" s="1331"/>
      <c r="Z21" s="1331"/>
      <c r="AA21" s="1338"/>
      <c r="AB21" s="1331"/>
      <c r="AC21" s="1328"/>
      <c r="AD21" s="1331"/>
      <c r="AE21" s="1331"/>
      <c r="AF21" s="763"/>
      <c r="AG21" s="763"/>
      <c r="AH21" s="763"/>
      <c r="AI21" s="763"/>
      <c r="AJ21" s="763"/>
      <c r="AK21" s="763"/>
      <c r="AL21" s="763"/>
      <c r="AM21" s="763"/>
      <c r="AN21" s="763"/>
      <c r="AO21" s="763"/>
      <c r="AP21" s="763"/>
      <c r="AQ21" s="763"/>
      <c r="AR21" s="763"/>
      <c r="AS21" s="763"/>
      <c r="AT21" s="763"/>
      <c r="AU21" s="763"/>
      <c r="AV21" s="763"/>
      <c r="AW21" s="763"/>
      <c r="AX21" s="763"/>
      <c r="AY21" s="763"/>
      <c r="AZ21" s="763"/>
      <c r="BA21" s="763"/>
      <c r="BB21" s="763"/>
      <c r="BC21" s="763"/>
      <c r="BD21" s="763"/>
      <c r="BE21" s="763"/>
      <c r="BF21" s="763"/>
      <c r="BG21" s="763"/>
      <c r="BH21" s="763"/>
      <c r="BI21" s="763"/>
      <c r="BJ21" s="763"/>
      <c r="BK21" s="763"/>
      <c r="BL21" s="763"/>
      <c r="BM21" s="763"/>
      <c r="BN21" s="763"/>
      <c r="BO21" s="763"/>
      <c r="BP21" s="763"/>
      <c r="BQ21" s="763"/>
      <c r="BR21" s="763"/>
      <c r="BS21" s="763"/>
      <c r="BT21" s="763"/>
      <c r="BU21" s="763"/>
      <c r="BV21" s="763"/>
      <c r="BW21" s="763"/>
      <c r="BX21" s="763"/>
      <c r="BY21" s="763"/>
      <c r="BZ21" s="763"/>
      <c r="CA21" s="763"/>
      <c r="CB21" s="763"/>
      <c r="CC21" s="763"/>
      <c r="CD21" s="763"/>
      <c r="CE21" s="763"/>
      <c r="CF21" s="763"/>
      <c r="CG21" s="763"/>
      <c r="CH21" s="763"/>
      <c r="CI21" s="763"/>
      <c r="CJ21" s="763"/>
      <c r="CK21" s="763"/>
      <c r="CL21" s="763"/>
      <c r="CM21" s="763"/>
      <c r="CN21" s="763"/>
      <c r="CO21" s="763"/>
      <c r="CP21" s="763"/>
      <c r="CQ21" s="763"/>
      <c r="CR21" s="763"/>
      <c r="CS21" s="763"/>
      <c r="CT21" s="763"/>
      <c r="CU21" s="763"/>
      <c r="CV21" s="763"/>
      <c r="CW21" s="763"/>
      <c r="CX21" s="763"/>
      <c r="CY21" s="763"/>
      <c r="CZ21" s="763"/>
      <c r="DA21" s="763"/>
      <c r="DB21" s="763"/>
      <c r="DC21" s="763"/>
      <c r="DD21" s="763"/>
      <c r="DE21" s="763"/>
      <c r="DF21" s="763"/>
      <c r="DG21" s="763"/>
      <c r="DH21" s="763"/>
      <c r="DI21" s="763"/>
      <c r="DJ21" s="763"/>
      <c r="DK21" s="763"/>
      <c r="DL21" s="763"/>
      <c r="DM21" s="763"/>
      <c r="DN21" s="763"/>
      <c r="DO21" s="763"/>
      <c r="DP21" s="763"/>
      <c r="DQ21" s="763"/>
      <c r="DR21" s="763"/>
      <c r="DS21" s="763"/>
      <c r="DT21" s="763"/>
      <c r="DU21" s="763"/>
      <c r="DV21" s="763"/>
      <c r="DW21" s="763"/>
      <c r="DX21" s="763"/>
      <c r="DY21" s="763"/>
      <c r="DZ21" s="763"/>
      <c r="EA21" s="763"/>
      <c r="EB21" s="763"/>
      <c r="EC21" s="763"/>
    </row>
    <row r="22" spans="1:135" s="899" customFormat="1" ht="14.1" customHeight="1" x14ac:dyDescent="0.2">
      <c r="A22" s="426"/>
      <c r="B22" s="1320"/>
      <c r="C22" s="451" t="s">
        <v>1197</v>
      </c>
      <c r="D22" s="1333" t="s">
        <v>1198</v>
      </c>
      <c r="E22" s="1334"/>
      <c r="F22" s="701"/>
      <c r="G22" s="702" t="s">
        <v>1199</v>
      </c>
      <c r="H22" s="702"/>
      <c r="I22" s="704"/>
      <c r="J22" s="704"/>
      <c r="K22" s="704"/>
      <c r="L22" s="705"/>
      <c r="M22" s="706">
        <f t="shared" si="6"/>
        <v>0</v>
      </c>
      <c r="N22" s="706">
        <f t="shared" si="3"/>
        <v>0</v>
      </c>
      <c r="O22" s="707">
        <v>0.06</v>
      </c>
      <c r="P22" s="708">
        <f t="shared" si="4"/>
        <v>0</v>
      </c>
      <c r="Q22" s="709">
        <f t="shared" si="5"/>
        <v>0</v>
      </c>
      <c r="R22" s="1016"/>
      <c r="S22" s="1016"/>
      <c r="T22" s="1016"/>
      <c r="U22" s="1016"/>
      <c r="V22" s="1030">
        <f t="shared" si="0"/>
        <v>0</v>
      </c>
      <c r="W22" s="1032">
        <f t="shared" si="1"/>
        <v>0</v>
      </c>
      <c r="X22" s="1031">
        <f t="shared" si="2"/>
        <v>0</v>
      </c>
      <c r="Y22" s="1331"/>
      <c r="Z22" s="1331"/>
      <c r="AA22" s="1338"/>
      <c r="AB22" s="1331"/>
      <c r="AC22" s="1328"/>
      <c r="AD22" s="1331"/>
      <c r="AE22" s="1331"/>
      <c r="AF22" s="763"/>
      <c r="AG22" s="763"/>
      <c r="AH22" s="763"/>
      <c r="AI22" s="763"/>
      <c r="AJ22" s="763"/>
      <c r="AK22" s="763"/>
      <c r="AL22" s="763"/>
      <c r="AM22" s="763"/>
      <c r="AN22" s="763"/>
      <c r="AO22" s="763"/>
      <c r="AP22" s="763"/>
      <c r="AQ22" s="763"/>
      <c r="AR22" s="763"/>
      <c r="AS22" s="763"/>
      <c r="AT22" s="763"/>
      <c r="AU22" s="763"/>
      <c r="AV22" s="763"/>
      <c r="AW22" s="763"/>
      <c r="AX22" s="763"/>
      <c r="AY22" s="763"/>
      <c r="AZ22" s="763"/>
      <c r="BA22" s="763"/>
      <c r="BB22" s="763"/>
      <c r="BC22" s="763"/>
      <c r="BD22" s="763"/>
      <c r="BE22" s="763"/>
      <c r="BF22" s="763"/>
      <c r="BG22" s="763"/>
      <c r="BH22" s="763"/>
      <c r="BI22" s="763"/>
      <c r="BJ22" s="763"/>
      <c r="BK22" s="763"/>
      <c r="BL22" s="763"/>
      <c r="BM22" s="763"/>
      <c r="BN22" s="763"/>
      <c r="BO22" s="763"/>
      <c r="BP22" s="763"/>
      <c r="BQ22" s="763"/>
      <c r="BR22" s="763"/>
      <c r="BS22" s="763"/>
      <c r="BT22" s="763"/>
      <c r="BU22" s="763"/>
      <c r="BV22" s="763"/>
      <c r="BW22" s="763"/>
      <c r="BX22" s="763"/>
      <c r="BY22" s="763"/>
      <c r="BZ22" s="763"/>
      <c r="CA22" s="763"/>
      <c r="CB22" s="763"/>
      <c r="CC22" s="763"/>
      <c r="CD22" s="763"/>
      <c r="CE22" s="763"/>
      <c r="CF22" s="763"/>
      <c r="CG22" s="763"/>
      <c r="CH22" s="763"/>
      <c r="CI22" s="763"/>
      <c r="CJ22" s="763"/>
      <c r="CK22" s="763"/>
      <c r="CL22" s="763"/>
      <c r="CM22" s="763"/>
      <c r="CN22" s="763"/>
      <c r="CO22" s="763"/>
      <c r="CP22" s="763"/>
      <c r="CQ22" s="763"/>
      <c r="CR22" s="763"/>
      <c r="CS22" s="763"/>
      <c r="CT22" s="763"/>
      <c r="CU22" s="763"/>
      <c r="CV22" s="763"/>
      <c r="CW22" s="763"/>
      <c r="CX22" s="763"/>
      <c r="CY22" s="763"/>
      <c r="CZ22" s="763"/>
      <c r="DA22" s="763"/>
      <c r="DB22" s="763"/>
      <c r="DC22" s="763"/>
      <c r="DD22" s="763"/>
      <c r="DE22" s="763"/>
      <c r="DF22" s="763"/>
      <c r="DG22" s="763"/>
      <c r="DH22" s="763"/>
      <c r="DI22" s="763"/>
      <c r="DJ22" s="763"/>
      <c r="DK22" s="763"/>
      <c r="DL22" s="763"/>
      <c r="DM22" s="763"/>
      <c r="DN22" s="763"/>
      <c r="DO22" s="763"/>
      <c r="DP22" s="763"/>
      <c r="DQ22" s="763"/>
      <c r="DR22" s="763"/>
      <c r="DS22" s="763"/>
      <c r="DT22" s="763"/>
      <c r="DU22" s="763"/>
      <c r="DV22" s="763"/>
      <c r="DW22" s="763"/>
      <c r="DX22" s="763"/>
      <c r="DY22" s="763"/>
      <c r="DZ22" s="763"/>
      <c r="EA22" s="763"/>
      <c r="EB22" s="763"/>
      <c r="EC22" s="763"/>
    </row>
    <row r="23" spans="1:135" s="899" customFormat="1" ht="14.1" customHeight="1" x14ac:dyDescent="0.2">
      <c r="A23" s="426"/>
      <c r="B23" s="1320"/>
      <c r="C23" s="451"/>
      <c r="D23" s="1333" t="s">
        <v>1200</v>
      </c>
      <c r="E23" s="1334"/>
      <c r="F23" s="701"/>
      <c r="G23" s="702" t="s">
        <v>1201</v>
      </c>
      <c r="H23" s="702"/>
      <c r="I23" s="704"/>
      <c r="J23" s="704"/>
      <c r="K23" s="704"/>
      <c r="L23" s="705"/>
      <c r="M23" s="706">
        <f t="shared" si="6"/>
        <v>0</v>
      </c>
      <c r="N23" s="706">
        <f t="shared" si="3"/>
        <v>0</v>
      </c>
      <c r="O23" s="707">
        <v>0.08</v>
      </c>
      <c r="P23" s="708">
        <f t="shared" si="4"/>
        <v>0</v>
      </c>
      <c r="Q23" s="709">
        <f t="shared" si="5"/>
        <v>0</v>
      </c>
      <c r="R23" s="1016"/>
      <c r="S23" s="1016"/>
      <c r="T23" s="1016"/>
      <c r="U23" s="1016"/>
      <c r="V23" s="1030">
        <f t="shared" si="0"/>
        <v>0</v>
      </c>
      <c r="W23" s="1031">
        <f t="shared" si="1"/>
        <v>0</v>
      </c>
      <c r="X23" s="1031">
        <f t="shared" si="2"/>
        <v>0</v>
      </c>
      <c r="Y23" s="1331"/>
      <c r="Z23" s="1331"/>
      <c r="AA23" s="1338"/>
      <c r="AB23" s="1331"/>
      <c r="AC23" s="1328"/>
      <c r="AD23" s="1331"/>
      <c r="AE23" s="1331"/>
      <c r="AF23" s="763"/>
      <c r="AG23" s="763"/>
      <c r="AH23" s="763"/>
      <c r="AI23" s="763"/>
      <c r="AJ23" s="763"/>
      <c r="AK23" s="763"/>
      <c r="AL23" s="763"/>
      <c r="AM23" s="763"/>
      <c r="AN23" s="763"/>
      <c r="AO23" s="763"/>
      <c r="AP23" s="763"/>
      <c r="AQ23" s="763"/>
      <c r="AR23" s="763"/>
      <c r="AS23" s="763"/>
      <c r="AT23" s="763"/>
      <c r="AU23" s="763"/>
      <c r="AV23" s="763"/>
      <c r="AW23" s="763"/>
      <c r="AX23" s="763"/>
      <c r="AY23" s="763"/>
      <c r="AZ23" s="763"/>
      <c r="BA23" s="763"/>
      <c r="BB23" s="763"/>
      <c r="BC23" s="763"/>
      <c r="BD23" s="763"/>
      <c r="BE23" s="763"/>
      <c r="BF23" s="763"/>
      <c r="BG23" s="763"/>
      <c r="BH23" s="763"/>
      <c r="BI23" s="763"/>
      <c r="BJ23" s="763"/>
      <c r="BK23" s="763"/>
      <c r="BL23" s="763"/>
      <c r="BM23" s="763"/>
      <c r="BN23" s="763"/>
      <c r="BO23" s="763"/>
      <c r="BP23" s="763"/>
      <c r="BQ23" s="763"/>
      <c r="BR23" s="763"/>
      <c r="BS23" s="763"/>
      <c r="BT23" s="763"/>
      <c r="BU23" s="763"/>
      <c r="BV23" s="763"/>
      <c r="BW23" s="763"/>
      <c r="BX23" s="763"/>
      <c r="BY23" s="763"/>
      <c r="BZ23" s="763"/>
      <c r="CA23" s="763"/>
      <c r="CB23" s="763"/>
      <c r="CC23" s="763"/>
      <c r="CD23" s="763"/>
      <c r="CE23" s="763"/>
      <c r="CF23" s="763"/>
      <c r="CG23" s="763"/>
      <c r="CH23" s="763"/>
      <c r="CI23" s="763"/>
      <c r="CJ23" s="763"/>
      <c r="CK23" s="763"/>
      <c r="CL23" s="763"/>
      <c r="CM23" s="763"/>
      <c r="CN23" s="763"/>
      <c r="CO23" s="763"/>
      <c r="CP23" s="763"/>
      <c r="CQ23" s="763"/>
      <c r="CR23" s="763"/>
      <c r="CS23" s="763"/>
      <c r="CT23" s="763"/>
      <c r="CU23" s="763"/>
      <c r="CV23" s="763"/>
      <c r="CW23" s="763"/>
      <c r="CX23" s="763"/>
      <c r="CY23" s="763"/>
      <c r="CZ23" s="763"/>
      <c r="DA23" s="763"/>
      <c r="DB23" s="763"/>
      <c r="DC23" s="763"/>
      <c r="DD23" s="763"/>
      <c r="DE23" s="763"/>
      <c r="DF23" s="763"/>
      <c r="DG23" s="763"/>
      <c r="DH23" s="763"/>
      <c r="DI23" s="763"/>
      <c r="DJ23" s="763"/>
      <c r="DK23" s="763"/>
      <c r="DL23" s="763"/>
      <c r="DM23" s="763"/>
      <c r="DN23" s="763"/>
      <c r="DO23" s="763"/>
      <c r="DP23" s="763"/>
      <c r="DQ23" s="763"/>
      <c r="DR23" s="763"/>
      <c r="DS23" s="763"/>
      <c r="DT23" s="763"/>
      <c r="DU23" s="763"/>
      <c r="DV23" s="763"/>
      <c r="DW23" s="763"/>
      <c r="DX23" s="763"/>
      <c r="DY23" s="763"/>
      <c r="DZ23" s="763"/>
      <c r="EA23" s="763"/>
      <c r="EB23" s="763"/>
      <c r="EC23" s="763"/>
    </row>
    <row r="24" spans="1:135" s="899" customFormat="1" ht="14.1" customHeight="1" thickBot="1" x14ac:dyDescent="0.25">
      <c r="A24" s="426"/>
      <c r="B24" s="1326"/>
      <c r="C24" s="728"/>
      <c r="D24" s="1335" t="s">
        <v>1197</v>
      </c>
      <c r="E24" s="1336"/>
      <c r="F24" s="713"/>
      <c r="G24" s="714" t="s">
        <v>1202</v>
      </c>
      <c r="H24" s="714"/>
      <c r="I24" s="729"/>
      <c r="J24" s="729"/>
      <c r="K24" s="729"/>
      <c r="L24" s="730"/>
      <c r="M24" s="715">
        <f t="shared" si="6"/>
        <v>0</v>
      </c>
      <c r="N24" s="715">
        <f t="shared" si="3"/>
        <v>0</v>
      </c>
      <c r="O24" s="731">
        <v>0.125</v>
      </c>
      <c r="P24" s="716">
        <f t="shared" si="4"/>
        <v>0</v>
      </c>
      <c r="Q24" s="717">
        <f t="shared" si="5"/>
        <v>0</v>
      </c>
      <c r="R24" s="1016"/>
      <c r="S24" s="1016"/>
      <c r="T24" s="1016"/>
      <c r="U24" s="1016"/>
      <c r="V24" s="1030">
        <f t="shared" si="0"/>
        <v>0</v>
      </c>
      <c r="W24" s="1031">
        <f t="shared" si="1"/>
        <v>0</v>
      </c>
      <c r="X24" s="1031">
        <f>IF(Q24&gt;P24,Q24-P24,0)</f>
        <v>0</v>
      </c>
      <c r="Y24" s="1332"/>
      <c r="Z24" s="1332"/>
      <c r="AA24" s="1339"/>
      <c r="AB24" s="1332"/>
      <c r="AC24" s="1329"/>
      <c r="AD24" s="1332"/>
      <c r="AE24" s="1332"/>
      <c r="AF24" s="763"/>
      <c r="AG24" s="763"/>
      <c r="AH24" s="763"/>
      <c r="AI24" s="763"/>
      <c r="AJ24" s="763"/>
      <c r="AK24" s="763"/>
      <c r="AL24" s="763"/>
      <c r="AM24" s="763"/>
      <c r="AN24" s="763"/>
      <c r="AO24" s="763"/>
      <c r="AP24" s="763"/>
      <c r="AQ24" s="763"/>
      <c r="AR24" s="763"/>
      <c r="AS24" s="763"/>
      <c r="AT24" s="763"/>
      <c r="AU24" s="763"/>
      <c r="AV24" s="763"/>
      <c r="AW24" s="763"/>
      <c r="AX24" s="763"/>
      <c r="AY24" s="763"/>
      <c r="AZ24" s="763"/>
      <c r="BA24" s="763"/>
      <c r="BB24" s="763"/>
      <c r="BC24" s="763"/>
      <c r="BD24" s="763"/>
      <c r="BE24" s="763"/>
      <c r="BF24" s="763"/>
      <c r="BG24" s="763"/>
      <c r="BH24" s="763"/>
      <c r="BI24" s="763"/>
      <c r="BJ24" s="763"/>
      <c r="BK24" s="763"/>
      <c r="BL24" s="763"/>
      <c r="BM24" s="763"/>
      <c r="BN24" s="763"/>
      <c r="BO24" s="763"/>
      <c r="BP24" s="763"/>
      <c r="BQ24" s="763"/>
      <c r="BR24" s="763"/>
      <c r="BS24" s="763"/>
      <c r="BT24" s="763"/>
      <c r="BU24" s="763"/>
      <c r="BV24" s="763"/>
      <c r="BW24" s="763"/>
      <c r="BX24" s="763"/>
      <c r="BY24" s="763"/>
      <c r="BZ24" s="763"/>
      <c r="CA24" s="763"/>
      <c r="CB24" s="763"/>
      <c r="CC24" s="763"/>
      <c r="CD24" s="763"/>
      <c r="CE24" s="763"/>
      <c r="CF24" s="763"/>
      <c r="CG24" s="763"/>
      <c r="CH24" s="763"/>
      <c r="CI24" s="763"/>
      <c r="CJ24" s="763"/>
      <c r="CK24" s="763"/>
      <c r="CL24" s="763"/>
      <c r="CM24" s="763"/>
      <c r="CN24" s="763"/>
      <c r="CO24" s="763"/>
      <c r="CP24" s="763"/>
      <c r="CQ24" s="763"/>
      <c r="CR24" s="763"/>
      <c r="CS24" s="763"/>
      <c r="CT24" s="763"/>
      <c r="CU24" s="763"/>
      <c r="CV24" s="763"/>
      <c r="CW24" s="763"/>
      <c r="CX24" s="763"/>
      <c r="CY24" s="763"/>
      <c r="CZ24" s="763"/>
      <c r="DA24" s="763"/>
      <c r="DB24" s="763"/>
      <c r="DC24" s="763"/>
      <c r="DD24" s="763"/>
      <c r="DE24" s="763"/>
      <c r="DF24" s="763"/>
      <c r="DG24" s="763"/>
      <c r="DH24" s="763"/>
      <c r="DI24" s="763"/>
      <c r="DJ24" s="763"/>
      <c r="DK24" s="763"/>
      <c r="DL24" s="763"/>
      <c r="DM24" s="763"/>
      <c r="DN24" s="763"/>
      <c r="DO24" s="763"/>
      <c r="DP24" s="763"/>
      <c r="DQ24" s="763"/>
      <c r="DR24" s="763"/>
      <c r="DS24" s="763"/>
      <c r="DT24" s="763"/>
      <c r="DU24" s="763"/>
      <c r="DV24" s="763"/>
      <c r="DW24" s="763"/>
      <c r="DX24" s="763"/>
      <c r="DY24" s="763"/>
      <c r="DZ24" s="763"/>
      <c r="EA24" s="763"/>
      <c r="EB24" s="763"/>
      <c r="EC24" s="763"/>
    </row>
    <row r="25" spans="1:135" s="905" customFormat="1" x14ac:dyDescent="0.2">
      <c r="A25" s="350"/>
      <c r="B25" s="732"/>
      <c r="C25" s="1344" t="s">
        <v>1411</v>
      </c>
      <c r="D25" s="1345"/>
      <c r="E25" s="1346"/>
      <c r="F25" s="734"/>
      <c r="G25" s="735" t="s">
        <v>1203</v>
      </c>
      <c r="H25" s="735"/>
      <c r="I25" s="736">
        <f t="shared" ref="I25:N25" si="7">SUM(I10:I24)</f>
        <v>0</v>
      </c>
      <c r="J25" s="736">
        <f t="shared" si="7"/>
        <v>0</v>
      </c>
      <c r="K25" s="736">
        <f t="shared" si="7"/>
        <v>0</v>
      </c>
      <c r="L25" s="736">
        <f t="shared" si="7"/>
        <v>0</v>
      </c>
      <c r="M25" s="736">
        <f t="shared" si="7"/>
        <v>0</v>
      </c>
      <c r="N25" s="736">
        <f t="shared" si="7"/>
        <v>0</v>
      </c>
      <c r="O25" s="737"/>
      <c r="P25" s="719">
        <f>SUM(P10:P24)</f>
        <v>0</v>
      </c>
      <c r="Q25" s="720">
        <f>SUM(Q10:Q24)</f>
        <v>0</v>
      </c>
      <c r="R25" s="1016"/>
      <c r="S25" s="1016"/>
      <c r="T25" s="1016"/>
      <c r="U25" s="1016"/>
      <c r="V25" s="1033"/>
      <c r="W25" s="904"/>
      <c r="X25" s="904"/>
      <c r="Y25" s="904"/>
      <c r="Z25" s="904"/>
      <c r="AA25" s="904"/>
      <c r="AB25" s="904"/>
      <c r="AC25" s="904"/>
      <c r="AD25" s="904"/>
      <c r="AE25" s="904"/>
      <c r="AF25" s="904"/>
      <c r="AG25" s="904"/>
      <c r="AH25" s="904"/>
      <c r="AI25" s="904"/>
      <c r="AJ25" s="904"/>
      <c r="AK25" s="904"/>
      <c r="AL25" s="904"/>
      <c r="AM25" s="904"/>
      <c r="AN25" s="904"/>
      <c r="AO25" s="904"/>
      <c r="AP25" s="904"/>
      <c r="AQ25" s="904"/>
      <c r="AR25" s="904"/>
      <c r="AS25" s="904"/>
      <c r="AT25" s="904"/>
      <c r="AU25" s="904"/>
      <c r="AV25" s="904"/>
      <c r="AW25" s="904"/>
      <c r="AX25" s="904"/>
      <c r="AY25" s="904"/>
      <c r="AZ25" s="904"/>
      <c r="BA25" s="904"/>
      <c r="BB25" s="904"/>
      <c r="BC25" s="904"/>
      <c r="BD25" s="904"/>
      <c r="BE25" s="904"/>
      <c r="BF25" s="904"/>
      <c r="BG25" s="904"/>
      <c r="BH25" s="904"/>
      <c r="BI25" s="904"/>
      <c r="BJ25" s="904"/>
      <c r="BK25" s="904"/>
      <c r="BL25" s="904"/>
      <c r="BM25" s="904"/>
      <c r="BN25" s="904"/>
      <c r="BO25" s="904"/>
      <c r="BP25" s="904"/>
      <c r="BQ25" s="904"/>
      <c r="BR25" s="904"/>
      <c r="BS25" s="904"/>
      <c r="BT25" s="904"/>
      <c r="BU25" s="904"/>
      <c r="BV25" s="904"/>
      <c r="BW25" s="904"/>
      <c r="BX25" s="904"/>
      <c r="BY25" s="904"/>
      <c r="BZ25" s="904"/>
      <c r="CA25" s="904"/>
      <c r="CB25" s="904"/>
      <c r="CC25" s="904"/>
      <c r="CD25" s="904"/>
      <c r="CE25" s="904"/>
      <c r="CF25" s="904"/>
      <c r="CG25" s="904"/>
      <c r="CH25" s="904"/>
      <c r="CI25" s="904"/>
      <c r="CJ25" s="904"/>
      <c r="CK25" s="904"/>
      <c r="CL25" s="904"/>
      <c r="CM25" s="904"/>
      <c r="CN25" s="904"/>
      <c r="CO25" s="904"/>
      <c r="CP25" s="904"/>
      <c r="CQ25" s="904"/>
      <c r="CR25" s="904"/>
      <c r="CS25" s="904"/>
      <c r="CT25" s="904"/>
      <c r="CU25" s="904"/>
      <c r="CV25" s="904"/>
      <c r="CW25" s="904"/>
      <c r="CX25" s="904"/>
      <c r="CY25" s="904"/>
      <c r="CZ25" s="904"/>
      <c r="DA25" s="904"/>
      <c r="DB25" s="904"/>
      <c r="DC25" s="904"/>
      <c r="DD25" s="904"/>
      <c r="DE25" s="904"/>
      <c r="DF25" s="904"/>
      <c r="DG25" s="904"/>
      <c r="DH25" s="904"/>
      <c r="DI25" s="904"/>
      <c r="DJ25" s="904"/>
      <c r="DK25" s="904"/>
      <c r="DL25" s="904"/>
      <c r="DM25" s="904"/>
      <c r="DN25" s="904"/>
      <c r="DO25" s="904"/>
      <c r="DP25" s="904"/>
      <c r="DQ25" s="904"/>
      <c r="DR25" s="904"/>
      <c r="DS25" s="904"/>
      <c r="DT25" s="904"/>
      <c r="DU25" s="904"/>
      <c r="DV25" s="904"/>
      <c r="DW25" s="904"/>
      <c r="DX25" s="904"/>
      <c r="DY25" s="904"/>
      <c r="DZ25" s="904"/>
      <c r="EA25" s="904"/>
      <c r="EB25" s="904"/>
      <c r="EC25" s="904"/>
    </row>
    <row r="26" spans="1:135" s="899" customFormat="1" ht="14.1" customHeight="1" x14ac:dyDescent="0.2">
      <c r="A26" s="426"/>
      <c r="B26" s="738"/>
      <c r="C26" s="1347" t="s">
        <v>1204</v>
      </c>
      <c r="D26" s="1348"/>
      <c r="E26" s="1349"/>
      <c r="F26" s="739"/>
      <c r="G26" s="741" t="s">
        <v>1205</v>
      </c>
      <c r="H26" s="742"/>
      <c r="I26" s="743"/>
      <c r="J26" s="743"/>
      <c r="K26" s="743"/>
      <c r="L26" s="743"/>
      <c r="M26" s="743"/>
      <c r="N26" s="743"/>
      <c r="O26" s="744"/>
      <c r="P26" s="1350">
        <f>IF(P25&gt;Q25,P25-Q25,Q25-P25)</f>
        <v>0</v>
      </c>
      <c r="Q26" s="1351"/>
      <c r="R26" s="1034"/>
      <c r="S26" s="1034"/>
      <c r="T26" s="1034"/>
      <c r="U26" s="1034"/>
      <c r="V26" s="1035"/>
      <c r="W26" s="763"/>
      <c r="X26" s="763"/>
      <c r="Y26" s="763"/>
      <c r="Z26" s="763"/>
      <c r="AA26" s="763"/>
      <c r="AB26" s="763"/>
      <c r="AC26" s="763"/>
      <c r="AD26" s="763"/>
      <c r="AE26" s="763"/>
      <c r="AF26" s="763"/>
      <c r="AG26" s="763"/>
      <c r="AH26" s="763"/>
      <c r="AI26" s="763"/>
      <c r="AJ26" s="763"/>
      <c r="AK26" s="763"/>
      <c r="AL26" s="763"/>
      <c r="AM26" s="763"/>
      <c r="AN26" s="763"/>
      <c r="AO26" s="763"/>
      <c r="AP26" s="763"/>
      <c r="AQ26" s="763"/>
      <c r="AR26" s="763"/>
      <c r="AS26" s="763"/>
      <c r="AT26" s="763"/>
      <c r="AU26" s="763"/>
      <c r="AV26" s="763"/>
      <c r="AW26" s="763"/>
      <c r="AX26" s="763"/>
      <c r="AY26" s="763"/>
      <c r="AZ26" s="763"/>
      <c r="BA26" s="763"/>
      <c r="BB26" s="763"/>
      <c r="BC26" s="763"/>
      <c r="BD26" s="763"/>
      <c r="BE26" s="763"/>
      <c r="BF26" s="763"/>
      <c r="BG26" s="763"/>
      <c r="BH26" s="763"/>
      <c r="BI26" s="763"/>
      <c r="BJ26" s="763"/>
      <c r="BK26" s="763"/>
      <c r="BL26" s="763"/>
      <c r="BM26" s="763"/>
      <c r="BN26" s="763"/>
      <c r="BO26" s="763"/>
      <c r="BP26" s="763"/>
      <c r="BQ26" s="763"/>
      <c r="BR26" s="763"/>
      <c r="BS26" s="763"/>
      <c r="BT26" s="763"/>
      <c r="BU26" s="763"/>
      <c r="BV26" s="763"/>
      <c r="BW26" s="763"/>
      <c r="BX26" s="763"/>
      <c r="BY26" s="763"/>
      <c r="BZ26" s="763"/>
      <c r="CA26" s="763"/>
      <c r="CB26" s="763"/>
      <c r="CC26" s="763"/>
      <c r="CD26" s="763"/>
      <c r="CE26" s="763"/>
      <c r="CF26" s="763"/>
      <c r="CG26" s="763"/>
      <c r="CH26" s="763"/>
      <c r="CI26" s="763"/>
      <c r="CJ26" s="763"/>
      <c r="CK26" s="763"/>
      <c r="CL26" s="763"/>
      <c r="CM26" s="763"/>
      <c r="CN26" s="763"/>
      <c r="CO26" s="763"/>
      <c r="CP26" s="763"/>
      <c r="CQ26" s="763"/>
      <c r="CR26" s="763"/>
      <c r="CS26" s="763"/>
      <c r="CT26" s="763"/>
      <c r="CU26" s="763"/>
      <c r="CV26" s="763"/>
      <c r="CW26" s="763"/>
      <c r="CX26" s="763"/>
      <c r="CY26" s="763"/>
      <c r="CZ26" s="763"/>
      <c r="DA26" s="763"/>
      <c r="DB26" s="763"/>
      <c r="DC26" s="763"/>
      <c r="DD26" s="763"/>
      <c r="DE26" s="763"/>
      <c r="DF26" s="763"/>
      <c r="DG26" s="763"/>
      <c r="DH26" s="763"/>
      <c r="DI26" s="763"/>
      <c r="DJ26" s="763"/>
      <c r="DK26" s="763"/>
      <c r="DL26" s="763"/>
      <c r="DM26" s="763"/>
      <c r="DN26" s="763"/>
      <c r="DO26" s="763"/>
      <c r="DP26" s="763"/>
      <c r="DQ26" s="763"/>
      <c r="DR26" s="763"/>
      <c r="DS26" s="763"/>
      <c r="DT26" s="763"/>
      <c r="DU26" s="763"/>
      <c r="DV26" s="763"/>
      <c r="DW26" s="763"/>
      <c r="DX26" s="763"/>
      <c r="DY26" s="763"/>
      <c r="DZ26" s="763"/>
      <c r="EA26" s="763"/>
      <c r="EB26" s="763"/>
      <c r="EC26" s="763"/>
      <c r="ED26" s="763"/>
    </row>
    <row r="27" spans="1:135" s="899" customFormat="1" ht="14.1" customHeight="1" x14ac:dyDescent="0.2">
      <c r="A27" s="426"/>
      <c r="B27" s="745"/>
      <c r="C27" s="746"/>
      <c r="D27" s="746"/>
      <c r="E27" s="746"/>
      <c r="F27" s="746"/>
      <c r="G27" s="747"/>
      <c r="H27" s="747"/>
      <c r="I27" s="748"/>
      <c r="J27" s="748"/>
      <c r="K27" s="748"/>
      <c r="L27" s="748"/>
      <c r="M27" s="748"/>
      <c r="N27" s="748"/>
      <c r="O27" s="749"/>
      <c r="P27" s="750"/>
      <c r="Q27" s="751"/>
      <c r="R27" s="1034"/>
      <c r="S27" s="1034"/>
      <c r="T27" s="1034"/>
      <c r="U27" s="1034"/>
      <c r="V27" s="1035"/>
      <c r="W27" s="763"/>
      <c r="X27" s="763"/>
      <c r="Y27" s="763"/>
      <c r="Z27" s="763"/>
      <c r="AA27" s="763"/>
      <c r="AB27" s="763"/>
      <c r="AC27" s="763"/>
      <c r="AD27" s="763"/>
      <c r="AE27" s="763"/>
      <c r="AF27" s="763"/>
      <c r="AG27" s="763"/>
      <c r="AH27" s="763"/>
      <c r="AI27" s="763"/>
      <c r="AJ27" s="763"/>
      <c r="AK27" s="763"/>
      <c r="AL27" s="763"/>
      <c r="AM27" s="763"/>
      <c r="AN27" s="763"/>
      <c r="AO27" s="763"/>
      <c r="AP27" s="763"/>
      <c r="AQ27" s="763"/>
      <c r="AR27" s="763"/>
      <c r="AS27" s="763"/>
      <c r="AT27" s="763"/>
      <c r="AU27" s="763"/>
      <c r="AV27" s="763"/>
      <c r="AW27" s="763"/>
      <c r="AX27" s="763"/>
      <c r="AY27" s="763"/>
      <c r="AZ27" s="763"/>
      <c r="BA27" s="763"/>
      <c r="BB27" s="763"/>
      <c r="BC27" s="763"/>
      <c r="BD27" s="763"/>
      <c r="BE27" s="763"/>
      <c r="BF27" s="763"/>
      <c r="BG27" s="763"/>
      <c r="BH27" s="763"/>
      <c r="BI27" s="763"/>
      <c r="BJ27" s="763"/>
      <c r="BK27" s="763"/>
      <c r="BL27" s="763"/>
      <c r="BM27" s="763"/>
      <c r="BN27" s="763"/>
      <c r="BO27" s="763"/>
      <c r="BP27" s="763"/>
      <c r="BQ27" s="763"/>
      <c r="BR27" s="763"/>
      <c r="BS27" s="763"/>
      <c r="BT27" s="763"/>
      <c r="BU27" s="763"/>
      <c r="BV27" s="763"/>
      <c r="BW27" s="763"/>
      <c r="BX27" s="763"/>
      <c r="BY27" s="763"/>
      <c r="BZ27" s="763"/>
      <c r="CA27" s="763"/>
      <c r="CB27" s="763"/>
      <c r="CC27" s="763"/>
      <c r="CD27" s="763"/>
      <c r="CE27" s="763"/>
      <c r="CF27" s="763"/>
      <c r="CG27" s="763"/>
      <c r="CH27" s="763"/>
      <c r="CI27" s="763"/>
      <c r="CJ27" s="763"/>
      <c r="CK27" s="763"/>
      <c r="CL27" s="763"/>
      <c r="CM27" s="763"/>
      <c r="CN27" s="763"/>
      <c r="CO27" s="763"/>
      <c r="CP27" s="763"/>
      <c r="CQ27" s="763"/>
      <c r="CR27" s="763"/>
      <c r="CS27" s="763"/>
      <c r="CT27" s="763"/>
      <c r="CU27" s="763"/>
      <c r="CV27" s="763"/>
      <c r="CW27" s="763"/>
      <c r="CX27" s="763"/>
      <c r="CY27" s="763"/>
      <c r="CZ27" s="763"/>
      <c r="DA27" s="763"/>
      <c r="DB27" s="763"/>
      <c r="DC27" s="763"/>
      <c r="DD27" s="763"/>
      <c r="DE27" s="763"/>
      <c r="DF27" s="763"/>
      <c r="DG27" s="763"/>
      <c r="DH27" s="763"/>
      <c r="DI27" s="763"/>
      <c r="DJ27" s="763"/>
      <c r="DK27" s="763"/>
      <c r="DL27" s="763"/>
      <c r="DM27" s="763"/>
      <c r="DN27" s="763"/>
      <c r="DO27" s="763"/>
      <c r="DP27" s="763"/>
      <c r="DQ27" s="763"/>
      <c r="DR27" s="763"/>
      <c r="DS27" s="763"/>
      <c r="DT27" s="763"/>
      <c r="DU27" s="763"/>
      <c r="DV27" s="763"/>
      <c r="DW27" s="763"/>
      <c r="DX27" s="763"/>
      <c r="DY27" s="763"/>
      <c r="DZ27" s="763"/>
      <c r="EA27" s="763"/>
      <c r="EB27" s="763"/>
      <c r="EC27" s="763"/>
      <c r="ED27" s="763"/>
    </row>
    <row r="28" spans="1:135" s="899" customFormat="1" ht="18.75" customHeight="1" x14ac:dyDescent="0.2">
      <c r="A28" s="426"/>
      <c r="B28" s="1356" t="s">
        <v>1206</v>
      </c>
      <c r="C28" s="1357"/>
      <c r="D28" s="1357"/>
      <c r="E28" s="1357"/>
      <c r="F28" s="1357"/>
      <c r="G28" s="1358"/>
      <c r="H28" s="752"/>
      <c r="I28" s="1362" t="s">
        <v>1207</v>
      </c>
      <c r="J28" s="1363" t="s">
        <v>1208</v>
      </c>
      <c r="K28" s="1364"/>
      <c r="L28" s="1365"/>
      <c r="M28" s="1363" t="s">
        <v>1209</v>
      </c>
      <c r="N28" s="1364"/>
      <c r="O28" s="1365"/>
      <c r="P28" s="1340" t="s">
        <v>1210</v>
      </c>
      <c r="Q28" s="1342" t="s">
        <v>1211</v>
      </c>
      <c r="R28" s="1036"/>
      <c r="S28" s="1037"/>
      <c r="T28" s="1037"/>
      <c r="U28" s="1037"/>
      <c r="V28" s="1037"/>
      <c r="W28" s="1035"/>
      <c r="X28" s="763"/>
      <c r="Y28" s="763"/>
      <c r="Z28" s="763"/>
      <c r="AA28" s="1038"/>
      <c r="AB28" s="1039"/>
      <c r="AC28" s="763"/>
      <c r="AD28" s="763"/>
      <c r="AE28" s="763"/>
      <c r="AF28" s="763"/>
      <c r="AG28" s="763"/>
      <c r="AH28" s="763"/>
      <c r="AI28" s="763"/>
      <c r="AJ28" s="763"/>
      <c r="AK28" s="763"/>
      <c r="AL28" s="763"/>
      <c r="AM28" s="763"/>
      <c r="AN28" s="763"/>
      <c r="AO28" s="763"/>
      <c r="AP28" s="763"/>
      <c r="AQ28" s="763"/>
      <c r="AR28" s="763"/>
      <c r="AS28" s="763"/>
      <c r="AT28" s="763"/>
      <c r="AU28" s="763"/>
      <c r="AV28" s="763"/>
      <c r="AW28" s="763"/>
      <c r="AX28" s="763"/>
      <c r="AY28" s="763"/>
      <c r="AZ28" s="763"/>
      <c r="BA28" s="763"/>
      <c r="BB28" s="763"/>
      <c r="BC28" s="763"/>
      <c r="BD28" s="763"/>
      <c r="BE28" s="763"/>
      <c r="BF28" s="763"/>
      <c r="BG28" s="763"/>
      <c r="BH28" s="763"/>
      <c r="BI28" s="763"/>
      <c r="BJ28" s="763"/>
      <c r="BK28" s="763"/>
      <c r="BL28" s="763"/>
      <c r="BM28" s="763"/>
      <c r="BN28" s="763"/>
      <c r="BO28" s="763"/>
      <c r="BP28" s="763"/>
      <c r="BQ28" s="763"/>
      <c r="BR28" s="763"/>
      <c r="BS28" s="763"/>
      <c r="BT28" s="763"/>
      <c r="BU28" s="763"/>
      <c r="BV28" s="763"/>
      <c r="BW28" s="763"/>
      <c r="BX28" s="763"/>
      <c r="BY28" s="763"/>
      <c r="BZ28" s="763"/>
      <c r="CA28" s="763"/>
      <c r="CB28" s="763"/>
      <c r="CC28" s="763"/>
      <c r="CD28" s="763"/>
      <c r="CE28" s="763"/>
      <c r="CF28" s="763"/>
      <c r="CG28" s="763"/>
      <c r="CH28" s="763"/>
      <c r="CI28" s="763"/>
      <c r="CJ28" s="763"/>
      <c r="CK28" s="763"/>
      <c r="CL28" s="763"/>
      <c r="CM28" s="763"/>
      <c r="CN28" s="763"/>
      <c r="CO28" s="763"/>
      <c r="CP28" s="763"/>
      <c r="CQ28" s="763"/>
      <c r="CR28" s="763"/>
      <c r="CS28" s="763"/>
      <c r="CT28" s="763"/>
      <c r="CU28" s="763"/>
      <c r="CV28" s="763"/>
      <c r="CW28" s="763"/>
      <c r="CX28" s="763"/>
      <c r="CY28" s="763"/>
      <c r="CZ28" s="763"/>
      <c r="DA28" s="763"/>
      <c r="DB28" s="763"/>
      <c r="DC28" s="763"/>
      <c r="DD28" s="763"/>
      <c r="DE28" s="763"/>
      <c r="DF28" s="763"/>
      <c r="DG28" s="763"/>
      <c r="DH28" s="763"/>
      <c r="DI28" s="763"/>
      <c r="DJ28" s="763"/>
      <c r="DK28" s="763"/>
      <c r="DL28" s="763"/>
      <c r="DM28" s="763"/>
      <c r="DN28" s="763"/>
      <c r="DO28" s="763"/>
      <c r="DP28" s="763"/>
      <c r="DQ28" s="763"/>
      <c r="DR28" s="763"/>
      <c r="DS28" s="763"/>
      <c r="DT28" s="763"/>
      <c r="DU28" s="763"/>
      <c r="DV28" s="763"/>
      <c r="DW28" s="763"/>
      <c r="DX28" s="763"/>
      <c r="DY28" s="763"/>
      <c r="DZ28" s="763"/>
      <c r="EA28" s="763"/>
      <c r="EB28" s="763"/>
      <c r="EC28" s="763"/>
      <c r="ED28" s="763"/>
      <c r="EE28" s="763"/>
    </row>
    <row r="29" spans="1:135" s="899" customFormat="1" ht="19.5" customHeight="1" x14ac:dyDescent="0.2">
      <c r="A29" s="426"/>
      <c r="B29" s="1359"/>
      <c r="C29" s="1360"/>
      <c r="D29" s="1360"/>
      <c r="E29" s="1360"/>
      <c r="F29" s="1360"/>
      <c r="G29" s="1361"/>
      <c r="H29" s="754"/>
      <c r="I29" s="1362"/>
      <c r="J29" s="753" t="s">
        <v>1212</v>
      </c>
      <c r="K29" s="753" t="s">
        <v>1213</v>
      </c>
      <c r="L29" s="753" t="s">
        <v>1214</v>
      </c>
      <c r="M29" s="755" t="s">
        <v>1215</v>
      </c>
      <c r="N29" s="755" t="s">
        <v>1216</v>
      </c>
      <c r="O29" s="755" t="s">
        <v>1217</v>
      </c>
      <c r="P29" s="1341"/>
      <c r="Q29" s="1343"/>
      <c r="R29" s="1036"/>
      <c r="S29" s="1037"/>
      <c r="T29" s="1037"/>
      <c r="U29" s="1037"/>
      <c r="V29" s="1037"/>
      <c r="W29" s="1035"/>
      <c r="Z29" s="763"/>
      <c r="AA29" s="1038"/>
      <c r="AB29" s="1038"/>
      <c r="AC29" s="763"/>
      <c r="AD29" s="763"/>
      <c r="AE29" s="763"/>
      <c r="AF29" s="763"/>
      <c r="AG29" s="763"/>
      <c r="AH29" s="763"/>
      <c r="AI29" s="763"/>
      <c r="AJ29" s="763"/>
      <c r="AK29" s="763"/>
      <c r="AL29" s="763"/>
      <c r="AM29" s="763"/>
      <c r="AN29" s="763"/>
      <c r="AO29" s="763"/>
      <c r="AP29" s="763"/>
      <c r="AQ29" s="763"/>
      <c r="AR29" s="763"/>
      <c r="AS29" s="763"/>
      <c r="AT29" s="763"/>
      <c r="AU29" s="763"/>
      <c r="AV29" s="763"/>
      <c r="AW29" s="763"/>
      <c r="AX29" s="763"/>
      <c r="AY29" s="763"/>
      <c r="AZ29" s="763"/>
      <c r="BA29" s="763"/>
      <c r="BB29" s="763"/>
      <c r="BC29" s="763"/>
      <c r="BD29" s="763"/>
      <c r="BE29" s="763"/>
      <c r="BF29" s="763"/>
      <c r="BG29" s="763"/>
      <c r="BH29" s="763"/>
      <c r="BI29" s="763"/>
      <c r="BJ29" s="763"/>
      <c r="BK29" s="763"/>
      <c r="BL29" s="763"/>
      <c r="BM29" s="763"/>
      <c r="BN29" s="763"/>
      <c r="BO29" s="763"/>
      <c r="BP29" s="763"/>
      <c r="BQ29" s="763"/>
      <c r="BR29" s="763"/>
      <c r="BS29" s="763"/>
      <c r="BT29" s="763"/>
      <c r="BU29" s="763"/>
      <c r="BV29" s="763"/>
      <c r="BW29" s="763"/>
      <c r="BX29" s="763"/>
      <c r="BY29" s="763"/>
      <c r="BZ29" s="763"/>
      <c r="CA29" s="763"/>
      <c r="CB29" s="763"/>
      <c r="CC29" s="763"/>
      <c r="CD29" s="763"/>
      <c r="CE29" s="763"/>
      <c r="CF29" s="763"/>
      <c r="CG29" s="763"/>
      <c r="CH29" s="763"/>
      <c r="CI29" s="763"/>
      <c r="CJ29" s="763"/>
      <c r="CK29" s="763"/>
      <c r="CL29" s="763"/>
      <c r="CM29" s="763"/>
      <c r="CN29" s="763"/>
      <c r="CO29" s="763"/>
      <c r="CP29" s="763"/>
      <c r="CQ29" s="763"/>
      <c r="CR29" s="763"/>
      <c r="CS29" s="763"/>
      <c r="CT29" s="763"/>
      <c r="CU29" s="763"/>
      <c r="CV29" s="763"/>
      <c r="CW29" s="763"/>
      <c r="CX29" s="763"/>
      <c r="CY29" s="763"/>
      <c r="CZ29" s="763"/>
      <c r="DA29" s="763"/>
      <c r="DB29" s="763"/>
      <c r="DC29" s="763"/>
      <c r="DD29" s="763"/>
      <c r="DE29" s="763"/>
      <c r="DF29" s="763"/>
      <c r="DG29" s="763"/>
      <c r="DH29" s="763"/>
      <c r="DI29" s="763"/>
      <c r="DJ29" s="763"/>
      <c r="DK29" s="763"/>
      <c r="DL29" s="763"/>
      <c r="DM29" s="763"/>
      <c r="DN29" s="763"/>
      <c r="DO29" s="763"/>
      <c r="DP29" s="763"/>
      <c r="DQ29" s="763"/>
      <c r="DR29" s="763"/>
      <c r="DS29" s="763"/>
      <c r="DT29" s="763"/>
      <c r="DU29" s="763"/>
      <c r="DV29" s="763"/>
      <c r="DW29" s="763"/>
      <c r="DX29" s="763"/>
      <c r="DY29" s="763"/>
      <c r="DZ29" s="763"/>
      <c r="EA29" s="763"/>
      <c r="EB29" s="763"/>
      <c r="EC29" s="763"/>
      <c r="ED29" s="763"/>
      <c r="EE29" s="763"/>
    </row>
    <row r="30" spans="1:135" s="899" customFormat="1" ht="15.95" customHeight="1" thickBot="1" x14ac:dyDescent="0.25">
      <c r="A30" s="426"/>
      <c r="B30" s="1352" t="s">
        <v>1218</v>
      </c>
      <c r="C30" s="1353"/>
      <c r="D30" s="1354"/>
      <c r="E30" s="756"/>
      <c r="F30" s="756"/>
      <c r="G30" s="757" t="s">
        <v>1636</v>
      </c>
      <c r="H30" s="757"/>
      <c r="I30" s="716">
        <f>SUM(V10:V24)</f>
        <v>0</v>
      </c>
      <c r="J30" s="716">
        <f>Y10</f>
        <v>0</v>
      </c>
      <c r="K30" s="716">
        <f>Y14</f>
        <v>0</v>
      </c>
      <c r="L30" s="716">
        <f>Y17</f>
        <v>0</v>
      </c>
      <c r="M30" s="716">
        <f>AA10</f>
        <v>0</v>
      </c>
      <c r="N30" s="716">
        <f>AC14</f>
        <v>0</v>
      </c>
      <c r="O30" s="716">
        <f>AE10</f>
        <v>0</v>
      </c>
      <c r="P30" s="716">
        <f>P26</f>
        <v>0</v>
      </c>
      <c r="Q30" s="758">
        <f>SUM(I30:P30)</f>
        <v>0</v>
      </c>
      <c r="R30" s="1040"/>
      <c r="S30" s="1041"/>
      <c r="T30" s="1041"/>
      <c r="U30" s="1041"/>
      <c r="V30" s="1041"/>
      <c r="W30" s="1038"/>
      <c r="X30" s="1038"/>
      <c r="Y30" s="1038"/>
      <c r="Z30" s="1042"/>
      <c r="AA30" s="970"/>
      <c r="AC30" s="1038"/>
      <c r="AD30" s="1038"/>
      <c r="AE30" s="763"/>
      <c r="AF30" s="763"/>
      <c r="AG30" s="763"/>
      <c r="AH30" s="763"/>
      <c r="AI30" s="763"/>
      <c r="AJ30" s="763"/>
      <c r="AK30" s="763"/>
      <c r="AL30" s="763"/>
      <c r="AM30" s="763"/>
      <c r="AN30" s="763"/>
      <c r="AO30" s="763"/>
      <c r="AP30" s="763"/>
      <c r="AQ30" s="763"/>
      <c r="AR30" s="763"/>
      <c r="AS30" s="763"/>
      <c r="AT30" s="763"/>
      <c r="AU30" s="763"/>
      <c r="AV30" s="763"/>
      <c r="AW30" s="763"/>
      <c r="AX30" s="763"/>
      <c r="AY30" s="763"/>
      <c r="AZ30" s="763"/>
      <c r="BA30" s="763"/>
      <c r="BB30" s="763"/>
      <c r="BC30" s="763"/>
      <c r="BD30" s="763"/>
      <c r="BE30" s="763"/>
      <c r="BF30" s="763"/>
      <c r="BG30" s="763"/>
      <c r="BH30" s="763"/>
      <c r="BI30" s="763"/>
      <c r="BJ30" s="763"/>
      <c r="BK30" s="763"/>
      <c r="BL30" s="763"/>
      <c r="BM30" s="763"/>
      <c r="BN30" s="763"/>
      <c r="BO30" s="763"/>
      <c r="BP30" s="763"/>
      <c r="BQ30" s="763"/>
      <c r="BR30" s="763"/>
      <c r="BS30" s="763"/>
      <c r="BT30" s="763"/>
      <c r="BU30" s="763"/>
      <c r="BV30" s="763"/>
      <c r="BW30" s="763"/>
      <c r="BX30" s="763"/>
      <c r="BY30" s="763"/>
      <c r="BZ30" s="763"/>
      <c r="CA30" s="763"/>
      <c r="CB30" s="763"/>
      <c r="CC30" s="763"/>
      <c r="CD30" s="763"/>
      <c r="CE30" s="763"/>
      <c r="CF30" s="763"/>
      <c r="CG30" s="763"/>
      <c r="CH30" s="763"/>
      <c r="CI30" s="763"/>
      <c r="CJ30" s="763"/>
      <c r="CK30" s="763"/>
      <c r="CL30" s="763"/>
      <c r="CM30" s="763"/>
      <c r="CN30" s="763"/>
      <c r="CO30" s="763"/>
      <c r="CP30" s="763"/>
      <c r="CQ30" s="763"/>
      <c r="CR30" s="763"/>
      <c r="CS30" s="763"/>
      <c r="CT30" s="763"/>
      <c r="CU30" s="763"/>
      <c r="CV30" s="763"/>
      <c r="CW30" s="763"/>
      <c r="CX30" s="763"/>
      <c r="CY30" s="763"/>
      <c r="CZ30" s="763"/>
      <c r="DA30" s="763"/>
      <c r="DB30" s="763"/>
      <c r="DC30" s="763"/>
      <c r="DD30" s="763"/>
      <c r="DE30" s="763"/>
      <c r="DF30" s="763"/>
      <c r="DG30" s="763"/>
      <c r="DH30" s="763"/>
      <c r="DI30" s="763"/>
      <c r="DJ30" s="763"/>
      <c r="DK30" s="763"/>
      <c r="DL30" s="763"/>
      <c r="DM30" s="763"/>
      <c r="DN30" s="763"/>
      <c r="DO30" s="763"/>
      <c r="DP30" s="763"/>
      <c r="DQ30" s="763"/>
      <c r="DR30" s="763"/>
      <c r="DS30" s="763"/>
      <c r="DT30" s="763"/>
      <c r="DU30" s="763"/>
      <c r="DV30" s="763"/>
      <c r="DW30" s="763"/>
      <c r="DX30" s="763"/>
      <c r="DY30" s="763"/>
      <c r="DZ30" s="763"/>
      <c r="EA30" s="763"/>
      <c r="EB30" s="763"/>
      <c r="EC30" s="763"/>
      <c r="ED30" s="763"/>
      <c r="EE30" s="763"/>
    </row>
    <row r="31" spans="1:135" s="899" customFormat="1" ht="3.75" customHeight="1" x14ac:dyDescent="0.2">
      <c r="A31" s="426"/>
      <c r="B31" s="426"/>
      <c r="C31" s="426"/>
      <c r="D31" s="426"/>
      <c r="E31" s="426"/>
      <c r="F31" s="426"/>
      <c r="G31" s="759" t="s">
        <v>309</v>
      </c>
      <c r="H31" s="759"/>
      <c r="I31" s="426"/>
      <c r="J31" s="426"/>
      <c r="K31" s="760"/>
      <c r="L31" s="480"/>
      <c r="M31" s="480"/>
      <c r="N31" s="480"/>
      <c r="O31" s="480"/>
      <c r="P31" s="480"/>
      <c r="Q31" s="480"/>
      <c r="R31" s="763"/>
      <c r="S31" s="763"/>
      <c r="T31" s="763"/>
      <c r="U31" s="763"/>
      <c r="V31" s="1043"/>
      <c r="W31" s="763"/>
      <c r="X31" s="763"/>
      <c r="Y31" s="763"/>
      <c r="Z31" s="763"/>
      <c r="AA31" s="763"/>
      <c r="AB31" s="763"/>
      <c r="AC31" s="763"/>
      <c r="AD31" s="763"/>
      <c r="AE31" s="763"/>
      <c r="AF31" s="763"/>
      <c r="AG31" s="763"/>
      <c r="AH31" s="763"/>
      <c r="AI31" s="763"/>
      <c r="AJ31" s="763"/>
      <c r="AK31" s="763"/>
      <c r="AL31" s="763"/>
      <c r="AM31" s="763"/>
      <c r="AN31" s="763"/>
      <c r="AO31" s="763"/>
      <c r="AP31" s="763"/>
      <c r="AQ31" s="763"/>
      <c r="AR31" s="763"/>
      <c r="AS31" s="763"/>
      <c r="AT31" s="763"/>
      <c r="AU31" s="763"/>
      <c r="AV31" s="763"/>
      <c r="AW31" s="763"/>
      <c r="AX31" s="763"/>
      <c r="AY31" s="763"/>
      <c r="AZ31" s="763"/>
      <c r="BA31" s="763"/>
      <c r="BB31" s="763"/>
      <c r="BC31" s="763"/>
      <c r="BD31" s="763"/>
      <c r="BE31" s="763"/>
      <c r="BF31" s="763"/>
      <c r="BG31" s="763"/>
      <c r="BH31" s="763"/>
      <c r="BI31" s="763"/>
      <c r="BJ31" s="763"/>
      <c r="BK31" s="763"/>
      <c r="BL31" s="763"/>
      <c r="BM31" s="763"/>
      <c r="BN31" s="763"/>
      <c r="BO31" s="763"/>
      <c r="BP31" s="763"/>
      <c r="BQ31" s="763"/>
      <c r="BR31" s="763"/>
      <c r="BS31" s="763"/>
      <c r="BT31" s="763"/>
      <c r="BU31" s="763"/>
      <c r="BV31" s="763"/>
      <c r="BW31" s="763"/>
      <c r="BX31" s="763"/>
      <c r="BY31" s="763"/>
      <c r="BZ31" s="763"/>
      <c r="CA31" s="763"/>
      <c r="CB31" s="763"/>
      <c r="CC31" s="763"/>
      <c r="CD31" s="763"/>
      <c r="CE31" s="763"/>
      <c r="CF31" s="763"/>
      <c r="CG31" s="763"/>
      <c r="CH31" s="763"/>
      <c r="CI31" s="763"/>
      <c r="CJ31" s="763"/>
      <c r="CK31" s="763"/>
      <c r="CL31" s="763"/>
      <c r="CM31" s="763"/>
      <c r="CN31" s="763"/>
      <c r="CO31" s="763"/>
      <c r="CP31" s="763"/>
      <c r="CQ31" s="763"/>
      <c r="CR31" s="763"/>
      <c r="CS31" s="763"/>
      <c r="CT31" s="763"/>
      <c r="CU31" s="763"/>
      <c r="CV31" s="763"/>
      <c r="CW31" s="763"/>
      <c r="CX31" s="763"/>
      <c r="CY31" s="763"/>
      <c r="CZ31" s="763"/>
      <c r="DA31" s="763"/>
      <c r="DB31" s="763"/>
      <c r="DC31" s="763"/>
      <c r="DD31" s="763"/>
      <c r="DE31" s="763"/>
      <c r="DF31" s="763"/>
      <c r="DG31" s="763"/>
      <c r="DH31" s="763"/>
      <c r="DI31" s="763"/>
      <c r="DJ31" s="763"/>
      <c r="DK31" s="763"/>
      <c r="DL31" s="763"/>
      <c r="DM31" s="763"/>
      <c r="DN31" s="763"/>
      <c r="DO31" s="763"/>
      <c r="DP31" s="763"/>
      <c r="DQ31" s="763"/>
      <c r="DR31" s="763"/>
      <c r="DS31" s="763"/>
      <c r="DT31" s="763"/>
      <c r="DU31" s="763"/>
      <c r="DV31" s="763"/>
      <c r="DW31" s="763"/>
      <c r="DX31" s="763"/>
      <c r="DY31" s="763"/>
      <c r="DZ31" s="763"/>
      <c r="EA31" s="763"/>
      <c r="EB31" s="763"/>
      <c r="EC31" s="763"/>
    </row>
    <row r="32" spans="1:135" s="899" customFormat="1" ht="49.5" customHeight="1" x14ac:dyDescent="0.2">
      <c r="A32" s="533" t="s">
        <v>494</v>
      </c>
      <c r="B32" s="1276" t="s">
        <v>1219</v>
      </c>
      <c r="C32" s="1276"/>
      <c r="D32" s="1276"/>
      <c r="E32" s="1276"/>
      <c r="F32" s="1276"/>
      <c r="G32" s="1276"/>
      <c r="H32" s="761"/>
      <c r="I32" s="761"/>
      <c r="J32" s="761"/>
      <c r="K32" s="1355" t="s">
        <v>1220</v>
      </c>
      <c r="L32" s="1355"/>
      <c r="M32" s="1355"/>
      <c r="N32" s="1355"/>
      <c r="O32" s="549"/>
      <c r="P32" s="762"/>
      <c r="Q32" s="763"/>
      <c r="R32" s="763"/>
      <c r="S32" s="763"/>
      <c r="T32" s="763"/>
      <c r="U32" s="763"/>
      <c r="V32" s="763"/>
      <c r="W32" s="763"/>
      <c r="X32" s="763"/>
      <c r="Y32" s="763"/>
      <c r="Z32" s="763"/>
      <c r="AA32" s="763"/>
      <c r="AB32" s="763"/>
      <c r="AC32" s="763"/>
      <c r="AD32" s="763"/>
      <c r="AE32" s="763"/>
      <c r="AF32" s="763"/>
      <c r="AG32" s="763"/>
      <c r="AH32" s="763"/>
      <c r="AI32" s="763"/>
      <c r="AJ32" s="763"/>
      <c r="AK32" s="763"/>
      <c r="AL32" s="763"/>
      <c r="AM32" s="763"/>
      <c r="AN32" s="763"/>
      <c r="AO32" s="763"/>
      <c r="AP32" s="763"/>
      <c r="AQ32" s="763"/>
      <c r="AR32" s="763"/>
      <c r="AS32" s="763"/>
      <c r="AT32" s="763"/>
      <c r="AU32" s="763"/>
      <c r="AV32" s="763"/>
      <c r="AW32" s="763"/>
      <c r="AX32" s="763"/>
      <c r="AY32" s="763"/>
      <c r="AZ32" s="763"/>
      <c r="BA32" s="763"/>
      <c r="BB32" s="763"/>
      <c r="BC32" s="763"/>
      <c r="BD32" s="763"/>
      <c r="BE32" s="763"/>
      <c r="BF32" s="763"/>
      <c r="BG32" s="763"/>
      <c r="BH32" s="763"/>
      <c r="BI32" s="763"/>
      <c r="BJ32" s="763"/>
      <c r="BK32" s="763"/>
      <c r="BL32" s="763"/>
      <c r="BM32" s="763"/>
      <c r="BN32" s="763"/>
      <c r="BO32" s="763"/>
      <c r="BP32" s="763"/>
      <c r="BQ32" s="763"/>
      <c r="BR32" s="763"/>
      <c r="BS32" s="763"/>
      <c r="BT32" s="763"/>
      <c r="BU32" s="763"/>
      <c r="BV32" s="763"/>
      <c r="BW32" s="763"/>
      <c r="BX32" s="763"/>
      <c r="BY32" s="763"/>
      <c r="BZ32" s="763"/>
      <c r="CA32" s="763"/>
      <c r="CB32" s="763"/>
      <c r="CC32" s="763"/>
      <c r="CD32" s="763"/>
      <c r="CE32" s="763"/>
      <c r="CF32" s="763"/>
      <c r="CG32" s="763"/>
      <c r="CH32" s="763"/>
      <c r="CI32" s="763"/>
      <c r="CJ32" s="763"/>
      <c r="CK32" s="763"/>
      <c r="CL32" s="763"/>
      <c r="CM32" s="763"/>
      <c r="CN32" s="763"/>
      <c r="CO32" s="763"/>
      <c r="CP32" s="763"/>
      <c r="CQ32" s="763"/>
      <c r="CR32" s="763"/>
      <c r="CS32" s="763"/>
      <c r="CT32" s="763"/>
      <c r="CU32" s="763"/>
      <c r="CV32" s="763"/>
      <c r="CW32" s="763"/>
      <c r="CX32" s="763"/>
      <c r="CY32" s="763"/>
      <c r="CZ32" s="763"/>
      <c r="DA32" s="763"/>
      <c r="DB32" s="763"/>
      <c r="DC32" s="763"/>
      <c r="DD32" s="763"/>
      <c r="DE32" s="763"/>
      <c r="DF32" s="763"/>
      <c r="DG32" s="763"/>
      <c r="DH32" s="763"/>
      <c r="DI32" s="763"/>
      <c r="DJ32" s="763"/>
      <c r="DK32" s="763"/>
      <c r="DL32" s="763"/>
      <c r="DM32" s="763"/>
      <c r="DN32" s="763"/>
      <c r="DO32" s="763"/>
      <c r="DP32" s="763"/>
      <c r="DQ32" s="763"/>
      <c r="DR32" s="763"/>
      <c r="DS32" s="763"/>
      <c r="DT32" s="763"/>
      <c r="DU32" s="763"/>
      <c r="DV32" s="763"/>
      <c r="DW32" s="763"/>
      <c r="DX32" s="763"/>
      <c r="DY32" s="763"/>
      <c r="DZ32" s="763"/>
      <c r="EA32" s="763"/>
    </row>
    <row r="33" spans="1:131" s="899" customFormat="1" ht="35.25" customHeight="1" x14ac:dyDescent="0.2">
      <c r="A33" s="533" t="s">
        <v>496</v>
      </c>
      <c r="B33" s="1276" t="s">
        <v>1221</v>
      </c>
      <c r="C33" s="1276"/>
      <c r="D33" s="1276"/>
      <c r="E33" s="1276"/>
      <c r="F33" s="1276"/>
      <c r="G33" s="1276"/>
      <c r="H33" s="761"/>
      <c r="I33" s="761"/>
      <c r="J33" s="761"/>
      <c r="K33" s="1366" t="s">
        <v>1222</v>
      </c>
      <c r="L33" s="1366" t="s">
        <v>1223</v>
      </c>
      <c r="M33" s="1366" t="s">
        <v>1224</v>
      </c>
      <c r="N33" s="1366" t="s">
        <v>1225</v>
      </c>
      <c r="O33" s="480"/>
      <c r="P33" s="762"/>
      <c r="Q33" s="763"/>
      <c r="R33" s="763"/>
      <c r="S33" s="763"/>
      <c r="T33" s="763"/>
      <c r="U33" s="763"/>
      <c r="V33" s="763"/>
      <c r="W33" s="763"/>
      <c r="X33" s="763"/>
      <c r="Y33" s="763"/>
      <c r="Z33" s="763"/>
      <c r="AA33" s="763"/>
      <c r="AB33" s="763"/>
      <c r="AC33" s="763"/>
      <c r="AD33" s="763"/>
      <c r="AE33" s="763"/>
      <c r="AF33" s="763"/>
      <c r="AG33" s="763"/>
      <c r="AH33" s="763"/>
      <c r="AI33" s="763"/>
      <c r="AJ33" s="763"/>
      <c r="AK33" s="763"/>
      <c r="AL33" s="763"/>
      <c r="AM33" s="763"/>
      <c r="AN33" s="763"/>
      <c r="AO33" s="763"/>
      <c r="AP33" s="763"/>
      <c r="AQ33" s="763"/>
      <c r="AR33" s="763"/>
      <c r="AS33" s="763"/>
      <c r="AT33" s="763"/>
      <c r="AU33" s="763"/>
      <c r="AV33" s="763"/>
      <c r="AW33" s="763"/>
      <c r="AX33" s="763"/>
      <c r="AY33" s="763"/>
      <c r="AZ33" s="763"/>
      <c r="BA33" s="763"/>
      <c r="BB33" s="763"/>
      <c r="BC33" s="763"/>
      <c r="BD33" s="763"/>
      <c r="BE33" s="763"/>
      <c r="BF33" s="763"/>
      <c r="BG33" s="763"/>
      <c r="BH33" s="763"/>
      <c r="BI33" s="763"/>
      <c r="BJ33" s="763"/>
      <c r="BK33" s="763"/>
      <c r="BL33" s="763"/>
      <c r="BM33" s="763"/>
      <c r="BN33" s="763"/>
      <c r="BO33" s="763"/>
      <c r="BP33" s="763"/>
      <c r="BQ33" s="763"/>
      <c r="BR33" s="763"/>
      <c r="BS33" s="763"/>
      <c r="BT33" s="763"/>
      <c r="BU33" s="763"/>
      <c r="BV33" s="763"/>
      <c r="BW33" s="763"/>
      <c r="BX33" s="763"/>
      <c r="BY33" s="763"/>
      <c r="BZ33" s="763"/>
      <c r="CA33" s="763"/>
      <c r="CB33" s="763"/>
      <c r="CC33" s="763"/>
      <c r="CD33" s="763"/>
      <c r="CE33" s="763"/>
      <c r="CF33" s="763"/>
      <c r="CG33" s="763"/>
      <c r="CH33" s="763"/>
      <c r="CI33" s="763"/>
      <c r="CJ33" s="763"/>
      <c r="CK33" s="763"/>
      <c r="CL33" s="763"/>
      <c r="CM33" s="763"/>
      <c r="CN33" s="763"/>
      <c r="CO33" s="763"/>
      <c r="CP33" s="763"/>
      <c r="CQ33" s="763"/>
      <c r="CR33" s="763"/>
      <c r="CS33" s="763"/>
      <c r="CT33" s="763"/>
      <c r="CU33" s="763"/>
      <c r="CV33" s="763"/>
      <c r="CW33" s="763"/>
      <c r="CX33" s="763"/>
      <c r="CY33" s="763"/>
      <c r="CZ33" s="763"/>
      <c r="DA33" s="763"/>
      <c r="DB33" s="763"/>
      <c r="DC33" s="763"/>
      <c r="DD33" s="763"/>
      <c r="DE33" s="763"/>
      <c r="DF33" s="763"/>
      <c r="DG33" s="763"/>
      <c r="DH33" s="763"/>
      <c r="DI33" s="763"/>
      <c r="DJ33" s="763"/>
      <c r="DK33" s="763"/>
      <c r="DL33" s="763"/>
      <c r="DM33" s="763"/>
      <c r="DN33" s="763"/>
      <c r="DO33" s="763"/>
      <c r="DP33" s="763"/>
      <c r="DQ33" s="763"/>
      <c r="DR33" s="763"/>
      <c r="DS33" s="763"/>
      <c r="DT33" s="763"/>
      <c r="DU33" s="763"/>
      <c r="DV33" s="763"/>
      <c r="DW33" s="763"/>
      <c r="DX33" s="763"/>
      <c r="DY33" s="763"/>
      <c r="DZ33" s="763"/>
      <c r="EA33" s="763"/>
    </row>
    <row r="34" spans="1:131" s="899" customFormat="1" ht="25.5" customHeight="1" x14ac:dyDescent="0.2">
      <c r="A34" s="533" t="s">
        <v>498</v>
      </c>
      <c r="B34" s="1276" t="s">
        <v>346</v>
      </c>
      <c r="C34" s="1276"/>
      <c r="D34" s="1276"/>
      <c r="E34" s="1276"/>
      <c r="F34" s="1276"/>
      <c r="G34" s="1276"/>
      <c r="H34" s="761"/>
      <c r="I34" s="761"/>
      <c r="J34" s="761"/>
      <c r="K34" s="1367"/>
      <c r="L34" s="1367"/>
      <c r="M34" s="1367"/>
      <c r="N34" s="1367"/>
      <c r="O34" s="480"/>
      <c r="P34" s="762"/>
      <c r="Q34" s="763"/>
      <c r="R34" s="763"/>
      <c r="S34" s="763"/>
      <c r="T34" s="763"/>
      <c r="U34" s="763"/>
      <c r="V34" s="763"/>
      <c r="W34" s="763"/>
      <c r="X34" s="763"/>
      <c r="Y34" s="763"/>
      <c r="Z34" s="763"/>
      <c r="AA34" s="763"/>
      <c r="AB34" s="763"/>
      <c r="AC34" s="763"/>
      <c r="AD34" s="763"/>
      <c r="AE34" s="763"/>
      <c r="AF34" s="763"/>
      <c r="AG34" s="763"/>
      <c r="AH34" s="763"/>
      <c r="AI34" s="763"/>
      <c r="AJ34" s="763"/>
      <c r="AK34" s="763"/>
      <c r="AL34" s="763"/>
      <c r="AM34" s="763"/>
      <c r="AN34" s="763"/>
      <c r="AO34" s="763"/>
      <c r="AP34" s="763"/>
      <c r="AQ34" s="763"/>
      <c r="AR34" s="763"/>
      <c r="AS34" s="763"/>
      <c r="AT34" s="763"/>
      <c r="AU34" s="763"/>
      <c r="AV34" s="763"/>
      <c r="AW34" s="763"/>
      <c r="AX34" s="763"/>
      <c r="AY34" s="763"/>
      <c r="AZ34" s="763"/>
      <c r="BA34" s="763"/>
      <c r="BB34" s="763"/>
      <c r="BC34" s="763"/>
      <c r="BD34" s="763"/>
      <c r="BE34" s="763"/>
      <c r="BF34" s="763"/>
      <c r="BG34" s="763"/>
      <c r="BH34" s="763"/>
      <c r="BI34" s="763"/>
      <c r="BJ34" s="763"/>
      <c r="BK34" s="763"/>
      <c r="BL34" s="763"/>
      <c r="BM34" s="763"/>
      <c r="BN34" s="763"/>
      <c r="BO34" s="763"/>
      <c r="BP34" s="763"/>
      <c r="BQ34" s="763"/>
      <c r="BR34" s="763"/>
      <c r="BS34" s="763"/>
      <c r="BT34" s="763"/>
      <c r="BU34" s="763"/>
      <c r="BV34" s="763"/>
      <c r="BW34" s="763"/>
      <c r="BX34" s="763"/>
      <c r="BY34" s="763"/>
      <c r="BZ34" s="763"/>
      <c r="CA34" s="763"/>
      <c r="CB34" s="763"/>
      <c r="CC34" s="763"/>
      <c r="CD34" s="763"/>
      <c r="CE34" s="763"/>
      <c r="CF34" s="763"/>
      <c r="CG34" s="763"/>
      <c r="CH34" s="763"/>
      <c r="CI34" s="763"/>
      <c r="CJ34" s="763"/>
      <c r="CK34" s="763"/>
      <c r="CL34" s="763"/>
      <c r="CM34" s="763"/>
      <c r="CN34" s="763"/>
      <c r="CO34" s="763"/>
      <c r="CP34" s="763"/>
      <c r="CQ34" s="763"/>
      <c r="CR34" s="763"/>
      <c r="CS34" s="763"/>
      <c r="CT34" s="763"/>
      <c r="CU34" s="763"/>
      <c r="CV34" s="763"/>
      <c r="CW34" s="763"/>
      <c r="CX34" s="763"/>
      <c r="CY34" s="763"/>
      <c r="CZ34" s="763"/>
      <c r="DA34" s="763"/>
      <c r="DB34" s="763"/>
      <c r="DC34" s="763"/>
      <c r="DD34" s="763"/>
      <c r="DE34" s="763"/>
      <c r="DF34" s="763"/>
      <c r="DG34" s="763"/>
      <c r="DH34" s="763"/>
      <c r="DI34" s="763"/>
      <c r="DJ34" s="763"/>
      <c r="DK34" s="763"/>
      <c r="DL34" s="763"/>
      <c r="DM34" s="763"/>
      <c r="DN34" s="763"/>
      <c r="DO34" s="763"/>
      <c r="DP34" s="763"/>
      <c r="DQ34" s="763"/>
      <c r="DR34" s="763"/>
      <c r="DS34" s="763"/>
      <c r="DT34" s="763"/>
      <c r="DU34" s="763"/>
      <c r="DV34" s="763"/>
      <c r="DW34" s="763"/>
      <c r="DX34" s="763"/>
      <c r="DY34" s="763"/>
      <c r="DZ34" s="763"/>
      <c r="EA34" s="763"/>
    </row>
    <row r="35" spans="1:131" s="899" customFormat="1" ht="13.5" customHeight="1" x14ac:dyDescent="0.2">
      <c r="A35" s="533" t="s">
        <v>500</v>
      </c>
      <c r="B35" s="1368" t="s">
        <v>347</v>
      </c>
      <c r="C35" s="1368"/>
      <c r="D35" s="1368"/>
      <c r="E35" s="1368"/>
      <c r="F35" s="1368"/>
      <c r="G35" s="1368"/>
      <c r="H35" s="764"/>
      <c r="I35" s="764"/>
      <c r="J35" s="764"/>
      <c r="K35" s="753">
        <v>1</v>
      </c>
      <c r="L35" s="765">
        <v>0.4</v>
      </c>
      <c r="M35" s="1369" t="s">
        <v>348</v>
      </c>
      <c r="N35" s="1369">
        <v>1</v>
      </c>
      <c r="O35" s="480"/>
      <c r="P35" s="762"/>
      <c r="Q35" s="763"/>
      <c r="R35" s="763"/>
      <c r="S35" s="763"/>
      <c r="T35" s="763"/>
      <c r="U35" s="763"/>
      <c r="V35" s="763"/>
      <c r="W35" s="763"/>
      <c r="X35" s="763"/>
      <c r="Y35" s="763"/>
      <c r="Z35" s="763"/>
      <c r="AA35" s="763"/>
      <c r="AB35" s="763"/>
      <c r="AC35" s="763"/>
      <c r="AD35" s="763"/>
      <c r="AE35" s="763"/>
      <c r="AF35" s="763"/>
      <c r="AG35" s="763"/>
      <c r="AH35" s="763"/>
      <c r="AI35" s="763"/>
      <c r="AJ35" s="763"/>
      <c r="AK35" s="763"/>
      <c r="AL35" s="763"/>
      <c r="AM35" s="763"/>
      <c r="AN35" s="763"/>
      <c r="AO35" s="763"/>
      <c r="AP35" s="763"/>
      <c r="AQ35" s="763"/>
      <c r="AR35" s="763"/>
      <c r="AS35" s="763"/>
      <c r="AT35" s="763"/>
      <c r="AU35" s="763"/>
      <c r="AV35" s="763"/>
      <c r="AW35" s="763"/>
      <c r="AX35" s="763"/>
      <c r="AY35" s="763"/>
      <c r="AZ35" s="763"/>
      <c r="BA35" s="763"/>
      <c r="BB35" s="763"/>
      <c r="BC35" s="763"/>
      <c r="BD35" s="763"/>
      <c r="BE35" s="763"/>
      <c r="BF35" s="763"/>
      <c r="BG35" s="763"/>
      <c r="BH35" s="763"/>
      <c r="BI35" s="763"/>
      <c r="BJ35" s="763"/>
      <c r="BK35" s="763"/>
      <c r="BL35" s="763"/>
      <c r="BM35" s="763"/>
      <c r="BN35" s="763"/>
      <c r="BO35" s="763"/>
      <c r="BP35" s="763"/>
      <c r="BQ35" s="763"/>
      <c r="BR35" s="763"/>
      <c r="BS35" s="763"/>
      <c r="BT35" s="763"/>
      <c r="BU35" s="763"/>
      <c r="BV35" s="763"/>
      <c r="BW35" s="763"/>
      <c r="BX35" s="763"/>
      <c r="BY35" s="763"/>
      <c r="BZ35" s="763"/>
      <c r="CA35" s="763"/>
      <c r="CB35" s="763"/>
      <c r="CC35" s="763"/>
      <c r="CD35" s="763"/>
      <c r="CE35" s="763"/>
      <c r="CF35" s="763"/>
      <c r="CG35" s="763"/>
      <c r="CH35" s="763"/>
      <c r="CI35" s="763"/>
      <c r="CJ35" s="763"/>
      <c r="CK35" s="763"/>
      <c r="CL35" s="763"/>
      <c r="CM35" s="763"/>
      <c r="CN35" s="763"/>
      <c r="CO35" s="763"/>
      <c r="CP35" s="763"/>
      <c r="CQ35" s="763"/>
      <c r="CR35" s="763"/>
      <c r="CS35" s="763"/>
      <c r="CT35" s="763"/>
      <c r="CU35" s="763"/>
      <c r="CV35" s="763"/>
      <c r="CW35" s="763"/>
      <c r="CX35" s="763"/>
      <c r="CY35" s="763"/>
      <c r="CZ35" s="763"/>
      <c r="DA35" s="763"/>
      <c r="DB35" s="763"/>
      <c r="DC35" s="763"/>
      <c r="DD35" s="763"/>
      <c r="DE35" s="763"/>
      <c r="DF35" s="763"/>
      <c r="DG35" s="763"/>
      <c r="DH35" s="763"/>
      <c r="DI35" s="763"/>
      <c r="DJ35" s="763"/>
      <c r="DK35" s="763"/>
      <c r="DL35" s="763"/>
      <c r="DM35" s="763"/>
      <c r="DN35" s="763"/>
      <c r="DO35" s="763"/>
      <c r="DP35" s="763"/>
      <c r="DQ35" s="763"/>
      <c r="DR35" s="763"/>
      <c r="DS35" s="763"/>
      <c r="DT35" s="763"/>
      <c r="DU35" s="763"/>
      <c r="DV35" s="763"/>
      <c r="DW35" s="763"/>
      <c r="DX35" s="763"/>
      <c r="DY35" s="763"/>
      <c r="DZ35" s="763"/>
      <c r="EA35" s="763"/>
    </row>
    <row r="36" spans="1:131" s="899" customFormat="1" ht="12" customHeight="1" x14ac:dyDescent="0.2">
      <c r="A36" s="426"/>
      <c r="B36" s="426"/>
      <c r="C36" s="426"/>
      <c r="D36" s="426"/>
      <c r="E36" s="426"/>
      <c r="F36" s="426"/>
      <c r="G36" s="426"/>
      <c r="H36" s="426"/>
      <c r="I36" s="426"/>
      <c r="J36" s="426"/>
      <c r="K36" s="753">
        <v>2</v>
      </c>
      <c r="L36" s="765">
        <v>0.3</v>
      </c>
      <c r="M36" s="1370"/>
      <c r="N36" s="1370"/>
      <c r="O36" s="480"/>
      <c r="P36" s="762"/>
      <c r="Q36" s="763"/>
      <c r="R36" s="763"/>
      <c r="S36" s="763"/>
      <c r="T36" s="763"/>
      <c r="U36" s="763"/>
      <c r="V36" s="763"/>
      <c r="W36" s="763"/>
      <c r="X36" s="763"/>
      <c r="Y36" s="763"/>
      <c r="Z36" s="763"/>
      <c r="AA36" s="763"/>
      <c r="AB36" s="763"/>
      <c r="AC36" s="763"/>
      <c r="AD36" s="763"/>
      <c r="AE36" s="763"/>
      <c r="AF36" s="763"/>
      <c r="AG36" s="763"/>
      <c r="AH36" s="763"/>
      <c r="AI36" s="763"/>
      <c r="AJ36" s="763"/>
      <c r="AK36" s="763"/>
      <c r="AL36" s="763"/>
      <c r="AM36" s="763"/>
      <c r="AN36" s="763"/>
      <c r="AO36" s="763"/>
      <c r="AP36" s="763"/>
      <c r="AQ36" s="763"/>
      <c r="AR36" s="763"/>
      <c r="AS36" s="763"/>
      <c r="AT36" s="763"/>
      <c r="AU36" s="763"/>
      <c r="AV36" s="763"/>
      <c r="AW36" s="763"/>
      <c r="AX36" s="763"/>
      <c r="AY36" s="763"/>
      <c r="AZ36" s="763"/>
      <c r="BA36" s="763"/>
      <c r="BB36" s="763"/>
      <c r="BC36" s="763"/>
      <c r="BD36" s="763"/>
      <c r="BE36" s="763"/>
      <c r="BF36" s="763"/>
      <c r="BG36" s="763"/>
      <c r="BH36" s="763"/>
      <c r="BI36" s="763"/>
      <c r="BJ36" s="763"/>
      <c r="BK36" s="763"/>
      <c r="BL36" s="763"/>
      <c r="BM36" s="763"/>
      <c r="BN36" s="763"/>
      <c r="BO36" s="763"/>
      <c r="BP36" s="763"/>
      <c r="BQ36" s="763"/>
      <c r="BR36" s="763"/>
      <c r="BS36" s="763"/>
      <c r="BT36" s="763"/>
      <c r="BU36" s="763"/>
      <c r="BV36" s="763"/>
      <c r="BW36" s="763"/>
      <c r="BX36" s="763"/>
      <c r="BY36" s="763"/>
      <c r="BZ36" s="763"/>
      <c r="CA36" s="763"/>
      <c r="CB36" s="763"/>
      <c r="CC36" s="763"/>
      <c r="CD36" s="763"/>
      <c r="CE36" s="763"/>
      <c r="CF36" s="763"/>
      <c r="CG36" s="763"/>
      <c r="CH36" s="763"/>
      <c r="CI36" s="763"/>
      <c r="CJ36" s="763"/>
      <c r="CK36" s="763"/>
      <c r="CL36" s="763"/>
      <c r="CM36" s="763"/>
      <c r="CN36" s="763"/>
      <c r="CO36" s="763"/>
      <c r="CP36" s="763"/>
      <c r="CQ36" s="763"/>
      <c r="CR36" s="763"/>
      <c r="CS36" s="763"/>
      <c r="CT36" s="763"/>
      <c r="CU36" s="763"/>
      <c r="CV36" s="763"/>
      <c r="CW36" s="763"/>
      <c r="CX36" s="763"/>
      <c r="CY36" s="763"/>
      <c r="CZ36" s="763"/>
      <c r="DA36" s="763"/>
      <c r="DB36" s="763"/>
      <c r="DC36" s="763"/>
      <c r="DD36" s="763"/>
      <c r="DE36" s="763"/>
      <c r="DF36" s="763"/>
      <c r="DG36" s="763"/>
      <c r="DH36" s="763"/>
      <c r="DI36" s="763"/>
      <c r="DJ36" s="763"/>
      <c r="DK36" s="763"/>
      <c r="DL36" s="763"/>
      <c r="DM36" s="763"/>
      <c r="DN36" s="763"/>
      <c r="DO36" s="763"/>
      <c r="DP36" s="763"/>
      <c r="DQ36" s="763"/>
      <c r="DR36" s="763"/>
      <c r="DS36" s="763"/>
      <c r="DT36" s="763"/>
      <c r="DU36" s="763"/>
      <c r="DV36" s="763"/>
      <c r="DW36" s="763"/>
      <c r="DX36" s="763"/>
      <c r="DY36" s="763"/>
      <c r="DZ36" s="763"/>
      <c r="EA36" s="763"/>
    </row>
    <row r="37" spans="1:131" s="899" customFormat="1" ht="12" customHeight="1" x14ac:dyDescent="0.2">
      <c r="A37" s="426"/>
      <c r="B37" s="426"/>
      <c r="C37" s="426"/>
      <c r="D37" s="426"/>
      <c r="E37" s="426"/>
      <c r="F37" s="426"/>
      <c r="G37" s="426"/>
      <c r="H37" s="426"/>
      <c r="I37" s="426"/>
      <c r="J37" s="426"/>
      <c r="K37" s="753">
        <v>3</v>
      </c>
      <c r="L37" s="765">
        <v>0.3</v>
      </c>
      <c r="M37" s="1371"/>
      <c r="N37" s="1371"/>
      <c r="O37" s="480"/>
      <c r="P37" s="762"/>
      <c r="Q37" s="763"/>
      <c r="R37" s="763"/>
      <c r="S37" s="763"/>
      <c r="T37" s="763"/>
      <c r="U37" s="763"/>
      <c r="V37" s="763"/>
      <c r="W37" s="763"/>
      <c r="X37" s="763"/>
      <c r="Y37" s="763"/>
      <c r="Z37" s="763"/>
      <c r="AA37" s="763"/>
      <c r="AB37" s="763"/>
      <c r="AC37" s="763"/>
      <c r="AD37" s="763"/>
      <c r="AE37" s="763"/>
      <c r="AF37" s="763"/>
      <c r="AG37" s="763"/>
      <c r="AH37" s="763"/>
      <c r="AI37" s="763"/>
      <c r="AJ37" s="763"/>
      <c r="AK37" s="763"/>
      <c r="AL37" s="763"/>
      <c r="AM37" s="763"/>
      <c r="AN37" s="763"/>
      <c r="AO37" s="763"/>
      <c r="AP37" s="763"/>
      <c r="AQ37" s="763"/>
      <c r="AR37" s="763"/>
      <c r="AS37" s="763"/>
      <c r="AT37" s="763"/>
      <c r="AU37" s="763"/>
      <c r="AV37" s="763"/>
      <c r="AW37" s="763"/>
      <c r="AX37" s="763"/>
      <c r="AY37" s="763"/>
      <c r="AZ37" s="763"/>
      <c r="BA37" s="763"/>
      <c r="BB37" s="763"/>
      <c r="BC37" s="763"/>
      <c r="BD37" s="763"/>
      <c r="BE37" s="763"/>
      <c r="BF37" s="763"/>
      <c r="BG37" s="763"/>
      <c r="BH37" s="763"/>
      <c r="BI37" s="763"/>
      <c r="BJ37" s="763"/>
      <c r="BK37" s="763"/>
      <c r="BL37" s="763"/>
      <c r="BM37" s="763"/>
      <c r="BN37" s="763"/>
      <c r="BO37" s="763"/>
      <c r="BP37" s="763"/>
      <c r="BQ37" s="763"/>
      <c r="BR37" s="763"/>
      <c r="BS37" s="763"/>
      <c r="BT37" s="763"/>
      <c r="BU37" s="763"/>
      <c r="BV37" s="763"/>
      <c r="BW37" s="763"/>
      <c r="BX37" s="763"/>
      <c r="BY37" s="763"/>
      <c r="BZ37" s="763"/>
      <c r="CA37" s="763"/>
      <c r="CB37" s="763"/>
      <c r="CC37" s="763"/>
      <c r="CD37" s="763"/>
      <c r="CE37" s="763"/>
      <c r="CF37" s="763"/>
      <c r="CG37" s="763"/>
      <c r="CH37" s="763"/>
      <c r="CI37" s="763"/>
      <c r="CJ37" s="763"/>
      <c r="CK37" s="763"/>
      <c r="CL37" s="763"/>
      <c r="CM37" s="763"/>
      <c r="CN37" s="763"/>
      <c r="CO37" s="763"/>
      <c r="CP37" s="763"/>
      <c r="CQ37" s="763"/>
      <c r="CR37" s="763"/>
      <c r="CS37" s="763"/>
      <c r="CT37" s="763"/>
      <c r="CU37" s="763"/>
      <c r="CV37" s="763"/>
      <c r="CW37" s="763"/>
      <c r="CX37" s="763"/>
      <c r="CY37" s="763"/>
      <c r="CZ37" s="763"/>
      <c r="DA37" s="763"/>
      <c r="DB37" s="763"/>
      <c r="DC37" s="763"/>
      <c r="DD37" s="763"/>
      <c r="DE37" s="763"/>
      <c r="DF37" s="763"/>
      <c r="DG37" s="763"/>
      <c r="DH37" s="763"/>
      <c r="DI37" s="763"/>
      <c r="DJ37" s="763"/>
      <c r="DK37" s="763"/>
      <c r="DL37" s="763"/>
      <c r="DM37" s="763"/>
      <c r="DN37" s="763"/>
      <c r="DO37" s="763"/>
      <c r="DP37" s="763"/>
      <c r="DQ37" s="763"/>
      <c r="DR37" s="763"/>
      <c r="DS37" s="763"/>
      <c r="DT37" s="763"/>
      <c r="DU37" s="763"/>
      <c r="DV37" s="763"/>
      <c r="DW37" s="763"/>
      <c r="DX37" s="763"/>
      <c r="DY37" s="763"/>
      <c r="DZ37" s="763"/>
      <c r="EA37" s="763"/>
    </row>
    <row r="38" spans="1:131" x14ac:dyDescent="0.2">
      <c r="A38" s="426"/>
      <c r="B38" s="426"/>
      <c r="C38" s="426"/>
      <c r="D38" s="426"/>
      <c r="E38" s="426"/>
      <c r="F38" s="426"/>
      <c r="G38" s="426"/>
      <c r="H38" s="426"/>
      <c r="I38" s="426"/>
      <c r="J38" s="426"/>
      <c r="K38" s="426"/>
      <c r="L38" s="480"/>
      <c r="M38" s="426"/>
      <c r="N38" s="426"/>
      <c r="O38" s="426"/>
      <c r="P38" s="426"/>
      <c r="Q38" s="480"/>
      <c r="R38" s="762"/>
      <c r="S38" s="763"/>
      <c r="T38" s="763"/>
      <c r="U38" s="763"/>
      <c r="V38" s="763"/>
      <c r="W38" s="763"/>
      <c r="X38" s="763"/>
      <c r="Y38" s="763"/>
      <c r="Z38" s="763"/>
      <c r="AA38" s="763"/>
      <c r="AB38" s="763"/>
      <c r="AC38" s="763"/>
      <c r="AD38" s="763"/>
      <c r="AE38" s="763"/>
      <c r="AF38" s="763"/>
    </row>
    <row r="39" spans="1:131" x14ac:dyDescent="0.2">
      <c r="A39" s="899"/>
      <c r="B39" s="899"/>
      <c r="C39" s="899"/>
      <c r="D39" s="899"/>
      <c r="E39" s="899"/>
      <c r="F39" s="899"/>
      <c r="G39" s="899"/>
      <c r="H39" s="899"/>
      <c r="I39" s="899"/>
      <c r="J39" s="899"/>
      <c r="K39" s="899"/>
      <c r="L39" s="763"/>
      <c r="M39" s="763"/>
      <c r="N39" s="763"/>
      <c r="O39" s="763"/>
      <c r="P39" s="763"/>
      <c r="Q39" s="763"/>
      <c r="R39" s="762"/>
      <c r="S39" s="763"/>
      <c r="T39" s="763"/>
      <c r="U39" s="763"/>
      <c r="V39" s="763"/>
      <c r="W39" s="763"/>
      <c r="X39" s="763"/>
      <c r="Y39" s="763"/>
      <c r="Z39" s="763"/>
      <c r="AA39" s="763"/>
      <c r="AB39" s="763"/>
      <c r="AC39" s="763"/>
      <c r="AD39" s="763"/>
      <c r="AE39" s="763"/>
      <c r="AF39" s="763"/>
    </row>
    <row r="40" spans="1:131" x14ac:dyDescent="0.2">
      <c r="A40" s="899"/>
      <c r="B40" s="899"/>
      <c r="C40" s="899"/>
      <c r="D40" s="899"/>
      <c r="E40" s="899"/>
      <c r="F40" s="899"/>
      <c r="G40" s="899"/>
      <c r="H40" s="899"/>
      <c r="I40" s="899"/>
      <c r="J40" s="899"/>
      <c r="K40" s="899"/>
      <c r="L40" s="763"/>
      <c r="M40" s="763"/>
      <c r="N40" s="763"/>
      <c r="O40" s="763"/>
      <c r="P40" s="763"/>
      <c r="Q40" s="763"/>
      <c r="R40" s="762"/>
      <c r="S40" s="763"/>
      <c r="T40" s="763"/>
      <c r="U40" s="763"/>
      <c r="V40" s="763"/>
      <c r="W40" s="763"/>
      <c r="X40" s="763"/>
      <c r="Y40" s="763"/>
      <c r="Z40" s="763"/>
      <c r="AA40" s="763"/>
      <c r="AB40" s="763"/>
      <c r="AC40" s="763"/>
      <c r="AD40" s="763"/>
      <c r="AE40" s="763"/>
      <c r="AF40" s="763"/>
    </row>
    <row r="41" spans="1:131" x14ac:dyDescent="0.2">
      <c r="A41" s="899"/>
      <c r="B41" s="899"/>
      <c r="C41" s="899"/>
      <c r="D41" s="899"/>
      <c r="E41" s="899"/>
      <c r="F41" s="899"/>
      <c r="G41" s="899"/>
      <c r="H41" s="899"/>
      <c r="I41" s="899"/>
      <c r="J41" s="899"/>
      <c r="K41" s="899"/>
      <c r="L41" s="763"/>
      <c r="M41" s="763"/>
      <c r="N41" s="763"/>
      <c r="O41" s="763"/>
      <c r="P41" s="763"/>
      <c r="Q41" s="763"/>
      <c r="R41" s="762"/>
      <c r="S41" s="763"/>
      <c r="T41" s="763"/>
      <c r="U41" s="763"/>
      <c r="V41" s="763"/>
      <c r="W41" s="763"/>
      <c r="X41" s="763"/>
      <c r="Y41" s="763"/>
      <c r="Z41" s="763"/>
      <c r="AA41" s="763"/>
      <c r="AB41" s="763"/>
      <c r="AC41" s="763"/>
      <c r="AD41" s="763"/>
      <c r="AE41" s="763"/>
      <c r="AF41" s="763"/>
    </row>
    <row r="42" spans="1:131" x14ac:dyDescent="0.2">
      <c r="A42" s="899"/>
      <c r="B42" s="899"/>
      <c r="C42" s="899"/>
      <c r="D42" s="899"/>
      <c r="E42" s="899"/>
      <c r="F42" s="899"/>
      <c r="G42" s="899"/>
      <c r="H42" s="899"/>
      <c r="I42" s="899"/>
      <c r="J42" s="899"/>
      <c r="K42" s="899"/>
      <c r="L42" s="763"/>
      <c r="M42" s="763"/>
      <c r="N42" s="763"/>
      <c r="O42" s="763"/>
      <c r="P42" s="763"/>
      <c r="Q42" s="763"/>
      <c r="R42" s="762"/>
      <c r="S42" s="763"/>
      <c r="T42" s="763"/>
      <c r="U42" s="763"/>
      <c r="V42" s="763"/>
      <c r="W42" s="763"/>
      <c r="X42" s="763"/>
      <c r="Y42" s="763"/>
      <c r="Z42" s="763"/>
      <c r="AA42" s="763"/>
      <c r="AB42" s="763"/>
      <c r="AC42" s="763"/>
      <c r="AD42" s="763"/>
      <c r="AE42" s="763"/>
      <c r="AF42" s="763"/>
    </row>
  </sheetData>
  <sheetProtection password="C9EF" sheet="1" objects="1" scenarios="1"/>
  <mergeCells count="79">
    <mergeCell ref="N33:N34"/>
    <mergeCell ref="B34:G34"/>
    <mergeCell ref="B35:G35"/>
    <mergeCell ref="M35:M37"/>
    <mergeCell ref="N35:N37"/>
    <mergeCell ref="B33:G33"/>
    <mergeCell ref="K33:K34"/>
    <mergeCell ref="L33:L34"/>
    <mergeCell ref="M33:M34"/>
    <mergeCell ref="B30:D30"/>
    <mergeCell ref="B32:G32"/>
    <mergeCell ref="K32:N32"/>
    <mergeCell ref="B28:G29"/>
    <mergeCell ref="I28:I29"/>
    <mergeCell ref="J28:L28"/>
    <mergeCell ref="M28:O28"/>
    <mergeCell ref="B17:B24"/>
    <mergeCell ref="D17:E17"/>
    <mergeCell ref="P28:P29"/>
    <mergeCell ref="Q28:Q29"/>
    <mergeCell ref="D24:E24"/>
    <mergeCell ref="C25:E25"/>
    <mergeCell ref="C26:E26"/>
    <mergeCell ref="P26:Q26"/>
    <mergeCell ref="Y17:Y24"/>
    <mergeCell ref="Z17:Z24"/>
    <mergeCell ref="D18:E18"/>
    <mergeCell ref="D19:E19"/>
    <mergeCell ref="D20:E20"/>
    <mergeCell ref="D21:E21"/>
    <mergeCell ref="D22:E22"/>
    <mergeCell ref="D23:E23"/>
    <mergeCell ref="AA10:AA16"/>
    <mergeCell ref="AB10:AB13"/>
    <mergeCell ref="AC10:AC13"/>
    <mergeCell ref="AD10:AD13"/>
    <mergeCell ref="D15:E15"/>
    <mergeCell ref="D16:E16"/>
    <mergeCell ref="AE10:AE24"/>
    <mergeCell ref="D11:E11"/>
    <mergeCell ref="D12:E12"/>
    <mergeCell ref="D13:E13"/>
    <mergeCell ref="AB14:AB16"/>
    <mergeCell ref="AC14:AC24"/>
    <mergeCell ref="AD14:AD16"/>
    <mergeCell ref="AA17:AA24"/>
    <mergeCell ref="AB17:AB24"/>
    <mergeCell ref="AD17:AD24"/>
    <mergeCell ref="B10:B13"/>
    <mergeCell ref="D10:E10"/>
    <mergeCell ref="Y10:Y13"/>
    <mergeCell ref="Z10:Z13"/>
    <mergeCell ref="B14:B16"/>
    <mergeCell ref="D14:E14"/>
    <mergeCell ref="Y14:Y16"/>
    <mergeCell ref="Z14:Z16"/>
    <mergeCell ref="AE7:AE9"/>
    <mergeCell ref="C8:C9"/>
    <mergeCell ref="D8:E9"/>
    <mergeCell ref="I8:J8"/>
    <mergeCell ref="K8:L8"/>
    <mergeCell ref="M8:N8"/>
    <mergeCell ref="AA7:AA9"/>
    <mergeCell ref="AB7:AB9"/>
    <mergeCell ref="AC7:AC9"/>
    <mergeCell ref="AD7:AD9"/>
    <mergeCell ref="O2:Q2"/>
    <mergeCell ref="C4:D4"/>
    <mergeCell ref="P7:Q8"/>
    <mergeCell ref="I7:N7"/>
    <mergeCell ref="O7:O9"/>
    <mergeCell ref="V7:V9"/>
    <mergeCell ref="B7:B9"/>
    <mergeCell ref="C7:E7"/>
    <mergeCell ref="G7:G9"/>
    <mergeCell ref="H7:H9"/>
    <mergeCell ref="Y7:Y9"/>
    <mergeCell ref="Z7:Z9"/>
    <mergeCell ref="W7:X8"/>
  </mergeCells>
  <phoneticPr fontId="36" type="noConversion"/>
  <dataValidations count="1">
    <dataValidation type="decimal" operator="greaterThanOrEqual" allowBlank="1" showInputMessage="1" showErrorMessage="1" sqref="I10:L24">
      <formula1>0</formula1>
    </dataValidation>
  </dataValidations>
  <pageMargins left="0.75" right="0.75" top="1" bottom="1" header="0.5" footer="0.5"/>
  <pageSetup paperSize="9" scale="73" orientation="landscape" r:id="rId1"/>
  <headerFooter alignWithMargins="0">
    <oddHeader>&amp;C&amp;"Arial,Bold"&amp;8 NEW RURAL BANK OF SAN LEONARDO, INC  [ 04-040656 ]
 As of: September 30, 2017</oddHeader>
  </headerFooter>
  <colBreaks count="1" manualBreakCount="1">
    <brk id="15" max="1048575" man="1"/>
  </colBreak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ED42"/>
  <sheetViews>
    <sheetView view="pageBreakPreview" zoomScale="60" zoomScaleNormal="100" workbookViewId="0">
      <selection activeCell="B1" sqref="B1"/>
    </sheetView>
  </sheetViews>
  <sheetFormatPr defaultRowHeight="12.75" x14ac:dyDescent="0.2"/>
  <cols>
    <col min="1" max="1" width="2" style="889" customWidth="1"/>
    <col min="2" max="2" width="6.7109375" style="889" customWidth="1"/>
    <col min="3" max="3" width="21.28515625" style="889" customWidth="1"/>
    <col min="4" max="4" width="17.85546875" style="889" customWidth="1"/>
    <col min="5" max="5" width="5" style="889" customWidth="1"/>
    <col min="6" max="6" width="12.42578125" style="889" hidden="1" customWidth="1"/>
    <col min="7" max="7" width="16.7109375" style="889" bestFit="1" customWidth="1"/>
    <col min="8" max="8" width="19.42578125" style="889" hidden="1" customWidth="1"/>
    <col min="9" max="9" width="15.85546875" style="889" customWidth="1"/>
    <col min="10" max="15" width="15.85546875" style="891" customWidth="1"/>
    <col min="16" max="16" width="15.85546875" style="1012" customWidth="1"/>
    <col min="17" max="17" width="15.85546875" style="891" customWidth="1"/>
    <col min="18" max="18" width="8" style="891" customWidth="1"/>
    <col min="19" max="21" width="10.140625" style="891" customWidth="1"/>
    <col min="22" max="25" width="10.140625" style="891" hidden="1" customWidth="1"/>
    <col min="26" max="31" width="9.140625" style="891" hidden="1" customWidth="1"/>
    <col min="32" max="32" width="8" style="891" customWidth="1"/>
  </cols>
  <sheetData>
    <row r="1" spans="1:132" s="889" customFormat="1" x14ac:dyDescent="0.2">
      <c r="A1" s="426"/>
      <c r="B1" s="426"/>
      <c r="C1" s="426"/>
      <c r="D1" s="426"/>
      <c r="E1" s="426"/>
      <c r="F1" s="426"/>
      <c r="G1" s="426"/>
      <c r="H1" s="426"/>
      <c r="I1" s="426"/>
      <c r="J1" s="480"/>
      <c r="K1" s="480"/>
      <c r="L1" s="480"/>
      <c r="M1" s="480"/>
      <c r="N1" s="480"/>
      <c r="O1" s="480"/>
      <c r="P1" s="766"/>
      <c r="Q1" s="480"/>
      <c r="R1" s="891"/>
      <c r="S1" s="891"/>
      <c r="T1" s="891"/>
      <c r="U1" s="891"/>
      <c r="V1" s="891"/>
      <c r="W1" s="891"/>
      <c r="X1" s="891"/>
      <c r="Y1" s="891"/>
      <c r="Z1" s="891"/>
      <c r="AA1" s="891"/>
      <c r="AB1" s="891"/>
      <c r="AC1" s="891"/>
      <c r="AD1" s="891"/>
      <c r="AE1" s="891"/>
      <c r="AF1" s="891"/>
      <c r="AG1" s="891"/>
      <c r="AH1" s="891"/>
      <c r="AI1" s="891"/>
      <c r="AJ1" s="891"/>
      <c r="AK1" s="891"/>
      <c r="AL1" s="891"/>
      <c r="AM1" s="891"/>
      <c r="AN1" s="891"/>
      <c r="AO1" s="891"/>
      <c r="AP1" s="891"/>
      <c r="AQ1" s="891"/>
      <c r="AR1" s="891"/>
      <c r="AS1" s="891"/>
      <c r="AT1" s="891"/>
      <c r="AU1" s="891"/>
      <c r="AV1" s="891"/>
      <c r="AW1" s="891"/>
      <c r="AX1" s="891"/>
      <c r="AY1" s="891"/>
      <c r="AZ1" s="891"/>
      <c r="BA1" s="891"/>
      <c r="BB1" s="891"/>
      <c r="BC1" s="891"/>
      <c r="BD1" s="891"/>
      <c r="BE1" s="891"/>
      <c r="BF1" s="891"/>
      <c r="BG1" s="891"/>
      <c r="BH1" s="891"/>
      <c r="BI1" s="891"/>
      <c r="BJ1" s="891"/>
      <c r="BK1" s="891"/>
      <c r="BL1" s="891"/>
      <c r="BM1" s="891"/>
      <c r="BN1" s="891"/>
      <c r="BO1" s="891"/>
      <c r="BP1" s="891"/>
      <c r="BQ1" s="891"/>
      <c r="BR1" s="891"/>
      <c r="BS1" s="891"/>
      <c r="BT1" s="891"/>
      <c r="BU1" s="891"/>
      <c r="BV1" s="891"/>
      <c r="BW1" s="891"/>
      <c r="BX1" s="891"/>
      <c r="BY1" s="891"/>
      <c r="BZ1" s="891"/>
      <c r="CA1" s="891"/>
      <c r="CB1" s="891"/>
      <c r="CC1" s="891"/>
      <c r="CD1" s="891"/>
      <c r="CE1" s="891"/>
      <c r="CF1" s="891"/>
      <c r="CG1" s="891"/>
      <c r="CH1" s="891"/>
      <c r="CI1" s="891"/>
      <c r="CJ1" s="891"/>
      <c r="CK1" s="891"/>
      <c r="CL1" s="891"/>
      <c r="CM1" s="891"/>
      <c r="CN1" s="891"/>
      <c r="CO1" s="891"/>
      <c r="CP1" s="891"/>
      <c r="CQ1" s="891"/>
      <c r="CR1" s="891"/>
      <c r="CS1" s="891"/>
      <c r="CT1" s="891"/>
      <c r="CU1" s="891"/>
      <c r="CV1" s="891"/>
      <c r="CW1" s="891"/>
      <c r="CX1" s="891"/>
      <c r="CY1" s="891"/>
      <c r="CZ1" s="891"/>
      <c r="DA1" s="891"/>
      <c r="DB1" s="891"/>
      <c r="DC1" s="891"/>
      <c r="DD1" s="891"/>
      <c r="DE1" s="891"/>
      <c r="DF1" s="891"/>
      <c r="DG1" s="891"/>
      <c r="DH1" s="891"/>
      <c r="DI1" s="891"/>
      <c r="DJ1" s="891"/>
      <c r="DK1" s="891"/>
      <c r="DL1" s="891"/>
      <c r="DM1" s="891"/>
      <c r="DN1" s="891"/>
      <c r="DO1" s="891"/>
      <c r="DP1" s="891"/>
      <c r="DQ1" s="891"/>
      <c r="DR1" s="891"/>
      <c r="DS1" s="891"/>
      <c r="DT1" s="891"/>
      <c r="DU1" s="891"/>
      <c r="DV1" s="891"/>
      <c r="DW1" s="891"/>
      <c r="DX1" s="891"/>
      <c r="DY1" s="891"/>
      <c r="DZ1" s="891"/>
      <c r="EA1" s="891"/>
    </row>
    <row r="2" spans="1:132" s="889" customFormat="1" ht="15.95" customHeight="1" x14ac:dyDescent="0.2">
      <c r="A2" s="426"/>
      <c r="B2" s="680" t="s">
        <v>349</v>
      </c>
      <c r="C2" s="680"/>
      <c r="D2" s="680"/>
      <c r="E2" s="680"/>
      <c r="F2" s="680"/>
      <c r="G2" s="680"/>
      <c r="H2" s="680"/>
      <c r="I2" s="680"/>
      <c r="J2" s="680"/>
      <c r="K2" s="680"/>
      <c r="L2" s="480"/>
      <c r="M2" s="1303"/>
      <c r="N2" s="1303"/>
      <c r="O2" s="1303"/>
      <c r="P2" s="766"/>
      <c r="Q2" s="480"/>
      <c r="R2" s="891"/>
      <c r="S2" s="891"/>
      <c r="T2" s="891"/>
      <c r="U2" s="891"/>
      <c r="V2" s="891"/>
      <c r="W2" s="891"/>
      <c r="X2" s="891"/>
      <c r="Y2" s="891"/>
      <c r="Z2" s="891"/>
      <c r="AA2" s="891"/>
      <c r="AB2" s="891"/>
      <c r="AC2" s="891"/>
      <c r="AD2" s="891"/>
      <c r="AE2" s="891"/>
      <c r="AF2" s="891"/>
      <c r="AG2" s="891"/>
      <c r="AH2" s="891"/>
      <c r="AI2" s="891"/>
      <c r="AJ2" s="891"/>
      <c r="AK2" s="891"/>
      <c r="AL2" s="891"/>
      <c r="AM2" s="891"/>
      <c r="AN2" s="891"/>
      <c r="AO2" s="891"/>
      <c r="AP2" s="891"/>
      <c r="AQ2" s="891"/>
      <c r="AR2" s="891"/>
      <c r="AS2" s="891"/>
      <c r="AT2" s="891"/>
      <c r="AU2" s="891"/>
      <c r="AV2" s="891"/>
      <c r="AW2" s="891"/>
      <c r="AX2" s="891"/>
      <c r="AY2" s="891"/>
      <c r="AZ2" s="891"/>
      <c r="BA2" s="891"/>
      <c r="BB2" s="891"/>
      <c r="BC2" s="891"/>
      <c r="BD2" s="891"/>
      <c r="BE2" s="891"/>
      <c r="BF2" s="891"/>
      <c r="BG2" s="891"/>
      <c r="BH2" s="891"/>
      <c r="BI2" s="891"/>
      <c r="BJ2" s="891"/>
      <c r="BK2" s="891"/>
      <c r="BL2" s="891"/>
      <c r="BM2" s="891"/>
      <c r="BN2" s="891"/>
      <c r="BO2" s="891"/>
      <c r="BP2" s="891"/>
      <c r="BQ2" s="891"/>
      <c r="BR2" s="891"/>
      <c r="BS2" s="891"/>
      <c r="BT2" s="891"/>
      <c r="BU2" s="891"/>
      <c r="BV2" s="891"/>
      <c r="BW2" s="891"/>
      <c r="BX2" s="891"/>
      <c r="BY2" s="891"/>
      <c r="BZ2" s="891"/>
      <c r="CA2" s="891"/>
      <c r="CB2" s="891"/>
      <c r="CC2" s="891"/>
      <c r="CD2" s="891"/>
      <c r="CE2" s="891"/>
      <c r="CF2" s="891"/>
      <c r="CG2" s="891"/>
      <c r="CH2" s="891"/>
      <c r="CI2" s="891"/>
      <c r="CJ2" s="891"/>
      <c r="CK2" s="891"/>
      <c r="CL2" s="891"/>
      <c r="CM2" s="891"/>
      <c r="CN2" s="891"/>
      <c r="CO2" s="891"/>
      <c r="CP2" s="891"/>
      <c r="CQ2" s="891"/>
      <c r="CR2" s="891"/>
      <c r="CS2" s="891"/>
      <c r="CT2" s="891"/>
      <c r="CU2" s="891"/>
      <c r="CV2" s="891"/>
      <c r="CW2" s="891"/>
      <c r="CX2" s="891"/>
      <c r="CY2" s="891"/>
      <c r="CZ2" s="891"/>
      <c r="DA2" s="891"/>
      <c r="DB2" s="891"/>
      <c r="DC2" s="891"/>
      <c r="DD2" s="891"/>
      <c r="DE2" s="891"/>
      <c r="DF2" s="891"/>
      <c r="DG2" s="891"/>
      <c r="DH2" s="891"/>
      <c r="DI2" s="891"/>
      <c r="DJ2" s="891"/>
      <c r="DK2" s="891"/>
      <c r="DL2" s="891"/>
      <c r="DM2" s="891"/>
      <c r="DN2" s="891"/>
      <c r="DO2" s="891"/>
      <c r="DP2" s="891"/>
      <c r="DQ2" s="891"/>
      <c r="DR2" s="891"/>
      <c r="DS2" s="891"/>
      <c r="DT2" s="891"/>
      <c r="DU2" s="891"/>
      <c r="DV2" s="891"/>
      <c r="DW2" s="891"/>
      <c r="DX2" s="891"/>
      <c r="DY2" s="891"/>
      <c r="DZ2" s="891"/>
      <c r="EA2" s="891"/>
    </row>
    <row r="3" spans="1:132" s="899" customFormat="1" ht="2.25" customHeight="1" x14ac:dyDescent="0.2">
      <c r="A3" s="426"/>
      <c r="B3" s="426"/>
      <c r="C3" s="426"/>
      <c r="D3" s="426"/>
      <c r="E3" s="426"/>
      <c r="F3" s="426"/>
      <c r="G3" s="426"/>
      <c r="H3" s="426"/>
      <c r="I3" s="426"/>
      <c r="J3" s="480"/>
      <c r="K3" s="480"/>
      <c r="L3" s="480"/>
      <c r="M3" s="480"/>
      <c r="N3" s="480"/>
      <c r="O3" s="480"/>
      <c r="P3" s="766"/>
      <c r="Q3" s="480"/>
      <c r="R3" s="763"/>
      <c r="S3" s="763"/>
      <c r="T3" s="763"/>
      <c r="U3" s="763"/>
      <c r="V3" s="763"/>
      <c r="W3" s="763"/>
      <c r="X3" s="763"/>
      <c r="Y3" s="763"/>
      <c r="Z3" s="763"/>
      <c r="AA3" s="763"/>
      <c r="AB3" s="763"/>
      <c r="AC3" s="763"/>
      <c r="AD3" s="763"/>
      <c r="AE3" s="763"/>
      <c r="AF3" s="763"/>
      <c r="AG3" s="763"/>
      <c r="AH3" s="763"/>
      <c r="AI3" s="763"/>
      <c r="AJ3" s="763"/>
      <c r="AK3" s="763"/>
      <c r="AL3" s="763"/>
      <c r="AM3" s="763"/>
      <c r="AN3" s="763"/>
      <c r="AO3" s="763"/>
      <c r="AP3" s="763"/>
      <c r="AQ3" s="763"/>
      <c r="AR3" s="763"/>
      <c r="AS3" s="763"/>
      <c r="AT3" s="763"/>
      <c r="AU3" s="763"/>
      <c r="AV3" s="763"/>
      <c r="AW3" s="763"/>
      <c r="AX3" s="763"/>
      <c r="AY3" s="763"/>
      <c r="AZ3" s="763"/>
      <c r="BA3" s="763"/>
      <c r="BB3" s="763"/>
      <c r="BC3" s="763"/>
      <c r="BD3" s="763"/>
      <c r="BE3" s="763"/>
      <c r="BF3" s="763"/>
      <c r="BG3" s="763"/>
      <c r="BH3" s="763"/>
      <c r="BI3" s="763"/>
      <c r="BJ3" s="763"/>
      <c r="BK3" s="763"/>
      <c r="BL3" s="763"/>
      <c r="BM3" s="763"/>
      <c r="BN3" s="763"/>
      <c r="BO3" s="763"/>
      <c r="BP3" s="763"/>
      <c r="BQ3" s="763"/>
      <c r="BR3" s="763"/>
      <c r="BS3" s="763"/>
      <c r="BT3" s="763"/>
      <c r="BU3" s="763"/>
      <c r="BV3" s="763"/>
      <c r="BW3" s="763"/>
      <c r="BX3" s="763"/>
      <c r="BY3" s="763"/>
      <c r="BZ3" s="763"/>
      <c r="CA3" s="763"/>
      <c r="CB3" s="763"/>
      <c r="CC3" s="763"/>
      <c r="CD3" s="763"/>
      <c r="CE3" s="763"/>
      <c r="CF3" s="763"/>
      <c r="CG3" s="763"/>
      <c r="CH3" s="763"/>
      <c r="CI3" s="763"/>
      <c r="CJ3" s="763"/>
      <c r="CK3" s="763"/>
      <c r="CL3" s="763"/>
      <c r="CM3" s="763"/>
      <c r="CN3" s="763"/>
      <c r="CO3" s="763"/>
      <c r="CP3" s="763"/>
      <c r="CQ3" s="763"/>
      <c r="CR3" s="763"/>
      <c r="CS3" s="763"/>
      <c r="CT3" s="763"/>
      <c r="CU3" s="763"/>
      <c r="CV3" s="763"/>
      <c r="CW3" s="763"/>
      <c r="CX3" s="763"/>
      <c r="CY3" s="763"/>
      <c r="CZ3" s="763"/>
      <c r="DA3" s="763"/>
      <c r="DB3" s="763"/>
      <c r="DC3" s="763"/>
      <c r="DD3" s="763"/>
      <c r="DE3" s="763"/>
      <c r="DF3" s="763"/>
      <c r="DG3" s="763"/>
      <c r="DH3" s="763"/>
      <c r="DI3" s="763"/>
      <c r="DJ3" s="763"/>
      <c r="DK3" s="763"/>
      <c r="DL3" s="763"/>
      <c r="DM3" s="763"/>
      <c r="DN3" s="763"/>
      <c r="DO3" s="763"/>
      <c r="DP3" s="763"/>
      <c r="DQ3" s="763"/>
      <c r="DR3" s="763"/>
      <c r="DS3" s="763"/>
      <c r="DT3" s="763"/>
      <c r="DU3" s="763"/>
      <c r="DV3" s="763"/>
      <c r="DW3" s="763"/>
      <c r="DX3" s="763"/>
      <c r="DY3" s="763"/>
      <c r="DZ3" s="763"/>
      <c r="EA3" s="763"/>
    </row>
    <row r="4" spans="1:132" s="899" customFormat="1" ht="11.25" x14ac:dyDescent="0.2">
      <c r="A4" s="426"/>
      <c r="B4" s="536" t="s">
        <v>1153</v>
      </c>
      <c r="C4" s="1304" t="s">
        <v>1638</v>
      </c>
      <c r="D4" s="1304"/>
      <c r="E4" s="682" t="s">
        <v>1154</v>
      </c>
      <c r="F4" s="682"/>
      <c r="G4" s="426"/>
      <c r="H4" s="426"/>
      <c r="I4" s="426"/>
      <c r="J4" s="480"/>
      <c r="K4" s="480"/>
      <c r="L4" s="480"/>
      <c r="M4" s="480"/>
      <c r="N4" s="480"/>
      <c r="O4" s="480"/>
      <c r="P4" s="766"/>
      <c r="Q4" s="480"/>
      <c r="R4" s="763"/>
      <c r="S4" s="763"/>
      <c r="T4" s="763"/>
      <c r="U4" s="763"/>
      <c r="V4" s="763"/>
      <c r="W4" s="763"/>
      <c r="X4" s="763"/>
      <c r="Y4" s="763"/>
      <c r="Z4" s="763"/>
      <c r="AA4" s="763"/>
      <c r="AB4" s="763"/>
      <c r="AC4" s="763"/>
      <c r="AD4" s="763"/>
      <c r="AE4" s="763"/>
      <c r="AF4" s="763"/>
      <c r="AG4" s="763"/>
      <c r="AH4" s="763"/>
      <c r="AI4" s="763"/>
      <c r="AJ4" s="763"/>
      <c r="AK4" s="763"/>
      <c r="AL4" s="763"/>
      <c r="AM4" s="763"/>
      <c r="AN4" s="763"/>
      <c r="AO4" s="763"/>
      <c r="AP4" s="763"/>
      <c r="AQ4" s="763"/>
      <c r="AR4" s="763"/>
      <c r="AS4" s="763"/>
      <c r="AT4" s="763"/>
      <c r="AU4" s="763"/>
      <c r="AV4" s="763"/>
      <c r="AW4" s="763"/>
      <c r="AX4" s="763"/>
      <c r="AY4" s="763"/>
      <c r="AZ4" s="763"/>
      <c r="BA4" s="763"/>
      <c r="BB4" s="763"/>
      <c r="BC4" s="763"/>
      <c r="BD4" s="763"/>
      <c r="BE4" s="763"/>
      <c r="BF4" s="763"/>
      <c r="BG4" s="763"/>
      <c r="BH4" s="763"/>
      <c r="BI4" s="763"/>
      <c r="BJ4" s="763"/>
      <c r="BK4" s="763"/>
      <c r="BL4" s="763"/>
      <c r="BM4" s="763"/>
      <c r="BN4" s="763"/>
      <c r="BO4" s="763"/>
      <c r="BP4" s="763"/>
      <c r="BQ4" s="763"/>
      <c r="BR4" s="763"/>
      <c r="BS4" s="763"/>
      <c r="BT4" s="763"/>
      <c r="BU4" s="763"/>
      <c r="BV4" s="763"/>
      <c r="BW4" s="763"/>
      <c r="BX4" s="763"/>
      <c r="BY4" s="763"/>
      <c r="BZ4" s="763"/>
      <c r="CA4" s="763"/>
      <c r="CB4" s="763"/>
      <c r="CC4" s="763"/>
      <c r="CD4" s="763"/>
      <c r="CE4" s="763"/>
      <c r="CF4" s="763"/>
      <c r="CG4" s="763"/>
      <c r="CH4" s="763"/>
      <c r="CI4" s="763"/>
      <c r="CJ4" s="763"/>
      <c r="CK4" s="763"/>
      <c r="CL4" s="763"/>
      <c r="CM4" s="763"/>
      <c r="CN4" s="763"/>
      <c r="CO4" s="763"/>
      <c r="CP4" s="763"/>
      <c r="CQ4" s="763"/>
      <c r="CR4" s="763"/>
      <c r="CS4" s="763"/>
      <c r="CT4" s="763"/>
      <c r="CU4" s="763"/>
      <c r="CV4" s="763"/>
      <c r="CW4" s="763"/>
      <c r="CX4" s="763"/>
      <c r="CY4" s="763"/>
      <c r="CZ4" s="763"/>
      <c r="DA4" s="763"/>
      <c r="DB4" s="763"/>
      <c r="DC4" s="763"/>
      <c r="DD4" s="763"/>
      <c r="DE4" s="763"/>
      <c r="DF4" s="763"/>
      <c r="DG4" s="763"/>
      <c r="DH4" s="763"/>
      <c r="DI4" s="763"/>
      <c r="DJ4" s="763"/>
      <c r="DK4" s="763"/>
      <c r="DL4" s="763"/>
      <c r="DM4" s="763"/>
      <c r="DN4" s="763"/>
      <c r="DO4" s="763"/>
      <c r="DP4" s="763"/>
      <c r="DQ4" s="763"/>
      <c r="DR4" s="763"/>
      <c r="DS4" s="763"/>
      <c r="DT4" s="763"/>
      <c r="DU4" s="763"/>
      <c r="DV4" s="763"/>
      <c r="DW4" s="763"/>
      <c r="DX4" s="763"/>
      <c r="DY4" s="763"/>
      <c r="DZ4" s="763"/>
      <c r="EA4" s="763"/>
    </row>
    <row r="5" spans="1:132" s="899" customFormat="1" ht="11.25" x14ac:dyDescent="0.2">
      <c r="A5" s="426"/>
      <c r="B5" s="536" t="s">
        <v>1155</v>
      </c>
      <c r="C5" s="426"/>
      <c r="D5" s="426"/>
      <c r="E5" s="426"/>
      <c r="F5" s="426"/>
      <c r="G5" s="426"/>
      <c r="H5" s="426"/>
      <c r="I5" s="426"/>
      <c r="J5" s="480"/>
      <c r="K5" s="480"/>
      <c r="L5" s="480"/>
      <c r="M5" s="480"/>
      <c r="N5" s="480"/>
      <c r="O5" s="480"/>
      <c r="P5" s="766"/>
      <c r="Q5" s="480"/>
      <c r="R5" s="763"/>
      <c r="S5" s="763"/>
      <c r="T5" s="763"/>
      <c r="U5" s="763"/>
      <c r="V5" s="763"/>
      <c r="W5" s="763"/>
      <c r="X5" s="763"/>
      <c r="Y5" s="763"/>
      <c r="Z5" s="763"/>
      <c r="AA5" s="763"/>
      <c r="AB5" s="763"/>
      <c r="AC5" s="763"/>
      <c r="AD5" s="763"/>
      <c r="AE5" s="763"/>
      <c r="AF5" s="763"/>
      <c r="AG5" s="763"/>
      <c r="AH5" s="763"/>
      <c r="AI5" s="763"/>
      <c r="AJ5" s="763"/>
      <c r="AK5" s="763"/>
      <c r="AL5" s="763"/>
      <c r="AM5" s="763"/>
      <c r="AN5" s="763"/>
      <c r="AO5" s="763"/>
      <c r="AP5" s="763"/>
      <c r="AQ5" s="763"/>
      <c r="AR5" s="763"/>
      <c r="AS5" s="763"/>
      <c r="AT5" s="763"/>
      <c r="AU5" s="763"/>
      <c r="AV5" s="763"/>
      <c r="AW5" s="763"/>
      <c r="AX5" s="763"/>
      <c r="AY5" s="763"/>
      <c r="AZ5" s="763"/>
      <c r="BA5" s="763"/>
      <c r="BB5" s="763"/>
      <c r="BC5" s="763"/>
      <c r="BD5" s="763"/>
      <c r="BE5" s="763"/>
      <c r="BF5" s="763"/>
      <c r="BG5" s="763"/>
      <c r="BH5" s="763"/>
      <c r="BI5" s="763"/>
      <c r="BJ5" s="763"/>
      <c r="BK5" s="763"/>
      <c r="BL5" s="763"/>
      <c r="BM5" s="763"/>
      <c r="BN5" s="763"/>
      <c r="BO5" s="763"/>
      <c r="BP5" s="763"/>
      <c r="BQ5" s="763"/>
      <c r="BR5" s="763"/>
      <c r="BS5" s="763"/>
      <c r="BT5" s="763"/>
      <c r="BU5" s="763"/>
      <c r="BV5" s="763"/>
      <c r="BW5" s="763"/>
      <c r="BX5" s="763"/>
      <c r="BY5" s="763"/>
      <c r="BZ5" s="763"/>
      <c r="CA5" s="763"/>
      <c r="CB5" s="763"/>
      <c r="CC5" s="763"/>
      <c r="CD5" s="763"/>
      <c r="CE5" s="763"/>
      <c r="CF5" s="763"/>
      <c r="CG5" s="763"/>
      <c r="CH5" s="763"/>
      <c r="CI5" s="763"/>
      <c r="CJ5" s="763"/>
      <c r="CK5" s="763"/>
      <c r="CL5" s="763"/>
      <c r="CM5" s="763"/>
      <c r="CN5" s="763"/>
      <c r="CO5" s="763"/>
      <c r="CP5" s="763"/>
      <c r="CQ5" s="763"/>
      <c r="CR5" s="763"/>
      <c r="CS5" s="763"/>
      <c r="CT5" s="763"/>
      <c r="CU5" s="763"/>
      <c r="CV5" s="763"/>
      <c r="CW5" s="763"/>
      <c r="CX5" s="763"/>
      <c r="CY5" s="763"/>
      <c r="CZ5" s="763"/>
      <c r="DA5" s="763"/>
      <c r="DB5" s="763"/>
      <c r="DC5" s="763"/>
      <c r="DD5" s="763"/>
      <c r="DE5" s="763"/>
      <c r="DF5" s="763"/>
      <c r="DG5" s="763"/>
      <c r="DH5" s="763"/>
      <c r="DI5" s="763"/>
      <c r="DJ5" s="763"/>
      <c r="DK5" s="763"/>
      <c r="DL5" s="763"/>
      <c r="DM5" s="763"/>
      <c r="DN5" s="763"/>
      <c r="DO5" s="763"/>
      <c r="DP5" s="763"/>
      <c r="DQ5" s="763"/>
      <c r="DR5" s="763"/>
      <c r="DS5" s="763"/>
      <c r="DT5" s="763"/>
      <c r="DU5" s="763"/>
      <c r="DV5" s="763"/>
      <c r="DW5" s="763"/>
      <c r="DX5" s="763"/>
      <c r="DY5" s="763"/>
      <c r="DZ5" s="763"/>
      <c r="EA5" s="763"/>
    </row>
    <row r="6" spans="1:132" s="899" customFormat="1" ht="3" customHeight="1" thickBot="1" x14ac:dyDescent="0.25">
      <c r="A6" s="426"/>
      <c r="B6" s="426"/>
      <c r="C6" s="426"/>
      <c r="D6" s="426"/>
      <c r="E6" s="426"/>
      <c r="F6" s="426"/>
      <c r="G6" s="426"/>
      <c r="H6" s="426"/>
      <c r="I6" s="426"/>
      <c r="J6" s="480"/>
      <c r="K6" s="480"/>
      <c r="L6" s="480"/>
      <c r="M6" s="480"/>
      <c r="N6" s="480"/>
      <c r="O6" s="480"/>
      <c r="P6" s="766"/>
      <c r="Q6" s="480"/>
      <c r="R6" s="763"/>
      <c r="S6" s="763"/>
      <c r="T6" s="763"/>
      <c r="U6" s="763"/>
      <c r="V6" s="763"/>
      <c r="W6" s="763"/>
      <c r="X6" s="763"/>
      <c r="Y6" s="763"/>
      <c r="Z6" s="763"/>
      <c r="AA6" s="763"/>
      <c r="AB6" s="763"/>
      <c r="AC6" s="763"/>
      <c r="AD6" s="763"/>
      <c r="AE6" s="763"/>
      <c r="AF6" s="763"/>
      <c r="AG6" s="763"/>
      <c r="AH6" s="763"/>
      <c r="AI6" s="763"/>
      <c r="AJ6" s="763"/>
      <c r="AK6" s="763"/>
      <c r="AL6" s="763"/>
      <c r="AM6" s="763"/>
      <c r="AN6" s="763"/>
      <c r="AO6" s="763"/>
      <c r="AP6" s="763"/>
      <c r="AQ6" s="763"/>
      <c r="AR6" s="763"/>
      <c r="AS6" s="763"/>
      <c r="AT6" s="763"/>
      <c r="AU6" s="763"/>
      <c r="AV6" s="763"/>
      <c r="AW6" s="763"/>
      <c r="AX6" s="763"/>
      <c r="AY6" s="763"/>
      <c r="AZ6" s="763"/>
      <c r="BA6" s="763"/>
      <c r="BB6" s="763"/>
      <c r="BC6" s="763"/>
      <c r="BD6" s="763"/>
      <c r="BE6" s="763"/>
      <c r="BF6" s="763"/>
      <c r="BG6" s="763"/>
      <c r="BH6" s="763"/>
      <c r="BI6" s="763"/>
      <c r="BJ6" s="763"/>
      <c r="BK6" s="763"/>
      <c r="BL6" s="763"/>
      <c r="BM6" s="763"/>
      <c r="BN6" s="763"/>
      <c r="BO6" s="763"/>
      <c r="BP6" s="763"/>
      <c r="BQ6" s="763"/>
      <c r="BR6" s="763"/>
      <c r="BS6" s="763"/>
      <c r="BT6" s="763"/>
      <c r="BU6" s="763"/>
      <c r="BV6" s="763"/>
      <c r="BW6" s="763"/>
      <c r="BX6" s="763"/>
      <c r="BY6" s="763"/>
      <c r="BZ6" s="763"/>
      <c r="CA6" s="763"/>
      <c r="CB6" s="763"/>
      <c r="CC6" s="763"/>
      <c r="CD6" s="763"/>
      <c r="CE6" s="763"/>
      <c r="CF6" s="763"/>
      <c r="CG6" s="763"/>
      <c r="CH6" s="763"/>
      <c r="CI6" s="763"/>
      <c r="CJ6" s="763"/>
      <c r="CK6" s="763"/>
      <c r="CL6" s="763"/>
      <c r="CM6" s="763"/>
      <c r="CN6" s="763"/>
      <c r="CO6" s="763"/>
      <c r="CP6" s="763"/>
      <c r="CQ6" s="763"/>
      <c r="CR6" s="763"/>
      <c r="CS6" s="763"/>
      <c r="CT6" s="763"/>
      <c r="CU6" s="763"/>
      <c r="CV6" s="763"/>
      <c r="CW6" s="763"/>
      <c r="CX6" s="763"/>
      <c r="CY6" s="763"/>
      <c r="CZ6" s="763"/>
      <c r="DA6" s="763"/>
      <c r="DB6" s="763"/>
      <c r="DC6" s="763"/>
      <c r="DD6" s="763"/>
      <c r="DE6" s="763"/>
      <c r="DF6" s="763"/>
      <c r="DG6" s="763"/>
      <c r="DH6" s="763"/>
      <c r="DI6" s="763"/>
      <c r="DJ6" s="763"/>
      <c r="DK6" s="763"/>
      <c r="DL6" s="763"/>
      <c r="DM6" s="763"/>
      <c r="DN6" s="763"/>
      <c r="DO6" s="763"/>
      <c r="DP6" s="763"/>
      <c r="DQ6" s="763"/>
      <c r="DR6" s="763"/>
      <c r="DS6" s="763"/>
      <c r="DT6" s="763"/>
      <c r="DU6" s="763"/>
      <c r="DV6" s="763"/>
      <c r="DW6" s="763"/>
      <c r="DX6" s="763"/>
      <c r="DY6" s="763"/>
      <c r="DZ6" s="763"/>
      <c r="EA6" s="763"/>
    </row>
    <row r="7" spans="1:132" s="899" customFormat="1" ht="14.1" customHeight="1" x14ac:dyDescent="0.2">
      <c r="A7" s="426"/>
      <c r="B7" s="1241" t="s">
        <v>1156</v>
      </c>
      <c r="C7" s="1211" t="s">
        <v>1157</v>
      </c>
      <c r="D7" s="1293"/>
      <c r="E7" s="1212"/>
      <c r="F7" s="683"/>
      <c r="G7" s="1229" t="s">
        <v>257</v>
      </c>
      <c r="H7" s="1229"/>
      <c r="I7" s="1307" t="s">
        <v>1158</v>
      </c>
      <c r="J7" s="1307"/>
      <c r="K7" s="1307"/>
      <c r="L7" s="1307"/>
      <c r="M7" s="1307"/>
      <c r="N7" s="1307"/>
      <c r="O7" s="1269" t="s">
        <v>1159</v>
      </c>
      <c r="P7" s="1270" t="s">
        <v>1160</v>
      </c>
      <c r="Q7" s="1305"/>
      <c r="R7" s="1013"/>
      <c r="S7" s="1013"/>
      <c r="T7" s="1013"/>
      <c r="U7" s="1013"/>
      <c r="V7" s="1309" t="s">
        <v>1008</v>
      </c>
      <c r="W7" s="1299" t="s">
        <v>1009</v>
      </c>
      <c r="X7" s="1300"/>
      <c r="Y7" s="1296" t="s">
        <v>1010</v>
      </c>
      <c r="Z7" s="1296" t="s">
        <v>1011</v>
      </c>
      <c r="AA7" s="1296" t="s">
        <v>1012</v>
      </c>
      <c r="AB7" s="1296" t="s">
        <v>1011</v>
      </c>
      <c r="AC7" s="1296" t="s">
        <v>1013</v>
      </c>
      <c r="AD7" s="1296" t="s">
        <v>1011</v>
      </c>
      <c r="AE7" s="1296" t="s">
        <v>1014</v>
      </c>
      <c r="AF7" s="763"/>
      <c r="AG7" s="763"/>
      <c r="AH7" s="763"/>
      <c r="AI7" s="763"/>
      <c r="AJ7" s="763"/>
      <c r="AK7" s="763"/>
      <c r="AL7" s="763"/>
      <c r="AM7" s="763"/>
      <c r="AN7" s="763"/>
      <c r="AO7" s="763"/>
      <c r="AP7" s="763"/>
      <c r="AQ7" s="763"/>
      <c r="AR7" s="763"/>
      <c r="AS7" s="763"/>
      <c r="AT7" s="763"/>
      <c r="AU7" s="763"/>
      <c r="AV7" s="763"/>
      <c r="AW7" s="763"/>
      <c r="AX7" s="763"/>
      <c r="AY7" s="763"/>
      <c r="AZ7" s="763"/>
      <c r="BA7" s="763"/>
      <c r="BB7" s="763"/>
      <c r="BC7" s="763"/>
      <c r="BD7" s="763"/>
      <c r="BE7" s="763"/>
      <c r="BF7" s="763"/>
      <c r="BG7" s="763"/>
      <c r="BH7" s="763"/>
      <c r="BI7" s="763"/>
      <c r="BJ7" s="763"/>
      <c r="BK7" s="763"/>
      <c r="BL7" s="763"/>
      <c r="BM7" s="763"/>
      <c r="BN7" s="763"/>
      <c r="BO7" s="763"/>
      <c r="BP7" s="763"/>
      <c r="BQ7" s="763"/>
      <c r="BR7" s="763"/>
      <c r="BS7" s="763"/>
      <c r="BT7" s="763"/>
      <c r="BU7" s="763"/>
      <c r="BV7" s="763"/>
      <c r="BW7" s="763"/>
      <c r="BX7" s="763"/>
      <c r="BY7" s="763"/>
      <c r="BZ7" s="763"/>
      <c r="CA7" s="763"/>
      <c r="CB7" s="763"/>
      <c r="CC7" s="763"/>
      <c r="CD7" s="763"/>
      <c r="CE7" s="763"/>
      <c r="CF7" s="763"/>
      <c r="CG7" s="763"/>
      <c r="CH7" s="763"/>
      <c r="CI7" s="763"/>
      <c r="CJ7" s="763"/>
      <c r="CK7" s="763"/>
      <c r="CL7" s="763"/>
      <c r="CM7" s="763"/>
      <c r="CN7" s="763"/>
      <c r="CO7" s="763"/>
      <c r="CP7" s="763"/>
      <c r="CQ7" s="763"/>
      <c r="CR7" s="763"/>
      <c r="CS7" s="763"/>
      <c r="CT7" s="763"/>
      <c r="CU7" s="763"/>
      <c r="CV7" s="763"/>
      <c r="CW7" s="763"/>
      <c r="CX7" s="763"/>
      <c r="CY7" s="763"/>
      <c r="CZ7" s="763"/>
      <c r="DA7" s="763"/>
      <c r="DB7" s="763"/>
      <c r="DC7" s="763"/>
      <c r="DD7" s="763"/>
      <c r="DE7" s="763"/>
      <c r="DF7" s="763"/>
      <c r="DG7" s="763"/>
      <c r="DH7" s="763"/>
      <c r="DI7" s="763"/>
      <c r="DJ7" s="763"/>
      <c r="DK7" s="763"/>
      <c r="DL7" s="763"/>
      <c r="DM7" s="763"/>
      <c r="DN7" s="763"/>
      <c r="DO7" s="763"/>
      <c r="DP7" s="763"/>
      <c r="DQ7" s="763"/>
      <c r="DR7" s="763"/>
      <c r="DS7" s="763"/>
      <c r="DT7" s="763"/>
      <c r="DU7" s="763"/>
      <c r="DV7" s="763"/>
      <c r="DW7" s="763"/>
      <c r="DX7" s="763"/>
      <c r="DY7" s="763"/>
      <c r="DZ7" s="763"/>
      <c r="EA7" s="763"/>
      <c r="EB7" s="763"/>
    </row>
    <row r="8" spans="1:132" s="899" customFormat="1" ht="27.95" customHeight="1" x14ac:dyDescent="0.2">
      <c r="A8" s="426"/>
      <c r="B8" s="1242"/>
      <c r="C8" s="1312" t="s">
        <v>1161</v>
      </c>
      <c r="D8" s="1314" t="s">
        <v>1162</v>
      </c>
      <c r="E8" s="1315"/>
      <c r="F8" s="684"/>
      <c r="G8" s="1294"/>
      <c r="H8" s="1294"/>
      <c r="I8" s="1254" t="s">
        <v>1163</v>
      </c>
      <c r="J8" s="1254"/>
      <c r="K8" s="1318" t="s">
        <v>1164</v>
      </c>
      <c r="L8" s="1253"/>
      <c r="M8" s="1318" t="s">
        <v>1411</v>
      </c>
      <c r="N8" s="1253"/>
      <c r="O8" s="1256"/>
      <c r="P8" s="1274"/>
      <c r="Q8" s="1306"/>
      <c r="R8" s="1013"/>
      <c r="S8" s="1013"/>
      <c r="T8" s="1013"/>
      <c r="U8" s="1013"/>
      <c r="V8" s="1310"/>
      <c r="W8" s="1301"/>
      <c r="X8" s="1302"/>
      <c r="Y8" s="1297"/>
      <c r="Z8" s="1297"/>
      <c r="AA8" s="1297"/>
      <c r="AB8" s="1297"/>
      <c r="AC8" s="1297"/>
      <c r="AD8" s="1297"/>
      <c r="AE8" s="1297"/>
      <c r="AF8" s="763"/>
      <c r="AG8" s="763"/>
      <c r="AH8" s="763"/>
      <c r="AI8" s="763"/>
      <c r="AJ8" s="763"/>
      <c r="AK8" s="763"/>
      <c r="AL8" s="763"/>
      <c r="AM8" s="763"/>
      <c r="AN8" s="763"/>
      <c r="AO8" s="763"/>
      <c r="AP8" s="763"/>
      <c r="AQ8" s="763"/>
      <c r="AR8" s="763"/>
      <c r="AS8" s="763"/>
      <c r="AT8" s="763"/>
      <c r="AU8" s="763"/>
      <c r="AV8" s="763"/>
      <c r="AW8" s="763"/>
      <c r="AX8" s="763"/>
      <c r="AY8" s="763"/>
      <c r="AZ8" s="763"/>
      <c r="BA8" s="763"/>
      <c r="BB8" s="763"/>
      <c r="BC8" s="763"/>
      <c r="BD8" s="763"/>
      <c r="BE8" s="763"/>
      <c r="BF8" s="763"/>
      <c r="BG8" s="763"/>
      <c r="BH8" s="763"/>
      <c r="BI8" s="763"/>
      <c r="BJ8" s="763"/>
      <c r="BK8" s="763"/>
      <c r="BL8" s="763"/>
      <c r="BM8" s="763"/>
      <c r="BN8" s="763"/>
      <c r="BO8" s="763"/>
      <c r="BP8" s="763"/>
      <c r="BQ8" s="763"/>
      <c r="BR8" s="763"/>
      <c r="BS8" s="763"/>
      <c r="BT8" s="763"/>
      <c r="BU8" s="763"/>
      <c r="BV8" s="763"/>
      <c r="BW8" s="763"/>
      <c r="BX8" s="763"/>
      <c r="BY8" s="763"/>
      <c r="BZ8" s="763"/>
      <c r="CA8" s="763"/>
      <c r="CB8" s="763"/>
      <c r="CC8" s="763"/>
      <c r="CD8" s="763"/>
      <c r="CE8" s="763"/>
      <c r="CF8" s="763"/>
      <c r="CG8" s="763"/>
      <c r="CH8" s="763"/>
      <c r="CI8" s="763"/>
      <c r="CJ8" s="763"/>
      <c r="CK8" s="763"/>
      <c r="CL8" s="763"/>
      <c r="CM8" s="763"/>
      <c r="CN8" s="763"/>
      <c r="CO8" s="763"/>
      <c r="CP8" s="763"/>
      <c r="CQ8" s="763"/>
      <c r="CR8" s="763"/>
      <c r="CS8" s="763"/>
      <c r="CT8" s="763"/>
      <c r="CU8" s="763"/>
      <c r="CV8" s="763"/>
      <c r="CW8" s="763"/>
      <c r="CX8" s="763"/>
      <c r="CY8" s="763"/>
      <c r="CZ8" s="763"/>
      <c r="DA8" s="763"/>
      <c r="DB8" s="763"/>
      <c r="DC8" s="763"/>
      <c r="DD8" s="763"/>
      <c r="DE8" s="763"/>
      <c r="DF8" s="763"/>
      <c r="DG8" s="763"/>
      <c r="DH8" s="763"/>
      <c r="DI8" s="763"/>
      <c r="DJ8" s="763"/>
      <c r="DK8" s="763"/>
      <c r="DL8" s="763"/>
      <c r="DM8" s="763"/>
      <c r="DN8" s="763"/>
      <c r="DO8" s="763"/>
      <c r="DP8" s="763"/>
      <c r="DQ8" s="763"/>
      <c r="DR8" s="763"/>
      <c r="DS8" s="763"/>
      <c r="DT8" s="763"/>
      <c r="DU8" s="763"/>
      <c r="DV8" s="763"/>
      <c r="DW8" s="763"/>
      <c r="DX8" s="763"/>
      <c r="DY8" s="763"/>
      <c r="DZ8" s="763"/>
      <c r="EA8" s="763"/>
      <c r="EB8" s="763"/>
    </row>
    <row r="9" spans="1:132" s="899" customFormat="1" ht="14.1" customHeight="1" thickBot="1" x14ac:dyDescent="0.25">
      <c r="A9" s="426"/>
      <c r="B9" s="1292"/>
      <c r="C9" s="1313"/>
      <c r="D9" s="1316"/>
      <c r="E9" s="1317"/>
      <c r="F9" s="687"/>
      <c r="G9" s="1295"/>
      <c r="H9" s="1295"/>
      <c r="I9" s="688" t="s">
        <v>1025</v>
      </c>
      <c r="J9" s="688" t="s">
        <v>1027</v>
      </c>
      <c r="K9" s="689" t="s">
        <v>1025</v>
      </c>
      <c r="L9" s="689" t="s">
        <v>1027</v>
      </c>
      <c r="M9" s="689" t="s">
        <v>1025</v>
      </c>
      <c r="N9" s="689" t="s">
        <v>1027</v>
      </c>
      <c r="O9" s="1308"/>
      <c r="P9" s="689" t="s">
        <v>1025</v>
      </c>
      <c r="Q9" s="690" t="s">
        <v>1027</v>
      </c>
      <c r="R9" s="1014"/>
      <c r="S9" s="1014"/>
      <c r="T9" s="1014"/>
      <c r="U9" s="1014"/>
      <c r="V9" s="1311"/>
      <c r="W9" s="1015" t="s">
        <v>1025</v>
      </c>
      <c r="X9" s="1015" t="s">
        <v>1027</v>
      </c>
      <c r="Y9" s="1298"/>
      <c r="Z9" s="1298"/>
      <c r="AA9" s="1298"/>
      <c r="AB9" s="1298"/>
      <c r="AC9" s="1298"/>
      <c r="AD9" s="1298"/>
      <c r="AE9" s="1298"/>
      <c r="AF9" s="763"/>
      <c r="AG9" s="763"/>
      <c r="AH9" s="763"/>
      <c r="AI9" s="763"/>
      <c r="AJ9" s="763"/>
      <c r="AK9" s="763"/>
      <c r="AL9" s="763"/>
      <c r="AM9" s="763"/>
      <c r="AN9" s="763"/>
      <c r="AO9" s="763"/>
      <c r="AP9" s="763"/>
      <c r="AQ9" s="763"/>
      <c r="AR9" s="763"/>
      <c r="AS9" s="763"/>
      <c r="AT9" s="763"/>
      <c r="AU9" s="763"/>
      <c r="AV9" s="763"/>
      <c r="AW9" s="763"/>
      <c r="AX9" s="763"/>
      <c r="AY9" s="763"/>
      <c r="AZ9" s="763"/>
      <c r="BA9" s="763"/>
      <c r="BB9" s="763"/>
      <c r="BC9" s="763"/>
      <c r="BD9" s="763"/>
      <c r="BE9" s="763"/>
      <c r="BF9" s="763"/>
      <c r="BG9" s="763"/>
      <c r="BH9" s="763"/>
      <c r="BI9" s="763"/>
      <c r="BJ9" s="763"/>
      <c r="BK9" s="763"/>
      <c r="BL9" s="763"/>
      <c r="BM9" s="763"/>
      <c r="BN9" s="763"/>
      <c r="BO9" s="763"/>
      <c r="BP9" s="763"/>
      <c r="BQ9" s="763"/>
      <c r="BR9" s="763"/>
      <c r="BS9" s="763"/>
      <c r="BT9" s="763"/>
      <c r="BU9" s="763"/>
      <c r="BV9" s="763"/>
      <c r="BW9" s="763"/>
      <c r="BX9" s="763"/>
      <c r="BY9" s="763"/>
      <c r="BZ9" s="763"/>
      <c r="CA9" s="763"/>
      <c r="CB9" s="763"/>
      <c r="CC9" s="763"/>
      <c r="CD9" s="763"/>
      <c r="CE9" s="763"/>
      <c r="CF9" s="763"/>
      <c r="CG9" s="763"/>
      <c r="CH9" s="763"/>
      <c r="CI9" s="763"/>
      <c r="CJ9" s="763"/>
      <c r="CK9" s="763"/>
      <c r="CL9" s="763"/>
      <c r="CM9" s="763"/>
      <c r="CN9" s="763"/>
      <c r="CO9" s="763"/>
      <c r="CP9" s="763"/>
      <c r="CQ9" s="763"/>
      <c r="CR9" s="763"/>
      <c r="CS9" s="763"/>
      <c r="CT9" s="763"/>
      <c r="CU9" s="763"/>
      <c r="CV9" s="763"/>
      <c r="CW9" s="763"/>
      <c r="CX9" s="763"/>
      <c r="CY9" s="763"/>
      <c r="CZ9" s="763"/>
      <c r="DA9" s="763"/>
      <c r="DB9" s="763"/>
      <c r="DC9" s="763"/>
      <c r="DD9" s="763"/>
      <c r="DE9" s="763"/>
      <c r="DF9" s="763"/>
      <c r="DG9" s="763"/>
      <c r="DH9" s="763"/>
      <c r="DI9" s="763"/>
      <c r="DJ9" s="763"/>
      <c r="DK9" s="763"/>
      <c r="DL9" s="763"/>
      <c r="DM9" s="763"/>
      <c r="DN9" s="763"/>
      <c r="DO9" s="763"/>
      <c r="DP9" s="763"/>
      <c r="DQ9" s="763"/>
      <c r="DR9" s="763"/>
      <c r="DS9" s="763"/>
      <c r="DT9" s="763"/>
      <c r="DU9" s="763"/>
      <c r="DV9" s="763"/>
      <c r="DW9" s="763"/>
      <c r="DX9" s="763"/>
      <c r="DY9" s="763"/>
      <c r="DZ9" s="763"/>
      <c r="EA9" s="763"/>
      <c r="EB9" s="763"/>
    </row>
    <row r="10" spans="1:132" s="899" customFormat="1" ht="14.1" customHeight="1" x14ac:dyDescent="0.2">
      <c r="A10" s="426"/>
      <c r="B10" s="1319">
        <v>1</v>
      </c>
      <c r="C10" s="691" t="s">
        <v>1165</v>
      </c>
      <c r="D10" s="1321" t="s">
        <v>1165</v>
      </c>
      <c r="E10" s="1322"/>
      <c r="F10" s="692"/>
      <c r="G10" s="693" t="s">
        <v>1166</v>
      </c>
      <c r="H10" s="693"/>
      <c r="I10" s="694"/>
      <c r="J10" s="694"/>
      <c r="K10" s="695"/>
      <c r="L10" s="696"/>
      <c r="M10" s="697">
        <f>I10+K10</f>
        <v>0</v>
      </c>
      <c r="N10" s="697">
        <f>J10+L10</f>
        <v>0</v>
      </c>
      <c r="O10" s="698">
        <v>0</v>
      </c>
      <c r="P10" s="699">
        <f>M10*O10</f>
        <v>0</v>
      </c>
      <c r="Q10" s="700">
        <f>N10*O10</f>
        <v>0</v>
      </c>
      <c r="R10" s="1016"/>
      <c r="S10" s="1016"/>
      <c r="T10" s="1016"/>
      <c r="U10" s="1016"/>
      <c r="V10" s="1017">
        <f>IF(P10&lt;=Q10,P10*10%,Q10*10%)</f>
        <v>0</v>
      </c>
      <c r="W10" s="1018">
        <f>IF(P10&gt;Q10,P10-Q10,0)</f>
        <v>0</v>
      </c>
      <c r="X10" s="1018">
        <f>IF(Q10&gt;P10,Q10-P10,0)</f>
        <v>0</v>
      </c>
      <c r="Y10" s="1323">
        <f>IF(SUM(W10:W13)&lt;SUM(X10:X13),SUM(W10:W13)*40%,SUM(X10:X13)*40%)</f>
        <v>0</v>
      </c>
      <c r="Z10" s="1323">
        <f>(SUM(W10:W13)-SUM(X10:X13))</f>
        <v>0</v>
      </c>
      <c r="AA10" s="1323">
        <f>(IF(Z10=0,0,IF(Z14=0,0,IF(Z10&gt;0,IF(Z14&lt;0,IF(Z10&lt;ABS(Z14),Z10*40%,ABS(Z14)*40%),0),IF(Z14&gt;0,IF(ABS(Z10)&lt;Z14,ABS(Z10)*40%,Z14*40%),0)))))</f>
        <v>0</v>
      </c>
      <c r="AB10" s="1323">
        <f>IF(AA10=0,Z10,IF(ABS(Z10)&lt;ABS(Z14),0,Z10+Z14))</f>
        <v>0</v>
      </c>
      <c r="AC10" s="1337"/>
      <c r="AD10" s="1323">
        <f>AB10</f>
        <v>0</v>
      </c>
      <c r="AE10" s="1330">
        <f>(IF(AD10=0,0,IF(AD17=0,0,IF(AD10&gt;0,IF(AD17&lt;0,IF(AD10&lt;ABS(AD17),AD10*100%,ABS(AD17)*100%),0),IF(AD17&gt;0,IF(ABS(AD10)&lt;AD17,ABS(AD10)*100%,AD17*100%),0)))))</f>
        <v>0</v>
      </c>
      <c r="AF10" s="763"/>
      <c r="AG10" s="763"/>
      <c r="AH10" s="763"/>
      <c r="AI10" s="763"/>
      <c r="AJ10" s="763"/>
      <c r="AK10" s="763"/>
      <c r="AL10" s="763"/>
      <c r="AM10" s="763"/>
      <c r="AN10" s="763"/>
      <c r="AO10" s="763"/>
      <c r="AP10" s="763"/>
      <c r="AQ10" s="763"/>
      <c r="AR10" s="763"/>
      <c r="AS10" s="763"/>
      <c r="AT10" s="763"/>
      <c r="AU10" s="763"/>
      <c r="AV10" s="763"/>
      <c r="AW10" s="763"/>
      <c r="AX10" s="763"/>
      <c r="AY10" s="763"/>
      <c r="AZ10" s="763"/>
      <c r="BA10" s="763"/>
      <c r="BB10" s="763"/>
      <c r="BC10" s="763"/>
      <c r="BD10" s="763"/>
      <c r="BE10" s="763"/>
      <c r="BF10" s="763"/>
      <c r="BG10" s="763"/>
      <c r="BH10" s="763"/>
      <c r="BI10" s="763"/>
      <c r="BJ10" s="763"/>
      <c r="BK10" s="763"/>
      <c r="BL10" s="763"/>
      <c r="BM10" s="763"/>
      <c r="BN10" s="763"/>
      <c r="BO10" s="763"/>
      <c r="BP10" s="763"/>
      <c r="BQ10" s="763"/>
      <c r="BR10" s="763"/>
      <c r="BS10" s="763"/>
      <c r="BT10" s="763"/>
      <c r="BU10" s="763"/>
      <c r="BV10" s="763"/>
      <c r="BW10" s="763"/>
      <c r="BX10" s="763"/>
      <c r="BY10" s="763"/>
      <c r="BZ10" s="763"/>
      <c r="CA10" s="763"/>
      <c r="CB10" s="763"/>
      <c r="CC10" s="763"/>
      <c r="CD10" s="763"/>
      <c r="CE10" s="763"/>
      <c r="CF10" s="763"/>
      <c r="CG10" s="763"/>
      <c r="CH10" s="763"/>
      <c r="CI10" s="763"/>
      <c r="CJ10" s="763"/>
      <c r="CK10" s="763"/>
      <c r="CL10" s="763"/>
      <c r="CM10" s="763"/>
      <c r="CN10" s="763"/>
      <c r="CO10" s="763"/>
      <c r="CP10" s="763"/>
      <c r="CQ10" s="763"/>
      <c r="CR10" s="763"/>
      <c r="CS10" s="763"/>
      <c r="CT10" s="763"/>
      <c r="CU10" s="763"/>
      <c r="CV10" s="763"/>
      <c r="CW10" s="763"/>
      <c r="CX10" s="763"/>
      <c r="CY10" s="763"/>
      <c r="CZ10" s="763"/>
      <c r="DA10" s="763"/>
      <c r="DB10" s="763"/>
      <c r="DC10" s="763"/>
      <c r="DD10" s="763"/>
      <c r="DE10" s="763"/>
      <c r="DF10" s="763"/>
      <c r="DG10" s="763"/>
      <c r="DH10" s="763"/>
      <c r="DI10" s="763"/>
      <c r="DJ10" s="763"/>
      <c r="DK10" s="763"/>
      <c r="DL10" s="763"/>
      <c r="DM10" s="763"/>
      <c r="DN10" s="763"/>
      <c r="DO10" s="763"/>
      <c r="DP10" s="763"/>
      <c r="DQ10" s="763"/>
      <c r="DR10" s="763"/>
      <c r="DS10" s="763"/>
      <c r="DT10" s="763"/>
      <c r="DU10" s="763"/>
      <c r="DV10" s="763"/>
      <c r="DW10" s="763"/>
      <c r="DX10" s="763"/>
      <c r="DY10" s="763"/>
      <c r="DZ10" s="763"/>
      <c r="EA10" s="763"/>
      <c r="EB10" s="763"/>
    </row>
    <row r="11" spans="1:132" s="899" customFormat="1" ht="14.1" customHeight="1" x14ac:dyDescent="0.2">
      <c r="A11" s="426"/>
      <c r="B11" s="1320"/>
      <c r="C11" s="451" t="s">
        <v>1167</v>
      </c>
      <c r="D11" s="1333" t="s">
        <v>1167</v>
      </c>
      <c r="E11" s="1334"/>
      <c r="F11" s="701"/>
      <c r="G11" s="702" t="s">
        <v>1168</v>
      </c>
      <c r="H11" s="702"/>
      <c r="I11" s="703"/>
      <c r="J11" s="703"/>
      <c r="K11" s="704"/>
      <c r="L11" s="705"/>
      <c r="M11" s="706">
        <f>I11+K11</f>
        <v>0</v>
      </c>
      <c r="N11" s="706">
        <f>J11+L11</f>
        <v>0</v>
      </c>
      <c r="O11" s="707">
        <v>2E-3</v>
      </c>
      <c r="P11" s="708">
        <f>M11*O11</f>
        <v>0</v>
      </c>
      <c r="Q11" s="709">
        <f>N11*O11</f>
        <v>0</v>
      </c>
      <c r="R11" s="1016"/>
      <c r="S11" s="1016"/>
      <c r="T11" s="1016"/>
      <c r="U11" s="1016"/>
      <c r="V11" s="1017">
        <f t="shared" ref="V11:V24" si="0">IF(P11&lt;=Q11,P11*10%,Q11*10%)</f>
        <v>0</v>
      </c>
      <c r="W11" s="1018">
        <f t="shared" ref="W11:W24" si="1">IF(P11&gt;Q11,P11-Q11,0)</f>
        <v>0</v>
      </c>
      <c r="X11" s="1018">
        <f t="shared" ref="X11:X23" si="2">IF(Q11&gt;P11,Q11-P11,0)</f>
        <v>0</v>
      </c>
      <c r="Y11" s="1324"/>
      <c r="Z11" s="1324"/>
      <c r="AA11" s="1324"/>
      <c r="AB11" s="1324"/>
      <c r="AC11" s="1338"/>
      <c r="AD11" s="1324"/>
      <c r="AE11" s="1331"/>
      <c r="AF11" s="763"/>
      <c r="AG11" s="763"/>
      <c r="AH11" s="763"/>
      <c r="AI11" s="763"/>
      <c r="AJ11" s="763"/>
      <c r="AK11" s="763"/>
      <c r="AL11" s="763"/>
      <c r="AM11" s="763"/>
      <c r="AN11" s="763"/>
      <c r="AO11" s="763"/>
      <c r="AP11" s="763"/>
      <c r="AQ11" s="763"/>
      <c r="AR11" s="763"/>
      <c r="AS11" s="763"/>
      <c r="AT11" s="763"/>
      <c r="AU11" s="763"/>
      <c r="AV11" s="763"/>
      <c r="AW11" s="763"/>
      <c r="AX11" s="763"/>
      <c r="AY11" s="763"/>
      <c r="AZ11" s="763"/>
      <c r="BA11" s="763"/>
      <c r="BB11" s="763"/>
      <c r="BC11" s="763"/>
      <c r="BD11" s="763"/>
      <c r="BE11" s="763"/>
      <c r="BF11" s="763"/>
      <c r="BG11" s="763"/>
      <c r="BH11" s="763"/>
      <c r="BI11" s="763"/>
      <c r="BJ11" s="763"/>
      <c r="BK11" s="763"/>
      <c r="BL11" s="763"/>
      <c r="BM11" s="763"/>
      <c r="BN11" s="763"/>
      <c r="BO11" s="763"/>
      <c r="BP11" s="763"/>
      <c r="BQ11" s="763"/>
      <c r="BR11" s="763"/>
      <c r="BS11" s="763"/>
      <c r="BT11" s="763"/>
      <c r="BU11" s="763"/>
      <c r="BV11" s="763"/>
      <c r="BW11" s="763"/>
      <c r="BX11" s="763"/>
      <c r="BY11" s="763"/>
      <c r="BZ11" s="763"/>
      <c r="CA11" s="763"/>
      <c r="CB11" s="763"/>
      <c r="CC11" s="763"/>
      <c r="CD11" s="763"/>
      <c r="CE11" s="763"/>
      <c r="CF11" s="763"/>
      <c r="CG11" s="763"/>
      <c r="CH11" s="763"/>
      <c r="CI11" s="763"/>
      <c r="CJ11" s="763"/>
      <c r="CK11" s="763"/>
      <c r="CL11" s="763"/>
      <c r="CM11" s="763"/>
      <c r="CN11" s="763"/>
      <c r="CO11" s="763"/>
      <c r="CP11" s="763"/>
      <c r="CQ11" s="763"/>
      <c r="CR11" s="763"/>
      <c r="CS11" s="763"/>
      <c r="CT11" s="763"/>
      <c r="CU11" s="763"/>
      <c r="CV11" s="763"/>
      <c r="CW11" s="763"/>
      <c r="CX11" s="763"/>
      <c r="CY11" s="763"/>
      <c r="CZ11" s="763"/>
      <c r="DA11" s="763"/>
      <c r="DB11" s="763"/>
      <c r="DC11" s="763"/>
      <c r="DD11" s="763"/>
      <c r="DE11" s="763"/>
      <c r="DF11" s="763"/>
      <c r="DG11" s="763"/>
      <c r="DH11" s="763"/>
      <c r="DI11" s="763"/>
      <c r="DJ11" s="763"/>
      <c r="DK11" s="763"/>
      <c r="DL11" s="763"/>
      <c r="DM11" s="763"/>
      <c r="DN11" s="763"/>
      <c r="DO11" s="763"/>
      <c r="DP11" s="763"/>
      <c r="DQ11" s="763"/>
      <c r="DR11" s="763"/>
      <c r="DS11" s="763"/>
      <c r="DT11" s="763"/>
      <c r="DU11" s="763"/>
      <c r="DV11" s="763"/>
      <c r="DW11" s="763"/>
      <c r="DX11" s="763"/>
      <c r="DY11" s="763"/>
      <c r="DZ11" s="763"/>
      <c r="EA11" s="763"/>
      <c r="EB11" s="763"/>
    </row>
    <row r="12" spans="1:132" s="899" customFormat="1" ht="14.1" customHeight="1" x14ac:dyDescent="0.2">
      <c r="A12" s="426"/>
      <c r="B12" s="1320"/>
      <c r="C12" s="710" t="s">
        <v>1169</v>
      </c>
      <c r="D12" s="1333" t="s">
        <v>1169</v>
      </c>
      <c r="E12" s="1334"/>
      <c r="F12" s="701"/>
      <c r="G12" s="702" t="s">
        <v>1170</v>
      </c>
      <c r="H12" s="702"/>
      <c r="I12" s="703"/>
      <c r="J12" s="703"/>
      <c r="K12" s="703"/>
      <c r="L12" s="711"/>
      <c r="M12" s="706">
        <f>I12+K12</f>
        <v>0</v>
      </c>
      <c r="N12" s="706">
        <f t="shared" ref="N12:N24" si="3">J12+L12</f>
        <v>0</v>
      </c>
      <c r="O12" s="712">
        <v>4.0000000000000001E-3</v>
      </c>
      <c r="P12" s="708">
        <f t="shared" ref="P12:P24" si="4">M12*O12</f>
        <v>0</v>
      </c>
      <c r="Q12" s="709">
        <f t="shared" ref="Q12:Q24" si="5">N12*O12</f>
        <v>0</v>
      </c>
      <c r="R12" s="1016"/>
      <c r="S12" s="1016"/>
      <c r="T12" s="1016"/>
      <c r="U12" s="1016"/>
      <c r="V12" s="1017">
        <f t="shared" si="0"/>
        <v>0</v>
      </c>
      <c r="W12" s="1019">
        <f t="shared" si="1"/>
        <v>0</v>
      </c>
      <c r="X12" s="1018">
        <f t="shared" si="2"/>
        <v>0</v>
      </c>
      <c r="Y12" s="1324"/>
      <c r="Z12" s="1324"/>
      <c r="AA12" s="1324"/>
      <c r="AB12" s="1324"/>
      <c r="AC12" s="1338"/>
      <c r="AD12" s="1324"/>
      <c r="AE12" s="1331"/>
      <c r="AF12" s="763"/>
      <c r="AG12" s="763"/>
      <c r="AH12" s="763"/>
      <c r="AI12" s="763"/>
      <c r="AJ12" s="763"/>
      <c r="AK12" s="763"/>
      <c r="AL12" s="763"/>
      <c r="AM12" s="763"/>
      <c r="AN12" s="763"/>
      <c r="AO12" s="763"/>
      <c r="AP12" s="763"/>
      <c r="AQ12" s="763"/>
      <c r="AR12" s="763"/>
      <c r="AS12" s="763"/>
      <c r="AT12" s="763"/>
      <c r="AU12" s="763"/>
      <c r="AV12" s="763"/>
      <c r="AW12" s="763"/>
      <c r="AX12" s="763"/>
      <c r="AY12" s="763"/>
      <c r="AZ12" s="763"/>
      <c r="BA12" s="763"/>
      <c r="BB12" s="763"/>
      <c r="BC12" s="763"/>
      <c r="BD12" s="763"/>
      <c r="BE12" s="763"/>
      <c r="BF12" s="763"/>
      <c r="BG12" s="763"/>
      <c r="BH12" s="763"/>
      <c r="BI12" s="763"/>
      <c r="BJ12" s="763"/>
      <c r="BK12" s="763"/>
      <c r="BL12" s="763"/>
      <c r="BM12" s="763"/>
      <c r="BN12" s="763"/>
      <c r="BO12" s="763"/>
      <c r="BP12" s="763"/>
      <c r="BQ12" s="763"/>
      <c r="BR12" s="763"/>
      <c r="BS12" s="763"/>
      <c r="BT12" s="763"/>
      <c r="BU12" s="763"/>
      <c r="BV12" s="763"/>
      <c r="BW12" s="763"/>
      <c r="BX12" s="763"/>
      <c r="BY12" s="763"/>
      <c r="BZ12" s="763"/>
      <c r="CA12" s="763"/>
      <c r="CB12" s="763"/>
      <c r="CC12" s="763"/>
      <c r="CD12" s="763"/>
      <c r="CE12" s="763"/>
      <c r="CF12" s="763"/>
      <c r="CG12" s="763"/>
      <c r="CH12" s="763"/>
      <c r="CI12" s="763"/>
      <c r="CJ12" s="763"/>
      <c r="CK12" s="763"/>
      <c r="CL12" s="763"/>
      <c r="CM12" s="763"/>
      <c r="CN12" s="763"/>
      <c r="CO12" s="763"/>
      <c r="CP12" s="763"/>
      <c r="CQ12" s="763"/>
      <c r="CR12" s="763"/>
      <c r="CS12" s="763"/>
      <c r="CT12" s="763"/>
      <c r="CU12" s="763"/>
      <c r="CV12" s="763"/>
      <c r="CW12" s="763"/>
      <c r="CX12" s="763"/>
      <c r="CY12" s="763"/>
      <c r="CZ12" s="763"/>
      <c r="DA12" s="763"/>
      <c r="DB12" s="763"/>
      <c r="DC12" s="763"/>
      <c r="DD12" s="763"/>
      <c r="DE12" s="763"/>
      <c r="DF12" s="763"/>
      <c r="DG12" s="763"/>
      <c r="DH12" s="763"/>
      <c r="DI12" s="763"/>
      <c r="DJ12" s="763"/>
      <c r="DK12" s="763"/>
      <c r="DL12" s="763"/>
      <c r="DM12" s="763"/>
      <c r="DN12" s="763"/>
      <c r="DO12" s="763"/>
      <c r="DP12" s="763"/>
      <c r="DQ12" s="763"/>
      <c r="DR12" s="763"/>
      <c r="DS12" s="763"/>
      <c r="DT12" s="763"/>
      <c r="DU12" s="763"/>
      <c r="DV12" s="763"/>
      <c r="DW12" s="763"/>
      <c r="DX12" s="763"/>
      <c r="DY12" s="763"/>
      <c r="DZ12" s="763"/>
      <c r="EA12" s="763"/>
      <c r="EB12" s="763"/>
    </row>
    <row r="13" spans="1:132" s="899" customFormat="1" ht="14.1" customHeight="1" thickBot="1" x14ac:dyDescent="0.25">
      <c r="A13" s="426"/>
      <c r="B13" s="1320"/>
      <c r="C13" s="710" t="s">
        <v>1171</v>
      </c>
      <c r="D13" s="1372" t="s">
        <v>1171</v>
      </c>
      <c r="E13" s="1373"/>
      <c r="F13" s="768"/>
      <c r="G13" s="714" t="s">
        <v>1172</v>
      </c>
      <c r="H13" s="714"/>
      <c r="I13" s="703"/>
      <c r="J13" s="703"/>
      <c r="K13" s="703"/>
      <c r="L13" s="711"/>
      <c r="M13" s="715">
        <f t="shared" ref="M13:M24" si="6">I13+K13</f>
        <v>0</v>
      </c>
      <c r="N13" s="715">
        <f t="shared" si="3"/>
        <v>0</v>
      </c>
      <c r="O13" s="712">
        <v>7.0000000000000001E-3</v>
      </c>
      <c r="P13" s="716">
        <f t="shared" si="4"/>
        <v>0</v>
      </c>
      <c r="Q13" s="717">
        <f t="shared" si="5"/>
        <v>0</v>
      </c>
      <c r="R13" s="1016"/>
      <c r="S13" s="1016"/>
      <c r="T13" s="1016"/>
      <c r="U13" s="1016"/>
      <c r="V13" s="1020">
        <f t="shared" si="0"/>
        <v>0</v>
      </c>
      <c r="W13" s="1021">
        <f t="shared" si="1"/>
        <v>0</v>
      </c>
      <c r="X13" s="1021">
        <f t="shared" si="2"/>
        <v>0</v>
      </c>
      <c r="Y13" s="1325"/>
      <c r="Z13" s="1325"/>
      <c r="AA13" s="1324"/>
      <c r="AB13" s="1325"/>
      <c r="AC13" s="1339"/>
      <c r="AD13" s="1325"/>
      <c r="AE13" s="1331"/>
      <c r="AF13" s="763"/>
      <c r="AG13" s="763"/>
      <c r="AH13" s="763"/>
      <c r="AI13" s="763"/>
      <c r="AJ13" s="763"/>
      <c r="AK13" s="763"/>
      <c r="AL13" s="763"/>
      <c r="AM13" s="763"/>
      <c r="AN13" s="763"/>
      <c r="AO13" s="763"/>
      <c r="AP13" s="763"/>
      <c r="AQ13" s="763"/>
      <c r="AR13" s="763"/>
      <c r="AS13" s="763"/>
      <c r="AT13" s="763"/>
      <c r="AU13" s="763"/>
      <c r="AV13" s="763"/>
      <c r="AW13" s="763"/>
      <c r="AX13" s="763"/>
      <c r="AY13" s="763"/>
      <c r="AZ13" s="763"/>
      <c r="BA13" s="763"/>
      <c r="BB13" s="763"/>
      <c r="BC13" s="763"/>
      <c r="BD13" s="763"/>
      <c r="BE13" s="763"/>
      <c r="BF13" s="763"/>
      <c r="BG13" s="763"/>
      <c r="BH13" s="763"/>
      <c r="BI13" s="763"/>
      <c r="BJ13" s="763"/>
      <c r="BK13" s="763"/>
      <c r="BL13" s="763"/>
      <c r="BM13" s="763"/>
      <c r="BN13" s="763"/>
      <c r="BO13" s="763"/>
      <c r="BP13" s="763"/>
      <c r="BQ13" s="763"/>
      <c r="BR13" s="763"/>
      <c r="BS13" s="763"/>
      <c r="BT13" s="763"/>
      <c r="BU13" s="763"/>
      <c r="BV13" s="763"/>
      <c r="BW13" s="763"/>
      <c r="BX13" s="763"/>
      <c r="BY13" s="763"/>
      <c r="BZ13" s="763"/>
      <c r="CA13" s="763"/>
      <c r="CB13" s="763"/>
      <c r="CC13" s="763"/>
      <c r="CD13" s="763"/>
      <c r="CE13" s="763"/>
      <c r="CF13" s="763"/>
      <c r="CG13" s="763"/>
      <c r="CH13" s="763"/>
      <c r="CI13" s="763"/>
      <c r="CJ13" s="763"/>
      <c r="CK13" s="763"/>
      <c r="CL13" s="763"/>
      <c r="CM13" s="763"/>
      <c r="CN13" s="763"/>
      <c r="CO13" s="763"/>
      <c r="CP13" s="763"/>
      <c r="CQ13" s="763"/>
      <c r="CR13" s="763"/>
      <c r="CS13" s="763"/>
      <c r="CT13" s="763"/>
      <c r="CU13" s="763"/>
      <c r="CV13" s="763"/>
      <c r="CW13" s="763"/>
      <c r="CX13" s="763"/>
      <c r="CY13" s="763"/>
      <c r="CZ13" s="763"/>
      <c r="DA13" s="763"/>
      <c r="DB13" s="763"/>
      <c r="DC13" s="763"/>
      <c r="DD13" s="763"/>
      <c r="DE13" s="763"/>
      <c r="DF13" s="763"/>
      <c r="DG13" s="763"/>
      <c r="DH13" s="763"/>
      <c r="DI13" s="763"/>
      <c r="DJ13" s="763"/>
      <c r="DK13" s="763"/>
      <c r="DL13" s="763"/>
      <c r="DM13" s="763"/>
      <c r="DN13" s="763"/>
      <c r="DO13" s="763"/>
      <c r="DP13" s="763"/>
      <c r="DQ13" s="763"/>
      <c r="DR13" s="763"/>
      <c r="DS13" s="763"/>
      <c r="DT13" s="763"/>
      <c r="DU13" s="763"/>
      <c r="DV13" s="763"/>
      <c r="DW13" s="763"/>
      <c r="DX13" s="763"/>
      <c r="DY13" s="763"/>
      <c r="DZ13" s="763"/>
      <c r="EA13" s="763"/>
      <c r="EB13" s="763"/>
    </row>
    <row r="14" spans="1:132" s="899" customFormat="1" ht="14.1" customHeight="1" x14ac:dyDescent="0.2">
      <c r="A14" s="426"/>
      <c r="B14" s="1319">
        <v>2</v>
      </c>
      <c r="C14" s="691" t="s">
        <v>1173</v>
      </c>
      <c r="D14" s="1321" t="s">
        <v>1174</v>
      </c>
      <c r="E14" s="1322"/>
      <c r="F14" s="692"/>
      <c r="G14" s="693" t="s">
        <v>1175</v>
      </c>
      <c r="H14" s="693"/>
      <c r="I14" s="695"/>
      <c r="J14" s="695"/>
      <c r="K14" s="695"/>
      <c r="L14" s="696"/>
      <c r="M14" s="718">
        <f t="shared" si="6"/>
        <v>0</v>
      </c>
      <c r="N14" s="718">
        <f t="shared" si="3"/>
        <v>0</v>
      </c>
      <c r="O14" s="698">
        <v>1.2500000000000001E-2</v>
      </c>
      <c r="P14" s="719">
        <f t="shared" si="4"/>
        <v>0</v>
      </c>
      <c r="Q14" s="720">
        <f t="shared" si="5"/>
        <v>0</v>
      </c>
      <c r="R14" s="1016"/>
      <c r="S14" s="1016"/>
      <c r="T14" s="1016"/>
      <c r="U14" s="1016"/>
      <c r="V14" s="1022">
        <f t="shared" si="0"/>
        <v>0</v>
      </c>
      <c r="W14" s="1023">
        <f t="shared" si="1"/>
        <v>0</v>
      </c>
      <c r="X14" s="1023">
        <f t="shared" si="2"/>
        <v>0</v>
      </c>
      <c r="Y14" s="1327">
        <f>IF(SUM(W14:W16)&lt;SUM(X14:X16),SUM(W14:W16)*30%,SUM(X14:X16)*30%)</f>
        <v>0</v>
      </c>
      <c r="Z14" s="1327">
        <f>(SUM(W14:W16)-SUM(X14:X16))</f>
        <v>0</v>
      </c>
      <c r="AA14" s="1324"/>
      <c r="AB14" s="1327">
        <f>IF(AA10=0,Z14,IF(ABS(Z10)&lt;ABS(Z14),Z10+Z14,0))</f>
        <v>0</v>
      </c>
      <c r="AC14" s="1327">
        <f>(IF(AB14=0,0,IF(AB17=0,0,IF(AB14&gt;0,IF(AB17&lt;0,IF(AB14&lt;ABS(AB17),AB14*40%,ABS(AB17)*40%),0),IF(AB17&gt;0,IF(ABS(AB14)&lt;AB17,ABS(AB14)*40%,AB17*40%),0)))))</f>
        <v>0</v>
      </c>
      <c r="AD14" s="1327">
        <f>IF(AC14=0,AB14,IF(ABS(AB14)&lt;ABS(AB17),0,AB14+AB17))</f>
        <v>0</v>
      </c>
      <c r="AE14" s="1331"/>
      <c r="AF14" s="763"/>
      <c r="AG14" s="763"/>
      <c r="AH14" s="763"/>
      <c r="AI14" s="763"/>
      <c r="AJ14" s="763"/>
      <c r="AK14" s="763"/>
      <c r="AL14" s="763"/>
      <c r="AM14" s="763"/>
      <c r="AN14" s="763"/>
      <c r="AO14" s="763"/>
      <c r="AP14" s="763"/>
      <c r="AQ14" s="763"/>
      <c r="AR14" s="763"/>
      <c r="AS14" s="763"/>
      <c r="AT14" s="763"/>
      <c r="AU14" s="763"/>
      <c r="AV14" s="763"/>
      <c r="AW14" s="763"/>
      <c r="AX14" s="763"/>
      <c r="AY14" s="763"/>
      <c r="AZ14" s="763"/>
      <c r="BA14" s="763"/>
      <c r="BB14" s="763"/>
      <c r="BC14" s="763"/>
      <c r="BD14" s="763"/>
      <c r="BE14" s="763"/>
      <c r="BF14" s="763"/>
      <c r="BG14" s="763"/>
      <c r="BH14" s="763"/>
      <c r="BI14" s="763"/>
      <c r="BJ14" s="763"/>
      <c r="BK14" s="763"/>
      <c r="BL14" s="763"/>
      <c r="BM14" s="763"/>
      <c r="BN14" s="763"/>
      <c r="BO14" s="763"/>
      <c r="BP14" s="763"/>
      <c r="BQ14" s="763"/>
      <c r="BR14" s="763"/>
      <c r="BS14" s="763"/>
      <c r="BT14" s="763"/>
      <c r="BU14" s="763"/>
      <c r="BV14" s="763"/>
      <c r="BW14" s="763"/>
      <c r="BX14" s="763"/>
      <c r="BY14" s="763"/>
      <c r="BZ14" s="763"/>
      <c r="CA14" s="763"/>
      <c r="CB14" s="763"/>
      <c r="CC14" s="763"/>
      <c r="CD14" s="763"/>
      <c r="CE14" s="763"/>
      <c r="CF14" s="763"/>
      <c r="CG14" s="763"/>
      <c r="CH14" s="763"/>
      <c r="CI14" s="763"/>
      <c r="CJ14" s="763"/>
      <c r="CK14" s="763"/>
      <c r="CL14" s="763"/>
      <c r="CM14" s="763"/>
      <c r="CN14" s="763"/>
      <c r="CO14" s="763"/>
      <c r="CP14" s="763"/>
      <c r="CQ14" s="763"/>
      <c r="CR14" s="763"/>
      <c r="CS14" s="763"/>
      <c r="CT14" s="763"/>
      <c r="CU14" s="763"/>
      <c r="CV14" s="763"/>
      <c r="CW14" s="763"/>
      <c r="CX14" s="763"/>
      <c r="CY14" s="763"/>
      <c r="CZ14" s="763"/>
      <c r="DA14" s="763"/>
      <c r="DB14" s="763"/>
      <c r="DC14" s="763"/>
      <c r="DD14" s="763"/>
      <c r="DE14" s="763"/>
      <c r="DF14" s="763"/>
      <c r="DG14" s="763"/>
      <c r="DH14" s="763"/>
      <c r="DI14" s="763"/>
      <c r="DJ14" s="763"/>
      <c r="DK14" s="763"/>
      <c r="DL14" s="763"/>
      <c r="DM14" s="763"/>
      <c r="DN14" s="763"/>
      <c r="DO14" s="763"/>
      <c r="DP14" s="763"/>
      <c r="DQ14" s="763"/>
      <c r="DR14" s="763"/>
      <c r="DS14" s="763"/>
      <c r="DT14" s="763"/>
      <c r="DU14" s="763"/>
      <c r="DV14" s="763"/>
      <c r="DW14" s="763"/>
      <c r="DX14" s="763"/>
      <c r="DY14" s="763"/>
      <c r="DZ14" s="763"/>
      <c r="EA14" s="763"/>
      <c r="EB14" s="763"/>
    </row>
    <row r="15" spans="1:132" s="899" customFormat="1" ht="14.1" customHeight="1" x14ac:dyDescent="0.2">
      <c r="A15" s="426"/>
      <c r="B15" s="1320"/>
      <c r="C15" s="451" t="s">
        <v>1176</v>
      </c>
      <c r="D15" s="1333" t="s">
        <v>1177</v>
      </c>
      <c r="E15" s="1334"/>
      <c r="F15" s="701"/>
      <c r="G15" s="702" t="s">
        <v>1178</v>
      </c>
      <c r="H15" s="702"/>
      <c r="I15" s="704"/>
      <c r="J15" s="704"/>
      <c r="K15" s="704"/>
      <c r="L15" s="705"/>
      <c r="M15" s="706">
        <f t="shared" si="6"/>
        <v>0</v>
      </c>
      <c r="N15" s="706">
        <f t="shared" si="3"/>
        <v>0</v>
      </c>
      <c r="O15" s="707">
        <v>1.7500000000000002E-2</v>
      </c>
      <c r="P15" s="708">
        <f t="shared" si="4"/>
        <v>0</v>
      </c>
      <c r="Q15" s="709">
        <f t="shared" si="5"/>
        <v>0</v>
      </c>
      <c r="R15" s="1016"/>
      <c r="S15" s="1016"/>
      <c r="T15" s="1016"/>
      <c r="U15" s="1016"/>
      <c r="V15" s="1024">
        <f t="shared" si="0"/>
        <v>0</v>
      </c>
      <c r="W15" s="1025">
        <f t="shared" si="1"/>
        <v>0</v>
      </c>
      <c r="X15" s="1025">
        <f t="shared" si="2"/>
        <v>0</v>
      </c>
      <c r="Y15" s="1328"/>
      <c r="Z15" s="1328"/>
      <c r="AA15" s="1324"/>
      <c r="AB15" s="1328"/>
      <c r="AC15" s="1328"/>
      <c r="AD15" s="1328"/>
      <c r="AE15" s="1331"/>
      <c r="AF15" s="763"/>
      <c r="AG15" s="763"/>
      <c r="AH15" s="763"/>
      <c r="AI15" s="763"/>
      <c r="AJ15" s="763"/>
      <c r="AK15" s="763"/>
      <c r="AL15" s="763"/>
      <c r="AM15" s="763"/>
      <c r="AN15" s="763"/>
      <c r="AO15" s="763"/>
      <c r="AP15" s="763"/>
      <c r="AQ15" s="763"/>
      <c r="AR15" s="763"/>
      <c r="AS15" s="763"/>
      <c r="AT15" s="763"/>
      <c r="AU15" s="763"/>
      <c r="AV15" s="763"/>
      <c r="AW15" s="763"/>
      <c r="AX15" s="763"/>
      <c r="AY15" s="763"/>
      <c r="AZ15" s="763"/>
      <c r="BA15" s="763"/>
      <c r="BB15" s="763"/>
      <c r="BC15" s="763"/>
      <c r="BD15" s="763"/>
      <c r="BE15" s="763"/>
      <c r="BF15" s="763"/>
      <c r="BG15" s="763"/>
      <c r="BH15" s="763"/>
      <c r="BI15" s="763"/>
      <c r="BJ15" s="763"/>
      <c r="BK15" s="763"/>
      <c r="BL15" s="763"/>
      <c r="BM15" s="763"/>
      <c r="BN15" s="763"/>
      <c r="BO15" s="763"/>
      <c r="BP15" s="763"/>
      <c r="BQ15" s="763"/>
      <c r="BR15" s="763"/>
      <c r="BS15" s="763"/>
      <c r="BT15" s="763"/>
      <c r="BU15" s="763"/>
      <c r="BV15" s="763"/>
      <c r="BW15" s="763"/>
      <c r="BX15" s="763"/>
      <c r="BY15" s="763"/>
      <c r="BZ15" s="763"/>
      <c r="CA15" s="763"/>
      <c r="CB15" s="763"/>
      <c r="CC15" s="763"/>
      <c r="CD15" s="763"/>
      <c r="CE15" s="763"/>
      <c r="CF15" s="763"/>
      <c r="CG15" s="763"/>
      <c r="CH15" s="763"/>
      <c r="CI15" s="763"/>
      <c r="CJ15" s="763"/>
      <c r="CK15" s="763"/>
      <c r="CL15" s="763"/>
      <c r="CM15" s="763"/>
      <c r="CN15" s="763"/>
      <c r="CO15" s="763"/>
      <c r="CP15" s="763"/>
      <c r="CQ15" s="763"/>
      <c r="CR15" s="763"/>
      <c r="CS15" s="763"/>
      <c r="CT15" s="763"/>
      <c r="CU15" s="763"/>
      <c r="CV15" s="763"/>
      <c r="CW15" s="763"/>
      <c r="CX15" s="763"/>
      <c r="CY15" s="763"/>
      <c r="CZ15" s="763"/>
      <c r="DA15" s="763"/>
      <c r="DB15" s="763"/>
      <c r="DC15" s="763"/>
      <c r="DD15" s="763"/>
      <c r="DE15" s="763"/>
      <c r="DF15" s="763"/>
      <c r="DG15" s="763"/>
      <c r="DH15" s="763"/>
      <c r="DI15" s="763"/>
      <c r="DJ15" s="763"/>
      <c r="DK15" s="763"/>
      <c r="DL15" s="763"/>
      <c r="DM15" s="763"/>
      <c r="DN15" s="763"/>
      <c r="DO15" s="763"/>
      <c r="DP15" s="763"/>
      <c r="DQ15" s="763"/>
      <c r="DR15" s="763"/>
      <c r="DS15" s="763"/>
      <c r="DT15" s="763"/>
      <c r="DU15" s="763"/>
      <c r="DV15" s="763"/>
      <c r="DW15" s="763"/>
      <c r="DX15" s="763"/>
      <c r="DY15" s="763"/>
      <c r="DZ15" s="763"/>
      <c r="EA15" s="763"/>
      <c r="EB15" s="763"/>
    </row>
    <row r="16" spans="1:132" s="899" customFormat="1" ht="14.1" customHeight="1" thickBot="1" x14ac:dyDescent="0.25">
      <c r="A16" s="426"/>
      <c r="B16" s="1326"/>
      <c r="C16" s="721" t="s">
        <v>1179</v>
      </c>
      <c r="D16" s="1372" t="s">
        <v>1180</v>
      </c>
      <c r="E16" s="1373"/>
      <c r="F16" s="768"/>
      <c r="G16" s="714" t="s">
        <v>1181</v>
      </c>
      <c r="H16" s="714"/>
      <c r="I16" s="722"/>
      <c r="J16" s="722"/>
      <c r="K16" s="722"/>
      <c r="L16" s="723"/>
      <c r="M16" s="715">
        <f t="shared" si="6"/>
        <v>0</v>
      </c>
      <c r="N16" s="715">
        <f t="shared" si="3"/>
        <v>0</v>
      </c>
      <c r="O16" s="724">
        <v>2.2499999999999999E-2</v>
      </c>
      <c r="P16" s="716">
        <f t="shared" si="4"/>
        <v>0</v>
      </c>
      <c r="Q16" s="717">
        <f t="shared" si="5"/>
        <v>0</v>
      </c>
      <c r="R16" s="1016"/>
      <c r="S16" s="1016"/>
      <c r="T16" s="1016"/>
      <c r="U16" s="1016"/>
      <c r="V16" s="1026">
        <f t="shared" si="0"/>
        <v>0</v>
      </c>
      <c r="W16" s="1027">
        <f t="shared" si="1"/>
        <v>0</v>
      </c>
      <c r="X16" s="1027">
        <f t="shared" si="2"/>
        <v>0</v>
      </c>
      <c r="Y16" s="1329"/>
      <c r="Z16" s="1329"/>
      <c r="AA16" s="1325"/>
      <c r="AB16" s="1329"/>
      <c r="AC16" s="1328"/>
      <c r="AD16" s="1329"/>
      <c r="AE16" s="1331"/>
      <c r="AF16" s="763"/>
      <c r="AG16" s="763"/>
      <c r="AH16" s="763"/>
      <c r="AI16" s="763"/>
      <c r="AJ16" s="763"/>
      <c r="AK16" s="763"/>
      <c r="AL16" s="763"/>
      <c r="AM16" s="763"/>
      <c r="AN16" s="763"/>
      <c r="AO16" s="763"/>
      <c r="AP16" s="763"/>
      <c r="AQ16" s="763"/>
      <c r="AR16" s="763"/>
      <c r="AS16" s="763"/>
      <c r="AT16" s="763"/>
      <c r="AU16" s="763"/>
      <c r="AV16" s="763"/>
      <c r="AW16" s="763"/>
      <c r="AX16" s="763"/>
      <c r="AY16" s="763"/>
      <c r="AZ16" s="763"/>
      <c r="BA16" s="763"/>
      <c r="BB16" s="763"/>
      <c r="BC16" s="763"/>
      <c r="BD16" s="763"/>
      <c r="BE16" s="763"/>
      <c r="BF16" s="763"/>
      <c r="BG16" s="763"/>
      <c r="BH16" s="763"/>
      <c r="BI16" s="763"/>
      <c r="BJ16" s="763"/>
      <c r="BK16" s="763"/>
      <c r="BL16" s="763"/>
      <c r="BM16" s="763"/>
      <c r="BN16" s="763"/>
      <c r="BO16" s="763"/>
      <c r="BP16" s="763"/>
      <c r="BQ16" s="763"/>
      <c r="BR16" s="763"/>
      <c r="BS16" s="763"/>
      <c r="BT16" s="763"/>
      <c r="BU16" s="763"/>
      <c r="BV16" s="763"/>
      <c r="BW16" s="763"/>
      <c r="BX16" s="763"/>
      <c r="BY16" s="763"/>
      <c r="BZ16" s="763"/>
      <c r="CA16" s="763"/>
      <c r="CB16" s="763"/>
      <c r="CC16" s="763"/>
      <c r="CD16" s="763"/>
      <c r="CE16" s="763"/>
      <c r="CF16" s="763"/>
      <c r="CG16" s="763"/>
      <c r="CH16" s="763"/>
      <c r="CI16" s="763"/>
      <c r="CJ16" s="763"/>
      <c r="CK16" s="763"/>
      <c r="CL16" s="763"/>
      <c r="CM16" s="763"/>
      <c r="CN16" s="763"/>
      <c r="CO16" s="763"/>
      <c r="CP16" s="763"/>
      <c r="CQ16" s="763"/>
      <c r="CR16" s="763"/>
      <c r="CS16" s="763"/>
      <c r="CT16" s="763"/>
      <c r="CU16" s="763"/>
      <c r="CV16" s="763"/>
      <c r="CW16" s="763"/>
      <c r="CX16" s="763"/>
      <c r="CY16" s="763"/>
      <c r="CZ16" s="763"/>
      <c r="DA16" s="763"/>
      <c r="DB16" s="763"/>
      <c r="DC16" s="763"/>
      <c r="DD16" s="763"/>
      <c r="DE16" s="763"/>
      <c r="DF16" s="763"/>
      <c r="DG16" s="763"/>
      <c r="DH16" s="763"/>
      <c r="DI16" s="763"/>
      <c r="DJ16" s="763"/>
      <c r="DK16" s="763"/>
      <c r="DL16" s="763"/>
      <c r="DM16" s="763"/>
      <c r="DN16" s="763"/>
      <c r="DO16" s="763"/>
      <c r="DP16" s="763"/>
      <c r="DQ16" s="763"/>
      <c r="DR16" s="763"/>
      <c r="DS16" s="763"/>
      <c r="DT16" s="763"/>
      <c r="DU16" s="763"/>
      <c r="DV16" s="763"/>
      <c r="DW16" s="763"/>
      <c r="DX16" s="763"/>
      <c r="DY16" s="763"/>
      <c r="DZ16" s="763"/>
      <c r="EA16" s="763"/>
      <c r="EB16" s="763"/>
    </row>
    <row r="17" spans="1:134" s="899" customFormat="1" ht="14.1" customHeight="1" x14ac:dyDescent="0.2">
      <c r="A17" s="426"/>
      <c r="B17" s="1319">
        <v>3</v>
      </c>
      <c r="C17" s="725" t="s">
        <v>1182</v>
      </c>
      <c r="D17" s="1321" t="s">
        <v>1183</v>
      </c>
      <c r="E17" s="1322"/>
      <c r="F17" s="692"/>
      <c r="G17" s="693" t="s">
        <v>1184</v>
      </c>
      <c r="H17" s="693"/>
      <c r="I17" s="694"/>
      <c r="J17" s="694"/>
      <c r="K17" s="694"/>
      <c r="L17" s="726"/>
      <c r="M17" s="718">
        <f t="shared" si="6"/>
        <v>0</v>
      </c>
      <c r="N17" s="718">
        <f t="shared" si="3"/>
        <v>0</v>
      </c>
      <c r="O17" s="727">
        <v>2.75E-2</v>
      </c>
      <c r="P17" s="719">
        <f t="shared" si="4"/>
        <v>0</v>
      </c>
      <c r="Q17" s="720">
        <f t="shared" si="5"/>
        <v>0</v>
      </c>
      <c r="R17" s="1016"/>
      <c r="S17" s="1016"/>
      <c r="T17" s="1016"/>
      <c r="U17" s="1016"/>
      <c r="V17" s="1028">
        <f t="shared" si="0"/>
        <v>0</v>
      </c>
      <c r="W17" s="1029">
        <f t="shared" si="1"/>
        <v>0</v>
      </c>
      <c r="X17" s="1029">
        <f t="shared" si="2"/>
        <v>0</v>
      </c>
      <c r="Y17" s="1330">
        <f>IF(SUM(W17:W24)&lt;SUM(X17:X24),SUM(W17:W24)*30%,SUM(X17:X24)*30%)</f>
        <v>0</v>
      </c>
      <c r="Z17" s="1330">
        <f>SUM(W17:W24)-SUM(X17:X24)</f>
        <v>0</v>
      </c>
      <c r="AA17" s="1337"/>
      <c r="AB17" s="1330">
        <f>Z17</f>
        <v>0</v>
      </c>
      <c r="AC17" s="1328"/>
      <c r="AD17" s="1330">
        <f>IF(AC14=0,AB17,IF(ABS(AB14)&lt;ABS(AB17),AB14+AB17,0))</f>
        <v>0</v>
      </c>
      <c r="AE17" s="1331"/>
      <c r="AF17" s="763"/>
      <c r="AG17" s="763"/>
      <c r="AH17" s="763"/>
      <c r="AI17" s="763"/>
      <c r="AJ17" s="763"/>
      <c r="AK17" s="763"/>
      <c r="AL17" s="763"/>
      <c r="AM17" s="763"/>
      <c r="AN17" s="763"/>
      <c r="AO17" s="763"/>
      <c r="AP17" s="763"/>
      <c r="AQ17" s="763"/>
      <c r="AR17" s="763"/>
      <c r="AS17" s="763"/>
      <c r="AT17" s="763"/>
      <c r="AU17" s="763"/>
      <c r="AV17" s="763"/>
      <c r="AW17" s="763"/>
      <c r="AX17" s="763"/>
      <c r="AY17" s="763"/>
      <c r="AZ17" s="763"/>
      <c r="BA17" s="763"/>
      <c r="BB17" s="763"/>
      <c r="BC17" s="763"/>
      <c r="BD17" s="763"/>
      <c r="BE17" s="763"/>
      <c r="BF17" s="763"/>
      <c r="BG17" s="763"/>
      <c r="BH17" s="763"/>
      <c r="BI17" s="763"/>
      <c r="BJ17" s="763"/>
      <c r="BK17" s="763"/>
      <c r="BL17" s="763"/>
      <c r="BM17" s="763"/>
      <c r="BN17" s="763"/>
      <c r="BO17" s="763"/>
      <c r="BP17" s="763"/>
      <c r="BQ17" s="763"/>
      <c r="BR17" s="763"/>
      <c r="BS17" s="763"/>
      <c r="BT17" s="763"/>
      <c r="BU17" s="763"/>
      <c r="BV17" s="763"/>
      <c r="BW17" s="763"/>
      <c r="BX17" s="763"/>
      <c r="BY17" s="763"/>
      <c r="BZ17" s="763"/>
      <c r="CA17" s="763"/>
      <c r="CB17" s="763"/>
      <c r="CC17" s="763"/>
      <c r="CD17" s="763"/>
      <c r="CE17" s="763"/>
      <c r="CF17" s="763"/>
      <c r="CG17" s="763"/>
      <c r="CH17" s="763"/>
      <c r="CI17" s="763"/>
      <c r="CJ17" s="763"/>
      <c r="CK17" s="763"/>
      <c r="CL17" s="763"/>
      <c r="CM17" s="763"/>
      <c r="CN17" s="763"/>
      <c r="CO17" s="763"/>
      <c r="CP17" s="763"/>
      <c r="CQ17" s="763"/>
      <c r="CR17" s="763"/>
      <c r="CS17" s="763"/>
      <c r="CT17" s="763"/>
      <c r="CU17" s="763"/>
      <c r="CV17" s="763"/>
      <c r="CW17" s="763"/>
      <c r="CX17" s="763"/>
      <c r="CY17" s="763"/>
      <c r="CZ17" s="763"/>
      <c r="DA17" s="763"/>
      <c r="DB17" s="763"/>
      <c r="DC17" s="763"/>
      <c r="DD17" s="763"/>
      <c r="DE17" s="763"/>
      <c r="DF17" s="763"/>
      <c r="DG17" s="763"/>
      <c r="DH17" s="763"/>
      <c r="DI17" s="763"/>
      <c r="DJ17" s="763"/>
      <c r="DK17" s="763"/>
      <c r="DL17" s="763"/>
      <c r="DM17" s="763"/>
      <c r="DN17" s="763"/>
      <c r="DO17" s="763"/>
      <c r="DP17" s="763"/>
      <c r="DQ17" s="763"/>
      <c r="DR17" s="763"/>
      <c r="DS17" s="763"/>
      <c r="DT17" s="763"/>
      <c r="DU17" s="763"/>
      <c r="DV17" s="763"/>
      <c r="DW17" s="763"/>
      <c r="DX17" s="763"/>
      <c r="DY17" s="763"/>
      <c r="DZ17" s="763"/>
      <c r="EA17" s="763"/>
      <c r="EB17" s="763"/>
    </row>
    <row r="18" spans="1:134" s="899" customFormat="1" ht="14.1" customHeight="1" x14ac:dyDescent="0.2">
      <c r="A18" s="426"/>
      <c r="B18" s="1320"/>
      <c r="C18" s="451" t="s">
        <v>1185</v>
      </c>
      <c r="D18" s="1333" t="s">
        <v>1186</v>
      </c>
      <c r="E18" s="1334"/>
      <c r="F18" s="701"/>
      <c r="G18" s="702" t="s">
        <v>1187</v>
      </c>
      <c r="H18" s="702"/>
      <c r="I18" s="704"/>
      <c r="J18" s="704"/>
      <c r="K18" s="704"/>
      <c r="L18" s="705"/>
      <c r="M18" s="706">
        <f t="shared" si="6"/>
        <v>0</v>
      </c>
      <c r="N18" s="706">
        <f t="shared" si="3"/>
        <v>0</v>
      </c>
      <c r="O18" s="707">
        <v>3.2500000000000001E-2</v>
      </c>
      <c r="P18" s="708">
        <f t="shared" si="4"/>
        <v>0</v>
      </c>
      <c r="Q18" s="709">
        <f t="shared" si="5"/>
        <v>0</v>
      </c>
      <c r="R18" s="1016"/>
      <c r="S18" s="1016"/>
      <c r="T18" s="1016"/>
      <c r="U18" s="1016"/>
      <c r="V18" s="1030">
        <f t="shared" si="0"/>
        <v>0</v>
      </c>
      <c r="W18" s="1031">
        <f t="shared" si="1"/>
        <v>0</v>
      </c>
      <c r="X18" s="1031">
        <f t="shared" si="2"/>
        <v>0</v>
      </c>
      <c r="Y18" s="1331"/>
      <c r="Z18" s="1331"/>
      <c r="AA18" s="1338"/>
      <c r="AB18" s="1331"/>
      <c r="AC18" s="1328"/>
      <c r="AD18" s="1331"/>
      <c r="AE18" s="1331"/>
      <c r="AF18" s="763"/>
      <c r="AG18" s="763"/>
      <c r="AH18" s="763"/>
      <c r="AI18" s="763"/>
      <c r="AJ18" s="763"/>
      <c r="AK18" s="763"/>
      <c r="AL18" s="763"/>
      <c r="AM18" s="763"/>
      <c r="AN18" s="763"/>
      <c r="AO18" s="763"/>
      <c r="AP18" s="763"/>
      <c r="AQ18" s="763"/>
      <c r="AR18" s="763"/>
      <c r="AS18" s="763"/>
      <c r="AT18" s="763"/>
      <c r="AU18" s="763"/>
      <c r="AV18" s="763"/>
      <c r="AW18" s="763"/>
      <c r="AX18" s="763"/>
      <c r="AY18" s="763"/>
      <c r="AZ18" s="763"/>
      <c r="BA18" s="763"/>
      <c r="BB18" s="763"/>
      <c r="BC18" s="763"/>
      <c r="BD18" s="763"/>
      <c r="BE18" s="763"/>
      <c r="BF18" s="763"/>
      <c r="BG18" s="763"/>
      <c r="BH18" s="763"/>
      <c r="BI18" s="763"/>
      <c r="BJ18" s="763"/>
      <c r="BK18" s="763"/>
      <c r="BL18" s="763"/>
      <c r="BM18" s="763"/>
      <c r="BN18" s="763"/>
      <c r="BO18" s="763"/>
      <c r="BP18" s="763"/>
      <c r="BQ18" s="763"/>
      <c r="BR18" s="763"/>
      <c r="BS18" s="763"/>
      <c r="BT18" s="763"/>
      <c r="BU18" s="763"/>
      <c r="BV18" s="763"/>
      <c r="BW18" s="763"/>
      <c r="BX18" s="763"/>
      <c r="BY18" s="763"/>
      <c r="BZ18" s="763"/>
      <c r="CA18" s="763"/>
      <c r="CB18" s="763"/>
      <c r="CC18" s="763"/>
      <c r="CD18" s="763"/>
      <c r="CE18" s="763"/>
      <c r="CF18" s="763"/>
      <c r="CG18" s="763"/>
      <c r="CH18" s="763"/>
      <c r="CI18" s="763"/>
      <c r="CJ18" s="763"/>
      <c r="CK18" s="763"/>
      <c r="CL18" s="763"/>
      <c r="CM18" s="763"/>
      <c r="CN18" s="763"/>
      <c r="CO18" s="763"/>
      <c r="CP18" s="763"/>
      <c r="CQ18" s="763"/>
      <c r="CR18" s="763"/>
      <c r="CS18" s="763"/>
      <c r="CT18" s="763"/>
      <c r="CU18" s="763"/>
      <c r="CV18" s="763"/>
      <c r="CW18" s="763"/>
      <c r="CX18" s="763"/>
      <c r="CY18" s="763"/>
      <c r="CZ18" s="763"/>
      <c r="DA18" s="763"/>
      <c r="DB18" s="763"/>
      <c r="DC18" s="763"/>
      <c r="DD18" s="763"/>
      <c r="DE18" s="763"/>
      <c r="DF18" s="763"/>
      <c r="DG18" s="763"/>
      <c r="DH18" s="763"/>
      <c r="DI18" s="763"/>
      <c r="DJ18" s="763"/>
      <c r="DK18" s="763"/>
      <c r="DL18" s="763"/>
      <c r="DM18" s="763"/>
      <c r="DN18" s="763"/>
      <c r="DO18" s="763"/>
      <c r="DP18" s="763"/>
      <c r="DQ18" s="763"/>
      <c r="DR18" s="763"/>
      <c r="DS18" s="763"/>
      <c r="DT18" s="763"/>
      <c r="DU18" s="763"/>
      <c r="DV18" s="763"/>
      <c r="DW18" s="763"/>
      <c r="DX18" s="763"/>
      <c r="DY18" s="763"/>
      <c r="DZ18" s="763"/>
      <c r="EA18" s="763"/>
      <c r="EB18" s="763"/>
    </row>
    <row r="19" spans="1:134" s="899" customFormat="1" ht="14.1" customHeight="1" x14ac:dyDescent="0.2">
      <c r="A19" s="426"/>
      <c r="B19" s="1320"/>
      <c r="C19" s="451" t="s">
        <v>1188</v>
      </c>
      <c r="D19" s="1333" t="s">
        <v>1189</v>
      </c>
      <c r="E19" s="1334"/>
      <c r="F19" s="701"/>
      <c r="G19" s="702" t="s">
        <v>1190</v>
      </c>
      <c r="H19" s="702"/>
      <c r="I19" s="704"/>
      <c r="J19" s="704"/>
      <c r="K19" s="704"/>
      <c r="L19" s="705"/>
      <c r="M19" s="706">
        <f t="shared" si="6"/>
        <v>0</v>
      </c>
      <c r="N19" s="706">
        <f t="shared" si="3"/>
        <v>0</v>
      </c>
      <c r="O19" s="707">
        <v>3.7499999999999999E-2</v>
      </c>
      <c r="P19" s="708">
        <f t="shared" si="4"/>
        <v>0</v>
      </c>
      <c r="Q19" s="709">
        <f t="shared" si="5"/>
        <v>0</v>
      </c>
      <c r="R19" s="1016"/>
      <c r="S19" s="1016"/>
      <c r="T19" s="1016"/>
      <c r="U19" s="1016"/>
      <c r="V19" s="1030">
        <f t="shared" si="0"/>
        <v>0</v>
      </c>
      <c r="W19" s="1031">
        <f t="shared" si="1"/>
        <v>0</v>
      </c>
      <c r="X19" s="1031">
        <f t="shared" si="2"/>
        <v>0</v>
      </c>
      <c r="Y19" s="1331"/>
      <c r="Z19" s="1331"/>
      <c r="AA19" s="1338"/>
      <c r="AB19" s="1331"/>
      <c r="AC19" s="1328"/>
      <c r="AD19" s="1331"/>
      <c r="AE19" s="1331"/>
      <c r="AF19" s="763"/>
      <c r="AG19" s="763"/>
      <c r="AH19" s="763"/>
      <c r="AI19" s="763"/>
      <c r="AJ19" s="763"/>
      <c r="AK19" s="763"/>
      <c r="AL19" s="763"/>
      <c r="AM19" s="763"/>
      <c r="AN19" s="763"/>
      <c r="AO19" s="763"/>
      <c r="AP19" s="763"/>
      <c r="AQ19" s="763"/>
      <c r="AR19" s="763"/>
      <c r="AS19" s="763"/>
      <c r="AT19" s="763"/>
      <c r="AU19" s="763"/>
      <c r="AV19" s="763"/>
      <c r="AW19" s="763"/>
      <c r="AX19" s="763"/>
      <c r="AY19" s="763"/>
      <c r="AZ19" s="763"/>
      <c r="BA19" s="763"/>
      <c r="BB19" s="763"/>
      <c r="BC19" s="763"/>
      <c r="BD19" s="763"/>
      <c r="BE19" s="763"/>
      <c r="BF19" s="763"/>
      <c r="BG19" s="763"/>
      <c r="BH19" s="763"/>
      <c r="BI19" s="763"/>
      <c r="BJ19" s="763"/>
      <c r="BK19" s="763"/>
      <c r="BL19" s="763"/>
      <c r="BM19" s="763"/>
      <c r="BN19" s="763"/>
      <c r="BO19" s="763"/>
      <c r="BP19" s="763"/>
      <c r="BQ19" s="763"/>
      <c r="BR19" s="763"/>
      <c r="BS19" s="763"/>
      <c r="BT19" s="763"/>
      <c r="BU19" s="763"/>
      <c r="BV19" s="763"/>
      <c r="BW19" s="763"/>
      <c r="BX19" s="763"/>
      <c r="BY19" s="763"/>
      <c r="BZ19" s="763"/>
      <c r="CA19" s="763"/>
      <c r="CB19" s="763"/>
      <c r="CC19" s="763"/>
      <c r="CD19" s="763"/>
      <c r="CE19" s="763"/>
      <c r="CF19" s="763"/>
      <c r="CG19" s="763"/>
      <c r="CH19" s="763"/>
      <c r="CI19" s="763"/>
      <c r="CJ19" s="763"/>
      <c r="CK19" s="763"/>
      <c r="CL19" s="763"/>
      <c r="CM19" s="763"/>
      <c r="CN19" s="763"/>
      <c r="CO19" s="763"/>
      <c r="CP19" s="763"/>
      <c r="CQ19" s="763"/>
      <c r="CR19" s="763"/>
      <c r="CS19" s="763"/>
      <c r="CT19" s="763"/>
      <c r="CU19" s="763"/>
      <c r="CV19" s="763"/>
      <c r="CW19" s="763"/>
      <c r="CX19" s="763"/>
      <c r="CY19" s="763"/>
      <c r="CZ19" s="763"/>
      <c r="DA19" s="763"/>
      <c r="DB19" s="763"/>
      <c r="DC19" s="763"/>
      <c r="DD19" s="763"/>
      <c r="DE19" s="763"/>
      <c r="DF19" s="763"/>
      <c r="DG19" s="763"/>
      <c r="DH19" s="763"/>
      <c r="DI19" s="763"/>
      <c r="DJ19" s="763"/>
      <c r="DK19" s="763"/>
      <c r="DL19" s="763"/>
      <c r="DM19" s="763"/>
      <c r="DN19" s="763"/>
      <c r="DO19" s="763"/>
      <c r="DP19" s="763"/>
      <c r="DQ19" s="763"/>
      <c r="DR19" s="763"/>
      <c r="DS19" s="763"/>
      <c r="DT19" s="763"/>
      <c r="DU19" s="763"/>
      <c r="DV19" s="763"/>
      <c r="DW19" s="763"/>
      <c r="DX19" s="763"/>
      <c r="DY19" s="763"/>
      <c r="DZ19" s="763"/>
      <c r="EA19" s="763"/>
      <c r="EB19" s="763"/>
    </row>
    <row r="20" spans="1:134" s="899" customFormat="1" ht="14.1" customHeight="1" x14ac:dyDescent="0.2">
      <c r="A20" s="426"/>
      <c r="B20" s="1320"/>
      <c r="C20" s="451" t="s">
        <v>1191</v>
      </c>
      <c r="D20" s="1333" t="s">
        <v>1192</v>
      </c>
      <c r="E20" s="1334"/>
      <c r="F20" s="701"/>
      <c r="G20" s="702" t="s">
        <v>1193</v>
      </c>
      <c r="H20" s="702"/>
      <c r="I20" s="704"/>
      <c r="J20" s="704"/>
      <c r="K20" s="704"/>
      <c r="L20" s="705"/>
      <c r="M20" s="706">
        <f t="shared" si="6"/>
        <v>0</v>
      </c>
      <c r="N20" s="706">
        <f t="shared" si="3"/>
        <v>0</v>
      </c>
      <c r="O20" s="707">
        <v>4.4999999999999998E-2</v>
      </c>
      <c r="P20" s="708">
        <f t="shared" si="4"/>
        <v>0</v>
      </c>
      <c r="Q20" s="709">
        <f t="shared" si="5"/>
        <v>0</v>
      </c>
      <c r="R20" s="1016"/>
      <c r="S20" s="1016"/>
      <c r="T20" s="1016"/>
      <c r="U20" s="1016"/>
      <c r="V20" s="1030">
        <f t="shared" si="0"/>
        <v>0</v>
      </c>
      <c r="W20" s="1031">
        <f t="shared" si="1"/>
        <v>0</v>
      </c>
      <c r="X20" s="1031">
        <f t="shared" si="2"/>
        <v>0</v>
      </c>
      <c r="Y20" s="1331"/>
      <c r="Z20" s="1331"/>
      <c r="AA20" s="1338"/>
      <c r="AB20" s="1331"/>
      <c r="AC20" s="1328"/>
      <c r="AD20" s="1331"/>
      <c r="AE20" s="1331"/>
      <c r="AF20" s="763"/>
      <c r="AG20" s="763"/>
      <c r="AH20" s="763"/>
      <c r="AI20" s="763"/>
      <c r="AJ20" s="763"/>
      <c r="AK20" s="763"/>
      <c r="AL20" s="763"/>
      <c r="AM20" s="763"/>
      <c r="AN20" s="763"/>
      <c r="AO20" s="763"/>
      <c r="AP20" s="763"/>
      <c r="AQ20" s="763"/>
      <c r="AR20" s="763"/>
      <c r="AS20" s="763"/>
      <c r="AT20" s="763"/>
      <c r="AU20" s="763"/>
      <c r="AV20" s="763"/>
      <c r="AW20" s="763"/>
      <c r="AX20" s="763"/>
      <c r="AY20" s="763"/>
      <c r="AZ20" s="763"/>
      <c r="BA20" s="763"/>
      <c r="BB20" s="763"/>
      <c r="BC20" s="763"/>
      <c r="BD20" s="763"/>
      <c r="BE20" s="763"/>
      <c r="BF20" s="763"/>
      <c r="BG20" s="763"/>
      <c r="BH20" s="763"/>
      <c r="BI20" s="763"/>
      <c r="BJ20" s="763"/>
      <c r="BK20" s="763"/>
      <c r="BL20" s="763"/>
      <c r="BM20" s="763"/>
      <c r="BN20" s="763"/>
      <c r="BO20" s="763"/>
      <c r="BP20" s="763"/>
      <c r="BQ20" s="763"/>
      <c r="BR20" s="763"/>
      <c r="BS20" s="763"/>
      <c r="BT20" s="763"/>
      <c r="BU20" s="763"/>
      <c r="BV20" s="763"/>
      <c r="BW20" s="763"/>
      <c r="BX20" s="763"/>
      <c r="BY20" s="763"/>
      <c r="BZ20" s="763"/>
      <c r="CA20" s="763"/>
      <c r="CB20" s="763"/>
      <c r="CC20" s="763"/>
      <c r="CD20" s="763"/>
      <c r="CE20" s="763"/>
      <c r="CF20" s="763"/>
      <c r="CG20" s="763"/>
      <c r="CH20" s="763"/>
      <c r="CI20" s="763"/>
      <c r="CJ20" s="763"/>
      <c r="CK20" s="763"/>
      <c r="CL20" s="763"/>
      <c r="CM20" s="763"/>
      <c r="CN20" s="763"/>
      <c r="CO20" s="763"/>
      <c r="CP20" s="763"/>
      <c r="CQ20" s="763"/>
      <c r="CR20" s="763"/>
      <c r="CS20" s="763"/>
      <c r="CT20" s="763"/>
      <c r="CU20" s="763"/>
      <c r="CV20" s="763"/>
      <c r="CW20" s="763"/>
      <c r="CX20" s="763"/>
      <c r="CY20" s="763"/>
      <c r="CZ20" s="763"/>
      <c r="DA20" s="763"/>
      <c r="DB20" s="763"/>
      <c r="DC20" s="763"/>
      <c r="DD20" s="763"/>
      <c r="DE20" s="763"/>
      <c r="DF20" s="763"/>
      <c r="DG20" s="763"/>
      <c r="DH20" s="763"/>
      <c r="DI20" s="763"/>
      <c r="DJ20" s="763"/>
      <c r="DK20" s="763"/>
      <c r="DL20" s="763"/>
      <c r="DM20" s="763"/>
      <c r="DN20" s="763"/>
      <c r="DO20" s="763"/>
      <c r="DP20" s="763"/>
      <c r="DQ20" s="763"/>
      <c r="DR20" s="763"/>
      <c r="DS20" s="763"/>
      <c r="DT20" s="763"/>
      <c r="DU20" s="763"/>
      <c r="DV20" s="763"/>
      <c r="DW20" s="763"/>
      <c r="DX20" s="763"/>
      <c r="DY20" s="763"/>
      <c r="DZ20" s="763"/>
      <c r="EA20" s="763"/>
      <c r="EB20" s="763"/>
    </row>
    <row r="21" spans="1:134" s="899" customFormat="1" ht="14.1" customHeight="1" x14ac:dyDescent="0.2">
      <c r="A21" s="426"/>
      <c r="B21" s="1320"/>
      <c r="C21" s="451" t="s">
        <v>1194</v>
      </c>
      <c r="D21" s="1333" t="s">
        <v>1195</v>
      </c>
      <c r="E21" s="1334"/>
      <c r="F21" s="701"/>
      <c r="G21" s="702" t="s">
        <v>1196</v>
      </c>
      <c r="H21" s="702"/>
      <c r="I21" s="704"/>
      <c r="J21" s="704"/>
      <c r="K21" s="704"/>
      <c r="L21" s="705"/>
      <c r="M21" s="706">
        <f t="shared" si="6"/>
        <v>0</v>
      </c>
      <c r="N21" s="706">
        <f t="shared" si="3"/>
        <v>0</v>
      </c>
      <c r="O21" s="707">
        <v>5.2499999999999998E-2</v>
      </c>
      <c r="P21" s="708">
        <f t="shared" si="4"/>
        <v>0</v>
      </c>
      <c r="Q21" s="709">
        <f t="shared" si="5"/>
        <v>0</v>
      </c>
      <c r="R21" s="1016"/>
      <c r="S21" s="1016"/>
      <c r="T21" s="1016"/>
      <c r="U21" s="1016"/>
      <c r="V21" s="1030">
        <f t="shared" si="0"/>
        <v>0</v>
      </c>
      <c r="W21" s="1031">
        <f t="shared" si="1"/>
        <v>0</v>
      </c>
      <c r="X21" s="1031">
        <f t="shared" si="2"/>
        <v>0</v>
      </c>
      <c r="Y21" s="1331"/>
      <c r="Z21" s="1331"/>
      <c r="AA21" s="1338"/>
      <c r="AB21" s="1331"/>
      <c r="AC21" s="1328"/>
      <c r="AD21" s="1331"/>
      <c r="AE21" s="1331"/>
      <c r="AF21" s="763"/>
      <c r="AG21" s="763"/>
      <c r="AH21" s="763"/>
      <c r="AI21" s="763"/>
      <c r="AJ21" s="763"/>
      <c r="AK21" s="763"/>
      <c r="AL21" s="763"/>
      <c r="AM21" s="763"/>
      <c r="AN21" s="763"/>
      <c r="AO21" s="763"/>
      <c r="AP21" s="763"/>
      <c r="AQ21" s="763"/>
      <c r="AR21" s="763"/>
      <c r="AS21" s="763"/>
      <c r="AT21" s="763"/>
      <c r="AU21" s="763"/>
      <c r="AV21" s="763"/>
      <c r="AW21" s="763"/>
      <c r="AX21" s="763"/>
      <c r="AY21" s="763"/>
      <c r="AZ21" s="763"/>
      <c r="BA21" s="763"/>
      <c r="BB21" s="763"/>
      <c r="BC21" s="763"/>
      <c r="BD21" s="763"/>
      <c r="BE21" s="763"/>
      <c r="BF21" s="763"/>
      <c r="BG21" s="763"/>
      <c r="BH21" s="763"/>
      <c r="BI21" s="763"/>
      <c r="BJ21" s="763"/>
      <c r="BK21" s="763"/>
      <c r="BL21" s="763"/>
      <c r="BM21" s="763"/>
      <c r="BN21" s="763"/>
      <c r="BO21" s="763"/>
      <c r="BP21" s="763"/>
      <c r="BQ21" s="763"/>
      <c r="BR21" s="763"/>
      <c r="BS21" s="763"/>
      <c r="BT21" s="763"/>
      <c r="BU21" s="763"/>
      <c r="BV21" s="763"/>
      <c r="BW21" s="763"/>
      <c r="BX21" s="763"/>
      <c r="BY21" s="763"/>
      <c r="BZ21" s="763"/>
      <c r="CA21" s="763"/>
      <c r="CB21" s="763"/>
      <c r="CC21" s="763"/>
      <c r="CD21" s="763"/>
      <c r="CE21" s="763"/>
      <c r="CF21" s="763"/>
      <c r="CG21" s="763"/>
      <c r="CH21" s="763"/>
      <c r="CI21" s="763"/>
      <c r="CJ21" s="763"/>
      <c r="CK21" s="763"/>
      <c r="CL21" s="763"/>
      <c r="CM21" s="763"/>
      <c r="CN21" s="763"/>
      <c r="CO21" s="763"/>
      <c r="CP21" s="763"/>
      <c r="CQ21" s="763"/>
      <c r="CR21" s="763"/>
      <c r="CS21" s="763"/>
      <c r="CT21" s="763"/>
      <c r="CU21" s="763"/>
      <c r="CV21" s="763"/>
      <c r="CW21" s="763"/>
      <c r="CX21" s="763"/>
      <c r="CY21" s="763"/>
      <c r="CZ21" s="763"/>
      <c r="DA21" s="763"/>
      <c r="DB21" s="763"/>
      <c r="DC21" s="763"/>
      <c r="DD21" s="763"/>
      <c r="DE21" s="763"/>
      <c r="DF21" s="763"/>
      <c r="DG21" s="763"/>
      <c r="DH21" s="763"/>
      <c r="DI21" s="763"/>
      <c r="DJ21" s="763"/>
      <c r="DK21" s="763"/>
      <c r="DL21" s="763"/>
      <c r="DM21" s="763"/>
      <c r="DN21" s="763"/>
      <c r="DO21" s="763"/>
      <c r="DP21" s="763"/>
      <c r="DQ21" s="763"/>
      <c r="DR21" s="763"/>
      <c r="DS21" s="763"/>
      <c r="DT21" s="763"/>
      <c r="DU21" s="763"/>
      <c r="DV21" s="763"/>
      <c r="DW21" s="763"/>
      <c r="DX21" s="763"/>
      <c r="DY21" s="763"/>
      <c r="DZ21" s="763"/>
      <c r="EA21" s="763"/>
      <c r="EB21" s="763"/>
    </row>
    <row r="22" spans="1:134" s="899" customFormat="1" ht="14.1" customHeight="1" x14ac:dyDescent="0.2">
      <c r="A22" s="426"/>
      <c r="B22" s="1320"/>
      <c r="C22" s="451" t="s">
        <v>1197</v>
      </c>
      <c r="D22" s="1333" t="s">
        <v>1198</v>
      </c>
      <c r="E22" s="1334"/>
      <c r="F22" s="701"/>
      <c r="G22" s="702" t="s">
        <v>1199</v>
      </c>
      <c r="H22" s="702"/>
      <c r="I22" s="704"/>
      <c r="J22" s="704"/>
      <c r="K22" s="704"/>
      <c r="L22" s="705"/>
      <c r="M22" s="706">
        <f t="shared" si="6"/>
        <v>0</v>
      </c>
      <c r="N22" s="706">
        <f t="shared" si="3"/>
        <v>0</v>
      </c>
      <c r="O22" s="707">
        <v>0.06</v>
      </c>
      <c r="P22" s="708">
        <f t="shared" si="4"/>
        <v>0</v>
      </c>
      <c r="Q22" s="709">
        <f t="shared" si="5"/>
        <v>0</v>
      </c>
      <c r="R22" s="1016"/>
      <c r="S22" s="1016"/>
      <c r="T22" s="1016"/>
      <c r="U22" s="1016"/>
      <c r="V22" s="1030">
        <f t="shared" si="0"/>
        <v>0</v>
      </c>
      <c r="W22" s="1032">
        <f t="shared" si="1"/>
        <v>0</v>
      </c>
      <c r="X22" s="1031">
        <f t="shared" si="2"/>
        <v>0</v>
      </c>
      <c r="Y22" s="1331"/>
      <c r="Z22" s="1331"/>
      <c r="AA22" s="1338"/>
      <c r="AB22" s="1331"/>
      <c r="AC22" s="1328"/>
      <c r="AD22" s="1331"/>
      <c r="AE22" s="1331"/>
      <c r="AF22" s="763"/>
      <c r="AG22" s="763"/>
      <c r="AH22" s="763"/>
      <c r="AI22" s="763"/>
      <c r="AJ22" s="763"/>
      <c r="AK22" s="763"/>
      <c r="AL22" s="763"/>
      <c r="AM22" s="763"/>
      <c r="AN22" s="763"/>
      <c r="AO22" s="763"/>
      <c r="AP22" s="763"/>
      <c r="AQ22" s="763"/>
      <c r="AR22" s="763"/>
      <c r="AS22" s="763"/>
      <c r="AT22" s="763"/>
      <c r="AU22" s="763"/>
      <c r="AV22" s="763"/>
      <c r="AW22" s="763"/>
      <c r="AX22" s="763"/>
      <c r="AY22" s="763"/>
      <c r="AZ22" s="763"/>
      <c r="BA22" s="763"/>
      <c r="BB22" s="763"/>
      <c r="BC22" s="763"/>
      <c r="BD22" s="763"/>
      <c r="BE22" s="763"/>
      <c r="BF22" s="763"/>
      <c r="BG22" s="763"/>
      <c r="BH22" s="763"/>
      <c r="BI22" s="763"/>
      <c r="BJ22" s="763"/>
      <c r="BK22" s="763"/>
      <c r="BL22" s="763"/>
      <c r="BM22" s="763"/>
      <c r="BN22" s="763"/>
      <c r="BO22" s="763"/>
      <c r="BP22" s="763"/>
      <c r="BQ22" s="763"/>
      <c r="BR22" s="763"/>
      <c r="BS22" s="763"/>
      <c r="BT22" s="763"/>
      <c r="BU22" s="763"/>
      <c r="BV22" s="763"/>
      <c r="BW22" s="763"/>
      <c r="BX22" s="763"/>
      <c r="BY22" s="763"/>
      <c r="BZ22" s="763"/>
      <c r="CA22" s="763"/>
      <c r="CB22" s="763"/>
      <c r="CC22" s="763"/>
      <c r="CD22" s="763"/>
      <c r="CE22" s="763"/>
      <c r="CF22" s="763"/>
      <c r="CG22" s="763"/>
      <c r="CH22" s="763"/>
      <c r="CI22" s="763"/>
      <c r="CJ22" s="763"/>
      <c r="CK22" s="763"/>
      <c r="CL22" s="763"/>
      <c r="CM22" s="763"/>
      <c r="CN22" s="763"/>
      <c r="CO22" s="763"/>
      <c r="CP22" s="763"/>
      <c r="CQ22" s="763"/>
      <c r="CR22" s="763"/>
      <c r="CS22" s="763"/>
      <c r="CT22" s="763"/>
      <c r="CU22" s="763"/>
      <c r="CV22" s="763"/>
      <c r="CW22" s="763"/>
      <c r="CX22" s="763"/>
      <c r="CY22" s="763"/>
      <c r="CZ22" s="763"/>
      <c r="DA22" s="763"/>
      <c r="DB22" s="763"/>
      <c r="DC22" s="763"/>
      <c r="DD22" s="763"/>
      <c r="DE22" s="763"/>
      <c r="DF22" s="763"/>
      <c r="DG22" s="763"/>
      <c r="DH22" s="763"/>
      <c r="DI22" s="763"/>
      <c r="DJ22" s="763"/>
      <c r="DK22" s="763"/>
      <c r="DL22" s="763"/>
      <c r="DM22" s="763"/>
      <c r="DN22" s="763"/>
      <c r="DO22" s="763"/>
      <c r="DP22" s="763"/>
      <c r="DQ22" s="763"/>
      <c r="DR22" s="763"/>
      <c r="DS22" s="763"/>
      <c r="DT22" s="763"/>
      <c r="DU22" s="763"/>
      <c r="DV22" s="763"/>
      <c r="DW22" s="763"/>
      <c r="DX22" s="763"/>
      <c r="DY22" s="763"/>
      <c r="DZ22" s="763"/>
      <c r="EA22" s="763"/>
      <c r="EB22" s="763"/>
    </row>
    <row r="23" spans="1:134" s="899" customFormat="1" ht="14.1" customHeight="1" x14ac:dyDescent="0.2">
      <c r="A23" s="426"/>
      <c r="B23" s="1320"/>
      <c r="C23" s="451"/>
      <c r="D23" s="1333" t="s">
        <v>1200</v>
      </c>
      <c r="E23" s="1334"/>
      <c r="F23" s="701"/>
      <c r="G23" s="702" t="s">
        <v>1201</v>
      </c>
      <c r="H23" s="702"/>
      <c r="I23" s="704"/>
      <c r="J23" s="704"/>
      <c r="K23" s="704"/>
      <c r="L23" s="705"/>
      <c r="M23" s="706">
        <f t="shared" si="6"/>
        <v>0</v>
      </c>
      <c r="N23" s="706">
        <f t="shared" si="3"/>
        <v>0</v>
      </c>
      <c r="O23" s="707">
        <v>0.08</v>
      </c>
      <c r="P23" s="708">
        <f t="shared" si="4"/>
        <v>0</v>
      </c>
      <c r="Q23" s="709">
        <f t="shared" si="5"/>
        <v>0</v>
      </c>
      <c r="R23" s="1016"/>
      <c r="S23" s="1016"/>
      <c r="T23" s="1016"/>
      <c r="U23" s="1016"/>
      <c r="V23" s="1030">
        <f t="shared" si="0"/>
        <v>0</v>
      </c>
      <c r="W23" s="1031">
        <f t="shared" si="1"/>
        <v>0</v>
      </c>
      <c r="X23" s="1031">
        <f t="shared" si="2"/>
        <v>0</v>
      </c>
      <c r="Y23" s="1331"/>
      <c r="Z23" s="1331"/>
      <c r="AA23" s="1338"/>
      <c r="AB23" s="1331"/>
      <c r="AC23" s="1328"/>
      <c r="AD23" s="1331"/>
      <c r="AE23" s="1331"/>
      <c r="AF23" s="763"/>
      <c r="AG23" s="763"/>
      <c r="AH23" s="763"/>
      <c r="AI23" s="763"/>
      <c r="AJ23" s="763"/>
      <c r="AK23" s="763"/>
      <c r="AL23" s="763"/>
      <c r="AM23" s="763"/>
      <c r="AN23" s="763"/>
      <c r="AO23" s="763"/>
      <c r="AP23" s="763"/>
      <c r="AQ23" s="763"/>
      <c r="AR23" s="763"/>
      <c r="AS23" s="763"/>
      <c r="AT23" s="763"/>
      <c r="AU23" s="763"/>
      <c r="AV23" s="763"/>
      <c r="AW23" s="763"/>
      <c r="AX23" s="763"/>
      <c r="AY23" s="763"/>
      <c r="AZ23" s="763"/>
      <c r="BA23" s="763"/>
      <c r="BB23" s="763"/>
      <c r="BC23" s="763"/>
      <c r="BD23" s="763"/>
      <c r="BE23" s="763"/>
      <c r="BF23" s="763"/>
      <c r="BG23" s="763"/>
      <c r="BH23" s="763"/>
      <c r="BI23" s="763"/>
      <c r="BJ23" s="763"/>
      <c r="BK23" s="763"/>
      <c r="BL23" s="763"/>
      <c r="BM23" s="763"/>
      <c r="BN23" s="763"/>
      <c r="BO23" s="763"/>
      <c r="BP23" s="763"/>
      <c r="BQ23" s="763"/>
      <c r="BR23" s="763"/>
      <c r="BS23" s="763"/>
      <c r="BT23" s="763"/>
      <c r="BU23" s="763"/>
      <c r="BV23" s="763"/>
      <c r="BW23" s="763"/>
      <c r="BX23" s="763"/>
      <c r="BY23" s="763"/>
      <c r="BZ23" s="763"/>
      <c r="CA23" s="763"/>
      <c r="CB23" s="763"/>
      <c r="CC23" s="763"/>
      <c r="CD23" s="763"/>
      <c r="CE23" s="763"/>
      <c r="CF23" s="763"/>
      <c r="CG23" s="763"/>
      <c r="CH23" s="763"/>
      <c r="CI23" s="763"/>
      <c r="CJ23" s="763"/>
      <c r="CK23" s="763"/>
      <c r="CL23" s="763"/>
      <c r="CM23" s="763"/>
      <c r="CN23" s="763"/>
      <c r="CO23" s="763"/>
      <c r="CP23" s="763"/>
      <c r="CQ23" s="763"/>
      <c r="CR23" s="763"/>
      <c r="CS23" s="763"/>
      <c r="CT23" s="763"/>
      <c r="CU23" s="763"/>
      <c r="CV23" s="763"/>
      <c r="CW23" s="763"/>
      <c r="CX23" s="763"/>
      <c r="CY23" s="763"/>
      <c r="CZ23" s="763"/>
      <c r="DA23" s="763"/>
      <c r="DB23" s="763"/>
      <c r="DC23" s="763"/>
      <c r="DD23" s="763"/>
      <c r="DE23" s="763"/>
      <c r="DF23" s="763"/>
      <c r="DG23" s="763"/>
      <c r="DH23" s="763"/>
      <c r="DI23" s="763"/>
      <c r="DJ23" s="763"/>
      <c r="DK23" s="763"/>
      <c r="DL23" s="763"/>
      <c r="DM23" s="763"/>
      <c r="DN23" s="763"/>
      <c r="DO23" s="763"/>
      <c r="DP23" s="763"/>
      <c r="DQ23" s="763"/>
      <c r="DR23" s="763"/>
      <c r="DS23" s="763"/>
      <c r="DT23" s="763"/>
      <c r="DU23" s="763"/>
      <c r="DV23" s="763"/>
      <c r="DW23" s="763"/>
      <c r="DX23" s="763"/>
      <c r="DY23" s="763"/>
      <c r="DZ23" s="763"/>
      <c r="EA23" s="763"/>
      <c r="EB23" s="763"/>
    </row>
    <row r="24" spans="1:134" s="899" customFormat="1" ht="14.1" customHeight="1" thickBot="1" x14ac:dyDescent="0.25">
      <c r="A24" s="426"/>
      <c r="B24" s="1326"/>
      <c r="C24" s="728"/>
      <c r="D24" s="1372" t="s">
        <v>1197</v>
      </c>
      <c r="E24" s="1373"/>
      <c r="F24" s="768"/>
      <c r="G24" s="714" t="s">
        <v>1202</v>
      </c>
      <c r="H24" s="714"/>
      <c r="I24" s="729"/>
      <c r="J24" s="729"/>
      <c r="K24" s="729"/>
      <c r="L24" s="730"/>
      <c r="M24" s="715">
        <f t="shared" si="6"/>
        <v>0</v>
      </c>
      <c r="N24" s="715">
        <f t="shared" si="3"/>
        <v>0</v>
      </c>
      <c r="O24" s="731">
        <v>0.125</v>
      </c>
      <c r="P24" s="716">
        <f t="shared" si="4"/>
        <v>0</v>
      </c>
      <c r="Q24" s="717">
        <f t="shared" si="5"/>
        <v>0</v>
      </c>
      <c r="R24" s="1016"/>
      <c r="S24" s="1016"/>
      <c r="T24" s="1016"/>
      <c r="U24" s="1016"/>
      <c r="V24" s="1030">
        <f t="shared" si="0"/>
        <v>0</v>
      </c>
      <c r="W24" s="1031">
        <f t="shared" si="1"/>
        <v>0</v>
      </c>
      <c r="X24" s="1031">
        <f>IF(Q24&gt;P24,Q24-P24,0)</f>
        <v>0</v>
      </c>
      <c r="Y24" s="1332"/>
      <c r="Z24" s="1332"/>
      <c r="AA24" s="1339"/>
      <c r="AB24" s="1332"/>
      <c r="AC24" s="1329"/>
      <c r="AD24" s="1332"/>
      <c r="AE24" s="1332"/>
      <c r="AF24" s="763"/>
      <c r="AG24" s="763"/>
      <c r="AH24" s="763"/>
      <c r="AI24" s="763"/>
      <c r="AJ24" s="763"/>
      <c r="AK24" s="763"/>
      <c r="AL24" s="763"/>
      <c r="AM24" s="763"/>
      <c r="AN24" s="763"/>
      <c r="AO24" s="763"/>
      <c r="AP24" s="763"/>
      <c r="AQ24" s="763"/>
      <c r="AR24" s="763"/>
      <c r="AS24" s="763"/>
      <c r="AT24" s="763"/>
      <c r="AU24" s="763"/>
      <c r="AV24" s="763"/>
      <c r="AW24" s="763"/>
      <c r="AX24" s="763"/>
      <c r="AY24" s="763"/>
      <c r="AZ24" s="763"/>
      <c r="BA24" s="763"/>
      <c r="BB24" s="763"/>
      <c r="BC24" s="763"/>
      <c r="BD24" s="763"/>
      <c r="BE24" s="763"/>
      <c r="BF24" s="763"/>
      <c r="BG24" s="763"/>
      <c r="BH24" s="763"/>
      <c r="BI24" s="763"/>
      <c r="BJ24" s="763"/>
      <c r="BK24" s="763"/>
      <c r="BL24" s="763"/>
      <c r="BM24" s="763"/>
      <c r="BN24" s="763"/>
      <c r="BO24" s="763"/>
      <c r="BP24" s="763"/>
      <c r="BQ24" s="763"/>
      <c r="BR24" s="763"/>
      <c r="BS24" s="763"/>
      <c r="BT24" s="763"/>
      <c r="BU24" s="763"/>
      <c r="BV24" s="763"/>
      <c r="BW24" s="763"/>
      <c r="BX24" s="763"/>
      <c r="BY24" s="763"/>
      <c r="BZ24" s="763"/>
      <c r="CA24" s="763"/>
      <c r="CB24" s="763"/>
      <c r="CC24" s="763"/>
      <c r="CD24" s="763"/>
      <c r="CE24" s="763"/>
      <c r="CF24" s="763"/>
      <c r="CG24" s="763"/>
      <c r="CH24" s="763"/>
      <c r="CI24" s="763"/>
      <c r="CJ24" s="763"/>
      <c r="CK24" s="763"/>
      <c r="CL24" s="763"/>
      <c r="CM24" s="763"/>
      <c r="CN24" s="763"/>
      <c r="CO24" s="763"/>
      <c r="CP24" s="763"/>
      <c r="CQ24" s="763"/>
      <c r="CR24" s="763"/>
      <c r="CS24" s="763"/>
      <c r="CT24" s="763"/>
      <c r="CU24" s="763"/>
      <c r="CV24" s="763"/>
      <c r="CW24" s="763"/>
      <c r="CX24" s="763"/>
      <c r="CY24" s="763"/>
      <c r="CZ24" s="763"/>
      <c r="DA24" s="763"/>
      <c r="DB24" s="763"/>
      <c r="DC24" s="763"/>
      <c r="DD24" s="763"/>
      <c r="DE24" s="763"/>
      <c r="DF24" s="763"/>
      <c r="DG24" s="763"/>
      <c r="DH24" s="763"/>
      <c r="DI24" s="763"/>
      <c r="DJ24" s="763"/>
      <c r="DK24" s="763"/>
      <c r="DL24" s="763"/>
      <c r="DM24" s="763"/>
      <c r="DN24" s="763"/>
      <c r="DO24" s="763"/>
      <c r="DP24" s="763"/>
      <c r="DQ24" s="763"/>
      <c r="DR24" s="763"/>
      <c r="DS24" s="763"/>
      <c r="DT24" s="763"/>
      <c r="DU24" s="763"/>
      <c r="DV24" s="763"/>
      <c r="DW24" s="763"/>
      <c r="DX24" s="763"/>
      <c r="DY24" s="763"/>
      <c r="DZ24" s="763"/>
      <c r="EA24" s="763"/>
      <c r="EB24" s="763"/>
    </row>
    <row r="25" spans="1:134" s="905" customFormat="1" x14ac:dyDescent="0.2">
      <c r="A25" s="350"/>
      <c r="B25" s="732"/>
      <c r="C25" s="1345" t="s">
        <v>1411</v>
      </c>
      <c r="D25" s="1345"/>
      <c r="E25" s="1346"/>
      <c r="F25" s="733"/>
      <c r="G25" s="735" t="s">
        <v>1203</v>
      </c>
      <c r="H25" s="735"/>
      <c r="I25" s="736">
        <f t="shared" ref="I25:N25" si="7">SUM(I10:I24)</f>
        <v>0</v>
      </c>
      <c r="J25" s="736">
        <f t="shared" si="7"/>
        <v>0</v>
      </c>
      <c r="K25" s="736">
        <f t="shared" si="7"/>
        <v>0</v>
      </c>
      <c r="L25" s="736">
        <f t="shared" si="7"/>
        <v>0</v>
      </c>
      <c r="M25" s="736">
        <f t="shared" si="7"/>
        <v>0</v>
      </c>
      <c r="N25" s="736">
        <f t="shared" si="7"/>
        <v>0</v>
      </c>
      <c r="O25" s="737"/>
      <c r="P25" s="719">
        <f>SUM(P10:P24)</f>
        <v>0</v>
      </c>
      <c r="Q25" s="720">
        <f>SUM(Q10:Q24)</f>
        <v>0</v>
      </c>
      <c r="R25" s="1016"/>
      <c r="S25" s="1016"/>
      <c r="T25" s="1016"/>
      <c r="U25" s="1016"/>
      <c r="V25" s="1033"/>
      <c r="W25" s="904"/>
      <c r="X25" s="904"/>
      <c r="Y25" s="904"/>
      <c r="Z25" s="904"/>
      <c r="AA25" s="904"/>
      <c r="AB25" s="904"/>
      <c r="AC25" s="904"/>
      <c r="AD25" s="904"/>
      <c r="AE25" s="904"/>
      <c r="AF25" s="904"/>
      <c r="AG25" s="904"/>
      <c r="AH25" s="904"/>
      <c r="AI25" s="904"/>
      <c r="AJ25" s="904"/>
      <c r="AK25" s="904"/>
      <c r="AL25" s="904"/>
      <c r="AM25" s="904"/>
      <c r="AN25" s="904"/>
      <c r="AO25" s="904"/>
      <c r="AP25" s="904"/>
      <c r="AQ25" s="904"/>
      <c r="AR25" s="904"/>
      <c r="AS25" s="904"/>
      <c r="AT25" s="904"/>
      <c r="AU25" s="904"/>
      <c r="AV25" s="904"/>
      <c r="AW25" s="904"/>
      <c r="AX25" s="904"/>
      <c r="AY25" s="904"/>
      <c r="AZ25" s="904"/>
      <c r="BA25" s="904"/>
      <c r="BB25" s="904"/>
      <c r="BC25" s="904"/>
      <c r="BD25" s="904"/>
      <c r="BE25" s="904"/>
      <c r="BF25" s="904"/>
      <c r="BG25" s="904"/>
      <c r="BH25" s="904"/>
      <c r="BI25" s="904"/>
      <c r="BJ25" s="904"/>
      <c r="BK25" s="904"/>
      <c r="BL25" s="904"/>
      <c r="BM25" s="904"/>
      <c r="BN25" s="904"/>
      <c r="BO25" s="904"/>
      <c r="BP25" s="904"/>
      <c r="BQ25" s="904"/>
      <c r="BR25" s="904"/>
      <c r="BS25" s="904"/>
      <c r="BT25" s="904"/>
      <c r="BU25" s="904"/>
      <c r="BV25" s="904"/>
      <c r="BW25" s="904"/>
      <c r="BX25" s="904"/>
      <c r="BY25" s="904"/>
      <c r="BZ25" s="904"/>
      <c r="CA25" s="904"/>
      <c r="CB25" s="904"/>
      <c r="CC25" s="904"/>
      <c r="CD25" s="904"/>
      <c r="CE25" s="904"/>
      <c r="CF25" s="904"/>
      <c r="CG25" s="904"/>
      <c r="CH25" s="904"/>
      <c r="CI25" s="904"/>
      <c r="CJ25" s="904"/>
      <c r="CK25" s="904"/>
      <c r="CL25" s="904"/>
      <c r="CM25" s="904"/>
      <c r="CN25" s="904"/>
      <c r="CO25" s="904"/>
      <c r="CP25" s="904"/>
      <c r="CQ25" s="904"/>
      <c r="CR25" s="904"/>
      <c r="CS25" s="904"/>
      <c r="CT25" s="904"/>
      <c r="CU25" s="904"/>
      <c r="CV25" s="904"/>
      <c r="CW25" s="904"/>
      <c r="CX25" s="904"/>
      <c r="CY25" s="904"/>
      <c r="CZ25" s="904"/>
      <c r="DA25" s="904"/>
      <c r="DB25" s="904"/>
      <c r="DC25" s="904"/>
      <c r="DD25" s="904"/>
      <c r="DE25" s="904"/>
      <c r="DF25" s="904"/>
      <c r="DG25" s="904"/>
      <c r="DH25" s="904"/>
      <c r="DI25" s="904"/>
      <c r="DJ25" s="904"/>
      <c r="DK25" s="904"/>
      <c r="DL25" s="904"/>
      <c r="DM25" s="904"/>
      <c r="DN25" s="904"/>
      <c r="DO25" s="904"/>
      <c r="DP25" s="904"/>
      <c r="DQ25" s="904"/>
      <c r="DR25" s="904"/>
      <c r="DS25" s="904"/>
      <c r="DT25" s="904"/>
      <c r="DU25" s="904"/>
      <c r="DV25" s="904"/>
      <c r="DW25" s="904"/>
      <c r="DX25" s="904"/>
      <c r="DY25" s="904"/>
      <c r="DZ25" s="904"/>
      <c r="EA25" s="904"/>
      <c r="EB25" s="904"/>
    </row>
    <row r="26" spans="1:134" s="899" customFormat="1" ht="14.1" customHeight="1" x14ac:dyDescent="0.2">
      <c r="A26" s="426"/>
      <c r="B26" s="738"/>
      <c r="C26" s="1348" t="s">
        <v>1204</v>
      </c>
      <c r="D26" s="1348"/>
      <c r="E26" s="740"/>
      <c r="F26" s="739"/>
      <c r="G26" s="742" t="s">
        <v>1205</v>
      </c>
      <c r="H26" s="742"/>
      <c r="I26" s="769"/>
      <c r="J26" s="743"/>
      <c r="K26" s="743"/>
      <c r="L26" s="743"/>
      <c r="M26" s="743"/>
      <c r="N26" s="743"/>
      <c r="O26" s="744"/>
      <c r="P26" s="1350">
        <f>IF(P25&gt;Q25,P25-Q25,Q25-P25)</f>
        <v>0</v>
      </c>
      <c r="Q26" s="1351"/>
      <c r="R26" s="1034"/>
      <c r="S26" s="1034"/>
      <c r="T26" s="1034"/>
      <c r="U26" s="1034"/>
      <c r="V26" s="1035"/>
      <c r="W26" s="763"/>
      <c r="X26" s="763"/>
      <c r="Y26" s="763"/>
      <c r="Z26" s="763"/>
      <c r="AA26" s="763"/>
      <c r="AB26" s="763"/>
      <c r="AC26" s="763"/>
      <c r="AD26" s="763"/>
      <c r="AE26" s="763"/>
      <c r="AF26" s="763"/>
      <c r="AG26" s="763"/>
      <c r="AH26" s="763"/>
      <c r="AI26" s="763"/>
      <c r="AJ26" s="763"/>
      <c r="AK26" s="763"/>
      <c r="AL26" s="763"/>
      <c r="AM26" s="763"/>
      <c r="AN26" s="763"/>
      <c r="AO26" s="763"/>
      <c r="AP26" s="763"/>
      <c r="AQ26" s="763"/>
      <c r="AR26" s="763"/>
      <c r="AS26" s="763"/>
      <c r="AT26" s="763"/>
      <c r="AU26" s="763"/>
      <c r="AV26" s="763"/>
      <c r="AW26" s="763"/>
      <c r="AX26" s="763"/>
      <c r="AY26" s="763"/>
      <c r="AZ26" s="763"/>
      <c r="BA26" s="763"/>
      <c r="BB26" s="763"/>
      <c r="BC26" s="763"/>
      <c r="BD26" s="763"/>
      <c r="BE26" s="763"/>
      <c r="BF26" s="763"/>
      <c r="BG26" s="763"/>
      <c r="BH26" s="763"/>
      <c r="BI26" s="763"/>
      <c r="BJ26" s="763"/>
      <c r="BK26" s="763"/>
      <c r="BL26" s="763"/>
      <c r="BM26" s="763"/>
      <c r="BN26" s="763"/>
      <c r="BO26" s="763"/>
      <c r="BP26" s="763"/>
      <c r="BQ26" s="763"/>
      <c r="BR26" s="763"/>
      <c r="BS26" s="763"/>
      <c r="BT26" s="763"/>
      <c r="BU26" s="763"/>
      <c r="BV26" s="763"/>
      <c r="BW26" s="763"/>
      <c r="BX26" s="763"/>
      <c r="BY26" s="763"/>
      <c r="BZ26" s="763"/>
      <c r="CA26" s="763"/>
      <c r="CB26" s="763"/>
      <c r="CC26" s="763"/>
      <c r="CD26" s="763"/>
      <c r="CE26" s="763"/>
      <c r="CF26" s="763"/>
      <c r="CG26" s="763"/>
      <c r="CH26" s="763"/>
      <c r="CI26" s="763"/>
      <c r="CJ26" s="763"/>
      <c r="CK26" s="763"/>
      <c r="CL26" s="763"/>
      <c r="CM26" s="763"/>
      <c r="CN26" s="763"/>
      <c r="CO26" s="763"/>
      <c r="CP26" s="763"/>
      <c r="CQ26" s="763"/>
      <c r="CR26" s="763"/>
      <c r="CS26" s="763"/>
      <c r="CT26" s="763"/>
      <c r="CU26" s="763"/>
      <c r="CV26" s="763"/>
      <c r="CW26" s="763"/>
      <c r="CX26" s="763"/>
      <c r="CY26" s="763"/>
      <c r="CZ26" s="763"/>
      <c r="DA26" s="763"/>
      <c r="DB26" s="763"/>
      <c r="DC26" s="763"/>
      <c r="DD26" s="763"/>
      <c r="DE26" s="763"/>
      <c r="DF26" s="763"/>
      <c r="DG26" s="763"/>
      <c r="DH26" s="763"/>
      <c r="DI26" s="763"/>
      <c r="DJ26" s="763"/>
      <c r="DK26" s="763"/>
      <c r="DL26" s="763"/>
      <c r="DM26" s="763"/>
      <c r="DN26" s="763"/>
      <c r="DO26" s="763"/>
      <c r="DP26" s="763"/>
      <c r="DQ26" s="763"/>
      <c r="DR26" s="763"/>
      <c r="DS26" s="763"/>
      <c r="DT26" s="763"/>
      <c r="DU26" s="763"/>
      <c r="DV26" s="763"/>
      <c r="DW26" s="763"/>
      <c r="DX26" s="763"/>
      <c r="DY26" s="763"/>
      <c r="DZ26" s="763"/>
      <c r="EA26" s="763"/>
      <c r="EB26" s="763"/>
      <c r="EC26" s="763"/>
    </row>
    <row r="27" spans="1:134" s="899" customFormat="1" ht="14.1" customHeight="1" x14ac:dyDescent="0.2">
      <c r="A27" s="426"/>
      <c r="B27" s="745"/>
      <c r="C27" s="746"/>
      <c r="D27" s="746"/>
      <c r="E27" s="770"/>
      <c r="F27" s="746"/>
      <c r="G27" s="747"/>
      <c r="H27" s="747"/>
      <c r="I27" s="748"/>
      <c r="J27" s="748"/>
      <c r="K27" s="748"/>
      <c r="L27" s="748"/>
      <c r="M27" s="748"/>
      <c r="N27" s="748"/>
      <c r="O27" s="749"/>
      <c r="P27" s="750"/>
      <c r="Q27" s="751"/>
      <c r="R27" s="1034"/>
      <c r="S27" s="1034"/>
      <c r="T27" s="1034"/>
      <c r="U27" s="1034"/>
      <c r="V27" s="1035"/>
      <c r="W27" s="763"/>
      <c r="X27" s="763"/>
      <c r="Y27" s="763"/>
      <c r="Z27" s="763"/>
      <c r="AA27" s="763"/>
      <c r="AB27" s="763"/>
      <c r="AC27" s="763"/>
      <c r="AD27" s="763"/>
      <c r="AE27" s="763"/>
      <c r="AF27" s="763"/>
      <c r="AG27" s="763"/>
      <c r="AH27" s="763"/>
      <c r="AI27" s="763"/>
      <c r="AJ27" s="763"/>
      <c r="AK27" s="763"/>
      <c r="AL27" s="763"/>
      <c r="AM27" s="763"/>
      <c r="AN27" s="763"/>
      <c r="AO27" s="763"/>
      <c r="AP27" s="763"/>
      <c r="AQ27" s="763"/>
      <c r="AR27" s="763"/>
      <c r="AS27" s="763"/>
      <c r="AT27" s="763"/>
      <c r="AU27" s="763"/>
      <c r="AV27" s="763"/>
      <c r="AW27" s="763"/>
      <c r="AX27" s="763"/>
      <c r="AY27" s="763"/>
      <c r="AZ27" s="763"/>
      <c r="BA27" s="763"/>
      <c r="BB27" s="763"/>
      <c r="BC27" s="763"/>
      <c r="BD27" s="763"/>
      <c r="BE27" s="763"/>
      <c r="BF27" s="763"/>
      <c r="BG27" s="763"/>
      <c r="BH27" s="763"/>
      <c r="BI27" s="763"/>
      <c r="BJ27" s="763"/>
      <c r="BK27" s="763"/>
      <c r="BL27" s="763"/>
      <c r="BM27" s="763"/>
      <c r="BN27" s="763"/>
      <c r="BO27" s="763"/>
      <c r="BP27" s="763"/>
      <c r="BQ27" s="763"/>
      <c r="BR27" s="763"/>
      <c r="BS27" s="763"/>
      <c r="BT27" s="763"/>
      <c r="BU27" s="763"/>
      <c r="BV27" s="763"/>
      <c r="BW27" s="763"/>
      <c r="BX27" s="763"/>
      <c r="BY27" s="763"/>
      <c r="BZ27" s="763"/>
      <c r="CA27" s="763"/>
      <c r="CB27" s="763"/>
      <c r="CC27" s="763"/>
      <c r="CD27" s="763"/>
      <c r="CE27" s="763"/>
      <c r="CF27" s="763"/>
      <c r="CG27" s="763"/>
      <c r="CH27" s="763"/>
      <c r="CI27" s="763"/>
      <c r="CJ27" s="763"/>
      <c r="CK27" s="763"/>
      <c r="CL27" s="763"/>
      <c r="CM27" s="763"/>
      <c r="CN27" s="763"/>
      <c r="CO27" s="763"/>
      <c r="CP27" s="763"/>
      <c r="CQ27" s="763"/>
      <c r="CR27" s="763"/>
      <c r="CS27" s="763"/>
      <c r="CT27" s="763"/>
      <c r="CU27" s="763"/>
      <c r="CV27" s="763"/>
      <c r="CW27" s="763"/>
      <c r="CX27" s="763"/>
      <c r="CY27" s="763"/>
      <c r="CZ27" s="763"/>
      <c r="DA27" s="763"/>
      <c r="DB27" s="763"/>
      <c r="DC27" s="763"/>
      <c r="DD27" s="763"/>
      <c r="DE27" s="763"/>
      <c r="DF27" s="763"/>
      <c r="DG27" s="763"/>
      <c r="DH27" s="763"/>
      <c r="DI27" s="763"/>
      <c r="DJ27" s="763"/>
      <c r="DK27" s="763"/>
      <c r="DL27" s="763"/>
      <c r="DM27" s="763"/>
      <c r="DN27" s="763"/>
      <c r="DO27" s="763"/>
      <c r="DP27" s="763"/>
      <c r="DQ27" s="763"/>
      <c r="DR27" s="763"/>
      <c r="DS27" s="763"/>
      <c r="DT27" s="763"/>
      <c r="DU27" s="763"/>
      <c r="DV27" s="763"/>
      <c r="DW27" s="763"/>
      <c r="DX27" s="763"/>
      <c r="DY27" s="763"/>
      <c r="DZ27" s="763"/>
      <c r="EA27" s="763"/>
      <c r="EB27" s="763"/>
      <c r="EC27" s="763"/>
    </row>
    <row r="28" spans="1:134" s="899" customFormat="1" ht="18.75" customHeight="1" x14ac:dyDescent="0.2">
      <c r="A28" s="426"/>
      <c r="B28" s="1374" t="s">
        <v>350</v>
      </c>
      <c r="C28" s="1375"/>
      <c r="D28" s="1376"/>
      <c r="E28" s="752"/>
      <c r="F28" s="752"/>
      <c r="G28" s="752"/>
      <c r="H28" s="752"/>
      <c r="I28" s="1362" t="s">
        <v>1207</v>
      </c>
      <c r="J28" s="1363" t="s">
        <v>1208</v>
      </c>
      <c r="K28" s="1364"/>
      <c r="L28" s="1365"/>
      <c r="M28" s="1363" t="s">
        <v>1209</v>
      </c>
      <c r="N28" s="1364"/>
      <c r="O28" s="1365"/>
      <c r="P28" s="1340" t="s">
        <v>1210</v>
      </c>
      <c r="Q28" s="1342" t="s">
        <v>1211</v>
      </c>
      <c r="R28" s="1036"/>
      <c r="S28" s="1037"/>
      <c r="T28" s="1037"/>
      <c r="U28" s="1037"/>
      <c r="V28" s="1037"/>
      <c r="W28" s="1035"/>
      <c r="X28" s="763"/>
      <c r="Y28" s="763"/>
      <c r="Z28" s="763"/>
      <c r="AA28" s="1038"/>
      <c r="AB28" s="1039"/>
      <c r="AC28" s="763"/>
      <c r="AD28" s="763"/>
      <c r="AE28" s="763"/>
      <c r="AF28" s="763"/>
      <c r="AG28" s="763"/>
      <c r="AH28" s="763"/>
      <c r="AI28" s="763"/>
      <c r="AJ28" s="763"/>
      <c r="AK28" s="763"/>
      <c r="AL28" s="763"/>
      <c r="AM28" s="763"/>
      <c r="AN28" s="763"/>
      <c r="AO28" s="763"/>
      <c r="AP28" s="763"/>
      <c r="AQ28" s="763"/>
      <c r="AR28" s="763"/>
      <c r="AS28" s="763"/>
      <c r="AT28" s="763"/>
      <c r="AU28" s="763"/>
      <c r="AV28" s="763"/>
      <c r="AW28" s="763"/>
      <c r="AX28" s="763"/>
      <c r="AY28" s="763"/>
      <c r="AZ28" s="763"/>
      <c r="BA28" s="763"/>
      <c r="BB28" s="763"/>
      <c r="BC28" s="763"/>
      <c r="BD28" s="763"/>
      <c r="BE28" s="763"/>
      <c r="BF28" s="763"/>
      <c r="BG28" s="763"/>
      <c r="BH28" s="763"/>
      <c r="BI28" s="763"/>
      <c r="BJ28" s="763"/>
      <c r="BK28" s="763"/>
      <c r="BL28" s="763"/>
      <c r="BM28" s="763"/>
      <c r="BN28" s="763"/>
      <c r="BO28" s="763"/>
      <c r="BP28" s="763"/>
      <c r="BQ28" s="763"/>
      <c r="BR28" s="763"/>
      <c r="BS28" s="763"/>
      <c r="BT28" s="763"/>
      <c r="BU28" s="763"/>
      <c r="BV28" s="763"/>
      <c r="BW28" s="763"/>
      <c r="BX28" s="763"/>
      <c r="BY28" s="763"/>
      <c r="BZ28" s="763"/>
      <c r="CA28" s="763"/>
      <c r="CB28" s="763"/>
      <c r="CC28" s="763"/>
      <c r="CD28" s="763"/>
      <c r="CE28" s="763"/>
      <c r="CF28" s="763"/>
      <c r="CG28" s="763"/>
      <c r="CH28" s="763"/>
      <c r="CI28" s="763"/>
      <c r="CJ28" s="763"/>
      <c r="CK28" s="763"/>
      <c r="CL28" s="763"/>
      <c r="CM28" s="763"/>
      <c r="CN28" s="763"/>
      <c r="CO28" s="763"/>
      <c r="CP28" s="763"/>
      <c r="CQ28" s="763"/>
      <c r="CR28" s="763"/>
      <c r="CS28" s="763"/>
      <c r="CT28" s="763"/>
      <c r="CU28" s="763"/>
      <c r="CV28" s="763"/>
      <c r="CW28" s="763"/>
      <c r="CX28" s="763"/>
      <c r="CY28" s="763"/>
      <c r="CZ28" s="763"/>
      <c r="DA28" s="763"/>
      <c r="DB28" s="763"/>
      <c r="DC28" s="763"/>
      <c r="DD28" s="763"/>
      <c r="DE28" s="763"/>
      <c r="DF28" s="763"/>
      <c r="DG28" s="763"/>
      <c r="DH28" s="763"/>
      <c r="DI28" s="763"/>
      <c r="DJ28" s="763"/>
      <c r="DK28" s="763"/>
      <c r="DL28" s="763"/>
      <c r="DM28" s="763"/>
      <c r="DN28" s="763"/>
      <c r="DO28" s="763"/>
      <c r="DP28" s="763"/>
      <c r="DQ28" s="763"/>
      <c r="DR28" s="763"/>
      <c r="DS28" s="763"/>
      <c r="DT28" s="763"/>
      <c r="DU28" s="763"/>
      <c r="DV28" s="763"/>
      <c r="DW28" s="763"/>
      <c r="DX28" s="763"/>
      <c r="DY28" s="763"/>
      <c r="DZ28" s="763"/>
      <c r="EA28" s="763"/>
      <c r="EB28" s="763"/>
      <c r="EC28" s="763"/>
      <c r="ED28" s="763"/>
    </row>
    <row r="29" spans="1:134" s="899" customFormat="1" ht="19.5" customHeight="1" x14ac:dyDescent="0.2">
      <c r="A29" s="426"/>
      <c r="B29" s="1377"/>
      <c r="C29" s="1378"/>
      <c r="D29" s="1379"/>
      <c r="E29" s="754"/>
      <c r="F29" s="754"/>
      <c r="G29" s="754"/>
      <c r="H29" s="754"/>
      <c r="I29" s="1362"/>
      <c r="J29" s="753" t="s">
        <v>1212</v>
      </c>
      <c r="K29" s="753" t="s">
        <v>1213</v>
      </c>
      <c r="L29" s="753" t="s">
        <v>1214</v>
      </c>
      <c r="M29" s="755" t="s">
        <v>1215</v>
      </c>
      <c r="N29" s="755" t="s">
        <v>1216</v>
      </c>
      <c r="O29" s="755" t="s">
        <v>1217</v>
      </c>
      <c r="P29" s="1341"/>
      <c r="Q29" s="1343"/>
      <c r="R29" s="1036"/>
      <c r="S29" s="1037"/>
      <c r="T29" s="1037"/>
      <c r="U29" s="1037"/>
      <c r="V29" s="1037"/>
      <c r="W29" s="1035"/>
      <c r="Z29" s="763"/>
      <c r="AA29" s="1038"/>
      <c r="AB29" s="1038"/>
      <c r="AC29" s="763"/>
      <c r="AD29" s="763"/>
      <c r="AE29" s="763"/>
      <c r="AF29" s="763"/>
      <c r="AG29" s="763"/>
      <c r="AH29" s="763"/>
      <c r="AI29" s="763"/>
      <c r="AJ29" s="763"/>
      <c r="AK29" s="763"/>
      <c r="AL29" s="763"/>
      <c r="AM29" s="763"/>
      <c r="AN29" s="763"/>
      <c r="AO29" s="763"/>
      <c r="AP29" s="763"/>
      <c r="AQ29" s="763"/>
      <c r="AR29" s="763"/>
      <c r="AS29" s="763"/>
      <c r="AT29" s="763"/>
      <c r="AU29" s="763"/>
      <c r="AV29" s="763"/>
      <c r="AW29" s="763"/>
      <c r="AX29" s="763"/>
      <c r="AY29" s="763"/>
      <c r="AZ29" s="763"/>
      <c r="BA29" s="763"/>
      <c r="BB29" s="763"/>
      <c r="BC29" s="763"/>
      <c r="BD29" s="763"/>
      <c r="BE29" s="763"/>
      <c r="BF29" s="763"/>
      <c r="BG29" s="763"/>
      <c r="BH29" s="763"/>
      <c r="BI29" s="763"/>
      <c r="BJ29" s="763"/>
      <c r="BK29" s="763"/>
      <c r="BL29" s="763"/>
      <c r="BM29" s="763"/>
      <c r="BN29" s="763"/>
      <c r="BO29" s="763"/>
      <c r="BP29" s="763"/>
      <c r="BQ29" s="763"/>
      <c r="BR29" s="763"/>
      <c r="BS29" s="763"/>
      <c r="BT29" s="763"/>
      <c r="BU29" s="763"/>
      <c r="BV29" s="763"/>
      <c r="BW29" s="763"/>
      <c r="BX29" s="763"/>
      <c r="BY29" s="763"/>
      <c r="BZ29" s="763"/>
      <c r="CA29" s="763"/>
      <c r="CB29" s="763"/>
      <c r="CC29" s="763"/>
      <c r="CD29" s="763"/>
      <c r="CE29" s="763"/>
      <c r="CF29" s="763"/>
      <c r="CG29" s="763"/>
      <c r="CH29" s="763"/>
      <c r="CI29" s="763"/>
      <c r="CJ29" s="763"/>
      <c r="CK29" s="763"/>
      <c r="CL29" s="763"/>
      <c r="CM29" s="763"/>
      <c r="CN29" s="763"/>
      <c r="CO29" s="763"/>
      <c r="CP29" s="763"/>
      <c r="CQ29" s="763"/>
      <c r="CR29" s="763"/>
      <c r="CS29" s="763"/>
      <c r="CT29" s="763"/>
      <c r="CU29" s="763"/>
      <c r="CV29" s="763"/>
      <c r="CW29" s="763"/>
      <c r="CX29" s="763"/>
      <c r="CY29" s="763"/>
      <c r="CZ29" s="763"/>
      <c r="DA29" s="763"/>
      <c r="DB29" s="763"/>
      <c r="DC29" s="763"/>
      <c r="DD29" s="763"/>
      <c r="DE29" s="763"/>
      <c r="DF29" s="763"/>
      <c r="DG29" s="763"/>
      <c r="DH29" s="763"/>
      <c r="DI29" s="763"/>
      <c r="DJ29" s="763"/>
      <c r="DK29" s="763"/>
      <c r="DL29" s="763"/>
      <c r="DM29" s="763"/>
      <c r="DN29" s="763"/>
      <c r="DO29" s="763"/>
      <c r="DP29" s="763"/>
      <c r="DQ29" s="763"/>
      <c r="DR29" s="763"/>
      <c r="DS29" s="763"/>
      <c r="DT29" s="763"/>
      <c r="DU29" s="763"/>
      <c r="DV29" s="763"/>
      <c r="DW29" s="763"/>
      <c r="DX29" s="763"/>
      <c r="DY29" s="763"/>
      <c r="DZ29" s="763"/>
      <c r="EA29" s="763"/>
      <c r="EB29" s="763"/>
      <c r="EC29" s="763"/>
      <c r="ED29" s="763"/>
    </row>
    <row r="30" spans="1:134" s="899" customFormat="1" ht="15.95" customHeight="1" thickBot="1" x14ac:dyDescent="0.25">
      <c r="A30" s="426"/>
      <c r="B30" s="1352" t="s">
        <v>1218</v>
      </c>
      <c r="C30" s="1353"/>
      <c r="D30" s="1354"/>
      <c r="E30" s="756"/>
      <c r="F30" s="756"/>
      <c r="G30" s="757" t="s">
        <v>1636</v>
      </c>
      <c r="H30" s="757"/>
      <c r="I30" s="716">
        <f>SUM(V10:V24)</f>
        <v>0</v>
      </c>
      <c r="J30" s="716">
        <f>Y10</f>
        <v>0</v>
      </c>
      <c r="K30" s="716">
        <f>Y14</f>
        <v>0</v>
      </c>
      <c r="L30" s="716">
        <f>Y17</f>
        <v>0</v>
      </c>
      <c r="M30" s="716">
        <f>AA10</f>
        <v>0</v>
      </c>
      <c r="N30" s="716">
        <f>AC14</f>
        <v>0</v>
      </c>
      <c r="O30" s="716">
        <f>AE10</f>
        <v>0</v>
      </c>
      <c r="P30" s="716">
        <f>P26</f>
        <v>0</v>
      </c>
      <c r="Q30" s="758">
        <f>SUM(I30:P30)</f>
        <v>0</v>
      </c>
      <c r="R30" s="1040"/>
      <c r="S30" s="1041"/>
      <c r="T30" s="1041"/>
      <c r="U30" s="1041"/>
      <c r="V30" s="1041"/>
      <c r="W30" s="1038"/>
      <c r="X30" s="1038"/>
      <c r="Y30" s="1038"/>
      <c r="Z30" s="1042"/>
      <c r="AA30" s="970"/>
      <c r="AC30" s="1038"/>
      <c r="AD30" s="1038"/>
      <c r="AE30" s="763"/>
      <c r="AF30" s="763"/>
      <c r="AG30" s="763"/>
      <c r="AH30" s="763"/>
      <c r="AI30" s="763"/>
      <c r="AJ30" s="763"/>
      <c r="AK30" s="763"/>
      <c r="AL30" s="763"/>
      <c r="AM30" s="763"/>
      <c r="AN30" s="763"/>
      <c r="AO30" s="763"/>
      <c r="AP30" s="763"/>
      <c r="AQ30" s="763"/>
      <c r="AR30" s="763"/>
      <c r="AS30" s="763"/>
      <c r="AT30" s="763"/>
      <c r="AU30" s="763"/>
      <c r="AV30" s="763"/>
      <c r="AW30" s="763"/>
      <c r="AX30" s="763"/>
      <c r="AY30" s="763"/>
      <c r="AZ30" s="763"/>
      <c r="BA30" s="763"/>
      <c r="BB30" s="763"/>
      <c r="BC30" s="763"/>
      <c r="BD30" s="763"/>
      <c r="BE30" s="763"/>
      <c r="BF30" s="763"/>
      <c r="BG30" s="763"/>
      <c r="BH30" s="763"/>
      <c r="BI30" s="763"/>
      <c r="BJ30" s="763"/>
      <c r="BK30" s="763"/>
      <c r="BL30" s="763"/>
      <c r="BM30" s="763"/>
      <c r="BN30" s="763"/>
      <c r="BO30" s="763"/>
      <c r="BP30" s="763"/>
      <c r="BQ30" s="763"/>
      <c r="BR30" s="763"/>
      <c r="BS30" s="763"/>
      <c r="BT30" s="763"/>
      <c r="BU30" s="763"/>
      <c r="BV30" s="763"/>
      <c r="BW30" s="763"/>
      <c r="BX30" s="763"/>
      <c r="BY30" s="763"/>
      <c r="BZ30" s="763"/>
      <c r="CA30" s="763"/>
      <c r="CB30" s="763"/>
      <c r="CC30" s="763"/>
      <c r="CD30" s="763"/>
      <c r="CE30" s="763"/>
      <c r="CF30" s="763"/>
      <c r="CG30" s="763"/>
      <c r="CH30" s="763"/>
      <c r="CI30" s="763"/>
      <c r="CJ30" s="763"/>
      <c r="CK30" s="763"/>
      <c r="CL30" s="763"/>
      <c r="CM30" s="763"/>
      <c r="CN30" s="763"/>
      <c r="CO30" s="763"/>
      <c r="CP30" s="763"/>
      <c r="CQ30" s="763"/>
      <c r="CR30" s="763"/>
      <c r="CS30" s="763"/>
      <c r="CT30" s="763"/>
      <c r="CU30" s="763"/>
      <c r="CV30" s="763"/>
      <c r="CW30" s="763"/>
      <c r="CX30" s="763"/>
      <c r="CY30" s="763"/>
      <c r="CZ30" s="763"/>
      <c r="DA30" s="763"/>
      <c r="DB30" s="763"/>
      <c r="DC30" s="763"/>
      <c r="DD30" s="763"/>
      <c r="DE30" s="763"/>
      <c r="DF30" s="763"/>
      <c r="DG30" s="763"/>
      <c r="DH30" s="763"/>
      <c r="DI30" s="763"/>
      <c r="DJ30" s="763"/>
      <c r="DK30" s="763"/>
      <c r="DL30" s="763"/>
      <c r="DM30" s="763"/>
      <c r="DN30" s="763"/>
      <c r="DO30" s="763"/>
      <c r="DP30" s="763"/>
      <c r="DQ30" s="763"/>
      <c r="DR30" s="763"/>
      <c r="DS30" s="763"/>
      <c r="DT30" s="763"/>
      <c r="DU30" s="763"/>
      <c r="DV30" s="763"/>
      <c r="DW30" s="763"/>
      <c r="DX30" s="763"/>
      <c r="DY30" s="763"/>
      <c r="DZ30" s="763"/>
      <c r="EA30" s="763"/>
      <c r="EB30" s="763"/>
      <c r="EC30" s="763"/>
      <c r="ED30" s="763"/>
    </row>
    <row r="31" spans="1:134" s="899" customFormat="1" ht="3.75" customHeight="1" x14ac:dyDescent="0.2">
      <c r="A31" s="426"/>
      <c r="B31" s="426"/>
      <c r="C31" s="426"/>
      <c r="D31" s="426"/>
      <c r="E31" s="426"/>
      <c r="F31" s="426"/>
      <c r="G31" s="759" t="s">
        <v>309</v>
      </c>
      <c r="H31" s="759"/>
      <c r="I31" s="426"/>
      <c r="J31" s="426"/>
      <c r="K31" s="760"/>
      <c r="L31" s="480"/>
      <c r="M31" s="480"/>
      <c r="N31" s="480"/>
      <c r="O31" s="480"/>
      <c r="P31" s="480"/>
      <c r="Q31" s="480"/>
      <c r="R31" s="763"/>
      <c r="S31" s="763"/>
      <c r="T31" s="763"/>
      <c r="U31" s="763"/>
      <c r="V31" s="1043"/>
      <c r="W31" s="763"/>
      <c r="X31" s="763"/>
      <c r="Y31" s="763"/>
      <c r="Z31" s="763"/>
      <c r="AA31" s="763"/>
      <c r="AB31" s="763"/>
      <c r="AC31" s="763"/>
      <c r="AD31" s="763"/>
      <c r="AE31" s="763"/>
      <c r="AF31" s="763"/>
      <c r="AG31" s="763"/>
      <c r="AH31" s="763"/>
      <c r="AI31" s="763"/>
      <c r="AJ31" s="763"/>
      <c r="AK31" s="763"/>
      <c r="AL31" s="763"/>
      <c r="AM31" s="763"/>
      <c r="AN31" s="763"/>
      <c r="AO31" s="763"/>
      <c r="AP31" s="763"/>
      <c r="AQ31" s="763"/>
      <c r="AR31" s="763"/>
      <c r="AS31" s="763"/>
      <c r="AT31" s="763"/>
      <c r="AU31" s="763"/>
      <c r="AV31" s="763"/>
      <c r="AW31" s="763"/>
      <c r="AX31" s="763"/>
      <c r="AY31" s="763"/>
      <c r="AZ31" s="763"/>
      <c r="BA31" s="763"/>
      <c r="BB31" s="763"/>
      <c r="BC31" s="763"/>
      <c r="BD31" s="763"/>
      <c r="BE31" s="763"/>
      <c r="BF31" s="763"/>
      <c r="BG31" s="763"/>
      <c r="BH31" s="763"/>
      <c r="BI31" s="763"/>
      <c r="BJ31" s="763"/>
      <c r="BK31" s="763"/>
      <c r="BL31" s="763"/>
      <c r="BM31" s="763"/>
      <c r="BN31" s="763"/>
      <c r="BO31" s="763"/>
      <c r="BP31" s="763"/>
      <c r="BQ31" s="763"/>
      <c r="BR31" s="763"/>
      <c r="BS31" s="763"/>
      <c r="BT31" s="763"/>
      <c r="BU31" s="763"/>
      <c r="BV31" s="763"/>
      <c r="BW31" s="763"/>
      <c r="BX31" s="763"/>
      <c r="BY31" s="763"/>
      <c r="BZ31" s="763"/>
      <c r="CA31" s="763"/>
      <c r="CB31" s="763"/>
      <c r="CC31" s="763"/>
      <c r="CD31" s="763"/>
      <c r="CE31" s="763"/>
      <c r="CF31" s="763"/>
      <c r="CG31" s="763"/>
      <c r="CH31" s="763"/>
      <c r="CI31" s="763"/>
      <c r="CJ31" s="763"/>
      <c r="CK31" s="763"/>
      <c r="CL31" s="763"/>
      <c r="CM31" s="763"/>
      <c r="CN31" s="763"/>
      <c r="CO31" s="763"/>
      <c r="CP31" s="763"/>
      <c r="CQ31" s="763"/>
      <c r="CR31" s="763"/>
      <c r="CS31" s="763"/>
      <c r="CT31" s="763"/>
      <c r="CU31" s="763"/>
      <c r="CV31" s="763"/>
      <c r="CW31" s="763"/>
      <c r="CX31" s="763"/>
      <c r="CY31" s="763"/>
      <c r="CZ31" s="763"/>
      <c r="DA31" s="763"/>
      <c r="DB31" s="763"/>
      <c r="DC31" s="763"/>
      <c r="DD31" s="763"/>
      <c r="DE31" s="763"/>
      <c r="DF31" s="763"/>
      <c r="DG31" s="763"/>
      <c r="DH31" s="763"/>
      <c r="DI31" s="763"/>
      <c r="DJ31" s="763"/>
      <c r="DK31" s="763"/>
      <c r="DL31" s="763"/>
      <c r="DM31" s="763"/>
      <c r="DN31" s="763"/>
      <c r="DO31" s="763"/>
      <c r="DP31" s="763"/>
      <c r="DQ31" s="763"/>
      <c r="DR31" s="763"/>
      <c r="DS31" s="763"/>
      <c r="DT31" s="763"/>
      <c r="DU31" s="763"/>
      <c r="DV31" s="763"/>
      <c r="DW31" s="763"/>
      <c r="DX31" s="763"/>
      <c r="DY31" s="763"/>
      <c r="DZ31" s="763"/>
      <c r="EA31" s="763"/>
    </row>
    <row r="32" spans="1:134" s="899" customFormat="1" ht="46.5" customHeight="1" x14ac:dyDescent="0.2">
      <c r="A32" s="533" t="s">
        <v>494</v>
      </c>
      <c r="B32" s="1276" t="s">
        <v>1219</v>
      </c>
      <c r="C32" s="1276"/>
      <c r="D32" s="1276"/>
      <c r="E32" s="1276"/>
      <c r="F32" s="1276"/>
      <c r="G32" s="1276"/>
      <c r="H32" s="761"/>
      <c r="I32" s="761"/>
      <c r="J32" s="771"/>
      <c r="K32" s="1355" t="s">
        <v>1220</v>
      </c>
      <c r="L32" s="1355"/>
      <c r="M32" s="1355"/>
      <c r="N32" s="1355"/>
      <c r="O32" s="549"/>
      <c r="P32" s="766"/>
      <c r="Q32" s="480"/>
      <c r="R32" s="763"/>
      <c r="S32" s="763"/>
      <c r="T32" s="763"/>
      <c r="U32" s="763"/>
      <c r="V32" s="763"/>
      <c r="W32" s="763"/>
      <c r="X32" s="763"/>
      <c r="Y32" s="763"/>
      <c r="Z32" s="763"/>
      <c r="AA32" s="763"/>
      <c r="AB32" s="763"/>
      <c r="AC32" s="763"/>
      <c r="AD32" s="763"/>
      <c r="AE32" s="763"/>
      <c r="AF32" s="763"/>
      <c r="AG32" s="763"/>
      <c r="AH32" s="763"/>
      <c r="AI32" s="763"/>
      <c r="AJ32" s="763"/>
      <c r="AK32" s="763"/>
      <c r="AL32" s="763"/>
      <c r="AM32" s="763"/>
      <c r="AN32" s="763"/>
      <c r="AO32" s="763"/>
      <c r="AP32" s="763"/>
      <c r="AQ32" s="763"/>
      <c r="AR32" s="763"/>
      <c r="AS32" s="763"/>
      <c r="AT32" s="763"/>
      <c r="AU32" s="763"/>
      <c r="AV32" s="763"/>
      <c r="AW32" s="763"/>
      <c r="AX32" s="763"/>
      <c r="AY32" s="763"/>
      <c r="AZ32" s="763"/>
      <c r="BA32" s="763"/>
      <c r="BB32" s="763"/>
      <c r="BC32" s="763"/>
      <c r="BD32" s="763"/>
      <c r="BE32" s="763"/>
      <c r="BF32" s="763"/>
      <c r="BG32" s="763"/>
      <c r="BH32" s="763"/>
      <c r="BI32" s="763"/>
      <c r="BJ32" s="763"/>
      <c r="BK32" s="763"/>
      <c r="BL32" s="763"/>
      <c r="BM32" s="763"/>
      <c r="BN32" s="763"/>
      <c r="BO32" s="763"/>
      <c r="BP32" s="763"/>
      <c r="BQ32" s="763"/>
      <c r="BR32" s="763"/>
      <c r="BS32" s="763"/>
      <c r="BT32" s="763"/>
      <c r="BU32" s="763"/>
      <c r="BV32" s="763"/>
      <c r="BW32" s="763"/>
      <c r="BX32" s="763"/>
      <c r="BY32" s="763"/>
      <c r="BZ32" s="763"/>
      <c r="CA32" s="763"/>
      <c r="CB32" s="763"/>
      <c r="CC32" s="763"/>
      <c r="CD32" s="763"/>
      <c r="CE32" s="763"/>
      <c r="CF32" s="763"/>
      <c r="CG32" s="763"/>
      <c r="CH32" s="763"/>
      <c r="CI32" s="763"/>
      <c r="CJ32" s="763"/>
      <c r="CK32" s="763"/>
      <c r="CL32" s="763"/>
      <c r="CM32" s="763"/>
      <c r="CN32" s="763"/>
      <c r="CO32" s="763"/>
      <c r="CP32" s="763"/>
      <c r="CQ32" s="763"/>
      <c r="CR32" s="763"/>
      <c r="CS32" s="763"/>
      <c r="CT32" s="763"/>
      <c r="CU32" s="763"/>
      <c r="CV32" s="763"/>
      <c r="CW32" s="763"/>
      <c r="CX32" s="763"/>
      <c r="CY32" s="763"/>
      <c r="CZ32" s="763"/>
      <c r="DA32" s="763"/>
      <c r="DB32" s="763"/>
      <c r="DC32" s="763"/>
      <c r="DD32" s="763"/>
      <c r="DE32" s="763"/>
      <c r="DF32" s="763"/>
      <c r="DG32" s="763"/>
      <c r="DH32" s="763"/>
      <c r="DI32" s="763"/>
      <c r="DJ32" s="763"/>
      <c r="DK32" s="763"/>
      <c r="DL32" s="763"/>
      <c r="DM32" s="763"/>
      <c r="DN32" s="763"/>
      <c r="DO32" s="763"/>
      <c r="DP32" s="763"/>
      <c r="DQ32" s="763"/>
      <c r="DR32" s="763"/>
      <c r="DS32" s="763"/>
      <c r="DT32" s="763"/>
      <c r="DU32" s="763"/>
      <c r="DV32" s="763"/>
      <c r="DW32" s="763"/>
      <c r="DX32" s="763"/>
      <c r="DY32" s="763"/>
      <c r="DZ32" s="763"/>
      <c r="EA32" s="763"/>
    </row>
    <row r="33" spans="1:131" s="899" customFormat="1" ht="39" customHeight="1" x14ac:dyDescent="0.2">
      <c r="A33" s="533" t="s">
        <v>496</v>
      </c>
      <c r="B33" s="1276" t="s">
        <v>1221</v>
      </c>
      <c r="C33" s="1276"/>
      <c r="D33" s="1276"/>
      <c r="E33" s="1276"/>
      <c r="F33" s="1276"/>
      <c r="G33" s="1276"/>
      <c r="H33" s="761"/>
      <c r="I33" s="761"/>
      <c r="J33" s="772"/>
      <c r="K33" s="1366" t="s">
        <v>1222</v>
      </c>
      <c r="L33" s="1366" t="s">
        <v>1223</v>
      </c>
      <c r="M33" s="1366" t="s">
        <v>1224</v>
      </c>
      <c r="N33" s="1366" t="s">
        <v>1225</v>
      </c>
      <c r="O33" s="480"/>
      <c r="P33" s="766"/>
      <c r="Q33" s="480"/>
      <c r="R33" s="763"/>
      <c r="S33" s="763"/>
      <c r="T33" s="763"/>
      <c r="U33" s="763"/>
      <c r="V33" s="763"/>
      <c r="W33" s="763"/>
      <c r="X33" s="763"/>
      <c r="Y33" s="763"/>
      <c r="Z33" s="763"/>
      <c r="AA33" s="763"/>
      <c r="AB33" s="763"/>
      <c r="AC33" s="763"/>
      <c r="AD33" s="763"/>
      <c r="AE33" s="763"/>
      <c r="AF33" s="763"/>
      <c r="AG33" s="763"/>
      <c r="AH33" s="763"/>
      <c r="AI33" s="763"/>
      <c r="AJ33" s="763"/>
      <c r="AK33" s="763"/>
      <c r="AL33" s="763"/>
      <c r="AM33" s="763"/>
      <c r="AN33" s="763"/>
      <c r="AO33" s="763"/>
      <c r="AP33" s="763"/>
      <c r="AQ33" s="763"/>
      <c r="AR33" s="763"/>
      <c r="AS33" s="763"/>
      <c r="AT33" s="763"/>
      <c r="AU33" s="763"/>
      <c r="AV33" s="763"/>
      <c r="AW33" s="763"/>
      <c r="AX33" s="763"/>
      <c r="AY33" s="763"/>
      <c r="AZ33" s="763"/>
      <c r="BA33" s="763"/>
      <c r="BB33" s="763"/>
      <c r="BC33" s="763"/>
      <c r="BD33" s="763"/>
      <c r="BE33" s="763"/>
      <c r="BF33" s="763"/>
      <c r="BG33" s="763"/>
      <c r="BH33" s="763"/>
      <c r="BI33" s="763"/>
      <c r="BJ33" s="763"/>
      <c r="BK33" s="763"/>
      <c r="BL33" s="763"/>
      <c r="BM33" s="763"/>
      <c r="BN33" s="763"/>
      <c r="BO33" s="763"/>
      <c r="BP33" s="763"/>
      <c r="BQ33" s="763"/>
      <c r="BR33" s="763"/>
      <c r="BS33" s="763"/>
      <c r="BT33" s="763"/>
      <c r="BU33" s="763"/>
      <c r="BV33" s="763"/>
      <c r="BW33" s="763"/>
      <c r="BX33" s="763"/>
      <c r="BY33" s="763"/>
      <c r="BZ33" s="763"/>
      <c r="CA33" s="763"/>
      <c r="CB33" s="763"/>
      <c r="CC33" s="763"/>
      <c r="CD33" s="763"/>
      <c r="CE33" s="763"/>
      <c r="CF33" s="763"/>
      <c r="CG33" s="763"/>
      <c r="CH33" s="763"/>
      <c r="CI33" s="763"/>
      <c r="CJ33" s="763"/>
      <c r="CK33" s="763"/>
      <c r="CL33" s="763"/>
      <c r="CM33" s="763"/>
      <c r="CN33" s="763"/>
      <c r="CO33" s="763"/>
      <c r="CP33" s="763"/>
      <c r="CQ33" s="763"/>
      <c r="CR33" s="763"/>
      <c r="CS33" s="763"/>
      <c r="CT33" s="763"/>
      <c r="CU33" s="763"/>
      <c r="CV33" s="763"/>
      <c r="CW33" s="763"/>
      <c r="CX33" s="763"/>
      <c r="CY33" s="763"/>
      <c r="CZ33" s="763"/>
      <c r="DA33" s="763"/>
      <c r="DB33" s="763"/>
      <c r="DC33" s="763"/>
      <c r="DD33" s="763"/>
      <c r="DE33" s="763"/>
      <c r="DF33" s="763"/>
      <c r="DG33" s="763"/>
      <c r="DH33" s="763"/>
      <c r="DI33" s="763"/>
      <c r="DJ33" s="763"/>
      <c r="DK33" s="763"/>
      <c r="DL33" s="763"/>
      <c r="DM33" s="763"/>
      <c r="DN33" s="763"/>
      <c r="DO33" s="763"/>
      <c r="DP33" s="763"/>
      <c r="DQ33" s="763"/>
      <c r="DR33" s="763"/>
      <c r="DS33" s="763"/>
      <c r="DT33" s="763"/>
      <c r="DU33" s="763"/>
      <c r="DV33" s="763"/>
      <c r="DW33" s="763"/>
      <c r="DX33" s="763"/>
      <c r="DY33" s="763"/>
      <c r="DZ33" s="763"/>
      <c r="EA33" s="763"/>
    </row>
    <row r="34" spans="1:131" s="899" customFormat="1" ht="38.25" customHeight="1" x14ac:dyDescent="0.2">
      <c r="A34" s="533" t="s">
        <v>498</v>
      </c>
      <c r="B34" s="1276" t="s">
        <v>346</v>
      </c>
      <c r="C34" s="1276"/>
      <c r="D34" s="1276"/>
      <c r="E34" s="1276"/>
      <c r="F34" s="1276"/>
      <c r="G34" s="1276"/>
      <c r="H34" s="761"/>
      <c r="I34" s="761"/>
      <c r="J34" s="772"/>
      <c r="K34" s="1367"/>
      <c r="L34" s="1367"/>
      <c r="M34" s="1367"/>
      <c r="N34" s="1367"/>
      <c r="O34" s="480"/>
      <c r="P34" s="766"/>
      <c r="Q34" s="480"/>
      <c r="R34" s="763"/>
      <c r="S34" s="763"/>
      <c r="T34" s="763"/>
      <c r="U34" s="763"/>
      <c r="V34" s="763"/>
      <c r="W34" s="763"/>
      <c r="X34" s="763"/>
      <c r="Y34" s="763"/>
      <c r="Z34" s="763"/>
      <c r="AA34" s="763"/>
      <c r="AB34" s="763"/>
      <c r="AC34" s="763"/>
      <c r="AD34" s="763"/>
      <c r="AE34" s="763"/>
      <c r="AF34" s="763"/>
      <c r="AG34" s="763"/>
      <c r="AH34" s="763"/>
      <c r="AI34" s="763"/>
      <c r="AJ34" s="763"/>
      <c r="AK34" s="763"/>
      <c r="AL34" s="763"/>
      <c r="AM34" s="763"/>
      <c r="AN34" s="763"/>
      <c r="AO34" s="763"/>
      <c r="AP34" s="763"/>
      <c r="AQ34" s="763"/>
      <c r="AR34" s="763"/>
      <c r="AS34" s="763"/>
      <c r="AT34" s="763"/>
      <c r="AU34" s="763"/>
      <c r="AV34" s="763"/>
      <c r="AW34" s="763"/>
      <c r="AX34" s="763"/>
      <c r="AY34" s="763"/>
      <c r="AZ34" s="763"/>
      <c r="BA34" s="763"/>
      <c r="BB34" s="763"/>
      <c r="BC34" s="763"/>
      <c r="BD34" s="763"/>
      <c r="BE34" s="763"/>
      <c r="BF34" s="763"/>
      <c r="BG34" s="763"/>
      <c r="BH34" s="763"/>
      <c r="BI34" s="763"/>
      <c r="BJ34" s="763"/>
      <c r="BK34" s="763"/>
      <c r="BL34" s="763"/>
      <c r="BM34" s="763"/>
      <c r="BN34" s="763"/>
      <c r="BO34" s="763"/>
      <c r="BP34" s="763"/>
      <c r="BQ34" s="763"/>
      <c r="BR34" s="763"/>
      <c r="BS34" s="763"/>
      <c r="BT34" s="763"/>
      <c r="BU34" s="763"/>
      <c r="BV34" s="763"/>
      <c r="BW34" s="763"/>
      <c r="BX34" s="763"/>
      <c r="BY34" s="763"/>
      <c r="BZ34" s="763"/>
      <c r="CA34" s="763"/>
      <c r="CB34" s="763"/>
      <c r="CC34" s="763"/>
      <c r="CD34" s="763"/>
      <c r="CE34" s="763"/>
      <c r="CF34" s="763"/>
      <c r="CG34" s="763"/>
      <c r="CH34" s="763"/>
      <c r="CI34" s="763"/>
      <c r="CJ34" s="763"/>
      <c r="CK34" s="763"/>
      <c r="CL34" s="763"/>
      <c r="CM34" s="763"/>
      <c r="CN34" s="763"/>
      <c r="CO34" s="763"/>
      <c r="CP34" s="763"/>
      <c r="CQ34" s="763"/>
      <c r="CR34" s="763"/>
      <c r="CS34" s="763"/>
      <c r="CT34" s="763"/>
      <c r="CU34" s="763"/>
      <c r="CV34" s="763"/>
      <c r="CW34" s="763"/>
      <c r="CX34" s="763"/>
      <c r="CY34" s="763"/>
      <c r="CZ34" s="763"/>
      <c r="DA34" s="763"/>
      <c r="DB34" s="763"/>
      <c r="DC34" s="763"/>
      <c r="DD34" s="763"/>
      <c r="DE34" s="763"/>
      <c r="DF34" s="763"/>
      <c r="DG34" s="763"/>
      <c r="DH34" s="763"/>
      <c r="DI34" s="763"/>
      <c r="DJ34" s="763"/>
      <c r="DK34" s="763"/>
      <c r="DL34" s="763"/>
      <c r="DM34" s="763"/>
      <c r="DN34" s="763"/>
      <c r="DO34" s="763"/>
      <c r="DP34" s="763"/>
      <c r="DQ34" s="763"/>
      <c r="DR34" s="763"/>
      <c r="DS34" s="763"/>
      <c r="DT34" s="763"/>
      <c r="DU34" s="763"/>
      <c r="DV34" s="763"/>
      <c r="DW34" s="763"/>
      <c r="DX34" s="763"/>
      <c r="DY34" s="763"/>
      <c r="DZ34" s="763"/>
      <c r="EA34" s="763"/>
    </row>
    <row r="35" spans="1:131" s="899" customFormat="1" ht="13.5" customHeight="1" x14ac:dyDescent="0.2">
      <c r="A35" s="533" t="s">
        <v>500</v>
      </c>
      <c r="B35" s="1368" t="s">
        <v>347</v>
      </c>
      <c r="C35" s="1368"/>
      <c r="D35" s="1368"/>
      <c r="E35" s="1368"/>
      <c r="F35" s="1368"/>
      <c r="G35" s="1368"/>
      <c r="H35" s="764"/>
      <c r="I35" s="764"/>
      <c r="J35" s="773"/>
      <c r="K35" s="753">
        <v>1</v>
      </c>
      <c r="L35" s="765">
        <v>0.4</v>
      </c>
      <c r="M35" s="1369" t="s">
        <v>348</v>
      </c>
      <c r="N35" s="1369">
        <v>1</v>
      </c>
      <c r="O35" s="480"/>
      <c r="P35" s="766"/>
      <c r="Q35" s="480"/>
      <c r="R35" s="763"/>
      <c r="S35" s="763"/>
      <c r="T35" s="763"/>
      <c r="U35" s="763"/>
      <c r="V35" s="763"/>
      <c r="W35" s="763"/>
      <c r="X35" s="763"/>
      <c r="Y35" s="763"/>
      <c r="Z35" s="763"/>
      <c r="AA35" s="763"/>
      <c r="AB35" s="763"/>
      <c r="AC35" s="763"/>
      <c r="AD35" s="763"/>
      <c r="AE35" s="763"/>
      <c r="AF35" s="763"/>
      <c r="AG35" s="763"/>
      <c r="AH35" s="763"/>
      <c r="AI35" s="763"/>
      <c r="AJ35" s="763"/>
      <c r="AK35" s="763"/>
      <c r="AL35" s="763"/>
      <c r="AM35" s="763"/>
      <c r="AN35" s="763"/>
      <c r="AO35" s="763"/>
      <c r="AP35" s="763"/>
      <c r="AQ35" s="763"/>
      <c r="AR35" s="763"/>
      <c r="AS35" s="763"/>
      <c r="AT35" s="763"/>
      <c r="AU35" s="763"/>
      <c r="AV35" s="763"/>
      <c r="AW35" s="763"/>
      <c r="AX35" s="763"/>
      <c r="AY35" s="763"/>
      <c r="AZ35" s="763"/>
      <c r="BA35" s="763"/>
      <c r="BB35" s="763"/>
      <c r="BC35" s="763"/>
      <c r="BD35" s="763"/>
      <c r="BE35" s="763"/>
      <c r="BF35" s="763"/>
      <c r="BG35" s="763"/>
      <c r="BH35" s="763"/>
      <c r="BI35" s="763"/>
      <c r="BJ35" s="763"/>
      <c r="BK35" s="763"/>
      <c r="BL35" s="763"/>
      <c r="BM35" s="763"/>
      <c r="BN35" s="763"/>
      <c r="BO35" s="763"/>
      <c r="BP35" s="763"/>
      <c r="BQ35" s="763"/>
      <c r="BR35" s="763"/>
      <c r="BS35" s="763"/>
      <c r="BT35" s="763"/>
      <c r="BU35" s="763"/>
      <c r="BV35" s="763"/>
      <c r="BW35" s="763"/>
      <c r="BX35" s="763"/>
      <c r="BY35" s="763"/>
      <c r="BZ35" s="763"/>
      <c r="CA35" s="763"/>
      <c r="CB35" s="763"/>
      <c r="CC35" s="763"/>
      <c r="CD35" s="763"/>
      <c r="CE35" s="763"/>
      <c r="CF35" s="763"/>
      <c r="CG35" s="763"/>
      <c r="CH35" s="763"/>
      <c r="CI35" s="763"/>
      <c r="CJ35" s="763"/>
      <c r="CK35" s="763"/>
      <c r="CL35" s="763"/>
      <c r="CM35" s="763"/>
      <c r="CN35" s="763"/>
      <c r="CO35" s="763"/>
      <c r="CP35" s="763"/>
      <c r="CQ35" s="763"/>
      <c r="CR35" s="763"/>
      <c r="CS35" s="763"/>
      <c r="CT35" s="763"/>
      <c r="CU35" s="763"/>
      <c r="CV35" s="763"/>
      <c r="CW35" s="763"/>
      <c r="CX35" s="763"/>
      <c r="CY35" s="763"/>
      <c r="CZ35" s="763"/>
      <c r="DA35" s="763"/>
      <c r="DB35" s="763"/>
      <c r="DC35" s="763"/>
      <c r="DD35" s="763"/>
      <c r="DE35" s="763"/>
      <c r="DF35" s="763"/>
      <c r="DG35" s="763"/>
      <c r="DH35" s="763"/>
      <c r="DI35" s="763"/>
      <c r="DJ35" s="763"/>
      <c r="DK35" s="763"/>
      <c r="DL35" s="763"/>
      <c r="DM35" s="763"/>
      <c r="DN35" s="763"/>
      <c r="DO35" s="763"/>
      <c r="DP35" s="763"/>
      <c r="DQ35" s="763"/>
      <c r="DR35" s="763"/>
      <c r="DS35" s="763"/>
      <c r="DT35" s="763"/>
      <c r="DU35" s="763"/>
      <c r="DV35" s="763"/>
      <c r="DW35" s="763"/>
      <c r="DX35" s="763"/>
      <c r="DY35" s="763"/>
      <c r="DZ35" s="763"/>
      <c r="EA35" s="763"/>
    </row>
    <row r="36" spans="1:131" s="899" customFormat="1" ht="12" customHeight="1" x14ac:dyDescent="0.2">
      <c r="A36" s="426"/>
      <c r="B36" s="426"/>
      <c r="C36" s="426"/>
      <c r="D36" s="426"/>
      <c r="E36" s="426"/>
      <c r="F36" s="426"/>
      <c r="G36" s="426"/>
      <c r="H36" s="426"/>
      <c r="I36" s="426"/>
      <c r="J36" s="480"/>
      <c r="K36" s="753">
        <v>2</v>
      </c>
      <c r="L36" s="765">
        <v>0.3</v>
      </c>
      <c r="M36" s="1370"/>
      <c r="N36" s="1370"/>
      <c r="O36" s="480"/>
      <c r="P36" s="766"/>
      <c r="Q36" s="480"/>
      <c r="R36" s="763"/>
      <c r="S36" s="763"/>
      <c r="T36" s="763"/>
      <c r="U36" s="763"/>
      <c r="V36" s="763"/>
      <c r="W36" s="763"/>
      <c r="X36" s="763"/>
      <c r="Y36" s="763"/>
      <c r="Z36" s="763"/>
      <c r="AA36" s="763"/>
      <c r="AB36" s="763"/>
      <c r="AC36" s="763"/>
      <c r="AD36" s="763"/>
      <c r="AE36" s="763"/>
      <c r="AF36" s="763"/>
      <c r="AG36" s="763"/>
      <c r="AH36" s="763"/>
      <c r="AI36" s="763"/>
      <c r="AJ36" s="763"/>
      <c r="AK36" s="763"/>
      <c r="AL36" s="763"/>
      <c r="AM36" s="763"/>
      <c r="AN36" s="763"/>
      <c r="AO36" s="763"/>
      <c r="AP36" s="763"/>
      <c r="AQ36" s="763"/>
      <c r="AR36" s="763"/>
      <c r="AS36" s="763"/>
      <c r="AT36" s="763"/>
      <c r="AU36" s="763"/>
      <c r="AV36" s="763"/>
      <c r="AW36" s="763"/>
      <c r="AX36" s="763"/>
      <c r="AY36" s="763"/>
      <c r="AZ36" s="763"/>
      <c r="BA36" s="763"/>
      <c r="BB36" s="763"/>
      <c r="BC36" s="763"/>
      <c r="BD36" s="763"/>
      <c r="BE36" s="763"/>
      <c r="BF36" s="763"/>
      <c r="BG36" s="763"/>
      <c r="BH36" s="763"/>
      <c r="BI36" s="763"/>
      <c r="BJ36" s="763"/>
      <c r="BK36" s="763"/>
      <c r="BL36" s="763"/>
      <c r="BM36" s="763"/>
      <c r="BN36" s="763"/>
      <c r="BO36" s="763"/>
      <c r="BP36" s="763"/>
      <c r="BQ36" s="763"/>
      <c r="BR36" s="763"/>
      <c r="BS36" s="763"/>
      <c r="BT36" s="763"/>
      <c r="BU36" s="763"/>
      <c r="BV36" s="763"/>
      <c r="BW36" s="763"/>
      <c r="BX36" s="763"/>
      <c r="BY36" s="763"/>
      <c r="BZ36" s="763"/>
      <c r="CA36" s="763"/>
      <c r="CB36" s="763"/>
      <c r="CC36" s="763"/>
      <c r="CD36" s="763"/>
      <c r="CE36" s="763"/>
      <c r="CF36" s="763"/>
      <c r="CG36" s="763"/>
      <c r="CH36" s="763"/>
      <c r="CI36" s="763"/>
      <c r="CJ36" s="763"/>
      <c r="CK36" s="763"/>
      <c r="CL36" s="763"/>
      <c r="CM36" s="763"/>
      <c r="CN36" s="763"/>
      <c r="CO36" s="763"/>
      <c r="CP36" s="763"/>
      <c r="CQ36" s="763"/>
      <c r="CR36" s="763"/>
      <c r="CS36" s="763"/>
      <c r="CT36" s="763"/>
      <c r="CU36" s="763"/>
      <c r="CV36" s="763"/>
      <c r="CW36" s="763"/>
      <c r="CX36" s="763"/>
      <c r="CY36" s="763"/>
      <c r="CZ36" s="763"/>
      <c r="DA36" s="763"/>
      <c r="DB36" s="763"/>
      <c r="DC36" s="763"/>
      <c r="DD36" s="763"/>
      <c r="DE36" s="763"/>
      <c r="DF36" s="763"/>
      <c r="DG36" s="763"/>
      <c r="DH36" s="763"/>
      <c r="DI36" s="763"/>
      <c r="DJ36" s="763"/>
      <c r="DK36" s="763"/>
      <c r="DL36" s="763"/>
      <c r="DM36" s="763"/>
      <c r="DN36" s="763"/>
      <c r="DO36" s="763"/>
      <c r="DP36" s="763"/>
      <c r="DQ36" s="763"/>
      <c r="DR36" s="763"/>
      <c r="DS36" s="763"/>
      <c r="DT36" s="763"/>
      <c r="DU36" s="763"/>
      <c r="DV36" s="763"/>
      <c r="DW36" s="763"/>
      <c r="DX36" s="763"/>
      <c r="DY36" s="763"/>
      <c r="DZ36" s="763"/>
      <c r="EA36" s="763"/>
    </row>
    <row r="37" spans="1:131" s="899" customFormat="1" ht="12" customHeight="1" x14ac:dyDescent="0.2">
      <c r="A37" s="426"/>
      <c r="B37" s="426"/>
      <c r="C37" s="426"/>
      <c r="D37" s="426"/>
      <c r="E37" s="426"/>
      <c r="F37" s="426"/>
      <c r="G37" s="426"/>
      <c r="H37" s="426"/>
      <c r="I37" s="426"/>
      <c r="J37" s="480"/>
      <c r="K37" s="753">
        <v>3</v>
      </c>
      <c r="L37" s="765">
        <v>0.3</v>
      </c>
      <c r="M37" s="1371"/>
      <c r="N37" s="1371"/>
      <c r="O37" s="480"/>
      <c r="P37" s="766"/>
      <c r="Q37" s="480"/>
      <c r="R37" s="763"/>
      <c r="S37" s="763"/>
      <c r="T37" s="763"/>
      <c r="U37" s="763"/>
      <c r="V37" s="763"/>
      <c r="W37" s="763"/>
      <c r="X37" s="763"/>
      <c r="Y37" s="763"/>
      <c r="Z37" s="763"/>
      <c r="AA37" s="763"/>
      <c r="AB37" s="763"/>
      <c r="AC37" s="763"/>
      <c r="AD37" s="763"/>
      <c r="AE37" s="763"/>
      <c r="AF37" s="763"/>
      <c r="AG37" s="763"/>
      <c r="AH37" s="763"/>
      <c r="AI37" s="763"/>
      <c r="AJ37" s="763"/>
      <c r="AK37" s="763"/>
      <c r="AL37" s="763"/>
      <c r="AM37" s="763"/>
      <c r="AN37" s="763"/>
      <c r="AO37" s="763"/>
      <c r="AP37" s="763"/>
      <c r="AQ37" s="763"/>
      <c r="AR37" s="763"/>
      <c r="AS37" s="763"/>
      <c r="AT37" s="763"/>
      <c r="AU37" s="763"/>
      <c r="AV37" s="763"/>
      <c r="AW37" s="763"/>
      <c r="AX37" s="763"/>
      <c r="AY37" s="763"/>
      <c r="AZ37" s="763"/>
      <c r="BA37" s="763"/>
      <c r="BB37" s="763"/>
      <c r="BC37" s="763"/>
      <c r="BD37" s="763"/>
      <c r="BE37" s="763"/>
      <c r="BF37" s="763"/>
      <c r="BG37" s="763"/>
      <c r="BH37" s="763"/>
      <c r="BI37" s="763"/>
      <c r="BJ37" s="763"/>
      <c r="BK37" s="763"/>
      <c r="BL37" s="763"/>
      <c r="BM37" s="763"/>
      <c r="BN37" s="763"/>
      <c r="BO37" s="763"/>
      <c r="BP37" s="763"/>
      <c r="BQ37" s="763"/>
      <c r="BR37" s="763"/>
      <c r="BS37" s="763"/>
      <c r="BT37" s="763"/>
      <c r="BU37" s="763"/>
      <c r="BV37" s="763"/>
      <c r="BW37" s="763"/>
      <c r="BX37" s="763"/>
      <c r="BY37" s="763"/>
      <c r="BZ37" s="763"/>
      <c r="CA37" s="763"/>
      <c r="CB37" s="763"/>
      <c r="CC37" s="763"/>
      <c r="CD37" s="763"/>
      <c r="CE37" s="763"/>
      <c r="CF37" s="763"/>
      <c r="CG37" s="763"/>
      <c r="CH37" s="763"/>
      <c r="CI37" s="763"/>
      <c r="CJ37" s="763"/>
      <c r="CK37" s="763"/>
      <c r="CL37" s="763"/>
      <c r="CM37" s="763"/>
      <c r="CN37" s="763"/>
      <c r="CO37" s="763"/>
      <c r="CP37" s="763"/>
      <c r="CQ37" s="763"/>
      <c r="CR37" s="763"/>
      <c r="CS37" s="763"/>
      <c r="CT37" s="763"/>
      <c r="CU37" s="763"/>
      <c r="CV37" s="763"/>
      <c r="CW37" s="763"/>
      <c r="CX37" s="763"/>
      <c r="CY37" s="763"/>
      <c r="CZ37" s="763"/>
      <c r="DA37" s="763"/>
      <c r="DB37" s="763"/>
      <c r="DC37" s="763"/>
      <c r="DD37" s="763"/>
      <c r="DE37" s="763"/>
      <c r="DF37" s="763"/>
      <c r="DG37" s="763"/>
      <c r="DH37" s="763"/>
      <c r="DI37" s="763"/>
      <c r="DJ37" s="763"/>
      <c r="DK37" s="763"/>
      <c r="DL37" s="763"/>
      <c r="DM37" s="763"/>
      <c r="DN37" s="763"/>
      <c r="DO37" s="763"/>
      <c r="DP37" s="763"/>
      <c r="DQ37" s="763"/>
      <c r="DR37" s="763"/>
      <c r="DS37" s="763"/>
      <c r="DT37" s="763"/>
      <c r="DU37" s="763"/>
      <c r="DV37" s="763"/>
      <c r="DW37" s="763"/>
      <c r="DX37" s="763"/>
      <c r="DY37" s="763"/>
      <c r="DZ37" s="763"/>
      <c r="EA37" s="763"/>
    </row>
    <row r="38" spans="1:131" x14ac:dyDescent="0.2">
      <c r="A38" s="899"/>
      <c r="B38" s="899"/>
      <c r="C38" s="899"/>
      <c r="D38" s="899"/>
      <c r="E38" s="899"/>
      <c r="F38" s="899"/>
      <c r="G38" s="899"/>
      <c r="H38" s="899"/>
      <c r="I38" s="899"/>
      <c r="J38" s="763"/>
      <c r="K38" s="899"/>
      <c r="L38" s="899"/>
      <c r="M38" s="899"/>
      <c r="N38" s="899"/>
      <c r="O38" s="763"/>
      <c r="P38" s="762"/>
      <c r="Q38" s="763"/>
      <c r="R38" s="763"/>
      <c r="S38" s="763"/>
      <c r="T38" s="763"/>
      <c r="U38" s="763"/>
      <c r="V38" s="763"/>
      <c r="W38" s="763"/>
      <c r="X38" s="763"/>
      <c r="Y38" s="763"/>
      <c r="Z38" s="763"/>
      <c r="AA38" s="763"/>
      <c r="AB38" s="763"/>
      <c r="AC38" s="763"/>
      <c r="AD38" s="763"/>
      <c r="AE38" s="763"/>
      <c r="AF38" s="763"/>
    </row>
    <row r="39" spans="1:131" x14ac:dyDescent="0.2">
      <c r="A39" s="899"/>
      <c r="B39" s="899"/>
      <c r="C39" s="899"/>
      <c r="D39" s="899"/>
      <c r="E39" s="899"/>
      <c r="F39" s="899"/>
      <c r="G39" s="899"/>
      <c r="H39" s="899"/>
      <c r="I39" s="899"/>
      <c r="J39" s="763"/>
      <c r="K39" s="763"/>
      <c r="L39" s="763"/>
      <c r="M39" s="763"/>
      <c r="N39" s="763"/>
      <c r="O39" s="763"/>
      <c r="P39" s="762"/>
      <c r="Q39" s="763"/>
      <c r="R39" s="763"/>
      <c r="S39" s="763"/>
      <c r="T39" s="763"/>
      <c r="U39" s="763"/>
      <c r="V39" s="763"/>
      <c r="W39" s="763"/>
      <c r="X39" s="763"/>
      <c r="Y39" s="763"/>
      <c r="Z39" s="763"/>
      <c r="AA39" s="763"/>
      <c r="AB39" s="763"/>
      <c r="AC39" s="763"/>
      <c r="AD39" s="763"/>
      <c r="AE39" s="763"/>
      <c r="AF39" s="763"/>
    </row>
    <row r="40" spans="1:131" x14ac:dyDescent="0.2">
      <c r="A40" s="899"/>
      <c r="B40" s="899"/>
      <c r="C40" s="899"/>
      <c r="D40" s="899"/>
      <c r="E40" s="899"/>
      <c r="F40" s="899"/>
      <c r="G40" s="899"/>
      <c r="H40" s="899"/>
      <c r="I40" s="899"/>
      <c r="J40" s="763"/>
      <c r="K40" s="763"/>
      <c r="L40" s="763"/>
      <c r="M40" s="763"/>
      <c r="N40" s="763"/>
      <c r="O40" s="763"/>
      <c r="P40" s="762"/>
      <c r="Q40" s="763"/>
      <c r="R40" s="763"/>
      <c r="S40" s="763"/>
      <c r="T40" s="763"/>
      <c r="U40" s="763"/>
      <c r="V40" s="763"/>
      <c r="W40" s="763"/>
      <c r="X40" s="763"/>
      <c r="Y40" s="763"/>
      <c r="Z40" s="763"/>
      <c r="AA40" s="763"/>
      <c r="AB40" s="763"/>
      <c r="AC40" s="763"/>
      <c r="AD40" s="763"/>
      <c r="AE40" s="763"/>
      <c r="AF40" s="763"/>
    </row>
    <row r="41" spans="1:131" x14ac:dyDescent="0.2">
      <c r="A41" s="899"/>
      <c r="B41" s="899"/>
      <c r="C41" s="899"/>
      <c r="D41" s="899"/>
      <c r="E41" s="899"/>
      <c r="F41" s="899"/>
      <c r="G41" s="899"/>
      <c r="H41" s="899"/>
      <c r="I41" s="899"/>
      <c r="J41" s="763"/>
      <c r="K41" s="763"/>
      <c r="L41" s="763"/>
      <c r="M41" s="763"/>
      <c r="N41" s="763"/>
      <c r="O41" s="763"/>
      <c r="P41" s="762"/>
      <c r="Q41" s="763"/>
      <c r="R41" s="763"/>
      <c r="S41" s="763"/>
      <c r="T41" s="763"/>
      <c r="U41" s="763"/>
      <c r="V41" s="763"/>
      <c r="W41" s="763"/>
      <c r="X41" s="763"/>
      <c r="Y41" s="763"/>
      <c r="Z41" s="763"/>
      <c r="AA41" s="763"/>
      <c r="AB41" s="763"/>
      <c r="AC41" s="763"/>
      <c r="AD41" s="763"/>
      <c r="AE41" s="763"/>
      <c r="AF41" s="763"/>
    </row>
    <row r="42" spans="1:131" x14ac:dyDescent="0.2">
      <c r="A42" s="899"/>
      <c r="B42" s="899"/>
      <c r="C42" s="899"/>
      <c r="D42" s="899"/>
      <c r="E42" s="899"/>
      <c r="F42" s="899"/>
      <c r="G42" s="899"/>
      <c r="H42" s="899"/>
      <c r="I42" s="899"/>
      <c r="J42" s="763"/>
      <c r="K42" s="763"/>
      <c r="L42" s="763"/>
      <c r="M42" s="763"/>
      <c r="N42" s="763"/>
      <c r="O42" s="763"/>
      <c r="P42" s="762"/>
      <c r="Q42" s="763"/>
      <c r="R42" s="763"/>
      <c r="S42" s="763"/>
      <c r="T42" s="763"/>
      <c r="U42" s="763"/>
      <c r="V42" s="763"/>
      <c r="W42" s="763"/>
      <c r="X42" s="763"/>
      <c r="Y42" s="763"/>
      <c r="Z42" s="763"/>
      <c r="AA42" s="763"/>
      <c r="AB42" s="763"/>
      <c r="AC42" s="763"/>
      <c r="AD42" s="763"/>
      <c r="AE42" s="763"/>
      <c r="AF42" s="763"/>
    </row>
  </sheetData>
  <sheetProtection password="F86F" sheet="1" objects="1" scenarios="1"/>
  <mergeCells count="79">
    <mergeCell ref="N33:N34"/>
    <mergeCell ref="B34:G34"/>
    <mergeCell ref="B35:G35"/>
    <mergeCell ref="M35:M37"/>
    <mergeCell ref="N35:N37"/>
    <mergeCell ref="B33:G33"/>
    <mergeCell ref="K33:K34"/>
    <mergeCell ref="L33:L34"/>
    <mergeCell ref="M33:M34"/>
    <mergeCell ref="B30:D30"/>
    <mergeCell ref="B32:G32"/>
    <mergeCell ref="K32:N32"/>
    <mergeCell ref="B28:D29"/>
    <mergeCell ref="I28:I29"/>
    <mergeCell ref="J28:L28"/>
    <mergeCell ref="M28:O28"/>
    <mergeCell ref="B17:B24"/>
    <mergeCell ref="D17:E17"/>
    <mergeCell ref="P28:P29"/>
    <mergeCell ref="Q28:Q29"/>
    <mergeCell ref="D24:E24"/>
    <mergeCell ref="C25:E25"/>
    <mergeCell ref="C26:D26"/>
    <mergeCell ref="P26:Q26"/>
    <mergeCell ref="Y17:Y24"/>
    <mergeCell ref="Z17:Z24"/>
    <mergeCell ref="D18:E18"/>
    <mergeCell ref="D19:E19"/>
    <mergeCell ref="D20:E20"/>
    <mergeCell ref="D21:E21"/>
    <mergeCell ref="D22:E22"/>
    <mergeCell ref="D23:E23"/>
    <mergeCell ref="AA10:AA16"/>
    <mergeCell ref="AB10:AB13"/>
    <mergeCell ref="AC10:AC13"/>
    <mergeCell ref="AD10:AD13"/>
    <mergeCell ref="D15:E15"/>
    <mergeCell ref="D16:E16"/>
    <mergeCell ref="AE10:AE24"/>
    <mergeCell ref="D11:E11"/>
    <mergeCell ref="D12:E12"/>
    <mergeCell ref="D13:E13"/>
    <mergeCell ref="AB14:AB16"/>
    <mergeCell ref="AC14:AC24"/>
    <mergeCell ref="AD14:AD16"/>
    <mergeCell ref="AA17:AA24"/>
    <mergeCell ref="AB17:AB24"/>
    <mergeCell ref="AD17:AD24"/>
    <mergeCell ref="B10:B13"/>
    <mergeCell ref="D10:E10"/>
    <mergeCell ref="Y10:Y13"/>
    <mergeCell ref="Z10:Z13"/>
    <mergeCell ref="B14:B16"/>
    <mergeCell ref="D14:E14"/>
    <mergeCell ref="Y14:Y16"/>
    <mergeCell ref="Z14:Z16"/>
    <mergeCell ref="M2:O2"/>
    <mergeCell ref="O7:O9"/>
    <mergeCell ref="AD7:AD9"/>
    <mergeCell ref="AE7:AE9"/>
    <mergeCell ref="M8:N8"/>
    <mergeCell ref="Z7:Z9"/>
    <mergeCell ref="AA7:AA9"/>
    <mergeCell ref="AB7:AB9"/>
    <mergeCell ref="H7:H9"/>
    <mergeCell ref="I7:N7"/>
    <mergeCell ref="AC7:AC9"/>
    <mergeCell ref="P7:Q8"/>
    <mergeCell ref="V7:V9"/>
    <mergeCell ref="W7:X8"/>
    <mergeCell ref="Y7:Y9"/>
    <mergeCell ref="I8:J8"/>
    <mergeCell ref="K8:L8"/>
    <mergeCell ref="C4:D4"/>
    <mergeCell ref="B7:B9"/>
    <mergeCell ref="C7:E7"/>
    <mergeCell ref="G7:G9"/>
    <mergeCell ref="C8:C9"/>
    <mergeCell ref="D8:E9"/>
  </mergeCells>
  <phoneticPr fontId="36" type="noConversion"/>
  <dataValidations count="1">
    <dataValidation type="decimal" operator="greaterThanOrEqual" allowBlank="1" showInputMessage="1" showErrorMessage="1" sqref="I10:L24">
      <formula1>0</formula1>
    </dataValidation>
  </dataValidations>
  <pageMargins left="0.25" right="0.25" top="1" bottom="1" header="0.5" footer="0.5"/>
  <pageSetup paperSize="9" scale="73" orientation="landscape" r:id="rId1"/>
  <headerFooter alignWithMargins="0">
    <oddHeader>&amp;C&amp;"Arial,Bold"&amp;8 NEW RURAL BANK OF SAN LEONARDO, INC  [ 04-040656 ]
 As of: September 30, 2017</oddHeader>
  </headerFooter>
  <colBreaks count="1" manualBreakCount="1">
    <brk id="15" max="1048575" man="1"/>
  </colBreak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ED42"/>
  <sheetViews>
    <sheetView view="pageBreakPreview" zoomScale="60" zoomScaleNormal="100" workbookViewId="0">
      <selection activeCell="B1" sqref="B1"/>
    </sheetView>
  </sheetViews>
  <sheetFormatPr defaultRowHeight="12.75" x14ac:dyDescent="0.2"/>
  <cols>
    <col min="1" max="1" width="2" style="889" customWidth="1"/>
    <col min="2" max="2" width="6.7109375" style="889" customWidth="1"/>
    <col min="3" max="3" width="21.28515625" style="889" customWidth="1"/>
    <col min="4" max="4" width="17.85546875" style="889" customWidth="1"/>
    <col min="5" max="5" width="5" style="889" customWidth="1"/>
    <col min="6" max="6" width="12.42578125" style="889" hidden="1" customWidth="1"/>
    <col min="7" max="7" width="16.7109375" style="889" bestFit="1" customWidth="1"/>
    <col min="8" max="8" width="19.42578125" style="889" hidden="1" customWidth="1"/>
    <col min="9" max="9" width="15.85546875" style="889" customWidth="1"/>
    <col min="10" max="15" width="15.85546875" style="891" customWidth="1"/>
    <col min="16" max="16" width="15.85546875" style="1012" customWidth="1"/>
    <col min="17" max="17" width="15.85546875" style="891" customWidth="1"/>
    <col min="18" max="18" width="8" style="891" customWidth="1"/>
    <col min="19" max="21" width="10.140625" style="891" customWidth="1"/>
    <col min="22" max="25" width="10.140625" style="891" hidden="1" customWidth="1"/>
    <col min="26" max="31" width="9.140625" style="891" hidden="1" customWidth="1"/>
    <col min="32" max="32" width="8" style="891" customWidth="1"/>
  </cols>
  <sheetData>
    <row r="1" spans="1:132" s="889" customFormat="1" x14ac:dyDescent="0.2">
      <c r="A1" s="426"/>
      <c r="B1" s="426"/>
      <c r="C1" s="426"/>
      <c r="D1" s="426"/>
      <c r="E1" s="426"/>
      <c r="F1" s="426"/>
      <c r="G1" s="426"/>
      <c r="H1" s="426"/>
      <c r="I1" s="426"/>
      <c r="J1" s="480"/>
      <c r="K1" s="480"/>
      <c r="L1" s="480"/>
      <c r="M1" s="480"/>
      <c r="N1" s="480"/>
      <c r="O1" s="480"/>
      <c r="P1" s="766"/>
      <c r="Q1" s="480"/>
      <c r="R1" s="891"/>
      <c r="S1" s="891"/>
      <c r="T1" s="891"/>
      <c r="U1" s="891"/>
      <c r="V1" s="891"/>
      <c r="W1" s="891"/>
      <c r="X1" s="891"/>
      <c r="Y1" s="891"/>
      <c r="Z1" s="891"/>
      <c r="AA1" s="891"/>
      <c r="AB1" s="891"/>
      <c r="AC1" s="891"/>
      <c r="AD1" s="891"/>
      <c r="AE1" s="891"/>
      <c r="AF1" s="891"/>
      <c r="AG1" s="891"/>
      <c r="AH1" s="891"/>
      <c r="AI1" s="891"/>
      <c r="AJ1" s="891"/>
      <c r="AK1" s="891"/>
      <c r="AL1" s="891"/>
      <c r="AM1" s="891"/>
      <c r="AN1" s="891"/>
      <c r="AO1" s="891"/>
      <c r="AP1" s="891"/>
      <c r="AQ1" s="891"/>
      <c r="AR1" s="891"/>
      <c r="AS1" s="891"/>
      <c r="AT1" s="891"/>
      <c r="AU1" s="891"/>
      <c r="AV1" s="891"/>
      <c r="AW1" s="891"/>
      <c r="AX1" s="891"/>
      <c r="AY1" s="891"/>
      <c r="AZ1" s="891"/>
      <c r="BA1" s="891"/>
      <c r="BB1" s="891"/>
      <c r="BC1" s="891"/>
      <c r="BD1" s="891"/>
      <c r="BE1" s="891"/>
      <c r="BF1" s="891"/>
      <c r="BG1" s="891"/>
      <c r="BH1" s="891"/>
      <c r="BI1" s="891"/>
      <c r="BJ1" s="891"/>
      <c r="BK1" s="891"/>
      <c r="BL1" s="891"/>
      <c r="BM1" s="891"/>
      <c r="BN1" s="891"/>
      <c r="BO1" s="891"/>
      <c r="BP1" s="891"/>
      <c r="BQ1" s="891"/>
      <c r="BR1" s="891"/>
      <c r="BS1" s="891"/>
      <c r="BT1" s="891"/>
      <c r="BU1" s="891"/>
      <c r="BV1" s="891"/>
      <c r="BW1" s="891"/>
      <c r="BX1" s="891"/>
      <c r="BY1" s="891"/>
      <c r="BZ1" s="891"/>
      <c r="CA1" s="891"/>
      <c r="CB1" s="891"/>
      <c r="CC1" s="891"/>
      <c r="CD1" s="891"/>
      <c r="CE1" s="891"/>
      <c r="CF1" s="891"/>
      <c r="CG1" s="891"/>
      <c r="CH1" s="891"/>
      <c r="CI1" s="891"/>
      <c r="CJ1" s="891"/>
      <c r="CK1" s="891"/>
      <c r="CL1" s="891"/>
      <c r="CM1" s="891"/>
      <c r="CN1" s="891"/>
      <c r="CO1" s="891"/>
      <c r="CP1" s="891"/>
      <c r="CQ1" s="891"/>
      <c r="CR1" s="891"/>
      <c r="CS1" s="891"/>
      <c r="CT1" s="891"/>
      <c r="CU1" s="891"/>
      <c r="CV1" s="891"/>
      <c r="CW1" s="891"/>
      <c r="CX1" s="891"/>
      <c r="CY1" s="891"/>
      <c r="CZ1" s="891"/>
      <c r="DA1" s="891"/>
      <c r="DB1" s="891"/>
      <c r="DC1" s="891"/>
      <c r="DD1" s="891"/>
      <c r="DE1" s="891"/>
      <c r="DF1" s="891"/>
      <c r="DG1" s="891"/>
      <c r="DH1" s="891"/>
      <c r="DI1" s="891"/>
      <c r="DJ1" s="891"/>
      <c r="DK1" s="891"/>
      <c r="DL1" s="891"/>
      <c r="DM1" s="891"/>
      <c r="DN1" s="891"/>
      <c r="DO1" s="891"/>
      <c r="DP1" s="891"/>
      <c r="DQ1" s="891"/>
      <c r="DR1" s="891"/>
      <c r="DS1" s="891"/>
      <c r="DT1" s="891"/>
      <c r="DU1" s="891"/>
      <c r="DV1" s="891"/>
      <c r="DW1" s="891"/>
      <c r="DX1" s="891"/>
      <c r="DY1" s="891"/>
      <c r="DZ1" s="891"/>
      <c r="EA1" s="891"/>
    </row>
    <row r="2" spans="1:132" s="889" customFormat="1" ht="15.95" customHeight="1" x14ac:dyDescent="0.2">
      <c r="A2" s="426"/>
      <c r="B2" s="680" t="s">
        <v>351</v>
      </c>
      <c r="C2" s="680"/>
      <c r="D2" s="680"/>
      <c r="E2" s="680"/>
      <c r="F2" s="680"/>
      <c r="G2" s="680"/>
      <c r="H2" s="680"/>
      <c r="I2" s="680"/>
      <c r="J2" s="680"/>
      <c r="K2" s="680"/>
      <c r="L2" s="480"/>
      <c r="M2" s="1303"/>
      <c r="N2" s="1303"/>
      <c r="O2" s="1303"/>
      <c r="P2" s="766"/>
      <c r="Q2" s="480"/>
      <c r="R2" s="891"/>
      <c r="S2" s="891"/>
      <c r="T2" s="891"/>
      <c r="U2" s="891"/>
      <c r="V2" s="891" t="s">
        <v>1015</v>
      </c>
      <c r="W2" s="891"/>
      <c r="X2" s="891"/>
      <c r="Y2" s="891"/>
      <c r="Z2" s="891"/>
      <c r="AA2" s="891"/>
      <c r="AB2" s="891"/>
      <c r="AC2" s="891"/>
      <c r="AD2" s="891"/>
      <c r="AE2" s="891"/>
      <c r="AF2" s="891"/>
      <c r="AG2" s="891"/>
      <c r="AH2" s="891"/>
      <c r="AI2" s="891"/>
      <c r="AJ2" s="891"/>
      <c r="AK2" s="891"/>
      <c r="AL2" s="891"/>
      <c r="AM2" s="891"/>
      <c r="AN2" s="891"/>
      <c r="AO2" s="891"/>
      <c r="AP2" s="891"/>
      <c r="AQ2" s="891"/>
      <c r="AR2" s="891"/>
      <c r="AS2" s="891"/>
      <c r="AT2" s="891"/>
      <c r="AU2" s="891"/>
      <c r="AV2" s="891"/>
      <c r="AW2" s="891"/>
      <c r="AX2" s="891"/>
      <c r="AY2" s="891"/>
      <c r="AZ2" s="891"/>
      <c r="BA2" s="891"/>
      <c r="BB2" s="891"/>
      <c r="BC2" s="891"/>
      <c r="BD2" s="891"/>
      <c r="BE2" s="891"/>
      <c r="BF2" s="891"/>
      <c r="BG2" s="891"/>
      <c r="BH2" s="891"/>
      <c r="BI2" s="891"/>
      <c r="BJ2" s="891"/>
      <c r="BK2" s="891"/>
      <c r="BL2" s="891"/>
      <c r="BM2" s="891"/>
      <c r="BN2" s="891"/>
      <c r="BO2" s="891"/>
      <c r="BP2" s="891"/>
      <c r="BQ2" s="891"/>
      <c r="BR2" s="891"/>
      <c r="BS2" s="891"/>
      <c r="BT2" s="891"/>
      <c r="BU2" s="891"/>
      <c r="BV2" s="891"/>
      <c r="BW2" s="891"/>
      <c r="BX2" s="891"/>
      <c r="BY2" s="891"/>
      <c r="BZ2" s="891"/>
      <c r="CA2" s="891"/>
      <c r="CB2" s="891"/>
      <c r="CC2" s="891"/>
      <c r="CD2" s="891"/>
      <c r="CE2" s="891"/>
      <c r="CF2" s="891"/>
      <c r="CG2" s="891"/>
      <c r="CH2" s="891"/>
      <c r="CI2" s="891"/>
      <c r="CJ2" s="891"/>
      <c r="CK2" s="891"/>
      <c r="CL2" s="891"/>
      <c r="CM2" s="891"/>
      <c r="CN2" s="891"/>
      <c r="CO2" s="891"/>
      <c r="CP2" s="891"/>
      <c r="CQ2" s="891"/>
      <c r="CR2" s="891"/>
      <c r="CS2" s="891"/>
      <c r="CT2" s="891"/>
      <c r="CU2" s="891"/>
      <c r="CV2" s="891"/>
      <c r="CW2" s="891"/>
      <c r="CX2" s="891"/>
      <c r="CY2" s="891"/>
      <c r="CZ2" s="891"/>
      <c r="DA2" s="891"/>
      <c r="DB2" s="891"/>
      <c r="DC2" s="891"/>
      <c r="DD2" s="891"/>
      <c r="DE2" s="891"/>
      <c r="DF2" s="891"/>
      <c r="DG2" s="891"/>
      <c r="DH2" s="891"/>
      <c r="DI2" s="891"/>
      <c r="DJ2" s="891"/>
      <c r="DK2" s="891"/>
      <c r="DL2" s="891"/>
      <c r="DM2" s="891"/>
      <c r="DN2" s="891"/>
      <c r="DO2" s="891"/>
      <c r="DP2" s="891"/>
      <c r="DQ2" s="891"/>
      <c r="DR2" s="891"/>
      <c r="DS2" s="891"/>
      <c r="DT2" s="891"/>
      <c r="DU2" s="891"/>
      <c r="DV2" s="891"/>
      <c r="DW2" s="891"/>
      <c r="DX2" s="891"/>
      <c r="DY2" s="891"/>
      <c r="DZ2" s="891"/>
      <c r="EA2" s="891"/>
    </row>
    <row r="3" spans="1:132" s="899" customFormat="1" ht="2.25" customHeight="1" x14ac:dyDescent="0.2">
      <c r="A3" s="426"/>
      <c r="B3" s="426"/>
      <c r="C3" s="426"/>
      <c r="D3" s="426"/>
      <c r="E3" s="426"/>
      <c r="F3" s="426"/>
      <c r="G3" s="426"/>
      <c r="H3" s="426"/>
      <c r="I3" s="426"/>
      <c r="J3" s="480"/>
      <c r="K3" s="480"/>
      <c r="L3" s="480"/>
      <c r="M3" s="480"/>
      <c r="N3" s="480"/>
      <c r="O3" s="480"/>
      <c r="P3" s="766"/>
      <c r="Q3" s="480"/>
      <c r="R3" s="763"/>
      <c r="S3" s="763"/>
      <c r="T3" s="763"/>
      <c r="U3" s="763"/>
      <c r="V3" s="763"/>
      <c r="W3" s="763"/>
      <c r="X3" s="763"/>
      <c r="Y3" s="763"/>
      <c r="Z3" s="763"/>
      <c r="AA3" s="763"/>
      <c r="AB3" s="763"/>
      <c r="AC3" s="763"/>
      <c r="AD3" s="763"/>
      <c r="AE3" s="763"/>
      <c r="AF3" s="763"/>
      <c r="AG3" s="763"/>
      <c r="AH3" s="763"/>
      <c r="AI3" s="763"/>
      <c r="AJ3" s="763"/>
      <c r="AK3" s="763"/>
      <c r="AL3" s="763"/>
      <c r="AM3" s="763"/>
      <c r="AN3" s="763"/>
      <c r="AO3" s="763"/>
      <c r="AP3" s="763"/>
      <c r="AQ3" s="763"/>
      <c r="AR3" s="763"/>
      <c r="AS3" s="763"/>
      <c r="AT3" s="763"/>
      <c r="AU3" s="763"/>
      <c r="AV3" s="763"/>
      <c r="AW3" s="763"/>
      <c r="AX3" s="763"/>
      <c r="AY3" s="763"/>
      <c r="AZ3" s="763"/>
      <c r="BA3" s="763"/>
      <c r="BB3" s="763"/>
      <c r="BC3" s="763"/>
      <c r="BD3" s="763"/>
      <c r="BE3" s="763"/>
      <c r="BF3" s="763"/>
      <c r="BG3" s="763"/>
      <c r="BH3" s="763"/>
      <c r="BI3" s="763"/>
      <c r="BJ3" s="763"/>
      <c r="BK3" s="763"/>
      <c r="BL3" s="763"/>
      <c r="BM3" s="763"/>
      <c r="BN3" s="763"/>
      <c r="BO3" s="763"/>
      <c r="BP3" s="763"/>
      <c r="BQ3" s="763"/>
      <c r="BR3" s="763"/>
      <c r="BS3" s="763"/>
      <c r="BT3" s="763"/>
      <c r="BU3" s="763"/>
      <c r="BV3" s="763"/>
      <c r="BW3" s="763"/>
      <c r="BX3" s="763"/>
      <c r="BY3" s="763"/>
      <c r="BZ3" s="763"/>
      <c r="CA3" s="763"/>
      <c r="CB3" s="763"/>
      <c r="CC3" s="763"/>
      <c r="CD3" s="763"/>
      <c r="CE3" s="763"/>
      <c r="CF3" s="763"/>
      <c r="CG3" s="763"/>
      <c r="CH3" s="763"/>
      <c r="CI3" s="763"/>
      <c r="CJ3" s="763"/>
      <c r="CK3" s="763"/>
      <c r="CL3" s="763"/>
      <c r="CM3" s="763"/>
      <c r="CN3" s="763"/>
      <c r="CO3" s="763"/>
      <c r="CP3" s="763"/>
      <c r="CQ3" s="763"/>
      <c r="CR3" s="763"/>
      <c r="CS3" s="763"/>
      <c r="CT3" s="763"/>
      <c r="CU3" s="763"/>
      <c r="CV3" s="763"/>
      <c r="CW3" s="763"/>
      <c r="CX3" s="763"/>
      <c r="CY3" s="763"/>
      <c r="CZ3" s="763"/>
      <c r="DA3" s="763"/>
      <c r="DB3" s="763"/>
      <c r="DC3" s="763"/>
      <c r="DD3" s="763"/>
      <c r="DE3" s="763"/>
      <c r="DF3" s="763"/>
      <c r="DG3" s="763"/>
      <c r="DH3" s="763"/>
      <c r="DI3" s="763"/>
      <c r="DJ3" s="763"/>
      <c r="DK3" s="763"/>
      <c r="DL3" s="763"/>
      <c r="DM3" s="763"/>
      <c r="DN3" s="763"/>
      <c r="DO3" s="763"/>
      <c r="DP3" s="763"/>
      <c r="DQ3" s="763"/>
      <c r="DR3" s="763"/>
      <c r="DS3" s="763"/>
      <c r="DT3" s="763"/>
      <c r="DU3" s="763"/>
      <c r="DV3" s="763"/>
      <c r="DW3" s="763"/>
      <c r="DX3" s="763"/>
      <c r="DY3" s="763"/>
      <c r="DZ3" s="763"/>
      <c r="EA3" s="763"/>
    </row>
    <row r="4" spans="1:132" s="899" customFormat="1" ht="11.25" x14ac:dyDescent="0.2">
      <c r="A4" s="426"/>
      <c r="B4" s="536" t="s">
        <v>1153</v>
      </c>
      <c r="C4" s="1304" t="s">
        <v>1641</v>
      </c>
      <c r="D4" s="1304"/>
      <c r="E4" s="682" t="s">
        <v>1154</v>
      </c>
      <c r="F4" s="682"/>
      <c r="G4" s="426"/>
      <c r="H4" s="426"/>
      <c r="I4" s="426"/>
      <c r="J4" s="480"/>
      <c r="K4" s="480"/>
      <c r="L4" s="480"/>
      <c r="M4" s="480"/>
      <c r="N4" s="480"/>
      <c r="O4" s="480"/>
      <c r="P4" s="766"/>
      <c r="Q4" s="480"/>
      <c r="R4" s="763"/>
      <c r="S4" s="763"/>
      <c r="T4" s="763"/>
      <c r="U4" s="763"/>
      <c r="V4" s="763"/>
      <c r="W4" s="763"/>
      <c r="X4" s="763"/>
      <c r="Y4" s="763"/>
      <c r="Z4" s="763"/>
      <c r="AA4" s="763"/>
      <c r="AB4" s="763"/>
      <c r="AC4" s="763"/>
      <c r="AD4" s="763"/>
      <c r="AE4" s="763"/>
      <c r="AF4" s="763"/>
      <c r="AG4" s="763"/>
      <c r="AH4" s="763"/>
      <c r="AI4" s="763"/>
      <c r="AJ4" s="763"/>
      <c r="AK4" s="763"/>
      <c r="AL4" s="763"/>
      <c r="AM4" s="763"/>
      <c r="AN4" s="763"/>
      <c r="AO4" s="763"/>
      <c r="AP4" s="763"/>
      <c r="AQ4" s="763"/>
      <c r="AR4" s="763"/>
      <c r="AS4" s="763"/>
      <c r="AT4" s="763"/>
      <c r="AU4" s="763"/>
      <c r="AV4" s="763"/>
      <c r="AW4" s="763"/>
      <c r="AX4" s="763"/>
      <c r="AY4" s="763"/>
      <c r="AZ4" s="763"/>
      <c r="BA4" s="763"/>
      <c r="BB4" s="763"/>
      <c r="BC4" s="763"/>
      <c r="BD4" s="763"/>
      <c r="BE4" s="763"/>
      <c r="BF4" s="763"/>
      <c r="BG4" s="763"/>
      <c r="BH4" s="763"/>
      <c r="BI4" s="763"/>
      <c r="BJ4" s="763"/>
      <c r="BK4" s="763"/>
      <c r="BL4" s="763"/>
      <c r="BM4" s="763"/>
      <c r="BN4" s="763"/>
      <c r="BO4" s="763"/>
      <c r="BP4" s="763"/>
      <c r="BQ4" s="763"/>
      <c r="BR4" s="763"/>
      <c r="BS4" s="763"/>
      <c r="BT4" s="763"/>
      <c r="BU4" s="763"/>
      <c r="BV4" s="763"/>
      <c r="BW4" s="763"/>
      <c r="BX4" s="763"/>
      <c r="BY4" s="763"/>
      <c r="BZ4" s="763"/>
      <c r="CA4" s="763"/>
      <c r="CB4" s="763"/>
      <c r="CC4" s="763"/>
      <c r="CD4" s="763"/>
      <c r="CE4" s="763"/>
      <c r="CF4" s="763"/>
      <c r="CG4" s="763"/>
      <c r="CH4" s="763"/>
      <c r="CI4" s="763"/>
      <c r="CJ4" s="763"/>
      <c r="CK4" s="763"/>
      <c r="CL4" s="763"/>
      <c r="CM4" s="763"/>
      <c r="CN4" s="763"/>
      <c r="CO4" s="763"/>
      <c r="CP4" s="763"/>
      <c r="CQ4" s="763"/>
      <c r="CR4" s="763"/>
      <c r="CS4" s="763"/>
      <c r="CT4" s="763"/>
      <c r="CU4" s="763"/>
      <c r="CV4" s="763"/>
      <c r="CW4" s="763"/>
      <c r="CX4" s="763"/>
      <c r="CY4" s="763"/>
      <c r="CZ4" s="763"/>
      <c r="DA4" s="763"/>
      <c r="DB4" s="763"/>
      <c r="DC4" s="763"/>
      <c r="DD4" s="763"/>
      <c r="DE4" s="763"/>
      <c r="DF4" s="763"/>
      <c r="DG4" s="763"/>
      <c r="DH4" s="763"/>
      <c r="DI4" s="763"/>
      <c r="DJ4" s="763"/>
      <c r="DK4" s="763"/>
      <c r="DL4" s="763"/>
      <c r="DM4" s="763"/>
      <c r="DN4" s="763"/>
      <c r="DO4" s="763"/>
      <c r="DP4" s="763"/>
      <c r="DQ4" s="763"/>
      <c r="DR4" s="763"/>
      <c r="DS4" s="763"/>
      <c r="DT4" s="763"/>
      <c r="DU4" s="763"/>
      <c r="DV4" s="763"/>
      <c r="DW4" s="763"/>
      <c r="DX4" s="763"/>
      <c r="DY4" s="763"/>
      <c r="DZ4" s="763"/>
      <c r="EA4" s="763"/>
    </row>
    <row r="5" spans="1:132" s="899" customFormat="1" ht="11.25" x14ac:dyDescent="0.2">
      <c r="A5" s="426"/>
      <c r="B5" s="536" t="s">
        <v>1155</v>
      </c>
      <c r="C5" s="426"/>
      <c r="D5" s="426"/>
      <c r="E5" s="426"/>
      <c r="F5" s="426"/>
      <c r="G5" s="426"/>
      <c r="H5" s="426"/>
      <c r="I5" s="426"/>
      <c r="J5" s="480"/>
      <c r="K5" s="480"/>
      <c r="L5" s="480"/>
      <c r="M5" s="480"/>
      <c r="N5" s="480"/>
      <c r="O5" s="480"/>
      <c r="P5" s="766"/>
      <c r="Q5" s="480"/>
      <c r="R5" s="763"/>
      <c r="S5" s="763"/>
      <c r="T5" s="763"/>
      <c r="U5" s="763"/>
      <c r="V5" s="763"/>
      <c r="W5" s="763"/>
      <c r="X5" s="763"/>
      <c r="Y5" s="763"/>
      <c r="Z5" s="763"/>
      <c r="AA5" s="763"/>
      <c r="AB5" s="763"/>
      <c r="AC5" s="763"/>
      <c r="AD5" s="763"/>
      <c r="AE5" s="763"/>
      <c r="AF5" s="763"/>
      <c r="AG5" s="763"/>
      <c r="AH5" s="763"/>
      <c r="AI5" s="763"/>
      <c r="AJ5" s="763"/>
      <c r="AK5" s="763"/>
      <c r="AL5" s="763"/>
      <c r="AM5" s="763"/>
      <c r="AN5" s="763"/>
      <c r="AO5" s="763"/>
      <c r="AP5" s="763"/>
      <c r="AQ5" s="763"/>
      <c r="AR5" s="763"/>
      <c r="AS5" s="763"/>
      <c r="AT5" s="763"/>
      <c r="AU5" s="763"/>
      <c r="AV5" s="763"/>
      <c r="AW5" s="763"/>
      <c r="AX5" s="763"/>
      <c r="AY5" s="763"/>
      <c r="AZ5" s="763"/>
      <c r="BA5" s="763"/>
      <c r="BB5" s="763"/>
      <c r="BC5" s="763"/>
      <c r="BD5" s="763"/>
      <c r="BE5" s="763"/>
      <c r="BF5" s="763"/>
      <c r="BG5" s="763"/>
      <c r="BH5" s="763"/>
      <c r="BI5" s="763"/>
      <c r="BJ5" s="763"/>
      <c r="BK5" s="763"/>
      <c r="BL5" s="763"/>
      <c r="BM5" s="763"/>
      <c r="BN5" s="763"/>
      <c r="BO5" s="763"/>
      <c r="BP5" s="763"/>
      <c r="BQ5" s="763"/>
      <c r="BR5" s="763"/>
      <c r="BS5" s="763"/>
      <c r="BT5" s="763"/>
      <c r="BU5" s="763"/>
      <c r="BV5" s="763"/>
      <c r="BW5" s="763"/>
      <c r="BX5" s="763"/>
      <c r="BY5" s="763"/>
      <c r="BZ5" s="763"/>
      <c r="CA5" s="763"/>
      <c r="CB5" s="763"/>
      <c r="CC5" s="763"/>
      <c r="CD5" s="763"/>
      <c r="CE5" s="763"/>
      <c r="CF5" s="763"/>
      <c r="CG5" s="763"/>
      <c r="CH5" s="763"/>
      <c r="CI5" s="763"/>
      <c r="CJ5" s="763"/>
      <c r="CK5" s="763"/>
      <c r="CL5" s="763"/>
      <c r="CM5" s="763"/>
      <c r="CN5" s="763"/>
      <c r="CO5" s="763"/>
      <c r="CP5" s="763"/>
      <c r="CQ5" s="763"/>
      <c r="CR5" s="763"/>
      <c r="CS5" s="763"/>
      <c r="CT5" s="763"/>
      <c r="CU5" s="763"/>
      <c r="CV5" s="763"/>
      <c r="CW5" s="763"/>
      <c r="CX5" s="763"/>
      <c r="CY5" s="763"/>
      <c r="CZ5" s="763"/>
      <c r="DA5" s="763"/>
      <c r="DB5" s="763"/>
      <c r="DC5" s="763"/>
      <c r="DD5" s="763"/>
      <c r="DE5" s="763"/>
      <c r="DF5" s="763"/>
      <c r="DG5" s="763"/>
      <c r="DH5" s="763"/>
      <c r="DI5" s="763"/>
      <c r="DJ5" s="763"/>
      <c r="DK5" s="763"/>
      <c r="DL5" s="763"/>
      <c r="DM5" s="763"/>
      <c r="DN5" s="763"/>
      <c r="DO5" s="763"/>
      <c r="DP5" s="763"/>
      <c r="DQ5" s="763"/>
      <c r="DR5" s="763"/>
      <c r="DS5" s="763"/>
      <c r="DT5" s="763"/>
      <c r="DU5" s="763"/>
      <c r="DV5" s="763"/>
      <c r="DW5" s="763"/>
      <c r="DX5" s="763"/>
      <c r="DY5" s="763"/>
      <c r="DZ5" s="763"/>
      <c r="EA5" s="763"/>
    </row>
    <row r="6" spans="1:132" s="899" customFormat="1" ht="3" customHeight="1" thickBot="1" x14ac:dyDescent="0.25">
      <c r="A6" s="426"/>
      <c r="B6" s="426"/>
      <c r="C6" s="426"/>
      <c r="D6" s="426"/>
      <c r="E6" s="426"/>
      <c r="F6" s="426"/>
      <c r="G6" s="426"/>
      <c r="H6" s="426"/>
      <c r="I6" s="426"/>
      <c r="J6" s="480"/>
      <c r="K6" s="480"/>
      <c r="L6" s="480"/>
      <c r="M6" s="480"/>
      <c r="N6" s="480"/>
      <c r="O6" s="480"/>
      <c r="P6" s="766"/>
      <c r="Q6" s="480"/>
      <c r="R6" s="763"/>
      <c r="S6" s="763"/>
      <c r="T6" s="763"/>
      <c r="U6" s="763"/>
      <c r="V6" s="763"/>
      <c r="W6" s="763"/>
      <c r="X6" s="763"/>
      <c r="Y6" s="763"/>
      <c r="Z6" s="763"/>
      <c r="AA6" s="763"/>
      <c r="AB6" s="763"/>
      <c r="AC6" s="763"/>
      <c r="AD6" s="763"/>
      <c r="AE6" s="763"/>
      <c r="AF6" s="763"/>
      <c r="AG6" s="763"/>
      <c r="AH6" s="763"/>
      <c r="AI6" s="763"/>
      <c r="AJ6" s="763"/>
      <c r="AK6" s="763"/>
      <c r="AL6" s="763"/>
      <c r="AM6" s="763"/>
      <c r="AN6" s="763"/>
      <c r="AO6" s="763"/>
      <c r="AP6" s="763"/>
      <c r="AQ6" s="763"/>
      <c r="AR6" s="763"/>
      <c r="AS6" s="763"/>
      <c r="AT6" s="763"/>
      <c r="AU6" s="763"/>
      <c r="AV6" s="763"/>
      <c r="AW6" s="763"/>
      <c r="AX6" s="763"/>
      <c r="AY6" s="763"/>
      <c r="AZ6" s="763"/>
      <c r="BA6" s="763"/>
      <c r="BB6" s="763"/>
      <c r="BC6" s="763"/>
      <c r="BD6" s="763"/>
      <c r="BE6" s="763"/>
      <c r="BF6" s="763"/>
      <c r="BG6" s="763"/>
      <c r="BH6" s="763"/>
      <c r="BI6" s="763"/>
      <c r="BJ6" s="763"/>
      <c r="BK6" s="763"/>
      <c r="BL6" s="763"/>
      <c r="BM6" s="763"/>
      <c r="BN6" s="763"/>
      <c r="BO6" s="763"/>
      <c r="BP6" s="763"/>
      <c r="BQ6" s="763"/>
      <c r="BR6" s="763"/>
      <c r="BS6" s="763"/>
      <c r="BT6" s="763"/>
      <c r="BU6" s="763"/>
      <c r="BV6" s="763"/>
      <c r="BW6" s="763"/>
      <c r="BX6" s="763"/>
      <c r="BY6" s="763"/>
      <c r="BZ6" s="763"/>
      <c r="CA6" s="763"/>
      <c r="CB6" s="763"/>
      <c r="CC6" s="763"/>
      <c r="CD6" s="763"/>
      <c r="CE6" s="763"/>
      <c r="CF6" s="763"/>
      <c r="CG6" s="763"/>
      <c r="CH6" s="763"/>
      <c r="CI6" s="763"/>
      <c r="CJ6" s="763"/>
      <c r="CK6" s="763"/>
      <c r="CL6" s="763"/>
      <c r="CM6" s="763"/>
      <c r="CN6" s="763"/>
      <c r="CO6" s="763"/>
      <c r="CP6" s="763"/>
      <c r="CQ6" s="763"/>
      <c r="CR6" s="763"/>
      <c r="CS6" s="763"/>
      <c r="CT6" s="763"/>
      <c r="CU6" s="763"/>
      <c r="CV6" s="763"/>
      <c r="CW6" s="763"/>
      <c r="CX6" s="763"/>
      <c r="CY6" s="763"/>
      <c r="CZ6" s="763"/>
      <c r="DA6" s="763"/>
      <c r="DB6" s="763"/>
      <c r="DC6" s="763"/>
      <c r="DD6" s="763"/>
      <c r="DE6" s="763"/>
      <c r="DF6" s="763"/>
      <c r="DG6" s="763"/>
      <c r="DH6" s="763"/>
      <c r="DI6" s="763"/>
      <c r="DJ6" s="763"/>
      <c r="DK6" s="763"/>
      <c r="DL6" s="763"/>
      <c r="DM6" s="763"/>
      <c r="DN6" s="763"/>
      <c r="DO6" s="763"/>
      <c r="DP6" s="763"/>
      <c r="DQ6" s="763"/>
      <c r="DR6" s="763"/>
      <c r="DS6" s="763"/>
      <c r="DT6" s="763"/>
      <c r="DU6" s="763"/>
      <c r="DV6" s="763"/>
      <c r="DW6" s="763"/>
      <c r="DX6" s="763"/>
      <c r="DY6" s="763"/>
      <c r="DZ6" s="763"/>
      <c r="EA6" s="763"/>
    </row>
    <row r="7" spans="1:132" s="899" customFormat="1" ht="14.1" customHeight="1" x14ac:dyDescent="0.2">
      <c r="A7" s="426"/>
      <c r="B7" s="1241" t="s">
        <v>1156</v>
      </c>
      <c r="C7" s="1211" t="s">
        <v>1157</v>
      </c>
      <c r="D7" s="1293"/>
      <c r="E7" s="1212"/>
      <c r="F7" s="683"/>
      <c r="G7" s="1229" t="s">
        <v>257</v>
      </c>
      <c r="H7" s="1229"/>
      <c r="I7" s="1307" t="s">
        <v>1158</v>
      </c>
      <c r="J7" s="1307"/>
      <c r="K7" s="1307"/>
      <c r="L7" s="1307"/>
      <c r="M7" s="1307"/>
      <c r="N7" s="1307"/>
      <c r="O7" s="1269" t="s">
        <v>1159</v>
      </c>
      <c r="P7" s="1270" t="s">
        <v>1160</v>
      </c>
      <c r="Q7" s="1305"/>
      <c r="R7" s="1013"/>
      <c r="S7" s="1013"/>
      <c r="T7" s="1013"/>
      <c r="U7" s="1013"/>
      <c r="V7" s="1309" t="s">
        <v>1008</v>
      </c>
      <c r="W7" s="1299" t="s">
        <v>1009</v>
      </c>
      <c r="X7" s="1300"/>
      <c r="Y7" s="1296" t="s">
        <v>1010</v>
      </c>
      <c r="Z7" s="1296" t="s">
        <v>1011</v>
      </c>
      <c r="AA7" s="1296" t="s">
        <v>1012</v>
      </c>
      <c r="AB7" s="1296" t="s">
        <v>1011</v>
      </c>
      <c r="AC7" s="1296" t="s">
        <v>1013</v>
      </c>
      <c r="AD7" s="1296" t="s">
        <v>1011</v>
      </c>
      <c r="AE7" s="1296" t="s">
        <v>1014</v>
      </c>
      <c r="AF7" s="763"/>
      <c r="AG7" s="763"/>
      <c r="AH7" s="763"/>
      <c r="AI7" s="763"/>
      <c r="AJ7" s="763"/>
      <c r="AK7" s="763"/>
      <c r="AL7" s="763"/>
      <c r="AM7" s="763"/>
      <c r="AN7" s="763"/>
      <c r="AO7" s="763"/>
      <c r="AP7" s="763"/>
      <c r="AQ7" s="763"/>
      <c r="AR7" s="763"/>
      <c r="AS7" s="763"/>
      <c r="AT7" s="763"/>
      <c r="AU7" s="763"/>
      <c r="AV7" s="763"/>
      <c r="AW7" s="763"/>
      <c r="AX7" s="763"/>
      <c r="AY7" s="763"/>
      <c r="AZ7" s="763"/>
      <c r="BA7" s="763"/>
      <c r="BB7" s="763"/>
      <c r="BC7" s="763"/>
      <c r="BD7" s="763"/>
      <c r="BE7" s="763"/>
      <c r="BF7" s="763"/>
      <c r="BG7" s="763"/>
      <c r="BH7" s="763"/>
      <c r="BI7" s="763"/>
      <c r="BJ7" s="763"/>
      <c r="BK7" s="763"/>
      <c r="BL7" s="763"/>
      <c r="BM7" s="763"/>
      <c r="BN7" s="763"/>
      <c r="BO7" s="763"/>
      <c r="BP7" s="763"/>
      <c r="BQ7" s="763"/>
      <c r="BR7" s="763"/>
      <c r="BS7" s="763"/>
      <c r="BT7" s="763"/>
      <c r="BU7" s="763"/>
      <c r="BV7" s="763"/>
      <c r="BW7" s="763"/>
      <c r="BX7" s="763"/>
      <c r="BY7" s="763"/>
      <c r="BZ7" s="763"/>
      <c r="CA7" s="763"/>
      <c r="CB7" s="763"/>
      <c r="CC7" s="763"/>
      <c r="CD7" s="763"/>
      <c r="CE7" s="763"/>
      <c r="CF7" s="763"/>
      <c r="CG7" s="763"/>
      <c r="CH7" s="763"/>
      <c r="CI7" s="763"/>
      <c r="CJ7" s="763"/>
      <c r="CK7" s="763"/>
      <c r="CL7" s="763"/>
      <c r="CM7" s="763"/>
      <c r="CN7" s="763"/>
      <c r="CO7" s="763"/>
      <c r="CP7" s="763"/>
      <c r="CQ7" s="763"/>
      <c r="CR7" s="763"/>
      <c r="CS7" s="763"/>
      <c r="CT7" s="763"/>
      <c r="CU7" s="763"/>
      <c r="CV7" s="763"/>
      <c r="CW7" s="763"/>
      <c r="CX7" s="763"/>
      <c r="CY7" s="763"/>
      <c r="CZ7" s="763"/>
      <c r="DA7" s="763"/>
      <c r="DB7" s="763"/>
      <c r="DC7" s="763"/>
      <c r="DD7" s="763"/>
      <c r="DE7" s="763"/>
      <c r="DF7" s="763"/>
      <c r="DG7" s="763"/>
      <c r="DH7" s="763"/>
      <c r="DI7" s="763"/>
      <c r="DJ7" s="763"/>
      <c r="DK7" s="763"/>
      <c r="DL7" s="763"/>
      <c r="DM7" s="763"/>
      <c r="DN7" s="763"/>
      <c r="DO7" s="763"/>
      <c r="DP7" s="763"/>
      <c r="DQ7" s="763"/>
      <c r="DR7" s="763"/>
      <c r="DS7" s="763"/>
      <c r="DT7" s="763"/>
      <c r="DU7" s="763"/>
      <c r="DV7" s="763"/>
      <c r="DW7" s="763"/>
      <c r="DX7" s="763"/>
      <c r="DY7" s="763"/>
      <c r="DZ7" s="763"/>
      <c r="EA7" s="763"/>
      <c r="EB7" s="763"/>
    </row>
    <row r="8" spans="1:132" s="899" customFormat="1" ht="27.95" customHeight="1" x14ac:dyDescent="0.2">
      <c r="A8" s="426"/>
      <c r="B8" s="1242"/>
      <c r="C8" s="1312" t="s">
        <v>1161</v>
      </c>
      <c r="D8" s="1314" t="s">
        <v>1162</v>
      </c>
      <c r="E8" s="1315"/>
      <c r="F8" s="684"/>
      <c r="G8" s="1294"/>
      <c r="H8" s="1294"/>
      <c r="I8" s="1254" t="s">
        <v>1163</v>
      </c>
      <c r="J8" s="1254"/>
      <c r="K8" s="1318" t="s">
        <v>1164</v>
      </c>
      <c r="L8" s="1253"/>
      <c r="M8" s="1318" t="s">
        <v>1411</v>
      </c>
      <c r="N8" s="1253"/>
      <c r="O8" s="1256"/>
      <c r="P8" s="1274"/>
      <c r="Q8" s="1306"/>
      <c r="R8" s="1013"/>
      <c r="S8" s="1013"/>
      <c r="T8" s="1013"/>
      <c r="U8" s="1013"/>
      <c r="V8" s="1310"/>
      <c r="W8" s="1301"/>
      <c r="X8" s="1302"/>
      <c r="Y8" s="1297"/>
      <c r="Z8" s="1297"/>
      <c r="AA8" s="1297"/>
      <c r="AB8" s="1297"/>
      <c r="AC8" s="1297"/>
      <c r="AD8" s="1297"/>
      <c r="AE8" s="1297"/>
      <c r="AF8" s="763"/>
      <c r="AG8" s="763"/>
      <c r="AH8" s="763"/>
      <c r="AI8" s="763"/>
      <c r="AJ8" s="763"/>
      <c r="AK8" s="763"/>
      <c r="AL8" s="763"/>
      <c r="AM8" s="763"/>
      <c r="AN8" s="763"/>
      <c r="AO8" s="763"/>
      <c r="AP8" s="763"/>
      <c r="AQ8" s="763"/>
      <c r="AR8" s="763"/>
      <c r="AS8" s="763"/>
      <c r="AT8" s="763"/>
      <c r="AU8" s="763"/>
      <c r="AV8" s="763"/>
      <c r="AW8" s="763"/>
      <c r="AX8" s="763"/>
      <c r="AY8" s="763"/>
      <c r="AZ8" s="763"/>
      <c r="BA8" s="763"/>
      <c r="BB8" s="763"/>
      <c r="BC8" s="763"/>
      <c r="BD8" s="763"/>
      <c r="BE8" s="763"/>
      <c r="BF8" s="763"/>
      <c r="BG8" s="763"/>
      <c r="BH8" s="763"/>
      <c r="BI8" s="763"/>
      <c r="BJ8" s="763"/>
      <c r="BK8" s="763"/>
      <c r="BL8" s="763"/>
      <c r="BM8" s="763"/>
      <c r="BN8" s="763"/>
      <c r="BO8" s="763"/>
      <c r="BP8" s="763"/>
      <c r="BQ8" s="763"/>
      <c r="BR8" s="763"/>
      <c r="BS8" s="763"/>
      <c r="BT8" s="763"/>
      <c r="BU8" s="763"/>
      <c r="BV8" s="763"/>
      <c r="BW8" s="763"/>
      <c r="BX8" s="763"/>
      <c r="BY8" s="763"/>
      <c r="BZ8" s="763"/>
      <c r="CA8" s="763"/>
      <c r="CB8" s="763"/>
      <c r="CC8" s="763"/>
      <c r="CD8" s="763"/>
      <c r="CE8" s="763"/>
      <c r="CF8" s="763"/>
      <c r="CG8" s="763"/>
      <c r="CH8" s="763"/>
      <c r="CI8" s="763"/>
      <c r="CJ8" s="763"/>
      <c r="CK8" s="763"/>
      <c r="CL8" s="763"/>
      <c r="CM8" s="763"/>
      <c r="CN8" s="763"/>
      <c r="CO8" s="763"/>
      <c r="CP8" s="763"/>
      <c r="CQ8" s="763"/>
      <c r="CR8" s="763"/>
      <c r="CS8" s="763"/>
      <c r="CT8" s="763"/>
      <c r="CU8" s="763"/>
      <c r="CV8" s="763"/>
      <c r="CW8" s="763"/>
      <c r="CX8" s="763"/>
      <c r="CY8" s="763"/>
      <c r="CZ8" s="763"/>
      <c r="DA8" s="763"/>
      <c r="DB8" s="763"/>
      <c r="DC8" s="763"/>
      <c r="DD8" s="763"/>
      <c r="DE8" s="763"/>
      <c r="DF8" s="763"/>
      <c r="DG8" s="763"/>
      <c r="DH8" s="763"/>
      <c r="DI8" s="763"/>
      <c r="DJ8" s="763"/>
      <c r="DK8" s="763"/>
      <c r="DL8" s="763"/>
      <c r="DM8" s="763"/>
      <c r="DN8" s="763"/>
      <c r="DO8" s="763"/>
      <c r="DP8" s="763"/>
      <c r="DQ8" s="763"/>
      <c r="DR8" s="763"/>
      <c r="DS8" s="763"/>
      <c r="DT8" s="763"/>
      <c r="DU8" s="763"/>
      <c r="DV8" s="763"/>
      <c r="DW8" s="763"/>
      <c r="DX8" s="763"/>
      <c r="DY8" s="763"/>
      <c r="DZ8" s="763"/>
      <c r="EA8" s="763"/>
      <c r="EB8" s="763"/>
    </row>
    <row r="9" spans="1:132" s="899" customFormat="1" ht="14.1" customHeight="1" thickBot="1" x14ac:dyDescent="0.25">
      <c r="A9" s="426"/>
      <c r="B9" s="1292"/>
      <c r="C9" s="1313"/>
      <c r="D9" s="1316"/>
      <c r="E9" s="1317"/>
      <c r="F9" s="687"/>
      <c r="G9" s="1295"/>
      <c r="H9" s="1295"/>
      <c r="I9" s="688" t="s">
        <v>1025</v>
      </c>
      <c r="J9" s="688" t="s">
        <v>1027</v>
      </c>
      <c r="K9" s="689" t="s">
        <v>1025</v>
      </c>
      <c r="L9" s="689" t="s">
        <v>1027</v>
      </c>
      <c r="M9" s="689" t="s">
        <v>1025</v>
      </c>
      <c r="N9" s="689" t="s">
        <v>1027</v>
      </c>
      <c r="O9" s="1308"/>
      <c r="P9" s="689" t="s">
        <v>1025</v>
      </c>
      <c r="Q9" s="690" t="s">
        <v>1027</v>
      </c>
      <c r="R9" s="1014"/>
      <c r="S9" s="1014"/>
      <c r="T9" s="1014"/>
      <c r="U9" s="1014"/>
      <c r="V9" s="1311"/>
      <c r="W9" s="1015" t="s">
        <v>1025</v>
      </c>
      <c r="X9" s="1015" t="s">
        <v>1027</v>
      </c>
      <c r="Y9" s="1298"/>
      <c r="Z9" s="1298"/>
      <c r="AA9" s="1298"/>
      <c r="AB9" s="1298"/>
      <c r="AC9" s="1298"/>
      <c r="AD9" s="1298"/>
      <c r="AE9" s="1298"/>
      <c r="AF9" s="763"/>
      <c r="AG9" s="763"/>
      <c r="AH9" s="763"/>
      <c r="AI9" s="763"/>
      <c r="AJ9" s="763"/>
      <c r="AK9" s="763"/>
      <c r="AL9" s="763"/>
      <c r="AM9" s="763"/>
      <c r="AN9" s="763"/>
      <c r="AO9" s="763"/>
      <c r="AP9" s="763"/>
      <c r="AQ9" s="763"/>
      <c r="AR9" s="763"/>
      <c r="AS9" s="763"/>
      <c r="AT9" s="763"/>
      <c r="AU9" s="763"/>
      <c r="AV9" s="763"/>
      <c r="AW9" s="763"/>
      <c r="AX9" s="763"/>
      <c r="AY9" s="763"/>
      <c r="AZ9" s="763"/>
      <c r="BA9" s="763"/>
      <c r="BB9" s="763"/>
      <c r="BC9" s="763"/>
      <c r="BD9" s="763"/>
      <c r="BE9" s="763"/>
      <c r="BF9" s="763"/>
      <c r="BG9" s="763"/>
      <c r="BH9" s="763"/>
      <c r="BI9" s="763"/>
      <c r="BJ9" s="763"/>
      <c r="BK9" s="763"/>
      <c r="BL9" s="763"/>
      <c r="BM9" s="763"/>
      <c r="BN9" s="763"/>
      <c r="BO9" s="763"/>
      <c r="BP9" s="763"/>
      <c r="BQ9" s="763"/>
      <c r="BR9" s="763"/>
      <c r="BS9" s="763"/>
      <c r="BT9" s="763"/>
      <c r="BU9" s="763"/>
      <c r="BV9" s="763"/>
      <c r="BW9" s="763"/>
      <c r="BX9" s="763"/>
      <c r="BY9" s="763"/>
      <c r="BZ9" s="763"/>
      <c r="CA9" s="763"/>
      <c r="CB9" s="763"/>
      <c r="CC9" s="763"/>
      <c r="CD9" s="763"/>
      <c r="CE9" s="763"/>
      <c r="CF9" s="763"/>
      <c r="CG9" s="763"/>
      <c r="CH9" s="763"/>
      <c r="CI9" s="763"/>
      <c r="CJ9" s="763"/>
      <c r="CK9" s="763"/>
      <c r="CL9" s="763"/>
      <c r="CM9" s="763"/>
      <c r="CN9" s="763"/>
      <c r="CO9" s="763"/>
      <c r="CP9" s="763"/>
      <c r="CQ9" s="763"/>
      <c r="CR9" s="763"/>
      <c r="CS9" s="763"/>
      <c r="CT9" s="763"/>
      <c r="CU9" s="763"/>
      <c r="CV9" s="763"/>
      <c r="CW9" s="763"/>
      <c r="CX9" s="763"/>
      <c r="CY9" s="763"/>
      <c r="CZ9" s="763"/>
      <c r="DA9" s="763"/>
      <c r="DB9" s="763"/>
      <c r="DC9" s="763"/>
      <c r="DD9" s="763"/>
      <c r="DE9" s="763"/>
      <c r="DF9" s="763"/>
      <c r="DG9" s="763"/>
      <c r="DH9" s="763"/>
      <c r="DI9" s="763"/>
      <c r="DJ9" s="763"/>
      <c r="DK9" s="763"/>
      <c r="DL9" s="763"/>
      <c r="DM9" s="763"/>
      <c r="DN9" s="763"/>
      <c r="DO9" s="763"/>
      <c r="DP9" s="763"/>
      <c r="DQ9" s="763"/>
      <c r="DR9" s="763"/>
      <c r="DS9" s="763"/>
      <c r="DT9" s="763"/>
      <c r="DU9" s="763"/>
      <c r="DV9" s="763"/>
      <c r="DW9" s="763"/>
      <c r="DX9" s="763"/>
      <c r="DY9" s="763"/>
      <c r="DZ9" s="763"/>
      <c r="EA9" s="763"/>
      <c r="EB9" s="763"/>
    </row>
    <row r="10" spans="1:132" s="899" customFormat="1" ht="14.1" customHeight="1" x14ac:dyDescent="0.2">
      <c r="A10" s="426"/>
      <c r="B10" s="1319">
        <v>1</v>
      </c>
      <c r="C10" s="691" t="s">
        <v>1165</v>
      </c>
      <c r="D10" s="1321" t="s">
        <v>1165</v>
      </c>
      <c r="E10" s="1322"/>
      <c r="F10" s="767"/>
      <c r="G10" s="693" t="s">
        <v>1166</v>
      </c>
      <c r="H10" s="693"/>
      <c r="I10" s="694"/>
      <c r="J10" s="694"/>
      <c r="K10" s="695"/>
      <c r="L10" s="696"/>
      <c r="M10" s="697">
        <f>I10+K10</f>
        <v>0</v>
      </c>
      <c r="N10" s="697">
        <f>J10+L10</f>
        <v>0</v>
      </c>
      <c r="O10" s="698">
        <v>0</v>
      </c>
      <c r="P10" s="699">
        <f>M10*O10</f>
        <v>0</v>
      </c>
      <c r="Q10" s="700">
        <f>N10*O10</f>
        <v>0</v>
      </c>
      <c r="R10" s="1016"/>
      <c r="S10" s="1016"/>
      <c r="T10" s="1016"/>
      <c r="U10" s="1016"/>
      <c r="V10" s="1017">
        <f>IF(P10&lt;=Q10,P10*10%,Q10*10%)</f>
        <v>0</v>
      </c>
      <c r="W10" s="1018">
        <f>IF(P10&gt;Q10,P10-Q10,0)</f>
        <v>0</v>
      </c>
      <c r="X10" s="1018">
        <f>IF(Q10&gt;P10,Q10-P10,0)</f>
        <v>0</v>
      </c>
      <c r="Y10" s="1323">
        <f>IF(SUM(W10:W13)&lt;SUM(X10:X13),SUM(W10:W13)*40%,SUM(X10:X13)*40%)</f>
        <v>0</v>
      </c>
      <c r="Z10" s="1323">
        <f>(SUM(W10:W13)-SUM(X10:X13))</f>
        <v>0</v>
      </c>
      <c r="AA10" s="1323">
        <f>(IF(Z10=0,0,IF(Z14=0,0,IF(Z10&gt;0,IF(Z14&lt;0,IF(Z10&lt;ABS(Z14),Z10*40%,ABS(Z14)*40%),0),IF(Z14&gt;0,IF(ABS(Z10)&lt;Z14,ABS(Z10)*40%,Z14*40%),0)))))</f>
        <v>0</v>
      </c>
      <c r="AB10" s="1323">
        <f>IF(AA10=0,Z10,IF(ABS(Z10)&lt;ABS(Z14),0,Z10+Z14))</f>
        <v>0</v>
      </c>
      <c r="AC10" s="1337"/>
      <c r="AD10" s="1323">
        <f>AB10</f>
        <v>0</v>
      </c>
      <c r="AE10" s="1330">
        <f>(IF(AD10=0,0,IF(AD17=0,0,IF(AD10&gt;0,IF(AD17&lt;0,IF(AD10&lt;ABS(AD17),AD10*100%,ABS(AD17)*100%),0),IF(AD17&gt;0,IF(ABS(AD10)&lt;AD17,ABS(AD10)*100%,AD17*100%),0)))))</f>
        <v>0</v>
      </c>
      <c r="AF10" s="763"/>
      <c r="AG10" s="763"/>
      <c r="AH10" s="763"/>
      <c r="AI10" s="763"/>
      <c r="AJ10" s="763"/>
      <c r="AK10" s="763"/>
      <c r="AL10" s="763"/>
      <c r="AM10" s="763"/>
      <c r="AN10" s="763"/>
      <c r="AO10" s="763"/>
      <c r="AP10" s="763"/>
      <c r="AQ10" s="763"/>
      <c r="AR10" s="763"/>
      <c r="AS10" s="763"/>
      <c r="AT10" s="763"/>
      <c r="AU10" s="763"/>
      <c r="AV10" s="763"/>
      <c r="AW10" s="763"/>
      <c r="AX10" s="763"/>
      <c r="AY10" s="763"/>
      <c r="AZ10" s="763"/>
      <c r="BA10" s="763"/>
      <c r="BB10" s="763"/>
      <c r="BC10" s="763"/>
      <c r="BD10" s="763"/>
      <c r="BE10" s="763"/>
      <c r="BF10" s="763"/>
      <c r="BG10" s="763"/>
      <c r="BH10" s="763"/>
      <c r="BI10" s="763"/>
      <c r="BJ10" s="763"/>
      <c r="BK10" s="763"/>
      <c r="BL10" s="763"/>
      <c r="BM10" s="763"/>
      <c r="BN10" s="763"/>
      <c r="BO10" s="763"/>
      <c r="BP10" s="763"/>
      <c r="BQ10" s="763"/>
      <c r="BR10" s="763"/>
      <c r="BS10" s="763"/>
      <c r="BT10" s="763"/>
      <c r="BU10" s="763"/>
      <c r="BV10" s="763"/>
      <c r="BW10" s="763"/>
      <c r="BX10" s="763"/>
      <c r="BY10" s="763"/>
      <c r="BZ10" s="763"/>
      <c r="CA10" s="763"/>
      <c r="CB10" s="763"/>
      <c r="CC10" s="763"/>
      <c r="CD10" s="763"/>
      <c r="CE10" s="763"/>
      <c r="CF10" s="763"/>
      <c r="CG10" s="763"/>
      <c r="CH10" s="763"/>
      <c r="CI10" s="763"/>
      <c r="CJ10" s="763"/>
      <c r="CK10" s="763"/>
      <c r="CL10" s="763"/>
      <c r="CM10" s="763"/>
      <c r="CN10" s="763"/>
      <c r="CO10" s="763"/>
      <c r="CP10" s="763"/>
      <c r="CQ10" s="763"/>
      <c r="CR10" s="763"/>
      <c r="CS10" s="763"/>
      <c r="CT10" s="763"/>
      <c r="CU10" s="763"/>
      <c r="CV10" s="763"/>
      <c r="CW10" s="763"/>
      <c r="CX10" s="763"/>
      <c r="CY10" s="763"/>
      <c r="CZ10" s="763"/>
      <c r="DA10" s="763"/>
      <c r="DB10" s="763"/>
      <c r="DC10" s="763"/>
      <c r="DD10" s="763"/>
      <c r="DE10" s="763"/>
      <c r="DF10" s="763"/>
      <c r="DG10" s="763"/>
      <c r="DH10" s="763"/>
      <c r="DI10" s="763"/>
      <c r="DJ10" s="763"/>
      <c r="DK10" s="763"/>
      <c r="DL10" s="763"/>
      <c r="DM10" s="763"/>
      <c r="DN10" s="763"/>
      <c r="DO10" s="763"/>
      <c r="DP10" s="763"/>
      <c r="DQ10" s="763"/>
      <c r="DR10" s="763"/>
      <c r="DS10" s="763"/>
      <c r="DT10" s="763"/>
      <c r="DU10" s="763"/>
      <c r="DV10" s="763"/>
      <c r="DW10" s="763"/>
      <c r="DX10" s="763"/>
      <c r="DY10" s="763"/>
      <c r="DZ10" s="763"/>
      <c r="EA10" s="763"/>
      <c r="EB10" s="763"/>
    </row>
    <row r="11" spans="1:132" s="899" customFormat="1" ht="14.1" customHeight="1" x14ac:dyDescent="0.2">
      <c r="A11" s="426"/>
      <c r="B11" s="1320"/>
      <c r="C11" s="451" t="s">
        <v>1167</v>
      </c>
      <c r="D11" s="1333" t="s">
        <v>1167</v>
      </c>
      <c r="E11" s="1334"/>
      <c r="F11" s="774"/>
      <c r="G11" s="702" t="s">
        <v>1168</v>
      </c>
      <c r="H11" s="702"/>
      <c r="I11" s="703"/>
      <c r="J11" s="703"/>
      <c r="K11" s="704"/>
      <c r="L11" s="705"/>
      <c r="M11" s="706">
        <f>I11+K11</f>
        <v>0</v>
      </c>
      <c r="N11" s="706">
        <f>J11+L11</f>
        <v>0</v>
      </c>
      <c r="O11" s="707">
        <v>2E-3</v>
      </c>
      <c r="P11" s="708">
        <f>M11*O11</f>
        <v>0</v>
      </c>
      <c r="Q11" s="709">
        <f>N11*O11</f>
        <v>0</v>
      </c>
      <c r="R11" s="1016"/>
      <c r="S11" s="1016"/>
      <c r="T11" s="1016"/>
      <c r="U11" s="1016"/>
      <c r="V11" s="1017">
        <f t="shared" ref="V11:V24" si="0">IF(P11&lt;=Q11,P11*10%,Q11*10%)</f>
        <v>0</v>
      </c>
      <c r="W11" s="1018">
        <f t="shared" ref="W11:W24" si="1">IF(P11&gt;Q11,P11-Q11,0)</f>
        <v>0</v>
      </c>
      <c r="X11" s="1018">
        <f t="shared" ref="X11:X23" si="2">IF(Q11&gt;P11,Q11-P11,0)</f>
        <v>0</v>
      </c>
      <c r="Y11" s="1324"/>
      <c r="Z11" s="1324"/>
      <c r="AA11" s="1324"/>
      <c r="AB11" s="1324"/>
      <c r="AC11" s="1338"/>
      <c r="AD11" s="1324"/>
      <c r="AE11" s="1331"/>
      <c r="AF11" s="763"/>
      <c r="AG11" s="763"/>
      <c r="AH11" s="763"/>
      <c r="AI11" s="763"/>
      <c r="AJ11" s="763"/>
      <c r="AK11" s="763"/>
      <c r="AL11" s="763"/>
      <c r="AM11" s="763"/>
      <c r="AN11" s="763"/>
      <c r="AO11" s="763"/>
      <c r="AP11" s="763"/>
      <c r="AQ11" s="763"/>
      <c r="AR11" s="763"/>
      <c r="AS11" s="763"/>
      <c r="AT11" s="763"/>
      <c r="AU11" s="763"/>
      <c r="AV11" s="763"/>
      <c r="AW11" s="763"/>
      <c r="AX11" s="763"/>
      <c r="AY11" s="763"/>
      <c r="AZ11" s="763"/>
      <c r="BA11" s="763"/>
      <c r="BB11" s="763"/>
      <c r="BC11" s="763"/>
      <c r="BD11" s="763"/>
      <c r="BE11" s="763"/>
      <c r="BF11" s="763"/>
      <c r="BG11" s="763"/>
      <c r="BH11" s="763"/>
      <c r="BI11" s="763"/>
      <c r="BJ11" s="763"/>
      <c r="BK11" s="763"/>
      <c r="BL11" s="763"/>
      <c r="BM11" s="763"/>
      <c r="BN11" s="763"/>
      <c r="BO11" s="763"/>
      <c r="BP11" s="763"/>
      <c r="BQ11" s="763"/>
      <c r="BR11" s="763"/>
      <c r="BS11" s="763"/>
      <c r="BT11" s="763"/>
      <c r="BU11" s="763"/>
      <c r="BV11" s="763"/>
      <c r="BW11" s="763"/>
      <c r="BX11" s="763"/>
      <c r="BY11" s="763"/>
      <c r="BZ11" s="763"/>
      <c r="CA11" s="763"/>
      <c r="CB11" s="763"/>
      <c r="CC11" s="763"/>
      <c r="CD11" s="763"/>
      <c r="CE11" s="763"/>
      <c r="CF11" s="763"/>
      <c r="CG11" s="763"/>
      <c r="CH11" s="763"/>
      <c r="CI11" s="763"/>
      <c r="CJ11" s="763"/>
      <c r="CK11" s="763"/>
      <c r="CL11" s="763"/>
      <c r="CM11" s="763"/>
      <c r="CN11" s="763"/>
      <c r="CO11" s="763"/>
      <c r="CP11" s="763"/>
      <c r="CQ11" s="763"/>
      <c r="CR11" s="763"/>
      <c r="CS11" s="763"/>
      <c r="CT11" s="763"/>
      <c r="CU11" s="763"/>
      <c r="CV11" s="763"/>
      <c r="CW11" s="763"/>
      <c r="CX11" s="763"/>
      <c r="CY11" s="763"/>
      <c r="CZ11" s="763"/>
      <c r="DA11" s="763"/>
      <c r="DB11" s="763"/>
      <c r="DC11" s="763"/>
      <c r="DD11" s="763"/>
      <c r="DE11" s="763"/>
      <c r="DF11" s="763"/>
      <c r="DG11" s="763"/>
      <c r="DH11" s="763"/>
      <c r="DI11" s="763"/>
      <c r="DJ11" s="763"/>
      <c r="DK11" s="763"/>
      <c r="DL11" s="763"/>
      <c r="DM11" s="763"/>
      <c r="DN11" s="763"/>
      <c r="DO11" s="763"/>
      <c r="DP11" s="763"/>
      <c r="DQ11" s="763"/>
      <c r="DR11" s="763"/>
      <c r="DS11" s="763"/>
      <c r="DT11" s="763"/>
      <c r="DU11" s="763"/>
      <c r="DV11" s="763"/>
      <c r="DW11" s="763"/>
      <c r="DX11" s="763"/>
      <c r="DY11" s="763"/>
      <c r="DZ11" s="763"/>
      <c r="EA11" s="763"/>
      <c r="EB11" s="763"/>
    </row>
    <row r="12" spans="1:132" s="899" customFormat="1" ht="14.1" customHeight="1" x14ac:dyDescent="0.2">
      <c r="A12" s="426"/>
      <c r="B12" s="1320"/>
      <c r="C12" s="710" t="s">
        <v>1169</v>
      </c>
      <c r="D12" s="1333" t="s">
        <v>1169</v>
      </c>
      <c r="E12" s="1334"/>
      <c r="F12" s="701"/>
      <c r="G12" s="702" t="s">
        <v>1170</v>
      </c>
      <c r="H12" s="702"/>
      <c r="I12" s="703"/>
      <c r="J12" s="703"/>
      <c r="K12" s="703"/>
      <c r="L12" s="711"/>
      <c r="M12" s="706">
        <f>I12+K12</f>
        <v>0</v>
      </c>
      <c r="N12" s="706">
        <f t="shared" ref="N12:N24" si="3">J12+L12</f>
        <v>0</v>
      </c>
      <c r="O12" s="712">
        <v>4.0000000000000001E-3</v>
      </c>
      <c r="P12" s="708">
        <f t="shared" ref="P12:P24" si="4">M12*O12</f>
        <v>0</v>
      </c>
      <c r="Q12" s="709">
        <f t="shared" ref="Q12:Q24" si="5">N12*O12</f>
        <v>0</v>
      </c>
      <c r="R12" s="1016"/>
      <c r="S12" s="1016"/>
      <c r="T12" s="1016"/>
      <c r="U12" s="1016"/>
      <c r="V12" s="1017">
        <f t="shared" si="0"/>
        <v>0</v>
      </c>
      <c r="W12" s="1019">
        <f t="shared" si="1"/>
        <v>0</v>
      </c>
      <c r="X12" s="1018">
        <f t="shared" si="2"/>
        <v>0</v>
      </c>
      <c r="Y12" s="1324"/>
      <c r="Z12" s="1324"/>
      <c r="AA12" s="1324"/>
      <c r="AB12" s="1324"/>
      <c r="AC12" s="1338"/>
      <c r="AD12" s="1324"/>
      <c r="AE12" s="1331"/>
      <c r="AF12" s="763"/>
      <c r="AG12" s="763"/>
      <c r="AH12" s="763"/>
      <c r="AI12" s="763"/>
      <c r="AJ12" s="763"/>
      <c r="AK12" s="763"/>
      <c r="AL12" s="763"/>
      <c r="AM12" s="763"/>
      <c r="AN12" s="763"/>
      <c r="AO12" s="763"/>
      <c r="AP12" s="763"/>
      <c r="AQ12" s="763"/>
      <c r="AR12" s="763"/>
      <c r="AS12" s="763"/>
      <c r="AT12" s="763"/>
      <c r="AU12" s="763"/>
      <c r="AV12" s="763"/>
      <c r="AW12" s="763"/>
      <c r="AX12" s="763"/>
      <c r="AY12" s="763"/>
      <c r="AZ12" s="763"/>
      <c r="BA12" s="763"/>
      <c r="BB12" s="763"/>
      <c r="BC12" s="763"/>
      <c r="BD12" s="763"/>
      <c r="BE12" s="763"/>
      <c r="BF12" s="763"/>
      <c r="BG12" s="763"/>
      <c r="BH12" s="763"/>
      <c r="BI12" s="763"/>
      <c r="BJ12" s="763"/>
      <c r="BK12" s="763"/>
      <c r="BL12" s="763"/>
      <c r="BM12" s="763"/>
      <c r="BN12" s="763"/>
      <c r="BO12" s="763"/>
      <c r="BP12" s="763"/>
      <c r="BQ12" s="763"/>
      <c r="BR12" s="763"/>
      <c r="BS12" s="763"/>
      <c r="BT12" s="763"/>
      <c r="BU12" s="763"/>
      <c r="BV12" s="763"/>
      <c r="BW12" s="763"/>
      <c r="BX12" s="763"/>
      <c r="BY12" s="763"/>
      <c r="BZ12" s="763"/>
      <c r="CA12" s="763"/>
      <c r="CB12" s="763"/>
      <c r="CC12" s="763"/>
      <c r="CD12" s="763"/>
      <c r="CE12" s="763"/>
      <c r="CF12" s="763"/>
      <c r="CG12" s="763"/>
      <c r="CH12" s="763"/>
      <c r="CI12" s="763"/>
      <c r="CJ12" s="763"/>
      <c r="CK12" s="763"/>
      <c r="CL12" s="763"/>
      <c r="CM12" s="763"/>
      <c r="CN12" s="763"/>
      <c r="CO12" s="763"/>
      <c r="CP12" s="763"/>
      <c r="CQ12" s="763"/>
      <c r="CR12" s="763"/>
      <c r="CS12" s="763"/>
      <c r="CT12" s="763"/>
      <c r="CU12" s="763"/>
      <c r="CV12" s="763"/>
      <c r="CW12" s="763"/>
      <c r="CX12" s="763"/>
      <c r="CY12" s="763"/>
      <c r="CZ12" s="763"/>
      <c r="DA12" s="763"/>
      <c r="DB12" s="763"/>
      <c r="DC12" s="763"/>
      <c r="DD12" s="763"/>
      <c r="DE12" s="763"/>
      <c r="DF12" s="763"/>
      <c r="DG12" s="763"/>
      <c r="DH12" s="763"/>
      <c r="DI12" s="763"/>
      <c r="DJ12" s="763"/>
      <c r="DK12" s="763"/>
      <c r="DL12" s="763"/>
      <c r="DM12" s="763"/>
      <c r="DN12" s="763"/>
      <c r="DO12" s="763"/>
      <c r="DP12" s="763"/>
      <c r="DQ12" s="763"/>
      <c r="DR12" s="763"/>
      <c r="DS12" s="763"/>
      <c r="DT12" s="763"/>
      <c r="DU12" s="763"/>
      <c r="DV12" s="763"/>
      <c r="DW12" s="763"/>
      <c r="DX12" s="763"/>
      <c r="DY12" s="763"/>
      <c r="DZ12" s="763"/>
      <c r="EA12" s="763"/>
      <c r="EB12" s="763"/>
    </row>
    <row r="13" spans="1:132" s="899" customFormat="1" ht="14.1" customHeight="1" thickBot="1" x14ac:dyDescent="0.25">
      <c r="A13" s="426"/>
      <c r="B13" s="1320"/>
      <c r="C13" s="710" t="s">
        <v>1171</v>
      </c>
      <c r="D13" s="1372" t="s">
        <v>1171</v>
      </c>
      <c r="E13" s="1373"/>
      <c r="F13" s="768"/>
      <c r="G13" s="714" t="s">
        <v>1172</v>
      </c>
      <c r="H13" s="714"/>
      <c r="I13" s="703"/>
      <c r="J13" s="703"/>
      <c r="K13" s="703"/>
      <c r="L13" s="711"/>
      <c r="M13" s="715">
        <f t="shared" ref="M13:M24" si="6">I13+K13</f>
        <v>0</v>
      </c>
      <c r="N13" s="715">
        <f t="shared" si="3"/>
        <v>0</v>
      </c>
      <c r="O13" s="712">
        <v>7.0000000000000001E-3</v>
      </c>
      <c r="P13" s="716">
        <f t="shared" si="4"/>
        <v>0</v>
      </c>
      <c r="Q13" s="717">
        <f t="shared" si="5"/>
        <v>0</v>
      </c>
      <c r="R13" s="1016"/>
      <c r="S13" s="1016"/>
      <c r="T13" s="1016"/>
      <c r="U13" s="1016"/>
      <c r="V13" s="1020">
        <f t="shared" si="0"/>
        <v>0</v>
      </c>
      <c r="W13" s="1021">
        <f t="shared" si="1"/>
        <v>0</v>
      </c>
      <c r="X13" s="1021">
        <f t="shared" si="2"/>
        <v>0</v>
      </c>
      <c r="Y13" s="1325"/>
      <c r="Z13" s="1325"/>
      <c r="AA13" s="1324"/>
      <c r="AB13" s="1325"/>
      <c r="AC13" s="1339"/>
      <c r="AD13" s="1325"/>
      <c r="AE13" s="1331"/>
      <c r="AF13" s="763"/>
      <c r="AG13" s="763"/>
      <c r="AH13" s="763"/>
      <c r="AI13" s="763"/>
      <c r="AJ13" s="763"/>
      <c r="AK13" s="763"/>
      <c r="AL13" s="763"/>
      <c r="AM13" s="763"/>
      <c r="AN13" s="763"/>
      <c r="AO13" s="763"/>
      <c r="AP13" s="763"/>
      <c r="AQ13" s="763"/>
      <c r="AR13" s="763"/>
      <c r="AS13" s="763"/>
      <c r="AT13" s="763"/>
      <c r="AU13" s="763"/>
      <c r="AV13" s="763"/>
      <c r="AW13" s="763"/>
      <c r="AX13" s="763"/>
      <c r="AY13" s="763"/>
      <c r="AZ13" s="763"/>
      <c r="BA13" s="763"/>
      <c r="BB13" s="763"/>
      <c r="BC13" s="763"/>
      <c r="BD13" s="763"/>
      <c r="BE13" s="763"/>
      <c r="BF13" s="763"/>
      <c r="BG13" s="763"/>
      <c r="BH13" s="763"/>
      <c r="BI13" s="763"/>
      <c r="BJ13" s="763"/>
      <c r="BK13" s="763"/>
      <c r="BL13" s="763"/>
      <c r="BM13" s="763"/>
      <c r="BN13" s="763"/>
      <c r="BO13" s="763"/>
      <c r="BP13" s="763"/>
      <c r="BQ13" s="763"/>
      <c r="BR13" s="763"/>
      <c r="BS13" s="763"/>
      <c r="BT13" s="763"/>
      <c r="BU13" s="763"/>
      <c r="BV13" s="763"/>
      <c r="BW13" s="763"/>
      <c r="BX13" s="763"/>
      <c r="BY13" s="763"/>
      <c r="BZ13" s="763"/>
      <c r="CA13" s="763"/>
      <c r="CB13" s="763"/>
      <c r="CC13" s="763"/>
      <c r="CD13" s="763"/>
      <c r="CE13" s="763"/>
      <c r="CF13" s="763"/>
      <c r="CG13" s="763"/>
      <c r="CH13" s="763"/>
      <c r="CI13" s="763"/>
      <c r="CJ13" s="763"/>
      <c r="CK13" s="763"/>
      <c r="CL13" s="763"/>
      <c r="CM13" s="763"/>
      <c r="CN13" s="763"/>
      <c r="CO13" s="763"/>
      <c r="CP13" s="763"/>
      <c r="CQ13" s="763"/>
      <c r="CR13" s="763"/>
      <c r="CS13" s="763"/>
      <c r="CT13" s="763"/>
      <c r="CU13" s="763"/>
      <c r="CV13" s="763"/>
      <c r="CW13" s="763"/>
      <c r="CX13" s="763"/>
      <c r="CY13" s="763"/>
      <c r="CZ13" s="763"/>
      <c r="DA13" s="763"/>
      <c r="DB13" s="763"/>
      <c r="DC13" s="763"/>
      <c r="DD13" s="763"/>
      <c r="DE13" s="763"/>
      <c r="DF13" s="763"/>
      <c r="DG13" s="763"/>
      <c r="DH13" s="763"/>
      <c r="DI13" s="763"/>
      <c r="DJ13" s="763"/>
      <c r="DK13" s="763"/>
      <c r="DL13" s="763"/>
      <c r="DM13" s="763"/>
      <c r="DN13" s="763"/>
      <c r="DO13" s="763"/>
      <c r="DP13" s="763"/>
      <c r="DQ13" s="763"/>
      <c r="DR13" s="763"/>
      <c r="DS13" s="763"/>
      <c r="DT13" s="763"/>
      <c r="DU13" s="763"/>
      <c r="DV13" s="763"/>
      <c r="DW13" s="763"/>
      <c r="DX13" s="763"/>
      <c r="DY13" s="763"/>
      <c r="DZ13" s="763"/>
      <c r="EA13" s="763"/>
      <c r="EB13" s="763"/>
    </row>
    <row r="14" spans="1:132" s="899" customFormat="1" ht="14.1" customHeight="1" x14ac:dyDescent="0.2">
      <c r="A14" s="426"/>
      <c r="B14" s="1319">
        <v>2</v>
      </c>
      <c r="C14" s="691" t="s">
        <v>1173</v>
      </c>
      <c r="D14" s="1321" t="s">
        <v>1174</v>
      </c>
      <c r="E14" s="1322"/>
      <c r="F14" s="692"/>
      <c r="G14" s="693" t="s">
        <v>1175</v>
      </c>
      <c r="H14" s="693"/>
      <c r="I14" s="695"/>
      <c r="J14" s="695"/>
      <c r="K14" s="695"/>
      <c r="L14" s="696"/>
      <c r="M14" s="718">
        <f t="shared" si="6"/>
        <v>0</v>
      </c>
      <c r="N14" s="718">
        <f t="shared" si="3"/>
        <v>0</v>
      </c>
      <c r="O14" s="698">
        <v>1.2500000000000001E-2</v>
      </c>
      <c r="P14" s="719">
        <f t="shared" si="4"/>
        <v>0</v>
      </c>
      <c r="Q14" s="720">
        <f t="shared" si="5"/>
        <v>0</v>
      </c>
      <c r="R14" s="1016"/>
      <c r="S14" s="1016"/>
      <c r="T14" s="1016"/>
      <c r="U14" s="1016"/>
      <c r="V14" s="1022">
        <f t="shared" si="0"/>
        <v>0</v>
      </c>
      <c r="W14" s="1023">
        <f t="shared" si="1"/>
        <v>0</v>
      </c>
      <c r="X14" s="1023">
        <f t="shared" si="2"/>
        <v>0</v>
      </c>
      <c r="Y14" s="1327">
        <f>IF(SUM(W14:W16)&lt;SUM(X14:X16),SUM(W14:W16)*30%,SUM(X14:X16)*30%)</f>
        <v>0</v>
      </c>
      <c r="Z14" s="1327">
        <f>(SUM(W14:W16)-SUM(X14:X16))</f>
        <v>0</v>
      </c>
      <c r="AA14" s="1324"/>
      <c r="AB14" s="1327">
        <f>IF(AA10=0,Z14,IF(ABS(Z10)&lt;ABS(Z14),Z10+Z14,0))</f>
        <v>0</v>
      </c>
      <c r="AC14" s="1327">
        <f>(IF(AB14=0,0,IF(AB17=0,0,IF(AB14&gt;0,IF(AB17&lt;0,IF(AB14&lt;ABS(AB17),AB14*40%,ABS(AB17)*40%),0),IF(AB17&gt;0,IF(ABS(AB14)&lt;AB17,ABS(AB14)*40%,AB17*40%),0)))))</f>
        <v>0</v>
      </c>
      <c r="AD14" s="1327">
        <f>IF(AC14=0,AB14,IF(ABS(AB14)&lt;ABS(AB17),0,AB14+AB17))</f>
        <v>0</v>
      </c>
      <c r="AE14" s="1331"/>
      <c r="AF14" s="763"/>
      <c r="AG14" s="763"/>
      <c r="AH14" s="763"/>
      <c r="AI14" s="763"/>
      <c r="AJ14" s="763"/>
      <c r="AK14" s="763"/>
      <c r="AL14" s="763"/>
      <c r="AM14" s="763"/>
      <c r="AN14" s="763"/>
      <c r="AO14" s="763"/>
      <c r="AP14" s="763"/>
      <c r="AQ14" s="763"/>
      <c r="AR14" s="763"/>
      <c r="AS14" s="763"/>
      <c r="AT14" s="763"/>
      <c r="AU14" s="763"/>
      <c r="AV14" s="763"/>
      <c r="AW14" s="763"/>
      <c r="AX14" s="763"/>
      <c r="AY14" s="763"/>
      <c r="AZ14" s="763"/>
      <c r="BA14" s="763"/>
      <c r="BB14" s="763"/>
      <c r="BC14" s="763"/>
      <c r="BD14" s="763"/>
      <c r="BE14" s="763"/>
      <c r="BF14" s="763"/>
      <c r="BG14" s="763"/>
      <c r="BH14" s="763"/>
      <c r="BI14" s="763"/>
      <c r="BJ14" s="763"/>
      <c r="BK14" s="763"/>
      <c r="BL14" s="763"/>
      <c r="BM14" s="763"/>
      <c r="BN14" s="763"/>
      <c r="BO14" s="763"/>
      <c r="BP14" s="763"/>
      <c r="BQ14" s="763"/>
      <c r="BR14" s="763"/>
      <c r="BS14" s="763"/>
      <c r="BT14" s="763"/>
      <c r="BU14" s="763"/>
      <c r="BV14" s="763"/>
      <c r="BW14" s="763"/>
      <c r="BX14" s="763"/>
      <c r="BY14" s="763"/>
      <c r="BZ14" s="763"/>
      <c r="CA14" s="763"/>
      <c r="CB14" s="763"/>
      <c r="CC14" s="763"/>
      <c r="CD14" s="763"/>
      <c r="CE14" s="763"/>
      <c r="CF14" s="763"/>
      <c r="CG14" s="763"/>
      <c r="CH14" s="763"/>
      <c r="CI14" s="763"/>
      <c r="CJ14" s="763"/>
      <c r="CK14" s="763"/>
      <c r="CL14" s="763"/>
      <c r="CM14" s="763"/>
      <c r="CN14" s="763"/>
      <c r="CO14" s="763"/>
      <c r="CP14" s="763"/>
      <c r="CQ14" s="763"/>
      <c r="CR14" s="763"/>
      <c r="CS14" s="763"/>
      <c r="CT14" s="763"/>
      <c r="CU14" s="763"/>
      <c r="CV14" s="763"/>
      <c r="CW14" s="763"/>
      <c r="CX14" s="763"/>
      <c r="CY14" s="763"/>
      <c r="CZ14" s="763"/>
      <c r="DA14" s="763"/>
      <c r="DB14" s="763"/>
      <c r="DC14" s="763"/>
      <c r="DD14" s="763"/>
      <c r="DE14" s="763"/>
      <c r="DF14" s="763"/>
      <c r="DG14" s="763"/>
      <c r="DH14" s="763"/>
      <c r="DI14" s="763"/>
      <c r="DJ14" s="763"/>
      <c r="DK14" s="763"/>
      <c r="DL14" s="763"/>
      <c r="DM14" s="763"/>
      <c r="DN14" s="763"/>
      <c r="DO14" s="763"/>
      <c r="DP14" s="763"/>
      <c r="DQ14" s="763"/>
      <c r="DR14" s="763"/>
      <c r="DS14" s="763"/>
      <c r="DT14" s="763"/>
      <c r="DU14" s="763"/>
      <c r="DV14" s="763"/>
      <c r="DW14" s="763"/>
      <c r="DX14" s="763"/>
      <c r="DY14" s="763"/>
      <c r="DZ14" s="763"/>
      <c r="EA14" s="763"/>
      <c r="EB14" s="763"/>
    </row>
    <row r="15" spans="1:132" s="899" customFormat="1" ht="14.1" customHeight="1" x14ac:dyDescent="0.2">
      <c r="A15" s="426"/>
      <c r="B15" s="1320"/>
      <c r="C15" s="451" t="s">
        <v>1176</v>
      </c>
      <c r="D15" s="1333" t="s">
        <v>1177</v>
      </c>
      <c r="E15" s="1334"/>
      <c r="F15" s="701"/>
      <c r="G15" s="702" t="s">
        <v>1178</v>
      </c>
      <c r="H15" s="702"/>
      <c r="I15" s="704"/>
      <c r="J15" s="704"/>
      <c r="K15" s="704"/>
      <c r="L15" s="705"/>
      <c r="M15" s="706">
        <f t="shared" si="6"/>
        <v>0</v>
      </c>
      <c r="N15" s="706">
        <f t="shared" si="3"/>
        <v>0</v>
      </c>
      <c r="O15" s="707">
        <v>1.7500000000000002E-2</v>
      </c>
      <c r="P15" s="708">
        <f t="shared" si="4"/>
        <v>0</v>
      </c>
      <c r="Q15" s="709">
        <f t="shared" si="5"/>
        <v>0</v>
      </c>
      <c r="R15" s="1016"/>
      <c r="S15" s="1016"/>
      <c r="T15" s="1016"/>
      <c r="U15" s="1016"/>
      <c r="V15" s="1024">
        <f t="shared" si="0"/>
        <v>0</v>
      </c>
      <c r="W15" s="1025">
        <f t="shared" si="1"/>
        <v>0</v>
      </c>
      <c r="X15" s="1025">
        <f t="shared" si="2"/>
        <v>0</v>
      </c>
      <c r="Y15" s="1328"/>
      <c r="Z15" s="1328"/>
      <c r="AA15" s="1324"/>
      <c r="AB15" s="1328"/>
      <c r="AC15" s="1328"/>
      <c r="AD15" s="1328"/>
      <c r="AE15" s="1331"/>
      <c r="AF15" s="763"/>
      <c r="AG15" s="763"/>
      <c r="AH15" s="763"/>
      <c r="AI15" s="763"/>
      <c r="AJ15" s="763"/>
      <c r="AK15" s="763"/>
      <c r="AL15" s="763"/>
      <c r="AM15" s="763"/>
      <c r="AN15" s="763"/>
      <c r="AO15" s="763"/>
      <c r="AP15" s="763"/>
      <c r="AQ15" s="763"/>
      <c r="AR15" s="763"/>
      <c r="AS15" s="763"/>
      <c r="AT15" s="763"/>
      <c r="AU15" s="763"/>
      <c r="AV15" s="763"/>
      <c r="AW15" s="763"/>
      <c r="AX15" s="763"/>
      <c r="AY15" s="763"/>
      <c r="AZ15" s="763"/>
      <c r="BA15" s="763"/>
      <c r="BB15" s="763"/>
      <c r="BC15" s="763"/>
      <c r="BD15" s="763"/>
      <c r="BE15" s="763"/>
      <c r="BF15" s="763"/>
      <c r="BG15" s="763"/>
      <c r="BH15" s="763"/>
      <c r="BI15" s="763"/>
      <c r="BJ15" s="763"/>
      <c r="BK15" s="763"/>
      <c r="BL15" s="763"/>
      <c r="BM15" s="763"/>
      <c r="BN15" s="763"/>
      <c r="BO15" s="763"/>
      <c r="BP15" s="763"/>
      <c r="BQ15" s="763"/>
      <c r="BR15" s="763"/>
      <c r="BS15" s="763"/>
      <c r="BT15" s="763"/>
      <c r="BU15" s="763"/>
      <c r="BV15" s="763"/>
      <c r="BW15" s="763"/>
      <c r="BX15" s="763"/>
      <c r="BY15" s="763"/>
      <c r="BZ15" s="763"/>
      <c r="CA15" s="763"/>
      <c r="CB15" s="763"/>
      <c r="CC15" s="763"/>
      <c r="CD15" s="763"/>
      <c r="CE15" s="763"/>
      <c r="CF15" s="763"/>
      <c r="CG15" s="763"/>
      <c r="CH15" s="763"/>
      <c r="CI15" s="763"/>
      <c r="CJ15" s="763"/>
      <c r="CK15" s="763"/>
      <c r="CL15" s="763"/>
      <c r="CM15" s="763"/>
      <c r="CN15" s="763"/>
      <c r="CO15" s="763"/>
      <c r="CP15" s="763"/>
      <c r="CQ15" s="763"/>
      <c r="CR15" s="763"/>
      <c r="CS15" s="763"/>
      <c r="CT15" s="763"/>
      <c r="CU15" s="763"/>
      <c r="CV15" s="763"/>
      <c r="CW15" s="763"/>
      <c r="CX15" s="763"/>
      <c r="CY15" s="763"/>
      <c r="CZ15" s="763"/>
      <c r="DA15" s="763"/>
      <c r="DB15" s="763"/>
      <c r="DC15" s="763"/>
      <c r="DD15" s="763"/>
      <c r="DE15" s="763"/>
      <c r="DF15" s="763"/>
      <c r="DG15" s="763"/>
      <c r="DH15" s="763"/>
      <c r="DI15" s="763"/>
      <c r="DJ15" s="763"/>
      <c r="DK15" s="763"/>
      <c r="DL15" s="763"/>
      <c r="DM15" s="763"/>
      <c r="DN15" s="763"/>
      <c r="DO15" s="763"/>
      <c r="DP15" s="763"/>
      <c r="DQ15" s="763"/>
      <c r="DR15" s="763"/>
      <c r="DS15" s="763"/>
      <c r="DT15" s="763"/>
      <c r="DU15" s="763"/>
      <c r="DV15" s="763"/>
      <c r="DW15" s="763"/>
      <c r="DX15" s="763"/>
      <c r="DY15" s="763"/>
      <c r="DZ15" s="763"/>
      <c r="EA15" s="763"/>
      <c r="EB15" s="763"/>
    </row>
    <row r="16" spans="1:132" s="899" customFormat="1" ht="14.1" customHeight="1" thickBot="1" x14ac:dyDescent="0.25">
      <c r="A16" s="426"/>
      <c r="B16" s="1326"/>
      <c r="C16" s="721" t="s">
        <v>1179</v>
      </c>
      <c r="D16" s="1372" t="s">
        <v>1180</v>
      </c>
      <c r="E16" s="1373"/>
      <c r="F16" s="768"/>
      <c r="G16" s="714" t="s">
        <v>1181</v>
      </c>
      <c r="H16" s="714"/>
      <c r="I16" s="722"/>
      <c r="J16" s="722"/>
      <c r="K16" s="722"/>
      <c r="L16" s="723"/>
      <c r="M16" s="715">
        <f t="shared" si="6"/>
        <v>0</v>
      </c>
      <c r="N16" s="715">
        <f t="shared" si="3"/>
        <v>0</v>
      </c>
      <c r="O16" s="724">
        <v>2.2499999999999999E-2</v>
      </c>
      <c r="P16" s="716">
        <f t="shared" si="4"/>
        <v>0</v>
      </c>
      <c r="Q16" s="717">
        <f t="shared" si="5"/>
        <v>0</v>
      </c>
      <c r="R16" s="1016"/>
      <c r="S16" s="1016"/>
      <c r="T16" s="1016"/>
      <c r="U16" s="1016"/>
      <c r="V16" s="1026">
        <f t="shared" si="0"/>
        <v>0</v>
      </c>
      <c r="W16" s="1027">
        <f t="shared" si="1"/>
        <v>0</v>
      </c>
      <c r="X16" s="1027">
        <f t="shared" si="2"/>
        <v>0</v>
      </c>
      <c r="Y16" s="1329"/>
      <c r="Z16" s="1329"/>
      <c r="AA16" s="1325"/>
      <c r="AB16" s="1329"/>
      <c r="AC16" s="1328"/>
      <c r="AD16" s="1329"/>
      <c r="AE16" s="1331"/>
      <c r="AF16" s="763"/>
      <c r="AG16" s="763"/>
      <c r="AH16" s="763"/>
      <c r="AI16" s="763"/>
      <c r="AJ16" s="763"/>
      <c r="AK16" s="763"/>
      <c r="AL16" s="763"/>
      <c r="AM16" s="763"/>
      <c r="AN16" s="763"/>
      <c r="AO16" s="763"/>
      <c r="AP16" s="763"/>
      <c r="AQ16" s="763"/>
      <c r="AR16" s="763"/>
      <c r="AS16" s="763"/>
      <c r="AT16" s="763"/>
      <c r="AU16" s="763"/>
      <c r="AV16" s="763"/>
      <c r="AW16" s="763"/>
      <c r="AX16" s="763"/>
      <c r="AY16" s="763"/>
      <c r="AZ16" s="763"/>
      <c r="BA16" s="763"/>
      <c r="BB16" s="763"/>
      <c r="BC16" s="763"/>
      <c r="BD16" s="763"/>
      <c r="BE16" s="763"/>
      <c r="BF16" s="763"/>
      <c r="BG16" s="763"/>
      <c r="BH16" s="763"/>
      <c r="BI16" s="763"/>
      <c r="BJ16" s="763"/>
      <c r="BK16" s="763"/>
      <c r="BL16" s="763"/>
      <c r="BM16" s="763"/>
      <c r="BN16" s="763"/>
      <c r="BO16" s="763"/>
      <c r="BP16" s="763"/>
      <c r="BQ16" s="763"/>
      <c r="BR16" s="763"/>
      <c r="BS16" s="763"/>
      <c r="BT16" s="763"/>
      <c r="BU16" s="763"/>
      <c r="BV16" s="763"/>
      <c r="BW16" s="763"/>
      <c r="BX16" s="763"/>
      <c r="BY16" s="763"/>
      <c r="BZ16" s="763"/>
      <c r="CA16" s="763"/>
      <c r="CB16" s="763"/>
      <c r="CC16" s="763"/>
      <c r="CD16" s="763"/>
      <c r="CE16" s="763"/>
      <c r="CF16" s="763"/>
      <c r="CG16" s="763"/>
      <c r="CH16" s="763"/>
      <c r="CI16" s="763"/>
      <c r="CJ16" s="763"/>
      <c r="CK16" s="763"/>
      <c r="CL16" s="763"/>
      <c r="CM16" s="763"/>
      <c r="CN16" s="763"/>
      <c r="CO16" s="763"/>
      <c r="CP16" s="763"/>
      <c r="CQ16" s="763"/>
      <c r="CR16" s="763"/>
      <c r="CS16" s="763"/>
      <c r="CT16" s="763"/>
      <c r="CU16" s="763"/>
      <c r="CV16" s="763"/>
      <c r="CW16" s="763"/>
      <c r="CX16" s="763"/>
      <c r="CY16" s="763"/>
      <c r="CZ16" s="763"/>
      <c r="DA16" s="763"/>
      <c r="DB16" s="763"/>
      <c r="DC16" s="763"/>
      <c r="DD16" s="763"/>
      <c r="DE16" s="763"/>
      <c r="DF16" s="763"/>
      <c r="DG16" s="763"/>
      <c r="DH16" s="763"/>
      <c r="DI16" s="763"/>
      <c r="DJ16" s="763"/>
      <c r="DK16" s="763"/>
      <c r="DL16" s="763"/>
      <c r="DM16" s="763"/>
      <c r="DN16" s="763"/>
      <c r="DO16" s="763"/>
      <c r="DP16" s="763"/>
      <c r="DQ16" s="763"/>
      <c r="DR16" s="763"/>
      <c r="DS16" s="763"/>
      <c r="DT16" s="763"/>
      <c r="DU16" s="763"/>
      <c r="DV16" s="763"/>
      <c r="DW16" s="763"/>
      <c r="DX16" s="763"/>
      <c r="DY16" s="763"/>
      <c r="DZ16" s="763"/>
      <c r="EA16" s="763"/>
      <c r="EB16" s="763"/>
    </row>
    <row r="17" spans="1:134" s="899" customFormat="1" ht="14.1" customHeight="1" x14ac:dyDescent="0.2">
      <c r="A17" s="426"/>
      <c r="B17" s="1319">
        <v>3</v>
      </c>
      <c r="C17" s="725" t="s">
        <v>1182</v>
      </c>
      <c r="D17" s="1321" t="s">
        <v>1183</v>
      </c>
      <c r="E17" s="1322"/>
      <c r="F17" s="767"/>
      <c r="G17" s="693" t="s">
        <v>1184</v>
      </c>
      <c r="H17" s="693"/>
      <c r="I17" s="694"/>
      <c r="J17" s="694"/>
      <c r="K17" s="694"/>
      <c r="L17" s="726"/>
      <c r="M17" s="718">
        <f t="shared" si="6"/>
        <v>0</v>
      </c>
      <c r="N17" s="718">
        <f t="shared" si="3"/>
        <v>0</v>
      </c>
      <c r="O17" s="727">
        <v>2.75E-2</v>
      </c>
      <c r="P17" s="719">
        <f t="shared" si="4"/>
        <v>0</v>
      </c>
      <c r="Q17" s="720">
        <f t="shared" si="5"/>
        <v>0</v>
      </c>
      <c r="R17" s="1016"/>
      <c r="S17" s="1016"/>
      <c r="T17" s="1016"/>
      <c r="U17" s="1016"/>
      <c r="V17" s="1028">
        <f t="shared" si="0"/>
        <v>0</v>
      </c>
      <c r="W17" s="1029">
        <f t="shared" si="1"/>
        <v>0</v>
      </c>
      <c r="X17" s="1029">
        <f t="shared" si="2"/>
        <v>0</v>
      </c>
      <c r="Y17" s="1330">
        <f>IF(SUM(W17:W24)&lt;SUM(X17:X24),SUM(W17:W24)*30%,SUM(X17:X24)*30%)</f>
        <v>0</v>
      </c>
      <c r="Z17" s="1330">
        <f>SUM(W17:W24)-SUM(X17:X24)</f>
        <v>0</v>
      </c>
      <c r="AA17" s="1337"/>
      <c r="AB17" s="1330">
        <f>Z17</f>
        <v>0</v>
      </c>
      <c r="AC17" s="1328"/>
      <c r="AD17" s="1330">
        <f>IF(AC14=0,AB17,IF(ABS(AB14)&lt;ABS(AB17),AB14+AB17,0))</f>
        <v>0</v>
      </c>
      <c r="AE17" s="1331"/>
      <c r="AF17" s="763"/>
      <c r="AG17" s="763"/>
      <c r="AH17" s="763"/>
      <c r="AI17" s="763"/>
      <c r="AJ17" s="763"/>
      <c r="AK17" s="763"/>
      <c r="AL17" s="763"/>
      <c r="AM17" s="763"/>
      <c r="AN17" s="763"/>
      <c r="AO17" s="763"/>
      <c r="AP17" s="763"/>
      <c r="AQ17" s="763"/>
      <c r="AR17" s="763"/>
      <c r="AS17" s="763"/>
      <c r="AT17" s="763"/>
      <c r="AU17" s="763"/>
      <c r="AV17" s="763"/>
      <c r="AW17" s="763"/>
      <c r="AX17" s="763"/>
      <c r="AY17" s="763"/>
      <c r="AZ17" s="763"/>
      <c r="BA17" s="763"/>
      <c r="BB17" s="763"/>
      <c r="BC17" s="763"/>
      <c r="BD17" s="763"/>
      <c r="BE17" s="763"/>
      <c r="BF17" s="763"/>
      <c r="BG17" s="763"/>
      <c r="BH17" s="763"/>
      <c r="BI17" s="763"/>
      <c r="BJ17" s="763"/>
      <c r="BK17" s="763"/>
      <c r="BL17" s="763"/>
      <c r="BM17" s="763"/>
      <c r="BN17" s="763"/>
      <c r="BO17" s="763"/>
      <c r="BP17" s="763"/>
      <c r="BQ17" s="763"/>
      <c r="BR17" s="763"/>
      <c r="BS17" s="763"/>
      <c r="BT17" s="763"/>
      <c r="BU17" s="763"/>
      <c r="BV17" s="763"/>
      <c r="BW17" s="763"/>
      <c r="BX17" s="763"/>
      <c r="BY17" s="763"/>
      <c r="BZ17" s="763"/>
      <c r="CA17" s="763"/>
      <c r="CB17" s="763"/>
      <c r="CC17" s="763"/>
      <c r="CD17" s="763"/>
      <c r="CE17" s="763"/>
      <c r="CF17" s="763"/>
      <c r="CG17" s="763"/>
      <c r="CH17" s="763"/>
      <c r="CI17" s="763"/>
      <c r="CJ17" s="763"/>
      <c r="CK17" s="763"/>
      <c r="CL17" s="763"/>
      <c r="CM17" s="763"/>
      <c r="CN17" s="763"/>
      <c r="CO17" s="763"/>
      <c r="CP17" s="763"/>
      <c r="CQ17" s="763"/>
      <c r="CR17" s="763"/>
      <c r="CS17" s="763"/>
      <c r="CT17" s="763"/>
      <c r="CU17" s="763"/>
      <c r="CV17" s="763"/>
      <c r="CW17" s="763"/>
      <c r="CX17" s="763"/>
      <c r="CY17" s="763"/>
      <c r="CZ17" s="763"/>
      <c r="DA17" s="763"/>
      <c r="DB17" s="763"/>
      <c r="DC17" s="763"/>
      <c r="DD17" s="763"/>
      <c r="DE17" s="763"/>
      <c r="DF17" s="763"/>
      <c r="DG17" s="763"/>
      <c r="DH17" s="763"/>
      <c r="DI17" s="763"/>
      <c r="DJ17" s="763"/>
      <c r="DK17" s="763"/>
      <c r="DL17" s="763"/>
      <c r="DM17" s="763"/>
      <c r="DN17" s="763"/>
      <c r="DO17" s="763"/>
      <c r="DP17" s="763"/>
      <c r="DQ17" s="763"/>
      <c r="DR17" s="763"/>
      <c r="DS17" s="763"/>
      <c r="DT17" s="763"/>
      <c r="DU17" s="763"/>
      <c r="DV17" s="763"/>
      <c r="DW17" s="763"/>
      <c r="DX17" s="763"/>
      <c r="DY17" s="763"/>
      <c r="DZ17" s="763"/>
      <c r="EA17" s="763"/>
      <c r="EB17" s="763"/>
    </row>
    <row r="18" spans="1:134" s="899" customFormat="1" ht="14.1" customHeight="1" x14ac:dyDescent="0.2">
      <c r="A18" s="426"/>
      <c r="B18" s="1320"/>
      <c r="C18" s="451" t="s">
        <v>1185</v>
      </c>
      <c r="D18" s="1333" t="s">
        <v>1186</v>
      </c>
      <c r="E18" s="1334"/>
      <c r="F18" s="701"/>
      <c r="G18" s="702" t="s">
        <v>1187</v>
      </c>
      <c r="H18" s="702"/>
      <c r="I18" s="704"/>
      <c r="J18" s="704"/>
      <c r="K18" s="704"/>
      <c r="L18" s="705"/>
      <c r="M18" s="706">
        <f t="shared" si="6"/>
        <v>0</v>
      </c>
      <c r="N18" s="706">
        <f t="shared" si="3"/>
        <v>0</v>
      </c>
      <c r="O18" s="707">
        <v>3.2500000000000001E-2</v>
      </c>
      <c r="P18" s="708">
        <f t="shared" si="4"/>
        <v>0</v>
      </c>
      <c r="Q18" s="709">
        <f t="shared" si="5"/>
        <v>0</v>
      </c>
      <c r="R18" s="1016"/>
      <c r="S18" s="1016"/>
      <c r="T18" s="1016"/>
      <c r="U18" s="1016"/>
      <c r="V18" s="1030">
        <f t="shared" si="0"/>
        <v>0</v>
      </c>
      <c r="W18" s="1031">
        <f t="shared" si="1"/>
        <v>0</v>
      </c>
      <c r="X18" s="1031">
        <f t="shared" si="2"/>
        <v>0</v>
      </c>
      <c r="Y18" s="1331"/>
      <c r="Z18" s="1331"/>
      <c r="AA18" s="1338"/>
      <c r="AB18" s="1331"/>
      <c r="AC18" s="1328"/>
      <c r="AD18" s="1331"/>
      <c r="AE18" s="1331"/>
      <c r="AF18" s="763"/>
      <c r="AG18" s="763"/>
      <c r="AH18" s="763"/>
      <c r="AI18" s="763"/>
      <c r="AJ18" s="763"/>
      <c r="AK18" s="763"/>
      <c r="AL18" s="763"/>
      <c r="AM18" s="763"/>
      <c r="AN18" s="763"/>
      <c r="AO18" s="763"/>
      <c r="AP18" s="763"/>
      <c r="AQ18" s="763"/>
      <c r="AR18" s="763"/>
      <c r="AS18" s="763"/>
      <c r="AT18" s="763"/>
      <c r="AU18" s="763"/>
      <c r="AV18" s="763"/>
      <c r="AW18" s="763"/>
      <c r="AX18" s="763"/>
      <c r="AY18" s="763"/>
      <c r="AZ18" s="763"/>
      <c r="BA18" s="763"/>
      <c r="BB18" s="763"/>
      <c r="BC18" s="763"/>
      <c r="BD18" s="763"/>
      <c r="BE18" s="763"/>
      <c r="BF18" s="763"/>
      <c r="BG18" s="763"/>
      <c r="BH18" s="763"/>
      <c r="BI18" s="763"/>
      <c r="BJ18" s="763"/>
      <c r="BK18" s="763"/>
      <c r="BL18" s="763"/>
      <c r="BM18" s="763"/>
      <c r="BN18" s="763"/>
      <c r="BO18" s="763"/>
      <c r="BP18" s="763"/>
      <c r="BQ18" s="763"/>
      <c r="BR18" s="763"/>
      <c r="BS18" s="763"/>
      <c r="BT18" s="763"/>
      <c r="BU18" s="763"/>
      <c r="BV18" s="763"/>
      <c r="BW18" s="763"/>
      <c r="BX18" s="763"/>
      <c r="BY18" s="763"/>
      <c r="BZ18" s="763"/>
      <c r="CA18" s="763"/>
      <c r="CB18" s="763"/>
      <c r="CC18" s="763"/>
      <c r="CD18" s="763"/>
      <c r="CE18" s="763"/>
      <c r="CF18" s="763"/>
      <c r="CG18" s="763"/>
      <c r="CH18" s="763"/>
      <c r="CI18" s="763"/>
      <c r="CJ18" s="763"/>
      <c r="CK18" s="763"/>
      <c r="CL18" s="763"/>
      <c r="CM18" s="763"/>
      <c r="CN18" s="763"/>
      <c r="CO18" s="763"/>
      <c r="CP18" s="763"/>
      <c r="CQ18" s="763"/>
      <c r="CR18" s="763"/>
      <c r="CS18" s="763"/>
      <c r="CT18" s="763"/>
      <c r="CU18" s="763"/>
      <c r="CV18" s="763"/>
      <c r="CW18" s="763"/>
      <c r="CX18" s="763"/>
      <c r="CY18" s="763"/>
      <c r="CZ18" s="763"/>
      <c r="DA18" s="763"/>
      <c r="DB18" s="763"/>
      <c r="DC18" s="763"/>
      <c r="DD18" s="763"/>
      <c r="DE18" s="763"/>
      <c r="DF18" s="763"/>
      <c r="DG18" s="763"/>
      <c r="DH18" s="763"/>
      <c r="DI18" s="763"/>
      <c r="DJ18" s="763"/>
      <c r="DK18" s="763"/>
      <c r="DL18" s="763"/>
      <c r="DM18" s="763"/>
      <c r="DN18" s="763"/>
      <c r="DO18" s="763"/>
      <c r="DP18" s="763"/>
      <c r="DQ18" s="763"/>
      <c r="DR18" s="763"/>
      <c r="DS18" s="763"/>
      <c r="DT18" s="763"/>
      <c r="DU18" s="763"/>
      <c r="DV18" s="763"/>
      <c r="DW18" s="763"/>
      <c r="DX18" s="763"/>
      <c r="DY18" s="763"/>
      <c r="DZ18" s="763"/>
      <c r="EA18" s="763"/>
      <c r="EB18" s="763"/>
    </row>
    <row r="19" spans="1:134" s="899" customFormat="1" ht="14.1" customHeight="1" x14ac:dyDescent="0.2">
      <c r="A19" s="426"/>
      <c r="B19" s="1320"/>
      <c r="C19" s="451" t="s">
        <v>1188</v>
      </c>
      <c r="D19" s="1333" t="s">
        <v>1189</v>
      </c>
      <c r="E19" s="1334"/>
      <c r="F19" s="701"/>
      <c r="G19" s="702" t="s">
        <v>1190</v>
      </c>
      <c r="H19" s="702"/>
      <c r="I19" s="704"/>
      <c r="J19" s="704"/>
      <c r="K19" s="704"/>
      <c r="L19" s="705"/>
      <c r="M19" s="706">
        <f t="shared" si="6"/>
        <v>0</v>
      </c>
      <c r="N19" s="706">
        <f t="shared" si="3"/>
        <v>0</v>
      </c>
      <c r="O19" s="707">
        <v>3.7499999999999999E-2</v>
      </c>
      <c r="P19" s="708">
        <f t="shared" si="4"/>
        <v>0</v>
      </c>
      <c r="Q19" s="709">
        <f t="shared" si="5"/>
        <v>0</v>
      </c>
      <c r="R19" s="1016"/>
      <c r="S19" s="1016"/>
      <c r="T19" s="1016"/>
      <c r="U19" s="1016"/>
      <c r="V19" s="1030">
        <f t="shared" si="0"/>
        <v>0</v>
      </c>
      <c r="W19" s="1031">
        <f t="shared" si="1"/>
        <v>0</v>
      </c>
      <c r="X19" s="1031">
        <f t="shared" si="2"/>
        <v>0</v>
      </c>
      <c r="Y19" s="1331"/>
      <c r="Z19" s="1331"/>
      <c r="AA19" s="1338"/>
      <c r="AB19" s="1331"/>
      <c r="AC19" s="1328"/>
      <c r="AD19" s="1331"/>
      <c r="AE19" s="1331"/>
      <c r="AF19" s="763"/>
      <c r="AG19" s="763"/>
      <c r="AH19" s="763"/>
      <c r="AI19" s="763"/>
      <c r="AJ19" s="763"/>
      <c r="AK19" s="763"/>
      <c r="AL19" s="763"/>
      <c r="AM19" s="763"/>
      <c r="AN19" s="763"/>
      <c r="AO19" s="763"/>
      <c r="AP19" s="763"/>
      <c r="AQ19" s="763"/>
      <c r="AR19" s="763"/>
      <c r="AS19" s="763"/>
      <c r="AT19" s="763"/>
      <c r="AU19" s="763"/>
      <c r="AV19" s="763"/>
      <c r="AW19" s="763"/>
      <c r="AX19" s="763"/>
      <c r="AY19" s="763"/>
      <c r="AZ19" s="763"/>
      <c r="BA19" s="763"/>
      <c r="BB19" s="763"/>
      <c r="BC19" s="763"/>
      <c r="BD19" s="763"/>
      <c r="BE19" s="763"/>
      <c r="BF19" s="763"/>
      <c r="BG19" s="763"/>
      <c r="BH19" s="763"/>
      <c r="BI19" s="763"/>
      <c r="BJ19" s="763"/>
      <c r="BK19" s="763"/>
      <c r="BL19" s="763"/>
      <c r="BM19" s="763"/>
      <c r="BN19" s="763"/>
      <c r="BO19" s="763"/>
      <c r="BP19" s="763"/>
      <c r="BQ19" s="763"/>
      <c r="BR19" s="763"/>
      <c r="BS19" s="763"/>
      <c r="BT19" s="763"/>
      <c r="BU19" s="763"/>
      <c r="BV19" s="763"/>
      <c r="BW19" s="763"/>
      <c r="BX19" s="763"/>
      <c r="BY19" s="763"/>
      <c r="BZ19" s="763"/>
      <c r="CA19" s="763"/>
      <c r="CB19" s="763"/>
      <c r="CC19" s="763"/>
      <c r="CD19" s="763"/>
      <c r="CE19" s="763"/>
      <c r="CF19" s="763"/>
      <c r="CG19" s="763"/>
      <c r="CH19" s="763"/>
      <c r="CI19" s="763"/>
      <c r="CJ19" s="763"/>
      <c r="CK19" s="763"/>
      <c r="CL19" s="763"/>
      <c r="CM19" s="763"/>
      <c r="CN19" s="763"/>
      <c r="CO19" s="763"/>
      <c r="CP19" s="763"/>
      <c r="CQ19" s="763"/>
      <c r="CR19" s="763"/>
      <c r="CS19" s="763"/>
      <c r="CT19" s="763"/>
      <c r="CU19" s="763"/>
      <c r="CV19" s="763"/>
      <c r="CW19" s="763"/>
      <c r="CX19" s="763"/>
      <c r="CY19" s="763"/>
      <c r="CZ19" s="763"/>
      <c r="DA19" s="763"/>
      <c r="DB19" s="763"/>
      <c r="DC19" s="763"/>
      <c r="DD19" s="763"/>
      <c r="DE19" s="763"/>
      <c r="DF19" s="763"/>
      <c r="DG19" s="763"/>
      <c r="DH19" s="763"/>
      <c r="DI19" s="763"/>
      <c r="DJ19" s="763"/>
      <c r="DK19" s="763"/>
      <c r="DL19" s="763"/>
      <c r="DM19" s="763"/>
      <c r="DN19" s="763"/>
      <c r="DO19" s="763"/>
      <c r="DP19" s="763"/>
      <c r="DQ19" s="763"/>
      <c r="DR19" s="763"/>
      <c r="DS19" s="763"/>
      <c r="DT19" s="763"/>
      <c r="DU19" s="763"/>
      <c r="DV19" s="763"/>
      <c r="DW19" s="763"/>
      <c r="DX19" s="763"/>
      <c r="DY19" s="763"/>
      <c r="DZ19" s="763"/>
      <c r="EA19" s="763"/>
      <c r="EB19" s="763"/>
    </row>
    <row r="20" spans="1:134" s="899" customFormat="1" ht="14.1" customHeight="1" x14ac:dyDescent="0.2">
      <c r="A20" s="426"/>
      <c r="B20" s="1320"/>
      <c r="C20" s="451" t="s">
        <v>1191</v>
      </c>
      <c r="D20" s="1333" t="s">
        <v>1192</v>
      </c>
      <c r="E20" s="1334"/>
      <c r="F20" s="701"/>
      <c r="G20" s="702" t="s">
        <v>1193</v>
      </c>
      <c r="H20" s="702"/>
      <c r="I20" s="704"/>
      <c r="J20" s="704"/>
      <c r="K20" s="704"/>
      <c r="L20" s="705"/>
      <c r="M20" s="706">
        <f t="shared" si="6"/>
        <v>0</v>
      </c>
      <c r="N20" s="706">
        <f t="shared" si="3"/>
        <v>0</v>
      </c>
      <c r="O20" s="707">
        <v>4.4999999999999998E-2</v>
      </c>
      <c r="P20" s="708">
        <f t="shared" si="4"/>
        <v>0</v>
      </c>
      <c r="Q20" s="709">
        <f t="shared" si="5"/>
        <v>0</v>
      </c>
      <c r="R20" s="1016"/>
      <c r="S20" s="1016"/>
      <c r="T20" s="1016"/>
      <c r="U20" s="1016"/>
      <c r="V20" s="1030">
        <f t="shared" si="0"/>
        <v>0</v>
      </c>
      <c r="W20" s="1031">
        <f t="shared" si="1"/>
        <v>0</v>
      </c>
      <c r="X20" s="1031">
        <f t="shared" si="2"/>
        <v>0</v>
      </c>
      <c r="Y20" s="1331"/>
      <c r="Z20" s="1331"/>
      <c r="AA20" s="1338"/>
      <c r="AB20" s="1331"/>
      <c r="AC20" s="1328"/>
      <c r="AD20" s="1331"/>
      <c r="AE20" s="1331"/>
      <c r="AF20" s="763"/>
      <c r="AG20" s="763"/>
      <c r="AH20" s="763"/>
      <c r="AI20" s="763"/>
      <c r="AJ20" s="763"/>
      <c r="AK20" s="763"/>
      <c r="AL20" s="763"/>
      <c r="AM20" s="763"/>
      <c r="AN20" s="763"/>
      <c r="AO20" s="763"/>
      <c r="AP20" s="763"/>
      <c r="AQ20" s="763"/>
      <c r="AR20" s="763"/>
      <c r="AS20" s="763"/>
      <c r="AT20" s="763"/>
      <c r="AU20" s="763"/>
      <c r="AV20" s="763"/>
      <c r="AW20" s="763"/>
      <c r="AX20" s="763"/>
      <c r="AY20" s="763"/>
      <c r="AZ20" s="763"/>
      <c r="BA20" s="763"/>
      <c r="BB20" s="763"/>
      <c r="BC20" s="763"/>
      <c r="BD20" s="763"/>
      <c r="BE20" s="763"/>
      <c r="BF20" s="763"/>
      <c r="BG20" s="763"/>
      <c r="BH20" s="763"/>
      <c r="BI20" s="763"/>
      <c r="BJ20" s="763"/>
      <c r="BK20" s="763"/>
      <c r="BL20" s="763"/>
      <c r="BM20" s="763"/>
      <c r="BN20" s="763"/>
      <c r="BO20" s="763"/>
      <c r="BP20" s="763"/>
      <c r="BQ20" s="763"/>
      <c r="BR20" s="763"/>
      <c r="BS20" s="763"/>
      <c r="BT20" s="763"/>
      <c r="BU20" s="763"/>
      <c r="BV20" s="763"/>
      <c r="BW20" s="763"/>
      <c r="BX20" s="763"/>
      <c r="BY20" s="763"/>
      <c r="BZ20" s="763"/>
      <c r="CA20" s="763"/>
      <c r="CB20" s="763"/>
      <c r="CC20" s="763"/>
      <c r="CD20" s="763"/>
      <c r="CE20" s="763"/>
      <c r="CF20" s="763"/>
      <c r="CG20" s="763"/>
      <c r="CH20" s="763"/>
      <c r="CI20" s="763"/>
      <c r="CJ20" s="763"/>
      <c r="CK20" s="763"/>
      <c r="CL20" s="763"/>
      <c r="CM20" s="763"/>
      <c r="CN20" s="763"/>
      <c r="CO20" s="763"/>
      <c r="CP20" s="763"/>
      <c r="CQ20" s="763"/>
      <c r="CR20" s="763"/>
      <c r="CS20" s="763"/>
      <c r="CT20" s="763"/>
      <c r="CU20" s="763"/>
      <c r="CV20" s="763"/>
      <c r="CW20" s="763"/>
      <c r="CX20" s="763"/>
      <c r="CY20" s="763"/>
      <c r="CZ20" s="763"/>
      <c r="DA20" s="763"/>
      <c r="DB20" s="763"/>
      <c r="DC20" s="763"/>
      <c r="DD20" s="763"/>
      <c r="DE20" s="763"/>
      <c r="DF20" s="763"/>
      <c r="DG20" s="763"/>
      <c r="DH20" s="763"/>
      <c r="DI20" s="763"/>
      <c r="DJ20" s="763"/>
      <c r="DK20" s="763"/>
      <c r="DL20" s="763"/>
      <c r="DM20" s="763"/>
      <c r="DN20" s="763"/>
      <c r="DO20" s="763"/>
      <c r="DP20" s="763"/>
      <c r="DQ20" s="763"/>
      <c r="DR20" s="763"/>
      <c r="DS20" s="763"/>
      <c r="DT20" s="763"/>
      <c r="DU20" s="763"/>
      <c r="DV20" s="763"/>
      <c r="DW20" s="763"/>
      <c r="DX20" s="763"/>
      <c r="DY20" s="763"/>
      <c r="DZ20" s="763"/>
      <c r="EA20" s="763"/>
      <c r="EB20" s="763"/>
    </row>
    <row r="21" spans="1:134" s="899" customFormat="1" ht="14.1" customHeight="1" x14ac:dyDescent="0.2">
      <c r="A21" s="426"/>
      <c r="B21" s="1320"/>
      <c r="C21" s="451" t="s">
        <v>1194</v>
      </c>
      <c r="D21" s="1333" t="s">
        <v>1195</v>
      </c>
      <c r="E21" s="1334"/>
      <c r="F21" s="701"/>
      <c r="G21" s="702" t="s">
        <v>1196</v>
      </c>
      <c r="H21" s="702"/>
      <c r="I21" s="704"/>
      <c r="J21" s="704"/>
      <c r="K21" s="704"/>
      <c r="L21" s="705"/>
      <c r="M21" s="706">
        <f t="shared" si="6"/>
        <v>0</v>
      </c>
      <c r="N21" s="706">
        <f t="shared" si="3"/>
        <v>0</v>
      </c>
      <c r="O21" s="707">
        <v>5.2499999999999998E-2</v>
      </c>
      <c r="P21" s="708">
        <f t="shared" si="4"/>
        <v>0</v>
      </c>
      <c r="Q21" s="709">
        <f t="shared" si="5"/>
        <v>0</v>
      </c>
      <c r="R21" s="1016"/>
      <c r="S21" s="1016"/>
      <c r="T21" s="1016"/>
      <c r="U21" s="1016"/>
      <c r="V21" s="1030">
        <f t="shared" si="0"/>
        <v>0</v>
      </c>
      <c r="W21" s="1031">
        <f t="shared" si="1"/>
        <v>0</v>
      </c>
      <c r="X21" s="1031">
        <f t="shared" si="2"/>
        <v>0</v>
      </c>
      <c r="Y21" s="1331"/>
      <c r="Z21" s="1331"/>
      <c r="AA21" s="1338"/>
      <c r="AB21" s="1331"/>
      <c r="AC21" s="1328"/>
      <c r="AD21" s="1331"/>
      <c r="AE21" s="1331"/>
      <c r="AF21" s="763"/>
      <c r="AG21" s="763"/>
      <c r="AH21" s="763"/>
      <c r="AI21" s="763"/>
      <c r="AJ21" s="763"/>
      <c r="AK21" s="763"/>
      <c r="AL21" s="763"/>
      <c r="AM21" s="763"/>
      <c r="AN21" s="763"/>
      <c r="AO21" s="763"/>
      <c r="AP21" s="763"/>
      <c r="AQ21" s="763"/>
      <c r="AR21" s="763"/>
      <c r="AS21" s="763"/>
      <c r="AT21" s="763"/>
      <c r="AU21" s="763"/>
      <c r="AV21" s="763"/>
      <c r="AW21" s="763"/>
      <c r="AX21" s="763"/>
      <c r="AY21" s="763"/>
      <c r="AZ21" s="763"/>
      <c r="BA21" s="763"/>
      <c r="BB21" s="763"/>
      <c r="BC21" s="763"/>
      <c r="BD21" s="763"/>
      <c r="BE21" s="763"/>
      <c r="BF21" s="763"/>
      <c r="BG21" s="763"/>
      <c r="BH21" s="763"/>
      <c r="BI21" s="763"/>
      <c r="BJ21" s="763"/>
      <c r="BK21" s="763"/>
      <c r="BL21" s="763"/>
      <c r="BM21" s="763"/>
      <c r="BN21" s="763"/>
      <c r="BO21" s="763"/>
      <c r="BP21" s="763"/>
      <c r="BQ21" s="763"/>
      <c r="BR21" s="763"/>
      <c r="BS21" s="763"/>
      <c r="BT21" s="763"/>
      <c r="BU21" s="763"/>
      <c r="BV21" s="763"/>
      <c r="BW21" s="763"/>
      <c r="BX21" s="763"/>
      <c r="BY21" s="763"/>
      <c r="BZ21" s="763"/>
      <c r="CA21" s="763"/>
      <c r="CB21" s="763"/>
      <c r="CC21" s="763"/>
      <c r="CD21" s="763"/>
      <c r="CE21" s="763"/>
      <c r="CF21" s="763"/>
      <c r="CG21" s="763"/>
      <c r="CH21" s="763"/>
      <c r="CI21" s="763"/>
      <c r="CJ21" s="763"/>
      <c r="CK21" s="763"/>
      <c r="CL21" s="763"/>
      <c r="CM21" s="763"/>
      <c r="CN21" s="763"/>
      <c r="CO21" s="763"/>
      <c r="CP21" s="763"/>
      <c r="CQ21" s="763"/>
      <c r="CR21" s="763"/>
      <c r="CS21" s="763"/>
      <c r="CT21" s="763"/>
      <c r="CU21" s="763"/>
      <c r="CV21" s="763"/>
      <c r="CW21" s="763"/>
      <c r="CX21" s="763"/>
      <c r="CY21" s="763"/>
      <c r="CZ21" s="763"/>
      <c r="DA21" s="763"/>
      <c r="DB21" s="763"/>
      <c r="DC21" s="763"/>
      <c r="DD21" s="763"/>
      <c r="DE21" s="763"/>
      <c r="DF21" s="763"/>
      <c r="DG21" s="763"/>
      <c r="DH21" s="763"/>
      <c r="DI21" s="763"/>
      <c r="DJ21" s="763"/>
      <c r="DK21" s="763"/>
      <c r="DL21" s="763"/>
      <c r="DM21" s="763"/>
      <c r="DN21" s="763"/>
      <c r="DO21" s="763"/>
      <c r="DP21" s="763"/>
      <c r="DQ21" s="763"/>
      <c r="DR21" s="763"/>
      <c r="DS21" s="763"/>
      <c r="DT21" s="763"/>
      <c r="DU21" s="763"/>
      <c r="DV21" s="763"/>
      <c r="DW21" s="763"/>
      <c r="DX21" s="763"/>
      <c r="DY21" s="763"/>
      <c r="DZ21" s="763"/>
      <c r="EA21" s="763"/>
      <c r="EB21" s="763"/>
    </row>
    <row r="22" spans="1:134" s="899" customFormat="1" ht="14.1" customHeight="1" x14ac:dyDescent="0.2">
      <c r="A22" s="426"/>
      <c r="B22" s="1320"/>
      <c r="C22" s="451" t="s">
        <v>1197</v>
      </c>
      <c r="D22" s="1333" t="s">
        <v>1198</v>
      </c>
      <c r="E22" s="1334"/>
      <c r="F22" s="701"/>
      <c r="G22" s="702" t="s">
        <v>1199</v>
      </c>
      <c r="H22" s="702"/>
      <c r="I22" s="704"/>
      <c r="J22" s="704"/>
      <c r="K22" s="704"/>
      <c r="L22" s="705"/>
      <c r="M22" s="706">
        <f t="shared" si="6"/>
        <v>0</v>
      </c>
      <c r="N22" s="706">
        <f t="shared" si="3"/>
        <v>0</v>
      </c>
      <c r="O22" s="707">
        <v>0.06</v>
      </c>
      <c r="P22" s="708">
        <f t="shared" si="4"/>
        <v>0</v>
      </c>
      <c r="Q22" s="709">
        <f t="shared" si="5"/>
        <v>0</v>
      </c>
      <c r="R22" s="1016"/>
      <c r="S22" s="1016"/>
      <c r="T22" s="1016"/>
      <c r="U22" s="1016"/>
      <c r="V22" s="1030">
        <f t="shared" si="0"/>
        <v>0</v>
      </c>
      <c r="W22" s="1032">
        <f t="shared" si="1"/>
        <v>0</v>
      </c>
      <c r="X22" s="1031">
        <f t="shared" si="2"/>
        <v>0</v>
      </c>
      <c r="Y22" s="1331"/>
      <c r="Z22" s="1331"/>
      <c r="AA22" s="1338"/>
      <c r="AB22" s="1331"/>
      <c r="AC22" s="1328"/>
      <c r="AD22" s="1331"/>
      <c r="AE22" s="1331"/>
      <c r="AF22" s="763"/>
      <c r="AG22" s="763"/>
      <c r="AH22" s="763"/>
      <c r="AI22" s="763"/>
      <c r="AJ22" s="763"/>
      <c r="AK22" s="763"/>
      <c r="AL22" s="763"/>
      <c r="AM22" s="763"/>
      <c r="AN22" s="763"/>
      <c r="AO22" s="763"/>
      <c r="AP22" s="763"/>
      <c r="AQ22" s="763"/>
      <c r="AR22" s="763"/>
      <c r="AS22" s="763"/>
      <c r="AT22" s="763"/>
      <c r="AU22" s="763"/>
      <c r="AV22" s="763"/>
      <c r="AW22" s="763"/>
      <c r="AX22" s="763"/>
      <c r="AY22" s="763"/>
      <c r="AZ22" s="763"/>
      <c r="BA22" s="763"/>
      <c r="BB22" s="763"/>
      <c r="BC22" s="763"/>
      <c r="BD22" s="763"/>
      <c r="BE22" s="763"/>
      <c r="BF22" s="763"/>
      <c r="BG22" s="763"/>
      <c r="BH22" s="763"/>
      <c r="BI22" s="763"/>
      <c r="BJ22" s="763"/>
      <c r="BK22" s="763"/>
      <c r="BL22" s="763"/>
      <c r="BM22" s="763"/>
      <c r="BN22" s="763"/>
      <c r="BO22" s="763"/>
      <c r="BP22" s="763"/>
      <c r="BQ22" s="763"/>
      <c r="BR22" s="763"/>
      <c r="BS22" s="763"/>
      <c r="BT22" s="763"/>
      <c r="BU22" s="763"/>
      <c r="BV22" s="763"/>
      <c r="BW22" s="763"/>
      <c r="BX22" s="763"/>
      <c r="BY22" s="763"/>
      <c r="BZ22" s="763"/>
      <c r="CA22" s="763"/>
      <c r="CB22" s="763"/>
      <c r="CC22" s="763"/>
      <c r="CD22" s="763"/>
      <c r="CE22" s="763"/>
      <c r="CF22" s="763"/>
      <c r="CG22" s="763"/>
      <c r="CH22" s="763"/>
      <c r="CI22" s="763"/>
      <c r="CJ22" s="763"/>
      <c r="CK22" s="763"/>
      <c r="CL22" s="763"/>
      <c r="CM22" s="763"/>
      <c r="CN22" s="763"/>
      <c r="CO22" s="763"/>
      <c r="CP22" s="763"/>
      <c r="CQ22" s="763"/>
      <c r="CR22" s="763"/>
      <c r="CS22" s="763"/>
      <c r="CT22" s="763"/>
      <c r="CU22" s="763"/>
      <c r="CV22" s="763"/>
      <c r="CW22" s="763"/>
      <c r="CX22" s="763"/>
      <c r="CY22" s="763"/>
      <c r="CZ22" s="763"/>
      <c r="DA22" s="763"/>
      <c r="DB22" s="763"/>
      <c r="DC22" s="763"/>
      <c r="DD22" s="763"/>
      <c r="DE22" s="763"/>
      <c r="DF22" s="763"/>
      <c r="DG22" s="763"/>
      <c r="DH22" s="763"/>
      <c r="DI22" s="763"/>
      <c r="DJ22" s="763"/>
      <c r="DK22" s="763"/>
      <c r="DL22" s="763"/>
      <c r="DM22" s="763"/>
      <c r="DN22" s="763"/>
      <c r="DO22" s="763"/>
      <c r="DP22" s="763"/>
      <c r="DQ22" s="763"/>
      <c r="DR22" s="763"/>
      <c r="DS22" s="763"/>
      <c r="DT22" s="763"/>
      <c r="DU22" s="763"/>
      <c r="DV22" s="763"/>
      <c r="DW22" s="763"/>
      <c r="DX22" s="763"/>
      <c r="DY22" s="763"/>
      <c r="DZ22" s="763"/>
      <c r="EA22" s="763"/>
      <c r="EB22" s="763"/>
    </row>
    <row r="23" spans="1:134" s="899" customFormat="1" ht="14.1" customHeight="1" x14ac:dyDescent="0.2">
      <c r="A23" s="426"/>
      <c r="B23" s="1320"/>
      <c r="C23" s="451"/>
      <c r="D23" s="1333" t="s">
        <v>1200</v>
      </c>
      <c r="E23" s="1334"/>
      <c r="F23" s="701"/>
      <c r="G23" s="702" t="s">
        <v>1201</v>
      </c>
      <c r="H23" s="702"/>
      <c r="I23" s="704"/>
      <c r="J23" s="704"/>
      <c r="K23" s="704"/>
      <c r="L23" s="705"/>
      <c r="M23" s="706">
        <f t="shared" si="6"/>
        <v>0</v>
      </c>
      <c r="N23" s="706">
        <f t="shared" si="3"/>
        <v>0</v>
      </c>
      <c r="O23" s="707">
        <v>0.08</v>
      </c>
      <c r="P23" s="708">
        <f t="shared" si="4"/>
        <v>0</v>
      </c>
      <c r="Q23" s="709">
        <f t="shared" si="5"/>
        <v>0</v>
      </c>
      <c r="R23" s="1016"/>
      <c r="S23" s="1016"/>
      <c r="T23" s="1016"/>
      <c r="U23" s="1016"/>
      <c r="V23" s="1030">
        <f t="shared" si="0"/>
        <v>0</v>
      </c>
      <c r="W23" s="1031">
        <f t="shared" si="1"/>
        <v>0</v>
      </c>
      <c r="X23" s="1031">
        <f t="shared" si="2"/>
        <v>0</v>
      </c>
      <c r="Y23" s="1331"/>
      <c r="Z23" s="1331"/>
      <c r="AA23" s="1338"/>
      <c r="AB23" s="1331"/>
      <c r="AC23" s="1328"/>
      <c r="AD23" s="1331"/>
      <c r="AE23" s="1331"/>
      <c r="AF23" s="763"/>
      <c r="AG23" s="763"/>
      <c r="AH23" s="763"/>
      <c r="AI23" s="763"/>
      <c r="AJ23" s="763"/>
      <c r="AK23" s="763"/>
      <c r="AL23" s="763"/>
      <c r="AM23" s="763"/>
      <c r="AN23" s="763"/>
      <c r="AO23" s="763"/>
      <c r="AP23" s="763"/>
      <c r="AQ23" s="763"/>
      <c r="AR23" s="763"/>
      <c r="AS23" s="763"/>
      <c r="AT23" s="763"/>
      <c r="AU23" s="763"/>
      <c r="AV23" s="763"/>
      <c r="AW23" s="763"/>
      <c r="AX23" s="763"/>
      <c r="AY23" s="763"/>
      <c r="AZ23" s="763"/>
      <c r="BA23" s="763"/>
      <c r="BB23" s="763"/>
      <c r="BC23" s="763"/>
      <c r="BD23" s="763"/>
      <c r="BE23" s="763"/>
      <c r="BF23" s="763"/>
      <c r="BG23" s="763"/>
      <c r="BH23" s="763"/>
      <c r="BI23" s="763"/>
      <c r="BJ23" s="763"/>
      <c r="BK23" s="763"/>
      <c r="BL23" s="763"/>
      <c r="BM23" s="763"/>
      <c r="BN23" s="763"/>
      <c r="BO23" s="763"/>
      <c r="BP23" s="763"/>
      <c r="BQ23" s="763"/>
      <c r="BR23" s="763"/>
      <c r="BS23" s="763"/>
      <c r="BT23" s="763"/>
      <c r="BU23" s="763"/>
      <c r="BV23" s="763"/>
      <c r="BW23" s="763"/>
      <c r="BX23" s="763"/>
      <c r="BY23" s="763"/>
      <c r="BZ23" s="763"/>
      <c r="CA23" s="763"/>
      <c r="CB23" s="763"/>
      <c r="CC23" s="763"/>
      <c r="CD23" s="763"/>
      <c r="CE23" s="763"/>
      <c r="CF23" s="763"/>
      <c r="CG23" s="763"/>
      <c r="CH23" s="763"/>
      <c r="CI23" s="763"/>
      <c r="CJ23" s="763"/>
      <c r="CK23" s="763"/>
      <c r="CL23" s="763"/>
      <c r="CM23" s="763"/>
      <c r="CN23" s="763"/>
      <c r="CO23" s="763"/>
      <c r="CP23" s="763"/>
      <c r="CQ23" s="763"/>
      <c r="CR23" s="763"/>
      <c r="CS23" s="763"/>
      <c r="CT23" s="763"/>
      <c r="CU23" s="763"/>
      <c r="CV23" s="763"/>
      <c r="CW23" s="763"/>
      <c r="CX23" s="763"/>
      <c r="CY23" s="763"/>
      <c r="CZ23" s="763"/>
      <c r="DA23" s="763"/>
      <c r="DB23" s="763"/>
      <c r="DC23" s="763"/>
      <c r="DD23" s="763"/>
      <c r="DE23" s="763"/>
      <c r="DF23" s="763"/>
      <c r="DG23" s="763"/>
      <c r="DH23" s="763"/>
      <c r="DI23" s="763"/>
      <c r="DJ23" s="763"/>
      <c r="DK23" s="763"/>
      <c r="DL23" s="763"/>
      <c r="DM23" s="763"/>
      <c r="DN23" s="763"/>
      <c r="DO23" s="763"/>
      <c r="DP23" s="763"/>
      <c r="DQ23" s="763"/>
      <c r="DR23" s="763"/>
      <c r="DS23" s="763"/>
      <c r="DT23" s="763"/>
      <c r="DU23" s="763"/>
      <c r="DV23" s="763"/>
      <c r="DW23" s="763"/>
      <c r="DX23" s="763"/>
      <c r="DY23" s="763"/>
      <c r="DZ23" s="763"/>
      <c r="EA23" s="763"/>
      <c r="EB23" s="763"/>
    </row>
    <row r="24" spans="1:134" s="899" customFormat="1" ht="14.1" customHeight="1" thickBot="1" x14ac:dyDescent="0.25">
      <c r="A24" s="426"/>
      <c r="B24" s="1326"/>
      <c r="C24" s="728"/>
      <c r="D24" s="1372" t="s">
        <v>1197</v>
      </c>
      <c r="E24" s="1373"/>
      <c r="F24" s="768"/>
      <c r="G24" s="714" t="s">
        <v>1202</v>
      </c>
      <c r="H24" s="714"/>
      <c r="I24" s="729"/>
      <c r="J24" s="729"/>
      <c r="K24" s="729"/>
      <c r="L24" s="730"/>
      <c r="M24" s="715">
        <f t="shared" si="6"/>
        <v>0</v>
      </c>
      <c r="N24" s="715">
        <f t="shared" si="3"/>
        <v>0</v>
      </c>
      <c r="O24" s="731">
        <v>0.125</v>
      </c>
      <c r="P24" s="716">
        <f t="shared" si="4"/>
        <v>0</v>
      </c>
      <c r="Q24" s="717">
        <f t="shared" si="5"/>
        <v>0</v>
      </c>
      <c r="R24" s="1016"/>
      <c r="S24" s="1016"/>
      <c r="T24" s="1016"/>
      <c r="U24" s="1016"/>
      <c r="V24" s="1030">
        <f t="shared" si="0"/>
        <v>0</v>
      </c>
      <c r="W24" s="1031">
        <f t="shared" si="1"/>
        <v>0</v>
      </c>
      <c r="X24" s="1031">
        <f>IF(Q24&gt;P24,Q24-P24,0)</f>
        <v>0</v>
      </c>
      <c r="Y24" s="1332"/>
      <c r="Z24" s="1332"/>
      <c r="AA24" s="1339"/>
      <c r="AB24" s="1332"/>
      <c r="AC24" s="1329"/>
      <c r="AD24" s="1332"/>
      <c r="AE24" s="1332"/>
      <c r="AF24" s="763"/>
      <c r="AG24" s="763"/>
      <c r="AH24" s="763"/>
      <c r="AI24" s="763"/>
      <c r="AJ24" s="763"/>
      <c r="AK24" s="763"/>
      <c r="AL24" s="763"/>
      <c r="AM24" s="763"/>
      <c r="AN24" s="763"/>
      <c r="AO24" s="763"/>
      <c r="AP24" s="763"/>
      <c r="AQ24" s="763"/>
      <c r="AR24" s="763"/>
      <c r="AS24" s="763"/>
      <c r="AT24" s="763"/>
      <c r="AU24" s="763"/>
      <c r="AV24" s="763"/>
      <c r="AW24" s="763"/>
      <c r="AX24" s="763"/>
      <c r="AY24" s="763"/>
      <c r="AZ24" s="763"/>
      <c r="BA24" s="763"/>
      <c r="BB24" s="763"/>
      <c r="BC24" s="763"/>
      <c r="BD24" s="763"/>
      <c r="BE24" s="763"/>
      <c r="BF24" s="763"/>
      <c r="BG24" s="763"/>
      <c r="BH24" s="763"/>
      <c r="BI24" s="763"/>
      <c r="BJ24" s="763"/>
      <c r="BK24" s="763"/>
      <c r="BL24" s="763"/>
      <c r="BM24" s="763"/>
      <c r="BN24" s="763"/>
      <c r="BO24" s="763"/>
      <c r="BP24" s="763"/>
      <c r="BQ24" s="763"/>
      <c r="BR24" s="763"/>
      <c r="BS24" s="763"/>
      <c r="BT24" s="763"/>
      <c r="BU24" s="763"/>
      <c r="BV24" s="763"/>
      <c r="BW24" s="763"/>
      <c r="BX24" s="763"/>
      <c r="BY24" s="763"/>
      <c r="BZ24" s="763"/>
      <c r="CA24" s="763"/>
      <c r="CB24" s="763"/>
      <c r="CC24" s="763"/>
      <c r="CD24" s="763"/>
      <c r="CE24" s="763"/>
      <c r="CF24" s="763"/>
      <c r="CG24" s="763"/>
      <c r="CH24" s="763"/>
      <c r="CI24" s="763"/>
      <c r="CJ24" s="763"/>
      <c r="CK24" s="763"/>
      <c r="CL24" s="763"/>
      <c r="CM24" s="763"/>
      <c r="CN24" s="763"/>
      <c r="CO24" s="763"/>
      <c r="CP24" s="763"/>
      <c r="CQ24" s="763"/>
      <c r="CR24" s="763"/>
      <c r="CS24" s="763"/>
      <c r="CT24" s="763"/>
      <c r="CU24" s="763"/>
      <c r="CV24" s="763"/>
      <c r="CW24" s="763"/>
      <c r="CX24" s="763"/>
      <c r="CY24" s="763"/>
      <c r="CZ24" s="763"/>
      <c r="DA24" s="763"/>
      <c r="DB24" s="763"/>
      <c r="DC24" s="763"/>
      <c r="DD24" s="763"/>
      <c r="DE24" s="763"/>
      <c r="DF24" s="763"/>
      <c r="DG24" s="763"/>
      <c r="DH24" s="763"/>
      <c r="DI24" s="763"/>
      <c r="DJ24" s="763"/>
      <c r="DK24" s="763"/>
      <c r="DL24" s="763"/>
      <c r="DM24" s="763"/>
      <c r="DN24" s="763"/>
      <c r="DO24" s="763"/>
      <c r="DP24" s="763"/>
      <c r="DQ24" s="763"/>
      <c r="DR24" s="763"/>
      <c r="DS24" s="763"/>
      <c r="DT24" s="763"/>
      <c r="DU24" s="763"/>
      <c r="DV24" s="763"/>
      <c r="DW24" s="763"/>
      <c r="DX24" s="763"/>
      <c r="DY24" s="763"/>
      <c r="DZ24" s="763"/>
      <c r="EA24" s="763"/>
      <c r="EB24" s="763"/>
    </row>
    <row r="25" spans="1:134" s="905" customFormat="1" x14ac:dyDescent="0.2">
      <c r="A25" s="350"/>
      <c r="B25" s="732"/>
      <c r="C25" s="1345" t="s">
        <v>1411</v>
      </c>
      <c r="D25" s="1345"/>
      <c r="E25" s="1346"/>
      <c r="F25" s="775"/>
      <c r="G25" s="735" t="s">
        <v>1203</v>
      </c>
      <c r="H25" s="735"/>
      <c r="I25" s="736">
        <f t="shared" ref="I25:N25" si="7">SUM(I10:I24)</f>
        <v>0</v>
      </c>
      <c r="J25" s="736">
        <f t="shared" si="7"/>
        <v>0</v>
      </c>
      <c r="K25" s="736">
        <f t="shared" si="7"/>
        <v>0</v>
      </c>
      <c r="L25" s="736">
        <f t="shared" si="7"/>
        <v>0</v>
      </c>
      <c r="M25" s="736">
        <f t="shared" si="7"/>
        <v>0</v>
      </c>
      <c r="N25" s="736">
        <f t="shared" si="7"/>
        <v>0</v>
      </c>
      <c r="O25" s="737"/>
      <c r="P25" s="719">
        <f>SUM(P10:P24)</f>
        <v>0</v>
      </c>
      <c r="Q25" s="720">
        <f>SUM(Q10:Q24)</f>
        <v>0</v>
      </c>
      <c r="R25" s="1016"/>
      <c r="S25" s="1016"/>
      <c r="T25" s="1016"/>
      <c r="U25" s="1016"/>
      <c r="V25" s="1033"/>
      <c r="W25" s="904"/>
      <c r="X25" s="904"/>
      <c r="Y25" s="904"/>
      <c r="Z25" s="904"/>
      <c r="AA25" s="904"/>
      <c r="AB25" s="904"/>
      <c r="AC25" s="904"/>
      <c r="AD25" s="904"/>
      <c r="AE25" s="904"/>
      <c r="AF25" s="904"/>
      <c r="AG25" s="904"/>
      <c r="AH25" s="904"/>
      <c r="AI25" s="904"/>
      <c r="AJ25" s="904"/>
      <c r="AK25" s="904"/>
      <c r="AL25" s="904"/>
      <c r="AM25" s="904"/>
      <c r="AN25" s="904"/>
      <c r="AO25" s="904"/>
      <c r="AP25" s="904"/>
      <c r="AQ25" s="904"/>
      <c r="AR25" s="904"/>
      <c r="AS25" s="904"/>
      <c r="AT25" s="904"/>
      <c r="AU25" s="904"/>
      <c r="AV25" s="904"/>
      <c r="AW25" s="904"/>
      <c r="AX25" s="904"/>
      <c r="AY25" s="904"/>
      <c r="AZ25" s="904"/>
      <c r="BA25" s="904"/>
      <c r="BB25" s="904"/>
      <c r="BC25" s="904"/>
      <c r="BD25" s="904"/>
      <c r="BE25" s="904"/>
      <c r="BF25" s="904"/>
      <c r="BG25" s="904"/>
      <c r="BH25" s="904"/>
      <c r="BI25" s="904"/>
      <c r="BJ25" s="904"/>
      <c r="BK25" s="904"/>
      <c r="BL25" s="904"/>
      <c r="BM25" s="904"/>
      <c r="BN25" s="904"/>
      <c r="BO25" s="904"/>
      <c r="BP25" s="904"/>
      <c r="BQ25" s="904"/>
      <c r="BR25" s="904"/>
      <c r="BS25" s="904"/>
      <c r="BT25" s="904"/>
      <c r="BU25" s="904"/>
      <c r="BV25" s="904"/>
      <c r="BW25" s="904"/>
      <c r="BX25" s="904"/>
      <c r="BY25" s="904"/>
      <c r="BZ25" s="904"/>
      <c r="CA25" s="904"/>
      <c r="CB25" s="904"/>
      <c r="CC25" s="904"/>
      <c r="CD25" s="904"/>
      <c r="CE25" s="904"/>
      <c r="CF25" s="904"/>
      <c r="CG25" s="904"/>
      <c r="CH25" s="904"/>
      <c r="CI25" s="904"/>
      <c r="CJ25" s="904"/>
      <c r="CK25" s="904"/>
      <c r="CL25" s="904"/>
      <c r="CM25" s="904"/>
      <c r="CN25" s="904"/>
      <c r="CO25" s="904"/>
      <c r="CP25" s="904"/>
      <c r="CQ25" s="904"/>
      <c r="CR25" s="904"/>
      <c r="CS25" s="904"/>
      <c r="CT25" s="904"/>
      <c r="CU25" s="904"/>
      <c r="CV25" s="904"/>
      <c r="CW25" s="904"/>
      <c r="CX25" s="904"/>
      <c r="CY25" s="904"/>
      <c r="CZ25" s="904"/>
      <c r="DA25" s="904"/>
      <c r="DB25" s="904"/>
      <c r="DC25" s="904"/>
      <c r="DD25" s="904"/>
      <c r="DE25" s="904"/>
      <c r="DF25" s="904"/>
      <c r="DG25" s="904"/>
      <c r="DH25" s="904"/>
      <c r="DI25" s="904"/>
      <c r="DJ25" s="904"/>
      <c r="DK25" s="904"/>
      <c r="DL25" s="904"/>
      <c r="DM25" s="904"/>
      <c r="DN25" s="904"/>
      <c r="DO25" s="904"/>
      <c r="DP25" s="904"/>
      <c r="DQ25" s="904"/>
      <c r="DR25" s="904"/>
      <c r="DS25" s="904"/>
      <c r="DT25" s="904"/>
      <c r="DU25" s="904"/>
      <c r="DV25" s="904"/>
      <c r="DW25" s="904"/>
      <c r="DX25" s="904"/>
      <c r="DY25" s="904"/>
      <c r="DZ25" s="904"/>
      <c r="EA25" s="904"/>
      <c r="EB25" s="904"/>
    </row>
    <row r="26" spans="1:134" s="899" customFormat="1" ht="14.1" customHeight="1" x14ac:dyDescent="0.2">
      <c r="A26" s="426"/>
      <c r="B26" s="738"/>
      <c r="C26" s="1348" t="s">
        <v>1204</v>
      </c>
      <c r="D26" s="1348"/>
      <c r="E26" s="740"/>
      <c r="F26" s="739"/>
      <c r="G26" s="742" t="s">
        <v>1205</v>
      </c>
      <c r="H26" s="742"/>
      <c r="I26" s="776"/>
      <c r="J26" s="777"/>
      <c r="K26" s="777"/>
      <c r="L26" s="777"/>
      <c r="M26" s="777"/>
      <c r="N26" s="777"/>
      <c r="O26" s="778"/>
      <c r="P26" s="1380">
        <f>IF(P25&gt;Q25,P25-Q25,Q25-P25)</f>
        <v>0</v>
      </c>
      <c r="Q26" s="1351"/>
      <c r="R26" s="1034"/>
      <c r="S26" s="1034"/>
      <c r="T26" s="1034"/>
      <c r="U26" s="1034"/>
      <c r="V26" s="1035"/>
      <c r="W26" s="763"/>
      <c r="X26" s="763"/>
      <c r="Y26" s="763"/>
      <c r="Z26" s="763"/>
      <c r="AA26" s="763"/>
      <c r="AB26" s="763"/>
      <c r="AC26" s="763"/>
      <c r="AD26" s="763"/>
      <c r="AE26" s="763"/>
      <c r="AF26" s="763"/>
      <c r="AG26" s="763"/>
      <c r="AH26" s="763"/>
      <c r="AI26" s="763"/>
      <c r="AJ26" s="763"/>
      <c r="AK26" s="763"/>
      <c r="AL26" s="763"/>
      <c r="AM26" s="763"/>
      <c r="AN26" s="763"/>
      <c r="AO26" s="763"/>
      <c r="AP26" s="763"/>
      <c r="AQ26" s="763"/>
      <c r="AR26" s="763"/>
      <c r="AS26" s="763"/>
      <c r="AT26" s="763"/>
      <c r="AU26" s="763"/>
      <c r="AV26" s="763"/>
      <c r="AW26" s="763"/>
      <c r="AX26" s="763"/>
      <c r="AY26" s="763"/>
      <c r="AZ26" s="763"/>
      <c r="BA26" s="763"/>
      <c r="BB26" s="763"/>
      <c r="BC26" s="763"/>
      <c r="BD26" s="763"/>
      <c r="BE26" s="763"/>
      <c r="BF26" s="763"/>
      <c r="BG26" s="763"/>
      <c r="BH26" s="763"/>
      <c r="BI26" s="763"/>
      <c r="BJ26" s="763"/>
      <c r="BK26" s="763"/>
      <c r="BL26" s="763"/>
      <c r="BM26" s="763"/>
      <c r="BN26" s="763"/>
      <c r="BO26" s="763"/>
      <c r="BP26" s="763"/>
      <c r="BQ26" s="763"/>
      <c r="BR26" s="763"/>
      <c r="BS26" s="763"/>
      <c r="BT26" s="763"/>
      <c r="BU26" s="763"/>
      <c r="BV26" s="763"/>
      <c r="BW26" s="763"/>
      <c r="BX26" s="763"/>
      <c r="BY26" s="763"/>
      <c r="BZ26" s="763"/>
      <c r="CA26" s="763"/>
      <c r="CB26" s="763"/>
      <c r="CC26" s="763"/>
      <c r="CD26" s="763"/>
      <c r="CE26" s="763"/>
      <c r="CF26" s="763"/>
      <c r="CG26" s="763"/>
      <c r="CH26" s="763"/>
      <c r="CI26" s="763"/>
      <c r="CJ26" s="763"/>
      <c r="CK26" s="763"/>
      <c r="CL26" s="763"/>
      <c r="CM26" s="763"/>
      <c r="CN26" s="763"/>
      <c r="CO26" s="763"/>
      <c r="CP26" s="763"/>
      <c r="CQ26" s="763"/>
      <c r="CR26" s="763"/>
      <c r="CS26" s="763"/>
      <c r="CT26" s="763"/>
      <c r="CU26" s="763"/>
      <c r="CV26" s="763"/>
      <c r="CW26" s="763"/>
      <c r="CX26" s="763"/>
      <c r="CY26" s="763"/>
      <c r="CZ26" s="763"/>
      <c r="DA26" s="763"/>
      <c r="DB26" s="763"/>
      <c r="DC26" s="763"/>
      <c r="DD26" s="763"/>
      <c r="DE26" s="763"/>
      <c r="DF26" s="763"/>
      <c r="DG26" s="763"/>
      <c r="DH26" s="763"/>
      <c r="DI26" s="763"/>
      <c r="DJ26" s="763"/>
      <c r="DK26" s="763"/>
      <c r="DL26" s="763"/>
      <c r="DM26" s="763"/>
      <c r="DN26" s="763"/>
      <c r="DO26" s="763"/>
      <c r="DP26" s="763"/>
      <c r="DQ26" s="763"/>
      <c r="DR26" s="763"/>
      <c r="DS26" s="763"/>
      <c r="DT26" s="763"/>
      <c r="DU26" s="763"/>
      <c r="DV26" s="763"/>
      <c r="DW26" s="763"/>
      <c r="DX26" s="763"/>
      <c r="DY26" s="763"/>
      <c r="DZ26" s="763"/>
      <c r="EA26" s="763"/>
      <c r="EB26" s="763"/>
      <c r="EC26" s="763"/>
    </row>
    <row r="27" spans="1:134" s="899" customFormat="1" ht="14.1" customHeight="1" x14ac:dyDescent="0.2">
      <c r="A27" s="426"/>
      <c r="B27" s="745"/>
      <c r="C27" s="746"/>
      <c r="D27" s="746"/>
      <c r="E27" s="770"/>
      <c r="F27" s="746"/>
      <c r="G27" s="747"/>
      <c r="H27" s="747"/>
      <c r="I27" s="779"/>
      <c r="J27" s="779"/>
      <c r="K27" s="779"/>
      <c r="L27" s="779"/>
      <c r="M27" s="779"/>
      <c r="N27" s="779"/>
      <c r="O27" s="779"/>
      <c r="P27" s="780"/>
      <c r="Q27" s="751"/>
      <c r="R27" s="1034"/>
      <c r="S27" s="1034"/>
      <c r="T27" s="1034"/>
      <c r="U27" s="1034"/>
      <c r="V27" s="1035"/>
      <c r="W27" s="763"/>
      <c r="X27" s="763"/>
      <c r="Y27" s="763"/>
      <c r="Z27" s="763"/>
      <c r="AA27" s="763"/>
      <c r="AB27" s="763"/>
      <c r="AC27" s="763"/>
      <c r="AD27" s="763"/>
      <c r="AE27" s="763"/>
      <c r="AF27" s="763"/>
      <c r="AG27" s="763"/>
      <c r="AH27" s="763"/>
      <c r="AI27" s="763"/>
      <c r="AJ27" s="763"/>
      <c r="AK27" s="763"/>
      <c r="AL27" s="763"/>
      <c r="AM27" s="763"/>
      <c r="AN27" s="763"/>
      <c r="AO27" s="763"/>
      <c r="AP27" s="763"/>
      <c r="AQ27" s="763"/>
      <c r="AR27" s="763"/>
      <c r="AS27" s="763"/>
      <c r="AT27" s="763"/>
      <c r="AU27" s="763"/>
      <c r="AV27" s="763"/>
      <c r="AW27" s="763"/>
      <c r="AX27" s="763"/>
      <c r="AY27" s="763"/>
      <c r="AZ27" s="763"/>
      <c r="BA27" s="763"/>
      <c r="BB27" s="763"/>
      <c r="BC27" s="763"/>
      <c r="BD27" s="763"/>
      <c r="BE27" s="763"/>
      <c r="BF27" s="763"/>
      <c r="BG27" s="763"/>
      <c r="BH27" s="763"/>
      <c r="BI27" s="763"/>
      <c r="BJ27" s="763"/>
      <c r="BK27" s="763"/>
      <c r="BL27" s="763"/>
      <c r="BM27" s="763"/>
      <c r="BN27" s="763"/>
      <c r="BO27" s="763"/>
      <c r="BP27" s="763"/>
      <c r="BQ27" s="763"/>
      <c r="BR27" s="763"/>
      <c r="BS27" s="763"/>
      <c r="BT27" s="763"/>
      <c r="BU27" s="763"/>
      <c r="BV27" s="763"/>
      <c r="BW27" s="763"/>
      <c r="BX27" s="763"/>
      <c r="BY27" s="763"/>
      <c r="BZ27" s="763"/>
      <c r="CA27" s="763"/>
      <c r="CB27" s="763"/>
      <c r="CC27" s="763"/>
      <c r="CD27" s="763"/>
      <c r="CE27" s="763"/>
      <c r="CF27" s="763"/>
      <c r="CG27" s="763"/>
      <c r="CH27" s="763"/>
      <c r="CI27" s="763"/>
      <c r="CJ27" s="763"/>
      <c r="CK27" s="763"/>
      <c r="CL27" s="763"/>
      <c r="CM27" s="763"/>
      <c r="CN27" s="763"/>
      <c r="CO27" s="763"/>
      <c r="CP27" s="763"/>
      <c r="CQ27" s="763"/>
      <c r="CR27" s="763"/>
      <c r="CS27" s="763"/>
      <c r="CT27" s="763"/>
      <c r="CU27" s="763"/>
      <c r="CV27" s="763"/>
      <c r="CW27" s="763"/>
      <c r="CX27" s="763"/>
      <c r="CY27" s="763"/>
      <c r="CZ27" s="763"/>
      <c r="DA27" s="763"/>
      <c r="DB27" s="763"/>
      <c r="DC27" s="763"/>
      <c r="DD27" s="763"/>
      <c r="DE27" s="763"/>
      <c r="DF27" s="763"/>
      <c r="DG27" s="763"/>
      <c r="DH27" s="763"/>
      <c r="DI27" s="763"/>
      <c r="DJ27" s="763"/>
      <c r="DK27" s="763"/>
      <c r="DL27" s="763"/>
      <c r="DM27" s="763"/>
      <c r="DN27" s="763"/>
      <c r="DO27" s="763"/>
      <c r="DP27" s="763"/>
      <c r="DQ27" s="763"/>
      <c r="DR27" s="763"/>
      <c r="DS27" s="763"/>
      <c r="DT27" s="763"/>
      <c r="DU27" s="763"/>
      <c r="DV27" s="763"/>
      <c r="DW27" s="763"/>
      <c r="DX27" s="763"/>
      <c r="DY27" s="763"/>
      <c r="DZ27" s="763"/>
      <c r="EA27" s="763"/>
      <c r="EB27" s="763"/>
      <c r="EC27" s="763"/>
    </row>
    <row r="28" spans="1:134" s="899" customFormat="1" ht="18.75" customHeight="1" x14ac:dyDescent="0.2">
      <c r="A28" s="426"/>
      <c r="B28" s="1374" t="s">
        <v>350</v>
      </c>
      <c r="C28" s="1375"/>
      <c r="D28" s="1376"/>
      <c r="E28" s="752"/>
      <c r="F28" s="752"/>
      <c r="G28" s="752"/>
      <c r="H28" s="781"/>
      <c r="I28" s="1362" t="s">
        <v>1207</v>
      </c>
      <c r="J28" s="1363" t="s">
        <v>1208</v>
      </c>
      <c r="K28" s="1364"/>
      <c r="L28" s="1365"/>
      <c r="M28" s="1363" t="s">
        <v>1209</v>
      </c>
      <c r="N28" s="1364"/>
      <c r="O28" s="1365"/>
      <c r="P28" s="1340" t="s">
        <v>1210</v>
      </c>
      <c r="Q28" s="1342" t="s">
        <v>1211</v>
      </c>
      <c r="R28" s="1036"/>
      <c r="S28" s="1037"/>
      <c r="T28" s="1037"/>
      <c r="U28" s="1037"/>
      <c r="V28" s="1037"/>
      <c r="W28" s="1035"/>
      <c r="X28" s="763"/>
      <c r="Y28" s="763"/>
      <c r="Z28" s="763"/>
      <c r="AA28" s="1038"/>
      <c r="AB28" s="1039"/>
      <c r="AC28" s="763"/>
      <c r="AD28" s="763"/>
      <c r="AE28" s="763"/>
      <c r="AF28" s="763"/>
      <c r="AG28" s="763"/>
      <c r="AH28" s="763"/>
      <c r="AI28" s="763"/>
      <c r="AJ28" s="763"/>
      <c r="AK28" s="763"/>
      <c r="AL28" s="763"/>
      <c r="AM28" s="763"/>
      <c r="AN28" s="763"/>
      <c r="AO28" s="763"/>
      <c r="AP28" s="763"/>
      <c r="AQ28" s="763"/>
      <c r="AR28" s="763"/>
      <c r="AS28" s="763"/>
      <c r="AT28" s="763"/>
      <c r="AU28" s="763"/>
      <c r="AV28" s="763"/>
      <c r="AW28" s="763"/>
      <c r="AX28" s="763"/>
      <c r="AY28" s="763"/>
      <c r="AZ28" s="763"/>
      <c r="BA28" s="763"/>
      <c r="BB28" s="763"/>
      <c r="BC28" s="763"/>
      <c r="BD28" s="763"/>
      <c r="BE28" s="763"/>
      <c r="BF28" s="763"/>
      <c r="BG28" s="763"/>
      <c r="BH28" s="763"/>
      <c r="BI28" s="763"/>
      <c r="BJ28" s="763"/>
      <c r="BK28" s="763"/>
      <c r="BL28" s="763"/>
      <c r="BM28" s="763"/>
      <c r="BN28" s="763"/>
      <c r="BO28" s="763"/>
      <c r="BP28" s="763"/>
      <c r="BQ28" s="763"/>
      <c r="BR28" s="763"/>
      <c r="BS28" s="763"/>
      <c r="BT28" s="763"/>
      <c r="BU28" s="763"/>
      <c r="BV28" s="763"/>
      <c r="BW28" s="763"/>
      <c r="BX28" s="763"/>
      <c r="BY28" s="763"/>
      <c r="BZ28" s="763"/>
      <c r="CA28" s="763"/>
      <c r="CB28" s="763"/>
      <c r="CC28" s="763"/>
      <c r="CD28" s="763"/>
      <c r="CE28" s="763"/>
      <c r="CF28" s="763"/>
      <c r="CG28" s="763"/>
      <c r="CH28" s="763"/>
      <c r="CI28" s="763"/>
      <c r="CJ28" s="763"/>
      <c r="CK28" s="763"/>
      <c r="CL28" s="763"/>
      <c r="CM28" s="763"/>
      <c r="CN28" s="763"/>
      <c r="CO28" s="763"/>
      <c r="CP28" s="763"/>
      <c r="CQ28" s="763"/>
      <c r="CR28" s="763"/>
      <c r="CS28" s="763"/>
      <c r="CT28" s="763"/>
      <c r="CU28" s="763"/>
      <c r="CV28" s="763"/>
      <c r="CW28" s="763"/>
      <c r="CX28" s="763"/>
      <c r="CY28" s="763"/>
      <c r="CZ28" s="763"/>
      <c r="DA28" s="763"/>
      <c r="DB28" s="763"/>
      <c r="DC28" s="763"/>
      <c r="DD28" s="763"/>
      <c r="DE28" s="763"/>
      <c r="DF28" s="763"/>
      <c r="DG28" s="763"/>
      <c r="DH28" s="763"/>
      <c r="DI28" s="763"/>
      <c r="DJ28" s="763"/>
      <c r="DK28" s="763"/>
      <c r="DL28" s="763"/>
      <c r="DM28" s="763"/>
      <c r="DN28" s="763"/>
      <c r="DO28" s="763"/>
      <c r="DP28" s="763"/>
      <c r="DQ28" s="763"/>
      <c r="DR28" s="763"/>
      <c r="DS28" s="763"/>
      <c r="DT28" s="763"/>
      <c r="DU28" s="763"/>
      <c r="DV28" s="763"/>
      <c r="DW28" s="763"/>
      <c r="DX28" s="763"/>
      <c r="DY28" s="763"/>
      <c r="DZ28" s="763"/>
      <c r="EA28" s="763"/>
      <c r="EB28" s="763"/>
      <c r="EC28" s="763"/>
      <c r="ED28" s="763"/>
    </row>
    <row r="29" spans="1:134" s="899" customFormat="1" ht="19.5" customHeight="1" x14ac:dyDescent="0.2">
      <c r="A29" s="426"/>
      <c r="B29" s="1377"/>
      <c r="C29" s="1378"/>
      <c r="D29" s="1379"/>
      <c r="E29" s="754"/>
      <c r="F29" s="754"/>
      <c r="G29" s="754"/>
      <c r="H29" s="782"/>
      <c r="I29" s="1362"/>
      <c r="J29" s="753" t="s">
        <v>1212</v>
      </c>
      <c r="K29" s="753" t="s">
        <v>1213</v>
      </c>
      <c r="L29" s="753" t="s">
        <v>1214</v>
      </c>
      <c r="M29" s="755" t="s">
        <v>1215</v>
      </c>
      <c r="N29" s="755" t="s">
        <v>1216</v>
      </c>
      <c r="O29" s="755" t="s">
        <v>1217</v>
      </c>
      <c r="P29" s="1341"/>
      <c r="Q29" s="1343"/>
      <c r="R29" s="1036"/>
      <c r="S29" s="1037"/>
      <c r="T29" s="1037"/>
      <c r="U29" s="1037"/>
      <c r="V29" s="1037"/>
      <c r="W29" s="1035"/>
      <c r="Z29" s="763"/>
      <c r="AA29" s="1038"/>
      <c r="AB29" s="1038"/>
      <c r="AC29" s="763"/>
      <c r="AD29" s="763"/>
      <c r="AE29" s="763"/>
      <c r="AF29" s="763"/>
      <c r="AG29" s="763"/>
      <c r="AH29" s="763"/>
      <c r="AI29" s="763"/>
      <c r="AJ29" s="763"/>
      <c r="AK29" s="763"/>
      <c r="AL29" s="763"/>
      <c r="AM29" s="763"/>
      <c r="AN29" s="763"/>
      <c r="AO29" s="763"/>
      <c r="AP29" s="763"/>
      <c r="AQ29" s="763"/>
      <c r="AR29" s="763"/>
      <c r="AS29" s="763"/>
      <c r="AT29" s="763"/>
      <c r="AU29" s="763"/>
      <c r="AV29" s="763"/>
      <c r="AW29" s="763"/>
      <c r="AX29" s="763"/>
      <c r="AY29" s="763"/>
      <c r="AZ29" s="763"/>
      <c r="BA29" s="763"/>
      <c r="BB29" s="763"/>
      <c r="BC29" s="763"/>
      <c r="BD29" s="763"/>
      <c r="BE29" s="763"/>
      <c r="BF29" s="763"/>
      <c r="BG29" s="763"/>
      <c r="BH29" s="763"/>
      <c r="BI29" s="763"/>
      <c r="BJ29" s="763"/>
      <c r="BK29" s="763"/>
      <c r="BL29" s="763"/>
      <c r="BM29" s="763"/>
      <c r="BN29" s="763"/>
      <c r="BO29" s="763"/>
      <c r="BP29" s="763"/>
      <c r="BQ29" s="763"/>
      <c r="BR29" s="763"/>
      <c r="BS29" s="763"/>
      <c r="BT29" s="763"/>
      <c r="BU29" s="763"/>
      <c r="BV29" s="763"/>
      <c r="BW29" s="763"/>
      <c r="BX29" s="763"/>
      <c r="BY29" s="763"/>
      <c r="BZ29" s="763"/>
      <c r="CA29" s="763"/>
      <c r="CB29" s="763"/>
      <c r="CC29" s="763"/>
      <c r="CD29" s="763"/>
      <c r="CE29" s="763"/>
      <c r="CF29" s="763"/>
      <c r="CG29" s="763"/>
      <c r="CH29" s="763"/>
      <c r="CI29" s="763"/>
      <c r="CJ29" s="763"/>
      <c r="CK29" s="763"/>
      <c r="CL29" s="763"/>
      <c r="CM29" s="763"/>
      <c r="CN29" s="763"/>
      <c r="CO29" s="763"/>
      <c r="CP29" s="763"/>
      <c r="CQ29" s="763"/>
      <c r="CR29" s="763"/>
      <c r="CS29" s="763"/>
      <c r="CT29" s="763"/>
      <c r="CU29" s="763"/>
      <c r="CV29" s="763"/>
      <c r="CW29" s="763"/>
      <c r="CX29" s="763"/>
      <c r="CY29" s="763"/>
      <c r="CZ29" s="763"/>
      <c r="DA29" s="763"/>
      <c r="DB29" s="763"/>
      <c r="DC29" s="763"/>
      <c r="DD29" s="763"/>
      <c r="DE29" s="763"/>
      <c r="DF29" s="763"/>
      <c r="DG29" s="763"/>
      <c r="DH29" s="763"/>
      <c r="DI29" s="763"/>
      <c r="DJ29" s="763"/>
      <c r="DK29" s="763"/>
      <c r="DL29" s="763"/>
      <c r="DM29" s="763"/>
      <c r="DN29" s="763"/>
      <c r="DO29" s="763"/>
      <c r="DP29" s="763"/>
      <c r="DQ29" s="763"/>
      <c r="DR29" s="763"/>
      <c r="DS29" s="763"/>
      <c r="DT29" s="763"/>
      <c r="DU29" s="763"/>
      <c r="DV29" s="763"/>
      <c r="DW29" s="763"/>
      <c r="DX29" s="763"/>
      <c r="DY29" s="763"/>
      <c r="DZ29" s="763"/>
      <c r="EA29" s="763"/>
      <c r="EB29" s="763"/>
      <c r="EC29" s="763"/>
      <c r="ED29" s="763"/>
    </row>
    <row r="30" spans="1:134" s="899" customFormat="1" ht="15.95" customHeight="1" thickBot="1" x14ac:dyDescent="0.25">
      <c r="A30" s="426"/>
      <c r="B30" s="1352" t="s">
        <v>1218</v>
      </c>
      <c r="C30" s="1353"/>
      <c r="D30" s="1354"/>
      <c r="E30" s="756"/>
      <c r="F30" s="756"/>
      <c r="G30" s="757" t="s">
        <v>1636</v>
      </c>
      <c r="H30" s="757"/>
      <c r="I30" s="716">
        <f>SUM(V10:V24)</f>
        <v>0</v>
      </c>
      <c r="J30" s="716">
        <f>Y10</f>
        <v>0</v>
      </c>
      <c r="K30" s="716">
        <f>Y14</f>
        <v>0</v>
      </c>
      <c r="L30" s="716">
        <f>Y17</f>
        <v>0</v>
      </c>
      <c r="M30" s="716">
        <f>AA10</f>
        <v>0</v>
      </c>
      <c r="N30" s="716">
        <f>AC14</f>
        <v>0</v>
      </c>
      <c r="O30" s="716">
        <f>AE10</f>
        <v>0</v>
      </c>
      <c r="P30" s="716">
        <f>P26</f>
        <v>0</v>
      </c>
      <c r="Q30" s="758">
        <f>SUM(I30:P30)</f>
        <v>0</v>
      </c>
      <c r="R30" s="1040"/>
      <c r="S30" s="1041"/>
      <c r="T30" s="1041"/>
      <c r="U30" s="1041"/>
      <c r="V30" s="1041"/>
      <c r="W30" s="1038"/>
      <c r="X30" s="1038"/>
      <c r="Y30" s="1038"/>
      <c r="Z30" s="1042"/>
      <c r="AA30" s="970"/>
      <c r="AC30" s="1038"/>
      <c r="AD30" s="1038"/>
      <c r="AE30" s="763"/>
      <c r="AF30" s="763"/>
      <c r="AG30" s="763"/>
      <c r="AH30" s="763"/>
      <c r="AI30" s="763"/>
      <c r="AJ30" s="763"/>
      <c r="AK30" s="763"/>
      <c r="AL30" s="763"/>
      <c r="AM30" s="763"/>
      <c r="AN30" s="763"/>
      <c r="AO30" s="763"/>
      <c r="AP30" s="763"/>
      <c r="AQ30" s="763"/>
      <c r="AR30" s="763"/>
      <c r="AS30" s="763"/>
      <c r="AT30" s="763"/>
      <c r="AU30" s="763"/>
      <c r="AV30" s="763"/>
      <c r="AW30" s="763"/>
      <c r="AX30" s="763"/>
      <c r="AY30" s="763"/>
      <c r="AZ30" s="763"/>
      <c r="BA30" s="763"/>
      <c r="BB30" s="763"/>
      <c r="BC30" s="763"/>
      <c r="BD30" s="763"/>
      <c r="BE30" s="763"/>
      <c r="BF30" s="763"/>
      <c r="BG30" s="763"/>
      <c r="BH30" s="763"/>
      <c r="BI30" s="763"/>
      <c r="BJ30" s="763"/>
      <c r="BK30" s="763"/>
      <c r="BL30" s="763"/>
      <c r="BM30" s="763"/>
      <c r="BN30" s="763"/>
      <c r="BO30" s="763"/>
      <c r="BP30" s="763"/>
      <c r="BQ30" s="763"/>
      <c r="BR30" s="763"/>
      <c r="BS30" s="763"/>
      <c r="BT30" s="763"/>
      <c r="BU30" s="763"/>
      <c r="BV30" s="763"/>
      <c r="BW30" s="763"/>
      <c r="BX30" s="763"/>
      <c r="BY30" s="763"/>
      <c r="BZ30" s="763"/>
      <c r="CA30" s="763"/>
      <c r="CB30" s="763"/>
      <c r="CC30" s="763"/>
      <c r="CD30" s="763"/>
      <c r="CE30" s="763"/>
      <c r="CF30" s="763"/>
      <c r="CG30" s="763"/>
      <c r="CH30" s="763"/>
      <c r="CI30" s="763"/>
      <c r="CJ30" s="763"/>
      <c r="CK30" s="763"/>
      <c r="CL30" s="763"/>
      <c r="CM30" s="763"/>
      <c r="CN30" s="763"/>
      <c r="CO30" s="763"/>
      <c r="CP30" s="763"/>
      <c r="CQ30" s="763"/>
      <c r="CR30" s="763"/>
      <c r="CS30" s="763"/>
      <c r="CT30" s="763"/>
      <c r="CU30" s="763"/>
      <c r="CV30" s="763"/>
      <c r="CW30" s="763"/>
      <c r="CX30" s="763"/>
      <c r="CY30" s="763"/>
      <c r="CZ30" s="763"/>
      <c r="DA30" s="763"/>
      <c r="DB30" s="763"/>
      <c r="DC30" s="763"/>
      <c r="DD30" s="763"/>
      <c r="DE30" s="763"/>
      <c r="DF30" s="763"/>
      <c r="DG30" s="763"/>
      <c r="DH30" s="763"/>
      <c r="DI30" s="763"/>
      <c r="DJ30" s="763"/>
      <c r="DK30" s="763"/>
      <c r="DL30" s="763"/>
      <c r="DM30" s="763"/>
      <c r="DN30" s="763"/>
      <c r="DO30" s="763"/>
      <c r="DP30" s="763"/>
      <c r="DQ30" s="763"/>
      <c r="DR30" s="763"/>
      <c r="DS30" s="763"/>
      <c r="DT30" s="763"/>
      <c r="DU30" s="763"/>
      <c r="DV30" s="763"/>
      <c r="DW30" s="763"/>
      <c r="DX30" s="763"/>
      <c r="DY30" s="763"/>
      <c r="DZ30" s="763"/>
      <c r="EA30" s="763"/>
      <c r="EB30" s="763"/>
      <c r="EC30" s="763"/>
      <c r="ED30" s="763"/>
    </row>
    <row r="31" spans="1:134" s="899" customFormat="1" ht="3.75" customHeight="1" x14ac:dyDescent="0.2">
      <c r="A31" s="426"/>
      <c r="B31" s="426"/>
      <c r="C31" s="426"/>
      <c r="D31" s="426"/>
      <c r="E31" s="426"/>
      <c r="F31" s="426"/>
      <c r="G31" s="759" t="s">
        <v>309</v>
      </c>
      <c r="H31" s="759"/>
      <c r="I31" s="426"/>
      <c r="J31" s="426"/>
      <c r="K31" s="760"/>
      <c r="L31" s="480"/>
      <c r="M31" s="480"/>
      <c r="N31" s="480"/>
      <c r="O31" s="480"/>
      <c r="P31" s="480"/>
      <c r="Q31" s="480"/>
      <c r="R31" s="763"/>
      <c r="S31" s="763"/>
      <c r="T31" s="763"/>
      <c r="U31" s="763"/>
      <c r="V31" s="1043"/>
      <c r="W31" s="763"/>
      <c r="X31" s="763"/>
      <c r="Y31" s="763"/>
      <c r="Z31" s="763"/>
      <c r="AA31" s="763"/>
      <c r="AB31" s="763"/>
      <c r="AC31" s="763"/>
      <c r="AD31" s="763"/>
      <c r="AE31" s="763"/>
      <c r="AF31" s="763"/>
      <c r="AG31" s="763"/>
      <c r="AH31" s="763"/>
      <c r="AI31" s="763"/>
      <c r="AJ31" s="763"/>
      <c r="AK31" s="763"/>
      <c r="AL31" s="763"/>
      <c r="AM31" s="763"/>
      <c r="AN31" s="763"/>
      <c r="AO31" s="763"/>
      <c r="AP31" s="763"/>
      <c r="AQ31" s="763"/>
      <c r="AR31" s="763"/>
      <c r="AS31" s="763"/>
      <c r="AT31" s="763"/>
      <c r="AU31" s="763"/>
      <c r="AV31" s="763"/>
      <c r="AW31" s="763"/>
      <c r="AX31" s="763"/>
      <c r="AY31" s="763"/>
      <c r="AZ31" s="763"/>
      <c r="BA31" s="763"/>
      <c r="BB31" s="763"/>
      <c r="BC31" s="763"/>
      <c r="BD31" s="763"/>
      <c r="BE31" s="763"/>
      <c r="BF31" s="763"/>
      <c r="BG31" s="763"/>
      <c r="BH31" s="763"/>
      <c r="BI31" s="763"/>
      <c r="BJ31" s="763"/>
      <c r="BK31" s="763"/>
      <c r="BL31" s="763"/>
      <c r="BM31" s="763"/>
      <c r="BN31" s="763"/>
      <c r="BO31" s="763"/>
      <c r="BP31" s="763"/>
      <c r="BQ31" s="763"/>
      <c r="BR31" s="763"/>
      <c r="BS31" s="763"/>
      <c r="BT31" s="763"/>
      <c r="BU31" s="763"/>
      <c r="BV31" s="763"/>
      <c r="BW31" s="763"/>
      <c r="BX31" s="763"/>
      <c r="BY31" s="763"/>
      <c r="BZ31" s="763"/>
      <c r="CA31" s="763"/>
      <c r="CB31" s="763"/>
      <c r="CC31" s="763"/>
      <c r="CD31" s="763"/>
      <c r="CE31" s="763"/>
      <c r="CF31" s="763"/>
      <c r="CG31" s="763"/>
      <c r="CH31" s="763"/>
      <c r="CI31" s="763"/>
      <c r="CJ31" s="763"/>
      <c r="CK31" s="763"/>
      <c r="CL31" s="763"/>
      <c r="CM31" s="763"/>
      <c r="CN31" s="763"/>
      <c r="CO31" s="763"/>
      <c r="CP31" s="763"/>
      <c r="CQ31" s="763"/>
      <c r="CR31" s="763"/>
      <c r="CS31" s="763"/>
      <c r="CT31" s="763"/>
      <c r="CU31" s="763"/>
      <c r="CV31" s="763"/>
      <c r="CW31" s="763"/>
      <c r="CX31" s="763"/>
      <c r="CY31" s="763"/>
      <c r="CZ31" s="763"/>
      <c r="DA31" s="763"/>
      <c r="DB31" s="763"/>
      <c r="DC31" s="763"/>
      <c r="DD31" s="763"/>
      <c r="DE31" s="763"/>
      <c r="DF31" s="763"/>
      <c r="DG31" s="763"/>
      <c r="DH31" s="763"/>
      <c r="DI31" s="763"/>
      <c r="DJ31" s="763"/>
      <c r="DK31" s="763"/>
      <c r="DL31" s="763"/>
      <c r="DM31" s="763"/>
      <c r="DN31" s="763"/>
      <c r="DO31" s="763"/>
      <c r="DP31" s="763"/>
      <c r="DQ31" s="763"/>
      <c r="DR31" s="763"/>
      <c r="DS31" s="763"/>
      <c r="DT31" s="763"/>
      <c r="DU31" s="763"/>
      <c r="DV31" s="763"/>
      <c r="DW31" s="763"/>
      <c r="DX31" s="763"/>
      <c r="DY31" s="763"/>
      <c r="DZ31" s="763"/>
      <c r="EA31" s="763"/>
    </row>
    <row r="32" spans="1:134" s="899" customFormat="1" ht="48" customHeight="1" x14ac:dyDescent="0.2">
      <c r="A32" s="533" t="s">
        <v>494</v>
      </c>
      <c r="B32" s="1276" t="s">
        <v>1219</v>
      </c>
      <c r="C32" s="1276"/>
      <c r="D32" s="1276"/>
      <c r="E32" s="1276"/>
      <c r="F32" s="1276"/>
      <c r="G32" s="1276"/>
      <c r="H32" s="761"/>
      <c r="I32" s="761"/>
      <c r="J32" s="771"/>
      <c r="K32" s="1355" t="s">
        <v>1220</v>
      </c>
      <c r="L32" s="1355"/>
      <c r="M32" s="1355"/>
      <c r="N32" s="1355"/>
      <c r="O32" s="549"/>
      <c r="P32" s="766"/>
      <c r="Q32" s="480"/>
      <c r="R32" s="763"/>
      <c r="S32" s="763"/>
      <c r="T32" s="763"/>
      <c r="U32" s="763"/>
      <c r="V32" s="763"/>
      <c r="W32" s="763"/>
      <c r="X32" s="763"/>
      <c r="Y32" s="763"/>
      <c r="Z32" s="763"/>
      <c r="AA32" s="763"/>
      <c r="AB32" s="763"/>
      <c r="AC32" s="763"/>
      <c r="AD32" s="763"/>
      <c r="AE32" s="763"/>
      <c r="AF32" s="763"/>
      <c r="AG32" s="763"/>
      <c r="AH32" s="763"/>
      <c r="AI32" s="763"/>
      <c r="AJ32" s="763"/>
      <c r="AK32" s="763"/>
      <c r="AL32" s="763"/>
      <c r="AM32" s="763"/>
      <c r="AN32" s="763"/>
      <c r="AO32" s="763"/>
      <c r="AP32" s="763"/>
      <c r="AQ32" s="763"/>
      <c r="AR32" s="763"/>
      <c r="AS32" s="763"/>
      <c r="AT32" s="763"/>
      <c r="AU32" s="763"/>
      <c r="AV32" s="763"/>
      <c r="AW32" s="763"/>
      <c r="AX32" s="763"/>
      <c r="AY32" s="763"/>
      <c r="AZ32" s="763"/>
      <c r="BA32" s="763"/>
      <c r="BB32" s="763"/>
      <c r="BC32" s="763"/>
      <c r="BD32" s="763"/>
      <c r="BE32" s="763"/>
      <c r="BF32" s="763"/>
      <c r="BG32" s="763"/>
      <c r="BH32" s="763"/>
      <c r="BI32" s="763"/>
      <c r="BJ32" s="763"/>
      <c r="BK32" s="763"/>
      <c r="BL32" s="763"/>
      <c r="BM32" s="763"/>
      <c r="BN32" s="763"/>
      <c r="BO32" s="763"/>
      <c r="BP32" s="763"/>
      <c r="BQ32" s="763"/>
      <c r="BR32" s="763"/>
      <c r="BS32" s="763"/>
      <c r="BT32" s="763"/>
      <c r="BU32" s="763"/>
      <c r="BV32" s="763"/>
      <c r="BW32" s="763"/>
      <c r="BX32" s="763"/>
      <c r="BY32" s="763"/>
      <c r="BZ32" s="763"/>
      <c r="CA32" s="763"/>
      <c r="CB32" s="763"/>
      <c r="CC32" s="763"/>
      <c r="CD32" s="763"/>
      <c r="CE32" s="763"/>
      <c r="CF32" s="763"/>
      <c r="CG32" s="763"/>
      <c r="CH32" s="763"/>
      <c r="CI32" s="763"/>
      <c r="CJ32" s="763"/>
      <c r="CK32" s="763"/>
      <c r="CL32" s="763"/>
      <c r="CM32" s="763"/>
      <c r="CN32" s="763"/>
      <c r="CO32" s="763"/>
      <c r="CP32" s="763"/>
      <c r="CQ32" s="763"/>
      <c r="CR32" s="763"/>
      <c r="CS32" s="763"/>
      <c r="CT32" s="763"/>
      <c r="CU32" s="763"/>
      <c r="CV32" s="763"/>
      <c r="CW32" s="763"/>
      <c r="CX32" s="763"/>
      <c r="CY32" s="763"/>
      <c r="CZ32" s="763"/>
      <c r="DA32" s="763"/>
      <c r="DB32" s="763"/>
      <c r="DC32" s="763"/>
      <c r="DD32" s="763"/>
      <c r="DE32" s="763"/>
      <c r="DF32" s="763"/>
      <c r="DG32" s="763"/>
      <c r="DH32" s="763"/>
      <c r="DI32" s="763"/>
      <c r="DJ32" s="763"/>
      <c r="DK32" s="763"/>
      <c r="DL32" s="763"/>
      <c r="DM32" s="763"/>
      <c r="DN32" s="763"/>
      <c r="DO32" s="763"/>
      <c r="DP32" s="763"/>
      <c r="DQ32" s="763"/>
      <c r="DR32" s="763"/>
      <c r="DS32" s="763"/>
      <c r="DT32" s="763"/>
      <c r="DU32" s="763"/>
      <c r="DV32" s="763"/>
      <c r="DW32" s="763"/>
      <c r="DX32" s="763"/>
      <c r="DY32" s="763"/>
      <c r="DZ32" s="763"/>
      <c r="EA32" s="763"/>
    </row>
    <row r="33" spans="1:131" s="899" customFormat="1" ht="37.5" customHeight="1" x14ac:dyDescent="0.2">
      <c r="A33" s="533" t="s">
        <v>496</v>
      </c>
      <c r="B33" s="1276" t="s">
        <v>1221</v>
      </c>
      <c r="C33" s="1276"/>
      <c r="D33" s="1276"/>
      <c r="E33" s="1276"/>
      <c r="F33" s="1276"/>
      <c r="G33" s="1276"/>
      <c r="H33" s="761"/>
      <c r="I33" s="761"/>
      <c r="J33" s="772"/>
      <c r="K33" s="1366" t="s">
        <v>1222</v>
      </c>
      <c r="L33" s="1366" t="s">
        <v>1223</v>
      </c>
      <c r="M33" s="1366" t="s">
        <v>1224</v>
      </c>
      <c r="N33" s="1366" t="s">
        <v>1225</v>
      </c>
      <c r="O33" s="480"/>
      <c r="P33" s="766"/>
      <c r="Q33" s="480"/>
      <c r="R33" s="763"/>
      <c r="S33" s="763"/>
      <c r="T33" s="763"/>
      <c r="U33" s="763"/>
      <c r="V33" s="763"/>
      <c r="W33" s="763"/>
      <c r="X33" s="763"/>
      <c r="Y33" s="763"/>
      <c r="Z33" s="763"/>
      <c r="AA33" s="763"/>
      <c r="AB33" s="763"/>
      <c r="AC33" s="763"/>
      <c r="AD33" s="763"/>
      <c r="AE33" s="763"/>
      <c r="AF33" s="763"/>
      <c r="AG33" s="763"/>
      <c r="AH33" s="763"/>
      <c r="AI33" s="763"/>
      <c r="AJ33" s="763"/>
      <c r="AK33" s="763"/>
      <c r="AL33" s="763"/>
      <c r="AM33" s="763"/>
      <c r="AN33" s="763"/>
      <c r="AO33" s="763"/>
      <c r="AP33" s="763"/>
      <c r="AQ33" s="763"/>
      <c r="AR33" s="763"/>
      <c r="AS33" s="763"/>
      <c r="AT33" s="763"/>
      <c r="AU33" s="763"/>
      <c r="AV33" s="763"/>
      <c r="AW33" s="763"/>
      <c r="AX33" s="763"/>
      <c r="AY33" s="763"/>
      <c r="AZ33" s="763"/>
      <c r="BA33" s="763"/>
      <c r="BB33" s="763"/>
      <c r="BC33" s="763"/>
      <c r="BD33" s="763"/>
      <c r="BE33" s="763"/>
      <c r="BF33" s="763"/>
      <c r="BG33" s="763"/>
      <c r="BH33" s="763"/>
      <c r="BI33" s="763"/>
      <c r="BJ33" s="763"/>
      <c r="BK33" s="763"/>
      <c r="BL33" s="763"/>
      <c r="BM33" s="763"/>
      <c r="BN33" s="763"/>
      <c r="BO33" s="763"/>
      <c r="BP33" s="763"/>
      <c r="BQ33" s="763"/>
      <c r="BR33" s="763"/>
      <c r="BS33" s="763"/>
      <c r="BT33" s="763"/>
      <c r="BU33" s="763"/>
      <c r="BV33" s="763"/>
      <c r="BW33" s="763"/>
      <c r="BX33" s="763"/>
      <c r="BY33" s="763"/>
      <c r="BZ33" s="763"/>
      <c r="CA33" s="763"/>
      <c r="CB33" s="763"/>
      <c r="CC33" s="763"/>
      <c r="CD33" s="763"/>
      <c r="CE33" s="763"/>
      <c r="CF33" s="763"/>
      <c r="CG33" s="763"/>
      <c r="CH33" s="763"/>
      <c r="CI33" s="763"/>
      <c r="CJ33" s="763"/>
      <c r="CK33" s="763"/>
      <c r="CL33" s="763"/>
      <c r="CM33" s="763"/>
      <c r="CN33" s="763"/>
      <c r="CO33" s="763"/>
      <c r="CP33" s="763"/>
      <c r="CQ33" s="763"/>
      <c r="CR33" s="763"/>
      <c r="CS33" s="763"/>
      <c r="CT33" s="763"/>
      <c r="CU33" s="763"/>
      <c r="CV33" s="763"/>
      <c r="CW33" s="763"/>
      <c r="CX33" s="763"/>
      <c r="CY33" s="763"/>
      <c r="CZ33" s="763"/>
      <c r="DA33" s="763"/>
      <c r="DB33" s="763"/>
      <c r="DC33" s="763"/>
      <c r="DD33" s="763"/>
      <c r="DE33" s="763"/>
      <c r="DF33" s="763"/>
      <c r="DG33" s="763"/>
      <c r="DH33" s="763"/>
      <c r="DI33" s="763"/>
      <c r="DJ33" s="763"/>
      <c r="DK33" s="763"/>
      <c r="DL33" s="763"/>
      <c r="DM33" s="763"/>
      <c r="DN33" s="763"/>
      <c r="DO33" s="763"/>
      <c r="DP33" s="763"/>
      <c r="DQ33" s="763"/>
      <c r="DR33" s="763"/>
      <c r="DS33" s="763"/>
      <c r="DT33" s="763"/>
      <c r="DU33" s="763"/>
      <c r="DV33" s="763"/>
      <c r="DW33" s="763"/>
      <c r="DX33" s="763"/>
      <c r="DY33" s="763"/>
      <c r="DZ33" s="763"/>
      <c r="EA33" s="763"/>
    </row>
    <row r="34" spans="1:131" s="899" customFormat="1" ht="25.5" customHeight="1" x14ac:dyDescent="0.2">
      <c r="A34" s="533" t="s">
        <v>498</v>
      </c>
      <c r="B34" s="1276" t="s">
        <v>346</v>
      </c>
      <c r="C34" s="1276"/>
      <c r="D34" s="1276"/>
      <c r="E34" s="1276"/>
      <c r="F34" s="1276"/>
      <c r="G34" s="1276"/>
      <c r="H34" s="761"/>
      <c r="I34" s="761"/>
      <c r="J34" s="772"/>
      <c r="K34" s="1367"/>
      <c r="L34" s="1367"/>
      <c r="M34" s="1367"/>
      <c r="N34" s="1367"/>
      <c r="O34" s="480"/>
      <c r="P34" s="766"/>
      <c r="Q34" s="480"/>
      <c r="R34" s="763"/>
      <c r="S34" s="763"/>
      <c r="T34" s="763"/>
      <c r="U34" s="763"/>
      <c r="V34" s="763"/>
      <c r="W34" s="763"/>
      <c r="X34" s="763"/>
      <c r="Y34" s="763"/>
      <c r="Z34" s="763"/>
      <c r="AA34" s="763"/>
      <c r="AB34" s="763"/>
      <c r="AC34" s="763"/>
      <c r="AD34" s="763"/>
      <c r="AE34" s="763"/>
      <c r="AF34" s="763"/>
      <c r="AG34" s="763"/>
      <c r="AH34" s="763"/>
      <c r="AI34" s="763"/>
      <c r="AJ34" s="763"/>
      <c r="AK34" s="763"/>
      <c r="AL34" s="763"/>
      <c r="AM34" s="763"/>
      <c r="AN34" s="763"/>
      <c r="AO34" s="763"/>
      <c r="AP34" s="763"/>
      <c r="AQ34" s="763"/>
      <c r="AR34" s="763"/>
      <c r="AS34" s="763"/>
      <c r="AT34" s="763"/>
      <c r="AU34" s="763"/>
      <c r="AV34" s="763"/>
      <c r="AW34" s="763"/>
      <c r="AX34" s="763"/>
      <c r="AY34" s="763"/>
      <c r="AZ34" s="763"/>
      <c r="BA34" s="763"/>
      <c r="BB34" s="763"/>
      <c r="BC34" s="763"/>
      <c r="BD34" s="763"/>
      <c r="BE34" s="763"/>
      <c r="BF34" s="763"/>
      <c r="BG34" s="763"/>
      <c r="BH34" s="763"/>
      <c r="BI34" s="763"/>
      <c r="BJ34" s="763"/>
      <c r="BK34" s="763"/>
      <c r="BL34" s="763"/>
      <c r="BM34" s="763"/>
      <c r="BN34" s="763"/>
      <c r="BO34" s="763"/>
      <c r="BP34" s="763"/>
      <c r="BQ34" s="763"/>
      <c r="BR34" s="763"/>
      <c r="BS34" s="763"/>
      <c r="BT34" s="763"/>
      <c r="BU34" s="763"/>
      <c r="BV34" s="763"/>
      <c r="BW34" s="763"/>
      <c r="BX34" s="763"/>
      <c r="BY34" s="763"/>
      <c r="BZ34" s="763"/>
      <c r="CA34" s="763"/>
      <c r="CB34" s="763"/>
      <c r="CC34" s="763"/>
      <c r="CD34" s="763"/>
      <c r="CE34" s="763"/>
      <c r="CF34" s="763"/>
      <c r="CG34" s="763"/>
      <c r="CH34" s="763"/>
      <c r="CI34" s="763"/>
      <c r="CJ34" s="763"/>
      <c r="CK34" s="763"/>
      <c r="CL34" s="763"/>
      <c r="CM34" s="763"/>
      <c r="CN34" s="763"/>
      <c r="CO34" s="763"/>
      <c r="CP34" s="763"/>
      <c r="CQ34" s="763"/>
      <c r="CR34" s="763"/>
      <c r="CS34" s="763"/>
      <c r="CT34" s="763"/>
      <c r="CU34" s="763"/>
      <c r="CV34" s="763"/>
      <c r="CW34" s="763"/>
      <c r="CX34" s="763"/>
      <c r="CY34" s="763"/>
      <c r="CZ34" s="763"/>
      <c r="DA34" s="763"/>
      <c r="DB34" s="763"/>
      <c r="DC34" s="763"/>
      <c r="DD34" s="763"/>
      <c r="DE34" s="763"/>
      <c r="DF34" s="763"/>
      <c r="DG34" s="763"/>
      <c r="DH34" s="763"/>
      <c r="DI34" s="763"/>
      <c r="DJ34" s="763"/>
      <c r="DK34" s="763"/>
      <c r="DL34" s="763"/>
      <c r="DM34" s="763"/>
      <c r="DN34" s="763"/>
      <c r="DO34" s="763"/>
      <c r="DP34" s="763"/>
      <c r="DQ34" s="763"/>
      <c r="DR34" s="763"/>
      <c r="DS34" s="763"/>
      <c r="DT34" s="763"/>
      <c r="DU34" s="763"/>
      <c r="DV34" s="763"/>
      <c r="DW34" s="763"/>
      <c r="DX34" s="763"/>
      <c r="DY34" s="763"/>
      <c r="DZ34" s="763"/>
      <c r="EA34" s="763"/>
    </row>
    <row r="35" spans="1:131" s="899" customFormat="1" ht="13.5" customHeight="1" x14ac:dyDescent="0.2">
      <c r="A35" s="533" t="s">
        <v>500</v>
      </c>
      <c r="B35" s="1368" t="s">
        <v>347</v>
      </c>
      <c r="C35" s="1368"/>
      <c r="D35" s="1368"/>
      <c r="E35" s="1368"/>
      <c r="F35" s="1368"/>
      <c r="G35" s="1368"/>
      <c r="H35" s="764"/>
      <c r="I35" s="764"/>
      <c r="J35" s="773"/>
      <c r="K35" s="753">
        <v>1</v>
      </c>
      <c r="L35" s="765">
        <v>0.4</v>
      </c>
      <c r="M35" s="1369" t="s">
        <v>348</v>
      </c>
      <c r="N35" s="1369">
        <v>1</v>
      </c>
      <c r="O35" s="480"/>
      <c r="P35" s="766"/>
      <c r="Q35" s="480"/>
      <c r="R35" s="763"/>
      <c r="S35" s="763"/>
      <c r="T35" s="763"/>
      <c r="U35" s="763"/>
      <c r="V35" s="763"/>
      <c r="W35" s="763"/>
      <c r="X35" s="763"/>
      <c r="Y35" s="763"/>
      <c r="Z35" s="763"/>
      <c r="AA35" s="763"/>
      <c r="AB35" s="763"/>
      <c r="AC35" s="763"/>
      <c r="AD35" s="763"/>
      <c r="AE35" s="763"/>
      <c r="AF35" s="763"/>
      <c r="AG35" s="763"/>
      <c r="AH35" s="763"/>
      <c r="AI35" s="763"/>
      <c r="AJ35" s="763"/>
      <c r="AK35" s="763"/>
      <c r="AL35" s="763"/>
      <c r="AM35" s="763"/>
      <c r="AN35" s="763"/>
      <c r="AO35" s="763"/>
      <c r="AP35" s="763"/>
      <c r="AQ35" s="763"/>
      <c r="AR35" s="763"/>
      <c r="AS35" s="763"/>
      <c r="AT35" s="763"/>
      <c r="AU35" s="763"/>
      <c r="AV35" s="763"/>
      <c r="AW35" s="763"/>
      <c r="AX35" s="763"/>
      <c r="AY35" s="763"/>
      <c r="AZ35" s="763"/>
      <c r="BA35" s="763"/>
      <c r="BB35" s="763"/>
      <c r="BC35" s="763"/>
      <c r="BD35" s="763"/>
      <c r="BE35" s="763"/>
      <c r="BF35" s="763"/>
      <c r="BG35" s="763"/>
      <c r="BH35" s="763"/>
      <c r="BI35" s="763"/>
      <c r="BJ35" s="763"/>
      <c r="BK35" s="763"/>
      <c r="BL35" s="763"/>
      <c r="BM35" s="763"/>
      <c r="BN35" s="763"/>
      <c r="BO35" s="763"/>
      <c r="BP35" s="763"/>
      <c r="BQ35" s="763"/>
      <c r="BR35" s="763"/>
      <c r="BS35" s="763"/>
      <c r="BT35" s="763"/>
      <c r="BU35" s="763"/>
      <c r="BV35" s="763"/>
      <c r="BW35" s="763"/>
      <c r="BX35" s="763"/>
      <c r="BY35" s="763"/>
      <c r="BZ35" s="763"/>
      <c r="CA35" s="763"/>
      <c r="CB35" s="763"/>
      <c r="CC35" s="763"/>
      <c r="CD35" s="763"/>
      <c r="CE35" s="763"/>
      <c r="CF35" s="763"/>
      <c r="CG35" s="763"/>
      <c r="CH35" s="763"/>
      <c r="CI35" s="763"/>
      <c r="CJ35" s="763"/>
      <c r="CK35" s="763"/>
      <c r="CL35" s="763"/>
      <c r="CM35" s="763"/>
      <c r="CN35" s="763"/>
      <c r="CO35" s="763"/>
      <c r="CP35" s="763"/>
      <c r="CQ35" s="763"/>
      <c r="CR35" s="763"/>
      <c r="CS35" s="763"/>
      <c r="CT35" s="763"/>
      <c r="CU35" s="763"/>
      <c r="CV35" s="763"/>
      <c r="CW35" s="763"/>
      <c r="CX35" s="763"/>
      <c r="CY35" s="763"/>
      <c r="CZ35" s="763"/>
      <c r="DA35" s="763"/>
      <c r="DB35" s="763"/>
      <c r="DC35" s="763"/>
      <c r="DD35" s="763"/>
      <c r="DE35" s="763"/>
      <c r="DF35" s="763"/>
      <c r="DG35" s="763"/>
      <c r="DH35" s="763"/>
      <c r="DI35" s="763"/>
      <c r="DJ35" s="763"/>
      <c r="DK35" s="763"/>
      <c r="DL35" s="763"/>
      <c r="DM35" s="763"/>
      <c r="DN35" s="763"/>
      <c r="DO35" s="763"/>
      <c r="DP35" s="763"/>
      <c r="DQ35" s="763"/>
      <c r="DR35" s="763"/>
      <c r="DS35" s="763"/>
      <c r="DT35" s="763"/>
      <c r="DU35" s="763"/>
      <c r="DV35" s="763"/>
      <c r="DW35" s="763"/>
      <c r="DX35" s="763"/>
      <c r="DY35" s="763"/>
      <c r="DZ35" s="763"/>
      <c r="EA35" s="763"/>
    </row>
    <row r="36" spans="1:131" s="899" customFormat="1" ht="12" customHeight="1" x14ac:dyDescent="0.2">
      <c r="A36" s="426"/>
      <c r="B36" s="426"/>
      <c r="C36" s="426"/>
      <c r="D36" s="426"/>
      <c r="E36" s="426"/>
      <c r="F36" s="426"/>
      <c r="G36" s="426"/>
      <c r="H36" s="426"/>
      <c r="I36" s="426"/>
      <c r="J36" s="480"/>
      <c r="K36" s="753">
        <v>2</v>
      </c>
      <c r="L36" s="765">
        <v>0.3</v>
      </c>
      <c r="M36" s="1370"/>
      <c r="N36" s="1370"/>
      <c r="O36" s="480"/>
      <c r="P36" s="766"/>
      <c r="Q36" s="480"/>
      <c r="R36" s="763"/>
      <c r="S36" s="763"/>
      <c r="T36" s="763"/>
      <c r="U36" s="763"/>
      <c r="V36" s="763"/>
      <c r="W36" s="763"/>
      <c r="X36" s="763"/>
      <c r="Y36" s="763"/>
      <c r="Z36" s="763"/>
      <c r="AA36" s="763"/>
      <c r="AB36" s="763"/>
      <c r="AC36" s="763"/>
      <c r="AD36" s="763"/>
      <c r="AE36" s="763"/>
      <c r="AF36" s="763"/>
      <c r="AG36" s="763"/>
      <c r="AH36" s="763"/>
      <c r="AI36" s="763"/>
      <c r="AJ36" s="763"/>
      <c r="AK36" s="763"/>
      <c r="AL36" s="763"/>
      <c r="AM36" s="763"/>
      <c r="AN36" s="763"/>
      <c r="AO36" s="763"/>
      <c r="AP36" s="763"/>
      <c r="AQ36" s="763"/>
      <c r="AR36" s="763"/>
      <c r="AS36" s="763"/>
      <c r="AT36" s="763"/>
      <c r="AU36" s="763"/>
      <c r="AV36" s="763"/>
      <c r="AW36" s="763"/>
      <c r="AX36" s="763"/>
      <c r="AY36" s="763"/>
      <c r="AZ36" s="763"/>
      <c r="BA36" s="763"/>
      <c r="BB36" s="763"/>
      <c r="BC36" s="763"/>
      <c r="BD36" s="763"/>
      <c r="BE36" s="763"/>
      <c r="BF36" s="763"/>
      <c r="BG36" s="763"/>
      <c r="BH36" s="763"/>
      <c r="BI36" s="763"/>
      <c r="BJ36" s="763"/>
      <c r="BK36" s="763"/>
      <c r="BL36" s="763"/>
      <c r="BM36" s="763"/>
      <c r="BN36" s="763"/>
      <c r="BO36" s="763"/>
      <c r="BP36" s="763"/>
      <c r="BQ36" s="763"/>
      <c r="BR36" s="763"/>
      <c r="BS36" s="763"/>
      <c r="BT36" s="763"/>
      <c r="BU36" s="763"/>
      <c r="BV36" s="763"/>
      <c r="BW36" s="763"/>
      <c r="BX36" s="763"/>
      <c r="BY36" s="763"/>
      <c r="BZ36" s="763"/>
      <c r="CA36" s="763"/>
      <c r="CB36" s="763"/>
      <c r="CC36" s="763"/>
      <c r="CD36" s="763"/>
      <c r="CE36" s="763"/>
      <c r="CF36" s="763"/>
      <c r="CG36" s="763"/>
      <c r="CH36" s="763"/>
      <c r="CI36" s="763"/>
      <c r="CJ36" s="763"/>
      <c r="CK36" s="763"/>
      <c r="CL36" s="763"/>
      <c r="CM36" s="763"/>
      <c r="CN36" s="763"/>
      <c r="CO36" s="763"/>
      <c r="CP36" s="763"/>
      <c r="CQ36" s="763"/>
      <c r="CR36" s="763"/>
      <c r="CS36" s="763"/>
      <c r="CT36" s="763"/>
      <c r="CU36" s="763"/>
      <c r="CV36" s="763"/>
      <c r="CW36" s="763"/>
      <c r="CX36" s="763"/>
      <c r="CY36" s="763"/>
      <c r="CZ36" s="763"/>
      <c r="DA36" s="763"/>
      <c r="DB36" s="763"/>
      <c r="DC36" s="763"/>
      <c r="DD36" s="763"/>
      <c r="DE36" s="763"/>
      <c r="DF36" s="763"/>
      <c r="DG36" s="763"/>
      <c r="DH36" s="763"/>
      <c r="DI36" s="763"/>
      <c r="DJ36" s="763"/>
      <c r="DK36" s="763"/>
      <c r="DL36" s="763"/>
      <c r="DM36" s="763"/>
      <c r="DN36" s="763"/>
      <c r="DO36" s="763"/>
      <c r="DP36" s="763"/>
      <c r="DQ36" s="763"/>
      <c r="DR36" s="763"/>
      <c r="DS36" s="763"/>
      <c r="DT36" s="763"/>
      <c r="DU36" s="763"/>
      <c r="DV36" s="763"/>
      <c r="DW36" s="763"/>
      <c r="DX36" s="763"/>
      <c r="DY36" s="763"/>
      <c r="DZ36" s="763"/>
      <c r="EA36" s="763"/>
    </row>
    <row r="37" spans="1:131" s="899" customFormat="1" ht="12" customHeight="1" x14ac:dyDescent="0.2">
      <c r="A37" s="426"/>
      <c r="B37" s="426"/>
      <c r="C37" s="426"/>
      <c r="D37" s="426"/>
      <c r="E37" s="426"/>
      <c r="F37" s="426"/>
      <c r="G37" s="426"/>
      <c r="H37" s="426"/>
      <c r="I37" s="426"/>
      <c r="J37" s="480"/>
      <c r="K37" s="753">
        <v>3</v>
      </c>
      <c r="L37" s="765">
        <v>0.3</v>
      </c>
      <c r="M37" s="1371"/>
      <c r="N37" s="1371"/>
      <c r="O37" s="480"/>
      <c r="P37" s="766"/>
      <c r="Q37" s="480"/>
      <c r="R37" s="763"/>
      <c r="S37" s="763"/>
      <c r="T37" s="763"/>
      <c r="U37" s="763"/>
      <c r="V37" s="763"/>
      <c r="W37" s="763"/>
      <c r="X37" s="763"/>
      <c r="Y37" s="763"/>
      <c r="Z37" s="763"/>
      <c r="AA37" s="763"/>
      <c r="AB37" s="763"/>
      <c r="AC37" s="763"/>
      <c r="AD37" s="763"/>
      <c r="AE37" s="763"/>
      <c r="AF37" s="763"/>
      <c r="AG37" s="763"/>
      <c r="AH37" s="763"/>
      <c r="AI37" s="763"/>
      <c r="AJ37" s="763"/>
      <c r="AK37" s="763"/>
      <c r="AL37" s="763"/>
      <c r="AM37" s="763"/>
      <c r="AN37" s="763"/>
      <c r="AO37" s="763"/>
      <c r="AP37" s="763"/>
      <c r="AQ37" s="763"/>
      <c r="AR37" s="763"/>
      <c r="AS37" s="763"/>
      <c r="AT37" s="763"/>
      <c r="AU37" s="763"/>
      <c r="AV37" s="763"/>
      <c r="AW37" s="763"/>
      <c r="AX37" s="763"/>
      <c r="AY37" s="763"/>
      <c r="AZ37" s="763"/>
      <c r="BA37" s="763"/>
      <c r="BB37" s="763"/>
      <c r="BC37" s="763"/>
      <c r="BD37" s="763"/>
      <c r="BE37" s="763"/>
      <c r="BF37" s="763"/>
      <c r="BG37" s="763"/>
      <c r="BH37" s="763"/>
      <c r="BI37" s="763"/>
      <c r="BJ37" s="763"/>
      <c r="BK37" s="763"/>
      <c r="BL37" s="763"/>
      <c r="BM37" s="763"/>
      <c r="BN37" s="763"/>
      <c r="BO37" s="763"/>
      <c r="BP37" s="763"/>
      <c r="BQ37" s="763"/>
      <c r="BR37" s="763"/>
      <c r="BS37" s="763"/>
      <c r="BT37" s="763"/>
      <c r="BU37" s="763"/>
      <c r="BV37" s="763"/>
      <c r="BW37" s="763"/>
      <c r="BX37" s="763"/>
      <c r="BY37" s="763"/>
      <c r="BZ37" s="763"/>
      <c r="CA37" s="763"/>
      <c r="CB37" s="763"/>
      <c r="CC37" s="763"/>
      <c r="CD37" s="763"/>
      <c r="CE37" s="763"/>
      <c r="CF37" s="763"/>
      <c r="CG37" s="763"/>
      <c r="CH37" s="763"/>
      <c r="CI37" s="763"/>
      <c r="CJ37" s="763"/>
      <c r="CK37" s="763"/>
      <c r="CL37" s="763"/>
      <c r="CM37" s="763"/>
      <c r="CN37" s="763"/>
      <c r="CO37" s="763"/>
      <c r="CP37" s="763"/>
      <c r="CQ37" s="763"/>
      <c r="CR37" s="763"/>
      <c r="CS37" s="763"/>
      <c r="CT37" s="763"/>
      <c r="CU37" s="763"/>
      <c r="CV37" s="763"/>
      <c r="CW37" s="763"/>
      <c r="CX37" s="763"/>
      <c r="CY37" s="763"/>
      <c r="CZ37" s="763"/>
      <c r="DA37" s="763"/>
      <c r="DB37" s="763"/>
      <c r="DC37" s="763"/>
      <c r="DD37" s="763"/>
      <c r="DE37" s="763"/>
      <c r="DF37" s="763"/>
      <c r="DG37" s="763"/>
      <c r="DH37" s="763"/>
      <c r="DI37" s="763"/>
      <c r="DJ37" s="763"/>
      <c r="DK37" s="763"/>
      <c r="DL37" s="763"/>
      <c r="DM37" s="763"/>
      <c r="DN37" s="763"/>
      <c r="DO37" s="763"/>
      <c r="DP37" s="763"/>
      <c r="DQ37" s="763"/>
      <c r="DR37" s="763"/>
      <c r="DS37" s="763"/>
      <c r="DT37" s="763"/>
      <c r="DU37" s="763"/>
      <c r="DV37" s="763"/>
      <c r="DW37" s="763"/>
      <c r="DX37" s="763"/>
      <c r="DY37" s="763"/>
      <c r="DZ37" s="763"/>
      <c r="EA37" s="763"/>
    </row>
    <row r="38" spans="1:131" x14ac:dyDescent="0.2">
      <c r="A38" s="899"/>
      <c r="B38" s="899"/>
      <c r="C38" s="899"/>
      <c r="D38" s="899"/>
      <c r="E38" s="899"/>
      <c r="F38" s="899"/>
      <c r="G38" s="899"/>
      <c r="H38" s="899"/>
      <c r="I38" s="899"/>
      <c r="J38" s="763"/>
      <c r="K38" s="899"/>
      <c r="L38" s="899"/>
      <c r="M38" s="899"/>
      <c r="N38" s="899"/>
      <c r="O38" s="763"/>
      <c r="P38" s="762"/>
      <c r="Q38" s="763"/>
      <c r="R38" s="763"/>
      <c r="S38" s="763"/>
      <c r="T38" s="763"/>
      <c r="U38" s="763"/>
      <c r="V38" s="763"/>
      <c r="W38" s="763"/>
      <c r="X38" s="763"/>
      <c r="Y38" s="763"/>
      <c r="Z38" s="763"/>
      <c r="AA38" s="763"/>
      <c r="AB38" s="763"/>
      <c r="AC38" s="763"/>
      <c r="AD38" s="763"/>
      <c r="AE38" s="763"/>
      <c r="AF38" s="763"/>
    </row>
    <row r="39" spans="1:131" x14ac:dyDescent="0.2">
      <c r="A39" s="899"/>
      <c r="B39" s="899"/>
      <c r="C39" s="899"/>
      <c r="D39" s="899"/>
      <c r="E39" s="899"/>
      <c r="F39" s="899"/>
      <c r="G39" s="899"/>
      <c r="H39" s="899"/>
      <c r="I39" s="899"/>
      <c r="J39" s="763"/>
      <c r="K39" s="763"/>
      <c r="L39" s="763"/>
      <c r="M39" s="763"/>
      <c r="N39" s="763"/>
      <c r="O39" s="763"/>
      <c r="P39" s="762"/>
      <c r="Q39" s="763"/>
      <c r="R39" s="763"/>
      <c r="S39" s="763"/>
      <c r="T39" s="763"/>
      <c r="U39" s="763"/>
      <c r="V39" s="763"/>
      <c r="W39" s="763"/>
      <c r="X39" s="763"/>
      <c r="Y39" s="763"/>
      <c r="Z39" s="763"/>
      <c r="AA39" s="763"/>
      <c r="AB39" s="763"/>
      <c r="AC39" s="763"/>
      <c r="AD39" s="763"/>
      <c r="AE39" s="763"/>
      <c r="AF39" s="763"/>
    </row>
    <row r="40" spans="1:131" x14ac:dyDescent="0.2">
      <c r="A40" s="899"/>
      <c r="B40" s="899"/>
      <c r="C40" s="899"/>
      <c r="D40" s="899"/>
      <c r="E40" s="899"/>
      <c r="F40" s="899"/>
      <c r="G40" s="899"/>
      <c r="H40" s="899"/>
      <c r="I40" s="899"/>
      <c r="J40" s="763"/>
      <c r="K40" s="763"/>
      <c r="L40" s="763"/>
      <c r="M40" s="763"/>
      <c r="N40" s="763"/>
      <c r="O40" s="763"/>
      <c r="P40" s="762"/>
      <c r="Q40" s="763"/>
      <c r="R40" s="763"/>
      <c r="S40" s="763"/>
      <c r="T40" s="763"/>
      <c r="U40" s="763"/>
      <c r="V40" s="763"/>
      <c r="W40" s="763"/>
      <c r="X40" s="763"/>
      <c r="Y40" s="763"/>
      <c r="Z40" s="763"/>
      <c r="AA40" s="763"/>
      <c r="AB40" s="763"/>
      <c r="AC40" s="763"/>
      <c r="AD40" s="763"/>
      <c r="AE40" s="763"/>
      <c r="AF40" s="763"/>
    </row>
    <row r="41" spans="1:131" x14ac:dyDescent="0.2">
      <c r="A41" s="899"/>
      <c r="B41" s="899"/>
      <c r="C41" s="899"/>
      <c r="D41" s="899"/>
      <c r="E41" s="899"/>
      <c r="F41" s="899"/>
      <c r="G41" s="899"/>
      <c r="H41" s="899"/>
      <c r="I41" s="899"/>
      <c r="J41" s="763"/>
      <c r="K41" s="763"/>
      <c r="L41" s="763"/>
      <c r="M41" s="763"/>
      <c r="N41" s="763"/>
      <c r="O41" s="763"/>
      <c r="P41" s="762"/>
      <c r="Q41" s="763"/>
      <c r="R41" s="763"/>
      <c r="S41" s="763"/>
      <c r="T41" s="763"/>
      <c r="U41" s="763"/>
      <c r="V41" s="763"/>
      <c r="W41" s="763"/>
      <c r="X41" s="763"/>
      <c r="Y41" s="763"/>
      <c r="Z41" s="763"/>
      <c r="AA41" s="763"/>
      <c r="AB41" s="763"/>
      <c r="AC41" s="763"/>
      <c r="AD41" s="763"/>
      <c r="AE41" s="763"/>
      <c r="AF41" s="763"/>
    </row>
    <row r="42" spans="1:131" x14ac:dyDescent="0.2">
      <c r="A42" s="899"/>
      <c r="B42" s="899"/>
      <c r="C42" s="899"/>
      <c r="D42" s="899"/>
      <c r="E42" s="899"/>
      <c r="F42" s="899"/>
      <c r="G42" s="899"/>
      <c r="H42" s="899"/>
      <c r="I42" s="899"/>
      <c r="J42" s="763"/>
      <c r="K42" s="763"/>
      <c r="L42" s="763"/>
      <c r="M42" s="763"/>
      <c r="N42" s="763"/>
      <c r="O42" s="763"/>
      <c r="P42" s="762"/>
      <c r="Q42" s="763"/>
      <c r="R42" s="763"/>
      <c r="S42" s="763"/>
      <c r="T42" s="763"/>
      <c r="U42" s="763"/>
      <c r="V42" s="763"/>
      <c r="W42" s="763"/>
      <c r="X42" s="763"/>
      <c r="Y42" s="763"/>
      <c r="Z42" s="763"/>
      <c r="AA42" s="763"/>
      <c r="AB42" s="763"/>
      <c r="AC42" s="763"/>
      <c r="AD42" s="763"/>
      <c r="AE42" s="763"/>
      <c r="AF42" s="763"/>
    </row>
  </sheetData>
  <sheetProtection password="CEEF" sheet="1" objects="1" scenarios="1"/>
  <mergeCells count="79">
    <mergeCell ref="N33:N34"/>
    <mergeCell ref="B34:G34"/>
    <mergeCell ref="B35:G35"/>
    <mergeCell ref="M35:M37"/>
    <mergeCell ref="N35:N37"/>
    <mergeCell ref="B33:G33"/>
    <mergeCell ref="K33:K34"/>
    <mergeCell ref="L33:L34"/>
    <mergeCell ref="M33:M34"/>
    <mergeCell ref="B30:D30"/>
    <mergeCell ref="B32:G32"/>
    <mergeCell ref="K32:N32"/>
    <mergeCell ref="B28:D29"/>
    <mergeCell ref="I28:I29"/>
    <mergeCell ref="J28:L28"/>
    <mergeCell ref="M28:O28"/>
    <mergeCell ref="B17:B24"/>
    <mergeCell ref="D17:E17"/>
    <mergeCell ref="P28:P29"/>
    <mergeCell ref="Q28:Q29"/>
    <mergeCell ref="D24:E24"/>
    <mergeCell ref="C25:E25"/>
    <mergeCell ref="C26:D26"/>
    <mergeCell ref="P26:Q26"/>
    <mergeCell ref="Y17:Y24"/>
    <mergeCell ref="Z17:Z24"/>
    <mergeCell ref="D18:E18"/>
    <mergeCell ref="D19:E19"/>
    <mergeCell ref="D20:E20"/>
    <mergeCell ref="D21:E21"/>
    <mergeCell ref="D22:E22"/>
    <mergeCell ref="D23:E23"/>
    <mergeCell ref="AA10:AA16"/>
    <mergeCell ref="AB10:AB13"/>
    <mergeCell ref="AC10:AC13"/>
    <mergeCell ref="AD10:AD13"/>
    <mergeCell ref="D15:E15"/>
    <mergeCell ref="D16:E16"/>
    <mergeCell ref="AE10:AE24"/>
    <mergeCell ref="D11:E11"/>
    <mergeCell ref="D12:E12"/>
    <mergeCell ref="D13:E13"/>
    <mergeCell ref="AB14:AB16"/>
    <mergeCell ref="AC14:AC24"/>
    <mergeCell ref="AD14:AD16"/>
    <mergeCell ref="AA17:AA24"/>
    <mergeCell ref="AB17:AB24"/>
    <mergeCell ref="AD17:AD24"/>
    <mergeCell ref="B10:B13"/>
    <mergeCell ref="D10:E10"/>
    <mergeCell ref="Y10:Y13"/>
    <mergeCell ref="Z10:Z13"/>
    <mergeCell ref="B14:B16"/>
    <mergeCell ref="D14:E14"/>
    <mergeCell ref="Y14:Y16"/>
    <mergeCell ref="Z14:Z16"/>
    <mergeCell ref="M2:O2"/>
    <mergeCell ref="O7:O9"/>
    <mergeCell ref="AD7:AD9"/>
    <mergeCell ref="AE7:AE9"/>
    <mergeCell ref="M8:N8"/>
    <mergeCell ref="Z7:Z9"/>
    <mergeCell ref="AA7:AA9"/>
    <mergeCell ref="AB7:AB9"/>
    <mergeCell ref="H7:H9"/>
    <mergeCell ref="I7:N7"/>
    <mergeCell ref="AC7:AC9"/>
    <mergeCell ref="P7:Q8"/>
    <mergeCell ref="V7:V9"/>
    <mergeCell ref="W7:X8"/>
    <mergeCell ref="Y7:Y9"/>
    <mergeCell ref="I8:J8"/>
    <mergeCell ref="K8:L8"/>
    <mergeCell ref="C4:D4"/>
    <mergeCell ref="B7:B9"/>
    <mergeCell ref="C7:E7"/>
    <mergeCell ref="G7:G9"/>
    <mergeCell ref="C8:C9"/>
    <mergeCell ref="D8:E9"/>
  </mergeCells>
  <phoneticPr fontId="36" type="noConversion"/>
  <dataValidations count="1">
    <dataValidation type="decimal" operator="greaterThanOrEqual" allowBlank="1" showInputMessage="1" showErrorMessage="1" sqref="I10:L24">
      <formula1>0</formula1>
    </dataValidation>
  </dataValidations>
  <pageMargins left="0.25" right="0.25" top="1" bottom="1" header="0.5" footer="0.5"/>
  <pageSetup paperSize="9" scale="80" orientation="landscape" r:id="rId1"/>
  <headerFooter alignWithMargins="0">
    <oddHeader>&amp;C&amp;"Arial,Bold"&amp;8 NEW RURAL BANK OF SAN LEONARDO, INC  [ 04-040656 ]
 As of: September 30, 2017</oddHeader>
  </headerFooter>
  <colBreaks count="1" manualBreakCount="1">
    <brk id="15" max="1048575" man="1"/>
  </colBreak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ED42"/>
  <sheetViews>
    <sheetView view="pageBreakPreview" zoomScale="60" zoomScaleNormal="85" workbookViewId="0">
      <selection activeCell="B1" sqref="B1"/>
    </sheetView>
  </sheetViews>
  <sheetFormatPr defaultRowHeight="12.75" x14ac:dyDescent="0.2"/>
  <cols>
    <col min="1" max="1" width="2" style="889" customWidth="1"/>
    <col min="2" max="2" width="6.7109375" style="889" customWidth="1"/>
    <col min="3" max="3" width="21.28515625" style="889" customWidth="1"/>
    <col min="4" max="4" width="17.85546875" style="889" customWidth="1"/>
    <col min="5" max="5" width="5" style="889" customWidth="1"/>
    <col min="6" max="6" width="12.42578125" style="889" hidden="1" customWidth="1"/>
    <col min="7" max="7" width="16.7109375" style="889" bestFit="1" customWidth="1"/>
    <col min="8" max="8" width="19.42578125" style="889" hidden="1" customWidth="1"/>
    <col min="9" max="9" width="15.85546875" style="889" customWidth="1"/>
    <col min="10" max="15" width="15.85546875" style="891" customWidth="1"/>
    <col min="16" max="16" width="15.85546875" style="1012" customWidth="1"/>
    <col min="17" max="17" width="15.85546875" style="891" customWidth="1"/>
    <col min="18" max="18" width="8" style="891" customWidth="1"/>
    <col min="19" max="21" width="10.140625" style="891" customWidth="1"/>
    <col min="22" max="25" width="10.140625" style="891" hidden="1" customWidth="1"/>
    <col min="26" max="31" width="9.140625" style="891" hidden="1" customWidth="1"/>
    <col min="32" max="32" width="8" style="891" customWidth="1"/>
  </cols>
  <sheetData>
    <row r="1" spans="1:132" s="889" customFormat="1" x14ac:dyDescent="0.2">
      <c r="A1" s="426"/>
      <c r="B1" s="426"/>
      <c r="C1" s="426"/>
      <c r="D1" s="426"/>
      <c r="E1" s="426"/>
      <c r="F1" s="426"/>
      <c r="G1" s="426"/>
      <c r="H1" s="426"/>
      <c r="I1" s="426"/>
      <c r="J1" s="480"/>
      <c r="K1" s="480"/>
      <c r="L1" s="480"/>
      <c r="M1" s="480"/>
      <c r="N1" s="480"/>
      <c r="O1" s="480"/>
      <c r="P1" s="766"/>
      <c r="Q1" s="480"/>
      <c r="R1" s="891"/>
      <c r="S1" s="891"/>
      <c r="T1" s="891"/>
      <c r="U1" s="891"/>
      <c r="V1" s="891"/>
      <c r="W1" s="891"/>
      <c r="X1" s="891"/>
      <c r="Y1" s="891"/>
      <c r="Z1" s="891"/>
      <c r="AA1" s="891"/>
      <c r="AB1" s="891"/>
      <c r="AC1" s="891"/>
      <c r="AD1" s="891"/>
      <c r="AE1" s="891"/>
      <c r="AF1" s="891"/>
      <c r="AG1" s="891"/>
      <c r="AH1" s="891"/>
      <c r="AI1" s="891"/>
      <c r="AJ1" s="891"/>
      <c r="AK1" s="891"/>
      <c r="AL1" s="891"/>
      <c r="AM1" s="891"/>
      <c r="AN1" s="891"/>
      <c r="AO1" s="891"/>
      <c r="AP1" s="891"/>
      <c r="AQ1" s="891"/>
      <c r="AR1" s="891"/>
      <c r="AS1" s="891"/>
      <c r="AT1" s="891"/>
      <c r="AU1" s="891"/>
      <c r="AV1" s="891"/>
      <c r="AW1" s="891"/>
      <c r="AX1" s="891"/>
      <c r="AY1" s="891"/>
      <c r="AZ1" s="891"/>
      <c r="BA1" s="891"/>
      <c r="BB1" s="891"/>
      <c r="BC1" s="891"/>
      <c r="BD1" s="891"/>
      <c r="BE1" s="891"/>
      <c r="BF1" s="891"/>
      <c r="BG1" s="891"/>
      <c r="BH1" s="891"/>
      <c r="BI1" s="891"/>
      <c r="BJ1" s="891"/>
      <c r="BK1" s="891"/>
      <c r="BL1" s="891"/>
      <c r="BM1" s="891"/>
      <c r="BN1" s="891"/>
      <c r="BO1" s="891"/>
      <c r="BP1" s="891"/>
      <c r="BQ1" s="891"/>
      <c r="BR1" s="891"/>
      <c r="BS1" s="891"/>
      <c r="BT1" s="891"/>
      <c r="BU1" s="891"/>
      <c r="BV1" s="891"/>
      <c r="BW1" s="891"/>
      <c r="BX1" s="891"/>
      <c r="BY1" s="891"/>
      <c r="BZ1" s="891"/>
      <c r="CA1" s="891"/>
      <c r="CB1" s="891"/>
      <c r="CC1" s="891"/>
      <c r="CD1" s="891"/>
      <c r="CE1" s="891"/>
      <c r="CF1" s="891"/>
      <c r="CG1" s="891"/>
      <c r="CH1" s="891"/>
      <c r="CI1" s="891"/>
      <c r="CJ1" s="891"/>
      <c r="CK1" s="891"/>
      <c r="CL1" s="891"/>
      <c r="CM1" s="891"/>
      <c r="CN1" s="891"/>
      <c r="CO1" s="891"/>
      <c r="CP1" s="891"/>
      <c r="CQ1" s="891"/>
      <c r="CR1" s="891"/>
      <c r="CS1" s="891"/>
      <c r="CT1" s="891"/>
      <c r="CU1" s="891"/>
      <c r="CV1" s="891"/>
      <c r="CW1" s="891"/>
      <c r="CX1" s="891"/>
      <c r="CY1" s="891"/>
      <c r="CZ1" s="891"/>
      <c r="DA1" s="891"/>
      <c r="DB1" s="891"/>
      <c r="DC1" s="891"/>
      <c r="DD1" s="891"/>
      <c r="DE1" s="891"/>
      <c r="DF1" s="891"/>
      <c r="DG1" s="891"/>
      <c r="DH1" s="891"/>
      <c r="DI1" s="891"/>
      <c r="DJ1" s="891"/>
      <c r="DK1" s="891"/>
      <c r="DL1" s="891"/>
      <c r="DM1" s="891"/>
      <c r="DN1" s="891"/>
      <c r="DO1" s="891"/>
      <c r="DP1" s="891"/>
      <c r="DQ1" s="891"/>
      <c r="DR1" s="891"/>
      <c r="DS1" s="891"/>
      <c r="DT1" s="891"/>
      <c r="DU1" s="891"/>
      <c r="DV1" s="891"/>
      <c r="DW1" s="891"/>
      <c r="DX1" s="891"/>
      <c r="DY1" s="891"/>
      <c r="DZ1" s="891"/>
      <c r="EA1" s="891"/>
    </row>
    <row r="2" spans="1:132" s="889" customFormat="1" ht="15.95" customHeight="1" x14ac:dyDescent="0.2">
      <c r="A2" s="426"/>
      <c r="B2" s="680" t="s">
        <v>352</v>
      </c>
      <c r="C2" s="680"/>
      <c r="D2" s="680"/>
      <c r="E2" s="680"/>
      <c r="F2" s="680"/>
      <c r="G2" s="680"/>
      <c r="H2" s="680"/>
      <c r="I2" s="680"/>
      <c r="J2" s="680"/>
      <c r="K2" s="680"/>
      <c r="L2" s="480"/>
      <c r="M2" s="1303"/>
      <c r="N2" s="1303"/>
      <c r="O2" s="1303"/>
      <c r="P2" s="766"/>
      <c r="Q2" s="480"/>
      <c r="R2" s="891"/>
      <c r="S2" s="891"/>
      <c r="T2" s="891"/>
      <c r="U2" s="891"/>
      <c r="V2" s="891"/>
      <c r="W2" s="891"/>
      <c r="X2" s="891"/>
      <c r="Y2" s="891"/>
      <c r="Z2" s="891"/>
      <c r="AA2" s="891"/>
      <c r="AB2" s="891"/>
      <c r="AC2" s="891"/>
      <c r="AD2" s="891"/>
      <c r="AE2" s="891"/>
      <c r="AF2" s="891"/>
      <c r="AG2" s="891"/>
      <c r="AH2" s="891"/>
      <c r="AI2" s="891"/>
      <c r="AJ2" s="891"/>
      <c r="AK2" s="891"/>
      <c r="AL2" s="891"/>
      <c r="AM2" s="891"/>
      <c r="AN2" s="891"/>
      <c r="AO2" s="891"/>
      <c r="AP2" s="891"/>
      <c r="AQ2" s="891"/>
      <c r="AR2" s="891"/>
      <c r="AS2" s="891"/>
      <c r="AT2" s="891"/>
      <c r="AU2" s="891"/>
      <c r="AV2" s="891"/>
      <c r="AW2" s="891"/>
      <c r="AX2" s="891"/>
      <c r="AY2" s="891"/>
      <c r="AZ2" s="891"/>
      <c r="BA2" s="891"/>
      <c r="BB2" s="891"/>
      <c r="BC2" s="891"/>
      <c r="BD2" s="891"/>
      <c r="BE2" s="891"/>
      <c r="BF2" s="891"/>
      <c r="BG2" s="891"/>
      <c r="BH2" s="891"/>
      <c r="BI2" s="891"/>
      <c r="BJ2" s="891"/>
      <c r="BK2" s="891"/>
      <c r="BL2" s="891"/>
      <c r="BM2" s="891"/>
      <c r="BN2" s="891"/>
      <c r="BO2" s="891"/>
      <c r="BP2" s="891"/>
      <c r="BQ2" s="891"/>
      <c r="BR2" s="891"/>
      <c r="BS2" s="891"/>
      <c r="BT2" s="891"/>
      <c r="BU2" s="891"/>
      <c r="BV2" s="891"/>
      <c r="BW2" s="891"/>
      <c r="BX2" s="891"/>
      <c r="BY2" s="891"/>
      <c r="BZ2" s="891"/>
      <c r="CA2" s="891"/>
      <c r="CB2" s="891"/>
      <c r="CC2" s="891"/>
      <c r="CD2" s="891"/>
      <c r="CE2" s="891"/>
      <c r="CF2" s="891"/>
      <c r="CG2" s="891"/>
      <c r="CH2" s="891"/>
      <c r="CI2" s="891"/>
      <c r="CJ2" s="891"/>
      <c r="CK2" s="891"/>
      <c r="CL2" s="891"/>
      <c r="CM2" s="891"/>
      <c r="CN2" s="891"/>
      <c r="CO2" s="891"/>
      <c r="CP2" s="891"/>
      <c r="CQ2" s="891"/>
      <c r="CR2" s="891"/>
      <c r="CS2" s="891"/>
      <c r="CT2" s="891"/>
      <c r="CU2" s="891"/>
      <c r="CV2" s="891"/>
      <c r="CW2" s="891"/>
      <c r="CX2" s="891"/>
      <c r="CY2" s="891"/>
      <c r="CZ2" s="891"/>
      <c r="DA2" s="891"/>
      <c r="DB2" s="891"/>
      <c r="DC2" s="891"/>
      <c r="DD2" s="891"/>
      <c r="DE2" s="891"/>
      <c r="DF2" s="891"/>
      <c r="DG2" s="891"/>
      <c r="DH2" s="891"/>
      <c r="DI2" s="891"/>
      <c r="DJ2" s="891"/>
      <c r="DK2" s="891"/>
      <c r="DL2" s="891"/>
      <c r="DM2" s="891"/>
      <c r="DN2" s="891"/>
      <c r="DO2" s="891"/>
      <c r="DP2" s="891"/>
      <c r="DQ2" s="891"/>
      <c r="DR2" s="891"/>
      <c r="DS2" s="891"/>
      <c r="DT2" s="891"/>
      <c r="DU2" s="891"/>
      <c r="DV2" s="891"/>
      <c r="DW2" s="891"/>
      <c r="DX2" s="891"/>
      <c r="DY2" s="891"/>
      <c r="DZ2" s="891"/>
      <c r="EA2" s="891"/>
    </row>
    <row r="3" spans="1:132" s="899" customFormat="1" ht="2.25" customHeight="1" x14ac:dyDescent="0.2">
      <c r="A3" s="426"/>
      <c r="B3" s="426"/>
      <c r="C3" s="426"/>
      <c r="D3" s="426"/>
      <c r="E3" s="426"/>
      <c r="F3" s="426"/>
      <c r="G3" s="426"/>
      <c r="H3" s="426"/>
      <c r="I3" s="426"/>
      <c r="J3" s="480"/>
      <c r="K3" s="480"/>
      <c r="L3" s="480"/>
      <c r="M3" s="480"/>
      <c r="N3" s="480"/>
      <c r="O3" s="480"/>
      <c r="P3" s="766"/>
      <c r="Q3" s="480"/>
      <c r="R3" s="763"/>
      <c r="S3" s="763"/>
      <c r="T3" s="763"/>
      <c r="U3" s="763"/>
      <c r="V3" s="763"/>
      <c r="W3" s="763"/>
      <c r="X3" s="763"/>
      <c r="Y3" s="763"/>
      <c r="Z3" s="763"/>
      <c r="AA3" s="763"/>
      <c r="AB3" s="763"/>
      <c r="AC3" s="763"/>
      <c r="AD3" s="763"/>
      <c r="AE3" s="763"/>
      <c r="AF3" s="763"/>
      <c r="AG3" s="763"/>
      <c r="AH3" s="763"/>
      <c r="AI3" s="763"/>
      <c r="AJ3" s="763"/>
      <c r="AK3" s="763"/>
      <c r="AL3" s="763"/>
      <c r="AM3" s="763"/>
      <c r="AN3" s="763"/>
      <c r="AO3" s="763"/>
      <c r="AP3" s="763"/>
      <c r="AQ3" s="763"/>
      <c r="AR3" s="763"/>
      <c r="AS3" s="763"/>
      <c r="AT3" s="763"/>
      <c r="AU3" s="763"/>
      <c r="AV3" s="763"/>
      <c r="AW3" s="763"/>
      <c r="AX3" s="763"/>
      <c r="AY3" s="763"/>
      <c r="AZ3" s="763"/>
      <c r="BA3" s="763"/>
      <c r="BB3" s="763"/>
      <c r="BC3" s="763"/>
      <c r="BD3" s="763"/>
      <c r="BE3" s="763"/>
      <c r="BF3" s="763"/>
      <c r="BG3" s="763"/>
      <c r="BH3" s="763"/>
      <c r="BI3" s="763"/>
      <c r="BJ3" s="763"/>
      <c r="BK3" s="763"/>
      <c r="BL3" s="763"/>
      <c r="BM3" s="763"/>
      <c r="BN3" s="763"/>
      <c r="BO3" s="763"/>
      <c r="BP3" s="763"/>
      <c r="BQ3" s="763"/>
      <c r="BR3" s="763"/>
      <c r="BS3" s="763"/>
      <c r="BT3" s="763"/>
      <c r="BU3" s="763"/>
      <c r="BV3" s="763"/>
      <c r="BW3" s="763"/>
      <c r="BX3" s="763"/>
      <c r="BY3" s="763"/>
      <c r="BZ3" s="763"/>
      <c r="CA3" s="763"/>
      <c r="CB3" s="763"/>
      <c r="CC3" s="763"/>
      <c r="CD3" s="763"/>
      <c r="CE3" s="763"/>
      <c r="CF3" s="763"/>
      <c r="CG3" s="763"/>
      <c r="CH3" s="763"/>
      <c r="CI3" s="763"/>
      <c r="CJ3" s="763"/>
      <c r="CK3" s="763"/>
      <c r="CL3" s="763"/>
      <c r="CM3" s="763"/>
      <c r="CN3" s="763"/>
      <c r="CO3" s="763"/>
      <c r="CP3" s="763"/>
      <c r="CQ3" s="763"/>
      <c r="CR3" s="763"/>
      <c r="CS3" s="763"/>
      <c r="CT3" s="763"/>
      <c r="CU3" s="763"/>
      <c r="CV3" s="763"/>
      <c r="CW3" s="763"/>
      <c r="CX3" s="763"/>
      <c r="CY3" s="763"/>
      <c r="CZ3" s="763"/>
      <c r="DA3" s="763"/>
      <c r="DB3" s="763"/>
      <c r="DC3" s="763"/>
      <c r="DD3" s="763"/>
      <c r="DE3" s="763"/>
      <c r="DF3" s="763"/>
      <c r="DG3" s="763"/>
      <c r="DH3" s="763"/>
      <c r="DI3" s="763"/>
      <c r="DJ3" s="763"/>
      <c r="DK3" s="763"/>
      <c r="DL3" s="763"/>
      <c r="DM3" s="763"/>
      <c r="DN3" s="763"/>
      <c r="DO3" s="763"/>
      <c r="DP3" s="763"/>
      <c r="DQ3" s="763"/>
      <c r="DR3" s="763"/>
      <c r="DS3" s="763"/>
      <c r="DT3" s="763"/>
      <c r="DU3" s="763"/>
      <c r="DV3" s="763"/>
      <c r="DW3" s="763"/>
      <c r="DX3" s="763"/>
      <c r="DY3" s="763"/>
      <c r="DZ3" s="763"/>
      <c r="EA3" s="763"/>
    </row>
    <row r="4" spans="1:132" s="899" customFormat="1" ht="11.25" x14ac:dyDescent="0.2">
      <c r="A4" s="426"/>
      <c r="B4" s="536" t="s">
        <v>1153</v>
      </c>
      <c r="C4" s="1304" t="s">
        <v>1644</v>
      </c>
      <c r="D4" s="1304"/>
      <c r="E4" s="682" t="s">
        <v>1154</v>
      </c>
      <c r="F4" s="682"/>
      <c r="G4" s="426"/>
      <c r="H4" s="426"/>
      <c r="I4" s="426"/>
      <c r="J4" s="480"/>
      <c r="K4" s="480"/>
      <c r="L4" s="480"/>
      <c r="M4" s="480"/>
      <c r="N4" s="480"/>
      <c r="O4" s="480"/>
      <c r="P4" s="766"/>
      <c r="Q4" s="480"/>
      <c r="R4" s="763"/>
      <c r="S4" s="763"/>
      <c r="T4" s="763"/>
      <c r="U4" s="763"/>
      <c r="V4" s="763"/>
      <c r="W4" s="763"/>
      <c r="X4" s="763"/>
      <c r="Y4" s="763"/>
      <c r="Z4" s="763"/>
      <c r="AA4" s="763"/>
      <c r="AB4" s="763"/>
      <c r="AC4" s="763"/>
      <c r="AD4" s="763"/>
      <c r="AE4" s="763"/>
      <c r="AF4" s="763"/>
      <c r="AG4" s="763"/>
      <c r="AH4" s="763"/>
      <c r="AI4" s="763"/>
      <c r="AJ4" s="763"/>
      <c r="AK4" s="763"/>
      <c r="AL4" s="763"/>
      <c r="AM4" s="763"/>
      <c r="AN4" s="763"/>
      <c r="AO4" s="763"/>
      <c r="AP4" s="763"/>
      <c r="AQ4" s="763"/>
      <c r="AR4" s="763"/>
      <c r="AS4" s="763"/>
      <c r="AT4" s="763"/>
      <c r="AU4" s="763"/>
      <c r="AV4" s="763"/>
      <c r="AW4" s="763"/>
      <c r="AX4" s="763"/>
      <c r="AY4" s="763"/>
      <c r="AZ4" s="763"/>
      <c r="BA4" s="763"/>
      <c r="BB4" s="763"/>
      <c r="BC4" s="763"/>
      <c r="BD4" s="763"/>
      <c r="BE4" s="763"/>
      <c r="BF4" s="763"/>
      <c r="BG4" s="763"/>
      <c r="BH4" s="763"/>
      <c r="BI4" s="763"/>
      <c r="BJ4" s="763"/>
      <c r="BK4" s="763"/>
      <c r="BL4" s="763"/>
      <c r="BM4" s="763"/>
      <c r="BN4" s="763"/>
      <c r="BO4" s="763"/>
      <c r="BP4" s="763"/>
      <c r="BQ4" s="763"/>
      <c r="BR4" s="763"/>
      <c r="BS4" s="763"/>
      <c r="BT4" s="763"/>
      <c r="BU4" s="763"/>
      <c r="BV4" s="763"/>
      <c r="BW4" s="763"/>
      <c r="BX4" s="763"/>
      <c r="BY4" s="763"/>
      <c r="BZ4" s="763"/>
      <c r="CA4" s="763"/>
      <c r="CB4" s="763"/>
      <c r="CC4" s="763"/>
      <c r="CD4" s="763"/>
      <c r="CE4" s="763"/>
      <c r="CF4" s="763"/>
      <c r="CG4" s="763"/>
      <c r="CH4" s="763"/>
      <c r="CI4" s="763"/>
      <c r="CJ4" s="763"/>
      <c r="CK4" s="763"/>
      <c r="CL4" s="763"/>
      <c r="CM4" s="763"/>
      <c r="CN4" s="763"/>
      <c r="CO4" s="763"/>
      <c r="CP4" s="763"/>
      <c r="CQ4" s="763"/>
      <c r="CR4" s="763"/>
      <c r="CS4" s="763"/>
      <c r="CT4" s="763"/>
      <c r="CU4" s="763"/>
      <c r="CV4" s="763"/>
      <c r="CW4" s="763"/>
      <c r="CX4" s="763"/>
      <c r="CY4" s="763"/>
      <c r="CZ4" s="763"/>
      <c r="DA4" s="763"/>
      <c r="DB4" s="763"/>
      <c r="DC4" s="763"/>
      <c r="DD4" s="763"/>
      <c r="DE4" s="763"/>
      <c r="DF4" s="763"/>
      <c r="DG4" s="763"/>
      <c r="DH4" s="763"/>
      <c r="DI4" s="763"/>
      <c r="DJ4" s="763"/>
      <c r="DK4" s="763"/>
      <c r="DL4" s="763"/>
      <c r="DM4" s="763"/>
      <c r="DN4" s="763"/>
      <c r="DO4" s="763"/>
      <c r="DP4" s="763"/>
      <c r="DQ4" s="763"/>
      <c r="DR4" s="763"/>
      <c r="DS4" s="763"/>
      <c r="DT4" s="763"/>
      <c r="DU4" s="763"/>
      <c r="DV4" s="763"/>
      <c r="DW4" s="763"/>
      <c r="DX4" s="763"/>
      <c r="DY4" s="763"/>
      <c r="DZ4" s="763"/>
      <c r="EA4" s="763"/>
    </row>
    <row r="5" spans="1:132" s="899" customFormat="1" ht="11.25" x14ac:dyDescent="0.2">
      <c r="A5" s="426"/>
      <c r="B5" s="536" t="s">
        <v>1155</v>
      </c>
      <c r="C5" s="426"/>
      <c r="D5" s="426"/>
      <c r="E5" s="426"/>
      <c r="F5" s="426"/>
      <c r="G5" s="426"/>
      <c r="H5" s="426"/>
      <c r="I5" s="426"/>
      <c r="J5" s="480"/>
      <c r="K5" s="480"/>
      <c r="L5" s="480"/>
      <c r="M5" s="480"/>
      <c r="N5" s="480"/>
      <c r="O5" s="480"/>
      <c r="P5" s="766"/>
      <c r="Q5" s="480"/>
      <c r="R5" s="763"/>
      <c r="S5" s="763"/>
      <c r="T5" s="763"/>
      <c r="U5" s="763"/>
      <c r="V5" s="763"/>
      <c r="W5" s="763"/>
      <c r="X5" s="763"/>
      <c r="Y5" s="763"/>
      <c r="Z5" s="763"/>
      <c r="AA5" s="763"/>
      <c r="AB5" s="763"/>
      <c r="AC5" s="763"/>
      <c r="AD5" s="763"/>
      <c r="AE5" s="763"/>
      <c r="AF5" s="763"/>
      <c r="AG5" s="763"/>
      <c r="AH5" s="763"/>
      <c r="AI5" s="763"/>
      <c r="AJ5" s="763"/>
      <c r="AK5" s="763"/>
      <c r="AL5" s="763"/>
      <c r="AM5" s="763"/>
      <c r="AN5" s="763"/>
      <c r="AO5" s="763"/>
      <c r="AP5" s="763"/>
      <c r="AQ5" s="763"/>
      <c r="AR5" s="763"/>
      <c r="AS5" s="763"/>
      <c r="AT5" s="763"/>
      <c r="AU5" s="763"/>
      <c r="AV5" s="763"/>
      <c r="AW5" s="763"/>
      <c r="AX5" s="763"/>
      <c r="AY5" s="763"/>
      <c r="AZ5" s="763"/>
      <c r="BA5" s="763"/>
      <c r="BB5" s="763"/>
      <c r="BC5" s="763"/>
      <c r="BD5" s="763"/>
      <c r="BE5" s="763"/>
      <c r="BF5" s="763"/>
      <c r="BG5" s="763"/>
      <c r="BH5" s="763"/>
      <c r="BI5" s="763"/>
      <c r="BJ5" s="763"/>
      <c r="BK5" s="763"/>
      <c r="BL5" s="763"/>
      <c r="BM5" s="763"/>
      <c r="BN5" s="763"/>
      <c r="BO5" s="763"/>
      <c r="BP5" s="763"/>
      <c r="BQ5" s="763"/>
      <c r="BR5" s="763"/>
      <c r="BS5" s="763"/>
      <c r="BT5" s="763"/>
      <c r="BU5" s="763"/>
      <c r="BV5" s="763"/>
      <c r="BW5" s="763"/>
      <c r="BX5" s="763"/>
      <c r="BY5" s="763"/>
      <c r="BZ5" s="763"/>
      <c r="CA5" s="763"/>
      <c r="CB5" s="763"/>
      <c r="CC5" s="763"/>
      <c r="CD5" s="763"/>
      <c r="CE5" s="763"/>
      <c r="CF5" s="763"/>
      <c r="CG5" s="763"/>
      <c r="CH5" s="763"/>
      <c r="CI5" s="763"/>
      <c r="CJ5" s="763"/>
      <c r="CK5" s="763"/>
      <c r="CL5" s="763"/>
      <c r="CM5" s="763"/>
      <c r="CN5" s="763"/>
      <c r="CO5" s="763"/>
      <c r="CP5" s="763"/>
      <c r="CQ5" s="763"/>
      <c r="CR5" s="763"/>
      <c r="CS5" s="763"/>
      <c r="CT5" s="763"/>
      <c r="CU5" s="763"/>
      <c r="CV5" s="763"/>
      <c r="CW5" s="763"/>
      <c r="CX5" s="763"/>
      <c r="CY5" s="763"/>
      <c r="CZ5" s="763"/>
      <c r="DA5" s="763"/>
      <c r="DB5" s="763"/>
      <c r="DC5" s="763"/>
      <c r="DD5" s="763"/>
      <c r="DE5" s="763"/>
      <c r="DF5" s="763"/>
      <c r="DG5" s="763"/>
      <c r="DH5" s="763"/>
      <c r="DI5" s="763"/>
      <c r="DJ5" s="763"/>
      <c r="DK5" s="763"/>
      <c r="DL5" s="763"/>
      <c r="DM5" s="763"/>
      <c r="DN5" s="763"/>
      <c r="DO5" s="763"/>
      <c r="DP5" s="763"/>
      <c r="DQ5" s="763"/>
      <c r="DR5" s="763"/>
      <c r="DS5" s="763"/>
      <c r="DT5" s="763"/>
      <c r="DU5" s="763"/>
      <c r="DV5" s="763"/>
      <c r="DW5" s="763"/>
      <c r="DX5" s="763"/>
      <c r="DY5" s="763"/>
      <c r="DZ5" s="763"/>
      <c r="EA5" s="763"/>
    </row>
    <row r="6" spans="1:132" s="899" customFormat="1" ht="3" customHeight="1" thickBot="1" x14ac:dyDescent="0.25">
      <c r="A6" s="426"/>
      <c r="B6" s="426"/>
      <c r="C6" s="426"/>
      <c r="D6" s="426"/>
      <c r="E6" s="426"/>
      <c r="F6" s="426"/>
      <c r="G6" s="426"/>
      <c r="H6" s="426"/>
      <c r="I6" s="426"/>
      <c r="J6" s="480"/>
      <c r="K6" s="480"/>
      <c r="L6" s="480"/>
      <c r="M6" s="480"/>
      <c r="N6" s="480"/>
      <c r="O6" s="480"/>
      <c r="P6" s="766"/>
      <c r="Q6" s="480"/>
      <c r="R6" s="763"/>
      <c r="S6" s="763"/>
      <c r="T6" s="763"/>
      <c r="U6" s="763"/>
      <c r="V6" s="763"/>
      <c r="W6" s="763"/>
      <c r="X6" s="763"/>
      <c r="Y6" s="763"/>
      <c r="Z6" s="763"/>
      <c r="AA6" s="763"/>
      <c r="AB6" s="763"/>
      <c r="AC6" s="763"/>
      <c r="AD6" s="763"/>
      <c r="AE6" s="763"/>
      <c r="AF6" s="763"/>
      <c r="AG6" s="763"/>
      <c r="AH6" s="763"/>
      <c r="AI6" s="763"/>
      <c r="AJ6" s="763"/>
      <c r="AK6" s="763"/>
      <c r="AL6" s="763"/>
      <c r="AM6" s="763"/>
      <c r="AN6" s="763"/>
      <c r="AO6" s="763"/>
      <c r="AP6" s="763"/>
      <c r="AQ6" s="763"/>
      <c r="AR6" s="763"/>
      <c r="AS6" s="763"/>
      <c r="AT6" s="763"/>
      <c r="AU6" s="763"/>
      <c r="AV6" s="763"/>
      <c r="AW6" s="763"/>
      <c r="AX6" s="763"/>
      <c r="AY6" s="763"/>
      <c r="AZ6" s="763"/>
      <c r="BA6" s="763"/>
      <c r="BB6" s="763"/>
      <c r="BC6" s="763"/>
      <c r="BD6" s="763"/>
      <c r="BE6" s="763"/>
      <c r="BF6" s="763"/>
      <c r="BG6" s="763"/>
      <c r="BH6" s="763"/>
      <c r="BI6" s="763"/>
      <c r="BJ6" s="763"/>
      <c r="BK6" s="763"/>
      <c r="BL6" s="763"/>
      <c r="BM6" s="763"/>
      <c r="BN6" s="763"/>
      <c r="BO6" s="763"/>
      <c r="BP6" s="763"/>
      <c r="BQ6" s="763"/>
      <c r="BR6" s="763"/>
      <c r="BS6" s="763"/>
      <c r="BT6" s="763"/>
      <c r="BU6" s="763"/>
      <c r="BV6" s="763"/>
      <c r="BW6" s="763"/>
      <c r="BX6" s="763"/>
      <c r="BY6" s="763"/>
      <c r="BZ6" s="763"/>
      <c r="CA6" s="763"/>
      <c r="CB6" s="763"/>
      <c r="CC6" s="763"/>
      <c r="CD6" s="763"/>
      <c r="CE6" s="763"/>
      <c r="CF6" s="763"/>
      <c r="CG6" s="763"/>
      <c r="CH6" s="763"/>
      <c r="CI6" s="763"/>
      <c r="CJ6" s="763"/>
      <c r="CK6" s="763"/>
      <c r="CL6" s="763"/>
      <c r="CM6" s="763"/>
      <c r="CN6" s="763"/>
      <c r="CO6" s="763"/>
      <c r="CP6" s="763"/>
      <c r="CQ6" s="763"/>
      <c r="CR6" s="763"/>
      <c r="CS6" s="763"/>
      <c r="CT6" s="763"/>
      <c r="CU6" s="763"/>
      <c r="CV6" s="763"/>
      <c r="CW6" s="763"/>
      <c r="CX6" s="763"/>
      <c r="CY6" s="763"/>
      <c r="CZ6" s="763"/>
      <c r="DA6" s="763"/>
      <c r="DB6" s="763"/>
      <c r="DC6" s="763"/>
      <c r="DD6" s="763"/>
      <c r="DE6" s="763"/>
      <c r="DF6" s="763"/>
      <c r="DG6" s="763"/>
      <c r="DH6" s="763"/>
      <c r="DI6" s="763"/>
      <c r="DJ6" s="763"/>
      <c r="DK6" s="763"/>
      <c r="DL6" s="763"/>
      <c r="DM6" s="763"/>
      <c r="DN6" s="763"/>
      <c r="DO6" s="763"/>
      <c r="DP6" s="763"/>
      <c r="DQ6" s="763"/>
      <c r="DR6" s="763"/>
      <c r="DS6" s="763"/>
      <c r="DT6" s="763"/>
      <c r="DU6" s="763"/>
      <c r="DV6" s="763"/>
      <c r="DW6" s="763"/>
      <c r="DX6" s="763"/>
      <c r="DY6" s="763"/>
      <c r="DZ6" s="763"/>
      <c r="EA6" s="763"/>
    </row>
    <row r="7" spans="1:132" s="899" customFormat="1" ht="14.1" customHeight="1" x14ac:dyDescent="0.2">
      <c r="A7" s="426"/>
      <c r="B7" s="1241" t="s">
        <v>1156</v>
      </c>
      <c r="C7" s="1211" t="s">
        <v>1157</v>
      </c>
      <c r="D7" s="1293"/>
      <c r="E7" s="1212"/>
      <c r="F7" s="683"/>
      <c r="G7" s="1229" t="s">
        <v>257</v>
      </c>
      <c r="H7" s="1229"/>
      <c r="I7" s="1307" t="s">
        <v>1158</v>
      </c>
      <c r="J7" s="1307"/>
      <c r="K7" s="1307"/>
      <c r="L7" s="1307"/>
      <c r="M7" s="1307"/>
      <c r="N7" s="1307"/>
      <c r="O7" s="1269" t="s">
        <v>1159</v>
      </c>
      <c r="P7" s="1270" t="s">
        <v>1160</v>
      </c>
      <c r="Q7" s="1305"/>
      <c r="R7" s="1013"/>
      <c r="S7" s="1013"/>
      <c r="T7" s="1013"/>
      <c r="U7" s="1013"/>
      <c r="V7" s="1309" t="s">
        <v>1008</v>
      </c>
      <c r="W7" s="1299" t="s">
        <v>1009</v>
      </c>
      <c r="X7" s="1300"/>
      <c r="Y7" s="1296" t="s">
        <v>1010</v>
      </c>
      <c r="Z7" s="1296" t="s">
        <v>1011</v>
      </c>
      <c r="AA7" s="1296" t="s">
        <v>1012</v>
      </c>
      <c r="AB7" s="1296" t="s">
        <v>1011</v>
      </c>
      <c r="AC7" s="1296" t="s">
        <v>1013</v>
      </c>
      <c r="AD7" s="1296" t="s">
        <v>1011</v>
      </c>
      <c r="AE7" s="1296" t="s">
        <v>1014</v>
      </c>
      <c r="AF7" s="763"/>
      <c r="AG7" s="763"/>
      <c r="AH7" s="763"/>
      <c r="AI7" s="763"/>
      <c r="AJ7" s="763"/>
      <c r="AK7" s="763"/>
      <c r="AL7" s="763"/>
      <c r="AM7" s="763"/>
      <c r="AN7" s="763"/>
      <c r="AO7" s="763"/>
      <c r="AP7" s="763"/>
      <c r="AQ7" s="763"/>
      <c r="AR7" s="763"/>
      <c r="AS7" s="763"/>
      <c r="AT7" s="763"/>
      <c r="AU7" s="763"/>
      <c r="AV7" s="763"/>
      <c r="AW7" s="763"/>
      <c r="AX7" s="763"/>
      <c r="AY7" s="763"/>
      <c r="AZ7" s="763"/>
      <c r="BA7" s="763"/>
      <c r="BB7" s="763"/>
      <c r="BC7" s="763"/>
      <c r="BD7" s="763"/>
      <c r="BE7" s="763"/>
      <c r="BF7" s="763"/>
      <c r="BG7" s="763"/>
      <c r="BH7" s="763"/>
      <c r="BI7" s="763"/>
      <c r="BJ7" s="763"/>
      <c r="BK7" s="763"/>
      <c r="BL7" s="763"/>
      <c r="BM7" s="763"/>
      <c r="BN7" s="763"/>
      <c r="BO7" s="763"/>
      <c r="BP7" s="763"/>
      <c r="BQ7" s="763"/>
      <c r="BR7" s="763"/>
      <c r="BS7" s="763"/>
      <c r="BT7" s="763"/>
      <c r="BU7" s="763"/>
      <c r="BV7" s="763"/>
      <c r="BW7" s="763"/>
      <c r="BX7" s="763"/>
      <c r="BY7" s="763"/>
      <c r="BZ7" s="763"/>
      <c r="CA7" s="763"/>
      <c r="CB7" s="763"/>
      <c r="CC7" s="763"/>
      <c r="CD7" s="763"/>
      <c r="CE7" s="763"/>
      <c r="CF7" s="763"/>
      <c r="CG7" s="763"/>
      <c r="CH7" s="763"/>
      <c r="CI7" s="763"/>
      <c r="CJ7" s="763"/>
      <c r="CK7" s="763"/>
      <c r="CL7" s="763"/>
      <c r="CM7" s="763"/>
      <c r="CN7" s="763"/>
      <c r="CO7" s="763"/>
      <c r="CP7" s="763"/>
      <c r="CQ7" s="763"/>
      <c r="CR7" s="763"/>
      <c r="CS7" s="763"/>
      <c r="CT7" s="763"/>
      <c r="CU7" s="763"/>
      <c r="CV7" s="763"/>
      <c r="CW7" s="763"/>
      <c r="CX7" s="763"/>
      <c r="CY7" s="763"/>
      <c r="CZ7" s="763"/>
      <c r="DA7" s="763"/>
      <c r="DB7" s="763"/>
      <c r="DC7" s="763"/>
      <c r="DD7" s="763"/>
      <c r="DE7" s="763"/>
      <c r="DF7" s="763"/>
      <c r="DG7" s="763"/>
      <c r="DH7" s="763"/>
      <c r="DI7" s="763"/>
      <c r="DJ7" s="763"/>
      <c r="DK7" s="763"/>
      <c r="DL7" s="763"/>
      <c r="DM7" s="763"/>
      <c r="DN7" s="763"/>
      <c r="DO7" s="763"/>
      <c r="DP7" s="763"/>
      <c r="DQ7" s="763"/>
      <c r="DR7" s="763"/>
      <c r="DS7" s="763"/>
      <c r="DT7" s="763"/>
      <c r="DU7" s="763"/>
      <c r="DV7" s="763"/>
      <c r="DW7" s="763"/>
      <c r="DX7" s="763"/>
      <c r="DY7" s="763"/>
      <c r="DZ7" s="763"/>
      <c r="EA7" s="763"/>
      <c r="EB7" s="763"/>
    </row>
    <row r="8" spans="1:132" s="899" customFormat="1" ht="27.95" customHeight="1" x14ac:dyDescent="0.2">
      <c r="A8" s="426"/>
      <c r="B8" s="1242"/>
      <c r="C8" s="1312" t="s">
        <v>1161</v>
      </c>
      <c r="D8" s="1314" t="s">
        <v>1162</v>
      </c>
      <c r="E8" s="1315"/>
      <c r="F8" s="684"/>
      <c r="G8" s="1294"/>
      <c r="H8" s="1294"/>
      <c r="I8" s="1254" t="s">
        <v>1163</v>
      </c>
      <c r="J8" s="1254"/>
      <c r="K8" s="1318" t="s">
        <v>1164</v>
      </c>
      <c r="L8" s="1253"/>
      <c r="M8" s="1318" t="s">
        <v>1411</v>
      </c>
      <c r="N8" s="1253"/>
      <c r="O8" s="1256"/>
      <c r="P8" s="1274"/>
      <c r="Q8" s="1306"/>
      <c r="R8" s="1013"/>
      <c r="S8" s="1013"/>
      <c r="T8" s="1013"/>
      <c r="U8" s="1013"/>
      <c r="V8" s="1310"/>
      <c r="W8" s="1301"/>
      <c r="X8" s="1302"/>
      <c r="Y8" s="1297"/>
      <c r="Z8" s="1297"/>
      <c r="AA8" s="1297"/>
      <c r="AB8" s="1297"/>
      <c r="AC8" s="1297"/>
      <c r="AD8" s="1297"/>
      <c r="AE8" s="1297"/>
      <c r="AF8" s="763"/>
      <c r="AG8" s="763"/>
      <c r="AH8" s="763"/>
      <c r="AI8" s="763"/>
      <c r="AJ8" s="763"/>
      <c r="AK8" s="763"/>
      <c r="AL8" s="763"/>
      <c r="AM8" s="763"/>
      <c r="AN8" s="763"/>
      <c r="AO8" s="763"/>
      <c r="AP8" s="763"/>
      <c r="AQ8" s="763"/>
      <c r="AR8" s="763"/>
      <c r="AS8" s="763"/>
      <c r="AT8" s="763"/>
      <c r="AU8" s="763"/>
      <c r="AV8" s="763"/>
      <c r="AW8" s="763"/>
      <c r="AX8" s="763"/>
      <c r="AY8" s="763"/>
      <c r="AZ8" s="763"/>
      <c r="BA8" s="763"/>
      <c r="BB8" s="763"/>
      <c r="BC8" s="763"/>
      <c r="BD8" s="763"/>
      <c r="BE8" s="763"/>
      <c r="BF8" s="763"/>
      <c r="BG8" s="763"/>
      <c r="BH8" s="763"/>
      <c r="BI8" s="763"/>
      <c r="BJ8" s="763"/>
      <c r="BK8" s="763"/>
      <c r="BL8" s="763"/>
      <c r="BM8" s="763"/>
      <c r="BN8" s="763"/>
      <c r="BO8" s="763"/>
      <c r="BP8" s="763"/>
      <c r="BQ8" s="763"/>
      <c r="BR8" s="763"/>
      <c r="BS8" s="763"/>
      <c r="BT8" s="763"/>
      <c r="BU8" s="763"/>
      <c r="BV8" s="763"/>
      <c r="BW8" s="763"/>
      <c r="BX8" s="763"/>
      <c r="BY8" s="763"/>
      <c r="BZ8" s="763"/>
      <c r="CA8" s="763"/>
      <c r="CB8" s="763"/>
      <c r="CC8" s="763"/>
      <c r="CD8" s="763"/>
      <c r="CE8" s="763"/>
      <c r="CF8" s="763"/>
      <c r="CG8" s="763"/>
      <c r="CH8" s="763"/>
      <c r="CI8" s="763"/>
      <c r="CJ8" s="763"/>
      <c r="CK8" s="763"/>
      <c r="CL8" s="763"/>
      <c r="CM8" s="763"/>
      <c r="CN8" s="763"/>
      <c r="CO8" s="763"/>
      <c r="CP8" s="763"/>
      <c r="CQ8" s="763"/>
      <c r="CR8" s="763"/>
      <c r="CS8" s="763"/>
      <c r="CT8" s="763"/>
      <c r="CU8" s="763"/>
      <c r="CV8" s="763"/>
      <c r="CW8" s="763"/>
      <c r="CX8" s="763"/>
      <c r="CY8" s="763"/>
      <c r="CZ8" s="763"/>
      <c r="DA8" s="763"/>
      <c r="DB8" s="763"/>
      <c r="DC8" s="763"/>
      <c r="DD8" s="763"/>
      <c r="DE8" s="763"/>
      <c r="DF8" s="763"/>
      <c r="DG8" s="763"/>
      <c r="DH8" s="763"/>
      <c r="DI8" s="763"/>
      <c r="DJ8" s="763"/>
      <c r="DK8" s="763"/>
      <c r="DL8" s="763"/>
      <c r="DM8" s="763"/>
      <c r="DN8" s="763"/>
      <c r="DO8" s="763"/>
      <c r="DP8" s="763"/>
      <c r="DQ8" s="763"/>
      <c r="DR8" s="763"/>
      <c r="DS8" s="763"/>
      <c r="DT8" s="763"/>
      <c r="DU8" s="763"/>
      <c r="DV8" s="763"/>
      <c r="DW8" s="763"/>
      <c r="DX8" s="763"/>
      <c r="DY8" s="763"/>
      <c r="DZ8" s="763"/>
      <c r="EA8" s="763"/>
      <c r="EB8" s="763"/>
    </row>
    <row r="9" spans="1:132" s="899" customFormat="1" ht="14.1" customHeight="1" thickBot="1" x14ac:dyDescent="0.25">
      <c r="A9" s="426"/>
      <c r="B9" s="1292"/>
      <c r="C9" s="1313"/>
      <c r="D9" s="1316"/>
      <c r="E9" s="1317"/>
      <c r="F9" s="687"/>
      <c r="G9" s="1295"/>
      <c r="H9" s="1295"/>
      <c r="I9" s="688" t="s">
        <v>1025</v>
      </c>
      <c r="J9" s="688" t="s">
        <v>1027</v>
      </c>
      <c r="K9" s="689" t="s">
        <v>1025</v>
      </c>
      <c r="L9" s="689" t="s">
        <v>1027</v>
      </c>
      <c r="M9" s="689" t="s">
        <v>1025</v>
      </c>
      <c r="N9" s="689" t="s">
        <v>1027</v>
      </c>
      <c r="O9" s="1308"/>
      <c r="P9" s="689" t="s">
        <v>1025</v>
      </c>
      <c r="Q9" s="690" t="s">
        <v>1027</v>
      </c>
      <c r="R9" s="1014"/>
      <c r="S9" s="1014"/>
      <c r="T9" s="1014"/>
      <c r="U9" s="1014"/>
      <c r="V9" s="1311"/>
      <c r="W9" s="1015" t="s">
        <v>1025</v>
      </c>
      <c r="X9" s="1015" t="s">
        <v>1027</v>
      </c>
      <c r="Y9" s="1298"/>
      <c r="Z9" s="1298"/>
      <c r="AA9" s="1298"/>
      <c r="AB9" s="1298"/>
      <c r="AC9" s="1298"/>
      <c r="AD9" s="1298"/>
      <c r="AE9" s="1298"/>
      <c r="AF9" s="763"/>
      <c r="AG9" s="763"/>
      <c r="AH9" s="763"/>
      <c r="AI9" s="763"/>
      <c r="AJ9" s="763"/>
      <c r="AK9" s="763"/>
      <c r="AL9" s="763"/>
      <c r="AM9" s="763"/>
      <c r="AN9" s="763"/>
      <c r="AO9" s="763"/>
      <c r="AP9" s="763"/>
      <c r="AQ9" s="763"/>
      <c r="AR9" s="763"/>
      <c r="AS9" s="763"/>
      <c r="AT9" s="763"/>
      <c r="AU9" s="763"/>
      <c r="AV9" s="763"/>
      <c r="AW9" s="763"/>
      <c r="AX9" s="763"/>
      <c r="AY9" s="763"/>
      <c r="AZ9" s="763"/>
      <c r="BA9" s="763"/>
      <c r="BB9" s="763"/>
      <c r="BC9" s="763"/>
      <c r="BD9" s="763"/>
      <c r="BE9" s="763"/>
      <c r="BF9" s="763"/>
      <c r="BG9" s="763"/>
      <c r="BH9" s="763"/>
      <c r="BI9" s="763"/>
      <c r="BJ9" s="763"/>
      <c r="BK9" s="763"/>
      <c r="BL9" s="763"/>
      <c r="BM9" s="763"/>
      <c r="BN9" s="763"/>
      <c r="BO9" s="763"/>
      <c r="BP9" s="763"/>
      <c r="BQ9" s="763"/>
      <c r="BR9" s="763"/>
      <c r="BS9" s="763"/>
      <c r="BT9" s="763"/>
      <c r="BU9" s="763"/>
      <c r="BV9" s="763"/>
      <c r="BW9" s="763"/>
      <c r="BX9" s="763"/>
      <c r="BY9" s="763"/>
      <c r="BZ9" s="763"/>
      <c r="CA9" s="763"/>
      <c r="CB9" s="763"/>
      <c r="CC9" s="763"/>
      <c r="CD9" s="763"/>
      <c r="CE9" s="763"/>
      <c r="CF9" s="763"/>
      <c r="CG9" s="763"/>
      <c r="CH9" s="763"/>
      <c r="CI9" s="763"/>
      <c r="CJ9" s="763"/>
      <c r="CK9" s="763"/>
      <c r="CL9" s="763"/>
      <c r="CM9" s="763"/>
      <c r="CN9" s="763"/>
      <c r="CO9" s="763"/>
      <c r="CP9" s="763"/>
      <c r="CQ9" s="763"/>
      <c r="CR9" s="763"/>
      <c r="CS9" s="763"/>
      <c r="CT9" s="763"/>
      <c r="CU9" s="763"/>
      <c r="CV9" s="763"/>
      <c r="CW9" s="763"/>
      <c r="CX9" s="763"/>
      <c r="CY9" s="763"/>
      <c r="CZ9" s="763"/>
      <c r="DA9" s="763"/>
      <c r="DB9" s="763"/>
      <c r="DC9" s="763"/>
      <c r="DD9" s="763"/>
      <c r="DE9" s="763"/>
      <c r="DF9" s="763"/>
      <c r="DG9" s="763"/>
      <c r="DH9" s="763"/>
      <c r="DI9" s="763"/>
      <c r="DJ9" s="763"/>
      <c r="DK9" s="763"/>
      <c r="DL9" s="763"/>
      <c r="DM9" s="763"/>
      <c r="DN9" s="763"/>
      <c r="DO9" s="763"/>
      <c r="DP9" s="763"/>
      <c r="DQ9" s="763"/>
      <c r="DR9" s="763"/>
      <c r="DS9" s="763"/>
      <c r="DT9" s="763"/>
      <c r="DU9" s="763"/>
      <c r="DV9" s="763"/>
      <c r="DW9" s="763"/>
      <c r="DX9" s="763"/>
      <c r="DY9" s="763"/>
      <c r="DZ9" s="763"/>
      <c r="EA9" s="763"/>
      <c r="EB9" s="763"/>
    </row>
    <row r="10" spans="1:132" s="899" customFormat="1" ht="14.1" customHeight="1" x14ac:dyDescent="0.2">
      <c r="A10" s="426"/>
      <c r="B10" s="1319">
        <v>1</v>
      </c>
      <c r="C10" s="691" t="s">
        <v>1165</v>
      </c>
      <c r="D10" s="1321" t="s">
        <v>1165</v>
      </c>
      <c r="E10" s="1322"/>
      <c r="F10" s="767"/>
      <c r="G10" s="693" t="s">
        <v>1166</v>
      </c>
      <c r="H10" s="693"/>
      <c r="I10" s="694"/>
      <c r="J10" s="694"/>
      <c r="K10" s="695"/>
      <c r="L10" s="696"/>
      <c r="M10" s="697">
        <f>I10+K10</f>
        <v>0</v>
      </c>
      <c r="N10" s="697">
        <f>J10+L10</f>
        <v>0</v>
      </c>
      <c r="O10" s="698">
        <v>0</v>
      </c>
      <c r="P10" s="699">
        <f>M10*O10</f>
        <v>0</v>
      </c>
      <c r="Q10" s="700">
        <f>N10*O10</f>
        <v>0</v>
      </c>
      <c r="R10" s="1016"/>
      <c r="S10" s="1016"/>
      <c r="T10" s="1016"/>
      <c r="U10" s="1016"/>
      <c r="V10" s="1017">
        <f>IF(P10&lt;=Q10,P10*10%,Q10*10%)</f>
        <v>0</v>
      </c>
      <c r="W10" s="1018">
        <f>IF(P10&gt;Q10,P10-Q10,0)</f>
        <v>0</v>
      </c>
      <c r="X10" s="1018">
        <f>IF(Q10&gt;P10,Q10-P10,0)</f>
        <v>0</v>
      </c>
      <c r="Y10" s="1323">
        <f>IF(SUM(W10:W13)&lt;SUM(X10:X13),SUM(W10:W13)*40%,SUM(X10:X13)*40%)</f>
        <v>0</v>
      </c>
      <c r="Z10" s="1323">
        <f>(SUM(W10:W13)-SUM(X10:X13))</f>
        <v>0</v>
      </c>
      <c r="AA10" s="1323">
        <f>(IF(Z10=0,0,IF(Z14=0,0,IF(Z10&gt;0,IF(Z14&lt;0,IF(Z10&lt;ABS(Z14),Z10*40%,ABS(Z14)*40%),0),IF(Z14&gt;0,IF(ABS(Z10)&lt;Z14,ABS(Z10)*40%,Z14*40%),0)))))</f>
        <v>0</v>
      </c>
      <c r="AB10" s="1323">
        <f>IF(AA10=0,Z10,IF(ABS(Z10)&lt;ABS(Z14),0,Z10+Z14))</f>
        <v>0</v>
      </c>
      <c r="AC10" s="1337"/>
      <c r="AD10" s="1323">
        <f>AB10</f>
        <v>0</v>
      </c>
      <c r="AE10" s="1330">
        <f>(IF(AD10=0,0,IF(AD17=0,0,IF(AD10&gt;0,IF(AD17&lt;0,IF(AD10&lt;ABS(AD17),AD10*100%,ABS(AD17)*100%),0),IF(AD17&gt;0,IF(ABS(AD10)&lt;AD17,ABS(AD10)*100%,AD17*100%),0)))))</f>
        <v>0</v>
      </c>
      <c r="AF10" s="763"/>
      <c r="AG10" s="763"/>
      <c r="AH10" s="763"/>
      <c r="AI10" s="763"/>
      <c r="AJ10" s="763"/>
      <c r="AK10" s="763"/>
      <c r="AL10" s="763"/>
      <c r="AM10" s="763"/>
      <c r="AN10" s="763"/>
      <c r="AO10" s="763"/>
      <c r="AP10" s="763"/>
      <c r="AQ10" s="763"/>
      <c r="AR10" s="763"/>
      <c r="AS10" s="763"/>
      <c r="AT10" s="763"/>
      <c r="AU10" s="763"/>
      <c r="AV10" s="763"/>
      <c r="AW10" s="763"/>
      <c r="AX10" s="763"/>
      <c r="AY10" s="763"/>
      <c r="AZ10" s="763"/>
      <c r="BA10" s="763"/>
      <c r="BB10" s="763"/>
      <c r="BC10" s="763"/>
      <c r="BD10" s="763"/>
      <c r="BE10" s="763"/>
      <c r="BF10" s="763"/>
      <c r="BG10" s="763"/>
      <c r="BH10" s="763"/>
      <c r="BI10" s="763"/>
      <c r="BJ10" s="763"/>
      <c r="BK10" s="763"/>
      <c r="BL10" s="763"/>
      <c r="BM10" s="763"/>
      <c r="BN10" s="763"/>
      <c r="BO10" s="763"/>
      <c r="BP10" s="763"/>
      <c r="BQ10" s="763"/>
      <c r="BR10" s="763"/>
      <c r="BS10" s="763"/>
      <c r="BT10" s="763"/>
      <c r="BU10" s="763"/>
      <c r="BV10" s="763"/>
      <c r="BW10" s="763"/>
      <c r="BX10" s="763"/>
      <c r="BY10" s="763"/>
      <c r="BZ10" s="763"/>
      <c r="CA10" s="763"/>
      <c r="CB10" s="763"/>
      <c r="CC10" s="763"/>
      <c r="CD10" s="763"/>
      <c r="CE10" s="763"/>
      <c r="CF10" s="763"/>
      <c r="CG10" s="763"/>
      <c r="CH10" s="763"/>
      <c r="CI10" s="763"/>
      <c r="CJ10" s="763"/>
      <c r="CK10" s="763"/>
      <c r="CL10" s="763"/>
      <c r="CM10" s="763"/>
      <c r="CN10" s="763"/>
      <c r="CO10" s="763"/>
      <c r="CP10" s="763"/>
      <c r="CQ10" s="763"/>
      <c r="CR10" s="763"/>
      <c r="CS10" s="763"/>
      <c r="CT10" s="763"/>
      <c r="CU10" s="763"/>
      <c r="CV10" s="763"/>
      <c r="CW10" s="763"/>
      <c r="CX10" s="763"/>
      <c r="CY10" s="763"/>
      <c r="CZ10" s="763"/>
      <c r="DA10" s="763"/>
      <c r="DB10" s="763"/>
      <c r="DC10" s="763"/>
      <c r="DD10" s="763"/>
      <c r="DE10" s="763"/>
      <c r="DF10" s="763"/>
      <c r="DG10" s="763"/>
      <c r="DH10" s="763"/>
      <c r="DI10" s="763"/>
      <c r="DJ10" s="763"/>
      <c r="DK10" s="763"/>
      <c r="DL10" s="763"/>
      <c r="DM10" s="763"/>
      <c r="DN10" s="763"/>
      <c r="DO10" s="763"/>
      <c r="DP10" s="763"/>
      <c r="DQ10" s="763"/>
      <c r="DR10" s="763"/>
      <c r="DS10" s="763"/>
      <c r="DT10" s="763"/>
      <c r="DU10" s="763"/>
      <c r="DV10" s="763"/>
      <c r="DW10" s="763"/>
      <c r="DX10" s="763"/>
      <c r="DY10" s="763"/>
      <c r="DZ10" s="763"/>
      <c r="EA10" s="763"/>
      <c r="EB10" s="763"/>
    </row>
    <row r="11" spans="1:132" s="899" customFormat="1" ht="14.1" customHeight="1" x14ac:dyDescent="0.2">
      <c r="A11" s="426"/>
      <c r="B11" s="1320"/>
      <c r="C11" s="451" t="s">
        <v>1167</v>
      </c>
      <c r="D11" s="1333" t="s">
        <v>1167</v>
      </c>
      <c r="E11" s="1334"/>
      <c r="F11" s="774"/>
      <c r="G11" s="702" t="s">
        <v>1168</v>
      </c>
      <c r="H11" s="702"/>
      <c r="I11" s="703"/>
      <c r="J11" s="703"/>
      <c r="K11" s="704"/>
      <c r="L11" s="705"/>
      <c r="M11" s="706">
        <f>I11+K11</f>
        <v>0</v>
      </c>
      <c r="N11" s="706">
        <f>J11+L11</f>
        <v>0</v>
      </c>
      <c r="O11" s="707">
        <v>2E-3</v>
      </c>
      <c r="P11" s="708">
        <f>M11*O11</f>
        <v>0</v>
      </c>
      <c r="Q11" s="709">
        <f>N11*O11</f>
        <v>0</v>
      </c>
      <c r="R11" s="1016"/>
      <c r="S11" s="1016"/>
      <c r="T11" s="1016"/>
      <c r="U11" s="1016"/>
      <c r="V11" s="1017">
        <f t="shared" ref="V11:V24" si="0">IF(P11&lt;=Q11,P11*10%,Q11*10%)</f>
        <v>0</v>
      </c>
      <c r="W11" s="1018">
        <f t="shared" ref="W11:W24" si="1">IF(P11&gt;Q11,P11-Q11,0)</f>
        <v>0</v>
      </c>
      <c r="X11" s="1018">
        <f t="shared" ref="X11:X23" si="2">IF(Q11&gt;P11,Q11-P11,0)</f>
        <v>0</v>
      </c>
      <c r="Y11" s="1324"/>
      <c r="Z11" s="1324"/>
      <c r="AA11" s="1324"/>
      <c r="AB11" s="1324"/>
      <c r="AC11" s="1338"/>
      <c r="AD11" s="1324"/>
      <c r="AE11" s="1331"/>
      <c r="AF11" s="763"/>
      <c r="AG11" s="763"/>
      <c r="AH11" s="763"/>
      <c r="AI11" s="763"/>
      <c r="AJ11" s="763"/>
      <c r="AK11" s="763"/>
      <c r="AL11" s="763"/>
      <c r="AM11" s="763"/>
      <c r="AN11" s="763"/>
      <c r="AO11" s="763"/>
      <c r="AP11" s="763"/>
      <c r="AQ11" s="763"/>
      <c r="AR11" s="763"/>
      <c r="AS11" s="763"/>
      <c r="AT11" s="763"/>
      <c r="AU11" s="763"/>
      <c r="AV11" s="763"/>
      <c r="AW11" s="763"/>
      <c r="AX11" s="763"/>
      <c r="AY11" s="763"/>
      <c r="AZ11" s="763"/>
      <c r="BA11" s="763"/>
      <c r="BB11" s="763"/>
      <c r="BC11" s="763"/>
      <c r="BD11" s="763"/>
      <c r="BE11" s="763"/>
      <c r="BF11" s="763"/>
      <c r="BG11" s="763"/>
      <c r="BH11" s="763"/>
      <c r="BI11" s="763"/>
      <c r="BJ11" s="763"/>
      <c r="BK11" s="763"/>
      <c r="BL11" s="763"/>
      <c r="BM11" s="763"/>
      <c r="BN11" s="763"/>
      <c r="BO11" s="763"/>
      <c r="BP11" s="763"/>
      <c r="BQ11" s="763"/>
      <c r="BR11" s="763"/>
      <c r="BS11" s="763"/>
      <c r="BT11" s="763"/>
      <c r="BU11" s="763"/>
      <c r="BV11" s="763"/>
      <c r="BW11" s="763"/>
      <c r="BX11" s="763"/>
      <c r="BY11" s="763"/>
      <c r="BZ11" s="763"/>
      <c r="CA11" s="763"/>
      <c r="CB11" s="763"/>
      <c r="CC11" s="763"/>
      <c r="CD11" s="763"/>
      <c r="CE11" s="763"/>
      <c r="CF11" s="763"/>
      <c r="CG11" s="763"/>
      <c r="CH11" s="763"/>
      <c r="CI11" s="763"/>
      <c r="CJ11" s="763"/>
      <c r="CK11" s="763"/>
      <c r="CL11" s="763"/>
      <c r="CM11" s="763"/>
      <c r="CN11" s="763"/>
      <c r="CO11" s="763"/>
      <c r="CP11" s="763"/>
      <c r="CQ11" s="763"/>
      <c r="CR11" s="763"/>
      <c r="CS11" s="763"/>
      <c r="CT11" s="763"/>
      <c r="CU11" s="763"/>
      <c r="CV11" s="763"/>
      <c r="CW11" s="763"/>
      <c r="CX11" s="763"/>
      <c r="CY11" s="763"/>
      <c r="CZ11" s="763"/>
      <c r="DA11" s="763"/>
      <c r="DB11" s="763"/>
      <c r="DC11" s="763"/>
      <c r="DD11" s="763"/>
      <c r="DE11" s="763"/>
      <c r="DF11" s="763"/>
      <c r="DG11" s="763"/>
      <c r="DH11" s="763"/>
      <c r="DI11" s="763"/>
      <c r="DJ11" s="763"/>
      <c r="DK11" s="763"/>
      <c r="DL11" s="763"/>
      <c r="DM11" s="763"/>
      <c r="DN11" s="763"/>
      <c r="DO11" s="763"/>
      <c r="DP11" s="763"/>
      <c r="DQ11" s="763"/>
      <c r="DR11" s="763"/>
      <c r="DS11" s="763"/>
      <c r="DT11" s="763"/>
      <c r="DU11" s="763"/>
      <c r="DV11" s="763"/>
      <c r="DW11" s="763"/>
      <c r="DX11" s="763"/>
      <c r="DY11" s="763"/>
      <c r="DZ11" s="763"/>
      <c r="EA11" s="763"/>
      <c r="EB11" s="763"/>
    </row>
    <row r="12" spans="1:132" s="899" customFormat="1" ht="14.1" customHeight="1" x14ac:dyDescent="0.2">
      <c r="A12" s="426"/>
      <c r="B12" s="1320"/>
      <c r="C12" s="710" t="s">
        <v>1169</v>
      </c>
      <c r="D12" s="1333" t="s">
        <v>1169</v>
      </c>
      <c r="E12" s="1334"/>
      <c r="F12" s="701"/>
      <c r="G12" s="702" t="s">
        <v>1170</v>
      </c>
      <c r="H12" s="702"/>
      <c r="I12" s="703"/>
      <c r="J12" s="703"/>
      <c r="K12" s="703"/>
      <c r="L12" s="711"/>
      <c r="M12" s="706">
        <f>I12+K12</f>
        <v>0</v>
      </c>
      <c r="N12" s="706">
        <f t="shared" ref="N12:N24" si="3">J12+L12</f>
        <v>0</v>
      </c>
      <c r="O12" s="712">
        <v>4.0000000000000001E-3</v>
      </c>
      <c r="P12" s="708">
        <f t="shared" ref="P12:P24" si="4">M12*O12</f>
        <v>0</v>
      </c>
      <c r="Q12" s="709">
        <f t="shared" ref="Q12:Q24" si="5">N12*O12</f>
        <v>0</v>
      </c>
      <c r="R12" s="1016"/>
      <c r="S12" s="1016"/>
      <c r="T12" s="1016"/>
      <c r="U12" s="1016"/>
      <c r="V12" s="1017">
        <f t="shared" si="0"/>
        <v>0</v>
      </c>
      <c r="W12" s="1019">
        <f t="shared" si="1"/>
        <v>0</v>
      </c>
      <c r="X12" s="1018">
        <f t="shared" si="2"/>
        <v>0</v>
      </c>
      <c r="Y12" s="1324"/>
      <c r="Z12" s="1324"/>
      <c r="AA12" s="1324"/>
      <c r="AB12" s="1324"/>
      <c r="AC12" s="1338"/>
      <c r="AD12" s="1324"/>
      <c r="AE12" s="1331"/>
      <c r="AF12" s="763"/>
      <c r="AG12" s="763"/>
      <c r="AH12" s="763"/>
      <c r="AI12" s="763"/>
      <c r="AJ12" s="763"/>
      <c r="AK12" s="763"/>
      <c r="AL12" s="763"/>
      <c r="AM12" s="763"/>
      <c r="AN12" s="763"/>
      <c r="AO12" s="763"/>
      <c r="AP12" s="763"/>
      <c r="AQ12" s="763"/>
      <c r="AR12" s="763"/>
      <c r="AS12" s="763"/>
      <c r="AT12" s="763"/>
      <c r="AU12" s="763"/>
      <c r="AV12" s="763"/>
      <c r="AW12" s="763"/>
      <c r="AX12" s="763"/>
      <c r="AY12" s="763"/>
      <c r="AZ12" s="763"/>
      <c r="BA12" s="763"/>
      <c r="BB12" s="763"/>
      <c r="BC12" s="763"/>
      <c r="BD12" s="763"/>
      <c r="BE12" s="763"/>
      <c r="BF12" s="763"/>
      <c r="BG12" s="763"/>
      <c r="BH12" s="763"/>
      <c r="BI12" s="763"/>
      <c r="BJ12" s="763"/>
      <c r="BK12" s="763"/>
      <c r="BL12" s="763"/>
      <c r="BM12" s="763"/>
      <c r="BN12" s="763"/>
      <c r="BO12" s="763"/>
      <c r="BP12" s="763"/>
      <c r="BQ12" s="763"/>
      <c r="BR12" s="763"/>
      <c r="BS12" s="763"/>
      <c r="BT12" s="763"/>
      <c r="BU12" s="763"/>
      <c r="BV12" s="763"/>
      <c r="BW12" s="763"/>
      <c r="BX12" s="763"/>
      <c r="BY12" s="763"/>
      <c r="BZ12" s="763"/>
      <c r="CA12" s="763"/>
      <c r="CB12" s="763"/>
      <c r="CC12" s="763"/>
      <c r="CD12" s="763"/>
      <c r="CE12" s="763"/>
      <c r="CF12" s="763"/>
      <c r="CG12" s="763"/>
      <c r="CH12" s="763"/>
      <c r="CI12" s="763"/>
      <c r="CJ12" s="763"/>
      <c r="CK12" s="763"/>
      <c r="CL12" s="763"/>
      <c r="CM12" s="763"/>
      <c r="CN12" s="763"/>
      <c r="CO12" s="763"/>
      <c r="CP12" s="763"/>
      <c r="CQ12" s="763"/>
      <c r="CR12" s="763"/>
      <c r="CS12" s="763"/>
      <c r="CT12" s="763"/>
      <c r="CU12" s="763"/>
      <c r="CV12" s="763"/>
      <c r="CW12" s="763"/>
      <c r="CX12" s="763"/>
      <c r="CY12" s="763"/>
      <c r="CZ12" s="763"/>
      <c r="DA12" s="763"/>
      <c r="DB12" s="763"/>
      <c r="DC12" s="763"/>
      <c r="DD12" s="763"/>
      <c r="DE12" s="763"/>
      <c r="DF12" s="763"/>
      <c r="DG12" s="763"/>
      <c r="DH12" s="763"/>
      <c r="DI12" s="763"/>
      <c r="DJ12" s="763"/>
      <c r="DK12" s="763"/>
      <c r="DL12" s="763"/>
      <c r="DM12" s="763"/>
      <c r="DN12" s="763"/>
      <c r="DO12" s="763"/>
      <c r="DP12" s="763"/>
      <c r="DQ12" s="763"/>
      <c r="DR12" s="763"/>
      <c r="DS12" s="763"/>
      <c r="DT12" s="763"/>
      <c r="DU12" s="763"/>
      <c r="DV12" s="763"/>
      <c r="DW12" s="763"/>
      <c r="DX12" s="763"/>
      <c r="DY12" s="763"/>
      <c r="DZ12" s="763"/>
      <c r="EA12" s="763"/>
      <c r="EB12" s="763"/>
    </row>
    <row r="13" spans="1:132" s="899" customFormat="1" ht="14.1" customHeight="1" thickBot="1" x14ac:dyDescent="0.25">
      <c r="A13" s="426"/>
      <c r="B13" s="1320"/>
      <c r="C13" s="710" t="s">
        <v>1171</v>
      </c>
      <c r="D13" s="1372" t="s">
        <v>1171</v>
      </c>
      <c r="E13" s="1373"/>
      <c r="F13" s="768"/>
      <c r="G13" s="714" t="s">
        <v>1172</v>
      </c>
      <c r="H13" s="714"/>
      <c r="I13" s="703"/>
      <c r="J13" s="703"/>
      <c r="K13" s="703"/>
      <c r="L13" s="711"/>
      <c r="M13" s="715">
        <f t="shared" ref="M13:M24" si="6">I13+K13</f>
        <v>0</v>
      </c>
      <c r="N13" s="715">
        <f t="shared" si="3"/>
        <v>0</v>
      </c>
      <c r="O13" s="712">
        <v>7.0000000000000001E-3</v>
      </c>
      <c r="P13" s="716">
        <f t="shared" si="4"/>
        <v>0</v>
      </c>
      <c r="Q13" s="717">
        <f t="shared" si="5"/>
        <v>0</v>
      </c>
      <c r="R13" s="1016"/>
      <c r="S13" s="1016"/>
      <c r="T13" s="1016"/>
      <c r="U13" s="1016"/>
      <c r="V13" s="1020">
        <f t="shared" si="0"/>
        <v>0</v>
      </c>
      <c r="W13" s="1021">
        <f t="shared" si="1"/>
        <v>0</v>
      </c>
      <c r="X13" s="1021">
        <f t="shared" si="2"/>
        <v>0</v>
      </c>
      <c r="Y13" s="1325"/>
      <c r="Z13" s="1325"/>
      <c r="AA13" s="1324"/>
      <c r="AB13" s="1325"/>
      <c r="AC13" s="1339"/>
      <c r="AD13" s="1325"/>
      <c r="AE13" s="1331"/>
      <c r="AF13" s="763"/>
      <c r="AG13" s="763"/>
      <c r="AH13" s="763"/>
      <c r="AI13" s="763"/>
      <c r="AJ13" s="763"/>
      <c r="AK13" s="763"/>
      <c r="AL13" s="763"/>
      <c r="AM13" s="763"/>
      <c r="AN13" s="763"/>
      <c r="AO13" s="763"/>
      <c r="AP13" s="763"/>
      <c r="AQ13" s="763"/>
      <c r="AR13" s="763"/>
      <c r="AS13" s="763"/>
      <c r="AT13" s="763"/>
      <c r="AU13" s="763"/>
      <c r="AV13" s="763"/>
      <c r="AW13" s="763"/>
      <c r="AX13" s="763"/>
      <c r="AY13" s="763"/>
      <c r="AZ13" s="763"/>
      <c r="BA13" s="763"/>
      <c r="BB13" s="763"/>
      <c r="BC13" s="763"/>
      <c r="BD13" s="763"/>
      <c r="BE13" s="763"/>
      <c r="BF13" s="763"/>
      <c r="BG13" s="763"/>
      <c r="BH13" s="763"/>
      <c r="BI13" s="763"/>
      <c r="BJ13" s="763"/>
      <c r="BK13" s="763"/>
      <c r="BL13" s="763"/>
      <c r="BM13" s="763"/>
      <c r="BN13" s="763"/>
      <c r="BO13" s="763"/>
      <c r="BP13" s="763"/>
      <c r="BQ13" s="763"/>
      <c r="BR13" s="763"/>
      <c r="BS13" s="763"/>
      <c r="BT13" s="763"/>
      <c r="BU13" s="763"/>
      <c r="BV13" s="763"/>
      <c r="BW13" s="763"/>
      <c r="BX13" s="763"/>
      <c r="BY13" s="763"/>
      <c r="BZ13" s="763"/>
      <c r="CA13" s="763"/>
      <c r="CB13" s="763"/>
      <c r="CC13" s="763"/>
      <c r="CD13" s="763"/>
      <c r="CE13" s="763"/>
      <c r="CF13" s="763"/>
      <c r="CG13" s="763"/>
      <c r="CH13" s="763"/>
      <c r="CI13" s="763"/>
      <c r="CJ13" s="763"/>
      <c r="CK13" s="763"/>
      <c r="CL13" s="763"/>
      <c r="CM13" s="763"/>
      <c r="CN13" s="763"/>
      <c r="CO13" s="763"/>
      <c r="CP13" s="763"/>
      <c r="CQ13" s="763"/>
      <c r="CR13" s="763"/>
      <c r="CS13" s="763"/>
      <c r="CT13" s="763"/>
      <c r="CU13" s="763"/>
      <c r="CV13" s="763"/>
      <c r="CW13" s="763"/>
      <c r="CX13" s="763"/>
      <c r="CY13" s="763"/>
      <c r="CZ13" s="763"/>
      <c r="DA13" s="763"/>
      <c r="DB13" s="763"/>
      <c r="DC13" s="763"/>
      <c r="DD13" s="763"/>
      <c r="DE13" s="763"/>
      <c r="DF13" s="763"/>
      <c r="DG13" s="763"/>
      <c r="DH13" s="763"/>
      <c r="DI13" s="763"/>
      <c r="DJ13" s="763"/>
      <c r="DK13" s="763"/>
      <c r="DL13" s="763"/>
      <c r="DM13" s="763"/>
      <c r="DN13" s="763"/>
      <c r="DO13" s="763"/>
      <c r="DP13" s="763"/>
      <c r="DQ13" s="763"/>
      <c r="DR13" s="763"/>
      <c r="DS13" s="763"/>
      <c r="DT13" s="763"/>
      <c r="DU13" s="763"/>
      <c r="DV13" s="763"/>
      <c r="DW13" s="763"/>
      <c r="DX13" s="763"/>
      <c r="DY13" s="763"/>
      <c r="DZ13" s="763"/>
      <c r="EA13" s="763"/>
      <c r="EB13" s="763"/>
    </row>
    <row r="14" spans="1:132" s="899" customFormat="1" ht="14.1" customHeight="1" x14ac:dyDescent="0.2">
      <c r="A14" s="426"/>
      <c r="B14" s="1319">
        <v>2</v>
      </c>
      <c r="C14" s="691" t="s">
        <v>1173</v>
      </c>
      <c r="D14" s="1321" t="s">
        <v>1174</v>
      </c>
      <c r="E14" s="1322"/>
      <c r="F14" s="692"/>
      <c r="G14" s="693" t="s">
        <v>1175</v>
      </c>
      <c r="H14" s="693"/>
      <c r="I14" s="695"/>
      <c r="J14" s="695"/>
      <c r="K14" s="695"/>
      <c r="L14" s="696"/>
      <c r="M14" s="718">
        <f t="shared" si="6"/>
        <v>0</v>
      </c>
      <c r="N14" s="718">
        <f t="shared" si="3"/>
        <v>0</v>
      </c>
      <c r="O14" s="698">
        <v>1.2500000000000001E-2</v>
      </c>
      <c r="P14" s="719">
        <f t="shared" si="4"/>
        <v>0</v>
      </c>
      <c r="Q14" s="720">
        <f t="shared" si="5"/>
        <v>0</v>
      </c>
      <c r="R14" s="1016"/>
      <c r="S14" s="1016"/>
      <c r="T14" s="1016"/>
      <c r="U14" s="1016"/>
      <c r="V14" s="1022">
        <f t="shared" si="0"/>
        <v>0</v>
      </c>
      <c r="W14" s="1023">
        <f t="shared" si="1"/>
        <v>0</v>
      </c>
      <c r="X14" s="1023">
        <f t="shared" si="2"/>
        <v>0</v>
      </c>
      <c r="Y14" s="1327">
        <f>IF(SUM(W14:W16)&lt;SUM(X14:X16),SUM(W14:W16)*30%,SUM(X14:X16)*30%)</f>
        <v>0</v>
      </c>
      <c r="Z14" s="1327">
        <f>(SUM(W14:W16)-SUM(X14:X16))</f>
        <v>0</v>
      </c>
      <c r="AA14" s="1324"/>
      <c r="AB14" s="1327">
        <f>IF(AA10=0,Z14,IF(ABS(Z10)&lt;ABS(Z14),Z10+Z14,0))</f>
        <v>0</v>
      </c>
      <c r="AC14" s="1327">
        <f>(IF(AB14=0,0,IF(AB17=0,0,IF(AB14&gt;0,IF(AB17&lt;0,IF(AB14&lt;ABS(AB17),AB14*40%,ABS(AB17)*40%),0),IF(AB17&gt;0,IF(ABS(AB14)&lt;AB17,ABS(AB14)*40%,AB17*40%),0)))))</f>
        <v>0</v>
      </c>
      <c r="AD14" s="1327">
        <f>IF(AC14=0,AB14,IF(ABS(AB14)&lt;ABS(AB17),0,AB14+AB17))</f>
        <v>0</v>
      </c>
      <c r="AE14" s="1331"/>
      <c r="AF14" s="763"/>
      <c r="AG14" s="763"/>
      <c r="AH14" s="763"/>
      <c r="AI14" s="763"/>
      <c r="AJ14" s="763"/>
      <c r="AK14" s="763"/>
      <c r="AL14" s="763"/>
      <c r="AM14" s="763"/>
      <c r="AN14" s="763"/>
      <c r="AO14" s="763"/>
      <c r="AP14" s="763"/>
      <c r="AQ14" s="763"/>
      <c r="AR14" s="763"/>
      <c r="AS14" s="763"/>
      <c r="AT14" s="763"/>
      <c r="AU14" s="763"/>
      <c r="AV14" s="763"/>
      <c r="AW14" s="763"/>
      <c r="AX14" s="763"/>
      <c r="AY14" s="763"/>
      <c r="AZ14" s="763"/>
      <c r="BA14" s="763"/>
      <c r="BB14" s="763"/>
      <c r="BC14" s="763"/>
      <c r="BD14" s="763"/>
      <c r="BE14" s="763"/>
      <c r="BF14" s="763"/>
      <c r="BG14" s="763"/>
      <c r="BH14" s="763"/>
      <c r="BI14" s="763"/>
      <c r="BJ14" s="763"/>
      <c r="BK14" s="763"/>
      <c r="BL14" s="763"/>
      <c r="BM14" s="763"/>
      <c r="BN14" s="763"/>
      <c r="BO14" s="763"/>
      <c r="BP14" s="763"/>
      <c r="BQ14" s="763"/>
      <c r="BR14" s="763"/>
      <c r="BS14" s="763"/>
      <c r="BT14" s="763"/>
      <c r="BU14" s="763"/>
      <c r="BV14" s="763"/>
      <c r="BW14" s="763"/>
      <c r="BX14" s="763"/>
      <c r="BY14" s="763"/>
      <c r="BZ14" s="763"/>
      <c r="CA14" s="763"/>
      <c r="CB14" s="763"/>
      <c r="CC14" s="763"/>
      <c r="CD14" s="763"/>
      <c r="CE14" s="763"/>
      <c r="CF14" s="763"/>
      <c r="CG14" s="763"/>
      <c r="CH14" s="763"/>
      <c r="CI14" s="763"/>
      <c r="CJ14" s="763"/>
      <c r="CK14" s="763"/>
      <c r="CL14" s="763"/>
      <c r="CM14" s="763"/>
      <c r="CN14" s="763"/>
      <c r="CO14" s="763"/>
      <c r="CP14" s="763"/>
      <c r="CQ14" s="763"/>
      <c r="CR14" s="763"/>
      <c r="CS14" s="763"/>
      <c r="CT14" s="763"/>
      <c r="CU14" s="763"/>
      <c r="CV14" s="763"/>
      <c r="CW14" s="763"/>
      <c r="CX14" s="763"/>
      <c r="CY14" s="763"/>
      <c r="CZ14" s="763"/>
      <c r="DA14" s="763"/>
      <c r="DB14" s="763"/>
      <c r="DC14" s="763"/>
      <c r="DD14" s="763"/>
      <c r="DE14" s="763"/>
      <c r="DF14" s="763"/>
      <c r="DG14" s="763"/>
      <c r="DH14" s="763"/>
      <c r="DI14" s="763"/>
      <c r="DJ14" s="763"/>
      <c r="DK14" s="763"/>
      <c r="DL14" s="763"/>
      <c r="DM14" s="763"/>
      <c r="DN14" s="763"/>
      <c r="DO14" s="763"/>
      <c r="DP14" s="763"/>
      <c r="DQ14" s="763"/>
      <c r="DR14" s="763"/>
      <c r="DS14" s="763"/>
      <c r="DT14" s="763"/>
      <c r="DU14" s="763"/>
      <c r="DV14" s="763"/>
      <c r="DW14" s="763"/>
      <c r="DX14" s="763"/>
      <c r="DY14" s="763"/>
      <c r="DZ14" s="763"/>
      <c r="EA14" s="763"/>
      <c r="EB14" s="763"/>
    </row>
    <row r="15" spans="1:132" s="899" customFormat="1" ht="14.1" customHeight="1" x14ac:dyDescent="0.2">
      <c r="A15" s="426"/>
      <c r="B15" s="1320"/>
      <c r="C15" s="451" t="s">
        <v>1176</v>
      </c>
      <c r="D15" s="1333" t="s">
        <v>1177</v>
      </c>
      <c r="E15" s="1334"/>
      <c r="F15" s="701"/>
      <c r="G15" s="702" t="s">
        <v>1178</v>
      </c>
      <c r="H15" s="702"/>
      <c r="I15" s="704"/>
      <c r="J15" s="704"/>
      <c r="K15" s="704"/>
      <c r="L15" s="705"/>
      <c r="M15" s="706">
        <f t="shared" si="6"/>
        <v>0</v>
      </c>
      <c r="N15" s="706">
        <f t="shared" si="3"/>
        <v>0</v>
      </c>
      <c r="O15" s="707">
        <v>1.7500000000000002E-2</v>
      </c>
      <c r="P15" s="708">
        <f t="shared" si="4"/>
        <v>0</v>
      </c>
      <c r="Q15" s="709">
        <f t="shared" si="5"/>
        <v>0</v>
      </c>
      <c r="R15" s="1016"/>
      <c r="S15" s="1016"/>
      <c r="T15" s="1016"/>
      <c r="U15" s="1016"/>
      <c r="V15" s="1024">
        <f t="shared" si="0"/>
        <v>0</v>
      </c>
      <c r="W15" s="1025">
        <f t="shared" si="1"/>
        <v>0</v>
      </c>
      <c r="X15" s="1025">
        <f t="shared" si="2"/>
        <v>0</v>
      </c>
      <c r="Y15" s="1328"/>
      <c r="Z15" s="1328"/>
      <c r="AA15" s="1324"/>
      <c r="AB15" s="1328"/>
      <c r="AC15" s="1328"/>
      <c r="AD15" s="1328"/>
      <c r="AE15" s="1331"/>
      <c r="AF15" s="763"/>
      <c r="AG15" s="763"/>
      <c r="AH15" s="763"/>
      <c r="AI15" s="763"/>
      <c r="AJ15" s="763"/>
      <c r="AK15" s="763"/>
      <c r="AL15" s="763"/>
      <c r="AM15" s="763"/>
      <c r="AN15" s="763"/>
      <c r="AO15" s="763"/>
      <c r="AP15" s="763"/>
      <c r="AQ15" s="763"/>
      <c r="AR15" s="763"/>
      <c r="AS15" s="763"/>
      <c r="AT15" s="763"/>
      <c r="AU15" s="763"/>
      <c r="AV15" s="763"/>
      <c r="AW15" s="763"/>
      <c r="AX15" s="763"/>
      <c r="AY15" s="763"/>
      <c r="AZ15" s="763"/>
      <c r="BA15" s="763"/>
      <c r="BB15" s="763"/>
      <c r="BC15" s="763"/>
      <c r="BD15" s="763"/>
      <c r="BE15" s="763"/>
      <c r="BF15" s="763"/>
      <c r="BG15" s="763"/>
      <c r="BH15" s="763"/>
      <c r="BI15" s="763"/>
      <c r="BJ15" s="763"/>
      <c r="BK15" s="763"/>
      <c r="BL15" s="763"/>
      <c r="BM15" s="763"/>
      <c r="BN15" s="763"/>
      <c r="BO15" s="763"/>
      <c r="BP15" s="763"/>
      <c r="BQ15" s="763"/>
      <c r="BR15" s="763"/>
      <c r="BS15" s="763"/>
      <c r="BT15" s="763"/>
      <c r="BU15" s="763"/>
      <c r="BV15" s="763"/>
      <c r="BW15" s="763"/>
      <c r="BX15" s="763"/>
      <c r="BY15" s="763"/>
      <c r="BZ15" s="763"/>
      <c r="CA15" s="763"/>
      <c r="CB15" s="763"/>
      <c r="CC15" s="763"/>
      <c r="CD15" s="763"/>
      <c r="CE15" s="763"/>
      <c r="CF15" s="763"/>
      <c r="CG15" s="763"/>
      <c r="CH15" s="763"/>
      <c r="CI15" s="763"/>
      <c r="CJ15" s="763"/>
      <c r="CK15" s="763"/>
      <c r="CL15" s="763"/>
      <c r="CM15" s="763"/>
      <c r="CN15" s="763"/>
      <c r="CO15" s="763"/>
      <c r="CP15" s="763"/>
      <c r="CQ15" s="763"/>
      <c r="CR15" s="763"/>
      <c r="CS15" s="763"/>
      <c r="CT15" s="763"/>
      <c r="CU15" s="763"/>
      <c r="CV15" s="763"/>
      <c r="CW15" s="763"/>
      <c r="CX15" s="763"/>
      <c r="CY15" s="763"/>
      <c r="CZ15" s="763"/>
      <c r="DA15" s="763"/>
      <c r="DB15" s="763"/>
      <c r="DC15" s="763"/>
      <c r="DD15" s="763"/>
      <c r="DE15" s="763"/>
      <c r="DF15" s="763"/>
      <c r="DG15" s="763"/>
      <c r="DH15" s="763"/>
      <c r="DI15" s="763"/>
      <c r="DJ15" s="763"/>
      <c r="DK15" s="763"/>
      <c r="DL15" s="763"/>
      <c r="DM15" s="763"/>
      <c r="DN15" s="763"/>
      <c r="DO15" s="763"/>
      <c r="DP15" s="763"/>
      <c r="DQ15" s="763"/>
      <c r="DR15" s="763"/>
      <c r="DS15" s="763"/>
      <c r="DT15" s="763"/>
      <c r="DU15" s="763"/>
      <c r="DV15" s="763"/>
      <c r="DW15" s="763"/>
      <c r="DX15" s="763"/>
      <c r="DY15" s="763"/>
      <c r="DZ15" s="763"/>
      <c r="EA15" s="763"/>
      <c r="EB15" s="763"/>
    </row>
    <row r="16" spans="1:132" s="899" customFormat="1" ht="14.1" customHeight="1" thickBot="1" x14ac:dyDescent="0.25">
      <c r="A16" s="426"/>
      <c r="B16" s="1326"/>
      <c r="C16" s="721" t="s">
        <v>1179</v>
      </c>
      <c r="D16" s="1372" t="s">
        <v>1180</v>
      </c>
      <c r="E16" s="1373"/>
      <c r="F16" s="768"/>
      <c r="G16" s="714" t="s">
        <v>1181</v>
      </c>
      <c r="H16" s="714"/>
      <c r="I16" s="722"/>
      <c r="J16" s="722"/>
      <c r="K16" s="722"/>
      <c r="L16" s="723"/>
      <c r="M16" s="715">
        <f t="shared" si="6"/>
        <v>0</v>
      </c>
      <c r="N16" s="715">
        <f t="shared" si="3"/>
        <v>0</v>
      </c>
      <c r="O16" s="724">
        <v>2.2499999999999999E-2</v>
      </c>
      <c r="P16" s="716">
        <f t="shared" si="4"/>
        <v>0</v>
      </c>
      <c r="Q16" s="717">
        <f t="shared" si="5"/>
        <v>0</v>
      </c>
      <c r="R16" s="1016"/>
      <c r="S16" s="1016"/>
      <c r="T16" s="1016"/>
      <c r="U16" s="1016"/>
      <c r="V16" s="1026">
        <f t="shared" si="0"/>
        <v>0</v>
      </c>
      <c r="W16" s="1027">
        <f t="shared" si="1"/>
        <v>0</v>
      </c>
      <c r="X16" s="1027">
        <f t="shared" si="2"/>
        <v>0</v>
      </c>
      <c r="Y16" s="1329"/>
      <c r="Z16" s="1329"/>
      <c r="AA16" s="1325"/>
      <c r="AB16" s="1329"/>
      <c r="AC16" s="1328"/>
      <c r="AD16" s="1329"/>
      <c r="AE16" s="1331"/>
      <c r="AF16" s="763"/>
      <c r="AG16" s="763"/>
      <c r="AH16" s="763"/>
      <c r="AI16" s="763"/>
      <c r="AJ16" s="763"/>
      <c r="AK16" s="763"/>
      <c r="AL16" s="763"/>
      <c r="AM16" s="763"/>
      <c r="AN16" s="763"/>
      <c r="AO16" s="763"/>
      <c r="AP16" s="763"/>
      <c r="AQ16" s="763"/>
      <c r="AR16" s="763"/>
      <c r="AS16" s="763"/>
      <c r="AT16" s="763"/>
      <c r="AU16" s="763"/>
      <c r="AV16" s="763"/>
      <c r="AW16" s="763"/>
      <c r="AX16" s="763"/>
      <c r="AY16" s="763"/>
      <c r="AZ16" s="763"/>
      <c r="BA16" s="763"/>
      <c r="BB16" s="763"/>
      <c r="BC16" s="763"/>
      <c r="BD16" s="763"/>
      <c r="BE16" s="763"/>
      <c r="BF16" s="763"/>
      <c r="BG16" s="763"/>
      <c r="BH16" s="763"/>
      <c r="BI16" s="763"/>
      <c r="BJ16" s="763"/>
      <c r="BK16" s="763"/>
      <c r="BL16" s="763"/>
      <c r="BM16" s="763"/>
      <c r="BN16" s="763"/>
      <c r="BO16" s="763"/>
      <c r="BP16" s="763"/>
      <c r="BQ16" s="763"/>
      <c r="BR16" s="763"/>
      <c r="BS16" s="763"/>
      <c r="BT16" s="763"/>
      <c r="BU16" s="763"/>
      <c r="BV16" s="763"/>
      <c r="BW16" s="763"/>
      <c r="BX16" s="763"/>
      <c r="BY16" s="763"/>
      <c r="BZ16" s="763"/>
      <c r="CA16" s="763"/>
      <c r="CB16" s="763"/>
      <c r="CC16" s="763"/>
      <c r="CD16" s="763"/>
      <c r="CE16" s="763"/>
      <c r="CF16" s="763"/>
      <c r="CG16" s="763"/>
      <c r="CH16" s="763"/>
      <c r="CI16" s="763"/>
      <c r="CJ16" s="763"/>
      <c r="CK16" s="763"/>
      <c r="CL16" s="763"/>
      <c r="CM16" s="763"/>
      <c r="CN16" s="763"/>
      <c r="CO16" s="763"/>
      <c r="CP16" s="763"/>
      <c r="CQ16" s="763"/>
      <c r="CR16" s="763"/>
      <c r="CS16" s="763"/>
      <c r="CT16" s="763"/>
      <c r="CU16" s="763"/>
      <c r="CV16" s="763"/>
      <c r="CW16" s="763"/>
      <c r="CX16" s="763"/>
      <c r="CY16" s="763"/>
      <c r="CZ16" s="763"/>
      <c r="DA16" s="763"/>
      <c r="DB16" s="763"/>
      <c r="DC16" s="763"/>
      <c r="DD16" s="763"/>
      <c r="DE16" s="763"/>
      <c r="DF16" s="763"/>
      <c r="DG16" s="763"/>
      <c r="DH16" s="763"/>
      <c r="DI16" s="763"/>
      <c r="DJ16" s="763"/>
      <c r="DK16" s="763"/>
      <c r="DL16" s="763"/>
      <c r="DM16" s="763"/>
      <c r="DN16" s="763"/>
      <c r="DO16" s="763"/>
      <c r="DP16" s="763"/>
      <c r="DQ16" s="763"/>
      <c r="DR16" s="763"/>
      <c r="DS16" s="763"/>
      <c r="DT16" s="763"/>
      <c r="DU16" s="763"/>
      <c r="DV16" s="763"/>
      <c r="DW16" s="763"/>
      <c r="DX16" s="763"/>
      <c r="DY16" s="763"/>
      <c r="DZ16" s="763"/>
      <c r="EA16" s="763"/>
      <c r="EB16" s="763"/>
    </row>
    <row r="17" spans="1:134" s="899" customFormat="1" ht="14.1" customHeight="1" x14ac:dyDescent="0.2">
      <c r="A17" s="426"/>
      <c r="B17" s="1319">
        <v>3</v>
      </c>
      <c r="C17" s="725" t="s">
        <v>1182</v>
      </c>
      <c r="D17" s="1321" t="s">
        <v>1183</v>
      </c>
      <c r="E17" s="1322"/>
      <c r="F17" s="767"/>
      <c r="G17" s="693" t="s">
        <v>1184</v>
      </c>
      <c r="H17" s="693"/>
      <c r="I17" s="694"/>
      <c r="J17" s="694"/>
      <c r="K17" s="694"/>
      <c r="L17" s="726"/>
      <c r="M17" s="718">
        <f t="shared" si="6"/>
        <v>0</v>
      </c>
      <c r="N17" s="718">
        <f t="shared" si="3"/>
        <v>0</v>
      </c>
      <c r="O17" s="727">
        <v>2.75E-2</v>
      </c>
      <c r="P17" s="719">
        <f t="shared" si="4"/>
        <v>0</v>
      </c>
      <c r="Q17" s="720">
        <f t="shared" si="5"/>
        <v>0</v>
      </c>
      <c r="R17" s="1016"/>
      <c r="S17" s="1016"/>
      <c r="T17" s="1016"/>
      <c r="U17" s="1016"/>
      <c r="V17" s="1028">
        <f t="shared" si="0"/>
        <v>0</v>
      </c>
      <c r="W17" s="1029">
        <f t="shared" si="1"/>
        <v>0</v>
      </c>
      <c r="X17" s="1029">
        <f t="shared" si="2"/>
        <v>0</v>
      </c>
      <c r="Y17" s="1330">
        <f>IF(SUM(W17:W24)&lt;SUM(X17:X24),SUM(W17:W24)*30%,SUM(X17:X24)*30%)</f>
        <v>0</v>
      </c>
      <c r="Z17" s="1330">
        <f>SUM(W17:W24)-SUM(X17:X24)</f>
        <v>0</v>
      </c>
      <c r="AA17" s="1337"/>
      <c r="AB17" s="1330">
        <f>Z17</f>
        <v>0</v>
      </c>
      <c r="AC17" s="1328"/>
      <c r="AD17" s="1330">
        <f>IF(AC14=0,AB17,IF(ABS(AB14)&lt;ABS(AB17),AB14+AB17,0))</f>
        <v>0</v>
      </c>
      <c r="AE17" s="1331"/>
      <c r="AF17" s="763"/>
      <c r="AG17" s="763"/>
      <c r="AH17" s="763"/>
      <c r="AI17" s="763"/>
      <c r="AJ17" s="763"/>
      <c r="AK17" s="763"/>
      <c r="AL17" s="763"/>
      <c r="AM17" s="763"/>
      <c r="AN17" s="763"/>
      <c r="AO17" s="763"/>
      <c r="AP17" s="763"/>
      <c r="AQ17" s="763"/>
      <c r="AR17" s="763"/>
      <c r="AS17" s="763"/>
      <c r="AT17" s="763"/>
      <c r="AU17" s="763"/>
      <c r="AV17" s="763"/>
      <c r="AW17" s="763"/>
      <c r="AX17" s="763"/>
      <c r="AY17" s="763"/>
      <c r="AZ17" s="763"/>
      <c r="BA17" s="763"/>
      <c r="BB17" s="763"/>
      <c r="BC17" s="763"/>
      <c r="BD17" s="763"/>
      <c r="BE17" s="763"/>
      <c r="BF17" s="763"/>
      <c r="BG17" s="763"/>
      <c r="BH17" s="763"/>
      <c r="BI17" s="763"/>
      <c r="BJ17" s="763"/>
      <c r="BK17" s="763"/>
      <c r="BL17" s="763"/>
      <c r="BM17" s="763"/>
      <c r="BN17" s="763"/>
      <c r="BO17" s="763"/>
      <c r="BP17" s="763"/>
      <c r="BQ17" s="763"/>
      <c r="BR17" s="763"/>
      <c r="BS17" s="763"/>
      <c r="BT17" s="763"/>
      <c r="BU17" s="763"/>
      <c r="BV17" s="763"/>
      <c r="BW17" s="763"/>
      <c r="BX17" s="763"/>
      <c r="BY17" s="763"/>
      <c r="BZ17" s="763"/>
      <c r="CA17" s="763"/>
      <c r="CB17" s="763"/>
      <c r="CC17" s="763"/>
      <c r="CD17" s="763"/>
      <c r="CE17" s="763"/>
      <c r="CF17" s="763"/>
      <c r="CG17" s="763"/>
      <c r="CH17" s="763"/>
      <c r="CI17" s="763"/>
      <c r="CJ17" s="763"/>
      <c r="CK17" s="763"/>
      <c r="CL17" s="763"/>
      <c r="CM17" s="763"/>
      <c r="CN17" s="763"/>
      <c r="CO17" s="763"/>
      <c r="CP17" s="763"/>
      <c r="CQ17" s="763"/>
      <c r="CR17" s="763"/>
      <c r="CS17" s="763"/>
      <c r="CT17" s="763"/>
      <c r="CU17" s="763"/>
      <c r="CV17" s="763"/>
      <c r="CW17" s="763"/>
      <c r="CX17" s="763"/>
      <c r="CY17" s="763"/>
      <c r="CZ17" s="763"/>
      <c r="DA17" s="763"/>
      <c r="DB17" s="763"/>
      <c r="DC17" s="763"/>
      <c r="DD17" s="763"/>
      <c r="DE17" s="763"/>
      <c r="DF17" s="763"/>
      <c r="DG17" s="763"/>
      <c r="DH17" s="763"/>
      <c r="DI17" s="763"/>
      <c r="DJ17" s="763"/>
      <c r="DK17" s="763"/>
      <c r="DL17" s="763"/>
      <c r="DM17" s="763"/>
      <c r="DN17" s="763"/>
      <c r="DO17" s="763"/>
      <c r="DP17" s="763"/>
      <c r="DQ17" s="763"/>
      <c r="DR17" s="763"/>
      <c r="DS17" s="763"/>
      <c r="DT17" s="763"/>
      <c r="DU17" s="763"/>
      <c r="DV17" s="763"/>
      <c r="DW17" s="763"/>
      <c r="DX17" s="763"/>
      <c r="DY17" s="763"/>
      <c r="DZ17" s="763"/>
      <c r="EA17" s="763"/>
      <c r="EB17" s="763"/>
    </row>
    <row r="18" spans="1:134" s="899" customFormat="1" ht="14.1" customHeight="1" x14ac:dyDescent="0.2">
      <c r="A18" s="426"/>
      <c r="B18" s="1320"/>
      <c r="C18" s="451" t="s">
        <v>1185</v>
      </c>
      <c r="D18" s="1333" t="s">
        <v>1186</v>
      </c>
      <c r="E18" s="1334"/>
      <c r="F18" s="701"/>
      <c r="G18" s="702" t="s">
        <v>1187</v>
      </c>
      <c r="H18" s="702"/>
      <c r="I18" s="704"/>
      <c r="J18" s="704"/>
      <c r="K18" s="704"/>
      <c r="L18" s="705"/>
      <c r="M18" s="706">
        <f t="shared" si="6"/>
        <v>0</v>
      </c>
      <c r="N18" s="706">
        <f t="shared" si="3"/>
        <v>0</v>
      </c>
      <c r="O18" s="707">
        <v>3.2500000000000001E-2</v>
      </c>
      <c r="P18" s="708">
        <f t="shared" si="4"/>
        <v>0</v>
      </c>
      <c r="Q18" s="709">
        <f t="shared" si="5"/>
        <v>0</v>
      </c>
      <c r="R18" s="1016"/>
      <c r="S18" s="1016"/>
      <c r="T18" s="1016"/>
      <c r="U18" s="1016"/>
      <c r="V18" s="1030">
        <f t="shared" si="0"/>
        <v>0</v>
      </c>
      <c r="W18" s="1031">
        <f t="shared" si="1"/>
        <v>0</v>
      </c>
      <c r="X18" s="1031">
        <f t="shared" si="2"/>
        <v>0</v>
      </c>
      <c r="Y18" s="1331"/>
      <c r="Z18" s="1331"/>
      <c r="AA18" s="1338"/>
      <c r="AB18" s="1331"/>
      <c r="AC18" s="1328"/>
      <c r="AD18" s="1331"/>
      <c r="AE18" s="1331"/>
      <c r="AF18" s="763"/>
      <c r="AG18" s="763"/>
      <c r="AH18" s="763"/>
      <c r="AI18" s="763"/>
      <c r="AJ18" s="763"/>
      <c r="AK18" s="763"/>
      <c r="AL18" s="763"/>
      <c r="AM18" s="763"/>
      <c r="AN18" s="763"/>
      <c r="AO18" s="763"/>
      <c r="AP18" s="763"/>
      <c r="AQ18" s="763"/>
      <c r="AR18" s="763"/>
      <c r="AS18" s="763"/>
      <c r="AT18" s="763"/>
      <c r="AU18" s="763"/>
      <c r="AV18" s="763"/>
      <c r="AW18" s="763"/>
      <c r="AX18" s="763"/>
      <c r="AY18" s="763"/>
      <c r="AZ18" s="763"/>
      <c r="BA18" s="763"/>
      <c r="BB18" s="763"/>
      <c r="BC18" s="763"/>
      <c r="BD18" s="763"/>
      <c r="BE18" s="763"/>
      <c r="BF18" s="763"/>
      <c r="BG18" s="763"/>
      <c r="BH18" s="763"/>
      <c r="BI18" s="763"/>
      <c r="BJ18" s="763"/>
      <c r="BK18" s="763"/>
      <c r="BL18" s="763"/>
      <c r="BM18" s="763"/>
      <c r="BN18" s="763"/>
      <c r="BO18" s="763"/>
      <c r="BP18" s="763"/>
      <c r="BQ18" s="763"/>
      <c r="BR18" s="763"/>
      <c r="BS18" s="763"/>
      <c r="BT18" s="763"/>
      <c r="BU18" s="763"/>
      <c r="BV18" s="763"/>
      <c r="BW18" s="763"/>
      <c r="BX18" s="763"/>
      <c r="BY18" s="763"/>
      <c r="BZ18" s="763"/>
      <c r="CA18" s="763"/>
      <c r="CB18" s="763"/>
      <c r="CC18" s="763"/>
      <c r="CD18" s="763"/>
      <c r="CE18" s="763"/>
      <c r="CF18" s="763"/>
      <c r="CG18" s="763"/>
      <c r="CH18" s="763"/>
      <c r="CI18" s="763"/>
      <c r="CJ18" s="763"/>
      <c r="CK18" s="763"/>
      <c r="CL18" s="763"/>
      <c r="CM18" s="763"/>
      <c r="CN18" s="763"/>
      <c r="CO18" s="763"/>
      <c r="CP18" s="763"/>
      <c r="CQ18" s="763"/>
      <c r="CR18" s="763"/>
      <c r="CS18" s="763"/>
      <c r="CT18" s="763"/>
      <c r="CU18" s="763"/>
      <c r="CV18" s="763"/>
      <c r="CW18" s="763"/>
      <c r="CX18" s="763"/>
      <c r="CY18" s="763"/>
      <c r="CZ18" s="763"/>
      <c r="DA18" s="763"/>
      <c r="DB18" s="763"/>
      <c r="DC18" s="763"/>
      <c r="DD18" s="763"/>
      <c r="DE18" s="763"/>
      <c r="DF18" s="763"/>
      <c r="DG18" s="763"/>
      <c r="DH18" s="763"/>
      <c r="DI18" s="763"/>
      <c r="DJ18" s="763"/>
      <c r="DK18" s="763"/>
      <c r="DL18" s="763"/>
      <c r="DM18" s="763"/>
      <c r="DN18" s="763"/>
      <c r="DO18" s="763"/>
      <c r="DP18" s="763"/>
      <c r="DQ18" s="763"/>
      <c r="DR18" s="763"/>
      <c r="DS18" s="763"/>
      <c r="DT18" s="763"/>
      <c r="DU18" s="763"/>
      <c r="DV18" s="763"/>
      <c r="DW18" s="763"/>
      <c r="DX18" s="763"/>
      <c r="DY18" s="763"/>
      <c r="DZ18" s="763"/>
      <c r="EA18" s="763"/>
      <c r="EB18" s="763"/>
    </row>
    <row r="19" spans="1:134" s="899" customFormat="1" ht="14.1" customHeight="1" x14ac:dyDescent="0.2">
      <c r="A19" s="426"/>
      <c r="B19" s="1320"/>
      <c r="C19" s="451" t="s">
        <v>1188</v>
      </c>
      <c r="D19" s="1333" t="s">
        <v>1189</v>
      </c>
      <c r="E19" s="1334"/>
      <c r="F19" s="701"/>
      <c r="G19" s="702" t="s">
        <v>1190</v>
      </c>
      <c r="H19" s="702"/>
      <c r="I19" s="704"/>
      <c r="J19" s="704"/>
      <c r="K19" s="704"/>
      <c r="L19" s="705"/>
      <c r="M19" s="706">
        <f t="shared" si="6"/>
        <v>0</v>
      </c>
      <c r="N19" s="706">
        <f t="shared" si="3"/>
        <v>0</v>
      </c>
      <c r="O19" s="707">
        <v>3.7499999999999999E-2</v>
      </c>
      <c r="P19" s="708">
        <f t="shared" si="4"/>
        <v>0</v>
      </c>
      <c r="Q19" s="709">
        <f t="shared" si="5"/>
        <v>0</v>
      </c>
      <c r="R19" s="1016"/>
      <c r="S19" s="1016"/>
      <c r="T19" s="1016"/>
      <c r="U19" s="1016"/>
      <c r="V19" s="1030">
        <f t="shared" si="0"/>
        <v>0</v>
      </c>
      <c r="W19" s="1031">
        <f t="shared" si="1"/>
        <v>0</v>
      </c>
      <c r="X19" s="1031">
        <f t="shared" si="2"/>
        <v>0</v>
      </c>
      <c r="Y19" s="1331"/>
      <c r="Z19" s="1331"/>
      <c r="AA19" s="1338"/>
      <c r="AB19" s="1331"/>
      <c r="AC19" s="1328"/>
      <c r="AD19" s="1331"/>
      <c r="AE19" s="1331"/>
      <c r="AF19" s="763"/>
      <c r="AG19" s="763"/>
      <c r="AH19" s="763"/>
      <c r="AI19" s="763"/>
      <c r="AJ19" s="763"/>
      <c r="AK19" s="763"/>
      <c r="AL19" s="763"/>
      <c r="AM19" s="763"/>
      <c r="AN19" s="763"/>
      <c r="AO19" s="763"/>
      <c r="AP19" s="763"/>
      <c r="AQ19" s="763"/>
      <c r="AR19" s="763"/>
      <c r="AS19" s="763"/>
      <c r="AT19" s="763"/>
      <c r="AU19" s="763"/>
      <c r="AV19" s="763"/>
      <c r="AW19" s="763"/>
      <c r="AX19" s="763"/>
      <c r="AY19" s="763"/>
      <c r="AZ19" s="763"/>
      <c r="BA19" s="763"/>
      <c r="BB19" s="763"/>
      <c r="BC19" s="763"/>
      <c r="BD19" s="763"/>
      <c r="BE19" s="763"/>
      <c r="BF19" s="763"/>
      <c r="BG19" s="763"/>
      <c r="BH19" s="763"/>
      <c r="BI19" s="763"/>
      <c r="BJ19" s="763"/>
      <c r="BK19" s="763"/>
      <c r="BL19" s="763"/>
      <c r="BM19" s="763"/>
      <c r="BN19" s="763"/>
      <c r="BO19" s="763"/>
      <c r="BP19" s="763"/>
      <c r="BQ19" s="763"/>
      <c r="BR19" s="763"/>
      <c r="BS19" s="763"/>
      <c r="BT19" s="763"/>
      <c r="BU19" s="763"/>
      <c r="BV19" s="763"/>
      <c r="BW19" s="763"/>
      <c r="BX19" s="763"/>
      <c r="BY19" s="763"/>
      <c r="BZ19" s="763"/>
      <c r="CA19" s="763"/>
      <c r="CB19" s="763"/>
      <c r="CC19" s="763"/>
      <c r="CD19" s="763"/>
      <c r="CE19" s="763"/>
      <c r="CF19" s="763"/>
      <c r="CG19" s="763"/>
      <c r="CH19" s="763"/>
      <c r="CI19" s="763"/>
      <c r="CJ19" s="763"/>
      <c r="CK19" s="763"/>
      <c r="CL19" s="763"/>
      <c r="CM19" s="763"/>
      <c r="CN19" s="763"/>
      <c r="CO19" s="763"/>
      <c r="CP19" s="763"/>
      <c r="CQ19" s="763"/>
      <c r="CR19" s="763"/>
      <c r="CS19" s="763"/>
      <c r="CT19" s="763"/>
      <c r="CU19" s="763"/>
      <c r="CV19" s="763"/>
      <c r="CW19" s="763"/>
      <c r="CX19" s="763"/>
      <c r="CY19" s="763"/>
      <c r="CZ19" s="763"/>
      <c r="DA19" s="763"/>
      <c r="DB19" s="763"/>
      <c r="DC19" s="763"/>
      <c r="DD19" s="763"/>
      <c r="DE19" s="763"/>
      <c r="DF19" s="763"/>
      <c r="DG19" s="763"/>
      <c r="DH19" s="763"/>
      <c r="DI19" s="763"/>
      <c r="DJ19" s="763"/>
      <c r="DK19" s="763"/>
      <c r="DL19" s="763"/>
      <c r="DM19" s="763"/>
      <c r="DN19" s="763"/>
      <c r="DO19" s="763"/>
      <c r="DP19" s="763"/>
      <c r="DQ19" s="763"/>
      <c r="DR19" s="763"/>
      <c r="DS19" s="763"/>
      <c r="DT19" s="763"/>
      <c r="DU19" s="763"/>
      <c r="DV19" s="763"/>
      <c r="DW19" s="763"/>
      <c r="DX19" s="763"/>
      <c r="DY19" s="763"/>
      <c r="DZ19" s="763"/>
      <c r="EA19" s="763"/>
      <c r="EB19" s="763"/>
    </row>
    <row r="20" spans="1:134" s="899" customFormat="1" ht="14.1" customHeight="1" x14ac:dyDescent="0.2">
      <c r="A20" s="426"/>
      <c r="B20" s="1320"/>
      <c r="C20" s="451" t="s">
        <v>1191</v>
      </c>
      <c r="D20" s="1333" t="s">
        <v>1192</v>
      </c>
      <c r="E20" s="1334"/>
      <c r="F20" s="701"/>
      <c r="G20" s="702" t="s">
        <v>1193</v>
      </c>
      <c r="H20" s="702"/>
      <c r="I20" s="704"/>
      <c r="J20" s="704"/>
      <c r="K20" s="704"/>
      <c r="L20" s="705"/>
      <c r="M20" s="706">
        <f t="shared" si="6"/>
        <v>0</v>
      </c>
      <c r="N20" s="706">
        <f t="shared" si="3"/>
        <v>0</v>
      </c>
      <c r="O20" s="707">
        <v>4.4999999999999998E-2</v>
      </c>
      <c r="P20" s="708">
        <f t="shared" si="4"/>
        <v>0</v>
      </c>
      <c r="Q20" s="709">
        <f t="shared" si="5"/>
        <v>0</v>
      </c>
      <c r="R20" s="1016"/>
      <c r="S20" s="1016"/>
      <c r="T20" s="1016"/>
      <c r="U20" s="1016"/>
      <c r="V20" s="1030">
        <f t="shared" si="0"/>
        <v>0</v>
      </c>
      <c r="W20" s="1031">
        <f t="shared" si="1"/>
        <v>0</v>
      </c>
      <c r="X20" s="1031">
        <f t="shared" si="2"/>
        <v>0</v>
      </c>
      <c r="Y20" s="1331"/>
      <c r="Z20" s="1331"/>
      <c r="AA20" s="1338"/>
      <c r="AB20" s="1331"/>
      <c r="AC20" s="1328"/>
      <c r="AD20" s="1331"/>
      <c r="AE20" s="1331"/>
      <c r="AF20" s="763"/>
      <c r="AG20" s="763"/>
      <c r="AH20" s="763"/>
      <c r="AI20" s="763"/>
      <c r="AJ20" s="763"/>
      <c r="AK20" s="763"/>
      <c r="AL20" s="763"/>
      <c r="AM20" s="763"/>
      <c r="AN20" s="763"/>
      <c r="AO20" s="763"/>
      <c r="AP20" s="763"/>
      <c r="AQ20" s="763"/>
      <c r="AR20" s="763"/>
      <c r="AS20" s="763"/>
      <c r="AT20" s="763"/>
      <c r="AU20" s="763"/>
      <c r="AV20" s="763"/>
      <c r="AW20" s="763"/>
      <c r="AX20" s="763"/>
      <c r="AY20" s="763"/>
      <c r="AZ20" s="763"/>
      <c r="BA20" s="763"/>
      <c r="BB20" s="763"/>
      <c r="BC20" s="763"/>
      <c r="BD20" s="763"/>
      <c r="BE20" s="763"/>
      <c r="BF20" s="763"/>
      <c r="BG20" s="763"/>
      <c r="BH20" s="763"/>
      <c r="BI20" s="763"/>
      <c r="BJ20" s="763"/>
      <c r="BK20" s="763"/>
      <c r="BL20" s="763"/>
      <c r="BM20" s="763"/>
      <c r="BN20" s="763"/>
      <c r="BO20" s="763"/>
      <c r="BP20" s="763"/>
      <c r="BQ20" s="763"/>
      <c r="BR20" s="763"/>
      <c r="BS20" s="763"/>
      <c r="BT20" s="763"/>
      <c r="BU20" s="763"/>
      <c r="BV20" s="763"/>
      <c r="BW20" s="763"/>
      <c r="BX20" s="763"/>
      <c r="BY20" s="763"/>
      <c r="BZ20" s="763"/>
      <c r="CA20" s="763"/>
      <c r="CB20" s="763"/>
      <c r="CC20" s="763"/>
      <c r="CD20" s="763"/>
      <c r="CE20" s="763"/>
      <c r="CF20" s="763"/>
      <c r="CG20" s="763"/>
      <c r="CH20" s="763"/>
      <c r="CI20" s="763"/>
      <c r="CJ20" s="763"/>
      <c r="CK20" s="763"/>
      <c r="CL20" s="763"/>
      <c r="CM20" s="763"/>
      <c r="CN20" s="763"/>
      <c r="CO20" s="763"/>
      <c r="CP20" s="763"/>
      <c r="CQ20" s="763"/>
      <c r="CR20" s="763"/>
      <c r="CS20" s="763"/>
      <c r="CT20" s="763"/>
      <c r="CU20" s="763"/>
      <c r="CV20" s="763"/>
      <c r="CW20" s="763"/>
      <c r="CX20" s="763"/>
      <c r="CY20" s="763"/>
      <c r="CZ20" s="763"/>
      <c r="DA20" s="763"/>
      <c r="DB20" s="763"/>
      <c r="DC20" s="763"/>
      <c r="DD20" s="763"/>
      <c r="DE20" s="763"/>
      <c r="DF20" s="763"/>
      <c r="DG20" s="763"/>
      <c r="DH20" s="763"/>
      <c r="DI20" s="763"/>
      <c r="DJ20" s="763"/>
      <c r="DK20" s="763"/>
      <c r="DL20" s="763"/>
      <c r="DM20" s="763"/>
      <c r="DN20" s="763"/>
      <c r="DO20" s="763"/>
      <c r="DP20" s="763"/>
      <c r="DQ20" s="763"/>
      <c r="DR20" s="763"/>
      <c r="DS20" s="763"/>
      <c r="DT20" s="763"/>
      <c r="DU20" s="763"/>
      <c r="DV20" s="763"/>
      <c r="DW20" s="763"/>
      <c r="DX20" s="763"/>
      <c r="DY20" s="763"/>
      <c r="DZ20" s="763"/>
      <c r="EA20" s="763"/>
      <c r="EB20" s="763"/>
    </row>
    <row r="21" spans="1:134" s="899" customFormat="1" ht="14.1" customHeight="1" x14ac:dyDescent="0.2">
      <c r="A21" s="426"/>
      <c r="B21" s="1320"/>
      <c r="C21" s="451" t="s">
        <v>1194</v>
      </c>
      <c r="D21" s="1333" t="s">
        <v>1195</v>
      </c>
      <c r="E21" s="1334"/>
      <c r="F21" s="701"/>
      <c r="G21" s="702" t="s">
        <v>1196</v>
      </c>
      <c r="H21" s="702"/>
      <c r="I21" s="704"/>
      <c r="J21" s="704"/>
      <c r="K21" s="704"/>
      <c r="L21" s="705"/>
      <c r="M21" s="706">
        <f t="shared" si="6"/>
        <v>0</v>
      </c>
      <c r="N21" s="706">
        <f t="shared" si="3"/>
        <v>0</v>
      </c>
      <c r="O21" s="707">
        <v>5.2499999999999998E-2</v>
      </c>
      <c r="P21" s="708">
        <f t="shared" si="4"/>
        <v>0</v>
      </c>
      <c r="Q21" s="709">
        <f t="shared" si="5"/>
        <v>0</v>
      </c>
      <c r="R21" s="1016"/>
      <c r="S21" s="1016"/>
      <c r="T21" s="1016"/>
      <c r="U21" s="1016"/>
      <c r="V21" s="1030">
        <f t="shared" si="0"/>
        <v>0</v>
      </c>
      <c r="W21" s="1031">
        <f t="shared" si="1"/>
        <v>0</v>
      </c>
      <c r="X21" s="1031">
        <f t="shared" si="2"/>
        <v>0</v>
      </c>
      <c r="Y21" s="1331"/>
      <c r="Z21" s="1331"/>
      <c r="AA21" s="1338"/>
      <c r="AB21" s="1331"/>
      <c r="AC21" s="1328"/>
      <c r="AD21" s="1331"/>
      <c r="AE21" s="1331"/>
      <c r="AF21" s="763"/>
      <c r="AG21" s="763"/>
      <c r="AH21" s="763"/>
      <c r="AI21" s="763"/>
      <c r="AJ21" s="763"/>
      <c r="AK21" s="763"/>
      <c r="AL21" s="763"/>
      <c r="AM21" s="763"/>
      <c r="AN21" s="763"/>
      <c r="AO21" s="763"/>
      <c r="AP21" s="763"/>
      <c r="AQ21" s="763"/>
      <c r="AR21" s="763"/>
      <c r="AS21" s="763"/>
      <c r="AT21" s="763"/>
      <c r="AU21" s="763"/>
      <c r="AV21" s="763"/>
      <c r="AW21" s="763"/>
      <c r="AX21" s="763"/>
      <c r="AY21" s="763"/>
      <c r="AZ21" s="763"/>
      <c r="BA21" s="763"/>
      <c r="BB21" s="763"/>
      <c r="BC21" s="763"/>
      <c r="BD21" s="763"/>
      <c r="BE21" s="763"/>
      <c r="BF21" s="763"/>
      <c r="BG21" s="763"/>
      <c r="BH21" s="763"/>
      <c r="BI21" s="763"/>
      <c r="BJ21" s="763"/>
      <c r="BK21" s="763"/>
      <c r="BL21" s="763"/>
      <c r="BM21" s="763"/>
      <c r="BN21" s="763"/>
      <c r="BO21" s="763"/>
      <c r="BP21" s="763"/>
      <c r="BQ21" s="763"/>
      <c r="BR21" s="763"/>
      <c r="BS21" s="763"/>
      <c r="BT21" s="763"/>
      <c r="BU21" s="763"/>
      <c r="BV21" s="763"/>
      <c r="BW21" s="763"/>
      <c r="BX21" s="763"/>
      <c r="BY21" s="763"/>
      <c r="BZ21" s="763"/>
      <c r="CA21" s="763"/>
      <c r="CB21" s="763"/>
      <c r="CC21" s="763"/>
      <c r="CD21" s="763"/>
      <c r="CE21" s="763"/>
      <c r="CF21" s="763"/>
      <c r="CG21" s="763"/>
      <c r="CH21" s="763"/>
      <c r="CI21" s="763"/>
      <c r="CJ21" s="763"/>
      <c r="CK21" s="763"/>
      <c r="CL21" s="763"/>
      <c r="CM21" s="763"/>
      <c r="CN21" s="763"/>
      <c r="CO21" s="763"/>
      <c r="CP21" s="763"/>
      <c r="CQ21" s="763"/>
      <c r="CR21" s="763"/>
      <c r="CS21" s="763"/>
      <c r="CT21" s="763"/>
      <c r="CU21" s="763"/>
      <c r="CV21" s="763"/>
      <c r="CW21" s="763"/>
      <c r="CX21" s="763"/>
      <c r="CY21" s="763"/>
      <c r="CZ21" s="763"/>
      <c r="DA21" s="763"/>
      <c r="DB21" s="763"/>
      <c r="DC21" s="763"/>
      <c r="DD21" s="763"/>
      <c r="DE21" s="763"/>
      <c r="DF21" s="763"/>
      <c r="DG21" s="763"/>
      <c r="DH21" s="763"/>
      <c r="DI21" s="763"/>
      <c r="DJ21" s="763"/>
      <c r="DK21" s="763"/>
      <c r="DL21" s="763"/>
      <c r="DM21" s="763"/>
      <c r="DN21" s="763"/>
      <c r="DO21" s="763"/>
      <c r="DP21" s="763"/>
      <c r="DQ21" s="763"/>
      <c r="DR21" s="763"/>
      <c r="DS21" s="763"/>
      <c r="DT21" s="763"/>
      <c r="DU21" s="763"/>
      <c r="DV21" s="763"/>
      <c r="DW21" s="763"/>
      <c r="DX21" s="763"/>
      <c r="DY21" s="763"/>
      <c r="DZ21" s="763"/>
      <c r="EA21" s="763"/>
      <c r="EB21" s="763"/>
    </row>
    <row r="22" spans="1:134" s="899" customFormat="1" ht="14.1" customHeight="1" x14ac:dyDescent="0.2">
      <c r="A22" s="426"/>
      <c r="B22" s="1320"/>
      <c r="C22" s="451" t="s">
        <v>1197</v>
      </c>
      <c r="D22" s="1333" t="s">
        <v>1198</v>
      </c>
      <c r="E22" s="1334"/>
      <c r="F22" s="701"/>
      <c r="G22" s="702" t="s">
        <v>1199</v>
      </c>
      <c r="H22" s="702"/>
      <c r="I22" s="704"/>
      <c r="J22" s="704"/>
      <c r="K22" s="704"/>
      <c r="L22" s="705"/>
      <c r="M22" s="706">
        <f t="shared" si="6"/>
        <v>0</v>
      </c>
      <c r="N22" s="706">
        <f t="shared" si="3"/>
        <v>0</v>
      </c>
      <c r="O22" s="707">
        <v>0.06</v>
      </c>
      <c r="P22" s="708">
        <f t="shared" si="4"/>
        <v>0</v>
      </c>
      <c r="Q22" s="709">
        <f t="shared" si="5"/>
        <v>0</v>
      </c>
      <c r="R22" s="1016"/>
      <c r="S22" s="1016"/>
      <c r="T22" s="1016"/>
      <c r="U22" s="1016"/>
      <c r="V22" s="1030">
        <f t="shared" si="0"/>
        <v>0</v>
      </c>
      <c r="W22" s="1032">
        <f t="shared" si="1"/>
        <v>0</v>
      </c>
      <c r="X22" s="1031">
        <f t="shared" si="2"/>
        <v>0</v>
      </c>
      <c r="Y22" s="1331"/>
      <c r="Z22" s="1331"/>
      <c r="AA22" s="1338"/>
      <c r="AB22" s="1331"/>
      <c r="AC22" s="1328"/>
      <c r="AD22" s="1331"/>
      <c r="AE22" s="1331"/>
      <c r="AF22" s="763"/>
      <c r="AG22" s="763"/>
      <c r="AH22" s="763"/>
      <c r="AI22" s="763"/>
      <c r="AJ22" s="763"/>
      <c r="AK22" s="763"/>
      <c r="AL22" s="763"/>
      <c r="AM22" s="763"/>
      <c r="AN22" s="763"/>
      <c r="AO22" s="763"/>
      <c r="AP22" s="763"/>
      <c r="AQ22" s="763"/>
      <c r="AR22" s="763"/>
      <c r="AS22" s="763"/>
      <c r="AT22" s="763"/>
      <c r="AU22" s="763"/>
      <c r="AV22" s="763"/>
      <c r="AW22" s="763"/>
      <c r="AX22" s="763"/>
      <c r="AY22" s="763"/>
      <c r="AZ22" s="763"/>
      <c r="BA22" s="763"/>
      <c r="BB22" s="763"/>
      <c r="BC22" s="763"/>
      <c r="BD22" s="763"/>
      <c r="BE22" s="763"/>
      <c r="BF22" s="763"/>
      <c r="BG22" s="763"/>
      <c r="BH22" s="763"/>
      <c r="BI22" s="763"/>
      <c r="BJ22" s="763"/>
      <c r="BK22" s="763"/>
      <c r="BL22" s="763"/>
      <c r="BM22" s="763"/>
      <c r="BN22" s="763"/>
      <c r="BO22" s="763"/>
      <c r="BP22" s="763"/>
      <c r="BQ22" s="763"/>
      <c r="BR22" s="763"/>
      <c r="BS22" s="763"/>
      <c r="BT22" s="763"/>
      <c r="BU22" s="763"/>
      <c r="BV22" s="763"/>
      <c r="BW22" s="763"/>
      <c r="BX22" s="763"/>
      <c r="BY22" s="763"/>
      <c r="BZ22" s="763"/>
      <c r="CA22" s="763"/>
      <c r="CB22" s="763"/>
      <c r="CC22" s="763"/>
      <c r="CD22" s="763"/>
      <c r="CE22" s="763"/>
      <c r="CF22" s="763"/>
      <c r="CG22" s="763"/>
      <c r="CH22" s="763"/>
      <c r="CI22" s="763"/>
      <c r="CJ22" s="763"/>
      <c r="CK22" s="763"/>
      <c r="CL22" s="763"/>
      <c r="CM22" s="763"/>
      <c r="CN22" s="763"/>
      <c r="CO22" s="763"/>
      <c r="CP22" s="763"/>
      <c r="CQ22" s="763"/>
      <c r="CR22" s="763"/>
      <c r="CS22" s="763"/>
      <c r="CT22" s="763"/>
      <c r="CU22" s="763"/>
      <c r="CV22" s="763"/>
      <c r="CW22" s="763"/>
      <c r="CX22" s="763"/>
      <c r="CY22" s="763"/>
      <c r="CZ22" s="763"/>
      <c r="DA22" s="763"/>
      <c r="DB22" s="763"/>
      <c r="DC22" s="763"/>
      <c r="DD22" s="763"/>
      <c r="DE22" s="763"/>
      <c r="DF22" s="763"/>
      <c r="DG22" s="763"/>
      <c r="DH22" s="763"/>
      <c r="DI22" s="763"/>
      <c r="DJ22" s="763"/>
      <c r="DK22" s="763"/>
      <c r="DL22" s="763"/>
      <c r="DM22" s="763"/>
      <c r="DN22" s="763"/>
      <c r="DO22" s="763"/>
      <c r="DP22" s="763"/>
      <c r="DQ22" s="763"/>
      <c r="DR22" s="763"/>
      <c r="DS22" s="763"/>
      <c r="DT22" s="763"/>
      <c r="DU22" s="763"/>
      <c r="DV22" s="763"/>
      <c r="DW22" s="763"/>
      <c r="DX22" s="763"/>
      <c r="DY22" s="763"/>
      <c r="DZ22" s="763"/>
      <c r="EA22" s="763"/>
      <c r="EB22" s="763"/>
    </row>
    <row r="23" spans="1:134" s="899" customFormat="1" ht="14.1" customHeight="1" x14ac:dyDescent="0.2">
      <c r="A23" s="426"/>
      <c r="B23" s="1320"/>
      <c r="C23" s="451"/>
      <c r="D23" s="1333" t="s">
        <v>1200</v>
      </c>
      <c r="E23" s="1334"/>
      <c r="F23" s="701"/>
      <c r="G23" s="702" t="s">
        <v>1201</v>
      </c>
      <c r="H23" s="702"/>
      <c r="I23" s="704"/>
      <c r="J23" s="704"/>
      <c r="K23" s="704"/>
      <c r="L23" s="705"/>
      <c r="M23" s="706">
        <f t="shared" si="6"/>
        <v>0</v>
      </c>
      <c r="N23" s="706">
        <f t="shared" si="3"/>
        <v>0</v>
      </c>
      <c r="O23" s="707">
        <v>0.08</v>
      </c>
      <c r="P23" s="708">
        <f t="shared" si="4"/>
        <v>0</v>
      </c>
      <c r="Q23" s="709">
        <f t="shared" si="5"/>
        <v>0</v>
      </c>
      <c r="R23" s="1016"/>
      <c r="S23" s="1016"/>
      <c r="T23" s="1016"/>
      <c r="U23" s="1016"/>
      <c r="V23" s="1030">
        <f t="shared" si="0"/>
        <v>0</v>
      </c>
      <c r="W23" s="1031">
        <f t="shared" si="1"/>
        <v>0</v>
      </c>
      <c r="X23" s="1031">
        <f t="shared" si="2"/>
        <v>0</v>
      </c>
      <c r="Y23" s="1331"/>
      <c r="Z23" s="1331"/>
      <c r="AA23" s="1338"/>
      <c r="AB23" s="1331"/>
      <c r="AC23" s="1328"/>
      <c r="AD23" s="1331"/>
      <c r="AE23" s="1331"/>
      <c r="AF23" s="763"/>
      <c r="AG23" s="763"/>
      <c r="AH23" s="763"/>
      <c r="AI23" s="763"/>
      <c r="AJ23" s="763"/>
      <c r="AK23" s="763"/>
      <c r="AL23" s="763"/>
      <c r="AM23" s="763"/>
      <c r="AN23" s="763"/>
      <c r="AO23" s="763"/>
      <c r="AP23" s="763"/>
      <c r="AQ23" s="763"/>
      <c r="AR23" s="763"/>
      <c r="AS23" s="763"/>
      <c r="AT23" s="763"/>
      <c r="AU23" s="763"/>
      <c r="AV23" s="763"/>
      <c r="AW23" s="763"/>
      <c r="AX23" s="763"/>
      <c r="AY23" s="763"/>
      <c r="AZ23" s="763"/>
      <c r="BA23" s="763"/>
      <c r="BB23" s="763"/>
      <c r="BC23" s="763"/>
      <c r="BD23" s="763"/>
      <c r="BE23" s="763"/>
      <c r="BF23" s="763"/>
      <c r="BG23" s="763"/>
      <c r="BH23" s="763"/>
      <c r="BI23" s="763"/>
      <c r="BJ23" s="763"/>
      <c r="BK23" s="763"/>
      <c r="BL23" s="763"/>
      <c r="BM23" s="763"/>
      <c r="BN23" s="763"/>
      <c r="BO23" s="763"/>
      <c r="BP23" s="763"/>
      <c r="BQ23" s="763"/>
      <c r="BR23" s="763"/>
      <c r="BS23" s="763"/>
      <c r="BT23" s="763"/>
      <c r="BU23" s="763"/>
      <c r="BV23" s="763"/>
      <c r="BW23" s="763"/>
      <c r="BX23" s="763"/>
      <c r="BY23" s="763"/>
      <c r="BZ23" s="763"/>
      <c r="CA23" s="763"/>
      <c r="CB23" s="763"/>
      <c r="CC23" s="763"/>
      <c r="CD23" s="763"/>
      <c r="CE23" s="763"/>
      <c r="CF23" s="763"/>
      <c r="CG23" s="763"/>
      <c r="CH23" s="763"/>
      <c r="CI23" s="763"/>
      <c r="CJ23" s="763"/>
      <c r="CK23" s="763"/>
      <c r="CL23" s="763"/>
      <c r="CM23" s="763"/>
      <c r="CN23" s="763"/>
      <c r="CO23" s="763"/>
      <c r="CP23" s="763"/>
      <c r="CQ23" s="763"/>
      <c r="CR23" s="763"/>
      <c r="CS23" s="763"/>
      <c r="CT23" s="763"/>
      <c r="CU23" s="763"/>
      <c r="CV23" s="763"/>
      <c r="CW23" s="763"/>
      <c r="CX23" s="763"/>
      <c r="CY23" s="763"/>
      <c r="CZ23" s="763"/>
      <c r="DA23" s="763"/>
      <c r="DB23" s="763"/>
      <c r="DC23" s="763"/>
      <c r="DD23" s="763"/>
      <c r="DE23" s="763"/>
      <c r="DF23" s="763"/>
      <c r="DG23" s="763"/>
      <c r="DH23" s="763"/>
      <c r="DI23" s="763"/>
      <c r="DJ23" s="763"/>
      <c r="DK23" s="763"/>
      <c r="DL23" s="763"/>
      <c r="DM23" s="763"/>
      <c r="DN23" s="763"/>
      <c r="DO23" s="763"/>
      <c r="DP23" s="763"/>
      <c r="DQ23" s="763"/>
      <c r="DR23" s="763"/>
      <c r="DS23" s="763"/>
      <c r="DT23" s="763"/>
      <c r="DU23" s="763"/>
      <c r="DV23" s="763"/>
      <c r="DW23" s="763"/>
      <c r="DX23" s="763"/>
      <c r="DY23" s="763"/>
      <c r="DZ23" s="763"/>
      <c r="EA23" s="763"/>
      <c r="EB23" s="763"/>
    </row>
    <row r="24" spans="1:134" s="899" customFormat="1" ht="14.1" customHeight="1" thickBot="1" x14ac:dyDescent="0.25">
      <c r="A24" s="426"/>
      <c r="B24" s="1326"/>
      <c r="C24" s="728"/>
      <c r="D24" s="1372" t="s">
        <v>1197</v>
      </c>
      <c r="E24" s="1373"/>
      <c r="F24" s="768"/>
      <c r="G24" s="714" t="s">
        <v>1202</v>
      </c>
      <c r="H24" s="714"/>
      <c r="I24" s="729"/>
      <c r="J24" s="729"/>
      <c r="K24" s="729"/>
      <c r="L24" s="730"/>
      <c r="M24" s="715">
        <f t="shared" si="6"/>
        <v>0</v>
      </c>
      <c r="N24" s="715">
        <f t="shared" si="3"/>
        <v>0</v>
      </c>
      <c r="O24" s="731">
        <v>0.125</v>
      </c>
      <c r="P24" s="716">
        <f t="shared" si="4"/>
        <v>0</v>
      </c>
      <c r="Q24" s="717">
        <f t="shared" si="5"/>
        <v>0</v>
      </c>
      <c r="R24" s="1016"/>
      <c r="S24" s="1016"/>
      <c r="T24" s="1016"/>
      <c r="U24" s="1016"/>
      <c r="V24" s="1030">
        <f t="shared" si="0"/>
        <v>0</v>
      </c>
      <c r="W24" s="1031">
        <f t="shared" si="1"/>
        <v>0</v>
      </c>
      <c r="X24" s="1031">
        <f>IF(Q24&gt;P24,Q24-P24,0)</f>
        <v>0</v>
      </c>
      <c r="Y24" s="1332"/>
      <c r="Z24" s="1332"/>
      <c r="AA24" s="1339"/>
      <c r="AB24" s="1332"/>
      <c r="AC24" s="1329"/>
      <c r="AD24" s="1332"/>
      <c r="AE24" s="1332"/>
      <c r="AF24" s="763"/>
      <c r="AG24" s="763"/>
      <c r="AH24" s="763"/>
      <c r="AI24" s="763"/>
      <c r="AJ24" s="763"/>
      <c r="AK24" s="763"/>
      <c r="AL24" s="763"/>
      <c r="AM24" s="763"/>
      <c r="AN24" s="763"/>
      <c r="AO24" s="763"/>
      <c r="AP24" s="763"/>
      <c r="AQ24" s="763"/>
      <c r="AR24" s="763"/>
      <c r="AS24" s="763"/>
      <c r="AT24" s="763"/>
      <c r="AU24" s="763"/>
      <c r="AV24" s="763"/>
      <c r="AW24" s="763"/>
      <c r="AX24" s="763"/>
      <c r="AY24" s="763"/>
      <c r="AZ24" s="763"/>
      <c r="BA24" s="763"/>
      <c r="BB24" s="763"/>
      <c r="BC24" s="763"/>
      <c r="BD24" s="763"/>
      <c r="BE24" s="763"/>
      <c r="BF24" s="763"/>
      <c r="BG24" s="763"/>
      <c r="BH24" s="763"/>
      <c r="BI24" s="763"/>
      <c r="BJ24" s="763"/>
      <c r="BK24" s="763"/>
      <c r="BL24" s="763"/>
      <c r="BM24" s="763"/>
      <c r="BN24" s="763"/>
      <c r="BO24" s="763"/>
      <c r="BP24" s="763"/>
      <c r="BQ24" s="763"/>
      <c r="BR24" s="763"/>
      <c r="BS24" s="763"/>
      <c r="BT24" s="763"/>
      <c r="BU24" s="763"/>
      <c r="BV24" s="763"/>
      <c r="BW24" s="763"/>
      <c r="BX24" s="763"/>
      <c r="BY24" s="763"/>
      <c r="BZ24" s="763"/>
      <c r="CA24" s="763"/>
      <c r="CB24" s="763"/>
      <c r="CC24" s="763"/>
      <c r="CD24" s="763"/>
      <c r="CE24" s="763"/>
      <c r="CF24" s="763"/>
      <c r="CG24" s="763"/>
      <c r="CH24" s="763"/>
      <c r="CI24" s="763"/>
      <c r="CJ24" s="763"/>
      <c r="CK24" s="763"/>
      <c r="CL24" s="763"/>
      <c r="CM24" s="763"/>
      <c r="CN24" s="763"/>
      <c r="CO24" s="763"/>
      <c r="CP24" s="763"/>
      <c r="CQ24" s="763"/>
      <c r="CR24" s="763"/>
      <c r="CS24" s="763"/>
      <c r="CT24" s="763"/>
      <c r="CU24" s="763"/>
      <c r="CV24" s="763"/>
      <c r="CW24" s="763"/>
      <c r="CX24" s="763"/>
      <c r="CY24" s="763"/>
      <c r="CZ24" s="763"/>
      <c r="DA24" s="763"/>
      <c r="DB24" s="763"/>
      <c r="DC24" s="763"/>
      <c r="DD24" s="763"/>
      <c r="DE24" s="763"/>
      <c r="DF24" s="763"/>
      <c r="DG24" s="763"/>
      <c r="DH24" s="763"/>
      <c r="DI24" s="763"/>
      <c r="DJ24" s="763"/>
      <c r="DK24" s="763"/>
      <c r="DL24" s="763"/>
      <c r="DM24" s="763"/>
      <c r="DN24" s="763"/>
      <c r="DO24" s="763"/>
      <c r="DP24" s="763"/>
      <c r="DQ24" s="763"/>
      <c r="DR24" s="763"/>
      <c r="DS24" s="763"/>
      <c r="DT24" s="763"/>
      <c r="DU24" s="763"/>
      <c r="DV24" s="763"/>
      <c r="DW24" s="763"/>
      <c r="DX24" s="763"/>
      <c r="DY24" s="763"/>
      <c r="DZ24" s="763"/>
      <c r="EA24" s="763"/>
      <c r="EB24" s="763"/>
    </row>
    <row r="25" spans="1:134" s="905" customFormat="1" x14ac:dyDescent="0.2">
      <c r="A25" s="350"/>
      <c r="B25" s="732"/>
      <c r="C25" s="1345" t="s">
        <v>1411</v>
      </c>
      <c r="D25" s="1345"/>
      <c r="E25" s="1346"/>
      <c r="F25" s="775"/>
      <c r="G25" s="735" t="s">
        <v>1203</v>
      </c>
      <c r="H25" s="735"/>
      <c r="I25" s="736">
        <f t="shared" ref="I25:N25" si="7">SUM(I10:I24)</f>
        <v>0</v>
      </c>
      <c r="J25" s="736">
        <f t="shared" si="7"/>
        <v>0</v>
      </c>
      <c r="K25" s="736">
        <f t="shared" si="7"/>
        <v>0</v>
      </c>
      <c r="L25" s="736">
        <f t="shared" si="7"/>
        <v>0</v>
      </c>
      <c r="M25" s="736">
        <f t="shared" si="7"/>
        <v>0</v>
      </c>
      <c r="N25" s="736">
        <f t="shared" si="7"/>
        <v>0</v>
      </c>
      <c r="O25" s="737"/>
      <c r="P25" s="719">
        <f>SUM(P10:P24)</f>
        <v>0</v>
      </c>
      <c r="Q25" s="720">
        <f>SUM(Q10:Q24)</f>
        <v>0</v>
      </c>
      <c r="R25" s="1016"/>
      <c r="S25" s="1016"/>
      <c r="T25" s="1016"/>
      <c r="U25" s="1016"/>
      <c r="V25" s="1033"/>
      <c r="W25" s="904"/>
      <c r="X25" s="904"/>
      <c r="Y25" s="904"/>
      <c r="Z25" s="904"/>
      <c r="AA25" s="904"/>
      <c r="AB25" s="904"/>
      <c r="AC25" s="904"/>
      <c r="AD25" s="904"/>
      <c r="AE25" s="904"/>
      <c r="AF25" s="904"/>
      <c r="AG25" s="904"/>
      <c r="AH25" s="904"/>
      <c r="AI25" s="904"/>
      <c r="AJ25" s="904"/>
      <c r="AK25" s="904"/>
      <c r="AL25" s="904"/>
      <c r="AM25" s="904"/>
      <c r="AN25" s="904"/>
      <c r="AO25" s="904"/>
      <c r="AP25" s="904"/>
      <c r="AQ25" s="904"/>
      <c r="AR25" s="904"/>
      <c r="AS25" s="904"/>
      <c r="AT25" s="904"/>
      <c r="AU25" s="904"/>
      <c r="AV25" s="904"/>
      <c r="AW25" s="904"/>
      <c r="AX25" s="904"/>
      <c r="AY25" s="904"/>
      <c r="AZ25" s="904"/>
      <c r="BA25" s="904"/>
      <c r="BB25" s="904"/>
      <c r="BC25" s="904"/>
      <c r="BD25" s="904"/>
      <c r="BE25" s="904"/>
      <c r="BF25" s="904"/>
      <c r="BG25" s="904"/>
      <c r="BH25" s="904"/>
      <c r="BI25" s="904"/>
      <c r="BJ25" s="904"/>
      <c r="BK25" s="904"/>
      <c r="BL25" s="904"/>
      <c r="BM25" s="904"/>
      <c r="BN25" s="904"/>
      <c r="BO25" s="904"/>
      <c r="BP25" s="904"/>
      <c r="BQ25" s="904"/>
      <c r="BR25" s="904"/>
      <c r="BS25" s="904"/>
      <c r="BT25" s="904"/>
      <c r="BU25" s="904"/>
      <c r="BV25" s="904"/>
      <c r="BW25" s="904"/>
      <c r="BX25" s="904"/>
      <c r="BY25" s="904"/>
      <c r="BZ25" s="904"/>
      <c r="CA25" s="904"/>
      <c r="CB25" s="904"/>
      <c r="CC25" s="904"/>
      <c r="CD25" s="904"/>
      <c r="CE25" s="904"/>
      <c r="CF25" s="904"/>
      <c r="CG25" s="904"/>
      <c r="CH25" s="904"/>
      <c r="CI25" s="904"/>
      <c r="CJ25" s="904"/>
      <c r="CK25" s="904"/>
      <c r="CL25" s="904"/>
      <c r="CM25" s="904"/>
      <c r="CN25" s="904"/>
      <c r="CO25" s="904"/>
      <c r="CP25" s="904"/>
      <c r="CQ25" s="904"/>
      <c r="CR25" s="904"/>
      <c r="CS25" s="904"/>
      <c r="CT25" s="904"/>
      <c r="CU25" s="904"/>
      <c r="CV25" s="904"/>
      <c r="CW25" s="904"/>
      <c r="CX25" s="904"/>
      <c r="CY25" s="904"/>
      <c r="CZ25" s="904"/>
      <c r="DA25" s="904"/>
      <c r="DB25" s="904"/>
      <c r="DC25" s="904"/>
      <c r="DD25" s="904"/>
      <c r="DE25" s="904"/>
      <c r="DF25" s="904"/>
      <c r="DG25" s="904"/>
      <c r="DH25" s="904"/>
      <c r="DI25" s="904"/>
      <c r="DJ25" s="904"/>
      <c r="DK25" s="904"/>
      <c r="DL25" s="904"/>
      <c r="DM25" s="904"/>
      <c r="DN25" s="904"/>
      <c r="DO25" s="904"/>
      <c r="DP25" s="904"/>
      <c r="DQ25" s="904"/>
      <c r="DR25" s="904"/>
      <c r="DS25" s="904"/>
      <c r="DT25" s="904"/>
      <c r="DU25" s="904"/>
      <c r="DV25" s="904"/>
      <c r="DW25" s="904"/>
      <c r="DX25" s="904"/>
      <c r="DY25" s="904"/>
      <c r="DZ25" s="904"/>
      <c r="EA25" s="904"/>
      <c r="EB25" s="904"/>
      <c r="EC25" s="904"/>
    </row>
    <row r="26" spans="1:134" s="899" customFormat="1" ht="14.1" customHeight="1" x14ac:dyDescent="0.2">
      <c r="A26" s="426"/>
      <c r="B26" s="738"/>
      <c r="C26" s="1348" t="s">
        <v>1204</v>
      </c>
      <c r="D26" s="1348"/>
      <c r="E26" s="740"/>
      <c r="F26" s="739"/>
      <c r="G26" s="741" t="s">
        <v>1205</v>
      </c>
      <c r="H26" s="742"/>
      <c r="I26" s="743"/>
      <c r="J26" s="743"/>
      <c r="K26" s="743"/>
      <c r="L26" s="743"/>
      <c r="M26" s="743"/>
      <c r="N26" s="743"/>
      <c r="O26" s="744"/>
      <c r="P26" s="1350">
        <f>IF(P25&gt;Q25,P25-Q25,Q25-P25)</f>
        <v>0</v>
      </c>
      <c r="Q26" s="1351"/>
      <c r="R26" s="1034"/>
      <c r="S26" s="1034"/>
      <c r="T26" s="1034"/>
      <c r="U26" s="1034"/>
      <c r="V26" s="1035"/>
      <c r="W26" s="763"/>
      <c r="X26" s="763"/>
      <c r="Y26" s="763"/>
      <c r="Z26" s="763"/>
      <c r="AA26" s="763"/>
      <c r="AB26" s="763"/>
      <c r="AC26" s="763"/>
      <c r="AD26" s="763"/>
      <c r="AE26" s="763"/>
      <c r="AF26" s="763"/>
      <c r="AG26" s="763"/>
      <c r="AH26" s="763"/>
      <c r="AI26" s="763"/>
      <c r="AJ26" s="763"/>
      <c r="AK26" s="763"/>
      <c r="AL26" s="763"/>
      <c r="AM26" s="763"/>
      <c r="AN26" s="763"/>
      <c r="AO26" s="763"/>
      <c r="AP26" s="763"/>
      <c r="AQ26" s="763"/>
      <c r="AR26" s="763"/>
      <c r="AS26" s="763"/>
      <c r="AT26" s="763"/>
      <c r="AU26" s="763"/>
      <c r="AV26" s="763"/>
      <c r="AW26" s="763"/>
      <c r="AX26" s="763"/>
      <c r="AY26" s="763"/>
      <c r="AZ26" s="763"/>
      <c r="BA26" s="763"/>
      <c r="BB26" s="763"/>
      <c r="BC26" s="763"/>
      <c r="BD26" s="763"/>
      <c r="BE26" s="763"/>
      <c r="BF26" s="763"/>
      <c r="BG26" s="763"/>
      <c r="BH26" s="763"/>
      <c r="BI26" s="763"/>
      <c r="BJ26" s="763"/>
      <c r="BK26" s="763"/>
      <c r="BL26" s="763"/>
      <c r="BM26" s="763"/>
      <c r="BN26" s="763"/>
      <c r="BO26" s="763"/>
      <c r="BP26" s="763"/>
      <c r="BQ26" s="763"/>
      <c r="BR26" s="763"/>
      <c r="BS26" s="763"/>
      <c r="BT26" s="763"/>
      <c r="BU26" s="763"/>
      <c r="BV26" s="763"/>
      <c r="BW26" s="763"/>
      <c r="BX26" s="763"/>
      <c r="BY26" s="763"/>
      <c r="BZ26" s="763"/>
      <c r="CA26" s="763"/>
      <c r="CB26" s="763"/>
      <c r="CC26" s="763"/>
      <c r="CD26" s="763"/>
      <c r="CE26" s="763"/>
      <c r="CF26" s="763"/>
      <c r="CG26" s="763"/>
      <c r="CH26" s="763"/>
      <c r="CI26" s="763"/>
      <c r="CJ26" s="763"/>
      <c r="CK26" s="763"/>
      <c r="CL26" s="763"/>
      <c r="CM26" s="763"/>
      <c r="CN26" s="763"/>
      <c r="CO26" s="763"/>
      <c r="CP26" s="763"/>
      <c r="CQ26" s="763"/>
      <c r="CR26" s="763"/>
      <c r="CS26" s="763"/>
      <c r="CT26" s="763"/>
      <c r="CU26" s="763"/>
      <c r="CV26" s="763"/>
      <c r="CW26" s="763"/>
      <c r="CX26" s="763"/>
      <c r="CY26" s="763"/>
      <c r="CZ26" s="763"/>
      <c r="DA26" s="763"/>
      <c r="DB26" s="763"/>
      <c r="DC26" s="763"/>
      <c r="DD26" s="763"/>
      <c r="DE26" s="763"/>
      <c r="DF26" s="763"/>
      <c r="DG26" s="763"/>
      <c r="DH26" s="763"/>
      <c r="DI26" s="763"/>
      <c r="DJ26" s="763"/>
      <c r="DK26" s="763"/>
      <c r="DL26" s="763"/>
      <c r="DM26" s="763"/>
      <c r="DN26" s="763"/>
      <c r="DO26" s="763"/>
      <c r="DP26" s="763"/>
      <c r="DQ26" s="763"/>
      <c r="DR26" s="763"/>
      <c r="DS26" s="763"/>
      <c r="DT26" s="763"/>
      <c r="DU26" s="763"/>
      <c r="DV26" s="763"/>
      <c r="DW26" s="763"/>
      <c r="DX26" s="763"/>
      <c r="DY26" s="763"/>
      <c r="DZ26" s="763"/>
      <c r="EA26" s="763"/>
      <c r="EB26" s="763"/>
      <c r="EC26" s="763"/>
    </row>
    <row r="27" spans="1:134" s="899" customFormat="1" ht="14.1" customHeight="1" x14ac:dyDescent="0.2">
      <c r="A27" s="426"/>
      <c r="B27" s="745"/>
      <c r="C27" s="746"/>
      <c r="D27" s="746"/>
      <c r="E27" s="770"/>
      <c r="F27" s="746"/>
      <c r="G27" s="747"/>
      <c r="H27" s="747"/>
      <c r="I27" s="748"/>
      <c r="J27" s="748"/>
      <c r="K27" s="748"/>
      <c r="L27" s="748"/>
      <c r="M27" s="748"/>
      <c r="N27" s="748"/>
      <c r="O27" s="749"/>
      <c r="P27" s="750"/>
      <c r="Q27" s="751"/>
      <c r="R27" s="1034"/>
      <c r="S27" s="1034"/>
      <c r="T27" s="1034"/>
      <c r="U27" s="1034"/>
      <c r="V27" s="1035"/>
      <c r="W27" s="763"/>
      <c r="X27" s="763"/>
      <c r="Y27" s="763"/>
      <c r="Z27" s="763"/>
      <c r="AA27" s="763"/>
      <c r="AB27" s="763"/>
      <c r="AC27" s="763"/>
      <c r="AD27" s="763"/>
      <c r="AE27" s="763"/>
      <c r="AF27" s="763"/>
      <c r="AG27" s="763"/>
      <c r="AH27" s="763"/>
      <c r="AI27" s="763"/>
      <c r="AJ27" s="763"/>
      <c r="AK27" s="763"/>
      <c r="AL27" s="763"/>
      <c r="AM27" s="763"/>
      <c r="AN27" s="763"/>
      <c r="AO27" s="763"/>
      <c r="AP27" s="763"/>
      <c r="AQ27" s="763"/>
      <c r="AR27" s="763"/>
      <c r="AS27" s="763"/>
      <c r="AT27" s="763"/>
      <c r="AU27" s="763"/>
      <c r="AV27" s="763"/>
      <c r="AW27" s="763"/>
      <c r="AX27" s="763"/>
      <c r="AY27" s="763"/>
      <c r="AZ27" s="763"/>
      <c r="BA27" s="763"/>
      <c r="BB27" s="763"/>
      <c r="BC27" s="763"/>
      <c r="BD27" s="763"/>
      <c r="BE27" s="763"/>
      <c r="BF27" s="763"/>
      <c r="BG27" s="763"/>
      <c r="BH27" s="763"/>
      <c r="BI27" s="763"/>
      <c r="BJ27" s="763"/>
      <c r="BK27" s="763"/>
      <c r="BL27" s="763"/>
      <c r="BM27" s="763"/>
      <c r="BN27" s="763"/>
      <c r="BO27" s="763"/>
      <c r="BP27" s="763"/>
      <c r="BQ27" s="763"/>
      <c r="BR27" s="763"/>
      <c r="BS27" s="763"/>
      <c r="BT27" s="763"/>
      <c r="BU27" s="763"/>
      <c r="BV27" s="763"/>
      <c r="BW27" s="763"/>
      <c r="BX27" s="763"/>
      <c r="BY27" s="763"/>
      <c r="BZ27" s="763"/>
      <c r="CA27" s="763"/>
      <c r="CB27" s="763"/>
      <c r="CC27" s="763"/>
      <c r="CD27" s="763"/>
      <c r="CE27" s="763"/>
      <c r="CF27" s="763"/>
      <c r="CG27" s="763"/>
      <c r="CH27" s="763"/>
      <c r="CI27" s="763"/>
      <c r="CJ27" s="763"/>
      <c r="CK27" s="763"/>
      <c r="CL27" s="763"/>
      <c r="CM27" s="763"/>
      <c r="CN27" s="763"/>
      <c r="CO27" s="763"/>
      <c r="CP27" s="763"/>
      <c r="CQ27" s="763"/>
      <c r="CR27" s="763"/>
      <c r="CS27" s="763"/>
      <c r="CT27" s="763"/>
      <c r="CU27" s="763"/>
      <c r="CV27" s="763"/>
      <c r="CW27" s="763"/>
      <c r="CX27" s="763"/>
      <c r="CY27" s="763"/>
      <c r="CZ27" s="763"/>
      <c r="DA27" s="763"/>
      <c r="DB27" s="763"/>
      <c r="DC27" s="763"/>
      <c r="DD27" s="763"/>
      <c r="DE27" s="763"/>
      <c r="DF27" s="763"/>
      <c r="DG27" s="763"/>
      <c r="DH27" s="763"/>
      <c r="DI27" s="763"/>
      <c r="DJ27" s="763"/>
      <c r="DK27" s="763"/>
      <c r="DL27" s="763"/>
      <c r="DM27" s="763"/>
      <c r="DN27" s="763"/>
      <c r="DO27" s="763"/>
      <c r="DP27" s="763"/>
      <c r="DQ27" s="763"/>
      <c r="DR27" s="763"/>
      <c r="DS27" s="763"/>
      <c r="DT27" s="763"/>
      <c r="DU27" s="763"/>
      <c r="DV27" s="763"/>
      <c r="DW27" s="763"/>
      <c r="DX27" s="763"/>
      <c r="DY27" s="763"/>
      <c r="DZ27" s="763"/>
      <c r="EA27" s="763"/>
      <c r="EB27" s="763"/>
      <c r="EC27" s="763"/>
    </row>
    <row r="28" spans="1:134" s="899" customFormat="1" ht="18.75" customHeight="1" x14ac:dyDescent="0.2">
      <c r="A28" s="426"/>
      <c r="B28" s="1374" t="s">
        <v>350</v>
      </c>
      <c r="C28" s="1375"/>
      <c r="D28" s="1376"/>
      <c r="E28" s="752"/>
      <c r="F28" s="752"/>
      <c r="G28" s="752"/>
      <c r="H28" s="752"/>
      <c r="I28" s="1362" t="s">
        <v>1207</v>
      </c>
      <c r="J28" s="1363" t="s">
        <v>1208</v>
      </c>
      <c r="K28" s="1364"/>
      <c r="L28" s="1365"/>
      <c r="M28" s="1363" t="s">
        <v>1209</v>
      </c>
      <c r="N28" s="1364"/>
      <c r="O28" s="1365"/>
      <c r="P28" s="1340" t="s">
        <v>1210</v>
      </c>
      <c r="Q28" s="1342" t="s">
        <v>1211</v>
      </c>
      <c r="R28" s="1036"/>
      <c r="S28" s="1037"/>
      <c r="T28" s="1037"/>
      <c r="U28" s="1037"/>
      <c r="V28" s="1037"/>
      <c r="W28" s="1035"/>
      <c r="X28" s="763"/>
      <c r="Y28" s="763"/>
      <c r="Z28" s="763"/>
      <c r="AA28" s="1038"/>
      <c r="AB28" s="1039"/>
      <c r="AC28" s="763"/>
      <c r="AD28" s="763"/>
      <c r="AE28" s="763"/>
      <c r="AF28" s="763"/>
      <c r="AG28" s="763"/>
      <c r="AH28" s="763"/>
      <c r="AI28" s="763"/>
      <c r="AJ28" s="763"/>
      <c r="AK28" s="763"/>
      <c r="AL28" s="763"/>
      <c r="AM28" s="763"/>
      <c r="AN28" s="763"/>
      <c r="AO28" s="763"/>
      <c r="AP28" s="763"/>
      <c r="AQ28" s="763"/>
      <c r="AR28" s="763"/>
      <c r="AS28" s="763"/>
      <c r="AT28" s="763"/>
      <c r="AU28" s="763"/>
      <c r="AV28" s="763"/>
      <c r="AW28" s="763"/>
      <c r="AX28" s="763"/>
      <c r="AY28" s="763"/>
      <c r="AZ28" s="763"/>
      <c r="BA28" s="763"/>
      <c r="BB28" s="763"/>
      <c r="BC28" s="763"/>
      <c r="BD28" s="763"/>
      <c r="BE28" s="763"/>
      <c r="BF28" s="763"/>
      <c r="BG28" s="763"/>
      <c r="BH28" s="763"/>
      <c r="BI28" s="763"/>
      <c r="BJ28" s="763"/>
      <c r="BK28" s="763"/>
      <c r="BL28" s="763"/>
      <c r="BM28" s="763"/>
      <c r="BN28" s="763"/>
      <c r="BO28" s="763"/>
      <c r="BP28" s="763"/>
      <c r="BQ28" s="763"/>
      <c r="BR28" s="763"/>
      <c r="BS28" s="763"/>
      <c r="BT28" s="763"/>
      <c r="BU28" s="763"/>
      <c r="BV28" s="763"/>
      <c r="BW28" s="763"/>
      <c r="BX28" s="763"/>
      <c r="BY28" s="763"/>
      <c r="BZ28" s="763"/>
      <c r="CA28" s="763"/>
      <c r="CB28" s="763"/>
      <c r="CC28" s="763"/>
      <c r="CD28" s="763"/>
      <c r="CE28" s="763"/>
      <c r="CF28" s="763"/>
      <c r="CG28" s="763"/>
      <c r="CH28" s="763"/>
      <c r="CI28" s="763"/>
      <c r="CJ28" s="763"/>
      <c r="CK28" s="763"/>
      <c r="CL28" s="763"/>
      <c r="CM28" s="763"/>
      <c r="CN28" s="763"/>
      <c r="CO28" s="763"/>
      <c r="CP28" s="763"/>
      <c r="CQ28" s="763"/>
      <c r="CR28" s="763"/>
      <c r="CS28" s="763"/>
      <c r="CT28" s="763"/>
      <c r="CU28" s="763"/>
      <c r="CV28" s="763"/>
      <c r="CW28" s="763"/>
      <c r="CX28" s="763"/>
      <c r="CY28" s="763"/>
      <c r="CZ28" s="763"/>
      <c r="DA28" s="763"/>
      <c r="DB28" s="763"/>
      <c r="DC28" s="763"/>
      <c r="DD28" s="763"/>
      <c r="DE28" s="763"/>
      <c r="DF28" s="763"/>
      <c r="DG28" s="763"/>
      <c r="DH28" s="763"/>
      <c r="DI28" s="763"/>
      <c r="DJ28" s="763"/>
      <c r="DK28" s="763"/>
      <c r="DL28" s="763"/>
      <c r="DM28" s="763"/>
      <c r="DN28" s="763"/>
      <c r="DO28" s="763"/>
      <c r="DP28" s="763"/>
      <c r="DQ28" s="763"/>
      <c r="DR28" s="763"/>
      <c r="DS28" s="763"/>
      <c r="DT28" s="763"/>
      <c r="DU28" s="763"/>
      <c r="DV28" s="763"/>
      <c r="DW28" s="763"/>
      <c r="DX28" s="763"/>
      <c r="DY28" s="763"/>
      <c r="DZ28" s="763"/>
      <c r="EA28" s="763"/>
      <c r="EB28" s="763"/>
      <c r="EC28" s="763"/>
      <c r="ED28" s="763"/>
    </row>
    <row r="29" spans="1:134" s="899" customFormat="1" ht="19.5" customHeight="1" x14ac:dyDescent="0.2">
      <c r="A29" s="426"/>
      <c r="B29" s="1377"/>
      <c r="C29" s="1378"/>
      <c r="D29" s="1379"/>
      <c r="E29" s="754"/>
      <c r="F29" s="754"/>
      <c r="G29" s="754"/>
      <c r="H29" s="754"/>
      <c r="I29" s="1362"/>
      <c r="J29" s="753" t="s">
        <v>1212</v>
      </c>
      <c r="K29" s="753" t="s">
        <v>1213</v>
      </c>
      <c r="L29" s="753" t="s">
        <v>1214</v>
      </c>
      <c r="M29" s="755" t="s">
        <v>1215</v>
      </c>
      <c r="N29" s="755" t="s">
        <v>1216</v>
      </c>
      <c r="O29" s="755" t="s">
        <v>1217</v>
      </c>
      <c r="P29" s="1341"/>
      <c r="Q29" s="1343"/>
      <c r="R29" s="1036"/>
      <c r="S29" s="1037"/>
      <c r="T29" s="1037"/>
      <c r="U29" s="1037"/>
      <c r="V29" s="1037"/>
      <c r="W29" s="1035"/>
      <c r="Z29" s="763"/>
      <c r="AA29" s="1038"/>
      <c r="AB29" s="1038"/>
      <c r="AC29" s="763"/>
      <c r="AD29" s="763"/>
      <c r="AE29" s="763"/>
      <c r="AF29" s="763"/>
      <c r="AG29" s="763"/>
      <c r="AH29" s="763"/>
      <c r="AI29" s="763"/>
      <c r="AJ29" s="763"/>
      <c r="AK29" s="763"/>
      <c r="AL29" s="763"/>
      <c r="AM29" s="763"/>
      <c r="AN29" s="763"/>
      <c r="AO29" s="763"/>
      <c r="AP29" s="763"/>
      <c r="AQ29" s="763"/>
      <c r="AR29" s="763"/>
      <c r="AS29" s="763"/>
      <c r="AT29" s="763"/>
      <c r="AU29" s="763"/>
      <c r="AV29" s="763"/>
      <c r="AW29" s="763"/>
      <c r="AX29" s="763"/>
      <c r="AY29" s="763"/>
      <c r="AZ29" s="763"/>
      <c r="BA29" s="763"/>
      <c r="BB29" s="763"/>
      <c r="BC29" s="763"/>
      <c r="BD29" s="763"/>
      <c r="BE29" s="763"/>
      <c r="BF29" s="763"/>
      <c r="BG29" s="763"/>
      <c r="BH29" s="763"/>
      <c r="BI29" s="763"/>
      <c r="BJ29" s="763"/>
      <c r="BK29" s="763"/>
      <c r="BL29" s="763"/>
      <c r="BM29" s="763"/>
      <c r="BN29" s="763"/>
      <c r="BO29" s="763"/>
      <c r="BP29" s="763"/>
      <c r="BQ29" s="763"/>
      <c r="BR29" s="763"/>
      <c r="BS29" s="763"/>
      <c r="BT29" s="763"/>
      <c r="BU29" s="763"/>
      <c r="BV29" s="763"/>
      <c r="BW29" s="763"/>
      <c r="BX29" s="763"/>
      <c r="BY29" s="763"/>
      <c r="BZ29" s="763"/>
      <c r="CA29" s="763"/>
      <c r="CB29" s="763"/>
      <c r="CC29" s="763"/>
      <c r="CD29" s="763"/>
      <c r="CE29" s="763"/>
      <c r="CF29" s="763"/>
      <c r="CG29" s="763"/>
      <c r="CH29" s="763"/>
      <c r="CI29" s="763"/>
      <c r="CJ29" s="763"/>
      <c r="CK29" s="763"/>
      <c r="CL29" s="763"/>
      <c r="CM29" s="763"/>
      <c r="CN29" s="763"/>
      <c r="CO29" s="763"/>
      <c r="CP29" s="763"/>
      <c r="CQ29" s="763"/>
      <c r="CR29" s="763"/>
      <c r="CS29" s="763"/>
      <c r="CT29" s="763"/>
      <c r="CU29" s="763"/>
      <c r="CV29" s="763"/>
      <c r="CW29" s="763"/>
      <c r="CX29" s="763"/>
      <c r="CY29" s="763"/>
      <c r="CZ29" s="763"/>
      <c r="DA29" s="763"/>
      <c r="DB29" s="763"/>
      <c r="DC29" s="763"/>
      <c r="DD29" s="763"/>
      <c r="DE29" s="763"/>
      <c r="DF29" s="763"/>
      <c r="DG29" s="763"/>
      <c r="DH29" s="763"/>
      <c r="DI29" s="763"/>
      <c r="DJ29" s="763"/>
      <c r="DK29" s="763"/>
      <c r="DL29" s="763"/>
      <c r="DM29" s="763"/>
      <c r="DN29" s="763"/>
      <c r="DO29" s="763"/>
      <c r="DP29" s="763"/>
      <c r="DQ29" s="763"/>
      <c r="DR29" s="763"/>
      <c r="DS29" s="763"/>
      <c r="DT29" s="763"/>
      <c r="DU29" s="763"/>
      <c r="DV29" s="763"/>
      <c r="DW29" s="763"/>
      <c r="DX29" s="763"/>
      <c r="DY29" s="763"/>
      <c r="DZ29" s="763"/>
      <c r="EA29" s="763"/>
      <c r="EB29" s="763"/>
      <c r="EC29" s="763"/>
      <c r="ED29" s="763"/>
    </row>
    <row r="30" spans="1:134" s="899" customFormat="1" ht="15.95" customHeight="1" thickBot="1" x14ac:dyDescent="0.25">
      <c r="A30" s="426"/>
      <c r="B30" s="1352" t="s">
        <v>1218</v>
      </c>
      <c r="C30" s="1353"/>
      <c r="D30" s="1354"/>
      <c r="E30" s="756"/>
      <c r="F30" s="756"/>
      <c r="G30" s="757" t="s">
        <v>1636</v>
      </c>
      <c r="H30" s="757"/>
      <c r="I30" s="716">
        <f>SUM(V10:V24)</f>
        <v>0</v>
      </c>
      <c r="J30" s="716">
        <f>Y10</f>
        <v>0</v>
      </c>
      <c r="K30" s="716">
        <f>Y14</f>
        <v>0</v>
      </c>
      <c r="L30" s="716">
        <f>Y17</f>
        <v>0</v>
      </c>
      <c r="M30" s="716">
        <f>AA10</f>
        <v>0</v>
      </c>
      <c r="N30" s="716">
        <f>AC14</f>
        <v>0</v>
      </c>
      <c r="O30" s="716">
        <f>AE10</f>
        <v>0</v>
      </c>
      <c r="P30" s="716">
        <f>P26</f>
        <v>0</v>
      </c>
      <c r="Q30" s="758">
        <f>SUM(I30:P30)</f>
        <v>0</v>
      </c>
      <c r="R30" s="1040"/>
      <c r="S30" s="1041"/>
      <c r="T30" s="1041"/>
      <c r="U30" s="1041"/>
      <c r="V30" s="1041"/>
      <c r="W30" s="1038"/>
      <c r="X30" s="1038"/>
      <c r="Y30" s="1038"/>
      <c r="Z30" s="1042"/>
      <c r="AA30" s="970"/>
      <c r="AC30" s="1038"/>
      <c r="AD30" s="1038"/>
      <c r="AE30" s="763"/>
      <c r="AF30" s="763"/>
      <c r="AG30" s="763"/>
      <c r="AH30" s="763"/>
      <c r="AI30" s="763"/>
      <c r="AJ30" s="763"/>
      <c r="AK30" s="763"/>
      <c r="AL30" s="763"/>
      <c r="AM30" s="763"/>
      <c r="AN30" s="763"/>
      <c r="AO30" s="763"/>
      <c r="AP30" s="763"/>
      <c r="AQ30" s="763"/>
      <c r="AR30" s="763"/>
      <c r="AS30" s="763"/>
      <c r="AT30" s="763"/>
      <c r="AU30" s="763"/>
      <c r="AV30" s="763"/>
      <c r="AW30" s="763"/>
      <c r="AX30" s="763"/>
      <c r="AY30" s="763"/>
      <c r="AZ30" s="763"/>
      <c r="BA30" s="763"/>
      <c r="BB30" s="763"/>
      <c r="BC30" s="763"/>
      <c r="BD30" s="763"/>
      <c r="BE30" s="763"/>
      <c r="BF30" s="763"/>
      <c r="BG30" s="763"/>
      <c r="BH30" s="763"/>
      <c r="BI30" s="763"/>
      <c r="BJ30" s="763"/>
      <c r="BK30" s="763"/>
      <c r="BL30" s="763"/>
      <c r="BM30" s="763"/>
      <c r="BN30" s="763"/>
      <c r="BO30" s="763"/>
      <c r="BP30" s="763"/>
      <c r="BQ30" s="763"/>
      <c r="BR30" s="763"/>
      <c r="BS30" s="763"/>
      <c r="BT30" s="763"/>
      <c r="BU30" s="763"/>
      <c r="BV30" s="763"/>
      <c r="BW30" s="763"/>
      <c r="BX30" s="763"/>
      <c r="BY30" s="763"/>
      <c r="BZ30" s="763"/>
      <c r="CA30" s="763"/>
      <c r="CB30" s="763"/>
      <c r="CC30" s="763"/>
      <c r="CD30" s="763"/>
      <c r="CE30" s="763"/>
      <c r="CF30" s="763"/>
      <c r="CG30" s="763"/>
      <c r="CH30" s="763"/>
      <c r="CI30" s="763"/>
      <c r="CJ30" s="763"/>
      <c r="CK30" s="763"/>
      <c r="CL30" s="763"/>
      <c r="CM30" s="763"/>
      <c r="CN30" s="763"/>
      <c r="CO30" s="763"/>
      <c r="CP30" s="763"/>
      <c r="CQ30" s="763"/>
      <c r="CR30" s="763"/>
      <c r="CS30" s="763"/>
      <c r="CT30" s="763"/>
      <c r="CU30" s="763"/>
      <c r="CV30" s="763"/>
      <c r="CW30" s="763"/>
      <c r="CX30" s="763"/>
      <c r="CY30" s="763"/>
      <c r="CZ30" s="763"/>
      <c r="DA30" s="763"/>
      <c r="DB30" s="763"/>
      <c r="DC30" s="763"/>
      <c r="DD30" s="763"/>
      <c r="DE30" s="763"/>
      <c r="DF30" s="763"/>
      <c r="DG30" s="763"/>
      <c r="DH30" s="763"/>
      <c r="DI30" s="763"/>
      <c r="DJ30" s="763"/>
      <c r="DK30" s="763"/>
      <c r="DL30" s="763"/>
      <c r="DM30" s="763"/>
      <c r="DN30" s="763"/>
      <c r="DO30" s="763"/>
      <c r="DP30" s="763"/>
      <c r="DQ30" s="763"/>
      <c r="DR30" s="763"/>
      <c r="DS30" s="763"/>
      <c r="DT30" s="763"/>
      <c r="DU30" s="763"/>
      <c r="DV30" s="763"/>
      <c r="DW30" s="763"/>
      <c r="DX30" s="763"/>
      <c r="DY30" s="763"/>
      <c r="DZ30" s="763"/>
      <c r="EA30" s="763"/>
      <c r="EB30" s="763"/>
      <c r="EC30" s="763"/>
      <c r="ED30" s="763"/>
    </row>
    <row r="31" spans="1:134" s="899" customFormat="1" ht="3.75" customHeight="1" x14ac:dyDescent="0.2">
      <c r="A31" s="426"/>
      <c r="B31" s="426"/>
      <c r="C31" s="426"/>
      <c r="D31" s="426"/>
      <c r="E31" s="426"/>
      <c r="F31" s="426"/>
      <c r="G31" s="759" t="s">
        <v>309</v>
      </c>
      <c r="H31" s="759"/>
      <c r="I31" s="426"/>
      <c r="J31" s="426"/>
      <c r="K31" s="760"/>
      <c r="L31" s="480"/>
      <c r="M31" s="480"/>
      <c r="N31" s="480"/>
      <c r="O31" s="480"/>
      <c r="P31" s="480"/>
      <c r="Q31" s="480"/>
      <c r="R31" s="763"/>
      <c r="S31" s="763"/>
      <c r="T31" s="763"/>
      <c r="U31" s="763"/>
      <c r="V31" s="1043"/>
      <c r="W31" s="763"/>
      <c r="X31" s="763"/>
      <c r="Y31" s="763"/>
      <c r="Z31" s="763"/>
      <c r="AA31" s="763"/>
      <c r="AB31" s="763"/>
      <c r="AC31" s="763"/>
      <c r="AD31" s="763"/>
      <c r="AE31" s="763"/>
      <c r="AF31" s="763"/>
      <c r="AG31" s="763"/>
      <c r="AH31" s="763"/>
      <c r="AI31" s="763"/>
      <c r="AJ31" s="763"/>
      <c r="AK31" s="763"/>
      <c r="AL31" s="763"/>
      <c r="AM31" s="763"/>
      <c r="AN31" s="763"/>
      <c r="AO31" s="763"/>
      <c r="AP31" s="763"/>
      <c r="AQ31" s="763"/>
      <c r="AR31" s="763"/>
      <c r="AS31" s="763"/>
      <c r="AT31" s="763"/>
      <c r="AU31" s="763"/>
      <c r="AV31" s="763"/>
      <c r="AW31" s="763"/>
      <c r="AX31" s="763"/>
      <c r="AY31" s="763"/>
      <c r="AZ31" s="763"/>
      <c r="BA31" s="763"/>
      <c r="BB31" s="763"/>
      <c r="BC31" s="763"/>
      <c r="BD31" s="763"/>
      <c r="BE31" s="763"/>
      <c r="BF31" s="763"/>
      <c r="BG31" s="763"/>
      <c r="BH31" s="763"/>
      <c r="BI31" s="763"/>
      <c r="BJ31" s="763"/>
      <c r="BK31" s="763"/>
      <c r="BL31" s="763"/>
      <c r="BM31" s="763"/>
      <c r="BN31" s="763"/>
      <c r="BO31" s="763"/>
      <c r="BP31" s="763"/>
      <c r="BQ31" s="763"/>
      <c r="BR31" s="763"/>
      <c r="BS31" s="763"/>
      <c r="BT31" s="763"/>
      <c r="BU31" s="763"/>
      <c r="BV31" s="763"/>
      <c r="BW31" s="763"/>
      <c r="BX31" s="763"/>
      <c r="BY31" s="763"/>
      <c r="BZ31" s="763"/>
      <c r="CA31" s="763"/>
      <c r="CB31" s="763"/>
      <c r="CC31" s="763"/>
      <c r="CD31" s="763"/>
      <c r="CE31" s="763"/>
      <c r="CF31" s="763"/>
      <c r="CG31" s="763"/>
      <c r="CH31" s="763"/>
      <c r="CI31" s="763"/>
      <c r="CJ31" s="763"/>
      <c r="CK31" s="763"/>
      <c r="CL31" s="763"/>
      <c r="CM31" s="763"/>
      <c r="CN31" s="763"/>
      <c r="CO31" s="763"/>
      <c r="CP31" s="763"/>
      <c r="CQ31" s="763"/>
      <c r="CR31" s="763"/>
      <c r="CS31" s="763"/>
      <c r="CT31" s="763"/>
      <c r="CU31" s="763"/>
      <c r="CV31" s="763"/>
      <c r="CW31" s="763"/>
      <c r="CX31" s="763"/>
      <c r="CY31" s="763"/>
      <c r="CZ31" s="763"/>
      <c r="DA31" s="763"/>
      <c r="DB31" s="763"/>
      <c r="DC31" s="763"/>
      <c r="DD31" s="763"/>
      <c r="DE31" s="763"/>
      <c r="DF31" s="763"/>
      <c r="DG31" s="763"/>
      <c r="DH31" s="763"/>
      <c r="DI31" s="763"/>
      <c r="DJ31" s="763"/>
      <c r="DK31" s="763"/>
      <c r="DL31" s="763"/>
      <c r="DM31" s="763"/>
      <c r="DN31" s="763"/>
      <c r="DO31" s="763"/>
      <c r="DP31" s="763"/>
      <c r="DQ31" s="763"/>
      <c r="DR31" s="763"/>
      <c r="DS31" s="763"/>
      <c r="DT31" s="763"/>
      <c r="DU31" s="763"/>
      <c r="DV31" s="763"/>
      <c r="DW31" s="763"/>
      <c r="DX31" s="763"/>
      <c r="DY31" s="763"/>
      <c r="DZ31" s="763"/>
      <c r="EA31" s="763"/>
    </row>
    <row r="32" spans="1:134" s="899" customFormat="1" ht="48" customHeight="1" x14ac:dyDescent="0.2">
      <c r="A32" s="533" t="s">
        <v>494</v>
      </c>
      <c r="B32" s="1276" t="s">
        <v>1219</v>
      </c>
      <c r="C32" s="1276"/>
      <c r="D32" s="1276"/>
      <c r="E32" s="1276"/>
      <c r="F32" s="1276"/>
      <c r="G32" s="1276"/>
      <c r="H32" s="761"/>
      <c r="I32" s="761"/>
      <c r="J32" s="771"/>
      <c r="K32" s="1355" t="s">
        <v>1220</v>
      </c>
      <c r="L32" s="1355"/>
      <c r="M32" s="1355"/>
      <c r="N32" s="1355"/>
      <c r="O32" s="549"/>
      <c r="P32" s="766"/>
      <c r="Q32" s="480"/>
      <c r="R32" s="763"/>
      <c r="S32" s="763"/>
      <c r="T32" s="763"/>
      <c r="U32" s="763"/>
      <c r="V32" s="763"/>
      <c r="W32" s="763"/>
      <c r="X32" s="763"/>
      <c r="Y32" s="763"/>
      <c r="Z32" s="763"/>
      <c r="AA32" s="763"/>
      <c r="AB32" s="763"/>
      <c r="AC32" s="763"/>
      <c r="AD32" s="763"/>
      <c r="AE32" s="763"/>
      <c r="AF32" s="763"/>
      <c r="AG32" s="763"/>
      <c r="AH32" s="763"/>
      <c r="AI32" s="763"/>
      <c r="AJ32" s="763"/>
      <c r="AK32" s="763"/>
      <c r="AL32" s="763"/>
      <c r="AM32" s="763"/>
      <c r="AN32" s="763"/>
      <c r="AO32" s="763"/>
      <c r="AP32" s="763"/>
      <c r="AQ32" s="763"/>
      <c r="AR32" s="763"/>
      <c r="AS32" s="763"/>
      <c r="AT32" s="763"/>
      <c r="AU32" s="763"/>
      <c r="AV32" s="763"/>
      <c r="AW32" s="763"/>
      <c r="AX32" s="763"/>
      <c r="AY32" s="763"/>
      <c r="AZ32" s="763"/>
      <c r="BA32" s="763"/>
      <c r="BB32" s="763"/>
      <c r="BC32" s="763"/>
      <c r="BD32" s="763"/>
      <c r="BE32" s="763"/>
      <c r="BF32" s="763"/>
      <c r="BG32" s="763"/>
      <c r="BH32" s="763"/>
      <c r="BI32" s="763"/>
      <c r="BJ32" s="763"/>
      <c r="BK32" s="763"/>
      <c r="BL32" s="763"/>
      <c r="BM32" s="763"/>
      <c r="BN32" s="763"/>
      <c r="BO32" s="763"/>
      <c r="BP32" s="763"/>
      <c r="BQ32" s="763"/>
      <c r="BR32" s="763"/>
      <c r="BS32" s="763"/>
      <c r="BT32" s="763"/>
      <c r="BU32" s="763"/>
      <c r="BV32" s="763"/>
      <c r="BW32" s="763"/>
      <c r="BX32" s="763"/>
      <c r="BY32" s="763"/>
      <c r="BZ32" s="763"/>
      <c r="CA32" s="763"/>
      <c r="CB32" s="763"/>
      <c r="CC32" s="763"/>
      <c r="CD32" s="763"/>
      <c r="CE32" s="763"/>
      <c r="CF32" s="763"/>
      <c r="CG32" s="763"/>
      <c r="CH32" s="763"/>
      <c r="CI32" s="763"/>
      <c r="CJ32" s="763"/>
      <c r="CK32" s="763"/>
      <c r="CL32" s="763"/>
      <c r="CM32" s="763"/>
      <c r="CN32" s="763"/>
      <c r="CO32" s="763"/>
      <c r="CP32" s="763"/>
      <c r="CQ32" s="763"/>
      <c r="CR32" s="763"/>
      <c r="CS32" s="763"/>
      <c r="CT32" s="763"/>
      <c r="CU32" s="763"/>
      <c r="CV32" s="763"/>
      <c r="CW32" s="763"/>
      <c r="CX32" s="763"/>
      <c r="CY32" s="763"/>
      <c r="CZ32" s="763"/>
      <c r="DA32" s="763"/>
      <c r="DB32" s="763"/>
      <c r="DC32" s="763"/>
      <c r="DD32" s="763"/>
      <c r="DE32" s="763"/>
      <c r="DF32" s="763"/>
      <c r="DG32" s="763"/>
      <c r="DH32" s="763"/>
      <c r="DI32" s="763"/>
      <c r="DJ32" s="763"/>
      <c r="DK32" s="763"/>
      <c r="DL32" s="763"/>
      <c r="DM32" s="763"/>
      <c r="DN32" s="763"/>
      <c r="DO32" s="763"/>
      <c r="DP32" s="763"/>
      <c r="DQ32" s="763"/>
      <c r="DR32" s="763"/>
      <c r="DS32" s="763"/>
      <c r="DT32" s="763"/>
      <c r="DU32" s="763"/>
      <c r="DV32" s="763"/>
      <c r="DW32" s="763"/>
      <c r="DX32" s="763"/>
      <c r="DY32" s="763"/>
      <c r="DZ32" s="763"/>
      <c r="EA32" s="763"/>
    </row>
    <row r="33" spans="1:131" s="899" customFormat="1" ht="33.75" customHeight="1" x14ac:dyDescent="0.2">
      <c r="A33" s="533" t="s">
        <v>496</v>
      </c>
      <c r="B33" s="1276" t="s">
        <v>1221</v>
      </c>
      <c r="C33" s="1276"/>
      <c r="D33" s="1276"/>
      <c r="E33" s="1276"/>
      <c r="F33" s="1276"/>
      <c r="G33" s="1276"/>
      <c r="H33" s="761"/>
      <c r="I33" s="761"/>
      <c r="J33" s="772"/>
      <c r="K33" s="1366" t="s">
        <v>1222</v>
      </c>
      <c r="L33" s="1366" t="s">
        <v>1223</v>
      </c>
      <c r="M33" s="1366" t="s">
        <v>1224</v>
      </c>
      <c r="N33" s="1366" t="s">
        <v>1225</v>
      </c>
      <c r="O33" s="480"/>
      <c r="P33" s="766"/>
      <c r="Q33" s="480"/>
      <c r="R33" s="763"/>
      <c r="S33" s="763"/>
      <c r="T33" s="763"/>
      <c r="U33" s="763"/>
      <c r="V33" s="763"/>
      <c r="W33" s="763"/>
      <c r="X33" s="763"/>
      <c r="Y33" s="763"/>
      <c r="Z33" s="763"/>
      <c r="AA33" s="763"/>
      <c r="AB33" s="763"/>
      <c r="AC33" s="763"/>
      <c r="AD33" s="763"/>
      <c r="AE33" s="763"/>
      <c r="AF33" s="763"/>
      <c r="AG33" s="763"/>
      <c r="AH33" s="763"/>
      <c r="AI33" s="763"/>
      <c r="AJ33" s="763"/>
      <c r="AK33" s="763"/>
      <c r="AL33" s="763"/>
      <c r="AM33" s="763"/>
      <c r="AN33" s="763"/>
      <c r="AO33" s="763"/>
      <c r="AP33" s="763"/>
      <c r="AQ33" s="763"/>
      <c r="AR33" s="763"/>
      <c r="AS33" s="763"/>
      <c r="AT33" s="763"/>
      <c r="AU33" s="763"/>
      <c r="AV33" s="763"/>
      <c r="AW33" s="763"/>
      <c r="AX33" s="763"/>
      <c r="AY33" s="763"/>
      <c r="AZ33" s="763"/>
      <c r="BA33" s="763"/>
      <c r="BB33" s="763"/>
      <c r="BC33" s="763"/>
      <c r="BD33" s="763"/>
      <c r="BE33" s="763"/>
      <c r="BF33" s="763"/>
      <c r="BG33" s="763"/>
      <c r="BH33" s="763"/>
      <c r="BI33" s="763"/>
      <c r="BJ33" s="763"/>
      <c r="BK33" s="763"/>
      <c r="BL33" s="763"/>
      <c r="BM33" s="763"/>
      <c r="BN33" s="763"/>
      <c r="BO33" s="763"/>
      <c r="BP33" s="763"/>
      <c r="BQ33" s="763"/>
      <c r="BR33" s="763"/>
      <c r="BS33" s="763"/>
      <c r="BT33" s="763"/>
      <c r="BU33" s="763"/>
      <c r="BV33" s="763"/>
      <c r="BW33" s="763"/>
      <c r="BX33" s="763"/>
      <c r="BY33" s="763"/>
      <c r="BZ33" s="763"/>
      <c r="CA33" s="763"/>
      <c r="CB33" s="763"/>
      <c r="CC33" s="763"/>
      <c r="CD33" s="763"/>
      <c r="CE33" s="763"/>
      <c r="CF33" s="763"/>
      <c r="CG33" s="763"/>
      <c r="CH33" s="763"/>
      <c r="CI33" s="763"/>
      <c r="CJ33" s="763"/>
      <c r="CK33" s="763"/>
      <c r="CL33" s="763"/>
      <c r="CM33" s="763"/>
      <c r="CN33" s="763"/>
      <c r="CO33" s="763"/>
      <c r="CP33" s="763"/>
      <c r="CQ33" s="763"/>
      <c r="CR33" s="763"/>
      <c r="CS33" s="763"/>
      <c r="CT33" s="763"/>
      <c r="CU33" s="763"/>
      <c r="CV33" s="763"/>
      <c r="CW33" s="763"/>
      <c r="CX33" s="763"/>
      <c r="CY33" s="763"/>
      <c r="CZ33" s="763"/>
      <c r="DA33" s="763"/>
      <c r="DB33" s="763"/>
      <c r="DC33" s="763"/>
      <c r="DD33" s="763"/>
      <c r="DE33" s="763"/>
      <c r="DF33" s="763"/>
      <c r="DG33" s="763"/>
      <c r="DH33" s="763"/>
      <c r="DI33" s="763"/>
      <c r="DJ33" s="763"/>
      <c r="DK33" s="763"/>
      <c r="DL33" s="763"/>
      <c r="DM33" s="763"/>
      <c r="DN33" s="763"/>
      <c r="DO33" s="763"/>
      <c r="DP33" s="763"/>
      <c r="DQ33" s="763"/>
      <c r="DR33" s="763"/>
      <c r="DS33" s="763"/>
      <c r="DT33" s="763"/>
      <c r="DU33" s="763"/>
      <c r="DV33" s="763"/>
      <c r="DW33" s="763"/>
      <c r="DX33" s="763"/>
      <c r="DY33" s="763"/>
      <c r="DZ33" s="763"/>
      <c r="EA33" s="763"/>
    </row>
    <row r="34" spans="1:131" s="899" customFormat="1" ht="27" customHeight="1" x14ac:dyDescent="0.2">
      <c r="A34" s="533" t="s">
        <v>498</v>
      </c>
      <c r="B34" s="1276" t="s">
        <v>346</v>
      </c>
      <c r="C34" s="1276"/>
      <c r="D34" s="1276"/>
      <c r="E34" s="1276"/>
      <c r="F34" s="1276"/>
      <c r="G34" s="1276"/>
      <c r="H34" s="761"/>
      <c r="I34" s="761"/>
      <c r="J34" s="772"/>
      <c r="K34" s="1367"/>
      <c r="L34" s="1367"/>
      <c r="M34" s="1367"/>
      <c r="N34" s="1367"/>
      <c r="O34" s="480"/>
      <c r="P34" s="766"/>
      <c r="Q34" s="480"/>
      <c r="R34" s="763"/>
      <c r="S34" s="763"/>
      <c r="T34" s="763"/>
      <c r="U34" s="763"/>
      <c r="V34" s="763"/>
      <c r="W34" s="763"/>
      <c r="X34" s="763"/>
      <c r="Y34" s="763"/>
      <c r="Z34" s="763"/>
      <c r="AA34" s="763"/>
      <c r="AB34" s="763"/>
      <c r="AC34" s="763"/>
      <c r="AD34" s="763"/>
      <c r="AE34" s="763"/>
      <c r="AF34" s="763"/>
      <c r="AG34" s="763"/>
      <c r="AH34" s="763"/>
      <c r="AI34" s="763"/>
      <c r="AJ34" s="763"/>
      <c r="AK34" s="763"/>
      <c r="AL34" s="763"/>
      <c r="AM34" s="763"/>
      <c r="AN34" s="763"/>
      <c r="AO34" s="763"/>
      <c r="AP34" s="763"/>
      <c r="AQ34" s="763"/>
      <c r="AR34" s="763"/>
      <c r="AS34" s="763"/>
      <c r="AT34" s="763"/>
      <c r="AU34" s="763"/>
      <c r="AV34" s="763"/>
      <c r="AW34" s="763"/>
      <c r="AX34" s="763"/>
      <c r="AY34" s="763"/>
      <c r="AZ34" s="763"/>
      <c r="BA34" s="763"/>
      <c r="BB34" s="763"/>
      <c r="BC34" s="763"/>
      <c r="BD34" s="763"/>
      <c r="BE34" s="763"/>
      <c r="BF34" s="763"/>
      <c r="BG34" s="763"/>
      <c r="BH34" s="763"/>
      <c r="BI34" s="763"/>
      <c r="BJ34" s="763"/>
      <c r="BK34" s="763"/>
      <c r="BL34" s="763"/>
      <c r="BM34" s="763"/>
      <c r="BN34" s="763"/>
      <c r="BO34" s="763"/>
      <c r="BP34" s="763"/>
      <c r="BQ34" s="763"/>
      <c r="BR34" s="763"/>
      <c r="BS34" s="763"/>
      <c r="BT34" s="763"/>
      <c r="BU34" s="763"/>
      <c r="BV34" s="763"/>
      <c r="BW34" s="763"/>
      <c r="BX34" s="763"/>
      <c r="BY34" s="763"/>
      <c r="BZ34" s="763"/>
      <c r="CA34" s="763"/>
      <c r="CB34" s="763"/>
      <c r="CC34" s="763"/>
      <c r="CD34" s="763"/>
      <c r="CE34" s="763"/>
      <c r="CF34" s="763"/>
      <c r="CG34" s="763"/>
      <c r="CH34" s="763"/>
      <c r="CI34" s="763"/>
      <c r="CJ34" s="763"/>
      <c r="CK34" s="763"/>
      <c r="CL34" s="763"/>
      <c r="CM34" s="763"/>
      <c r="CN34" s="763"/>
      <c r="CO34" s="763"/>
      <c r="CP34" s="763"/>
      <c r="CQ34" s="763"/>
      <c r="CR34" s="763"/>
      <c r="CS34" s="763"/>
      <c r="CT34" s="763"/>
      <c r="CU34" s="763"/>
      <c r="CV34" s="763"/>
      <c r="CW34" s="763"/>
      <c r="CX34" s="763"/>
      <c r="CY34" s="763"/>
      <c r="CZ34" s="763"/>
      <c r="DA34" s="763"/>
      <c r="DB34" s="763"/>
      <c r="DC34" s="763"/>
      <c r="DD34" s="763"/>
      <c r="DE34" s="763"/>
      <c r="DF34" s="763"/>
      <c r="DG34" s="763"/>
      <c r="DH34" s="763"/>
      <c r="DI34" s="763"/>
      <c r="DJ34" s="763"/>
      <c r="DK34" s="763"/>
      <c r="DL34" s="763"/>
      <c r="DM34" s="763"/>
      <c r="DN34" s="763"/>
      <c r="DO34" s="763"/>
      <c r="DP34" s="763"/>
      <c r="DQ34" s="763"/>
      <c r="DR34" s="763"/>
      <c r="DS34" s="763"/>
      <c r="DT34" s="763"/>
      <c r="DU34" s="763"/>
      <c r="DV34" s="763"/>
      <c r="DW34" s="763"/>
      <c r="DX34" s="763"/>
      <c r="DY34" s="763"/>
      <c r="DZ34" s="763"/>
      <c r="EA34" s="763"/>
    </row>
    <row r="35" spans="1:131" s="899" customFormat="1" ht="13.5" customHeight="1" x14ac:dyDescent="0.2">
      <c r="A35" s="533" t="s">
        <v>500</v>
      </c>
      <c r="B35" s="1368" t="s">
        <v>347</v>
      </c>
      <c r="C35" s="1368"/>
      <c r="D35" s="1368"/>
      <c r="E35" s="1368"/>
      <c r="F35" s="1368"/>
      <c r="G35" s="1368"/>
      <c r="H35" s="764"/>
      <c r="I35" s="764"/>
      <c r="J35" s="773"/>
      <c r="K35" s="753">
        <v>1</v>
      </c>
      <c r="L35" s="765">
        <v>0.4</v>
      </c>
      <c r="M35" s="1369" t="s">
        <v>348</v>
      </c>
      <c r="N35" s="1369">
        <v>1</v>
      </c>
      <c r="O35" s="480"/>
      <c r="P35" s="766"/>
      <c r="Q35" s="480"/>
      <c r="R35" s="763"/>
      <c r="S35" s="763"/>
      <c r="T35" s="763"/>
      <c r="U35" s="763"/>
      <c r="V35" s="763"/>
      <c r="W35" s="763"/>
      <c r="X35" s="763"/>
      <c r="Y35" s="763"/>
      <c r="Z35" s="763"/>
      <c r="AA35" s="763"/>
      <c r="AB35" s="763"/>
      <c r="AC35" s="763"/>
      <c r="AD35" s="763"/>
      <c r="AE35" s="763"/>
      <c r="AF35" s="763"/>
      <c r="AG35" s="763"/>
      <c r="AH35" s="763"/>
      <c r="AI35" s="763"/>
      <c r="AJ35" s="763"/>
      <c r="AK35" s="763"/>
      <c r="AL35" s="763"/>
      <c r="AM35" s="763"/>
      <c r="AN35" s="763"/>
      <c r="AO35" s="763"/>
      <c r="AP35" s="763"/>
      <c r="AQ35" s="763"/>
      <c r="AR35" s="763"/>
      <c r="AS35" s="763"/>
      <c r="AT35" s="763"/>
      <c r="AU35" s="763"/>
      <c r="AV35" s="763"/>
      <c r="AW35" s="763"/>
      <c r="AX35" s="763"/>
      <c r="AY35" s="763"/>
      <c r="AZ35" s="763"/>
      <c r="BA35" s="763"/>
      <c r="BB35" s="763"/>
      <c r="BC35" s="763"/>
      <c r="BD35" s="763"/>
      <c r="BE35" s="763"/>
      <c r="BF35" s="763"/>
      <c r="BG35" s="763"/>
      <c r="BH35" s="763"/>
      <c r="BI35" s="763"/>
      <c r="BJ35" s="763"/>
      <c r="BK35" s="763"/>
      <c r="BL35" s="763"/>
      <c r="BM35" s="763"/>
      <c r="BN35" s="763"/>
      <c r="BO35" s="763"/>
      <c r="BP35" s="763"/>
      <c r="BQ35" s="763"/>
      <c r="BR35" s="763"/>
      <c r="BS35" s="763"/>
      <c r="BT35" s="763"/>
      <c r="BU35" s="763"/>
      <c r="BV35" s="763"/>
      <c r="BW35" s="763"/>
      <c r="BX35" s="763"/>
      <c r="BY35" s="763"/>
      <c r="BZ35" s="763"/>
      <c r="CA35" s="763"/>
      <c r="CB35" s="763"/>
      <c r="CC35" s="763"/>
      <c r="CD35" s="763"/>
      <c r="CE35" s="763"/>
      <c r="CF35" s="763"/>
      <c r="CG35" s="763"/>
      <c r="CH35" s="763"/>
      <c r="CI35" s="763"/>
      <c r="CJ35" s="763"/>
      <c r="CK35" s="763"/>
      <c r="CL35" s="763"/>
      <c r="CM35" s="763"/>
      <c r="CN35" s="763"/>
      <c r="CO35" s="763"/>
      <c r="CP35" s="763"/>
      <c r="CQ35" s="763"/>
      <c r="CR35" s="763"/>
      <c r="CS35" s="763"/>
      <c r="CT35" s="763"/>
      <c r="CU35" s="763"/>
      <c r="CV35" s="763"/>
      <c r="CW35" s="763"/>
      <c r="CX35" s="763"/>
      <c r="CY35" s="763"/>
      <c r="CZ35" s="763"/>
      <c r="DA35" s="763"/>
      <c r="DB35" s="763"/>
      <c r="DC35" s="763"/>
      <c r="DD35" s="763"/>
      <c r="DE35" s="763"/>
      <c r="DF35" s="763"/>
      <c r="DG35" s="763"/>
      <c r="DH35" s="763"/>
      <c r="DI35" s="763"/>
      <c r="DJ35" s="763"/>
      <c r="DK35" s="763"/>
      <c r="DL35" s="763"/>
      <c r="DM35" s="763"/>
      <c r="DN35" s="763"/>
      <c r="DO35" s="763"/>
      <c r="DP35" s="763"/>
      <c r="DQ35" s="763"/>
      <c r="DR35" s="763"/>
      <c r="DS35" s="763"/>
      <c r="DT35" s="763"/>
      <c r="DU35" s="763"/>
      <c r="DV35" s="763"/>
      <c r="DW35" s="763"/>
      <c r="DX35" s="763"/>
      <c r="DY35" s="763"/>
      <c r="DZ35" s="763"/>
      <c r="EA35" s="763"/>
    </row>
    <row r="36" spans="1:131" s="899" customFormat="1" ht="12" customHeight="1" x14ac:dyDescent="0.2">
      <c r="A36" s="426"/>
      <c r="B36" s="426"/>
      <c r="C36" s="426"/>
      <c r="D36" s="426"/>
      <c r="E36" s="426"/>
      <c r="F36" s="426"/>
      <c r="G36" s="426"/>
      <c r="H36" s="426"/>
      <c r="I36" s="426"/>
      <c r="J36" s="480"/>
      <c r="K36" s="753">
        <v>2</v>
      </c>
      <c r="L36" s="765">
        <v>0.3</v>
      </c>
      <c r="M36" s="1370"/>
      <c r="N36" s="1370"/>
      <c r="O36" s="480"/>
      <c r="P36" s="766"/>
      <c r="Q36" s="480"/>
      <c r="R36" s="763"/>
      <c r="S36" s="763"/>
      <c r="T36" s="763"/>
      <c r="U36" s="763"/>
      <c r="V36" s="763"/>
      <c r="W36" s="763"/>
      <c r="X36" s="763"/>
      <c r="Y36" s="763"/>
      <c r="Z36" s="763"/>
      <c r="AA36" s="763"/>
      <c r="AB36" s="763"/>
      <c r="AC36" s="763"/>
      <c r="AD36" s="763"/>
      <c r="AE36" s="763"/>
      <c r="AF36" s="763"/>
      <c r="AG36" s="763"/>
      <c r="AH36" s="763"/>
      <c r="AI36" s="763"/>
      <c r="AJ36" s="763"/>
      <c r="AK36" s="763"/>
      <c r="AL36" s="763"/>
      <c r="AM36" s="763"/>
      <c r="AN36" s="763"/>
      <c r="AO36" s="763"/>
      <c r="AP36" s="763"/>
      <c r="AQ36" s="763"/>
      <c r="AR36" s="763"/>
      <c r="AS36" s="763"/>
      <c r="AT36" s="763"/>
      <c r="AU36" s="763"/>
      <c r="AV36" s="763"/>
      <c r="AW36" s="763"/>
      <c r="AX36" s="763"/>
      <c r="AY36" s="763"/>
      <c r="AZ36" s="763"/>
      <c r="BA36" s="763"/>
      <c r="BB36" s="763"/>
      <c r="BC36" s="763"/>
      <c r="BD36" s="763"/>
      <c r="BE36" s="763"/>
      <c r="BF36" s="763"/>
      <c r="BG36" s="763"/>
      <c r="BH36" s="763"/>
      <c r="BI36" s="763"/>
      <c r="BJ36" s="763"/>
      <c r="BK36" s="763"/>
      <c r="BL36" s="763"/>
      <c r="BM36" s="763"/>
      <c r="BN36" s="763"/>
      <c r="BO36" s="763"/>
      <c r="BP36" s="763"/>
      <c r="BQ36" s="763"/>
      <c r="BR36" s="763"/>
      <c r="BS36" s="763"/>
      <c r="BT36" s="763"/>
      <c r="BU36" s="763"/>
      <c r="BV36" s="763"/>
      <c r="BW36" s="763"/>
      <c r="BX36" s="763"/>
      <c r="BY36" s="763"/>
      <c r="BZ36" s="763"/>
      <c r="CA36" s="763"/>
      <c r="CB36" s="763"/>
      <c r="CC36" s="763"/>
      <c r="CD36" s="763"/>
      <c r="CE36" s="763"/>
      <c r="CF36" s="763"/>
      <c r="CG36" s="763"/>
      <c r="CH36" s="763"/>
      <c r="CI36" s="763"/>
      <c r="CJ36" s="763"/>
      <c r="CK36" s="763"/>
      <c r="CL36" s="763"/>
      <c r="CM36" s="763"/>
      <c r="CN36" s="763"/>
      <c r="CO36" s="763"/>
      <c r="CP36" s="763"/>
      <c r="CQ36" s="763"/>
      <c r="CR36" s="763"/>
      <c r="CS36" s="763"/>
      <c r="CT36" s="763"/>
      <c r="CU36" s="763"/>
      <c r="CV36" s="763"/>
      <c r="CW36" s="763"/>
      <c r="CX36" s="763"/>
      <c r="CY36" s="763"/>
      <c r="CZ36" s="763"/>
      <c r="DA36" s="763"/>
      <c r="DB36" s="763"/>
      <c r="DC36" s="763"/>
      <c r="DD36" s="763"/>
      <c r="DE36" s="763"/>
      <c r="DF36" s="763"/>
      <c r="DG36" s="763"/>
      <c r="DH36" s="763"/>
      <c r="DI36" s="763"/>
      <c r="DJ36" s="763"/>
      <c r="DK36" s="763"/>
      <c r="DL36" s="763"/>
      <c r="DM36" s="763"/>
      <c r="DN36" s="763"/>
      <c r="DO36" s="763"/>
      <c r="DP36" s="763"/>
      <c r="DQ36" s="763"/>
      <c r="DR36" s="763"/>
      <c r="DS36" s="763"/>
      <c r="DT36" s="763"/>
      <c r="DU36" s="763"/>
      <c r="DV36" s="763"/>
      <c r="DW36" s="763"/>
      <c r="DX36" s="763"/>
      <c r="DY36" s="763"/>
      <c r="DZ36" s="763"/>
      <c r="EA36" s="763"/>
    </row>
    <row r="37" spans="1:131" s="899" customFormat="1" ht="12" customHeight="1" x14ac:dyDescent="0.2">
      <c r="A37" s="426"/>
      <c r="B37" s="426"/>
      <c r="C37" s="426"/>
      <c r="D37" s="426"/>
      <c r="E37" s="426"/>
      <c r="F37" s="426"/>
      <c r="G37" s="426"/>
      <c r="H37" s="426"/>
      <c r="I37" s="426"/>
      <c r="J37" s="480"/>
      <c r="K37" s="753">
        <v>3</v>
      </c>
      <c r="L37" s="765">
        <v>0.3</v>
      </c>
      <c r="M37" s="1371"/>
      <c r="N37" s="1371"/>
      <c r="O37" s="480"/>
      <c r="P37" s="766"/>
      <c r="Q37" s="480"/>
      <c r="R37" s="763"/>
      <c r="S37" s="763"/>
      <c r="T37" s="763"/>
      <c r="U37" s="763"/>
      <c r="V37" s="763"/>
      <c r="W37" s="763"/>
      <c r="X37" s="763"/>
      <c r="Y37" s="763"/>
      <c r="Z37" s="763"/>
      <c r="AA37" s="763"/>
      <c r="AB37" s="763"/>
      <c r="AC37" s="763"/>
      <c r="AD37" s="763"/>
      <c r="AE37" s="763"/>
      <c r="AF37" s="763"/>
      <c r="AG37" s="763"/>
      <c r="AH37" s="763"/>
      <c r="AI37" s="763"/>
      <c r="AJ37" s="763"/>
      <c r="AK37" s="763"/>
      <c r="AL37" s="763"/>
      <c r="AM37" s="763"/>
      <c r="AN37" s="763"/>
      <c r="AO37" s="763"/>
      <c r="AP37" s="763"/>
      <c r="AQ37" s="763"/>
      <c r="AR37" s="763"/>
      <c r="AS37" s="763"/>
      <c r="AT37" s="763"/>
      <c r="AU37" s="763"/>
      <c r="AV37" s="763"/>
      <c r="AW37" s="763"/>
      <c r="AX37" s="763"/>
      <c r="AY37" s="763"/>
      <c r="AZ37" s="763"/>
      <c r="BA37" s="763"/>
      <c r="BB37" s="763"/>
      <c r="BC37" s="763"/>
      <c r="BD37" s="763"/>
      <c r="BE37" s="763"/>
      <c r="BF37" s="763"/>
      <c r="BG37" s="763"/>
      <c r="BH37" s="763"/>
      <c r="BI37" s="763"/>
      <c r="BJ37" s="763"/>
      <c r="BK37" s="763"/>
      <c r="BL37" s="763"/>
      <c r="BM37" s="763"/>
      <c r="BN37" s="763"/>
      <c r="BO37" s="763"/>
      <c r="BP37" s="763"/>
      <c r="BQ37" s="763"/>
      <c r="BR37" s="763"/>
      <c r="BS37" s="763"/>
      <c r="BT37" s="763"/>
      <c r="BU37" s="763"/>
      <c r="BV37" s="763"/>
      <c r="BW37" s="763"/>
      <c r="BX37" s="763"/>
      <c r="BY37" s="763"/>
      <c r="BZ37" s="763"/>
      <c r="CA37" s="763"/>
      <c r="CB37" s="763"/>
      <c r="CC37" s="763"/>
      <c r="CD37" s="763"/>
      <c r="CE37" s="763"/>
      <c r="CF37" s="763"/>
      <c r="CG37" s="763"/>
      <c r="CH37" s="763"/>
      <c r="CI37" s="763"/>
      <c r="CJ37" s="763"/>
      <c r="CK37" s="763"/>
      <c r="CL37" s="763"/>
      <c r="CM37" s="763"/>
      <c r="CN37" s="763"/>
      <c r="CO37" s="763"/>
      <c r="CP37" s="763"/>
      <c r="CQ37" s="763"/>
      <c r="CR37" s="763"/>
      <c r="CS37" s="763"/>
      <c r="CT37" s="763"/>
      <c r="CU37" s="763"/>
      <c r="CV37" s="763"/>
      <c r="CW37" s="763"/>
      <c r="CX37" s="763"/>
      <c r="CY37" s="763"/>
      <c r="CZ37" s="763"/>
      <c r="DA37" s="763"/>
      <c r="DB37" s="763"/>
      <c r="DC37" s="763"/>
      <c r="DD37" s="763"/>
      <c r="DE37" s="763"/>
      <c r="DF37" s="763"/>
      <c r="DG37" s="763"/>
      <c r="DH37" s="763"/>
      <c r="DI37" s="763"/>
      <c r="DJ37" s="763"/>
      <c r="DK37" s="763"/>
      <c r="DL37" s="763"/>
      <c r="DM37" s="763"/>
      <c r="DN37" s="763"/>
      <c r="DO37" s="763"/>
      <c r="DP37" s="763"/>
      <c r="DQ37" s="763"/>
      <c r="DR37" s="763"/>
      <c r="DS37" s="763"/>
      <c r="DT37" s="763"/>
      <c r="DU37" s="763"/>
      <c r="DV37" s="763"/>
      <c r="DW37" s="763"/>
      <c r="DX37" s="763"/>
      <c r="DY37" s="763"/>
      <c r="DZ37" s="763"/>
      <c r="EA37" s="763"/>
    </row>
    <row r="38" spans="1:131" x14ac:dyDescent="0.2">
      <c r="A38" s="899"/>
      <c r="B38" s="899"/>
      <c r="C38" s="899"/>
      <c r="D38" s="899"/>
      <c r="E38" s="899"/>
      <c r="F38" s="899"/>
      <c r="G38" s="899"/>
      <c r="H38" s="899"/>
      <c r="I38" s="899"/>
      <c r="J38" s="763"/>
      <c r="K38" s="899"/>
      <c r="L38" s="899"/>
      <c r="M38" s="899"/>
      <c r="N38" s="899"/>
      <c r="O38" s="763"/>
      <c r="P38" s="762"/>
      <c r="Q38" s="763"/>
      <c r="R38" s="763"/>
      <c r="S38" s="763"/>
      <c r="T38" s="763"/>
      <c r="U38" s="763"/>
      <c r="V38" s="763"/>
      <c r="W38" s="763"/>
      <c r="X38" s="763"/>
      <c r="Y38" s="763"/>
      <c r="Z38" s="763"/>
      <c r="AA38" s="763"/>
      <c r="AB38" s="763"/>
      <c r="AC38" s="763"/>
      <c r="AD38" s="763"/>
      <c r="AE38" s="763"/>
      <c r="AF38" s="763"/>
    </row>
    <row r="39" spans="1:131" x14ac:dyDescent="0.2">
      <c r="A39" s="899"/>
      <c r="B39" s="899"/>
      <c r="C39" s="899"/>
      <c r="D39" s="899"/>
      <c r="E39" s="899"/>
      <c r="F39" s="899"/>
      <c r="G39" s="899"/>
      <c r="H39" s="899"/>
      <c r="I39" s="899"/>
      <c r="J39" s="763"/>
      <c r="K39" s="763"/>
      <c r="L39" s="763"/>
      <c r="M39" s="763"/>
      <c r="N39" s="763"/>
      <c r="O39" s="763"/>
      <c r="P39" s="762"/>
      <c r="Q39" s="763"/>
      <c r="R39" s="763"/>
      <c r="S39" s="763"/>
      <c r="T39" s="763"/>
      <c r="U39" s="763"/>
      <c r="V39" s="763"/>
      <c r="W39" s="763"/>
      <c r="X39" s="763"/>
      <c r="Y39" s="763"/>
      <c r="Z39" s="763"/>
      <c r="AA39" s="763"/>
      <c r="AB39" s="763"/>
      <c r="AC39" s="763"/>
      <c r="AD39" s="763"/>
      <c r="AE39" s="763"/>
      <c r="AF39" s="763"/>
    </row>
    <row r="40" spans="1:131" x14ac:dyDescent="0.2">
      <c r="A40" s="899"/>
      <c r="B40" s="899"/>
      <c r="C40" s="899"/>
      <c r="D40" s="899"/>
      <c r="E40" s="899"/>
      <c r="F40" s="899"/>
      <c r="G40" s="899"/>
      <c r="H40" s="899"/>
      <c r="I40" s="899"/>
      <c r="J40" s="763"/>
      <c r="K40" s="763"/>
      <c r="L40" s="763"/>
      <c r="M40" s="763"/>
      <c r="N40" s="763"/>
      <c r="O40" s="763"/>
      <c r="P40" s="762"/>
      <c r="Q40" s="763"/>
      <c r="R40" s="763"/>
      <c r="S40" s="763"/>
      <c r="T40" s="763"/>
      <c r="U40" s="763"/>
      <c r="V40" s="763"/>
      <c r="W40" s="763"/>
      <c r="X40" s="763"/>
      <c r="Y40" s="763"/>
      <c r="Z40" s="763"/>
      <c r="AA40" s="763"/>
      <c r="AB40" s="763"/>
      <c r="AC40" s="763"/>
      <c r="AD40" s="763"/>
      <c r="AE40" s="763"/>
      <c r="AF40" s="763"/>
    </row>
    <row r="41" spans="1:131" x14ac:dyDescent="0.2">
      <c r="A41" s="899"/>
      <c r="B41" s="899"/>
      <c r="C41" s="899"/>
      <c r="D41" s="899"/>
      <c r="E41" s="899"/>
      <c r="F41" s="899"/>
      <c r="G41" s="899"/>
      <c r="H41" s="899"/>
      <c r="I41" s="899"/>
      <c r="J41" s="763"/>
      <c r="K41" s="763"/>
      <c r="L41" s="763"/>
      <c r="M41" s="763"/>
      <c r="N41" s="763"/>
      <c r="O41" s="763"/>
      <c r="P41" s="762"/>
      <c r="Q41" s="763"/>
      <c r="R41" s="763"/>
      <c r="S41" s="763"/>
      <c r="T41" s="763"/>
      <c r="U41" s="763"/>
      <c r="V41" s="763"/>
      <c r="W41" s="763"/>
      <c r="X41" s="763"/>
      <c r="Y41" s="763"/>
      <c r="Z41" s="763"/>
      <c r="AA41" s="763"/>
      <c r="AB41" s="763"/>
      <c r="AC41" s="763"/>
      <c r="AD41" s="763"/>
      <c r="AE41" s="763"/>
      <c r="AF41" s="763"/>
    </row>
    <row r="42" spans="1:131" x14ac:dyDescent="0.2">
      <c r="A42" s="899"/>
      <c r="B42" s="899"/>
      <c r="C42" s="899"/>
      <c r="D42" s="899"/>
      <c r="E42" s="899"/>
      <c r="F42" s="899"/>
      <c r="G42" s="899"/>
      <c r="H42" s="899"/>
      <c r="I42" s="899"/>
      <c r="J42" s="763"/>
      <c r="K42" s="763"/>
      <c r="L42" s="763"/>
      <c r="M42" s="763"/>
      <c r="N42" s="763"/>
      <c r="O42" s="763"/>
      <c r="P42" s="762"/>
      <c r="Q42" s="763"/>
      <c r="R42" s="763"/>
      <c r="S42" s="763"/>
      <c r="T42" s="763"/>
      <c r="U42" s="763"/>
      <c r="V42" s="763"/>
      <c r="W42" s="763"/>
      <c r="X42" s="763"/>
      <c r="Y42" s="763"/>
      <c r="Z42" s="763"/>
      <c r="AA42" s="763"/>
      <c r="AB42" s="763"/>
      <c r="AC42" s="763"/>
      <c r="AD42" s="763"/>
      <c r="AE42" s="763"/>
      <c r="AF42" s="763"/>
    </row>
  </sheetData>
  <sheetProtection password="EC6F" sheet="1" objects="1" scenarios="1"/>
  <mergeCells count="79">
    <mergeCell ref="N33:N34"/>
    <mergeCell ref="B34:G34"/>
    <mergeCell ref="B35:G35"/>
    <mergeCell ref="M35:M37"/>
    <mergeCell ref="N35:N37"/>
    <mergeCell ref="B33:G33"/>
    <mergeCell ref="K33:K34"/>
    <mergeCell ref="L33:L34"/>
    <mergeCell ref="M33:M34"/>
    <mergeCell ref="B30:D30"/>
    <mergeCell ref="B32:G32"/>
    <mergeCell ref="K32:N32"/>
    <mergeCell ref="B28:D29"/>
    <mergeCell ref="I28:I29"/>
    <mergeCell ref="J28:L28"/>
    <mergeCell ref="M28:O28"/>
    <mergeCell ref="B17:B24"/>
    <mergeCell ref="D17:E17"/>
    <mergeCell ref="P28:P29"/>
    <mergeCell ref="Q28:Q29"/>
    <mergeCell ref="D24:E24"/>
    <mergeCell ref="C25:E25"/>
    <mergeCell ref="C26:D26"/>
    <mergeCell ref="P26:Q26"/>
    <mergeCell ref="Y17:Y24"/>
    <mergeCell ref="Z17:Z24"/>
    <mergeCell ref="D18:E18"/>
    <mergeCell ref="D19:E19"/>
    <mergeCell ref="D20:E20"/>
    <mergeCell ref="D21:E21"/>
    <mergeCell ref="D22:E22"/>
    <mergeCell ref="D23:E23"/>
    <mergeCell ref="AA10:AA16"/>
    <mergeCell ref="AB10:AB13"/>
    <mergeCell ref="AC10:AC13"/>
    <mergeCell ref="AD10:AD13"/>
    <mergeCell ref="D15:E15"/>
    <mergeCell ref="D16:E16"/>
    <mergeCell ref="AE10:AE24"/>
    <mergeCell ref="D11:E11"/>
    <mergeCell ref="D12:E12"/>
    <mergeCell ref="D13:E13"/>
    <mergeCell ref="AB14:AB16"/>
    <mergeCell ref="AC14:AC24"/>
    <mergeCell ref="AD14:AD16"/>
    <mergeCell ref="AA17:AA24"/>
    <mergeCell ref="AB17:AB24"/>
    <mergeCell ref="AD17:AD24"/>
    <mergeCell ref="B10:B13"/>
    <mergeCell ref="D10:E10"/>
    <mergeCell ref="Y10:Y13"/>
    <mergeCell ref="Z10:Z13"/>
    <mergeCell ref="B14:B16"/>
    <mergeCell ref="D14:E14"/>
    <mergeCell ref="Y14:Y16"/>
    <mergeCell ref="Z14:Z16"/>
    <mergeCell ref="M2:O2"/>
    <mergeCell ref="O7:O9"/>
    <mergeCell ref="AD7:AD9"/>
    <mergeCell ref="AE7:AE9"/>
    <mergeCell ref="M8:N8"/>
    <mergeCell ref="Z7:Z9"/>
    <mergeCell ref="AA7:AA9"/>
    <mergeCell ref="AB7:AB9"/>
    <mergeCell ref="H7:H9"/>
    <mergeCell ref="I7:N7"/>
    <mergeCell ref="AC7:AC9"/>
    <mergeCell ref="P7:Q8"/>
    <mergeCell ref="V7:V9"/>
    <mergeCell ref="W7:X8"/>
    <mergeCell ref="Y7:Y9"/>
    <mergeCell ref="I8:J8"/>
    <mergeCell ref="K8:L8"/>
    <mergeCell ref="C4:D4"/>
    <mergeCell ref="B7:B9"/>
    <mergeCell ref="C7:E7"/>
    <mergeCell ref="G7:G9"/>
    <mergeCell ref="C8:C9"/>
    <mergeCell ref="D8:E9"/>
  </mergeCells>
  <phoneticPr fontId="36" type="noConversion"/>
  <dataValidations count="1">
    <dataValidation type="decimal" operator="greaterThanOrEqual" allowBlank="1" showInputMessage="1" showErrorMessage="1" sqref="I10:L24">
      <formula1>0</formula1>
    </dataValidation>
  </dataValidations>
  <pageMargins left="0.25" right="0.25" top="1" bottom="1" header="0.5" footer="0.5"/>
  <pageSetup paperSize="9" scale="74" orientation="landscape" r:id="rId1"/>
  <headerFooter alignWithMargins="0">
    <oddHeader>&amp;C&amp;"Arial,Bold"&amp;8 NEW RURAL BANK OF SAN LEONARDO, INC  [ 04-040656 ]
 As of: September 30, 2017</oddHeader>
  </headerFooter>
  <colBreaks count="1" manualBreakCount="1">
    <brk id="15" max="1048575" man="1"/>
  </colBreak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ED42"/>
  <sheetViews>
    <sheetView view="pageBreakPreview" topLeftCell="B16" zoomScale="85" zoomScaleNormal="100" zoomScaleSheetLayoutView="85" workbookViewId="0">
      <selection activeCell="B1" sqref="B1"/>
    </sheetView>
  </sheetViews>
  <sheetFormatPr defaultRowHeight="12.75" x14ac:dyDescent="0.2"/>
  <cols>
    <col min="1" max="1" width="2" style="889" customWidth="1"/>
    <col min="2" max="2" width="6.7109375" style="889" customWidth="1"/>
    <col min="3" max="3" width="21.28515625" style="889" customWidth="1"/>
    <col min="4" max="4" width="17.85546875" style="889" customWidth="1"/>
    <col min="5" max="5" width="5" style="889" customWidth="1"/>
    <col min="6" max="6" width="12.42578125" style="889" hidden="1" customWidth="1"/>
    <col min="7" max="7" width="16.7109375" style="889" bestFit="1" customWidth="1"/>
    <col min="8" max="8" width="19.42578125" style="889" hidden="1" customWidth="1"/>
    <col min="9" max="9" width="15.85546875" style="889" customWidth="1"/>
    <col min="10" max="15" width="15.85546875" style="891" customWidth="1"/>
    <col min="16" max="16" width="15.85546875" style="1012" customWidth="1"/>
    <col min="17" max="17" width="15.85546875" style="891" customWidth="1"/>
    <col min="18" max="18" width="8" style="891" customWidth="1"/>
    <col min="19" max="21" width="10.140625" style="891" customWidth="1"/>
    <col min="22" max="25" width="10.140625" style="891" hidden="1" customWidth="1"/>
    <col min="26" max="31" width="9.140625" style="891" hidden="1" customWidth="1"/>
    <col min="32" max="32" width="8" style="891" customWidth="1"/>
  </cols>
  <sheetData>
    <row r="1" spans="1:132" s="889" customFormat="1" x14ac:dyDescent="0.2">
      <c r="A1" s="426"/>
      <c r="B1" s="426"/>
      <c r="C1" s="426"/>
      <c r="D1" s="426"/>
      <c r="E1" s="426"/>
      <c r="F1" s="426"/>
      <c r="G1" s="426"/>
      <c r="H1" s="426"/>
      <c r="I1" s="426"/>
      <c r="J1" s="480"/>
      <c r="K1" s="480"/>
      <c r="L1" s="480"/>
      <c r="M1" s="480"/>
      <c r="N1" s="480"/>
      <c r="O1" s="480"/>
      <c r="P1" s="766"/>
      <c r="Q1" s="480"/>
      <c r="R1" s="891"/>
      <c r="S1" s="891"/>
      <c r="T1" s="891"/>
      <c r="U1" s="891"/>
      <c r="V1" s="891"/>
      <c r="W1" s="891"/>
      <c r="X1" s="891"/>
      <c r="Y1" s="891"/>
      <c r="Z1" s="891"/>
      <c r="AA1" s="891"/>
      <c r="AB1" s="891"/>
      <c r="AC1" s="891"/>
      <c r="AD1" s="891"/>
      <c r="AE1" s="891"/>
      <c r="AF1" s="891"/>
      <c r="AG1" s="891"/>
      <c r="AH1" s="891"/>
      <c r="AI1" s="891"/>
      <c r="AJ1" s="891"/>
      <c r="AK1" s="891"/>
      <c r="AL1" s="891"/>
      <c r="AM1" s="891"/>
      <c r="AN1" s="891"/>
      <c r="AO1" s="891"/>
      <c r="AP1" s="891"/>
      <c r="AQ1" s="891"/>
      <c r="AR1" s="891"/>
      <c r="AS1" s="891"/>
      <c r="AT1" s="891"/>
      <c r="AU1" s="891"/>
      <c r="AV1" s="891"/>
      <c r="AW1" s="891"/>
      <c r="AX1" s="891"/>
      <c r="AY1" s="891"/>
      <c r="AZ1" s="891"/>
      <c r="BA1" s="891"/>
      <c r="BB1" s="891"/>
      <c r="BC1" s="891"/>
      <c r="BD1" s="891"/>
      <c r="BE1" s="891"/>
      <c r="BF1" s="891"/>
      <c r="BG1" s="891"/>
      <c r="BH1" s="891"/>
      <c r="BI1" s="891"/>
      <c r="BJ1" s="891"/>
      <c r="BK1" s="891"/>
      <c r="BL1" s="891"/>
      <c r="BM1" s="891"/>
      <c r="BN1" s="891"/>
      <c r="BO1" s="891"/>
      <c r="BP1" s="891"/>
      <c r="BQ1" s="891"/>
      <c r="BR1" s="891"/>
      <c r="BS1" s="891"/>
      <c r="BT1" s="891"/>
      <c r="BU1" s="891"/>
      <c r="BV1" s="891"/>
      <c r="BW1" s="891"/>
      <c r="BX1" s="891"/>
      <c r="BY1" s="891"/>
      <c r="BZ1" s="891"/>
      <c r="CA1" s="891"/>
      <c r="CB1" s="891"/>
      <c r="CC1" s="891"/>
      <c r="CD1" s="891"/>
      <c r="CE1" s="891"/>
      <c r="CF1" s="891"/>
      <c r="CG1" s="891"/>
      <c r="CH1" s="891"/>
      <c r="CI1" s="891"/>
      <c r="CJ1" s="891"/>
      <c r="CK1" s="891"/>
      <c r="CL1" s="891"/>
      <c r="CM1" s="891"/>
      <c r="CN1" s="891"/>
      <c r="CO1" s="891"/>
      <c r="CP1" s="891"/>
      <c r="CQ1" s="891"/>
      <c r="CR1" s="891"/>
      <c r="CS1" s="891"/>
      <c r="CT1" s="891"/>
      <c r="CU1" s="891"/>
      <c r="CV1" s="891"/>
      <c r="CW1" s="891"/>
      <c r="CX1" s="891"/>
      <c r="CY1" s="891"/>
      <c r="CZ1" s="891"/>
      <c r="DA1" s="891"/>
      <c r="DB1" s="891"/>
      <c r="DC1" s="891"/>
      <c r="DD1" s="891"/>
      <c r="DE1" s="891"/>
      <c r="DF1" s="891"/>
      <c r="DG1" s="891"/>
      <c r="DH1" s="891"/>
      <c r="DI1" s="891"/>
      <c r="DJ1" s="891"/>
      <c r="DK1" s="891"/>
      <c r="DL1" s="891"/>
      <c r="DM1" s="891"/>
      <c r="DN1" s="891"/>
      <c r="DO1" s="891"/>
      <c r="DP1" s="891"/>
      <c r="DQ1" s="891"/>
      <c r="DR1" s="891"/>
      <c r="DS1" s="891"/>
      <c r="DT1" s="891"/>
      <c r="DU1" s="891"/>
      <c r="DV1" s="891"/>
      <c r="DW1" s="891"/>
      <c r="DX1" s="891"/>
      <c r="DY1" s="891"/>
      <c r="DZ1" s="891"/>
      <c r="EA1" s="891"/>
    </row>
    <row r="2" spans="1:132" s="889" customFormat="1" ht="15.95" customHeight="1" x14ac:dyDescent="0.2">
      <c r="A2" s="426"/>
      <c r="B2" s="680" t="s">
        <v>353</v>
      </c>
      <c r="C2" s="680"/>
      <c r="D2" s="680"/>
      <c r="E2" s="680"/>
      <c r="F2" s="680"/>
      <c r="G2" s="680"/>
      <c r="H2" s="680"/>
      <c r="I2" s="680"/>
      <c r="J2" s="680"/>
      <c r="K2" s="680"/>
      <c r="L2" s="480"/>
      <c r="M2" s="1303"/>
      <c r="N2" s="1303"/>
      <c r="O2" s="1303"/>
      <c r="P2" s="766"/>
      <c r="Q2" s="480"/>
      <c r="R2" s="891"/>
      <c r="S2" s="891"/>
      <c r="T2" s="891"/>
      <c r="U2" s="891"/>
      <c r="V2" s="891"/>
      <c r="W2" s="891"/>
      <c r="X2" s="891"/>
      <c r="Y2" s="891"/>
      <c r="Z2" s="891"/>
      <c r="AA2" s="891"/>
      <c r="AB2" s="891"/>
      <c r="AC2" s="891"/>
      <c r="AD2" s="891"/>
      <c r="AE2" s="891"/>
      <c r="AF2" s="891"/>
      <c r="AG2" s="891"/>
      <c r="AH2" s="891"/>
      <c r="AI2" s="891"/>
      <c r="AJ2" s="891"/>
      <c r="AK2" s="891"/>
      <c r="AL2" s="891"/>
      <c r="AM2" s="891"/>
      <c r="AN2" s="891"/>
      <c r="AO2" s="891"/>
      <c r="AP2" s="891"/>
      <c r="AQ2" s="891"/>
      <c r="AR2" s="891"/>
      <c r="AS2" s="891"/>
      <c r="AT2" s="891"/>
      <c r="AU2" s="891"/>
      <c r="AV2" s="891"/>
      <c r="AW2" s="891"/>
      <c r="AX2" s="891"/>
      <c r="AY2" s="891"/>
      <c r="AZ2" s="891"/>
      <c r="BA2" s="891"/>
      <c r="BB2" s="891"/>
      <c r="BC2" s="891"/>
      <c r="BD2" s="891"/>
      <c r="BE2" s="891"/>
      <c r="BF2" s="891"/>
      <c r="BG2" s="891"/>
      <c r="BH2" s="891"/>
      <c r="BI2" s="891"/>
      <c r="BJ2" s="891"/>
      <c r="BK2" s="891"/>
      <c r="BL2" s="891"/>
      <c r="BM2" s="891"/>
      <c r="BN2" s="891"/>
      <c r="BO2" s="891"/>
      <c r="BP2" s="891"/>
      <c r="BQ2" s="891"/>
      <c r="BR2" s="891"/>
      <c r="BS2" s="891"/>
      <c r="BT2" s="891"/>
      <c r="BU2" s="891"/>
      <c r="BV2" s="891"/>
      <c r="BW2" s="891"/>
      <c r="BX2" s="891"/>
      <c r="BY2" s="891"/>
      <c r="BZ2" s="891"/>
      <c r="CA2" s="891"/>
      <c r="CB2" s="891"/>
      <c r="CC2" s="891"/>
      <c r="CD2" s="891"/>
      <c r="CE2" s="891"/>
      <c r="CF2" s="891"/>
      <c r="CG2" s="891"/>
      <c r="CH2" s="891"/>
      <c r="CI2" s="891"/>
      <c r="CJ2" s="891"/>
      <c r="CK2" s="891"/>
      <c r="CL2" s="891"/>
      <c r="CM2" s="891"/>
      <c r="CN2" s="891"/>
      <c r="CO2" s="891"/>
      <c r="CP2" s="891"/>
      <c r="CQ2" s="891"/>
      <c r="CR2" s="891"/>
      <c r="CS2" s="891"/>
      <c r="CT2" s="891"/>
      <c r="CU2" s="891"/>
      <c r="CV2" s="891"/>
      <c r="CW2" s="891"/>
      <c r="CX2" s="891"/>
      <c r="CY2" s="891"/>
      <c r="CZ2" s="891"/>
      <c r="DA2" s="891"/>
      <c r="DB2" s="891"/>
      <c r="DC2" s="891"/>
      <c r="DD2" s="891"/>
      <c r="DE2" s="891"/>
      <c r="DF2" s="891"/>
      <c r="DG2" s="891"/>
      <c r="DH2" s="891"/>
      <c r="DI2" s="891"/>
      <c r="DJ2" s="891"/>
      <c r="DK2" s="891"/>
      <c r="DL2" s="891"/>
      <c r="DM2" s="891"/>
      <c r="DN2" s="891"/>
      <c r="DO2" s="891"/>
      <c r="DP2" s="891"/>
      <c r="DQ2" s="891"/>
      <c r="DR2" s="891"/>
      <c r="DS2" s="891"/>
      <c r="DT2" s="891"/>
      <c r="DU2" s="891"/>
      <c r="DV2" s="891"/>
      <c r="DW2" s="891"/>
      <c r="DX2" s="891"/>
      <c r="DY2" s="891"/>
      <c r="DZ2" s="891"/>
      <c r="EA2" s="891"/>
    </row>
    <row r="3" spans="1:132" s="899" customFormat="1" ht="2.25" customHeight="1" x14ac:dyDescent="0.2">
      <c r="A3" s="426"/>
      <c r="B3" s="426"/>
      <c r="C3" s="426"/>
      <c r="D3" s="426"/>
      <c r="E3" s="426"/>
      <c r="F3" s="426"/>
      <c r="G3" s="426"/>
      <c r="H3" s="426"/>
      <c r="I3" s="426"/>
      <c r="J3" s="480"/>
      <c r="K3" s="480"/>
      <c r="L3" s="480"/>
      <c r="M3" s="480"/>
      <c r="N3" s="480"/>
      <c r="O3" s="480"/>
      <c r="P3" s="766"/>
      <c r="Q3" s="480"/>
      <c r="R3" s="763"/>
      <c r="S3" s="763"/>
      <c r="T3" s="763"/>
      <c r="U3" s="763"/>
      <c r="V3" s="763"/>
      <c r="W3" s="763"/>
      <c r="X3" s="763"/>
      <c r="Y3" s="763"/>
      <c r="Z3" s="763"/>
      <c r="AA3" s="763"/>
      <c r="AB3" s="763"/>
      <c r="AC3" s="763"/>
      <c r="AD3" s="763"/>
      <c r="AE3" s="763"/>
      <c r="AF3" s="763"/>
      <c r="AG3" s="763"/>
      <c r="AH3" s="763"/>
      <c r="AI3" s="763"/>
      <c r="AJ3" s="763"/>
      <c r="AK3" s="763"/>
      <c r="AL3" s="763"/>
      <c r="AM3" s="763"/>
      <c r="AN3" s="763"/>
      <c r="AO3" s="763"/>
      <c r="AP3" s="763"/>
      <c r="AQ3" s="763"/>
      <c r="AR3" s="763"/>
      <c r="AS3" s="763"/>
      <c r="AT3" s="763"/>
      <c r="AU3" s="763"/>
      <c r="AV3" s="763"/>
      <c r="AW3" s="763"/>
      <c r="AX3" s="763"/>
      <c r="AY3" s="763"/>
      <c r="AZ3" s="763"/>
      <c r="BA3" s="763"/>
      <c r="BB3" s="763"/>
      <c r="BC3" s="763"/>
      <c r="BD3" s="763"/>
      <c r="BE3" s="763"/>
      <c r="BF3" s="763"/>
      <c r="BG3" s="763"/>
      <c r="BH3" s="763"/>
      <c r="BI3" s="763"/>
      <c r="BJ3" s="763"/>
      <c r="BK3" s="763"/>
      <c r="BL3" s="763"/>
      <c r="BM3" s="763"/>
      <c r="BN3" s="763"/>
      <c r="BO3" s="763"/>
      <c r="BP3" s="763"/>
      <c r="BQ3" s="763"/>
      <c r="BR3" s="763"/>
      <c r="BS3" s="763"/>
      <c r="BT3" s="763"/>
      <c r="BU3" s="763"/>
      <c r="BV3" s="763"/>
      <c r="BW3" s="763"/>
      <c r="BX3" s="763"/>
      <c r="BY3" s="763"/>
      <c r="BZ3" s="763"/>
      <c r="CA3" s="763"/>
      <c r="CB3" s="763"/>
      <c r="CC3" s="763"/>
      <c r="CD3" s="763"/>
      <c r="CE3" s="763"/>
      <c r="CF3" s="763"/>
      <c r="CG3" s="763"/>
      <c r="CH3" s="763"/>
      <c r="CI3" s="763"/>
      <c r="CJ3" s="763"/>
      <c r="CK3" s="763"/>
      <c r="CL3" s="763"/>
      <c r="CM3" s="763"/>
      <c r="CN3" s="763"/>
      <c r="CO3" s="763"/>
      <c r="CP3" s="763"/>
      <c r="CQ3" s="763"/>
      <c r="CR3" s="763"/>
      <c r="CS3" s="763"/>
      <c r="CT3" s="763"/>
      <c r="CU3" s="763"/>
      <c r="CV3" s="763"/>
      <c r="CW3" s="763"/>
      <c r="CX3" s="763"/>
      <c r="CY3" s="763"/>
      <c r="CZ3" s="763"/>
      <c r="DA3" s="763"/>
      <c r="DB3" s="763"/>
      <c r="DC3" s="763"/>
      <c r="DD3" s="763"/>
      <c r="DE3" s="763"/>
      <c r="DF3" s="763"/>
      <c r="DG3" s="763"/>
      <c r="DH3" s="763"/>
      <c r="DI3" s="763"/>
      <c r="DJ3" s="763"/>
      <c r="DK3" s="763"/>
      <c r="DL3" s="763"/>
      <c r="DM3" s="763"/>
      <c r="DN3" s="763"/>
      <c r="DO3" s="763"/>
      <c r="DP3" s="763"/>
      <c r="DQ3" s="763"/>
      <c r="DR3" s="763"/>
      <c r="DS3" s="763"/>
      <c r="DT3" s="763"/>
      <c r="DU3" s="763"/>
      <c r="DV3" s="763"/>
      <c r="DW3" s="763"/>
      <c r="DX3" s="763"/>
      <c r="DY3" s="763"/>
      <c r="DZ3" s="763"/>
      <c r="EA3" s="763"/>
    </row>
    <row r="4" spans="1:132" s="899" customFormat="1" ht="11.25" x14ac:dyDescent="0.2">
      <c r="A4" s="426"/>
      <c r="B4" s="536" t="s">
        <v>1153</v>
      </c>
      <c r="C4" s="1304" t="s">
        <v>1647</v>
      </c>
      <c r="D4" s="1304"/>
      <c r="E4" s="682" t="s">
        <v>1154</v>
      </c>
      <c r="F4" s="682"/>
      <c r="G4" s="426"/>
      <c r="H4" s="426"/>
      <c r="I4" s="426"/>
      <c r="J4" s="480"/>
      <c r="K4" s="480"/>
      <c r="L4" s="480"/>
      <c r="M4" s="480"/>
      <c r="N4" s="480"/>
      <c r="O4" s="480"/>
      <c r="P4" s="766"/>
      <c r="Q4" s="480"/>
      <c r="R4" s="763"/>
      <c r="S4" s="763"/>
      <c r="T4" s="763"/>
      <c r="U4" s="763"/>
      <c r="V4" s="763"/>
      <c r="W4" s="763"/>
      <c r="X4" s="763"/>
      <c r="Y4" s="763"/>
      <c r="Z4" s="763"/>
      <c r="AA4" s="763"/>
      <c r="AB4" s="763"/>
      <c r="AC4" s="763"/>
      <c r="AD4" s="763"/>
      <c r="AE4" s="763"/>
      <c r="AF4" s="763"/>
      <c r="AG4" s="763"/>
      <c r="AH4" s="763"/>
      <c r="AI4" s="763"/>
      <c r="AJ4" s="763"/>
      <c r="AK4" s="763"/>
      <c r="AL4" s="763"/>
      <c r="AM4" s="763"/>
      <c r="AN4" s="763"/>
      <c r="AO4" s="763"/>
      <c r="AP4" s="763"/>
      <c r="AQ4" s="763"/>
      <c r="AR4" s="763"/>
      <c r="AS4" s="763"/>
      <c r="AT4" s="763"/>
      <c r="AU4" s="763"/>
      <c r="AV4" s="763"/>
      <c r="AW4" s="763"/>
      <c r="AX4" s="763"/>
      <c r="AY4" s="763"/>
      <c r="AZ4" s="763"/>
      <c r="BA4" s="763"/>
      <c r="BB4" s="763"/>
      <c r="BC4" s="763"/>
      <c r="BD4" s="763"/>
      <c r="BE4" s="763"/>
      <c r="BF4" s="763"/>
      <c r="BG4" s="763"/>
      <c r="BH4" s="763"/>
      <c r="BI4" s="763"/>
      <c r="BJ4" s="763"/>
      <c r="BK4" s="763"/>
      <c r="BL4" s="763"/>
      <c r="BM4" s="763"/>
      <c r="BN4" s="763"/>
      <c r="BO4" s="763"/>
      <c r="BP4" s="763"/>
      <c r="BQ4" s="763"/>
      <c r="BR4" s="763"/>
      <c r="BS4" s="763"/>
      <c r="BT4" s="763"/>
      <c r="BU4" s="763"/>
      <c r="BV4" s="763"/>
      <c r="BW4" s="763"/>
      <c r="BX4" s="763"/>
      <c r="BY4" s="763"/>
      <c r="BZ4" s="763"/>
      <c r="CA4" s="763"/>
      <c r="CB4" s="763"/>
      <c r="CC4" s="763"/>
      <c r="CD4" s="763"/>
      <c r="CE4" s="763"/>
      <c r="CF4" s="763"/>
      <c r="CG4" s="763"/>
      <c r="CH4" s="763"/>
      <c r="CI4" s="763"/>
      <c r="CJ4" s="763"/>
      <c r="CK4" s="763"/>
      <c r="CL4" s="763"/>
      <c r="CM4" s="763"/>
      <c r="CN4" s="763"/>
      <c r="CO4" s="763"/>
      <c r="CP4" s="763"/>
      <c r="CQ4" s="763"/>
      <c r="CR4" s="763"/>
      <c r="CS4" s="763"/>
      <c r="CT4" s="763"/>
      <c r="CU4" s="763"/>
      <c r="CV4" s="763"/>
      <c r="CW4" s="763"/>
      <c r="CX4" s="763"/>
      <c r="CY4" s="763"/>
      <c r="CZ4" s="763"/>
      <c r="DA4" s="763"/>
      <c r="DB4" s="763"/>
      <c r="DC4" s="763"/>
      <c r="DD4" s="763"/>
      <c r="DE4" s="763"/>
      <c r="DF4" s="763"/>
      <c r="DG4" s="763"/>
      <c r="DH4" s="763"/>
      <c r="DI4" s="763"/>
      <c r="DJ4" s="763"/>
      <c r="DK4" s="763"/>
      <c r="DL4" s="763"/>
      <c r="DM4" s="763"/>
      <c r="DN4" s="763"/>
      <c r="DO4" s="763"/>
      <c r="DP4" s="763"/>
      <c r="DQ4" s="763"/>
      <c r="DR4" s="763"/>
      <c r="DS4" s="763"/>
      <c r="DT4" s="763"/>
      <c r="DU4" s="763"/>
      <c r="DV4" s="763"/>
      <c r="DW4" s="763"/>
      <c r="DX4" s="763"/>
      <c r="DY4" s="763"/>
      <c r="DZ4" s="763"/>
      <c r="EA4" s="763"/>
    </row>
    <row r="5" spans="1:132" s="899" customFormat="1" ht="11.25" x14ac:dyDescent="0.2">
      <c r="A5" s="426"/>
      <c r="B5" s="536" t="s">
        <v>1155</v>
      </c>
      <c r="C5" s="426"/>
      <c r="D5" s="426"/>
      <c r="E5" s="426"/>
      <c r="F5" s="426"/>
      <c r="G5" s="426"/>
      <c r="H5" s="426"/>
      <c r="I5" s="426"/>
      <c r="J5" s="480"/>
      <c r="K5" s="480"/>
      <c r="L5" s="480"/>
      <c r="M5" s="480"/>
      <c r="N5" s="480"/>
      <c r="O5" s="480"/>
      <c r="P5" s="766"/>
      <c r="Q5" s="480"/>
      <c r="R5" s="763"/>
      <c r="S5" s="763"/>
      <c r="T5" s="763"/>
      <c r="U5" s="763"/>
      <c r="V5" s="763"/>
      <c r="W5" s="763"/>
      <c r="X5" s="763"/>
      <c r="Y5" s="763"/>
      <c r="Z5" s="763"/>
      <c r="AA5" s="763"/>
      <c r="AB5" s="763"/>
      <c r="AC5" s="763"/>
      <c r="AD5" s="763"/>
      <c r="AE5" s="763"/>
      <c r="AF5" s="763"/>
      <c r="AG5" s="763"/>
      <c r="AH5" s="763"/>
      <c r="AI5" s="763"/>
      <c r="AJ5" s="763"/>
      <c r="AK5" s="763"/>
      <c r="AL5" s="763"/>
      <c r="AM5" s="763"/>
      <c r="AN5" s="763"/>
      <c r="AO5" s="763"/>
      <c r="AP5" s="763"/>
      <c r="AQ5" s="763"/>
      <c r="AR5" s="763"/>
      <c r="AS5" s="763"/>
      <c r="AT5" s="763"/>
      <c r="AU5" s="763"/>
      <c r="AV5" s="763"/>
      <c r="AW5" s="763"/>
      <c r="AX5" s="763"/>
      <c r="AY5" s="763"/>
      <c r="AZ5" s="763"/>
      <c r="BA5" s="763"/>
      <c r="BB5" s="763"/>
      <c r="BC5" s="763"/>
      <c r="BD5" s="763"/>
      <c r="BE5" s="763"/>
      <c r="BF5" s="763"/>
      <c r="BG5" s="763"/>
      <c r="BH5" s="763"/>
      <c r="BI5" s="763"/>
      <c r="BJ5" s="763"/>
      <c r="BK5" s="763"/>
      <c r="BL5" s="763"/>
      <c r="BM5" s="763"/>
      <c r="BN5" s="763"/>
      <c r="BO5" s="763"/>
      <c r="BP5" s="763"/>
      <c r="BQ5" s="763"/>
      <c r="BR5" s="763"/>
      <c r="BS5" s="763"/>
      <c r="BT5" s="763"/>
      <c r="BU5" s="763"/>
      <c r="BV5" s="763"/>
      <c r="BW5" s="763"/>
      <c r="BX5" s="763"/>
      <c r="BY5" s="763"/>
      <c r="BZ5" s="763"/>
      <c r="CA5" s="763"/>
      <c r="CB5" s="763"/>
      <c r="CC5" s="763"/>
      <c r="CD5" s="763"/>
      <c r="CE5" s="763"/>
      <c r="CF5" s="763"/>
      <c r="CG5" s="763"/>
      <c r="CH5" s="763"/>
      <c r="CI5" s="763"/>
      <c r="CJ5" s="763"/>
      <c r="CK5" s="763"/>
      <c r="CL5" s="763"/>
      <c r="CM5" s="763"/>
      <c r="CN5" s="763"/>
      <c r="CO5" s="763"/>
      <c r="CP5" s="763"/>
      <c r="CQ5" s="763"/>
      <c r="CR5" s="763"/>
      <c r="CS5" s="763"/>
      <c r="CT5" s="763"/>
      <c r="CU5" s="763"/>
      <c r="CV5" s="763"/>
      <c r="CW5" s="763"/>
      <c r="CX5" s="763"/>
      <c r="CY5" s="763"/>
      <c r="CZ5" s="763"/>
      <c r="DA5" s="763"/>
      <c r="DB5" s="763"/>
      <c r="DC5" s="763"/>
      <c r="DD5" s="763"/>
      <c r="DE5" s="763"/>
      <c r="DF5" s="763"/>
      <c r="DG5" s="763"/>
      <c r="DH5" s="763"/>
      <c r="DI5" s="763"/>
      <c r="DJ5" s="763"/>
      <c r="DK5" s="763"/>
      <c r="DL5" s="763"/>
      <c r="DM5" s="763"/>
      <c r="DN5" s="763"/>
      <c r="DO5" s="763"/>
      <c r="DP5" s="763"/>
      <c r="DQ5" s="763"/>
      <c r="DR5" s="763"/>
      <c r="DS5" s="763"/>
      <c r="DT5" s="763"/>
      <c r="DU5" s="763"/>
      <c r="DV5" s="763"/>
      <c r="DW5" s="763"/>
      <c r="DX5" s="763"/>
      <c r="DY5" s="763"/>
      <c r="DZ5" s="763"/>
      <c r="EA5" s="763"/>
    </row>
    <row r="6" spans="1:132" s="899" customFormat="1" ht="3" customHeight="1" thickBot="1" x14ac:dyDescent="0.25">
      <c r="A6" s="426"/>
      <c r="B6" s="426"/>
      <c r="C6" s="426"/>
      <c r="D6" s="426"/>
      <c r="E6" s="426"/>
      <c r="F6" s="426"/>
      <c r="G6" s="426"/>
      <c r="H6" s="426"/>
      <c r="I6" s="426"/>
      <c r="J6" s="480"/>
      <c r="K6" s="480"/>
      <c r="L6" s="480"/>
      <c r="M6" s="480"/>
      <c r="N6" s="480"/>
      <c r="O6" s="480"/>
      <c r="P6" s="766"/>
      <c r="Q6" s="480"/>
      <c r="R6" s="763"/>
      <c r="S6" s="763"/>
      <c r="T6" s="763"/>
      <c r="U6" s="763"/>
      <c r="V6" s="763"/>
      <c r="W6" s="763"/>
      <c r="X6" s="763"/>
      <c r="Y6" s="763"/>
      <c r="Z6" s="763"/>
      <c r="AA6" s="763"/>
      <c r="AB6" s="763"/>
      <c r="AC6" s="763"/>
      <c r="AD6" s="763"/>
      <c r="AE6" s="763"/>
      <c r="AF6" s="763"/>
      <c r="AG6" s="763"/>
      <c r="AH6" s="763"/>
      <c r="AI6" s="763"/>
      <c r="AJ6" s="763"/>
      <c r="AK6" s="763"/>
      <c r="AL6" s="763"/>
      <c r="AM6" s="763"/>
      <c r="AN6" s="763"/>
      <c r="AO6" s="763"/>
      <c r="AP6" s="763"/>
      <c r="AQ6" s="763"/>
      <c r="AR6" s="763"/>
      <c r="AS6" s="763"/>
      <c r="AT6" s="763"/>
      <c r="AU6" s="763"/>
      <c r="AV6" s="763"/>
      <c r="AW6" s="763"/>
      <c r="AX6" s="763"/>
      <c r="AY6" s="763"/>
      <c r="AZ6" s="763"/>
      <c r="BA6" s="763"/>
      <c r="BB6" s="763"/>
      <c r="BC6" s="763"/>
      <c r="BD6" s="763"/>
      <c r="BE6" s="763"/>
      <c r="BF6" s="763"/>
      <c r="BG6" s="763"/>
      <c r="BH6" s="763"/>
      <c r="BI6" s="763"/>
      <c r="BJ6" s="763"/>
      <c r="BK6" s="763"/>
      <c r="BL6" s="763"/>
      <c r="BM6" s="763"/>
      <c r="BN6" s="763"/>
      <c r="BO6" s="763"/>
      <c r="BP6" s="763"/>
      <c r="BQ6" s="763"/>
      <c r="BR6" s="763"/>
      <c r="BS6" s="763"/>
      <c r="BT6" s="763"/>
      <c r="BU6" s="763"/>
      <c r="BV6" s="763"/>
      <c r="BW6" s="763"/>
      <c r="BX6" s="763"/>
      <c r="BY6" s="763"/>
      <c r="BZ6" s="763"/>
      <c r="CA6" s="763"/>
      <c r="CB6" s="763"/>
      <c r="CC6" s="763"/>
      <c r="CD6" s="763"/>
      <c r="CE6" s="763"/>
      <c r="CF6" s="763"/>
      <c r="CG6" s="763"/>
      <c r="CH6" s="763"/>
      <c r="CI6" s="763"/>
      <c r="CJ6" s="763"/>
      <c r="CK6" s="763"/>
      <c r="CL6" s="763"/>
      <c r="CM6" s="763"/>
      <c r="CN6" s="763"/>
      <c r="CO6" s="763"/>
      <c r="CP6" s="763"/>
      <c r="CQ6" s="763"/>
      <c r="CR6" s="763"/>
      <c r="CS6" s="763"/>
      <c r="CT6" s="763"/>
      <c r="CU6" s="763"/>
      <c r="CV6" s="763"/>
      <c r="CW6" s="763"/>
      <c r="CX6" s="763"/>
      <c r="CY6" s="763"/>
      <c r="CZ6" s="763"/>
      <c r="DA6" s="763"/>
      <c r="DB6" s="763"/>
      <c r="DC6" s="763"/>
      <c r="DD6" s="763"/>
      <c r="DE6" s="763"/>
      <c r="DF6" s="763"/>
      <c r="DG6" s="763"/>
      <c r="DH6" s="763"/>
      <c r="DI6" s="763"/>
      <c r="DJ6" s="763"/>
      <c r="DK6" s="763"/>
      <c r="DL6" s="763"/>
      <c r="DM6" s="763"/>
      <c r="DN6" s="763"/>
      <c r="DO6" s="763"/>
      <c r="DP6" s="763"/>
      <c r="DQ6" s="763"/>
      <c r="DR6" s="763"/>
      <c r="DS6" s="763"/>
      <c r="DT6" s="763"/>
      <c r="DU6" s="763"/>
      <c r="DV6" s="763"/>
      <c r="DW6" s="763"/>
      <c r="DX6" s="763"/>
      <c r="DY6" s="763"/>
      <c r="DZ6" s="763"/>
      <c r="EA6" s="763"/>
    </row>
    <row r="7" spans="1:132" s="899" customFormat="1" ht="14.1" customHeight="1" x14ac:dyDescent="0.2">
      <c r="A7" s="426"/>
      <c r="B7" s="1241" t="s">
        <v>1156</v>
      </c>
      <c r="C7" s="1211" t="s">
        <v>1157</v>
      </c>
      <c r="D7" s="1293"/>
      <c r="E7" s="1212"/>
      <c r="F7" s="683"/>
      <c r="G7" s="1229" t="s">
        <v>257</v>
      </c>
      <c r="H7" s="1229"/>
      <c r="I7" s="1307" t="s">
        <v>1158</v>
      </c>
      <c r="J7" s="1307"/>
      <c r="K7" s="1307"/>
      <c r="L7" s="1307"/>
      <c r="M7" s="1307"/>
      <c r="N7" s="1307"/>
      <c r="O7" s="1269" t="s">
        <v>1159</v>
      </c>
      <c r="P7" s="1270" t="s">
        <v>1160</v>
      </c>
      <c r="Q7" s="1305"/>
      <c r="R7" s="1013"/>
      <c r="S7" s="1013"/>
      <c r="T7" s="1013"/>
      <c r="U7" s="1013"/>
      <c r="V7" s="1309" t="s">
        <v>1008</v>
      </c>
      <c r="W7" s="1299" t="s">
        <v>1009</v>
      </c>
      <c r="X7" s="1300"/>
      <c r="Y7" s="1296" t="s">
        <v>1010</v>
      </c>
      <c r="Z7" s="1296" t="s">
        <v>1011</v>
      </c>
      <c r="AA7" s="1296" t="s">
        <v>1012</v>
      </c>
      <c r="AB7" s="1296" t="s">
        <v>1011</v>
      </c>
      <c r="AC7" s="1296" t="s">
        <v>1013</v>
      </c>
      <c r="AD7" s="1296" t="s">
        <v>1011</v>
      </c>
      <c r="AE7" s="1296" t="s">
        <v>1014</v>
      </c>
      <c r="AF7" s="763"/>
      <c r="AG7" s="763"/>
      <c r="AH7" s="763"/>
      <c r="AI7" s="763"/>
      <c r="AJ7" s="763"/>
      <c r="AK7" s="763"/>
      <c r="AL7" s="763"/>
      <c r="AM7" s="763"/>
      <c r="AN7" s="763"/>
      <c r="AO7" s="763"/>
      <c r="AP7" s="763"/>
      <c r="AQ7" s="763"/>
      <c r="AR7" s="763"/>
      <c r="AS7" s="763"/>
      <c r="AT7" s="763"/>
      <c r="AU7" s="763"/>
      <c r="AV7" s="763"/>
      <c r="AW7" s="763"/>
      <c r="AX7" s="763"/>
      <c r="AY7" s="763"/>
      <c r="AZ7" s="763"/>
      <c r="BA7" s="763"/>
      <c r="BB7" s="763"/>
      <c r="BC7" s="763"/>
      <c r="BD7" s="763"/>
      <c r="BE7" s="763"/>
      <c r="BF7" s="763"/>
      <c r="BG7" s="763"/>
      <c r="BH7" s="763"/>
      <c r="BI7" s="763"/>
      <c r="BJ7" s="763"/>
      <c r="BK7" s="763"/>
      <c r="BL7" s="763"/>
      <c r="BM7" s="763"/>
      <c r="BN7" s="763"/>
      <c r="BO7" s="763"/>
      <c r="BP7" s="763"/>
      <c r="BQ7" s="763"/>
      <c r="BR7" s="763"/>
      <c r="BS7" s="763"/>
      <c r="BT7" s="763"/>
      <c r="BU7" s="763"/>
      <c r="BV7" s="763"/>
      <c r="BW7" s="763"/>
      <c r="BX7" s="763"/>
      <c r="BY7" s="763"/>
      <c r="BZ7" s="763"/>
      <c r="CA7" s="763"/>
      <c r="CB7" s="763"/>
      <c r="CC7" s="763"/>
      <c r="CD7" s="763"/>
      <c r="CE7" s="763"/>
      <c r="CF7" s="763"/>
      <c r="CG7" s="763"/>
      <c r="CH7" s="763"/>
      <c r="CI7" s="763"/>
      <c r="CJ7" s="763"/>
      <c r="CK7" s="763"/>
      <c r="CL7" s="763"/>
      <c r="CM7" s="763"/>
      <c r="CN7" s="763"/>
      <c r="CO7" s="763"/>
      <c r="CP7" s="763"/>
      <c r="CQ7" s="763"/>
      <c r="CR7" s="763"/>
      <c r="CS7" s="763"/>
      <c r="CT7" s="763"/>
      <c r="CU7" s="763"/>
      <c r="CV7" s="763"/>
      <c r="CW7" s="763"/>
      <c r="CX7" s="763"/>
      <c r="CY7" s="763"/>
      <c r="CZ7" s="763"/>
      <c r="DA7" s="763"/>
      <c r="DB7" s="763"/>
      <c r="DC7" s="763"/>
      <c r="DD7" s="763"/>
      <c r="DE7" s="763"/>
      <c r="DF7" s="763"/>
      <c r="DG7" s="763"/>
      <c r="DH7" s="763"/>
      <c r="DI7" s="763"/>
      <c r="DJ7" s="763"/>
      <c r="DK7" s="763"/>
      <c r="DL7" s="763"/>
      <c r="DM7" s="763"/>
      <c r="DN7" s="763"/>
      <c r="DO7" s="763"/>
      <c r="DP7" s="763"/>
      <c r="DQ7" s="763"/>
      <c r="DR7" s="763"/>
      <c r="DS7" s="763"/>
      <c r="DT7" s="763"/>
      <c r="DU7" s="763"/>
      <c r="DV7" s="763"/>
      <c r="DW7" s="763"/>
      <c r="DX7" s="763"/>
      <c r="DY7" s="763"/>
      <c r="DZ7" s="763"/>
      <c r="EA7" s="763"/>
      <c r="EB7" s="763"/>
    </row>
    <row r="8" spans="1:132" s="899" customFormat="1" ht="27.95" customHeight="1" x14ac:dyDescent="0.2">
      <c r="A8" s="426"/>
      <c r="B8" s="1242"/>
      <c r="C8" s="1312" t="s">
        <v>1161</v>
      </c>
      <c r="D8" s="1314" t="s">
        <v>1162</v>
      </c>
      <c r="E8" s="1315"/>
      <c r="F8" s="684"/>
      <c r="G8" s="1294"/>
      <c r="H8" s="1294"/>
      <c r="I8" s="1254" t="s">
        <v>1163</v>
      </c>
      <c r="J8" s="1254"/>
      <c r="K8" s="1318" t="s">
        <v>1164</v>
      </c>
      <c r="L8" s="1253"/>
      <c r="M8" s="1318" t="s">
        <v>1411</v>
      </c>
      <c r="N8" s="1253"/>
      <c r="O8" s="1256"/>
      <c r="P8" s="1274"/>
      <c r="Q8" s="1306"/>
      <c r="R8" s="1013"/>
      <c r="S8" s="1013"/>
      <c r="T8" s="1013"/>
      <c r="U8" s="1013"/>
      <c r="V8" s="1310"/>
      <c r="W8" s="1301"/>
      <c r="X8" s="1302"/>
      <c r="Y8" s="1297"/>
      <c r="Z8" s="1297"/>
      <c r="AA8" s="1297"/>
      <c r="AB8" s="1297"/>
      <c r="AC8" s="1297"/>
      <c r="AD8" s="1297"/>
      <c r="AE8" s="1297"/>
      <c r="AF8" s="763"/>
      <c r="AG8" s="763"/>
      <c r="AH8" s="763"/>
      <c r="AI8" s="763"/>
      <c r="AJ8" s="763"/>
      <c r="AK8" s="763"/>
      <c r="AL8" s="763"/>
      <c r="AM8" s="763"/>
      <c r="AN8" s="763"/>
      <c r="AO8" s="763"/>
      <c r="AP8" s="763"/>
      <c r="AQ8" s="763"/>
      <c r="AR8" s="763"/>
      <c r="AS8" s="763"/>
      <c r="AT8" s="763"/>
      <c r="AU8" s="763"/>
      <c r="AV8" s="763"/>
      <c r="AW8" s="763"/>
      <c r="AX8" s="763"/>
      <c r="AY8" s="763"/>
      <c r="AZ8" s="763"/>
      <c r="BA8" s="763"/>
      <c r="BB8" s="763"/>
      <c r="BC8" s="763"/>
      <c r="BD8" s="763"/>
      <c r="BE8" s="763"/>
      <c r="BF8" s="763"/>
      <c r="BG8" s="763"/>
      <c r="BH8" s="763"/>
      <c r="BI8" s="763"/>
      <c r="BJ8" s="763"/>
      <c r="BK8" s="763"/>
      <c r="BL8" s="763"/>
      <c r="BM8" s="763"/>
      <c r="BN8" s="763"/>
      <c r="BO8" s="763"/>
      <c r="BP8" s="763"/>
      <c r="BQ8" s="763"/>
      <c r="BR8" s="763"/>
      <c r="BS8" s="763"/>
      <c r="BT8" s="763"/>
      <c r="BU8" s="763"/>
      <c r="BV8" s="763"/>
      <c r="BW8" s="763"/>
      <c r="BX8" s="763"/>
      <c r="BY8" s="763"/>
      <c r="BZ8" s="763"/>
      <c r="CA8" s="763"/>
      <c r="CB8" s="763"/>
      <c r="CC8" s="763"/>
      <c r="CD8" s="763"/>
      <c r="CE8" s="763"/>
      <c r="CF8" s="763"/>
      <c r="CG8" s="763"/>
      <c r="CH8" s="763"/>
      <c r="CI8" s="763"/>
      <c r="CJ8" s="763"/>
      <c r="CK8" s="763"/>
      <c r="CL8" s="763"/>
      <c r="CM8" s="763"/>
      <c r="CN8" s="763"/>
      <c r="CO8" s="763"/>
      <c r="CP8" s="763"/>
      <c r="CQ8" s="763"/>
      <c r="CR8" s="763"/>
      <c r="CS8" s="763"/>
      <c r="CT8" s="763"/>
      <c r="CU8" s="763"/>
      <c r="CV8" s="763"/>
      <c r="CW8" s="763"/>
      <c r="CX8" s="763"/>
      <c r="CY8" s="763"/>
      <c r="CZ8" s="763"/>
      <c r="DA8" s="763"/>
      <c r="DB8" s="763"/>
      <c r="DC8" s="763"/>
      <c r="DD8" s="763"/>
      <c r="DE8" s="763"/>
      <c r="DF8" s="763"/>
      <c r="DG8" s="763"/>
      <c r="DH8" s="763"/>
      <c r="DI8" s="763"/>
      <c r="DJ8" s="763"/>
      <c r="DK8" s="763"/>
      <c r="DL8" s="763"/>
      <c r="DM8" s="763"/>
      <c r="DN8" s="763"/>
      <c r="DO8" s="763"/>
      <c r="DP8" s="763"/>
      <c r="DQ8" s="763"/>
      <c r="DR8" s="763"/>
      <c r="DS8" s="763"/>
      <c r="DT8" s="763"/>
      <c r="DU8" s="763"/>
      <c r="DV8" s="763"/>
      <c r="DW8" s="763"/>
      <c r="DX8" s="763"/>
      <c r="DY8" s="763"/>
      <c r="DZ8" s="763"/>
      <c r="EA8" s="763"/>
      <c r="EB8" s="763"/>
    </row>
    <row r="9" spans="1:132" s="899" customFormat="1" ht="14.1" customHeight="1" thickBot="1" x14ac:dyDescent="0.25">
      <c r="A9" s="426"/>
      <c r="B9" s="1292"/>
      <c r="C9" s="1313"/>
      <c r="D9" s="1316"/>
      <c r="E9" s="1317"/>
      <c r="F9" s="687"/>
      <c r="G9" s="1295"/>
      <c r="H9" s="1295"/>
      <c r="I9" s="688" t="s">
        <v>1025</v>
      </c>
      <c r="J9" s="688" t="s">
        <v>1027</v>
      </c>
      <c r="K9" s="689" t="s">
        <v>1025</v>
      </c>
      <c r="L9" s="689" t="s">
        <v>1027</v>
      </c>
      <c r="M9" s="689" t="s">
        <v>1025</v>
      </c>
      <c r="N9" s="689" t="s">
        <v>1027</v>
      </c>
      <c r="O9" s="1308"/>
      <c r="P9" s="689" t="s">
        <v>1025</v>
      </c>
      <c r="Q9" s="690" t="s">
        <v>1027</v>
      </c>
      <c r="R9" s="1014"/>
      <c r="S9" s="1014"/>
      <c r="T9" s="1014"/>
      <c r="U9" s="1014"/>
      <c r="V9" s="1311"/>
      <c r="W9" s="1015" t="s">
        <v>1025</v>
      </c>
      <c r="X9" s="1015" t="s">
        <v>1027</v>
      </c>
      <c r="Y9" s="1298"/>
      <c r="Z9" s="1298"/>
      <c r="AA9" s="1298"/>
      <c r="AB9" s="1298"/>
      <c r="AC9" s="1298"/>
      <c r="AD9" s="1298"/>
      <c r="AE9" s="1298"/>
      <c r="AF9" s="763"/>
      <c r="AG9" s="763"/>
      <c r="AH9" s="763"/>
      <c r="AI9" s="763"/>
      <c r="AJ9" s="763"/>
      <c r="AK9" s="763"/>
      <c r="AL9" s="763"/>
      <c r="AM9" s="763"/>
      <c r="AN9" s="763"/>
      <c r="AO9" s="763"/>
      <c r="AP9" s="763"/>
      <c r="AQ9" s="763"/>
      <c r="AR9" s="763"/>
      <c r="AS9" s="763"/>
      <c r="AT9" s="763"/>
      <c r="AU9" s="763"/>
      <c r="AV9" s="763"/>
      <c r="AW9" s="763"/>
      <c r="AX9" s="763"/>
      <c r="AY9" s="763"/>
      <c r="AZ9" s="763"/>
      <c r="BA9" s="763"/>
      <c r="BB9" s="763"/>
      <c r="BC9" s="763"/>
      <c r="BD9" s="763"/>
      <c r="BE9" s="763"/>
      <c r="BF9" s="763"/>
      <c r="BG9" s="763"/>
      <c r="BH9" s="763"/>
      <c r="BI9" s="763"/>
      <c r="BJ9" s="763"/>
      <c r="BK9" s="763"/>
      <c r="BL9" s="763"/>
      <c r="BM9" s="763"/>
      <c r="BN9" s="763"/>
      <c r="BO9" s="763"/>
      <c r="BP9" s="763"/>
      <c r="BQ9" s="763"/>
      <c r="BR9" s="763"/>
      <c r="BS9" s="763"/>
      <c r="BT9" s="763"/>
      <c r="BU9" s="763"/>
      <c r="BV9" s="763"/>
      <c r="BW9" s="763"/>
      <c r="BX9" s="763"/>
      <c r="BY9" s="763"/>
      <c r="BZ9" s="763"/>
      <c r="CA9" s="763"/>
      <c r="CB9" s="763"/>
      <c r="CC9" s="763"/>
      <c r="CD9" s="763"/>
      <c r="CE9" s="763"/>
      <c r="CF9" s="763"/>
      <c r="CG9" s="763"/>
      <c r="CH9" s="763"/>
      <c r="CI9" s="763"/>
      <c r="CJ9" s="763"/>
      <c r="CK9" s="763"/>
      <c r="CL9" s="763"/>
      <c r="CM9" s="763"/>
      <c r="CN9" s="763"/>
      <c r="CO9" s="763"/>
      <c r="CP9" s="763"/>
      <c r="CQ9" s="763"/>
      <c r="CR9" s="763"/>
      <c r="CS9" s="763"/>
      <c r="CT9" s="763"/>
      <c r="CU9" s="763"/>
      <c r="CV9" s="763"/>
      <c r="CW9" s="763"/>
      <c r="CX9" s="763"/>
      <c r="CY9" s="763"/>
      <c r="CZ9" s="763"/>
      <c r="DA9" s="763"/>
      <c r="DB9" s="763"/>
      <c r="DC9" s="763"/>
      <c r="DD9" s="763"/>
      <c r="DE9" s="763"/>
      <c r="DF9" s="763"/>
      <c r="DG9" s="763"/>
      <c r="DH9" s="763"/>
      <c r="DI9" s="763"/>
      <c r="DJ9" s="763"/>
      <c r="DK9" s="763"/>
      <c r="DL9" s="763"/>
      <c r="DM9" s="763"/>
      <c r="DN9" s="763"/>
      <c r="DO9" s="763"/>
      <c r="DP9" s="763"/>
      <c r="DQ9" s="763"/>
      <c r="DR9" s="763"/>
      <c r="DS9" s="763"/>
      <c r="DT9" s="763"/>
      <c r="DU9" s="763"/>
      <c r="DV9" s="763"/>
      <c r="DW9" s="763"/>
      <c r="DX9" s="763"/>
      <c r="DY9" s="763"/>
      <c r="DZ9" s="763"/>
      <c r="EA9" s="763"/>
      <c r="EB9" s="763"/>
    </row>
    <row r="10" spans="1:132" s="899" customFormat="1" ht="14.1" customHeight="1" x14ac:dyDescent="0.2">
      <c r="A10" s="426"/>
      <c r="B10" s="1319">
        <v>1</v>
      </c>
      <c r="C10" s="691" t="s">
        <v>1165</v>
      </c>
      <c r="D10" s="1321" t="s">
        <v>1165</v>
      </c>
      <c r="E10" s="1322"/>
      <c r="F10" s="767"/>
      <c r="G10" s="693" t="s">
        <v>1166</v>
      </c>
      <c r="H10" s="693"/>
      <c r="I10" s="694"/>
      <c r="J10" s="694"/>
      <c r="K10" s="695"/>
      <c r="L10" s="696"/>
      <c r="M10" s="697">
        <f>I10+K10</f>
        <v>0</v>
      </c>
      <c r="N10" s="783">
        <f>J10+L10</f>
        <v>0</v>
      </c>
      <c r="O10" s="698">
        <v>0</v>
      </c>
      <c r="P10" s="699">
        <f>M10*O10</f>
        <v>0</v>
      </c>
      <c r="Q10" s="700">
        <f>N10*O10</f>
        <v>0</v>
      </c>
      <c r="R10" s="1016"/>
      <c r="S10" s="1016"/>
      <c r="T10" s="1016"/>
      <c r="U10" s="1016"/>
      <c r="V10" s="1017">
        <f>IF(P10&lt;=Q10,P10*10%,Q10*10%)</f>
        <v>0</v>
      </c>
      <c r="W10" s="1018">
        <f>IF(P10&gt;Q10,P10-Q10,0)</f>
        <v>0</v>
      </c>
      <c r="X10" s="1018">
        <f>IF(Q10&gt;P10,Q10-P10,0)</f>
        <v>0</v>
      </c>
      <c r="Y10" s="1323">
        <f>IF(SUM(W10:W13)&lt;SUM(X10:X13),SUM(W10:W13)*40%,SUM(X10:X13)*40%)</f>
        <v>0</v>
      </c>
      <c r="Z10" s="1323">
        <f>(SUM(W10:W13)-SUM(X10:X13))</f>
        <v>0</v>
      </c>
      <c r="AA10" s="1323">
        <f>(IF(Z10=0,0,IF(Z14=0,0,IF(Z10&gt;0,IF(Z14&lt;0,IF(Z10&lt;ABS(Z14),Z10*40%,ABS(Z14)*40%),0),IF(Z14&gt;0,IF(ABS(Z10)&lt;Z14,ABS(Z10)*40%,Z14*40%),0)))))</f>
        <v>0</v>
      </c>
      <c r="AB10" s="1323">
        <f>IF(AA10=0,Z10,IF(ABS(Z10)&lt;ABS(Z14),0,Z10+Z14))</f>
        <v>0</v>
      </c>
      <c r="AC10" s="1337"/>
      <c r="AD10" s="1323">
        <f>AB10</f>
        <v>0</v>
      </c>
      <c r="AE10" s="1330">
        <f>(IF(AD10=0,0,IF(AD17=0,0,IF(AD10&gt;0,IF(AD17&lt;0,IF(AD10&lt;ABS(AD17),AD10*100%,ABS(AD17)*100%),0),IF(AD17&gt;0,IF(ABS(AD10)&lt;AD17,ABS(AD10)*100%,AD17*100%),0)))))</f>
        <v>0</v>
      </c>
      <c r="AF10" s="763"/>
      <c r="AG10" s="763"/>
      <c r="AH10" s="763"/>
      <c r="AI10" s="763"/>
      <c r="AJ10" s="763"/>
      <c r="AK10" s="763"/>
      <c r="AL10" s="763"/>
      <c r="AM10" s="763"/>
      <c r="AN10" s="763"/>
      <c r="AO10" s="763"/>
      <c r="AP10" s="763"/>
      <c r="AQ10" s="763"/>
      <c r="AR10" s="763"/>
      <c r="AS10" s="763"/>
      <c r="AT10" s="763"/>
      <c r="AU10" s="763"/>
      <c r="AV10" s="763"/>
      <c r="AW10" s="763"/>
      <c r="AX10" s="763"/>
      <c r="AY10" s="763"/>
      <c r="AZ10" s="763"/>
      <c r="BA10" s="763"/>
      <c r="BB10" s="763"/>
      <c r="BC10" s="763"/>
      <c r="BD10" s="763"/>
      <c r="BE10" s="763"/>
      <c r="BF10" s="763"/>
      <c r="BG10" s="763"/>
      <c r="BH10" s="763"/>
      <c r="BI10" s="763"/>
      <c r="BJ10" s="763"/>
      <c r="BK10" s="763"/>
      <c r="BL10" s="763"/>
      <c r="BM10" s="763"/>
      <c r="BN10" s="763"/>
      <c r="BO10" s="763"/>
      <c r="BP10" s="763"/>
      <c r="BQ10" s="763"/>
      <c r="BR10" s="763"/>
      <c r="BS10" s="763"/>
      <c r="BT10" s="763"/>
      <c r="BU10" s="763"/>
      <c r="BV10" s="763"/>
      <c r="BW10" s="763"/>
      <c r="BX10" s="763"/>
      <c r="BY10" s="763"/>
      <c r="BZ10" s="763"/>
      <c r="CA10" s="763"/>
      <c r="CB10" s="763"/>
      <c r="CC10" s="763"/>
      <c r="CD10" s="763"/>
      <c r="CE10" s="763"/>
      <c r="CF10" s="763"/>
      <c r="CG10" s="763"/>
      <c r="CH10" s="763"/>
      <c r="CI10" s="763"/>
      <c r="CJ10" s="763"/>
      <c r="CK10" s="763"/>
      <c r="CL10" s="763"/>
      <c r="CM10" s="763"/>
      <c r="CN10" s="763"/>
      <c r="CO10" s="763"/>
      <c r="CP10" s="763"/>
      <c r="CQ10" s="763"/>
      <c r="CR10" s="763"/>
      <c r="CS10" s="763"/>
      <c r="CT10" s="763"/>
      <c r="CU10" s="763"/>
      <c r="CV10" s="763"/>
      <c r="CW10" s="763"/>
      <c r="CX10" s="763"/>
      <c r="CY10" s="763"/>
      <c r="CZ10" s="763"/>
      <c r="DA10" s="763"/>
      <c r="DB10" s="763"/>
      <c r="DC10" s="763"/>
      <c r="DD10" s="763"/>
      <c r="DE10" s="763"/>
      <c r="DF10" s="763"/>
      <c r="DG10" s="763"/>
      <c r="DH10" s="763"/>
      <c r="DI10" s="763"/>
      <c r="DJ10" s="763"/>
      <c r="DK10" s="763"/>
      <c r="DL10" s="763"/>
      <c r="DM10" s="763"/>
      <c r="DN10" s="763"/>
      <c r="DO10" s="763"/>
      <c r="DP10" s="763"/>
      <c r="DQ10" s="763"/>
      <c r="DR10" s="763"/>
      <c r="DS10" s="763"/>
      <c r="DT10" s="763"/>
      <c r="DU10" s="763"/>
      <c r="DV10" s="763"/>
      <c r="DW10" s="763"/>
      <c r="DX10" s="763"/>
      <c r="DY10" s="763"/>
      <c r="DZ10" s="763"/>
      <c r="EA10" s="763"/>
      <c r="EB10" s="763"/>
    </row>
    <row r="11" spans="1:132" s="899" customFormat="1" ht="14.1" customHeight="1" x14ac:dyDescent="0.2">
      <c r="A11" s="426"/>
      <c r="B11" s="1320"/>
      <c r="C11" s="451" t="s">
        <v>1167</v>
      </c>
      <c r="D11" s="1333" t="s">
        <v>1167</v>
      </c>
      <c r="E11" s="1334"/>
      <c r="F11" s="774"/>
      <c r="G11" s="702" t="s">
        <v>1168</v>
      </c>
      <c r="H11" s="702"/>
      <c r="I11" s="703"/>
      <c r="J11" s="703"/>
      <c r="K11" s="704"/>
      <c r="L11" s="705"/>
      <c r="M11" s="706">
        <f>I11+K11</f>
        <v>0</v>
      </c>
      <c r="N11" s="784">
        <f>J11+L11</f>
        <v>0</v>
      </c>
      <c r="O11" s="707">
        <v>2E-3</v>
      </c>
      <c r="P11" s="708">
        <f>M11*O11</f>
        <v>0</v>
      </c>
      <c r="Q11" s="709">
        <f>N11*O11</f>
        <v>0</v>
      </c>
      <c r="R11" s="1016"/>
      <c r="S11" s="1016"/>
      <c r="T11" s="1016"/>
      <c r="U11" s="1016"/>
      <c r="V11" s="1017">
        <f t="shared" ref="V11:V24" si="0">IF(P11&lt;=Q11,P11*10%,Q11*10%)</f>
        <v>0</v>
      </c>
      <c r="W11" s="1018">
        <f t="shared" ref="W11:W24" si="1">IF(P11&gt;Q11,P11-Q11,0)</f>
        <v>0</v>
      </c>
      <c r="X11" s="1018">
        <f t="shared" ref="X11:X23" si="2">IF(Q11&gt;P11,Q11-P11,0)</f>
        <v>0</v>
      </c>
      <c r="Y11" s="1324"/>
      <c r="Z11" s="1324"/>
      <c r="AA11" s="1324"/>
      <c r="AB11" s="1324"/>
      <c r="AC11" s="1338"/>
      <c r="AD11" s="1324"/>
      <c r="AE11" s="1331"/>
      <c r="AF11" s="763"/>
      <c r="AG11" s="763"/>
      <c r="AH11" s="763"/>
      <c r="AI11" s="763"/>
      <c r="AJ11" s="763"/>
      <c r="AK11" s="763"/>
      <c r="AL11" s="763"/>
      <c r="AM11" s="763"/>
      <c r="AN11" s="763"/>
      <c r="AO11" s="763"/>
      <c r="AP11" s="763"/>
      <c r="AQ11" s="763"/>
      <c r="AR11" s="763"/>
      <c r="AS11" s="763"/>
      <c r="AT11" s="763"/>
      <c r="AU11" s="763"/>
      <c r="AV11" s="763"/>
      <c r="AW11" s="763"/>
      <c r="AX11" s="763"/>
      <c r="AY11" s="763"/>
      <c r="AZ11" s="763"/>
      <c r="BA11" s="763"/>
      <c r="BB11" s="763"/>
      <c r="BC11" s="763"/>
      <c r="BD11" s="763"/>
      <c r="BE11" s="763"/>
      <c r="BF11" s="763"/>
      <c r="BG11" s="763"/>
      <c r="BH11" s="763"/>
      <c r="BI11" s="763"/>
      <c r="BJ11" s="763"/>
      <c r="BK11" s="763"/>
      <c r="BL11" s="763"/>
      <c r="BM11" s="763"/>
      <c r="BN11" s="763"/>
      <c r="BO11" s="763"/>
      <c r="BP11" s="763"/>
      <c r="BQ11" s="763"/>
      <c r="BR11" s="763"/>
      <c r="BS11" s="763"/>
      <c r="BT11" s="763"/>
      <c r="BU11" s="763"/>
      <c r="BV11" s="763"/>
      <c r="BW11" s="763"/>
      <c r="BX11" s="763"/>
      <c r="BY11" s="763"/>
      <c r="BZ11" s="763"/>
      <c r="CA11" s="763"/>
      <c r="CB11" s="763"/>
      <c r="CC11" s="763"/>
      <c r="CD11" s="763"/>
      <c r="CE11" s="763"/>
      <c r="CF11" s="763"/>
      <c r="CG11" s="763"/>
      <c r="CH11" s="763"/>
      <c r="CI11" s="763"/>
      <c r="CJ11" s="763"/>
      <c r="CK11" s="763"/>
      <c r="CL11" s="763"/>
      <c r="CM11" s="763"/>
      <c r="CN11" s="763"/>
      <c r="CO11" s="763"/>
      <c r="CP11" s="763"/>
      <c r="CQ11" s="763"/>
      <c r="CR11" s="763"/>
      <c r="CS11" s="763"/>
      <c r="CT11" s="763"/>
      <c r="CU11" s="763"/>
      <c r="CV11" s="763"/>
      <c r="CW11" s="763"/>
      <c r="CX11" s="763"/>
      <c r="CY11" s="763"/>
      <c r="CZ11" s="763"/>
      <c r="DA11" s="763"/>
      <c r="DB11" s="763"/>
      <c r="DC11" s="763"/>
      <c r="DD11" s="763"/>
      <c r="DE11" s="763"/>
      <c r="DF11" s="763"/>
      <c r="DG11" s="763"/>
      <c r="DH11" s="763"/>
      <c r="DI11" s="763"/>
      <c r="DJ11" s="763"/>
      <c r="DK11" s="763"/>
      <c r="DL11" s="763"/>
      <c r="DM11" s="763"/>
      <c r="DN11" s="763"/>
      <c r="DO11" s="763"/>
      <c r="DP11" s="763"/>
      <c r="DQ11" s="763"/>
      <c r="DR11" s="763"/>
      <c r="DS11" s="763"/>
      <c r="DT11" s="763"/>
      <c r="DU11" s="763"/>
      <c r="DV11" s="763"/>
      <c r="DW11" s="763"/>
      <c r="DX11" s="763"/>
      <c r="DY11" s="763"/>
      <c r="DZ11" s="763"/>
      <c r="EA11" s="763"/>
      <c r="EB11" s="763"/>
    </row>
    <row r="12" spans="1:132" s="899" customFormat="1" ht="14.1" customHeight="1" x14ac:dyDescent="0.2">
      <c r="A12" s="426"/>
      <c r="B12" s="1320"/>
      <c r="C12" s="710" t="s">
        <v>1169</v>
      </c>
      <c r="D12" s="1333" t="s">
        <v>1169</v>
      </c>
      <c r="E12" s="1334"/>
      <c r="F12" s="701"/>
      <c r="G12" s="702" t="s">
        <v>1170</v>
      </c>
      <c r="H12" s="702"/>
      <c r="I12" s="703"/>
      <c r="J12" s="703"/>
      <c r="K12" s="703"/>
      <c r="L12" s="711"/>
      <c r="M12" s="706">
        <f>I12+K12</f>
        <v>0</v>
      </c>
      <c r="N12" s="784">
        <f t="shared" ref="N12:N24" si="3">J12+L12</f>
        <v>0</v>
      </c>
      <c r="O12" s="712">
        <v>4.0000000000000001E-3</v>
      </c>
      <c r="P12" s="708">
        <f t="shared" ref="P12:P24" si="4">M12*O12</f>
        <v>0</v>
      </c>
      <c r="Q12" s="709">
        <f t="shared" ref="Q12:Q24" si="5">N12*O12</f>
        <v>0</v>
      </c>
      <c r="R12" s="1016"/>
      <c r="S12" s="1016"/>
      <c r="T12" s="1016"/>
      <c r="U12" s="1016"/>
      <c r="V12" s="1017">
        <f t="shared" si="0"/>
        <v>0</v>
      </c>
      <c r="W12" s="1019">
        <f t="shared" si="1"/>
        <v>0</v>
      </c>
      <c r="X12" s="1018">
        <f t="shared" si="2"/>
        <v>0</v>
      </c>
      <c r="Y12" s="1324"/>
      <c r="Z12" s="1324"/>
      <c r="AA12" s="1324"/>
      <c r="AB12" s="1324"/>
      <c r="AC12" s="1338"/>
      <c r="AD12" s="1324"/>
      <c r="AE12" s="1331"/>
      <c r="AF12" s="763"/>
      <c r="AG12" s="763"/>
      <c r="AH12" s="763"/>
      <c r="AI12" s="763"/>
      <c r="AJ12" s="763"/>
      <c r="AK12" s="763"/>
      <c r="AL12" s="763"/>
      <c r="AM12" s="763"/>
      <c r="AN12" s="763"/>
      <c r="AO12" s="763"/>
      <c r="AP12" s="763"/>
      <c r="AQ12" s="763"/>
      <c r="AR12" s="763"/>
      <c r="AS12" s="763"/>
      <c r="AT12" s="763"/>
      <c r="AU12" s="763"/>
      <c r="AV12" s="763"/>
      <c r="AW12" s="763"/>
      <c r="AX12" s="763"/>
      <c r="AY12" s="763"/>
      <c r="AZ12" s="763"/>
      <c r="BA12" s="763"/>
      <c r="BB12" s="763"/>
      <c r="BC12" s="763"/>
      <c r="BD12" s="763"/>
      <c r="BE12" s="763"/>
      <c r="BF12" s="763"/>
      <c r="BG12" s="763"/>
      <c r="BH12" s="763"/>
      <c r="BI12" s="763"/>
      <c r="BJ12" s="763"/>
      <c r="BK12" s="763"/>
      <c r="BL12" s="763"/>
      <c r="BM12" s="763"/>
      <c r="BN12" s="763"/>
      <c r="BO12" s="763"/>
      <c r="BP12" s="763"/>
      <c r="BQ12" s="763"/>
      <c r="BR12" s="763"/>
      <c r="BS12" s="763"/>
      <c r="BT12" s="763"/>
      <c r="BU12" s="763"/>
      <c r="BV12" s="763"/>
      <c r="BW12" s="763"/>
      <c r="BX12" s="763"/>
      <c r="BY12" s="763"/>
      <c r="BZ12" s="763"/>
      <c r="CA12" s="763"/>
      <c r="CB12" s="763"/>
      <c r="CC12" s="763"/>
      <c r="CD12" s="763"/>
      <c r="CE12" s="763"/>
      <c r="CF12" s="763"/>
      <c r="CG12" s="763"/>
      <c r="CH12" s="763"/>
      <c r="CI12" s="763"/>
      <c r="CJ12" s="763"/>
      <c r="CK12" s="763"/>
      <c r="CL12" s="763"/>
      <c r="CM12" s="763"/>
      <c r="CN12" s="763"/>
      <c r="CO12" s="763"/>
      <c r="CP12" s="763"/>
      <c r="CQ12" s="763"/>
      <c r="CR12" s="763"/>
      <c r="CS12" s="763"/>
      <c r="CT12" s="763"/>
      <c r="CU12" s="763"/>
      <c r="CV12" s="763"/>
      <c r="CW12" s="763"/>
      <c r="CX12" s="763"/>
      <c r="CY12" s="763"/>
      <c r="CZ12" s="763"/>
      <c r="DA12" s="763"/>
      <c r="DB12" s="763"/>
      <c r="DC12" s="763"/>
      <c r="DD12" s="763"/>
      <c r="DE12" s="763"/>
      <c r="DF12" s="763"/>
      <c r="DG12" s="763"/>
      <c r="DH12" s="763"/>
      <c r="DI12" s="763"/>
      <c r="DJ12" s="763"/>
      <c r="DK12" s="763"/>
      <c r="DL12" s="763"/>
      <c r="DM12" s="763"/>
      <c r="DN12" s="763"/>
      <c r="DO12" s="763"/>
      <c r="DP12" s="763"/>
      <c r="DQ12" s="763"/>
      <c r="DR12" s="763"/>
      <c r="DS12" s="763"/>
      <c r="DT12" s="763"/>
      <c r="DU12" s="763"/>
      <c r="DV12" s="763"/>
      <c r="DW12" s="763"/>
      <c r="DX12" s="763"/>
      <c r="DY12" s="763"/>
      <c r="DZ12" s="763"/>
      <c r="EA12" s="763"/>
      <c r="EB12" s="763"/>
    </row>
    <row r="13" spans="1:132" s="899" customFormat="1" ht="14.1" customHeight="1" thickBot="1" x14ac:dyDescent="0.25">
      <c r="A13" s="426"/>
      <c r="B13" s="1320"/>
      <c r="C13" s="710" t="s">
        <v>1171</v>
      </c>
      <c r="D13" s="1372" t="s">
        <v>1171</v>
      </c>
      <c r="E13" s="1373"/>
      <c r="F13" s="768"/>
      <c r="G13" s="714" t="s">
        <v>1172</v>
      </c>
      <c r="H13" s="714"/>
      <c r="I13" s="703"/>
      <c r="J13" s="703"/>
      <c r="K13" s="703"/>
      <c r="L13" s="711"/>
      <c r="M13" s="715">
        <f t="shared" ref="M13:M24" si="6">I13+K13</f>
        <v>0</v>
      </c>
      <c r="N13" s="785">
        <f t="shared" si="3"/>
        <v>0</v>
      </c>
      <c r="O13" s="712">
        <v>7.0000000000000001E-3</v>
      </c>
      <c r="P13" s="716">
        <f t="shared" si="4"/>
        <v>0</v>
      </c>
      <c r="Q13" s="717">
        <f t="shared" si="5"/>
        <v>0</v>
      </c>
      <c r="R13" s="1016"/>
      <c r="S13" s="1016"/>
      <c r="T13" s="1016"/>
      <c r="U13" s="1016"/>
      <c r="V13" s="1020">
        <f t="shared" si="0"/>
        <v>0</v>
      </c>
      <c r="W13" s="1021">
        <f t="shared" si="1"/>
        <v>0</v>
      </c>
      <c r="X13" s="1021">
        <f t="shared" si="2"/>
        <v>0</v>
      </c>
      <c r="Y13" s="1325"/>
      <c r="Z13" s="1325"/>
      <c r="AA13" s="1324"/>
      <c r="AB13" s="1325"/>
      <c r="AC13" s="1339"/>
      <c r="AD13" s="1325"/>
      <c r="AE13" s="1331"/>
      <c r="AF13" s="763"/>
      <c r="AG13" s="763"/>
      <c r="AH13" s="763"/>
      <c r="AI13" s="763"/>
      <c r="AJ13" s="763"/>
      <c r="AK13" s="763"/>
      <c r="AL13" s="763"/>
      <c r="AM13" s="763"/>
      <c r="AN13" s="763"/>
      <c r="AO13" s="763"/>
      <c r="AP13" s="763"/>
      <c r="AQ13" s="763"/>
      <c r="AR13" s="763"/>
      <c r="AS13" s="763"/>
      <c r="AT13" s="763"/>
      <c r="AU13" s="763"/>
      <c r="AV13" s="763"/>
      <c r="AW13" s="763"/>
      <c r="AX13" s="763"/>
      <c r="AY13" s="763"/>
      <c r="AZ13" s="763"/>
      <c r="BA13" s="763"/>
      <c r="BB13" s="763"/>
      <c r="BC13" s="763"/>
      <c r="BD13" s="763"/>
      <c r="BE13" s="763"/>
      <c r="BF13" s="763"/>
      <c r="BG13" s="763"/>
      <c r="BH13" s="763"/>
      <c r="BI13" s="763"/>
      <c r="BJ13" s="763"/>
      <c r="BK13" s="763"/>
      <c r="BL13" s="763"/>
      <c r="BM13" s="763"/>
      <c r="BN13" s="763"/>
      <c r="BO13" s="763"/>
      <c r="BP13" s="763"/>
      <c r="BQ13" s="763"/>
      <c r="BR13" s="763"/>
      <c r="BS13" s="763"/>
      <c r="BT13" s="763"/>
      <c r="BU13" s="763"/>
      <c r="BV13" s="763"/>
      <c r="BW13" s="763"/>
      <c r="BX13" s="763"/>
      <c r="BY13" s="763"/>
      <c r="BZ13" s="763"/>
      <c r="CA13" s="763"/>
      <c r="CB13" s="763"/>
      <c r="CC13" s="763"/>
      <c r="CD13" s="763"/>
      <c r="CE13" s="763"/>
      <c r="CF13" s="763"/>
      <c r="CG13" s="763"/>
      <c r="CH13" s="763"/>
      <c r="CI13" s="763"/>
      <c r="CJ13" s="763"/>
      <c r="CK13" s="763"/>
      <c r="CL13" s="763"/>
      <c r="CM13" s="763"/>
      <c r="CN13" s="763"/>
      <c r="CO13" s="763"/>
      <c r="CP13" s="763"/>
      <c r="CQ13" s="763"/>
      <c r="CR13" s="763"/>
      <c r="CS13" s="763"/>
      <c r="CT13" s="763"/>
      <c r="CU13" s="763"/>
      <c r="CV13" s="763"/>
      <c r="CW13" s="763"/>
      <c r="CX13" s="763"/>
      <c r="CY13" s="763"/>
      <c r="CZ13" s="763"/>
      <c r="DA13" s="763"/>
      <c r="DB13" s="763"/>
      <c r="DC13" s="763"/>
      <c r="DD13" s="763"/>
      <c r="DE13" s="763"/>
      <c r="DF13" s="763"/>
      <c r="DG13" s="763"/>
      <c r="DH13" s="763"/>
      <c r="DI13" s="763"/>
      <c r="DJ13" s="763"/>
      <c r="DK13" s="763"/>
      <c r="DL13" s="763"/>
      <c r="DM13" s="763"/>
      <c r="DN13" s="763"/>
      <c r="DO13" s="763"/>
      <c r="DP13" s="763"/>
      <c r="DQ13" s="763"/>
      <c r="DR13" s="763"/>
      <c r="DS13" s="763"/>
      <c r="DT13" s="763"/>
      <c r="DU13" s="763"/>
      <c r="DV13" s="763"/>
      <c r="DW13" s="763"/>
      <c r="DX13" s="763"/>
      <c r="DY13" s="763"/>
      <c r="DZ13" s="763"/>
      <c r="EA13" s="763"/>
      <c r="EB13" s="763"/>
    </row>
    <row r="14" spans="1:132" s="899" customFormat="1" ht="14.1" customHeight="1" x14ac:dyDescent="0.2">
      <c r="A14" s="426"/>
      <c r="B14" s="1319">
        <v>2</v>
      </c>
      <c r="C14" s="691" t="s">
        <v>1173</v>
      </c>
      <c r="D14" s="1321" t="s">
        <v>1174</v>
      </c>
      <c r="E14" s="1322"/>
      <c r="F14" s="692"/>
      <c r="G14" s="693" t="s">
        <v>1175</v>
      </c>
      <c r="H14" s="693"/>
      <c r="I14" s="695"/>
      <c r="J14" s="695"/>
      <c r="K14" s="695"/>
      <c r="L14" s="696"/>
      <c r="M14" s="718">
        <f t="shared" si="6"/>
        <v>0</v>
      </c>
      <c r="N14" s="786">
        <f t="shared" si="3"/>
        <v>0</v>
      </c>
      <c r="O14" s="698">
        <v>1.2500000000000001E-2</v>
      </c>
      <c r="P14" s="719">
        <f t="shared" si="4"/>
        <v>0</v>
      </c>
      <c r="Q14" s="720">
        <f t="shared" si="5"/>
        <v>0</v>
      </c>
      <c r="R14" s="1016"/>
      <c r="S14" s="1016"/>
      <c r="T14" s="1016"/>
      <c r="U14" s="1016"/>
      <c r="V14" s="1022">
        <f t="shared" si="0"/>
        <v>0</v>
      </c>
      <c r="W14" s="1023">
        <f t="shared" si="1"/>
        <v>0</v>
      </c>
      <c r="X14" s="1023">
        <f t="shared" si="2"/>
        <v>0</v>
      </c>
      <c r="Y14" s="1327">
        <f>IF(SUM(W14:W16)&lt;SUM(X14:X16),SUM(W14:W16)*30%,SUM(X14:X16)*30%)</f>
        <v>0</v>
      </c>
      <c r="Z14" s="1327">
        <f>(SUM(W14:W16)-SUM(X14:X16))</f>
        <v>0</v>
      </c>
      <c r="AA14" s="1324"/>
      <c r="AB14" s="1327">
        <f>IF(AA10=0,Z14,IF(ABS(Z10)&lt;ABS(Z14),Z10+Z14,0))</f>
        <v>0</v>
      </c>
      <c r="AC14" s="1327">
        <f>(IF(AB14=0,0,IF(AB17=0,0,IF(AB14&gt;0,IF(AB17&lt;0,IF(AB14&lt;ABS(AB17),AB14*40%,ABS(AB17)*40%),0),IF(AB17&gt;0,IF(ABS(AB14)&lt;AB17,ABS(AB14)*40%,AB17*40%),0)))))</f>
        <v>0</v>
      </c>
      <c r="AD14" s="1327">
        <f>IF(AC14=0,AB14,IF(ABS(AB14)&lt;ABS(AB17),0,AB14+AB17))</f>
        <v>0</v>
      </c>
      <c r="AE14" s="1331"/>
      <c r="AF14" s="763"/>
      <c r="AG14" s="763"/>
      <c r="AH14" s="763"/>
      <c r="AI14" s="763"/>
      <c r="AJ14" s="763"/>
      <c r="AK14" s="763"/>
      <c r="AL14" s="763"/>
      <c r="AM14" s="763"/>
      <c r="AN14" s="763"/>
      <c r="AO14" s="763"/>
      <c r="AP14" s="763"/>
      <c r="AQ14" s="763"/>
      <c r="AR14" s="763"/>
      <c r="AS14" s="763"/>
      <c r="AT14" s="763"/>
      <c r="AU14" s="763"/>
      <c r="AV14" s="763"/>
      <c r="AW14" s="763"/>
      <c r="AX14" s="763"/>
      <c r="AY14" s="763"/>
      <c r="AZ14" s="763"/>
      <c r="BA14" s="763"/>
      <c r="BB14" s="763"/>
      <c r="BC14" s="763"/>
      <c r="BD14" s="763"/>
      <c r="BE14" s="763"/>
      <c r="BF14" s="763"/>
      <c r="BG14" s="763"/>
      <c r="BH14" s="763"/>
      <c r="BI14" s="763"/>
      <c r="BJ14" s="763"/>
      <c r="BK14" s="763"/>
      <c r="BL14" s="763"/>
      <c r="BM14" s="763"/>
      <c r="BN14" s="763"/>
      <c r="BO14" s="763"/>
      <c r="BP14" s="763"/>
      <c r="BQ14" s="763"/>
      <c r="BR14" s="763"/>
      <c r="BS14" s="763"/>
      <c r="BT14" s="763"/>
      <c r="BU14" s="763"/>
      <c r="BV14" s="763"/>
      <c r="BW14" s="763"/>
      <c r="BX14" s="763"/>
      <c r="BY14" s="763"/>
      <c r="BZ14" s="763"/>
      <c r="CA14" s="763"/>
      <c r="CB14" s="763"/>
      <c r="CC14" s="763"/>
      <c r="CD14" s="763"/>
      <c r="CE14" s="763"/>
      <c r="CF14" s="763"/>
      <c r="CG14" s="763"/>
      <c r="CH14" s="763"/>
      <c r="CI14" s="763"/>
      <c r="CJ14" s="763"/>
      <c r="CK14" s="763"/>
      <c r="CL14" s="763"/>
      <c r="CM14" s="763"/>
      <c r="CN14" s="763"/>
      <c r="CO14" s="763"/>
      <c r="CP14" s="763"/>
      <c r="CQ14" s="763"/>
      <c r="CR14" s="763"/>
      <c r="CS14" s="763"/>
      <c r="CT14" s="763"/>
      <c r="CU14" s="763"/>
      <c r="CV14" s="763"/>
      <c r="CW14" s="763"/>
      <c r="CX14" s="763"/>
      <c r="CY14" s="763"/>
      <c r="CZ14" s="763"/>
      <c r="DA14" s="763"/>
      <c r="DB14" s="763"/>
      <c r="DC14" s="763"/>
      <c r="DD14" s="763"/>
      <c r="DE14" s="763"/>
      <c r="DF14" s="763"/>
      <c r="DG14" s="763"/>
      <c r="DH14" s="763"/>
      <c r="DI14" s="763"/>
      <c r="DJ14" s="763"/>
      <c r="DK14" s="763"/>
      <c r="DL14" s="763"/>
      <c r="DM14" s="763"/>
      <c r="DN14" s="763"/>
      <c r="DO14" s="763"/>
      <c r="DP14" s="763"/>
      <c r="DQ14" s="763"/>
      <c r="DR14" s="763"/>
      <c r="DS14" s="763"/>
      <c r="DT14" s="763"/>
      <c r="DU14" s="763"/>
      <c r="DV14" s="763"/>
      <c r="DW14" s="763"/>
      <c r="DX14" s="763"/>
      <c r="DY14" s="763"/>
      <c r="DZ14" s="763"/>
      <c r="EA14" s="763"/>
      <c r="EB14" s="763"/>
    </row>
    <row r="15" spans="1:132" s="899" customFormat="1" ht="14.1" customHeight="1" x14ac:dyDescent="0.2">
      <c r="A15" s="426"/>
      <c r="B15" s="1320"/>
      <c r="C15" s="451" t="s">
        <v>1176</v>
      </c>
      <c r="D15" s="1333" t="s">
        <v>1177</v>
      </c>
      <c r="E15" s="1334"/>
      <c r="F15" s="701"/>
      <c r="G15" s="702" t="s">
        <v>1178</v>
      </c>
      <c r="H15" s="702"/>
      <c r="I15" s="704"/>
      <c r="J15" s="704"/>
      <c r="K15" s="704"/>
      <c r="L15" s="705"/>
      <c r="M15" s="706">
        <f t="shared" si="6"/>
        <v>0</v>
      </c>
      <c r="N15" s="784">
        <f t="shared" si="3"/>
        <v>0</v>
      </c>
      <c r="O15" s="707">
        <v>1.7500000000000002E-2</v>
      </c>
      <c r="P15" s="708">
        <f t="shared" si="4"/>
        <v>0</v>
      </c>
      <c r="Q15" s="709">
        <f t="shared" si="5"/>
        <v>0</v>
      </c>
      <c r="R15" s="1016"/>
      <c r="S15" s="1016"/>
      <c r="T15" s="1016"/>
      <c r="U15" s="1016"/>
      <c r="V15" s="1024">
        <f t="shared" si="0"/>
        <v>0</v>
      </c>
      <c r="W15" s="1025">
        <f t="shared" si="1"/>
        <v>0</v>
      </c>
      <c r="X15" s="1025">
        <f t="shared" si="2"/>
        <v>0</v>
      </c>
      <c r="Y15" s="1328"/>
      <c r="Z15" s="1328"/>
      <c r="AA15" s="1324"/>
      <c r="AB15" s="1328"/>
      <c r="AC15" s="1328"/>
      <c r="AD15" s="1328"/>
      <c r="AE15" s="1331"/>
      <c r="AF15" s="763"/>
      <c r="AG15" s="763"/>
      <c r="AH15" s="763"/>
      <c r="AI15" s="763"/>
      <c r="AJ15" s="763"/>
      <c r="AK15" s="763"/>
      <c r="AL15" s="763"/>
      <c r="AM15" s="763"/>
      <c r="AN15" s="763"/>
      <c r="AO15" s="763"/>
      <c r="AP15" s="763"/>
      <c r="AQ15" s="763"/>
      <c r="AR15" s="763"/>
      <c r="AS15" s="763"/>
      <c r="AT15" s="763"/>
      <c r="AU15" s="763"/>
      <c r="AV15" s="763"/>
      <c r="AW15" s="763"/>
      <c r="AX15" s="763"/>
      <c r="AY15" s="763"/>
      <c r="AZ15" s="763"/>
      <c r="BA15" s="763"/>
      <c r="BB15" s="763"/>
      <c r="BC15" s="763"/>
      <c r="BD15" s="763"/>
      <c r="BE15" s="763"/>
      <c r="BF15" s="763"/>
      <c r="BG15" s="763"/>
      <c r="BH15" s="763"/>
      <c r="BI15" s="763"/>
      <c r="BJ15" s="763"/>
      <c r="BK15" s="763"/>
      <c r="BL15" s="763"/>
      <c r="BM15" s="763"/>
      <c r="BN15" s="763"/>
      <c r="BO15" s="763"/>
      <c r="BP15" s="763"/>
      <c r="BQ15" s="763"/>
      <c r="BR15" s="763"/>
      <c r="BS15" s="763"/>
      <c r="BT15" s="763"/>
      <c r="BU15" s="763"/>
      <c r="BV15" s="763"/>
      <c r="BW15" s="763"/>
      <c r="BX15" s="763"/>
      <c r="BY15" s="763"/>
      <c r="BZ15" s="763"/>
      <c r="CA15" s="763"/>
      <c r="CB15" s="763"/>
      <c r="CC15" s="763"/>
      <c r="CD15" s="763"/>
      <c r="CE15" s="763"/>
      <c r="CF15" s="763"/>
      <c r="CG15" s="763"/>
      <c r="CH15" s="763"/>
      <c r="CI15" s="763"/>
      <c r="CJ15" s="763"/>
      <c r="CK15" s="763"/>
      <c r="CL15" s="763"/>
      <c r="CM15" s="763"/>
      <c r="CN15" s="763"/>
      <c r="CO15" s="763"/>
      <c r="CP15" s="763"/>
      <c r="CQ15" s="763"/>
      <c r="CR15" s="763"/>
      <c r="CS15" s="763"/>
      <c r="CT15" s="763"/>
      <c r="CU15" s="763"/>
      <c r="CV15" s="763"/>
      <c r="CW15" s="763"/>
      <c r="CX15" s="763"/>
      <c r="CY15" s="763"/>
      <c r="CZ15" s="763"/>
      <c r="DA15" s="763"/>
      <c r="DB15" s="763"/>
      <c r="DC15" s="763"/>
      <c r="DD15" s="763"/>
      <c r="DE15" s="763"/>
      <c r="DF15" s="763"/>
      <c r="DG15" s="763"/>
      <c r="DH15" s="763"/>
      <c r="DI15" s="763"/>
      <c r="DJ15" s="763"/>
      <c r="DK15" s="763"/>
      <c r="DL15" s="763"/>
      <c r="DM15" s="763"/>
      <c r="DN15" s="763"/>
      <c r="DO15" s="763"/>
      <c r="DP15" s="763"/>
      <c r="DQ15" s="763"/>
      <c r="DR15" s="763"/>
      <c r="DS15" s="763"/>
      <c r="DT15" s="763"/>
      <c r="DU15" s="763"/>
      <c r="DV15" s="763"/>
      <c r="DW15" s="763"/>
      <c r="DX15" s="763"/>
      <c r="DY15" s="763"/>
      <c r="DZ15" s="763"/>
      <c r="EA15" s="763"/>
      <c r="EB15" s="763"/>
    </row>
    <row r="16" spans="1:132" s="899" customFormat="1" ht="14.1" customHeight="1" thickBot="1" x14ac:dyDescent="0.25">
      <c r="A16" s="426"/>
      <c r="B16" s="1326"/>
      <c r="C16" s="721" t="s">
        <v>1179</v>
      </c>
      <c r="D16" s="1372" t="s">
        <v>1180</v>
      </c>
      <c r="E16" s="1373"/>
      <c r="F16" s="768"/>
      <c r="G16" s="714" t="s">
        <v>1181</v>
      </c>
      <c r="H16" s="714"/>
      <c r="I16" s="722"/>
      <c r="J16" s="722"/>
      <c r="K16" s="722"/>
      <c r="L16" s="723"/>
      <c r="M16" s="715">
        <f t="shared" si="6"/>
        <v>0</v>
      </c>
      <c r="N16" s="785">
        <f t="shared" si="3"/>
        <v>0</v>
      </c>
      <c r="O16" s="724">
        <v>2.2499999999999999E-2</v>
      </c>
      <c r="P16" s="716">
        <f t="shared" si="4"/>
        <v>0</v>
      </c>
      <c r="Q16" s="717">
        <f t="shared" si="5"/>
        <v>0</v>
      </c>
      <c r="R16" s="1016"/>
      <c r="S16" s="1016"/>
      <c r="T16" s="1016"/>
      <c r="U16" s="1016"/>
      <c r="V16" s="1026">
        <f t="shared" si="0"/>
        <v>0</v>
      </c>
      <c r="W16" s="1027">
        <f t="shared" si="1"/>
        <v>0</v>
      </c>
      <c r="X16" s="1027">
        <f t="shared" si="2"/>
        <v>0</v>
      </c>
      <c r="Y16" s="1329"/>
      <c r="Z16" s="1329"/>
      <c r="AA16" s="1325"/>
      <c r="AB16" s="1329"/>
      <c r="AC16" s="1328"/>
      <c r="AD16" s="1329"/>
      <c r="AE16" s="1331"/>
      <c r="AF16" s="763"/>
      <c r="AG16" s="763"/>
      <c r="AH16" s="763"/>
      <c r="AI16" s="763"/>
      <c r="AJ16" s="763"/>
      <c r="AK16" s="763"/>
      <c r="AL16" s="763"/>
      <c r="AM16" s="763"/>
      <c r="AN16" s="763"/>
      <c r="AO16" s="763"/>
      <c r="AP16" s="763"/>
      <c r="AQ16" s="763"/>
      <c r="AR16" s="763"/>
      <c r="AS16" s="763"/>
      <c r="AT16" s="763"/>
      <c r="AU16" s="763"/>
      <c r="AV16" s="763"/>
      <c r="AW16" s="763"/>
      <c r="AX16" s="763"/>
      <c r="AY16" s="763"/>
      <c r="AZ16" s="763"/>
      <c r="BA16" s="763"/>
      <c r="BB16" s="763"/>
      <c r="BC16" s="763"/>
      <c r="BD16" s="763"/>
      <c r="BE16" s="763"/>
      <c r="BF16" s="763"/>
      <c r="BG16" s="763"/>
      <c r="BH16" s="763"/>
      <c r="BI16" s="763"/>
      <c r="BJ16" s="763"/>
      <c r="BK16" s="763"/>
      <c r="BL16" s="763"/>
      <c r="BM16" s="763"/>
      <c r="BN16" s="763"/>
      <c r="BO16" s="763"/>
      <c r="BP16" s="763"/>
      <c r="BQ16" s="763"/>
      <c r="BR16" s="763"/>
      <c r="BS16" s="763"/>
      <c r="BT16" s="763"/>
      <c r="BU16" s="763"/>
      <c r="BV16" s="763"/>
      <c r="BW16" s="763"/>
      <c r="BX16" s="763"/>
      <c r="BY16" s="763"/>
      <c r="BZ16" s="763"/>
      <c r="CA16" s="763"/>
      <c r="CB16" s="763"/>
      <c r="CC16" s="763"/>
      <c r="CD16" s="763"/>
      <c r="CE16" s="763"/>
      <c r="CF16" s="763"/>
      <c r="CG16" s="763"/>
      <c r="CH16" s="763"/>
      <c r="CI16" s="763"/>
      <c r="CJ16" s="763"/>
      <c r="CK16" s="763"/>
      <c r="CL16" s="763"/>
      <c r="CM16" s="763"/>
      <c r="CN16" s="763"/>
      <c r="CO16" s="763"/>
      <c r="CP16" s="763"/>
      <c r="CQ16" s="763"/>
      <c r="CR16" s="763"/>
      <c r="CS16" s="763"/>
      <c r="CT16" s="763"/>
      <c r="CU16" s="763"/>
      <c r="CV16" s="763"/>
      <c r="CW16" s="763"/>
      <c r="CX16" s="763"/>
      <c r="CY16" s="763"/>
      <c r="CZ16" s="763"/>
      <c r="DA16" s="763"/>
      <c r="DB16" s="763"/>
      <c r="DC16" s="763"/>
      <c r="DD16" s="763"/>
      <c r="DE16" s="763"/>
      <c r="DF16" s="763"/>
      <c r="DG16" s="763"/>
      <c r="DH16" s="763"/>
      <c r="DI16" s="763"/>
      <c r="DJ16" s="763"/>
      <c r="DK16" s="763"/>
      <c r="DL16" s="763"/>
      <c r="DM16" s="763"/>
      <c r="DN16" s="763"/>
      <c r="DO16" s="763"/>
      <c r="DP16" s="763"/>
      <c r="DQ16" s="763"/>
      <c r="DR16" s="763"/>
      <c r="DS16" s="763"/>
      <c r="DT16" s="763"/>
      <c r="DU16" s="763"/>
      <c r="DV16" s="763"/>
      <c r="DW16" s="763"/>
      <c r="DX16" s="763"/>
      <c r="DY16" s="763"/>
      <c r="DZ16" s="763"/>
      <c r="EA16" s="763"/>
      <c r="EB16" s="763"/>
    </row>
    <row r="17" spans="1:134" s="899" customFormat="1" ht="14.1" customHeight="1" x14ac:dyDescent="0.2">
      <c r="A17" s="426"/>
      <c r="B17" s="1319">
        <v>3</v>
      </c>
      <c r="C17" s="725" t="s">
        <v>1182</v>
      </c>
      <c r="D17" s="1321" t="s">
        <v>1183</v>
      </c>
      <c r="E17" s="1322"/>
      <c r="F17" s="767"/>
      <c r="G17" s="693" t="s">
        <v>1184</v>
      </c>
      <c r="H17" s="693"/>
      <c r="I17" s="694"/>
      <c r="J17" s="694"/>
      <c r="K17" s="694"/>
      <c r="L17" s="726"/>
      <c r="M17" s="718">
        <f t="shared" si="6"/>
        <v>0</v>
      </c>
      <c r="N17" s="786">
        <f t="shared" si="3"/>
        <v>0</v>
      </c>
      <c r="O17" s="727">
        <v>2.75E-2</v>
      </c>
      <c r="P17" s="719">
        <f t="shared" si="4"/>
        <v>0</v>
      </c>
      <c r="Q17" s="720">
        <f t="shared" si="5"/>
        <v>0</v>
      </c>
      <c r="R17" s="1016"/>
      <c r="S17" s="1016"/>
      <c r="T17" s="1016"/>
      <c r="U17" s="1016"/>
      <c r="V17" s="1028">
        <f t="shared" si="0"/>
        <v>0</v>
      </c>
      <c r="W17" s="1029">
        <f t="shared" si="1"/>
        <v>0</v>
      </c>
      <c r="X17" s="1029">
        <f t="shared" si="2"/>
        <v>0</v>
      </c>
      <c r="Y17" s="1330">
        <f>IF(SUM(W17:W24)&lt;SUM(X17:X24),SUM(W17:W24)*30%,SUM(X17:X24)*30%)</f>
        <v>0</v>
      </c>
      <c r="Z17" s="1330">
        <f>SUM(W17:W24)-SUM(X17:X24)</f>
        <v>0</v>
      </c>
      <c r="AA17" s="1337"/>
      <c r="AB17" s="1330">
        <f>Z17</f>
        <v>0</v>
      </c>
      <c r="AC17" s="1328"/>
      <c r="AD17" s="1330">
        <f>IF(AC14=0,AB17,IF(ABS(AB14)&lt;ABS(AB17),AB14+AB17,0))</f>
        <v>0</v>
      </c>
      <c r="AE17" s="1331"/>
      <c r="AF17" s="763"/>
      <c r="AG17" s="763"/>
      <c r="AH17" s="763"/>
      <c r="AI17" s="763"/>
      <c r="AJ17" s="763"/>
      <c r="AK17" s="763"/>
      <c r="AL17" s="763"/>
      <c r="AM17" s="763"/>
      <c r="AN17" s="763"/>
      <c r="AO17" s="763"/>
      <c r="AP17" s="763"/>
      <c r="AQ17" s="763"/>
      <c r="AR17" s="763"/>
      <c r="AS17" s="763"/>
      <c r="AT17" s="763"/>
      <c r="AU17" s="763"/>
      <c r="AV17" s="763"/>
      <c r="AW17" s="763"/>
      <c r="AX17" s="763"/>
      <c r="AY17" s="763"/>
      <c r="AZ17" s="763"/>
      <c r="BA17" s="763"/>
      <c r="BB17" s="763"/>
      <c r="BC17" s="763"/>
      <c r="BD17" s="763"/>
      <c r="BE17" s="763"/>
      <c r="BF17" s="763"/>
      <c r="BG17" s="763"/>
      <c r="BH17" s="763"/>
      <c r="BI17" s="763"/>
      <c r="BJ17" s="763"/>
      <c r="BK17" s="763"/>
      <c r="BL17" s="763"/>
      <c r="BM17" s="763"/>
      <c r="BN17" s="763"/>
      <c r="BO17" s="763"/>
      <c r="BP17" s="763"/>
      <c r="BQ17" s="763"/>
      <c r="BR17" s="763"/>
      <c r="BS17" s="763"/>
      <c r="BT17" s="763"/>
      <c r="BU17" s="763"/>
      <c r="BV17" s="763"/>
      <c r="BW17" s="763"/>
      <c r="BX17" s="763"/>
      <c r="BY17" s="763"/>
      <c r="BZ17" s="763"/>
      <c r="CA17" s="763"/>
      <c r="CB17" s="763"/>
      <c r="CC17" s="763"/>
      <c r="CD17" s="763"/>
      <c r="CE17" s="763"/>
      <c r="CF17" s="763"/>
      <c r="CG17" s="763"/>
      <c r="CH17" s="763"/>
      <c r="CI17" s="763"/>
      <c r="CJ17" s="763"/>
      <c r="CK17" s="763"/>
      <c r="CL17" s="763"/>
      <c r="CM17" s="763"/>
      <c r="CN17" s="763"/>
      <c r="CO17" s="763"/>
      <c r="CP17" s="763"/>
      <c r="CQ17" s="763"/>
      <c r="CR17" s="763"/>
      <c r="CS17" s="763"/>
      <c r="CT17" s="763"/>
      <c r="CU17" s="763"/>
      <c r="CV17" s="763"/>
      <c r="CW17" s="763"/>
      <c r="CX17" s="763"/>
      <c r="CY17" s="763"/>
      <c r="CZ17" s="763"/>
      <c r="DA17" s="763"/>
      <c r="DB17" s="763"/>
      <c r="DC17" s="763"/>
      <c r="DD17" s="763"/>
      <c r="DE17" s="763"/>
      <c r="DF17" s="763"/>
      <c r="DG17" s="763"/>
      <c r="DH17" s="763"/>
      <c r="DI17" s="763"/>
      <c r="DJ17" s="763"/>
      <c r="DK17" s="763"/>
      <c r="DL17" s="763"/>
      <c r="DM17" s="763"/>
      <c r="DN17" s="763"/>
      <c r="DO17" s="763"/>
      <c r="DP17" s="763"/>
      <c r="DQ17" s="763"/>
      <c r="DR17" s="763"/>
      <c r="DS17" s="763"/>
      <c r="DT17" s="763"/>
      <c r="DU17" s="763"/>
      <c r="DV17" s="763"/>
      <c r="DW17" s="763"/>
      <c r="DX17" s="763"/>
      <c r="DY17" s="763"/>
      <c r="DZ17" s="763"/>
      <c r="EA17" s="763"/>
      <c r="EB17" s="763"/>
    </row>
    <row r="18" spans="1:134" s="899" customFormat="1" ht="14.1" customHeight="1" x14ac:dyDescent="0.2">
      <c r="A18" s="426"/>
      <c r="B18" s="1320"/>
      <c r="C18" s="451" t="s">
        <v>1185</v>
      </c>
      <c r="D18" s="1333" t="s">
        <v>1186</v>
      </c>
      <c r="E18" s="1334"/>
      <c r="F18" s="701"/>
      <c r="G18" s="702" t="s">
        <v>1187</v>
      </c>
      <c r="H18" s="702"/>
      <c r="I18" s="704"/>
      <c r="J18" s="704"/>
      <c r="K18" s="704"/>
      <c r="L18" s="705"/>
      <c r="M18" s="706">
        <f t="shared" si="6"/>
        <v>0</v>
      </c>
      <c r="N18" s="784">
        <f t="shared" si="3"/>
        <v>0</v>
      </c>
      <c r="O18" s="707">
        <v>3.2500000000000001E-2</v>
      </c>
      <c r="P18" s="708">
        <f t="shared" si="4"/>
        <v>0</v>
      </c>
      <c r="Q18" s="709">
        <f t="shared" si="5"/>
        <v>0</v>
      </c>
      <c r="R18" s="1016"/>
      <c r="S18" s="1016"/>
      <c r="T18" s="1016"/>
      <c r="U18" s="1016"/>
      <c r="V18" s="1030">
        <f t="shared" si="0"/>
        <v>0</v>
      </c>
      <c r="W18" s="1031">
        <f t="shared" si="1"/>
        <v>0</v>
      </c>
      <c r="X18" s="1031">
        <f t="shared" si="2"/>
        <v>0</v>
      </c>
      <c r="Y18" s="1331"/>
      <c r="Z18" s="1331"/>
      <c r="AA18" s="1338"/>
      <c r="AB18" s="1331"/>
      <c r="AC18" s="1328"/>
      <c r="AD18" s="1331"/>
      <c r="AE18" s="1331"/>
      <c r="AF18" s="763"/>
      <c r="AG18" s="763"/>
      <c r="AH18" s="763"/>
      <c r="AI18" s="763"/>
      <c r="AJ18" s="763"/>
      <c r="AK18" s="763"/>
      <c r="AL18" s="763"/>
      <c r="AM18" s="763"/>
      <c r="AN18" s="763"/>
      <c r="AO18" s="763"/>
      <c r="AP18" s="763"/>
      <c r="AQ18" s="763"/>
      <c r="AR18" s="763"/>
      <c r="AS18" s="763"/>
      <c r="AT18" s="763"/>
      <c r="AU18" s="763"/>
      <c r="AV18" s="763"/>
      <c r="AW18" s="763"/>
      <c r="AX18" s="763"/>
      <c r="AY18" s="763"/>
      <c r="AZ18" s="763"/>
      <c r="BA18" s="763"/>
      <c r="BB18" s="763"/>
      <c r="BC18" s="763"/>
      <c r="BD18" s="763"/>
      <c r="BE18" s="763"/>
      <c r="BF18" s="763"/>
      <c r="BG18" s="763"/>
      <c r="BH18" s="763"/>
      <c r="BI18" s="763"/>
      <c r="BJ18" s="763"/>
      <c r="BK18" s="763"/>
      <c r="BL18" s="763"/>
      <c r="BM18" s="763"/>
      <c r="BN18" s="763"/>
      <c r="BO18" s="763"/>
      <c r="BP18" s="763"/>
      <c r="BQ18" s="763"/>
      <c r="BR18" s="763"/>
      <c r="BS18" s="763"/>
      <c r="BT18" s="763"/>
      <c r="BU18" s="763"/>
      <c r="BV18" s="763"/>
      <c r="BW18" s="763"/>
      <c r="BX18" s="763"/>
      <c r="BY18" s="763"/>
      <c r="BZ18" s="763"/>
      <c r="CA18" s="763"/>
      <c r="CB18" s="763"/>
      <c r="CC18" s="763"/>
      <c r="CD18" s="763"/>
      <c r="CE18" s="763"/>
      <c r="CF18" s="763"/>
      <c r="CG18" s="763"/>
      <c r="CH18" s="763"/>
      <c r="CI18" s="763"/>
      <c r="CJ18" s="763"/>
      <c r="CK18" s="763"/>
      <c r="CL18" s="763"/>
      <c r="CM18" s="763"/>
      <c r="CN18" s="763"/>
      <c r="CO18" s="763"/>
      <c r="CP18" s="763"/>
      <c r="CQ18" s="763"/>
      <c r="CR18" s="763"/>
      <c r="CS18" s="763"/>
      <c r="CT18" s="763"/>
      <c r="CU18" s="763"/>
      <c r="CV18" s="763"/>
      <c r="CW18" s="763"/>
      <c r="CX18" s="763"/>
      <c r="CY18" s="763"/>
      <c r="CZ18" s="763"/>
      <c r="DA18" s="763"/>
      <c r="DB18" s="763"/>
      <c r="DC18" s="763"/>
      <c r="DD18" s="763"/>
      <c r="DE18" s="763"/>
      <c r="DF18" s="763"/>
      <c r="DG18" s="763"/>
      <c r="DH18" s="763"/>
      <c r="DI18" s="763"/>
      <c r="DJ18" s="763"/>
      <c r="DK18" s="763"/>
      <c r="DL18" s="763"/>
      <c r="DM18" s="763"/>
      <c r="DN18" s="763"/>
      <c r="DO18" s="763"/>
      <c r="DP18" s="763"/>
      <c r="DQ18" s="763"/>
      <c r="DR18" s="763"/>
      <c r="DS18" s="763"/>
      <c r="DT18" s="763"/>
      <c r="DU18" s="763"/>
      <c r="DV18" s="763"/>
      <c r="DW18" s="763"/>
      <c r="DX18" s="763"/>
      <c r="DY18" s="763"/>
      <c r="DZ18" s="763"/>
      <c r="EA18" s="763"/>
      <c r="EB18" s="763"/>
    </row>
    <row r="19" spans="1:134" s="899" customFormat="1" ht="14.1" customHeight="1" x14ac:dyDescent="0.2">
      <c r="A19" s="426"/>
      <c r="B19" s="1320"/>
      <c r="C19" s="451" t="s">
        <v>1188</v>
      </c>
      <c r="D19" s="1333" t="s">
        <v>1189</v>
      </c>
      <c r="E19" s="1334"/>
      <c r="F19" s="701"/>
      <c r="G19" s="702" t="s">
        <v>1190</v>
      </c>
      <c r="H19" s="702"/>
      <c r="I19" s="704"/>
      <c r="J19" s="704"/>
      <c r="K19" s="704"/>
      <c r="L19" s="705"/>
      <c r="M19" s="706">
        <f t="shared" si="6"/>
        <v>0</v>
      </c>
      <c r="N19" s="784">
        <f t="shared" si="3"/>
        <v>0</v>
      </c>
      <c r="O19" s="707">
        <v>3.7499999999999999E-2</v>
      </c>
      <c r="P19" s="708">
        <f t="shared" si="4"/>
        <v>0</v>
      </c>
      <c r="Q19" s="709">
        <f t="shared" si="5"/>
        <v>0</v>
      </c>
      <c r="R19" s="1016"/>
      <c r="S19" s="1016"/>
      <c r="T19" s="1016"/>
      <c r="U19" s="1016"/>
      <c r="V19" s="1030">
        <f t="shared" si="0"/>
        <v>0</v>
      </c>
      <c r="W19" s="1031">
        <f t="shared" si="1"/>
        <v>0</v>
      </c>
      <c r="X19" s="1031">
        <f t="shared" si="2"/>
        <v>0</v>
      </c>
      <c r="Y19" s="1331"/>
      <c r="Z19" s="1331"/>
      <c r="AA19" s="1338"/>
      <c r="AB19" s="1331"/>
      <c r="AC19" s="1328"/>
      <c r="AD19" s="1331"/>
      <c r="AE19" s="1331"/>
      <c r="AF19" s="763"/>
      <c r="AG19" s="763"/>
      <c r="AH19" s="763"/>
      <c r="AI19" s="763"/>
      <c r="AJ19" s="763"/>
      <c r="AK19" s="763"/>
      <c r="AL19" s="763"/>
      <c r="AM19" s="763"/>
      <c r="AN19" s="763"/>
      <c r="AO19" s="763"/>
      <c r="AP19" s="763"/>
      <c r="AQ19" s="763"/>
      <c r="AR19" s="763"/>
      <c r="AS19" s="763"/>
      <c r="AT19" s="763"/>
      <c r="AU19" s="763"/>
      <c r="AV19" s="763"/>
      <c r="AW19" s="763"/>
      <c r="AX19" s="763"/>
      <c r="AY19" s="763"/>
      <c r="AZ19" s="763"/>
      <c r="BA19" s="763"/>
      <c r="BB19" s="763"/>
      <c r="BC19" s="763"/>
      <c r="BD19" s="763"/>
      <c r="BE19" s="763"/>
      <c r="BF19" s="763"/>
      <c r="BG19" s="763"/>
      <c r="BH19" s="763"/>
      <c r="BI19" s="763"/>
      <c r="BJ19" s="763"/>
      <c r="BK19" s="763"/>
      <c r="BL19" s="763"/>
      <c r="BM19" s="763"/>
      <c r="BN19" s="763"/>
      <c r="BO19" s="763"/>
      <c r="BP19" s="763"/>
      <c r="BQ19" s="763"/>
      <c r="BR19" s="763"/>
      <c r="BS19" s="763"/>
      <c r="BT19" s="763"/>
      <c r="BU19" s="763"/>
      <c r="BV19" s="763"/>
      <c r="BW19" s="763"/>
      <c r="BX19" s="763"/>
      <c r="BY19" s="763"/>
      <c r="BZ19" s="763"/>
      <c r="CA19" s="763"/>
      <c r="CB19" s="763"/>
      <c r="CC19" s="763"/>
      <c r="CD19" s="763"/>
      <c r="CE19" s="763"/>
      <c r="CF19" s="763"/>
      <c r="CG19" s="763"/>
      <c r="CH19" s="763"/>
      <c r="CI19" s="763"/>
      <c r="CJ19" s="763"/>
      <c r="CK19" s="763"/>
      <c r="CL19" s="763"/>
      <c r="CM19" s="763"/>
      <c r="CN19" s="763"/>
      <c r="CO19" s="763"/>
      <c r="CP19" s="763"/>
      <c r="CQ19" s="763"/>
      <c r="CR19" s="763"/>
      <c r="CS19" s="763"/>
      <c r="CT19" s="763"/>
      <c r="CU19" s="763"/>
      <c r="CV19" s="763"/>
      <c r="CW19" s="763"/>
      <c r="CX19" s="763"/>
      <c r="CY19" s="763"/>
      <c r="CZ19" s="763"/>
      <c r="DA19" s="763"/>
      <c r="DB19" s="763"/>
      <c r="DC19" s="763"/>
      <c r="DD19" s="763"/>
      <c r="DE19" s="763"/>
      <c r="DF19" s="763"/>
      <c r="DG19" s="763"/>
      <c r="DH19" s="763"/>
      <c r="DI19" s="763"/>
      <c r="DJ19" s="763"/>
      <c r="DK19" s="763"/>
      <c r="DL19" s="763"/>
      <c r="DM19" s="763"/>
      <c r="DN19" s="763"/>
      <c r="DO19" s="763"/>
      <c r="DP19" s="763"/>
      <c r="DQ19" s="763"/>
      <c r="DR19" s="763"/>
      <c r="DS19" s="763"/>
      <c r="DT19" s="763"/>
      <c r="DU19" s="763"/>
      <c r="DV19" s="763"/>
      <c r="DW19" s="763"/>
      <c r="DX19" s="763"/>
      <c r="DY19" s="763"/>
      <c r="DZ19" s="763"/>
      <c r="EA19" s="763"/>
      <c r="EB19" s="763"/>
    </row>
    <row r="20" spans="1:134" s="899" customFormat="1" ht="14.1" customHeight="1" x14ac:dyDescent="0.2">
      <c r="A20" s="426"/>
      <c r="B20" s="1320"/>
      <c r="C20" s="451" t="s">
        <v>1191</v>
      </c>
      <c r="D20" s="1333" t="s">
        <v>1192</v>
      </c>
      <c r="E20" s="1334"/>
      <c r="F20" s="701"/>
      <c r="G20" s="702" t="s">
        <v>1193</v>
      </c>
      <c r="H20" s="702"/>
      <c r="I20" s="704"/>
      <c r="J20" s="704"/>
      <c r="K20" s="704"/>
      <c r="L20" s="705"/>
      <c r="M20" s="706">
        <f t="shared" si="6"/>
        <v>0</v>
      </c>
      <c r="N20" s="784">
        <f t="shared" si="3"/>
        <v>0</v>
      </c>
      <c r="O20" s="707">
        <v>4.4999999999999998E-2</v>
      </c>
      <c r="P20" s="708">
        <f t="shared" si="4"/>
        <v>0</v>
      </c>
      <c r="Q20" s="709">
        <f t="shared" si="5"/>
        <v>0</v>
      </c>
      <c r="R20" s="1016"/>
      <c r="S20" s="1016"/>
      <c r="T20" s="1016"/>
      <c r="U20" s="1016"/>
      <c r="V20" s="1030">
        <f t="shared" si="0"/>
        <v>0</v>
      </c>
      <c r="W20" s="1031">
        <f t="shared" si="1"/>
        <v>0</v>
      </c>
      <c r="X20" s="1031">
        <f t="shared" si="2"/>
        <v>0</v>
      </c>
      <c r="Y20" s="1331"/>
      <c r="Z20" s="1331"/>
      <c r="AA20" s="1338"/>
      <c r="AB20" s="1331"/>
      <c r="AC20" s="1328"/>
      <c r="AD20" s="1331"/>
      <c r="AE20" s="1331"/>
      <c r="AF20" s="763"/>
      <c r="AG20" s="763"/>
      <c r="AH20" s="763"/>
      <c r="AI20" s="763"/>
      <c r="AJ20" s="763"/>
      <c r="AK20" s="763"/>
      <c r="AL20" s="763"/>
      <c r="AM20" s="763"/>
      <c r="AN20" s="763"/>
      <c r="AO20" s="763"/>
      <c r="AP20" s="763"/>
      <c r="AQ20" s="763"/>
      <c r="AR20" s="763"/>
      <c r="AS20" s="763"/>
      <c r="AT20" s="763"/>
      <c r="AU20" s="763"/>
      <c r="AV20" s="763"/>
      <c r="AW20" s="763"/>
      <c r="AX20" s="763"/>
      <c r="AY20" s="763"/>
      <c r="AZ20" s="763"/>
      <c r="BA20" s="763"/>
      <c r="BB20" s="763"/>
      <c r="BC20" s="763"/>
      <c r="BD20" s="763"/>
      <c r="BE20" s="763"/>
      <c r="BF20" s="763"/>
      <c r="BG20" s="763"/>
      <c r="BH20" s="763"/>
      <c r="BI20" s="763"/>
      <c r="BJ20" s="763"/>
      <c r="BK20" s="763"/>
      <c r="BL20" s="763"/>
      <c r="BM20" s="763"/>
      <c r="BN20" s="763"/>
      <c r="BO20" s="763"/>
      <c r="BP20" s="763"/>
      <c r="BQ20" s="763"/>
      <c r="BR20" s="763"/>
      <c r="BS20" s="763"/>
      <c r="BT20" s="763"/>
      <c r="BU20" s="763"/>
      <c r="BV20" s="763"/>
      <c r="BW20" s="763"/>
      <c r="BX20" s="763"/>
      <c r="BY20" s="763"/>
      <c r="BZ20" s="763"/>
      <c r="CA20" s="763"/>
      <c r="CB20" s="763"/>
      <c r="CC20" s="763"/>
      <c r="CD20" s="763"/>
      <c r="CE20" s="763"/>
      <c r="CF20" s="763"/>
      <c r="CG20" s="763"/>
      <c r="CH20" s="763"/>
      <c r="CI20" s="763"/>
      <c r="CJ20" s="763"/>
      <c r="CK20" s="763"/>
      <c r="CL20" s="763"/>
      <c r="CM20" s="763"/>
      <c r="CN20" s="763"/>
      <c r="CO20" s="763"/>
      <c r="CP20" s="763"/>
      <c r="CQ20" s="763"/>
      <c r="CR20" s="763"/>
      <c r="CS20" s="763"/>
      <c r="CT20" s="763"/>
      <c r="CU20" s="763"/>
      <c r="CV20" s="763"/>
      <c r="CW20" s="763"/>
      <c r="CX20" s="763"/>
      <c r="CY20" s="763"/>
      <c r="CZ20" s="763"/>
      <c r="DA20" s="763"/>
      <c r="DB20" s="763"/>
      <c r="DC20" s="763"/>
      <c r="DD20" s="763"/>
      <c r="DE20" s="763"/>
      <c r="DF20" s="763"/>
      <c r="DG20" s="763"/>
      <c r="DH20" s="763"/>
      <c r="DI20" s="763"/>
      <c r="DJ20" s="763"/>
      <c r="DK20" s="763"/>
      <c r="DL20" s="763"/>
      <c r="DM20" s="763"/>
      <c r="DN20" s="763"/>
      <c r="DO20" s="763"/>
      <c r="DP20" s="763"/>
      <c r="DQ20" s="763"/>
      <c r="DR20" s="763"/>
      <c r="DS20" s="763"/>
      <c r="DT20" s="763"/>
      <c r="DU20" s="763"/>
      <c r="DV20" s="763"/>
      <c r="DW20" s="763"/>
      <c r="DX20" s="763"/>
      <c r="DY20" s="763"/>
      <c r="DZ20" s="763"/>
      <c r="EA20" s="763"/>
      <c r="EB20" s="763"/>
    </row>
    <row r="21" spans="1:134" s="899" customFormat="1" ht="14.1" customHeight="1" x14ac:dyDescent="0.2">
      <c r="A21" s="426"/>
      <c r="B21" s="1320"/>
      <c r="C21" s="451" t="s">
        <v>1194</v>
      </c>
      <c r="D21" s="1333" t="s">
        <v>1195</v>
      </c>
      <c r="E21" s="1334"/>
      <c r="F21" s="701"/>
      <c r="G21" s="702" t="s">
        <v>1196</v>
      </c>
      <c r="H21" s="702"/>
      <c r="I21" s="704"/>
      <c r="J21" s="704"/>
      <c r="K21" s="704"/>
      <c r="L21" s="705"/>
      <c r="M21" s="706">
        <f t="shared" si="6"/>
        <v>0</v>
      </c>
      <c r="N21" s="784">
        <f t="shared" si="3"/>
        <v>0</v>
      </c>
      <c r="O21" s="707">
        <v>5.2499999999999998E-2</v>
      </c>
      <c r="P21" s="708">
        <f t="shared" si="4"/>
        <v>0</v>
      </c>
      <c r="Q21" s="709">
        <f t="shared" si="5"/>
        <v>0</v>
      </c>
      <c r="R21" s="1016"/>
      <c r="S21" s="1016"/>
      <c r="T21" s="1016"/>
      <c r="U21" s="1016"/>
      <c r="V21" s="1030">
        <f t="shared" si="0"/>
        <v>0</v>
      </c>
      <c r="W21" s="1031">
        <f t="shared" si="1"/>
        <v>0</v>
      </c>
      <c r="X21" s="1031">
        <f t="shared" si="2"/>
        <v>0</v>
      </c>
      <c r="Y21" s="1331"/>
      <c r="Z21" s="1331"/>
      <c r="AA21" s="1338"/>
      <c r="AB21" s="1331"/>
      <c r="AC21" s="1328"/>
      <c r="AD21" s="1331"/>
      <c r="AE21" s="1331"/>
      <c r="AF21" s="763"/>
      <c r="AG21" s="763"/>
      <c r="AH21" s="763"/>
      <c r="AI21" s="763"/>
      <c r="AJ21" s="763"/>
      <c r="AK21" s="763"/>
      <c r="AL21" s="763"/>
      <c r="AM21" s="763"/>
      <c r="AN21" s="763"/>
      <c r="AO21" s="763"/>
      <c r="AP21" s="763"/>
      <c r="AQ21" s="763"/>
      <c r="AR21" s="763"/>
      <c r="AS21" s="763"/>
      <c r="AT21" s="763"/>
      <c r="AU21" s="763"/>
      <c r="AV21" s="763"/>
      <c r="AW21" s="763"/>
      <c r="AX21" s="763"/>
      <c r="AY21" s="763"/>
      <c r="AZ21" s="763"/>
      <c r="BA21" s="763"/>
      <c r="BB21" s="763"/>
      <c r="BC21" s="763"/>
      <c r="BD21" s="763"/>
      <c r="BE21" s="763"/>
      <c r="BF21" s="763"/>
      <c r="BG21" s="763"/>
      <c r="BH21" s="763"/>
      <c r="BI21" s="763"/>
      <c r="BJ21" s="763"/>
      <c r="BK21" s="763"/>
      <c r="BL21" s="763"/>
      <c r="BM21" s="763"/>
      <c r="BN21" s="763"/>
      <c r="BO21" s="763"/>
      <c r="BP21" s="763"/>
      <c r="BQ21" s="763"/>
      <c r="BR21" s="763"/>
      <c r="BS21" s="763"/>
      <c r="BT21" s="763"/>
      <c r="BU21" s="763"/>
      <c r="BV21" s="763"/>
      <c r="BW21" s="763"/>
      <c r="BX21" s="763"/>
      <c r="BY21" s="763"/>
      <c r="BZ21" s="763"/>
      <c r="CA21" s="763"/>
      <c r="CB21" s="763"/>
      <c r="CC21" s="763"/>
      <c r="CD21" s="763"/>
      <c r="CE21" s="763"/>
      <c r="CF21" s="763"/>
      <c r="CG21" s="763"/>
      <c r="CH21" s="763"/>
      <c r="CI21" s="763"/>
      <c r="CJ21" s="763"/>
      <c r="CK21" s="763"/>
      <c r="CL21" s="763"/>
      <c r="CM21" s="763"/>
      <c r="CN21" s="763"/>
      <c r="CO21" s="763"/>
      <c r="CP21" s="763"/>
      <c r="CQ21" s="763"/>
      <c r="CR21" s="763"/>
      <c r="CS21" s="763"/>
      <c r="CT21" s="763"/>
      <c r="CU21" s="763"/>
      <c r="CV21" s="763"/>
      <c r="CW21" s="763"/>
      <c r="CX21" s="763"/>
      <c r="CY21" s="763"/>
      <c r="CZ21" s="763"/>
      <c r="DA21" s="763"/>
      <c r="DB21" s="763"/>
      <c r="DC21" s="763"/>
      <c r="DD21" s="763"/>
      <c r="DE21" s="763"/>
      <c r="DF21" s="763"/>
      <c r="DG21" s="763"/>
      <c r="DH21" s="763"/>
      <c r="DI21" s="763"/>
      <c r="DJ21" s="763"/>
      <c r="DK21" s="763"/>
      <c r="DL21" s="763"/>
      <c r="DM21" s="763"/>
      <c r="DN21" s="763"/>
      <c r="DO21" s="763"/>
      <c r="DP21" s="763"/>
      <c r="DQ21" s="763"/>
      <c r="DR21" s="763"/>
      <c r="DS21" s="763"/>
      <c r="DT21" s="763"/>
      <c r="DU21" s="763"/>
      <c r="DV21" s="763"/>
      <c r="DW21" s="763"/>
      <c r="DX21" s="763"/>
      <c r="DY21" s="763"/>
      <c r="DZ21" s="763"/>
      <c r="EA21" s="763"/>
      <c r="EB21" s="763"/>
    </row>
    <row r="22" spans="1:134" s="899" customFormat="1" ht="14.1" customHeight="1" x14ac:dyDescent="0.2">
      <c r="A22" s="426"/>
      <c r="B22" s="1320"/>
      <c r="C22" s="451" t="s">
        <v>1197</v>
      </c>
      <c r="D22" s="1333" t="s">
        <v>1198</v>
      </c>
      <c r="E22" s="1334"/>
      <c r="F22" s="701"/>
      <c r="G22" s="702" t="s">
        <v>1199</v>
      </c>
      <c r="H22" s="702"/>
      <c r="I22" s="704"/>
      <c r="J22" s="704"/>
      <c r="K22" s="704"/>
      <c r="L22" s="705"/>
      <c r="M22" s="706">
        <f t="shared" si="6"/>
        <v>0</v>
      </c>
      <c r="N22" s="784">
        <f t="shared" si="3"/>
        <v>0</v>
      </c>
      <c r="O22" s="707">
        <v>0.06</v>
      </c>
      <c r="P22" s="708">
        <f t="shared" si="4"/>
        <v>0</v>
      </c>
      <c r="Q22" s="709">
        <f t="shared" si="5"/>
        <v>0</v>
      </c>
      <c r="R22" s="1016"/>
      <c r="S22" s="1016"/>
      <c r="T22" s="1016"/>
      <c r="U22" s="1016"/>
      <c r="V22" s="1030">
        <f t="shared" si="0"/>
        <v>0</v>
      </c>
      <c r="W22" s="1032">
        <f t="shared" si="1"/>
        <v>0</v>
      </c>
      <c r="X22" s="1031">
        <f t="shared" si="2"/>
        <v>0</v>
      </c>
      <c r="Y22" s="1331"/>
      <c r="Z22" s="1331"/>
      <c r="AA22" s="1338"/>
      <c r="AB22" s="1331"/>
      <c r="AC22" s="1328"/>
      <c r="AD22" s="1331"/>
      <c r="AE22" s="1331"/>
      <c r="AF22" s="763"/>
      <c r="AG22" s="763"/>
      <c r="AH22" s="763"/>
      <c r="AI22" s="763"/>
      <c r="AJ22" s="763"/>
      <c r="AK22" s="763"/>
      <c r="AL22" s="763"/>
      <c r="AM22" s="763"/>
      <c r="AN22" s="763"/>
      <c r="AO22" s="763"/>
      <c r="AP22" s="763"/>
      <c r="AQ22" s="763"/>
      <c r="AR22" s="763"/>
      <c r="AS22" s="763"/>
      <c r="AT22" s="763"/>
      <c r="AU22" s="763"/>
      <c r="AV22" s="763"/>
      <c r="AW22" s="763"/>
      <c r="AX22" s="763"/>
      <c r="AY22" s="763"/>
      <c r="AZ22" s="763"/>
      <c r="BA22" s="763"/>
      <c r="BB22" s="763"/>
      <c r="BC22" s="763"/>
      <c r="BD22" s="763"/>
      <c r="BE22" s="763"/>
      <c r="BF22" s="763"/>
      <c r="BG22" s="763"/>
      <c r="BH22" s="763"/>
      <c r="BI22" s="763"/>
      <c r="BJ22" s="763"/>
      <c r="BK22" s="763"/>
      <c r="BL22" s="763"/>
      <c r="BM22" s="763"/>
      <c r="BN22" s="763"/>
      <c r="BO22" s="763"/>
      <c r="BP22" s="763"/>
      <c r="BQ22" s="763"/>
      <c r="BR22" s="763"/>
      <c r="BS22" s="763"/>
      <c r="BT22" s="763"/>
      <c r="BU22" s="763"/>
      <c r="BV22" s="763"/>
      <c r="BW22" s="763"/>
      <c r="BX22" s="763"/>
      <c r="BY22" s="763"/>
      <c r="BZ22" s="763"/>
      <c r="CA22" s="763"/>
      <c r="CB22" s="763"/>
      <c r="CC22" s="763"/>
      <c r="CD22" s="763"/>
      <c r="CE22" s="763"/>
      <c r="CF22" s="763"/>
      <c r="CG22" s="763"/>
      <c r="CH22" s="763"/>
      <c r="CI22" s="763"/>
      <c r="CJ22" s="763"/>
      <c r="CK22" s="763"/>
      <c r="CL22" s="763"/>
      <c r="CM22" s="763"/>
      <c r="CN22" s="763"/>
      <c r="CO22" s="763"/>
      <c r="CP22" s="763"/>
      <c r="CQ22" s="763"/>
      <c r="CR22" s="763"/>
      <c r="CS22" s="763"/>
      <c r="CT22" s="763"/>
      <c r="CU22" s="763"/>
      <c r="CV22" s="763"/>
      <c r="CW22" s="763"/>
      <c r="CX22" s="763"/>
      <c r="CY22" s="763"/>
      <c r="CZ22" s="763"/>
      <c r="DA22" s="763"/>
      <c r="DB22" s="763"/>
      <c r="DC22" s="763"/>
      <c r="DD22" s="763"/>
      <c r="DE22" s="763"/>
      <c r="DF22" s="763"/>
      <c r="DG22" s="763"/>
      <c r="DH22" s="763"/>
      <c r="DI22" s="763"/>
      <c r="DJ22" s="763"/>
      <c r="DK22" s="763"/>
      <c r="DL22" s="763"/>
      <c r="DM22" s="763"/>
      <c r="DN22" s="763"/>
      <c r="DO22" s="763"/>
      <c r="DP22" s="763"/>
      <c r="DQ22" s="763"/>
      <c r="DR22" s="763"/>
      <c r="DS22" s="763"/>
      <c r="DT22" s="763"/>
      <c r="DU22" s="763"/>
      <c r="DV22" s="763"/>
      <c r="DW22" s="763"/>
      <c r="DX22" s="763"/>
      <c r="DY22" s="763"/>
      <c r="DZ22" s="763"/>
      <c r="EA22" s="763"/>
      <c r="EB22" s="763"/>
    </row>
    <row r="23" spans="1:134" s="899" customFormat="1" ht="14.1" customHeight="1" x14ac:dyDescent="0.2">
      <c r="A23" s="426"/>
      <c r="B23" s="1320"/>
      <c r="C23" s="451"/>
      <c r="D23" s="1333" t="s">
        <v>1200</v>
      </c>
      <c r="E23" s="1334"/>
      <c r="F23" s="701"/>
      <c r="G23" s="702" t="s">
        <v>1201</v>
      </c>
      <c r="H23" s="702"/>
      <c r="I23" s="704"/>
      <c r="J23" s="704"/>
      <c r="K23" s="704"/>
      <c r="L23" s="705"/>
      <c r="M23" s="706">
        <f t="shared" si="6"/>
        <v>0</v>
      </c>
      <c r="N23" s="784">
        <f t="shared" si="3"/>
        <v>0</v>
      </c>
      <c r="O23" s="707">
        <v>0.08</v>
      </c>
      <c r="P23" s="708">
        <f t="shared" si="4"/>
        <v>0</v>
      </c>
      <c r="Q23" s="709">
        <f t="shared" si="5"/>
        <v>0</v>
      </c>
      <c r="R23" s="1016"/>
      <c r="S23" s="1016"/>
      <c r="T23" s="1016"/>
      <c r="U23" s="1016"/>
      <c r="V23" s="1030">
        <f t="shared" si="0"/>
        <v>0</v>
      </c>
      <c r="W23" s="1031">
        <f t="shared" si="1"/>
        <v>0</v>
      </c>
      <c r="X23" s="1031">
        <f t="shared" si="2"/>
        <v>0</v>
      </c>
      <c r="Y23" s="1331"/>
      <c r="Z23" s="1331"/>
      <c r="AA23" s="1338"/>
      <c r="AB23" s="1331"/>
      <c r="AC23" s="1328"/>
      <c r="AD23" s="1331"/>
      <c r="AE23" s="1331"/>
      <c r="AF23" s="763"/>
      <c r="AG23" s="763"/>
      <c r="AH23" s="763"/>
      <c r="AI23" s="763"/>
      <c r="AJ23" s="763"/>
      <c r="AK23" s="763"/>
      <c r="AL23" s="763"/>
      <c r="AM23" s="763"/>
      <c r="AN23" s="763"/>
      <c r="AO23" s="763"/>
      <c r="AP23" s="763"/>
      <c r="AQ23" s="763"/>
      <c r="AR23" s="763"/>
      <c r="AS23" s="763"/>
      <c r="AT23" s="763"/>
      <c r="AU23" s="763"/>
      <c r="AV23" s="763"/>
      <c r="AW23" s="763"/>
      <c r="AX23" s="763"/>
      <c r="AY23" s="763"/>
      <c r="AZ23" s="763"/>
      <c r="BA23" s="763"/>
      <c r="BB23" s="763"/>
      <c r="BC23" s="763"/>
      <c r="BD23" s="763"/>
      <c r="BE23" s="763"/>
      <c r="BF23" s="763"/>
      <c r="BG23" s="763"/>
      <c r="BH23" s="763"/>
      <c r="BI23" s="763"/>
      <c r="BJ23" s="763"/>
      <c r="BK23" s="763"/>
      <c r="BL23" s="763"/>
      <c r="BM23" s="763"/>
      <c r="BN23" s="763"/>
      <c r="BO23" s="763"/>
      <c r="BP23" s="763"/>
      <c r="BQ23" s="763"/>
      <c r="BR23" s="763"/>
      <c r="BS23" s="763"/>
      <c r="BT23" s="763"/>
      <c r="BU23" s="763"/>
      <c r="BV23" s="763"/>
      <c r="BW23" s="763"/>
      <c r="BX23" s="763"/>
      <c r="BY23" s="763"/>
      <c r="BZ23" s="763"/>
      <c r="CA23" s="763"/>
      <c r="CB23" s="763"/>
      <c r="CC23" s="763"/>
      <c r="CD23" s="763"/>
      <c r="CE23" s="763"/>
      <c r="CF23" s="763"/>
      <c r="CG23" s="763"/>
      <c r="CH23" s="763"/>
      <c r="CI23" s="763"/>
      <c r="CJ23" s="763"/>
      <c r="CK23" s="763"/>
      <c r="CL23" s="763"/>
      <c r="CM23" s="763"/>
      <c r="CN23" s="763"/>
      <c r="CO23" s="763"/>
      <c r="CP23" s="763"/>
      <c r="CQ23" s="763"/>
      <c r="CR23" s="763"/>
      <c r="CS23" s="763"/>
      <c r="CT23" s="763"/>
      <c r="CU23" s="763"/>
      <c r="CV23" s="763"/>
      <c r="CW23" s="763"/>
      <c r="CX23" s="763"/>
      <c r="CY23" s="763"/>
      <c r="CZ23" s="763"/>
      <c r="DA23" s="763"/>
      <c r="DB23" s="763"/>
      <c r="DC23" s="763"/>
      <c r="DD23" s="763"/>
      <c r="DE23" s="763"/>
      <c r="DF23" s="763"/>
      <c r="DG23" s="763"/>
      <c r="DH23" s="763"/>
      <c r="DI23" s="763"/>
      <c r="DJ23" s="763"/>
      <c r="DK23" s="763"/>
      <c r="DL23" s="763"/>
      <c r="DM23" s="763"/>
      <c r="DN23" s="763"/>
      <c r="DO23" s="763"/>
      <c r="DP23" s="763"/>
      <c r="DQ23" s="763"/>
      <c r="DR23" s="763"/>
      <c r="DS23" s="763"/>
      <c r="DT23" s="763"/>
      <c r="DU23" s="763"/>
      <c r="DV23" s="763"/>
      <c r="DW23" s="763"/>
      <c r="DX23" s="763"/>
      <c r="DY23" s="763"/>
      <c r="DZ23" s="763"/>
      <c r="EA23" s="763"/>
      <c r="EB23" s="763"/>
    </row>
    <row r="24" spans="1:134" s="899" customFormat="1" ht="14.1" customHeight="1" thickBot="1" x14ac:dyDescent="0.25">
      <c r="A24" s="426"/>
      <c r="B24" s="1326"/>
      <c r="C24" s="728"/>
      <c r="D24" s="1372" t="s">
        <v>1197</v>
      </c>
      <c r="E24" s="1373"/>
      <c r="F24" s="768"/>
      <c r="G24" s="714" t="s">
        <v>1202</v>
      </c>
      <c r="H24" s="714"/>
      <c r="I24" s="729"/>
      <c r="J24" s="729"/>
      <c r="K24" s="729"/>
      <c r="L24" s="730"/>
      <c r="M24" s="715">
        <f t="shared" si="6"/>
        <v>0</v>
      </c>
      <c r="N24" s="785">
        <f t="shared" si="3"/>
        <v>0</v>
      </c>
      <c r="O24" s="731">
        <v>0.125</v>
      </c>
      <c r="P24" s="716">
        <f t="shared" si="4"/>
        <v>0</v>
      </c>
      <c r="Q24" s="717">
        <f t="shared" si="5"/>
        <v>0</v>
      </c>
      <c r="R24" s="1016"/>
      <c r="S24" s="1016"/>
      <c r="T24" s="1016"/>
      <c r="U24" s="1016"/>
      <c r="V24" s="1030">
        <f t="shared" si="0"/>
        <v>0</v>
      </c>
      <c r="W24" s="1031">
        <f t="shared" si="1"/>
        <v>0</v>
      </c>
      <c r="X24" s="1031">
        <f>IF(Q24&gt;P24,Q24-P24,0)</f>
        <v>0</v>
      </c>
      <c r="Y24" s="1332"/>
      <c r="Z24" s="1332"/>
      <c r="AA24" s="1339"/>
      <c r="AB24" s="1332"/>
      <c r="AC24" s="1329"/>
      <c r="AD24" s="1332"/>
      <c r="AE24" s="1332"/>
      <c r="AF24" s="763"/>
      <c r="AG24" s="763"/>
      <c r="AH24" s="763"/>
      <c r="AI24" s="763"/>
      <c r="AJ24" s="763"/>
      <c r="AK24" s="763"/>
      <c r="AL24" s="763"/>
      <c r="AM24" s="763"/>
      <c r="AN24" s="763"/>
      <c r="AO24" s="763"/>
      <c r="AP24" s="763"/>
      <c r="AQ24" s="763"/>
      <c r="AR24" s="763"/>
      <c r="AS24" s="763"/>
      <c r="AT24" s="763"/>
      <c r="AU24" s="763"/>
      <c r="AV24" s="763"/>
      <c r="AW24" s="763"/>
      <c r="AX24" s="763"/>
      <c r="AY24" s="763"/>
      <c r="AZ24" s="763"/>
      <c r="BA24" s="763"/>
      <c r="BB24" s="763"/>
      <c r="BC24" s="763"/>
      <c r="BD24" s="763"/>
      <c r="BE24" s="763"/>
      <c r="BF24" s="763"/>
      <c r="BG24" s="763"/>
      <c r="BH24" s="763"/>
      <c r="BI24" s="763"/>
      <c r="BJ24" s="763"/>
      <c r="BK24" s="763"/>
      <c r="BL24" s="763"/>
      <c r="BM24" s="763"/>
      <c r="BN24" s="763"/>
      <c r="BO24" s="763"/>
      <c r="BP24" s="763"/>
      <c r="BQ24" s="763"/>
      <c r="BR24" s="763"/>
      <c r="BS24" s="763"/>
      <c r="BT24" s="763"/>
      <c r="BU24" s="763"/>
      <c r="BV24" s="763"/>
      <c r="BW24" s="763"/>
      <c r="BX24" s="763"/>
      <c r="BY24" s="763"/>
      <c r="BZ24" s="763"/>
      <c r="CA24" s="763"/>
      <c r="CB24" s="763"/>
      <c r="CC24" s="763"/>
      <c r="CD24" s="763"/>
      <c r="CE24" s="763"/>
      <c r="CF24" s="763"/>
      <c r="CG24" s="763"/>
      <c r="CH24" s="763"/>
      <c r="CI24" s="763"/>
      <c r="CJ24" s="763"/>
      <c r="CK24" s="763"/>
      <c r="CL24" s="763"/>
      <c r="CM24" s="763"/>
      <c r="CN24" s="763"/>
      <c r="CO24" s="763"/>
      <c r="CP24" s="763"/>
      <c r="CQ24" s="763"/>
      <c r="CR24" s="763"/>
      <c r="CS24" s="763"/>
      <c r="CT24" s="763"/>
      <c r="CU24" s="763"/>
      <c r="CV24" s="763"/>
      <c r="CW24" s="763"/>
      <c r="CX24" s="763"/>
      <c r="CY24" s="763"/>
      <c r="CZ24" s="763"/>
      <c r="DA24" s="763"/>
      <c r="DB24" s="763"/>
      <c r="DC24" s="763"/>
      <c r="DD24" s="763"/>
      <c r="DE24" s="763"/>
      <c r="DF24" s="763"/>
      <c r="DG24" s="763"/>
      <c r="DH24" s="763"/>
      <c r="DI24" s="763"/>
      <c r="DJ24" s="763"/>
      <c r="DK24" s="763"/>
      <c r="DL24" s="763"/>
      <c r="DM24" s="763"/>
      <c r="DN24" s="763"/>
      <c r="DO24" s="763"/>
      <c r="DP24" s="763"/>
      <c r="DQ24" s="763"/>
      <c r="DR24" s="763"/>
      <c r="DS24" s="763"/>
      <c r="DT24" s="763"/>
      <c r="DU24" s="763"/>
      <c r="DV24" s="763"/>
      <c r="DW24" s="763"/>
      <c r="DX24" s="763"/>
      <c r="DY24" s="763"/>
      <c r="DZ24" s="763"/>
      <c r="EA24" s="763"/>
      <c r="EB24" s="763"/>
    </row>
    <row r="25" spans="1:134" s="905" customFormat="1" x14ac:dyDescent="0.2">
      <c r="A25" s="350"/>
      <c r="B25" s="732"/>
      <c r="C25" s="1345" t="s">
        <v>1411</v>
      </c>
      <c r="D25" s="1345"/>
      <c r="E25" s="1346"/>
      <c r="F25" s="775"/>
      <c r="G25" s="735" t="s">
        <v>1203</v>
      </c>
      <c r="H25" s="735"/>
      <c r="I25" s="736">
        <f t="shared" ref="I25:N25" si="7">SUM(I10:I24)</f>
        <v>0</v>
      </c>
      <c r="J25" s="736">
        <f t="shared" si="7"/>
        <v>0</v>
      </c>
      <c r="K25" s="736">
        <f t="shared" si="7"/>
        <v>0</v>
      </c>
      <c r="L25" s="736">
        <f t="shared" si="7"/>
        <v>0</v>
      </c>
      <c r="M25" s="736">
        <f t="shared" si="7"/>
        <v>0</v>
      </c>
      <c r="N25" s="787">
        <f t="shared" si="7"/>
        <v>0</v>
      </c>
      <c r="O25" s="737"/>
      <c r="P25" s="719">
        <f>SUM(P10:P24)</f>
        <v>0</v>
      </c>
      <c r="Q25" s="720">
        <f>SUM(Q10:Q24)</f>
        <v>0</v>
      </c>
      <c r="R25" s="1016"/>
      <c r="S25" s="1016"/>
      <c r="T25" s="1016"/>
      <c r="U25" s="1016"/>
      <c r="V25" s="1033"/>
      <c r="W25" s="904"/>
      <c r="X25" s="904"/>
      <c r="Y25" s="904"/>
      <c r="Z25" s="904"/>
      <c r="AA25" s="904"/>
      <c r="AB25" s="904"/>
      <c r="AC25" s="904"/>
      <c r="AD25" s="904"/>
      <c r="AE25" s="904"/>
      <c r="AF25" s="904"/>
      <c r="AG25" s="904"/>
      <c r="AH25" s="904"/>
      <c r="AI25" s="904"/>
      <c r="AJ25" s="904"/>
      <c r="AK25" s="904"/>
      <c r="AL25" s="904"/>
      <c r="AM25" s="904"/>
      <c r="AN25" s="904"/>
      <c r="AO25" s="904"/>
      <c r="AP25" s="904"/>
      <c r="AQ25" s="904"/>
      <c r="AR25" s="904"/>
      <c r="AS25" s="904"/>
      <c r="AT25" s="904"/>
      <c r="AU25" s="904"/>
      <c r="AV25" s="904"/>
      <c r="AW25" s="904"/>
      <c r="AX25" s="904"/>
      <c r="AY25" s="904"/>
      <c r="AZ25" s="904"/>
      <c r="BA25" s="904"/>
      <c r="BB25" s="904"/>
      <c r="BC25" s="904"/>
      <c r="BD25" s="904"/>
      <c r="BE25" s="904"/>
      <c r="BF25" s="904"/>
      <c r="BG25" s="904"/>
      <c r="BH25" s="904"/>
      <c r="BI25" s="904"/>
      <c r="BJ25" s="904"/>
      <c r="BK25" s="904"/>
      <c r="BL25" s="904"/>
      <c r="BM25" s="904"/>
      <c r="BN25" s="904"/>
      <c r="BO25" s="904"/>
      <c r="BP25" s="904"/>
      <c r="BQ25" s="904"/>
      <c r="BR25" s="904"/>
      <c r="BS25" s="904"/>
      <c r="BT25" s="904"/>
      <c r="BU25" s="904"/>
      <c r="BV25" s="904"/>
      <c r="BW25" s="904"/>
      <c r="BX25" s="904"/>
      <c r="BY25" s="904"/>
      <c r="BZ25" s="904"/>
      <c r="CA25" s="904"/>
      <c r="CB25" s="904"/>
      <c r="CC25" s="904"/>
      <c r="CD25" s="904"/>
      <c r="CE25" s="904"/>
      <c r="CF25" s="904"/>
      <c r="CG25" s="904"/>
      <c r="CH25" s="904"/>
      <c r="CI25" s="904"/>
      <c r="CJ25" s="904"/>
      <c r="CK25" s="904"/>
      <c r="CL25" s="904"/>
      <c r="CM25" s="904"/>
      <c r="CN25" s="904"/>
      <c r="CO25" s="904"/>
      <c r="CP25" s="904"/>
      <c r="CQ25" s="904"/>
      <c r="CR25" s="904"/>
      <c r="CS25" s="904"/>
      <c r="CT25" s="904"/>
      <c r="CU25" s="904"/>
      <c r="CV25" s="904"/>
      <c r="CW25" s="904"/>
      <c r="CX25" s="904"/>
      <c r="CY25" s="904"/>
      <c r="CZ25" s="904"/>
      <c r="DA25" s="904"/>
      <c r="DB25" s="904"/>
      <c r="DC25" s="904"/>
      <c r="DD25" s="904"/>
      <c r="DE25" s="904"/>
      <c r="DF25" s="904"/>
      <c r="DG25" s="904"/>
      <c r="DH25" s="904"/>
      <c r="DI25" s="904"/>
      <c r="DJ25" s="904"/>
      <c r="DK25" s="904"/>
      <c r="DL25" s="904"/>
      <c r="DM25" s="904"/>
      <c r="DN25" s="904"/>
      <c r="DO25" s="904"/>
      <c r="DP25" s="904"/>
      <c r="DQ25" s="904"/>
      <c r="DR25" s="904"/>
      <c r="DS25" s="904"/>
      <c r="DT25" s="904"/>
      <c r="DU25" s="904"/>
      <c r="DV25" s="904"/>
      <c r="DW25" s="904"/>
      <c r="DX25" s="904"/>
      <c r="DY25" s="904"/>
      <c r="DZ25" s="904"/>
      <c r="EA25" s="904"/>
      <c r="EB25" s="904"/>
    </row>
    <row r="26" spans="1:134" s="899" customFormat="1" ht="14.1" customHeight="1" x14ac:dyDescent="0.2">
      <c r="A26" s="426"/>
      <c r="B26" s="738"/>
      <c r="C26" s="1348" t="s">
        <v>1204</v>
      </c>
      <c r="D26" s="1348"/>
      <c r="E26" s="740"/>
      <c r="F26" s="739"/>
      <c r="G26" s="742" t="s">
        <v>1205</v>
      </c>
      <c r="H26" s="742"/>
      <c r="I26" s="769"/>
      <c r="J26" s="743"/>
      <c r="K26" s="743"/>
      <c r="L26" s="743"/>
      <c r="M26" s="743"/>
      <c r="N26" s="743"/>
      <c r="O26" s="744"/>
      <c r="P26" s="1350">
        <f>IF(P25&gt;Q25,P25-Q25,Q25-P25)</f>
        <v>0</v>
      </c>
      <c r="Q26" s="1351"/>
      <c r="R26" s="1034"/>
      <c r="S26" s="1034"/>
      <c r="T26" s="1034"/>
      <c r="U26" s="1034"/>
      <c r="V26" s="1035"/>
      <c r="W26" s="763"/>
      <c r="X26" s="763"/>
      <c r="Y26" s="763"/>
      <c r="Z26" s="763"/>
      <c r="AA26" s="763"/>
      <c r="AB26" s="763"/>
      <c r="AC26" s="763"/>
      <c r="AD26" s="763"/>
      <c r="AE26" s="763"/>
      <c r="AF26" s="763"/>
      <c r="AG26" s="763"/>
      <c r="AH26" s="763"/>
      <c r="AI26" s="763"/>
      <c r="AJ26" s="763"/>
      <c r="AK26" s="763"/>
      <c r="AL26" s="763"/>
      <c r="AM26" s="763"/>
      <c r="AN26" s="763"/>
      <c r="AO26" s="763"/>
      <c r="AP26" s="763"/>
      <c r="AQ26" s="763"/>
      <c r="AR26" s="763"/>
      <c r="AS26" s="763"/>
      <c r="AT26" s="763"/>
      <c r="AU26" s="763"/>
      <c r="AV26" s="763"/>
      <c r="AW26" s="763"/>
      <c r="AX26" s="763"/>
      <c r="AY26" s="763"/>
      <c r="AZ26" s="763"/>
      <c r="BA26" s="763"/>
      <c r="BB26" s="763"/>
      <c r="BC26" s="763"/>
      <c r="BD26" s="763"/>
      <c r="BE26" s="763"/>
      <c r="BF26" s="763"/>
      <c r="BG26" s="763"/>
      <c r="BH26" s="763"/>
      <c r="BI26" s="763"/>
      <c r="BJ26" s="763"/>
      <c r="BK26" s="763"/>
      <c r="BL26" s="763"/>
      <c r="BM26" s="763"/>
      <c r="BN26" s="763"/>
      <c r="BO26" s="763"/>
      <c r="BP26" s="763"/>
      <c r="BQ26" s="763"/>
      <c r="BR26" s="763"/>
      <c r="BS26" s="763"/>
      <c r="BT26" s="763"/>
      <c r="BU26" s="763"/>
      <c r="BV26" s="763"/>
      <c r="BW26" s="763"/>
      <c r="BX26" s="763"/>
      <c r="BY26" s="763"/>
      <c r="BZ26" s="763"/>
      <c r="CA26" s="763"/>
      <c r="CB26" s="763"/>
      <c r="CC26" s="763"/>
      <c r="CD26" s="763"/>
      <c r="CE26" s="763"/>
      <c r="CF26" s="763"/>
      <c r="CG26" s="763"/>
      <c r="CH26" s="763"/>
      <c r="CI26" s="763"/>
      <c r="CJ26" s="763"/>
      <c r="CK26" s="763"/>
      <c r="CL26" s="763"/>
      <c r="CM26" s="763"/>
      <c r="CN26" s="763"/>
      <c r="CO26" s="763"/>
      <c r="CP26" s="763"/>
      <c r="CQ26" s="763"/>
      <c r="CR26" s="763"/>
      <c r="CS26" s="763"/>
      <c r="CT26" s="763"/>
      <c r="CU26" s="763"/>
      <c r="CV26" s="763"/>
      <c r="CW26" s="763"/>
      <c r="CX26" s="763"/>
      <c r="CY26" s="763"/>
      <c r="CZ26" s="763"/>
      <c r="DA26" s="763"/>
      <c r="DB26" s="763"/>
      <c r="DC26" s="763"/>
      <c r="DD26" s="763"/>
      <c r="DE26" s="763"/>
      <c r="DF26" s="763"/>
      <c r="DG26" s="763"/>
      <c r="DH26" s="763"/>
      <c r="DI26" s="763"/>
      <c r="DJ26" s="763"/>
      <c r="DK26" s="763"/>
      <c r="DL26" s="763"/>
      <c r="DM26" s="763"/>
      <c r="DN26" s="763"/>
      <c r="DO26" s="763"/>
      <c r="DP26" s="763"/>
      <c r="DQ26" s="763"/>
      <c r="DR26" s="763"/>
      <c r="DS26" s="763"/>
      <c r="DT26" s="763"/>
      <c r="DU26" s="763"/>
      <c r="DV26" s="763"/>
      <c r="DW26" s="763"/>
      <c r="DX26" s="763"/>
      <c r="DY26" s="763"/>
      <c r="DZ26" s="763"/>
      <c r="EA26" s="763"/>
      <c r="EB26" s="763"/>
      <c r="EC26" s="763"/>
    </row>
    <row r="27" spans="1:134" s="899" customFormat="1" ht="14.1" customHeight="1" x14ac:dyDescent="0.2">
      <c r="A27" s="426"/>
      <c r="B27" s="745"/>
      <c r="C27" s="746"/>
      <c r="D27" s="746"/>
      <c r="E27" s="770"/>
      <c r="F27" s="746"/>
      <c r="G27" s="747"/>
      <c r="H27" s="747"/>
      <c r="I27" s="788"/>
      <c r="J27" s="748"/>
      <c r="K27" s="748"/>
      <c r="L27" s="748"/>
      <c r="M27" s="748"/>
      <c r="N27" s="748"/>
      <c r="O27" s="749"/>
      <c r="P27" s="750"/>
      <c r="Q27" s="751"/>
      <c r="R27" s="1034"/>
      <c r="S27" s="1034"/>
      <c r="T27" s="1034"/>
      <c r="U27" s="1034"/>
      <c r="V27" s="1035"/>
      <c r="W27" s="763"/>
      <c r="X27" s="763"/>
      <c r="Y27" s="763"/>
      <c r="Z27" s="763"/>
      <c r="AA27" s="763"/>
      <c r="AB27" s="763"/>
      <c r="AC27" s="763"/>
      <c r="AD27" s="763"/>
      <c r="AE27" s="763"/>
      <c r="AF27" s="763"/>
      <c r="AG27" s="763"/>
      <c r="AH27" s="763"/>
      <c r="AI27" s="763"/>
      <c r="AJ27" s="763"/>
      <c r="AK27" s="763"/>
      <c r="AL27" s="763"/>
      <c r="AM27" s="763"/>
      <c r="AN27" s="763"/>
      <c r="AO27" s="763"/>
      <c r="AP27" s="763"/>
      <c r="AQ27" s="763"/>
      <c r="AR27" s="763"/>
      <c r="AS27" s="763"/>
      <c r="AT27" s="763"/>
      <c r="AU27" s="763"/>
      <c r="AV27" s="763"/>
      <c r="AW27" s="763"/>
      <c r="AX27" s="763"/>
      <c r="AY27" s="763"/>
      <c r="AZ27" s="763"/>
      <c r="BA27" s="763"/>
      <c r="BB27" s="763"/>
      <c r="BC27" s="763"/>
      <c r="BD27" s="763"/>
      <c r="BE27" s="763"/>
      <c r="BF27" s="763"/>
      <c r="BG27" s="763"/>
      <c r="BH27" s="763"/>
      <c r="BI27" s="763"/>
      <c r="BJ27" s="763"/>
      <c r="BK27" s="763"/>
      <c r="BL27" s="763"/>
      <c r="BM27" s="763"/>
      <c r="BN27" s="763"/>
      <c r="BO27" s="763"/>
      <c r="BP27" s="763"/>
      <c r="BQ27" s="763"/>
      <c r="BR27" s="763"/>
      <c r="BS27" s="763"/>
      <c r="BT27" s="763"/>
      <c r="BU27" s="763"/>
      <c r="BV27" s="763"/>
      <c r="BW27" s="763"/>
      <c r="BX27" s="763"/>
      <c r="BY27" s="763"/>
      <c r="BZ27" s="763"/>
      <c r="CA27" s="763"/>
      <c r="CB27" s="763"/>
      <c r="CC27" s="763"/>
      <c r="CD27" s="763"/>
      <c r="CE27" s="763"/>
      <c r="CF27" s="763"/>
      <c r="CG27" s="763"/>
      <c r="CH27" s="763"/>
      <c r="CI27" s="763"/>
      <c r="CJ27" s="763"/>
      <c r="CK27" s="763"/>
      <c r="CL27" s="763"/>
      <c r="CM27" s="763"/>
      <c r="CN27" s="763"/>
      <c r="CO27" s="763"/>
      <c r="CP27" s="763"/>
      <c r="CQ27" s="763"/>
      <c r="CR27" s="763"/>
      <c r="CS27" s="763"/>
      <c r="CT27" s="763"/>
      <c r="CU27" s="763"/>
      <c r="CV27" s="763"/>
      <c r="CW27" s="763"/>
      <c r="CX27" s="763"/>
      <c r="CY27" s="763"/>
      <c r="CZ27" s="763"/>
      <c r="DA27" s="763"/>
      <c r="DB27" s="763"/>
      <c r="DC27" s="763"/>
      <c r="DD27" s="763"/>
      <c r="DE27" s="763"/>
      <c r="DF27" s="763"/>
      <c r="DG27" s="763"/>
      <c r="DH27" s="763"/>
      <c r="DI27" s="763"/>
      <c r="DJ27" s="763"/>
      <c r="DK27" s="763"/>
      <c r="DL27" s="763"/>
      <c r="DM27" s="763"/>
      <c r="DN27" s="763"/>
      <c r="DO27" s="763"/>
      <c r="DP27" s="763"/>
      <c r="DQ27" s="763"/>
      <c r="DR27" s="763"/>
      <c r="DS27" s="763"/>
      <c r="DT27" s="763"/>
      <c r="DU27" s="763"/>
      <c r="DV27" s="763"/>
      <c r="DW27" s="763"/>
      <c r="DX27" s="763"/>
      <c r="DY27" s="763"/>
      <c r="DZ27" s="763"/>
      <c r="EA27" s="763"/>
      <c r="EB27" s="763"/>
      <c r="EC27" s="763"/>
    </row>
    <row r="28" spans="1:134" s="899" customFormat="1" ht="18.75" customHeight="1" x14ac:dyDescent="0.2">
      <c r="A28" s="426"/>
      <c r="B28" s="1374" t="s">
        <v>350</v>
      </c>
      <c r="C28" s="1375"/>
      <c r="D28" s="1376"/>
      <c r="E28" s="752"/>
      <c r="F28" s="752"/>
      <c r="G28" s="752"/>
      <c r="H28" s="752"/>
      <c r="I28" s="1362" t="s">
        <v>1207</v>
      </c>
      <c r="J28" s="1363" t="s">
        <v>1208</v>
      </c>
      <c r="K28" s="1364"/>
      <c r="L28" s="1365"/>
      <c r="M28" s="1363" t="s">
        <v>1209</v>
      </c>
      <c r="N28" s="1364"/>
      <c r="O28" s="1365"/>
      <c r="P28" s="1340" t="s">
        <v>1210</v>
      </c>
      <c r="Q28" s="1342" t="s">
        <v>1211</v>
      </c>
      <c r="R28" s="1036"/>
      <c r="S28" s="1037"/>
      <c r="T28" s="1037"/>
      <c r="U28" s="1037"/>
      <c r="V28" s="1037"/>
      <c r="W28" s="1035"/>
      <c r="X28" s="763"/>
      <c r="Y28" s="763"/>
      <c r="Z28" s="763"/>
      <c r="AA28" s="1038"/>
      <c r="AB28" s="1039"/>
      <c r="AC28" s="763"/>
      <c r="AD28" s="763"/>
      <c r="AE28" s="763"/>
      <c r="AF28" s="763"/>
      <c r="AG28" s="763"/>
      <c r="AH28" s="763"/>
      <c r="AI28" s="763"/>
      <c r="AJ28" s="763"/>
      <c r="AK28" s="763"/>
      <c r="AL28" s="763"/>
      <c r="AM28" s="763"/>
      <c r="AN28" s="763"/>
      <c r="AO28" s="763"/>
      <c r="AP28" s="763"/>
      <c r="AQ28" s="763"/>
      <c r="AR28" s="763"/>
      <c r="AS28" s="763"/>
      <c r="AT28" s="763"/>
      <c r="AU28" s="763"/>
      <c r="AV28" s="763"/>
      <c r="AW28" s="763"/>
      <c r="AX28" s="763"/>
      <c r="AY28" s="763"/>
      <c r="AZ28" s="763"/>
      <c r="BA28" s="763"/>
      <c r="BB28" s="763"/>
      <c r="BC28" s="763"/>
      <c r="BD28" s="763"/>
      <c r="BE28" s="763"/>
      <c r="BF28" s="763"/>
      <c r="BG28" s="763"/>
      <c r="BH28" s="763"/>
      <c r="BI28" s="763"/>
      <c r="BJ28" s="763"/>
      <c r="BK28" s="763"/>
      <c r="BL28" s="763"/>
      <c r="BM28" s="763"/>
      <c r="BN28" s="763"/>
      <c r="BO28" s="763"/>
      <c r="BP28" s="763"/>
      <c r="BQ28" s="763"/>
      <c r="BR28" s="763"/>
      <c r="BS28" s="763"/>
      <c r="BT28" s="763"/>
      <c r="BU28" s="763"/>
      <c r="BV28" s="763"/>
      <c r="BW28" s="763"/>
      <c r="BX28" s="763"/>
      <c r="BY28" s="763"/>
      <c r="BZ28" s="763"/>
      <c r="CA28" s="763"/>
      <c r="CB28" s="763"/>
      <c r="CC28" s="763"/>
      <c r="CD28" s="763"/>
      <c r="CE28" s="763"/>
      <c r="CF28" s="763"/>
      <c r="CG28" s="763"/>
      <c r="CH28" s="763"/>
      <c r="CI28" s="763"/>
      <c r="CJ28" s="763"/>
      <c r="CK28" s="763"/>
      <c r="CL28" s="763"/>
      <c r="CM28" s="763"/>
      <c r="CN28" s="763"/>
      <c r="CO28" s="763"/>
      <c r="CP28" s="763"/>
      <c r="CQ28" s="763"/>
      <c r="CR28" s="763"/>
      <c r="CS28" s="763"/>
      <c r="CT28" s="763"/>
      <c r="CU28" s="763"/>
      <c r="CV28" s="763"/>
      <c r="CW28" s="763"/>
      <c r="CX28" s="763"/>
      <c r="CY28" s="763"/>
      <c r="CZ28" s="763"/>
      <c r="DA28" s="763"/>
      <c r="DB28" s="763"/>
      <c r="DC28" s="763"/>
      <c r="DD28" s="763"/>
      <c r="DE28" s="763"/>
      <c r="DF28" s="763"/>
      <c r="DG28" s="763"/>
      <c r="DH28" s="763"/>
      <c r="DI28" s="763"/>
      <c r="DJ28" s="763"/>
      <c r="DK28" s="763"/>
      <c r="DL28" s="763"/>
      <c r="DM28" s="763"/>
      <c r="DN28" s="763"/>
      <c r="DO28" s="763"/>
      <c r="DP28" s="763"/>
      <c r="DQ28" s="763"/>
      <c r="DR28" s="763"/>
      <c r="DS28" s="763"/>
      <c r="DT28" s="763"/>
      <c r="DU28" s="763"/>
      <c r="DV28" s="763"/>
      <c r="DW28" s="763"/>
      <c r="DX28" s="763"/>
      <c r="DY28" s="763"/>
      <c r="DZ28" s="763"/>
      <c r="EA28" s="763"/>
      <c r="EB28" s="763"/>
      <c r="EC28" s="763"/>
      <c r="ED28" s="763"/>
    </row>
    <row r="29" spans="1:134" s="899" customFormat="1" ht="19.5" customHeight="1" x14ac:dyDescent="0.2">
      <c r="A29" s="426"/>
      <c r="B29" s="1377"/>
      <c r="C29" s="1378"/>
      <c r="D29" s="1379"/>
      <c r="E29" s="754"/>
      <c r="F29" s="754"/>
      <c r="G29" s="754"/>
      <c r="H29" s="754"/>
      <c r="I29" s="1362"/>
      <c r="J29" s="753" t="s">
        <v>1212</v>
      </c>
      <c r="K29" s="753" t="s">
        <v>1213</v>
      </c>
      <c r="L29" s="753" t="s">
        <v>1214</v>
      </c>
      <c r="M29" s="755" t="s">
        <v>1215</v>
      </c>
      <c r="N29" s="755" t="s">
        <v>1216</v>
      </c>
      <c r="O29" s="755" t="s">
        <v>1217</v>
      </c>
      <c r="P29" s="1341"/>
      <c r="Q29" s="1343"/>
      <c r="R29" s="1036"/>
      <c r="S29" s="1037"/>
      <c r="T29" s="1037"/>
      <c r="U29" s="1037"/>
      <c r="V29" s="1037"/>
      <c r="W29" s="1035"/>
      <c r="Z29" s="763"/>
      <c r="AA29" s="1038"/>
      <c r="AB29" s="1038"/>
      <c r="AC29" s="763"/>
      <c r="AD29" s="763"/>
      <c r="AE29" s="763"/>
      <c r="AF29" s="763"/>
      <c r="AG29" s="763"/>
      <c r="AH29" s="763"/>
      <c r="AI29" s="763"/>
      <c r="AJ29" s="763"/>
      <c r="AK29" s="763"/>
      <c r="AL29" s="763"/>
      <c r="AM29" s="763"/>
      <c r="AN29" s="763"/>
      <c r="AO29" s="763"/>
      <c r="AP29" s="763"/>
      <c r="AQ29" s="763"/>
      <c r="AR29" s="763"/>
      <c r="AS29" s="763"/>
      <c r="AT29" s="763"/>
      <c r="AU29" s="763"/>
      <c r="AV29" s="763"/>
      <c r="AW29" s="763"/>
      <c r="AX29" s="763"/>
      <c r="AY29" s="763"/>
      <c r="AZ29" s="763"/>
      <c r="BA29" s="763"/>
      <c r="BB29" s="763"/>
      <c r="BC29" s="763"/>
      <c r="BD29" s="763"/>
      <c r="BE29" s="763"/>
      <c r="BF29" s="763"/>
      <c r="BG29" s="763"/>
      <c r="BH29" s="763"/>
      <c r="BI29" s="763"/>
      <c r="BJ29" s="763"/>
      <c r="BK29" s="763"/>
      <c r="BL29" s="763"/>
      <c r="BM29" s="763"/>
      <c r="BN29" s="763"/>
      <c r="BO29" s="763"/>
      <c r="BP29" s="763"/>
      <c r="BQ29" s="763"/>
      <c r="BR29" s="763"/>
      <c r="BS29" s="763"/>
      <c r="BT29" s="763"/>
      <c r="BU29" s="763"/>
      <c r="BV29" s="763"/>
      <c r="BW29" s="763"/>
      <c r="BX29" s="763"/>
      <c r="BY29" s="763"/>
      <c r="BZ29" s="763"/>
      <c r="CA29" s="763"/>
      <c r="CB29" s="763"/>
      <c r="CC29" s="763"/>
      <c r="CD29" s="763"/>
      <c r="CE29" s="763"/>
      <c r="CF29" s="763"/>
      <c r="CG29" s="763"/>
      <c r="CH29" s="763"/>
      <c r="CI29" s="763"/>
      <c r="CJ29" s="763"/>
      <c r="CK29" s="763"/>
      <c r="CL29" s="763"/>
      <c r="CM29" s="763"/>
      <c r="CN29" s="763"/>
      <c r="CO29" s="763"/>
      <c r="CP29" s="763"/>
      <c r="CQ29" s="763"/>
      <c r="CR29" s="763"/>
      <c r="CS29" s="763"/>
      <c r="CT29" s="763"/>
      <c r="CU29" s="763"/>
      <c r="CV29" s="763"/>
      <c r="CW29" s="763"/>
      <c r="CX29" s="763"/>
      <c r="CY29" s="763"/>
      <c r="CZ29" s="763"/>
      <c r="DA29" s="763"/>
      <c r="DB29" s="763"/>
      <c r="DC29" s="763"/>
      <c r="DD29" s="763"/>
      <c r="DE29" s="763"/>
      <c r="DF29" s="763"/>
      <c r="DG29" s="763"/>
      <c r="DH29" s="763"/>
      <c r="DI29" s="763"/>
      <c r="DJ29" s="763"/>
      <c r="DK29" s="763"/>
      <c r="DL29" s="763"/>
      <c r="DM29" s="763"/>
      <c r="DN29" s="763"/>
      <c r="DO29" s="763"/>
      <c r="DP29" s="763"/>
      <c r="DQ29" s="763"/>
      <c r="DR29" s="763"/>
      <c r="DS29" s="763"/>
      <c r="DT29" s="763"/>
      <c r="DU29" s="763"/>
      <c r="DV29" s="763"/>
      <c r="DW29" s="763"/>
      <c r="DX29" s="763"/>
      <c r="DY29" s="763"/>
      <c r="DZ29" s="763"/>
      <c r="EA29" s="763"/>
      <c r="EB29" s="763"/>
      <c r="EC29" s="763"/>
      <c r="ED29" s="763"/>
    </row>
    <row r="30" spans="1:134" s="899" customFormat="1" ht="15.95" customHeight="1" thickBot="1" x14ac:dyDescent="0.25">
      <c r="A30" s="426"/>
      <c r="B30" s="1352" t="s">
        <v>1218</v>
      </c>
      <c r="C30" s="1353"/>
      <c r="D30" s="1354"/>
      <c r="E30" s="756"/>
      <c r="F30" s="756"/>
      <c r="G30" s="757" t="s">
        <v>1636</v>
      </c>
      <c r="H30" s="757"/>
      <c r="I30" s="716">
        <f>SUM(V10:V24)</f>
        <v>0</v>
      </c>
      <c r="J30" s="716">
        <f>Y10</f>
        <v>0</v>
      </c>
      <c r="K30" s="716">
        <f>Y14</f>
        <v>0</v>
      </c>
      <c r="L30" s="716">
        <f>Y17</f>
        <v>0</v>
      </c>
      <c r="M30" s="716">
        <f>AA10</f>
        <v>0</v>
      </c>
      <c r="N30" s="716">
        <f>AC14</f>
        <v>0</v>
      </c>
      <c r="O30" s="716">
        <f>AE10</f>
        <v>0</v>
      </c>
      <c r="P30" s="716">
        <f>P26</f>
        <v>0</v>
      </c>
      <c r="Q30" s="758">
        <f>SUM(I30:P30)</f>
        <v>0</v>
      </c>
      <c r="R30" s="1040"/>
      <c r="S30" s="1041"/>
      <c r="T30" s="1041"/>
      <c r="U30" s="1041"/>
      <c r="V30" s="1041"/>
      <c r="W30" s="1038"/>
      <c r="X30" s="1038"/>
      <c r="Y30" s="1038"/>
      <c r="Z30" s="1042"/>
      <c r="AA30" s="970"/>
      <c r="AC30" s="1038"/>
      <c r="AD30" s="1038"/>
      <c r="AE30" s="763"/>
      <c r="AF30" s="763"/>
      <c r="AG30" s="763"/>
      <c r="AH30" s="763"/>
      <c r="AI30" s="763"/>
      <c r="AJ30" s="763"/>
      <c r="AK30" s="763"/>
      <c r="AL30" s="763"/>
      <c r="AM30" s="763"/>
      <c r="AN30" s="763"/>
      <c r="AO30" s="763"/>
      <c r="AP30" s="763"/>
      <c r="AQ30" s="763"/>
      <c r="AR30" s="763"/>
      <c r="AS30" s="763"/>
      <c r="AT30" s="763"/>
      <c r="AU30" s="763"/>
      <c r="AV30" s="763"/>
      <c r="AW30" s="763"/>
      <c r="AX30" s="763"/>
      <c r="AY30" s="763"/>
      <c r="AZ30" s="763"/>
      <c r="BA30" s="763"/>
      <c r="BB30" s="763"/>
      <c r="BC30" s="763"/>
      <c r="BD30" s="763"/>
      <c r="BE30" s="763"/>
      <c r="BF30" s="763"/>
      <c r="BG30" s="763"/>
      <c r="BH30" s="763"/>
      <c r="BI30" s="763"/>
      <c r="BJ30" s="763"/>
      <c r="BK30" s="763"/>
      <c r="BL30" s="763"/>
      <c r="BM30" s="763"/>
      <c r="BN30" s="763"/>
      <c r="BO30" s="763"/>
      <c r="BP30" s="763"/>
      <c r="BQ30" s="763"/>
      <c r="BR30" s="763"/>
      <c r="BS30" s="763"/>
      <c r="BT30" s="763"/>
      <c r="BU30" s="763"/>
      <c r="BV30" s="763"/>
      <c r="BW30" s="763"/>
      <c r="BX30" s="763"/>
      <c r="BY30" s="763"/>
      <c r="BZ30" s="763"/>
      <c r="CA30" s="763"/>
      <c r="CB30" s="763"/>
      <c r="CC30" s="763"/>
      <c r="CD30" s="763"/>
      <c r="CE30" s="763"/>
      <c r="CF30" s="763"/>
      <c r="CG30" s="763"/>
      <c r="CH30" s="763"/>
      <c r="CI30" s="763"/>
      <c r="CJ30" s="763"/>
      <c r="CK30" s="763"/>
      <c r="CL30" s="763"/>
      <c r="CM30" s="763"/>
      <c r="CN30" s="763"/>
      <c r="CO30" s="763"/>
      <c r="CP30" s="763"/>
      <c r="CQ30" s="763"/>
      <c r="CR30" s="763"/>
      <c r="CS30" s="763"/>
      <c r="CT30" s="763"/>
      <c r="CU30" s="763"/>
      <c r="CV30" s="763"/>
      <c r="CW30" s="763"/>
      <c r="CX30" s="763"/>
      <c r="CY30" s="763"/>
      <c r="CZ30" s="763"/>
      <c r="DA30" s="763"/>
      <c r="DB30" s="763"/>
      <c r="DC30" s="763"/>
      <c r="DD30" s="763"/>
      <c r="DE30" s="763"/>
      <c r="DF30" s="763"/>
      <c r="DG30" s="763"/>
      <c r="DH30" s="763"/>
      <c r="DI30" s="763"/>
      <c r="DJ30" s="763"/>
      <c r="DK30" s="763"/>
      <c r="DL30" s="763"/>
      <c r="DM30" s="763"/>
      <c r="DN30" s="763"/>
      <c r="DO30" s="763"/>
      <c r="DP30" s="763"/>
      <c r="DQ30" s="763"/>
      <c r="DR30" s="763"/>
      <c r="DS30" s="763"/>
      <c r="DT30" s="763"/>
      <c r="DU30" s="763"/>
      <c r="DV30" s="763"/>
      <c r="DW30" s="763"/>
      <c r="DX30" s="763"/>
      <c r="DY30" s="763"/>
      <c r="DZ30" s="763"/>
      <c r="EA30" s="763"/>
      <c r="EB30" s="763"/>
      <c r="EC30" s="763"/>
      <c r="ED30" s="763"/>
    </row>
    <row r="31" spans="1:134" s="899" customFormat="1" ht="3.75" customHeight="1" x14ac:dyDescent="0.2">
      <c r="A31" s="426"/>
      <c r="B31" s="426"/>
      <c r="C31" s="426"/>
      <c r="D31" s="426"/>
      <c r="E31" s="426"/>
      <c r="F31" s="426"/>
      <c r="G31" s="759" t="s">
        <v>309</v>
      </c>
      <c r="H31" s="759"/>
      <c r="I31" s="426"/>
      <c r="J31" s="426"/>
      <c r="K31" s="760"/>
      <c r="L31" s="480"/>
      <c r="M31" s="480"/>
      <c r="N31" s="480"/>
      <c r="O31" s="480"/>
      <c r="P31" s="480"/>
      <c r="Q31" s="480"/>
      <c r="R31" s="763"/>
      <c r="S31" s="763"/>
      <c r="T31" s="763"/>
      <c r="U31" s="763"/>
      <c r="V31" s="1043"/>
      <c r="W31" s="763"/>
      <c r="X31" s="763"/>
      <c r="Y31" s="763"/>
      <c r="Z31" s="763"/>
      <c r="AA31" s="763"/>
      <c r="AB31" s="763"/>
      <c r="AC31" s="763"/>
      <c r="AD31" s="763"/>
      <c r="AE31" s="763"/>
      <c r="AF31" s="763"/>
      <c r="AG31" s="763"/>
      <c r="AH31" s="763"/>
      <c r="AI31" s="763"/>
      <c r="AJ31" s="763"/>
      <c r="AK31" s="763"/>
      <c r="AL31" s="763"/>
      <c r="AM31" s="763"/>
      <c r="AN31" s="763"/>
      <c r="AO31" s="763"/>
      <c r="AP31" s="763"/>
      <c r="AQ31" s="763"/>
      <c r="AR31" s="763"/>
      <c r="AS31" s="763"/>
      <c r="AT31" s="763"/>
      <c r="AU31" s="763"/>
      <c r="AV31" s="763"/>
      <c r="AW31" s="763"/>
      <c r="AX31" s="763"/>
      <c r="AY31" s="763"/>
      <c r="AZ31" s="763"/>
      <c r="BA31" s="763"/>
      <c r="BB31" s="763"/>
      <c r="BC31" s="763"/>
      <c r="BD31" s="763"/>
      <c r="BE31" s="763"/>
      <c r="BF31" s="763"/>
      <c r="BG31" s="763"/>
      <c r="BH31" s="763"/>
      <c r="BI31" s="763"/>
      <c r="BJ31" s="763"/>
      <c r="BK31" s="763"/>
      <c r="BL31" s="763"/>
      <c r="BM31" s="763"/>
      <c r="BN31" s="763"/>
      <c r="BO31" s="763"/>
      <c r="BP31" s="763"/>
      <c r="BQ31" s="763"/>
      <c r="BR31" s="763"/>
      <c r="BS31" s="763"/>
      <c r="BT31" s="763"/>
      <c r="BU31" s="763"/>
      <c r="BV31" s="763"/>
      <c r="BW31" s="763"/>
      <c r="BX31" s="763"/>
      <c r="BY31" s="763"/>
      <c r="BZ31" s="763"/>
      <c r="CA31" s="763"/>
      <c r="CB31" s="763"/>
      <c r="CC31" s="763"/>
      <c r="CD31" s="763"/>
      <c r="CE31" s="763"/>
      <c r="CF31" s="763"/>
      <c r="CG31" s="763"/>
      <c r="CH31" s="763"/>
      <c r="CI31" s="763"/>
      <c r="CJ31" s="763"/>
      <c r="CK31" s="763"/>
      <c r="CL31" s="763"/>
      <c r="CM31" s="763"/>
      <c r="CN31" s="763"/>
      <c r="CO31" s="763"/>
      <c r="CP31" s="763"/>
      <c r="CQ31" s="763"/>
      <c r="CR31" s="763"/>
      <c r="CS31" s="763"/>
      <c r="CT31" s="763"/>
      <c r="CU31" s="763"/>
      <c r="CV31" s="763"/>
      <c r="CW31" s="763"/>
      <c r="CX31" s="763"/>
      <c r="CY31" s="763"/>
      <c r="CZ31" s="763"/>
      <c r="DA31" s="763"/>
      <c r="DB31" s="763"/>
      <c r="DC31" s="763"/>
      <c r="DD31" s="763"/>
      <c r="DE31" s="763"/>
      <c r="DF31" s="763"/>
      <c r="DG31" s="763"/>
      <c r="DH31" s="763"/>
      <c r="DI31" s="763"/>
      <c r="DJ31" s="763"/>
      <c r="DK31" s="763"/>
      <c r="DL31" s="763"/>
      <c r="DM31" s="763"/>
      <c r="DN31" s="763"/>
      <c r="DO31" s="763"/>
      <c r="DP31" s="763"/>
      <c r="DQ31" s="763"/>
      <c r="DR31" s="763"/>
      <c r="DS31" s="763"/>
      <c r="DT31" s="763"/>
      <c r="DU31" s="763"/>
      <c r="DV31" s="763"/>
      <c r="DW31" s="763"/>
      <c r="DX31" s="763"/>
      <c r="DY31" s="763"/>
      <c r="DZ31" s="763"/>
      <c r="EA31" s="763"/>
    </row>
    <row r="32" spans="1:134" s="899" customFormat="1" ht="50.25" customHeight="1" x14ac:dyDescent="0.2">
      <c r="A32" s="533" t="s">
        <v>494</v>
      </c>
      <c r="B32" s="1276" t="s">
        <v>1219</v>
      </c>
      <c r="C32" s="1276"/>
      <c r="D32" s="1276"/>
      <c r="E32" s="1276"/>
      <c r="F32" s="1276"/>
      <c r="G32" s="1276"/>
      <c r="H32" s="761"/>
      <c r="I32" s="761"/>
      <c r="J32" s="771"/>
      <c r="K32" s="1355" t="s">
        <v>1220</v>
      </c>
      <c r="L32" s="1355"/>
      <c r="M32" s="1355"/>
      <c r="N32" s="1355"/>
      <c r="O32" s="549"/>
      <c r="P32" s="766"/>
      <c r="Q32" s="480"/>
      <c r="R32" s="763"/>
      <c r="S32" s="763"/>
      <c r="T32" s="763"/>
      <c r="U32" s="763"/>
      <c r="V32" s="763"/>
      <c r="W32" s="763"/>
      <c r="X32" s="763"/>
      <c r="Y32" s="763"/>
      <c r="Z32" s="763"/>
      <c r="AA32" s="763"/>
      <c r="AB32" s="763"/>
      <c r="AC32" s="763"/>
      <c r="AD32" s="763"/>
      <c r="AE32" s="763"/>
      <c r="AF32" s="763"/>
      <c r="AG32" s="763"/>
      <c r="AH32" s="763"/>
      <c r="AI32" s="763"/>
      <c r="AJ32" s="763"/>
      <c r="AK32" s="763"/>
      <c r="AL32" s="763"/>
      <c r="AM32" s="763"/>
      <c r="AN32" s="763"/>
      <c r="AO32" s="763"/>
      <c r="AP32" s="763"/>
      <c r="AQ32" s="763"/>
      <c r="AR32" s="763"/>
      <c r="AS32" s="763"/>
      <c r="AT32" s="763"/>
      <c r="AU32" s="763"/>
      <c r="AV32" s="763"/>
      <c r="AW32" s="763"/>
      <c r="AX32" s="763"/>
      <c r="AY32" s="763"/>
      <c r="AZ32" s="763"/>
      <c r="BA32" s="763"/>
      <c r="BB32" s="763"/>
      <c r="BC32" s="763"/>
      <c r="BD32" s="763"/>
      <c r="BE32" s="763"/>
      <c r="BF32" s="763"/>
      <c r="BG32" s="763"/>
      <c r="BH32" s="763"/>
      <c r="BI32" s="763"/>
      <c r="BJ32" s="763"/>
      <c r="BK32" s="763"/>
      <c r="BL32" s="763"/>
      <c r="BM32" s="763"/>
      <c r="BN32" s="763"/>
      <c r="BO32" s="763"/>
      <c r="BP32" s="763"/>
      <c r="BQ32" s="763"/>
      <c r="BR32" s="763"/>
      <c r="BS32" s="763"/>
      <c r="BT32" s="763"/>
      <c r="BU32" s="763"/>
      <c r="BV32" s="763"/>
      <c r="BW32" s="763"/>
      <c r="BX32" s="763"/>
      <c r="BY32" s="763"/>
      <c r="BZ32" s="763"/>
      <c r="CA32" s="763"/>
      <c r="CB32" s="763"/>
      <c r="CC32" s="763"/>
      <c r="CD32" s="763"/>
      <c r="CE32" s="763"/>
      <c r="CF32" s="763"/>
      <c r="CG32" s="763"/>
      <c r="CH32" s="763"/>
      <c r="CI32" s="763"/>
      <c r="CJ32" s="763"/>
      <c r="CK32" s="763"/>
      <c r="CL32" s="763"/>
      <c r="CM32" s="763"/>
      <c r="CN32" s="763"/>
      <c r="CO32" s="763"/>
      <c r="CP32" s="763"/>
      <c r="CQ32" s="763"/>
      <c r="CR32" s="763"/>
      <c r="CS32" s="763"/>
      <c r="CT32" s="763"/>
      <c r="CU32" s="763"/>
      <c r="CV32" s="763"/>
      <c r="CW32" s="763"/>
      <c r="CX32" s="763"/>
      <c r="CY32" s="763"/>
      <c r="CZ32" s="763"/>
      <c r="DA32" s="763"/>
      <c r="DB32" s="763"/>
      <c r="DC32" s="763"/>
      <c r="DD32" s="763"/>
      <c r="DE32" s="763"/>
      <c r="DF32" s="763"/>
      <c r="DG32" s="763"/>
      <c r="DH32" s="763"/>
      <c r="DI32" s="763"/>
      <c r="DJ32" s="763"/>
      <c r="DK32" s="763"/>
      <c r="DL32" s="763"/>
      <c r="DM32" s="763"/>
      <c r="DN32" s="763"/>
      <c r="DO32" s="763"/>
      <c r="DP32" s="763"/>
      <c r="DQ32" s="763"/>
      <c r="DR32" s="763"/>
      <c r="DS32" s="763"/>
      <c r="DT32" s="763"/>
      <c r="DU32" s="763"/>
      <c r="DV32" s="763"/>
      <c r="DW32" s="763"/>
      <c r="DX32" s="763"/>
      <c r="DY32" s="763"/>
      <c r="DZ32" s="763"/>
      <c r="EA32" s="763"/>
    </row>
    <row r="33" spans="1:131" s="899" customFormat="1" ht="36.75" customHeight="1" x14ac:dyDescent="0.2">
      <c r="A33" s="533" t="s">
        <v>496</v>
      </c>
      <c r="B33" s="1276" t="s">
        <v>1221</v>
      </c>
      <c r="C33" s="1276"/>
      <c r="D33" s="1276"/>
      <c r="E33" s="1276"/>
      <c r="F33" s="1276"/>
      <c r="G33" s="1276"/>
      <c r="H33" s="761"/>
      <c r="I33" s="761"/>
      <c r="J33" s="772"/>
      <c r="K33" s="1366" t="s">
        <v>1222</v>
      </c>
      <c r="L33" s="1366" t="s">
        <v>1223</v>
      </c>
      <c r="M33" s="1366" t="s">
        <v>1224</v>
      </c>
      <c r="N33" s="1366" t="s">
        <v>1225</v>
      </c>
      <c r="O33" s="480"/>
      <c r="P33" s="766"/>
      <c r="Q33" s="480"/>
      <c r="R33" s="763"/>
      <c r="S33" s="763"/>
      <c r="T33" s="763"/>
      <c r="U33" s="763"/>
      <c r="V33" s="763"/>
      <c r="W33" s="763"/>
      <c r="X33" s="763"/>
      <c r="Y33" s="763"/>
      <c r="Z33" s="763"/>
      <c r="AA33" s="763"/>
      <c r="AB33" s="763"/>
      <c r="AC33" s="763"/>
      <c r="AD33" s="763"/>
      <c r="AE33" s="763"/>
      <c r="AF33" s="763"/>
      <c r="AG33" s="763"/>
      <c r="AH33" s="763"/>
      <c r="AI33" s="763"/>
      <c r="AJ33" s="763"/>
      <c r="AK33" s="763"/>
      <c r="AL33" s="763"/>
      <c r="AM33" s="763"/>
      <c r="AN33" s="763"/>
      <c r="AO33" s="763"/>
      <c r="AP33" s="763"/>
      <c r="AQ33" s="763"/>
      <c r="AR33" s="763"/>
      <c r="AS33" s="763"/>
      <c r="AT33" s="763"/>
      <c r="AU33" s="763"/>
      <c r="AV33" s="763"/>
      <c r="AW33" s="763"/>
      <c r="AX33" s="763"/>
      <c r="AY33" s="763"/>
      <c r="AZ33" s="763"/>
      <c r="BA33" s="763"/>
      <c r="BB33" s="763"/>
      <c r="BC33" s="763"/>
      <c r="BD33" s="763"/>
      <c r="BE33" s="763"/>
      <c r="BF33" s="763"/>
      <c r="BG33" s="763"/>
      <c r="BH33" s="763"/>
      <c r="BI33" s="763"/>
      <c r="BJ33" s="763"/>
      <c r="BK33" s="763"/>
      <c r="BL33" s="763"/>
      <c r="BM33" s="763"/>
      <c r="BN33" s="763"/>
      <c r="BO33" s="763"/>
      <c r="BP33" s="763"/>
      <c r="BQ33" s="763"/>
      <c r="BR33" s="763"/>
      <c r="BS33" s="763"/>
      <c r="BT33" s="763"/>
      <c r="BU33" s="763"/>
      <c r="BV33" s="763"/>
      <c r="BW33" s="763"/>
      <c r="BX33" s="763"/>
      <c r="BY33" s="763"/>
      <c r="BZ33" s="763"/>
      <c r="CA33" s="763"/>
      <c r="CB33" s="763"/>
      <c r="CC33" s="763"/>
      <c r="CD33" s="763"/>
      <c r="CE33" s="763"/>
      <c r="CF33" s="763"/>
      <c r="CG33" s="763"/>
      <c r="CH33" s="763"/>
      <c r="CI33" s="763"/>
      <c r="CJ33" s="763"/>
      <c r="CK33" s="763"/>
      <c r="CL33" s="763"/>
      <c r="CM33" s="763"/>
      <c r="CN33" s="763"/>
      <c r="CO33" s="763"/>
      <c r="CP33" s="763"/>
      <c r="CQ33" s="763"/>
      <c r="CR33" s="763"/>
      <c r="CS33" s="763"/>
      <c r="CT33" s="763"/>
      <c r="CU33" s="763"/>
      <c r="CV33" s="763"/>
      <c r="CW33" s="763"/>
      <c r="CX33" s="763"/>
      <c r="CY33" s="763"/>
      <c r="CZ33" s="763"/>
      <c r="DA33" s="763"/>
      <c r="DB33" s="763"/>
      <c r="DC33" s="763"/>
      <c r="DD33" s="763"/>
      <c r="DE33" s="763"/>
      <c r="DF33" s="763"/>
      <c r="DG33" s="763"/>
      <c r="DH33" s="763"/>
      <c r="DI33" s="763"/>
      <c r="DJ33" s="763"/>
      <c r="DK33" s="763"/>
      <c r="DL33" s="763"/>
      <c r="DM33" s="763"/>
      <c r="DN33" s="763"/>
      <c r="DO33" s="763"/>
      <c r="DP33" s="763"/>
      <c r="DQ33" s="763"/>
      <c r="DR33" s="763"/>
      <c r="DS33" s="763"/>
      <c r="DT33" s="763"/>
      <c r="DU33" s="763"/>
      <c r="DV33" s="763"/>
      <c r="DW33" s="763"/>
      <c r="DX33" s="763"/>
      <c r="DY33" s="763"/>
      <c r="DZ33" s="763"/>
      <c r="EA33" s="763"/>
    </row>
    <row r="34" spans="1:131" s="899" customFormat="1" ht="25.5" customHeight="1" x14ac:dyDescent="0.2">
      <c r="A34" s="533" t="s">
        <v>498</v>
      </c>
      <c r="B34" s="1276" t="s">
        <v>346</v>
      </c>
      <c r="C34" s="1276"/>
      <c r="D34" s="1276"/>
      <c r="E34" s="1276"/>
      <c r="F34" s="1276"/>
      <c r="G34" s="1276"/>
      <c r="H34" s="761"/>
      <c r="I34" s="761"/>
      <c r="J34" s="772"/>
      <c r="K34" s="1367"/>
      <c r="L34" s="1367"/>
      <c r="M34" s="1367"/>
      <c r="N34" s="1367"/>
      <c r="O34" s="480"/>
      <c r="P34" s="766"/>
      <c r="Q34" s="480"/>
      <c r="R34" s="763"/>
      <c r="S34" s="763"/>
      <c r="T34" s="763"/>
      <c r="U34" s="763"/>
      <c r="V34" s="763"/>
      <c r="W34" s="763"/>
      <c r="X34" s="763"/>
      <c r="Y34" s="763"/>
      <c r="Z34" s="763"/>
      <c r="AA34" s="763"/>
      <c r="AB34" s="763"/>
      <c r="AC34" s="763"/>
      <c r="AD34" s="763"/>
      <c r="AE34" s="763"/>
      <c r="AF34" s="763"/>
      <c r="AG34" s="763"/>
      <c r="AH34" s="763"/>
      <c r="AI34" s="763"/>
      <c r="AJ34" s="763"/>
      <c r="AK34" s="763"/>
      <c r="AL34" s="763"/>
      <c r="AM34" s="763"/>
      <c r="AN34" s="763"/>
      <c r="AO34" s="763"/>
      <c r="AP34" s="763"/>
      <c r="AQ34" s="763"/>
      <c r="AR34" s="763"/>
      <c r="AS34" s="763"/>
      <c r="AT34" s="763"/>
      <c r="AU34" s="763"/>
      <c r="AV34" s="763"/>
      <c r="AW34" s="763"/>
      <c r="AX34" s="763"/>
      <c r="AY34" s="763"/>
      <c r="AZ34" s="763"/>
      <c r="BA34" s="763"/>
      <c r="BB34" s="763"/>
      <c r="BC34" s="763"/>
      <c r="BD34" s="763"/>
      <c r="BE34" s="763"/>
      <c r="BF34" s="763"/>
      <c r="BG34" s="763"/>
      <c r="BH34" s="763"/>
      <c r="BI34" s="763"/>
      <c r="BJ34" s="763"/>
      <c r="BK34" s="763"/>
      <c r="BL34" s="763"/>
      <c r="BM34" s="763"/>
      <c r="BN34" s="763"/>
      <c r="BO34" s="763"/>
      <c r="BP34" s="763"/>
      <c r="BQ34" s="763"/>
      <c r="BR34" s="763"/>
      <c r="BS34" s="763"/>
      <c r="BT34" s="763"/>
      <c r="BU34" s="763"/>
      <c r="BV34" s="763"/>
      <c r="BW34" s="763"/>
      <c r="BX34" s="763"/>
      <c r="BY34" s="763"/>
      <c r="BZ34" s="763"/>
      <c r="CA34" s="763"/>
      <c r="CB34" s="763"/>
      <c r="CC34" s="763"/>
      <c r="CD34" s="763"/>
      <c r="CE34" s="763"/>
      <c r="CF34" s="763"/>
      <c r="CG34" s="763"/>
      <c r="CH34" s="763"/>
      <c r="CI34" s="763"/>
      <c r="CJ34" s="763"/>
      <c r="CK34" s="763"/>
      <c r="CL34" s="763"/>
      <c r="CM34" s="763"/>
      <c r="CN34" s="763"/>
      <c r="CO34" s="763"/>
      <c r="CP34" s="763"/>
      <c r="CQ34" s="763"/>
      <c r="CR34" s="763"/>
      <c r="CS34" s="763"/>
      <c r="CT34" s="763"/>
      <c r="CU34" s="763"/>
      <c r="CV34" s="763"/>
      <c r="CW34" s="763"/>
      <c r="CX34" s="763"/>
      <c r="CY34" s="763"/>
      <c r="CZ34" s="763"/>
      <c r="DA34" s="763"/>
      <c r="DB34" s="763"/>
      <c r="DC34" s="763"/>
      <c r="DD34" s="763"/>
      <c r="DE34" s="763"/>
      <c r="DF34" s="763"/>
      <c r="DG34" s="763"/>
      <c r="DH34" s="763"/>
      <c r="DI34" s="763"/>
      <c r="DJ34" s="763"/>
      <c r="DK34" s="763"/>
      <c r="DL34" s="763"/>
      <c r="DM34" s="763"/>
      <c r="DN34" s="763"/>
      <c r="DO34" s="763"/>
      <c r="DP34" s="763"/>
      <c r="DQ34" s="763"/>
      <c r="DR34" s="763"/>
      <c r="DS34" s="763"/>
      <c r="DT34" s="763"/>
      <c r="DU34" s="763"/>
      <c r="DV34" s="763"/>
      <c r="DW34" s="763"/>
      <c r="DX34" s="763"/>
      <c r="DY34" s="763"/>
      <c r="DZ34" s="763"/>
      <c r="EA34" s="763"/>
    </row>
    <row r="35" spans="1:131" s="899" customFormat="1" ht="13.5" customHeight="1" x14ac:dyDescent="0.2">
      <c r="A35" s="533" t="s">
        <v>500</v>
      </c>
      <c r="B35" s="1368" t="s">
        <v>347</v>
      </c>
      <c r="C35" s="1368"/>
      <c r="D35" s="1368"/>
      <c r="E35" s="1368"/>
      <c r="F35" s="1368"/>
      <c r="G35" s="1368"/>
      <c r="H35" s="764"/>
      <c r="I35" s="764"/>
      <c r="J35" s="773"/>
      <c r="K35" s="753">
        <v>1</v>
      </c>
      <c r="L35" s="765">
        <v>0.4</v>
      </c>
      <c r="M35" s="1369" t="s">
        <v>348</v>
      </c>
      <c r="N35" s="1369">
        <v>1</v>
      </c>
      <c r="O35" s="480"/>
      <c r="P35" s="766"/>
      <c r="Q35" s="480"/>
      <c r="R35" s="763"/>
      <c r="S35" s="763"/>
      <c r="T35" s="763"/>
      <c r="U35" s="763"/>
      <c r="V35" s="763"/>
      <c r="W35" s="763"/>
      <c r="X35" s="763"/>
      <c r="Y35" s="763"/>
      <c r="Z35" s="763"/>
      <c r="AA35" s="763"/>
      <c r="AB35" s="763"/>
      <c r="AC35" s="763"/>
      <c r="AD35" s="763"/>
      <c r="AE35" s="763"/>
      <c r="AF35" s="763"/>
      <c r="AG35" s="763"/>
      <c r="AH35" s="763"/>
      <c r="AI35" s="763"/>
      <c r="AJ35" s="763"/>
      <c r="AK35" s="763"/>
      <c r="AL35" s="763"/>
      <c r="AM35" s="763"/>
      <c r="AN35" s="763"/>
      <c r="AO35" s="763"/>
      <c r="AP35" s="763"/>
      <c r="AQ35" s="763"/>
      <c r="AR35" s="763"/>
      <c r="AS35" s="763"/>
      <c r="AT35" s="763"/>
      <c r="AU35" s="763"/>
      <c r="AV35" s="763"/>
      <c r="AW35" s="763"/>
      <c r="AX35" s="763"/>
      <c r="AY35" s="763"/>
      <c r="AZ35" s="763"/>
      <c r="BA35" s="763"/>
      <c r="BB35" s="763"/>
      <c r="BC35" s="763"/>
      <c r="BD35" s="763"/>
      <c r="BE35" s="763"/>
      <c r="BF35" s="763"/>
      <c r="BG35" s="763"/>
      <c r="BH35" s="763"/>
      <c r="BI35" s="763"/>
      <c r="BJ35" s="763"/>
      <c r="BK35" s="763"/>
      <c r="BL35" s="763"/>
      <c r="BM35" s="763"/>
      <c r="BN35" s="763"/>
      <c r="BO35" s="763"/>
      <c r="BP35" s="763"/>
      <c r="BQ35" s="763"/>
      <c r="BR35" s="763"/>
      <c r="BS35" s="763"/>
      <c r="BT35" s="763"/>
      <c r="BU35" s="763"/>
      <c r="BV35" s="763"/>
      <c r="BW35" s="763"/>
      <c r="BX35" s="763"/>
      <c r="BY35" s="763"/>
      <c r="BZ35" s="763"/>
      <c r="CA35" s="763"/>
      <c r="CB35" s="763"/>
      <c r="CC35" s="763"/>
      <c r="CD35" s="763"/>
      <c r="CE35" s="763"/>
      <c r="CF35" s="763"/>
      <c r="CG35" s="763"/>
      <c r="CH35" s="763"/>
      <c r="CI35" s="763"/>
      <c r="CJ35" s="763"/>
      <c r="CK35" s="763"/>
      <c r="CL35" s="763"/>
      <c r="CM35" s="763"/>
      <c r="CN35" s="763"/>
      <c r="CO35" s="763"/>
      <c r="CP35" s="763"/>
      <c r="CQ35" s="763"/>
      <c r="CR35" s="763"/>
      <c r="CS35" s="763"/>
      <c r="CT35" s="763"/>
      <c r="CU35" s="763"/>
      <c r="CV35" s="763"/>
      <c r="CW35" s="763"/>
      <c r="CX35" s="763"/>
      <c r="CY35" s="763"/>
      <c r="CZ35" s="763"/>
      <c r="DA35" s="763"/>
      <c r="DB35" s="763"/>
      <c r="DC35" s="763"/>
      <c r="DD35" s="763"/>
      <c r="DE35" s="763"/>
      <c r="DF35" s="763"/>
      <c r="DG35" s="763"/>
      <c r="DH35" s="763"/>
      <c r="DI35" s="763"/>
      <c r="DJ35" s="763"/>
      <c r="DK35" s="763"/>
      <c r="DL35" s="763"/>
      <c r="DM35" s="763"/>
      <c r="DN35" s="763"/>
      <c r="DO35" s="763"/>
      <c r="DP35" s="763"/>
      <c r="DQ35" s="763"/>
      <c r="DR35" s="763"/>
      <c r="DS35" s="763"/>
      <c r="DT35" s="763"/>
      <c r="DU35" s="763"/>
      <c r="DV35" s="763"/>
      <c r="DW35" s="763"/>
      <c r="DX35" s="763"/>
      <c r="DY35" s="763"/>
      <c r="DZ35" s="763"/>
      <c r="EA35" s="763"/>
    </row>
    <row r="36" spans="1:131" s="899" customFormat="1" ht="12" customHeight="1" x14ac:dyDescent="0.2">
      <c r="A36" s="426"/>
      <c r="B36" s="426"/>
      <c r="C36" s="426"/>
      <c r="D36" s="426"/>
      <c r="E36" s="426"/>
      <c r="F36" s="426"/>
      <c r="G36" s="426"/>
      <c r="H36" s="426"/>
      <c r="I36" s="426"/>
      <c r="J36" s="480"/>
      <c r="K36" s="753">
        <v>2</v>
      </c>
      <c r="L36" s="765">
        <v>0.3</v>
      </c>
      <c r="M36" s="1370"/>
      <c r="N36" s="1370"/>
      <c r="O36" s="480"/>
      <c r="P36" s="766"/>
      <c r="Q36" s="480"/>
      <c r="R36" s="763"/>
      <c r="S36" s="763"/>
      <c r="T36" s="763"/>
      <c r="U36" s="763"/>
      <c r="V36" s="763"/>
      <c r="W36" s="763"/>
      <c r="X36" s="763"/>
      <c r="Y36" s="763"/>
      <c r="Z36" s="763"/>
      <c r="AA36" s="763"/>
      <c r="AB36" s="763"/>
      <c r="AC36" s="763"/>
      <c r="AD36" s="763"/>
      <c r="AE36" s="763"/>
      <c r="AF36" s="763"/>
      <c r="AG36" s="763"/>
      <c r="AH36" s="763"/>
      <c r="AI36" s="763"/>
      <c r="AJ36" s="763"/>
      <c r="AK36" s="763"/>
      <c r="AL36" s="763"/>
      <c r="AM36" s="763"/>
      <c r="AN36" s="763"/>
      <c r="AO36" s="763"/>
      <c r="AP36" s="763"/>
      <c r="AQ36" s="763"/>
      <c r="AR36" s="763"/>
      <c r="AS36" s="763"/>
      <c r="AT36" s="763"/>
      <c r="AU36" s="763"/>
      <c r="AV36" s="763"/>
      <c r="AW36" s="763"/>
      <c r="AX36" s="763"/>
      <c r="AY36" s="763"/>
      <c r="AZ36" s="763"/>
      <c r="BA36" s="763"/>
      <c r="BB36" s="763"/>
      <c r="BC36" s="763"/>
      <c r="BD36" s="763"/>
      <c r="BE36" s="763"/>
      <c r="BF36" s="763"/>
      <c r="BG36" s="763"/>
      <c r="BH36" s="763"/>
      <c r="BI36" s="763"/>
      <c r="BJ36" s="763"/>
      <c r="BK36" s="763"/>
      <c r="BL36" s="763"/>
      <c r="BM36" s="763"/>
      <c r="BN36" s="763"/>
      <c r="BO36" s="763"/>
      <c r="BP36" s="763"/>
      <c r="BQ36" s="763"/>
      <c r="BR36" s="763"/>
      <c r="BS36" s="763"/>
      <c r="BT36" s="763"/>
      <c r="BU36" s="763"/>
      <c r="BV36" s="763"/>
      <c r="BW36" s="763"/>
      <c r="BX36" s="763"/>
      <c r="BY36" s="763"/>
      <c r="BZ36" s="763"/>
      <c r="CA36" s="763"/>
      <c r="CB36" s="763"/>
      <c r="CC36" s="763"/>
      <c r="CD36" s="763"/>
      <c r="CE36" s="763"/>
      <c r="CF36" s="763"/>
      <c r="CG36" s="763"/>
      <c r="CH36" s="763"/>
      <c r="CI36" s="763"/>
      <c r="CJ36" s="763"/>
      <c r="CK36" s="763"/>
      <c r="CL36" s="763"/>
      <c r="CM36" s="763"/>
      <c r="CN36" s="763"/>
      <c r="CO36" s="763"/>
      <c r="CP36" s="763"/>
      <c r="CQ36" s="763"/>
      <c r="CR36" s="763"/>
      <c r="CS36" s="763"/>
      <c r="CT36" s="763"/>
      <c r="CU36" s="763"/>
      <c r="CV36" s="763"/>
      <c r="CW36" s="763"/>
      <c r="CX36" s="763"/>
      <c r="CY36" s="763"/>
      <c r="CZ36" s="763"/>
      <c r="DA36" s="763"/>
      <c r="DB36" s="763"/>
      <c r="DC36" s="763"/>
      <c r="DD36" s="763"/>
      <c r="DE36" s="763"/>
      <c r="DF36" s="763"/>
      <c r="DG36" s="763"/>
      <c r="DH36" s="763"/>
      <c r="DI36" s="763"/>
      <c r="DJ36" s="763"/>
      <c r="DK36" s="763"/>
      <c r="DL36" s="763"/>
      <c r="DM36" s="763"/>
      <c r="DN36" s="763"/>
      <c r="DO36" s="763"/>
      <c r="DP36" s="763"/>
      <c r="DQ36" s="763"/>
      <c r="DR36" s="763"/>
      <c r="DS36" s="763"/>
      <c r="DT36" s="763"/>
      <c r="DU36" s="763"/>
      <c r="DV36" s="763"/>
      <c r="DW36" s="763"/>
      <c r="DX36" s="763"/>
      <c r="DY36" s="763"/>
      <c r="DZ36" s="763"/>
      <c r="EA36" s="763"/>
    </row>
    <row r="37" spans="1:131" s="899" customFormat="1" ht="12" customHeight="1" x14ac:dyDescent="0.2">
      <c r="A37" s="426"/>
      <c r="B37" s="426"/>
      <c r="C37" s="426"/>
      <c r="D37" s="426"/>
      <c r="E37" s="426"/>
      <c r="F37" s="426"/>
      <c r="G37" s="426"/>
      <c r="H37" s="426"/>
      <c r="I37" s="426"/>
      <c r="J37" s="480"/>
      <c r="K37" s="753">
        <v>3</v>
      </c>
      <c r="L37" s="765">
        <v>0.3</v>
      </c>
      <c r="M37" s="1371"/>
      <c r="N37" s="1371"/>
      <c r="O37" s="480"/>
      <c r="P37" s="766"/>
      <c r="Q37" s="480"/>
      <c r="R37" s="763"/>
      <c r="S37" s="763"/>
      <c r="T37" s="763"/>
      <c r="U37" s="763"/>
      <c r="V37" s="763"/>
      <c r="W37" s="763"/>
      <c r="X37" s="763"/>
      <c r="Y37" s="763"/>
      <c r="Z37" s="763"/>
      <c r="AA37" s="763"/>
      <c r="AB37" s="763"/>
      <c r="AC37" s="763"/>
      <c r="AD37" s="763"/>
      <c r="AE37" s="763"/>
      <c r="AF37" s="763"/>
      <c r="AG37" s="763"/>
      <c r="AH37" s="763"/>
      <c r="AI37" s="763"/>
      <c r="AJ37" s="763"/>
      <c r="AK37" s="763"/>
      <c r="AL37" s="763"/>
      <c r="AM37" s="763"/>
      <c r="AN37" s="763"/>
      <c r="AO37" s="763"/>
      <c r="AP37" s="763"/>
      <c r="AQ37" s="763"/>
      <c r="AR37" s="763"/>
      <c r="AS37" s="763"/>
      <c r="AT37" s="763"/>
      <c r="AU37" s="763"/>
      <c r="AV37" s="763"/>
      <c r="AW37" s="763"/>
      <c r="AX37" s="763"/>
      <c r="AY37" s="763"/>
      <c r="AZ37" s="763"/>
      <c r="BA37" s="763"/>
      <c r="BB37" s="763"/>
      <c r="BC37" s="763"/>
      <c r="BD37" s="763"/>
      <c r="BE37" s="763"/>
      <c r="BF37" s="763"/>
      <c r="BG37" s="763"/>
      <c r="BH37" s="763"/>
      <c r="BI37" s="763"/>
      <c r="BJ37" s="763"/>
      <c r="BK37" s="763"/>
      <c r="BL37" s="763"/>
      <c r="BM37" s="763"/>
      <c r="BN37" s="763"/>
      <c r="BO37" s="763"/>
      <c r="BP37" s="763"/>
      <c r="BQ37" s="763"/>
      <c r="BR37" s="763"/>
      <c r="BS37" s="763"/>
      <c r="BT37" s="763"/>
      <c r="BU37" s="763"/>
      <c r="BV37" s="763"/>
      <c r="BW37" s="763"/>
      <c r="BX37" s="763"/>
      <c r="BY37" s="763"/>
      <c r="BZ37" s="763"/>
      <c r="CA37" s="763"/>
      <c r="CB37" s="763"/>
      <c r="CC37" s="763"/>
      <c r="CD37" s="763"/>
      <c r="CE37" s="763"/>
      <c r="CF37" s="763"/>
      <c r="CG37" s="763"/>
      <c r="CH37" s="763"/>
      <c r="CI37" s="763"/>
      <c r="CJ37" s="763"/>
      <c r="CK37" s="763"/>
      <c r="CL37" s="763"/>
      <c r="CM37" s="763"/>
      <c r="CN37" s="763"/>
      <c r="CO37" s="763"/>
      <c r="CP37" s="763"/>
      <c r="CQ37" s="763"/>
      <c r="CR37" s="763"/>
      <c r="CS37" s="763"/>
      <c r="CT37" s="763"/>
      <c r="CU37" s="763"/>
      <c r="CV37" s="763"/>
      <c r="CW37" s="763"/>
      <c r="CX37" s="763"/>
      <c r="CY37" s="763"/>
      <c r="CZ37" s="763"/>
      <c r="DA37" s="763"/>
      <c r="DB37" s="763"/>
      <c r="DC37" s="763"/>
      <c r="DD37" s="763"/>
      <c r="DE37" s="763"/>
      <c r="DF37" s="763"/>
      <c r="DG37" s="763"/>
      <c r="DH37" s="763"/>
      <c r="DI37" s="763"/>
      <c r="DJ37" s="763"/>
      <c r="DK37" s="763"/>
      <c r="DL37" s="763"/>
      <c r="DM37" s="763"/>
      <c r="DN37" s="763"/>
      <c r="DO37" s="763"/>
      <c r="DP37" s="763"/>
      <c r="DQ37" s="763"/>
      <c r="DR37" s="763"/>
      <c r="DS37" s="763"/>
      <c r="DT37" s="763"/>
      <c r="DU37" s="763"/>
      <c r="DV37" s="763"/>
      <c r="DW37" s="763"/>
      <c r="DX37" s="763"/>
      <c r="DY37" s="763"/>
      <c r="DZ37" s="763"/>
      <c r="EA37" s="763"/>
    </row>
    <row r="38" spans="1:131" x14ac:dyDescent="0.2">
      <c r="A38" s="899"/>
      <c r="B38" s="899"/>
      <c r="C38" s="899"/>
      <c r="D38" s="899"/>
      <c r="E38" s="899"/>
      <c r="F38" s="899"/>
      <c r="G38" s="899"/>
      <c r="H38" s="899"/>
      <c r="I38" s="899"/>
      <c r="J38" s="763"/>
      <c r="K38" s="899"/>
      <c r="L38" s="899"/>
      <c r="M38" s="899"/>
      <c r="N38" s="899"/>
      <c r="O38" s="763"/>
      <c r="P38" s="762"/>
      <c r="Q38" s="763"/>
      <c r="R38" s="763"/>
      <c r="S38" s="763"/>
      <c r="T38" s="763"/>
      <c r="U38" s="763"/>
      <c r="V38" s="763"/>
      <c r="W38" s="763"/>
      <c r="X38" s="763"/>
      <c r="Y38" s="763"/>
      <c r="Z38" s="763"/>
      <c r="AA38" s="763"/>
      <c r="AB38" s="763"/>
      <c r="AC38" s="763"/>
      <c r="AD38" s="763"/>
      <c r="AE38" s="763"/>
      <c r="AF38" s="763"/>
    </row>
    <row r="39" spans="1:131" x14ac:dyDescent="0.2">
      <c r="A39" s="899"/>
      <c r="B39" s="899"/>
      <c r="C39" s="899"/>
      <c r="D39" s="899"/>
      <c r="E39" s="899"/>
      <c r="F39" s="899"/>
      <c r="G39" s="899"/>
      <c r="H39" s="899"/>
      <c r="I39" s="899"/>
      <c r="J39" s="763"/>
      <c r="K39" s="763"/>
      <c r="L39" s="763"/>
      <c r="M39" s="763"/>
      <c r="N39" s="763"/>
      <c r="O39" s="763"/>
      <c r="P39" s="762"/>
      <c r="Q39" s="763"/>
      <c r="R39" s="763"/>
      <c r="S39" s="763"/>
      <c r="T39" s="763"/>
      <c r="U39" s="763"/>
      <c r="V39" s="763"/>
      <c r="W39" s="763"/>
      <c r="X39" s="763"/>
      <c r="Y39" s="763"/>
      <c r="Z39" s="763"/>
      <c r="AA39" s="763"/>
      <c r="AB39" s="763"/>
      <c r="AC39" s="763"/>
      <c r="AD39" s="763"/>
      <c r="AE39" s="763"/>
      <c r="AF39" s="763"/>
    </row>
    <row r="40" spans="1:131" x14ac:dyDescent="0.2">
      <c r="A40" s="899"/>
      <c r="B40" s="899"/>
      <c r="C40" s="899"/>
      <c r="D40" s="899"/>
      <c r="E40" s="899"/>
      <c r="F40" s="899"/>
      <c r="G40" s="899"/>
      <c r="H40" s="899"/>
      <c r="I40" s="899"/>
      <c r="J40" s="763"/>
      <c r="K40" s="763"/>
      <c r="L40" s="763"/>
      <c r="M40" s="763"/>
      <c r="N40" s="763"/>
      <c r="O40" s="763"/>
      <c r="P40" s="762"/>
      <c r="Q40" s="763"/>
      <c r="R40" s="763"/>
      <c r="S40" s="763"/>
      <c r="T40" s="763"/>
      <c r="U40" s="763"/>
      <c r="V40" s="763"/>
      <c r="W40" s="763"/>
      <c r="X40" s="763"/>
      <c r="Y40" s="763"/>
      <c r="Z40" s="763"/>
      <c r="AA40" s="763"/>
      <c r="AB40" s="763"/>
      <c r="AC40" s="763"/>
      <c r="AD40" s="763"/>
      <c r="AE40" s="763"/>
      <c r="AF40" s="763"/>
    </row>
    <row r="41" spans="1:131" x14ac:dyDescent="0.2">
      <c r="A41" s="899"/>
      <c r="B41" s="899"/>
      <c r="C41" s="899"/>
      <c r="D41" s="899"/>
      <c r="E41" s="899"/>
      <c r="F41" s="899"/>
      <c r="G41" s="899"/>
      <c r="H41" s="899"/>
      <c r="I41" s="899"/>
      <c r="J41" s="763"/>
      <c r="K41" s="763"/>
      <c r="L41" s="763"/>
      <c r="M41" s="763"/>
      <c r="N41" s="763"/>
      <c r="O41" s="763"/>
      <c r="P41" s="762"/>
      <c r="Q41" s="763"/>
      <c r="R41" s="763"/>
      <c r="S41" s="763"/>
      <c r="T41" s="763"/>
      <c r="U41" s="763"/>
      <c r="V41" s="763"/>
      <c r="W41" s="763"/>
      <c r="X41" s="763"/>
      <c r="Y41" s="763"/>
      <c r="Z41" s="763"/>
      <c r="AA41" s="763"/>
      <c r="AB41" s="763"/>
      <c r="AC41" s="763"/>
      <c r="AD41" s="763"/>
      <c r="AE41" s="763"/>
      <c r="AF41" s="763"/>
    </row>
    <row r="42" spans="1:131" x14ac:dyDescent="0.2">
      <c r="A42" s="899"/>
      <c r="B42" s="899"/>
      <c r="C42" s="899"/>
      <c r="D42" s="899"/>
      <c r="E42" s="899"/>
      <c r="F42" s="899"/>
      <c r="G42" s="899"/>
      <c r="H42" s="899"/>
      <c r="I42" s="899"/>
      <c r="J42" s="763"/>
      <c r="K42" s="763"/>
      <c r="L42" s="763"/>
      <c r="M42" s="763"/>
      <c r="N42" s="763"/>
      <c r="O42" s="763"/>
      <c r="P42" s="762"/>
      <c r="Q42" s="763"/>
      <c r="R42" s="763"/>
      <c r="S42" s="763"/>
      <c r="T42" s="763"/>
      <c r="U42" s="763"/>
      <c r="V42" s="763"/>
      <c r="W42" s="763"/>
      <c r="X42" s="763"/>
      <c r="Y42" s="763"/>
      <c r="Z42" s="763"/>
      <c r="AA42" s="763"/>
      <c r="AB42" s="763"/>
      <c r="AC42" s="763"/>
      <c r="AD42" s="763"/>
      <c r="AE42" s="763"/>
      <c r="AF42" s="763"/>
    </row>
  </sheetData>
  <sheetProtection password="C86F" sheet="1" objects="1" scenarios="1"/>
  <mergeCells count="79">
    <mergeCell ref="N33:N34"/>
    <mergeCell ref="B34:G34"/>
    <mergeCell ref="B35:G35"/>
    <mergeCell ref="M35:M37"/>
    <mergeCell ref="N35:N37"/>
    <mergeCell ref="B33:G33"/>
    <mergeCell ref="K33:K34"/>
    <mergeCell ref="L33:L34"/>
    <mergeCell ref="M33:M34"/>
    <mergeCell ref="B30:D30"/>
    <mergeCell ref="B32:G32"/>
    <mergeCell ref="K32:N32"/>
    <mergeCell ref="B28:D29"/>
    <mergeCell ref="I28:I29"/>
    <mergeCell ref="J28:L28"/>
    <mergeCell ref="M28:O28"/>
    <mergeCell ref="B17:B24"/>
    <mergeCell ref="D17:E17"/>
    <mergeCell ref="P28:P29"/>
    <mergeCell ref="Q28:Q29"/>
    <mergeCell ref="D24:E24"/>
    <mergeCell ref="C25:E25"/>
    <mergeCell ref="C26:D26"/>
    <mergeCell ref="P26:Q26"/>
    <mergeCell ref="Y17:Y24"/>
    <mergeCell ref="Z17:Z24"/>
    <mergeCell ref="D18:E18"/>
    <mergeCell ref="D19:E19"/>
    <mergeCell ref="D20:E20"/>
    <mergeCell ref="D21:E21"/>
    <mergeCell ref="D22:E22"/>
    <mergeCell ref="D23:E23"/>
    <mergeCell ref="AA10:AA16"/>
    <mergeCell ref="AB10:AB13"/>
    <mergeCell ref="AC10:AC13"/>
    <mergeCell ref="AD10:AD13"/>
    <mergeCell ref="D15:E15"/>
    <mergeCell ref="D16:E16"/>
    <mergeCell ref="AE10:AE24"/>
    <mergeCell ref="D11:E11"/>
    <mergeCell ref="D12:E12"/>
    <mergeCell ref="D13:E13"/>
    <mergeCell ref="AB14:AB16"/>
    <mergeCell ref="AC14:AC24"/>
    <mergeCell ref="AD14:AD16"/>
    <mergeCell ref="AA17:AA24"/>
    <mergeCell ref="AB17:AB24"/>
    <mergeCell ref="AD17:AD24"/>
    <mergeCell ref="B10:B13"/>
    <mergeCell ref="D10:E10"/>
    <mergeCell ref="Y10:Y13"/>
    <mergeCell ref="Z10:Z13"/>
    <mergeCell ref="B14:B16"/>
    <mergeCell ref="D14:E14"/>
    <mergeCell ref="Y14:Y16"/>
    <mergeCell ref="Z14:Z16"/>
    <mergeCell ref="M2:O2"/>
    <mergeCell ref="O7:O9"/>
    <mergeCell ref="AD7:AD9"/>
    <mergeCell ref="AE7:AE9"/>
    <mergeCell ref="M8:N8"/>
    <mergeCell ref="Z7:Z9"/>
    <mergeCell ref="AA7:AA9"/>
    <mergeCell ref="AB7:AB9"/>
    <mergeCell ref="H7:H9"/>
    <mergeCell ref="I7:N7"/>
    <mergeCell ref="AC7:AC9"/>
    <mergeCell ref="P7:Q8"/>
    <mergeCell ref="V7:V9"/>
    <mergeCell ref="W7:X8"/>
    <mergeCell ref="Y7:Y9"/>
    <mergeCell ref="I8:J8"/>
    <mergeCell ref="K8:L8"/>
    <mergeCell ref="C4:D4"/>
    <mergeCell ref="B7:B9"/>
    <mergeCell ref="C7:E7"/>
    <mergeCell ref="G7:G9"/>
    <mergeCell ref="C8:C9"/>
    <mergeCell ref="D8:E9"/>
  </mergeCells>
  <phoneticPr fontId="36" type="noConversion"/>
  <dataValidations count="1">
    <dataValidation type="decimal" operator="greaterThanOrEqual" allowBlank="1" showInputMessage="1" showErrorMessage="1" sqref="I10:L24">
      <formula1>0</formula1>
    </dataValidation>
  </dataValidations>
  <pageMargins left="0.25" right="0.25" top="1" bottom="1" header="0.5" footer="0.5"/>
  <pageSetup paperSize="9" scale="73" orientation="landscape" r:id="rId1"/>
  <headerFooter alignWithMargins="0">
    <oddHeader>&amp;C&amp;"Arial,Bold"&amp;8 NEW RURAL BANK OF SAN LEONARDO, INC  [ 04-040656 ]
 As of: September 30, 2017</oddHeader>
  </headerFooter>
  <colBreaks count="1" manualBreakCount="1">
    <brk id="15" max="1048575" man="1"/>
  </colBreak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ED42"/>
  <sheetViews>
    <sheetView view="pageBreakPreview" zoomScale="60" zoomScaleNormal="100" workbookViewId="0">
      <selection activeCell="B1" sqref="B1"/>
    </sheetView>
  </sheetViews>
  <sheetFormatPr defaultRowHeight="12.75" x14ac:dyDescent="0.2"/>
  <cols>
    <col min="1" max="1" width="2" style="889" customWidth="1"/>
    <col min="2" max="2" width="6.7109375" style="889" customWidth="1"/>
    <col min="3" max="3" width="21.28515625" style="889" customWidth="1"/>
    <col min="4" max="4" width="17.85546875" style="889" customWidth="1"/>
    <col min="5" max="5" width="5" style="889" customWidth="1"/>
    <col min="6" max="6" width="12.42578125" style="889" hidden="1" customWidth="1"/>
    <col min="7" max="7" width="16.7109375" style="889" bestFit="1" customWidth="1"/>
    <col min="8" max="8" width="19.42578125" style="889" hidden="1" customWidth="1"/>
    <col min="9" max="9" width="15.85546875" style="889" customWidth="1"/>
    <col min="10" max="15" width="15.85546875" style="891" customWidth="1"/>
    <col min="16" max="16" width="15.85546875" style="1012" customWidth="1"/>
    <col min="17" max="17" width="15.85546875" style="891" customWidth="1"/>
    <col min="18" max="18" width="8" style="891" customWidth="1"/>
    <col min="19" max="21" width="10.140625" style="891" customWidth="1"/>
    <col min="22" max="25" width="10.140625" style="891" hidden="1" customWidth="1"/>
    <col min="26" max="31" width="9.140625" style="891" hidden="1" customWidth="1"/>
    <col min="32" max="32" width="8" style="891" customWidth="1"/>
  </cols>
  <sheetData>
    <row r="1" spans="1:132" s="889" customFormat="1" x14ac:dyDescent="0.2">
      <c r="A1" s="426"/>
      <c r="B1" s="426"/>
      <c r="C1" s="426"/>
      <c r="D1" s="426"/>
      <c r="E1" s="426"/>
      <c r="F1" s="426"/>
      <c r="G1" s="426"/>
      <c r="H1" s="426"/>
      <c r="I1" s="426"/>
      <c r="J1" s="480"/>
      <c r="K1" s="480"/>
      <c r="L1" s="480"/>
      <c r="M1" s="480"/>
      <c r="N1" s="480"/>
      <c r="O1" s="480"/>
      <c r="P1" s="766"/>
      <c r="Q1" s="480"/>
      <c r="R1" s="891"/>
      <c r="S1" s="891"/>
      <c r="T1" s="891"/>
      <c r="U1" s="891"/>
      <c r="V1" s="891"/>
      <c r="W1" s="891"/>
      <c r="X1" s="891"/>
      <c r="Y1" s="891"/>
      <c r="Z1" s="891"/>
      <c r="AA1" s="891"/>
      <c r="AB1" s="891"/>
      <c r="AC1" s="891"/>
      <c r="AD1" s="891"/>
      <c r="AE1" s="891"/>
      <c r="AF1" s="891"/>
      <c r="AG1" s="891"/>
      <c r="AH1" s="891"/>
      <c r="AI1" s="891"/>
      <c r="AJ1" s="891"/>
      <c r="AK1" s="891"/>
      <c r="AL1" s="891"/>
      <c r="AM1" s="891"/>
      <c r="AN1" s="891"/>
      <c r="AO1" s="891"/>
      <c r="AP1" s="891"/>
      <c r="AQ1" s="891"/>
      <c r="AR1" s="891"/>
      <c r="AS1" s="891"/>
      <c r="AT1" s="891"/>
      <c r="AU1" s="891"/>
      <c r="AV1" s="891"/>
      <c r="AW1" s="891"/>
      <c r="AX1" s="891"/>
      <c r="AY1" s="891"/>
      <c r="AZ1" s="891"/>
      <c r="BA1" s="891"/>
      <c r="BB1" s="891"/>
      <c r="BC1" s="891"/>
      <c r="BD1" s="891"/>
      <c r="BE1" s="891"/>
      <c r="BF1" s="891"/>
      <c r="BG1" s="891"/>
      <c r="BH1" s="891"/>
      <c r="BI1" s="891"/>
      <c r="BJ1" s="891"/>
      <c r="BK1" s="891"/>
      <c r="BL1" s="891"/>
      <c r="BM1" s="891"/>
      <c r="BN1" s="891"/>
      <c r="BO1" s="891"/>
      <c r="BP1" s="891"/>
      <c r="BQ1" s="891"/>
      <c r="BR1" s="891"/>
      <c r="BS1" s="891"/>
      <c r="BT1" s="891"/>
      <c r="BU1" s="891"/>
      <c r="BV1" s="891"/>
      <c r="BW1" s="891"/>
      <c r="BX1" s="891"/>
      <c r="BY1" s="891"/>
      <c r="BZ1" s="891"/>
      <c r="CA1" s="891"/>
      <c r="CB1" s="891"/>
      <c r="CC1" s="891"/>
      <c r="CD1" s="891"/>
      <c r="CE1" s="891"/>
      <c r="CF1" s="891"/>
      <c r="CG1" s="891"/>
      <c r="CH1" s="891"/>
      <c r="CI1" s="891"/>
      <c r="CJ1" s="891"/>
      <c r="CK1" s="891"/>
      <c r="CL1" s="891"/>
      <c r="CM1" s="891"/>
      <c r="CN1" s="891"/>
      <c r="CO1" s="891"/>
      <c r="CP1" s="891"/>
      <c r="CQ1" s="891"/>
      <c r="CR1" s="891"/>
      <c r="CS1" s="891"/>
      <c r="CT1" s="891"/>
      <c r="CU1" s="891"/>
      <c r="CV1" s="891"/>
      <c r="CW1" s="891"/>
      <c r="CX1" s="891"/>
      <c r="CY1" s="891"/>
      <c r="CZ1" s="891"/>
      <c r="DA1" s="891"/>
      <c r="DB1" s="891"/>
      <c r="DC1" s="891"/>
      <c r="DD1" s="891"/>
      <c r="DE1" s="891"/>
      <c r="DF1" s="891"/>
      <c r="DG1" s="891"/>
      <c r="DH1" s="891"/>
      <c r="DI1" s="891"/>
      <c r="DJ1" s="891"/>
      <c r="DK1" s="891"/>
      <c r="DL1" s="891"/>
      <c r="DM1" s="891"/>
      <c r="DN1" s="891"/>
      <c r="DO1" s="891"/>
      <c r="DP1" s="891"/>
      <c r="DQ1" s="891"/>
      <c r="DR1" s="891"/>
      <c r="DS1" s="891"/>
      <c r="DT1" s="891"/>
      <c r="DU1" s="891"/>
      <c r="DV1" s="891"/>
      <c r="DW1" s="891"/>
      <c r="DX1" s="891"/>
      <c r="DY1" s="891"/>
      <c r="DZ1" s="891"/>
      <c r="EA1" s="891"/>
    </row>
    <row r="2" spans="1:132" s="889" customFormat="1" ht="15.95" customHeight="1" x14ac:dyDescent="0.2">
      <c r="A2" s="426"/>
      <c r="B2" s="680" t="s">
        <v>354</v>
      </c>
      <c r="C2" s="680"/>
      <c r="D2" s="680"/>
      <c r="E2" s="680"/>
      <c r="F2" s="680"/>
      <c r="G2" s="680"/>
      <c r="H2" s="680"/>
      <c r="I2" s="680"/>
      <c r="J2" s="680"/>
      <c r="K2" s="680"/>
      <c r="L2" s="480"/>
      <c r="M2" s="1303"/>
      <c r="N2" s="1303"/>
      <c r="O2" s="1303"/>
      <c r="P2" s="766"/>
      <c r="Q2" s="480"/>
      <c r="R2" s="891"/>
      <c r="S2" s="891"/>
      <c r="T2" s="891"/>
      <c r="U2" s="891"/>
      <c r="V2" s="891"/>
      <c r="W2" s="891"/>
      <c r="X2" s="891"/>
      <c r="Y2" s="891"/>
      <c r="Z2" s="891"/>
      <c r="AA2" s="891"/>
      <c r="AB2" s="891"/>
      <c r="AC2" s="891"/>
      <c r="AD2" s="891"/>
      <c r="AE2" s="891"/>
      <c r="AF2" s="891"/>
      <c r="AG2" s="891"/>
      <c r="AH2" s="891"/>
      <c r="AI2" s="891"/>
      <c r="AJ2" s="891"/>
      <c r="AK2" s="891"/>
      <c r="AL2" s="891"/>
      <c r="AM2" s="891"/>
      <c r="AN2" s="891"/>
      <c r="AO2" s="891"/>
      <c r="AP2" s="891"/>
      <c r="AQ2" s="891"/>
      <c r="AR2" s="891"/>
      <c r="AS2" s="891"/>
      <c r="AT2" s="891"/>
      <c r="AU2" s="891"/>
      <c r="AV2" s="891"/>
      <c r="AW2" s="891"/>
      <c r="AX2" s="891"/>
      <c r="AY2" s="891"/>
      <c r="AZ2" s="891"/>
      <c r="BA2" s="891"/>
      <c r="BB2" s="891"/>
      <c r="BC2" s="891"/>
      <c r="BD2" s="891"/>
      <c r="BE2" s="891"/>
      <c r="BF2" s="891"/>
      <c r="BG2" s="891"/>
      <c r="BH2" s="891"/>
      <c r="BI2" s="891"/>
      <c r="BJ2" s="891"/>
      <c r="BK2" s="891"/>
      <c r="BL2" s="891"/>
      <c r="BM2" s="891"/>
      <c r="BN2" s="891"/>
      <c r="BO2" s="891"/>
      <c r="BP2" s="891"/>
      <c r="BQ2" s="891"/>
      <c r="BR2" s="891"/>
      <c r="BS2" s="891"/>
      <c r="BT2" s="891"/>
      <c r="BU2" s="891"/>
      <c r="BV2" s="891"/>
      <c r="BW2" s="891"/>
      <c r="BX2" s="891"/>
      <c r="BY2" s="891"/>
      <c r="BZ2" s="891"/>
      <c r="CA2" s="891"/>
      <c r="CB2" s="891"/>
      <c r="CC2" s="891"/>
      <c r="CD2" s="891"/>
      <c r="CE2" s="891"/>
      <c r="CF2" s="891"/>
      <c r="CG2" s="891"/>
      <c r="CH2" s="891"/>
      <c r="CI2" s="891"/>
      <c r="CJ2" s="891"/>
      <c r="CK2" s="891"/>
      <c r="CL2" s="891"/>
      <c r="CM2" s="891"/>
      <c r="CN2" s="891"/>
      <c r="CO2" s="891"/>
      <c r="CP2" s="891"/>
      <c r="CQ2" s="891"/>
      <c r="CR2" s="891"/>
      <c r="CS2" s="891"/>
      <c r="CT2" s="891"/>
      <c r="CU2" s="891"/>
      <c r="CV2" s="891"/>
      <c r="CW2" s="891"/>
      <c r="CX2" s="891"/>
      <c r="CY2" s="891"/>
      <c r="CZ2" s="891"/>
      <c r="DA2" s="891"/>
      <c r="DB2" s="891"/>
      <c r="DC2" s="891"/>
      <c r="DD2" s="891"/>
      <c r="DE2" s="891"/>
      <c r="DF2" s="891"/>
      <c r="DG2" s="891"/>
      <c r="DH2" s="891"/>
      <c r="DI2" s="891"/>
      <c r="DJ2" s="891"/>
      <c r="DK2" s="891"/>
      <c r="DL2" s="891"/>
      <c r="DM2" s="891"/>
      <c r="DN2" s="891"/>
      <c r="DO2" s="891"/>
      <c r="DP2" s="891"/>
      <c r="DQ2" s="891"/>
      <c r="DR2" s="891"/>
      <c r="DS2" s="891"/>
      <c r="DT2" s="891"/>
      <c r="DU2" s="891"/>
      <c r="DV2" s="891"/>
      <c r="DW2" s="891"/>
      <c r="DX2" s="891"/>
      <c r="DY2" s="891"/>
      <c r="DZ2" s="891"/>
      <c r="EA2" s="891"/>
    </row>
    <row r="3" spans="1:132" s="899" customFormat="1" ht="2.25" customHeight="1" x14ac:dyDescent="0.2">
      <c r="A3" s="426"/>
      <c r="B3" s="426"/>
      <c r="C3" s="426"/>
      <c r="D3" s="426"/>
      <c r="E3" s="426"/>
      <c r="F3" s="426"/>
      <c r="G3" s="426"/>
      <c r="H3" s="426"/>
      <c r="I3" s="426"/>
      <c r="J3" s="480"/>
      <c r="K3" s="480"/>
      <c r="L3" s="480"/>
      <c r="M3" s="480"/>
      <c r="N3" s="480"/>
      <c r="O3" s="480"/>
      <c r="P3" s="766"/>
      <c r="Q3" s="480"/>
      <c r="R3" s="763"/>
      <c r="S3" s="763"/>
      <c r="T3" s="763"/>
      <c r="U3" s="763"/>
      <c r="V3" s="763"/>
      <c r="W3" s="763"/>
      <c r="X3" s="763"/>
      <c r="Y3" s="763"/>
      <c r="Z3" s="763"/>
      <c r="AA3" s="763"/>
      <c r="AB3" s="763"/>
      <c r="AC3" s="763"/>
      <c r="AD3" s="763"/>
      <c r="AE3" s="763"/>
      <c r="AF3" s="763"/>
      <c r="AG3" s="763"/>
      <c r="AH3" s="763"/>
      <c r="AI3" s="763"/>
      <c r="AJ3" s="763"/>
      <c r="AK3" s="763"/>
      <c r="AL3" s="763"/>
      <c r="AM3" s="763"/>
      <c r="AN3" s="763"/>
      <c r="AO3" s="763"/>
      <c r="AP3" s="763"/>
      <c r="AQ3" s="763"/>
      <c r="AR3" s="763"/>
      <c r="AS3" s="763"/>
      <c r="AT3" s="763"/>
      <c r="AU3" s="763"/>
      <c r="AV3" s="763"/>
      <c r="AW3" s="763"/>
      <c r="AX3" s="763"/>
      <c r="AY3" s="763"/>
      <c r="AZ3" s="763"/>
      <c r="BA3" s="763"/>
      <c r="BB3" s="763"/>
      <c r="BC3" s="763"/>
      <c r="BD3" s="763"/>
      <c r="BE3" s="763"/>
      <c r="BF3" s="763"/>
      <c r="BG3" s="763"/>
      <c r="BH3" s="763"/>
      <c r="BI3" s="763"/>
      <c r="BJ3" s="763"/>
      <c r="BK3" s="763"/>
      <c r="BL3" s="763"/>
      <c r="BM3" s="763"/>
      <c r="BN3" s="763"/>
      <c r="BO3" s="763"/>
      <c r="BP3" s="763"/>
      <c r="BQ3" s="763"/>
      <c r="BR3" s="763"/>
      <c r="BS3" s="763"/>
      <c r="BT3" s="763"/>
      <c r="BU3" s="763"/>
      <c r="BV3" s="763"/>
      <c r="BW3" s="763"/>
      <c r="BX3" s="763"/>
      <c r="BY3" s="763"/>
      <c r="BZ3" s="763"/>
      <c r="CA3" s="763"/>
      <c r="CB3" s="763"/>
      <c r="CC3" s="763"/>
      <c r="CD3" s="763"/>
      <c r="CE3" s="763"/>
      <c r="CF3" s="763"/>
      <c r="CG3" s="763"/>
      <c r="CH3" s="763"/>
      <c r="CI3" s="763"/>
      <c r="CJ3" s="763"/>
      <c r="CK3" s="763"/>
      <c r="CL3" s="763"/>
      <c r="CM3" s="763"/>
      <c r="CN3" s="763"/>
      <c r="CO3" s="763"/>
      <c r="CP3" s="763"/>
      <c r="CQ3" s="763"/>
      <c r="CR3" s="763"/>
      <c r="CS3" s="763"/>
      <c r="CT3" s="763"/>
      <c r="CU3" s="763"/>
      <c r="CV3" s="763"/>
      <c r="CW3" s="763"/>
      <c r="CX3" s="763"/>
      <c r="CY3" s="763"/>
      <c r="CZ3" s="763"/>
      <c r="DA3" s="763"/>
      <c r="DB3" s="763"/>
      <c r="DC3" s="763"/>
      <c r="DD3" s="763"/>
      <c r="DE3" s="763"/>
      <c r="DF3" s="763"/>
      <c r="DG3" s="763"/>
      <c r="DH3" s="763"/>
      <c r="DI3" s="763"/>
      <c r="DJ3" s="763"/>
      <c r="DK3" s="763"/>
      <c r="DL3" s="763"/>
      <c r="DM3" s="763"/>
      <c r="DN3" s="763"/>
      <c r="DO3" s="763"/>
      <c r="DP3" s="763"/>
      <c r="DQ3" s="763"/>
      <c r="DR3" s="763"/>
      <c r="DS3" s="763"/>
      <c r="DT3" s="763"/>
      <c r="DU3" s="763"/>
      <c r="DV3" s="763"/>
      <c r="DW3" s="763"/>
      <c r="DX3" s="763"/>
      <c r="DY3" s="763"/>
      <c r="DZ3" s="763"/>
      <c r="EA3" s="763"/>
    </row>
    <row r="4" spans="1:132" s="899" customFormat="1" ht="11.25" x14ac:dyDescent="0.2">
      <c r="A4" s="426"/>
      <c r="B4" s="536" t="s">
        <v>1153</v>
      </c>
      <c r="C4" s="1304" t="s">
        <v>1650</v>
      </c>
      <c r="D4" s="1304"/>
      <c r="E4" s="682" t="s">
        <v>1154</v>
      </c>
      <c r="F4" s="682"/>
      <c r="G4" s="426"/>
      <c r="H4" s="426"/>
      <c r="I4" s="426"/>
      <c r="J4" s="480"/>
      <c r="K4" s="480"/>
      <c r="L4" s="480"/>
      <c r="M4" s="480"/>
      <c r="N4" s="480"/>
      <c r="O4" s="480"/>
      <c r="P4" s="766"/>
      <c r="Q4" s="480"/>
      <c r="R4" s="763"/>
      <c r="S4" s="763"/>
      <c r="T4" s="763"/>
      <c r="U4" s="763"/>
      <c r="V4" s="763"/>
      <c r="W4" s="763"/>
      <c r="X4" s="763"/>
      <c r="Y4" s="763"/>
      <c r="Z4" s="763"/>
      <c r="AA4" s="763"/>
      <c r="AB4" s="763"/>
      <c r="AC4" s="763"/>
      <c r="AD4" s="763"/>
      <c r="AE4" s="763"/>
      <c r="AF4" s="763"/>
      <c r="AG4" s="763"/>
      <c r="AH4" s="763"/>
      <c r="AI4" s="763"/>
      <c r="AJ4" s="763"/>
      <c r="AK4" s="763"/>
      <c r="AL4" s="763"/>
      <c r="AM4" s="763"/>
      <c r="AN4" s="763"/>
      <c r="AO4" s="763"/>
      <c r="AP4" s="763"/>
      <c r="AQ4" s="763"/>
      <c r="AR4" s="763"/>
      <c r="AS4" s="763"/>
      <c r="AT4" s="763"/>
      <c r="AU4" s="763"/>
      <c r="AV4" s="763"/>
      <c r="AW4" s="763"/>
      <c r="AX4" s="763"/>
      <c r="AY4" s="763"/>
      <c r="AZ4" s="763"/>
      <c r="BA4" s="763"/>
      <c r="BB4" s="763"/>
      <c r="BC4" s="763"/>
      <c r="BD4" s="763"/>
      <c r="BE4" s="763"/>
      <c r="BF4" s="763"/>
      <c r="BG4" s="763"/>
      <c r="BH4" s="763"/>
      <c r="BI4" s="763"/>
      <c r="BJ4" s="763"/>
      <c r="BK4" s="763"/>
      <c r="BL4" s="763"/>
      <c r="BM4" s="763"/>
      <c r="BN4" s="763"/>
      <c r="BO4" s="763"/>
      <c r="BP4" s="763"/>
      <c r="BQ4" s="763"/>
      <c r="BR4" s="763"/>
      <c r="BS4" s="763"/>
      <c r="BT4" s="763"/>
      <c r="BU4" s="763"/>
      <c r="BV4" s="763"/>
      <c r="BW4" s="763"/>
      <c r="BX4" s="763"/>
      <c r="BY4" s="763"/>
      <c r="BZ4" s="763"/>
      <c r="CA4" s="763"/>
      <c r="CB4" s="763"/>
      <c r="CC4" s="763"/>
      <c r="CD4" s="763"/>
      <c r="CE4" s="763"/>
      <c r="CF4" s="763"/>
      <c r="CG4" s="763"/>
      <c r="CH4" s="763"/>
      <c r="CI4" s="763"/>
      <c r="CJ4" s="763"/>
      <c r="CK4" s="763"/>
      <c r="CL4" s="763"/>
      <c r="CM4" s="763"/>
      <c r="CN4" s="763"/>
      <c r="CO4" s="763"/>
      <c r="CP4" s="763"/>
      <c r="CQ4" s="763"/>
      <c r="CR4" s="763"/>
      <c r="CS4" s="763"/>
      <c r="CT4" s="763"/>
      <c r="CU4" s="763"/>
      <c r="CV4" s="763"/>
      <c r="CW4" s="763"/>
      <c r="CX4" s="763"/>
      <c r="CY4" s="763"/>
      <c r="CZ4" s="763"/>
      <c r="DA4" s="763"/>
      <c r="DB4" s="763"/>
      <c r="DC4" s="763"/>
      <c r="DD4" s="763"/>
      <c r="DE4" s="763"/>
      <c r="DF4" s="763"/>
      <c r="DG4" s="763"/>
      <c r="DH4" s="763"/>
      <c r="DI4" s="763"/>
      <c r="DJ4" s="763"/>
      <c r="DK4" s="763"/>
      <c r="DL4" s="763"/>
      <c r="DM4" s="763"/>
      <c r="DN4" s="763"/>
      <c r="DO4" s="763"/>
      <c r="DP4" s="763"/>
      <c r="DQ4" s="763"/>
      <c r="DR4" s="763"/>
      <c r="DS4" s="763"/>
      <c r="DT4" s="763"/>
      <c r="DU4" s="763"/>
      <c r="DV4" s="763"/>
      <c r="DW4" s="763"/>
      <c r="DX4" s="763"/>
      <c r="DY4" s="763"/>
      <c r="DZ4" s="763"/>
      <c r="EA4" s="763"/>
    </row>
    <row r="5" spans="1:132" s="899" customFormat="1" ht="11.25" x14ac:dyDescent="0.2">
      <c r="A5" s="426"/>
      <c r="B5" s="536" t="s">
        <v>1155</v>
      </c>
      <c r="C5" s="426"/>
      <c r="D5" s="426"/>
      <c r="E5" s="426"/>
      <c r="F5" s="426"/>
      <c r="G5" s="426"/>
      <c r="H5" s="426"/>
      <c r="I5" s="426"/>
      <c r="J5" s="480"/>
      <c r="K5" s="480"/>
      <c r="L5" s="480"/>
      <c r="M5" s="480"/>
      <c r="N5" s="480"/>
      <c r="O5" s="480"/>
      <c r="P5" s="766"/>
      <c r="Q5" s="480"/>
      <c r="R5" s="763"/>
      <c r="S5" s="763"/>
      <c r="T5" s="763"/>
      <c r="U5" s="763"/>
      <c r="V5" s="763"/>
      <c r="W5" s="763"/>
      <c r="X5" s="763"/>
      <c r="Y5" s="763"/>
      <c r="Z5" s="763"/>
      <c r="AA5" s="763"/>
      <c r="AB5" s="763"/>
      <c r="AC5" s="763"/>
      <c r="AD5" s="763"/>
      <c r="AE5" s="763"/>
      <c r="AF5" s="763"/>
      <c r="AG5" s="763"/>
      <c r="AH5" s="763"/>
      <c r="AI5" s="763"/>
      <c r="AJ5" s="763"/>
      <c r="AK5" s="763"/>
      <c r="AL5" s="763"/>
      <c r="AM5" s="763"/>
      <c r="AN5" s="763"/>
      <c r="AO5" s="763"/>
      <c r="AP5" s="763"/>
      <c r="AQ5" s="763"/>
      <c r="AR5" s="763"/>
      <c r="AS5" s="763"/>
      <c r="AT5" s="763"/>
      <c r="AU5" s="763"/>
      <c r="AV5" s="763"/>
      <c r="AW5" s="763"/>
      <c r="AX5" s="763"/>
      <c r="AY5" s="763"/>
      <c r="AZ5" s="763"/>
      <c r="BA5" s="763"/>
      <c r="BB5" s="763"/>
      <c r="BC5" s="763"/>
      <c r="BD5" s="763"/>
      <c r="BE5" s="763"/>
      <c r="BF5" s="763"/>
      <c r="BG5" s="763"/>
      <c r="BH5" s="763"/>
      <c r="BI5" s="763"/>
      <c r="BJ5" s="763"/>
      <c r="BK5" s="763"/>
      <c r="BL5" s="763"/>
      <c r="BM5" s="763"/>
      <c r="BN5" s="763"/>
      <c r="BO5" s="763"/>
      <c r="BP5" s="763"/>
      <c r="BQ5" s="763"/>
      <c r="BR5" s="763"/>
      <c r="BS5" s="763"/>
      <c r="BT5" s="763"/>
      <c r="BU5" s="763"/>
      <c r="BV5" s="763"/>
      <c r="BW5" s="763"/>
      <c r="BX5" s="763"/>
      <c r="BY5" s="763"/>
      <c r="BZ5" s="763"/>
      <c r="CA5" s="763"/>
      <c r="CB5" s="763"/>
      <c r="CC5" s="763"/>
      <c r="CD5" s="763"/>
      <c r="CE5" s="763"/>
      <c r="CF5" s="763"/>
      <c r="CG5" s="763"/>
      <c r="CH5" s="763"/>
      <c r="CI5" s="763"/>
      <c r="CJ5" s="763"/>
      <c r="CK5" s="763"/>
      <c r="CL5" s="763"/>
      <c r="CM5" s="763"/>
      <c r="CN5" s="763"/>
      <c r="CO5" s="763"/>
      <c r="CP5" s="763"/>
      <c r="CQ5" s="763"/>
      <c r="CR5" s="763"/>
      <c r="CS5" s="763"/>
      <c r="CT5" s="763"/>
      <c r="CU5" s="763"/>
      <c r="CV5" s="763"/>
      <c r="CW5" s="763"/>
      <c r="CX5" s="763"/>
      <c r="CY5" s="763"/>
      <c r="CZ5" s="763"/>
      <c r="DA5" s="763"/>
      <c r="DB5" s="763"/>
      <c r="DC5" s="763"/>
      <c r="DD5" s="763"/>
      <c r="DE5" s="763"/>
      <c r="DF5" s="763"/>
      <c r="DG5" s="763"/>
      <c r="DH5" s="763"/>
      <c r="DI5" s="763"/>
      <c r="DJ5" s="763"/>
      <c r="DK5" s="763"/>
      <c r="DL5" s="763"/>
      <c r="DM5" s="763"/>
      <c r="DN5" s="763"/>
      <c r="DO5" s="763"/>
      <c r="DP5" s="763"/>
      <c r="DQ5" s="763"/>
      <c r="DR5" s="763"/>
      <c r="DS5" s="763"/>
      <c r="DT5" s="763"/>
      <c r="DU5" s="763"/>
      <c r="DV5" s="763"/>
      <c r="DW5" s="763"/>
      <c r="DX5" s="763"/>
      <c r="DY5" s="763"/>
      <c r="DZ5" s="763"/>
      <c r="EA5" s="763"/>
    </row>
    <row r="6" spans="1:132" s="899" customFormat="1" ht="3" customHeight="1" thickBot="1" x14ac:dyDescent="0.25">
      <c r="A6" s="426"/>
      <c r="B6" s="426"/>
      <c r="C6" s="426"/>
      <c r="D6" s="426"/>
      <c r="E6" s="426"/>
      <c r="F6" s="426"/>
      <c r="G6" s="426"/>
      <c r="H6" s="426"/>
      <c r="I6" s="426"/>
      <c r="J6" s="480"/>
      <c r="K6" s="480"/>
      <c r="L6" s="480"/>
      <c r="M6" s="480"/>
      <c r="N6" s="480"/>
      <c r="O6" s="480"/>
      <c r="P6" s="766"/>
      <c r="Q6" s="480"/>
      <c r="R6" s="763"/>
      <c r="S6" s="763"/>
      <c r="T6" s="763"/>
      <c r="U6" s="763"/>
      <c r="V6" s="763"/>
      <c r="W6" s="763"/>
      <c r="X6" s="763"/>
      <c r="Y6" s="763"/>
      <c r="Z6" s="763"/>
      <c r="AA6" s="763"/>
      <c r="AB6" s="763"/>
      <c r="AC6" s="763"/>
      <c r="AD6" s="763"/>
      <c r="AE6" s="763"/>
      <c r="AF6" s="763"/>
      <c r="AG6" s="763"/>
      <c r="AH6" s="763"/>
      <c r="AI6" s="763"/>
      <c r="AJ6" s="763"/>
      <c r="AK6" s="763"/>
      <c r="AL6" s="763"/>
      <c r="AM6" s="763"/>
      <c r="AN6" s="763"/>
      <c r="AO6" s="763"/>
      <c r="AP6" s="763"/>
      <c r="AQ6" s="763"/>
      <c r="AR6" s="763"/>
      <c r="AS6" s="763"/>
      <c r="AT6" s="763"/>
      <c r="AU6" s="763"/>
      <c r="AV6" s="763"/>
      <c r="AW6" s="763"/>
      <c r="AX6" s="763"/>
      <c r="AY6" s="763"/>
      <c r="AZ6" s="763"/>
      <c r="BA6" s="763"/>
      <c r="BB6" s="763"/>
      <c r="BC6" s="763"/>
      <c r="BD6" s="763"/>
      <c r="BE6" s="763"/>
      <c r="BF6" s="763"/>
      <c r="BG6" s="763"/>
      <c r="BH6" s="763"/>
      <c r="BI6" s="763"/>
      <c r="BJ6" s="763"/>
      <c r="BK6" s="763"/>
      <c r="BL6" s="763"/>
      <c r="BM6" s="763"/>
      <c r="BN6" s="763"/>
      <c r="BO6" s="763"/>
      <c r="BP6" s="763"/>
      <c r="BQ6" s="763"/>
      <c r="BR6" s="763"/>
      <c r="BS6" s="763"/>
      <c r="BT6" s="763"/>
      <c r="BU6" s="763"/>
      <c r="BV6" s="763"/>
      <c r="BW6" s="763"/>
      <c r="BX6" s="763"/>
      <c r="BY6" s="763"/>
      <c r="BZ6" s="763"/>
      <c r="CA6" s="763"/>
      <c r="CB6" s="763"/>
      <c r="CC6" s="763"/>
      <c r="CD6" s="763"/>
      <c r="CE6" s="763"/>
      <c r="CF6" s="763"/>
      <c r="CG6" s="763"/>
      <c r="CH6" s="763"/>
      <c r="CI6" s="763"/>
      <c r="CJ6" s="763"/>
      <c r="CK6" s="763"/>
      <c r="CL6" s="763"/>
      <c r="CM6" s="763"/>
      <c r="CN6" s="763"/>
      <c r="CO6" s="763"/>
      <c r="CP6" s="763"/>
      <c r="CQ6" s="763"/>
      <c r="CR6" s="763"/>
      <c r="CS6" s="763"/>
      <c r="CT6" s="763"/>
      <c r="CU6" s="763"/>
      <c r="CV6" s="763"/>
      <c r="CW6" s="763"/>
      <c r="CX6" s="763"/>
      <c r="CY6" s="763"/>
      <c r="CZ6" s="763"/>
      <c r="DA6" s="763"/>
      <c r="DB6" s="763"/>
      <c r="DC6" s="763"/>
      <c r="DD6" s="763"/>
      <c r="DE6" s="763"/>
      <c r="DF6" s="763"/>
      <c r="DG6" s="763"/>
      <c r="DH6" s="763"/>
      <c r="DI6" s="763"/>
      <c r="DJ6" s="763"/>
      <c r="DK6" s="763"/>
      <c r="DL6" s="763"/>
      <c r="DM6" s="763"/>
      <c r="DN6" s="763"/>
      <c r="DO6" s="763"/>
      <c r="DP6" s="763"/>
      <c r="DQ6" s="763"/>
      <c r="DR6" s="763"/>
      <c r="DS6" s="763"/>
      <c r="DT6" s="763"/>
      <c r="DU6" s="763"/>
      <c r="DV6" s="763"/>
      <c r="DW6" s="763"/>
      <c r="DX6" s="763"/>
      <c r="DY6" s="763"/>
      <c r="DZ6" s="763"/>
      <c r="EA6" s="763"/>
    </row>
    <row r="7" spans="1:132" s="899" customFormat="1" ht="14.1" customHeight="1" x14ac:dyDescent="0.2">
      <c r="A7" s="426"/>
      <c r="B7" s="1241" t="s">
        <v>1156</v>
      </c>
      <c r="C7" s="1211" t="s">
        <v>1157</v>
      </c>
      <c r="D7" s="1293"/>
      <c r="E7" s="1212"/>
      <c r="F7" s="683"/>
      <c r="G7" s="1229" t="s">
        <v>257</v>
      </c>
      <c r="H7" s="1229"/>
      <c r="I7" s="1307" t="s">
        <v>1158</v>
      </c>
      <c r="J7" s="1307"/>
      <c r="K7" s="1307"/>
      <c r="L7" s="1307"/>
      <c r="M7" s="1307"/>
      <c r="N7" s="1307"/>
      <c r="O7" s="1269" t="s">
        <v>1159</v>
      </c>
      <c r="P7" s="1270" t="s">
        <v>1160</v>
      </c>
      <c r="Q7" s="1305"/>
      <c r="R7" s="1013"/>
      <c r="S7" s="1013"/>
      <c r="T7" s="1013"/>
      <c r="U7" s="1013"/>
      <c r="V7" s="1309" t="s">
        <v>1008</v>
      </c>
      <c r="W7" s="1299" t="s">
        <v>1009</v>
      </c>
      <c r="X7" s="1300"/>
      <c r="Y7" s="1296" t="s">
        <v>1010</v>
      </c>
      <c r="Z7" s="1296" t="s">
        <v>1011</v>
      </c>
      <c r="AA7" s="1296" t="s">
        <v>1012</v>
      </c>
      <c r="AB7" s="1296" t="s">
        <v>1011</v>
      </c>
      <c r="AC7" s="1296" t="s">
        <v>1013</v>
      </c>
      <c r="AD7" s="1296" t="s">
        <v>1011</v>
      </c>
      <c r="AE7" s="1296" t="s">
        <v>1014</v>
      </c>
      <c r="AF7" s="763"/>
      <c r="AG7" s="763"/>
      <c r="AH7" s="763"/>
      <c r="AI7" s="763"/>
      <c r="AJ7" s="763"/>
      <c r="AK7" s="763"/>
      <c r="AL7" s="763"/>
      <c r="AM7" s="763"/>
      <c r="AN7" s="763"/>
      <c r="AO7" s="763"/>
      <c r="AP7" s="763"/>
      <c r="AQ7" s="763"/>
      <c r="AR7" s="763"/>
      <c r="AS7" s="763"/>
      <c r="AT7" s="763"/>
      <c r="AU7" s="763"/>
      <c r="AV7" s="763"/>
      <c r="AW7" s="763"/>
      <c r="AX7" s="763"/>
      <c r="AY7" s="763"/>
      <c r="AZ7" s="763"/>
      <c r="BA7" s="763"/>
      <c r="BB7" s="763"/>
      <c r="BC7" s="763"/>
      <c r="BD7" s="763"/>
      <c r="BE7" s="763"/>
      <c r="BF7" s="763"/>
      <c r="BG7" s="763"/>
      <c r="BH7" s="763"/>
      <c r="BI7" s="763"/>
      <c r="BJ7" s="763"/>
      <c r="BK7" s="763"/>
      <c r="BL7" s="763"/>
      <c r="BM7" s="763"/>
      <c r="BN7" s="763"/>
      <c r="BO7" s="763"/>
      <c r="BP7" s="763"/>
      <c r="BQ7" s="763"/>
      <c r="BR7" s="763"/>
      <c r="BS7" s="763"/>
      <c r="BT7" s="763"/>
      <c r="BU7" s="763"/>
      <c r="BV7" s="763"/>
      <c r="BW7" s="763"/>
      <c r="BX7" s="763"/>
      <c r="BY7" s="763"/>
      <c r="BZ7" s="763"/>
      <c r="CA7" s="763"/>
      <c r="CB7" s="763"/>
      <c r="CC7" s="763"/>
      <c r="CD7" s="763"/>
      <c r="CE7" s="763"/>
      <c r="CF7" s="763"/>
      <c r="CG7" s="763"/>
      <c r="CH7" s="763"/>
      <c r="CI7" s="763"/>
      <c r="CJ7" s="763"/>
      <c r="CK7" s="763"/>
      <c r="CL7" s="763"/>
      <c r="CM7" s="763"/>
      <c r="CN7" s="763"/>
      <c r="CO7" s="763"/>
      <c r="CP7" s="763"/>
      <c r="CQ7" s="763"/>
      <c r="CR7" s="763"/>
      <c r="CS7" s="763"/>
      <c r="CT7" s="763"/>
      <c r="CU7" s="763"/>
      <c r="CV7" s="763"/>
      <c r="CW7" s="763"/>
      <c r="CX7" s="763"/>
      <c r="CY7" s="763"/>
      <c r="CZ7" s="763"/>
      <c r="DA7" s="763"/>
      <c r="DB7" s="763"/>
      <c r="DC7" s="763"/>
      <c r="DD7" s="763"/>
      <c r="DE7" s="763"/>
      <c r="DF7" s="763"/>
      <c r="DG7" s="763"/>
      <c r="DH7" s="763"/>
      <c r="DI7" s="763"/>
      <c r="DJ7" s="763"/>
      <c r="DK7" s="763"/>
      <c r="DL7" s="763"/>
      <c r="DM7" s="763"/>
      <c r="DN7" s="763"/>
      <c r="DO7" s="763"/>
      <c r="DP7" s="763"/>
      <c r="DQ7" s="763"/>
      <c r="DR7" s="763"/>
      <c r="DS7" s="763"/>
      <c r="DT7" s="763"/>
      <c r="DU7" s="763"/>
      <c r="DV7" s="763"/>
      <c r="DW7" s="763"/>
      <c r="DX7" s="763"/>
      <c r="DY7" s="763"/>
      <c r="DZ7" s="763"/>
      <c r="EA7" s="763"/>
      <c r="EB7" s="763"/>
    </row>
    <row r="8" spans="1:132" s="899" customFormat="1" ht="27.95" customHeight="1" x14ac:dyDescent="0.2">
      <c r="A8" s="426"/>
      <c r="B8" s="1242"/>
      <c r="C8" s="1312" t="s">
        <v>1161</v>
      </c>
      <c r="D8" s="1314" t="s">
        <v>1162</v>
      </c>
      <c r="E8" s="1315"/>
      <c r="F8" s="684"/>
      <c r="G8" s="1294"/>
      <c r="H8" s="1294"/>
      <c r="I8" s="1254" t="s">
        <v>1163</v>
      </c>
      <c r="J8" s="1254"/>
      <c r="K8" s="1318" t="s">
        <v>1164</v>
      </c>
      <c r="L8" s="1253"/>
      <c r="M8" s="1318" t="s">
        <v>1411</v>
      </c>
      <c r="N8" s="1253"/>
      <c r="O8" s="1256"/>
      <c r="P8" s="1274"/>
      <c r="Q8" s="1306"/>
      <c r="R8" s="1013"/>
      <c r="S8" s="1013"/>
      <c r="T8" s="1013"/>
      <c r="U8" s="1013"/>
      <c r="V8" s="1310"/>
      <c r="W8" s="1301"/>
      <c r="X8" s="1302"/>
      <c r="Y8" s="1297"/>
      <c r="Z8" s="1297"/>
      <c r="AA8" s="1297"/>
      <c r="AB8" s="1297"/>
      <c r="AC8" s="1297"/>
      <c r="AD8" s="1297"/>
      <c r="AE8" s="1297"/>
      <c r="AF8" s="763"/>
      <c r="AG8" s="763"/>
      <c r="AH8" s="763"/>
      <c r="AI8" s="763"/>
      <c r="AJ8" s="763"/>
      <c r="AK8" s="763"/>
      <c r="AL8" s="763"/>
      <c r="AM8" s="763"/>
      <c r="AN8" s="763"/>
      <c r="AO8" s="763"/>
      <c r="AP8" s="763"/>
      <c r="AQ8" s="763"/>
      <c r="AR8" s="763"/>
      <c r="AS8" s="763"/>
      <c r="AT8" s="763"/>
      <c r="AU8" s="763"/>
      <c r="AV8" s="763"/>
      <c r="AW8" s="763"/>
      <c r="AX8" s="763"/>
      <c r="AY8" s="763"/>
      <c r="AZ8" s="763"/>
      <c r="BA8" s="763"/>
      <c r="BB8" s="763"/>
      <c r="BC8" s="763"/>
      <c r="BD8" s="763"/>
      <c r="BE8" s="763"/>
      <c r="BF8" s="763"/>
      <c r="BG8" s="763"/>
      <c r="BH8" s="763"/>
      <c r="BI8" s="763"/>
      <c r="BJ8" s="763"/>
      <c r="BK8" s="763"/>
      <c r="BL8" s="763"/>
      <c r="BM8" s="763"/>
      <c r="BN8" s="763"/>
      <c r="BO8" s="763"/>
      <c r="BP8" s="763"/>
      <c r="BQ8" s="763"/>
      <c r="BR8" s="763"/>
      <c r="BS8" s="763"/>
      <c r="BT8" s="763"/>
      <c r="BU8" s="763"/>
      <c r="BV8" s="763"/>
      <c r="BW8" s="763"/>
      <c r="BX8" s="763"/>
      <c r="BY8" s="763"/>
      <c r="BZ8" s="763"/>
      <c r="CA8" s="763"/>
      <c r="CB8" s="763"/>
      <c r="CC8" s="763"/>
      <c r="CD8" s="763"/>
      <c r="CE8" s="763"/>
      <c r="CF8" s="763"/>
      <c r="CG8" s="763"/>
      <c r="CH8" s="763"/>
      <c r="CI8" s="763"/>
      <c r="CJ8" s="763"/>
      <c r="CK8" s="763"/>
      <c r="CL8" s="763"/>
      <c r="CM8" s="763"/>
      <c r="CN8" s="763"/>
      <c r="CO8" s="763"/>
      <c r="CP8" s="763"/>
      <c r="CQ8" s="763"/>
      <c r="CR8" s="763"/>
      <c r="CS8" s="763"/>
      <c r="CT8" s="763"/>
      <c r="CU8" s="763"/>
      <c r="CV8" s="763"/>
      <c r="CW8" s="763"/>
      <c r="CX8" s="763"/>
      <c r="CY8" s="763"/>
      <c r="CZ8" s="763"/>
      <c r="DA8" s="763"/>
      <c r="DB8" s="763"/>
      <c r="DC8" s="763"/>
      <c r="DD8" s="763"/>
      <c r="DE8" s="763"/>
      <c r="DF8" s="763"/>
      <c r="DG8" s="763"/>
      <c r="DH8" s="763"/>
      <c r="DI8" s="763"/>
      <c r="DJ8" s="763"/>
      <c r="DK8" s="763"/>
      <c r="DL8" s="763"/>
      <c r="DM8" s="763"/>
      <c r="DN8" s="763"/>
      <c r="DO8" s="763"/>
      <c r="DP8" s="763"/>
      <c r="DQ8" s="763"/>
      <c r="DR8" s="763"/>
      <c r="DS8" s="763"/>
      <c r="DT8" s="763"/>
      <c r="DU8" s="763"/>
      <c r="DV8" s="763"/>
      <c r="DW8" s="763"/>
      <c r="DX8" s="763"/>
      <c r="DY8" s="763"/>
      <c r="DZ8" s="763"/>
      <c r="EA8" s="763"/>
      <c r="EB8" s="763"/>
    </row>
    <row r="9" spans="1:132" s="899" customFormat="1" ht="14.1" customHeight="1" thickBot="1" x14ac:dyDescent="0.25">
      <c r="A9" s="426"/>
      <c r="B9" s="1292"/>
      <c r="C9" s="1313"/>
      <c r="D9" s="1316"/>
      <c r="E9" s="1317"/>
      <c r="F9" s="687"/>
      <c r="G9" s="1295"/>
      <c r="H9" s="1295"/>
      <c r="I9" s="688" t="s">
        <v>1025</v>
      </c>
      <c r="J9" s="688" t="s">
        <v>1027</v>
      </c>
      <c r="K9" s="689" t="s">
        <v>1025</v>
      </c>
      <c r="L9" s="689" t="s">
        <v>1027</v>
      </c>
      <c r="M9" s="689" t="s">
        <v>1025</v>
      </c>
      <c r="N9" s="689" t="s">
        <v>1027</v>
      </c>
      <c r="O9" s="1308"/>
      <c r="P9" s="689" t="s">
        <v>1025</v>
      </c>
      <c r="Q9" s="690" t="s">
        <v>1027</v>
      </c>
      <c r="R9" s="1014"/>
      <c r="S9" s="1014"/>
      <c r="T9" s="1014"/>
      <c r="U9" s="1014"/>
      <c r="V9" s="1311"/>
      <c r="W9" s="1015" t="s">
        <v>1025</v>
      </c>
      <c r="X9" s="1015" t="s">
        <v>1027</v>
      </c>
      <c r="Y9" s="1298"/>
      <c r="Z9" s="1298"/>
      <c r="AA9" s="1298"/>
      <c r="AB9" s="1298"/>
      <c r="AC9" s="1298"/>
      <c r="AD9" s="1298"/>
      <c r="AE9" s="1298"/>
      <c r="AF9" s="763"/>
      <c r="AG9" s="763"/>
      <c r="AH9" s="763"/>
      <c r="AI9" s="763"/>
      <c r="AJ9" s="763"/>
      <c r="AK9" s="763"/>
      <c r="AL9" s="763"/>
      <c r="AM9" s="763"/>
      <c r="AN9" s="763"/>
      <c r="AO9" s="763"/>
      <c r="AP9" s="763"/>
      <c r="AQ9" s="763"/>
      <c r="AR9" s="763"/>
      <c r="AS9" s="763"/>
      <c r="AT9" s="763"/>
      <c r="AU9" s="763"/>
      <c r="AV9" s="763"/>
      <c r="AW9" s="763"/>
      <c r="AX9" s="763"/>
      <c r="AY9" s="763"/>
      <c r="AZ9" s="763"/>
      <c r="BA9" s="763"/>
      <c r="BB9" s="763"/>
      <c r="BC9" s="763"/>
      <c r="BD9" s="763"/>
      <c r="BE9" s="763"/>
      <c r="BF9" s="763"/>
      <c r="BG9" s="763"/>
      <c r="BH9" s="763"/>
      <c r="BI9" s="763"/>
      <c r="BJ9" s="763"/>
      <c r="BK9" s="763"/>
      <c r="BL9" s="763"/>
      <c r="BM9" s="763"/>
      <c r="BN9" s="763"/>
      <c r="BO9" s="763"/>
      <c r="BP9" s="763"/>
      <c r="BQ9" s="763"/>
      <c r="BR9" s="763"/>
      <c r="BS9" s="763"/>
      <c r="BT9" s="763"/>
      <c r="BU9" s="763"/>
      <c r="BV9" s="763"/>
      <c r="BW9" s="763"/>
      <c r="BX9" s="763"/>
      <c r="BY9" s="763"/>
      <c r="BZ9" s="763"/>
      <c r="CA9" s="763"/>
      <c r="CB9" s="763"/>
      <c r="CC9" s="763"/>
      <c r="CD9" s="763"/>
      <c r="CE9" s="763"/>
      <c r="CF9" s="763"/>
      <c r="CG9" s="763"/>
      <c r="CH9" s="763"/>
      <c r="CI9" s="763"/>
      <c r="CJ9" s="763"/>
      <c r="CK9" s="763"/>
      <c r="CL9" s="763"/>
      <c r="CM9" s="763"/>
      <c r="CN9" s="763"/>
      <c r="CO9" s="763"/>
      <c r="CP9" s="763"/>
      <c r="CQ9" s="763"/>
      <c r="CR9" s="763"/>
      <c r="CS9" s="763"/>
      <c r="CT9" s="763"/>
      <c r="CU9" s="763"/>
      <c r="CV9" s="763"/>
      <c r="CW9" s="763"/>
      <c r="CX9" s="763"/>
      <c r="CY9" s="763"/>
      <c r="CZ9" s="763"/>
      <c r="DA9" s="763"/>
      <c r="DB9" s="763"/>
      <c r="DC9" s="763"/>
      <c r="DD9" s="763"/>
      <c r="DE9" s="763"/>
      <c r="DF9" s="763"/>
      <c r="DG9" s="763"/>
      <c r="DH9" s="763"/>
      <c r="DI9" s="763"/>
      <c r="DJ9" s="763"/>
      <c r="DK9" s="763"/>
      <c r="DL9" s="763"/>
      <c r="DM9" s="763"/>
      <c r="DN9" s="763"/>
      <c r="DO9" s="763"/>
      <c r="DP9" s="763"/>
      <c r="DQ9" s="763"/>
      <c r="DR9" s="763"/>
      <c r="DS9" s="763"/>
      <c r="DT9" s="763"/>
      <c r="DU9" s="763"/>
      <c r="DV9" s="763"/>
      <c r="DW9" s="763"/>
      <c r="DX9" s="763"/>
      <c r="DY9" s="763"/>
      <c r="DZ9" s="763"/>
      <c r="EA9" s="763"/>
      <c r="EB9" s="763"/>
    </row>
    <row r="10" spans="1:132" s="899" customFormat="1" ht="14.1" customHeight="1" x14ac:dyDescent="0.2">
      <c r="A10" s="426"/>
      <c r="B10" s="1319">
        <v>1</v>
      </c>
      <c r="C10" s="691" t="s">
        <v>1165</v>
      </c>
      <c r="D10" s="1321" t="s">
        <v>1165</v>
      </c>
      <c r="E10" s="1322"/>
      <c r="F10" s="767"/>
      <c r="G10" s="693" t="s">
        <v>1166</v>
      </c>
      <c r="H10" s="693"/>
      <c r="I10" s="694"/>
      <c r="J10" s="694"/>
      <c r="K10" s="695"/>
      <c r="L10" s="696"/>
      <c r="M10" s="697">
        <f>I10+K10</f>
        <v>0</v>
      </c>
      <c r="N10" s="783">
        <f>J10+L10</f>
        <v>0</v>
      </c>
      <c r="O10" s="698">
        <v>0</v>
      </c>
      <c r="P10" s="699">
        <f>M10*O10</f>
        <v>0</v>
      </c>
      <c r="Q10" s="700">
        <f>N10*O10</f>
        <v>0</v>
      </c>
      <c r="R10" s="1016"/>
      <c r="S10" s="1016"/>
      <c r="T10" s="1016"/>
      <c r="U10" s="1016"/>
      <c r="V10" s="1017">
        <f>IF(P10&lt;=Q10,P10*10%,Q10*10%)</f>
        <v>0</v>
      </c>
      <c r="W10" s="1018">
        <f>IF(P10&gt;Q10,P10-Q10,0)</f>
        <v>0</v>
      </c>
      <c r="X10" s="1018">
        <f>IF(Q10&gt;P10,Q10-P10,0)</f>
        <v>0</v>
      </c>
      <c r="Y10" s="1323">
        <f>IF(SUM(W10:W13)&lt;SUM(X10:X13),SUM(W10:W13)*40%,SUM(X10:X13)*40%)</f>
        <v>0</v>
      </c>
      <c r="Z10" s="1323">
        <f>(SUM(W10:W13)-SUM(X10:X13))</f>
        <v>0</v>
      </c>
      <c r="AA10" s="1323">
        <f>(IF(Z10=0,0,IF(Z14=0,0,IF(Z10&gt;0,IF(Z14&lt;0,IF(Z10&lt;ABS(Z14),Z10*40%,ABS(Z14)*40%),0),IF(Z14&gt;0,IF(ABS(Z10)&lt;Z14,ABS(Z10)*40%,Z14*40%),0)))))</f>
        <v>0</v>
      </c>
      <c r="AB10" s="1323">
        <f>IF(AA10=0,Z10,IF(ABS(Z10)&lt;ABS(Z14),0,Z10+Z14))</f>
        <v>0</v>
      </c>
      <c r="AC10" s="1337"/>
      <c r="AD10" s="1323">
        <f>AB10</f>
        <v>0</v>
      </c>
      <c r="AE10" s="1330">
        <f>(IF(AD10=0,0,IF(AD17=0,0,IF(AD10&gt;0,IF(AD17&lt;0,IF(AD10&lt;ABS(AD17),AD10*100%,ABS(AD17)*100%),0),IF(AD17&gt;0,IF(ABS(AD10)&lt;AD17,ABS(AD10)*100%,AD17*100%),0)))))</f>
        <v>0</v>
      </c>
      <c r="AF10" s="763"/>
      <c r="AG10" s="763"/>
      <c r="AH10" s="763"/>
      <c r="AI10" s="763"/>
      <c r="AJ10" s="763"/>
      <c r="AK10" s="763"/>
      <c r="AL10" s="763"/>
      <c r="AM10" s="763"/>
      <c r="AN10" s="763"/>
      <c r="AO10" s="763"/>
      <c r="AP10" s="763"/>
      <c r="AQ10" s="763"/>
      <c r="AR10" s="763"/>
      <c r="AS10" s="763"/>
      <c r="AT10" s="763"/>
      <c r="AU10" s="763"/>
      <c r="AV10" s="763"/>
      <c r="AW10" s="763"/>
      <c r="AX10" s="763"/>
      <c r="AY10" s="763"/>
      <c r="AZ10" s="763"/>
      <c r="BA10" s="763"/>
      <c r="BB10" s="763"/>
      <c r="BC10" s="763"/>
      <c r="BD10" s="763"/>
      <c r="BE10" s="763"/>
      <c r="BF10" s="763"/>
      <c r="BG10" s="763"/>
      <c r="BH10" s="763"/>
      <c r="BI10" s="763"/>
      <c r="BJ10" s="763"/>
      <c r="BK10" s="763"/>
      <c r="BL10" s="763"/>
      <c r="BM10" s="763"/>
      <c r="BN10" s="763"/>
      <c r="BO10" s="763"/>
      <c r="BP10" s="763"/>
      <c r="BQ10" s="763"/>
      <c r="BR10" s="763"/>
      <c r="BS10" s="763"/>
      <c r="BT10" s="763"/>
      <c r="BU10" s="763"/>
      <c r="BV10" s="763"/>
      <c r="BW10" s="763"/>
      <c r="BX10" s="763"/>
      <c r="BY10" s="763"/>
      <c r="BZ10" s="763"/>
      <c r="CA10" s="763"/>
      <c r="CB10" s="763"/>
      <c r="CC10" s="763"/>
      <c r="CD10" s="763"/>
      <c r="CE10" s="763"/>
      <c r="CF10" s="763"/>
      <c r="CG10" s="763"/>
      <c r="CH10" s="763"/>
      <c r="CI10" s="763"/>
      <c r="CJ10" s="763"/>
      <c r="CK10" s="763"/>
      <c r="CL10" s="763"/>
      <c r="CM10" s="763"/>
      <c r="CN10" s="763"/>
      <c r="CO10" s="763"/>
      <c r="CP10" s="763"/>
      <c r="CQ10" s="763"/>
      <c r="CR10" s="763"/>
      <c r="CS10" s="763"/>
      <c r="CT10" s="763"/>
      <c r="CU10" s="763"/>
      <c r="CV10" s="763"/>
      <c r="CW10" s="763"/>
      <c r="CX10" s="763"/>
      <c r="CY10" s="763"/>
      <c r="CZ10" s="763"/>
      <c r="DA10" s="763"/>
      <c r="DB10" s="763"/>
      <c r="DC10" s="763"/>
      <c r="DD10" s="763"/>
      <c r="DE10" s="763"/>
      <c r="DF10" s="763"/>
      <c r="DG10" s="763"/>
      <c r="DH10" s="763"/>
      <c r="DI10" s="763"/>
      <c r="DJ10" s="763"/>
      <c r="DK10" s="763"/>
      <c r="DL10" s="763"/>
      <c r="DM10" s="763"/>
      <c r="DN10" s="763"/>
      <c r="DO10" s="763"/>
      <c r="DP10" s="763"/>
      <c r="DQ10" s="763"/>
      <c r="DR10" s="763"/>
      <c r="DS10" s="763"/>
      <c r="DT10" s="763"/>
      <c r="DU10" s="763"/>
      <c r="DV10" s="763"/>
      <c r="DW10" s="763"/>
      <c r="DX10" s="763"/>
      <c r="DY10" s="763"/>
      <c r="DZ10" s="763"/>
      <c r="EA10" s="763"/>
      <c r="EB10" s="763"/>
    </row>
    <row r="11" spans="1:132" s="899" customFormat="1" ht="14.1" customHeight="1" x14ac:dyDescent="0.2">
      <c r="A11" s="426"/>
      <c r="B11" s="1320"/>
      <c r="C11" s="451" t="s">
        <v>1167</v>
      </c>
      <c r="D11" s="1333" t="s">
        <v>1167</v>
      </c>
      <c r="E11" s="1334"/>
      <c r="F11" s="774"/>
      <c r="G11" s="702" t="s">
        <v>1168</v>
      </c>
      <c r="H11" s="702"/>
      <c r="I11" s="703"/>
      <c r="J11" s="703"/>
      <c r="K11" s="704"/>
      <c r="L11" s="705"/>
      <c r="M11" s="706">
        <f>I11+K11</f>
        <v>0</v>
      </c>
      <c r="N11" s="784">
        <f>J11+L11</f>
        <v>0</v>
      </c>
      <c r="O11" s="707">
        <v>2E-3</v>
      </c>
      <c r="P11" s="708">
        <f>M11*O11</f>
        <v>0</v>
      </c>
      <c r="Q11" s="709">
        <f>N11*O11</f>
        <v>0</v>
      </c>
      <c r="R11" s="1016"/>
      <c r="S11" s="1016"/>
      <c r="T11" s="1016"/>
      <c r="U11" s="1016"/>
      <c r="V11" s="1017">
        <f t="shared" ref="V11:V24" si="0">IF(P11&lt;=Q11,P11*10%,Q11*10%)</f>
        <v>0</v>
      </c>
      <c r="W11" s="1018">
        <f t="shared" ref="W11:W24" si="1">IF(P11&gt;Q11,P11-Q11,0)</f>
        <v>0</v>
      </c>
      <c r="X11" s="1018">
        <f t="shared" ref="X11:X23" si="2">IF(Q11&gt;P11,Q11-P11,0)</f>
        <v>0</v>
      </c>
      <c r="Y11" s="1324"/>
      <c r="Z11" s="1324"/>
      <c r="AA11" s="1324"/>
      <c r="AB11" s="1324"/>
      <c r="AC11" s="1338"/>
      <c r="AD11" s="1324"/>
      <c r="AE11" s="1331"/>
      <c r="AF11" s="763"/>
      <c r="AG11" s="763"/>
      <c r="AH11" s="763"/>
      <c r="AI11" s="763"/>
      <c r="AJ11" s="763"/>
      <c r="AK11" s="763"/>
      <c r="AL11" s="763"/>
      <c r="AM11" s="763"/>
      <c r="AN11" s="763"/>
      <c r="AO11" s="763"/>
      <c r="AP11" s="763"/>
      <c r="AQ11" s="763"/>
      <c r="AR11" s="763"/>
      <c r="AS11" s="763"/>
      <c r="AT11" s="763"/>
      <c r="AU11" s="763"/>
      <c r="AV11" s="763"/>
      <c r="AW11" s="763"/>
      <c r="AX11" s="763"/>
      <c r="AY11" s="763"/>
      <c r="AZ11" s="763"/>
      <c r="BA11" s="763"/>
      <c r="BB11" s="763"/>
      <c r="BC11" s="763"/>
      <c r="BD11" s="763"/>
      <c r="BE11" s="763"/>
      <c r="BF11" s="763"/>
      <c r="BG11" s="763"/>
      <c r="BH11" s="763"/>
      <c r="BI11" s="763"/>
      <c r="BJ11" s="763"/>
      <c r="BK11" s="763"/>
      <c r="BL11" s="763"/>
      <c r="BM11" s="763"/>
      <c r="BN11" s="763"/>
      <c r="BO11" s="763"/>
      <c r="BP11" s="763"/>
      <c r="BQ11" s="763"/>
      <c r="BR11" s="763"/>
      <c r="BS11" s="763"/>
      <c r="BT11" s="763"/>
      <c r="BU11" s="763"/>
      <c r="BV11" s="763"/>
      <c r="BW11" s="763"/>
      <c r="BX11" s="763"/>
      <c r="BY11" s="763"/>
      <c r="BZ11" s="763"/>
      <c r="CA11" s="763"/>
      <c r="CB11" s="763"/>
      <c r="CC11" s="763"/>
      <c r="CD11" s="763"/>
      <c r="CE11" s="763"/>
      <c r="CF11" s="763"/>
      <c r="CG11" s="763"/>
      <c r="CH11" s="763"/>
      <c r="CI11" s="763"/>
      <c r="CJ11" s="763"/>
      <c r="CK11" s="763"/>
      <c r="CL11" s="763"/>
      <c r="CM11" s="763"/>
      <c r="CN11" s="763"/>
      <c r="CO11" s="763"/>
      <c r="CP11" s="763"/>
      <c r="CQ11" s="763"/>
      <c r="CR11" s="763"/>
      <c r="CS11" s="763"/>
      <c r="CT11" s="763"/>
      <c r="CU11" s="763"/>
      <c r="CV11" s="763"/>
      <c r="CW11" s="763"/>
      <c r="CX11" s="763"/>
      <c r="CY11" s="763"/>
      <c r="CZ11" s="763"/>
      <c r="DA11" s="763"/>
      <c r="DB11" s="763"/>
      <c r="DC11" s="763"/>
      <c r="DD11" s="763"/>
      <c r="DE11" s="763"/>
      <c r="DF11" s="763"/>
      <c r="DG11" s="763"/>
      <c r="DH11" s="763"/>
      <c r="DI11" s="763"/>
      <c r="DJ11" s="763"/>
      <c r="DK11" s="763"/>
      <c r="DL11" s="763"/>
      <c r="DM11" s="763"/>
      <c r="DN11" s="763"/>
      <c r="DO11" s="763"/>
      <c r="DP11" s="763"/>
      <c r="DQ11" s="763"/>
      <c r="DR11" s="763"/>
      <c r="DS11" s="763"/>
      <c r="DT11" s="763"/>
      <c r="DU11" s="763"/>
      <c r="DV11" s="763"/>
      <c r="DW11" s="763"/>
      <c r="DX11" s="763"/>
      <c r="DY11" s="763"/>
      <c r="DZ11" s="763"/>
      <c r="EA11" s="763"/>
      <c r="EB11" s="763"/>
    </row>
    <row r="12" spans="1:132" s="899" customFormat="1" ht="14.1" customHeight="1" x14ac:dyDescent="0.2">
      <c r="A12" s="426"/>
      <c r="B12" s="1320"/>
      <c r="C12" s="710" t="s">
        <v>1169</v>
      </c>
      <c r="D12" s="1333" t="s">
        <v>1169</v>
      </c>
      <c r="E12" s="1334"/>
      <c r="F12" s="701"/>
      <c r="G12" s="702" t="s">
        <v>1170</v>
      </c>
      <c r="H12" s="702"/>
      <c r="I12" s="703"/>
      <c r="J12" s="703"/>
      <c r="K12" s="703"/>
      <c r="L12" s="711"/>
      <c r="M12" s="706">
        <f>I12+K12</f>
        <v>0</v>
      </c>
      <c r="N12" s="784">
        <f t="shared" ref="N12:N24" si="3">J12+L12</f>
        <v>0</v>
      </c>
      <c r="O12" s="712">
        <v>4.0000000000000001E-3</v>
      </c>
      <c r="P12" s="708">
        <f t="shared" ref="P12:P24" si="4">M12*O12</f>
        <v>0</v>
      </c>
      <c r="Q12" s="709">
        <f t="shared" ref="Q12:Q24" si="5">N12*O12</f>
        <v>0</v>
      </c>
      <c r="R12" s="1016"/>
      <c r="S12" s="1016"/>
      <c r="T12" s="1016"/>
      <c r="U12" s="1016"/>
      <c r="V12" s="1017">
        <f t="shared" si="0"/>
        <v>0</v>
      </c>
      <c r="W12" s="1019">
        <f t="shared" si="1"/>
        <v>0</v>
      </c>
      <c r="X12" s="1018">
        <f t="shared" si="2"/>
        <v>0</v>
      </c>
      <c r="Y12" s="1324"/>
      <c r="Z12" s="1324"/>
      <c r="AA12" s="1324"/>
      <c r="AB12" s="1324"/>
      <c r="AC12" s="1338"/>
      <c r="AD12" s="1324"/>
      <c r="AE12" s="1331"/>
      <c r="AF12" s="763"/>
      <c r="AG12" s="763"/>
      <c r="AH12" s="763"/>
      <c r="AI12" s="763"/>
      <c r="AJ12" s="763"/>
      <c r="AK12" s="763"/>
      <c r="AL12" s="763"/>
      <c r="AM12" s="763"/>
      <c r="AN12" s="763"/>
      <c r="AO12" s="763"/>
      <c r="AP12" s="763"/>
      <c r="AQ12" s="763"/>
      <c r="AR12" s="763"/>
      <c r="AS12" s="763"/>
      <c r="AT12" s="763"/>
      <c r="AU12" s="763"/>
      <c r="AV12" s="763"/>
      <c r="AW12" s="763"/>
      <c r="AX12" s="763"/>
      <c r="AY12" s="763"/>
      <c r="AZ12" s="763"/>
      <c r="BA12" s="763"/>
      <c r="BB12" s="763"/>
      <c r="BC12" s="763"/>
      <c r="BD12" s="763"/>
      <c r="BE12" s="763"/>
      <c r="BF12" s="763"/>
      <c r="BG12" s="763"/>
      <c r="BH12" s="763"/>
      <c r="BI12" s="763"/>
      <c r="BJ12" s="763"/>
      <c r="BK12" s="763"/>
      <c r="BL12" s="763"/>
      <c r="BM12" s="763"/>
      <c r="BN12" s="763"/>
      <c r="BO12" s="763"/>
      <c r="BP12" s="763"/>
      <c r="BQ12" s="763"/>
      <c r="BR12" s="763"/>
      <c r="BS12" s="763"/>
      <c r="BT12" s="763"/>
      <c r="BU12" s="763"/>
      <c r="BV12" s="763"/>
      <c r="BW12" s="763"/>
      <c r="BX12" s="763"/>
      <c r="BY12" s="763"/>
      <c r="BZ12" s="763"/>
      <c r="CA12" s="763"/>
      <c r="CB12" s="763"/>
      <c r="CC12" s="763"/>
      <c r="CD12" s="763"/>
      <c r="CE12" s="763"/>
      <c r="CF12" s="763"/>
      <c r="CG12" s="763"/>
      <c r="CH12" s="763"/>
      <c r="CI12" s="763"/>
      <c r="CJ12" s="763"/>
      <c r="CK12" s="763"/>
      <c r="CL12" s="763"/>
      <c r="CM12" s="763"/>
      <c r="CN12" s="763"/>
      <c r="CO12" s="763"/>
      <c r="CP12" s="763"/>
      <c r="CQ12" s="763"/>
      <c r="CR12" s="763"/>
      <c r="CS12" s="763"/>
      <c r="CT12" s="763"/>
      <c r="CU12" s="763"/>
      <c r="CV12" s="763"/>
      <c r="CW12" s="763"/>
      <c r="CX12" s="763"/>
      <c r="CY12" s="763"/>
      <c r="CZ12" s="763"/>
      <c r="DA12" s="763"/>
      <c r="DB12" s="763"/>
      <c r="DC12" s="763"/>
      <c r="DD12" s="763"/>
      <c r="DE12" s="763"/>
      <c r="DF12" s="763"/>
      <c r="DG12" s="763"/>
      <c r="DH12" s="763"/>
      <c r="DI12" s="763"/>
      <c r="DJ12" s="763"/>
      <c r="DK12" s="763"/>
      <c r="DL12" s="763"/>
      <c r="DM12" s="763"/>
      <c r="DN12" s="763"/>
      <c r="DO12" s="763"/>
      <c r="DP12" s="763"/>
      <c r="DQ12" s="763"/>
      <c r="DR12" s="763"/>
      <c r="DS12" s="763"/>
      <c r="DT12" s="763"/>
      <c r="DU12" s="763"/>
      <c r="DV12" s="763"/>
      <c r="DW12" s="763"/>
      <c r="DX12" s="763"/>
      <c r="DY12" s="763"/>
      <c r="DZ12" s="763"/>
      <c r="EA12" s="763"/>
      <c r="EB12" s="763"/>
    </row>
    <row r="13" spans="1:132" s="899" customFormat="1" ht="14.1" customHeight="1" thickBot="1" x14ac:dyDescent="0.25">
      <c r="A13" s="426"/>
      <c r="B13" s="1320"/>
      <c r="C13" s="710" t="s">
        <v>1171</v>
      </c>
      <c r="D13" s="1372" t="s">
        <v>1171</v>
      </c>
      <c r="E13" s="1373"/>
      <c r="F13" s="768"/>
      <c r="G13" s="714" t="s">
        <v>1172</v>
      </c>
      <c r="H13" s="714"/>
      <c r="I13" s="703"/>
      <c r="J13" s="703"/>
      <c r="K13" s="703"/>
      <c r="L13" s="711"/>
      <c r="M13" s="715">
        <f t="shared" ref="M13:M24" si="6">I13+K13</f>
        <v>0</v>
      </c>
      <c r="N13" s="785">
        <f t="shared" si="3"/>
        <v>0</v>
      </c>
      <c r="O13" s="712">
        <v>7.0000000000000001E-3</v>
      </c>
      <c r="P13" s="716">
        <f t="shared" si="4"/>
        <v>0</v>
      </c>
      <c r="Q13" s="717">
        <f t="shared" si="5"/>
        <v>0</v>
      </c>
      <c r="R13" s="1016"/>
      <c r="S13" s="1016"/>
      <c r="T13" s="1016"/>
      <c r="U13" s="1016"/>
      <c r="V13" s="1020">
        <f t="shared" si="0"/>
        <v>0</v>
      </c>
      <c r="W13" s="1021">
        <f t="shared" si="1"/>
        <v>0</v>
      </c>
      <c r="X13" s="1021">
        <f t="shared" si="2"/>
        <v>0</v>
      </c>
      <c r="Y13" s="1325"/>
      <c r="Z13" s="1325"/>
      <c r="AA13" s="1324"/>
      <c r="AB13" s="1325"/>
      <c r="AC13" s="1339"/>
      <c r="AD13" s="1325"/>
      <c r="AE13" s="1331"/>
      <c r="AF13" s="763"/>
      <c r="AG13" s="763"/>
      <c r="AH13" s="763"/>
      <c r="AI13" s="763"/>
      <c r="AJ13" s="763"/>
      <c r="AK13" s="763"/>
      <c r="AL13" s="763"/>
      <c r="AM13" s="763"/>
      <c r="AN13" s="763"/>
      <c r="AO13" s="763"/>
      <c r="AP13" s="763"/>
      <c r="AQ13" s="763"/>
      <c r="AR13" s="763"/>
      <c r="AS13" s="763"/>
      <c r="AT13" s="763"/>
      <c r="AU13" s="763"/>
      <c r="AV13" s="763"/>
      <c r="AW13" s="763"/>
      <c r="AX13" s="763"/>
      <c r="AY13" s="763"/>
      <c r="AZ13" s="763"/>
      <c r="BA13" s="763"/>
      <c r="BB13" s="763"/>
      <c r="BC13" s="763"/>
      <c r="BD13" s="763"/>
      <c r="BE13" s="763"/>
      <c r="BF13" s="763"/>
      <c r="BG13" s="763"/>
      <c r="BH13" s="763"/>
      <c r="BI13" s="763"/>
      <c r="BJ13" s="763"/>
      <c r="BK13" s="763"/>
      <c r="BL13" s="763"/>
      <c r="BM13" s="763"/>
      <c r="BN13" s="763"/>
      <c r="BO13" s="763"/>
      <c r="BP13" s="763"/>
      <c r="BQ13" s="763"/>
      <c r="BR13" s="763"/>
      <c r="BS13" s="763"/>
      <c r="BT13" s="763"/>
      <c r="BU13" s="763"/>
      <c r="BV13" s="763"/>
      <c r="BW13" s="763"/>
      <c r="BX13" s="763"/>
      <c r="BY13" s="763"/>
      <c r="BZ13" s="763"/>
      <c r="CA13" s="763"/>
      <c r="CB13" s="763"/>
      <c r="CC13" s="763"/>
      <c r="CD13" s="763"/>
      <c r="CE13" s="763"/>
      <c r="CF13" s="763"/>
      <c r="CG13" s="763"/>
      <c r="CH13" s="763"/>
      <c r="CI13" s="763"/>
      <c r="CJ13" s="763"/>
      <c r="CK13" s="763"/>
      <c r="CL13" s="763"/>
      <c r="CM13" s="763"/>
      <c r="CN13" s="763"/>
      <c r="CO13" s="763"/>
      <c r="CP13" s="763"/>
      <c r="CQ13" s="763"/>
      <c r="CR13" s="763"/>
      <c r="CS13" s="763"/>
      <c r="CT13" s="763"/>
      <c r="CU13" s="763"/>
      <c r="CV13" s="763"/>
      <c r="CW13" s="763"/>
      <c r="CX13" s="763"/>
      <c r="CY13" s="763"/>
      <c r="CZ13" s="763"/>
      <c r="DA13" s="763"/>
      <c r="DB13" s="763"/>
      <c r="DC13" s="763"/>
      <c r="DD13" s="763"/>
      <c r="DE13" s="763"/>
      <c r="DF13" s="763"/>
      <c r="DG13" s="763"/>
      <c r="DH13" s="763"/>
      <c r="DI13" s="763"/>
      <c r="DJ13" s="763"/>
      <c r="DK13" s="763"/>
      <c r="DL13" s="763"/>
      <c r="DM13" s="763"/>
      <c r="DN13" s="763"/>
      <c r="DO13" s="763"/>
      <c r="DP13" s="763"/>
      <c r="DQ13" s="763"/>
      <c r="DR13" s="763"/>
      <c r="DS13" s="763"/>
      <c r="DT13" s="763"/>
      <c r="DU13" s="763"/>
      <c r="DV13" s="763"/>
      <c r="DW13" s="763"/>
      <c r="DX13" s="763"/>
      <c r="DY13" s="763"/>
      <c r="DZ13" s="763"/>
      <c r="EA13" s="763"/>
      <c r="EB13" s="763"/>
    </row>
    <row r="14" spans="1:132" s="899" customFormat="1" ht="14.1" customHeight="1" x14ac:dyDescent="0.2">
      <c r="A14" s="426"/>
      <c r="B14" s="1319">
        <v>2</v>
      </c>
      <c r="C14" s="691" t="s">
        <v>1173</v>
      </c>
      <c r="D14" s="1321" t="s">
        <v>1174</v>
      </c>
      <c r="E14" s="1322"/>
      <c r="F14" s="692"/>
      <c r="G14" s="693" t="s">
        <v>1175</v>
      </c>
      <c r="H14" s="693"/>
      <c r="I14" s="695"/>
      <c r="J14" s="695"/>
      <c r="K14" s="695"/>
      <c r="L14" s="696"/>
      <c r="M14" s="718">
        <f t="shared" si="6"/>
        <v>0</v>
      </c>
      <c r="N14" s="786">
        <f t="shared" si="3"/>
        <v>0</v>
      </c>
      <c r="O14" s="698">
        <v>1.2500000000000001E-2</v>
      </c>
      <c r="P14" s="719">
        <f t="shared" si="4"/>
        <v>0</v>
      </c>
      <c r="Q14" s="720">
        <f t="shared" si="5"/>
        <v>0</v>
      </c>
      <c r="R14" s="1016"/>
      <c r="S14" s="1016"/>
      <c r="T14" s="1016"/>
      <c r="U14" s="1016"/>
      <c r="V14" s="1022">
        <f t="shared" si="0"/>
        <v>0</v>
      </c>
      <c r="W14" s="1023">
        <f t="shared" si="1"/>
        <v>0</v>
      </c>
      <c r="X14" s="1023">
        <f t="shared" si="2"/>
        <v>0</v>
      </c>
      <c r="Y14" s="1327">
        <f>IF(SUM(W14:W16)&lt;SUM(X14:X16),SUM(W14:W16)*30%,SUM(X14:X16)*30%)</f>
        <v>0</v>
      </c>
      <c r="Z14" s="1327">
        <f>(SUM(W14:W16)-SUM(X14:X16))</f>
        <v>0</v>
      </c>
      <c r="AA14" s="1324"/>
      <c r="AB14" s="1327">
        <f>IF(AA10=0,Z14,IF(ABS(Z10)&lt;ABS(Z14),Z10+Z14,0))</f>
        <v>0</v>
      </c>
      <c r="AC14" s="1327">
        <f>(IF(AB14=0,0,IF(AB17=0,0,IF(AB14&gt;0,IF(AB17&lt;0,IF(AB14&lt;ABS(AB17),AB14*40%,ABS(AB17)*40%),0),IF(AB17&gt;0,IF(ABS(AB14)&lt;AB17,ABS(AB14)*40%,AB17*40%),0)))))</f>
        <v>0</v>
      </c>
      <c r="AD14" s="1327">
        <f>IF(AC14=0,AB14,IF(ABS(AB14)&lt;ABS(AB17),0,AB14+AB17))</f>
        <v>0</v>
      </c>
      <c r="AE14" s="1331"/>
      <c r="AF14" s="763"/>
      <c r="AG14" s="763"/>
      <c r="AH14" s="763"/>
      <c r="AI14" s="763"/>
      <c r="AJ14" s="763"/>
      <c r="AK14" s="763"/>
      <c r="AL14" s="763"/>
      <c r="AM14" s="763"/>
      <c r="AN14" s="763"/>
      <c r="AO14" s="763"/>
      <c r="AP14" s="763"/>
      <c r="AQ14" s="763"/>
      <c r="AR14" s="763"/>
      <c r="AS14" s="763"/>
      <c r="AT14" s="763"/>
      <c r="AU14" s="763"/>
      <c r="AV14" s="763"/>
      <c r="AW14" s="763"/>
      <c r="AX14" s="763"/>
      <c r="AY14" s="763"/>
      <c r="AZ14" s="763"/>
      <c r="BA14" s="763"/>
      <c r="BB14" s="763"/>
      <c r="BC14" s="763"/>
      <c r="BD14" s="763"/>
      <c r="BE14" s="763"/>
      <c r="BF14" s="763"/>
      <c r="BG14" s="763"/>
      <c r="BH14" s="763"/>
      <c r="BI14" s="763"/>
      <c r="BJ14" s="763"/>
      <c r="BK14" s="763"/>
      <c r="BL14" s="763"/>
      <c r="BM14" s="763"/>
      <c r="BN14" s="763"/>
      <c r="BO14" s="763"/>
      <c r="BP14" s="763"/>
      <c r="BQ14" s="763"/>
      <c r="BR14" s="763"/>
      <c r="BS14" s="763"/>
      <c r="BT14" s="763"/>
      <c r="BU14" s="763"/>
      <c r="BV14" s="763"/>
      <c r="BW14" s="763"/>
      <c r="BX14" s="763"/>
      <c r="BY14" s="763"/>
      <c r="BZ14" s="763"/>
      <c r="CA14" s="763"/>
      <c r="CB14" s="763"/>
      <c r="CC14" s="763"/>
      <c r="CD14" s="763"/>
      <c r="CE14" s="763"/>
      <c r="CF14" s="763"/>
      <c r="CG14" s="763"/>
      <c r="CH14" s="763"/>
      <c r="CI14" s="763"/>
      <c r="CJ14" s="763"/>
      <c r="CK14" s="763"/>
      <c r="CL14" s="763"/>
      <c r="CM14" s="763"/>
      <c r="CN14" s="763"/>
      <c r="CO14" s="763"/>
      <c r="CP14" s="763"/>
      <c r="CQ14" s="763"/>
      <c r="CR14" s="763"/>
      <c r="CS14" s="763"/>
      <c r="CT14" s="763"/>
      <c r="CU14" s="763"/>
      <c r="CV14" s="763"/>
      <c r="CW14" s="763"/>
      <c r="CX14" s="763"/>
      <c r="CY14" s="763"/>
      <c r="CZ14" s="763"/>
      <c r="DA14" s="763"/>
      <c r="DB14" s="763"/>
      <c r="DC14" s="763"/>
      <c r="DD14" s="763"/>
      <c r="DE14" s="763"/>
      <c r="DF14" s="763"/>
      <c r="DG14" s="763"/>
      <c r="DH14" s="763"/>
      <c r="DI14" s="763"/>
      <c r="DJ14" s="763"/>
      <c r="DK14" s="763"/>
      <c r="DL14" s="763"/>
      <c r="DM14" s="763"/>
      <c r="DN14" s="763"/>
      <c r="DO14" s="763"/>
      <c r="DP14" s="763"/>
      <c r="DQ14" s="763"/>
      <c r="DR14" s="763"/>
      <c r="DS14" s="763"/>
      <c r="DT14" s="763"/>
      <c r="DU14" s="763"/>
      <c r="DV14" s="763"/>
      <c r="DW14" s="763"/>
      <c r="DX14" s="763"/>
      <c r="DY14" s="763"/>
      <c r="DZ14" s="763"/>
      <c r="EA14" s="763"/>
      <c r="EB14" s="763"/>
    </row>
    <row r="15" spans="1:132" s="899" customFormat="1" ht="14.1" customHeight="1" x14ac:dyDescent="0.2">
      <c r="A15" s="426"/>
      <c r="B15" s="1320"/>
      <c r="C15" s="451" t="s">
        <v>1176</v>
      </c>
      <c r="D15" s="1333" t="s">
        <v>1177</v>
      </c>
      <c r="E15" s="1334"/>
      <c r="F15" s="701"/>
      <c r="G15" s="702" t="s">
        <v>1178</v>
      </c>
      <c r="H15" s="702"/>
      <c r="I15" s="704"/>
      <c r="J15" s="704"/>
      <c r="K15" s="704"/>
      <c r="L15" s="705"/>
      <c r="M15" s="706">
        <f t="shared" si="6"/>
        <v>0</v>
      </c>
      <c r="N15" s="784">
        <f t="shared" si="3"/>
        <v>0</v>
      </c>
      <c r="O15" s="707">
        <v>1.7500000000000002E-2</v>
      </c>
      <c r="P15" s="708">
        <f t="shared" si="4"/>
        <v>0</v>
      </c>
      <c r="Q15" s="709">
        <f t="shared" si="5"/>
        <v>0</v>
      </c>
      <c r="R15" s="1016"/>
      <c r="S15" s="1016"/>
      <c r="T15" s="1016"/>
      <c r="U15" s="1016"/>
      <c r="V15" s="1024">
        <f t="shared" si="0"/>
        <v>0</v>
      </c>
      <c r="W15" s="1025">
        <f t="shared" si="1"/>
        <v>0</v>
      </c>
      <c r="X15" s="1025">
        <f t="shared" si="2"/>
        <v>0</v>
      </c>
      <c r="Y15" s="1328"/>
      <c r="Z15" s="1328"/>
      <c r="AA15" s="1324"/>
      <c r="AB15" s="1328"/>
      <c r="AC15" s="1328"/>
      <c r="AD15" s="1328"/>
      <c r="AE15" s="1331"/>
      <c r="AF15" s="763"/>
      <c r="AG15" s="763"/>
      <c r="AH15" s="763"/>
      <c r="AI15" s="763"/>
      <c r="AJ15" s="763"/>
      <c r="AK15" s="763"/>
      <c r="AL15" s="763"/>
      <c r="AM15" s="763"/>
      <c r="AN15" s="763"/>
      <c r="AO15" s="763"/>
      <c r="AP15" s="763"/>
      <c r="AQ15" s="763"/>
      <c r="AR15" s="763"/>
      <c r="AS15" s="763"/>
      <c r="AT15" s="763"/>
      <c r="AU15" s="763"/>
      <c r="AV15" s="763"/>
      <c r="AW15" s="763"/>
      <c r="AX15" s="763"/>
      <c r="AY15" s="763"/>
      <c r="AZ15" s="763"/>
      <c r="BA15" s="763"/>
      <c r="BB15" s="763"/>
      <c r="BC15" s="763"/>
      <c r="BD15" s="763"/>
      <c r="BE15" s="763"/>
      <c r="BF15" s="763"/>
      <c r="BG15" s="763"/>
      <c r="BH15" s="763"/>
      <c r="BI15" s="763"/>
      <c r="BJ15" s="763"/>
      <c r="BK15" s="763"/>
      <c r="BL15" s="763"/>
      <c r="BM15" s="763"/>
      <c r="BN15" s="763"/>
      <c r="BO15" s="763"/>
      <c r="BP15" s="763"/>
      <c r="BQ15" s="763"/>
      <c r="BR15" s="763"/>
      <c r="BS15" s="763"/>
      <c r="BT15" s="763"/>
      <c r="BU15" s="763"/>
      <c r="BV15" s="763"/>
      <c r="BW15" s="763"/>
      <c r="BX15" s="763"/>
      <c r="BY15" s="763"/>
      <c r="BZ15" s="763"/>
      <c r="CA15" s="763"/>
      <c r="CB15" s="763"/>
      <c r="CC15" s="763"/>
      <c r="CD15" s="763"/>
      <c r="CE15" s="763"/>
      <c r="CF15" s="763"/>
      <c r="CG15" s="763"/>
      <c r="CH15" s="763"/>
      <c r="CI15" s="763"/>
      <c r="CJ15" s="763"/>
      <c r="CK15" s="763"/>
      <c r="CL15" s="763"/>
      <c r="CM15" s="763"/>
      <c r="CN15" s="763"/>
      <c r="CO15" s="763"/>
      <c r="CP15" s="763"/>
      <c r="CQ15" s="763"/>
      <c r="CR15" s="763"/>
      <c r="CS15" s="763"/>
      <c r="CT15" s="763"/>
      <c r="CU15" s="763"/>
      <c r="CV15" s="763"/>
      <c r="CW15" s="763"/>
      <c r="CX15" s="763"/>
      <c r="CY15" s="763"/>
      <c r="CZ15" s="763"/>
      <c r="DA15" s="763"/>
      <c r="DB15" s="763"/>
      <c r="DC15" s="763"/>
      <c r="DD15" s="763"/>
      <c r="DE15" s="763"/>
      <c r="DF15" s="763"/>
      <c r="DG15" s="763"/>
      <c r="DH15" s="763"/>
      <c r="DI15" s="763"/>
      <c r="DJ15" s="763"/>
      <c r="DK15" s="763"/>
      <c r="DL15" s="763"/>
      <c r="DM15" s="763"/>
      <c r="DN15" s="763"/>
      <c r="DO15" s="763"/>
      <c r="DP15" s="763"/>
      <c r="DQ15" s="763"/>
      <c r="DR15" s="763"/>
      <c r="DS15" s="763"/>
      <c r="DT15" s="763"/>
      <c r="DU15" s="763"/>
      <c r="DV15" s="763"/>
      <c r="DW15" s="763"/>
      <c r="DX15" s="763"/>
      <c r="DY15" s="763"/>
      <c r="DZ15" s="763"/>
      <c r="EA15" s="763"/>
      <c r="EB15" s="763"/>
    </row>
    <row r="16" spans="1:132" s="899" customFormat="1" ht="14.1" customHeight="1" thickBot="1" x14ac:dyDescent="0.25">
      <c r="A16" s="426"/>
      <c r="B16" s="1326"/>
      <c r="C16" s="721" t="s">
        <v>1179</v>
      </c>
      <c r="D16" s="1372" t="s">
        <v>1180</v>
      </c>
      <c r="E16" s="1373"/>
      <c r="F16" s="768"/>
      <c r="G16" s="714" t="s">
        <v>1181</v>
      </c>
      <c r="H16" s="714"/>
      <c r="I16" s="722"/>
      <c r="J16" s="722"/>
      <c r="K16" s="722"/>
      <c r="L16" s="723"/>
      <c r="M16" s="715">
        <f t="shared" si="6"/>
        <v>0</v>
      </c>
      <c r="N16" s="785">
        <f t="shared" si="3"/>
        <v>0</v>
      </c>
      <c r="O16" s="724">
        <v>2.2499999999999999E-2</v>
      </c>
      <c r="P16" s="716">
        <f t="shared" si="4"/>
        <v>0</v>
      </c>
      <c r="Q16" s="717">
        <f t="shared" si="5"/>
        <v>0</v>
      </c>
      <c r="R16" s="1016"/>
      <c r="S16" s="1016"/>
      <c r="T16" s="1016"/>
      <c r="U16" s="1016"/>
      <c r="V16" s="1026">
        <f t="shared" si="0"/>
        <v>0</v>
      </c>
      <c r="W16" s="1027">
        <f t="shared" si="1"/>
        <v>0</v>
      </c>
      <c r="X16" s="1027">
        <f t="shared" si="2"/>
        <v>0</v>
      </c>
      <c r="Y16" s="1329"/>
      <c r="Z16" s="1329"/>
      <c r="AA16" s="1325"/>
      <c r="AB16" s="1329"/>
      <c r="AC16" s="1328"/>
      <c r="AD16" s="1329"/>
      <c r="AE16" s="1331"/>
      <c r="AF16" s="763"/>
      <c r="AG16" s="763"/>
      <c r="AH16" s="763"/>
      <c r="AI16" s="763"/>
      <c r="AJ16" s="763"/>
      <c r="AK16" s="763"/>
      <c r="AL16" s="763"/>
      <c r="AM16" s="763"/>
      <c r="AN16" s="763"/>
      <c r="AO16" s="763"/>
      <c r="AP16" s="763"/>
      <c r="AQ16" s="763"/>
      <c r="AR16" s="763"/>
      <c r="AS16" s="763"/>
      <c r="AT16" s="763"/>
      <c r="AU16" s="763"/>
      <c r="AV16" s="763"/>
      <c r="AW16" s="763"/>
      <c r="AX16" s="763"/>
      <c r="AY16" s="763"/>
      <c r="AZ16" s="763"/>
      <c r="BA16" s="763"/>
      <c r="BB16" s="763"/>
      <c r="BC16" s="763"/>
      <c r="BD16" s="763"/>
      <c r="BE16" s="763"/>
      <c r="BF16" s="763"/>
      <c r="BG16" s="763"/>
      <c r="BH16" s="763"/>
      <c r="BI16" s="763"/>
      <c r="BJ16" s="763"/>
      <c r="BK16" s="763"/>
      <c r="BL16" s="763"/>
      <c r="BM16" s="763"/>
      <c r="BN16" s="763"/>
      <c r="BO16" s="763"/>
      <c r="BP16" s="763"/>
      <c r="BQ16" s="763"/>
      <c r="BR16" s="763"/>
      <c r="BS16" s="763"/>
      <c r="BT16" s="763"/>
      <c r="BU16" s="763"/>
      <c r="BV16" s="763"/>
      <c r="BW16" s="763"/>
      <c r="BX16" s="763"/>
      <c r="BY16" s="763"/>
      <c r="BZ16" s="763"/>
      <c r="CA16" s="763"/>
      <c r="CB16" s="763"/>
      <c r="CC16" s="763"/>
      <c r="CD16" s="763"/>
      <c r="CE16" s="763"/>
      <c r="CF16" s="763"/>
      <c r="CG16" s="763"/>
      <c r="CH16" s="763"/>
      <c r="CI16" s="763"/>
      <c r="CJ16" s="763"/>
      <c r="CK16" s="763"/>
      <c r="CL16" s="763"/>
      <c r="CM16" s="763"/>
      <c r="CN16" s="763"/>
      <c r="CO16" s="763"/>
      <c r="CP16" s="763"/>
      <c r="CQ16" s="763"/>
      <c r="CR16" s="763"/>
      <c r="CS16" s="763"/>
      <c r="CT16" s="763"/>
      <c r="CU16" s="763"/>
      <c r="CV16" s="763"/>
      <c r="CW16" s="763"/>
      <c r="CX16" s="763"/>
      <c r="CY16" s="763"/>
      <c r="CZ16" s="763"/>
      <c r="DA16" s="763"/>
      <c r="DB16" s="763"/>
      <c r="DC16" s="763"/>
      <c r="DD16" s="763"/>
      <c r="DE16" s="763"/>
      <c r="DF16" s="763"/>
      <c r="DG16" s="763"/>
      <c r="DH16" s="763"/>
      <c r="DI16" s="763"/>
      <c r="DJ16" s="763"/>
      <c r="DK16" s="763"/>
      <c r="DL16" s="763"/>
      <c r="DM16" s="763"/>
      <c r="DN16" s="763"/>
      <c r="DO16" s="763"/>
      <c r="DP16" s="763"/>
      <c r="DQ16" s="763"/>
      <c r="DR16" s="763"/>
      <c r="DS16" s="763"/>
      <c r="DT16" s="763"/>
      <c r="DU16" s="763"/>
      <c r="DV16" s="763"/>
      <c r="DW16" s="763"/>
      <c r="DX16" s="763"/>
      <c r="DY16" s="763"/>
      <c r="DZ16" s="763"/>
      <c r="EA16" s="763"/>
      <c r="EB16" s="763"/>
    </row>
    <row r="17" spans="1:134" s="899" customFormat="1" ht="14.1" customHeight="1" x14ac:dyDescent="0.2">
      <c r="A17" s="426"/>
      <c r="B17" s="1319">
        <v>3</v>
      </c>
      <c r="C17" s="725" t="s">
        <v>1182</v>
      </c>
      <c r="D17" s="1321" t="s">
        <v>1183</v>
      </c>
      <c r="E17" s="1322"/>
      <c r="F17" s="767"/>
      <c r="G17" s="693" t="s">
        <v>1184</v>
      </c>
      <c r="H17" s="693"/>
      <c r="I17" s="694"/>
      <c r="J17" s="694"/>
      <c r="K17" s="694"/>
      <c r="L17" s="726"/>
      <c r="M17" s="718">
        <f t="shared" si="6"/>
        <v>0</v>
      </c>
      <c r="N17" s="786">
        <f t="shared" si="3"/>
        <v>0</v>
      </c>
      <c r="O17" s="727">
        <v>2.75E-2</v>
      </c>
      <c r="P17" s="719">
        <f t="shared" si="4"/>
        <v>0</v>
      </c>
      <c r="Q17" s="720">
        <f t="shared" si="5"/>
        <v>0</v>
      </c>
      <c r="R17" s="1016"/>
      <c r="S17" s="1016"/>
      <c r="T17" s="1016"/>
      <c r="U17" s="1016"/>
      <c r="V17" s="1028">
        <f t="shared" si="0"/>
        <v>0</v>
      </c>
      <c r="W17" s="1029">
        <f t="shared" si="1"/>
        <v>0</v>
      </c>
      <c r="X17" s="1029">
        <f t="shared" si="2"/>
        <v>0</v>
      </c>
      <c r="Y17" s="1330">
        <f>IF(SUM(W17:W24)&lt;SUM(X17:X24),SUM(W17:W24)*30%,SUM(X17:X24)*30%)</f>
        <v>0</v>
      </c>
      <c r="Z17" s="1330">
        <f>SUM(W17:W24)-SUM(X17:X24)</f>
        <v>0</v>
      </c>
      <c r="AA17" s="1337"/>
      <c r="AB17" s="1330">
        <f>Z17</f>
        <v>0</v>
      </c>
      <c r="AC17" s="1328"/>
      <c r="AD17" s="1330">
        <f>IF(AC14=0,AB17,IF(ABS(AB14)&lt;ABS(AB17),AB14+AB17,0))</f>
        <v>0</v>
      </c>
      <c r="AE17" s="1331"/>
      <c r="AF17" s="763"/>
      <c r="AG17" s="763"/>
      <c r="AH17" s="763"/>
      <c r="AI17" s="763"/>
      <c r="AJ17" s="763"/>
      <c r="AK17" s="763"/>
      <c r="AL17" s="763"/>
      <c r="AM17" s="763"/>
      <c r="AN17" s="763"/>
      <c r="AO17" s="763"/>
      <c r="AP17" s="763"/>
      <c r="AQ17" s="763"/>
      <c r="AR17" s="763"/>
      <c r="AS17" s="763"/>
      <c r="AT17" s="763"/>
      <c r="AU17" s="763"/>
      <c r="AV17" s="763"/>
      <c r="AW17" s="763"/>
      <c r="AX17" s="763"/>
      <c r="AY17" s="763"/>
      <c r="AZ17" s="763"/>
      <c r="BA17" s="763"/>
      <c r="BB17" s="763"/>
      <c r="BC17" s="763"/>
      <c r="BD17" s="763"/>
      <c r="BE17" s="763"/>
      <c r="BF17" s="763"/>
      <c r="BG17" s="763"/>
      <c r="BH17" s="763"/>
      <c r="BI17" s="763"/>
      <c r="BJ17" s="763"/>
      <c r="BK17" s="763"/>
      <c r="BL17" s="763"/>
      <c r="BM17" s="763"/>
      <c r="BN17" s="763"/>
      <c r="BO17" s="763"/>
      <c r="BP17" s="763"/>
      <c r="BQ17" s="763"/>
      <c r="BR17" s="763"/>
      <c r="BS17" s="763"/>
      <c r="BT17" s="763"/>
      <c r="BU17" s="763"/>
      <c r="BV17" s="763"/>
      <c r="BW17" s="763"/>
      <c r="BX17" s="763"/>
      <c r="BY17" s="763"/>
      <c r="BZ17" s="763"/>
      <c r="CA17" s="763"/>
      <c r="CB17" s="763"/>
      <c r="CC17" s="763"/>
      <c r="CD17" s="763"/>
      <c r="CE17" s="763"/>
      <c r="CF17" s="763"/>
      <c r="CG17" s="763"/>
      <c r="CH17" s="763"/>
      <c r="CI17" s="763"/>
      <c r="CJ17" s="763"/>
      <c r="CK17" s="763"/>
      <c r="CL17" s="763"/>
      <c r="CM17" s="763"/>
      <c r="CN17" s="763"/>
      <c r="CO17" s="763"/>
      <c r="CP17" s="763"/>
      <c r="CQ17" s="763"/>
      <c r="CR17" s="763"/>
      <c r="CS17" s="763"/>
      <c r="CT17" s="763"/>
      <c r="CU17" s="763"/>
      <c r="CV17" s="763"/>
      <c r="CW17" s="763"/>
      <c r="CX17" s="763"/>
      <c r="CY17" s="763"/>
      <c r="CZ17" s="763"/>
      <c r="DA17" s="763"/>
      <c r="DB17" s="763"/>
      <c r="DC17" s="763"/>
      <c r="DD17" s="763"/>
      <c r="DE17" s="763"/>
      <c r="DF17" s="763"/>
      <c r="DG17" s="763"/>
      <c r="DH17" s="763"/>
      <c r="DI17" s="763"/>
      <c r="DJ17" s="763"/>
      <c r="DK17" s="763"/>
      <c r="DL17" s="763"/>
      <c r="DM17" s="763"/>
      <c r="DN17" s="763"/>
      <c r="DO17" s="763"/>
      <c r="DP17" s="763"/>
      <c r="DQ17" s="763"/>
      <c r="DR17" s="763"/>
      <c r="DS17" s="763"/>
      <c r="DT17" s="763"/>
      <c r="DU17" s="763"/>
      <c r="DV17" s="763"/>
      <c r="DW17" s="763"/>
      <c r="DX17" s="763"/>
      <c r="DY17" s="763"/>
      <c r="DZ17" s="763"/>
      <c r="EA17" s="763"/>
      <c r="EB17" s="763"/>
    </row>
    <row r="18" spans="1:134" s="899" customFormat="1" ht="14.1" customHeight="1" x14ac:dyDescent="0.2">
      <c r="A18" s="426"/>
      <c r="B18" s="1320"/>
      <c r="C18" s="451" t="s">
        <v>1185</v>
      </c>
      <c r="D18" s="1333" t="s">
        <v>1186</v>
      </c>
      <c r="E18" s="1334"/>
      <c r="F18" s="701"/>
      <c r="G18" s="702" t="s">
        <v>1187</v>
      </c>
      <c r="H18" s="702"/>
      <c r="I18" s="704"/>
      <c r="J18" s="704"/>
      <c r="K18" s="704"/>
      <c r="L18" s="705"/>
      <c r="M18" s="706">
        <f t="shared" si="6"/>
        <v>0</v>
      </c>
      <c r="N18" s="784">
        <f t="shared" si="3"/>
        <v>0</v>
      </c>
      <c r="O18" s="707">
        <v>3.2500000000000001E-2</v>
      </c>
      <c r="P18" s="708">
        <f t="shared" si="4"/>
        <v>0</v>
      </c>
      <c r="Q18" s="709">
        <f t="shared" si="5"/>
        <v>0</v>
      </c>
      <c r="R18" s="1016"/>
      <c r="S18" s="1016"/>
      <c r="T18" s="1016"/>
      <c r="U18" s="1016"/>
      <c r="V18" s="1030">
        <f t="shared" si="0"/>
        <v>0</v>
      </c>
      <c r="W18" s="1031">
        <f t="shared" si="1"/>
        <v>0</v>
      </c>
      <c r="X18" s="1031">
        <f t="shared" si="2"/>
        <v>0</v>
      </c>
      <c r="Y18" s="1331"/>
      <c r="Z18" s="1331"/>
      <c r="AA18" s="1338"/>
      <c r="AB18" s="1331"/>
      <c r="AC18" s="1328"/>
      <c r="AD18" s="1331"/>
      <c r="AE18" s="1331"/>
      <c r="AF18" s="763"/>
      <c r="AG18" s="763"/>
      <c r="AH18" s="763"/>
      <c r="AI18" s="763"/>
      <c r="AJ18" s="763"/>
      <c r="AK18" s="763"/>
      <c r="AL18" s="763"/>
      <c r="AM18" s="763"/>
      <c r="AN18" s="763"/>
      <c r="AO18" s="763"/>
      <c r="AP18" s="763"/>
      <c r="AQ18" s="763"/>
      <c r="AR18" s="763"/>
      <c r="AS18" s="763"/>
      <c r="AT18" s="763"/>
      <c r="AU18" s="763"/>
      <c r="AV18" s="763"/>
      <c r="AW18" s="763"/>
      <c r="AX18" s="763"/>
      <c r="AY18" s="763"/>
      <c r="AZ18" s="763"/>
      <c r="BA18" s="763"/>
      <c r="BB18" s="763"/>
      <c r="BC18" s="763"/>
      <c r="BD18" s="763"/>
      <c r="BE18" s="763"/>
      <c r="BF18" s="763"/>
      <c r="BG18" s="763"/>
      <c r="BH18" s="763"/>
      <c r="BI18" s="763"/>
      <c r="BJ18" s="763"/>
      <c r="BK18" s="763"/>
      <c r="BL18" s="763"/>
      <c r="BM18" s="763"/>
      <c r="BN18" s="763"/>
      <c r="BO18" s="763"/>
      <c r="BP18" s="763"/>
      <c r="BQ18" s="763"/>
      <c r="BR18" s="763"/>
      <c r="BS18" s="763"/>
      <c r="BT18" s="763"/>
      <c r="BU18" s="763"/>
      <c r="BV18" s="763"/>
      <c r="BW18" s="763"/>
      <c r="BX18" s="763"/>
      <c r="BY18" s="763"/>
      <c r="BZ18" s="763"/>
      <c r="CA18" s="763"/>
      <c r="CB18" s="763"/>
      <c r="CC18" s="763"/>
      <c r="CD18" s="763"/>
      <c r="CE18" s="763"/>
      <c r="CF18" s="763"/>
      <c r="CG18" s="763"/>
      <c r="CH18" s="763"/>
      <c r="CI18" s="763"/>
      <c r="CJ18" s="763"/>
      <c r="CK18" s="763"/>
      <c r="CL18" s="763"/>
      <c r="CM18" s="763"/>
      <c r="CN18" s="763"/>
      <c r="CO18" s="763"/>
      <c r="CP18" s="763"/>
      <c r="CQ18" s="763"/>
      <c r="CR18" s="763"/>
      <c r="CS18" s="763"/>
      <c r="CT18" s="763"/>
      <c r="CU18" s="763"/>
      <c r="CV18" s="763"/>
      <c r="CW18" s="763"/>
      <c r="CX18" s="763"/>
      <c r="CY18" s="763"/>
      <c r="CZ18" s="763"/>
      <c r="DA18" s="763"/>
      <c r="DB18" s="763"/>
      <c r="DC18" s="763"/>
      <c r="DD18" s="763"/>
      <c r="DE18" s="763"/>
      <c r="DF18" s="763"/>
      <c r="DG18" s="763"/>
      <c r="DH18" s="763"/>
      <c r="DI18" s="763"/>
      <c r="DJ18" s="763"/>
      <c r="DK18" s="763"/>
      <c r="DL18" s="763"/>
      <c r="DM18" s="763"/>
      <c r="DN18" s="763"/>
      <c r="DO18" s="763"/>
      <c r="DP18" s="763"/>
      <c r="DQ18" s="763"/>
      <c r="DR18" s="763"/>
      <c r="DS18" s="763"/>
      <c r="DT18" s="763"/>
      <c r="DU18" s="763"/>
      <c r="DV18" s="763"/>
      <c r="DW18" s="763"/>
      <c r="DX18" s="763"/>
      <c r="DY18" s="763"/>
      <c r="DZ18" s="763"/>
      <c r="EA18" s="763"/>
      <c r="EB18" s="763"/>
    </row>
    <row r="19" spans="1:134" s="899" customFormat="1" ht="14.1" customHeight="1" x14ac:dyDescent="0.2">
      <c r="A19" s="426"/>
      <c r="B19" s="1320"/>
      <c r="C19" s="451" t="s">
        <v>1188</v>
      </c>
      <c r="D19" s="1333" t="s">
        <v>1189</v>
      </c>
      <c r="E19" s="1334"/>
      <c r="F19" s="701"/>
      <c r="G19" s="702" t="s">
        <v>1190</v>
      </c>
      <c r="H19" s="702"/>
      <c r="I19" s="704"/>
      <c r="J19" s="704"/>
      <c r="K19" s="704"/>
      <c r="L19" s="705"/>
      <c r="M19" s="706">
        <f t="shared" si="6"/>
        <v>0</v>
      </c>
      <c r="N19" s="784">
        <f t="shared" si="3"/>
        <v>0</v>
      </c>
      <c r="O19" s="707">
        <v>3.7499999999999999E-2</v>
      </c>
      <c r="P19" s="708">
        <f t="shared" si="4"/>
        <v>0</v>
      </c>
      <c r="Q19" s="709">
        <f t="shared" si="5"/>
        <v>0</v>
      </c>
      <c r="R19" s="1016"/>
      <c r="S19" s="1016"/>
      <c r="T19" s="1016"/>
      <c r="U19" s="1016"/>
      <c r="V19" s="1030">
        <f t="shared" si="0"/>
        <v>0</v>
      </c>
      <c r="W19" s="1031">
        <f t="shared" si="1"/>
        <v>0</v>
      </c>
      <c r="X19" s="1031">
        <f t="shared" si="2"/>
        <v>0</v>
      </c>
      <c r="Y19" s="1331"/>
      <c r="Z19" s="1331"/>
      <c r="AA19" s="1338"/>
      <c r="AB19" s="1331"/>
      <c r="AC19" s="1328"/>
      <c r="AD19" s="1331"/>
      <c r="AE19" s="1331"/>
      <c r="AF19" s="763"/>
      <c r="AG19" s="763"/>
      <c r="AH19" s="763"/>
      <c r="AI19" s="763"/>
      <c r="AJ19" s="763"/>
      <c r="AK19" s="763"/>
      <c r="AL19" s="763"/>
      <c r="AM19" s="763"/>
      <c r="AN19" s="763"/>
      <c r="AO19" s="763"/>
      <c r="AP19" s="763"/>
      <c r="AQ19" s="763"/>
      <c r="AR19" s="763"/>
      <c r="AS19" s="763"/>
      <c r="AT19" s="763"/>
      <c r="AU19" s="763"/>
      <c r="AV19" s="763"/>
      <c r="AW19" s="763"/>
      <c r="AX19" s="763"/>
      <c r="AY19" s="763"/>
      <c r="AZ19" s="763"/>
      <c r="BA19" s="763"/>
      <c r="BB19" s="763"/>
      <c r="BC19" s="763"/>
      <c r="BD19" s="763"/>
      <c r="BE19" s="763"/>
      <c r="BF19" s="763"/>
      <c r="BG19" s="763"/>
      <c r="BH19" s="763"/>
      <c r="BI19" s="763"/>
      <c r="BJ19" s="763"/>
      <c r="BK19" s="763"/>
      <c r="BL19" s="763"/>
      <c r="BM19" s="763"/>
      <c r="BN19" s="763"/>
      <c r="BO19" s="763"/>
      <c r="BP19" s="763"/>
      <c r="BQ19" s="763"/>
      <c r="BR19" s="763"/>
      <c r="BS19" s="763"/>
      <c r="BT19" s="763"/>
      <c r="BU19" s="763"/>
      <c r="BV19" s="763"/>
      <c r="BW19" s="763"/>
      <c r="BX19" s="763"/>
      <c r="BY19" s="763"/>
      <c r="BZ19" s="763"/>
      <c r="CA19" s="763"/>
      <c r="CB19" s="763"/>
      <c r="CC19" s="763"/>
      <c r="CD19" s="763"/>
      <c r="CE19" s="763"/>
      <c r="CF19" s="763"/>
      <c r="CG19" s="763"/>
      <c r="CH19" s="763"/>
      <c r="CI19" s="763"/>
      <c r="CJ19" s="763"/>
      <c r="CK19" s="763"/>
      <c r="CL19" s="763"/>
      <c r="CM19" s="763"/>
      <c r="CN19" s="763"/>
      <c r="CO19" s="763"/>
      <c r="CP19" s="763"/>
      <c r="CQ19" s="763"/>
      <c r="CR19" s="763"/>
      <c r="CS19" s="763"/>
      <c r="CT19" s="763"/>
      <c r="CU19" s="763"/>
      <c r="CV19" s="763"/>
      <c r="CW19" s="763"/>
      <c r="CX19" s="763"/>
      <c r="CY19" s="763"/>
      <c r="CZ19" s="763"/>
      <c r="DA19" s="763"/>
      <c r="DB19" s="763"/>
      <c r="DC19" s="763"/>
      <c r="DD19" s="763"/>
      <c r="DE19" s="763"/>
      <c r="DF19" s="763"/>
      <c r="DG19" s="763"/>
      <c r="DH19" s="763"/>
      <c r="DI19" s="763"/>
      <c r="DJ19" s="763"/>
      <c r="DK19" s="763"/>
      <c r="DL19" s="763"/>
      <c r="DM19" s="763"/>
      <c r="DN19" s="763"/>
      <c r="DO19" s="763"/>
      <c r="DP19" s="763"/>
      <c r="DQ19" s="763"/>
      <c r="DR19" s="763"/>
      <c r="DS19" s="763"/>
      <c r="DT19" s="763"/>
      <c r="DU19" s="763"/>
      <c r="DV19" s="763"/>
      <c r="DW19" s="763"/>
      <c r="DX19" s="763"/>
      <c r="DY19" s="763"/>
      <c r="DZ19" s="763"/>
      <c r="EA19" s="763"/>
      <c r="EB19" s="763"/>
    </row>
    <row r="20" spans="1:134" s="899" customFormat="1" ht="14.1" customHeight="1" x14ac:dyDescent="0.2">
      <c r="A20" s="426"/>
      <c r="B20" s="1320"/>
      <c r="C20" s="451" t="s">
        <v>1191</v>
      </c>
      <c r="D20" s="1333" t="s">
        <v>1192</v>
      </c>
      <c r="E20" s="1334"/>
      <c r="F20" s="701"/>
      <c r="G20" s="702" t="s">
        <v>1193</v>
      </c>
      <c r="H20" s="702"/>
      <c r="I20" s="704"/>
      <c r="J20" s="704"/>
      <c r="K20" s="704"/>
      <c r="L20" s="705"/>
      <c r="M20" s="706">
        <f t="shared" si="6"/>
        <v>0</v>
      </c>
      <c r="N20" s="784">
        <f t="shared" si="3"/>
        <v>0</v>
      </c>
      <c r="O20" s="707">
        <v>4.4999999999999998E-2</v>
      </c>
      <c r="P20" s="708">
        <f t="shared" si="4"/>
        <v>0</v>
      </c>
      <c r="Q20" s="709">
        <f t="shared" si="5"/>
        <v>0</v>
      </c>
      <c r="R20" s="1016"/>
      <c r="S20" s="1016"/>
      <c r="T20" s="1016"/>
      <c r="U20" s="1016"/>
      <c r="V20" s="1030">
        <f t="shared" si="0"/>
        <v>0</v>
      </c>
      <c r="W20" s="1031">
        <f t="shared" si="1"/>
        <v>0</v>
      </c>
      <c r="X20" s="1031">
        <f t="shared" si="2"/>
        <v>0</v>
      </c>
      <c r="Y20" s="1331"/>
      <c r="Z20" s="1331"/>
      <c r="AA20" s="1338"/>
      <c r="AB20" s="1331"/>
      <c r="AC20" s="1328"/>
      <c r="AD20" s="1331"/>
      <c r="AE20" s="1331"/>
      <c r="AF20" s="763"/>
      <c r="AG20" s="763"/>
      <c r="AH20" s="763"/>
      <c r="AI20" s="763"/>
      <c r="AJ20" s="763"/>
      <c r="AK20" s="763"/>
      <c r="AL20" s="763"/>
      <c r="AM20" s="763"/>
      <c r="AN20" s="763"/>
      <c r="AO20" s="763"/>
      <c r="AP20" s="763"/>
      <c r="AQ20" s="763"/>
      <c r="AR20" s="763"/>
      <c r="AS20" s="763"/>
      <c r="AT20" s="763"/>
      <c r="AU20" s="763"/>
      <c r="AV20" s="763"/>
      <c r="AW20" s="763"/>
      <c r="AX20" s="763"/>
      <c r="AY20" s="763"/>
      <c r="AZ20" s="763"/>
      <c r="BA20" s="763"/>
      <c r="BB20" s="763"/>
      <c r="BC20" s="763"/>
      <c r="BD20" s="763"/>
      <c r="BE20" s="763"/>
      <c r="BF20" s="763"/>
      <c r="BG20" s="763"/>
      <c r="BH20" s="763"/>
      <c r="BI20" s="763"/>
      <c r="BJ20" s="763"/>
      <c r="BK20" s="763"/>
      <c r="BL20" s="763"/>
      <c r="BM20" s="763"/>
      <c r="BN20" s="763"/>
      <c r="BO20" s="763"/>
      <c r="BP20" s="763"/>
      <c r="BQ20" s="763"/>
      <c r="BR20" s="763"/>
      <c r="BS20" s="763"/>
      <c r="BT20" s="763"/>
      <c r="BU20" s="763"/>
      <c r="BV20" s="763"/>
      <c r="BW20" s="763"/>
      <c r="BX20" s="763"/>
      <c r="BY20" s="763"/>
      <c r="BZ20" s="763"/>
      <c r="CA20" s="763"/>
      <c r="CB20" s="763"/>
      <c r="CC20" s="763"/>
      <c r="CD20" s="763"/>
      <c r="CE20" s="763"/>
      <c r="CF20" s="763"/>
      <c r="CG20" s="763"/>
      <c r="CH20" s="763"/>
      <c r="CI20" s="763"/>
      <c r="CJ20" s="763"/>
      <c r="CK20" s="763"/>
      <c r="CL20" s="763"/>
      <c r="CM20" s="763"/>
      <c r="CN20" s="763"/>
      <c r="CO20" s="763"/>
      <c r="CP20" s="763"/>
      <c r="CQ20" s="763"/>
      <c r="CR20" s="763"/>
      <c r="CS20" s="763"/>
      <c r="CT20" s="763"/>
      <c r="CU20" s="763"/>
      <c r="CV20" s="763"/>
      <c r="CW20" s="763"/>
      <c r="CX20" s="763"/>
      <c r="CY20" s="763"/>
      <c r="CZ20" s="763"/>
      <c r="DA20" s="763"/>
      <c r="DB20" s="763"/>
      <c r="DC20" s="763"/>
      <c r="DD20" s="763"/>
      <c r="DE20" s="763"/>
      <c r="DF20" s="763"/>
      <c r="DG20" s="763"/>
      <c r="DH20" s="763"/>
      <c r="DI20" s="763"/>
      <c r="DJ20" s="763"/>
      <c r="DK20" s="763"/>
      <c r="DL20" s="763"/>
      <c r="DM20" s="763"/>
      <c r="DN20" s="763"/>
      <c r="DO20" s="763"/>
      <c r="DP20" s="763"/>
      <c r="DQ20" s="763"/>
      <c r="DR20" s="763"/>
      <c r="DS20" s="763"/>
      <c r="DT20" s="763"/>
      <c r="DU20" s="763"/>
      <c r="DV20" s="763"/>
      <c r="DW20" s="763"/>
      <c r="DX20" s="763"/>
      <c r="DY20" s="763"/>
      <c r="DZ20" s="763"/>
      <c r="EA20" s="763"/>
      <c r="EB20" s="763"/>
    </row>
    <row r="21" spans="1:134" s="899" customFormat="1" ht="14.1" customHeight="1" x14ac:dyDescent="0.2">
      <c r="A21" s="426"/>
      <c r="B21" s="1320"/>
      <c r="C21" s="451" t="s">
        <v>1194</v>
      </c>
      <c r="D21" s="1333" t="s">
        <v>1195</v>
      </c>
      <c r="E21" s="1334"/>
      <c r="F21" s="701"/>
      <c r="G21" s="702" t="s">
        <v>1196</v>
      </c>
      <c r="H21" s="702"/>
      <c r="I21" s="704"/>
      <c r="J21" s="704"/>
      <c r="K21" s="704"/>
      <c r="L21" s="705"/>
      <c r="M21" s="706">
        <f t="shared" si="6"/>
        <v>0</v>
      </c>
      <c r="N21" s="784">
        <f t="shared" si="3"/>
        <v>0</v>
      </c>
      <c r="O21" s="707">
        <v>5.2499999999999998E-2</v>
      </c>
      <c r="P21" s="708">
        <f t="shared" si="4"/>
        <v>0</v>
      </c>
      <c r="Q21" s="709">
        <f t="shared" si="5"/>
        <v>0</v>
      </c>
      <c r="R21" s="1016"/>
      <c r="S21" s="1016"/>
      <c r="T21" s="1016"/>
      <c r="U21" s="1016"/>
      <c r="V21" s="1030">
        <f t="shared" si="0"/>
        <v>0</v>
      </c>
      <c r="W21" s="1031">
        <f t="shared" si="1"/>
        <v>0</v>
      </c>
      <c r="X21" s="1031">
        <f t="shared" si="2"/>
        <v>0</v>
      </c>
      <c r="Y21" s="1331"/>
      <c r="Z21" s="1331"/>
      <c r="AA21" s="1338"/>
      <c r="AB21" s="1331"/>
      <c r="AC21" s="1328"/>
      <c r="AD21" s="1331"/>
      <c r="AE21" s="1331"/>
      <c r="AF21" s="763"/>
      <c r="AG21" s="763"/>
      <c r="AH21" s="763"/>
      <c r="AI21" s="763"/>
      <c r="AJ21" s="763"/>
      <c r="AK21" s="763"/>
      <c r="AL21" s="763"/>
      <c r="AM21" s="763"/>
      <c r="AN21" s="763"/>
      <c r="AO21" s="763"/>
      <c r="AP21" s="763"/>
      <c r="AQ21" s="763"/>
      <c r="AR21" s="763"/>
      <c r="AS21" s="763"/>
      <c r="AT21" s="763"/>
      <c r="AU21" s="763"/>
      <c r="AV21" s="763"/>
      <c r="AW21" s="763"/>
      <c r="AX21" s="763"/>
      <c r="AY21" s="763"/>
      <c r="AZ21" s="763"/>
      <c r="BA21" s="763"/>
      <c r="BB21" s="763"/>
      <c r="BC21" s="763"/>
      <c r="BD21" s="763"/>
      <c r="BE21" s="763"/>
      <c r="BF21" s="763"/>
      <c r="BG21" s="763"/>
      <c r="BH21" s="763"/>
      <c r="BI21" s="763"/>
      <c r="BJ21" s="763"/>
      <c r="BK21" s="763"/>
      <c r="BL21" s="763"/>
      <c r="BM21" s="763"/>
      <c r="BN21" s="763"/>
      <c r="BO21" s="763"/>
      <c r="BP21" s="763"/>
      <c r="BQ21" s="763"/>
      <c r="BR21" s="763"/>
      <c r="BS21" s="763"/>
      <c r="BT21" s="763"/>
      <c r="BU21" s="763"/>
      <c r="BV21" s="763"/>
      <c r="BW21" s="763"/>
      <c r="BX21" s="763"/>
      <c r="BY21" s="763"/>
      <c r="BZ21" s="763"/>
      <c r="CA21" s="763"/>
      <c r="CB21" s="763"/>
      <c r="CC21" s="763"/>
      <c r="CD21" s="763"/>
      <c r="CE21" s="763"/>
      <c r="CF21" s="763"/>
      <c r="CG21" s="763"/>
      <c r="CH21" s="763"/>
      <c r="CI21" s="763"/>
      <c r="CJ21" s="763"/>
      <c r="CK21" s="763"/>
      <c r="CL21" s="763"/>
      <c r="CM21" s="763"/>
      <c r="CN21" s="763"/>
      <c r="CO21" s="763"/>
      <c r="CP21" s="763"/>
      <c r="CQ21" s="763"/>
      <c r="CR21" s="763"/>
      <c r="CS21" s="763"/>
      <c r="CT21" s="763"/>
      <c r="CU21" s="763"/>
      <c r="CV21" s="763"/>
      <c r="CW21" s="763"/>
      <c r="CX21" s="763"/>
      <c r="CY21" s="763"/>
      <c r="CZ21" s="763"/>
      <c r="DA21" s="763"/>
      <c r="DB21" s="763"/>
      <c r="DC21" s="763"/>
      <c r="DD21" s="763"/>
      <c r="DE21" s="763"/>
      <c r="DF21" s="763"/>
      <c r="DG21" s="763"/>
      <c r="DH21" s="763"/>
      <c r="DI21" s="763"/>
      <c r="DJ21" s="763"/>
      <c r="DK21" s="763"/>
      <c r="DL21" s="763"/>
      <c r="DM21" s="763"/>
      <c r="DN21" s="763"/>
      <c r="DO21" s="763"/>
      <c r="DP21" s="763"/>
      <c r="DQ21" s="763"/>
      <c r="DR21" s="763"/>
      <c r="DS21" s="763"/>
      <c r="DT21" s="763"/>
      <c r="DU21" s="763"/>
      <c r="DV21" s="763"/>
      <c r="DW21" s="763"/>
      <c r="DX21" s="763"/>
      <c r="DY21" s="763"/>
      <c r="DZ21" s="763"/>
      <c r="EA21" s="763"/>
      <c r="EB21" s="763"/>
    </row>
    <row r="22" spans="1:134" s="899" customFormat="1" ht="14.1" customHeight="1" x14ac:dyDescent="0.2">
      <c r="A22" s="426"/>
      <c r="B22" s="1320"/>
      <c r="C22" s="451" t="s">
        <v>1197</v>
      </c>
      <c r="D22" s="1333" t="s">
        <v>1198</v>
      </c>
      <c r="E22" s="1334"/>
      <c r="F22" s="701"/>
      <c r="G22" s="702" t="s">
        <v>1199</v>
      </c>
      <c r="H22" s="702"/>
      <c r="I22" s="704"/>
      <c r="J22" s="704"/>
      <c r="K22" s="704"/>
      <c r="L22" s="705"/>
      <c r="M22" s="706">
        <f t="shared" si="6"/>
        <v>0</v>
      </c>
      <c r="N22" s="784">
        <f t="shared" si="3"/>
        <v>0</v>
      </c>
      <c r="O22" s="707">
        <v>0.06</v>
      </c>
      <c r="P22" s="708">
        <f t="shared" si="4"/>
        <v>0</v>
      </c>
      <c r="Q22" s="709">
        <f t="shared" si="5"/>
        <v>0</v>
      </c>
      <c r="R22" s="1016"/>
      <c r="S22" s="1016"/>
      <c r="T22" s="1016"/>
      <c r="U22" s="1016"/>
      <c r="V22" s="1030">
        <f t="shared" si="0"/>
        <v>0</v>
      </c>
      <c r="W22" s="1032">
        <f t="shared" si="1"/>
        <v>0</v>
      </c>
      <c r="X22" s="1031">
        <f t="shared" si="2"/>
        <v>0</v>
      </c>
      <c r="Y22" s="1331"/>
      <c r="Z22" s="1331"/>
      <c r="AA22" s="1338"/>
      <c r="AB22" s="1331"/>
      <c r="AC22" s="1328"/>
      <c r="AD22" s="1331"/>
      <c r="AE22" s="1331"/>
      <c r="AF22" s="763"/>
      <c r="AG22" s="763"/>
      <c r="AH22" s="763"/>
      <c r="AI22" s="763"/>
      <c r="AJ22" s="763"/>
      <c r="AK22" s="763"/>
      <c r="AL22" s="763"/>
      <c r="AM22" s="763"/>
      <c r="AN22" s="763"/>
      <c r="AO22" s="763"/>
      <c r="AP22" s="763"/>
      <c r="AQ22" s="763"/>
      <c r="AR22" s="763"/>
      <c r="AS22" s="763"/>
      <c r="AT22" s="763"/>
      <c r="AU22" s="763"/>
      <c r="AV22" s="763"/>
      <c r="AW22" s="763"/>
      <c r="AX22" s="763"/>
      <c r="AY22" s="763"/>
      <c r="AZ22" s="763"/>
      <c r="BA22" s="763"/>
      <c r="BB22" s="763"/>
      <c r="BC22" s="763"/>
      <c r="BD22" s="763"/>
      <c r="BE22" s="763"/>
      <c r="BF22" s="763"/>
      <c r="BG22" s="763"/>
      <c r="BH22" s="763"/>
      <c r="BI22" s="763"/>
      <c r="BJ22" s="763"/>
      <c r="BK22" s="763"/>
      <c r="BL22" s="763"/>
      <c r="BM22" s="763"/>
      <c r="BN22" s="763"/>
      <c r="BO22" s="763"/>
      <c r="BP22" s="763"/>
      <c r="BQ22" s="763"/>
      <c r="BR22" s="763"/>
      <c r="BS22" s="763"/>
      <c r="BT22" s="763"/>
      <c r="BU22" s="763"/>
      <c r="BV22" s="763"/>
      <c r="BW22" s="763"/>
      <c r="BX22" s="763"/>
      <c r="BY22" s="763"/>
      <c r="BZ22" s="763"/>
      <c r="CA22" s="763"/>
      <c r="CB22" s="763"/>
      <c r="CC22" s="763"/>
      <c r="CD22" s="763"/>
      <c r="CE22" s="763"/>
      <c r="CF22" s="763"/>
      <c r="CG22" s="763"/>
      <c r="CH22" s="763"/>
      <c r="CI22" s="763"/>
      <c r="CJ22" s="763"/>
      <c r="CK22" s="763"/>
      <c r="CL22" s="763"/>
      <c r="CM22" s="763"/>
      <c r="CN22" s="763"/>
      <c r="CO22" s="763"/>
      <c r="CP22" s="763"/>
      <c r="CQ22" s="763"/>
      <c r="CR22" s="763"/>
      <c r="CS22" s="763"/>
      <c r="CT22" s="763"/>
      <c r="CU22" s="763"/>
      <c r="CV22" s="763"/>
      <c r="CW22" s="763"/>
      <c r="CX22" s="763"/>
      <c r="CY22" s="763"/>
      <c r="CZ22" s="763"/>
      <c r="DA22" s="763"/>
      <c r="DB22" s="763"/>
      <c r="DC22" s="763"/>
      <c r="DD22" s="763"/>
      <c r="DE22" s="763"/>
      <c r="DF22" s="763"/>
      <c r="DG22" s="763"/>
      <c r="DH22" s="763"/>
      <c r="DI22" s="763"/>
      <c r="DJ22" s="763"/>
      <c r="DK22" s="763"/>
      <c r="DL22" s="763"/>
      <c r="DM22" s="763"/>
      <c r="DN22" s="763"/>
      <c r="DO22" s="763"/>
      <c r="DP22" s="763"/>
      <c r="DQ22" s="763"/>
      <c r="DR22" s="763"/>
      <c r="DS22" s="763"/>
      <c r="DT22" s="763"/>
      <c r="DU22" s="763"/>
      <c r="DV22" s="763"/>
      <c r="DW22" s="763"/>
      <c r="DX22" s="763"/>
      <c r="DY22" s="763"/>
      <c r="DZ22" s="763"/>
      <c r="EA22" s="763"/>
      <c r="EB22" s="763"/>
    </row>
    <row r="23" spans="1:134" s="899" customFormat="1" ht="14.1" customHeight="1" x14ac:dyDescent="0.2">
      <c r="A23" s="426"/>
      <c r="B23" s="1320"/>
      <c r="C23" s="451"/>
      <c r="D23" s="1333" t="s">
        <v>1200</v>
      </c>
      <c r="E23" s="1334"/>
      <c r="F23" s="701"/>
      <c r="G23" s="702" t="s">
        <v>1201</v>
      </c>
      <c r="H23" s="702"/>
      <c r="I23" s="704"/>
      <c r="J23" s="704"/>
      <c r="K23" s="704"/>
      <c r="L23" s="705"/>
      <c r="M23" s="706">
        <f t="shared" si="6"/>
        <v>0</v>
      </c>
      <c r="N23" s="784">
        <f t="shared" si="3"/>
        <v>0</v>
      </c>
      <c r="O23" s="707">
        <v>0.08</v>
      </c>
      <c r="P23" s="708">
        <f t="shared" si="4"/>
        <v>0</v>
      </c>
      <c r="Q23" s="709">
        <f t="shared" si="5"/>
        <v>0</v>
      </c>
      <c r="R23" s="1016"/>
      <c r="S23" s="1016"/>
      <c r="T23" s="1016"/>
      <c r="U23" s="1016"/>
      <c r="V23" s="1030">
        <f t="shared" si="0"/>
        <v>0</v>
      </c>
      <c r="W23" s="1031">
        <f t="shared" si="1"/>
        <v>0</v>
      </c>
      <c r="X23" s="1031">
        <f t="shared" si="2"/>
        <v>0</v>
      </c>
      <c r="Y23" s="1331"/>
      <c r="Z23" s="1331"/>
      <c r="AA23" s="1338"/>
      <c r="AB23" s="1331"/>
      <c r="AC23" s="1328"/>
      <c r="AD23" s="1331"/>
      <c r="AE23" s="1331"/>
      <c r="AF23" s="763"/>
      <c r="AG23" s="763"/>
      <c r="AH23" s="763"/>
      <c r="AI23" s="763"/>
      <c r="AJ23" s="763"/>
      <c r="AK23" s="763"/>
      <c r="AL23" s="763"/>
      <c r="AM23" s="763"/>
      <c r="AN23" s="763"/>
      <c r="AO23" s="763"/>
      <c r="AP23" s="763"/>
      <c r="AQ23" s="763"/>
      <c r="AR23" s="763"/>
      <c r="AS23" s="763"/>
      <c r="AT23" s="763"/>
      <c r="AU23" s="763"/>
      <c r="AV23" s="763"/>
      <c r="AW23" s="763"/>
      <c r="AX23" s="763"/>
      <c r="AY23" s="763"/>
      <c r="AZ23" s="763"/>
      <c r="BA23" s="763"/>
      <c r="BB23" s="763"/>
      <c r="BC23" s="763"/>
      <c r="BD23" s="763"/>
      <c r="BE23" s="763"/>
      <c r="BF23" s="763"/>
      <c r="BG23" s="763"/>
      <c r="BH23" s="763"/>
      <c r="BI23" s="763"/>
      <c r="BJ23" s="763"/>
      <c r="BK23" s="763"/>
      <c r="BL23" s="763"/>
      <c r="BM23" s="763"/>
      <c r="BN23" s="763"/>
      <c r="BO23" s="763"/>
      <c r="BP23" s="763"/>
      <c r="BQ23" s="763"/>
      <c r="BR23" s="763"/>
      <c r="BS23" s="763"/>
      <c r="BT23" s="763"/>
      <c r="BU23" s="763"/>
      <c r="BV23" s="763"/>
      <c r="BW23" s="763"/>
      <c r="BX23" s="763"/>
      <c r="BY23" s="763"/>
      <c r="BZ23" s="763"/>
      <c r="CA23" s="763"/>
      <c r="CB23" s="763"/>
      <c r="CC23" s="763"/>
      <c r="CD23" s="763"/>
      <c r="CE23" s="763"/>
      <c r="CF23" s="763"/>
      <c r="CG23" s="763"/>
      <c r="CH23" s="763"/>
      <c r="CI23" s="763"/>
      <c r="CJ23" s="763"/>
      <c r="CK23" s="763"/>
      <c r="CL23" s="763"/>
      <c r="CM23" s="763"/>
      <c r="CN23" s="763"/>
      <c r="CO23" s="763"/>
      <c r="CP23" s="763"/>
      <c r="CQ23" s="763"/>
      <c r="CR23" s="763"/>
      <c r="CS23" s="763"/>
      <c r="CT23" s="763"/>
      <c r="CU23" s="763"/>
      <c r="CV23" s="763"/>
      <c r="CW23" s="763"/>
      <c r="CX23" s="763"/>
      <c r="CY23" s="763"/>
      <c r="CZ23" s="763"/>
      <c r="DA23" s="763"/>
      <c r="DB23" s="763"/>
      <c r="DC23" s="763"/>
      <c r="DD23" s="763"/>
      <c r="DE23" s="763"/>
      <c r="DF23" s="763"/>
      <c r="DG23" s="763"/>
      <c r="DH23" s="763"/>
      <c r="DI23" s="763"/>
      <c r="DJ23" s="763"/>
      <c r="DK23" s="763"/>
      <c r="DL23" s="763"/>
      <c r="DM23" s="763"/>
      <c r="DN23" s="763"/>
      <c r="DO23" s="763"/>
      <c r="DP23" s="763"/>
      <c r="DQ23" s="763"/>
      <c r="DR23" s="763"/>
      <c r="DS23" s="763"/>
      <c r="DT23" s="763"/>
      <c r="DU23" s="763"/>
      <c r="DV23" s="763"/>
      <c r="DW23" s="763"/>
      <c r="DX23" s="763"/>
      <c r="DY23" s="763"/>
      <c r="DZ23" s="763"/>
      <c r="EA23" s="763"/>
      <c r="EB23" s="763"/>
    </row>
    <row r="24" spans="1:134" s="899" customFormat="1" ht="14.1" customHeight="1" thickBot="1" x14ac:dyDescent="0.25">
      <c r="A24" s="426"/>
      <c r="B24" s="1326"/>
      <c r="C24" s="728"/>
      <c r="D24" s="1372" t="s">
        <v>1197</v>
      </c>
      <c r="E24" s="1373"/>
      <c r="F24" s="768"/>
      <c r="G24" s="714" t="s">
        <v>1202</v>
      </c>
      <c r="H24" s="714"/>
      <c r="I24" s="729"/>
      <c r="J24" s="729"/>
      <c r="K24" s="729"/>
      <c r="L24" s="730"/>
      <c r="M24" s="715">
        <f t="shared" si="6"/>
        <v>0</v>
      </c>
      <c r="N24" s="785">
        <f t="shared" si="3"/>
        <v>0</v>
      </c>
      <c r="O24" s="731">
        <v>0.125</v>
      </c>
      <c r="P24" s="716">
        <f t="shared" si="4"/>
        <v>0</v>
      </c>
      <c r="Q24" s="717">
        <f t="shared" si="5"/>
        <v>0</v>
      </c>
      <c r="R24" s="1016"/>
      <c r="S24" s="1016"/>
      <c r="T24" s="1016"/>
      <c r="U24" s="1016"/>
      <c r="V24" s="1030">
        <f t="shared" si="0"/>
        <v>0</v>
      </c>
      <c r="W24" s="1031">
        <f t="shared" si="1"/>
        <v>0</v>
      </c>
      <c r="X24" s="1031">
        <f>IF(Q24&gt;P24,Q24-P24,0)</f>
        <v>0</v>
      </c>
      <c r="Y24" s="1332"/>
      <c r="Z24" s="1332"/>
      <c r="AA24" s="1339"/>
      <c r="AB24" s="1332"/>
      <c r="AC24" s="1329"/>
      <c r="AD24" s="1332"/>
      <c r="AE24" s="1332"/>
      <c r="AF24" s="763"/>
      <c r="AG24" s="763"/>
      <c r="AH24" s="763"/>
      <c r="AI24" s="763"/>
      <c r="AJ24" s="763"/>
      <c r="AK24" s="763"/>
      <c r="AL24" s="763"/>
      <c r="AM24" s="763"/>
      <c r="AN24" s="763"/>
      <c r="AO24" s="763"/>
      <c r="AP24" s="763"/>
      <c r="AQ24" s="763"/>
      <c r="AR24" s="763"/>
      <c r="AS24" s="763"/>
      <c r="AT24" s="763"/>
      <c r="AU24" s="763"/>
      <c r="AV24" s="763"/>
      <c r="AW24" s="763"/>
      <c r="AX24" s="763"/>
      <c r="AY24" s="763"/>
      <c r="AZ24" s="763"/>
      <c r="BA24" s="763"/>
      <c r="BB24" s="763"/>
      <c r="BC24" s="763"/>
      <c r="BD24" s="763"/>
      <c r="BE24" s="763"/>
      <c r="BF24" s="763"/>
      <c r="BG24" s="763"/>
      <c r="BH24" s="763"/>
      <c r="BI24" s="763"/>
      <c r="BJ24" s="763"/>
      <c r="BK24" s="763"/>
      <c r="BL24" s="763"/>
      <c r="BM24" s="763"/>
      <c r="BN24" s="763"/>
      <c r="BO24" s="763"/>
      <c r="BP24" s="763"/>
      <c r="BQ24" s="763"/>
      <c r="BR24" s="763"/>
      <c r="BS24" s="763"/>
      <c r="BT24" s="763"/>
      <c r="BU24" s="763"/>
      <c r="BV24" s="763"/>
      <c r="BW24" s="763"/>
      <c r="BX24" s="763"/>
      <c r="BY24" s="763"/>
      <c r="BZ24" s="763"/>
      <c r="CA24" s="763"/>
      <c r="CB24" s="763"/>
      <c r="CC24" s="763"/>
      <c r="CD24" s="763"/>
      <c r="CE24" s="763"/>
      <c r="CF24" s="763"/>
      <c r="CG24" s="763"/>
      <c r="CH24" s="763"/>
      <c r="CI24" s="763"/>
      <c r="CJ24" s="763"/>
      <c r="CK24" s="763"/>
      <c r="CL24" s="763"/>
      <c r="CM24" s="763"/>
      <c r="CN24" s="763"/>
      <c r="CO24" s="763"/>
      <c r="CP24" s="763"/>
      <c r="CQ24" s="763"/>
      <c r="CR24" s="763"/>
      <c r="CS24" s="763"/>
      <c r="CT24" s="763"/>
      <c r="CU24" s="763"/>
      <c r="CV24" s="763"/>
      <c r="CW24" s="763"/>
      <c r="CX24" s="763"/>
      <c r="CY24" s="763"/>
      <c r="CZ24" s="763"/>
      <c r="DA24" s="763"/>
      <c r="DB24" s="763"/>
      <c r="DC24" s="763"/>
      <c r="DD24" s="763"/>
      <c r="DE24" s="763"/>
      <c r="DF24" s="763"/>
      <c r="DG24" s="763"/>
      <c r="DH24" s="763"/>
      <c r="DI24" s="763"/>
      <c r="DJ24" s="763"/>
      <c r="DK24" s="763"/>
      <c r="DL24" s="763"/>
      <c r="DM24" s="763"/>
      <c r="DN24" s="763"/>
      <c r="DO24" s="763"/>
      <c r="DP24" s="763"/>
      <c r="DQ24" s="763"/>
      <c r="DR24" s="763"/>
      <c r="DS24" s="763"/>
      <c r="DT24" s="763"/>
      <c r="DU24" s="763"/>
      <c r="DV24" s="763"/>
      <c r="DW24" s="763"/>
      <c r="DX24" s="763"/>
      <c r="DY24" s="763"/>
      <c r="DZ24" s="763"/>
      <c r="EA24" s="763"/>
      <c r="EB24" s="763"/>
    </row>
    <row r="25" spans="1:134" s="905" customFormat="1" x14ac:dyDescent="0.2">
      <c r="A25" s="350"/>
      <c r="B25" s="732"/>
      <c r="C25" s="1345" t="s">
        <v>1411</v>
      </c>
      <c r="D25" s="1345"/>
      <c r="E25" s="1346"/>
      <c r="F25" s="775"/>
      <c r="G25" s="735" t="s">
        <v>1203</v>
      </c>
      <c r="H25" s="735"/>
      <c r="I25" s="736">
        <f t="shared" ref="I25:N25" si="7">SUM(I10:I24)</f>
        <v>0</v>
      </c>
      <c r="J25" s="736">
        <f t="shared" si="7"/>
        <v>0</v>
      </c>
      <c r="K25" s="736">
        <f t="shared" si="7"/>
        <v>0</v>
      </c>
      <c r="L25" s="736">
        <f t="shared" si="7"/>
        <v>0</v>
      </c>
      <c r="M25" s="736">
        <f t="shared" si="7"/>
        <v>0</v>
      </c>
      <c r="N25" s="787">
        <f t="shared" si="7"/>
        <v>0</v>
      </c>
      <c r="O25" s="737"/>
      <c r="P25" s="719">
        <f>SUM(P10:P24)</f>
        <v>0</v>
      </c>
      <c r="Q25" s="720">
        <f>SUM(Q10:Q24)</f>
        <v>0</v>
      </c>
      <c r="R25" s="1016"/>
      <c r="S25" s="1016"/>
      <c r="T25" s="1016"/>
      <c r="U25" s="1016"/>
      <c r="V25" s="1033"/>
      <c r="W25" s="904"/>
      <c r="X25" s="904"/>
      <c r="Y25" s="904"/>
      <c r="Z25" s="904"/>
      <c r="AA25" s="904"/>
      <c r="AB25" s="904"/>
      <c r="AC25" s="904"/>
      <c r="AD25" s="904"/>
      <c r="AE25" s="904"/>
      <c r="AF25" s="904"/>
      <c r="AG25" s="904"/>
      <c r="AH25" s="904"/>
      <c r="AI25" s="904"/>
      <c r="AJ25" s="904"/>
      <c r="AK25" s="904"/>
      <c r="AL25" s="904"/>
      <c r="AM25" s="904"/>
      <c r="AN25" s="904"/>
      <c r="AO25" s="904"/>
      <c r="AP25" s="904"/>
      <c r="AQ25" s="904"/>
      <c r="AR25" s="904"/>
      <c r="AS25" s="904"/>
      <c r="AT25" s="904"/>
      <c r="AU25" s="904"/>
      <c r="AV25" s="904"/>
      <c r="AW25" s="904"/>
      <c r="AX25" s="904"/>
      <c r="AY25" s="904"/>
      <c r="AZ25" s="904"/>
      <c r="BA25" s="904"/>
      <c r="BB25" s="904"/>
      <c r="BC25" s="904"/>
      <c r="BD25" s="904"/>
      <c r="BE25" s="904"/>
      <c r="BF25" s="904"/>
      <c r="BG25" s="904"/>
      <c r="BH25" s="904"/>
      <c r="BI25" s="904"/>
      <c r="BJ25" s="904"/>
      <c r="BK25" s="904"/>
      <c r="BL25" s="904"/>
      <c r="BM25" s="904"/>
      <c r="BN25" s="904"/>
      <c r="BO25" s="904"/>
      <c r="BP25" s="904"/>
      <c r="BQ25" s="904"/>
      <c r="BR25" s="904"/>
      <c r="BS25" s="904"/>
      <c r="BT25" s="904"/>
      <c r="BU25" s="904"/>
      <c r="BV25" s="904"/>
      <c r="BW25" s="904"/>
      <c r="BX25" s="904"/>
      <c r="BY25" s="904"/>
      <c r="BZ25" s="904"/>
      <c r="CA25" s="904"/>
      <c r="CB25" s="904"/>
      <c r="CC25" s="904"/>
      <c r="CD25" s="904"/>
      <c r="CE25" s="904"/>
      <c r="CF25" s="904"/>
      <c r="CG25" s="904"/>
      <c r="CH25" s="904"/>
      <c r="CI25" s="904"/>
      <c r="CJ25" s="904"/>
      <c r="CK25" s="904"/>
      <c r="CL25" s="904"/>
      <c r="CM25" s="904"/>
      <c r="CN25" s="904"/>
      <c r="CO25" s="904"/>
      <c r="CP25" s="904"/>
      <c r="CQ25" s="904"/>
      <c r="CR25" s="904"/>
      <c r="CS25" s="904"/>
      <c r="CT25" s="904"/>
      <c r="CU25" s="904"/>
      <c r="CV25" s="904"/>
      <c r="CW25" s="904"/>
      <c r="CX25" s="904"/>
      <c r="CY25" s="904"/>
      <c r="CZ25" s="904"/>
      <c r="DA25" s="904"/>
      <c r="DB25" s="904"/>
      <c r="DC25" s="904"/>
      <c r="DD25" s="904"/>
      <c r="DE25" s="904"/>
      <c r="DF25" s="904"/>
      <c r="DG25" s="904"/>
      <c r="DH25" s="904"/>
      <c r="DI25" s="904"/>
      <c r="DJ25" s="904"/>
      <c r="DK25" s="904"/>
      <c r="DL25" s="904"/>
      <c r="DM25" s="904"/>
      <c r="DN25" s="904"/>
      <c r="DO25" s="904"/>
      <c r="DP25" s="904"/>
      <c r="DQ25" s="904"/>
      <c r="DR25" s="904"/>
      <c r="DS25" s="904"/>
      <c r="DT25" s="904"/>
      <c r="DU25" s="904"/>
      <c r="DV25" s="904"/>
      <c r="DW25" s="904"/>
      <c r="DX25" s="904"/>
      <c r="DY25" s="904"/>
      <c r="DZ25" s="904"/>
      <c r="EA25" s="904"/>
      <c r="EB25" s="904"/>
    </row>
    <row r="26" spans="1:134" s="899" customFormat="1" ht="14.1" customHeight="1" x14ac:dyDescent="0.2">
      <c r="A26" s="426"/>
      <c r="B26" s="738"/>
      <c r="C26" s="1348" t="s">
        <v>1204</v>
      </c>
      <c r="D26" s="1348"/>
      <c r="E26" s="740"/>
      <c r="F26" s="739"/>
      <c r="G26" s="741" t="s">
        <v>1205</v>
      </c>
      <c r="H26" s="742"/>
      <c r="I26" s="743"/>
      <c r="J26" s="743"/>
      <c r="K26" s="743"/>
      <c r="L26" s="743"/>
      <c r="M26" s="743"/>
      <c r="N26" s="743"/>
      <c r="O26" s="744"/>
      <c r="P26" s="1350">
        <f>IF(P25&gt;Q25,P25-Q25,Q25-P25)</f>
        <v>0</v>
      </c>
      <c r="Q26" s="1351"/>
      <c r="R26" s="1034"/>
      <c r="S26" s="1034"/>
      <c r="T26" s="1034"/>
      <c r="U26" s="1034"/>
      <c r="V26" s="1035"/>
      <c r="W26" s="763"/>
      <c r="X26" s="763"/>
      <c r="Y26" s="763"/>
      <c r="Z26" s="763"/>
      <c r="AA26" s="763"/>
      <c r="AB26" s="763"/>
      <c r="AC26" s="763"/>
      <c r="AD26" s="763"/>
      <c r="AE26" s="763"/>
      <c r="AF26" s="763"/>
      <c r="AG26" s="763"/>
      <c r="AH26" s="763"/>
      <c r="AI26" s="763"/>
      <c r="AJ26" s="763"/>
      <c r="AK26" s="763"/>
      <c r="AL26" s="763"/>
      <c r="AM26" s="763"/>
      <c r="AN26" s="763"/>
      <c r="AO26" s="763"/>
      <c r="AP26" s="763"/>
      <c r="AQ26" s="763"/>
      <c r="AR26" s="763"/>
      <c r="AS26" s="763"/>
      <c r="AT26" s="763"/>
      <c r="AU26" s="763"/>
      <c r="AV26" s="763"/>
      <c r="AW26" s="763"/>
      <c r="AX26" s="763"/>
      <c r="AY26" s="763"/>
      <c r="AZ26" s="763"/>
      <c r="BA26" s="763"/>
      <c r="BB26" s="763"/>
      <c r="BC26" s="763"/>
      <c r="BD26" s="763"/>
      <c r="BE26" s="763"/>
      <c r="BF26" s="763"/>
      <c r="BG26" s="763"/>
      <c r="BH26" s="763"/>
      <c r="BI26" s="763"/>
      <c r="BJ26" s="763"/>
      <c r="BK26" s="763"/>
      <c r="BL26" s="763"/>
      <c r="BM26" s="763"/>
      <c r="BN26" s="763"/>
      <c r="BO26" s="763"/>
      <c r="BP26" s="763"/>
      <c r="BQ26" s="763"/>
      <c r="BR26" s="763"/>
      <c r="BS26" s="763"/>
      <c r="BT26" s="763"/>
      <c r="BU26" s="763"/>
      <c r="BV26" s="763"/>
      <c r="BW26" s="763"/>
      <c r="BX26" s="763"/>
      <c r="BY26" s="763"/>
      <c r="BZ26" s="763"/>
      <c r="CA26" s="763"/>
      <c r="CB26" s="763"/>
      <c r="CC26" s="763"/>
      <c r="CD26" s="763"/>
      <c r="CE26" s="763"/>
      <c r="CF26" s="763"/>
      <c r="CG26" s="763"/>
      <c r="CH26" s="763"/>
      <c r="CI26" s="763"/>
      <c r="CJ26" s="763"/>
      <c r="CK26" s="763"/>
      <c r="CL26" s="763"/>
      <c r="CM26" s="763"/>
      <c r="CN26" s="763"/>
      <c r="CO26" s="763"/>
      <c r="CP26" s="763"/>
      <c r="CQ26" s="763"/>
      <c r="CR26" s="763"/>
      <c r="CS26" s="763"/>
      <c r="CT26" s="763"/>
      <c r="CU26" s="763"/>
      <c r="CV26" s="763"/>
      <c r="CW26" s="763"/>
      <c r="CX26" s="763"/>
      <c r="CY26" s="763"/>
      <c r="CZ26" s="763"/>
      <c r="DA26" s="763"/>
      <c r="DB26" s="763"/>
      <c r="DC26" s="763"/>
      <c r="DD26" s="763"/>
      <c r="DE26" s="763"/>
      <c r="DF26" s="763"/>
      <c r="DG26" s="763"/>
      <c r="DH26" s="763"/>
      <c r="DI26" s="763"/>
      <c r="DJ26" s="763"/>
      <c r="DK26" s="763"/>
      <c r="DL26" s="763"/>
      <c r="DM26" s="763"/>
      <c r="DN26" s="763"/>
      <c r="DO26" s="763"/>
      <c r="DP26" s="763"/>
      <c r="DQ26" s="763"/>
      <c r="DR26" s="763"/>
      <c r="DS26" s="763"/>
      <c r="DT26" s="763"/>
      <c r="DU26" s="763"/>
      <c r="DV26" s="763"/>
      <c r="DW26" s="763"/>
      <c r="DX26" s="763"/>
      <c r="DY26" s="763"/>
      <c r="DZ26" s="763"/>
      <c r="EA26" s="763"/>
      <c r="EB26" s="763"/>
      <c r="EC26" s="763"/>
    </row>
    <row r="27" spans="1:134" s="899" customFormat="1" ht="14.1" customHeight="1" x14ac:dyDescent="0.2">
      <c r="A27" s="426"/>
      <c r="B27" s="745"/>
      <c r="C27" s="746"/>
      <c r="D27" s="746"/>
      <c r="E27" s="770"/>
      <c r="F27" s="746"/>
      <c r="G27" s="747"/>
      <c r="H27" s="747"/>
      <c r="I27" s="748"/>
      <c r="J27" s="748"/>
      <c r="K27" s="748"/>
      <c r="L27" s="748"/>
      <c r="M27" s="748"/>
      <c r="N27" s="748"/>
      <c r="O27" s="749"/>
      <c r="P27" s="750"/>
      <c r="Q27" s="751"/>
      <c r="R27" s="1034"/>
      <c r="S27" s="1034"/>
      <c r="T27" s="1034"/>
      <c r="U27" s="1034"/>
      <c r="V27" s="1035"/>
      <c r="W27" s="763"/>
      <c r="X27" s="763"/>
      <c r="Y27" s="763"/>
      <c r="Z27" s="763"/>
      <c r="AA27" s="763"/>
      <c r="AB27" s="763"/>
      <c r="AC27" s="763"/>
      <c r="AD27" s="763"/>
      <c r="AE27" s="763"/>
      <c r="AF27" s="763"/>
      <c r="AG27" s="763"/>
      <c r="AH27" s="763"/>
      <c r="AI27" s="763"/>
      <c r="AJ27" s="763"/>
      <c r="AK27" s="763"/>
      <c r="AL27" s="763"/>
      <c r="AM27" s="763"/>
      <c r="AN27" s="763"/>
      <c r="AO27" s="763"/>
      <c r="AP27" s="763"/>
      <c r="AQ27" s="763"/>
      <c r="AR27" s="763"/>
      <c r="AS27" s="763"/>
      <c r="AT27" s="763"/>
      <c r="AU27" s="763"/>
      <c r="AV27" s="763"/>
      <c r="AW27" s="763"/>
      <c r="AX27" s="763"/>
      <c r="AY27" s="763"/>
      <c r="AZ27" s="763"/>
      <c r="BA27" s="763"/>
      <c r="BB27" s="763"/>
      <c r="BC27" s="763"/>
      <c r="BD27" s="763"/>
      <c r="BE27" s="763"/>
      <c r="BF27" s="763"/>
      <c r="BG27" s="763"/>
      <c r="BH27" s="763"/>
      <c r="BI27" s="763"/>
      <c r="BJ27" s="763"/>
      <c r="BK27" s="763"/>
      <c r="BL27" s="763"/>
      <c r="BM27" s="763"/>
      <c r="BN27" s="763"/>
      <c r="BO27" s="763"/>
      <c r="BP27" s="763"/>
      <c r="BQ27" s="763"/>
      <c r="BR27" s="763"/>
      <c r="BS27" s="763"/>
      <c r="BT27" s="763"/>
      <c r="BU27" s="763"/>
      <c r="BV27" s="763"/>
      <c r="BW27" s="763"/>
      <c r="BX27" s="763"/>
      <c r="BY27" s="763"/>
      <c r="BZ27" s="763"/>
      <c r="CA27" s="763"/>
      <c r="CB27" s="763"/>
      <c r="CC27" s="763"/>
      <c r="CD27" s="763"/>
      <c r="CE27" s="763"/>
      <c r="CF27" s="763"/>
      <c r="CG27" s="763"/>
      <c r="CH27" s="763"/>
      <c r="CI27" s="763"/>
      <c r="CJ27" s="763"/>
      <c r="CK27" s="763"/>
      <c r="CL27" s="763"/>
      <c r="CM27" s="763"/>
      <c r="CN27" s="763"/>
      <c r="CO27" s="763"/>
      <c r="CP27" s="763"/>
      <c r="CQ27" s="763"/>
      <c r="CR27" s="763"/>
      <c r="CS27" s="763"/>
      <c r="CT27" s="763"/>
      <c r="CU27" s="763"/>
      <c r="CV27" s="763"/>
      <c r="CW27" s="763"/>
      <c r="CX27" s="763"/>
      <c r="CY27" s="763"/>
      <c r="CZ27" s="763"/>
      <c r="DA27" s="763"/>
      <c r="DB27" s="763"/>
      <c r="DC27" s="763"/>
      <c r="DD27" s="763"/>
      <c r="DE27" s="763"/>
      <c r="DF27" s="763"/>
      <c r="DG27" s="763"/>
      <c r="DH27" s="763"/>
      <c r="DI27" s="763"/>
      <c r="DJ27" s="763"/>
      <c r="DK27" s="763"/>
      <c r="DL27" s="763"/>
      <c r="DM27" s="763"/>
      <c r="DN27" s="763"/>
      <c r="DO27" s="763"/>
      <c r="DP27" s="763"/>
      <c r="DQ27" s="763"/>
      <c r="DR27" s="763"/>
      <c r="DS27" s="763"/>
      <c r="DT27" s="763"/>
      <c r="DU27" s="763"/>
      <c r="DV27" s="763"/>
      <c r="DW27" s="763"/>
      <c r="DX27" s="763"/>
      <c r="DY27" s="763"/>
      <c r="DZ27" s="763"/>
      <c r="EA27" s="763"/>
      <c r="EB27" s="763"/>
      <c r="EC27" s="763"/>
    </row>
    <row r="28" spans="1:134" s="899" customFormat="1" ht="18.75" customHeight="1" x14ac:dyDescent="0.2">
      <c r="A28" s="426"/>
      <c r="B28" s="1374" t="s">
        <v>350</v>
      </c>
      <c r="C28" s="1375"/>
      <c r="D28" s="1376"/>
      <c r="E28" s="752"/>
      <c r="F28" s="752"/>
      <c r="G28" s="752"/>
      <c r="H28" s="752"/>
      <c r="I28" s="1362" t="s">
        <v>1207</v>
      </c>
      <c r="J28" s="1363" t="s">
        <v>1208</v>
      </c>
      <c r="K28" s="1364"/>
      <c r="L28" s="1365"/>
      <c r="M28" s="1363" t="s">
        <v>1209</v>
      </c>
      <c r="N28" s="1364"/>
      <c r="O28" s="1365"/>
      <c r="P28" s="1340" t="s">
        <v>1210</v>
      </c>
      <c r="Q28" s="1342" t="s">
        <v>1211</v>
      </c>
      <c r="R28" s="1036"/>
      <c r="S28" s="1037"/>
      <c r="T28" s="1037"/>
      <c r="U28" s="1037"/>
      <c r="V28" s="1037"/>
      <c r="W28" s="1035"/>
      <c r="X28" s="763"/>
      <c r="Y28" s="763"/>
      <c r="Z28" s="763"/>
      <c r="AA28" s="1038"/>
      <c r="AB28" s="1039"/>
      <c r="AC28" s="763"/>
      <c r="AD28" s="763"/>
      <c r="AE28" s="763"/>
      <c r="AF28" s="763"/>
      <c r="AG28" s="763"/>
      <c r="AH28" s="763"/>
      <c r="AI28" s="763"/>
      <c r="AJ28" s="763"/>
      <c r="AK28" s="763"/>
      <c r="AL28" s="763"/>
      <c r="AM28" s="763"/>
      <c r="AN28" s="763"/>
      <c r="AO28" s="763"/>
      <c r="AP28" s="763"/>
      <c r="AQ28" s="763"/>
      <c r="AR28" s="763"/>
      <c r="AS28" s="763"/>
      <c r="AT28" s="763"/>
      <c r="AU28" s="763"/>
      <c r="AV28" s="763"/>
      <c r="AW28" s="763"/>
      <c r="AX28" s="763"/>
      <c r="AY28" s="763"/>
      <c r="AZ28" s="763"/>
      <c r="BA28" s="763"/>
      <c r="BB28" s="763"/>
      <c r="BC28" s="763"/>
      <c r="BD28" s="763"/>
      <c r="BE28" s="763"/>
      <c r="BF28" s="763"/>
      <c r="BG28" s="763"/>
      <c r="BH28" s="763"/>
      <c r="BI28" s="763"/>
      <c r="BJ28" s="763"/>
      <c r="BK28" s="763"/>
      <c r="BL28" s="763"/>
      <c r="BM28" s="763"/>
      <c r="BN28" s="763"/>
      <c r="BO28" s="763"/>
      <c r="BP28" s="763"/>
      <c r="BQ28" s="763"/>
      <c r="BR28" s="763"/>
      <c r="BS28" s="763"/>
      <c r="BT28" s="763"/>
      <c r="BU28" s="763"/>
      <c r="BV28" s="763"/>
      <c r="BW28" s="763"/>
      <c r="BX28" s="763"/>
      <c r="BY28" s="763"/>
      <c r="BZ28" s="763"/>
      <c r="CA28" s="763"/>
      <c r="CB28" s="763"/>
      <c r="CC28" s="763"/>
      <c r="CD28" s="763"/>
      <c r="CE28" s="763"/>
      <c r="CF28" s="763"/>
      <c r="CG28" s="763"/>
      <c r="CH28" s="763"/>
      <c r="CI28" s="763"/>
      <c r="CJ28" s="763"/>
      <c r="CK28" s="763"/>
      <c r="CL28" s="763"/>
      <c r="CM28" s="763"/>
      <c r="CN28" s="763"/>
      <c r="CO28" s="763"/>
      <c r="CP28" s="763"/>
      <c r="CQ28" s="763"/>
      <c r="CR28" s="763"/>
      <c r="CS28" s="763"/>
      <c r="CT28" s="763"/>
      <c r="CU28" s="763"/>
      <c r="CV28" s="763"/>
      <c r="CW28" s="763"/>
      <c r="CX28" s="763"/>
      <c r="CY28" s="763"/>
      <c r="CZ28" s="763"/>
      <c r="DA28" s="763"/>
      <c r="DB28" s="763"/>
      <c r="DC28" s="763"/>
      <c r="DD28" s="763"/>
      <c r="DE28" s="763"/>
      <c r="DF28" s="763"/>
      <c r="DG28" s="763"/>
      <c r="DH28" s="763"/>
      <c r="DI28" s="763"/>
      <c r="DJ28" s="763"/>
      <c r="DK28" s="763"/>
      <c r="DL28" s="763"/>
      <c r="DM28" s="763"/>
      <c r="DN28" s="763"/>
      <c r="DO28" s="763"/>
      <c r="DP28" s="763"/>
      <c r="DQ28" s="763"/>
      <c r="DR28" s="763"/>
      <c r="DS28" s="763"/>
      <c r="DT28" s="763"/>
      <c r="DU28" s="763"/>
      <c r="DV28" s="763"/>
      <c r="DW28" s="763"/>
      <c r="DX28" s="763"/>
      <c r="DY28" s="763"/>
      <c r="DZ28" s="763"/>
      <c r="EA28" s="763"/>
      <c r="EB28" s="763"/>
      <c r="EC28" s="763"/>
      <c r="ED28" s="763"/>
    </row>
    <row r="29" spans="1:134" s="899" customFormat="1" ht="19.5" customHeight="1" x14ac:dyDescent="0.2">
      <c r="A29" s="426"/>
      <c r="B29" s="1377"/>
      <c r="C29" s="1378"/>
      <c r="D29" s="1379"/>
      <c r="E29" s="754"/>
      <c r="F29" s="754"/>
      <c r="G29" s="754"/>
      <c r="H29" s="754"/>
      <c r="I29" s="1362"/>
      <c r="J29" s="753" t="s">
        <v>1212</v>
      </c>
      <c r="K29" s="753" t="s">
        <v>1213</v>
      </c>
      <c r="L29" s="753" t="s">
        <v>1214</v>
      </c>
      <c r="M29" s="755" t="s">
        <v>1215</v>
      </c>
      <c r="N29" s="755" t="s">
        <v>1216</v>
      </c>
      <c r="O29" s="755" t="s">
        <v>1217</v>
      </c>
      <c r="P29" s="1341"/>
      <c r="Q29" s="1343"/>
      <c r="R29" s="1036"/>
      <c r="S29" s="1037"/>
      <c r="T29" s="1037"/>
      <c r="U29" s="1037"/>
      <c r="V29" s="1037"/>
      <c r="W29" s="1035"/>
      <c r="Z29" s="763"/>
      <c r="AA29" s="1038"/>
      <c r="AB29" s="1038"/>
      <c r="AC29" s="763"/>
      <c r="AD29" s="763"/>
      <c r="AE29" s="763"/>
      <c r="AF29" s="763"/>
      <c r="AG29" s="763"/>
      <c r="AH29" s="763"/>
      <c r="AI29" s="763"/>
      <c r="AJ29" s="763"/>
      <c r="AK29" s="763"/>
      <c r="AL29" s="763"/>
      <c r="AM29" s="763"/>
      <c r="AN29" s="763"/>
      <c r="AO29" s="763"/>
      <c r="AP29" s="763"/>
      <c r="AQ29" s="763"/>
      <c r="AR29" s="763"/>
      <c r="AS29" s="763"/>
      <c r="AT29" s="763"/>
      <c r="AU29" s="763"/>
      <c r="AV29" s="763"/>
      <c r="AW29" s="763"/>
      <c r="AX29" s="763"/>
      <c r="AY29" s="763"/>
      <c r="AZ29" s="763"/>
      <c r="BA29" s="763"/>
      <c r="BB29" s="763"/>
      <c r="BC29" s="763"/>
      <c r="BD29" s="763"/>
      <c r="BE29" s="763"/>
      <c r="BF29" s="763"/>
      <c r="BG29" s="763"/>
      <c r="BH29" s="763"/>
      <c r="BI29" s="763"/>
      <c r="BJ29" s="763"/>
      <c r="BK29" s="763"/>
      <c r="BL29" s="763"/>
      <c r="BM29" s="763"/>
      <c r="BN29" s="763"/>
      <c r="BO29" s="763"/>
      <c r="BP29" s="763"/>
      <c r="BQ29" s="763"/>
      <c r="BR29" s="763"/>
      <c r="BS29" s="763"/>
      <c r="BT29" s="763"/>
      <c r="BU29" s="763"/>
      <c r="BV29" s="763"/>
      <c r="BW29" s="763"/>
      <c r="BX29" s="763"/>
      <c r="BY29" s="763"/>
      <c r="BZ29" s="763"/>
      <c r="CA29" s="763"/>
      <c r="CB29" s="763"/>
      <c r="CC29" s="763"/>
      <c r="CD29" s="763"/>
      <c r="CE29" s="763"/>
      <c r="CF29" s="763"/>
      <c r="CG29" s="763"/>
      <c r="CH29" s="763"/>
      <c r="CI29" s="763"/>
      <c r="CJ29" s="763"/>
      <c r="CK29" s="763"/>
      <c r="CL29" s="763"/>
      <c r="CM29" s="763"/>
      <c r="CN29" s="763"/>
      <c r="CO29" s="763"/>
      <c r="CP29" s="763"/>
      <c r="CQ29" s="763"/>
      <c r="CR29" s="763"/>
      <c r="CS29" s="763"/>
      <c r="CT29" s="763"/>
      <c r="CU29" s="763"/>
      <c r="CV29" s="763"/>
      <c r="CW29" s="763"/>
      <c r="CX29" s="763"/>
      <c r="CY29" s="763"/>
      <c r="CZ29" s="763"/>
      <c r="DA29" s="763"/>
      <c r="DB29" s="763"/>
      <c r="DC29" s="763"/>
      <c r="DD29" s="763"/>
      <c r="DE29" s="763"/>
      <c r="DF29" s="763"/>
      <c r="DG29" s="763"/>
      <c r="DH29" s="763"/>
      <c r="DI29" s="763"/>
      <c r="DJ29" s="763"/>
      <c r="DK29" s="763"/>
      <c r="DL29" s="763"/>
      <c r="DM29" s="763"/>
      <c r="DN29" s="763"/>
      <c r="DO29" s="763"/>
      <c r="DP29" s="763"/>
      <c r="DQ29" s="763"/>
      <c r="DR29" s="763"/>
      <c r="DS29" s="763"/>
      <c r="DT29" s="763"/>
      <c r="DU29" s="763"/>
      <c r="DV29" s="763"/>
      <c r="DW29" s="763"/>
      <c r="DX29" s="763"/>
      <c r="DY29" s="763"/>
      <c r="DZ29" s="763"/>
      <c r="EA29" s="763"/>
      <c r="EB29" s="763"/>
      <c r="EC29" s="763"/>
      <c r="ED29" s="763"/>
    </row>
    <row r="30" spans="1:134" s="899" customFormat="1" ht="15.95" customHeight="1" thickBot="1" x14ac:dyDescent="0.25">
      <c r="A30" s="426"/>
      <c r="B30" s="1352" t="s">
        <v>1218</v>
      </c>
      <c r="C30" s="1353"/>
      <c r="D30" s="1354"/>
      <c r="E30" s="756"/>
      <c r="F30" s="756"/>
      <c r="G30" s="757" t="s">
        <v>1636</v>
      </c>
      <c r="H30" s="757"/>
      <c r="I30" s="716">
        <f>SUM(V10:V24)</f>
        <v>0</v>
      </c>
      <c r="J30" s="716">
        <f>Y10</f>
        <v>0</v>
      </c>
      <c r="K30" s="716">
        <f>Y14</f>
        <v>0</v>
      </c>
      <c r="L30" s="716">
        <f>Y17</f>
        <v>0</v>
      </c>
      <c r="M30" s="716">
        <f>AA10</f>
        <v>0</v>
      </c>
      <c r="N30" s="716">
        <f>AC14</f>
        <v>0</v>
      </c>
      <c r="O30" s="716">
        <f>AE10</f>
        <v>0</v>
      </c>
      <c r="P30" s="716">
        <f>P26</f>
        <v>0</v>
      </c>
      <c r="Q30" s="758">
        <f>SUM(I30:P30)</f>
        <v>0</v>
      </c>
      <c r="R30" s="1044"/>
      <c r="S30" s="1041"/>
      <c r="T30" s="1041"/>
      <c r="U30" s="1041"/>
      <c r="V30" s="1041"/>
      <c r="W30" s="1038"/>
      <c r="X30" s="1038"/>
      <c r="Y30" s="1038"/>
      <c r="Z30" s="1042"/>
      <c r="AA30" s="970"/>
      <c r="AC30" s="1038"/>
      <c r="AD30" s="1038"/>
      <c r="AE30" s="763"/>
      <c r="AF30" s="763"/>
      <c r="AG30" s="763"/>
      <c r="AH30" s="763"/>
      <c r="AI30" s="763"/>
      <c r="AJ30" s="763"/>
      <c r="AK30" s="763"/>
      <c r="AL30" s="763"/>
      <c r="AM30" s="763"/>
      <c r="AN30" s="763"/>
      <c r="AO30" s="763"/>
      <c r="AP30" s="763"/>
      <c r="AQ30" s="763"/>
      <c r="AR30" s="763"/>
      <c r="AS30" s="763"/>
      <c r="AT30" s="763"/>
      <c r="AU30" s="763"/>
      <c r="AV30" s="763"/>
      <c r="AW30" s="763"/>
      <c r="AX30" s="763"/>
      <c r="AY30" s="763"/>
      <c r="AZ30" s="763"/>
      <c r="BA30" s="763"/>
      <c r="BB30" s="763"/>
      <c r="BC30" s="763"/>
      <c r="BD30" s="763"/>
      <c r="BE30" s="763"/>
      <c r="BF30" s="763"/>
      <c r="BG30" s="763"/>
      <c r="BH30" s="763"/>
      <c r="BI30" s="763"/>
      <c r="BJ30" s="763"/>
      <c r="BK30" s="763"/>
      <c r="BL30" s="763"/>
      <c r="BM30" s="763"/>
      <c r="BN30" s="763"/>
      <c r="BO30" s="763"/>
      <c r="BP30" s="763"/>
      <c r="BQ30" s="763"/>
      <c r="BR30" s="763"/>
      <c r="BS30" s="763"/>
      <c r="BT30" s="763"/>
      <c r="BU30" s="763"/>
      <c r="BV30" s="763"/>
      <c r="BW30" s="763"/>
      <c r="BX30" s="763"/>
      <c r="BY30" s="763"/>
      <c r="BZ30" s="763"/>
      <c r="CA30" s="763"/>
      <c r="CB30" s="763"/>
      <c r="CC30" s="763"/>
      <c r="CD30" s="763"/>
      <c r="CE30" s="763"/>
      <c r="CF30" s="763"/>
      <c r="CG30" s="763"/>
      <c r="CH30" s="763"/>
      <c r="CI30" s="763"/>
      <c r="CJ30" s="763"/>
      <c r="CK30" s="763"/>
      <c r="CL30" s="763"/>
      <c r="CM30" s="763"/>
      <c r="CN30" s="763"/>
      <c r="CO30" s="763"/>
      <c r="CP30" s="763"/>
      <c r="CQ30" s="763"/>
      <c r="CR30" s="763"/>
      <c r="CS30" s="763"/>
      <c r="CT30" s="763"/>
      <c r="CU30" s="763"/>
      <c r="CV30" s="763"/>
      <c r="CW30" s="763"/>
      <c r="CX30" s="763"/>
      <c r="CY30" s="763"/>
      <c r="CZ30" s="763"/>
      <c r="DA30" s="763"/>
      <c r="DB30" s="763"/>
      <c r="DC30" s="763"/>
      <c r="DD30" s="763"/>
      <c r="DE30" s="763"/>
      <c r="DF30" s="763"/>
      <c r="DG30" s="763"/>
      <c r="DH30" s="763"/>
      <c r="DI30" s="763"/>
      <c r="DJ30" s="763"/>
      <c r="DK30" s="763"/>
      <c r="DL30" s="763"/>
      <c r="DM30" s="763"/>
      <c r="DN30" s="763"/>
      <c r="DO30" s="763"/>
      <c r="DP30" s="763"/>
      <c r="DQ30" s="763"/>
      <c r="DR30" s="763"/>
      <c r="DS30" s="763"/>
      <c r="DT30" s="763"/>
      <c r="DU30" s="763"/>
      <c r="DV30" s="763"/>
      <c r="DW30" s="763"/>
      <c r="DX30" s="763"/>
      <c r="DY30" s="763"/>
      <c r="DZ30" s="763"/>
      <c r="EA30" s="763"/>
      <c r="EB30" s="763"/>
      <c r="EC30" s="763"/>
      <c r="ED30" s="763"/>
    </row>
    <row r="31" spans="1:134" s="899" customFormat="1" ht="3.75" customHeight="1" x14ac:dyDescent="0.2">
      <c r="A31" s="426"/>
      <c r="B31" s="426"/>
      <c r="C31" s="426"/>
      <c r="D31" s="426"/>
      <c r="E31" s="426"/>
      <c r="F31" s="426"/>
      <c r="G31" s="759" t="s">
        <v>309</v>
      </c>
      <c r="H31" s="759"/>
      <c r="I31" s="426"/>
      <c r="J31" s="426"/>
      <c r="K31" s="760"/>
      <c r="L31" s="480"/>
      <c r="M31" s="480"/>
      <c r="N31" s="480"/>
      <c r="O31" s="480"/>
      <c r="P31" s="480"/>
      <c r="Q31" s="480"/>
      <c r="R31" s="763"/>
      <c r="S31" s="763"/>
      <c r="T31" s="763"/>
      <c r="U31" s="763"/>
      <c r="V31" s="1043"/>
      <c r="W31" s="763"/>
      <c r="X31" s="763"/>
      <c r="Y31" s="763"/>
      <c r="Z31" s="763"/>
      <c r="AA31" s="763"/>
      <c r="AB31" s="763"/>
      <c r="AC31" s="763"/>
      <c r="AD31" s="763"/>
      <c r="AE31" s="763"/>
      <c r="AF31" s="763"/>
      <c r="AG31" s="763"/>
      <c r="AH31" s="763"/>
      <c r="AI31" s="763"/>
      <c r="AJ31" s="763"/>
      <c r="AK31" s="763"/>
      <c r="AL31" s="763"/>
      <c r="AM31" s="763"/>
      <c r="AN31" s="763"/>
      <c r="AO31" s="763"/>
      <c r="AP31" s="763"/>
      <c r="AQ31" s="763"/>
      <c r="AR31" s="763"/>
      <c r="AS31" s="763"/>
      <c r="AT31" s="763"/>
      <c r="AU31" s="763"/>
      <c r="AV31" s="763"/>
      <c r="AW31" s="763"/>
      <c r="AX31" s="763"/>
      <c r="AY31" s="763"/>
      <c r="AZ31" s="763"/>
      <c r="BA31" s="763"/>
      <c r="BB31" s="763"/>
      <c r="BC31" s="763"/>
      <c r="BD31" s="763"/>
      <c r="BE31" s="763"/>
      <c r="BF31" s="763"/>
      <c r="BG31" s="763"/>
      <c r="BH31" s="763"/>
      <c r="BI31" s="763"/>
      <c r="BJ31" s="763"/>
      <c r="BK31" s="763"/>
      <c r="BL31" s="763"/>
      <c r="BM31" s="763"/>
      <c r="BN31" s="763"/>
      <c r="BO31" s="763"/>
      <c r="BP31" s="763"/>
      <c r="BQ31" s="763"/>
      <c r="BR31" s="763"/>
      <c r="BS31" s="763"/>
      <c r="BT31" s="763"/>
      <c r="BU31" s="763"/>
      <c r="BV31" s="763"/>
      <c r="BW31" s="763"/>
      <c r="BX31" s="763"/>
      <c r="BY31" s="763"/>
      <c r="BZ31" s="763"/>
      <c r="CA31" s="763"/>
      <c r="CB31" s="763"/>
      <c r="CC31" s="763"/>
      <c r="CD31" s="763"/>
      <c r="CE31" s="763"/>
      <c r="CF31" s="763"/>
      <c r="CG31" s="763"/>
      <c r="CH31" s="763"/>
      <c r="CI31" s="763"/>
      <c r="CJ31" s="763"/>
      <c r="CK31" s="763"/>
      <c r="CL31" s="763"/>
      <c r="CM31" s="763"/>
      <c r="CN31" s="763"/>
      <c r="CO31" s="763"/>
      <c r="CP31" s="763"/>
      <c r="CQ31" s="763"/>
      <c r="CR31" s="763"/>
      <c r="CS31" s="763"/>
      <c r="CT31" s="763"/>
      <c r="CU31" s="763"/>
      <c r="CV31" s="763"/>
      <c r="CW31" s="763"/>
      <c r="CX31" s="763"/>
      <c r="CY31" s="763"/>
      <c r="CZ31" s="763"/>
      <c r="DA31" s="763"/>
      <c r="DB31" s="763"/>
      <c r="DC31" s="763"/>
      <c r="DD31" s="763"/>
      <c r="DE31" s="763"/>
      <c r="DF31" s="763"/>
      <c r="DG31" s="763"/>
      <c r="DH31" s="763"/>
      <c r="DI31" s="763"/>
      <c r="DJ31" s="763"/>
      <c r="DK31" s="763"/>
      <c r="DL31" s="763"/>
      <c r="DM31" s="763"/>
      <c r="DN31" s="763"/>
      <c r="DO31" s="763"/>
      <c r="DP31" s="763"/>
      <c r="DQ31" s="763"/>
      <c r="DR31" s="763"/>
      <c r="DS31" s="763"/>
      <c r="DT31" s="763"/>
      <c r="DU31" s="763"/>
      <c r="DV31" s="763"/>
      <c r="DW31" s="763"/>
      <c r="DX31" s="763"/>
      <c r="DY31" s="763"/>
      <c r="DZ31" s="763"/>
      <c r="EA31" s="763"/>
    </row>
    <row r="32" spans="1:134" s="899" customFormat="1" ht="47.25" customHeight="1" x14ac:dyDescent="0.2">
      <c r="A32" s="533" t="s">
        <v>494</v>
      </c>
      <c r="B32" s="1276" t="s">
        <v>1219</v>
      </c>
      <c r="C32" s="1276"/>
      <c r="D32" s="1276"/>
      <c r="E32" s="1276"/>
      <c r="F32" s="1276"/>
      <c r="G32" s="1276"/>
      <c r="H32" s="761"/>
      <c r="I32" s="761"/>
      <c r="J32" s="771"/>
      <c r="K32" s="1355" t="s">
        <v>1220</v>
      </c>
      <c r="L32" s="1355"/>
      <c r="M32" s="1355"/>
      <c r="N32" s="1355"/>
      <c r="O32" s="549"/>
      <c r="P32" s="766"/>
      <c r="Q32" s="480"/>
      <c r="R32" s="763"/>
      <c r="S32" s="763"/>
      <c r="T32" s="763"/>
      <c r="U32" s="763"/>
      <c r="V32" s="763"/>
      <c r="W32" s="763"/>
      <c r="X32" s="763"/>
      <c r="Y32" s="763"/>
      <c r="Z32" s="763"/>
      <c r="AA32" s="763"/>
      <c r="AB32" s="763"/>
      <c r="AC32" s="763"/>
      <c r="AD32" s="763"/>
      <c r="AE32" s="763"/>
      <c r="AF32" s="763"/>
      <c r="AG32" s="763"/>
      <c r="AH32" s="763"/>
      <c r="AI32" s="763"/>
      <c r="AJ32" s="763"/>
      <c r="AK32" s="763"/>
      <c r="AL32" s="763"/>
      <c r="AM32" s="763"/>
      <c r="AN32" s="763"/>
      <c r="AO32" s="763"/>
      <c r="AP32" s="763"/>
      <c r="AQ32" s="763"/>
      <c r="AR32" s="763"/>
      <c r="AS32" s="763"/>
      <c r="AT32" s="763"/>
      <c r="AU32" s="763"/>
      <c r="AV32" s="763"/>
      <c r="AW32" s="763"/>
      <c r="AX32" s="763"/>
      <c r="AY32" s="763"/>
      <c r="AZ32" s="763"/>
      <c r="BA32" s="763"/>
      <c r="BB32" s="763"/>
      <c r="BC32" s="763"/>
      <c r="BD32" s="763"/>
      <c r="BE32" s="763"/>
      <c r="BF32" s="763"/>
      <c r="BG32" s="763"/>
      <c r="BH32" s="763"/>
      <c r="BI32" s="763"/>
      <c r="BJ32" s="763"/>
      <c r="BK32" s="763"/>
      <c r="BL32" s="763"/>
      <c r="BM32" s="763"/>
      <c r="BN32" s="763"/>
      <c r="BO32" s="763"/>
      <c r="BP32" s="763"/>
      <c r="BQ32" s="763"/>
      <c r="BR32" s="763"/>
      <c r="BS32" s="763"/>
      <c r="BT32" s="763"/>
      <c r="BU32" s="763"/>
      <c r="BV32" s="763"/>
      <c r="BW32" s="763"/>
      <c r="BX32" s="763"/>
      <c r="BY32" s="763"/>
      <c r="BZ32" s="763"/>
      <c r="CA32" s="763"/>
      <c r="CB32" s="763"/>
      <c r="CC32" s="763"/>
      <c r="CD32" s="763"/>
      <c r="CE32" s="763"/>
      <c r="CF32" s="763"/>
      <c r="CG32" s="763"/>
      <c r="CH32" s="763"/>
      <c r="CI32" s="763"/>
      <c r="CJ32" s="763"/>
      <c r="CK32" s="763"/>
      <c r="CL32" s="763"/>
      <c r="CM32" s="763"/>
      <c r="CN32" s="763"/>
      <c r="CO32" s="763"/>
      <c r="CP32" s="763"/>
      <c r="CQ32" s="763"/>
      <c r="CR32" s="763"/>
      <c r="CS32" s="763"/>
      <c r="CT32" s="763"/>
      <c r="CU32" s="763"/>
      <c r="CV32" s="763"/>
      <c r="CW32" s="763"/>
      <c r="CX32" s="763"/>
      <c r="CY32" s="763"/>
      <c r="CZ32" s="763"/>
      <c r="DA32" s="763"/>
      <c r="DB32" s="763"/>
      <c r="DC32" s="763"/>
      <c r="DD32" s="763"/>
      <c r="DE32" s="763"/>
      <c r="DF32" s="763"/>
      <c r="DG32" s="763"/>
      <c r="DH32" s="763"/>
      <c r="DI32" s="763"/>
      <c r="DJ32" s="763"/>
      <c r="DK32" s="763"/>
      <c r="DL32" s="763"/>
      <c r="DM32" s="763"/>
      <c r="DN32" s="763"/>
      <c r="DO32" s="763"/>
      <c r="DP32" s="763"/>
      <c r="DQ32" s="763"/>
      <c r="DR32" s="763"/>
      <c r="DS32" s="763"/>
      <c r="DT32" s="763"/>
      <c r="DU32" s="763"/>
      <c r="DV32" s="763"/>
      <c r="DW32" s="763"/>
      <c r="DX32" s="763"/>
      <c r="DY32" s="763"/>
      <c r="DZ32" s="763"/>
      <c r="EA32" s="763"/>
    </row>
    <row r="33" spans="1:131" s="899" customFormat="1" ht="33" customHeight="1" x14ac:dyDescent="0.2">
      <c r="A33" s="533" t="s">
        <v>496</v>
      </c>
      <c r="B33" s="1276" t="s">
        <v>1221</v>
      </c>
      <c r="C33" s="1276"/>
      <c r="D33" s="1276"/>
      <c r="E33" s="1276"/>
      <c r="F33" s="1276"/>
      <c r="G33" s="1276"/>
      <c r="H33" s="761"/>
      <c r="I33" s="761"/>
      <c r="J33" s="772"/>
      <c r="K33" s="1366" t="s">
        <v>1222</v>
      </c>
      <c r="L33" s="1366" t="s">
        <v>1223</v>
      </c>
      <c r="M33" s="1366" t="s">
        <v>1224</v>
      </c>
      <c r="N33" s="1366" t="s">
        <v>1225</v>
      </c>
      <c r="O33" s="480"/>
      <c r="P33" s="766"/>
      <c r="Q33" s="480"/>
      <c r="R33" s="763"/>
      <c r="S33" s="763"/>
      <c r="T33" s="763"/>
      <c r="U33" s="763"/>
      <c r="V33" s="763"/>
      <c r="W33" s="763"/>
      <c r="X33" s="763"/>
      <c r="Y33" s="763"/>
      <c r="Z33" s="763"/>
      <c r="AA33" s="763"/>
      <c r="AB33" s="763"/>
      <c r="AC33" s="763"/>
      <c r="AD33" s="763"/>
      <c r="AE33" s="763"/>
      <c r="AF33" s="763"/>
      <c r="AG33" s="763"/>
      <c r="AH33" s="763"/>
      <c r="AI33" s="763"/>
      <c r="AJ33" s="763"/>
      <c r="AK33" s="763"/>
      <c r="AL33" s="763"/>
      <c r="AM33" s="763"/>
      <c r="AN33" s="763"/>
      <c r="AO33" s="763"/>
      <c r="AP33" s="763"/>
      <c r="AQ33" s="763"/>
      <c r="AR33" s="763"/>
      <c r="AS33" s="763"/>
      <c r="AT33" s="763"/>
      <c r="AU33" s="763"/>
      <c r="AV33" s="763"/>
      <c r="AW33" s="763"/>
      <c r="AX33" s="763"/>
      <c r="AY33" s="763"/>
      <c r="AZ33" s="763"/>
      <c r="BA33" s="763"/>
      <c r="BB33" s="763"/>
      <c r="BC33" s="763"/>
      <c r="BD33" s="763"/>
      <c r="BE33" s="763"/>
      <c r="BF33" s="763"/>
      <c r="BG33" s="763"/>
      <c r="BH33" s="763"/>
      <c r="BI33" s="763"/>
      <c r="BJ33" s="763"/>
      <c r="BK33" s="763"/>
      <c r="BL33" s="763"/>
      <c r="BM33" s="763"/>
      <c r="BN33" s="763"/>
      <c r="BO33" s="763"/>
      <c r="BP33" s="763"/>
      <c r="BQ33" s="763"/>
      <c r="BR33" s="763"/>
      <c r="BS33" s="763"/>
      <c r="BT33" s="763"/>
      <c r="BU33" s="763"/>
      <c r="BV33" s="763"/>
      <c r="BW33" s="763"/>
      <c r="BX33" s="763"/>
      <c r="BY33" s="763"/>
      <c r="BZ33" s="763"/>
      <c r="CA33" s="763"/>
      <c r="CB33" s="763"/>
      <c r="CC33" s="763"/>
      <c r="CD33" s="763"/>
      <c r="CE33" s="763"/>
      <c r="CF33" s="763"/>
      <c r="CG33" s="763"/>
      <c r="CH33" s="763"/>
      <c r="CI33" s="763"/>
      <c r="CJ33" s="763"/>
      <c r="CK33" s="763"/>
      <c r="CL33" s="763"/>
      <c r="CM33" s="763"/>
      <c r="CN33" s="763"/>
      <c r="CO33" s="763"/>
      <c r="CP33" s="763"/>
      <c r="CQ33" s="763"/>
      <c r="CR33" s="763"/>
      <c r="CS33" s="763"/>
      <c r="CT33" s="763"/>
      <c r="CU33" s="763"/>
      <c r="CV33" s="763"/>
      <c r="CW33" s="763"/>
      <c r="CX33" s="763"/>
      <c r="CY33" s="763"/>
      <c r="CZ33" s="763"/>
      <c r="DA33" s="763"/>
      <c r="DB33" s="763"/>
      <c r="DC33" s="763"/>
      <c r="DD33" s="763"/>
      <c r="DE33" s="763"/>
      <c r="DF33" s="763"/>
      <c r="DG33" s="763"/>
      <c r="DH33" s="763"/>
      <c r="DI33" s="763"/>
      <c r="DJ33" s="763"/>
      <c r="DK33" s="763"/>
      <c r="DL33" s="763"/>
      <c r="DM33" s="763"/>
      <c r="DN33" s="763"/>
      <c r="DO33" s="763"/>
      <c r="DP33" s="763"/>
      <c r="DQ33" s="763"/>
      <c r="DR33" s="763"/>
      <c r="DS33" s="763"/>
      <c r="DT33" s="763"/>
      <c r="DU33" s="763"/>
      <c r="DV33" s="763"/>
      <c r="DW33" s="763"/>
      <c r="DX33" s="763"/>
      <c r="DY33" s="763"/>
      <c r="DZ33" s="763"/>
      <c r="EA33" s="763"/>
    </row>
    <row r="34" spans="1:131" s="899" customFormat="1" ht="26.25" customHeight="1" x14ac:dyDescent="0.2">
      <c r="A34" s="533" t="s">
        <v>498</v>
      </c>
      <c r="B34" s="1276" t="s">
        <v>346</v>
      </c>
      <c r="C34" s="1276"/>
      <c r="D34" s="1276"/>
      <c r="E34" s="1276"/>
      <c r="F34" s="1276"/>
      <c r="G34" s="1276"/>
      <c r="H34" s="761"/>
      <c r="I34" s="761"/>
      <c r="J34" s="772"/>
      <c r="K34" s="1367"/>
      <c r="L34" s="1367"/>
      <c r="M34" s="1367"/>
      <c r="N34" s="1367"/>
      <c r="O34" s="480"/>
      <c r="P34" s="766"/>
      <c r="Q34" s="480"/>
      <c r="R34" s="763"/>
      <c r="S34" s="763"/>
      <c r="T34" s="763"/>
      <c r="U34" s="763"/>
      <c r="V34" s="763"/>
      <c r="W34" s="763"/>
      <c r="X34" s="763"/>
      <c r="Y34" s="763"/>
      <c r="Z34" s="763"/>
      <c r="AA34" s="763"/>
      <c r="AB34" s="763"/>
      <c r="AC34" s="763"/>
      <c r="AD34" s="763"/>
      <c r="AE34" s="763"/>
      <c r="AF34" s="763"/>
      <c r="AG34" s="763"/>
      <c r="AH34" s="763"/>
      <c r="AI34" s="763"/>
      <c r="AJ34" s="763"/>
      <c r="AK34" s="763"/>
      <c r="AL34" s="763"/>
      <c r="AM34" s="763"/>
      <c r="AN34" s="763"/>
      <c r="AO34" s="763"/>
      <c r="AP34" s="763"/>
      <c r="AQ34" s="763"/>
      <c r="AR34" s="763"/>
      <c r="AS34" s="763"/>
      <c r="AT34" s="763"/>
      <c r="AU34" s="763"/>
      <c r="AV34" s="763"/>
      <c r="AW34" s="763"/>
      <c r="AX34" s="763"/>
      <c r="AY34" s="763"/>
      <c r="AZ34" s="763"/>
      <c r="BA34" s="763"/>
      <c r="BB34" s="763"/>
      <c r="BC34" s="763"/>
      <c r="BD34" s="763"/>
      <c r="BE34" s="763"/>
      <c r="BF34" s="763"/>
      <c r="BG34" s="763"/>
      <c r="BH34" s="763"/>
      <c r="BI34" s="763"/>
      <c r="BJ34" s="763"/>
      <c r="BK34" s="763"/>
      <c r="BL34" s="763"/>
      <c r="BM34" s="763"/>
      <c r="BN34" s="763"/>
      <c r="BO34" s="763"/>
      <c r="BP34" s="763"/>
      <c r="BQ34" s="763"/>
      <c r="BR34" s="763"/>
      <c r="BS34" s="763"/>
      <c r="BT34" s="763"/>
      <c r="BU34" s="763"/>
      <c r="BV34" s="763"/>
      <c r="BW34" s="763"/>
      <c r="BX34" s="763"/>
      <c r="BY34" s="763"/>
      <c r="BZ34" s="763"/>
      <c r="CA34" s="763"/>
      <c r="CB34" s="763"/>
      <c r="CC34" s="763"/>
      <c r="CD34" s="763"/>
      <c r="CE34" s="763"/>
      <c r="CF34" s="763"/>
      <c r="CG34" s="763"/>
      <c r="CH34" s="763"/>
      <c r="CI34" s="763"/>
      <c r="CJ34" s="763"/>
      <c r="CK34" s="763"/>
      <c r="CL34" s="763"/>
      <c r="CM34" s="763"/>
      <c r="CN34" s="763"/>
      <c r="CO34" s="763"/>
      <c r="CP34" s="763"/>
      <c r="CQ34" s="763"/>
      <c r="CR34" s="763"/>
      <c r="CS34" s="763"/>
      <c r="CT34" s="763"/>
      <c r="CU34" s="763"/>
      <c r="CV34" s="763"/>
      <c r="CW34" s="763"/>
      <c r="CX34" s="763"/>
      <c r="CY34" s="763"/>
      <c r="CZ34" s="763"/>
      <c r="DA34" s="763"/>
      <c r="DB34" s="763"/>
      <c r="DC34" s="763"/>
      <c r="DD34" s="763"/>
      <c r="DE34" s="763"/>
      <c r="DF34" s="763"/>
      <c r="DG34" s="763"/>
      <c r="DH34" s="763"/>
      <c r="DI34" s="763"/>
      <c r="DJ34" s="763"/>
      <c r="DK34" s="763"/>
      <c r="DL34" s="763"/>
      <c r="DM34" s="763"/>
      <c r="DN34" s="763"/>
      <c r="DO34" s="763"/>
      <c r="DP34" s="763"/>
      <c r="DQ34" s="763"/>
      <c r="DR34" s="763"/>
      <c r="DS34" s="763"/>
      <c r="DT34" s="763"/>
      <c r="DU34" s="763"/>
      <c r="DV34" s="763"/>
      <c r="DW34" s="763"/>
      <c r="DX34" s="763"/>
      <c r="DY34" s="763"/>
      <c r="DZ34" s="763"/>
      <c r="EA34" s="763"/>
    </row>
    <row r="35" spans="1:131" s="899" customFormat="1" ht="13.5" customHeight="1" x14ac:dyDescent="0.2">
      <c r="A35" s="533" t="s">
        <v>500</v>
      </c>
      <c r="B35" s="1368" t="s">
        <v>347</v>
      </c>
      <c r="C35" s="1368"/>
      <c r="D35" s="1368"/>
      <c r="E35" s="1368"/>
      <c r="F35" s="1368"/>
      <c r="G35" s="1368"/>
      <c r="H35" s="764"/>
      <c r="I35" s="764"/>
      <c r="J35" s="773"/>
      <c r="K35" s="753">
        <v>1</v>
      </c>
      <c r="L35" s="765">
        <v>0.4</v>
      </c>
      <c r="M35" s="1369" t="s">
        <v>348</v>
      </c>
      <c r="N35" s="1369">
        <v>1</v>
      </c>
      <c r="O35" s="480"/>
      <c r="P35" s="766"/>
      <c r="Q35" s="480"/>
      <c r="R35" s="763"/>
      <c r="S35" s="763"/>
      <c r="T35" s="763"/>
      <c r="U35" s="763"/>
      <c r="V35" s="763"/>
      <c r="W35" s="763"/>
      <c r="X35" s="763"/>
      <c r="Y35" s="763"/>
      <c r="Z35" s="763"/>
      <c r="AA35" s="763"/>
      <c r="AB35" s="763"/>
      <c r="AC35" s="763"/>
      <c r="AD35" s="763"/>
      <c r="AE35" s="763"/>
      <c r="AF35" s="763"/>
      <c r="AG35" s="763"/>
      <c r="AH35" s="763"/>
      <c r="AI35" s="763"/>
      <c r="AJ35" s="763"/>
      <c r="AK35" s="763"/>
      <c r="AL35" s="763"/>
      <c r="AM35" s="763"/>
      <c r="AN35" s="763"/>
      <c r="AO35" s="763"/>
      <c r="AP35" s="763"/>
      <c r="AQ35" s="763"/>
      <c r="AR35" s="763"/>
      <c r="AS35" s="763"/>
      <c r="AT35" s="763"/>
      <c r="AU35" s="763"/>
      <c r="AV35" s="763"/>
      <c r="AW35" s="763"/>
      <c r="AX35" s="763"/>
      <c r="AY35" s="763"/>
      <c r="AZ35" s="763"/>
      <c r="BA35" s="763"/>
      <c r="BB35" s="763"/>
      <c r="BC35" s="763"/>
      <c r="BD35" s="763"/>
      <c r="BE35" s="763"/>
      <c r="BF35" s="763"/>
      <c r="BG35" s="763"/>
      <c r="BH35" s="763"/>
      <c r="BI35" s="763"/>
      <c r="BJ35" s="763"/>
      <c r="BK35" s="763"/>
      <c r="BL35" s="763"/>
      <c r="BM35" s="763"/>
      <c r="BN35" s="763"/>
      <c r="BO35" s="763"/>
      <c r="BP35" s="763"/>
      <c r="BQ35" s="763"/>
      <c r="BR35" s="763"/>
      <c r="BS35" s="763"/>
      <c r="BT35" s="763"/>
      <c r="BU35" s="763"/>
      <c r="BV35" s="763"/>
      <c r="BW35" s="763"/>
      <c r="BX35" s="763"/>
      <c r="BY35" s="763"/>
      <c r="BZ35" s="763"/>
      <c r="CA35" s="763"/>
      <c r="CB35" s="763"/>
      <c r="CC35" s="763"/>
      <c r="CD35" s="763"/>
      <c r="CE35" s="763"/>
      <c r="CF35" s="763"/>
      <c r="CG35" s="763"/>
      <c r="CH35" s="763"/>
      <c r="CI35" s="763"/>
      <c r="CJ35" s="763"/>
      <c r="CK35" s="763"/>
      <c r="CL35" s="763"/>
      <c r="CM35" s="763"/>
      <c r="CN35" s="763"/>
      <c r="CO35" s="763"/>
      <c r="CP35" s="763"/>
      <c r="CQ35" s="763"/>
      <c r="CR35" s="763"/>
      <c r="CS35" s="763"/>
      <c r="CT35" s="763"/>
      <c r="CU35" s="763"/>
      <c r="CV35" s="763"/>
      <c r="CW35" s="763"/>
      <c r="CX35" s="763"/>
      <c r="CY35" s="763"/>
      <c r="CZ35" s="763"/>
      <c r="DA35" s="763"/>
      <c r="DB35" s="763"/>
      <c r="DC35" s="763"/>
      <c r="DD35" s="763"/>
      <c r="DE35" s="763"/>
      <c r="DF35" s="763"/>
      <c r="DG35" s="763"/>
      <c r="DH35" s="763"/>
      <c r="DI35" s="763"/>
      <c r="DJ35" s="763"/>
      <c r="DK35" s="763"/>
      <c r="DL35" s="763"/>
      <c r="DM35" s="763"/>
      <c r="DN35" s="763"/>
      <c r="DO35" s="763"/>
      <c r="DP35" s="763"/>
      <c r="DQ35" s="763"/>
      <c r="DR35" s="763"/>
      <c r="DS35" s="763"/>
      <c r="DT35" s="763"/>
      <c r="DU35" s="763"/>
      <c r="DV35" s="763"/>
      <c r="DW35" s="763"/>
      <c r="DX35" s="763"/>
      <c r="DY35" s="763"/>
      <c r="DZ35" s="763"/>
      <c r="EA35" s="763"/>
    </row>
    <row r="36" spans="1:131" s="899" customFormat="1" ht="12" customHeight="1" x14ac:dyDescent="0.2">
      <c r="A36" s="426"/>
      <c r="B36" s="426"/>
      <c r="C36" s="426"/>
      <c r="D36" s="426"/>
      <c r="E36" s="426"/>
      <c r="F36" s="426"/>
      <c r="G36" s="426"/>
      <c r="H36" s="426"/>
      <c r="I36" s="426"/>
      <c r="J36" s="480"/>
      <c r="K36" s="753">
        <v>2</v>
      </c>
      <c r="L36" s="765">
        <v>0.3</v>
      </c>
      <c r="M36" s="1370"/>
      <c r="N36" s="1370"/>
      <c r="O36" s="480"/>
      <c r="P36" s="766"/>
      <c r="Q36" s="480"/>
      <c r="R36" s="763"/>
      <c r="S36" s="763"/>
      <c r="T36" s="763"/>
      <c r="U36" s="763"/>
      <c r="V36" s="763"/>
      <c r="W36" s="763"/>
      <c r="X36" s="763"/>
      <c r="Y36" s="763"/>
      <c r="Z36" s="763"/>
      <c r="AA36" s="763"/>
      <c r="AB36" s="763"/>
      <c r="AC36" s="763"/>
      <c r="AD36" s="763"/>
      <c r="AE36" s="763"/>
      <c r="AF36" s="763"/>
      <c r="AG36" s="763"/>
      <c r="AH36" s="763"/>
      <c r="AI36" s="763"/>
      <c r="AJ36" s="763"/>
      <c r="AK36" s="763"/>
      <c r="AL36" s="763"/>
      <c r="AM36" s="763"/>
      <c r="AN36" s="763"/>
      <c r="AO36" s="763"/>
      <c r="AP36" s="763"/>
      <c r="AQ36" s="763"/>
      <c r="AR36" s="763"/>
      <c r="AS36" s="763"/>
      <c r="AT36" s="763"/>
      <c r="AU36" s="763"/>
      <c r="AV36" s="763"/>
      <c r="AW36" s="763"/>
      <c r="AX36" s="763"/>
      <c r="AY36" s="763"/>
      <c r="AZ36" s="763"/>
      <c r="BA36" s="763"/>
      <c r="BB36" s="763"/>
      <c r="BC36" s="763"/>
      <c r="BD36" s="763"/>
      <c r="BE36" s="763"/>
      <c r="BF36" s="763"/>
      <c r="BG36" s="763"/>
      <c r="BH36" s="763"/>
      <c r="BI36" s="763"/>
      <c r="BJ36" s="763"/>
      <c r="BK36" s="763"/>
      <c r="BL36" s="763"/>
      <c r="BM36" s="763"/>
      <c r="BN36" s="763"/>
      <c r="BO36" s="763"/>
      <c r="BP36" s="763"/>
      <c r="BQ36" s="763"/>
      <c r="BR36" s="763"/>
      <c r="BS36" s="763"/>
      <c r="BT36" s="763"/>
      <c r="BU36" s="763"/>
      <c r="BV36" s="763"/>
      <c r="BW36" s="763"/>
      <c r="BX36" s="763"/>
      <c r="BY36" s="763"/>
      <c r="BZ36" s="763"/>
      <c r="CA36" s="763"/>
      <c r="CB36" s="763"/>
      <c r="CC36" s="763"/>
      <c r="CD36" s="763"/>
      <c r="CE36" s="763"/>
      <c r="CF36" s="763"/>
      <c r="CG36" s="763"/>
      <c r="CH36" s="763"/>
      <c r="CI36" s="763"/>
      <c r="CJ36" s="763"/>
      <c r="CK36" s="763"/>
      <c r="CL36" s="763"/>
      <c r="CM36" s="763"/>
      <c r="CN36" s="763"/>
      <c r="CO36" s="763"/>
      <c r="CP36" s="763"/>
      <c r="CQ36" s="763"/>
      <c r="CR36" s="763"/>
      <c r="CS36" s="763"/>
      <c r="CT36" s="763"/>
      <c r="CU36" s="763"/>
      <c r="CV36" s="763"/>
      <c r="CW36" s="763"/>
      <c r="CX36" s="763"/>
      <c r="CY36" s="763"/>
      <c r="CZ36" s="763"/>
      <c r="DA36" s="763"/>
      <c r="DB36" s="763"/>
      <c r="DC36" s="763"/>
      <c r="DD36" s="763"/>
      <c r="DE36" s="763"/>
      <c r="DF36" s="763"/>
      <c r="DG36" s="763"/>
      <c r="DH36" s="763"/>
      <c r="DI36" s="763"/>
      <c r="DJ36" s="763"/>
      <c r="DK36" s="763"/>
      <c r="DL36" s="763"/>
      <c r="DM36" s="763"/>
      <c r="DN36" s="763"/>
      <c r="DO36" s="763"/>
      <c r="DP36" s="763"/>
      <c r="DQ36" s="763"/>
      <c r="DR36" s="763"/>
      <c r="DS36" s="763"/>
      <c r="DT36" s="763"/>
      <c r="DU36" s="763"/>
      <c r="DV36" s="763"/>
      <c r="DW36" s="763"/>
      <c r="DX36" s="763"/>
      <c r="DY36" s="763"/>
      <c r="DZ36" s="763"/>
      <c r="EA36" s="763"/>
    </row>
    <row r="37" spans="1:131" s="899" customFormat="1" ht="12" customHeight="1" x14ac:dyDescent="0.2">
      <c r="A37" s="426"/>
      <c r="B37" s="426"/>
      <c r="C37" s="426"/>
      <c r="D37" s="426"/>
      <c r="E37" s="426"/>
      <c r="F37" s="426"/>
      <c r="G37" s="426"/>
      <c r="H37" s="426"/>
      <c r="I37" s="426"/>
      <c r="J37" s="480"/>
      <c r="K37" s="753">
        <v>3</v>
      </c>
      <c r="L37" s="765">
        <v>0.3</v>
      </c>
      <c r="M37" s="1371"/>
      <c r="N37" s="1371"/>
      <c r="O37" s="480"/>
      <c r="P37" s="766"/>
      <c r="Q37" s="480"/>
      <c r="R37" s="763"/>
      <c r="S37" s="763"/>
      <c r="T37" s="763"/>
      <c r="U37" s="763"/>
      <c r="V37" s="763"/>
      <c r="W37" s="763"/>
      <c r="X37" s="763"/>
      <c r="Y37" s="763"/>
      <c r="Z37" s="763"/>
      <c r="AA37" s="763"/>
      <c r="AB37" s="763"/>
      <c r="AC37" s="763"/>
      <c r="AD37" s="763"/>
      <c r="AE37" s="763"/>
      <c r="AF37" s="763"/>
      <c r="AG37" s="763"/>
      <c r="AH37" s="763"/>
      <c r="AI37" s="763"/>
      <c r="AJ37" s="763"/>
      <c r="AK37" s="763"/>
      <c r="AL37" s="763"/>
      <c r="AM37" s="763"/>
      <c r="AN37" s="763"/>
      <c r="AO37" s="763"/>
      <c r="AP37" s="763"/>
      <c r="AQ37" s="763"/>
      <c r="AR37" s="763"/>
      <c r="AS37" s="763"/>
      <c r="AT37" s="763"/>
      <c r="AU37" s="763"/>
      <c r="AV37" s="763"/>
      <c r="AW37" s="763"/>
      <c r="AX37" s="763"/>
      <c r="AY37" s="763"/>
      <c r="AZ37" s="763"/>
      <c r="BA37" s="763"/>
      <c r="BB37" s="763"/>
      <c r="BC37" s="763"/>
      <c r="BD37" s="763"/>
      <c r="BE37" s="763"/>
      <c r="BF37" s="763"/>
      <c r="BG37" s="763"/>
      <c r="BH37" s="763"/>
      <c r="BI37" s="763"/>
      <c r="BJ37" s="763"/>
      <c r="BK37" s="763"/>
      <c r="BL37" s="763"/>
      <c r="BM37" s="763"/>
      <c r="BN37" s="763"/>
      <c r="BO37" s="763"/>
      <c r="BP37" s="763"/>
      <c r="BQ37" s="763"/>
      <c r="BR37" s="763"/>
      <c r="BS37" s="763"/>
      <c r="BT37" s="763"/>
      <c r="BU37" s="763"/>
      <c r="BV37" s="763"/>
      <c r="BW37" s="763"/>
      <c r="BX37" s="763"/>
      <c r="BY37" s="763"/>
      <c r="BZ37" s="763"/>
      <c r="CA37" s="763"/>
      <c r="CB37" s="763"/>
      <c r="CC37" s="763"/>
      <c r="CD37" s="763"/>
      <c r="CE37" s="763"/>
      <c r="CF37" s="763"/>
      <c r="CG37" s="763"/>
      <c r="CH37" s="763"/>
      <c r="CI37" s="763"/>
      <c r="CJ37" s="763"/>
      <c r="CK37" s="763"/>
      <c r="CL37" s="763"/>
      <c r="CM37" s="763"/>
      <c r="CN37" s="763"/>
      <c r="CO37" s="763"/>
      <c r="CP37" s="763"/>
      <c r="CQ37" s="763"/>
      <c r="CR37" s="763"/>
      <c r="CS37" s="763"/>
      <c r="CT37" s="763"/>
      <c r="CU37" s="763"/>
      <c r="CV37" s="763"/>
      <c r="CW37" s="763"/>
      <c r="CX37" s="763"/>
      <c r="CY37" s="763"/>
      <c r="CZ37" s="763"/>
      <c r="DA37" s="763"/>
      <c r="DB37" s="763"/>
      <c r="DC37" s="763"/>
      <c r="DD37" s="763"/>
      <c r="DE37" s="763"/>
      <c r="DF37" s="763"/>
      <c r="DG37" s="763"/>
      <c r="DH37" s="763"/>
      <c r="DI37" s="763"/>
      <c r="DJ37" s="763"/>
      <c r="DK37" s="763"/>
      <c r="DL37" s="763"/>
      <c r="DM37" s="763"/>
      <c r="DN37" s="763"/>
      <c r="DO37" s="763"/>
      <c r="DP37" s="763"/>
      <c r="DQ37" s="763"/>
      <c r="DR37" s="763"/>
      <c r="DS37" s="763"/>
      <c r="DT37" s="763"/>
      <c r="DU37" s="763"/>
      <c r="DV37" s="763"/>
      <c r="DW37" s="763"/>
      <c r="DX37" s="763"/>
      <c r="DY37" s="763"/>
      <c r="DZ37" s="763"/>
      <c r="EA37" s="763"/>
    </row>
    <row r="38" spans="1:131" x14ac:dyDescent="0.2">
      <c r="A38" s="899"/>
      <c r="B38" s="899"/>
      <c r="C38" s="899"/>
      <c r="D38" s="899"/>
      <c r="E38" s="899"/>
      <c r="F38" s="899"/>
      <c r="G38" s="899"/>
      <c r="H38" s="899"/>
      <c r="I38" s="899"/>
      <c r="J38" s="763"/>
      <c r="K38" s="899"/>
      <c r="L38" s="899"/>
      <c r="M38" s="899"/>
      <c r="N38" s="899"/>
      <c r="O38" s="763"/>
      <c r="P38" s="762"/>
      <c r="Q38" s="763"/>
      <c r="R38" s="763"/>
      <c r="S38" s="763"/>
      <c r="T38" s="763"/>
      <c r="U38" s="763"/>
      <c r="V38" s="763"/>
      <c r="W38" s="763"/>
      <c r="X38" s="763"/>
      <c r="Y38" s="763"/>
      <c r="Z38" s="763"/>
      <c r="AA38" s="763"/>
      <c r="AB38" s="763"/>
      <c r="AC38" s="763"/>
      <c r="AD38" s="763"/>
      <c r="AE38" s="763"/>
      <c r="AF38" s="763"/>
    </row>
    <row r="39" spans="1:131" x14ac:dyDescent="0.2">
      <c r="A39" s="899"/>
      <c r="B39" s="899"/>
      <c r="C39" s="899"/>
      <c r="D39" s="899"/>
      <c r="E39" s="899"/>
      <c r="F39" s="899"/>
      <c r="G39" s="899"/>
      <c r="H39" s="899"/>
      <c r="I39" s="899"/>
      <c r="J39" s="763"/>
      <c r="K39" s="763"/>
      <c r="L39" s="763"/>
      <c r="M39" s="763"/>
      <c r="N39" s="763"/>
      <c r="O39" s="763"/>
      <c r="P39" s="762"/>
      <c r="Q39" s="763"/>
      <c r="R39" s="763"/>
      <c r="S39" s="763"/>
      <c r="T39" s="763"/>
      <c r="U39" s="763"/>
      <c r="V39" s="763"/>
      <c r="W39" s="763"/>
      <c r="X39" s="763"/>
      <c r="Y39" s="763"/>
      <c r="Z39" s="763"/>
      <c r="AA39" s="763"/>
      <c r="AB39" s="763"/>
      <c r="AC39" s="763"/>
      <c r="AD39" s="763"/>
      <c r="AE39" s="763"/>
      <c r="AF39" s="763"/>
    </row>
    <row r="40" spans="1:131" x14ac:dyDescent="0.2">
      <c r="A40" s="899"/>
      <c r="B40" s="899"/>
      <c r="C40" s="899"/>
      <c r="D40" s="899"/>
      <c r="E40" s="899"/>
      <c r="F40" s="899"/>
      <c r="G40" s="899"/>
      <c r="H40" s="899"/>
      <c r="I40" s="899"/>
      <c r="J40" s="763"/>
      <c r="K40" s="763"/>
      <c r="L40" s="763"/>
      <c r="M40" s="763"/>
      <c r="N40" s="763"/>
      <c r="O40" s="763"/>
      <c r="P40" s="762"/>
      <c r="Q40" s="763"/>
      <c r="R40" s="763"/>
      <c r="S40" s="763"/>
      <c r="T40" s="763"/>
      <c r="U40" s="763"/>
      <c r="V40" s="763"/>
      <c r="W40" s="763"/>
      <c r="X40" s="763"/>
      <c r="Y40" s="763"/>
      <c r="Z40" s="763"/>
      <c r="AA40" s="763"/>
      <c r="AB40" s="763"/>
      <c r="AC40" s="763"/>
      <c r="AD40" s="763"/>
      <c r="AE40" s="763"/>
      <c r="AF40" s="763"/>
    </row>
    <row r="41" spans="1:131" x14ac:dyDescent="0.2">
      <c r="A41" s="899"/>
      <c r="B41" s="899"/>
      <c r="C41" s="899"/>
      <c r="D41" s="899"/>
      <c r="E41" s="899"/>
      <c r="F41" s="899"/>
      <c r="G41" s="899"/>
      <c r="H41" s="899"/>
      <c r="I41" s="899"/>
      <c r="J41" s="763"/>
      <c r="K41" s="763"/>
      <c r="L41" s="763"/>
      <c r="M41" s="763"/>
      <c r="N41" s="763"/>
      <c r="O41" s="763"/>
      <c r="P41" s="762"/>
      <c r="Q41" s="763"/>
      <c r="R41" s="763"/>
      <c r="S41" s="763"/>
      <c r="T41" s="763"/>
      <c r="U41" s="763"/>
      <c r="V41" s="763"/>
      <c r="W41" s="763"/>
      <c r="X41" s="763"/>
      <c r="Y41" s="763"/>
      <c r="Z41" s="763"/>
      <c r="AA41" s="763"/>
      <c r="AB41" s="763"/>
      <c r="AC41" s="763"/>
      <c r="AD41" s="763"/>
      <c r="AE41" s="763"/>
      <c r="AF41" s="763"/>
    </row>
    <row r="42" spans="1:131" x14ac:dyDescent="0.2">
      <c r="A42" s="899"/>
      <c r="B42" s="899"/>
      <c r="C42" s="899"/>
      <c r="D42" s="899"/>
      <c r="E42" s="899"/>
      <c r="F42" s="899"/>
      <c r="G42" s="899"/>
      <c r="H42" s="899"/>
      <c r="I42" s="899"/>
      <c r="J42" s="763"/>
      <c r="K42" s="763"/>
      <c r="L42" s="763"/>
      <c r="M42" s="763"/>
      <c r="N42" s="763"/>
      <c r="O42" s="763"/>
      <c r="P42" s="762"/>
      <c r="Q42" s="763"/>
      <c r="R42" s="763"/>
      <c r="S42" s="763"/>
      <c r="T42" s="763"/>
      <c r="U42" s="763"/>
      <c r="V42" s="763"/>
      <c r="W42" s="763"/>
      <c r="X42" s="763"/>
      <c r="Y42" s="763"/>
      <c r="Z42" s="763"/>
      <c r="AA42" s="763"/>
      <c r="AB42" s="763"/>
      <c r="AC42" s="763"/>
      <c r="AD42" s="763"/>
      <c r="AE42" s="763"/>
      <c r="AF42" s="763"/>
    </row>
  </sheetData>
  <sheetProtection password="DA6F" sheet="1" objects="1" scenarios="1"/>
  <mergeCells count="79">
    <mergeCell ref="N33:N34"/>
    <mergeCell ref="B34:G34"/>
    <mergeCell ref="B35:G35"/>
    <mergeCell ref="M35:M37"/>
    <mergeCell ref="N35:N37"/>
    <mergeCell ref="B33:G33"/>
    <mergeCell ref="K33:K34"/>
    <mergeCell ref="L33:L34"/>
    <mergeCell ref="M33:M34"/>
    <mergeCell ref="B30:D30"/>
    <mergeCell ref="B32:G32"/>
    <mergeCell ref="K32:N32"/>
    <mergeCell ref="B28:D29"/>
    <mergeCell ref="I28:I29"/>
    <mergeCell ref="J28:L28"/>
    <mergeCell ref="M28:O28"/>
    <mergeCell ref="B17:B24"/>
    <mergeCell ref="D17:E17"/>
    <mergeCell ref="P28:P29"/>
    <mergeCell ref="Q28:Q29"/>
    <mergeCell ref="D24:E24"/>
    <mergeCell ref="C25:E25"/>
    <mergeCell ref="C26:D26"/>
    <mergeCell ref="P26:Q26"/>
    <mergeCell ref="Y17:Y24"/>
    <mergeCell ref="Z17:Z24"/>
    <mergeCell ref="D18:E18"/>
    <mergeCell ref="D19:E19"/>
    <mergeCell ref="D20:E20"/>
    <mergeCell ref="D21:E21"/>
    <mergeCell ref="D22:E22"/>
    <mergeCell ref="D23:E23"/>
    <mergeCell ref="AA10:AA16"/>
    <mergeCell ref="AB10:AB13"/>
    <mergeCell ref="AC10:AC13"/>
    <mergeCell ref="AD10:AD13"/>
    <mergeCell ref="D15:E15"/>
    <mergeCell ref="D16:E16"/>
    <mergeCell ref="AE10:AE24"/>
    <mergeCell ref="D11:E11"/>
    <mergeCell ref="D12:E12"/>
    <mergeCell ref="D13:E13"/>
    <mergeCell ref="AB14:AB16"/>
    <mergeCell ref="AC14:AC24"/>
    <mergeCell ref="AD14:AD16"/>
    <mergeCell ref="AA17:AA24"/>
    <mergeCell ref="AB17:AB24"/>
    <mergeCell ref="AD17:AD24"/>
    <mergeCell ref="B10:B13"/>
    <mergeCell ref="D10:E10"/>
    <mergeCell ref="Y10:Y13"/>
    <mergeCell ref="Z10:Z13"/>
    <mergeCell ref="B14:B16"/>
    <mergeCell ref="D14:E14"/>
    <mergeCell ref="Y14:Y16"/>
    <mergeCell ref="Z14:Z16"/>
    <mergeCell ref="M2:O2"/>
    <mergeCell ref="O7:O9"/>
    <mergeCell ref="AD7:AD9"/>
    <mergeCell ref="AE7:AE9"/>
    <mergeCell ref="M8:N8"/>
    <mergeCell ref="Z7:Z9"/>
    <mergeCell ref="AA7:AA9"/>
    <mergeCell ref="AB7:AB9"/>
    <mergeCell ref="H7:H9"/>
    <mergeCell ref="I7:N7"/>
    <mergeCell ref="AC7:AC9"/>
    <mergeCell ref="P7:Q8"/>
    <mergeCell ref="V7:V9"/>
    <mergeCell ref="W7:X8"/>
    <mergeCell ref="Y7:Y9"/>
    <mergeCell ref="I8:J8"/>
    <mergeCell ref="K8:L8"/>
    <mergeCell ref="C4:D4"/>
    <mergeCell ref="B7:B9"/>
    <mergeCell ref="C7:E7"/>
    <mergeCell ref="G7:G9"/>
    <mergeCell ref="C8:C9"/>
    <mergeCell ref="D8:E9"/>
  </mergeCells>
  <phoneticPr fontId="36" type="noConversion"/>
  <dataValidations count="1">
    <dataValidation type="decimal" operator="greaterThanOrEqual" allowBlank="1" showInputMessage="1" showErrorMessage="1" sqref="I10:L24">
      <formula1>0</formula1>
    </dataValidation>
  </dataValidations>
  <pageMargins left="0.25" right="0.25" top="1" bottom="1" header="0.5" footer="0.5"/>
  <pageSetup paperSize="9" scale="58" orientation="landscape" r:id="rId1"/>
  <headerFooter alignWithMargins="0">
    <oddHeader>&amp;C&amp;"Arial,Bold"&amp;8 NEW RURAL BANK OF SAN LEONARDO, INC  [ 04-040656 ]
 As of: September 30, 2017</oddHeader>
  </headerFooter>
  <colBreaks count="1" manualBreakCount="1">
    <brk id="15" max="1048575" man="1"/>
  </colBreak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ED42"/>
  <sheetViews>
    <sheetView view="pageBreakPreview" zoomScale="60" zoomScaleNormal="100" workbookViewId="0">
      <selection activeCell="B1" sqref="B1"/>
    </sheetView>
  </sheetViews>
  <sheetFormatPr defaultRowHeight="12.75" x14ac:dyDescent="0.2"/>
  <cols>
    <col min="1" max="1" width="2" style="889" customWidth="1"/>
    <col min="2" max="2" width="6.7109375" style="889" customWidth="1"/>
    <col min="3" max="3" width="21.28515625" style="889" customWidth="1"/>
    <col min="4" max="4" width="17.85546875" style="889" customWidth="1"/>
    <col min="5" max="5" width="5" style="889" customWidth="1"/>
    <col min="6" max="6" width="12.42578125" style="889" hidden="1" customWidth="1"/>
    <col min="7" max="7" width="16.7109375" style="889" bestFit="1" customWidth="1"/>
    <col min="8" max="8" width="19.42578125" style="889" hidden="1" customWidth="1"/>
    <col min="9" max="9" width="15.85546875" style="889" customWidth="1"/>
    <col min="10" max="15" width="15.85546875" style="891" customWidth="1"/>
    <col min="16" max="16" width="15.85546875" style="1012" customWidth="1"/>
    <col min="17" max="17" width="15.85546875" style="891" customWidth="1"/>
    <col min="18" max="18" width="8" style="891" customWidth="1"/>
    <col min="19" max="21" width="10.140625" style="891" customWidth="1"/>
    <col min="22" max="25" width="10.140625" style="891" hidden="1" customWidth="1"/>
    <col min="26" max="31" width="9.140625" style="891" hidden="1" customWidth="1"/>
    <col min="32" max="32" width="8" style="891" customWidth="1"/>
  </cols>
  <sheetData>
    <row r="1" spans="1:132" s="889" customFormat="1" x14ac:dyDescent="0.2">
      <c r="A1" s="426"/>
      <c r="B1" s="426"/>
      <c r="C1" s="426"/>
      <c r="D1" s="426"/>
      <c r="E1" s="426"/>
      <c r="F1" s="426"/>
      <c r="G1" s="426"/>
      <c r="H1" s="426"/>
      <c r="I1" s="426"/>
      <c r="J1" s="480"/>
      <c r="K1" s="480"/>
      <c r="L1" s="480"/>
      <c r="M1" s="480"/>
      <c r="N1" s="480"/>
      <c r="O1" s="480"/>
      <c r="P1" s="766"/>
      <c r="Q1" s="480"/>
      <c r="R1" s="891"/>
      <c r="S1" s="891"/>
      <c r="T1" s="891"/>
      <c r="U1" s="891"/>
      <c r="V1" s="891"/>
      <c r="W1" s="891"/>
      <c r="X1" s="891"/>
      <c r="Y1" s="891"/>
      <c r="Z1" s="891"/>
      <c r="AA1" s="891"/>
      <c r="AB1" s="891"/>
      <c r="AC1" s="891"/>
      <c r="AD1" s="891"/>
      <c r="AE1" s="891"/>
      <c r="AF1" s="891"/>
      <c r="AG1" s="891"/>
      <c r="AH1" s="891"/>
      <c r="AI1" s="891"/>
      <c r="AJ1" s="891"/>
      <c r="AK1" s="891"/>
      <c r="AL1" s="891"/>
      <c r="AM1" s="891"/>
      <c r="AN1" s="891"/>
      <c r="AO1" s="891"/>
      <c r="AP1" s="891"/>
      <c r="AQ1" s="891"/>
      <c r="AR1" s="891"/>
      <c r="AS1" s="891"/>
      <c r="AT1" s="891"/>
      <c r="AU1" s="891"/>
      <c r="AV1" s="891"/>
      <c r="AW1" s="891"/>
      <c r="AX1" s="891"/>
      <c r="AY1" s="891"/>
      <c r="AZ1" s="891"/>
      <c r="BA1" s="891"/>
      <c r="BB1" s="891"/>
      <c r="BC1" s="891"/>
      <c r="BD1" s="891"/>
      <c r="BE1" s="891"/>
      <c r="BF1" s="891"/>
      <c r="BG1" s="891"/>
      <c r="BH1" s="891"/>
      <c r="BI1" s="891"/>
      <c r="BJ1" s="891"/>
      <c r="BK1" s="891"/>
      <c r="BL1" s="891"/>
      <c r="BM1" s="891"/>
      <c r="BN1" s="891"/>
      <c r="BO1" s="891"/>
      <c r="BP1" s="891"/>
      <c r="BQ1" s="891"/>
      <c r="BR1" s="891"/>
      <c r="BS1" s="891"/>
      <c r="BT1" s="891"/>
      <c r="BU1" s="891"/>
      <c r="BV1" s="891"/>
      <c r="BW1" s="891"/>
      <c r="BX1" s="891"/>
      <c r="BY1" s="891"/>
      <c r="BZ1" s="891"/>
      <c r="CA1" s="891"/>
      <c r="CB1" s="891"/>
      <c r="CC1" s="891"/>
      <c r="CD1" s="891"/>
      <c r="CE1" s="891"/>
      <c r="CF1" s="891"/>
      <c r="CG1" s="891"/>
      <c r="CH1" s="891"/>
      <c r="CI1" s="891"/>
      <c r="CJ1" s="891"/>
      <c r="CK1" s="891"/>
      <c r="CL1" s="891"/>
      <c r="CM1" s="891"/>
      <c r="CN1" s="891"/>
      <c r="CO1" s="891"/>
      <c r="CP1" s="891"/>
      <c r="CQ1" s="891"/>
      <c r="CR1" s="891"/>
      <c r="CS1" s="891"/>
      <c r="CT1" s="891"/>
      <c r="CU1" s="891"/>
      <c r="CV1" s="891"/>
      <c r="CW1" s="891"/>
      <c r="CX1" s="891"/>
      <c r="CY1" s="891"/>
      <c r="CZ1" s="891"/>
      <c r="DA1" s="891"/>
      <c r="DB1" s="891"/>
      <c r="DC1" s="891"/>
      <c r="DD1" s="891"/>
      <c r="DE1" s="891"/>
      <c r="DF1" s="891"/>
      <c r="DG1" s="891"/>
      <c r="DH1" s="891"/>
      <c r="DI1" s="891"/>
      <c r="DJ1" s="891"/>
      <c r="DK1" s="891"/>
      <c r="DL1" s="891"/>
      <c r="DM1" s="891"/>
      <c r="DN1" s="891"/>
      <c r="DO1" s="891"/>
      <c r="DP1" s="891"/>
      <c r="DQ1" s="891"/>
      <c r="DR1" s="891"/>
      <c r="DS1" s="891"/>
      <c r="DT1" s="891"/>
      <c r="DU1" s="891"/>
      <c r="DV1" s="891"/>
      <c r="DW1" s="891"/>
      <c r="DX1" s="891"/>
      <c r="DY1" s="891"/>
      <c r="DZ1" s="891"/>
      <c r="EA1" s="891"/>
    </row>
    <row r="2" spans="1:132" s="889" customFormat="1" ht="15.95" customHeight="1" x14ac:dyDescent="0.2">
      <c r="A2" s="426"/>
      <c r="B2" s="680" t="s">
        <v>355</v>
      </c>
      <c r="C2" s="680"/>
      <c r="D2" s="680"/>
      <c r="E2" s="680"/>
      <c r="F2" s="680"/>
      <c r="G2" s="680"/>
      <c r="H2" s="680"/>
      <c r="I2" s="680"/>
      <c r="J2" s="680"/>
      <c r="K2" s="680"/>
      <c r="L2" s="480"/>
      <c r="M2" s="1303"/>
      <c r="N2" s="1303"/>
      <c r="O2" s="1303"/>
      <c r="P2" s="766"/>
      <c r="Q2" s="480"/>
      <c r="R2" s="891"/>
      <c r="S2" s="891"/>
      <c r="T2" s="891"/>
      <c r="U2" s="891"/>
      <c r="V2" s="891"/>
      <c r="W2" s="891"/>
      <c r="X2" s="891"/>
      <c r="Y2" s="891"/>
      <c r="Z2" s="891"/>
      <c r="AA2" s="891"/>
      <c r="AB2" s="891"/>
      <c r="AC2" s="891"/>
      <c r="AD2" s="891"/>
      <c r="AE2" s="891"/>
      <c r="AF2" s="891"/>
      <c r="AG2" s="891"/>
      <c r="AH2" s="891"/>
      <c r="AI2" s="891"/>
      <c r="AJ2" s="891"/>
      <c r="AK2" s="891"/>
      <c r="AL2" s="891"/>
      <c r="AM2" s="891"/>
      <c r="AN2" s="891"/>
      <c r="AO2" s="891"/>
      <c r="AP2" s="891"/>
      <c r="AQ2" s="891"/>
      <c r="AR2" s="891"/>
      <c r="AS2" s="891"/>
      <c r="AT2" s="891"/>
      <c r="AU2" s="891"/>
      <c r="AV2" s="891"/>
      <c r="AW2" s="891"/>
      <c r="AX2" s="891"/>
      <c r="AY2" s="891"/>
      <c r="AZ2" s="891"/>
      <c r="BA2" s="891"/>
      <c r="BB2" s="891"/>
      <c r="BC2" s="891"/>
      <c r="BD2" s="891"/>
      <c r="BE2" s="891"/>
      <c r="BF2" s="891"/>
      <c r="BG2" s="891"/>
      <c r="BH2" s="891"/>
      <c r="BI2" s="891"/>
      <c r="BJ2" s="891"/>
      <c r="BK2" s="891"/>
      <c r="BL2" s="891"/>
      <c r="BM2" s="891"/>
      <c r="BN2" s="891"/>
      <c r="BO2" s="891"/>
      <c r="BP2" s="891"/>
      <c r="BQ2" s="891"/>
      <c r="BR2" s="891"/>
      <c r="BS2" s="891"/>
      <c r="BT2" s="891"/>
      <c r="BU2" s="891"/>
      <c r="BV2" s="891"/>
      <c r="BW2" s="891"/>
      <c r="BX2" s="891"/>
      <c r="BY2" s="891"/>
      <c r="BZ2" s="891"/>
      <c r="CA2" s="891"/>
      <c r="CB2" s="891"/>
      <c r="CC2" s="891"/>
      <c r="CD2" s="891"/>
      <c r="CE2" s="891"/>
      <c r="CF2" s="891"/>
      <c r="CG2" s="891"/>
      <c r="CH2" s="891"/>
      <c r="CI2" s="891"/>
      <c r="CJ2" s="891"/>
      <c r="CK2" s="891"/>
      <c r="CL2" s="891"/>
      <c r="CM2" s="891"/>
      <c r="CN2" s="891"/>
      <c r="CO2" s="891"/>
      <c r="CP2" s="891"/>
      <c r="CQ2" s="891"/>
      <c r="CR2" s="891"/>
      <c r="CS2" s="891"/>
      <c r="CT2" s="891"/>
      <c r="CU2" s="891"/>
      <c r="CV2" s="891"/>
      <c r="CW2" s="891"/>
      <c r="CX2" s="891"/>
      <c r="CY2" s="891"/>
      <c r="CZ2" s="891"/>
      <c r="DA2" s="891"/>
      <c r="DB2" s="891"/>
      <c r="DC2" s="891"/>
      <c r="DD2" s="891"/>
      <c r="DE2" s="891"/>
      <c r="DF2" s="891"/>
      <c r="DG2" s="891"/>
      <c r="DH2" s="891"/>
      <c r="DI2" s="891"/>
      <c r="DJ2" s="891"/>
      <c r="DK2" s="891"/>
      <c r="DL2" s="891"/>
      <c r="DM2" s="891"/>
      <c r="DN2" s="891"/>
      <c r="DO2" s="891"/>
      <c r="DP2" s="891"/>
      <c r="DQ2" s="891"/>
      <c r="DR2" s="891"/>
      <c r="DS2" s="891"/>
      <c r="DT2" s="891"/>
      <c r="DU2" s="891"/>
      <c r="DV2" s="891"/>
      <c r="DW2" s="891"/>
      <c r="DX2" s="891"/>
      <c r="DY2" s="891"/>
      <c r="DZ2" s="891"/>
      <c r="EA2" s="891"/>
    </row>
    <row r="3" spans="1:132" s="899" customFormat="1" ht="2.25" customHeight="1" x14ac:dyDescent="0.2">
      <c r="A3" s="426"/>
      <c r="B3" s="426"/>
      <c r="C3" s="426"/>
      <c r="D3" s="426"/>
      <c r="E3" s="426"/>
      <c r="F3" s="426"/>
      <c r="G3" s="426"/>
      <c r="H3" s="426"/>
      <c r="I3" s="426"/>
      <c r="J3" s="480"/>
      <c r="K3" s="480"/>
      <c r="L3" s="480"/>
      <c r="M3" s="480"/>
      <c r="N3" s="480"/>
      <c r="O3" s="480"/>
      <c r="P3" s="766"/>
      <c r="Q3" s="480"/>
      <c r="R3" s="763"/>
      <c r="S3" s="763"/>
      <c r="T3" s="763"/>
      <c r="U3" s="763"/>
      <c r="V3" s="763"/>
      <c r="W3" s="763"/>
      <c r="X3" s="763"/>
      <c r="Y3" s="763"/>
      <c r="Z3" s="763"/>
      <c r="AA3" s="763"/>
      <c r="AB3" s="763"/>
      <c r="AC3" s="763"/>
      <c r="AD3" s="763"/>
      <c r="AE3" s="763"/>
      <c r="AF3" s="763"/>
      <c r="AG3" s="763"/>
      <c r="AH3" s="763"/>
      <c r="AI3" s="763"/>
      <c r="AJ3" s="763"/>
      <c r="AK3" s="763"/>
      <c r="AL3" s="763"/>
      <c r="AM3" s="763"/>
      <c r="AN3" s="763"/>
      <c r="AO3" s="763"/>
      <c r="AP3" s="763"/>
      <c r="AQ3" s="763"/>
      <c r="AR3" s="763"/>
      <c r="AS3" s="763"/>
      <c r="AT3" s="763"/>
      <c r="AU3" s="763"/>
      <c r="AV3" s="763"/>
      <c r="AW3" s="763"/>
      <c r="AX3" s="763"/>
      <c r="AY3" s="763"/>
      <c r="AZ3" s="763"/>
      <c r="BA3" s="763"/>
      <c r="BB3" s="763"/>
      <c r="BC3" s="763"/>
      <c r="BD3" s="763"/>
      <c r="BE3" s="763"/>
      <c r="BF3" s="763"/>
      <c r="BG3" s="763"/>
      <c r="BH3" s="763"/>
      <c r="BI3" s="763"/>
      <c r="BJ3" s="763"/>
      <c r="BK3" s="763"/>
      <c r="BL3" s="763"/>
      <c r="BM3" s="763"/>
      <c r="BN3" s="763"/>
      <c r="BO3" s="763"/>
      <c r="BP3" s="763"/>
      <c r="BQ3" s="763"/>
      <c r="BR3" s="763"/>
      <c r="BS3" s="763"/>
      <c r="BT3" s="763"/>
      <c r="BU3" s="763"/>
      <c r="BV3" s="763"/>
      <c r="BW3" s="763"/>
      <c r="BX3" s="763"/>
      <c r="BY3" s="763"/>
      <c r="BZ3" s="763"/>
      <c r="CA3" s="763"/>
      <c r="CB3" s="763"/>
      <c r="CC3" s="763"/>
      <c r="CD3" s="763"/>
      <c r="CE3" s="763"/>
      <c r="CF3" s="763"/>
      <c r="CG3" s="763"/>
      <c r="CH3" s="763"/>
      <c r="CI3" s="763"/>
      <c r="CJ3" s="763"/>
      <c r="CK3" s="763"/>
      <c r="CL3" s="763"/>
      <c r="CM3" s="763"/>
      <c r="CN3" s="763"/>
      <c r="CO3" s="763"/>
      <c r="CP3" s="763"/>
      <c r="CQ3" s="763"/>
      <c r="CR3" s="763"/>
      <c r="CS3" s="763"/>
      <c r="CT3" s="763"/>
      <c r="CU3" s="763"/>
      <c r="CV3" s="763"/>
      <c r="CW3" s="763"/>
      <c r="CX3" s="763"/>
      <c r="CY3" s="763"/>
      <c r="CZ3" s="763"/>
      <c r="DA3" s="763"/>
      <c r="DB3" s="763"/>
      <c r="DC3" s="763"/>
      <c r="DD3" s="763"/>
      <c r="DE3" s="763"/>
      <c r="DF3" s="763"/>
      <c r="DG3" s="763"/>
      <c r="DH3" s="763"/>
      <c r="DI3" s="763"/>
      <c r="DJ3" s="763"/>
      <c r="DK3" s="763"/>
      <c r="DL3" s="763"/>
      <c r="DM3" s="763"/>
      <c r="DN3" s="763"/>
      <c r="DO3" s="763"/>
      <c r="DP3" s="763"/>
      <c r="DQ3" s="763"/>
      <c r="DR3" s="763"/>
      <c r="DS3" s="763"/>
      <c r="DT3" s="763"/>
      <c r="DU3" s="763"/>
      <c r="DV3" s="763"/>
      <c r="DW3" s="763"/>
      <c r="DX3" s="763"/>
      <c r="DY3" s="763"/>
      <c r="DZ3" s="763"/>
      <c r="EA3" s="763"/>
    </row>
    <row r="4" spans="1:132" s="899" customFormat="1" ht="11.25" x14ac:dyDescent="0.2">
      <c r="A4" s="426"/>
      <c r="B4" s="536" t="s">
        <v>1153</v>
      </c>
      <c r="C4" s="1304" t="s">
        <v>1653</v>
      </c>
      <c r="D4" s="1304"/>
      <c r="E4" s="682" t="s">
        <v>1154</v>
      </c>
      <c r="F4" s="682"/>
      <c r="G4" s="426"/>
      <c r="H4" s="426"/>
      <c r="I4" s="426"/>
      <c r="J4" s="480"/>
      <c r="K4" s="480"/>
      <c r="L4" s="480"/>
      <c r="M4" s="480"/>
      <c r="N4" s="480"/>
      <c r="O4" s="480"/>
      <c r="P4" s="766"/>
      <c r="Q4" s="480"/>
      <c r="R4" s="763"/>
      <c r="S4" s="763"/>
      <c r="T4" s="763"/>
      <c r="U4" s="763"/>
      <c r="V4" s="763"/>
      <c r="W4" s="763"/>
      <c r="X4" s="763"/>
      <c r="Y4" s="763"/>
      <c r="Z4" s="763"/>
      <c r="AA4" s="763"/>
      <c r="AB4" s="763"/>
      <c r="AC4" s="763"/>
      <c r="AD4" s="763"/>
      <c r="AE4" s="763"/>
      <c r="AF4" s="763"/>
      <c r="AG4" s="763"/>
      <c r="AH4" s="763"/>
      <c r="AI4" s="763"/>
      <c r="AJ4" s="763"/>
      <c r="AK4" s="763"/>
      <c r="AL4" s="763"/>
      <c r="AM4" s="763"/>
      <c r="AN4" s="763"/>
      <c r="AO4" s="763"/>
      <c r="AP4" s="763"/>
      <c r="AQ4" s="763"/>
      <c r="AR4" s="763"/>
      <c r="AS4" s="763"/>
      <c r="AT4" s="763"/>
      <c r="AU4" s="763"/>
      <c r="AV4" s="763"/>
      <c r="AW4" s="763"/>
      <c r="AX4" s="763"/>
      <c r="AY4" s="763"/>
      <c r="AZ4" s="763"/>
      <c r="BA4" s="763"/>
      <c r="BB4" s="763"/>
      <c r="BC4" s="763"/>
      <c r="BD4" s="763"/>
      <c r="BE4" s="763"/>
      <c r="BF4" s="763"/>
      <c r="BG4" s="763"/>
      <c r="BH4" s="763"/>
      <c r="BI4" s="763"/>
      <c r="BJ4" s="763"/>
      <c r="BK4" s="763"/>
      <c r="BL4" s="763"/>
      <c r="BM4" s="763"/>
      <c r="BN4" s="763"/>
      <c r="BO4" s="763"/>
      <c r="BP4" s="763"/>
      <c r="BQ4" s="763"/>
      <c r="BR4" s="763"/>
      <c r="BS4" s="763"/>
      <c r="BT4" s="763"/>
      <c r="BU4" s="763"/>
      <c r="BV4" s="763"/>
      <c r="BW4" s="763"/>
      <c r="BX4" s="763"/>
      <c r="BY4" s="763"/>
      <c r="BZ4" s="763"/>
      <c r="CA4" s="763"/>
      <c r="CB4" s="763"/>
      <c r="CC4" s="763"/>
      <c r="CD4" s="763"/>
      <c r="CE4" s="763"/>
      <c r="CF4" s="763"/>
      <c r="CG4" s="763"/>
      <c r="CH4" s="763"/>
      <c r="CI4" s="763"/>
      <c r="CJ4" s="763"/>
      <c r="CK4" s="763"/>
      <c r="CL4" s="763"/>
      <c r="CM4" s="763"/>
      <c r="CN4" s="763"/>
      <c r="CO4" s="763"/>
      <c r="CP4" s="763"/>
      <c r="CQ4" s="763"/>
      <c r="CR4" s="763"/>
      <c r="CS4" s="763"/>
      <c r="CT4" s="763"/>
      <c r="CU4" s="763"/>
      <c r="CV4" s="763"/>
      <c r="CW4" s="763"/>
      <c r="CX4" s="763"/>
      <c r="CY4" s="763"/>
      <c r="CZ4" s="763"/>
      <c r="DA4" s="763"/>
      <c r="DB4" s="763"/>
      <c r="DC4" s="763"/>
      <c r="DD4" s="763"/>
      <c r="DE4" s="763"/>
      <c r="DF4" s="763"/>
      <c r="DG4" s="763"/>
      <c r="DH4" s="763"/>
      <c r="DI4" s="763"/>
      <c r="DJ4" s="763"/>
      <c r="DK4" s="763"/>
      <c r="DL4" s="763"/>
      <c r="DM4" s="763"/>
      <c r="DN4" s="763"/>
      <c r="DO4" s="763"/>
      <c r="DP4" s="763"/>
      <c r="DQ4" s="763"/>
      <c r="DR4" s="763"/>
      <c r="DS4" s="763"/>
      <c r="DT4" s="763"/>
      <c r="DU4" s="763"/>
      <c r="DV4" s="763"/>
      <c r="DW4" s="763"/>
      <c r="DX4" s="763"/>
      <c r="DY4" s="763"/>
      <c r="DZ4" s="763"/>
      <c r="EA4" s="763"/>
    </row>
    <row r="5" spans="1:132" s="899" customFormat="1" ht="11.25" x14ac:dyDescent="0.2">
      <c r="A5" s="426"/>
      <c r="B5" s="536" t="s">
        <v>1155</v>
      </c>
      <c r="C5" s="426"/>
      <c r="D5" s="426"/>
      <c r="E5" s="426"/>
      <c r="F5" s="426"/>
      <c r="G5" s="426"/>
      <c r="H5" s="426"/>
      <c r="I5" s="426"/>
      <c r="J5" s="480"/>
      <c r="K5" s="480"/>
      <c r="L5" s="480"/>
      <c r="M5" s="480"/>
      <c r="N5" s="480"/>
      <c r="O5" s="480"/>
      <c r="P5" s="766"/>
      <c r="Q5" s="480"/>
      <c r="R5" s="763"/>
      <c r="S5" s="763"/>
      <c r="T5" s="763"/>
      <c r="U5" s="763"/>
      <c r="V5" s="763"/>
      <c r="W5" s="763"/>
      <c r="X5" s="763"/>
      <c r="Y5" s="763"/>
      <c r="Z5" s="763"/>
      <c r="AA5" s="763"/>
      <c r="AB5" s="763"/>
      <c r="AC5" s="763"/>
      <c r="AD5" s="763"/>
      <c r="AE5" s="763"/>
      <c r="AF5" s="763"/>
      <c r="AG5" s="763"/>
      <c r="AH5" s="763"/>
      <c r="AI5" s="763"/>
      <c r="AJ5" s="763"/>
      <c r="AK5" s="763"/>
      <c r="AL5" s="763"/>
      <c r="AM5" s="763"/>
      <c r="AN5" s="763"/>
      <c r="AO5" s="763"/>
      <c r="AP5" s="763"/>
      <c r="AQ5" s="763"/>
      <c r="AR5" s="763"/>
      <c r="AS5" s="763"/>
      <c r="AT5" s="763"/>
      <c r="AU5" s="763"/>
      <c r="AV5" s="763"/>
      <c r="AW5" s="763"/>
      <c r="AX5" s="763"/>
      <c r="AY5" s="763"/>
      <c r="AZ5" s="763"/>
      <c r="BA5" s="763"/>
      <c r="BB5" s="763"/>
      <c r="BC5" s="763"/>
      <c r="BD5" s="763"/>
      <c r="BE5" s="763"/>
      <c r="BF5" s="763"/>
      <c r="BG5" s="763"/>
      <c r="BH5" s="763"/>
      <c r="BI5" s="763"/>
      <c r="BJ5" s="763"/>
      <c r="BK5" s="763"/>
      <c r="BL5" s="763"/>
      <c r="BM5" s="763"/>
      <c r="BN5" s="763"/>
      <c r="BO5" s="763"/>
      <c r="BP5" s="763"/>
      <c r="BQ5" s="763"/>
      <c r="BR5" s="763"/>
      <c r="BS5" s="763"/>
      <c r="BT5" s="763"/>
      <c r="BU5" s="763"/>
      <c r="BV5" s="763"/>
      <c r="BW5" s="763"/>
      <c r="BX5" s="763"/>
      <c r="BY5" s="763"/>
      <c r="BZ5" s="763"/>
      <c r="CA5" s="763"/>
      <c r="CB5" s="763"/>
      <c r="CC5" s="763"/>
      <c r="CD5" s="763"/>
      <c r="CE5" s="763"/>
      <c r="CF5" s="763"/>
      <c r="CG5" s="763"/>
      <c r="CH5" s="763"/>
      <c r="CI5" s="763"/>
      <c r="CJ5" s="763"/>
      <c r="CK5" s="763"/>
      <c r="CL5" s="763"/>
      <c r="CM5" s="763"/>
      <c r="CN5" s="763"/>
      <c r="CO5" s="763"/>
      <c r="CP5" s="763"/>
      <c r="CQ5" s="763"/>
      <c r="CR5" s="763"/>
      <c r="CS5" s="763"/>
      <c r="CT5" s="763"/>
      <c r="CU5" s="763"/>
      <c r="CV5" s="763"/>
      <c r="CW5" s="763"/>
      <c r="CX5" s="763"/>
      <c r="CY5" s="763"/>
      <c r="CZ5" s="763"/>
      <c r="DA5" s="763"/>
      <c r="DB5" s="763"/>
      <c r="DC5" s="763"/>
      <c r="DD5" s="763"/>
      <c r="DE5" s="763"/>
      <c r="DF5" s="763"/>
      <c r="DG5" s="763"/>
      <c r="DH5" s="763"/>
      <c r="DI5" s="763"/>
      <c r="DJ5" s="763"/>
      <c r="DK5" s="763"/>
      <c r="DL5" s="763"/>
      <c r="DM5" s="763"/>
      <c r="DN5" s="763"/>
      <c r="DO5" s="763"/>
      <c r="DP5" s="763"/>
      <c r="DQ5" s="763"/>
      <c r="DR5" s="763"/>
      <c r="DS5" s="763"/>
      <c r="DT5" s="763"/>
      <c r="DU5" s="763"/>
      <c r="DV5" s="763"/>
      <c r="DW5" s="763"/>
      <c r="DX5" s="763"/>
      <c r="DY5" s="763"/>
      <c r="DZ5" s="763"/>
      <c r="EA5" s="763"/>
    </row>
    <row r="6" spans="1:132" s="899" customFormat="1" ht="3" customHeight="1" thickBot="1" x14ac:dyDescent="0.25">
      <c r="A6" s="426"/>
      <c r="B6" s="426"/>
      <c r="C6" s="426"/>
      <c r="D6" s="426"/>
      <c r="E6" s="426"/>
      <c r="F6" s="426"/>
      <c r="G6" s="426"/>
      <c r="H6" s="426"/>
      <c r="I6" s="426"/>
      <c r="J6" s="480"/>
      <c r="K6" s="480"/>
      <c r="L6" s="480"/>
      <c r="M6" s="480"/>
      <c r="N6" s="480"/>
      <c r="O6" s="480"/>
      <c r="P6" s="766"/>
      <c r="Q6" s="480"/>
      <c r="R6" s="763"/>
      <c r="S6" s="763"/>
      <c r="T6" s="763"/>
      <c r="U6" s="763"/>
      <c r="V6" s="763"/>
      <c r="W6" s="763"/>
      <c r="X6" s="763"/>
      <c r="Y6" s="763"/>
      <c r="Z6" s="763"/>
      <c r="AA6" s="763"/>
      <c r="AB6" s="763"/>
      <c r="AC6" s="763"/>
      <c r="AD6" s="763"/>
      <c r="AE6" s="763"/>
      <c r="AF6" s="763"/>
      <c r="AG6" s="763"/>
      <c r="AH6" s="763"/>
      <c r="AI6" s="763"/>
      <c r="AJ6" s="763"/>
      <c r="AK6" s="763"/>
      <c r="AL6" s="763"/>
      <c r="AM6" s="763"/>
      <c r="AN6" s="763"/>
      <c r="AO6" s="763"/>
      <c r="AP6" s="763"/>
      <c r="AQ6" s="763"/>
      <c r="AR6" s="763"/>
      <c r="AS6" s="763"/>
      <c r="AT6" s="763"/>
      <c r="AU6" s="763"/>
      <c r="AV6" s="763"/>
      <c r="AW6" s="763"/>
      <c r="AX6" s="763"/>
      <c r="AY6" s="763"/>
      <c r="AZ6" s="763"/>
      <c r="BA6" s="763"/>
      <c r="BB6" s="763"/>
      <c r="BC6" s="763"/>
      <c r="BD6" s="763"/>
      <c r="BE6" s="763"/>
      <c r="BF6" s="763"/>
      <c r="BG6" s="763"/>
      <c r="BH6" s="763"/>
      <c r="BI6" s="763"/>
      <c r="BJ6" s="763"/>
      <c r="BK6" s="763"/>
      <c r="BL6" s="763"/>
      <c r="BM6" s="763"/>
      <c r="BN6" s="763"/>
      <c r="BO6" s="763"/>
      <c r="BP6" s="763"/>
      <c r="BQ6" s="763"/>
      <c r="BR6" s="763"/>
      <c r="BS6" s="763"/>
      <c r="BT6" s="763"/>
      <c r="BU6" s="763"/>
      <c r="BV6" s="763"/>
      <c r="BW6" s="763"/>
      <c r="BX6" s="763"/>
      <c r="BY6" s="763"/>
      <c r="BZ6" s="763"/>
      <c r="CA6" s="763"/>
      <c r="CB6" s="763"/>
      <c r="CC6" s="763"/>
      <c r="CD6" s="763"/>
      <c r="CE6" s="763"/>
      <c r="CF6" s="763"/>
      <c r="CG6" s="763"/>
      <c r="CH6" s="763"/>
      <c r="CI6" s="763"/>
      <c r="CJ6" s="763"/>
      <c r="CK6" s="763"/>
      <c r="CL6" s="763"/>
      <c r="CM6" s="763"/>
      <c r="CN6" s="763"/>
      <c r="CO6" s="763"/>
      <c r="CP6" s="763"/>
      <c r="CQ6" s="763"/>
      <c r="CR6" s="763"/>
      <c r="CS6" s="763"/>
      <c r="CT6" s="763"/>
      <c r="CU6" s="763"/>
      <c r="CV6" s="763"/>
      <c r="CW6" s="763"/>
      <c r="CX6" s="763"/>
      <c r="CY6" s="763"/>
      <c r="CZ6" s="763"/>
      <c r="DA6" s="763"/>
      <c r="DB6" s="763"/>
      <c r="DC6" s="763"/>
      <c r="DD6" s="763"/>
      <c r="DE6" s="763"/>
      <c r="DF6" s="763"/>
      <c r="DG6" s="763"/>
      <c r="DH6" s="763"/>
      <c r="DI6" s="763"/>
      <c r="DJ6" s="763"/>
      <c r="DK6" s="763"/>
      <c r="DL6" s="763"/>
      <c r="DM6" s="763"/>
      <c r="DN6" s="763"/>
      <c r="DO6" s="763"/>
      <c r="DP6" s="763"/>
      <c r="DQ6" s="763"/>
      <c r="DR6" s="763"/>
      <c r="DS6" s="763"/>
      <c r="DT6" s="763"/>
      <c r="DU6" s="763"/>
      <c r="DV6" s="763"/>
      <c r="DW6" s="763"/>
      <c r="DX6" s="763"/>
      <c r="DY6" s="763"/>
      <c r="DZ6" s="763"/>
      <c r="EA6" s="763"/>
    </row>
    <row r="7" spans="1:132" s="899" customFormat="1" ht="14.1" customHeight="1" x14ac:dyDescent="0.2">
      <c r="A7" s="426"/>
      <c r="B7" s="1241" t="s">
        <v>1156</v>
      </c>
      <c r="C7" s="1211" t="s">
        <v>1157</v>
      </c>
      <c r="D7" s="1293"/>
      <c r="E7" s="1212"/>
      <c r="F7" s="683"/>
      <c r="G7" s="1229" t="s">
        <v>257</v>
      </c>
      <c r="H7" s="1229"/>
      <c r="I7" s="1307" t="s">
        <v>1158</v>
      </c>
      <c r="J7" s="1307"/>
      <c r="K7" s="1307"/>
      <c r="L7" s="1307"/>
      <c r="M7" s="1307"/>
      <c r="N7" s="1307"/>
      <c r="O7" s="1269" t="s">
        <v>1159</v>
      </c>
      <c r="P7" s="1270" t="s">
        <v>1160</v>
      </c>
      <c r="Q7" s="1305"/>
      <c r="R7" s="1013"/>
      <c r="S7" s="1013"/>
      <c r="T7" s="1013"/>
      <c r="U7" s="1013"/>
      <c r="V7" s="1309" t="s">
        <v>1008</v>
      </c>
      <c r="W7" s="1299" t="s">
        <v>1009</v>
      </c>
      <c r="X7" s="1300"/>
      <c r="Y7" s="1296" t="s">
        <v>1010</v>
      </c>
      <c r="Z7" s="1296" t="s">
        <v>1011</v>
      </c>
      <c r="AA7" s="1296" t="s">
        <v>1012</v>
      </c>
      <c r="AB7" s="1296" t="s">
        <v>1011</v>
      </c>
      <c r="AC7" s="1296" t="s">
        <v>1013</v>
      </c>
      <c r="AD7" s="1296" t="s">
        <v>1011</v>
      </c>
      <c r="AE7" s="1296" t="s">
        <v>1014</v>
      </c>
      <c r="AF7" s="763"/>
      <c r="AG7" s="763"/>
      <c r="AH7" s="763"/>
      <c r="AI7" s="763"/>
      <c r="AJ7" s="763"/>
      <c r="AK7" s="763"/>
      <c r="AL7" s="763"/>
      <c r="AM7" s="763"/>
      <c r="AN7" s="763"/>
      <c r="AO7" s="763"/>
      <c r="AP7" s="763"/>
      <c r="AQ7" s="763"/>
      <c r="AR7" s="763"/>
      <c r="AS7" s="763"/>
      <c r="AT7" s="763"/>
      <c r="AU7" s="763"/>
      <c r="AV7" s="763"/>
      <c r="AW7" s="763"/>
      <c r="AX7" s="763"/>
      <c r="AY7" s="763"/>
      <c r="AZ7" s="763"/>
      <c r="BA7" s="763"/>
      <c r="BB7" s="763"/>
      <c r="BC7" s="763"/>
      <c r="BD7" s="763"/>
      <c r="BE7" s="763"/>
      <c r="BF7" s="763"/>
      <c r="BG7" s="763"/>
      <c r="BH7" s="763"/>
      <c r="BI7" s="763"/>
      <c r="BJ7" s="763"/>
      <c r="BK7" s="763"/>
      <c r="BL7" s="763"/>
      <c r="BM7" s="763"/>
      <c r="BN7" s="763"/>
      <c r="BO7" s="763"/>
      <c r="BP7" s="763"/>
      <c r="BQ7" s="763"/>
      <c r="BR7" s="763"/>
      <c r="BS7" s="763"/>
      <c r="BT7" s="763"/>
      <c r="BU7" s="763"/>
      <c r="BV7" s="763"/>
      <c r="BW7" s="763"/>
      <c r="BX7" s="763"/>
      <c r="BY7" s="763"/>
      <c r="BZ7" s="763"/>
      <c r="CA7" s="763"/>
      <c r="CB7" s="763"/>
      <c r="CC7" s="763"/>
      <c r="CD7" s="763"/>
      <c r="CE7" s="763"/>
      <c r="CF7" s="763"/>
      <c r="CG7" s="763"/>
      <c r="CH7" s="763"/>
      <c r="CI7" s="763"/>
      <c r="CJ7" s="763"/>
      <c r="CK7" s="763"/>
      <c r="CL7" s="763"/>
      <c r="CM7" s="763"/>
      <c r="CN7" s="763"/>
      <c r="CO7" s="763"/>
      <c r="CP7" s="763"/>
      <c r="CQ7" s="763"/>
      <c r="CR7" s="763"/>
      <c r="CS7" s="763"/>
      <c r="CT7" s="763"/>
      <c r="CU7" s="763"/>
      <c r="CV7" s="763"/>
      <c r="CW7" s="763"/>
      <c r="CX7" s="763"/>
      <c r="CY7" s="763"/>
      <c r="CZ7" s="763"/>
      <c r="DA7" s="763"/>
      <c r="DB7" s="763"/>
      <c r="DC7" s="763"/>
      <c r="DD7" s="763"/>
      <c r="DE7" s="763"/>
      <c r="DF7" s="763"/>
      <c r="DG7" s="763"/>
      <c r="DH7" s="763"/>
      <c r="DI7" s="763"/>
      <c r="DJ7" s="763"/>
      <c r="DK7" s="763"/>
      <c r="DL7" s="763"/>
      <c r="DM7" s="763"/>
      <c r="DN7" s="763"/>
      <c r="DO7" s="763"/>
      <c r="DP7" s="763"/>
      <c r="DQ7" s="763"/>
      <c r="DR7" s="763"/>
      <c r="DS7" s="763"/>
      <c r="DT7" s="763"/>
      <c r="DU7" s="763"/>
      <c r="DV7" s="763"/>
      <c r="DW7" s="763"/>
      <c r="DX7" s="763"/>
      <c r="DY7" s="763"/>
      <c r="DZ7" s="763"/>
      <c r="EA7" s="763"/>
      <c r="EB7" s="763"/>
    </row>
    <row r="8" spans="1:132" s="899" customFormat="1" ht="27.95" customHeight="1" x14ac:dyDescent="0.2">
      <c r="A8" s="426"/>
      <c r="B8" s="1242"/>
      <c r="C8" s="1312" t="s">
        <v>1161</v>
      </c>
      <c r="D8" s="1314" t="s">
        <v>1162</v>
      </c>
      <c r="E8" s="1315"/>
      <c r="F8" s="684"/>
      <c r="G8" s="1294"/>
      <c r="H8" s="1294"/>
      <c r="I8" s="1254" t="s">
        <v>1163</v>
      </c>
      <c r="J8" s="1254"/>
      <c r="K8" s="1318" t="s">
        <v>1164</v>
      </c>
      <c r="L8" s="1253"/>
      <c r="M8" s="1318" t="s">
        <v>1411</v>
      </c>
      <c r="N8" s="1253"/>
      <c r="O8" s="1256"/>
      <c r="P8" s="1274"/>
      <c r="Q8" s="1306"/>
      <c r="R8" s="1013"/>
      <c r="S8" s="1013"/>
      <c r="T8" s="1013"/>
      <c r="U8" s="1013"/>
      <c r="V8" s="1310"/>
      <c r="W8" s="1301"/>
      <c r="X8" s="1302"/>
      <c r="Y8" s="1297"/>
      <c r="Z8" s="1297"/>
      <c r="AA8" s="1297"/>
      <c r="AB8" s="1297"/>
      <c r="AC8" s="1297"/>
      <c r="AD8" s="1297"/>
      <c r="AE8" s="1297"/>
      <c r="AF8" s="763"/>
      <c r="AG8" s="763"/>
      <c r="AH8" s="763"/>
      <c r="AI8" s="763"/>
      <c r="AJ8" s="763"/>
      <c r="AK8" s="763"/>
      <c r="AL8" s="763"/>
      <c r="AM8" s="763"/>
      <c r="AN8" s="763"/>
      <c r="AO8" s="763"/>
      <c r="AP8" s="763"/>
      <c r="AQ8" s="763"/>
      <c r="AR8" s="763"/>
      <c r="AS8" s="763"/>
      <c r="AT8" s="763"/>
      <c r="AU8" s="763"/>
      <c r="AV8" s="763"/>
      <c r="AW8" s="763"/>
      <c r="AX8" s="763"/>
      <c r="AY8" s="763"/>
      <c r="AZ8" s="763"/>
      <c r="BA8" s="763"/>
      <c r="BB8" s="763"/>
      <c r="BC8" s="763"/>
      <c r="BD8" s="763"/>
      <c r="BE8" s="763"/>
      <c r="BF8" s="763"/>
      <c r="BG8" s="763"/>
      <c r="BH8" s="763"/>
      <c r="BI8" s="763"/>
      <c r="BJ8" s="763"/>
      <c r="BK8" s="763"/>
      <c r="BL8" s="763"/>
      <c r="BM8" s="763"/>
      <c r="BN8" s="763"/>
      <c r="BO8" s="763"/>
      <c r="BP8" s="763"/>
      <c r="BQ8" s="763"/>
      <c r="BR8" s="763"/>
      <c r="BS8" s="763"/>
      <c r="BT8" s="763"/>
      <c r="BU8" s="763"/>
      <c r="BV8" s="763"/>
      <c r="BW8" s="763"/>
      <c r="BX8" s="763"/>
      <c r="BY8" s="763"/>
      <c r="BZ8" s="763"/>
      <c r="CA8" s="763"/>
      <c r="CB8" s="763"/>
      <c r="CC8" s="763"/>
      <c r="CD8" s="763"/>
      <c r="CE8" s="763"/>
      <c r="CF8" s="763"/>
      <c r="CG8" s="763"/>
      <c r="CH8" s="763"/>
      <c r="CI8" s="763"/>
      <c r="CJ8" s="763"/>
      <c r="CK8" s="763"/>
      <c r="CL8" s="763"/>
      <c r="CM8" s="763"/>
      <c r="CN8" s="763"/>
      <c r="CO8" s="763"/>
      <c r="CP8" s="763"/>
      <c r="CQ8" s="763"/>
      <c r="CR8" s="763"/>
      <c r="CS8" s="763"/>
      <c r="CT8" s="763"/>
      <c r="CU8" s="763"/>
      <c r="CV8" s="763"/>
      <c r="CW8" s="763"/>
      <c r="CX8" s="763"/>
      <c r="CY8" s="763"/>
      <c r="CZ8" s="763"/>
      <c r="DA8" s="763"/>
      <c r="DB8" s="763"/>
      <c r="DC8" s="763"/>
      <c r="DD8" s="763"/>
      <c r="DE8" s="763"/>
      <c r="DF8" s="763"/>
      <c r="DG8" s="763"/>
      <c r="DH8" s="763"/>
      <c r="DI8" s="763"/>
      <c r="DJ8" s="763"/>
      <c r="DK8" s="763"/>
      <c r="DL8" s="763"/>
      <c r="DM8" s="763"/>
      <c r="DN8" s="763"/>
      <c r="DO8" s="763"/>
      <c r="DP8" s="763"/>
      <c r="DQ8" s="763"/>
      <c r="DR8" s="763"/>
      <c r="DS8" s="763"/>
      <c r="DT8" s="763"/>
      <c r="DU8" s="763"/>
      <c r="DV8" s="763"/>
      <c r="DW8" s="763"/>
      <c r="DX8" s="763"/>
      <c r="DY8" s="763"/>
      <c r="DZ8" s="763"/>
      <c r="EA8" s="763"/>
      <c r="EB8" s="763"/>
    </row>
    <row r="9" spans="1:132" s="899" customFormat="1" ht="14.1" customHeight="1" thickBot="1" x14ac:dyDescent="0.25">
      <c r="A9" s="426"/>
      <c r="B9" s="1292"/>
      <c r="C9" s="1313"/>
      <c r="D9" s="1316"/>
      <c r="E9" s="1317"/>
      <c r="F9" s="687"/>
      <c r="G9" s="1295"/>
      <c r="H9" s="1295"/>
      <c r="I9" s="688" t="s">
        <v>1025</v>
      </c>
      <c r="J9" s="688" t="s">
        <v>1027</v>
      </c>
      <c r="K9" s="689" t="s">
        <v>1025</v>
      </c>
      <c r="L9" s="689" t="s">
        <v>1027</v>
      </c>
      <c r="M9" s="689" t="s">
        <v>1025</v>
      </c>
      <c r="N9" s="689" t="s">
        <v>1027</v>
      </c>
      <c r="O9" s="1308"/>
      <c r="P9" s="689" t="s">
        <v>1025</v>
      </c>
      <c r="Q9" s="690" t="s">
        <v>1027</v>
      </c>
      <c r="R9" s="1014"/>
      <c r="S9" s="1014"/>
      <c r="T9" s="1014"/>
      <c r="U9" s="1014"/>
      <c r="V9" s="1311"/>
      <c r="W9" s="1015" t="s">
        <v>1025</v>
      </c>
      <c r="X9" s="1015" t="s">
        <v>1027</v>
      </c>
      <c r="Y9" s="1298"/>
      <c r="Z9" s="1298"/>
      <c r="AA9" s="1298"/>
      <c r="AB9" s="1298"/>
      <c r="AC9" s="1298"/>
      <c r="AD9" s="1298"/>
      <c r="AE9" s="1298"/>
      <c r="AF9" s="763"/>
      <c r="AG9" s="763"/>
      <c r="AH9" s="763"/>
      <c r="AI9" s="763"/>
      <c r="AJ9" s="763"/>
      <c r="AK9" s="763"/>
      <c r="AL9" s="763"/>
      <c r="AM9" s="763"/>
      <c r="AN9" s="763"/>
      <c r="AO9" s="763"/>
      <c r="AP9" s="763"/>
      <c r="AQ9" s="763"/>
      <c r="AR9" s="763"/>
      <c r="AS9" s="763"/>
      <c r="AT9" s="763"/>
      <c r="AU9" s="763"/>
      <c r="AV9" s="763"/>
      <c r="AW9" s="763"/>
      <c r="AX9" s="763"/>
      <c r="AY9" s="763"/>
      <c r="AZ9" s="763"/>
      <c r="BA9" s="763"/>
      <c r="BB9" s="763"/>
      <c r="BC9" s="763"/>
      <c r="BD9" s="763"/>
      <c r="BE9" s="763"/>
      <c r="BF9" s="763"/>
      <c r="BG9" s="763"/>
      <c r="BH9" s="763"/>
      <c r="BI9" s="763"/>
      <c r="BJ9" s="763"/>
      <c r="BK9" s="763"/>
      <c r="BL9" s="763"/>
      <c r="BM9" s="763"/>
      <c r="BN9" s="763"/>
      <c r="BO9" s="763"/>
      <c r="BP9" s="763"/>
      <c r="BQ9" s="763"/>
      <c r="BR9" s="763"/>
      <c r="BS9" s="763"/>
      <c r="BT9" s="763"/>
      <c r="BU9" s="763"/>
      <c r="BV9" s="763"/>
      <c r="BW9" s="763"/>
      <c r="BX9" s="763"/>
      <c r="BY9" s="763"/>
      <c r="BZ9" s="763"/>
      <c r="CA9" s="763"/>
      <c r="CB9" s="763"/>
      <c r="CC9" s="763"/>
      <c r="CD9" s="763"/>
      <c r="CE9" s="763"/>
      <c r="CF9" s="763"/>
      <c r="CG9" s="763"/>
      <c r="CH9" s="763"/>
      <c r="CI9" s="763"/>
      <c r="CJ9" s="763"/>
      <c r="CK9" s="763"/>
      <c r="CL9" s="763"/>
      <c r="CM9" s="763"/>
      <c r="CN9" s="763"/>
      <c r="CO9" s="763"/>
      <c r="CP9" s="763"/>
      <c r="CQ9" s="763"/>
      <c r="CR9" s="763"/>
      <c r="CS9" s="763"/>
      <c r="CT9" s="763"/>
      <c r="CU9" s="763"/>
      <c r="CV9" s="763"/>
      <c r="CW9" s="763"/>
      <c r="CX9" s="763"/>
      <c r="CY9" s="763"/>
      <c r="CZ9" s="763"/>
      <c r="DA9" s="763"/>
      <c r="DB9" s="763"/>
      <c r="DC9" s="763"/>
      <c r="DD9" s="763"/>
      <c r="DE9" s="763"/>
      <c r="DF9" s="763"/>
      <c r="DG9" s="763"/>
      <c r="DH9" s="763"/>
      <c r="DI9" s="763"/>
      <c r="DJ9" s="763"/>
      <c r="DK9" s="763"/>
      <c r="DL9" s="763"/>
      <c r="DM9" s="763"/>
      <c r="DN9" s="763"/>
      <c r="DO9" s="763"/>
      <c r="DP9" s="763"/>
      <c r="DQ9" s="763"/>
      <c r="DR9" s="763"/>
      <c r="DS9" s="763"/>
      <c r="DT9" s="763"/>
      <c r="DU9" s="763"/>
      <c r="DV9" s="763"/>
      <c r="DW9" s="763"/>
      <c r="DX9" s="763"/>
      <c r="DY9" s="763"/>
      <c r="DZ9" s="763"/>
      <c r="EA9" s="763"/>
      <c r="EB9" s="763"/>
    </row>
    <row r="10" spans="1:132" s="899" customFormat="1" ht="14.1" customHeight="1" x14ac:dyDescent="0.2">
      <c r="A10" s="426"/>
      <c r="B10" s="1319">
        <v>1</v>
      </c>
      <c r="C10" s="691" t="s">
        <v>1165</v>
      </c>
      <c r="D10" s="1321" t="s">
        <v>1165</v>
      </c>
      <c r="E10" s="1322"/>
      <c r="F10" s="767"/>
      <c r="G10" s="693" t="s">
        <v>1166</v>
      </c>
      <c r="H10" s="693"/>
      <c r="I10" s="694"/>
      <c r="J10" s="694"/>
      <c r="K10" s="695"/>
      <c r="L10" s="696"/>
      <c r="M10" s="697">
        <f>I10+K10</f>
        <v>0</v>
      </c>
      <c r="N10" s="783">
        <f>J10+L10</f>
        <v>0</v>
      </c>
      <c r="O10" s="698">
        <v>0</v>
      </c>
      <c r="P10" s="699">
        <f>M10*O10</f>
        <v>0</v>
      </c>
      <c r="Q10" s="700">
        <f>N10*O10</f>
        <v>0</v>
      </c>
      <c r="R10" s="1016"/>
      <c r="S10" s="1016"/>
      <c r="T10" s="1016"/>
      <c r="U10" s="1016"/>
      <c r="V10" s="1017">
        <f>IF(P10&lt;=Q10,P10*10%,Q10*10%)</f>
        <v>0</v>
      </c>
      <c r="W10" s="1018">
        <f>IF(P10&gt;Q10,P10-Q10,0)</f>
        <v>0</v>
      </c>
      <c r="X10" s="1018">
        <f>IF(Q10&gt;P10,Q10-P10,0)</f>
        <v>0</v>
      </c>
      <c r="Y10" s="1323">
        <f>IF(SUM(W10:W13)&lt;SUM(X10:X13),SUM(W10:W13)*40%,SUM(X10:X13)*40%)</f>
        <v>0</v>
      </c>
      <c r="Z10" s="1323">
        <f>(SUM(W10:W13)-SUM(X10:X13))</f>
        <v>0</v>
      </c>
      <c r="AA10" s="1323">
        <f>(IF(Z10=0,0,IF(Z14=0,0,IF(Z10&gt;0,IF(Z14&lt;0,IF(Z10&lt;ABS(Z14),Z10*40%,ABS(Z14)*40%),0),IF(Z14&gt;0,IF(ABS(Z10)&lt;Z14,ABS(Z10)*40%,Z14*40%),0)))))</f>
        <v>0</v>
      </c>
      <c r="AB10" s="1323">
        <f>IF(AA10=0,Z10,IF(ABS(Z10)&lt;ABS(Z14),0,Z10+Z14))</f>
        <v>0</v>
      </c>
      <c r="AC10" s="1337"/>
      <c r="AD10" s="1323">
        <f>AB10</f>
        <v>0</v>
      </c>
      <c r="AE10" s="1330">
        <f>(IF(AD10=0,0,IF(AD17=0,0,IF(AD10&gt;0,IF(AD17&lt;0,IF(AD10&lt;ABS(AD17),AD10*100%,ABS(AD17)*100%),0),IF(AD17&gt;0,IF(ABS(AD10)&lt;AD17,ABS(AD10)*100%,AD17*100%),0)))))</f>
        <v>0</v>
      </c>
      <c r="AF10" s="763"/>
      <c r="AG10" s="763"/>
      <c r="AH10" s="763"/>
      <c r="AI10" s="763"/>
      <c r="AJ10" s="763"/>
      <c r="AK10" s="763"/>
      <c r="AL10" s="763"/>
      <c r="AM10" s="763"/>
      <c r="AN10" s="763"/>
      <c r="AO10" s="763"/>
      <c r="AP10" s="763"/>
      <c r="AQ10" s="763"/>
      <c r="AR10" s="763"/>
      <c r="AS10" s="763"/>
      <c r="AT10" s="763"/>
      <c r="AU10" s="763"/>
      <c r="AV10" s="763"/>
      <c r="AW10" s="763"/>
      <c r="AX10" s="763"/>
      <c r="AY10" s="763"/>
      <c r="AZ10" s="763"/>
      <c r="BA10" s="763"/>
      <c r="BB10" s="763"/>
      <c r="BC10" s="763"/>
      <c r="BD10" s="763"/>
      <c r="BE10" s="763"/>
      <c r="BF10" s="763"/>
      <c r="BG10" s="763"/>
      <c r="BH10" s="763"/>
      <c r="BI10" s="763"/>
      <c r="BJ10" s="763"/>
      <c r="BK10" s="763"/>
      <c r="BL10" s="763"/>
      <c r="BM10" s="763"/>
      <c r="BN10" s="763"/>
      <c r="BO10" s="763"/>
      <c r="BP10" s="763"/>
      <c r="BQ10" s="763"/>
      <c r="BR10" s="763"/>
      <c r="BS10" s="763"/>
      <c r="BT10" s="763"/>
      <c r="BU10" s="763"/>
      <c r="BV10" s="763"/>
      <c r="BW10" s="763"/>
      <c r="BX10" s="763"/>
      <c r="BY10" s="763"/>
      <c r="BZ10" s="763"/>
      <c r="CA10" s="763"/>
      <c r="CB10" s="763"/>
      <c r="CC10" s="763"/>
      <c r="CD10" s="763"/>
      <c r="CE10" s="763"/>
      <c r="CF10" s="763"/>
      <c r="CG10" s="763"/>
      <c r="CH10" s="763"/>
      <c r="CI10" s="763"/>
      <c r="CJ10" s="763"/>
      <c r="CK10" s="763"/>
      <c r="CL10" s="763"/>
      <c r="CM10" s="763"/>
      <c r="CN10" s="763"/>
      <c r="CO10" s="763"/>
      <c r="CP10" s="763"/>
      <c r="CQ10" s="763"/>
      <c r="CR10" s="763"/>
      <c r="CS10" s="763"/>
      <c r="CT10" s="763"/>
      <c r="CU10" s="763"/>
      <c r="CV10" s="763"/>
      <c r="CW10" s="763"/>
      <c r="CX10" s="763"/>
      <c r="CY10" s="763"/>
      <c r="CZ10" s="763"/>
      <c r="DA10" s="763"/>
      <c r="DB10" s="763"/>
      <c r="DC10" s="763"/>
      <c r="DD10" s="763"/>
      <c r="DE10" s="763"/>
      <c r="DF10" s="763"/>
      <c r="DG10" s="763"/>
      <c r="DH10" s="763"/>
      <c r="DI10" s="763"/>
      <c r="DJ10" s="763"/>
      <c r="DK10" s="763"/>
      <c r="DL10" s="763"/>
      <c r="DM10" s="763"/>
      <c r="DN10" s="763"/>
      <c r="DO10" s="763"/>
      <c r="DP10" s="763"/>
      <c r="DQ10" s="763"/>
      <c r="DR10" s="763"/>
      <c r="DS10" s="763"/>
      <c r="DT10" s="763"/>
      <c r="DU10" s="763"/>
      <c r="DV10" s="763"/>
      <c r="DW10" s="763"/>
      <c r="DX10" s="763"/>
      <c r="DY10" s="763"/>
      <c r="DZ10" s="763"/>
      <c r="EA10" s="763"/>
      <c r="EB10" s="763"/>
    </row>
    <row r="11" spans="1:132" s="899" customFormat="1" ht="14.1" customHeight="1" x14ac:dyDescent="0.2">
      <c r="A11" s="426"/>
      <c r="B11" s="1320"/>
      <c r="C11" s="451" t="s">
        <v>1167</v>
      </c>
      <c r="D11" s="1333" t="s">
        <v>1167</v>
      </c>
      <c r="E11" s="1334"/>
      <c r="F11" s="774"/>
      <c r="G11" s="702" t="s">
        <v>1168</v>
      </c>
      <c r="H11" s="702"/>
      <c r="I11" s="703"/>
      <c r="J11" s="703"/>
      <c r="K11" s="704"/>
      <c r="L11" s="705"/>
      <c r="M11" s="706">
        <f>I11+K11</f>
        <v>0</v>
      </c>
      <c r="N11" s="784">
        <f>J11+L11</f>
        <v>0</v>
      </c>
      <c r="O11" s="707">
        <v>2E-3</v>
      </c>
      <c r="P11" s="708">
        <f>M11*O11</f>
        <v>0</v>
      </c>
      <c r="Q11" s="709">
        <f>N11*O11</f>
        <v>0</v>
      </c>
      <c r="R11" s="1016"/>
      <c r="S11" s="1016"/>
      <c r="T11" s="1016"/>
      <c r="U11" s="1016"/>
      <c r="V11" s="1017">
        <f t="shared" ref="V11:V24" si="0">IF(P11&lt;=Q11,P11*10%,Q11*10%)</f>
        <v>0</v>
      </c>
      <c r="W11" s="1018">
        <f t="shared" ref="W11:W24" si="1">IF(P11&gt;Q11,P11-Q11,0)</f>
        <v>0</v>
      </c>
      <c r="X11" s="1018">
        <f t="shared" ref="X11:X23" si="2">IF(Q11&gt;P11,Q11-P11,0)</f>
        <v>0</v>
      </c>
      <c r="Y11" s="1324"/>
      <c r="Z11" s="1324"/>
      <c r="AA11" s="1324"/>
      <c r="AB11" s="1324"/>
      <c r="AC11" s="1338"/>
      <c r="AD11" s="1324"/>
      <c r="AE11" s="1331"/>
      <c r="AF11" s="763"/>
      <c r="AG11" s="763"/>
      <c r="AH11" s="763"/>
      <c r="AI11" s="763"/>
      <c r="AJ11" s="763"/>
      <c r="AK11" s="763"/>
      <c r="AL11" s="763"/>
      <c r="AM11" s="763"/>
      <c r="AN11" s="763"/>
      <c r="AO11" s="763"/>
      <c r="AP11" s="763"/>
      <c r="AQ11" s="763"/>
      <c r="AR11" s="763"/>
      <c r="AS11" s="763"/>
      <c r="AT11" s="763"/>
      <c r="AU11" s="763"/>
      <c r="AV11" s="763"/>
      <c r="AW11" s="763"/>
      <c r="AX11" s="763"/>
      <c r="AY11" s="763"/>
      <c r="AZ11" s="763"/>
      <c r="BA11" s="763"/>
      <c r="BB11" s="763"/>
      <c r="BC11" s="763"/>
      <c r="BD11" s="763"/>
      <c r="BE11" s="763"/>
      <c r="BF11" s="763"/>
      <c r="BG11" s="763"/>
      <c r="BH11" s="763"/>
      <c r="BI11" s="763"/>
      <c r="BJ11" s="763"/>
      <c r="BK11" s="763"/>
      <c r="BL11" s="763"/>
      <c r="BM11" s="763"/>
      <c r="BN11" s="763"/>
      <c r="BO11" s="763"/>
      <c r="BP11" s="763"/>
      <c r="BQ11" s="763"/>
      <c r="BR11" s="763"/>
      <c r="BS11" s="763"/>
      <c r="BT11" s="763"/>
      <c r="BU11" s="763"/>
      <c r="BV11" s="763"/>
      <c r="BW11" s="763"/>
      <c r="BX11" s="763"/>
      <c r="BY11" s="763"/>
      <c r="BZ11" s="763"/>
      <c r="CA11" s="763"/>
      <c r="CB11" s="763"/>
      <c r="CC11" s="763"/>
      <c r="CD11" s="763"/>
      <c r="CE11" s="763"/>
      <c r="CF11" s="763"/>
      <c r="CG11" s="763"/>
      <c r="CH11" s="763"/>
      <c r="CI11" s="763"/>
      <c r="CJ11" s="763"/>
      <c r="CK11" s="763"/>
      <c r="CL11" s="763"/>
      <c r="CM11" s="763"/>
      <c r="CN11" s="763"/>
      <c r="CO11" s="763"/>
      <c r="CP11" s="763"/>
      <c r="CQ11" s="763"/>
      <c r="CR11" s="763"/>
      <c r="CS11" s="763"/>
      <c r="CT11" s="763"/>
      <c r="CU11" s="763"/>
      <c r="CV11" s="763"/>
      <c r="CW11" s="763"/>
      <c r="CX11" s="763"/>
      <c r="CY11" s="763"/>
      <c r="CZ11" s="763"/>
      <c r="DA11" s="763"/>
      <c r="DB11" s="763"/>
      <c r="DC11" s="763"/>
      <c r="DD11" s="763"/>
      <c r="DE11" s="763"/>
      <c r="DF11" s="763"/>
      <c r="DG11" s="763"/>
      <c r="DH11" s="763"/>
      <c r="DI11" s="763"/>
      <c r="DJ11" s="763"/>
      <c r="DK11" s="763"/>
      <c r="DL11" s="763"/>
      <c r="DM11" s="763"/>
      <c r="DN11" s="763"/>
      <c r="DO11" s="763"/>
      <c r="DP11" s="763"/>
      <c r="DQ11" s="763"/>
      <c r="DR11" s="763"/>
      <c r="DS11" s="763"/>
      <c r="DT11" s="763"/>
      <c r="DU11" s="763"/>
      <c r="DV11" s="763"/>
      <c r="DW11" s="763"/>
      <c r="DX11" s="763"/>
      <c r="DY11" s="763"/>
      <c r="DZ11" s="763"/>
      <c r="EA11" s="763"/>
      <c r="EB11" s="763"/>
    </row>
    <row r="12" spans="1:132" s="899" customFormat="1" ht="14.1" customHeight="1" x14ac:dyDescent="0.2">
      <c r="A12" s="426"/>
      <c r="B12" s="1320"/>
      <c r="C12" s="710" t="s">
        <v>1169</v>
      </c>
      <c r="D12" s="1333" t="s">
        <v>1169</v>
      </c>
      <c r="E12" s="1334"/>
      <c r="F12" s="701"/>
      <c r="G12" s="702" t="s">
        <v>1170</v>
      </c>
      <c r="H12" s="702"/>
      <c r="I12" s="703"/>
      <c r="J12" s="703"/>
      <c r="K12" s="703"/>
      <c r="L12" s="711"/>
      <c r="M12" s="706">
        <f>I12+K12</f>
        <v>0</v>
      </c>
      <c r="N12" s="784">
        <f t="shared" ref="N12:N24" si="3">J12+L12</f>
        <v>0</v>
      </c>
      <c r="O12" s="712">
        <v>4.0000000000000001E-3</v>
      </c>
      <c r="P12" s="708">
        <f t="shared" ref="P12:P24" si="4">M12*O12</f>
        <v>0</v>
      </c>
      <c r="Q12" s="709">
        <f t="shared" ref="Q12:Q24" si="5">N12*O12</f>
        <v>0</v>
      </c>
      <c r="R12" s="1016"/>
      <c r="S12" s="1016"/>
      <c r="T12" s="1016"/>
      <c r="U12" s="1016"/>
      <c r="V12" s="1017">
        <f t="shared" si="0"/>
        <v>0</v>
      </c>
      <c r="W12" s="1019">
        <f t="shared" si="1"/>
        <v>0</v>
      </c>
      <c r="X12" s="1018">
        <f t="shared" si="2"/>
        <v>0</v>
      </c>
      <c r="Y12" s="1324"/>
      <c r="Z12" s="1324"/>
      <c r="AA12" s="1324"/>
      <c r="AB12" s="1324"/>
      <c r="AC12" s="1338"/>
      <c r="AD12" s="1324"/>
      <c r="AE12" s="1331"/>
      <c r="AF12" s="763"/>
      <c r="AG12" s="763"/>
      <c r="AH12" s="763"/>
      <c r="AI12" s="763"/>
      <c r="AJ12" s="763"/>
      <c r="AK12" s="763"/>
      <c r="AL12" s="763"/>
      <c r="AM12" s="763"/>
      <c r="AN12" s="763"/>
      <c r="AO12" s="763"/>
      <c r="AP12" s="763"/>
      <c r="AQ12" s="763"/>
      <c r="AR12" s="763"/>
      <c r="AS12" s="763"/>
      <c r="AT12" s="763"/>
      <c r="AU12" s="763"/>
      <c r="AV12" s="763"/>
      <c r="AW12" s="763"/>
      <c r="AX12" s="763"/>
      <c r="AY12" s="763"/>
      <c r="AZ12" s="763"/>
      <c r="BA12" s="763"/>
      <c r="BB12" s="763"/>
      <c r="BC12" s="763"/>
      <c r="BD12" s="763"/>
      <c r="BE12" s="763"/>
      <c r="BF12" s="763"/>
      <c r="BG12" s="763"/>
      <c r="BH12" s="763"/>
      <c r="BI12" s="763"/>
      <c r="BJ12" s="763"/>
      <c r="BK12" s="763"/>
      <c r="BL12" s="763"/>
      <c r="BM12" s="763"/>
      <c r="BN12" s="763"/>
      <c r="BO12" s="763"/>
      <c r="BP12" s="763"/>
      <c r="BQ12" s="763"/>
      <c r="BR12" s="763"/>
      <c r="BS12" s="763"/>
      <c r="BT12" s="763"/>
      <c r="BU12" s="763"/>
      <c r="BV12" s="763"/>
      <c r="BW12" s="763"/>
      <c r="BX12" s="763"/>
      <c r="BY12" s="763"/>
      <c r="BZ12" s="763"/>
      <c r="CA12" s="763"/>
      <c r="CB12" s="763"/>
      <c r="CC12" s="763"/>
      <c r="CD12" s="763"/>
      <c r="CE12" s="763"/>
      <c r="CF12" s="763"/>
      <c r="CG12" s="763"/>
      <c r="CH12" s="763"/>
      <c r="CI12" s="763"/>
      <c r="CJ12" s="763"/>
      <c r="CK12" s="763"/>
      <c r="CL12" s="763"/>
      <c r="CM12" s="763"/>
      <c r="CN12" s="763"/>
      <c r="CO12" s="763"/>
      <c r="CP12" s="763"/>
      <c r="CQ12" s="763"/>
      <c r="CR12" s="763"/>
      <c r="CS12" s="763"/>
      <c r="CT12" s="763"/>
      <c r="CU12" s="763"/>
      <c r="CV12" s="763"/>
      <c r="CW12" s="763"/>
      <c r="CX12" s="763"/>
      <c r="CY12" s="763"/>
      <c r="CZ12" s="763"/>
      <c r="DA12" s="763"/>
      <c r="DB12" s="763"/>
      <c r="DC12" s="763"/>
      <c r="DD12" s="763"/>
      <c r="DE12" s="763"/>
      <c r="DF12" s="763"/>
      <c r="DG12" s="763"/>
      <c r="DH12" s="763"/>
      <c r="DI12" s="763"/>
      <c r="DJ12" s="763"/>
      <c r="DK12" s="763"/>
      <c r="DL12" s="763"/>
      <c r="DM12" s="763"/>
      <c r="DN12" s="763"/>
      <c r="DO12" s="763"/>
      <c r="DP12" s="763"/>
      <c r="DQ12" s="763"/>
      <c r="DR12" s="763"/>
      <c r="DS12" s="763"/>
      <c r="DT12" s="763"/>
      <c r="DU12" s="763"/>
      <c r="DV12" s="763"/>
      <c r="DW12" s="763"/>
      <c r="DX12" s="763"/>
      <c r="DY12" s="763"/>
      <c r="DZ12" s="763"/>
      <c r="EA12" s="763"/>
      <c r="EB12" s="763"/>
    </row>
    <row r="13" spans="1:132" s="899" customFormat="1" ht="14.1" customHeight="1" thickBot="1" x14ac:dyDescent="0.25">
      <c r="A13" s="426"/>
      <c r="B13" s="1320"/>
      <c r="C13" s="710" t="s">
        <v>1171</v>
      </c>
      <c r="D13" s="1372" t="s">
        <v>1171</v>
      </c>
      <c r="E13" s="1373"/>
      <c r="F13" s="768"/>
      <c r="G13" s="714" t="s">
        <v>1172</v>
      </c>
      <c r="H13" s="714"/>
      <c r="I13" s="703"/>
      <c r="J13" s="703"/>
      <c r="K13" s="703"/>
      <c r="L13" s="711"/>
      <c r="M13" s="715">
        <f t="shared" ref="M13:M24" si="6">I13+K13</f>
        <v>0</v>
      </c>
      <c r="N13" s="785">
        <f t="shared" si="3"/>
        <v>0</v>
      </c>
      <c r="O13" s="712">
        <v>7.0000000000000001E-3</v>
      </c>
      <c r="P13" s="716">
        <f t="shared" si="4"/>
        <v>0</v>
      </c>
      <c r="Q13" s="717">
        <f t="shared" si="5"/>
        <v>0</v>
      </c>
      <c r="R13" s="1016"/>
      <c r="S13" s="1016"/>
      <c r="T13" s="1016"/>
      <c r="U13" s="1016"/>
      <c r="V13" s="1020">
        <f t="shared" si="0"/>
        <v>0</v>
      </c>
      <c r="W13" s="1021">
        <f t="shared" si="1"/>
        <v>0</v>
      </c>
      <c r="X13" s="1021">
        <f t="shared" si="2"/>
        <v>0</v>
      </c>
      <c r="Y13" s="1325"/>
      <c r="Z13" s="1325"/>
      <c r="AA13" s="1324"/>
      <c r="AB13" s="1325"/>
      <c r="AC13" s="1339"/>
      <c r="AD13" s="1325"/>
      <c r="AE13" s="1331"/>
      <c r="AF13" s="763"/>
      <c r="AG13" s="763"/>
      <c r="AH13" s="763"/>
      <c r="AI13" s="763"/>
      <c r="AJ13" s="763"/>
      <c r="AK13" s="763"/>
      <c r="AL13" s="763"/>
      <c r="AM13" s="763"/>
      <c r="AN13" s="763"/>
      <c r="AO13" s="763"/>
      <c r="AP13" s="763"/>
      <c r="AQ13" s="763"/>
      <c r="AR13" s="763"/>
      <c r="AS13" s="763"/>
      <c r="AT13" s="763"/>
      <c r="AU13" s="763"/>
      <c r="AV13" s="763"/>
      <c r="AW13" s="763"/>
      <c r="AX13" s="763"/>
      <c r="AY13" s="763"/>
      <c r="AZ13" s="763"/>
      <c r="BA13" s="763"/>
      <c r="BB13" s="763"/>
      <c r="BC13" s="763"/>
      <c r="BD13" s="763"/>
      <c r="BE13" s="763"/>
      <c r="BF13" s="763"/>
      <c r="BG13" s="763"/>
      <c r="BH13" s="763"/>
      <c r="BI13" s="763"/>
      <c r="BJ13" s="763"/>
      <c r="BK13" s="763"/>
      <c r="BL13" s="763"/>
      <c r="BM13" s="763"/>
      <c r="BN13" s="763"/>
      <c r="BO13" s="763"/>
      <c r="BP13" s="763"/>
      <c r="BQ13" s="763"/>
      <c r="BR13" s="763"/>
      <c r="BS13" s="763"/>
      <c r="BT13" s="763"/>
      <c r="BU13" s="763"/>
      <c r="BV13" s="763"/>
      <c r="BW13" s="763"/>
      <c r="BX13" s="763"/>
      <c r="BY13" s="763"/>
      <c r="BZ13" s="763"/>
      <c r="CA13" s="763"/>
      <c r="CB13" s="763"/>
      <c r="CC13" s="763"/>
      <c r="CD13" s="763"/>
      <c r="CE13" s="763"/>
      <c r="CF13" s="763"/>
      <c r="CG13" s="763"/>
      <c r="CH13" s="763"/>
      <c r="CI13" s="763"/>
      <c r="CJ13" s="763"/>
      <c r="CK13" s="763"/>
      <c r="CL13" s="763"/>
      <c r="CM13" s="763"/>
      <c r="CN13" s="763"/>
      <c r="CO13" s="763"/>
      <c r="CP13" s="763"/>
      <c r="CQ13" s="763"/>
      <c r="CR13" s="763"/>
      <c r="CS13" s="763"/>
      <c r="CT13" s="763"/>
      <c r="CU13" s="763"/>
      <c r="CV13" s="763"/>
      <c r="CW13" s="763"/>
      <c r="CX13" s="763"/>
      <c r="CY13" s="763"/>
      <c r="CZ13" s="763"/>
      <c r="DA13" s="763"/>
      <c r="DB13" s="763"/>
      <c r="DC13" s="763"/>
      <c r="DD13" s="763"/>
      <c r="DE13" s="763"/>
      <c r="DF13" s="763"/>
      <c r="DG13" s="763"/>
      <c r="DH13" s="763"/>
      <c r="DI13" s="763"/>
      <c r="DJ13" s="763"/>
      <c r="DK13" s="763"/>
      <c r="DL13" s="763"/>
      <c r="DM13" s="763"/>
      <c r="DN13" s="763"/>
      <c r="DO13" s="763"/>
      <c r="DP13" s="763"/>
      <c r="DQ13" s="763"/>
      <c r="DR13" s="763"/>
      <c r="DS13" s="763"/>
      <c r="DT13" s="763"/>
      <c r="DU13" s="763"/>
      <c r="DV13" s="763"/>
      <c r="DW13" s="763"/>
      <c r="DX13" s="763"/>
      <c r="DY13" s="763"/>
      <c r="DZ13" s="763"/>
      <c r="EA13" s="763"/>
      <c r="EB13" s="763"/>
    </row>
    <row r="14" spans="1:132" s="899" customFormat="1" ht="14.1" customHeight="1" x14ac:dyDescent="0.2">
      <c r="A14" s="426"/>
      <c r="B14" s="1319">
        <v>2</v>
      </c>
      <c r="C14" s="691" t="s">
        <v>1173</v>
      </c>
      <c r="D14" s="1321" t="s">
        <v>1174</v>
      </c>
      <c r="E14" s="1322"/>
      <c r="F14" s="692"/>
      <c r="G14" s="693" t="s">
        <v>1175</v>
      </c>
      <c r="H14" s="693"/>
      <c r="I14" s="695"/>
      <c r="J14" s="695"/>
      <c r="K14" s="695"/>
      <c r="L14" s="696"/>
      <c r="M14" s="718">
        <f t="shared" si="6"/>
        <v>0</v>
      </c>
      <c r="N14" s="786">
        <f t="shared" si="3"/>
        <v>0</v>
      </c>
      <c r="O14" s="698">
        <v>1.2500000000000001E-2</v>
      </c>
      <c r="P14" s="719">
        <f t="shared" si="4"/>
        <v>0</v>
      </c>
      <c r="Q14" s="720">
        <f t="shared" si="5"/>
        <v>0</v>
      </c>
      <c r="R14" s="1016"/>
      <c r="S14" s="1016"/>
      <c r="T14" s="1016"/>
      <c r="U14" s="1016"/>
      <c r="V14" s="1022">
        <f t="shared" si="0"/>
        <v>0</v>
      </c>
      <c r="W14" s="1023">
        <f t="shared" si="1"/>
        <v>0</v>
      </c>
      <c r="X14" s="1023">
        <f t="shared" si="2"/>
        <v>0</v>
      </c>
      <c r="Y14" s="1327">
        <f>IF(SUM(W14:W16)&lt;SUM(X14:X16),SUM(W14:W16)*30%,SUM(X14:X16)*30%)</f>
        <v>0</v>
      </c>
      <c r="Z14" s="1327">
        <f>(SUM(W14:W16)-SUM(X14:X16))</f>
        <v>0</v>
      </c>
      <c r="AA14" s="1324"/>
      <c r="AB14" s="1327">
        <f>IF(AA10=0,Z14,IF(ABS(Z10)&lt;ABS(Z14),Z10+Z14,0))</f>
        <v>0</v>
      </c>
      <c r="AC14" s="1327">
        <f>(IF(AB14=0,0,IF(AB17=0,0,IF(AB14&gt;0,IF(AB17&lt;0,IF(AB14&lt;ABS(AB17),AB14*40%,ABS(AB17)*40%),0),IF(AB17&gt;0,IF(ABS(AB14)&lt;AB17,ABS(AB14)*40%,AB17*40%),0)))))</f>
        <v>0</v>
      </c>
      <c r="AD14" s="1327">
        <f>IF(AC14=0,AB14,IF(ABS(AB14)&lt;ABS(AB17),0,AB14+AB17))</f>
        <v>0</v>
      </c>
      <c r="AE14" s="1331"/>
      <c r="AF14" s="763"/>
      <c r="AG14" s="763"/>
      <c r="AH14" s="763"/>
      <c r="AI14" s="763"/>
      <c r="AJ14" s="763"/>
      <c r="AK14" s="763"/>
      <c r="AL14" s="763"/>
      <c r="AM14" s="763"/>
      <c r="AN14" s="763"/>
      <c r="AO14" s="763"/>
      <c r="AP14" s="763"/>
      <c r="AQ14" s="763"/>
      <c r="AR14" s="763"/>
      <c r="AS14" s="763"/>
      <c r="AT14" s="763"/>
      <c r="AU14" s="763"/>
      <c r="AV14" s="763"/>
      <c r="AW14" s="763"/>
      <c r="AX14" s="763"/>
      <c r="AY14" s="763"/>
      <c r="AZ14" s="763"/>
      <c r="BA14" s="763"/>
      <c r="BB14" s="763"/>
      <c r="BC14" s="763"/>
      <c r="BD14" s="763"/>
      <c r="BE14" s="763"/>
      <c r="BF14" s="763"/>
      <c r="BG14" s="763"/>
      <c r="BH14" s="763"/>
      <c r="BI14" s="763"/>
      <c r="BJ14" s="763"/>
      <c r="BK14" s="763"/>
      <c r="BL14" s="763"/>
      <c r="BM14" s="763"/>
      <c r="BN14" s="763"/>
      <c r="BO14" s="763"/>
      <c r="BP14" s="763"/>
      <c r="BQ14" s="763"/>
      <c r="BR14" s="763"/>
      <c r="BS14" s="763"/>
      <c r="BT14" s="763"/>
      <c r="BU14" s="763"/>
      <c r="BV14" s="763"/>
      <c r="BW14" s="763"/>
      <c r="BX14" s="763"/>
      <c r="BY14" s="763"/>
      <c r="BZ14" s="763"/>
      <c r="CA14" s="763"/>
      <c r="CB14" s="763"/>
      <c r="CC14" s="763"/>
      <c r="CD14" s="763"/>
      <c r="CE14" s="763"/>
      <c r="CF14" s="763"/>
      <c r="CG14" s="763"/>
      <c r="CH14" s="763"/>
      <c r="CI14" s="763"/>
      <c r="CJ14" s="763"/>
      <c r="CK14" s="763"/>
      <c r="CL14" s="763"/>
      <c r="CM14" s="763"/>
      <c r="CN14" s="763"/>
      <c r="CO14" s="763"/>
      <c r="CP14" s="763"/>
      <c r="CQ14" s="763"/>
      <c r="CR14" s="763"/>
      <c r="CS14" s="763"/>
      <c r="CT14" s="763"/>
      <c r="CU14" s="763"/>
      <c r="CV14" s="763"/>
      <c r="CW14" s="763"/>
      <c r="CX14" s="763"/>
      <c r="CY14" s="763"/>
      <c r="CZ14" s="763"/>
      <c r="DA14" s="763"/>
      <c r="DB14" s="763"/>
      <c r="DC14" s="763"/>
      <c r="DD14" s="763"/>
      <c r="DE14" s="763"/>
      <c r="DF14" s="763"/>
      <c r="DG14" s="763"/>
      <c r="DH14" s="763"/>
      <c r="DI14" s="763"/>
      <c r="DJ14" s="763"/>
      <c r="DK14" s="763"/>
      <c r="DL14" s="763"/>
      <c r="DM14" s="763"/>
      <c r="DN14" s="763"/>
      <c r="DO14" s="763"/>
      <c r="DP14" s="763"/>
      <c r="DQ14" s="763"/>
      <c r="DR14" s="763"/>
      <c r="DS14" s="763"/>
      <c r="DT14" s="763"/>
      <c r="DU14" s="763"/>
      <c r="DV14" s="763"/>
      <c r="DW14" s="763"/>
      <c r="DX14" s="763"/>
      <c r="DY14" s="763"/>
      <c r="DZ14" s="763"/>
      <c r="EA14" s="763"/>
      <c r="EB14" s="763"/>
    </row>
    <row r="15" spans="1:132" s="899" customFormat="1" ht="14.1" customHeight="1" x14ac:dyDescent="0.2">
      <c r="A15" s="426"/>
      <c r="B15" s="1320"/>
      <c r="C15" s="451" t="s">
        <v>1176</v>
      </c>
      <c r="D15" s="1333" t="s">
        <v>1177</v>
      </c>
      <c r="E15" s="1334"/>
      <c r="F15" s="701"/>
      <c r="G15" s="702" t="s">
        <v>1178</v>
      </c>
      <c r="H15" s="702"/>
      <c r="I15" s="704"/>
      <c r="J15" s="704"/>
      <c r="K15" s="704"/>
      <c r="L15" s="705"/>
      <c r="M15" s="706">
        <f t="shared" si="6"/>
        <v>0</v>
      </c>
      <c r="N15" s="784">
        <f t="shared" si="3"/>
        <v>0</v>
      </c>
      <c r="O15" s="707">
        <v>1.7500000000000002E-2</v>
      </c>
      <c r="P15" s="708">
        <f t="shared" si="4"/>
        <v>0</v>
      </c>
      <c r="Q15" s="709">
        <f t="shared" si="5"/>
        <v>0</v>
      </c>
      <c r="R15" s="1016"/>
      <c r="S15" s="1016"/>
      <c r="T15" s="1016"/>
      <c r="U15" s="1016"/>
      <c r="V15" s="1024">
        <f t="shared" si="0"/>
        <v>0</v>
      </c>
      <c r="W15" s="1025">
        <f t="shared" si="1"/>
        <v>0</v>
      </c>
      <c r="X15" s="1025">
        <f t="shared" si="2"/>
        <v>0</v>
      </c>
      <c r="Y15" s="1328"/>
      <c r="Z15" s="1328"/>
      <c r="AA15" s="1324"/>
      <c r="AB15" s="1328"/>
      <c r="AC15" s="1328"/>
      <c r="AD15" s="1328"/>
      <c r="AE15" s="1331"/>
      <c r="AF15" s="763"/>
      <c r="AG15" s="763"/>
      <c r="AH15" s="763"/>
      <c r="AI15" s="763"/>
      <c r="AJ15" s="763"/>
      <c r="AK15" s="763"/>
      <c r="AL15" s="763"/>
      <c r="AM15" s="763"/>
      <c r="AN15" s="763"/>
      <c r="AO15" s="763"/>
      <c r="AP15" s="763"/>
      <c r="AQ15" s="763"/>
      <c r="AR15" s="763"/>
      <c r="AS15" s="763"/>
      <c r="AT15" s="763"/>
      <c r="AU15" s="763"/>
      <c r="AV15" s="763"/>
      <c r="AW15" s="763"/>
      <c r="AX15" s="763"/>
      <c r="AY15" s="763"/>
      <c r="AZ15" s="763"/>
      <c r="BA15" s="763"/>
      <c r="BB15" s="763"/>
      <c r="BC15" s="763"/>
      <c r="BD15" s="763"/>
      <c r="BE15" s="763"/>
      <c r="BF15" s="763"/>
      <c r="BG15" s="763"/>
      <c r="BH15" s="763"/>
      <c r="BI15" s="763"/>
      <c r="BJ15" s="763"/>
      <c r="BK15" s="763"/>
      <c r="BL15" s="763"/>
      <c r="BM15" s="763"/>
      <c r="BN15" s="763"/>
      <c r="BO15" s="763"/>
      <c r="BP15" s="763"/>
      <c r="BQ15" s="763"/>
      <c r="BR15" s="763"/>
      <c r="BS15" s="763"/>
      <c r="BT15" s="763"/>
      <c r="BU15" s="763"/>
      <c r="BV15" s="763"/>
      <c r="BW15" s="763"/>
      <c r="BX15" s="763"/>
      <c r="BY15" s="763"/>
      <c r="BZ15" s="763"/>
      <c r="CA15" s="763"/>
      <c r="CB15" s="763"/>
      <c r="CC15" s="763"/>
      <c r="CD15" s="763"/>
      <c r="CE15" s="763"/>
      <c r="CF15" s="763"/>
      <c r="CG15" s="763"/>
      <c r="CH15" s="763"/>
      <c r="CI15" s="763"/>
      <c r="CJ15" s="763"/>
      <c r="CK15" s="763"/>
      <c r="CL15" s="763"/>
      <c r="CM15" s="763"/>
      <c r="CN15" s="763"/>
      <c r="CO15" s="763"/>
      <c r="CP15" s="763"/>
      <c r="CQ15" s="763"/>
      <c r="CR15" s="763"/>
      <c r="CS15" s="763"/>
      <c r="CT15" s="763"/>
      <c r="CU15" s="763"/>
      <c r="CV15" s="763"/>
      <c r="CW15" s="763"/>
      <c r="CX15" s="763"/>
      <c r="CY15" s="763"/>
      <c r="CZ15" s="763"/>
      <c r="DA15" s="763"/>
      <c r="DB15" s="763"/>
      <c r="DC15" s="763"/>
      <c r="DD15" s="763"/>
      <c r="DE15" s="763"/>
      <c r="DF15" s="763"/>
      <c r="DG15" s="763"/>
      <c r="DH15" s="763"/>
      <c r="DI15" s="763"/>
      <c r="DJ15" s="763"/>
      <c r="DK15" s="763"/>
      <c r="DL15" s="763"/>
      <c r="DM15" s="763"/>
      <c r="DN15" s="763"/>
      <c r="DO15" s="763"/>
      <c r="DP15" s="763"/>
      <c r="DQ15" s="763"/>
      <c r="DR15" s="763"/>
      <c r="DS15" s="763"/>
      <c r="DT15" s="763"/>
      <c r="DU15" s="763"/>
      <c r="DV15" s="763"/>
      <c r="DW15" s="763"/>
      <c r="DX15" s="763"/>
      <c r="DY15" s="763"/>
      <c r="DZ15" s="763"/>
      <c r="EA15" s="763"/>
      <c r="EB15" s="763"/>
    </row>
    <row r="16" spans="1:132" s="899" customFormat="1" ht="14.1" customHeight="1" thickBot="1" x14ac:dyDescent="0.25">
      <c r="A16" s="426"/>
      <c r="B16" s="1326"/>
      <c r="C16" s="721" t="s">
        <v>1179</v>
      </c>
      <c r="D16" s="1372" t="s">
        <v>1180</v>
      </c>
      <c r="E16" s="1373"/>
      <c r="F16" s="768"/>
      <c r="G16" s="714" t="s">
        <v>1181</v>
      </c>
      <c r="H16" s="714"/>
      <c r="I16" s="722"/>
      <c r="J16" s="722"/>
      <c r="K16" s="722"/>
      <c r="L16" s="723"/>
      <c r="M16" s="715">
        <f t="shared" si="6"/>
        <v>0</v>
      </c>
      <c r="N16" s="785">
        <f t="shared" si="3"/>
        <v>0</v>
      </c>
      <c r="O16" s="724">
        <v>2.2499999999999999E-2</v>
      </c>
      <c r="P16" s="716">
        <f t="shared" si="4"/>
        <v>0</v>
      </c>
      <c r="Q16" s="717">
        <f t="shared" si="5"/>
        <v>0</v>
      </c>
      <c r="R16" s="1016"/>
      <c r="S16" s="1016"/>
      <c r="T16" s="1016"/>
      <c r="U16" s="1016"/>
      <c r="V16" s="1026">
        <f t="shared" si="0"/>
        <v>0</v>
      </c>
      <c r="W16" s="1027">
        <f t="shared" si="1"/>
        <v>0</v>
      </c>
      <c r="X16" s="1027">
        <f t="shared" si="2"/>
        <v>0</v>
      </c>
      <c r="Y16" s="1329"/>
      <c r="Z16" s="1329"/>
      <c r="AA16" s="1325"/>
      <c r="AB16" s="1329"/>
      <c r="AC16" s="1328"/>
      <c r="AD16" s="1329"/>
      <c r="AE16" s="1331"/>
      <c r="AF16" s="763"/>
      <c r="AG16" s="763"/>
      <c r="AH16" s="763"/>
      <c r="AI16" s="763"/>
      <c r="AJ16" s="763"/>
      <c r="AK16" s="763"/>
      <c r="AL16" s="763"/>
      <c r="AM16" s="763"/>
      <c r="AN16" s="763"/>
      <c r="AO16" s="763"/>
      <c r="AP16" s="763"/>
      <c r="AQ16" s="763"/>
      <c r="AR16" s="763"/>
      <c r="AS16" s="763"/>
      <c r="AT16" s="763"/>
      <c r="AU16" s="763"/>
      <c r="AV16" s="763"/>
      <c r="AW16" s="763"/>
      <c r="AX16" s="763"/>
      <c r="AY16" s="763"/>
      <c r="AZ16" s="763"/>
      <c r="BA16" s="763"/>
      <c r="BB16" s="763"/>
      <c r="BC16" s="763"/>
      <c r="BD16" s="763"/>
      <c r="BE16" s="763"/>
      <c r="BF16" s="763"/>
      <c r="BG16" s="763"/>
      <c r="BH16" s="763"/>
      <c r="BI16" s="763"/>
      <c r="BJ16" s="763"/>
      <c r="BK16" s="763"/>
      <c r="BL16" s="763"/>
      <c r="BM16" s="763"/>
      <c r="BN16" s="763"/>
      <c r="BO16" s="763"/>
      <c r="BP16" s="763"/>
      <c r="BQ16" s="763"/>
      <c r="BR16" s="763"/>
      <c r="BS16" s="763"/>
      <c r="BT16" s="763"/>
      <c r="BU16" s="763"/>
      <c r="BV16" s="763"/>
      <c r="BW16" s="763"/>
      <c r="BX16" s="763"/>
      <c r="BY16" s="763"/>
      <c r="BZ16" s="763"/>
      <c r="CA16" s="763"/>
      <c r="CB16" s="763"/>
      <c r="CC16" s="763"/>
      <c r="CD16" s="763"/>
      <c r="CE16" s="763"/>
      <c r="CF16" s="763"/>
      <c r="CG16" s="763"/>
      <c r="CH16" s="763"/>
      <c r="CI16" s="763"/>
      <c r="CJ16" s="763"/>
      <c r="CK16" s="763"/>
      <c r="CL16" s="763"/>
      <c r="CM16" s="763"/>
      <c r="CN16" s="763"/>
      <c r="CO16" s="763"/>
      <c r="CP16" s="763"/>
      <c r="CQ16" s="763"/>
      <c r="CR16" s="763"/>
      <c r="CS16" s="763"/>
      <c r="CT16" s="763"/>
      <c r="CU16" s="763"/>
      <c r="CV16" s="763"/>
      <c r="CW16" s="763"/>
      <c r="CX16" s="763"/>
      <c r="CY16" s="763"/>
      <c r="CZ16" s="763"/>
      <c r="DA16" s="763"/>
      <c r="DB16" s="763"/>
      <c r="DC16" s="763"/>
      <c r="DD16" s="763"/>
      <c r="DE16" s="763"/>
      <c r="DF16" s="763"/>
      <c r="DG16" s="763"/>
      <c r="DH16" s="763"/>
      <c r="DI16" s="763"/>
      <c r="DJ16" s="763"/>
      <c r="DK16" s="763"/>
      <c r="DL16" s="763"/>
      <c r="DM16" s="763"/>
      <c r="DN16" s="763"/>
      <c r="DO16" s="763"/>
      <c r="DP16" s="763"/>
      <c r="DQ16" s="763"/>
      <c r="DR16" s="763"/>
      <c r="DS16" s="763"/>
      <c r="DT16" s="763"/>
      <c r="DU16" s="763"/>
      <c r="DV16" s="763"/>
      <c r="DW16" s="763"/>
      <c r="DX16" s="763"/>
      <c r="DY16" s="763"/>
      <c r="DZ16" s="763"/>
      <c r="EA16" s="763"/>
      <c r="EB16" s="763"/>
    </row>
    <row r="17" spans="1:134" s="899" customFormat="1" ht="14.1" customHeight="1" x14ac:dyDescent="0.2">
      <c r="A17" s="426"/>
      <c r="B17" s="1319">
        <v>3</v>
      </c>
      <c r="C17" s="725" t="s">
        <v>1182</v>
      </c>
      <c r="D17" s="1321" t="s">
        <v>1183</v>
      </c>
      <c r="E17" s="1322"/>
      <c r="F17" s="767"/>
      <c r="G17" s="693" t="s">
        <v>1184</v>
      </c>
      <c r="H17" s="693"/>
      <c r="I17" s="694"/>
      <c r="J17" s="694"/>
      <c r="K17" s="694"/>
      <c r="L17" s="726"/>
      <c r="M17" s="718">
        <f t="shared" si="6"/>
        <v>0</v>
      </c>
      <c r="N17" s="786">
        <f t="shared" si="3"/>
        <v>0</v>
      </c>
      <c r="O17" s="727">
        <v>2.75E-2</v>
      </c>
      <c r="P17" s="719">
        <f t="shared" si="4"/>
        <v>0</v>
      </c>
      <c r="Q17" s="720">
        <f t="shared" si="5"/>
        <v>0</v>
      </c>
      <c r="R17" s="1016"/>
      <c r="S17" s="1016"/>
      <c r="T17" s="1016"/>
      <c r="U17" s="1016"/>
      <c r="V17" s="1028">
        <f t="shared" si="0"/>
        <v>0</v>
      </c>
      <c r="W17" s="1029">
        <f t="shared" si="1"/>
        <v>0</v>
      </c>
      <c r="X17" s="1029">
        <f t="shared" si="2"/>
        <v>0</v>
      </c>
      <c r="Y17" s="1330">
        <f>IF(SUM(W17:W24)&lt;SUM(X17:X24),SUM(W17:W24)*30%,SUM(X17:X24)*30%)</f>
        <v>0</v>
      </c>
      <c r="Z17" s="1330">
        <f>SUM(W17:W24)-SUM(X17:X24)</f>
        <v>0</v>
      </c>
      <c r="AA17" s="1337"/>
      <c r="AB17" s="1330">
        <f>Z17</f>
        <v>0</v>
      </c>
      <c r="AC17" s="1328"/>
      <c r="AD17" s="1330">
        <f>IF(AC14=0,AB17,IF(ABS(AB14)&lt;ABS(AB17),AB14+AB17,0))</f>
        <v>0</v>
      </c>
      <c r="AE17" s="1331"/>
      <c r="AF17" s="763"/>
      <c r="AG17" s="763"/>
      <c r="AH17" s="763"/>
      <c r="AI17" s="763"/>
      <c r="AJ17" s="763"/>
      <c r="AK17" s="763"/>
      <c r="AL17" s="763"/>
      <c r="AM17" s="763"/>
      <c r="AN17" s="763"/>
      <c r="AO17" s="763"/>
      <c r="AP17" s="763"/>
      <c r="AQ17" s="763"/>
      <c r="AR17" s="763"/>
      <c r="AS17" s="763"/>
      <c r="AT17" s="763"/>
      <c r="AU17" s="763"/>
      <c r="AV17" s="763"/>
      <c r="AW17" s="763"/>
      <c r="AX17" s="763"/>
      <c r="AY17" s="763"/>
      <c r="AZ17" s="763"/>
      <c r="BA17" s="763"/>
      <c r="BB17" s="763"/>
      <c r="BC17" s="763"/>
      <c r="BD17" s="763"/>
      <c r="BE17" s="763"/>
      <c r="BF17" s="763"/>
      <c r="BG17" s="763"/>
      <c r="BH17" s="763"/>
      <c r="BI17" s="763"/>
      <c r="BJ17" s="763"/>
      <c r="BK17" s="763"/>
      <c r="BL17" s="763"/>
      <c r="BM17" s="763"/>
      <c r="BN17" s="763"/>
      <c r="BO17" s="763"/>
      <c r="BP17" s="763"/>
      <c r="BQ17" s="763"/>
      <c r="BR17" s="763"/>
      <c r="BS17" s="763"/>
      <c r="BT17" s="763"/>
      <c r="BU17" s="763"/>
      <c r="BV17" s="763"/>
      <c r="BW17" s="763"/>
      <c r="BX17" s="763"/>
      <c r="BY17" s="763"/>
      <c r="BZ17" s="763"/>
      <c r="CA17" s="763"/>
      <c r="CB17" s="763"/>
      <c r="CC17" s="763"/>
      <c r="CD17" s="763"/>
      <c r="CE17" s="763"/>
      <c r="CF17" s="763"/>
      <c r="CG17" s="763"/>
      <c r="CH17" s="763"/>
      <c r="CI17" s="763"/>
      <c r="CJ17" s="763"/>
      <c r="CK17" s="763"/>
      <c r="CL17" s="763"/>
      <c r="CM17" s="763"/>
      <c r="CN17" s="763"/>
      <c r="CO17" s="763"/>
      <c r="CP17" s="763"/>
      <c r="CQ17" s="763"/>
      <c r="CR17" s="763"/>
      <c r="CS17" s="763"/>
      <c r="CT17" s="763"/>
      <c r="CU17" s="763"/>
      <c r="CV17" s="763"/>
      <c r="CW17" s="763"/>
      <c r="CX17" s="763"/>
      <c r="CY17" s="763"/>
      <c r="CZ17" s="763"/>
      <c r="DA17" s="763"/>
      <c r="DB17" s="763"/>
      <c r="DC17" s="763"/>
      <c r="DD17" s="763"/>
      <c r="DE17" s="763"/>
      <c r="DF17" s="763"/>
      <c r="DG17" s="763"/>
      <c r="DH17" s="763"/>
      <c r="DI17" s="763"/>
      <c r="DJ17" s="763"/>
      <c r="DK17" s="763"/>
      <c r="DL17" s="763"/>
      <c r="DM17" s="763"/>
      <c r="DN17" s="763"/>
      <c r="DO17" s="763"/>
      <c r="DP17" s="763"/>
      <c r="DQ17" s="763"/>
      <c r="DR17" s="763"/>
      <c r="DS17" s="763"/>
      <c r="DT17" s="763"/>
      <c r="DU17" s="763"/>
      <c r="DV17" s="763"/>
      <c r="DW17" s="763"/>
      <c r="DX17" s="763"/>
      <c r="DY17" s="763"/>
      <c r="DZ17" s="763"/>
      <c r="EA17" s="763"/>
      <c r="EB17" s="763"/>
    </row>
    <row r="18" spans="1:134" s="899" customFormat="1" ht="14.1" customHeight="1" x14ac:dyDescent="0.2">
      <c r="A18" s="426"/>
      <c r="B18" s="1320"/>
      <c r="C18" s="451" t="s">
        <v>1185</v>
      </c>
      <c r="D18" s="1333" t="s">
        <v>1186</v>
      </c>
      <c r="E18" s="1334"/>
      <c r="F18" s="701"/>
      <c r="G18" s="702" t="s">
        <v>1187</v>
      </c>
      <c r="H18" s="702"/>
      <c r="I18" s="704"/>
      <c r="J18" s="704"/>
      <c r="K18" s="704"/>
      <c r="L18" s="705"/>
      <c r="M18" s="706">
        <f t="shared" si="6"/>
        <v>0</v>
      </c>
      <c r="N18" s="784">
        <f t="shared" si="3"/>
        <v>0</v>
      </c>
      <c r="O18" s="707">
        <v>3.2500000000000001E-2</v>
      </c>
      <c r="P18" s="708">
        <f t="shared" si="4"/>
        <v>0</v>
      </c>
      <c r="Q18" s="709">
        <f t="shared" si="5"/>
        <v>0</v>
      </c>
      <c r="R18" s="1016"/>
      <c r="S18" s="1016"/>
      <c r="T18" s="1016"/>
      <c r="U18" s="1016"/>
      <c r="V18" s="1030">
        <f t="shared" si="0"/>
        <v>0</v>
      </c>
      <c r="W18" s="1031">
        <f t="shared" si="1"/>
        <v>0</v>
      </c>
      <c r="X18" s="1031">
        <f t="shared" si="2"/>
        <v>0</v>
      </c>
      <c r="Y18" s="1331"/>
      <c r="Z18" s="1331"/>
      <c r="AA18" s="1338"/>
      <c r="AB18" s="1331"/>
      <c r="AC18" s="1328"/>
      <c r="AD18" s="1331"/>
      <c r="AE18" s="1331"/>
      <c r="AF18" s="763"/>
      <c r="AG18" s="763"/>
      <c r="AH18" s="763"/>
      <c r="AI18" s="763"/>
      <c r="AJ18" s="763"/>
      <c r="AK18" s="763"/>
      <c r="AL18" s="763"/>
      <c r="AM18" s="763"/>
      <c r="AN18" s="763"/>
      <c r="AO18" s="763"/>
      <c r="AP18" s="763"/>
      <c r="AQ18" s="763"/>
      <c r="AR18" s="763"/>
      <c r="AS18" s="763"/>
      <c r="AT18" s="763"/>
      <c r="AU18" s="763"/>
      <c r="AV18" s="763"/>
      <c r="AW18" s="763"/>
      <c r="AX18" s="763"/>
      <c r="AY18" s="763"/>
      <c r="AZ18" s="763"/>
      <c r="BA18" s="763"/>
      <c r="BB18" s="763"/>
      <c r="BC18" s="763"/>
      <c r="BD18" s="763"/>
      <c r="BE18" s="763"/>
      <c r="BF18" s="763"/>
      <c r="BG18" s="763"/>
      <c r="BH18" s="763"/>
      <c r="BI18" s="763"/>
      <c r="BJ18" s="763"/>
      <c r="BK18" s="763"/>
      <c r="BL18" s="763"/>
      <c r="BM18" s="763"/>
      <c r="BN18" s="763"/>
      <c r="BO18" s="763"/>
      <c r="BP18" s="763"/>
      <c r="BQ18" s="763"/>
      <c r="BR18" s="763"/>
      <c r="BS18" s="763"/>
      <c r="BT18" s="763"/>
      <c r="BU18" s="763"/>
      <c r="BV18" s="763"/>
      <c r="BW18" s="763"/>
      <c r="BX18" s="763"/>
      <c r="BY18" s="763"/>
      <c r="BZ18" s="763"/>
      <c r="CA18" s="763"/>
      <c r="CB18" s="763"/>
      <c r="CC18" s="763"/>
      <c r="CD18" s="763"/>
      <c r="CE18" s="763"/>
      <c r="CF18" s="763"/>
      <c r="CG18" s="763"/>
      <c r="CH18" s="763"/>
      <c r="CI18" s="763"/>
      <c r="CJ18" s="763"/>
      <c r="CK18" s="763"/>
      <c r="CL18" s="763"/>
      <c r="CM18" s="763"/>
      <c r="CN18" s="763"/>
      <c r="CO18" s="763"/>
      <c r="CP18" s="763"/>
      <c r="CQ18" s="763"/>
      <c r="CR18" s="763"/>
      <c r="CS18" s="763"/>
      <c r="CT18" s="763"/>
      <c r="CU18" s="763"/>
      <c r="CV18" s="763"/>
      <c r="CW18" s="763"/>
      <c r="CX18" s="763"/>
      <c r="CY18" s="763"/>
      <c r="CZ18" s="763"/>
      <c r="DA18" s="763"/>
      <c r="DB18" s="763"/>
      <c r="DC18" s="763"/>
      <c r="DD18" s="763"/>
      <c r="DE18" s="763"/>
      <c r="DF18" s="763"/>
      <c r="DG18" s="763"/>
      <c r="DH18" s="763"/>
      <c r="DI18" s="763"/>
      <c r="DJ18" s="763"/>
      <c r="DK18" s="763"/>
      <c r="DL18" s="763"/>
      <c r="DM18" s="763"/>
      <c r="DN18" s="763"/>
      <c r="DO18" s="763"/>
      <c r="DP18" s="763"/>
      <c r="DQ18" s="763"/>
      <c r="DR18" s="763"/>
      <c r="DS18" s="763"/>
      <c r="DT18" s="763"/>
      <c r="DU18" s="763"/>
      <c r="DV18" s="763"/>
      <c r="DW18" s="763"/>
      <c r="DX18" s="763"/>
      <c r="DY18" s="763"/>
      <c r="DZ18" s="763"/>
      <c r="EA18" s="763"/>
      <c r="EB18" s="763"/>
    </row>
    <row r="19" spans="1:134" s="899" customFormat="1" ht="14.1" customHeight="1" x14ac:dyDescent="0.2">
      <c r="A19" s="426"/>
      <c r="B19" s="1320"/>
      <c r="C19" s="451" t="s">
        <v>1188</v>
      </c>
      <c r="D19" s="1333" t="s">
        <v>1189</v>
      </c>
      <c r="E19" s="1334"/>
      <c r="F19" s="701"/>
      <c r="G19" s="702" t="s">
        <v>1190</v>
      </c>
      <c r="H19" s="702"/>
      <c r="I19" s="704"/>
      <c r="J19" s="704"/>
      <c r="K19" s="704"/>
      <c r="L19" s="705"/>
      <c r="M19" s="706">
        <f t="shared" si="6"/>
        <v>0</v>
      </c>
      <c r="N19" s="784">
        <f t="shared" si="3"/>
        <v>0</v>
      </c>
      <c r="O19" s="707">
        <v>3.7499999999999999E-2</v>
      </c>
      <c r="P19" s="708">
        <f t="shared" si="4"/>
        <v>0</v>
      </c>
      <c r="Q19" s="709">
        <f t="shared" si="5"/>
        <v>0</v>
      </c>
      <c r="R19" s="1016"/>
      <c r="S19" s="1016"/>
      <c r="T19" s="1016"/>
      <c r="U19" s="1016"/>
      <c r="V19" s="1030">
        <f t="shared" si="0"/>
        <v>0</v>
      </c>
      <c r="W19" s="1031">
        <f t="shared" si="1"/>
        <v>0</v>
      </c>
      <c r="X19" s="1031">
        <f t="shared" si="2"/>
        <v>0</v>
      </c>
      <c r="Y19" s="1331"/>
      <c r="Z19" s="1331"/>
      <c r="AA19" s="1338"/>
      <c r="AB19" s="1331"/>
      <c r="AC19" s="1328"/>
      <c r="AD19" s="1331"/>
      <c r="AE19" s="1331"/>
      <c r="AF19" s="763"/>
      <c r="AG19" s="763"/>
      <c r="AH19" s="763"/>
      <c r="AI19" s="763"/>
      <c r="AJ19" s="763"/>
      <c r="AK19" s="763"/>
      <c r="AL19" s="763"/>
      <c r="AM19" s="763"/>
      <c r="AN19" s="763"/>
      <c r="AO19" s="763"/>
      <c r="AP19" s="763"/>
      <c r="AQ19" s="763"/>
      <c r="AR19" s="763"/>
      <c r="AS19" s="763"/>
      <c r="AT19" s="763"/>
      <c r="AU19" s="763"/>
      <c r="AV19" s="763"/>
      <c r="AW19" s="763"/>
      <c r="AX19" s="763"/>
      <c r="AY19" s="763"/>
      <c r="AZ19" s="763"/>
      <c r="BA19" s="763"/>
      <c r="BB19" s="763"/>
      <c r="BC19" s="763"/>
      <c r="BD19" s="763"/>
      <c r="BE19" s="763"/>
      <c r="BF19" s="763"/>
      <c r="BG19" s="763"/>
      <c r="BH19" s="763"/>
      <c r="BI19" s="763"/>
      <c r="BJ19" s="763"/>
      <c r="BK19" s="763"/>
      <c r="BL19" s="763"/>
      <c r="BM19" s="763"/>
      <c r="BN19" s="763"/>
      <c r="BO19" s="763"/>
      <c r="BP19" s="763"/>
      <c r="BQ19" s="763"/>
      <c r="BR19" s="763"/>
      <c r="BS19" s="763"/>
      <c r="BT19" s="763"/>
      <c r="BU19" s="763"/>
      <c r="BV19" s="763"/>
      <c r="BW19" s="763"/>
      <c r="BX19" s="763"/>
      <c r="BY19" s="763"/>
      <c r="BZ19" s="763"/>
      <c r="CA19" s="763"/>
      <c r="CB19" s="763"/>
      <c r="CC19" s="763"/>
      <c r="CD19" s="763"/>
      <c r="CE19" s="763"/>
      <c r="CF19" s="763"/>
      <c r="CG19" s="763"/>
      <c r="CH19" s="763"/>
      <c r="CI19" s="763"/>
      <c r="CJ19" s="763"/>
      <c r="CK19" s="763"/>
      <c r="CL19" s="763"/>
      <c r="CM19" s="763"/>
      <c r="CN19" s="763"/>
      <c r="CO19" s="763"/>
      <c r="CP19" s="763"/>
      <c r="CQ19" s="763"/>
      <c r="CR19" s="763"/>
      <c r="CS19" s="763"/>
      <c r="CT19" s="763"/>
      <c r="CU19" s="763"/>
      <c r="CV19" s="763"/>
      <c r="CW19" s="763"/>
      <c r="CX19" s="763"/>
      <c r="CY19" s="763"/>
      <c r="CZ19" s="763"/>
      <c r="DA19" s="763"/>
      <c r="DB19" s="763"/>
      <c r="DC19" s="763"/>
      <c r="DD19" s="763"/>
      <c r="DE19" s="763"/>
      <c r="DF19" s="763"/>
      <c r="DG19" s="763"/>
      <c r="DH19" s="763"/>
      <c r="DI19" s="763"/>
      <c r="DJ19" s="763"/>
      <c r="DK19" s="763"/>
      <c r="DL19" s="763"/>
      <c r="DM19" s="763"/>
      <c r="DN19" s="763"/>
      <c r="DO19" s="763"/>
      <c r="DP19" s="763"/>
      <c r="DQ19" s="763"/>
      <c r="DR19" s="763"/>
      <c r="DS19" s="763"/>
      <c r="DT19" s="763"/>
      <c r="DU19" s="763"/>
      <c r="DV19" s="763"/>
      <c r="DW19" s="763"/>
      <c r="DX19" s="763"/>
      <c r="DY19" s="763"/>
      <c r="DZ19" s="763"/>
      <c r="EA19" s="763"/>
      <c r="EB19" s="763"/>
    </row>
    <row r="20" spans="1:134" s="899" customFormat="1" ht="14.1" customHeight="1" x14ac:dyDescent="0.2">
      <c r="A20" s="426"/>
      <c r="B20" s="1320"/>
      <c r="C20" s="451" t="s">
        <v>1191</v>
      </c>
      <c r="D20" s="1333" t="s">
        <v>1192</v>
      </c>
      <c r="E20" s="1334"/>
      <c r="F20" s="701"/>
      <c r="G20" s="702" t="s">
        <v>1193</v>
      </c>
      <c r="H20" s="702"/>
      <c r="I20" s="704"/>
      <c r="J20" s="704"/>
      <c r="K20" s="704"/>
      <c r="L20" s="705"/>
      <c r="M20" s="706">
        <f t="shared" si="6"/>
        <v>0</v>
      </c>
      <c r="N20" s="784">
        <f t="shared" si="3"/>
        <v>0</v>
      </c>
      <c r="O20" s="707">
        <v>4.4999999999999998E-2</v>
      </c>
      <c r="P20" s="708">
        <f t="shared" si="4"/>
        <v>0</v>
      </c>
      <c r="Q20" s="709">
        <f t="shared" si="5"/>
        <v>0</v>
      </c>
      <c r="R20" s="1016"/>
      <c r="S20" s="1016"/>
      <c r="T20" s="1016"/>
      <c r="U20" s="1016"/>
      <c r="V20" s="1030">
        <f t="shared" si="0"/>
        <v>0</v>
      </c>
      <c r="W20" s="1031">
        <f t="shared" si="1"/>
        <v>0</v>
      </c>
      <c r="X20" s="1031">
        <f t="shared" si="2"/>
        <v>0</v>
      </c>
      <c r="Y20" s="1331"/>
      <c r="Z20" s="1331"/>
      <c r="AA20" s="1338"/>
      <c r="AB20" s="1331"/>
      <c r="AC20" s="1328"/>
      <c r="AD20" s="1331"/>
      <c r="AE20" s="1331"/>
      <c r="AF20" s="763"/>
      <c r="AG20" s="763"/>
      <c r="AH20" s="763"/>
      <c r="AI20" s="763"/>
      <c r="AJ20" s="763"/>
      <c r="AK20" s="763"/>
      <c r="AL20" s="763"/>
      <c r="AM20" s="763"/>
      <c r="AN20" s="763"/>
      <c r="AO20" s="763"/>
      <c r="AP20" s="763"/>
      <c r="AQ20" s="763"/>
      <c r="AR20" s="763"/>
      <c r="AS20" s="763"/>
      <c r="AT20" s="763"/>
      <c r="AU20" s="763"/>
      <c r="AV20" s="763"/>
      <c r="AW20" s="763"/>
      <c r="AX20" s="763"/>
      <c r="AY20" s="763"/>
      <c r="AZ20" s="763"/>
      <c r="BA20" s="763"/>
      <c r="BB20" s="763"/>
      <c r="BC20" s="763"/>
      <c r="BD20" s="763"/>
      <c r="BE20" s="763"/>
      <c r="BF20" s="763"/>
      <c r="BG20" s="763"/>
      <c r="BH20" s="763"/>
      <c r="BI20" s="763"/>
      <c r="BJ20" s="763"/>
      <c r="BK20" s="763"/>
      <c r="BL20" s="763"/>
      <c r="BM20" s="763"/>
      <c r="BN20" s="763"/>
      <c r="BO20" s="763"/>
      <c r="BP20" s="763"/>
      <c r="BQ20" s="763"/>
      <c r="BR20" s="763"/>
      <c r="BS20" s="763"/>
      <c r="BT20" s="763"/>
      <c r="BU20" s="763"/>
      <c r="BV20" s="763"/>
      <c r="BW20" s="763"/>
      <c r="BX20" s="763"/>
      <c r="BY20" s="763"/>
      <c r="BZ20" s="763"/>
      <c r="CA20" s="763"/>
      <c r="CB20" s="763"/>
      <c r="CC20" s="763"/>
      <c r="CD20" s="763"/>
      <c r="CE20" s="763"/>
      <c r="CF20" s="763"/>
      <c r="CG20" s="763"/>
      <c r="CH20" s="763"/>
      <c r="CI20" s="763"/>
      <c r="CJ20" s="763"/>
      <c r="CK20" s="763"/>
      <c r="CL20" s="763"/>
      <c r="CM20" s="763"/>
      <c r="CN20" s="763"/>
      <c r="CO20" s="763"/>
      <c r="CP20" s="763"/>
      <c r="CQ20" s="763"/>
      <c r="CR20" s="763"/>
      <c r="CS20" s="763"/>
      <c r="CT20" s="763"/>
      <c r="CU20" s="763"/>
      <c r="CV20" s="763"/>
      <c r="CW20" s="763"/>
      <c r="CX20" s="763"/>
      <c r="CY20" s="763"/>
      <c r="CZ20" s="763"/>
      <c r="DA20" s="763"/>
      <c r="DB20" s="763"/>
      <c r="DC20" s="763"/>
      <c r="DD20" s="763"/>
      <c r="DE20" s="763"/>
      <c r="DF20" s="763"/>
      <c r="DG20" s="763"/>
      <c r="DH20" s="763"/>
      <c r="DI20" s="763"/>
      <c r="DJ20" s="763"/>
      <c r="DK20" s="763"/>
      <c r="DL20" s="763"/>
      <c r="DM20" s="763"/>
      <c r="DN20" s="763"/>
      <c r="DO20" s="763"/>
      <c r="DP20" s="763"/>
      <c r="DQ20" s="763"/>
      <c r="DR20" s="763"/>
      <c r="DS20" s="763"/>
      <c r="DT20" s="763"/>
      <c r="DU20" s="763"/>
      <c r="DV20" s="763"/>
      <c r="DW20" s="763"/>
      <c r="DX20" s="763"/>
      <c r="DY20" s="763"/>
      <c r="DZ20" s="763"/>
      <c r="EA20" s="763"/>
      <c r="EB20" s="763"/>
    </row>
    <row r="21" spans="1:134" s="899" customFormat="1" ht="14.1" customHeight="1" x14ac:dyDescent="0.2">
      <c r="A21" s="426"/>
      <c r="B21" s="1320"/>
      <c r="C21" s="451" t="s">
        <v>1194</v>
      </c>
      <c r="D21" s="1333" t="s">
        <v>1195</v>
      </c>
      <c r="E21" s="1334"/>
      <c r="F21" s="701"/>
      <c r="G21" s="702" t="s">
        <v>1196</v>
      </c>
      <c r="H21" s="702"/>
      <c r="I21" s="704"/>
      <c r="J21" s="704"/>
      <c r="K21" s="704"/>
      <c r="L21" s="705"/>
      <c r="M21" s="706">
        <f t="shared" si="6"/>
        <v>0</v>
      </c>
      <c r="N21" s="784">
        <f t="shared" si="3"/>
        <v>0</v>
      </c>
      <c r="O21" s="707">
        <v>5.2499999999999998E-2</v>
      </c>
      <c r="P21" s="708">
        <f t="shared" si="4"/>
        <v>0</v>
      </c>
      <c r="Q21" s="709">
        <f t="shared" si="5"/>
        <v>0</v>
      </c>
      <c r="R21" s="1016"/>
      <c r="S21" s="1016"/>
      <c r="T21" s="1016"/>
      <c r="U21" s="1016"/>
      <c r="V21" s="1030">
        <f t="shared" si="0"/>
        <v>0</v>
      </c>
      <c r="W21" s="1031">
        <f t="shared" si="1"/>
        <v>0</v>
      </c>
      <c r="X21" s="1031">
        <f t="shared" si="2"/>
        <v>0</v>
      </c>
      <c r="Y21" s="1331"/>
      <c r="Z21" s="1331"/>
      <c r="AA21" s="1338"/>
      <c r="AB21" s="1331"/>
      <c r="AC21" s="1328"/>
      <c r="AD21" s="1331"/>
      <c r="AE21" s="1331"/>
      <c r="AF21" s="763"/>
      <c r="AG21" s="763"/>
      <c r="AH21" s="763"/>
      <c r="AI21" s="763"/>
      <c r="AJ21" s="763"/>
      <c r="AK21" s="763"/>
      <c r="AL21" s="763"/>
      <c r="AM21" s="763"/>
      <c r="AN21" s="763"/>
      <c r="AO21" s="763"/>
      <c r="AP21" s="763"/>
      <c r="AQ21" s="763"/>
      <c r="AR21" s="763"/>
      <c r="AS21" s="763"/>
      <c r="AT21" s="763"/>
      <c r="AU21" s="763"/>
      <c r="AV21" s="763"/>
      <c r="AW21" s="763"/>
      <c r="AX21" s="763"/>
      <c r="AY21" s="763"/>
      <c r="AZ21" s="763"/>
      <c r="BA21" s="763"/>
      <c r="BB21" s="763"/>
      <c r="BC21" s="763"/>
      <c r="BD21" s="763"/>
      <c r="BE21" s="763"/>
      <c r="BF21" s="763"/>
      <c r="BG21" s="763"/>
      <c r="BH21" s="763"/>
      <c r="BI21" s="763"/>
      <c r="BJ21" s="763"/>
      <c r="BK21" s="763"/>
      <c r="BL21" s="763"/>
      <c r="BM21" s="763"/>
      <c r="BN21" s="763"/>
      <c r="BO21" s="763"/>
      <c r="BP21" s="763"/>
      <c r="BQ21" s="763"/>
      <c r="BR21" s="763"/>
      <c r="BS21" s="763"/>
      <c r="BT21" s="763"/>
      <c r="BU21" s="763"/>
      <c r="BV21" s="763"/>
      <c r="BW21" s="763"/>
      <c r="BX21" s="763"/>
      <c r="BY21" s="763"/>
      <c r="BZ21" s="763"/>
      <c r="CA21" s="763"/>
      <c r="CB21" s="763"/>
      <c r="CC21" s="763"/>
      <c r="CD21" s="763"/>
      <c r="CE21" s="763"/>
      <c r="CF21" s="763"/>
      <c r="CG21" s="763"/>
      <c r="CH21" s="763"/>
      <c r="CI21" s="763"/>
      <c r="CJ21" s="763"/>
      <c r="CK21" s="763"/>
      <c r="CL21" s="763"/>
      <c r="CM21" s="763"/>
      <c r="CN21" s="763"/>
      <c r="CO21" s="763"/>
      <c r="CP21" s="763"/>
      <c r="CQ21" s="763"/>
      <c r="CR21" s="763"/>
      <c r="CS21" s="763"/>
      <c r="CT21" s="763"/>
      <c r="CU21" s="763"/>
      <c r="CV21" s="763"/>
      <c r="CW21" s="763"/>
      <c r="CX21" s="763"/>
      <c r="CY21" s="763"/>
      <c r="CZ21" s="763"/>
      <c r="DA21" s="763"/>
      <c r="DB21" s="763"/>
      <c r="DC21" s="763"/>
      <c r="DD21" s="763"/>
      <c r="DE21" s="763"/>
      <c r="DF21" s="763"/>
      <c r="DG21" s="763"/>
      <c r="DH21" s="763"/>
      <c r="DI21" s="763"/>
      <c r="DJ21" s="763"/>
      <c r="DK21" s="763"/>
      <c r="DL21" s="763"/>
      <c r="DM21" s="763"/>
      <c r="DN21" s="763"/>
      <c r="DO21" s="763"/>
      <c r="DP21" s="763"/>
      <c r="DQ21" s="763"/>
      <c r="DR21" s="763"/>
      <c r="DS21" s="763"/>
      <c r="DT21" s="763"/>
      <c r="DU21" s="763"/>
      <c r="DV21" s="763"/>
      <c r="DW21" s="763"/>
      <c r="DX21" s="763"/>
      <c r="DY21" s="763"/>
      <c r="DZ21" s="763"/>
      <c r="EA21" s="763"/>
      <c r="EB21" s="763"/>
    </row>
    <row r="22" spans="1:134" s="899" customFormat="1" ht="14.1" customHeight="1" x14ac:dyDescent="0.2">
      <c r="A22" s="426"/>
      <c r="B22" s="1320"/>
      <c r="C22" s="451" t="s">
        <v>1197</v>
      </c>
      <c r="D22" s="1333" t="s">
        <v>1198</v>
      </c>
      <c r="E22" s="1334"/>
      <c r="F22" s="701"/>
      <c r="G22" s="702" t="s">
        <v>1199</v>
      </c>
      <c r="H22" s="702"/>
      <c r="I22" s="704"/>
      <c r="J22" s="704"/>
      <c r="K22" s="704"/>
      <c r="L22" s="705"/>
      <c r="M22" s="706">
        <f t="shared" si="6"/>
        <v>0</v>
      </c>
      <c r="N22" s="784">
        <f t="shared" si="3"/>
        <v>0</v>
      </c>
      <c r="O22" s="707">
        <v>0.06</v>
      </c>
      <c r="P22" s="708">
        <f t="shared" si="4"/>
        <v>0</v>
      </c>
      <c r="Q22" s="709">
        <f t="shared" si="5"/>
        <v>0</v>
      </c>
      <c r="R22" s="1016"/>
      <c r="S22" s="1016"/>
      <c r="T22" s="1016"/>
      <c r="U22" s="1016"/>
      <c r="V22" s="1030">
        <f t="shared" si="0"/>
        <v>0</v>
      </c>
      <c r="W22" s="1032">
        <f t="shared" si="1"/>
        <v>0</v>
      </c>
      <c r="X22" s="1031">
        <f t="shared" si="2"/>
        <v>0</v>
      </c>
      <c r="Y22" s="1331"/>
      <c r="Z22" s="1331"/>
      <c r="AA22" s="1338"/>
      <c r="AB22" s="1331"/>
      <c r="AC22" s="1328"/>
      <c r="AD22" s="1331"/>
      <c r="AE22" s="1331"/>
      <c r="AF22" s="763"/>
      <c r="AG22" s="763"/>
      <c r="AH22" s="763"/>
      <c r="AI22" s="763"/>
      <c r="AJ22" s="763"/>
      <c r="AK22" s="763"/>
      <c r="AL22" s="763"/>
      <c r="AM22" s="763"/>
      <c r="AN22" s="763"/>
      <c r="AO22" s="763"/>
      <c r="AP22" s="763"/>
      <c r="AQ22" s="763"/>
      <c r="AR22" s="763"/>
      <c r="AS22" s="763"/>
      <c r="AT22" s="763"/>
      <c r="AU22" s="763"/>
      <c r="AV22" s="763"/>
      <c r="AW22" s="763"/>
      <c r="AX22" s="763"/>
      <c r="AY22" s="763"/>
      <c r="AZ22" s="763"/>
      <c r="BA22" s="763"/>
      <c r="BB22" s="763"/>
      <c r="BC22" s="763"/>
      <c r="BD22" s="763"/>
      <c r="BE22" s="763"/>
      <c r="BF22" s="763"/>
      <c r="BG22" s="763"/>
      <c r="BH22" s="763"/>
      <c r="BI22" s="763"/>
      <c r="BJ22" s="763"/>
      <c r="BK22" s="763"/>
      <c r="BL22" s="763"/>
      <c r="BM22" s="763"/>
      <c r="BN22" s="763"/>
      <c r="BO22" s="763"/>
      <c r="BP22" s="763"/>
      <c r="BQ22" s="763"/>
      <c r="BR22" s="763"/>
      <c r="BS22" s="763"/>
      <c r="BT22" s="763"/>
      <c r="BU22" s="763"/>
      <c r="BV22" s="763"/>
      <c r="BW22" s="763"/>
      <c r="BX22" s="763"/>
      <c r="BY22" s="763"/>
      <c r="BZ22" s="763"/>
      <c r="CA22" s="763"/>
      <c r="CB22" s="763"/>
      <c r="CC22" s="763"/>
      <c r="CD22" s="763"/>
      <c r="CE22" s="763"/>
      <c r="CF22" s="763"/>
      <c r="CG22" s="763"/>
      <c r="CH22" s="763"/>
      <c r="CI22" s="763"/>
      <c r="CJ22" s="763"/>
      <c r="CK22" s="763"/>
      <c r="CL22" s="763"/>
      <c r="CM22" s="763"/>
      <c r="CN22" s="763"/>
      <c r="CO22" s="763"/>
      <c r="CP22" s="763"/>
      <c r="CQ22" s="763"/>
      <c r="CR22" s="763"/>
      <c r="CS22" s="763"/>
      <c r="CT22" s="763"/>
      <c r="CU22" s="763"/>
      <c r="CV22" s="763"/>
      <c r="CW22" s="763"/>
      <c r="CX22" s="763"/>
      <c r="CY22" s="763"/>
      <c r="CZ22" s="763"/>
      <c r="DA22" s="763"/>
      <c r="DB22" s="763"/>
      <c r="DC22" s="763"/>
      <c r="DD22" s="763"/>
      <c r="DE22" s="763"/>
      <c r="DF22" s="763"/>
      <c r="DG22" s="763"/>
      <c r="DH22" s="763"/>
      <c r="DI22" s="763"/>
      <c r="DJ22" s="763"/>
      <c r="DK22" s="763"/>
      <c r="DL22" s="763"/>
      <c r="DM22" s="763"/>
      <c r="DN22" s="763"/>
      <c r="DO22" s="763"/>
      <c r="DP22" s="763"/>
      <c r="DQ22" s="763"/>
      <c r="DR22" s="763"/>
      <c r="DS22" s="763"/>
      <c r="DT22" s="763"/>
      <c r="DU22" s="763"/>
      <c r="DV22" s="763"/>
      <c r="DW22" s="763"/>
      <c r="DX22" s="763"/>
      <c r="DY22" s="763"/>
      <c r="DZ22" s="763"/>
      <c r="EA22" s="763"/>
      <c r="EB22" s="763"/>
    </row>
    <row r="23" spans="1:134" s="899" customFormat="1" ht="14.1" customHeight="1" x14ac:dyDescent="0.2">
      <c r="A23" s="426"/>
      <c r="B23" s="1320"/>
      <c r="C23" s="451"/>
      <c r="D23" s="1333" t="s">
        <v>1200</v>
      </c>
      <c r="E23" s="1334"/>
      <c r="F23" s="701"/>
      <c r="G23" s="702" t="s">
        <v>1201</v>
      </c>
      <c r="H23" s="702"/>
      <c r="I23" s="704"/>
      <c r="J23" s="704"/>
      <c r="K23" s="704"/>
      <c r="L23" s="705"/>
      <c r="M23" s="706">
        <f t="shared" si="6"/>
        <v>0</v>
      </c>
      <c r="N23" s="784">
        <f t="shared" si="3"/>
        <v>0</v>
      </c>
      <c r="O23" s="707">
        <v>0.08</v>
      </c>
      <c r="P23" s="708">
        <f t="shared" si="4"/>
        <v>0</v>
      </c>
      <c r="Q23" s="709">
        <f t="shared" si="5"/>
        <v>0</v>
      </c>
      <c r="R23" s="1016"/>
      <c r="S23" s="1016"/>
      <c r="T23" s="1016"/>
      <c r="U23" s="1016"/>
      <c r="V23" s="1030">
        <f t="shared" si="0"/>
        <v>0</v>
      </c>
      <c r="W23" s="1031">
        <f t="shared" si="1"/>
        <v>0</v>
      </c>
      <c r="X23" s="1031">
        <f t="shared" si="2"/>
        <v>0</v>
      </c>
      <c r="Y23" s="1331"/>
      <c r="Z23" s="1331"/>
      <c r="AA23" s="1338"/>
      <c r="AB23" s="1331"/>
      <c r="AC23" s="1328"/>
      <c r="AD23" s="1331"/>
      <c r="AE23" s="1331"/>
      <c r="AF23" s="763"/>
      <c r="AG23" s="763"/>
      <c r="AH23" s="763"/>
      <c r="AI23" s="763"/>
      <c r="AJ23" s="763"/>
      <c r="AK23" s="763"/>
      <c r="AL23" s="763"/>
      <c r="AM23" s="763"/>
      <c r="AN23" s="763"/>
      <c r="AO23" s="763"/>
      <c r="AP23" s="763"/>
      <c r="AQ23" s="763"/>
      <c r="AR23" s="763"/>
      <c r="AS23" s="763"/>
      <c r="AT23" s="763"/>
      <c r="AU23" s="763"/>
      <c r="AV23" s="763"/>
      <c r="AW23" s="763"/>
      <c r="AX23" s="763"/>
      <c r="AY23" s="763"/>
      <c r="AZ23" s="763"/>
      <c r="BA23" s="763"/>
      <c r="BB23" s="763"/>
      <c r="BC23" s="763"/>
      <c r="BD23" s="763"/>
      <c r="BE23" s="763"/>
      <c r="BF23" s="763"/>
      <c r="BG23" s="763"/>
      <c r="BH23" s="763"/>
      <c r="BI23" s="763"/>
      <c r="BJ23" s="763"/>
      <c r="BK23" s="763"/>
      <c r="BL23" s="763"/>
      <c r="BM23" s="763"/>
      <c r="BN23" s="763"/>
      <c r="BO23" s="763"/>
      <c r="BP23" s="763"/>
      <c r="BQ23" s="763"/>
      <c r="BR23" s="763"/>
      <c r="BS23" s="763"/>
      <c r="BT23" s="763"/>
      <c r="BU23" s="763"/>
      <c r="BV23" s="763"/>
      <c r="BW23" s="763"/>
      <c r="BX23" s="763"/>
      <c r="BY23" s="763"/>
      <c r="BZ23" s="763"/>
      <c r="CA23" s="763"/>
      <c r="CB23" s="763"/>
      <c r="CC23" s="763"/>
      <c r="CD23" s="763"/>
      <c r="CE23" s="763"/>
      <c r="CF23" s="763"/>
      <c r="CG23" s="763"/>
      <c r="CH23" s="763"/>
      <c r="CI23" s="763"/>
      <c r="CJ23" s="763"/>
      <c r="CK23" s="763"/>
      <c r="CL23" s="763"/>
      <c r="CM23" s="763"/>
      <c r="CN23" s="763"/>
      <c r="CO23" s="763"/>
      <c r="CP23" s="763"/>
      <c r="CQ23" s="763"/>
      <c r="CR23" s="763"/>
      <c r="CS23" s="763"/>
      <c r="CT23" s="763"/>
      <c r="CU23" s="763"/>
      <c r="CV23" s="763"/>
      <c r="CW23" s="763"/>
      <c r="CX23" s="763"/>
      <c r="CY23" s="763"/>
      <c r="CZ23" s="763"/>
      <c r="DA23" s="763"/>
      <c r="DB23" s="763"/>
      <c r="DC23" s="763"/>
      <c r="DD23" s="763"/>
      <c r="DE23" s="763"/>
      <c r="DF23" s="763"/>
      <c r="DG23" s="763"/>
      <c r="DH23" s="763"/>
      <c r="DI23" s="763"/>
      <c r="DJ23" s="763"/>
      <c r="DK23" s="763"/>
      <c r="DL23" s="763"/>
      <c r="DM23" s="763"/>
      <c r="DN23" s="763"/>
      <c r="DO23" s="763"/>
      <c r="DP23" s="763"/>
      <c r="DQ23" s="763"/>
      <c r="DR23" s="763"/>
      <c r="DS23" s="763"/>
      <c r="DT23" s="763"/>
      <c r="DU23" s="763"/>
      <c r="DV23" s="763"/>
      <c r="DW23" s="763"/>
      <c r="DX23" s="763"/>
      <c r="DY23" s="763"/>
      <c r="DZ23" s="763"/>
      <c r="EA23" s="763"/>
      <c r="EB23" s="763"/>
    </row>
    <row r="24" spans="1:134" s="899" customFormat="1" ht="14.1" customHeight="1" thickBot="1" x14ac:dyDescent="0.25">
      <c r="A24" s="426"/>
      <c r="B24" s="1326"/>
      <c r="C24" s="728"/>
      <c r="D24" s="1372" t="s">
        <v>1197</v>
      </c>
      <c r="E24" s="1373"/>
      <c r="F24" s="768"/>
      <c r="G24" s="714" t="s">
        <v>1202</v>
      </c>
      <c r="H24" s="714"/>
      <c r="I24" s="729"/>
      <c r="J24" s="729"/>
      <c r="K24" s="729"/>
      <c r="L24" s="730"/>
      <c r="M24" s="715">
        <f t="shared" si="6"/>
        <v>0</v>
      </c>
      <c r="N24" s="785">
        <f t="shared" si="3"/>
        <v>0</v>
      </c>
      <c r="O24" s="731">
        <v>0.125</v>
      </c>
      <c r="P24" s="716">
        <f t="shared" si="4"/>
        <v>0</v>
      </c>
      <c r="Q24" s="717">
        <f t="shared" si="5"/>
        <v>0</v>
      </c>
      <c r="R24" s="1016"/>
      <c r="S24" s="1016"/>
      <c r="T24" s="1016"/>
      <c r="U24" s="1016"/>
      <c r="V24" s="1030">
        <f t="shared" si="0"/>
        <v>0</v>
      </c>
      <c r="W24" s="1031">
        <f t="shared" si="1"/>
        <v>0</v>
      </c>
      <c r="X24" s="1031">
        <f>IF(Q24&gt;P24,Q24-P24,0)</f>
        <v>0</v>
      </c>
      <c r="Y24" s="1332"/>
      <c r="Z24" s="1332"/>
      <c r="AA24" s="1339"/>
      <c r="AB24" s="1332"/>
      <c r="AC24" s="1329"/>
      <c r="AD24" s="1332"/>
      <c r="AE24" s="1332"/>
      <c r="AF24" s="763"/>
      <c r="AG24" s="763"/>
      <c r="AH24" s="763"/>
      <c r="AI24" s="763"/>
      <c r="AJ24" s="763"/>
      <c r="AK24" s="763"/>
      <c r="AL24" s="763"/>
      <c r="AM24" s="763"/>
      <c r="AN24" s="763"/>
      <c r="AO24" s="763"/>
      <c r="AP24" s="763"/>
      <c r="AQ24" s="763"/>
      <c r="AR24" s="763"/>
      <c r="AS24" s="763"/>
      <c r="AT24" s="763"/>
      <c r="AU24" s="763"/>
      <c r="AV24" s="763"/>
      <c r="AW24" s="763"/>
      <c r="AX24" s="763"/>
      <c r="AY24" s="763"/>
      <c r="AZ24" s="763"/>
      <c r="BA24" s="763"/>
      <c r="BB24" s="763"/>
      <c r="BC24" s="763"/>
      <c r="BD24" s="763"/>
      <c r="BE24" s="763"/>
      <c r="BF24" s="763"/>
      <c r="BG24" s="763"/>
      <c r="BH24" s="763"/>
      <c r="BI24" s="763"/>
      <c r="BJ24" s="763"/>
      <c r="BK24" s="763"/>
      <c r="BL24" s="763"/>
      <c r="BM24" s="763"/>
      <c r="BN24" s="763"/>
      <c r="BO24" s="763"/>
      <c r="BP24" s="763"/>
      <c r="BQ24" s="763"/>
      <c r="BR24" s="763"/>
      <c r="BS24" s="763"/>
      <c r="BT24" s="763"/>
      <c r="BU24" s="763"/>
      <c r="BV24" s="763"/>
      <c r="BW24" s="763"/>
      <c r="BX24" s="763"/>
      <c r="BY24" s="763"/>
      <c r="BZ24" s="763"/>
      <c r="CA24" s="763"/>
      <c r="CB24" s="763"/>
      <c r="CC24" s="763"/>
      <c r="CD24" s="763"/>
      <c r="CE24" s="763"/>
      <c r="CF24" s="763"/>
      <c r="CG24" s="763"/>
      <c r="CH24" s="763"/>
      <c r="CI24" s="763"/>
      <c r="CJ24" s="763"/>
      <c r="CK24" s="763"/>
      <c r="CL24" s="763"/>
      <c r="CM24" s="763"/>
      <c r="CN24" s="763"/>
      <c r="CO24" s="763"/>
      <c r="CP24" s="763"/>
      <c r="CQ24" s="763"/>
      <c r="CR24" s="763"/>
      <c r="CS24" s="763"/>
      <c r="CT24" s="763"/>
      <c r="CU24" s="763"/>
      <c r="CV24" s="763"/>
      <c r="CW24" s="763"/>
      <c r="CX24" s="763"/>
      <c r="CY24" s="763"/>
      <c r="CZ24" s="763"/>
      <c r="DA24" s="763"/>
      <c r="DB24" s="763"/>
      <c r="DC24" s="763"/>
      <c r="DD24" s="763"/>
      <c r="DE24" s="763"/>
      <c r="DF24" s="763"/>
      <c r="DG24" s="763"/>
      <c r="DH24" s="763"/>
      <c r="DI24" s="763"/>
      <c r="DJ24" s="763"/>
      <c r="DK24" s="763"/>
      <c r="DL24" s="763"/>
      <c r="DM24" s="763"/>
      <c r="DN24" s="763"/>
      <c r="DO24" s="763"/>
      <c r="DP24" s="763"/>
      <c r="DQ24" s="763"/>
      <c r="DR24" s="763"/>
      <c r="DS24" s="763"/>
      <c r="DT24" s="763"/>
      <c r="DU24" s="763"/>
      <c r="DV24" s="763"/>
      <c r="DW24" s="763"/>
      <c r="DX24" s="763"/>
      <c r="DY24" s="763"/>
      <c r="DZ24" s="763"/>
      <c r="EA24" s="763"/>
      <c r="EB24" s="763"/>
    </row>
    <row r="25" spans="1:134" s="905" customFormat="1" x14ac:dyDescent="0.2">
      <c r="A25" s="350"/>
      <c r="B25" s="732"/>
      <c r="C25" s="1345" t="s">
        <v>1411</v>
      </c>
      <c r="D25" s="1345"/>
      <c r="E25" s="1346"/>
      <c r="F25" s="775"/>
      <c r="G25" s="735" t="s">
        <v>1203</v>
      </c>
      <c r="H25" s="735"/>
      <c r="I25" s="736">
        <f t="shared" ref="I25:N25" si="7">SUM(I10:I24)</f>
        <v>0</v>
      </c>
      <c r="J25" s="736">
        <f t="shared" si="7"/>
        <v>0</v>
      </c>
      <c r="K25" s="736">
        <f t="shared" si="7"/>
        <v>0</v>
      </c>
      <c r="L25" s="736">
        <f t="shared" si="7"/>
        <v>0</v>
      </c>
      <c r="M25" s="736">
        <f t="shared" si="7"/>
        <v>0</v>
      </c>
      <c r="N25" s="787">
        <f t="shared" si="7"/>
        <v>0</v>
      </c>
      <c r="O25" s="737"/>
      <c r="P25" s="719">
        <f>SUM(P10:P24)</f>
        <v>0</v>
      </c>
      <c r="Q25" s="720">
        <f>SUM(Q10:Q24)</f>
        <v>0</v>
      </c>
      <c r="R25" s="1016"/>
      <c r="S25" s="1016"/>
      <c r="T25" s="1016"/>
      <c r="U25" s="1016"/>
      <c r="V25" s="1033"/>
      <c r="W25" s="904"/>
      <c r="X25" s="904"/>
      <c r="Y25" s="904"/>
      <c r="Z25" s="904"/>
      <c r="AA25" s="904"/>
      <c r="AB25" s="904"/>
      <c r="AC25" s="904"/>
      <c r="AD25" s="904"/>
      <c r="AE25" s="904"/>
      <c r="AF25" s="904"/>
      <c r="AG25" s="904"/>
      <c r="AH25" s="904"/>
      <c r="AI25" s="904"/>
      <c r="AJ25" s="904"/>
      <c r="AK25" s="904"/>
      <c r="AL25" s="904"/>
      <c r="AM25" s="904"/>
      <c r="AN25" s="904"/>
      <c r="AO25" s="904"/>
      <c r="AP25" s="904"/>
      <c r="AQ25" s="904"/>
      <c r="AR25" s="904"/>
      <c r="AS25" s="904"/>
      <c r="AT25" s="904"/>
      <c r="AU25" s="904"/>
      <c r="AV25" s="904"/>
      <c r="AW25" s="904"/>
      <c r="AX25" s="904"/>
      <c r="AY25" s="904"/>
      <c r="AZ25" s="904"/>
      <c r="BA25" s="904"/>
      <c r="BB25" s="904"/>
      <c r="BC25" s="904"/>
      <c r="BD25" s="904"/>
      <c r="BE25" s="904"/>
      <c r="BF25" s="904"/>
      <c r="BG25" s="904"/>
      <c r="BH25" s="904"/>
      <c r="BI25" s="904"/>
      <c r="BJ25" s="904"/>
      <c r="BK25" s="904"/>
      <c r="BL25" s="904"/>
      <c r="BM25" s="904"/>
      <c r="BN25" s="904"/>
      <c r="BO25" s="904"/>
      <c r="BP25" s="904"/>
      <c r="BQ25" s="904"/>
      <c r="BR25" s="904"/>
      <c r="BS25" s="904"/>
      <c r="BT25" s="904"/>
      <c r="BU25" s="904"/>
      <c r="BV25" s="904"/>
      <c r="BW25" s="904"/>
      <c r="BX25" s="904"/>
      <c r="BY25" s="904"/>
      <c r="BZ25" s="904"/>
      <c r="CA25" s="904"/>
      <c r="CB25" s="904"/>
      <c r="CC25" s="904"/>
      <c r="CD25" s="904"/>
      <c r="CE25" s="904"/>
      <c r="CF25" s="904"/>
      <c r="CG25" s="904"/>
      <c r="CH25" s="904"/>
      <c r="CI25" s="904"/>
      <c r="CJ25" s="904"/>
      <c r="CK25" s="904"/>
      <c r="CL25" s="904"/>
      <c r="CM25" s="904"/>
      <c r="CN25" s="904"/>
      <c r="CO25" s="904"/>
      <c r="CP25" s="904"/>
      <c r="CQ25" s="904"/>
      <c r="CR25" s="904"/>
      <c r="CS25" s="904"/>
      <c r="CT25" s="904"/>
      <c r="CU25" s="904"/>
      <c r="CV25" s="904"/>
      <c r="CW25" s="904"/>
      <c r="CX25" s="904"/>
      <c r="CY25" s="904"/>
      <c r="CZ25" s="904"/>
      <c r="DA25" s="904"/>
      <c r="DB25" s="904"/>
      <c r="DC25" s="904"/>
      <c r="DD25" s="904"/>
      <c r="DE25" s="904"/>
      <c r="DF25" s="904"/>
      <c r="DG25" s="904"/>
      <c r="DH25" s="904"/>
      <c r="DI25" s="904"/>
      <c r="DJ25" s="904"/>
      <c r="DK25" s="904"/>
      <c r="DL25" s="904"/>
      <c r="DM25" s="904"/>
      <c r="DN25" s="904"/>
      <c r="DO25" s="904"/>
      <c r="DP25" s="904"/>
      <c r="DQ25" s="904"/>
      <c r="DR25" s="904"/>
      <c r="DS25" s="904"/>
      <c r="DT25" s="904"/>
      <c r="DU25" s="904"/>
      <c r="DV25" s="904"/>
      <c r="DW25" s="904"/>
      <c r="DX25" s="904"/>
      <c r="DY25" s="904"/>
      <c r="DZ25" s="904"/>
      <c r="EA25" s="904"/>
      <c r="EB25" s="904"/>
    </row>
    <row r="26" spans="1:134" s="899" customFormat="1" ht="14.1" customHeight="1" x14ac:dyDescent="0.2">
      <c r="A26" s="426"/>
      <c r="B26" s="738"/>
      <c r="C26" s="1348" t="s">
        <v>1204</v>
      </c>
      <c r="D26" s="1348"/>
      <c r="E26" s="740"/>
      <c r="F26" s="739"/>
      <c r="G26" s="741" t="s">
        <v>1205</v>
      </c>
      <c r="H26" s="742"/>
      <c r="I26" s="743"/>
      <c r="J26" s="743"/>
      <c r="K26" s="743"/>
      <c r="L26" s="743"/>
      <c r="M26" s="743"/>
      <c r="N26" s="743"/>
      <c r="O26" s="744"/>
      <c r="P26" s="1350">
        <f>IF(P25&gt;Q25,P25-Q25,Q25-P25)</f>
        <v>0</v>
      </c>
      <c r="Q26" s="1351"/>
      <c r="R26" s="1034"/>
      <c r="S26" s="1034"/>
      <c r="T26" s="1034"/>
      <c r="U26" s="1034"/>
      <c r="V26" s="1035"/>
      <c r="W26" s="763"/>
      <c r="X26" s="763"/>
      <c r="Y26" s="763"/>
      <c r="Z26" s="763"/>
      <c r="AA26" s="763"/>
      <c r="AB26" s="763"/>
      <c r="AC26" s="763"/>
      <c r="AD26" s="763"/>
      <c r="AE26" s="763"/>
      <c r="AF26" s="763"/>
      <c r="AG26" s="763"/>
      <c r="AH26" s="763"/>
      <c r="AI26" s="763"/>
      <c r="AJ26" s="763"/>
      <c r="AK26" s="763"/>
      <c r="AL26" s="763"/>
      <c r="AM26" s="763"/>
      <c r="AN26" s="763"/>
      <c r="AO26" s="763"/>
      <c r="AP26" s="763"/>
      <c r="AQ26" s="763"/>
      <c r="AR26" s="763"/>
      <c r="AS26" s="763"/>
      <c r="AT26" s="763"/>
      <c r="AU26" s="763"/>
      <c r="AV26" s="763"/>
      <c r="AW26" s="763"/>
      <c r="AX26" s="763"/>
      <c r="AY26" s="763"/>
      <c r="AZ26" s="763"/>
      <c r="BA26" s="763"/>
      <c r="BB26" s="763"/>
      <c r="BC26" s="763"/>
      <c r="BD26" s="763"/>
      <c r="BE26" s="763"/>
      <c r="BF26" s="763"/>
      <c r="BG26" s="763"/>
      <c r="BH26" s="763"/>
      <c r="BI26" s="763"/>
      <c r="BJ26" s="763"/>
      <c r="BK26" s="763"/>
      <c r="BL26" s="763"/>
      <c r="BM26" s="763"/>
      <c r="BN26" s="763"/>
      <c r="BO26" s="763"/>
      <c r="BP26" s="763"/>
      <c r="BQ26" s="763"/>
      <c r="BR26" s="763"/>
      <c r="BS26" s="763"/>
      <c r="BT26" s="763"/>
      <c r="BU26" s="763"/>
      <c r="BV26" s="763"/>
      <c r="BW26" s="763"/>
      <c r="BX26" s="763"/>
      <c r="BY26" s="763"/>
      <c r="BZ26" s="763"/>
      <c r="CA26" s="763"/>
      <c r="CB26" s="763"/>
      <c r="CC26" s="763"/>
      <c r="CD26" s="763"/>
      <c r="CE26" s="763"/>
      <c r="CF26" s="763"/>
      <c r="CG26" s="763"/>
      <c r="CH26" s="763"/>
      <c r="CI26" s="763"/>
      <c r="CJ26" s="763"/>
      <c r="CK26" s="763"/>
      <c r="CL26" s="763"/>
      <c r="CM26" s="763"/>
      <c r="CN26" s="763"/>
      <c r="CO26" s="763"/>
      <c r="CP26" s="763"/>
      <c r="CQ26" s="763"/>
      <c r="CR26" s="763"/>
      <c r="CS26" s="763"/>
      <c r="CT26" s="763"/>
      <c r="CU26" s="763"/>
      <c r="CV26" s="763"/>
      <c r="CW26" s="763"/>
      <c r="CX26" s="763"/>
      <c r="CY26" s="763"/>
      <c r="CZ26" s="763"/>
      <c r="DA26" s="763"/>
      <c r="DB26" s="763"/>
      <c r="DC26" s="763"/>
      <c r="DD26" s="763"/>
      <c r="DE26" s="763"/>
      <c r="DF26" s="763"/>
      <c r="DG26" s="763"/>
      <c r="DH26" s="763"/>
      <c r="DI26" s="763"/>
      <c r="DJ26" s="763"/>
      <c r="DK26" s="763"/>
      <c r="DL26" s="763"/>
      <c r="DM26" s="763"/>
      <c r="DN26" s="763"/>
      <c r="DO26" s="763"/>
      <c r="DP26" s="763"/>
      <c r="DQ26" s="763"/>
      <c r="DR26" s="763"/>
      <c r="DS26" s="763"/>
      <c r="DT26" s="763"/>
      <c r="DU26" s="763"/>
      <c r="DV26" s="763"/>
      <c r="DW26" s="763"/>
      <c r="DX26" s="763"/>
      <c r="DY26" s="763"/>
      <c r="DZ26" s="763"/>
      <c r="EA26" s="763"/>
      <c r="EB26" s="763"/>
      <c r="EC26" s="763"/>
    </row>
    <row r="27" spans="1:134" s="899" customFormat="1" ht="14.1" customHeight="1" x14ac:dyDescent="0.2">
      <c r="A27" s="426"/>
      <c r="B27" s="745"/>
      <c r="C27" s="746"/>
      <c r="D27" s="746"/>
      <c r="E27" s="770"/>
      <c r="F27" s="746"/>
      <c r="G27" s="747"/>
      <c r="H27" s="747"/>
      <c r="I27" s="748"/>
      <c r="J27" s="748"/>
      <c r="K27" s="748"/>
      <c r="L27" s="748"/>
      <c r="M27" s="748"/>
      <c r="N27" s="748"/>
      <c r="O27" s="749"/>
      <c r="P27" s="750"/>
      <c r="Q27" s="751"/>
      <c r="R27" s="1034"/>
      <c r="S27" s="1034"/>
      <c r="T27" s="1034"/>
      <c r="U27" s="1034"/>
      <c r="V27" s="1035"/>
      <c r="W27" s="763"/>
      <c r="X27" s="763"/>
      <c r="Y27" s="763"/>
      <c r="Z27" s="763"/>
      <c r="AA27" s="763"/>
      <c r="AB27" s="763"/>
      <c r="AC27" s="763"/>
      <c r="AD27" s="763"/>
      <c r="AE27" s="763"/>
      <c r="AF27" s="763"/>
      <c r="AG27" s="763"/>
      <c r="AH27" s="763"/>
      <c r="AI27" s="763"/>
      <c r="AJ27" s="763"/>
      <c r="AK27" s="763"/>
      <c r="AL27" s="763"/>
      <c r="AM27" s="763"/>
      <c r="AN27" s="763"/>
      <c r="AO27" s="763"/>
      <c r="AP27" s="763"/>
      <c r="AQ27" s="763"/>
      <c r="AR27" s="763"/>
      <c r="AS27" s="763"/>
      <c r="AT27" s="763"/>
      <c r="AU27" s="763"/>
      <c r="AV27" s="763"/>
      <c r="AW27" s="763"/>
      <c r="AX27" s="763"/>
      <c r="AY27" s="763"/>
      <c r="AZ27" s="763"/>
      <c r="BA27" s="763"/>
      <c r="BB27" s="763"/>
      <c r="BC27" s="763"/>
      <c r="BD27" s="763"/>
      <c r="BE27" s="763"/>
      <c r="BF27" s="763"/>
      <c r="BG27" s="763"/>
      <c r="BH27" s="763"/>
      <c r="BI27" s="763"/>
      <c r="BJ27" s="763"/>
      <c r="BK27" s="763"/>
      <c r="BL27" s="763"/>
      <c r="BM27" s="763"/>
      <c r="BN27" s="763"/>
      <c r="BO27" s="763"/>
      <c r="BP27" s="763"/>
      <c r="BQ27" s="763"/>
      <c r="BR27" s="763"/>
      <c r="BS27" s="763"/>
      <c r="BT27" s="763"/>
      <c r="BU27" s="763"/>
      <c r="BV27" s="763"/>
      <c r="BW27" s="763"/>
      <c r="BX27" s="763"/>
      <c r="BY27" s="763"/>
      <c r="BZ27" s="763"/>
      <c r="CA27" s="763"/>
      <c r="CB27" s="763"/>
      <c r="CC27" s="763"/>
      <c r="CD27" s="763"/>
      <c r="CE27" s="763"/>
      <c r="CF27" s="763"/>
      <c r="CG27" s="763"/>
      <c r="CH27" s="763"/>
      <c r="CI27" s="763"/>
      <c r="CJ27" s="763"/>
      <c r="CK27" s="763"/>
      <c r="CL27" s="763"/>
      <c r="CM27" s="763"/>
      <c r="CN27" s="763"/>
      <c r="CO27" s="763"/>
      <c r="CP27" s="763"/>
      <c r="CQ27" s="763"/>
      <c r="CR27" s="763"/>
      <c r="CS27" s="763"/>
      <c r="CT27" s="763"/>
      <c r="CU27" s="763"/>
      <c r="CV27" s="763"/>
      <c r="CW27" s="763"/>
      <c r="CX27" s="763"/>
      <c r="CY27" s="763"/>
      <c r="CZ27" s="763"/>
      <c r="DA27" s="763"/>
      <c r="DB27" s="763"/>
      <c r="DC27" s="763"/>
      <c r="DD27" s="763"/>
      <c r="DE27" s="763"/>
      <c r="DF27" s="763"/>
      <c r="DG27" s="763"/>
      <c r="DH27" s="763"/>
      <c r="DI27" s="763"/>
      <c r="DJ27" s="763"/>
      <c r="DK27" s="763"/>
      <c r="DL27" s="763"/>
      <c r="DM27" s="763"/>
      <c r="DN27" s="763"/>
      <c r="DO27" s="763"/>
      <c r="DP27" s="763"/>
      <c r="DQ27" s="763"/>
      <c r="DR27" s="763"/>
      <c r="DS27" s="763"/>
      <c r="DT27" s="763"/>
      <c r="DU27" s="763"/>
      <c r="DV27" s="763"/>
      <c r="DW27" s="763"/>
      <c r="DX27" s="763"/>
      <c r="DY27" s="763"/>
      <c r="DZ27" s="763"/>
      <c r="EA27" s="763"/>
      <c r="EB27" s="763"/>
      <c r="EC27" s="763"/>
    </row>
    <row r="28" spans="1:134" s="899" customFormat="1" ht="18.75" customHeight="1" x14ac:dyDescent="0.2">
      <c r="A28" s="426"/>
      <c r="B28" s="1374" t="s">
        <v>350</v>
      </c>
      <c r="C28" s="1375"/>
      <c r="D28" s="1376"/>
      <c r="E28" s="752"/>
      <c r="F28" s="752"/>
      <c r="G28" s="752"/>
      <c r="H28" s="752"/>
      <c r="I28" s="1362" t="s">
        <v>1207</v>
      </c>
      <c r="J28" s="1363" t="s">
        <v>1208</v>
      </c>
      <c r="K28" s="1364"/>
      <c r="L28" s="1365"/>
      <c r="M28" s="1363" t="s">
        <v>1209</v>
      </c>
      <c r="N28" s="1364"/>
      <c r="O28" s="1365"/>
      <c r="P28" s="1340" t="s">
        <v>1210</v>
      </c>
      <c r="Q28" s="1342" t="s">
        <v>1211</v>
      </c>
      <c r="R28" s="1036"/>
      <c r="S28" s="1037"/>
      <c r="T28" s="1037"/>
      <c r="U28" s="1037"/>
      <c r="V28" s="1037"/>
      <c r="W28" s="1035"/>
      <c r="X28" s="763"/>
      <c r="Y28" s="763"/>
      <c r="Z28" s="763"/>
      <c r="AA28" s="1038"/>
      <c r="AB28" s="1039"/>
      <c r="AC28" s="763"/>
      <c r="AD28" s="763"/>
      <c r="AE28" s="763"/>
      <c r="AF28" s="763"/>
      <c r="AG28" s="763"/>
      <c r="AH28" s="763"/>
      <c r="AI28" s="763"/>
      <c r="AJ28" s="763"/>
      <c r="AK28" s="763"/>
      <c r="AL28" s="763"/>
      <c r="AM28" s="763"/>
      <c r="AN28" s="763"/>
      <c r="AO28" s="763"/>
      <c r="AP28" s="763"/>
      <c r="AQ28" s="763"/>
      <c r="AR28" s="763"/>
      <c r="AS28" s="763"/>
      <c r="AT28" s="763"/>
      <c r="AU28" s="763"/>
      <c r="AV28" s="763"/>
      <c r="AW28" s="763"/>
      <c r="AX28" s="763"/>
      <c r="AY28" s="763"/>
      <c r="AZ28" s="763"/>
      <c r="BA28" s="763"/>
      <c r="BB28" s="763"/>
      <c r="BC28" s="763"/>
      <c r="BD28" s="763"/>
      <c r="BE28" s="763"/>
      <c r="BF28" s="763"/>
      <c r="BG28" s="763"/>
      <c r="BH28" s="763"/>
      <c r="BI28" s="763"/>
      <c r="BJ28" s="763"/>
      <c r="BK28" s="763"/>
      <c r="BL28" s="763"/>
      <c r="BM28" s="763"/>
      <c r="BN28" s="763"/>
      <c r="BO28" s="763"/>
      <c r="BP28" s="763"/>
      <c r="BQ28" s="763"/>
      <c r="BR28" s="763"/>
      <c r="BS28" s="763"/>
      <c r="BT28" s="763"/>
      <c r="BU28" s="763"/>
      <c r="BV28" s="763"/>
      <c r="BW28" s="763"/>
      <c r="BX28" s="763"/>
      <c r="BY28" s="763"/>
      <c r="BZ28" s="763"/>
      <c r="CA28" s="763"/>
      <c r="CB28" s="763"/>
      <c r="CC28" s="763"/>
      <c r="CD28" s="763"/>
      <c r="CE28" s="763"/>
      <c r="CF28" s="763"/>
      <c r="CG28" s="763"/>
      <c r="CH28" s="763"/>
      <c r="CI28" s="763"/>
      <c r="CJ28" s="763"/>
      <c r="CK28" s="763"/>
      <c r="CL28" s="763"/>
      <c r="CM28" s="763"/>
      <c r="CN28" s="763"/>
      <c r="CO28" s="763"/>
      <c r="CP28" s="763"/>
      <c r="CQ28" s="763"/>
      <c r="CR28" s="763"/>
      <c r="CS28" s="763"/>
      <c r="CT28" s="763"/>
      <c r="CU28" s="763"/>
      <c r="CV28" s="763"/>
      <c r="CW28" s="763"/>
      <c r="CX28" s="763"/>
      <c r="CY28" s="763"/>
      <c r="CZ28" s="763"/>
      <c r="DA28" s="763"/>
      <c r="DB28" s="763"/>
      <c r="DC28" s="763"/>
      <c r="DD28" s="763"/>
      <c r="DE28" s="763"/>
      <c r="DF28" s="763"/>
      <c r="DG28" s="763"/>
      <c r="DH28" s="763"/>
      <c r="DI28" s="763"/>
      <c r="DJ28" s="763"/>
      <c r="DK28" s="763"/>
      <c r="DL28" s="763"/>
      <c r="DM28" s="763"/>
      <c r="DN28" s="763"/>
      <c r="DO28" s="763"/>
      <c r="DP28" s="763"/>
      <c r="DQ28" s="763"/>
      <c r="DR28" s="763"/>
      <c r="DS28" s="763"/>
      <c r="DT28" s="763"/>
      <c r="DU28" s="763"/>
      <c r="DV28" s="763"/>
      <c r="DW28" s="763"/>
      <c r="DX28" s="763"/>
      <c r="DY28" s="763"/>
      <c r="DZ28" s="763"/>
      <c r="EA28" s="763"/>
      <c r="EB28" s="763"/>
      <c r="EC28" s="763"/>
      <c r="ED28" s="763"/>
    </row>
    <row r="29" spans="1:134" s="899" customFormat="1" ht="19.5" customHeight="1" x14ac:dyDescent="0.2">
      <c r="A29" s="426"/>
      <c r="B29" s="1377"/>
      <c r="C29" s="1378"/>
      <c r="D29" s="1379"/>
      <c r="E29" s="754"/>
      <c r="F29" s="754"/>
      <c r="G29" s="754"/>
      <c r="H29" s="754"/>
      <c r="I29" s="1362"/>
      <c r="J29" s="753" t="s">
        <v>1212</v>
      </c>
      <c r="K29" s="753" t="s">
        <v>1213</v>
      </c>
      <c r="L29" s="753" t="s">
        <v>1214</v>
      </c>
      <c r="M29" s="755" t="s">
        <v>1215</v>
      </c>
      <c r="N29" s="755" t="s">
        <v>1216</v>
      </c>
      <c r="O29" s="755" t="s">
        <v>1217</v>
      </c>
      <c r="P29" s="1341"/>
      <c r="Q29" s="1343"/>
      <c r="R29" s="1036"/>
      <c r="S29" s="1037"/>
      <c r="T29" s="1037"/>
      <c r="U29" s="1037"/>
      <c r="V29" s="1037"/>
      <c r="W29" s="1035"/>
      <c r="Z29" s="763"/>
      <c r="AA29" s="1038"/>
      <c r="AB29" s="1038"/>
      <c r="AC29" s="763"/>
      <c r="AD29" s="763"/>
      <c r="AE29" s="763"/>
      <c r="AF29" s="763"/>
      <c r="AG29" s="763"/>
      <c r="AH29" s="763"/>
      <c r="AI29" s="763"/>
      <c r="AJ29" s="763"/>
      <c r="AK29" s="763"/>
      <c r="AL29" s="763"/>
      <c r="AM29" s="763"/>
      <c r="AN29" s="763"/>
      <c r="AO29" s="763"/>
      <c r="AP29" s="763"/>
      <c r="AQ29" s="763"/>
      <c r="AR29" s="763"/>
      <c r="AS29" s="763"/>
      <c r="AT29" s="763"/>
      <c r="AU29" s="763"/>
      <c r="AV29" s="763"/>
      <c r="AW29" s="763"/>
      <c r="AX29" s="763"/>
      <c r="AY29" s="763"/>
      <c r="AZ29" s="763"/>
      <c r="BA29" s="763"/>
      <c r="BB29" s="763"/>
      <c r="BC29" s="763"/>
      <c r="BD29" s="763"/>
      <c r="BE29" s="763"/>
      <c r="BF29" s="763"/>
      <c r="BG29" s="763"/>
      <c r="BH29" s="763"/>
      <c r="BI29" s="763"/>
      <c r="BJ29" s="763"/>
      <c r="BK29" s="763"/>
      <c r="BL29" s="763"/>
      <c r="BM29" s="763"/>
      <c r="BN29" s="763"/>
      <c r="BO29" s="763"/>
      <c r="BP29" s="763"/>
      <c r="BQ29" s="763"/>
      <c r="BR29" s="763"/>
      <c r="BS29" s="763"/>
      <c r="BT29" s="763"/>
      <c r="BU29" s="763"/>
      <c r="BV29" s="763"/>
      <c r="BW29" s="763"/>
      <c r="BX29" s="763"/>
      <c r="BY29" s="763"/>
      <c r="BZ29" s="763"/>
      <c r="CA29" s="763"/>
      <c r="CB29" s="763"/>
      <c r="CC29" s="763"/>
      <c r="CD29" s="763"/>
      <c r="CE29" s="763"/>
      <c r="CF29" s="763"/>
      <c r="CG29" s="763"/>
      <c r="CH29" s="763"/>
      <c r="CI29" s="763"/>
      <c r="CJ29" s="763"/>
      <c r="CK29" s="763"/>
      <c r="CL29" s="763"/>
      <c r="CM29" s="763"/>
      <c r="CN29" s="763"/>
      <c r="CO29" s="763"/>
      <c r="CP29" s="763"/>
      <c r="CQ29" s="763"/>
      <c r="CR29" s="763"/>
      <c r="CS29" s="763"/>
      <c r="CT29" s="763"/>
      <c r="CU29" s="763"/>
      <c r="CV29" s="763"/>
      <c r="CW29" s="763"/>
      <c r="CX29" s="763"/>
      <c r="CY29" s="763"/>
      <c r="CZ29" s="763"/>
      <c r="DA29" s="763"/>
      <c r="DB29" s="763"/>
      <c r="DC29" s="763"/>
      <c r="DD29" s="763"/>
      <c r="DE29" s="763"/>
      <c r="DF29" s="763"/>
      <c r="DG29" s="763"/>
      <c r="DH29" s="763"/>
      <c r="DI29" s="763"/>
      <c r="DJ29" s="763"/>
      <c r="DK29" s="763"/>
      <c r="DL29" s="763"/>
      <c r="DM29" s="763"/>
      <c r="DN29" s="763"/>
      <c r="DO29" s="763"/>
      <c r="DP29" s="763"/>
      <c r="DQ29" s="763"/>
      <c r="DR29" s="763"/>
      <c r="DS29" s="763"/>
      <c r="DT29" s="763"/>
      <c r="DU29" s="763"/>
      <c r="DV29" s="763"/>
      <c r="DW29" s="763"/>
      <c r="DX29" s="763"/>
      <c r="DY29" s="763"/>
      <c r="DZ29" s="763"/>
      <c r="EA29" s="763"/>
      <c r="EB29" s="763"/>
      <c r="EC29" s="763"/>
      <c r="ED29" s="763"/>
    </row>
    <row r="30" spans="1:134" s="899" customFormat="1" ht="15.95" customHeight="1" thickBot="1" x14ac:dyDescent="0.25">
      <c r="A30" s="426"/>
      <c r="B30" s="1352" t="s">
        <v>1218</v>
      </c>
      <c r="C30" s="1353"/>
      <c r="D30" s="1354"/>
      <c r="E30" s="756"/>
      <c r="F30" s="756"/>
      <c r="G30" s="757" t="s">
        <v>1636</v>
      </c>
      <c r="H30" s="757"/>
      <c r="I30" s="716">
        <f>SUM(V10:V24)</f>
        <v>0</v>
      </c>
      <c r="J30" s="716">
        <f>Y10</f>
        <v>0</v>
      </c>
      <c r="K30" s="716">
        <f>Y14</f>
        <v>0</v>
      </c>
      <c r="L30" s="716">
        <f>Y17</f>
        <v>0</v>
      </c>
      <c r="M30" s="716">
        <f>AA10</f>
        <v>0</v>
      </c>
      <c r="N30" s="716">
        <f>AC14</f>
        <v>0</v>
      </c>
      <c r="O30" s="716">
        <f>AE10</f>
        <v>0</v>
      </c>
      <c r="P30" s="716">
        <f>P26</f>
        <v>0</v>
      </c>
      <c r="Q30" s="758">
        <f>SUM(I30:P30)</f>
        <v>0</v>
      </c>
      <c r="R30" s="1040"/>
      <c r="S30" s="1041"/>
      <c r="T30" s="1041"/>
      <c r="U30" s="1041"/>
      <c r="V30" s="1041"/>
      <c r="W30" s="1038"/>
      <c r="X30" s="1038"/>
      <c r="Y30" s="1038"/>
      <c r="Z30" s="1042"/>
      <c r="AA30" s="970"/>
      <c r="AC30" s="1038"/>
      <c r="AD30" s="1038"/>
      <c r="AE30" s="763"/>
      <c r="AF30" s="763"/>
      <c r="AG30" s="763"/>
      <c r="AH30" s="763"/>
      <c r="AI30" s="763"/>
      <c r="AJ30" s="763"/>
      <c r="AK30" s="763"/>
      <c r="AL30" s="763"/>
      <c r="AM30" s="763"/>
      <c r="AN30" s="763"/>
      <c r="AO30" s="763"/>
      <c r="AP30" s="763"/>
      <c r="AQ30" s="763"/>
      <c r="AR30" s="763"/>
      <c r="AS30" s="763"/>
      <c r="AT30" s="763"/>
      <c r="AU30" s="763"/>
      <c r="AV30" s="763"/>
      <c r="AW30" s="763"/>
      <c r="AX30" s="763"/>
      <c r="AY30" s="763"/>
      <c r="AZ30" s="763"/>
      <c r="BA30" s="763"/>
      <c r="BB30" s="763"/>
      <c r="BC30" s="763"/>
      <c r="BD30" s="763"/>
      <c r="BE30" s="763"/>
      <c r="BF30" s="763"/>
      <c r="BG30" s="763"/>
      <c r="BH30" s="763"/>
      <c r="BI30" s="763"/>
      <c r="BJ30" s="763"/>
      <c r="BK30" s="763"/>
      <c r="BL30" s="763"/>
      <c r="BM30" s="763"/>
      <c r="BN30" s="763"/>
      <c r="BO30" s="763"/>
      <c r="BP30" s="763"/>
      <c r="BQ30" s="763"/>
      <c r="BR30" s="763"/>
      <c r="BS30" s="763"/>
      <c r="BT30" s="763"/>
      <c r="BU30" s="763"/>
      <c r="BV30" s="763"/>
      <c r="BW30" s="763"/>
      <c r="BX30" s="763"/>
      <c r="BY30" s="763"/>
      <c r="BZ30" s="763"/>
      <c r="CA30" s="763"/>
      <c r="CB30" s="763"/>
      <c r="CC30" s="763"/>
      <c r="CD30" s="763"/>
      <c r="CE30" s="763"/>
      <c r="CF30" s="763"/>
      <c r="CG30" s="763"/>
      <c r="CH30" s="763"/>
      <c r="CI30" s="763"/>
      <c r="CJ30" s="763"/>
      <c r="CK30" s="763"/>
      <c r="CL30" s="763"/>
      <c r="CM30" s="763"/>
      <c r="CN30" s="763"/>
      <c r="CO30" s="763"/>
      <c r="CP30" s="763"/>
      <c r="CQ30" s="763"/>
      <c r="CR30" s="763"/>
      <c r="CS30" s="763"/>
      <c r="CT30" s="763"/>
      <c r="CU30" s="763"/>
      <c r="CV30" s="763"/>
      <c r="CW30" s="763"/>
      <c r="CX30" s="763"/>
      <c r="CY30" s="763"/>
      <c r="CZ30" s="763"/>
      <c r="DA30" s="763"/>
      <c r="DB30" s="763"/>
      <c r="DC30" s="763"/>
      <c r="DD30" s="763"/>
      <c r="DE30" s="763"/>
      <c r="DF30" s="763"/>
      <c r="DG30" s="763"/>
      <c r="DH30" s="763"/>
      <c r="DI30" s="763"/>
      <c r="DJ30" s="763"/>
      <c r="DK30" s="763"/>
      <c r="DL30" s="763"/>
      <c r="DM30" s="763"/>
      <c r="DN30" s="763"/>
      <c r="DO30" s="763"/>
      <c r="DP30" s="763"/>
      <c r="DQ30" s="763"/>
      <c r="DR30" s="763"/>
      <c r="DS30" s="763"/>
      <c r="DT30" s="763"/>
      <c r="DU30" s="763"/>
      <c r="DV30" s="763"/>
      <c r="DW30" s="763"/>
      <c r="DX30" s="763"/>
      <c r="DY30" s="763"/>
      <c r="DZ30" s="763"/>
      <c r="EA30" s="763"/>
      <c r="EB30" s="763"/>
      <c r="EC30" s="763"/>
      <c r="ED30" s="763"/>
    </row>
    <row r="31" spans="1:134" s="899" customFormat="1" ht="3.75" customHeight="1" x14ac:dyDescent="0.2">
      <c r="A31" s="426"/>
      <c r="B31" s="426"/>
      <c r="C31" s="426"/>
      <c r="D31" s="426"/>
      <c r="E31" s="426"/>
      <c r="F31" s="426"/>
      <c r="G31" s="759" t="s">
        <v>309</v>
      </c>
      <c r="H31" s="759"/>
      <c r="I31" s="426"/>
      <c r="J31" s="426"/>
      <c r="K31" s="760"/>
      <c r="L31" s="480"/>
      <c r="M31" s="480"/>
      <c r="N31" s="480"/>
      <c r="O31" s="480"/>
      <c r="P31" s="480"/>
      <c r="Q31" s="480"/>
      <c r="R31" s="763"/>
      <c r="S31" s="763"/>
      <c r="T31" s="763"/>
      <c r="U31" s="763"/>
      <c r="V31" s="1043"/>
      <c r="W31" s="763"/>
      <c r="X31" s="763"/>
      <c r="Y31" s="763"/>
      <c r="Z31" s="763"/>
      <c r="AA31" s="763"/>
      <c r="AB31" s="763"/>
      <c r="AC31" s="763"/>
      <c r="AD31" s="763"/>
      <c r="AE31" s="763"/>
      <c r="AF31" s="763"/>
      <c r="AG31" s="763"/>
      <c r="AH31" s="763"/>
      <c r="AI31" s="763"/>
      <c r="AJ31" s="763"/>
      <c r="AK31" s="763"/>
      <c r="AL31" s="763"/>
      <c r="AM31" s="763"/>
      <c r="AN31" s="763"/>
      <c r="AO31" s="763"/>
      <c r="AP31" s="763"/>
      <c r="AQ31" s="763"/>
      <c r="AR31" s="763"/>
      <c r="AS31" s="763"/>
      <c r="AT31" s="763"/>
      <c r="AU31" s="763"/>
      <c r="AV31" s="763"/>
      <c r="AW31" s="763"/>
      <c r="AX31" s="763"/>
      <c r="AY31" s="763"/>
      <c r="AZ31" s="763"/>
      <c r="BA31" s="763"/>
      <c r="BB31" s="763"/>
      <c r="BC31" s="763"/>
      <c r="BD31" s="763"/>
      <c r="BE31" s="763"/>
      <c r="BF31" s="763"/>
      <c r="BG31" s="763"/>
      <c r="BH31" s="763"/>
      <c r="BI31" s="763"/>
      <c r="BJ31" s="763"/>
      <c r="BK31" s="763"/>
      <c r="BL31" s="763"/>
      <c r="BM31" s="763"/>
      <c r="BN31" s="763"/>
      <c r="BO31" s="763"/>
      <c r="BP31" s="763"/>
      <c r="BQ31" s="763"/>
      <c r="BR31" s="763"/>
      <c r="BS31" s="763"/>
      <c r="BT31" s="763"/>
      <c r="BU31" s="763"/>
      <c r="BV31" s="763"/>
      <c r="BW31" s="763"/>
      <c r="BX31" s="763"/>
      <c r="BY31" s="763"/>
      <c r="BZ31" s="763"/>
      <c r="CA31" s="763"/>
      <c r="CB31" s="763"/>
      <c r="CC31" s="763"/>
      <c r="CD31" s="763"/>
      <c r="CE31" s="763"/>
      <c r="CF31" s="763"/>
      <c r="CG31" s="763"/>
      <c r="CH31" s="763"/>
      <c r="CI31" s="763"/>
      <c r="CJ31" s="763"/>
      <c r="CK31" s="763"/>
      <c r="CL31" s="763"/>
      <c r="CM31" s="763"/>
      <c r="CN31" s="763"/>
      <c r="CO31" s="763"/>
      <c r="CP31" s="763"/>
      <c r="CQ31" s="763"/>
      <c r="CR31" s="763"/>
      <c r="CS31" s="763"/>
      <c r="CT31" s="763"/>
      <c r="CU31" s="763"/>
      <c r="CV31" s="763"/>
      <c r="CW31" s="763"/>
      <c r="CX31" s="763"/>
      <c r="CY31" s="763"/>
      <c r="CZ31" s="763"/>
      <c r="DA31" s="763"/>
      <c r="DB31" s="763"/>
      <c r="DC31" s="763"/>
      <c r="DD31" s="763"/>
      <c r="DE31" s="763"/>
      <c r="DF31" s="763"/>
      <c r="DG31" s="763"/>
      <c r="DH31" s="763"/>
      <c r="DI31" s="763"/>
      <c r="DJ31" s="763"/>
      <c r="DK31" s="763"/>
      <c r="DL31" s="763"/>
      <c r="DM31" s="763"/>
      <c r="DN31" s="763"/>
      <c r="DO31" s="763"/>
      <c r="DP31" s="763"/>
      <c r="DQ31" s="763"/>
      <c r="DR31" s="763"/>
      <c r="DS31" s="763"/>
      <c r="DT31" s="763"/>
      <c r="DU31" s="763"/>
      <c r="DV31" s="763"/>
      <c r="DW31" s="763"/>
      <c r="DX31" s="763"/>
      <c r="DY31" s="763"/>
      <c r="DZ31" s="763"/>
      <c r="EA31" s="763"/>
    </row>
    <row r="32" spans="1:134" s="899" customFormat="1" ht="45.75" customHeight="1" x14ac:dyDescent="0.2">
      <c r="A32" s="533" t="s">
        <v>494</v>
      </c>
      <c r="B32" s="1276" t="s">
        <v>1219</v>
      </c>
      <c r="C32" s="1276"/>
      <c r="D32" s="1276"/>
      <c r="E32" s="1276"/>
      <c r="F32" s="1276"/>
      <c r="G32" s="1276"/>
      <c r="H32" s="761"/>
      <c r="I32" s="761"/>
      <c r="J32" s="771"/>
      <c r="K32" s="1355" t="s">
        <v>1220</v>
      </c>
      <c r="L32" s="1355"/>
      <c r="M32" s="1355"/>
      <c r="N32" s="1355"/>
      <c r="O32" s="549"/>
      <c r="P32" s="766"/>
      <c r="Q32" s="480"/>
      <c r="R32" s="763"/>
      <c r="S32" s="763"/>
      <c r="T32" s="763"/>
      <c r="U32" s="763"/>
      <c r="V32" s="763"/>
      <c r="W32" s="763"/>
      <c r="X32" s="763"/>
      <c r="Y32" s="763"/>
      <c r="Z32" s="763"/>
      <c r="AA32" s="763"/>
      <c r="AB32" s="763"/>
      <c r="AC32" s="763"/>
      <c r="AD32" s="763"/>
      <c r="AE32" s="763"/>
      <c r="AF32" s="763"/>
      <c r="AG32" s="763"/>
      <c r="AH32" s="763"/>
      <c r="AI32" s="763"/>
      <c r="AJ32" s="763"/>
      <c r="AK32" s="763"/>
      <c r="AL32" s="763"/>
      <c r="AM32" s="763"/>
      <c r="AN32" s="763"/>
      <c r="AO32" s="763"/>
      <c r="AP32" s="763"/>
      <c r="AQ32" s="763"/>
      <c r="AR32" s="763"/>
      <c r="AS32" s="763"/>
      <c r="AT32" s="763"/>
      <c r="AU32" s="763"/>
      <c r="AV32" s="763"/>
      <c r="AW32" s="763"/>
      <c r="AX32" s="763"/>
      <c r="AY32" s="763"/>
      <c r="AZ32" s="763"/>
      <c r="BA32" s="763"/>
      <c r="BB32" s="763"/>
      <c r="BC32" s="763"/>
      <c r="BD32" s="763"/>
      <c r="BE32" s="763"/>
      <c r="BF32" s="763"/>
      <c r="BG32" s="763"/>
      <c r="BH32" s="763"/>
      <c r="BI32" s="763"/>
      <c r="BJ32" s="763"/>
      <c r="BK32" s="763"/>
      <c r="BL32" s="763"/>
      <c r="BM32" s="763"/>
      <c r="BN32" s="763"/>
      <c r="BO32" s="763"/>
      <c r="BP32" s="763"/>
      <c r="BQ32" s="763"/>
      <c r="BR32" s="763"/>
      <c r="BS32" s="763"/>
      <c r="BT32" s="763"/>
      <c r="BU32" s="763"/>
      <c r="BV32" s="763"/>
      <c r="BW32" s="763"/>
      <c r="BX32" s="763"/>
      <c r="BY32" s="763"/>
      <c r="BZ32" s="763"/>
      <c r="CA32" s="763"/>
      <c r="CB32" s="763"/>
      <c r="CC32" s="763"/>
      <c r="CD32" s="763"/>
      <c r="CE32" s="763"/>
      <c r="CF32" s="763"/>
      <c r="CG32" s="763"/>
      <c r="CH32" s="763"/>
      <c r="CI32" s="763"/>
      <c r="CJ32" s="763"/>
      <c r="CK32" s="763"/>
      <c r="CL32" s="763"/>
      <c r="CM32" s="763"/>
      <c r="CN32" s="763"/>
      <c r="CO32" s="763"/>
      <c r="CP32" s="763"/>
      <c r="CQ32" s="763"/>
      <c r="CR32" s="763"/>
      <c r="CS32" s="763"/>
      <c r="CT32" s="763"/>
      <c r="CU32" s="763"/>
      <c r="CV32" s="763"/>
      <c r="CW32" s="763"/>
      <c r="CX32" s="763"/>
      <c r="CY32" s="763"/>
      <c r="CZ32" s="763"/>
      <c r="DA32" s="763"/>
      <c r="DB32" s="763"/>
      <c r="DC32" s="763"/>
      <c r="DD32" s="763"/>
      <c r="DE32" s="763"/>
      <c r="DF32" s="763"/>
      <c r="DG32" s="763"/>
      <c r="DH32" s="763"/>
      <c r="DI32" s="763"/>
      <c r="DJ32" s="763"/>
      <c r="DK32" s="763"/>
      <c r="DL32" s="763"/>
      <c r="DM32" s="763"/>
      <c r="DN32" s="763"/>
      <c r="DO32" s="763"/>
      <c r="DP32" s="763"/>
      <c r="DQ32" s="763"/>
      <c r="DR32" s="763"/>
      <c r="DS32" s="763"/>
      <c r="DT32" s="763"/>
      <c r="DU32" s="763"/>
      <c r="DV32" s="763"/>
      <c r="DW32" s="763"/>
      <c r="DX32" s="763"/>
      <c r="DY32" s="763"/>
      <c r="DZ32" s="763"/>
      <c r="EA32" s="763"/>
    </row>
    <row r="33" spans="1:131" s="899" customFormat="1" ht="35.25" customHeight="1" x14ac:dyDescent="0.2">
      <c r="A33" s="533" t="s">
        <v>496</v>
      </c>
      <c r="B33" s="1276" t="s">
        <v>1221</v>
      </c>
      <c r="C33" s="1276"/>
      <c r="D33" s="1276"/>
      <c r="E33" s="1276"/>
      <c r="F33" s="1276"/>
      <c r="G33" s="1276"/>
      <c r="H33" s="761"/>
      <c r="I33" s="761"/>
      <c r="J33" s="772"/>
      <c r="K33" s="1366" t="s">
        <v>1222</v>
      </c>
      <c r="L33" s="1366" t="s">
        <v>1223</v>
      </c>
      <c r="M33" s="1366" t="s">
        <v>1224</v>
      </c>
      <c r="N33" s="1366" t="s">
        <v>1225</v>
      </c>
      <c r="O33" s="480"/>
      <c r="P33" s="766"/>
      <c r="Q33" s="480"/>
      <c r="R33" s="763"/>
      <c r="S33" s="763"/>
      <c r="T33" s="763"/>
      <c r="U33" s="763"/>
      <c r="V33" s="763"/>
      <c r="W33" s="763"/>
      <c r="X33" s="763"/>
      <c r="Y33" s="763"/>
      <c r="Z33" s="763"/>
      <c r="AA33" s="763"/>
      <c r="AB33" s="763"/>
      <c r="AC33" s="763"/>
      <c r="AD33" s="763"/>
      <c r="AE33" s="763"/>
      <c r="AF33" s="763"/>
      <c r="AG33" s="763"/>
      <c r="AH33" s="763"/>
      <c r="AI33" s="763"/>
      <c r="AJ33" s="763"/>
      <c r="AK33" s="763"/>
      <c r="AL33" s="763"/>
      <c r="AM33" s="763"/>
      <c r="AN33" s="763"/>
      <c r="AO33" s="763"/>
      <c r="AP33" s="763"/>
      <c r="AQ33" s="763"/>
      <c r="AR33" s="763"/>
      <c r="AS33" s="763"/>
      <c r="AT33" s="763"/>
      <c r="AU33" s="763"/>
      <c r="AV33" s="763"/>
      <c r="AW33" s="763"/>
      <c r="AX33" s="763"/>
      <c r="AY33" s="763"/>
      <c r="AZ33" s="763"/>
      <c r="BA33" s="763"/>
      <c r="BB33" s="763"/>
      <c r="BC33" s="763"/>
      <c r="BD33" s="763"/>
      <c r="BE33" s="763"/>
      <c r="BF33" s="763"/>
      <c r="BG33" s="763"/>
      <c r="BH33" s="763"/>
      <c r="BI33" s="763"/>
      <c r="BJ33" s="763"/>
      <c r="BK33" s="763"/>
      <c r="BL33" s="763"/>
      <c r="BM33" s="763"/>
      <c r="BN33" s="763"/>
      <c r="BO33" s="763"/>
      <c r="BP33" s="763"/>
      <c r="BQ33" s="763"/>
      <c r="BR33" s="763"/>
      <c r="BS33" s="763"/>
      <c r="BT33" s="763"/>
      <c r="BU33" s="763"/>
      <c r="BV33" s="763"/>
      <c r="BW33" s="763"/>
      <c r="BX33" s="763"/>
      <c r="BY33" s="763"/>
      <c r="BZ33" s="763"/>
      <c r="CA33" s="763"/>
      <c r="CB33" s="763"/>
      <c r="CC33" s="763"/>
      <c r="CD33" s="763"/>
      <c r="CE33" s="763"/>
      <c r="CF33" s="763"/>
      <c r="CG33" s="763"/>
      <c r="CH33" s="763"/>
      <c r="CI33" s="763"/>
      <c r="CJ33" s="763"/>
      <c r="CK33" s="763"/>
      <c r="CL33" s="763"/>
      <c r="CM33" s="763"/>
      <c r="CN33" s="763"/>
      <c r="CO33" s="763"/>
      <c r="CP33" s="763"/>
      <c r="CQ33" s="763"/>
      <c r="CR33" s="763"/>
      <c r="CS33" s="763"/>
      <c r="CT33" s="763"/>
      <c r="CU33" s="763"/>
      <c r="CV33" s="763"/>
      <c r="CW33" s="763"/>
      <c r="CX33" s="763"/>
      <c r="CY33" s="763"/>
      <c r="CZ33" s="763"/>
      <c r="DA33" s="763"/>
      <c r="DB33" s="763"/>
      <c r="DC33" s="763"/>
      <c r="DD33" s="763"/>
      <c r="DE33" s="763"/>
      <c r="DF33" s="763"/>
      <c r="DG33" s="763"/>
      <c r="DH33" s="763"/>
      <c r="DI33" s="763"/>
      <c r="DJ33" s="763"/>
      <c r="DK33" s="763"/>
      <c r="DL33" s="763"/>
      <c r="DM33" s="763"/>
      <c r="DN33" s="763"/>
      <c r="DO33" s="763"/>
      <c r="DP33" s="763"/>
      <c r="DQ33" s="763"/>
      <c r="DR33" s="763"/>
      <c r="DS33" s="763"/>
      <c r="DT33" s="763"/>
      <c r="DU33" s="763"/>
      <c r="DV33" s="763"/>
      <c r="DW33" s="763"/>
      <c r="DX33" s="763"/>
      <c r="DY33" s="763"/>
      <c r="DZ33" s="763"/>
      <c r="EA33" s="763"/>
    </row>
    <row r="34" spans="1:131" s="899" customFormat="1" ht="25.5" customHeight="1" x14ac:dyDescent="0.2">
      <c r="A34" s="533" t="s">
        <v>498</v>
      </c>
      <c r="B34" s="1276" t="s">
        <v>346</v>
      </c>
      <c r="C34" s="1276"/>
      <c r="D34" s="1276"/>
      <c r="E34" s="1276"/>
      <c r="F34" s="1276"/>
      <c r="G34" s="1276"/>
      <c r="H34" s="761"/>
      <c r="I34" s="761"/>
      <c r="J34" s="772"/>
      <c r="K34" s="1367"/>
      <c r="L34" s="1367"/>
      <c r="M34" s="1367"/>
      <c r="N34" s="1367"/>
      <c r="O34" s="480"/>
      <c r="P34" s="766"/>
      <c r="Q34" s="480"/>
      <c r="R34" s="763"/>
      <c r="S34" s="763"/>
      <c r="T34" s="763"/>
      <c r="U34" s="763"/>
      <c r="V34" s="763"/>
      <c r="W34" s="763"/>
      <c r="X34" s="763"/>
      <c r="Y34" s="763"/>
      <c r="Z34" s="763"/>
      <c r="AA34" s="763"/>
      <c r="AB34" s="763"/>
      <c r="AC34" s="763"/>
      <c r="AD34" s="763"/>
      <c r="AE34" s="763"/>
      <c r="AF34" s="763"/>
      <c r="AG34" s="763"/>
      <c r="AH34" s="763"/>
      <c r="AI34" s="763"/>
      <c r="AJ34" s="763"/>
      <c r="AK34" s="763"/>
      <c r="AL34" s="763"/>
      <c r="AM34" s="763"/>
      <c r="AN34" s="763"/>
      <c r="AO34" s="763"/>
      <c r="AP34" s="763"/>
      <c r="AQ34" s="763"/>
      <c r="AR34" s="763"/>
      <c r="AS34" s="763"/>
      <c r="AT34" s="763"/>
      <c r="AU34" s="763"/>
      <c r="AV34" s="763"/>
      <c r="AW34" s="763"/>
      <c r="AX34" s="763"/>
      <c r="AY34" s="763"/>
      <c r="AZ34" s="763"/>
      <c r="BA34" s="763"/>
      <c r="BB34" s="763"/>
      <c r="BC34" s="763"/>
      <c r="BD34" s="763"/>
      <c r="BE34" s="763"/>
      <c r="BF34" s="763"/>
      <c r="BG34" s="763"/>
      <c r="BH34" s="763"/>
      <c r="BI34" s="763"/>
      <c r="BJ34" s="763"/>
      <c r="BK34" s="763"/>
      <c r="BL34" s="763"/>
      <c r="BM34" s="763"/>
      <c r="BN34" s="763"/>
      <c r="BO34" s="763"/>
      <c r="BP34" s="763"/>
      <c r="BQ34" s="763"/>
      <c r="BR34" s="763"/>
      <c r="BS34" s="763"/>
      <c r="BT34" s="763"/>
      <c r="BU34" s="763"/>
      <c r="BV34" s="763"/>
      <c r="BW34" s="763"/>
      <c r="BX34" s="763"/>
      <c r="BY34" s="763"/>
      <c r="BZ34" s="763"/>
      <c r="CA34" s="763"/>
      <c r="CB34" s="763"/>
      <c r="CC34" s="763"/>
      <c r="CD34" s="763"/>
      <c r="CE34" s="763"/>
      <c r="CF34" s="763"/>
      <c r="CG34" s="763"/>
      <c r="CH34" s="763"/>
      <c r="CI34" s="763"/>
      <c r="CJ34" s="763"/>
      <c r="CK34" s="763"/>
      <c r="CL34" s="763"/>
      <c r="CM34" s="763"/>
      <c r="CN34" s="763"/>
      <c r="CO34" s="763"/>
      <c r="CP34" s="763"/>
      <c r="CQ34" s="763"/>
      <c r="CR34" s="763"/>
      <c r="CS34" s="763"/>
      <c r="CT34" s="763"/>
      <c r="CU34" s="763"/>
      <c r="CV34" s="763"/>
      <c r="CW34" s="763"/>
      <c r="CX34" s="763"/>
      <c r="CY34" s="763"/>
      <c r="CZ34" s="763"/>
      <c r="DA34" s="763"/>
      <c r="DB34" s="763"/>
      <c r="DC34" s="763"/>
      <c r="DD34" s="763"/>
      <c r="DE34" s="763"/>
      <c r="DF34" s="763"/>
      <c r="DG34" s="763"/>
      <c r="DH34" s="763"/>
      <c r="DI34" s="763"/>
      <c r="DJ34" s="763"/>
      <c r="DK34" s="763"/>
      <c r="DL34" s="763"/>
      <c r="DM34" s="763"/>
      <c r="DN34" s="763"/>
      <c r="DO34" s="763"/>
      <c r="DP34" s="763"/>
      <c r="DQ34" s="763"/>
      <c r="DR34" s="763"/>
      <c r="DS34" s="763"/>
      <c r="DT34" s="763"/>
      <c r="DU34" s="763"/>
      <c r="DV34" s="763"/>
      <c r="DW34" s="763"/>
      <c r="DX34" s="763"/>
      <c r="DY34" s="763"/>
      <c r="DZ34" s="763"/>
      <c r="EA34" s="763"/>
    </row>
    <row r="35" spans="1:131" s="899" customFormat="1" ht="13.5" customHeight="1" x14ac:dyDescent="0.2">
      <c r="A35" s="533" t="s">
        <v>500</v>
      </c>
      <c r="B35" s="1368" t="s">
        <v>347</v>
      </c>
      <c r="C35" s="1368"/>
      <c r="D35" s="1368"/>
      <c r="E35" s="1368"/>
      <c r="F35" s="1368"/>
      <c r="G35" s="1368"/>
      <c r="H35" s="764"/>
      <c r="I35" s="764"/>
      <c r="J35" s="773"/>
      <c r="K35" s="753">
        <v>1</v>
      </c>
      <c r="L35" s="765">
        <v>0.4</v>
      </c>
      <c r="M35" s="1369" t="s">
        <v>348</v>
      </c>
      <c r="N35" s="1369">
        <v>1</v>
      </c>
      <c r="O35" s="480"/>
      <c r="P35" s="766"/>
      <c r="Q35" s="480"/>
      <c r="R35" s="763"/>
      <c r="S35" s="763"/>
      <c r="T35" s="763"/>
      <c r="U35" s="763"/>
      <c r="V35" s="763"/>
      <c r="W35" s="763"/>
      <c r="X35" s="763"/>
      <c r="Y35" s="763"/>
      <c r="Z35" s="763"/>
      <c r="AA35" s="763"/>
      <c r="AB35" s="763"/>
      <c r="AC35" s="763"/>
      <c r="AD35" s="763"/>
      <c r="AE35" s="763"/>
      <c r="AF35" s="763"/>
      <c r="AG35" s="763"/>
      <c r="AH35" s="763"/>
      <c r="AI35" s="763"/>
      <c r="AJ35" s="763"/>
      <c r="AK35" s="763"/>
      <c r="AL35" s="763"/>
      <c r="AM35" s="763"/>
      <c r="AN35" s="763"/>
      <c r="AO35" s="763"/>
      <c r="AP35" s="763"/>
      <c r="AQ35" s="763"/>
      <c r="AR35" s="763"/>
      <c r="AS35" s="763"/>
      <c r="AT35" s="763"/>
      <c r="AU35" s="763"/>
      <c r="AV35" s="763"/>
      <c r="AW35" s="763"/>
      <c r="AX35" s="763"/>
      <c r="AY35" s="763"/>
      <c r="AZ35" s="763"/>
      <c r="BA35" s="763"/>
      <c r="BB35" s="763"/>
      <c r="BC35" s="763"/>
      <c r="BD35" s="763"/>
      <c r="BE35" s="763"/>
      <c r="BF35" s="763"/>
      <c r="BG35" s="763"/>
      <c r="BH35" s="763"/>
      <c r="BI35" s="763"/>
      <c r="BJ35" s="763"/>
      <c r="BK35" s="763"/>
      <c r="BL35" s="763"/>
      <c r="BM35" s="763"/>
      <c r="BN35" s="763"/>
      <c r="BO35" s="763"/>
      <c r="BP35" s="763"/>
      <c r="BQ35" s="763"/>
      <c r="BR35" s="763"/>
      <c r="BS35" s="763"/>
      <c r="BT35" s="763"/>
      <c r="BU35" s="763"/>
      <c r="BV35" s="763"/>
      <c r="BW35" s="763"/>
      <c r="BX35" s="763"/>
      <c r="BY35" s="763"/>
      <c r="BZ35" s="763"/>
      <c r="CA35" s="763"/>
      <c r="CB35" s="763"/>
      <c r="CC35" s="763"/>
      <c r="CD35" s="763"/>
      <c r="CE35" s="763"/>
      <c r="CF35" s="763"/>
      <c r="CG35" s="763"/>
      <c r="CH35" s="763"/>
      <c r="CI35" s="763"/>
      <c r="CJ35" s="763"/>
      <c r="CK35" s="763"/>
      <c r="CL35" s="763"/>
      <c r="CM35" s="763"/>
      <c r="CN35" s="763"/>
      <c r="CO35" s="763"/>
      <c r="CP35" s="763"/>
      <c r="CQ35" s="763"/>
      <c r="CR35" s="763"/>
      <c r="CS35" s="763"/>
      <c r="CT35" s="763"/>
      <c r="CU35" s="763"/>
      <c r="CV35" s="763"/>
      <c r="CW35" s="763"/>
      <c r="CX35" s="763"/>
      <c r="CY35" s="763"/>
      <c r="CZ35" s="763"/>
      <c r="DA35" s="763"/>
      <c r="DB35" s="763"/>
      <c r="DC35" s="763"/>
      <c r="DD35" s="763"/>
      <c r="DE35" s="763"/>
      <c r="DF35" s="763"/>
      <c r="DG35" s="763"/>
      <c r="DH35" s="763"/>
      <c r="DI35" s="763"/>
      <c r="DJ35" s="763"/>
      <c r="DK35" s="763"/>
      <c r="DL35" s="763"/>
      <c r="DM35" s="763"/>
      <c r="DN35" s="763"/>
      <c r="DO35" s="763"/>
      <c r="DP35" s="763"/>
      <c r="DQ35" s="763"/>
      <c r="DR35" s="763"/>
      <c r="DS35" s="763"/>
      <c r="DT35" s="763"/>
      <c r="DU35" s="763"/>
      <c r="DV35" s="763"/>
      <c r="DW35" s="763"/>
      <c r="DX35" s="763"/>
      <c r="DY35" s="763"/>
      <c r="DZ35" s="763"/>
      <c r="EA35" s="763"/>
    </row>
    <row r="36" spans="1:131" s="899" customFormat="1" ht="12" customHeight="1" x14ac:dyDescent="0.2">
      <c r="A36" s="426"/>
      <c r="B36" s="426"/>
      <c r="C36" s="426"/>
      <c r="D36" s="426"/>
      <c r="E36" s="426"/>
      <c r="F36" s="426"/>
      <c r="G36" s="426"/>
      <c r="H36" s="426"/>
      <c r="I36" s="426"/>
      <c r="J36" s="480"/>
      <c r="K36" s="753">
        <v>2</v>
      </c>
      <c r="L36" s="765">
        <v>0.3</v>
      </c>
      <c r="M36" s="1370"/>
      <c r="N36" s="1370"/>
      <c r="O36" s="480"/>
      <c r="P36" s="766"/>
      <c r="Q36" s="480"/>
      <c r="R36" s="763"/>
      <c r="S36" s="763"/>
      <c r="T36" s="763"/>
      <c r="U36" s="763"/>
      <c r="V36" s="763"/>
      <c r="W36" s="763"/>
      <c r="X36" s="763"/>
      <c r="Y36" s="763"/>
      <c r="Z36" s="763"/>
      <c r="AA36" s="763"/>
      <c r="AB36" s="763"/>
      <c r="AC36" s="763"/>
      <c r="AD36" s="763"/>
      <c r="AE36" s="763"/>
      <c r="AF36" s="763"/>
      <c r="AG36" s="763"/>
      <c r="AH36" s="763"/>
      <c r="AI36" s="763"/>
      <c r="AJ36" s="763"/>
      <c r="AK36" s="763"/>
      <c r="AL36" s="763"/>
      <c r="AM36" s="763"/>
      <c r="AN36" s="763"/>
      <c r="AO36" s="763"/>
      <c r="AP36" s="763"/>
      <c r="AQ36" s="763"/>
      <c r="AR36" s="763"/>
      <c r="AS36" s="763"/>
      <c r="AT36" s="763"/>
      <c r="AU36" s="763"/>
      <c r="AV36" s="763"/>
      <c r="AW36" s="763"/>
      <c r="AX36" s="763"/>
      <c r="AY36" s="763"/>
      <c r="AZ36" s="763"/>
      <c r="BA36" s="763"/>
      <c r="BB36" s="763"/>
      <c r="BC36" s="763"/>
      <c r="BD36" s="763"/>
      <c r="BE36" s="763"/>
      <c r="BF36" s="763"/>
      <c r="BG36" s="763"/>
      <c r="BH36" s="763"/>
      <c r="BI36" s="763"/>
      <c r="BJ36" s="763"/>
      <c r="BK36" s="763"/>
      <c r="BL36" s="763"/>
      <c r="BM36" s="763"/>
      <c r="BN36" s="763"/>
      <c r="BO36" s="763"/>
      <c r="BP36" s="763"/>
      <c r="BQ36" s="763"/>
      <c r="BR36" s="763"/>
      <c r="BS36" s="763"/>
      <c r="BT36" s="763"/>
      <c r="BU36" s="763"/>
      <c r="BV36" s="763"/>
      <c r="BW36" s="763"/>
      <c r="BX36" s="763"/>
      <c r="BY36" s="763"/>
      <c r="BZ36" s="763"/>
      <c r="CA36" s="763"/>
      <c r="CB36" s="763"/>
      <c r="CC36" s="763"/>
      <c r="CD36" s="763"/>
      <c r="CE36" s="763"/>
      <c r="CF36" s="763"/>
      <c r="CG36" s="763"/>
      <c r="CH36" s="763"/>
      <c r="CI36" s="763"/>
      <c r="CJ36" s="763"/>
      <c r="CK36" s="763"/>
      <c r="CL36" s="763"/>
      <c r="CM36" s="763"/>
      <c r="CN36" s="763"/>
      <c r="CO36" s="763"/>
      <c r="CP36" s="763"/>
      <c r="CQ36" s="763"/>
      <c r="CR36" s="763"/>
      <c r="CS36" s="763"/>
      <c r="CT36" s="763"/>
      <c r="CU36" s="763"/>
      <c r="CV36" s="763"/>
      <c r="CW36" s="763"/>
      <c r="CX36" s="763"/>
      <c r="CY36" s="763"/>
      <c r="CZ36" s="763"/>
      <c r="DA36" s="763"/>
      <c r="DB36" s="763"/>
      <c r="DC36" s="763"/>
      <c r="DD36" s="763"/>
      <c r="DE36" s="763"/>
      <c r="DF36" s="763"/>
      <c r="DG36" s="763"/>
      <c r="DH36" s="763"/>
      <c r="DI36" s="763"/>
      <c r="DJ36" s="763"/>
      <c r="DK36" s="763"/>
      <c r="DL36" s="763"/>
      <c r="DM36" s="763"/>
      <c r="DN36" s="763"/>
      <c r="DO36" s="763"/>
      <c r="DP36" s="763"/>
      <c r="DQ36" s="763"/>
      <c r="DR36" s="763"/>
      <c r="DS36" s="763"/>
      <c r="DT36" s="763"/>
      <c r="DU36" s="763"/>
      <c r="DV36" s="763"/>
      <c r="DW36" s="763"/>
      <c r="DX36" s="763"/>
      <c r="DY36" s="763"/>
      <c r="DZ36" s="763"/>
      <c r="EA36" s="763"/>
    </row>
    <row r="37" spans="1:131" s="899" customFormat="1" ht="12" customHeight="1" x14ac:dyDescent="0.2">
      <c r="A37" s="426"/>
      <c r="B37" s="426"/>
      <c r="C37" s="426"/>
      <c r="D37" s="426"/>
      <c r="E37" s="426"/>
      <c r="F37" s="426"/>
      <c r="G37" s="426"/>
      <c r="H37" s="426"/>
      <c r="I37" s="426"/>
      <c r="J37" s="480"/>
      <c r="K37" s="753">
        <v>3</v>
      </c>
      <c r="L37" s="765">
        <v>0.3</v>
      </c>
      <c r="M37" s="1371"/>
      <c r="N37" s="1371"/>
      <c r="O37" s="480"/>
      <c r="P37" s="766"/>
      <c r="Q37" s="480"/>
      <c r="R37" s="763"/>
      <c r="S37" s="763"/>
      <c r="T37" s="763"/>
      <c r="U37" s="763"/>
      <c r="V37" s="763"/>
      <c r="W37" s="763"/>
      <c r="X37" s="763"/>
      <c r="Y37" s="763"/>
      <c r="Z37" s="763"/>
      <c r="AA37" s="763"/>
      <c r="AB37" s="763"/>
      <c r="AC37" s="763"/>
      <c r="AD37" s="763"/>
      <c r="AE37" s="763"/>
      <c r="AF37" s="763"/>
      <c r="AG37" s="763"/>
      <c r="AH37" s="763"/>
      <c r="AI37" s="763"/>
      <c r="AJ37" s="763"/>
      <c r="AK37" s="763"/>
      <c r="AL37" s="763"/>
      <c r="AM37" s="763"/>
      <c r="AN37" s="763"/>
      <c r="AO37" s="763"/>
      <c r="AP37" s="763"/>
      <c r="AQ37" s="763"/>
      <c r="AR37" s="763"/>
      <c r="AS37" s="763"/>
      <c r="AT37" s="763"/>
      <c r="AU37" s="763"/>
      <c r="AV37" s="763"/>
      <c r="AW37" s="763"/>
      <c r="AX37" s="763"/>
      <c r="AY37" s="763"/>
      <c r="AZ37" s="763"/>
      <c r="BA37" s="763"/>
      <c r="BB37" s="763"/>
      <c r="BC37" s="763"/>
      <c r="BD37" s="763"/>
      <c r="BE37" s="763"/>
      <c r="BF37" s="763"/>
      <c r="BG37" s="763"/>
      <c r="BH37" s="763"/>
      <c r="BI37" s="763"/>
      <c r="BJ37" s="763"/>
      <c r="BK37" s="763"/>
      <c r="BL37" s="763"/>
      <c r="BM37" s="763"/>
      <c r="BN37" s="763"/>
      <c r="BO37" s="763"/>
      <c r="BP37" s="763"/>
      <c r="BQ37" s="763"/>
      <c r="BR37" s="763"/>
      <c r="BS37" s="763"/>
      <c r="BT37" s="763"/>
      <c r="BU37" s="763"/>
      <c r="BV37" s="763"/>
      <c r="BW37" s="763"/>
      <c r="BX37" s="763"/>
      <c r="BY37" s="763"/>
      <c r="BZ37" s="763"/>
      <c r="CA37" s="763"/>
      <c r="CB37" s="763"/>
      <c r="CC37" s="763"/>
      <c r="CD37" s="763"/>
      <c r="CE37" s="763"/>
      <c r="CF37" s="763"/>
      <c r="CG37" s="763"/>
      <c r="CH37" s="763"/>
      <c r="CI37" s="763"/>
      <c r="CJ37" s="763"/>
      <c r="CK37" s="763"/>
      <c r="CL37" s="763"/>
      <c r="CM37" s="763"/>
      <c r="CN37" s="763"/>
      <c r="CO37" s="763"/>
      <c r="CP37" s="763"/>
      <c r="CQ37" s="763"/>
      <c r="CR37" s="763"/>
      <c r="CS37" s="763"/>
      <c r="CT37" s="763"/>
      <c r="CU37" s="763"/>
      <c r="CV37" s="763"/>
      <c r="CW37" s="763"/>
      <c r="CX37" s="763"/>
      <c r="CY37" s="763"/>
      <c r="CZ37" s="763"/>
      <c r="DA37" s="763"/>
      <c r="DB37" s="763"/>
      <c r="DC37" s="763"/>
      <c r="DD37" s="763"/>
      <c r="DE37" s="763"/>
      <c r="DF37" s="763"/>
      <c r="DG37" s="763"/>
      <c r="DH37" s="763"/>
      <c r="DI37" s="763"/>
      <c r="DJ37" s="763"/>
      <c r="DK37" s="763"/>
      <c r="DL37" s="763"/>
      <c r="DM37" s="763"/>
      <c r="DN37" s="763"/>
      <c r="DO37" s="763"/>
      <c r="DP37" s="763"/>
      <c r="DQ37" s="763"/>
      <c r="DR37" s="763"/>
      <c r="DS37" s="763"/>
      <c r="DT37" s="763"/>
      <c r="DU37" s="763"/>
      <c r="DV37" s="763"/>
      <c r="DW37" s="763"/>
      <c r="DX37" s="763"/>
      <c r="DY37" s="763"/>
      <c r="DZ37" s="763"/>
      <c r="EA37" s="763"/>
    </row>
    <row r="38" spans="1:131" x14ac:dyDescent="0.2">
      <c r="A38" s="899"/>
      <c r="B38" s="899"/>
      <c r="C38" s="899"/>
      <c r="D38" s="899"/>
      <c r="E38" s="899"/>
      <c r="F38" s="899"/>
      <c r="G38" s="899"/>
      <c r="H38" s="899"/>
      <c r="I38" s="899"/>
      <c r="J38" s="763"/>
      <c r="K38" s="899"/>
      <c r="L38" s="899"/>
      <c r="M38" s="899"/>
      <c r="N38" s="899"/>
      <c r="O38" s="763"/>
      <c r="P38" s="762"/>
      <c r="Q38" s="763"/>
      <c r="R38" s="763"/>
      <c r="S38" s="763"/>
      <c r="T38" s="763"/>
      <c r="U38" s="763"/>
      <c r="V38" s="763"/>
      <c r="W38" s="763"/>
      <c r="X38" s="763"/>
      <c r="Y38" s="763"/>
      <c r="Z38" s="763"/>
      <c r="AA38" s="763"/>
      <c r="AB38" s="763"/>
      <c r="AC38" s="763"/>
      <c r="AD38" s="763"/>
      <c r="AE38" s="763"/>
      <c r="AF38" s="763"/>
    </row>
    <row r="39" spans="1:131" x14ac:dyDescent="0.2">
      <c r="A39" s="899"/>
      <c r="B39" s="899"/>
      <c r="C39" s="899"/>
      <c r="D39" s="899"/>
      <c r="E39" s="899"/>
      <c r="F39" s="899"/>
      <c r="G39" s="899"/>
      <c r="H39" s="899"/>
      <c r="I39" s="899"/>
      <c r="J39" s="763"/>
      <c r="K39" s="763"/>
      <c r="L39" s="763"/>
      <c r="M39" s="763"/>
      <c r="N39" s="763"/>
      <c r="O39" s="763"/>
      <c r="P39" s="762"/>
      <c r="Q39" s="763"/>
      <c r="R39" s="763"/>
      <c r="S39" s="763"/>
      <c r="T39" s="763"/>
      <c r="U39" s="763"/>
      <c r="V39" s="763"/>
      <c r="W39" s="763"/>
      <c r="X39" s="763"/>
      <c r="Y39" s="763"/>
      <c r="Z39" s="763"/>
      <c r="AA39" s="763"/>
      <c r="AB39" s="763"/>
      <c r="AC39" s="763"/>
      <c r="AD39" s="763"/>
      <c r="AE39" s="763"/>
      <c r="AF39" s="763"/>
    </row>
    <row r="40" spans="1:131" x14ac:dyDescent="0.2">
      <c r="A40" s="899"/>
      <c r="B40" s="899"/>
      <c r="C40" s="899"/>
      <c r="D40" s="899"/>
      <c r="E40" s="899"/>
      <c r="F40" s="899"/>
      <c r="G40" s="899"/>
      <c r="H40" s="899"/>
      <c r="I40" s="899"/>
      <c r="J40" s="763"/>
      <c r="K40" s="763"/>
      <c r="L40" s="763"/>
      <c r="M40" s="763"/>
      <c r="N40" s="763"/>
      <c r="O40" s="763"/>
      <c r="P40" s="762"/>
      <c r="Q40" s="763"/>
      <c r="R40" s="763"/>
      <c r="S40" s="763"/>
      <c r="T40" s="763"/>
      <c r="U40" s="763"/>
      <c r="V40" s="763"/>
      <c r="W40" s="763"/>
      <c r="X40" s="763"/>
      <c r="Y40" s="763"/>
      <c r="Z40" s="763"/>
      <c r="AA40" s="763"/>
      <c r="AB40" s="763"/>
      <c r="AC40" s="763"/>
      <c r="AD40" s="763"/>
      <c r="AE40" s="763"/>
      <c r="AF40" s="763"/>
    </row>
    <row r="41" spans="1:131" x14ac:dyDescent="0.2">
      <c r="A41" s="899"/>
      <c r="B41" s="899"/>
      <c r="C41" s="899"/>
      <c r="D41" s="899"/>
      <c r="E41" s="899"/>
      <c r="F41" s="899"/>
      <c r="G41" s="899"/>
      <c r="H41" s="899"/>
      <c r="I41" s="899"/>
      <c r="J41" s="763"/>
      <c r="K41" s="763"/>
      <c r="L41" s="763"/>
      <c r="M41" s="763"/>
      <c r="N41" s="763"/>
      <c r="O41" s="763"/>
      <c r="P41" s="762"/>
      <c r="Q41" s="763"/>
      <c r="R41" s="763"/>
      <c r="S41" s="763"/>
      <c r="T41" s="763"/>
      <c r="U41" s="763"/>
      <c r="V41" s="763"/>
      <c r="W41" s="763"/>
      <c r="X41" s="763"/>
      <c r="Y41" s="763"/>
      <c r="Z41" s="763"/>
      <c r="AA41" s="763"/>
      <c r="AB41" s="763"/>
      <c r="AC41" s="763"/>
      <c r="AD41" s="763"/>
      <c r="AE41" s="763"/>
      <c r="AF41" s="763"/>
    </row>
    <row r="42" spans="1:131" x14ac:dyDescent="0.2">
      <c r="A42" s="899"/>
      <c r="B42" s="899"/>
      <c r="C42" s="899"/>
      <c r="D42" s="899"/>
      <c r="E42" s="899"/>
      <c r="F42" s="899"/>
      <c r="G42" s="899"/>
      <c r="H42" s="899"/>
      <c r="I42" s="899"/>
      <c r="J42" s="763"/>
      <c r="K42" s="763"/>
      <c r="L42" s="763"/>
      <c r="M42" s="763"/>
      <c r="N42" s="763"/>
      <c r="O42" s="763"/>
      <c r="P42" s="762"/>
      <c r="Q42" s="763"/>
      <c r="R42" s="763"/>
      <c r="S42" s="763"/>
      <c r="T42" s="763"/>
      <c r="U42" s="763"/>
      <c r="V42" s="763"/>
      <c r="W42" s="763"/>
      <c r="X42" s="763"/>
      <c r="Y42" s="763"/>
      <c r="Z42" s="763"/>
      <c r="AA42" s="763"/>
      <c r="AB42" s="763"/>
      <c r="AC42" s="763"/>
      <c r="AD42" s="763"/>
      <c r="AE42" s="763"/>
      <c r="AF42" s="763"/>
    </row>
  </sheetData>
  <sheetProtection password="E16F" sheet="1" objects="1" scenarios="1"/>
  <mergeCells count="79">
    <mergeCell ref="N33:N34"/>
    <mergeCell ref="B34:G34"/>
    <mergeCell ref="B35:G35"/>
    <mergeCell ref="M35:M37"/>
    <mergeCell ref="N35:N37"/>
    <mergeCell ref="B33:G33"/>
    <mergeCell ref="K33:K34"/>
    <mergeCell ref="L33:L34"/>
    <mergeCell ref="M33:M34"/>
    <mergeCell ref="B30:D30"/>
    <mergeCell ref="B32:G32"/>
    <mergeCell ref="K32:N32"/>
    <mergeCell ref="B28:D29"/>
    <mergeCell ref="I28:I29"/>
    <mergeCell ref="J28:L28"/>
    <mergeCell ref="M28:O28"/>
    <mergeCell ref="B17:B24"/>
    <mergeCell ref="D17:E17"/>
    <mergeCell ref="P28:P29"/>
    <mergeCell ref="Q28:Q29"/>
    <mergeCell ref="D24:E24"/>
    <mergeCell ref="C25:E25"/>
    <mergeCell ref="C26:D26"/>
    <mergeCell ref="P26:Q26"/>
    <mergeCell ref="Y17:Y24"/>
    <mergeCell ref="Z17:Z24"/>
    <mergeCell ref="D18:E18"/>
    <mergeCell ref="D19:E19"/>
    <mergeCell ref="D20:E20"/>
    <mergeCell ref="D21:E21"/>
    <mergeCell ref="D22:E22"/>
    <mergeCell ref="D23:E23"/>
    <mergeCell ref="AA10:AA16"/>
    <mergeCell ref="AB10:AB13"/>
    <mergeCell ref="AC10:AC13"/>
    <mergeCell ref="AD10:AD13"/>
    <mergeCell ref="D15:E15"/>
    <mergeCell ref="D16:E16"/>
    <mergeCell ref="AE10:AE24"/>
    <mergeCell ref="D11:E11"/>
    <mergeCell ref="D12:E12"/>
    <mergeCell ref="D13:E13"/>
    <mergeCell ref="AB14:AB16"/>
    <mergeCell ref="AC14:AC24"/>
    <mergeCell ref="AD14:AD16"/>
    <mergeCell ref="AA17:AA24"/>
    <mergeCell ref="AB17:AB24"/>
    <mergeCell ref="AD17:AD24"/>
    <mergeCell ref="B10:B13"/>
    <mergeCell ref="D10:E10"/>
    <mergeCell ref="Y10:Y13"/>
    <mergeCell ref="Z10:Z13"/>
    <mergeCell ref="B14:B16"/>
    <mergeCell ref="D14:E14"/>
    <mergeCell ref="Y14:Y16"/>
    <mergeCell ref="Z14:Z16"/>
    <mergeCell ref="M2:O2"/>
    <mergeCell ref="O7:O9"/>
    <mergeCell ref="AD7:AD9"/>
    <mergeCell ref="AE7:AE9"/>
    <mergeCell ref="M8:N8"/>
    <mergeCell ref="Z7:Z9"/>
    <mergeCell ref="AA7:AA9"/>
    <mergeCell ref="AB7:AB9"/>
    <mergeCell ref="H7:H9"/>
    <mergeCell ref="I7:N7"/>
    <mergeCell ref="AC7:AC9"/>
    <mergeCell ref="P7:Q8"/>
    <mergeCell ref="V7:V9"/>
    <mergeCell ref="W7:X8"/>
    <mergeCell ref="Y7:Y9"/>
    <mergeCell ref="I8:J8"/>
    <mergeCell ref="K8:L8"/>
    <mergeCell ref="C4:D4"/>
    <mergeCell ref="B7:B9"/>
    <mergeCell ref="C7:E7"/>
    <mergeCell ref="G7:G9"/>
    <mergeCell ref="C8:C9"/>
    <mergeCell ref="D8:E9"/>
  </mergeCells>
  <phoneticPr fontId="36" type="noConversion"/>
  <dataValidations count="1">
    <dataValidation type="decimal" operator="greaterThanOrEqual" allowBlank="1" showInputMessage="1" showErrorMessage="1" sqref="I10:L24">
      <formula1>0</formula1>
    </dataValidation>
  </dataValidations>
  <pageMargins left="0.25" right="0.25" top="1" bottom="1" header="0.5" footer="0.5"/>
  <pageSetup paperSize="9" scale="74" orientation="landscape" r:id="rId1"/>
  <headerFooter alignWithMargins="0">
    <oddHeader>&amp;C&amp;"Arial,Bold"&amp;8 NEW RURAL BANK OF SAN LEONARDO, INC  [ 04-040656 ]
 As of: September 30, 2017</oddHeader>
  </headerFooter>
  <colBreaks count="1" manualBreakCount="1">
    <brk id="15" max="1048575" man="1"/>
  </colBreak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ED42"/>
  <sheetViews>
    <sheetView view="pageBreakPreview" zoomScale="60" zoomScaleNormal="70" workbookViewId="0">
      <selection activeCell="B1" sqref="B1"/>
    </sheetView>
  </sheetViews>
  <sheetFormatPr defaultRowHeight="12.75" x14ac:dyDescent="0.2"/>
  <cols>
    <col min="1" max="1" width="2" style="889" customWidth="1"/>
    <col min="2" max="2" width="6.7109375" style="889" customWidth="1"/>
    <col min="3" max="3" width="21.28515625" style="889" customWidth="1"/>
    <col min="4" max="4" width="17.85546875" style="889" customWidth="1"/>
    <col min="5" max="5" width="5" style="889" customWidth="1"/>
    <col min="6" max="6" width="12.42578125" style="889" hidden="1" customWidth="1"/>
    <col min="7" max="7" width="16.7109375" style="889" bestFit="1" customWidth="1"/>
    <col min="8" max="8" width="19.42578125" style="889" hidden="1" customWidth="1"/>
    <col min="9" max="9" width="15.85546875" style="889" customWidth="1"/>
    <col min="10" max="15" width="15.85546875" style="891" customWidth="1"/>
    <col min="16" max="16" width="15.85546875" style="1012" customWidth="1"/>
    <col min="17" max="17" width="15.85546875" style="891" customWidth="1"/>
    <col min="18" max="18" width="8" style="891" customWidth="1"/>
    <col min="19" max="21" width="10.140625" style="891" customWidth="1"/>
    <col min="22" max="25" width="10.140625" style="891" hidden="1" customWidth="1"/>
    <col min="26" max="31" width="9.140625" style="891" hidden="1" customWidth="1"/>
    <col min="32" max="32" width="8" style="891" customWidth="1"/>
  </cols>
  <sheetData>
    <row r="1" spans="1:132" s="889" customFormat="1" x14ac:dyDescent="0.2">
      <c r="A1" s="426"/>
      <c r="B1" s="426"/>
      <c r="C1" s="426"/>
      <c r="D1" s="426"/>
      <c r="E1" s="426"/>
      <c r="F1" s="426"/>
      <c r="G1" s="426"/>
      <c r="H1" s="426"/>
      <c r="I1" s="426"/>
      <c r="J1" s="480"/>
      <c r="K1" s="480"/>
      <c r="L1" s="480"/>
      <c r="M1" s="480"/>
      <c r="N1" s="480"/>
      <c r="O1" s="480"/>
      <c r="P1" s="766"/>
      <c r="Q1" s="480"/>
      <c r="R1" s="891"/>
      <c r="S1" s="891"/>
      <c r="T1" s="891"/>
      <c r="U1" s="891"/>
      <c r="V1" s="891"/>
      <c r="W1" s="891"/>
      <c r="X1" s="891"/>
      <c r="Y1" s="891"/>
      <c r="Z1" s="891"/>
      <c r="AA1" s="891"/>
      <c r="AB1" s="891"/>
      <c r="AC1" s="891"/>
      <c r="AD1" s="891"/>
      <c r="AE1" s="891"/>
      <c r="AF1" s="891"/>
      <c r="AG1" s="891"/>
      <c r="AH1" s="891"/>
      <c r="AI1" s="891"/>
      <c r="AJ1" s="891"/>
      <c r="AK1" s="891"/>
      <c r="AL1" s="891"/>
      <c r="AM1" s="891"/>
      <c r="AN1" s="891"/>
      <c r="AO1" s="891"/>
      <c r="AP1" s="891"/>
      <c r="AQ1" s="891"/>
      <c r="AR1" s="891"/>
      <c r="AS1" s="891"/>
      <c r="AT1" s="891"/>
      <c r="AU1" s="891"/>
      <c r="AV1" s="891"/>
      <c r="AW1" s="891"/>
      <c r="AX1" s="891"/>
      <c r="AY1" s="891"/>
      <c r="AZ1" s="891"/>
      <c r="BA1" s="891"/>
      <c r="BB1" s="891"/>
      <c r="BC1" s="891"/>
      <c r="BD1" s="891"/>
      <c r="BE1" s="891"/>
      <c r="BF1" s="891"/>
      <c r="BG1" s="891"/>
      <c r="BH1" s="891"/>
      <c r="BI1" s="891"/>
      <c r="BJ1" s="891"/>
      <c r="BK1" s="891"/>
      <c r="BL1" s="891"/>
      <c r="BM1" s="891"/>
      <c r="BN1" s="891"/>
      <c r="BO1" s="891"/>
      <c r="BP1" s="891"/>
      <c r="BQ1" s="891"/>
      <c r="BR1" s="891"/>
      <c r="BS1" s="891"/>
      <c r="BT1" s="891"/>
      <c r="BU1" s="891"/>
      <c r="BV1" s="891"/>
      <c r="BW1" s="891"/>
      <c r="BX1" s="891"/>
      <c r="BY1" s="891"/>
      <c r="BZ1" s="891"/>
      <c r="CA1" s="891"/>
      <c r="CB1" s="891"/>
      <c r="CC1" s="891"/>
      <c r="CD1" s="891"/>
      <c r="CE1" s="891"/>
      <c r="CF1" s="891"/>
      <c r="CG1" s="891"/>
      <c r="CH1" s="891"/>
      <c r="CI1" s="891"/>
      <c r="CJ1" s="891"/>
      <c r="CK1" s="891"/>
      <c r="CL1" s="891"/>
      <c r="CM1" s="891"/>
      <c r="CN1" s="891"/>
      <c r="CO1" s="891"/>
      <c r="CP1" s="891"/>
      <c r="CQ1" s="891"/>
      <c r="CR1" s="891"/>
      <c r="CS1" s="891"/>
      <c r="CT1" s="891"/>
      <c r="CU1" s="891"/>
      <c r="CV1" s="891"/>
      <c r="CW1" s="891"/>
      <c r="CX1" s="891"/>
      <c r="CY1" s="891"/>
      <c r="CZ1" s="891"/>
      <c r="DA1" s="891"/>
      <c r="DB1" s="891"/>
      <c r="DC1" s="891"/>
      <c r="DD1" s="891"/>
      <c r="DE1" s="891"/>
      <c r="DF1" s="891"/>
      <c r="DG1" s="891"/>
      <c r="DH1" s="891"/>
      <c r="DI1" s="891"/>
      <c r="DJ1" s="891"/>
      <c r="DK1" s="891"/>
      <c r="DL1" s="891"/>
      <c r="DM1" s="891"/>
      <c r="DN1" s="891"/>
      <c r="DO1" s="891"/>
      <c r="DP1" s="891"/>
      <c r="DQ1" s="891"/>
      <c r="DR1" s="891"/>
      <c r="DS1" s="891"/>
      <c r="DT1" s="891"/>
      <c r="DU1" s="891"/>
      <c r="DV1" s="891"/>
      <c r="DW1" s="891"/>
      <c r="DX1" s="891"/>
      <c r="DY1" s="891"/>
      <c r="DZ1" s="891"/>
      <c r="EA1" s="891"/>
    </row>
    <row r="2" spans="1:132" s="889" customFormat="1" ht="15.95" customHeight="1" x14ac:dyDescent="0.2">
      <c r="A2" s="426"/>
      <c r="B2" s="680" t="s">
        <v>356</v>
      </c>
      <c r="C2" s="680"/>
      <c r="D2" s="680"/>
      <c r="E2" s="680"/>
      <c r="F2" s="680"/>
      <c r="G2" s="680"/>
      <c r="H2" s="680"/>
      <c r="I2" s="680"/>
      <c r="J2" s="680"/>
      <c r="K2" s="680"/>
      <c r="L2" s="480"/>
      <c r="M2" s="1303"/>
      <c r="N2" s="1303"/>
      <c r="O2" s="1303"/>
      <c r="P2" s="766"/>
      <c r="Q2" s="480"/>
      <c r="R2" s="891"/>
      <c r="S2" s="891"/>
      <c r="T2" s="891"/>
      <c r="U2" s="891"/>
      <c r="V2" s="891"/>
      <c r="W2" s="891"/>
      <c r="X2" s="891"/>
      <c r="Y2" s="891"/>
      <c r="Z2" s="891"/>
      <c r="AA2" s="891"/>
      <c r="AB2" s="891"/>
      <c r="AC2" s="891"/>
      <c r="AD2" s="891"/>
      <c r="AE2" s="891"/>
      <c r="AF2" s="891"/>
      <c r="AG2" s="891"/>
      <c r="AH2" s="891"/>
      <c r="AI2" s="891"/>
      <c r="AJ2" s="891"/>
      <c r="AK2" s="891"/>
      <c r="AL2" s="891"/>
      <c r="AM2" s="891"/>
      <c r="AN2" s="891"/>
      <c r="AO2" s="891"/>
      <c r="AP2" s="891"/>
      <c r="AQ2" s="891"/>
      <c r="AR2" s="891"/>
      <c r="AS2" s="891"/>
      <c r="AT2" s="891"/>
      <c r="AU2" s="891"/>
      <c r="AV2" s="891"/>
      <c r="AW2" s="891"/>
      <c r="AX2" s="891"/>
      <c r="AY2" s="891"/>
      <c r="AZ2" s="891"/>
      <c r="BA2" s="891"/>
      <c r="BB2" s="891"/>
      <c r="BC2" s="891"/>
      <c r="BD2" s="891"/>
      <c r="BE2" s="891"/>
      <c r="BF2" s="891"/>
      <c r="BG2" s="891"/>
      <c r="BH2" s="891"/>
      <c r="BI2" s="891"/>
      <c r="BJ2" s="891"/>
      <c r="BK2" s="891"/>
      <c r="BL2" s="891"/>
      <c r="BM2" s="891"/>
      <c r="BN2" s="891"/>
      <c r="BO2" s="891"/>
      <c r="BP2" s="891"/>
      <c r="BQ2" s="891"/>
      <c r="BR2" s="891"/>
      <c r="BS2" s="891"/>
      <c r="BT2" s="891"/>
      <c r="BU2" s="891"/>
      <c r="BV2" s="891"/>
      <c r="BW2" s="891"/>
      <c r="BX2" s="891"/>
      <c r="BY2" s="891"/>
      <c r="BZ2" s="891"/>
      <c r="CA2" s="891"/>
      <c r="CB2" s="891"/>
      <c r="CC2" s="891"/>
      <c r="CD2" s="891"/>
      <c r="CE2" s="891"/>
      <c r="CF2" s="891"/>
      <c r="CG2" s="891"/>
      <c r="CH2" s="891"/>
      <c r="CI2" s="891"/>
      <c r="CJ2" s="891"/>
      <c r="CK2" s="891"/>
      <c r="CL2" s="891"/>
      <c r="CM2" s="891"/>
      <c r="CN2" s="891"/>
      <c r="CO2" s="891"/>
      <c r="CP2" s="891"/>
      <c r="CQ2" s="891"/>
      <c r="CR2" s="891"/>
      <c r="CS2" s="891"/>
      <c r="CT2" s="891"/>
      <c r="CU2" s="891"/>
      <c r="CV2" s="891"/>
      <c r="CW2" s="891"/>
      <c r="CX2" s="891"/>
      <c r="CY2" s="891"/>
      <c r="CZ2" s="891"/>
      <c r="DA2" s="891"/>
      <c r="DB2" s="891"/>
      <c r="DC2" s="891"/>
      <c r="DD2" s="891"/>
      <c r="DE2" s="891"/>
      <c r="DF2" s="891"/>
      <c r="DG2" s="891"/>
      <c r="DH2" s="891"/>
      <c r="DI2" s="891"/>
      <c r="DJ2" s="891"/>
      <c r="DK2" s="891"/>
      <c r="DL2" s="891"/>
      <c r="DM2" s="891"/>
      <c r="DN2" s="891"/>
      <c r="DO2" s="891"/>
      <c r="DP2" s="891"/>
      <c r="DQ2" s="891"/>
      <c r="DR2" s="891"/>
      <c r="DS2" s="891"/>
      <c r="DT2" s="891"/>
      <c r="DU2" s="891"/>
      <c r="DV2" s="891"/>
      <c r="DW2" s="891"/>
      <c r="DX2" s="891"/>
      <c r="DY2" s="891"/>
      <c r="DZ2" s="891"/>
      <c r="EA2" s="891"/>
    </row>
    <row r="3" spans="1:132" s="899" customFormat="1" ht="2.25" customHeight="1" x14ac:dyDescent="0.2">
      <c r="A3" s="426"/>
      <c r="B3" s="426"/>
      <c r="C3" s="426"/>
      <c r="D3" s="426"/>
      <c r="E3" s="426"/>
      <c r="F3" s="426"/>
      <c r="G3" s="426"/>
      <c r="H3" s="426"/>
      <c r="I3" s="426"/>
      <c r="J3" s="480"/>
      <c r="K3" s="480"/>
      <c r="L3" s="480"/>
      <c r="M3" s="480"/>
      <c r="N3" s="480"/>
      <c r="O3" s="480"/>
      <c r="P3" s="766"/>
      <c r="Q3" s="480"/>
      <c r="R3" s="763"/>
      <c r="S3" s="763"/>
      <c r="T3" s="763"/>
      <c r="U3" s="763"/>
      <c r="V3" s="763"/>
      <c r="W3" s="763"/>
      <c r="X3" s="763"/>
      <c r="Y3" s="763"/>
      <c r="Z3" s="763"/>
      <c r="AA3" s="763"/>
      <c r="AB3" s="763"/>
      <c r="AC3" s="763"/>
      <c r="AD3" s="763"/>
      <c r="AE3" s="763"/>
      <c r="AF3" s="763"/>
      <c r="AG3" s="763"/>
      <c r="AH3" s="763"/>
      <c r="AI3" s="763"/>
      <c r="AJ3" s="763"/>
      <c r="AK3" s="763"/>
      <c r="AL3" s="763"/>
      <c r="AM3" s="763"/>
      <c r="AN3" s="763"/>
      <c r="AO3" s="763"/>
      <c r="AP3" s="763"/>
      <c r="AQ3" s="763"/>
      <c r="AR3" s="763"/>
      <c r="AS3" s="763"/>
      <c r="AT3" s="763"/>
      <c r="AU3" s="763"/>
      <c r="AV3" s="763"/>
      <c r="AW3" s="763"/>
      <c r="AX3" s="763"/>
      <c r="AY3" s="763"/>
      <c r="AZ3" s="763"/>
      <c r="BA3" s="763"/>
      <c r="BB3" s="763"/>
      <c r="BC3" s="763"/>
      <c r="BD3" s="763"/>
      <c r="BE3" s="763"/>
      <c r="BF3" s="763"/>
      <c r="BG3" s="763"/>
      <c r="BH3" s="763"/>
      <c r="BI3" s="763"/>
      <c r="BJ3" s="763"/>
      <c r="BK3" s="763"/>
      <c r="BL3" s="763"/>
      <c r="BM3" s="763"/>
      <c r="BN3" s="763"/>
      <c r="BO3" s="763"/>
      <c r="BP3" s="763"/>
      <c r="BQ3" s="763"/>
      <c r="BR3" s="763"/>
      <c r="BS3" s="763"/>
      <c r="BT3" s="763"/>
      <c r="BU3" s="763"/>
      <c r="BV3" s="763"/>
      <c r="BW3" s="763"/>
      <c r="BX3" s="763"/>
      <c r="BY3" s="763"/>
      <c r="BZ3" s="763"/>
      <c r="CA3" s="763"/>
      <c r="CB3" s="763"/>
      <c r="CC3" s="763"/>
      <c r="CD3" s="763"/>
      <c r="CE3" s="763"/>
      <c r="CF3" s="763"/>
      <c r="CG3" s="763"/>
      <c r="CH3" s="763"/>
      <c r="CI3" s="763"/>
      <c r="CJ3" s="763"/>
      <c r="CK3" s="763"/>
      <c r="CL3" s="763"/>
      <c r="CM3" s="763"/>
      <c r="CN3" s="763"/>
      <c r="CO3" s="763"/>
      <c r="CP3" s="763"/>
      <c r="CQ3" s="763"/>
      <c r="CR3" s="763"/>
      <c r="CS3" s="763"/>
      <c r="CT3" s="763"/>
      <c r="CU3" s="763"/>
      <c r="CV3" s="763"/>
      <c r="CW3" s="763"/>
      <c r="CX3" s="763"/>
      <c r="CY3" s="763"/>
      <c r="CZ3" s="763"/>
      <c r="DA3" s="763"/>
      <c r="DB3" s="763"/>
      <c r="DC3" s="763"/>
      <c r="DD3" s="763"/>
      <c r="DE3" s="763"/>
      <c r="DF3" s="763"/>
      <c r="DG3" s="763"/>
      <c r="DH3" s="763"/>
      <c r="DI3" s="763"/>
      <c r="DJ3" s="763"/>
      <c r="DK3" s="763"/>
      <c r="DL3" s="763"/>
      <c r="DM3" s="763"/>
      <c r="DN3" s="763"/>
      <c r="DO3" s="763"/>
      <c r="DP3" s="763"/>
      <c r="DQ3" s="763"/>
      <c r="DR3" s="763"/>
      <c r="DS3" s="763"/>
      <c r="DT3" s="763"/>
      <c r="DU3" s="763"/>
      <c r="DV3" s="763"/>
      <c r="DW3" s="763"/>
      <c r="DX3" s="763"/>
      <c r="DY3" s="763"/>
      <c r="DZ3" s="763"/>
      <c r="EA3" s="763"/>
    </row>
    <row r="4" spans="1:132" s="899" customFormat="1" ht="11.25" x14ac:dyDescent="0.2">
      <c r="A4" s="426"/>
      <c r="B4" s="536" t="s">
        <v>1153</v>
      </c>
      <c r="C4" s="1304" t="s">
        <v>1656</v>
      </c>
      <c r="D4" s="1304"/>
      <c r="E4" s="682" t="s">
        <v>1154</v>
      </c>
      <c r="F4" s="682"/>
      <c r="G4" s="426"/>
      <c r="H4" s="426"/>
      <c r="I4" s="426"/>
      <c r="J4" s="480"/>
      <c r="K4" s="480"/>
      <c r="L4" s="480"/>
      <c r="M4" s="480"/>
      <c r="N4" s="480"/>
      <c r="O4" s="480"/>
      <c r="P4" s="766"/>
      <c r="Q4" s="480"/>
      <c r="R4" s="763"/>
      <c r="S4" s="763"/>
      <c r="T4" s="763"/>
      <c r="U4" s="763"/>
      <c r="V4" s="763"/>
      <c r="W4" s="763"/>
      <c r="X4" s="763"/>
      <c r="Y4" s="763"/>
      <c r="Z4" s="763"/>
      <c r="AA4" s="763"/>
      <c r="AB4" s="763"/>
      <c r="AC4" s="763"/>
      <c r="AD4" s="763"/>
      <c r="AE4" s="763"/>
      <c r="AF4" s="763"/>
      <c r="AG4" s="763"/>
      <c r="AH4" s="763"/>
      <c r="AI4" s="763"/>
      <c r="AJ4" s="763"/>
      <c r="AK4" s="763"/>
      <c r="AL4" s="763"/>
      <c r="AM4" s="763"/>
      <c r="AN4" s="763"/>
      <c r="AO4" s="763"/>
      <c r="AP4" s="763"/>
      <c r="AQ4" s="763"/>
      <c r="AR4" s="763"/>
      <c r="AS4" s="763"/>
      <c r="AT4" s="763"/>
      <c r="AU4" s="763"/>
      <c r="AV4" s="763"/>
      <c r="AW4" s="763"/>
      <c r="AX4" s="763"/>
      <c r="AY4" s="763"/>
      <c r="AZ4" s="763"/>
      <c r="BA4" s="763"/>
      <c r="BB4" s="763"/>
      <c r="BC4" s="763"/>
      <c r="BD4" s="763"/>
      <c r="BE4" s="763"/>
      <c r="BF4" s="763"/>
      <c r="BG4" s="763"/>
      <c r="BH4" s="763"/>
      <c r="BI4" s="763"/>
      <c r="BJ4" s="763"/>
      <c r="BK4" s="763"/>
      <c r="BL4" s="763"/>
      <c r="BM4" s="763"/>
      <c r="BN4" s="763"/>
      <c r="BO4" s="763"/>
      <c r="BP4" s="763"/>
      <c r="BQ4" s="763"/>
      <c r="BR4" s="763"/>
      <c r="BS4" s="763"/>
      <c r="BT4" s="763"/>
      <c r="BU4" s="763"/>
      <c r="BV4" s="763"/>
      <c r="BW4" s="763"/>
      <c r="BX4" s="763"/>
      <c r="BY4" s="763"/>
      <c r="BZ4" s="763"/>
      <c r="CA4" s="763"/>
      <c r="CB4" s="763"/>
      <c r="CC4" s="763"/>
      <c r="CD4" s="763"/>
      <c r="CE4" s="763"/>
      <c r="CF4" s="763"/>
      <c r="CG4" s="763"/>
      <c r="CH4" s="763"/>
      <c r="CI4" s="763"/>
      <c r="CJ4" s="763"/>
      <c r="CK4" s="763"/>
      <c r="CL4" s="763"/>
      <c r="CM4" s="763"/>
      <c r="CN4" s="763"/>
      <c r="CO4" s="763"/>
      <c r="CP4" s="763"/>
      <c r="CQ4" s="763"/>
      <c r="CR4" s="763"/>
      <c r="CS4" s="763"/>
      <c r="CT4" s="763"/>
      <c r="CU4" s="763"/>
      <c r="CV4" s="763"/>
      <c r="CW4" s="763"/>
      <c r="CX4" s="763"/>
      <c r="CY4" s="763"/>
      <c r="CZ4" s="763"/>
      <c r="DA4" s="763"/>
      <c r="DB4" s="763"/>
      <c r="DC4" s="763"/>
      <c r="DD4" s="763"/>
      <c r="DE4" s="763"/>
      <c r="DF4" s="763"/>
      <c r="DG4" s="763"/>
      <c r="DH4" s="763"/>
      <c r="DI4" s="763"/>
      <c r="DJ4" s="763"/>
      <c r="DK4" s="763"/>
      <c r="DL4" s="763"/>
      <c r="DM4" s="763"/>
      <c r="DN4" s="763"/>
      <c r="DO4" s="763"/>
      <c r="DP4" s="763"/>
      <c r="DQ4" s="763"/>
      <c r="DR4" s="763"/>
      <c r="DS4" s="763"/>
      <c r="DT4" s="763"/>
      <c r="DU4" s="763"/>
      <c r="DV4" s="763"/>
      <c r="DW4" s="763"/>
      <c r="DX4" s="763"/>
      <c r="DY4" s="763"/>
      <c r="DZ4" s="763"/>
      <c r="EA4" s="763"/>
    </row>
    <row r="5" spans="1:132" s="899" customFormat="1" ht="11.25" x14ac:dyDescent="0.2">
      <c r="A5" s="426"/>
      <c r="B5" s="536" t="s">
        <v>1155</v>
      </c>
      <c r="C5" s="426"/>
      <c r="D5" s="426"/>
      <c r="E5" s="426"/>
      <c r="F5" s="426"/>
      <c r="G5" s="426"/>
      <c r="H5" s="426"/>
      <c r="I5" s="426"/>
      <c r="J5" s="480"/>
      <c r="K5" s="480"/>
      <c r="L5" s="480"/>
      <c r="M5" s="480"/>
      <c r="N5" s="480"/>
      <c r="O5" s="480"/>
      <c r="P5" s="766"/>
      <c r="Q5" s="480"/>
      <c r="R5" s="763"/>
      <c r="S5" s="763"/>
      <c r="T5" s="763"/>
      <c r="U5" s="763"/>
      <c r="V5" s="763"/>
      <c r="W5" s="763"/>
      <c r="X5" s="763"/>
      <c r="Y5" s="763"/>
      <c r="Z5" s="763"/>
      <c r="AA5" s="763"/>
      <c r="AB5" s="763"/>
      <c r="AC5" s="763"/>
      <c r="AD5" s="763"/>
      <c r="AE5" s="763"/>
      <c r="AF5" s="763"/>
      <c r="AG5" s="763"/>
      <c r="AH5" s="763"/>
      <c r="AI5" s="763"/>
      <c r="AJ5" s="763"/>
      <c r="AK5" s="763"/>
      <c r="AL5" s="763"/>
      <c r="AM5" s="763"/>
      <c r="AN5" s="763"/>
      <c r="AO5" s="763"/>
      <c r="AP5" s="763"/>
      <c r="AQ5" s="763"/>
      <c r="AR5" s="763"/>
      <c r="AS5" s="763"/>
      <c r="AT5" s="763"/>
      <c r="AU5" s="763"/>
      <c r="AV5" s="763"/>
      <c r="AW5" s="763"/>
      <c r="AX5" s="763"/>
      <c r="AY5" s="763"/>
      <c r="AZ5" s="763"/>
      <c r="BA5" s="763"/>
      <c r="BB5" s="763"/>
      <c r="BC5" s="763"/>
      <c r="BD5" s="763"/>
      <c r="BE5" s="763"/>
      <c r="BF5" s="763"/>
      <c r="BG5" s="763"/>
      <c r="BH5" s="763"/>
      <c r="BI5" s="763"/>
      <c r="BJ5" s="763"/>
      <c r="BK5" s="763"/>
      <c r="BL5" s="763"/>
      <c r="BM5" s="763"/>
      <c r="BN5" s="763"/>
      <c r="BO5" s="763"/>
      <c r="BP5" s="763"/>
      <c r="BQ5" s="763"/>
      <c r="BR5" s="763"/>
      <c r="BS5" s="763"/>
      <c r="BT5" s="763"/>
      <c r="BU5" s="763"/>
      <c r="BV5" s="763"/>
      <c r="BW5" s="763"/>
      <c r="BX5" s="763"/>
      <c r="BY5" s="763"/>
      <c r="BZ5" s="763"/>
      <c r="CA5" s="763"/>
      <c r="CB5" s="763"/>
      <c r="CC5" s="763"/>
      <c r="CD5" s="763"/>
      <c r="CE5" s="763"/>
      <c r="CF5" s="763"/>
      <c r="CG5" s="763"/>
      <c r="CH5" s="763"/>
      <c r="CI5" s="763"/>
      <c r="CJ5" s="763"/>
      <c r="CK5" s="763"/>
      <c r="CL5" s="763"/>
      <c r="CM5" s="763"/>
      <c r="CN5" s="763"/>
      <c r="CO5" s="763"/>
      <c r="CP5" s="763"/>
      <c r="CQ5" s="763"/>
      <c r="CR5" s="763"/>
      <c r="CS5" s="763"/>
      <c r="CT5" s="763"/>
      <c r="CU5" s="763"/>
      <c r="CV5" s="763"/>
      <c r="CW5" s="763"/>
      <c r="CX5" s="763"/>
      <c r="CY5" s="763"/>
      <c r="CZ5" s="763"/>
      <c r="DA5" s="763"/>
      <c r="DB5" s="763"/>
      <c r="DC5" s="763"/>
      <c r="DD5" s="763"/>
      <c r="DE5" s="763"/>
      <c r="DF5" s="763"/>
      <c r="DG5" s="763"/>
      <c r="DH5" s="763"/>
      <c r="DI5" s="763"/>
      <c r="DJ5" s="763"/>
      <c r="DK5" s="763"/>
      <c r="DL5" s="763"/>
      <c r="DM5" s="763"/>
      <c r="DN5" s="763"/>
      <c r="DO5" s="763"/>
      <c r="DP5" s="763"/>
      <c r="DQ5" s="763"/>
      <c r="DR5" s="763"/>
      <c r="DS5" s="763"/>
      <c r="DT5" s="763"/>
      <c r="DU5" s="763"/>
      <c r="DV5" s="763"/>
      <c r="DW5" s="763"/>
      <c r="DX5" s="763"/>
      <c r="DY5" s="763"/>
      <c r="DZ5" s="763"/>
      <c r="EA5" s="763"/>
    </row>
    <row r="6" spans="1:132" s="899" customFormat="1" ht="3" customHeight="1" thickBot="1" x14ac:dyDescent="0.25">
      <c r="A6" s="426"/>
      <c r="B6" s="426"/>
      <c r="C6" s="426"/>
      <c r="D6" s="426"/>
      <c r="E6" s="426"/>
      <c r="F6" s="426"/>
      <c r="G6" s="426"/>
      <c r="H6" s="426"/>
      <c r="I6" s="426"/>
      <c r="J6" s="480"/>
      <c r="K6" s="480"/>
      <c r="L6" s="480"/>
      <c r="M6" s="480"/>
      <c r="N6" s="480"/>
      <c r="O6" s="480"/>
      <c r="P6" s="766"/>
      <c r="Q6" s="480"/>
      <c r="R6" s="763"/>
      <c r="S6" s="763"/>
      <c r="T6" s="763"/>
      <c r="U6" s="763"/>
      <c r="V6" s="763"/>
      <c r="W6" s="763"/>
      <c r="X6" s="763"/>
      <c r="Y6" s="763"/>
      <c r="Z6" s="763"/>
      <c r="AA6" s="763"/>
      <c r="AB6" s="763"/>
      <c r="AC6" s="763"/>
      <c r="AD6" s="763"/>
      <c r="AE6" s="763"/>
      <c r="AF6" s="763"/>
      <c r="AG6" s="763"/>
      <c r="AH6" s="763"/>
      <c r="AI6" s="763"/>
      <c r="AJ6" s="763"/>
      <c r="AK6" s="763"/>
      <c r="AL6" s="763"/>
      <c r="AM6" s="763"/>
      <c r="AN6" s="763"/>
      <c r="AO6" s="763"/>
      <c r="AP6" s="763"/>
      <c r="AQ6" s="763"/>
      <c r="AR6" s="763"/>
      <c r="AS6" s="763"/>
      <c r="AT6" s="763"/>
      <c r="AU6" s="763"/>
      <c r="AV6" s="763"/>
      <c r="AW6" s="763"/>
      <c r="AX6" s="763"/>
      <c r="AY6" s="763"/>
      <c r="AZ6" s="763"/>
      <c r="BA6" s="763"/>
      <c r="BB6" s="763"/>
      <c r="BC6" s="763"/>
      <c r="BD6" s="763"/>
      <c r="BE6" s="763"/>
      <c r="BF6" s="763"/>
      <c r="BG6" s="763"/>
      <c r="BH6" s="763"/>
      <c r="BI6" s="763"/>
      <c r="BJ6" s="763"/>
      <c r="BK6" s="763"/>
      <c r="BL6" s="763"/>
      <c r="BM6" s="763"/>
      <c r="BN6" s="763"/>
      <c r="BO6" s="763"/>
      <c r="BP6" s="763"/>
      <c r="BQ6" s="763"/>
      <c r="BR6" s="763"/>
      <c r="BS6" s="763"/>
      <c r="BT6" s="763"/>
      <c r="BU6" s="763"/>
      <c r="BV6" s="763"/>
      <c r="BW6" s="763"/>
      <c r="BX6" s="763"/>
      <c r="BY6" s="763"/>
      <c r="BZ6" s="763"/>
      <c r="CA6" s="763"/>
      <c r="CB6" s="763"/>
      <c r="CC6" s="763"/>
      <c r="CD6" s="763"/>
      <c r="CE6" s="763"/>
      <c r="CF6" s="763"/>
      <c r="CG6" s="763"/>
      <c r="CH6" s="763"/>
      <c r="CI6" s="763"/>
      <c r="CJ6" s="763"/>
      <c r="CK6" s="763"/>
      <c r="CL6" s="763"/>
      <c r="CM6" s="763"/>
      <c r="CN6" s="763"/>
      <c r="CO6" s="763"/>
      <c r="CP6" s="763"/>
      <c r="CQ6" s="763"/>
      <c r="CR6" s="763"/>
      <c r="CS6" s="763"/>
      <c r="CT6" s="763"/>
      <c r="CU6" s="763"/>
      <c r="CV6" s="763"/>
      <c r="CW6" s="763"/>
      <c r="CX6" s="763"/>
      <c r="CY6" s="763"/>
      <c r="CZ6" s="763"/>
      <c r="DA6" s="763"/>
      <c r="DB6" s="763"/>
      <c r="DC6" s="763"/>
      <c r="DD6" s="763"/>
      <c r="DE6" s="763"/>
      <c r="DF6" s="763"/>
      <c r="DG6" s="763"/>
      <c r="DH6" s="763"/>
      <c r="DI6" s="763"/>
      <c r="DJ6" s="763"/>
      <c r="DK6" s="763"/>
      <c r="DL6" s="763"/>
      <c r="DM6" s="763"/>
      <c r="DN6" s="763"/>
      <c r="DO6" s="763"/>
      <c r="DP6" s="763"/>
      <c r="DQ6" s="763"/>
      <c r="DR6" s="763"/>
      <c r="DS6" s="763"/>
      <c r="DT6" s="763"/>
      <c r="DU6" s="763"/>
      <c r="DV6" s="763"/>
      <c r="DW6" s="763"/>
      <c r="DX6" s="763"/>
      <c r="DY6" s="763"/>
      <c r="DZ6" s="763"/>
      <c r="EA6" s="763"/>
    </row>
    <row r="7" spans="1:132" s="899" customFormat="1" ht="14.1" customHeight="1" x14ac:dyDescent="0.2">
      <c r="A7" s="426"/>
      <c r="B7" s="1241" t="s">
        <v>1156</v>
      </c>
      <c r="C7" s="1211" t="s">
        <v>1157</v>
      </c>
      <c r="D7" s="1293"/>
      <c r="E7" s="1212"/>
      <c r="F7" s="683"/>
      <c r="G7" s="1229" t="s">
        <v>257</v>
      </c>
      <c r="H7" s="1229"/>
      <c r="I7" s="1307" t="s">
        <v>1158</v>
      </c>
      <c r="J7" s="1307"/>
      <c r="K7" s="1307"/>
      <c r="L7" s="1307"/>
      <c r="M7" s="1307"/>
      <c r="N7" s="1307"/>
      <c r="O7" s="1269" t="s">
        <v>1159</v>
      </c>
      <c r="P7" s="1270" t="s">
        <v>1160</v>
      </c>
      <c r="Q7" s="1305"/>
      <c r="R7" s="1013"/>
      <c r="S7" s="1013"/>
      <c r="T7" s="1013"/>
      <c r="U7" s="1013"/>
      <c r="V7" s="1309" t="s">
        <v>1008</v>
      </c>
      <c r="W7" s="1299" t="s">
        <v>1009</v>
      </c>
      <c r="X7" s="1300"/>
      <c r="Y7" s="1296" t="s">
        <v>1010</v>
      </c>
      <c r="Z7" s="1296" t="s">
        <v>1011</v>
      </c>
      <c r="AA7" s="1296" t="s">
        <v>1012</v>
      </c>
      <c r="AB7" s="1296" t="s">
        <v>1011</v>
      </c>
      <c r="AC7" s="1296" t="s">
        <v>1013</v>
      </c>
      <c r="AD7" s="1296" t="s">
        <v>1011</v>
      </c>
      <c r="AE7" s="1296" t="s">
        <v>1014</v>
      </c>
      <c r="AF7" s="763"/>
      <c r="AG7" s="763"/>
      <c r="AH7" s="763"/>
      <c r="AI7" s="763"/>
      <c r="AJ7" s="763"/>
      <c r="AK7" s="763"/>
      <c r="AL7" s="763"/>
      <c r="AM7" s="763"/>
      <c r="AN7" s="763"/>
      <c r="AO7" s="763"/>
      <c r="AP7" s="763"/>
      <c r="AQ7" s="763"/>
      <c r="AR7" s="763"/>
      <c r="AS7" s="763"/>
      <c r="AT7" s="763"/>
      <c r="AU7" s="763"/>
      <c r="AV7" s="763"/>
      <c r="AW7" s="763"/>
      <c r="AX7" s="763"/>
      <c r="AY7" s="763"/>
      <c r="AZ7" s="763"/>
      <c r="BA7" s="763"/>
      <c r="BB7" s="763"/>
      <c r="BC7" s="763"/>
      <c r="BD7" s="763"/>
      <c r="BE7" s="763"/>
      <c r="BF7" s="763"/>
      <c r="BG7" s="763"/>
      <c r="BH7" s="763"/>
      <c r="BI7" s="763"/>
      <c r="BJ7" s="763"/>
      <c r="BK7" s="763"/>
      <c r="BL7" s="763"/>
      <c r="BM7" s="763"/>
      <c r="BN7" s="763"/>
      <c r="BO7" s="763"/>
      <c r="BP7" s="763"/>
      <c r="BQ7" s="763"/>
      <c r="BR7" s="763"/>
      <c r="BS7" s="763"/>
      <c r="BT7" s="763"/>
      <c r="BU7" s="763"/>
      <c r="BV7" s="763"/>
      <c r="BW7" s="763"/>
      <c r="BX7" s="763"/>
      <c r="BY7" s="763"/>
      <c r="BZ7" s="763"/>
      <c r="CA7" s="763"/>
      <c r="CB7" s="763"/>
      <c r="CC7" s="763"/>
      <c r="CD7" s="763"/>
      <c r="CE7" s="763"/>
      <c r="CF7" s="763"/>
      <c r="CG7" s="763"/>
      <c r="CH7" s="763"/>
      <c r="CI7" s="763"/>
      <c r="CJ7" s="763"/>
      <c r="CK7" s="763"/>
      <c r="CL7" s="763"/>
      <c r="CM7" s="763"/>
      <c r="CN7" s="763"/>
      <c r="CO7" s="763"/>
      <c r="CP7" s="763"/>
      <c r="CQ7" s="763"/>
      <c r="CR7" s="763"/>
      <c r="CS7" s="763"/>
      <c r="CT7" s="763"/>
      <c r="CU7" s="763"/>
      <c r="CV7" s="763"/>
      <c r="CW7" s="763"/>
      <c r="CX7" s="763"/>
      <c r="CY7" s="763"/>
      <c r="CZ7" s="763"/>
      <c r="DA7" s="763"/>
      <c r="DB7" s="763"/>
      <c r="DC7" s="763"/>
      <c r="DD7" s="763"/>
      <c r="DE7" s="763"/>
      <c r="DF7" s="763"/>
      <c r="DG7" s="763"/>
      <c r="DH7" s="763"/>
      <c r="DI7" s="763"/>
      <c r="DJ7" s="763"/>
      <c r="DK7" s="763"/>
      <c r="DL7" s="763"/>
      <c r="DM7" s="763"/>
      <c r="DN7" s="763"/>
      <c r="DO7" s="763"/>
      <c r="DP7" s="763"/>
      <c r="DQ7" s="763"/>
      <c r="DR7" s="763"/>
      <c r="DS7" s="763"/>
      <c r="DT7" s="763"/>
      <c r="DU7" s="763"/>
      <c r="DV7" s="763"/>
      <c r="DW7" s="763"/>
      <c r="DX7" s="763"/>
      <c r="DY7" s="763"/>
      <c r="DZ7" s="763"/>
      <c r="EA7" s="763"/>
      <c r="EB7" s="763"/>
    </row>
    <row r="8" spans="1:132" s="899" customFormat="1" ht="27.95" customHeight="1" x14ac:dyDescent="0.2">
      <c r="A8" s="426"/>
      <c r="B8" s="1242"/>
      <c r="C8" s="1312" t="s">
        <v>1161</v>
      </c>
      <c r="D8" s="1314" t="s">
        <v>1162</v>
      </c>
      <c r="E8" s="1315"/>
      <c r="F8" s="684"/>
      <c r="G8" s="1294"/>
      <c r="H8" s="1294"/>
      <c r="I8" s="1254" t="s">
        <v>1163</v>
      </c>
      <c r="J8" s="1254"/>
      <c r="K8" s="1318" t="s">
        <v>1164</v>
      </c>
      <c r="L8" s="1253"/>
      <c r="M8" s="1318" t="s">
        <v>1411</v>
      </c>
      <c r="N8" s="1253"/>
      <c r="O8" s="1256"/>
      <c r="P8" s="1274"/>
      <c r="Q8" s="1306"/>
      <c r="R8" s="1013"/>
      <c r="S8" s="1013"/>
      <c r="T8" s="1013"/>
      <c r="U8" s="1013"/>
      <c r="V8" s="1310"/>
      <c r="W8" s="1301"/>
      <c r="X8" s="1302"/>
      <c r="Y8" s="1297"/>
      <c r="Z8" s="1297"/>
      <c r="AA8" s="1297"/>
      <c r="AB8" s="1297"/>
      <c r="AC8" s="1297"/>
      <c r="AD8" s="1297"/>
      <c r="AE8" s="1297"/>
      <c r="AF8" s="763"/>
      <c r="AG8" s="763"/>
      <c r="AH8" s="763"/>
      <c r="AI8" s="763"/>
      <c r="AJ8" s="763"/>
      <c r="AK8" s="763"/>
      <c r="AL8" s="763"/>
      <c r="AM8" s="763"/>
      <c r="AN8" s="763"/>
      <c r="AO8" s="763"/>
      <c r="AP8" s="763"/>
      <c r="AQ8" s="763"/>
      <c r="AR8" s="763"/>
      <c r="AS8" s="763"/>
      <c r="AT8" s="763"/>
      <c r="AU8" s="763"/>
      <c r="AV8" s="763"/>
      <c r="AW8" s="763"/>
      <c r="AX8" s="763"/>
      <c r="AY8" s="763"/>
      <c r="AZ8" s="763"/>
      <c r="BA8" s="763"/>
      <c r="BB8" s="763"/>
      <c r="BC8" s="763"/>
      <c r="BD8" s="763"/>
      <c r="BE8" s="763"/>
      <c r="BF8" s="763"/>
      <c r="BG8" s="763"/>
      <c r="BH8" s="763"/>
      <c r="BI8" s="763"/>
      <c r="BJ8" s="763"/>
      <c r="BK8" s="763"/>
      <c r="BL8" s="763"/>
      <c r="BM8" s="763"/>
      <c r="BN8" s="763"/>
      <c r="BO8" s="763"/>
      <c r="BP8" s="763"/>
      <c r="BQ8" s="763"/>
      <c r="BR8" s="763"/>
      <c r="BS8" s="763"/>
      <c r="BT8" s="763"/>
      <c r="BU8" s="763"/>
      <c r="BV8" s="763"/>
      <c r="BW8" s="763"/>
      <c r="BX8" s="763"/>
      <c r="BY8" s="763"/>
      <c r="BZ8" s="763"/>
      <c r="CA8" s="763"/>
      <c r="CB8" s="763"/>
      <c r="CC8" s="763"/>
      <c r="CD8" s="763"/>
      <c r="CE8" s="763"/>
      <c r="CF8" s="763"/>
      <c r="CG8" s="763"/>
      <c r="CH8" s="763"/>
      <c r="CI8" s="763"/>
      <c r="CJ8" s="763"/>
      <c r="CK8" s="763"/>
      <c r="CL8" s="763"/>
      <c r="CM8" s="763"/>
      <c r="CN8" s="763"/>
      <c r="CO8" s="763"/>
      <c r="CP8" s="763"/>
      <c r="CQ8" s="763"/>
      <c r="CR8" s="763"/>
      <c r="CS8" s="763"/>
      <c r="CT8" s="763"/>
      <c r="CU8" s="763"/>
      <c r="CV8" s="763"/>
      <c r="CW8" s="763"/>
      <c r="CX8" s="763"/>
      <c r="CY8" s="763"/>
      <c r="CZ8" s="763"/>
      <c r="DA8" s="763"/>
      <c r="DB8" s="763"/>
      <c r="DC8" s="763"/>
      <c r="DD8" s="763"/>
      <c r="DE8" s="763"/>
      <c r="DF8" s="763"/>
      <c r="DG8" s="763"/>
      <c r="DH8" s="763"/>
      <c r="DI8" s="763"/>
      <c r="DJ8" s="763"/>
      <c r="DK8" s="763"/>
      <c r="DL8" s="763"/>
      <c r="DM8" s="763"/>
      <c r="DN8" s="763"/>
      <c r="DO8" s="763"/>
      <c r="DP8" s="763"/>
      <c r="DQ8" s="763"/>
      <c r="DR8" s="763"/>
      <c r="DS8" s="763"/>
      <c r="DT8" s="763"/>
      <c r="DU8" s="763"/>
      <c r="DV8" s="763"/>
      <c r="DW8" s="763"/>
      <c r="DX8" s="763"/>
      <c r="DY8" s="763"/>
      <c r="DZ8" s="763"/>
      <c r="EA8" s="763"/>
      <c r="EB8" s="763"/>
    </row>
    <row r="9" spans="1:132" s="899" customFormat="1" ht="14.1" customHeight="1" thickBot="1" x14ac:dyDescent="0.25">
      <c r="A9" s="426"/>
      <c r="B9" s="1292"/>
      <c r="C9" s="1313"/>
      <c r="D9" s="1316"/>
      <c r="E9" s="1317"/>
      <c r="F9" s="687"/>
      <c r="G9" s="1295"/>
      <c r="H9" s="1295"/>
      <c r="I9" s="688" t="s">
        <v>1025</v>
      </c>
      <c r="J9" s="688" t="s">
        <v>1027</v>
      </c>
      <c r="K9" s="689" t="s">
        <v>1025</v>
      </c>
      <c r="L9" s="689" t="s">
        <v>1027</v>
      </c>
      <c r="M9" s="689" t="s">
        <v>1025</v>
      </c>
      <c r="N9" s="689" t="s">
        <v>1027</v>
      </c>
      <c r="O9" s="1308"/>
      <c r="P9" s="689" t="s">
        <v>1025</v>
      </c>
      <c r="Q9" s="690" t="s">
        <v>1027</v>
      </c>
      <c r="R9" s="1014"/>
      <c r="S9" s="1014"/>
      <c r="T9" s="1014"/>
      <c r="U9" s="1014"/>
      <c r="V9" s="1311"/>
      <c r="W9" s="1015" t="s">
        <v>1025</v>
      </c>
      <c r="X9" s="1015" t="s">
        <v>1027</v>
      </c>
      <c r="Y9" s="1298"/>
      <c r="Z9" s="1298"/>
      <c r="AA9" s="1298"/>
      <c r="AB9" s="1298"/>
      <c r="AC9" s="1298"/>
      <c r="AD9" s="1298"/>
      <c r="AE9" s="1298"/>
      <c r="AF9" s="763"/>
      <c r="AG9" s="763"/>
      <c r="AH9" s="763"/>
      <c r="AI9" s="763"/>
      <c r="AJ9" s="763"/>
      <c r="AK9" s="763"/>
      <c r="AL9" s="763"/>
      <c r="AM9" s="763"/>
      <c r="AN9" s="763"/>
      <c r="AO9" s="763"/>
      <c r="AP9" s="763"/>
      <c r="AQ9" s="763"/>
      <c r="AR9" s="763"/>
      <c r="AS9" s="763"/>
      <c r="AT9" s="763"/>
      <c r="AU9" s="763"/>
      <c r="AV9" s="763"/>
      <c r="AW9" s="763"/>
      <c r="AX9" s="763"/>
      <c r="AY9" s="763"/>
      <c r="AZ9" s="763"/>
      <c r="BA9" s="763"/>
      <c r="BB9" s="763"/>
      <c r="BC9" s="763"/>
      <c r="BD9" s="763"/>
      <c r="BE9" s="763"/>
      <c r="BF9" s="763"/>
      <c r="BG9" s="763"/>
      <c r="BH9" s="763"/>
      <c r="BI9" s="763"/>
      <c r="BJ9" s="763"/>
      <c r="BK9" s="763"/>
      <c r="BL9" s="763"/>
      <c r="BM9" s="763"/>
      <c r="BN9" s="763"/>
      <c r="BO9" s="763"/>
      <c r="BP9" s="763"/>
      <c r="BQ9" s="763"/>
      <c r="BR9" s="763"/>
      <c r="BS9" s="763"/>
      <c r="BT9" s="763"/>
      <c r="BU9" s="763"/>
      <c r="BV9" s="763"/>
      <c r="BW9" s="763"/>
      <c r="BX9" s="763"/>
      <c r="BY9" s="763"/>
      <c r="BZ9" s="763"/>
      <c r="CA9" s="763"/>
      <c r="CB9" s="763"/>
      <c r="CC9" s="763"/>
      <c r="CD9" s="763"/>
      <c r="CE9" s="763"/>
      <c r="CF9" s="763"/>
      <c r="CG9" s="763"/>
      <c r="CH9" s="763"/>
      <c r="CI9" s="763"/>
      <c r="CJ9" s="763"/>
      <c r="CK9" s="763"/>
      <c r="CL9" s="763"/>
      <c r="CM9" s="763"/>
      <c r="CN9" s="763"/>
      <c r="CO9" s="763"/>
      <c r="CP9" s="763"/>
      <c r="CQ9" s="763"/>
      <c r="CR9" s="763"/>
      <c r="CS9" s="763"/>
      <c r="CT9" s="763"/>
      <c r="CU9" s="763"/>
      <c r="CV9" s="763"/>
      <c r="CW9" s="763"/>
      <c r="CX9" s="763"/>
      <c r="CY9" s="763"/>
      <c r="CZ9" s="763"/>
      <c r="DA9" s="763"/>
      <c r="DB9" s="763"/>
      <c r="DC9" s="763"/>
      <c r="DD9" s="763"/>
      <c r="DE9" s="763"/>
      <c r="DF9" s="763"/>
      <c r="DG9" s="763"/>
      <c r="DH9" s="763"/>
      <c r="DI9" s="763"/>
      <c r="DJ9" s="763"/>
      <c r="DK9" s="763"/>
      <c r="DL9" s="763"/>
      <c r="DM9" s="763"/>
      <c r="DN9" s="763"/>
      <c r="DO9" s="763"/>
      <c r="DP9" s="763"/>
      <c r="DQ9" s="763"/>
      <c r="DR9" s="763"/>
      <c r="DS9" s="763"/>
      <c r="DT9" s="763"/>
      <c r="DU9" s="763"/>
      <c r="DV9" s="763"/>
      <c r="DW9" s="763"/>
      <c r="DX9" s="763"/>
      <c r="DY9" s="763"/>
      <c r="DZ9" s="763"/>
      <c r="EA9" s="763"/>
      <c r="EB9" s="763"/>
    </row>
    <row r="10" spans="1:132" s="899" customFormat="1" ht="14.1" customHeight="1" x14ac:dyDescent="0.2">
      <c r="A10" s="426"/>
      <c r="B10" s="1319">
        <v>1</v>
      </c>
      <c r="C10" s="691" t="s">
        <v>1165</v>
      </c>
      <c r="D10" s="1321" t="s">
        <v>1165</v>
      </c>
      <c r="E10" s="1322"/>
      <c r="F10" s="767"/>
      <c r="G10" s="693" t="s">
        <v>1166</v>
      </c>
      <c r="H10" s="693"/>
      <c r="I10" s="694"/>
      <c r="J10" s="694"/>
      <c r="K10" s="695"/>
      <c r="L10" s="696"/>
      <c r="M10" s="697">
        <f>I10+K10</f>
        <v>0</v>
      </c>
      <c r="N10" s="697">
        <f>J10+L10</f>
        <v>0</v>
      </c>
      <c r="O10" s="698">
        <v>0</v>
      </c>
      <c r="P10" s="699">
        <f>M10*O10</f>
        <v>0</v>
      </c>
      <c r="Q10" s="700">
        <f>N10*O10</f>
        <v>0</v>
      </c>
      <c r="R10" s="1016"/>
      <c r="S10" s="1016"/>
      <c r="T10" s="1016"/>
      <c r="U10" s="1016"/>
      <c r="V10" s="1017">
        <f>IF(P10&lt;=Q10,P10*10%,Q10*10%)</f>
        <v>0</v>
      </c>
      <c r="W10" s="1018">
        <f>IF(P10&gt;Q10,P10-Q10,0)</f>
        <v>0</v>
      </c>
      <c r="X10" s="1018">
        <f>IF(Q10&gt;P10,Q10-P10,0)</f>
        <v>0</v>
      </c>
      <c r="Y10" s="1323">
        <f>IF(SUM(W10:W13)&lt;SUM(X10:X13),SUM(W10:W13)*40%,SUM(X10:X13)*40%)</f>
        <v>0</v>
      </c>
      <c r="Z10" s="1323">
        <f>(SUM(W10:W13)-SUM(X10:X13))</f>
        <v>0</v>
      </c>
      <c r="AA10" s="1323">
        <f>(IF(Z10=0,0,IF(Z14=0,0,IF(Z10&gt;0,IF(Z14&lt;0,IF(Z10&lt;ABS(Z14),Z10*40%,ABS(Z14)*40%),0),IF(Z14&gt;0,IF(ABS(Z10)&lt;Z14,ABS(Z10)*40%,Z14*40%),0)))))</f>
        <v>0</v>
      </c>
      <c r="AB10" s="1323">
        <f>IF(AA10=0,Z10,IF(ABS(Z10)&lt;ABS(Z14),0,Z10+Z14))</f>
        <v>0</v>
      </c>
      <c r="AC10" s="1337"/>
      <c r="AD10" s="1323">
        <f>AB10</f>
        <v>0</v>
      </c>
      <c r="AE10" s="1330">
        <f>(IF(AD10=0,0,IF(AD17=0,0,IF(AD10&gt;0,IF(AD17&lt;0,IF(AD10&lt;ABS(AD17),AD10*100%,ABS(AD17)*100%),0),IF(AD17&gt;0,IF(ABS(AD10)&lt;AD17,ABS(AD10)*100%,AD17*100%),0)))))</f>
        <v>0</v>
      </c>
      <c r="AF10" s="763"/>
      <c r="AG10" s="763"/>
      <c r="AH10" s="763"/>
      <c r="AI10" s="763"/>
      <c r="AJ10" s="763"/>
      <c r="AK10" s="763"/>
      <c r="AL10" s="763"/>
      <c r="AM10" s="763"/>
      <c r="AN10" s="763"/>
      <c r="AO10" s="763"/>
      <c r="AP10" s="763"/>
      <c r="AQ10" s="763"/>
      <c r="AR10" s="763"/>
      <c r="AS10" s="763"/>
      <c r="AT10" s="763"/>
      <c r="AU10" s="763"/>
      <c r="AV10" s="763"/>
      <c r="AW10" s="763"/>
      <c r="AX10" s="763"/>
      <c r="AY10" s="763"/>
      <c r="AZ10" s="763"/>
      <c r="BA10" s="763"/>
      <c r="BB10" s="763"/>
      <c r="BC10" s="763"/>
      <c r="BD10" s="763"/>
      <c r="BE10" s="763"/>
      <c r="BF10" s="763"/>
      <c r="BG10" s="763"/>
      <c r="BH10" s="763"/>
      <c r="BI10" s="763"/>
      <c r="BJ10" s="763"/>
      <c r="BK10" s="763"/>
      <c r="BL10" s="763"/>
      <c r="BM10" s="763"/>
      <c r="BN10" s="763"/>
      <c r="BO10" s="763"/>
      <c r="BP10" s="763"/>
      <c r="BQ10" s="763"/>
      <c r="BR10" s="763"/>
      <c r="BS10" s="763"/>
      <c r="BT10" s="763"/>
      <c r="BU10" s="763"/>
      <c r="BV10" s="763"/>
      <c r="BW10" s="763"/>
      <c r="BX10" s="763"/>
      <c r="BY10" s="763"/>
      <c r="BZ10" s="763"/>
      <c r="CA10" s="763"/>
      <c r="CB10" s="763"/>
      <c r="CC10" s="763"/>
      <c r="CD10" s="763"/>
      <c r="CE10" s="763"/>
      <c r="CF10" s="763"/>
      <c r="CG10" s="763"/>
      <c r="CH10" s="763"/>
      <c r="CI10" s="763"/>
      <c r="CJ10" s="763"/>
      <c r="CK10" s="763"/>
      <c r="CL10" s="763"/>
      <c r="CM10" s="763"/>
      <c r="CN10" s="763"/>
      <c r="CO10" s="763"/>
      <c r="CP10" s="763"/>
      <c r="CQ10" s="763"/>
      <c r="CR10" s="763"/>
      <c r="CS10" s="763"/>
      <c r="CT10" s="763"/>
      <c r="CU10" s="763"/>
      <c r="CV10" s="763"/>
      <c r="CW10" s="763"/>
      <c r="CX10" s="763"/>
      <c r="CY10" s="763"/>
      <c r="CZ10" s="763"/>
      <c r="DA10" s="763"/>
      <c r="DB10" s="763"/>
      <c r="DC10" s="763"/>
      <c r="DD10" s="763"/>
      <c r="DE10" s="763"/>
      <c r="DF10" s="763"/>
      <c r="DG10" s="763"/>
      <c r="DH10" s="763"/>
      <c r="DI10" s="763"/>
      <c r="DJ10" s="763"/>
      <c r="DK10" s="763"/>
      <c r="DL10" s="763"/>
      <c r="DM10" s="763"/>
      <c r="DN10" s="763"/>
      <c r="DO10" s="763"/>
      <c r="DP10" s="763"/>
      <c r="DQ10" s="763"/>
      <c r="DR10" s="763"/>
      <c r="DS10" s="763"/>
      <c r="DT10" s="763"/>
      <c r="DU10" s="763"/>
      <c r="DV10" s="763"/>
      <c r="DW10" s="763"/>
      <c r="DX10" s="763"/>
      <c r="DY10" s="763"/>
      <c r="DZ10" s="763"/>
      <c r="EA10" s="763"/>
      <c r="EB10" s="763"/>
    </row>
    <row r="11" spans="1:132" s="899" customFormat="1" ht="14.1" customHeight="1" x14ac:dyDescent="0.2">
      <c r="A11" s="426"/>
      <c r="B11" s="1320"/>
      <c r="C11" s="451" t="s">
        <v>1167</v>
      </c>
      <c r="D11" s="1333" t="s">
        <v>1167</v>
      </c>
      <c r="E11" s="1334"/>
      <c r="F11" s="774"/>
      <c r="G11" s="702" t="s">
        <v>1168</v>
      </c>
      <c r="H11" s="702"/>
      <c r="I11" s="703"/>
      <c r="J11" s="703"/>
      <c r="K11" s="704"/>
      <c r="L11" s="705"/>
      <c r="M11" s="706">
        <f>I11+K11</f>
        <v>0</v>
      </c>
      <c r="N11" s="706">
        <f>J11+L11</f>
        <v>0</v>
      </c>
      <c r="O11" s="707">
        <v>2E-3</v>
      </c>
      <c r="P11" s="708">
        <f>M11*O11</f>
        <v>0</v>
      </c>
      <c r="Q11" s="709">
        <f>N11*O11</f>
        <v>0</v>
      </c>
      <c r="R11" s="1016"/>
      <c r="S11" s="1016"/>
      <c r="T11" s="1016"/>
      <c r="U11" s="1016"/>
      <c r="V11" s="1017">
        <f t="shared" ref="V11:V24" si="0">IF(P11&lt;=Q11,P11*10%,Q11*10%)</f>
        <v>0</v>
      </c>
      <c r="W11" s="1018">
        <f t="shared" ref="W11:W24" si="1">IF(P11&gt;Q11,P11-Q11,0)</f>
        <v>0</v>
      </c>
      <c r="X11" s="1018">
        <f t="shared" ref="X11:X23" si="2">IF(Q11&gt;P11,Q11-P11,0)</f>
        <v>0</v>
      </c>
      <c r="Y11" s="1324"/>
      <c r="Z11" s="1324"/>
      <c r="AA11" s="1324"/>
      <c r="AB11" s="1324"/>
      <c r="AC11" s="1338"/>
      <c r="AD11" s="1324"/>
      <c r="AE11" s="1331"/>
      <c r="AF11" s="763"/>
      <c r="AG11" s="763"/>
      <c r="AH11" s="763"/>
      <c r="AI11" s="763"/>
      <c r="AJ11" s="763"/>
      <c r="AK11" s="763"/>
      <c r="AL11" s="763"/>
      <c r="AM11" s="763"/>
      <c r="AN11" s="763"/>
      <c r="AO11" s="763"/>
      <c r="AP11" s="763"/>
      <c r="AQ11" s="763"/>
      <c r="AR11" s="763"/>
      <c r="AS11" s="763"/>
      <c r="AT11" s="763"/>
      <c r="AU11" s="763"/>
      <c r="AV11" s="763"/>
      <c r="AW11" s="763"/>
      <c r="AX11" s="763"/>
      <c r="AY11" s="763"/>
      <c r="AZ11" s="763"/>
      <c r="BA11" s="763"/>
      <c r="BB11" s="763"/>
      <c r="BC11" s="763"/>
      <c r="BD11" s="763"/>
      <c r="BE11" s="763"/>
      <c r="BF11" s="763"/>
      <c r="BG11" s="763"/>
      <c r="BH11" s="763"/>
      <c r="BI11" s="763"/>
      <c r="BJ11" s="763"/>
      <c r="BK11" s="763"/>
      <c r="BL11" s="763"/>
      <c r="BM11" s="763"/>
      <c r="BN11" s="763"/>
      <c r="BO11" s="763"/>
      <c r="BP11" s="763"/>
      <c r="BQ11" s="763"/>
      <c r="BR11" s="763"/>
      <c r="BS11" s="763"/>
      <c r="BT11" s="763"/>
      <c r="BU11" s="763"/>
      <c r="BV11" s="763"/>
      <c r="BW11" s="763"/>
      <c r="BX11" s="763"/>
      <c r="BY11" s="763"/>
      <c r="BZ11" s="763"/>
      <c r="CA11" s="763"/>
      <c r="CB11" s="763"/>
      <c r="CC11" s="763"/>
      <c r="CD11" s="763"/>
      <c r="CE11" s="763"/>
      <c r="CF11" s="763"/>
      <c r="CG11" s="763"/>
      <c r="CH11" s="763"/>
      <c r="CI11" s="763"/>
      <c r="CJ11" s="763"/>
      <c r="CK11" s="763"/>
      <c r="CL11" s="763"/>
      <c r="CM11" s="763"/>
      <c r="CN11" s="763"/>
      <c r="CO11" s="763"/>
      <c r="CP11" s="763"/>
      <c r="CQ11" s="763"/>
      <c r="CR11" s="763"/>
      <c r="CS11" s="763"/>
      <c r="CT11" s="763"/>
      <c r="CU11" s="763"/>
      <c r="CV11" s="763"/>
      <c r="CW11" s="763"/>
      <c r="CX11" s="763"/>
      <c r="CY11" s="763"/>
      <c r="CZ11" s="763"/>
      <c r="DA11" s="763"/>
      <c r="DB11" s="763"/>
      <c r="DC11" s="763"/>
      <c r="DD11" s="763"/>
      <c r="DE11" s="763"/>
      <c r="DF11" s="763"/>
      <c r="DG11" s="763"/>
      <c r="DH11" s="763"/>
      <c r="DI11" s="763"/>
      <c r="DJ11" s="763"/>
      <c r="DK11" s="763"/>
      <c r="DL11" s="763"/>
      <c r="DM11" s="763"/>
      <c r="DN11" s="763"/>
      <c r="DO11" s="763"/>
      <c r="DP11" s="763"/>
      <c r="DQ11" s="763"/>
      <c r="DR11" s="763"/>
      <c r="DS11" s="763"/>
      <c r="DT11" s="763"/>
      <c r="DU11" s="763"/>
      <c r="DV11" s="763"/>
      <c r="DW11" s="763"/>
      <c r="DX11" s="763"/>
      <c r="DY11" s="763"/>
      <c r="DZ11" s="763"/>
      <c r="EA11" s="763"/>
      <c r="EB11" s="763"/>
    </row>
    <row r="12" spans="1:132" s="899" customFormat="1" ht="14.1" customHeight="1" x14ac:dyDescent="0.2">
      <c r="A12" s="426"/>
      <c r="B12" s="1320"/>
      <c r="C12" s="710" t="s">
        <v>1169</v>
      </c>
      <c r="D12" s="1333" t="s">
        <v>1169</v>
      </c>
      <c r="E12" s="1334"/>
      <c r="F12" s="701"/>
      <c r="G12" s="702" t="s">
        <v>1170</v>
      </c>
      <c r="H12" s="702"/>
      <c r="I12" s="703"/>
      <c r="J12" s="703"/>
      <c r="K12" s="703"/>
      <c r="L12" s="711"/>
      <c r="M12" s="706">
        <f>I12+K12</f>
        <v>0</v>
      </c>
      <c r="N12" s="706">
        <f t="shared" ref="N12:N24" si="3">J12+L12</f>
        <v>0</v>
      </c>
      <c r="O12" s="712">
        <v>4.0000000000000001E-3</v>
      </c>
      <c r="P12" s="708">
        <f t="shared" ref="P12:P24" si="4">M12*O12</f>
        <v>0</v>
      </c>
      <c r="Q12" s="709">
        <f t="shared" ref="Q12:Q24" si="5">N12*O12</f>
        <v>0</v>
      </c>
      <c r="R12" s="1016"/>
      <c r="S12" s="1016"/>
      <c r="T12" s="1016"/>
      <c r="U12" s="1016"/>
      <c r="V12" s="1017">
        <f t="shared" si="0"/>
        <v>0</v>
      </c>
      <c r="W12" s="1019">
        <f t="shared" si="1"/>
        <v>0</v>
      </c>
      <c r="X12" s="1018">
        <f t="shared" si="2"/>
        <v>0</v>
      </c>
      <c r="Y12" s="1324"/>
      <c r="Z12" s="1324"/>
      <c r="AA12" s="1324"/>
      <c r="AB12" s="1324"/>
      <c r="AC12" s="1338"/>
      <c r="AD12" s="1324"/>
      <c r="AE12" s="1331"/>
      <c r="AF12" s="763"/>
      <c r="AG12" s="763"/>
      <c r="AH12" s="763"/>
      <c r="AI12" s="763"/>
      <c r="AJ12" s="763"/>
      <c r="AK12" s="763"/>
      <c r="AL12" s="763"/>
      <c r="AM12" s="763"/>
      <c r="AN12" s="763"/>
      <c r="AO12" s="763"/>
      <c r="AP12" s="763"/>
      <c r="AQ12" s="763"/>
      <c r="AR12" s="763"/>
      <c r="AS12" s="763"/>
      <c r="AT12" s="763"/>
      <c r="AU12" s="763"/>
      <c r="AV12" s="763"/>
      <c r="AW12" s="763"/>
      <c r="AX12" s="763"/>
      <c r="AY12" s="763"/>
      <c r="AZ12" s="763"/>
      <c r="BA12" s="763"/>
      <c r="BB12" s="763"/>
      <c r="BC12" s="763"/>
      <c r="BD12" s="763"/>
      <c r="BE12" s="763"/>
      <c r="BF12" s="763"/>
      <c r="BG12" s="763"/>
      <c r="BH12" s="763"/>
      <c r="BI12" s="763"/>
      <c r="BJ12" s="763"/>
      <c r="BK12" s="763"/>
      <c r="BL12" s="763"/>
      <c r="BM12" s="763"/>
      <c r="BN12" s="763"/>
      <c r="BO12" s="763"/>
      <c r="BP12" s="763"/>
      <c r="BQ12" s="763"/>
      <c r="BR12" s="763"/>
      <c r="BS12" s="763"/>
      <c r="BT12" s="763"/>
      <c r="BU12" s="763"/>
      <c r="BV12" s="763"/>
      <c r="BW12" s="763"/>
      <c r="BX12" s="763"/>
      <c r="BY12" s="763"/>
      <c r="BZ12" s="763"/>
      <c r="CA12" s="763"/>
      <c r="CB12" s="763"/>
      <c r="CC12" s="763"/>
      <c r="CD12" s="763"/>
      <c r="CE12" s="763"/>
      <c r="CF12" s="763"/>
      <c r="CG12" s="763"/>
      <c r="CH12" s="763"/>
      <c r="CI12" s="763"/>
      <c r="CJ12" s="763"/>
      <c r="CK12" s="763"/>
      <c r="CL12" s="763"/>
      <c r="CM12" s="763"/>
      <c r="CN12" s="763"/>
      <c r="CO12" s="763"/>
      <c r="CP12" s="763"/>
      <c r="CQ12" s="763"/>
      <c r="CR12" s="763"/>
      <c r="CS12" s="763"/>
      <c r="CT12" s="763"/>
      <c r="CU12" s="763"/>
      <c r="CV12" s="763"/>
      <c r="CW12" s="763"/>
      <c r="CX12" s="763"/>
      <c r="CY12" s="763"/>
      <c r="CZ12" s="763"/>
      <c r="DA12" s="763"/>
      <c r="DB12" s="763"/>
      <c r="DC12" s="763"/>
      <c r="DD12" s="763"/>
      <c r="DE12" s="763"/>
      <c r="DF12" s="763"/>
      <c r="DG12" s="763"/>
      <c r="DH12" s="763"/>
      <c r="DI12" s="763"/>
      <c r="DJ12" s="763"/>
      <c r="DK12" s="763"/>
      <c r="DL12" s="763"/>
      <c r="DM12" s="763"/>
      <c r="DN12" s="763"/>
      <c r="DO12" s="763"/>
      <c r="DP12" s="763"/>
      <c r="DQ12" s="763"/>
      <c r="DR12" s="763"/>
      <c r="DS12" s="763"/>
      <c r="DT12" s="763"/>
      <c r="DU12" s="763"/>
      <c r="DV12" s="763"/>
      <c r="DW12" s="763"/>
      <c r="DX12" s="763"/>
      <c r="DY12" s="763"/>
      <c r="DZ12" s="763"/>
      <c r="EA12" s="763"/>
      <c r="EB12" s="763"/>
    </row>
    <row r="13" spans="1:132" s="899" customFormat="1" ht="14.1" customHeight="1" thickBot="1" x14ac:dyDescent="0.25">
      <c r="A13" s="426"/>
      <c r="B13" s="1320"/>
      <c r="C13" s="710" t="s">
        <v>1171</v>
      </c>
      <c r="D13" s="1372" t="s">
        <v>1171</v>
      </c>
      <c r="E13" s="1373"/>
      <c r="F13" s="768"/>
      <c r="G13" s="714" t="s">
        <v>1172</v>
      </c>
      <c r="H13" s="714"/>
      <c r="I13" s="703"/>
      <c r="J13" s="703"/>
      <c r="K13" s="703"/>
      <c r="L13" s="711"/>
      <c r="M13" s="715">
        <f t="shared" ref="M13:M24" si="6">I13+K13</f>
        <v>0</v>
      </c>
      <c r="N13" s="715">
        <f t="shared" si="3"/>
        <v>0</v>
      </c>
      <c r="O13" s="712">
        <v>7.0000000000000001E-3</v>
      </c>
      <c r="P13" s="716">
        <f t="shared" si="4"/>
        <v>0</v>
      </c>
      <c r="Q13" s="717">
        <f t="shared" si="5"/>
        <v>0</v>
      </c>
      <c r="R13" s="1016"/>
      <c r="S13" s="1016"/>
      <c r="T13" s="1016"/>
      <c r="U13" s="1016"/>
      <c r="V13" s="1020">
        <f t="shared" si="0"/>
        <v>0</v>
      </c>
      <c r="W13" s="1021">
        <f t="shared" si="1"/>
        <v>0</v>
      </c>
      <c r="X13" s="1021">
        <f t="shared" si="2"/>
        <v>0</v>
      </c>
      <c r="Y13" s="1325"/>
      <c r="Z13" s="1325"/>
      <c r="AA13" s="1324"/>
      <c r="AB13" s="1325"/>
      <c r="AC13" s="1339"/>
      <c r="AD13" s="1325"/>
      <c r="AE13" s="1331"/>
      <c r="AF13" s="763"/>
      <c r="AG13" s="763"/>
      <c r="AH13" s="763"/>
      <c r="AI13" s="763"/>
      <c r="AJ13" s="763"/>
      <c r="AK13" s="763"/>
      <c r="AL13" s="763"/>
      <c r="AM13" s="763"/>
      <c r="AN13" s="763"/>
      <c r="AO13" s="763"/>
      <c r="AP13" s="763"/>
      <c r="AQ13" s="763"/>
      <c r="AR13" s="763"/>
      <c r="AS13" s="763"/>
      <c r="AT13" s="763"/>
      <c r="AU13" s="763"/>
      <c r="AV13" s="763"/>
      <c r="AW13" s="763"/>
      <c r="AX13" s="763"/>
      <c r="AY13" s="763"/>
      <c r="AZ13" s="763"/>
      <c r="BA13" s="763"/>
      <c r="BB13" s="763"/>
      <c r="BC13" s="763"/>
      <c r="BD13" s="763"/>
      <c r="BE13" s="763"/>
      <c r="BF13" s="763"/>
      <c r="BG13" s="763"/>
      <c r="BH13" s="763"/>
      <c r="BI13" s="763"/>
      <c r="BJ13" s="763"/>
      <c r="BK13" s="763"/>
      <c r="BL13" s="763"/>
      <c r="BM13" s="763"/>
      <c r="BN13" s="763"/>
      <c r="BO13" s="763"/>
      <c r="BP13" s="763"/>
      <c r="BQ13" s="763"/>
      <c r="BR13" s="763"/>
      <c r="BS13" s="763"/>
      <c r="BT13" s="763"/>
      <c r="BU13" s="763"/>
      <c r="BV13" s="763"/>
      <c r="BW13" s="763"/>
      <c r="BX13" s="763"/>
      <c r="BY13" s="763"/>
      <c r="BZ13" s="763"/>
      <c r="CA13" s="763"/>
      <c r="CB13" s="763"/>
      <c r="CC13" s="763"/>
      <c r="CD13" s="763"/>
      <c r="CE13" s="763"/>
      <c r="CF13" s="763"/>
      <c r="CG13" s="763"/>
      <c r="CH13" s="763"/>
      <c r="CI13" s="763"/>
      <c r="CJ13" s="763"/>
      <c r="CK13" s="763"/>
      <c r="CL13" s="763"/>
      <c r="CM13" s="763"/>
      <c r="CN13" s="763"/>
      <c r="CO13" s="763"/>
      <c r="CP13" s="763"/>
      <c r="CQ13" s="763"/>
      <c r="CR13" s="763"/>
      <c r="CS13" s="763"/>
      <c r="CT13" s="763"/>
      <c r="CU13" s="763"/>
      <c r="CV13" s="763"/>
      <c r="CW13" s="763"/>
      <c r="CX13" s="763"/>
      <c r="CY13" s="763"/>
      <c r="CZ13" s="763"/>
      <c r="DA13" s="763"/>
      <c r="DB13" s="763"/>
      <c r="DC13" s="763"/>
      <c r="DD13" s="763"/>
      <c r="DE13" s="763"/>
      <c r="DF13" s="763"/>
      <c r="DG13" s="763"/>
      <c r="DH13" s="763"/>
      <c r="DI13" s="763"/>
      <c r="DJ13" s="763"/>
      <c r="DK13" s="763"/>
      <c r="DL13" s="763"/>
      <c r="DM13" s="763"/>
      <c r="DN13" s="763"/>
      <c r="DO13" s="763"/>
      <c r="DP13" s="763"/>
      <c r="DQ13" s="763"/>
      <c r="DR13" s="763"/>
      <c r="DS13" s="763"/>
      <c r="DT13" s="763"/>
      <c r="DU13" s="763"/>
      <c r="DV13" s="763"/>
      <c r="DW13" s="763"/>
      <c r="DX13" s="763"/>
      <c r="DY13" s="763"/>
      <c r="DZ13" s="763"/>
      <c r="EA13" s="763"/>
      <c r="EB13" s="763"/>
    </row>
    <row r="14" spans="1:132" s="899" customFormat="1" ht="14.1" customHeight="1" x14ac:dyDescent="0.2">
      <c r="A14" s="426"/>
      <c r="B14" s="1319">
        <v>2</v>
      </c>
      <c r="C14" s="691" t="s">
        <v>1173</v>
      </c>
      <c r="D14" s="1321" t="s">
        <v>1174</v>
      </c>
      <c r="E14" s="1322"/>
      <c r="F14" s="692"/>
      <c r="G14" s="693" t="s">
        <v>1175</v>
      </c>
      <c r="H14" s="693"/>
      <c r="I14" s="695"/>
      <c r="J14" s="695"/>
      <c r="K14" s="695"/>
      <c r="L14" s="696"/>
      <c r="M14" s="718">
        <f t="shared" si="6"/>
        <v>0</v>
      </c>
      <c r="N14" s="718">
        <f t="shared" si="3"/>
        <v>0</v>
      </c>
      <c r="O14" s="698">
        <v>1.2500000000000001E-2</v>
      </c>
      <c r="P14" s="719">
        <f t="shared" si="4"/>
        <v>0</v>
      </c>
      <c r="Q14" s="720">
        <f t="shared" si="5"/>
        <v>0</v>
      </c>
      <c r="R14" s="1016"/>
      <c r="S14" s="1016"/>
      <c r="T14" s="1016"/>
      <c r="U14" s="1016"/>
      <c r="V14" s="1022">
        <f t="shared" si="0"/>
        <v>0</v>
      </c>
      <c r="W14" s="1023">
        <f t="shared" si="1"/>
        <v>0</v>
      </c>
      <c r="X14" s="1023">
        <f t="shared" si="2"/>
        <v>0</v>
      </c>
      <c r="Y14" s="1327">
        <f>IF(SUM(W14:W16)&lt;SUM(X14:X16),SUM(W14:W16)*30%,SUM(X14:X16)*30%)</f>
        <v>0</v>
      </c>
      <c r="Z14" s="1327">
        <f>(SUM(W14:W16)-SUM(X14:X16))</f>
        <v>0</v>
      </c>
      <c r="AA14" s="1324"/>
      <c r="AB14" s="1327">
        <f>IF(AA10=0,Z14,IF(ABS(Z10)&lt;ABS(Z14),Z10+Z14,0))</f>
        <v>0</v>
      </c>
      <c r="AC14" s="1327">
        <f>(IF(AB14=0,0,IF(AB17=0,0,IF(AB14&gt;0,IF(AB17&lt;0,IF(AB14&lt;ABS(AB17),AB14*40%,ABS(AB17)*40%),0),IF(AB17&gt;0,IF(ABS(AB14)&lt;AB17,ABS(AB14)*40%,AB17*40%),0)))))</f>
        <v>0</v>
      </c>
      <c r="AD14" s="1327">
        <f>IF(AC14=0,AB14,IF(ABS(AB14)&lt;ABS(AB17),0,AB14+AB17))</f>
        <v>0</v>
      </c>
      <c r="AE14" s="1331"/>
      <c r="AF14" s="763"/>
      <c r="AG14" s="763"/>
      <c r="AH14" s="763"/>
      <c r="AI14" s="763"/>
      <c r="AJ14" s="763"/>
      <c r="AK14" s="763"/>
      <c r="AL14" s="763"/>
      <c r="AM14" s="763"/>
      <c r="AN14" s="763"/>
      <c r="AO14" s="763"/>
      <c r="AP14" s="763"/>
      <c r="AQ14" s="763"/>
      <c r="AR14" s="763"/>
      <c r="AS14" s="763"/>
      <c r="AT14" s="763"/>
      <c r="AU14" s="763"/>
      <c r="AV14" s="763"/>
      <c r="AW14" s="763"/>
      <c r="AX14" s="763"/>
      <c r="AY14" s="763"/>
      <c r="AZ14" s="763"/>
      <c r="BA14" s="763"/>
      <c r="BB14" s="763"/>
      <c r="BC14" s="763"/>
      <c r="BD14" s="763"/>
      <c r="BE14" s="763"/>
      <c r="BF14" s="763"/>
      <c r="BG14" s="763"/>
      <c r="BH14" s="763"/>
      <c r="BI14" s="763"/>
      <c r="BJ14" s="763"/>
      <c r="BK14" s="763"/>
      <c r="BL14" s="763"/>
      <c r="BM14" s="763"/>
      <c r="BN14" s="763"/>
      <c r="BO14" s="763"/>
      <c r="BP14" s="763"/>
      <c r="BQ14" s="763"/>
      <c r="BR14" s="763"/>
      <c r="BS14" s="763"/>
      <c r="BT14" s="763"/>
      <c r="BU14" s="763"/>
      <c r="BV14" s="763"/>
      <c r="BW14" s="763"/>
      <c r="BX14" s="763"/>
      <c r="BY14" s="763"/>
      <c r="BZ14" s="763"/>
      <c r="CA14" s="763"/>
      <c r="CB14" s="763"/>
      <c r="CC14" s="763"/>
      <c r="CD14" s="763"/>
      <c r="CE14" s="763"/>
      <c r="CF14" s="763"/>
      <c r="CG14" s="763"/>
      <c r="CH14" s="763"/>
      <c r="CI14" s="763"/>
      <c r="CJ14" s="763"/>
      <c r="CK14" s="763"/>
      <c r="CL14" s="763"/>
      <c r="CM14" s="763"/>
      <c r="CN14" s="763"/>
      <c r="CO14" s="763"/>
      <c r="CP14" s="763"/>
      <c r="CQ14" s="763"/>
      <c r="CR14" s="763"/>
      <c r="CS14" s="763"/>
      <c r="CT14" s="763"/>
      <c r="CU14" s="763"/>
      <c r="CV14" s="763"/>
      <c r="CW14" s="763"/>
      <c r="CX14" s="763"/>
      <c r="CY14" s="763"/>
      <c r="CZ14" s="763"/>
      <c r="DA14" s="763"/>
      <c r="DB14" s="763"/>
      <c r="DC14" s="763"/>
      <c r="DD14" s="763"/>
      <c r="DE14" s="763"/>
      <c r="DF14" s="763"/>
      <c r="DG14" s="763"/>
      <c r="DH14" s="763"/>
      <c r="DI14" s="763"/>
      <c r="DJ14" s="763"/>
      <c r="DK14" s="763"/>
      <c r="DL14" s="763"/>
      <c r="DM14" s="763"/>
      <c r="DN14" s="763"/>
      <c r="DO14" s="763"/>
      <c r="DP14" s="763"/>
      <c r="DQ14" s="763"/>
      <c r="DR14" s="763"/>
      <c r="DS14" s="763"/>
      <c r="DT14" s="763"/>
      <c r="DU14" s="763"/>
      <c r="DV14" s="763"/>
      <c r="DW14" s="763"/>
      <c r="DX14" s="763"/>
      <c r="DY14" s="763"/>
      <c r="DZ14" s="763"/>
      <c r="EA14" s="763"/>
      <c r="EB14" s="763"/>
    </row>
    <row r="15" spans="1:132" s="899" customFormat="1" ht="14.1" customHeight="1" x14ac:dyDescent="0.2">
      <c r="A15" s="426"/>
      <c r="B15" s="1320"/>
      <c r="C15" s="451" t="s">
        <v>1176</v>
      </c>
      <c r="D15" s="1333" t="s">
        <v>1177</v>
      </c>
      <c r="E15" s="1334"/>
      <c r="F15" s="701"/>
      <c r="G15" s="702" t="s">
        <v>1178</v>
      </c>
      <c r="H15" s="702"/>
      <c r="I15" s="704"/>
      <c r="J15" s="704"/>
      <c r="K15" s="704"/>
      <c r="L15" s="705"/>
      <c r="M15" s="706">
        <f t="shared" si="6"/>
        <v>0</v>
      </c>
      <c r="N15" s="706">
        <f t="shared" si="3"/>
        <v>0</v>
      </c>
      <c r="O15" s="707">
        <v>1.7500000000000002E-2</v>
      </c>
      <c r="P15" s="708">
        <f t="shared" si="4"/>
        <v>0</v>
      </c>
      <c r="Q15" s="709">
        <f t="shared" si="5"/>
        <v>0</v>
      </c>
      <c r="R15" s="1016"/>
      <c r="S15" s="1016"/>
      <c r="T15" s="1016"/>
      <c r="U15" s="1016"/>
      <c r="V15" s="1024">
        <f t="shared" si="0"/>
        <v>0</v>
      </c>
      <c r="W15" s="1025">
        <f t="shared" si="1"/>
        <v>0</v>
      </c>
      <c r="X15" s="1025">
        <f t="shared" si="2"/>
        <v>0</v>
      </c>
      <c r="Y15" s="1328"/>
      <c r="Z15" s="1328"/>
      <c r="AA15" s="1324"/>
      <c r="AB15" s="1328"/>
      <c r="AC15" s="1328"/>
      <c r="AD15" s="1328"/>
      <c r="AE15" s="1331"/>
      <c r="AF15" s="763"/>
      <c r="AG15" s="763"/>
      <c r="AH15" s="763"/>
      <c r="AI15" s="763"/>
      <c r="AJ15" s="763"/>
      <c r="AK15" s="763"/>
      <c r="AL15" s="763"/>
      <c r="AM15" s="763"/>
      <c r="AN15" s="763"/>
      <c r="AO15" s="763"/>
      <c r="AP15" s="763"/>
      <c r="AQ15" s="763"/>
      <c r="AR15" s="763"/>
      <c r="AS15" s="763"/>
      <c r="AT15" s="763"/>
      <c r="AU15" s="763"/>
      <c r="AV15" s="763"/>
      <c r="AW15" s="763"/>
      <c r="AX15" s="763"/>
      <c r="AY15" s="763"/>
      <c r="AZ15" s="763"/>
      <c r="BA15" s="763"/>
      <c r="BB15" s="763"/>
      <c r="BC15" s="763"/>
      <c r="BD15" s="763"/>
      <c r="BE15" s="763"/>
      <c r="BF15" s="763"/>
      <c r="BG15" s="763"/>
      <c r="BH15" s="763"/>
      <c r="BI15" s="763"/>
      <c r="BJ15" s="763"/>
      <c r="BK15" s="763"/>
      <c r="BL15" s="763"/>
      <c r="BM15" s="763"/>
      <c r="BN15" s="763"/>
      <c r="BO15" s="763"/>
      <c r="BP15" s="763"/>
      <c r="BQ15" s="763"/>
      <c r="BR15" s="763"/>
      <c r="BS15" s="763"/>
      <c r="BT15" s="763"/>
      <c r="BU15" s="763"/>
      <c r="BV15" s="763"/>
      <c r="BW15" s="763"/>
      <c r="BX15" s="763"/>
      <c r="BY15" s="763"/>
      <c r="BZ15" s="763"/>
      <c r="CA15" s="763"/>
      <c r="CB15" s="763"/>
      <c r="CC15" s="763"/>
      <c r="CD15" s="763"/>
      <c r="CE15" s="763"/>
      <c r="CF15" s="763"/>
      <c r="CG15" s="763"/>
      <c r="CH15" s="763"/>
      <c r="CI15" s="763"/>
      <c r="CJ15" s="763"/>
      <c r="CK15" s="763"/>
      <c r="CL15" s="763"/>
      <c r="CM15" s="763"/>
      <c r="CN15" s="763"/>
      <c r="CO15" s="763"/>
      <c r="CP15" s="763"/>
      <c r="CQ15" s="763"/>
      <c r="CR15" s="763"/>
      <c r="CS15" s="763"/>
      <c r="CT15" s="763"/>
      <c r="CU15" s="763"/>
      <c r="CV15" s="763"/>
      <c r="CW15" s="763"/>
      <c r="CX15" s="763"/>
      <c r="CY15" s="763"/>
      <c r="CZ15" s="763"/>
      <c r="DA15" s="763"/>
      <c r="DB15" s="763"/>
      <c r="DC15" s="763"/>
      <c r="DD15" s="763"/>
      <c r="DE15" s="763"/>
      <c r="DF15" s="763"/>
      <c r="DG15" s="763"/>
      <c r="DH15" s="763"/>
      <c r="DI15" s="763"/>
      <c r="DJ15" s="763"/>
      <c r="DK15" s="763"/>
      <c r="DL15" s="763"/>
      <c r="DM15" s="763"/>
      <c r="DN15" s="763"/>
      <c r="DO15" s="763"/>
      <c r="DP15" s="763"/>
      <c r="DQ15" s="763"/>
      <c r="DR15" s="763"/>
      <c r="DS15" s="763"/>
      <c r="DT15" s="763"/>
      <c r="DU15" s="763"/>
      <c r="DV15" s="763"/>
      <c r="DW15" s="763"/>
      <c r="DX15" s="763"/>
      <c r="DY15" s="763"/>
      <c r="DZ15" s="763"/>
      <c r="EA15" s="763"/>
      <c r="EB15" s="763"/>
    </row>
    <row r="16" spans="1:132" s="899" customFormat="1" ht="14.1" customHeight="1" thickBot="1" x14ac:dyDescent="0.25">
      <c r="A16" s="426"/>
      <c r="B16" s="1326"/>
      <c r="C16" s="721" t="s">
        <v>1179</v>
      </c>
      <c r="D16" s="1372" t="s">
        <v>1180</v>
      </c>
      <c r="E16" s="1373"/>
      <c r="F16" s="768"/>
      <c r="G16" s="714" t="s">
        <v>1181</v>
      </c>
      <c r="H16" s="714"/>
      <c r="I16" s="722"/>
      <c r="J16" s="722"/>
      <c r="K16" s="722"/>
      <c r="L16" s="723"/>
      <c r="M16" s="715">
        <f t="shared" si="6"/>
        <v>0</v>
      </c>
      <c r="N16" s="715">
        <f t="shared" si="3"/>
        <v>0</v>
      </c>
      <c r="O16" s="724">
        <v>2.2499999999999999E-2</v>
      </c>
      <c r="P16" s="716">
        <f t="shared" si="4"/>
        <v>0</v>
      </c>
      <c r="Q16" s="717">
        <f t="shared" si="5"/>
        <v>0</v>
      </c>
      <c r="R16" s="1016"/>
      <c r="S16" s="1016"/>
      <c r="T16" s="1016"/>
      <c r="U16" s="1016"/>
      <c r="V16" s="1026">
        <f t="shared" si="0"/>
        <v>0</v>
      </c>
      <c r="W16" s="1027">
        <f t="shared" si="1"/>
        <v>0</v>
      </c>
      <c r="X16" s="1027">
        <f t="shared" si="2"/>
        <v>0</v>
      </c>
      <c r="Y16" s="1329"/>
      <c r="Z16" s="1329"/>
      <c r="AA16" s="1325"/>
      <c r="AB16" s="1329"/>
      <c r="AC16" s="1328"/>
      <c r="AD16" s="1329"/>
      <c r="AE16" s="1331"/>
      <c r="AF16" s="763"/>
      <c r="AG16" s="763"/>
      <c r="AH16" s="763"/>
      <c r="AI16" s="763"/>
      <c r="AJ16" s="763"/>
      <c r="AK16" s="763"/>
      <c r="AL16" s="763"/>
      <c r="AM16" s="763"/>
      <c r="AN16" s="763"/>
      <c r="AO16" s="763"/>
      <c r="AP16" s="763"/>
      <c r="AQ16" s="763"/>
      <c r="AR16" s="763"/>
      <c r="AS16" s="763"/>
      <c r="AT16" s="763"/>
      <c r="AU16" s="763"/>
      <c r="AV16" s="763"/>
      <c r="AW16" s="763"/>
      <c r="AX16" s="763"/>
      <c r="AY16" s="763"/>
      <c r="AZ16" s="763"/>
      <c r="BA16" s="763"/>
      <c r="BB16" s="763"/>
      <c r="BC16" s="763"/>
      <c r="BD16" s="763"/>
      <c r="BE16" s="763"/>
      <c r="BF16" s="763"/>
      <c r="BG16" s="763"/>
      <c r="BH16" s="763"/>
      <c r="BI16" s="763"/>
      <c r="BJ16" s="763"/>
      <c r="BK16" s="763"/>
      <c r="BL16" s="763"/>
      <c r="BM16" s="763"/>
      <c r="BN16" s="763"/>
      <c r="BO16" s="763"/>
      <c r="BP16" s="763"/>
      <c r="BQ16" s="763"/>
      <c r="BR16" s="763"/>
      <c r="BS16" s="763"/>
      <c r="BT16" s="763"/>
      <c r="BU16" s="763"/>
      <c r="BV16" s="763"/>
      <c r="BW16" s="763"/>
      <c r="BX16" s="763"/>
      <c r="BY16" s="763"/>
      <c r="BZ16" s="763"/>
      <c r="CA16" s="763"/>
      <c r="CB16" s="763"/>
      <c r="CC16" s="763"/>
      <c r="CD16" s="763"/>
      <c r="CE16" s="763"/>
      <c r="CF16" s="763"/>
      <c r="CG16" s="763"/>
      <c r="CH16" s="763"/>
      <c r="CI16" s="763"/>
      <c r="CJ16" s="763"/>
      <c r="CK16" s="763"/>
      <c r="CL16" s="763"/>
      <c r="CM16" s="763"/>
      <c r="CN16" s="763"/>
      <c r="CO16" s="763"/>
      <c r="CP16" s="763"/>
      <c r="CQ16" s="763"/>
      <c r="CR16" s="763"/>
      <c r="CS16" s="763"/>
      <c r="CT16" s="763"/>
      <c r="CU16" s="763"/>
      <c r="CV16" s="763"/>
      <c r="CW16" s="763"/>
      <c r="CX16" s="763"/>
      <c r="CY16" s="763"/>
      <c r="CZ16" s="763"/>
      <c r="DA16" s="763"/>
      <c r="DB16" s="763"/>
      <c r="DC16" s="763"/>
      <c r="DD16" s="763"/>
      <c r="DE16" s="763"/>
      <c r="DF16" s="763"/>
      <c r="DG16" s="763"/>
      <c r="DH16" s="763"/>
      <c r="DI16" s="763"/>
      <c r="DJ16" s="763"/>
      <c r="DK16" s="763"/>
      <c r="DL16" s="763"/>
      <c r="DM16" s="763"/>
      <c r="DN16" s="763"/>
      <c r="DO16" s="763"/>
      <c r="DP16" s="763"/>
      <c r="DQ16" s="763"/>
      <c r="DR16" s="763"/>
      <c r="DS16" s="763"/>
      <c r="DT16" s="763"/>
      <c r="DU16" s="763"/>
      <c r="DV16" s="763"/>
      <c r="DW16" s="763"/>
      <c r="DX16" s="763"/>
      <c r="DY16" s="763"/>
      <c r="DZ16" s="763"/>
      <c r="EA16" s="763"/>
      <c r="EB16" s="763"/>
    </row>
    <row r="17" spans="1:134" s="899" customFormat="1" ht="14.1" customHeight="1" x14ac:dyDescent="0.2">
      <c r="A17" s="426"/>
      <c r="B17" s="1319">
        <v>3</v>
      </c>
      <c r="C17" s="725" t="s">
        <v>1182</v>
      </c>
      <c r="D17" s="1321" t="s">
        <v>1183</v>
      </c>
      <c r="E17" s="1322"/>
      <c r="F17" s="767"/>
      <c r="G17" s="693" t="s">
        <v>1184</v>
      </c>
      <c r="H17" s="693"/>
      <c r="I17" s="694"/>
      <c r="J17" s="694"/>
      <c r="K17" s="694"/>
      <c r="L17" s="726"/>
      <c r="M17" s="718">
        <f t="shared" si="6"/>
        <v>0</v>
      </c>
      <c r="N17" s="718">
        <f t="shared" si="3"/>
        <v>0</v>
      </c>
      <c r="O17" s="727">
        <v>2.75E-2</v>
      </c>
      <c r="P17" s="719">
        <f t="shared" si="4"/>
        <v>0</v>
      </c>
      <c r="Q17" s="720">
        <f t="shared" si="5"/>
        <v>0</v>
      </c>
      <c r="R17" s="1016"/>
      <c r="S17" s="1016"/>
      <c r="T17" s="1016"/>
      <c r="U17" s="1016"/>
      <c r="V17" s="1028">
        <f t="shared" si="0"/>
        <v>0</v>
      </c>
      <c r="W17" s="1029">
        <f t="shared" si="1"/>
        <v>0</v>
      </c>
      <c r="X17" s="1029">
        <f t="shared" si="2"/>
        <v>0</v>
      </c>
      <c r="Y17" s="1330">
        <f>IF(SUM(W17:W24)&lt;SUM(X17:X24),SUM(W17:W24)*30%,SUM(X17:X24)*30%)</f>
        <v>0</v>
      </c>
      <c r="Z17" s="1330">
        <f>SUM(W17:W24)-SUM(X17:X24)</f>
        <v>0</v>
      </c>
      <c r="AA17" s="1337"/>
      <c r="AB17" s="1330">
        <f>Z17</f>
        <v>0</v>
      </c>
      <c r="AC17" s="1328"/>
      <c r="AD17" s="1330">
        <f>IF(AC14=0,AB17,IF(ABS(AB14)&lt;ABS(AB17),AB14+AB17,0))</f>
        <v>0</v>
      </c>
      <c r="AE17" s="1331"/>
      <c r="AF17" s="763"/>
      <c r="AG17" s="763"/>
      <c r="AH17" s="763"/>
      <c r="AI17" s="763"/>
      <c r="AJ17" s="763"/>
      <c r="AK17" s="763"/>
      <c r="AL17" s="763"/>
      <c r="AM17" s="763"/>
      <c r="AN17" s="763"/>
      <c r="AO17" s="763"/>
      <c r="AP17" s="763"/>
      <c r="AQ17" s="763"/>
      <c r="AR17" s="763"/>
      <c r="AS17" s="763"/>
      <c r="AT17" s="763"/>
      <c r="AU17" s="763"/>
      <c r="AV17" s="763"/>
      <c r="AW17" s="763"/>
      <c r="AX17" s="763"/>
      <c r="AY17" s="763"/>
      <c r="AZ17" s="763"/>
      <c r="BA17" s="763"/>
      <c r="BB17" s="763"/>
      <c r="BC17" s="763"/>
      <c r="BD17" s="763"/>
      <c r="BE17" s="763"/>
      <c r="BF17" s="763"/>
      <c r="BG17" s="763"/>
      <c r="BH17" s="763"/>
      <c r="BI17" s="763"/>
      <c r="BJ17" s="763"/>
      <c r="BK17" s="763"/>
      <c r="BL17" s="763"/>
      <c r="BM17" s="763"/>
      <c r="BN17" s="763"/>
      <c r="BO17" s="763"/>
      <c r="BP17" s="763"/>
      <c r="BQ17" s="763"/>
      <c r="BR17" s="763"/>
      <c r="BS17" s="763"/>
      <c r="BT17" s="763"/>
      <c r="BU17" s="763"/>
      <c r="BV17" s="763"/>
      <c r="BW17" s="763"/>
      <c r="BX17" s="763"/>
      <c r="BY17" s="763"/>
      <c r="BZ17" s="763"/>
      <c r="CA17" s="763"/>
      <c r="CB17" s="763"/>
      <c r="CC17" s="763"/>
      <c r="CD17" s="763"/>
      <c r="CE17" s="763"/>
      <c r="CF17" s="763"/>
      <c r="CG17" s="763"/>
      <c r="CH17" s="763"/>
      <c r="CI17" s="763"/>
      <c r="CJ17" s="763"/>
      <c r="CK17" s="763"/>
      <c r="CL17" s="763"/>
      <c r="CM17" s="763"/>
      <c r="CN17" s="763"/>
      <c r="CO17" s="763"/>
      <c r="CP17" s="763"/>
      <c r="CQ17" s="763"/>
      <c r="CR17" s="763"/>
      <c r="CS17" s="763"/>
      <c r="CT17" s="763"/>
      <c r="CU17" s="763"/>
      <c r="CV17" s="763"/>
      <c r="CW17" s="763"/>
      <c r="CX17" s="763"/>
      <c r="CY17" s="763"/>
      <c r="CZ17" s="763"/>
      <c r="DA17" s="763"/>
      <c r="DB17" s="763"/>
      <c r="DC17" s="763"/>
      <c r="DD17" s="763"/>
      <c r="DE17" s="763"/>
      <c r="DF17" s="763"/>
      <c r="DG17" s="763"/>
      <c r="DH17" s="763"/>
      <c r="DI17" s="763"/>
      <c r="DJ17" s="763"/>
      <c r="DK17" s="763"/>
      <c r="DL17" s="763"/>
      <c r="DM17" s="763"/>
      <c r="DN17" s="763"/>
      <c r="DO17" s="763"/>
      <c r="DP17" s="763"/>
      <c r="DQ17" s="763"/>
      <c r="DR17" s="763"/>
      <c r="DS17" s="763"/>
      <c r="DT17" s="763"/>
      <c r="DU17" s="763"/>
      <c r="DV17" s="763"/>
      <c r="DW17" s="763"/>
      <c r="DX17" s="763"/>
      <c r="DY17" s="763"/>
      <c r="DZ17" s="763"/>
      <c r="EA17" s="763"/>
      <c r="EB17" s="763"/>
    </row>
    <row r="18" spans="1:134" s="899" customFormat="1" ht="14.1" customHeight="1" x14ac:dyDescent="0.2">
      <c r="A18" s="426"/>
      <c r="B18" s="1320"/>
      <c r="C18" s="451" t="s">
        <v>1185</v>
      </c>
      <c r="D18" s="1333" t="s">
        <v>1186</v>
      </c>
      <c r="E18" s="1334"/>
      <c r="F18" s="701"/>
      <c r="G18" s="702" t="s">
        <v>1187</v>
      </c>
      <c r="H18" s="702"/>
      <c r="I18" s="704"/>
      <c r="J18" s="704"/>
      <c r="K18" s="704"/>
      <c r="L18" s="705"/>
      <c r="M18" s="706">
        <f t="shared" si="6"/>
        <v>0</v>
      </c>
      <c r="N18" s="706">
        <f t="shared" si="3"/>
        <v>0</v>
      </c>
      <c r="O18" s="707">
        <v>3.2500000000000001E-2</v>
      </c>
      <c r="P18" s="708">
        <f t="shared" si="4"/>
        <v>0</v>
      </c>
      <c r="Q18" s="709">
        <f t="shared" si="5"/>
        <v>0</v>
      </c>
      <c r="R18" s="1016"/>
      <c r="S18" s="1016"/>
      <c r="T18" s="1016"/>
      <c r="U18" s="1016"/>
      <c r="V18" s="1030">
        <f t="shared" si="0"/>
        <v>0</v>
      </c>
      <c r="W18" s="1031">
        <f t="shared" si="1"/>
        <v>0</v>
      </c>
      <c r="X18" s="1031">
        <f t="shared" si="2"/>
        <v>0</v>
      </c>
      <c r="Y18" s="1331"/>
      <c r="Z18" s="1331"/>
      <c r="AA18" s="1338"/>
      <c r="AB18" s="1331"/>
      <c r="AC18" s="1328"/>
      <c r="AD18" s="1331"/>
      <c r="AE18" s="1331"/>
      <c r="AF18" s="763"/>
      <c r="AG18" s="763"/>
      <c r="AH18" s="763"/>
      <c r="AI18" s="763"/>
      <c r="AJ18" s="763"/>
      <c r="AK18" s="763"/>
      <c r="AL18" s="763"/>
      <c r="AM18" s="763"/>
      <c r="AN18" s="763"/>
      <c r="AO18" s="763"/>
      <c r="AP18" s="763"/>
      <c r="AQ18" s="763"/>
      <c r="AR18" s="763"/>
      <c r="AS18" s="763"/>
      <c r="AT18" s="763"/>
      <c r="AU18" s="763"/>
      <c r="AV18" s="763"/>
      <c r="AW18" s="763"/>
      <c r="AX18" s="763"/>
      <c r="AY18" s="763"/>
      <c r="AZ18" s="763"/>
      <c r="BA18" s="763"/>
      <c r="BB18" s="763"/>
      <c r="BC18" s="763"/>
      <c r="BD18" s="763"/>
      <c r="BE18" s="763"/>
      <c r="BF18" s="763"/>
      <c r="BG18" s="763"/>
      <c r="BH18" s="763"/>
      <c r="BI18" s="763"/>
      <c r="BJ18" s="763"/>
      <c r="BK18" s="763"/>
      <c r="BL18" s="763"/>
      <c r="BM18" s="763"/>
      <c r="BN18" s="763"/>
      <c r="BO18" s="763"/>
      <c r="BP18" s="763"/>
      <c r="BQ18" s="763"/>
      <c r="BR18" s="763"/>
      <c r="BS18" s="763"/>
      <c r="BT18" s="763"/>
      <c r="BU18" s="763"/>
      <c r="BV18" s="763"/>
      <c r="BW18" s="763"/>
      <c r="BX18" s="763"/>
      <c r="BY18" s="763"/>
      <c r="BZ18" s="763"/>
      <c r="CA18" s="763"/>
      <c r="CB18" s="763"/>
      <c r="CC18" s="763"/>
      <c r="CD18" s="763"/>
      <c r="CE18" s="763"/>
      <c r="CF18" s="763"/>
      <c r="CG18" s="763"/>
      <c r="CH18" s="763"/>
      <c r="CI18" s="763"/>
      <c r="CJ18" s="763"/>
      <c r="CK18" s="763"/>
      <c r="CL18" s="763"/>
      <c r="CM18" s="763"/>
      <c r="CN18" s="763"/>
      <c r="CO18" s="763"/>
      <c r="CP18" s="763"/>
      <c r="CQ18" s="763"/>
      <c r="CR18" s="763"/>
      <c r="CS18" s="763"/>
      <c r="CT18" s="763"/>
      <c r="CU18" s="763"/>
      <c r="CV18" s="763"/>
      <c r="CW18" s="763"/>
      <c r="CX18" s="763"/>
      <c r="CY18" s="763"/>
      <c r="CZ18" s="763"/>
      <c r="DA18" s="763"/>
      <c r="DB18" s="763"/>
      <c r="DC18" s="763"/>
      <c r="DD18" s="763"/>
      <c r="DE18" s="763"/>
      <c r="DF18" s="763"/>
      <c r="DG18" s="763"/>
      <c r="DH18" s="763"/>
      <c r="DI18" s="763"/>
      <c r="DJ18" s="763"/>
      <c r="DK18" s="763"/>
      <c r="DL18" s="763"/>
      <c r="DM18" s="763"/>
      <c r="DN18" s="763"/>
      <c r="DO18" s="763"/>
      <c r="DP18" s="763"/>
      <c r="DQ18" s="763"/>
      <c r="DR18" s="763"/>
      <c r="DS18" s="763"/>
      <c r="DT18" s="763"/>
      <c r="DU18" s="763"/>
      <c r="DV18" s="763"/>
      <c r="DW18" s="763"/>
      <c r="DX18" s="763"/>
      <c r="DY18" s="763"/>
      <c r="DZ18" s="763"/>
      <c r="EA18" s="763"/>
      <c r="EB18" s="763"/>
    </row>
    <row r="19" spans="1:134" s="899" customFormat="1" ht="14.1" customHeight="1" x14ac:dyDescent="0.2">
      <c r="A19" s="426"/>
      <c r="B19" s="1320"/>
      <c r="C19" s="451" t="s">
        <v>1188</v>
      </c>
      <c r="D19" s="1333" t="s">
        <v>1189</v>
      </c>
      <c r="E19" s="1334"/>
      <c r="F19" s="701"/>
      <c r="G19" s="702" t="s">
        <v>1190</v>
      </c>
      <c r="H19" s="702"/>
      <c r="I19" s="704"/>
      <c r="J19" s="704"/>
      <c r="K19" s="704"/>
      <c r="L19" s="705"/>
      <c r="M19" s="706">
        <f t="shared" si="6"/>
        <v>0</v>
      </c>
      <c r="N19" s="706">
        <f t="shared" si="3"/>
        <v>0</v>
      </c>
      <c r="O19" s="707">
        <v>3.7499999999999999E-2</v>
      </c>
      <c r="P19" s="708">
        <f t="shared" si="4"/>
        <v>0</v>
      </c>
      <c r="Q19" s="709">
        <f t="shared" si="5"/>
        <v>0</v>
      </c>
      <c r="R19" s="1016"/>
      <c r="S19" s="1016"/>
      <c r="T19" s="1016"/>
      <c r="U19" s="1016"/>
      <c r="V19" s="1030">
        <f t="shared" si="0"/>
        <v>0</v>
      </c>
      <c r="W19" s="1031">
        <f t="shared" si="1"/>
        <v>0</v>
      </c>
      <c r="X19" s="1031">
        <f t="shared" si="2"/>
        <v>0</v>
      </c>
      <c r="Y19" s="1331"/>
      <c r="Z19" s="1331"/>
      <c r="AA19" s="1338"/>
      <c r="AB19" s="1331"/>
      <c r="AC19" s="1328"/>
      <c r="AD19" s="1331"/>
      <c r="AE19" s="1331"/>
      <c r="AF19" s="763"/>
      <c r="AG19" s="763"/>
      <c r="AH19" s="763"/>
      <c r="AI19" s="763"/>
      <c r="AJ19" s="763"/>
      <c r="AK19" s="763"/>
      <c r="AL19" s="763"/>
      <c r="AM19" s="763"/>
      <c r="AN19" s="763"/>
      <c r="AO19" s="763"/>
      <c r="AP19" s="763"/>
      <c r="AQ19" s="763"/>
      <c r="AR19" s="763"/>
      <c r="AS19" s="763"/>
      <c r="AT19" s="763"/>
      <c r="AU19" s="763"/>
      <c r="AV19" s="763"/>
      <c r="AW19" s="763"/>
      <c r="AX19" s="763"/>
      <c r="AY19" s="763"/>
      <c r="AZ19" s="763"/>
      <c r="BA19" s="763"/>
      <c r="BB19" s="763"/>
      <c r="BC19" s="763"/>
      <c r="BD19" s="763"/>
      <c r="BE19" s="763"/>
      <c r="BF19" s="763"/>
      <c r="BG19" s="763"/>
      <c r="BH19" s="763"/>
      <c r="BI19" s="763"/>
      <c r="BJ19" s="763"/>
      <c r="BK19" s="763"/>
      <c r="BL19" s="763"/>
      <c r="BM19" s="763"/>
      <c r="BN19" s="763"/>
      <c r="BO19" s="763"/>
      <c r="BP19" s="763"/>
      <c r="BQ19" s="763"/>
      <c r="BR19" s="763"/>
      <c r="BS19" s="763"/>
      <c r="BT19" s="763"/>
      <c r="BU19" s="763"/>
      <c r="BV19" s="763"/>
      <c r="BW19" s="763"/>
      <c r="BX19" s="763"/>
      <c r="BY19" s="763"/>
      <c r="BZ19" s="763"/>
      <c r="CA19" s="763"/>
      <c r="CB19" s="763"/>
      <c r="CC19" s="763"/>
      <c r="CD19" s="763"/>
      <c r="CE19" s="763"/>
      <c r="CF19" s="763"/>
      <c r="CG19" s="763"/>
      <c r="CH19" s="763"/>
      <c r="CI19" s="763"/>
      <c r="CJ19" s="763"/>
      <c r="CK19" s="763"/>
      <c r="CL19" s="763"/>
      <c r="CM19" s="763"/>
      <c r="CN19" s="763"/>
      <c r="CO19" s="763"/>
      <c r="CP19" s="763"/>
      <c r="CQ19" s="763"/>
      <c r="CR19" s="763"/>
      <c r="CS19" s="763"/>
      <c r="CT19" s="763"/>
      <c r="CU19" s="763"/>
      <c r="CV19" s="763"/>
      <c r="CW19" s="763"/>
      <c r="CX19" s="763"/>
      <c r="CY19" s="763"/>
      <c r="CZ19" s="763"/>
      <c r="DA19" s="763"/>
      <c r="DB19" s="763"/>
      <c r="DC19" s="763"/>
      <c r="DD19" s="763"/>
      <c r="DE19" s="763"/>
      <c r="DF19" s="763"/>
      <c r="DG19" s="763"/>
      <c r="DH19" s="763"/>
      <c r="DI19" s="763"/>
      <c r="DJ19" s="763"/>
      <c r="DK19" s="763"/>
      <c r="DL19" s="763"/>
      <c r="DM19" s="763"/>
      <c r="DN19" s="763"/>
      <c r="DO19" s="763"/>
      <c r="DP19" s="763"/>
      <c r="DQ19" s="763"/>
      <c r="DR19" s="763"/>
      <c r="DS19" s="763"/>
      <c r="DT19" s="763"/>
      <c r="DU19" s="763"/>
      <c r="DV19" s="763"/>
      <c r="DW19" s="763"/>
      <c r="DX19" s="763"/>
      <c r="DY19" s="763"/>
      <c r="DZ19" s="763"/>
      <c r="EA19" s="763"/>
      <c r="EB19" s="763"/>
    </row>
    <row r="20" spans="1:134" s="899" customFormat="1" ht="14.1" customHeight="1" x14ac:dyDescent="0.2">
      <c r="A20" s="426"/>
      <c r="B20" s="1320"/>
      <c r="C20" s="451" t="s">
        <v>1191</v>
      </c>
      <c r="D20" s="1333" t="s">
        <v>1192</v>
      </c>
      <c r="E20" s="1334"/>
      <c r="F20" s="701"/>
      <c r="G20" s="702" t="s">
        <v>1193</v>
      </c>
      <c r="H20" s="702"/>
      <c r="I20" s="704"/>
      <c r="J20" s="704"/>
      <c r="K20" s="704"/>
      <c r="L20" s="705"/>
      <c r="M20" s="706">
        <f t="shared" si="6"/>
        <v>0</v>
      </c>
      <c r="N20" s="706">
        <f t="shared" si="3"/>
        <v>0</v>
      </c>
      <c r="O20" s="707">
        <v>4.4999999999999998E-2</v>
      </c>
      <c r="P20" s="708">
        <f t="shared" si="4"/>
        <v>0</v>
      </c>
      <c r="Q20" s="709">
        <f t="shared" si="5"/>
        <v>0</v>
      </c>
      <c r="R20" s="1016"/>
      <c r="S20" s="1016"/>
      <c r="T20" s="1016"/>
      <c r="U20" s="1016"/>
      <c r="V20" s="1030">
        <f t="shared" si="0"/>
        <v>0</v>
      </c>
      <c r="W20" s="1031">
        <f t="shared" si="1"/>
        <v>0</v>
      </c>
      <c r="X20" s="1031">
        <f t="shared" si="2"/>
        <v>0</v>
      </c>
      <c r="Y20" s="1331"/>
      <c r="Z20" s="1331"/>
      <c r="AA20" s="1338"/>
      <c r="AB20" s="1331"/>
      <c r="AC20" s="1328"/>
      <c r="AD20" s="1331"/>
      <c r="AE20" s="1331"/>
      <c r="AF20" s="763"/>
      <c r="AG20" s="763"/>
      <c r="AH20" s="763"/>
      <c r="AI20" s="763"/>
      <c r="AJ20" s="763"/>
      <c r="AK20" s="763"/>
      <c r="AL20" s="763"/>
      <c r="AM20" s="763"/>
      <c r="AN20" s="763"/>
      <c r="AO20" s="763"/>
      <c r="AP20" s="763"/>
      <c r="AQ20" s="763"/>
      <c r="AR20" s="763"/>
      <c r="AS20" s="763"/>
      <c r="AT20" s="763"/>
      <c r="AU20" s="763"/>
      <c r="AV20" s="763"/>
      <c r="AW20" s="763"/>
      <c r="AX20" s="763"/>
      <c r="AY20" s="763"/>
      <c r="AZ20" s="763"/>
      <c r="BA20" s="763"/>
      <c r="BB20" s="763"/>
      <c r="BC20" s="763"/>
      <c r="BD20" s="763"/>
      <c r="BE20" s="763"/>
      <c r="BF20" s="763"/>
      <c r="BG20" s="763"/>
      <c r="BH20" s="763"/>
      <c r="BI20" s="763"/>
      <c r="BJ20" s="763"/>
      <c r="BK20" s="763"/>
      <c r="BL20" s="763"/>
      <c r="BM20" s="763"/>
      <c r="BN20" s="763"/>
      <c r="BO20" s="763"/>
      <c r="BP20" s="763"/>
      <c r="BQ20" s="763"/>
      <c r="BR20" s="763"/>
      <c r="BS20" s="763"/>
      <c r="BT20" s="763"/>
      <c r="BU20" s="763"/>
      <c r="BV20" s="763"/>
      <c r="BW20" s="763"/>
      <c r="BX20" s="763"/>
      <c r="BY20" s="763"/>
      <c r="BZ20" s="763"/>
      <c r="CA20" s="763"/>
      <c r="CB20" s="763"/>
      <c r="CC20" s="763"/>
      <c r="CD20" s="763"/>
      <c r="CE20" s="763"/>
      <c r="CF20" s="763"/>
      <c r="CG20" s="763"/>
      <c r="CH20" s="763"/>
      <c r="CI20" s="763"/>
      <c r="CJ20" s="763"/>
      <c r="CK20" s="763"/>
      <c r="CL20" s="763"/>
      <c r="CM20" s="763"/>
      <c r="CN20" s="763"/>
      <c r="CO20" s="763"/>
      <c r="CP20" s="763"/>
      <c r="CQ20" s="763"/>
      <c r="CR20" s="763"/>
      <c r="CS20" s="763"/>
      <c r="CT20" s="763"/>
      <c r="CU20" s="763"/>
      <c r="CV20" s="763"/>
      <c r="CW20" s="763"/>
      <c r="CX20" s="763"/>
      <c r="CY20" s="763"/>
      <c r="CZ20" s="763"/>
      <c r="DA20" s="763"/>
      <c r="DB20" s="763"/>
      <c r="DC20" s="763"/>
      <c r="DD20" s="763"/>
      <c r="DE20" s="763"/>
      <c r="DF20" s="763"/>
      <c r="DG20" s="763"/>
      <c r="DH20" s="763"/>
      <c r="DI20" s="763"/>
      <c r="DJ20" s="763"/>
      <c r="DK20" s="763"/>
      <c r="DL20" s="763"/>
      <c r="DM20" s="763"/>
      <c r="DN20" s="763"/>
      <c r="DO20" s="763"/>
      <c r="DP20" s="763"/>
      <c r="DQ20" s="763"/>
      <c r="DR20" s="763"/>
      <c r="DS20" s="763"/>
      <c r="DT20" s="763"/>
      <c r="DU20" s="763"/>
      <c r="DV20" s="763"/>
      <c r="DW20" s="763"/>
      <c r="DX20" s="763"/>
      <c r="DY20" s="763"/>
      <c r="DZ20" s="763"/>
      <c r="EA20" s="763"/>
      <c r="EB20" s="763"/>
    </row>
    <row r="21" spans="1:134" s="899" customFormat="1" ht="14.1" customHeight="1" x14ac:dyDescent="0.2">
      <c r="A21" s="426"/>
      <c r="B21" s="1320"/>
      <c r="C21" s="451" t="s">
        <v>1194</v>
      </c>
      <c r="D21" s="1333" t="s">
        <v>1195</v>
      </c>
      <c r="E21" s="1334"/>
      <c r="F21" s="701"/>
      <c r="G21" s="702" t="s">
        <v>1196</v>
      </c>
      <c r="H21" s="702"/>
      <c r="I21" s="704"/>
      <c r="J21" s="704"/>
      <c r="K21" s="704"/>
      <c r="L21" s="705"/>
      <c r="M21" s="706">
        <f t="shared" si="6"/>
        <v>0</v>
      </c>
      <c r="N21" s="706">
        <f t="shared" si="3"/>
        <v>0</v>
      </c>
      <c r="O21" s="707">
        <v>5.2499999999999998E-2</v>
      </c>
      <c r="P21" s="708">
        <f t="shared" si="4"/>
        <v>0</v>
      </c>
      <c r="Q21" s="709">
        <f t="shared" si="5"/>
        <v>0</v>
      </c>
      <c r="R21" s="1016"/>
      <c r="S21" s="1016"/>
      <c r="T21" s="1016"/>
      <c r="U21" s="1016"/>
      <c r="V21" s="1030">
        <f t="shared" si="0"/>
        <v>0</v>
      </c>
      <c r="W21" s="1031">
        <f t="shared" si="1"/>
        <v>0</v>
      </c>
      <c r="X21" s="1031">
        <f t="shared" si="2"/>
        <v>0</v>
      </c>
      <c r="Y21" s="1331"/>
      <c r="Z21" s="1331"/>
      <c r="AA21" s="1338"/>
      <c r="AB21" s="1331"/>
      <c r="AC21" s="1328"/>
      <c r="AD21" s="1331"/>
      <c r="AE21" s="1331"/>
      <c r="AF21" s="763"/>
      <c r="AG21" s="763"/>
      <c r="AH21" s="763"/>
      <c r="AI21" s="763"/>
      <c r="AJ21" s="763"/>
      <c r="AK21" s="763"/>
      <c r="AL21" s="763"/>
      <c r="AM21" s="763"/>
      <c r="AN21" s="763"/>
      <c r="AO21" s="763"/>
      <c r="AP21" s="763"/>
      <c r="AQ21" s="763"/>
      <c r="AR21" s="763"/>
      <c r="AS21" s="763"/>
      <c r="AT21" s="763"/>
      <c r="AU21" s="763"/>
      <c r="AV21" s="763"/>
      <c r="AW21" s="763"/>
      <c r="AX21" s="763"/>
      <c r="AY21" s="763"/>
      <c r="AZ21" s="763"/>
      <c r="BA21" s="763"/>
      <c r="BB21" s="763"/>
      <c r="BC21" s="763"/>
      <c r="BD21" s="763"/>
      <c r="BE21" s="763"/>
      <c r="BF21" s="763"/>
      <c r="BG21" s="763"/>
      <c r="BH21" s="763"/>
      <c r="BI21" s="763"/>
      <c r="BJ21" s="763"/>
      <c r="BK21" s="763"/>
      <c r="BL21" s="763"/>
      <c r="BM21" s="763"/>
      <c r="BN21" s="763"/>
      <c r="BO21" s="763"/>
      <c r="BP21" s="763"/>
      <c r="BQ21" s="763"/>
      <c r="BR21" s="763"/>
      <c r="BS21" s="763"/>
      <c r="BT21" s="763"/>
      <c r="BU21" s="763"/>
      <c r="BV21" s="763"/>
      <c r="BW21" s="763"/>
      <c r="BX21" s="763"/>
      <c r="BY21" s="763"/>
      <c r="BZ21" s="763"/>
      <c r="CA21" s="763"/>
      <c r="CB21" s="763"/>
      <c r="CC21" s="763"/>
      <c r="CD21" s="763"/>
      <c r="CE21" s="763"/>
      <c r="CF21" s="763"/>
      <c r="CG21" s="763"/>
      <c r="CH21" s="763"/>
      <c r="CI21" s="763"/>
      <c r="CJ21" s="763"/>
      <c r="CK21" s="763"/>
      <c r="CL21" s="763"/>
      <c r="CM21" s="763"/>
      <c r="CN21" s="763"/>
      <c r="CO21" s="763"/>
      <c r="CP21" s="763"/>
      <c r="CQ21" s="763"/>
      <c r="CR21" s="763"/>
      <c r="CS21" s="763"/>
      <c r="CT21" s="763"/>
      <c r="CU21" s="763"/>
      <c r="CV21" s="763"/>
      <c r="CW21" s="763"/>
      <c r="CX21" s="763"/>
      <c r="CY21" s="763"/>
      <c r="CZ21" s="763"/>
      <c r="DA21" s="763"/>
      <c r="DB21" s="763"/>
      <c r="DC21" s="763"/>
      <c r="DD21" s="763"/>
      <c r="DE21" s="763"/>
      <c r="DF21" s="763"/>
      <c r="DG21" s="763"/>
      <c r="DH21" s="763"/>
      <c r="DI21" s="763"/>
      <c r="DJ21" s="763"/>
      <c r="DK21" s="763"/>
      <c r="DL21" s="763"/>
      <c r="DM21" s="763"/>
      <c r="DN21" s="763"/>
      <c r="DO21" s="763"/>
      <c r="DP21" s="763"/>
      <c r="DQ21" s="763"/>
      <c r="DR21" s="763"/>
      <c r="DS21" s="763"/>
      <c r="DT21" s="763"/>
      <c r="DU21" s="763"/>
      <c r="DV21" s="763"/>
      <c r="DW21" s="763"/>
      <c r="DX21" s="763"/>
      <c r="DY21" s="763"/>
      <c r="DZ21" s="763"/>
      <c r="EA21" s="763"/>
      <c r="EB21" s="763"/>
    </row>
    <row r="22" spans="1:134" s="899" customFormat="1" ht="14.1" customHeight="1" x14ac:dyDescent="0.2">
      <c r="A22" s="426"/>
      <c r="B22" s="1320"/>
      <c r="C22" s="451" t="s">
        <v>1197</v>
      </c>
      <c r="D22" s="1333" t="s">
        <v>1198</v>
      </c>
      <c r="E22" s="1334"/>
      <c r="F22" s="701"/>
      <c r="G22" s="702" t="s">
        <v>1199</v>
      </c>
      <c r="H22" s="702"/>
      <c r="I22" s="704"/>
      <c r="J22" s="704"/>
      <c r="K22" s="704"/>
      <c r="L22" s="705"/>
      <c r="M22" s="706">
        <f t="shared" si="6"/>
        <v>0</v>
      </c>
      <c r="N22" s="706">
        <f t="shared" si="3"/>
        <v>0</v>
      </c>
      <c r="O22" s="707">
        <v>0.06</v>
      </c>
      <c r="P22" s="708">
        <f t="shared" si="4"/>
        <v>0</v>
      </c>
      <c r="Q22" s="709">
        <f t="shared" si="5"/>
        <v>0</v>
      </c>
      <c r="R22" s="1016"/>
      <c r="S22" s="1016"/>
      <c r="T22" s="1016"/>
      <c r="U22" s="1016"/>
      <c r="V22" s="1030">
        <f t="shared" si="0"/>
        <v>0</v>
      </c>
      <c r="W22" s="1032">
        <f t="shared" si="1"/>
        <v>0</v>
      </c>
      <c r="X22" s="1031">
        <f t="shared" si="2"/>
        <v>0</v>
      </c>
      <c r="Y22" s="1331"/>
      <c r="Z22" s="1331"/>
      <c r="AA22" s="1338"/>
      <c r="AB22" s="1331"/>
      <c r="AC22" s="1328"/>
      <c r="AD22" s="1331"/>
      <c r="AE22" s="1331"/>
      <c r="AF22" s="763"/>
      <c r="AG22" s="763"/>
      <c r="AH22" s="763"/>
      <c r="AI22" s="763"/>
      <c r="AJ22" s="763"/>
      <c r="AK22" s="763"/>
      <c r="AL22" s="763"/>
      <c r="AM22" s="763"/>
      <c r="AN22" s="763"/>
      <c r="AO22" s="763"/>
      <c r="AP22" s="763"/>
      <c r="AQ22" s="763"/>
      <c r="AR22" s="763"/>
      <c r="AS22" s="763"/>
      <c r="AT22" s="763"/>
      <c r="AU22" s="763"/>
      <c r="AV22" s="763"/>
      <c r="AW22" s="763"/>
      <c r="AX22" s="763"/>
      <c r="AY22" s="763"/>
      <c r="AZ22" s="763"/>
      <c r="BA22" s="763"/>
      <c r="BB22" s="763"/>
      <c r="BC22" s="763"/>
      <c r="BD22" s="763"/>
      <c r="BE22" s="763"/>
      <c r="BF22" s="763"/>
      <c r="BG22" s="763"/>
      <c r="BH22" s="763"/>
      <c r="BI22" s="763"/>
      <c r="BJ22" s="763"/>
      <c r="BK22" s="763"/>
      <c r="BL22" s="763"/>
      <c r="BM22" s="763"/>
      <c r="BN22" s="763"/>
      <c r="BO22" s="763"/>
      <c r="BP22" s="763"/>
      <c r="BQ22" s="763"/>
      <c r="BR22" s="763"/>
      <c r="BS22" s="763"/>
      <c r="BT22" s="763"/>
      <c r="BU22" s="763"/>
      <c r="BV22" s="763"/>
      <c r="BW22" s="763"/>
      <c r="BX22" s="763"/>
      <c r="BY22" s="763"/>
      <c r="BZ22" s="763"/>
      <c r="CA22" s="763"/>
      <c r="CB22" s="763"/>
      <c r="CC22" s="763"/>
      <c r="CD22" s="763"/>
      <c r="CE22" s="763"/>
      <c r="CF22" s="763"/>
      <c r="CG22" s="763"/>
      <c r="CH22" s="763"/>
      <c r="CI22" s="763"/>
      <c r="CJ22" s="763"/>
      <c r="CK22" s="763"/>
      <c r="CL22" s="763"/>
      <c r="CM22" s="763"/>
      <c r="CN22" s="763"/>
      <c r="CO22" s="763"/>
      <c r="CP22" s="763"/>
      <c r="CQ22" s="763"/>
      <c r="CR22" s="763"/>
      <c r="CS22" s="763"/>
      <c r="CT22" s="763"/>
      <c r="CU22" s="763"/>
      <c r="CV22" s="763"/>
      <c r="CW22" s="763"/>
      <c r="CX22" s="763"/>
      <c r="CY22" s="763"/>
      <c r="CZ22" s="763"/>
      <c r="DA22" s="763"/>
      <c r="DB22" s="763"/>
      <c r="DC22" s="763"/>
      <c r="DD22" s="763"/>
      <c r="DE22" s="763"/>
      <c r="DF22" s="763"/>
      <c r="DG22" s="763"/>
      <c r="DH22" s="763"/>
      <c r="DI22" s="763"/>
      <c r="DJ22" s="763"/>
      <c r="DK22" s="763"/>
      <c r="DL22" s="763"/>
      <c r="DM22" s="763"/>
      <c r="DN22" s="763"/>
      <c r="DO22" s="763"/>
      <c r="DP22" s="763"/>
      <c r="DQ22" s="763"/>
      <c r="DR22" s="763"/>
      <c r="DS22" s="763"/>
      <c r="DT22" s="763"/>
      <c r="DU22" s="763"/>
      <c r="DV22" s="763"/>
      <c r="DW22" s="763"/>
      <c r="DX22" s="763"/>
      <c r="DY22" s="763"/>
      <c r="DZ22" s="763"/>
      <c r="EA22" s="763"/>
      <c r="EB22" s="763"/>
    </row>
    <row r="23" spans="1:134" s="899" customFormat="1" ht="14.1" customHeight="1" x14ac:dyDescent="0.2">
      <c r="A23" s="426"/>
      <c r="B23" s="1320"/>
      <c r="C23" s="451"/>
      <c r="D23" s="1333" t="s">
        <v>1200</v>
      </c>
      <c r="E23" s="1334"/>
      <c r="F23" s="701"/>
      <c r="G23" s="702" t="s">
        <v>1201</v>
      </c>
      <c r="H23" s="702"/>
      <c r="I23" s="704"/>
      <c r="J23" s="704"/>
      <c r="K23" s="704"/>
      <c r="L23" s="705"/>
      <c r="M23" s="706">
        <f t="shared" si="6"/>
        <v>0</v>
      </c>
      <c r="N23" s="706">
        <f t="shared" si="3"/>
        <v>0</v>
      </c>
      <c r="O23" s="707">
        <v>0.08</v>
      </c>
      <c r="P23" s="708">
        <f t="shared" si="4"/>
        <v>0</v>
      </c>
      <c r="Q23" s="709">
        <f t="shared" si="5"/>
        <v>0</v>
      </c>
      <c r="R23" s="1016"/>
      <c r="S23" s="1016"/>
      <c r="T23" s="1016"/>
      <c r="U23" s="1016"/>
      <c r="V23" s="1030">
        <f t="shared" si="0"/>
        <v>0</v>
      </c>
      <c r="W23" s="1031">
        <f t="shared" si="1"/>
        <v>0</v>
      </c>
      <c r="X23" s="1031">
        <f t="shared" si="2"/>
        <v>0</v>
      </c>
      <c r="Y23" s="1331"/>
      <c r="Z23" s="1331"/>
      <c r="AA23" s="1338"/>
      <c r="AB23" s="1331"/>
      <c r="AC23" s="1328"/>
      <c r="AD23" s="1331"/>
      <c r="AE23" s="1331"/>
      <c r="AF23" s="763"/>
      <c r="AG23" s="763"/>
      <c r="AH23" s="763"/>
      <c r="AI23" s="763"/>
      <c r="AJ23" s="763"/>
      <c r="AK23" s="763"/>
      <c r="AL23" s="763"/>
      <c r="AM23" s="763"/>
      <c r="AN23" s="763"/>
      <c r="AO23" s="763"/>
      <c r="AP23" s="763"/>
      <c r="AQ23" s="763"/>
      <c r="AR23" s="763"/>
      <c r="AS23" s="763"/>
      <c r="AT23" s="763"/>
      <c r="AU23" s="763"/>
      <c r="AV23" s="763"/>
      <c r="AW23" s="763"/>
      <c r="AX23" s="763"/>
      <c r="AY23" s="763"/>
      <c r="AZ23" s="763"/>
      <c r="BA23" s="763"/>
      <c r="BB23" s="763"/>
      <c r="BC23" s="763"/>
      <c r="BD23" s="763"/>
      <c r="BE23" s="763"/>
      <c r="BF23" s="763"/>
      <c r="BG23" s="763"/>
      <c r="BH23" s="763"/>
      <c r="BI23" s="763"/>
      <c r="BJ23" s="763"/>
      <c r="BK23" s="763"/>
      <c r="BL23" s="763"/>
      <c r="BM23" s="763"/>
      <c r="BN23" s="763"/>
      <c r="BO23" s="763"/>
      <c r="BP23" s="763"/>
      <c r="BQ23" s="763"/>
      <c r="BR23" s="763"/>
      <c r="BS23" s="763"/>
      <c r="BT23" s="763"/>
      <c r="BU23" s="763"/>
      <c r="BV23" s="763"/>
      <c r="BW23" s="763"/>
      <c r="BX23" s="763"/>
      <c r="BY23" s="763"/>
      <c r="BZ23" s="763"/>
      <c r="CA23" s="763"/>
      <c r="CB23" s="763"/>
      <c r="CC23" s="763"/>
      <c r="CD23" s="763"/>
      <c r="CE23" s="763"/>
      <c r="CF23" s="763"/>
      <c r="CG23" s="763"/>
      <c r="CH23" s="763"/>
      <c r="CI23" s="763"/>
      <c r="CJ23" s="763"/>
      <c r="CK23" s="763"/>
      <c r="CL23" s="763"/>
      <c r="CM23" s="763"/>
      <c r="CN23" s="763"/>
      <c r="CO23" s="763"/>
      <c r="CP23" s="763"/>
      <c r="CQ23" s="763"/>
      <c r="CR23" s="763"/>
      <c r="CS23" s="763"/>
      <c r="CT23" s="763"/>
      <c r="CU23" s="763"/>
      <c r="CV23" s="763"/>
      <c r="CW23" s="763"/>
      <c r="CX23" s="763"/>
      <c r="CY23" s="763"/>
      <c r="CZ23" s="763"/>
      <c r="DA23" s="763"/>
      <c r="DB23" s="763"/>
      <c r="DC23" s="763"/>
      <c r="DD23" s="763"/>
      <c r="DE23" s="763"/>
      <c r="DF23" s="763"/>
      <c r="DG23" s="763"/>
      <c r="DH23" s="763"/>
      <c r="DI23" s="763"/>
      <c r="DJ23" s="763"/>
      <c r="DK23" s="763"/>
      <c r="DL23" s="763"/>
      <c r="DM23" s="763"/>
      <c r="DN23" s="763"/>
      <c r="DO23" s="763"/>
      <c r="DP23" s="763"/>
      <c r="DQ23" s="763"/>
      <c r="DR23" s="763"/>
      <c r="DS23" s="763"/>
      <c r="DT23" s="763"/>
      <c r="DU23" s="763"/>
      <c r="DV23" s="763"/>
      <c r="DW23" s="763"/>
      <c r="DX23" s="763"/>
      <c r="DY23" s="763"/>
      <c r="DZ23" s="763"/>
      <c r="EA23" s="763"/>
      <c r="EB23" s="763"/>
    </row>
    <row r="24" spans="1:134" s="899" customFormat="1" ht="14.1" customHeight="1" thickBot="1" x14ac:dyDescent="0.25">
      <c r="A24" s="426"/>
      <c r="B24" s="1326"/>
      <c r="C24" s="728"/>
      <c r="D24" s="1372" t="s">
        <v>1197</v>
      </c>
      <c r="E24" s="1373"/>
      <c r="F24" s="768"/>
      <c r="G24" s="714" t="s">
        <v>1202</v>
      </c>
      <c r="H24" s="714"/>
      <c r="I24" s="729"/>
      <c r="J24" s="729"/>
      <c r="K24" s="729"/>
      <c r="L24" s="730"/>
      <c r="M24" s="715">
        <f t="shared" si="6"/>
        <v>0</v>
      </c>
      <c r="N24" s="715">
        <f t="shared" si="3"/>
        <v>0</v>
      </c>
      <c r="O24" s="731">
        <v>0.125</v>
      </c>
      <c r="P24" s="716">
        <f t="shared" si="4"/>
        <v>0</v>
      </c>
      <c r="Q24" s="717">
        <f t="shared" si="5"/>
        <v>0</v>
      </c>
      <c r="R24" s="1016"/>
      <c r="S24" s="1016"/>
      <c r="T24" s="1016"/>
      <c r="U24" s="1016"/>
      <c r="V24" s="1030">
        <f t="shared" si="0"/>
        <v>0</v>
      </c>
      <c r="W24" s="1031">
        <f t="shared" si="1"/>
        <v>0</v>
      </c>
      <c r="X24" s="1031">
        <f>IF(Q24&gt;P24,Q24-P24,0)</f>
        <v>0</v>
      </c>
      <c r="Y24" s="1332"/>
      <c r="Z24" s="1332"/>
      <c r="AA24" s="1339"/>
      <c r="AB24" s="1332"/>
      <c r="AC24" s="1329"/>
      <c r="AD24" s="1332"/>
      <c r="AE24" s="1332"/>
      <c r="AF24" s="763"/>
      <c r="AG24" s="763"/>
      <c r="AH24" s="763"/>
      <c r="AI24" s="763"/>
      <c r="AJ24" s="763"/>
      <c r="AK24" s="763"/>
      <c r="AL24" s="763"/>
      <c r="AM24" s="763"/>
      <c r="AN24" s="763"/>
      <c r="AO24" s="763"/>
      <c r="AP24" s="763"/>
      <c r="AQ24" s="763"/>
      <c r="AR24" s="763"/>
      <c r="AS24" s="763"/>
      <c r="AT24" s="763"/>
      <c r="AU24" s="763"/>
      <c r="AV24" s="763"/>
      <c r="AW24" s="763"/>
      <c r="AX24" s="763"/>
      <c r="AY24" s="763"/>
      <c r="AZ24" s="763"/>
      <c r="BA24" s="763"/>
      <c r="BB24" s="763"/>
      <c r="BC24" s="763"/>
      <c r="BD24" s="763"/>
      <c r="BE24" s="763"/>
      <c r="BF24" s="763"/>
      <c r="BG24" s="763"/>
      <c r="BH24" s="763"/>
      <c r="BI24" s="763"/>
      <c r="BJ24" s="763"/>
      <c r="BK24" s="763"/>
      <c r="BL24" s="763"/>
      <c r="BM24" s="763"/>
      <c r="BN24" s="763"/>
      <c r="BO24" s="763"/>
      <c r="BP24" s="763"/>
      <c r="BQ24" s="763"/>
      <c r="BR24" s="763"/>
      <c r="BS24" s="763"/>
      <c r="BT24" s="763"/>
      <c r="BU24" s="763"/>
      <c r="BV24" s="763"/>
      <c r="BW24" s="763"/>
      <c r="BX24" s="763"/>
      <c r="BY24" s="763"/>
      <c r="BZ24" s="763"/>
      <c r="CA24" s="763"/>
      <c r="CB24" s="763"/>
      <c r="CC24" s="763"/>
      <c r="CD24" s="763"/>
      <c r="CE24" s="763"/>
      <c r="CF24" s="763"/>
      <c r="CG24" s="763"/>
      <c r="CH24" s="763"/>
      <c r="CI24" s="763"/>
      <c r="CJ24" s="763"/>
      <c r="CK24" s="763"/>
      <c r="CL24" s="763"/>
      <c r="CM24" s="763"/>
      <c r="CN24" s="763"/>
      <c r="CO24" s="763"/>
      <c r="CP24" s="763"/>
      <c r="CQ24" s="763"/>
      <c r="CR24" s="763"/>
      <c r="CS24" s="763"/>
      <c r="CT24" s="763"/>
      <c r="CU24" s="763"/>
      <c r="CV24" s="763"/>
      <c r="CW24" s="763"/>
      <c r="CX24" s="763"/>
      <c r="CY24" s="763"/>
      <c r="CZ24" s="763"/>
      <c r="DA24" s="763"/>
      <c r="DB24" s="763"/>
      <c r="DC24" s="763"/>
      <c r="DD24" s="763"/>
      <c r="DE24" s="763"/>
      <c r="DF24" s="763"/>
      <c r="DG24" s="763"/>
      <c r="DH24" s="763"/>
      <c r="DI24" s="763"/>
      <c r="DJ24" s="763"/>
      <c r="DK24" s="763"/>
      <c r="DL24" s="763"/>
      <c r="DM24" s="763"/>
      <c r="DN24" s="763"/>
      <c r="DO24" s="763"/>
      <c r="DP24" s="763"/>
      <c r="DQ24" s="763"/>
      <c r="DR24" s="763"/>
      <c r="DS24" s="763"/>
      <c r="DT24" s="763"/>
      <c r="DU24" s="763"/>
      <c r="DV24" s="763"/>
      <c r="DW24" s="763"/>
      <c r="DX24" s="763"/>
      <c r="DY24" s="763"/>
      <c r="DZ24" s="763"/>
      <c r="EA24" s="763"/>
      <c r="EB24" s="763"/>
    </row>
    <row r="25" spans="1:134" s="905" customFormat="1" x14ac:dyDescent="0.2">
      <c r="A25" s="350"/>
      <c r="B25" s="732"/>
      <c r="C25" s="1345" t="s">
        <v>1411</v>
      </c>
      <c r="D25" s="1345"/>
      <c r="E25" s="1346"/>
      <c r="F25" s="775"/>
      <c r="G25" s="735" t="s">
        <v>1203</v>
      </c>
      <c r="H25" s="735"/>
      <c r="I25" s="736">
        <f t="shared" ref="I25:N25" si="7">SUM(I10:I24)</f>
        <v>0</v>
      </c>
      <c r="J25" s="736">
        <f t="shared" si="7"/>
        <v>0</v>
      </c>
      <c r="K25" s="736">
        <f t="shared" si="7"/>
        <v>0</v>
      </c>
      <c r="L25" s="736">
        <f t="shared" si="7"/>
        <v>0</v>
      </c>
      <c r="M25" s="736">
        <f t="shared" si="7"/>
        <v>0</v>
      </c>
      <c r="N25" s="736">
        <f t="shared" si="7"/>
        <v>0</v>
      </c>
      <c r="O25" s="737"/>
      <c r="P25" s="719">
        <f>SUM(P10:P24)</f>
        <v>0</v>
      </c>
      <c r="Q25" s="720">
        <f>SUM(Q10:Q24)</f>
        <v>0</v>
      </c>
      <c r="R25" s="1016"/>
      <c r="S25" s="1016"/>
      <c r="T25" s="1016"/>
      <c r="U25" s="1016"/>
      <c r="V25" s="1033"/>
      <c r="W25" s="904"/>
      <c r="X25" s="904"/>
      <c r="Y25" s="904"/>
      <c r="Z25" s="904"/>
      <c r="AA25" s="904"/>
      <c r="AB25" s="904"/>
      <c r="AC25" s="904"/>
      <c r="AD25" s="904"/>
      <c r="AE25" s="904"/>
      <c r="AF25" s="904"/>
      <c r="AG25" s="904"/>
      <c r="AH25" s="904"/>
      <c r="AI25" s="904"/>
      <c r="AJ25" s="904"/>
      <c r="AK25" s="904"/>
      <c r="AL25" s="904"/>
      <c r="AM25" s="904"/>
      <c r="AN25" s="904"/>
      <c r="AO25" s="904"/>
      <c r="AP25" s="904"/>
      <c r="AQ25" s="904"/>
      <c r="AR25" s="904"/>
      <c r="AS25" s="904"/>
      <c r="AT25" s="904"/>
      <c r="AU25" s="904"/>
      <c r="AV25" s="904"/>
      <c r="AW25" s="904"/>
      <c r="AX25" s="904"/>
      <c r="AY25" s="904"/>
      <c r="AZ25" s="904"/>
      <c r="BA25" s="904"/>
      <c r="BB25" s="904"/>
      <c r="BC25" s="904"/>
      <c r="BD25" s="904"/>
      <c r="BE25" s="904"/>
      <c r="BF25" s="904"/>
      <c r="BG25" s="904"/>
      <c r="BH25" s="904"/>
      <c r="BI25" s="904"/>
      <c r="BJ25" s="904"/>
      <c r="BK25" s="904"/>
      <c r="BL25" s="904"/>
      <c r="BM25" s="904"/>
      <c r="BN25" s="904"/>
      <c r="BO25" s="904"/>
      <c r="BP25" s="904"/>
      <c r="BQ25" s="904"/>
      <c r="BR25" s="904"/>
      <c r="BS25" s="904"/>
      <c r="BT25" s="904"/>
      <c r="BU25" s="904"/>
      <c r="BV25" s="904"/>
      <c r="BW25" s="904"/>
      <c r="BX25" s="904"/>
      <c r="BY25" s="904"/>
      <c r="BZ25" s="904"/>
      <c r="CA25" s="904"/>
      <c r="CB25" s="904"/>
      <c r="CC25" s="904"/>
      <c r="CD25" s="904"/>
      <c r="CE25" s="904"/>
      <c r="CF25" s="904"/>
      <c r="CG25" s="904"/>
      <c r="CH25" s="904"/>
      <c r="CI25" s="904"/>
      <c r="CJ25" s="904"/>
      <c r="CK25" s="904"/>
      <c r="CL25" s="904"/>
      <c r="CM25" s="904"/>
      <c r="CN25" s="904"/>
      <c r="CO25" s="904"/>
      <c r="CP25" s="904"/>
      <c r="CQ25" s="904"/>
      <c r="CR25" s="904"/>
      <c r="CS25" s="904"/>
      <c r="CT25" s="904"/>
      <c r="CU25" s="904"/>
      <c r="CV25" s="904"/>
      <c r="CW25" s="904"/>
      <c r="CX25" s="904"/>
      <c r="CY25" s="904"/>
      <c r="CZ25" s="904"/>
      <c r="DA25" s="904"/>
      <c r="DB25" s="904"/>
      <c r="DC25" s="904"/>
      <c r="DD25" s="904"/>
      <c r="DE25" s="904"/>
      <c r="DF25" s="904"/>
      <c r="DG25" s="904"/>
      <c r="DH25" s="904"/>
      <c r="DI25" s="904"/>
      <c r="DJ25" s="904"/>
      <c r="DK25" s="904"/>
      <c r="DL25" s="904"/>
      <c r="DM25" s="904"/>
      <c r="DN25" s="904"/>
      <c r="DO25" s="904"/>
      <c r="DP25" s="904"/>
      <c r="DQ25" s="904"/>
      <c r="DR25" s="904"/>
      <c r="DS25" s="904"/>
      <c r="DT25" s="904"/>
      <c r="DU25" s="904"/>
      <c r="DV25" s="904"/>
      <c r="DW25" s="904"/>
      <c r="DX25" s="904"/>
      <c r="DY25" s="904"/>
      <c r="DZ25" s="904"/>
      <c r="EA25" s="904"/>
      <c r="EB25" s="904"/>
    </row>
    <row r="26" spans="1:134" s="899" customFormat="1" ht="14.1" customHeight="1" x14ac:dyDescent="0.2">
      <c r="A26" s="426"/>
      <c r="B26" s="738"/>
      <c r="C26" s="1348" t="s">
        <v>1204</v>
      </c>
      <c r="D26" s="1348"/>
      <c r="E26" s="740"/>
      <c r="F26" s="739"/>
      <c r="G26" s="741" t="s">
        <v>1205</v>
      </c>
      <c r="H26" s="742"/>
      <c r="I26" s="743"/>
      <c r="J26" s="743"/>
      <c r="K26" s="743"/>
      <c r="L26" s="743"/>
      <c r="M26" s="743"/>
      <c r="N26" s="743"/>
      <c r="O26" s="744"/>
      <c r="P26" s="1350">
        <f>IF(P25&gt;Q25,P25-Q25,Q25-P25)</f>
        <v>0</v>
      </c>
      <c r="Q26" s="1351"/>
      <c r="R26" s="1034"/>
      <c r="S26" s="1034"/>
      <c r="T26" s="1034"/>
      <c r="U26" s="1034"/>
      <c r="V26" s="1035"/>
      <c r="W26" s="763"/>
      <c r="X26" s="763"/>
      <c r="Y26" s="763"/>
      <c r="Z26" s="763"/>
      <c r="AA26" s="763"/>
      <c r="AB26" s="763"/>
      <c r="AC26" s="763"/>
      <c r="AD26" s="763"/>
      <c r="AE26" s="763"/>
      <c r="AF26" s="763"/>
      <c r="AG26" s="763"/>
      <c r="AH26" s="763"/>
      <c r="AI26" s="763"/>
      <c r="AJ26" s="763"/>
      <c r="AK26" s="763"/>
      <c r="AL26" s="763"/>
      <c r="AM26" s="763"/>
      <c r="AN26" s="763"/>
      <c r="AO26" s="763"/>
      <c r="AP26" s="763"/>
      <c r="AQ26" s="763"/>
      <c r="AR26" s="763"/>
      <c r="AS26" s="763"/>
      <c r="AT26" s="763"/>
      <c r="AU26" s="763"/>
      <c r="AV26" s="763"/>
      <c r="AW26" s="763"/>
      <c r="AX26" s="763"/>
      <c r="AY26" s="763"/>
      <c r="AZ26" s="763"/>
      <c r="BA26" s="763"/>
      <c r="BB26" s="763"/>
      <c r="BC26" s="763"/>
      <c r="BD26" s="763"/>
      <c r="BE26" s="763"/>
      <c r="BF26" s="763"/>
      <c r="BG26" s="763"/>
      <c r="BH26" s="763"/>
      <c r="BI26" s="763"/>
      <c r="BJ26" s="763"/>
      <c r="BK26" s="763"/>
      <c r="BL26" s="763"/>
      <c r="BM26" s="763"/>
      <c r="BN26" s="763"/>
      <c r="BO26" s="763"/>
      <c r="BP26" s="763"/>
      <c r="BQ26" s="763"/>
      <c r="BR26" s="763"/>
      <c r="BS26" s="763"/>
      <c r="BT26" s="763"/>
      <c r="BU26" s="763"/>
      <c r="BV26" s="763"/>
      <c r="BW26" s="763"/>
      <c r="BX26" s="763"/>
      <c r="BY26" s="763"/>
      <c r="BZ26" s="763"/>
      <c r="CA26" s="763"/>
      <c r="CB26" s="763"/>
      <c r="CC26" s="763"/>
      <c r="CD26" s="763"/>
      <c r="CE26" s="763"/>
      <c r="CF26" s="763"/>
      <c r="CG26" s="763"/>
      <c r="CH26" s="763"/>
      <c r="CI26" s="763"/>
      <c r="CJ26" s="763"/>
      <c r="CK26" s="763"/>
      <c r="CL26" s="763"/>
      <c r="CM26" s="763"/>
      <c r="CN26" s="763"/>
      <c r="CO26" s="763"/>
      <c r="CP26" s="763"/>
      <c r="CQ26" s="763"/>
      <c r="CR26" s="763"/>
      <c r="CS26" s="763"/>
      <c r="CT26" s="763"/>
      <c r="CU26" s="763"/>
      <c r="CV26" s="763"/>
      <c r="CW26" s="763"/>
      <c r="CX26" s="763"/>
      <c r="CY26" s="763"/>
      <c r="CZ26" s="763"/>
      <c r="DA26" s="763"/>
      <c r="DB26" s="763"/>
      <c r="DC26" s="763"/>
      <c r="DD26" s="763"/>
      <c r="DE26" s="763"/>
      <c r="DF26" s="763"/>
      <c r="DG26" s="763"/>
      <c r="DH26" s="763"/>
      <c r="DI26" s="763"/>
      <c r="DJ26" s="763"/>
      <c r="DK26" s="763"/>
      <c r="DL26" s="763"/>
      <c r="DM26" s="763"/>
      <c r="DN26" s="763"/>
      <c r="DO26" s="763"/>
      <c r="DP26" s="763"/>
      <c r="DQ26" s="763"/>
      <c r="DR26" s="763"/>
      <c r="DS26" s="763"/>
      <c r="DT26" s="763"/>
      <c r="DU26" s="763"/>
      <c r="DV26" s="763"/>
      <c r="DW26" s="763"/>
      <c r="DX26" s="763"/>
      <c r="DY26" s="763"/>
      <c r="DZ26" s="763"/>
      <c r="EA26" s="763"/>
      <c r="EB26" s="763"/>
      <c r="EC26" s="763"/>
    </row>
    <row r="27" spans="1:134" s="899" customFormat="1" ht="14.1" customHeight="1" x14ac:dyDescent="0.2">
      <c r="A27" s="426"/>
      <c r="B27" s="745"/>
      <c r="C27" s="746"/>
      <c r="D27" s="746"/>
      <c r="E27" s="770"/>
      <c r="F27" s="746"/>
      <c r="G27" s="747"/>
      <c r="H27" s="747"/>
      <c r="I27" s="748"/>
      <c r="J27" s="748"/>
      <c r="K27" s="748"/>
      <c r="L27" s="748"/>
      <c r="M27" s="748"/>
      <c r="N27" s="748"/>
      <c r="O27" s="749"/>
      <c r="P27" s="750"/>
      <c r="Q27" s="751"/>
      <c r="R27" s="1034"/>
      <c r="S27" s="1034"/>
      <c r="T27" s="1034"/>
      <c r="U27" s="1034"/>
      <c r="V27" s="1035"/>
      <c r="W27" s="763"/>
      <c r="X27" s="763"/>
      <c r="Y27" s="763"/>
      <c r="Z27" s="763"/>
      <c r="AA27" s="763"/>
      <c r="AB27" s="763"/>
      <c r="AC27" s="763"/>
      <c r="AD27" s="763"/>
      <c r="AE27" s="763"/>
      <c r="AF27" s="763"/>
      <c r="AG27" s="763"/>
      <c r="AH27" s="763"/>
      <c r="AI27" s="763"/>
      <c r="AJ27" s="763"/>
      <c r="AK27" s="763"/>
      <c r="AL27" s="763"/>
      <c r="AM27" s="763"/>
      <c r="AN27" s="763"/>
      <c r="AO27" s="763"/>
      <c r="AP27" s="763"/>
      <c r="AQ27" s="763"/>
      <c r="AR27" s="763"/>
      <c r="AS27" s="763"/>
      <c r="AT27" s="763"/>
      <c r="AU27" s="763"/>
      <c r="AV27" s="763"/>
      <c r="AW27" s="763"/>
      <c r="AX27" s="763"/>
      <c r="AY27" s="763"/>
      <c r="AZ27" s="763"/>
      <c r="BA27" s="763"/>
      <c r="BB27" s="763"/>
      <c r="BC27" s="763"/>
      <c r="BD27" s="763"/>
      <c r="BE27" s="763"/>
      <c r="BF27" s="763"/>
      <c r="BG27" s="763"/>
      <c r="BH27" s="763"/>
      <c r="BI27" s="763"/>
      <c r="BJ27" s="763"/>
      <c r="BK27" s="763"/>
      <c r="BL27" s="763"/>
      <c r="BM27" s="763"/>
      <c r="BN27" s="763"/>
      <c r="BO27" s="763"/>
      <c r="BP27" s="763"/>
      <c r="BQ27" s="763"/>
      <c r="BR27" s="763"/>
      <c r="BS27" s="763"/>
      <c r="BT27" s="763"/>
      <c r="BU27" s="763"/>
      <c r="BV27" s="763"/>
      <c r="BW27" s="763"/>
      <c r="BX27" s="763"/>
      <c r="BY27" s="763"/>
      <c r="BZ27" s="763"/>
      <c r="CA27" s="763"/>
      <c r="CB27" s="763"/>
      <c r="CC27" s="763"/>
      <c r="CD27" s="763"/>
      <c r="CE27" s="763"/>
      <c r="CF27" s="763"/>
      <c r="CG27" s="763"/>
      <c r="CH27" s="763"/>
      <c r="CI27" s="763"/>
      <c r="CJ27" s="763"/>
      <c r="CK27" s="763"/>
      <c r="CL27" s="763"/>
      <c r="CM27" s="763"/>
      <c r="CN27" s="763"/>
      <c r="CO27" s="763"/>
      <c r="CP27" s="763"/>
      <c r="CQ27" s="763"/>
      <c r="CR27" s="763"/>
      <c r="CS27" s="763"/>
      <c r="CT27" s="763"/>
      <c r="CU27" s="763"/>
      <c r="CV27" s="763"/>
      <c r="CW27" s="763"/>
      <c r="CX27" s="763"/>
      <c r="CY27" s="763"/>
      <c r="CZ27" s="763"/>
      <c r="DA27" s="763"/>
      <c r="DB27" s="763"/>
      <c r="DC27" s="763"/>
      <c r="DD27" s="763"/>
      <c r="DE27" s="763"/>
      <c r="DF27" s="763"/>
      <c r="DG27" s="763"/>
      <c r="DH27" s="763"/>
      <c r="DI27" s="763"/>
      <c r="DJ27" s="763"/>
      <c r="DK27" s="763"/>
      <c r="DL27" s="763"/>
      <c r="DM27" s="763"/>
      <c r="DN27" s="763"/>
      <c r="DO27" s="763"/>
      <c r="DP27" s="763"/>
      <c r="DQ27" s="763"/>
      <c r="DR27" s="763"/>
      <c r="DS27" s="763"/>
      <c r="DT27" s="763"/>
      <c r="DU27" s="763"/>
      <c r="DV27" s="763"/>
      <c r="DW27" s="763"/>
      <c r="DX27" s="763"/>
      <c r="DY27" s="763"/>
      <c r="DZ27" s="763"/>
      <c r="EA27" s="763"/>
      <c r="EB27" s="763"/>
      <c r="EC27" s="763"/>
    </row>
    <row r="28" spans="1:134" s="899" customFormat="1" ht="18.75" customHeight="1" x14ac:dyDescent="0.2">
      <c r="A28" s="426"/>
      <c r="B28" s="1374" t="s">
        <v>350</v>
      </c>
      <c r="C28" s="1375"/>
      <c r="D28" s="1376"/>
      <c r="E28" s="752"/>
      <c r="F28" s="752"/>
      <c r="G28" s="752"/>
      <c r="H28" s="752"/>
      <c r="I28" s="1362" t="s">
        <v>1207</v>
      </c>
      <c r="J28" s="1363" t="s">
        <v>1208</v>
      </c>
      <c r="K28" s="1364"/>
      <c r="L28" s="1365"/>
      <c r="M28" s="1363" t="s">
        <v>1209</v>
      </c>
      <c r="N28" s="1364"/>
      <c r="O28" s="1365"/>
      <c r="P28" s="1340" t="s">
        <v>1210</v>
      </c>
      <c r="Q28" s="1342" t="s">
        <v>1211</v>
      </c>
      <c r="R28" s="1036"/>
      <c r="S28" s="1037"/>
      <c r="T28" s="1037"/>
      <c r="U28" s="1037"/>
      <c r="V28" s="1037"/>
      <c r="W28" s="1035"/>
      <c r="X28" s="763"/>
      <c r="Y28" s="763"/>
      <c r="Z28" s="763"/>
      <c r="AA28" s="1038"/>
      <c r="AB28" s="1039"/>
      <c r="AC28" s="763"/>
      <c r="AD28" s="763"/>
      <c r="AE28" s="763"/>
      <c r="AF28" s="763"/>
      <c r="AG28" s="763"/>
      <c r="AH28" s="763"/>
      <c r="AI28" s="763"/>
      <c r="AJ28" s="763"/>
      <c r="AK28" s="763"/>
      <c r="AL28" s="763"/>
      <c r="AM28" s="763"/>
      <c r="AN28" s="763"/>
      <c r="AO28" s="763"/>
      <c r="AP28" s="763"/>
      <c r="AQ28" s="763"/>
      <c r="AR28" s="763"/>
      <c r="AS28" s="763"/>
      <c r="AT28" s="763"/>
      <c r="AU28" s="763"/>
      <c r="AV28" s="763"/>
      <c r="AW28" s="763"/>
      <c r="AX28" s="763"/>
      <c r="AY28" s="763"/>
      <c r="AZ28" s="763"/>
      <c r="BA28" s="763"/>
      <c r="BB28" s="763"/>
      <c r="BC28" s="763"/>
      <c r="BD28" s="763"/>
      <c r="BE28" s="763"/>
      <c r="BF28" s="763"/>
      <c r="BG28" s="763"/>
      <c r="BH28" s="763"/>
      <c r="BI28" s="763"/>
      <c r="BJ28" s="763"/>
      <c r="BK28" s="763"/>
      <c r="BL28" s="763"/>
      <c r="BM28" s="763"/>
      <c r="BN28" s="763"/>
      <c r="BO28" s="763"/>
      <c r="BP28" s="763"/>
      <c r="BQ28" s="763"/>
      <c r="BR28" s="763"/>
      <c r="BS28" s="763"/>
      <c r="BT28" s="763"/>
      <c r="BU28" s="763"/>
      <c r="BV28" s="763"/>
      <c r="BW28" s="763"/>
      <c r="BX28" s="763"/>
      <c r="BY28" s="763"/>
      <c r="BZ28" s="763"/>
      <c r="CA28" s="763"/>
      <c r="CB28" s="763"/>
      <c r="CC28" s="763"/>
      <c r="CD28" s="763"/>
      <c r="CE28" s="763"/>
      <c r="CF28" s="763"/>
      <c r="CG28" s="763"/>
      <c r="CH28" s="763"/>
      <c r="CI28" s="763"/>
      <c r="CJ28" s="763"/>
      <c r="CK28" s="763"/>
      <c r="CL28" s="763"/>
      <c r="CM28" s="763"/>
      <c r="CN28" s="763"/>
      <c r="CO28" s="763"/>
      <c r="CP28" s="763"/>
      <c r="CQ28" s="763"/>
      <c r="CR28" s="763"/>
      <c r="CS28" s="763"/>
      <c r="CT28" s="763"/>
      <c r="CU28" s="763"/>
      <c r="CV28" s="763"/>
      <c r="CW28" s="763"/>
      <c r="CX28" s="763"/>
      <c r="CY28" s="763"/>
      <c r="CZ28" s="763"/>
      <c r="DA28" s="763"/>
      <c r="DB28" s="763"/>
      <c r="DC28" s="763"/>
      <c r="DD28" s="763"/>
      <c r="DE28" s="763"/>
      <c r="DF28" s="763"/>
      <c r="DG28" s="763"/>
      <c r="DH28" s="763"/>
      <c r="DI28" s="763"/>
      <c r="DJ28" s="763"/>
      <c r="DK28" s="763"/>
      <c r="DL28" s="763"/>
      <c r="DM28" s="763"/>
      <c r="DN28" s="763"/>
      <c r="DO28" s="763"/>
      <c r="DP28" s="763"/>
      <c r="DQ28" s="763"/>
      <c r="DR28" s="763"/>
      <c r="DS28" s="763"/>
      <c r="DT28" s="763"/>
      <c r="DU28" s="763"/>
      <c r="DV28" s="763"/>
      <c r="DW28" s="763"/>
      <c r="DX28" s="763"/>
      <c r="DY28" s="763"/>
      <c r="DZ28" s="763"/>
      <c r="EA28" s="763"/>
      <c r="EB28" s="763"/>
      <c r="EC28" s="763"/>
      <c r="ED28" s="763"/>
    </row>
    <row r="29" spans="1:134" s="899" customFormat="1" ht="19.5" customHeight="1" x14ac:dyDescent="0.2">
      <c r="A29" s="426"/>
      <c r="B29" s="1377"/>
      <c r="C29" s="1378"/>
      <c r="D29" s="1379"/>
      <c r="E29" s="754"/>
      <c r="F29" s="754"/>
      <c r="G29" s="754"/>
      <c r="H29" s="754"/>
      <c r="I29" s="1362"/>
      <c r="J29" s="753" t="s">
        <v>1212</v>
      </c>
      <c r="K29" s="753" t="s">
        <v>1213</v>
      </c>
      <c r="L29" s="753" t="s">
        <v>1214</v>
      </c>
      <c r="M29" s="755" t="s">
        <v>1215</v>
      </c>
      <c r="N29" s="755" t="s">
        <v>1216</v>
      </c>
      <c r="O29" s="755" t="s">
        <v>1217</v>
      </c>
      <c r="P29" s="1341"/>
      <c r="Q29" s="1343"/>
      <c r="R29" s="1036"/>
      <c r="S29" s="1037"/>
      <c r="T29" s="1037"/>
      <c r="U29" s="1037"/>
      <c r="V29" s="1037"/>
      <c r="W29" s="1035"/>
      <c r="Z29" s="763"/>
      <c r="AA29" s="1038"/>
      <c r="AB29" s="1038"/>
      <c r="AC29" s="763"/>
      <c r="AD29" s="763"/>
      <c r="AE29" s="763"/>
      <c r="AF29" s="763"/>
      <c r="AG29" s="763"/>
      <c r="AH29" s="763"/>
      <c r="AI29" s="763"/>
      <c r="AJ29" s="763"/>
      <c r="AK29" s="763"/>
      <c r="AL29" s="763"/>
      <c r="AM29" s="763"/>
      <c r="AN29" s="763"/>
      <c r="AO29" s="763"/>
      <c r="AP29" s="763"/>
      <c r="AQ29" s="763"/>
      <c r="AR29" s="763"/>
      <c r="AS29" s="763"/>
      <c r="AT29" s="763"/>
      <c r="AU29" s="763"/>
      <c r="AV29" s="763"/>
      <c r="AW29" s="763"/>
      <c r="AX29" s="763"/>
      <c r="AY29" s="763"/>
      <c r="AZ29" s="763"/>
      <c r="BA29" s="763"/>
      <c r="BB29" s="763"/>
      <c r="BC29" s="763"/>
      <c r="BD29" s="763"/>
      <c r="BE29" s="763"/>
      <c r="BF29" s="763"/>
      <c r="BG29" s="763"/>
      <c r="BH29" s="763"/>
      <c r="BI29" s="763"/>
      <c r="BJ29" s="763"/>
      <c r="BK29" s="763"/>
      <c r="BL29" s="763"/>
      <c r="BM29" s="763"/>
      <c r="BN29" s="763"/>
      <c r="BO29" s="763"/>
      <c r="BP29" s="763"/>
      <c r="BQ29" s="763"/>
      <c r="BR29" s="763"/>
      <c r="BS29" s="763"/>
      <c r="BT29" s="763"/>
      <c r="BU29" s="763"/>
      <c r="BV29" s="763"/>
      <c r="BW29" s="763"/>
      <c r="BX29" s="763"/>
      <c r="BY29" s="763"/>
      <c r="BZ29" s="763"/>
      <c r="CA29" s="763"/>
      <c r="CB29" s="763"/>
      <c r="CC29" s="763"/>
      <c r="CD29" s="763"/>
      <c r="CE29" s="763"/>
      <c r="CF29" s="763"/>
      <c r="CG29" s="763"/>
      <c r="CH29" s="763"/>
      <c r="CI29" s="763"/>
      <c r="CJ29" s="763"/>
      <c r="CK29" s="763"/>
      <c r="CL29" s="763"/>
      <c r="CM29" s="763"/>
      <c r="CN29" s="763"/>
      <c r="CO29" s="763"/>
      <c r="CP29" s="763"/>
      <c r="CQ29" s="763"/>
      <c r="CR29" s="763"/>
      <c r="CS29" s="763"/>
      <c r="CT29" s="763"/>
      <c r="CU29" s="763"/>
      <c r="CV29" s="763"/>
      <c r="CW29" s="763"/>
      <c r="CX29" s="763"/>
      <c r="CY29" s="763"/>
      <c r="CZ29" s="763"/>
      <c r="DA29" s="763"/>
      <c r="DB29" s="763"/>
      <c r="DC29" s="763"/>
      <c r="DD29" s="763"/>
      <c r="DE29" s="763"/>
      <c r="DF29" s="763"/>
      <c r="DG29" s="763"/>
      <c r="DH29" s="763"/>
      <c r="DI29" s="763"/>
      <c r="DJ29" s="763"/>
      <c r="DK29" s="763"/>
      <c r="DL29" s="763"/>
      <c r="DM29" s="763"/>
      <c r="DN29" s="763"/>
      <c r="DO29" s="763"/>
      <c r="DP29" s="763"/>
      <c r="DQ29" s="763"/>
      <c r="DR29" s="763"/>
      <c r="DS29" s="763"/>
      <c r="DT29" s="763"/>
      <c r="DU29" s="763"/>
      <c r="DV29" s="763"/>
      <c r="DW29" s="763"/>
      <c r="DX29" s="763"/>
      <c r="DY29" s="763"/>
      <c r="DZ29" s="763"/>
      <c r="EA29" s="763"/>
      <c r="EB29" s="763"/>
      <c r="EC29" s="763"/>
      <c r="ED29" s="763"/>
    </row>
    <row r="30" spans="1:134" s="899" customFormat="1" ht="15.95" customHeight="1" thickBot="1" x14ac:dyDescent="0.25">
      <c r="A30" s="426"/>
      <c r="B30" s="1352" t="s">
        <v>1218</v>
      </c>
      <c r="C30" s="1353"/>
      <c r="D30" s="1354"/>
      <c r="E30" s="756"/>
      <c r="F30" s="756"/>
      <c r="G30" s="757" t="s">
        <v>1636</v>
      </c>
      <c r="H30" s="757"/>
      <c r="I30" s="716">
        <f>SUM(V10:V24)</f>
        <v>0</v>
      </c>
      <c r="J30" s="716">
        <f>Y10</f>
        <v>0</v>
      </c>
      <c r="K30" s="716">
        <f>Y14</f>
        <v>0</v>
      </c>
      <c r="L30" s="716">
        <f>Y17</f>
        <v>0</v>
      </c>
      <c r="M30" s="716">
        <f>AA10</f>
        <v>0</v>
      </c>
      <c r="N30" s="716">
        <f>AC14</f>
        <v>0</v>
      </c>
      <c r="O30" s="716">
        <f>AE10</f>
        <v>0</v>
      </c>
      <c r="P30" s="716">
        <f>P26</f>
        <v>0</v>
      </c>
      <c r="Q30" s="758">
        <f>SUM(I30:P30)</f>
        <v>0</v>
      </c>
      <c r="R30" s="1040"/>
      <c r="S30" s="1041"/>
      <c r="T30" s="1041"/>
      <c r="U30" s="1041"/>
      <c r="V30" s="1041"/>
      <c r="W30" s="1038"/>
      <c r="X30" s="1038"/>
      <c r="Y30" s="1038"/>
      <c r="Z30" s="1042"/>
      <c r="AA30" s="970"/>
      <c r="AC30" s="1038"/>
      <c r="AD30" s="1038"/>
      <c r="AE30" s="763"/>
      <c r="AF30" s="763"/>
      <c r="AG30" s="763"/>
      <c r="AH30" s="763"/>
      <c r="AI30" s="763"/>
      <c r="AJ30" s="763"/>
      <c r="AK30" s="763"/>
      <c r="AL30" s="763"/>
      <c r="AM30" s="763"/>
      <c r="AN30" s="763"/>
      <c r="AO30" s="763"/>
      <c r="AP30" s="763"/>
      <c r="AQ30" s="763"/>
      <c r="AR30" s="763"/>
      <c r="AS30" s="763"/>
      <c r="AT30" s="763"/>
      <c r="AU30" s="763"/>
      <c r="AV30" s="763"/>
      <c r="AW30" s="763"/>
      <c r="AX30" s="763"/>
      <c r="AY30" s="763"/>
      <c r="AZ30" s="763"/>
      <c r="BA30" s="763"/>
      <c r="BB30" s="763"/>
      <c r="BC30" s="763"/>
      <c r="BD30" s="763"/>
      <c r="BE30" s="763"/>
      <c r="BF30" s="763"/>
      <c r="BG30" s="763"/>
      <c r="BH30" s="763"/>
      <c r="BI30" s="763"/>
      <c r="BJ30" s="763"/>
      <c r="BK30" s="763"/>
      <c r="BL30" s="763"/>
      <c r="BM30" s="763"/>
      <c r="BN30" s="763"/>
      <c r="BO30" s="763"/>
      <c r="BP30" s="763"/>
      <c r="BQ30" s="763"/>
      <c r="BR30" s="763"/>
      <c r="BS30" s="763"/>
      <c r="BT30" s="763"/>
      <c r="BU30" s="763"/>
      <c r="BV30" s="763"/>
      <c r="BW30" s="763"/>
      <c r="BX30" s="763"/>
      <c r="BY30" s="763"/>
      <c r="BZ30" s="763"/>
      <c r="CA30" s="763"/>
      <c r="CB30" s="763"/>
      <c r="CC30" s="763"/>
      <c r="CD30" s="763"/>
      <c r="CE30" s="763"/>
      <c r="CF30" s="763"/>
      <c r="CG30" s="763"/>
      <c r="CH30" s="763"/>
      <c r="CI30" s="763"/>
      <c r="CJ30" s="763"/>
      <c r="CK30" s="763"/>
      <c r="CL30" s="763"/>
      <c r="CM30" s="763"/>
      <c r="CN30" s="763"/>
      <c r="CO30" s="763"/>
      <c r="CP30" s="763"/>
      <c r="CQ30" s="763"/>
      <c r="CR30" s="763"/>
      <c r="CS30" s="763"/>
      <c r="CT30" s="763"/>
      <c r="CU30" s="763"/>
      <c r="CV30" s="763"/>
      <c r="CW30" s="763"/>
      <c r="CX30" s="763"/>
      <c r="CY30" s="763"/>
      <c r="CZ30" s="763"/>
      <c r="DA30" s="763"/>
      <c r="DB30" s="763"/>
      <c r="DC30" s="763"/>
      <c r="DD30" s="763"/>
      <c r="DE30" s="763"/>
      <c r="DF30" s="763"/>
      <c r="DG30" s="763"/>
      <c r="DH30" s="763"/>
      <c r="DI30" s="763"/>
      <c r="DJ30" s="763"/>
      <c r="DK30" s="763"/>
      <c r="DL30" s="763"/>
      <c r="DM30" s="763"/>
      <c r="DN30" s="763"/>
      <c r="DO30" s="763"/>
      <c r="DP30" s="763"/>
      <c r="DQ30" s="763"/>
      <c r="DR30" s="763"/>
      <c r="DS30" s="763"/>
      <c r="DT30" s="763"/>
      <c r="DU30" s="763"/>
      <c r="DV30" s="763"/>
      <c r="DW30" s="763"/>
      <c r="DX30" s="763"/>
      <c r="DY30" s="763"/>
      <c r="DZ30" s="763"/>
      <c r="EA30" s="763"/>
      <c r="EB30" s="763"/>
      <c r="EC30" s="763"/>
      <c r="ED30" s="763"/>
    </row>
    <row r="31" spans="1:134" s="899" customFormat="1" ht="3.75" customHeight="1" x14ac:dyDescent="0.2">
      <c r="A31" s="426"/>
      <c r="B31" s="426"/>
      <c r="C31" s="426"/>
      <c r="D31" s="426"/>
      <c r="E31" s="426"/>
      <c r="F31" s="426"/>
      <c r="G31" s="759" t="s">
        <v>309</v>
      </c>
      <c r="H31" s="759"/>
      <c r="I31" s="426"/>
      <c r="J31" s="426"/>
      <c r="K31" s="760"/>
      <c r="L31" s="480"/>
      <c r="M31" s="480"/>
      <c r="N31" s="480"/>
      <c r="O31" s="480"/>
      <c r="P31" s="480"/>
      <c r="Q31" s="480"/>
      <c r="R31" s="763"/>
      <c r="S31" s="763"/>
      <c r="T31" s="763"/>
      <c r="U31" s="763"/>
      <c r="V31" s="1043"/>
      <c r="W31" s="763"/>
      <c r="X31" s="763"/>
      <c r="Y31" s="763"/>
      <c r="Z31" s="763"/>
      <c r="AA31" s="763"/>
      <c r="AB31" s="763"/>
      <c r="AC31" s="763"/>
      <c r="AD31" s="763"/>
      <c r="AE31" s="763"/>
      <c r="AF31" s="763"/>
      <c r="AG31" s="763"/>
      <c r="AH31" s="763"/>
      <c r="AI31" s="763"/>
      <c r="AJ31" s="763"/>
      <c r="AK31" s="763"/>
      <c r="AL31" s="763"/>
      <c r="AM31" s="763"/>
      <c r="AN31" s="763"/>
      <c r="AO31" s="763"/>
      <c r="AP31" s="763"/>
      <c r="AQ31" s="763"/>
      <c r="AR31" s="763"/>
      <c r="AS31" s="763"/>
      <c r="AT31" s="763"/>
      <c r="AU31" s="763"/>
      <c r="AV31" s="763"/>
      <c r="AW31" s="763"/>
      <c r="AX31" s="763"/>
      <c r="AY31" s="763"/>
      <c r="AZ31" s="763"/>
      <c r="BA31" s="763"/>
      <c r="BB31" s="763"/>
      <c r="BC31" s="763"/>
      <c r="BD31" s="763"/>
      <c r="BE31" s="763"/>
      <c r="BF31" s="763"/>
      <c r="BG31" s="763"/>
      <c r="BH31" s="763"/>
      <c r="BI31" s="763"/>
      <c r="BJ31" s="763"/>
      <c r="BK31" s="763"/>
      <c r="BL31" s="763"/>
      <c r="BM31" s="763"/>
      <c r="BN31" s="763"/>
      <c r="BO31" s="763"/>
      <c r="BP31" s="763"/>
      <c r="BQ31" s="763"/>
      <c r="BR31" s="763"/>
      <c r="BS31" s="763"/>
      <c r="BT31" s="763"/>
      <c r="BU31" s="763"/>
      <c r="BV31" s="763"/>
      <c r="BW31" s="763"/>
      <c r="BX31" s="763"/>
      <c r="BY31" s="763"/>
      <c r="BZ31" s="763"/>
      <c r="CA31" s="763"/>
      <c r="CB31" s="763"/>
      <c r="CC31" s="763"/>
      <c r="CD31" s="763"/>
      <c r="CE31" s="763"/>
      <c r="CF31" s="763"/>
      <c r="CG31" s="763"/>
      <c r="CH31" s="763"/>
      <c r="CI31" s="763"/>
      <c r="CJ31" s="763"/>
      <c r="CK31" s="763"/>
      <c r="CL31" s="763"/>
      <c r="CM31" s="763"/>
      <c r="CN31" s="763"/>
      <c r="CO31" s="763"/>
      <c r="CP31" s="763"/>
      <c r="CQ31" s="763"/>
      <c r="CR31" s="763"/>
      <c r="CS31" s="763"/>
      <c r="CT31" s="763"/>
      <c r="CU31" s="763"/>
      <c r="CV31" s="763"/>
      <c r="CW31" s="763"/>
      <c r="CX31" s="763"/>
      <c r="CY31" s="763"/>
      <c r="CZ31" s="763"/>
      <c r="DA31" s="763"/>
      <c r="DB31" s="763"/>
      <c r="DC31" s="763"/>
      <c r="DD31" s="763"/>
      <c r="DE31" s="763"/>
      <c r="DF31" s="763"/>
      <c r="DG31" s="763"/>
      <c r="DH31" s="763"/>
      <c r="DI31" s="763"/>
      <c r="DJ31" s="763"/>
      <c r="DK31" s="763"/>
      <c r="DL31" s="763"/>
      <c r="DM31" s="763"/>
      <c r="DN31" s="763"/>
      <c r="DO31" s="763"/>
      <c r="DP31" s="763"/>
      <c r="DQ31" s="763"/>
      <c r="DR31" s="763"/>
      <c r="DS31" s="763"/>
      <c r="DT31" s="763"/>
      <c r="DU31" s="763"/>
      <c r="DV31" s="763"/>
      <c r="DW31" s="763"/>
      <c r="DX31" s="763"/>
      <c r="DY31" s="763"/>
      <c r="DZ31" s="763"/>
      <c r="EA31" s="763"/>
    </row>
    <row r="32" spans="1:134" s="899" customFormat="1" ht="47.25" customHeight="1" x14ac:dyDescent="0.2">
      <c r="A32" s="533" t="s">
        <v>494</v>
      </c>
      <c r="B32" s="1276" t="s">
        <v>1219</v>
      </c>
      <c r="C32" s="1276"/>
      <c r="D32" s="1276"/>
      <c r="E32" s="1276"/>
      <c r="F32" s="1276"/>
      <c r="G32" s="1276"/>
      <c r="H32" s="761"/>
      <c r="I32" s="761"/>
      <c r="J32" s="771"/>
      <c r="K32" s="1355" t="s">
        <v>1220</v>
      </c>
      <c r="L32" s="1355"/>
      <c r="M32" s="1355"/>
      <c r="N32" s="1355"/>
      <c r="O32" s="549"/>
      <c r="P32" s="766"/>
      <c r="Q32" s="480"/>
      <c r="R32" s="763"/>
      <c r="S32" s="763"/>
      <c r="T32" s="763"/>
      <c r="U32" s="763"/>
      <c r="V32" s="763"/>
      <c r="W32" s="763"/>
      <c r="X32" s="763"/>
      <c r="Y32" s="763"/>
      <c r="Z32" s="763"/>
      <c r="AA32" s="763"/>
      <c r="AB32" s="763"/>
      <c r="AC32" s="763"/>
      <c r="AD32" s="763"/>
      <c r="AE32" s="763"/>
      <c r="AF32" s="763"/>
      <c r="AG32" s="763"/>
      <c r="AH32" s="763"/>
      <c r="AI32" s="763"/>
      <c r="AJ32" s="763"/>
      <c r="AK32" s="763"/>
      <c r="AL32" s="763"/>
      <c r="AM32" s="763"/>
      <c r="AN32" s="763"/>
      <c r="AO32" s="763"/>
      <c r="AP32" s="763"/>
      <c r="AQ32" s="763"/>
      <c r="AR32" s="763"/>
      <c r="AS32" s="763"/>
      <c r="AT32" s="763"/>
      <c r="AU32" s="763"/>
      <c r="AV32" s="763"/>
      <c r="AW32" s="763"/>
      <c r="AX32" s="763"/>
      <c r="AY32" s="763"/>
      <c r="AZ32" s="763"/>
      <c r="BA32" s="763"/>
      <c r="BB32" s="763"/>
      <c r="BC32" s="763"/>
      <c r="BD32" s="763"/>
      <c r="BE32" s="763"/>
      <c r="BF32" s="763"/>
      <c r="BG32" s="763"/>
      <c r="BH32" s="763"/>
      <c r="BI32" s="763"/>
      <c r="BJ32" s="763"/>
      <c r="BK32" s="763"/>
      <c r="BL32" s="763"/>
      <c r="BM32" s="763"/>
      <c r="BN32" s="763"/>
      <c r="BO32" s="763"/>
      <c r="BP32" s="763"/>
      <c r="BQ32" s="763"/>
      <c r="BR32" s="763"/>
      <c r="BS32" s="763"/>
      <c r="BT32" s="763"/>
      <c r="BU32" s="763"/>
      <c r="BV32" s="763"/>
      <c r="BW32" s="763"/>
      <c r="BX32" s="763"/>
      <c r="BY32" s="763"/>
      <c r="BZ32" s="763"/>
      <c r="CA32" s="763"/>
      <c r="CB32" s="763"/>
      <c r="CC32" s="763"/>
      <c r="CD32" s="763"/>
      <c r="CE32" s="763"/>
      <c r="CF32" s="763"/>
      <c r="CG32" s="763"/>
      <c r="CH32" s="763"/>
      <c r="CI32" s="763"/>
      <c r="CJ32" s="763"/>
      <c r="CK32" s="763"/>
      <c r="CL32" s="763"/>
      <c r="CM32" s="763"/>
      <c r="CN32" s="763"/>
      <c r="CO32" s="763"/>
      <c r="CP32" s="763"/>
      <c r="CQ32" s="763"/>
      <c r="CR32" s="763"/>
      <c r="CS32" s="763"/>
      <c r="CT32" s="763"/>
      <c r="CU32" s="763"/>
      <c r="CV32" s="763"/>
      <c r="CW32" s="763"/>
      <c r="CX32" s="763"/>
      <c r="CY32" s="763"/>
      <c r="CZ32" s="763"/>
      <c r="DA32" s="763"/>
      <c r="DB32" s="763"/>
      <c r="DC32" s="763"/>
      <c r="DD32" s="763"/>
      <c r="DE32" s="763"/>
      <c r="DF32" s="763"/>
      <c r="DG32" s="763"/>
      <c r="DH32" s="763"/>
      <c r="DI32" s="763"/>
      <c r="DJ32" s="763"/>
      <c r="DK32" s="763"/>
      <c r="DL32" s="763"/>
      <c r="DM32" s="763"/>
      <c r="DN32" s="763"/>
      <c r="DO32" s="763"/>
      <c r="DP32" s="763"/>
      <c r="DQ32" s="763"/>
      <c r="DR32" s="763"/>
      <c r="DS32" s="763"/>
      <c r="DT32" s="763"/>
      <c r="DU32" s="763"/>
      <c r="DV32" s="763"/>
      <c r="DW32" s="763"/>
      <c r="DX32" s="763"/>
      <c r="DY32" s="763"/>
      <c r="DZ32" s="763"/>
      <c r="EA32" s="763"/>
    </row>
    <row r="33" spans="1:131" s="899" customFormat="1" ht="34.5" customHeight="1" x14ac:dyDescent="0.2">
      <c r="A33" s="533" t="s">
        <v>496</v>
      </c>
      <c r="B33" s="1276" t="s">
        <v>1221</v>
      </c>
      <c r="C33" s="1276"/>
      <c r="D33" s="1276"/>
      <c r="E33" s="1276"/>
      <c r="F33" s="1276"/>
      <c r="G33" s="1276"/>
      <c r="H33" s="761"/>
      <c r="I33" s="761"/>
      <c r="J33" s="772"/>
      <c r="K33" s="1366" t="s">
        <v>1222</v>
      </c>
      <c r="L33" s="1366" t="s">
        <v>1223</v>
      </c>
      <c r="M33" s="1366" t="s">
        <v>1224</v>
      </c>
      <c r="N33" s="1366" t="s">
        <v>1225</v>
      </c>
      <c r="O33" s="480"/>
      <c r="P33" s="766"/>
      <c r="Q33" s="480"/>
      <c r="R33" s="763"/>
      <c r="S33" s="763"/>
      <c r="T33" s="763"/>
      <c r="U33" s="763"/>
      <c r="V33" s="763"/>
      <c r="W33" s="763"/>
      <c r="X33" s="763"/>
      <c r="Y33" s="763"/>
      <c r="Z33" s="763"/>
      <c r="AA33" s="763"/>
      <c r="AB33" s="763"/>
      <c r="AC33" s="763"/>
      <c r="AD33" s="763"/>
      <c r="AE33" s="763"/>
      <c r="AF33" s="763"/>
      <c r="AG33" s="763"/>
      <c r="AH33" s="763"/>
      <c r="AI33" s="763"/>
      <c r="AJ33" s="763"/>
      <c r="AK33" s="763"/>
      <c r="AL33" s="763"/>
      <c r="AM33" s="763"/>
      <c r="AN33" s="763"/>
      <c r="AO33" s="763"/>
      <c r="AP33" s="763"/>
      <c r="AQ33" s="763"/>
      <c r="AR33" s="763"/>
      <c r="AS33" s="763"/>
      <c r="AT33" s="763"/>
      <c r="AU33" s="763"/>
      <c r="AV33" s="763"/>
      <c r="AW33" s="763"/>
      <c r="AX33" s="763"/>
      <c r="AY33" s="763"/>
      <c r="AZ33" s="763"/>
      <c r="BA33" s="763"/>
      <c r="BB33" s="763"/>
      <c r="BC33" s="763"/>
      <c r="BD33" s="763"/>
      <c r="BE33" s="763"/>
      <c r="BF33" s="763"/>
      <c r="BG33" s="763"/>
      <c r="BH33" s="763"/>
      <c r="BI33" s="763"/>
      <c r="BJ33" s="763"/>
      <c r="BK33" s="763"/>
      <c r="BL33" s="763"/>
      <c r="BM33" s="763"/>
      <c r="BN33" s="763"/>
      <c r="BO33" s="763"/>
      <c r="BP33" s="763"/>
      <c r="BQ33" s="763"/>
      <c r="BR33" s="763"/>
      <c r="BS33" s="763"/>
      <c r="BT33" s="763"/>
      <c r="BU33" s="763"/>
      <c r="BV33" s="763"/>
      <c r="BW33" s="763"/>
      <c r="BX33" s="763"/>
      <c r="BY33" s="763"/>
      <c r="BZ33" s="763"/>
      <c r="CA33" s="763"/>
      <c r="CB33" s="763"/>
      <c r="CC33" s="763"/>
      <c r="CD33" s="763"/>
      <c r="CE33" s="763"/>
      <c r="CF33" s="763"/>
      <c r="CG33" s="763"/>
      <c r="CH33" s="763"/>
      <c r="CI33" s="763"/>
      <c r="CJ33" s="763"/>
      <c r="CK33" s="763"/>
      <c r="CL33" s="763"/>
      <c r="CM33" s="763"/>
      <c r="CN33" s="763"/>
      <c r="CO33" s="763"/>
      <c r="CP33" s="763"/>
      <c r="CQ33" s="763"/>
      <c r="CR33" s="763"/>
      <c r="CS33" s="763"/>
      <c r="CT33" s="763"/>
      <c r="CU33" s="763"/>
      <c r="CV33" s="763"/>
      <c r="CW33" s="763"/>
      <c r="CX33" s="763"/>
      <c r="CY33" s="763"/>
      <c r="CZ33" s="763"/>
      <c r="DA33" s="763"/>
      <c r="DB33" s="763"/>
      <c r="DC33" s="763"/>
      <c r="DD33" s="763"/>
      <c r="DE33" s="763"/>
      <c r="DF33" s="763"/>
      <c r="DG33" s="763"/>
      <c r="DH33" s="763"/>
      <c r="DI33" s="763"/>
      <c r="DJ33" s="763"/>
      <c r="DK33" s="763"/>
      <c r="DL33" s="763"/>
      <c r="DM33" s="763"/>
      <c r="DN33" s="763"/>
      <c r="DO33" s="763"/>
      <c r="DP33" s="763"/>
      <c r="DQ33" s="763"/>
      <c r="DR33" s="763"/>
      <c r="DS33" s="763"/>
      <c r="DT33" s="763"/>
      <c r="DU33" s="763"/>
      <c r="DV33" s="763"/>
      <c r="DW33" s="763"/>
      <c r="DX33" s="763"/>
      <c r="DY33" s="763"/>
      <c r="DZ33" s="763"/>
      <c r="EA33" s="763"/>
    </row>
    <row r="34" spans="1:131" s="899" customFormat="1" ht="25.5" customHeight="1" x14ac:dyDescent="0.2">
      <c r="A34" s="533" t="s">
        <v>498</v>
      </c>
      <c r="B34" s="1276" t="s">
        <v>346</v>
      </c>
      <c r="C34" s="1276"/>
      <c r="D34" s="1276"/>
      <c r="E34" s="1276"/>
      <c r="F34" s="1276"/>
      <c r="G34" s="1276"/>
      <c r="H34" s="761"/>
      <c r="I34" s="761"/>
      <c r="J34" s="772"/>
      <c r="K34" s="1367"/>
      <c r="L34" s="1367"/>
      <c r="M34" s="1367"/>
      <c r="N34" s="1367"/>
      <c r="O34" s="480"/>
      <c r="P34" s="766"/>
      <c r="Q34" s="480"/>
      <c r="R34" s="763"/>
      <c r="S34" s="763"/>
      <c r="T34" s="763"/>
      <c r="U34" s="763"/>
      <c r="V34" s="763"/>
      <c r="W34" s="763"/>
      <c r="X34" s="763"/>
      <c r="Y34" s="763"/>
      <c r="Z34" s="763"/>
      <c r="AA34" s="763"/>
      <c r="AB34" s="763"/>
      <c r="AC34" s="763"/>
      <c r="AD34" s="763"/>
      <c r="AE34" s="763"/>
      <c r="AF34" s="763"/>
      <c r="AG34" s="763"/>
      <c r="AH34" s="763"/>
      <c r="AI34" s="763"/>
      <c r="AJ34" s="763"/>
      <c r="AK34" s="763"/>
      <c r="AL34" s="763"/>
      <c r="AM34" s="763"/>
      <c r="AN34" s="763"/>
      <c r="AO34" s="763"/>
      <c r="AP34" s="763"/>
      <c r="AQ34" s="763"/>
      <c r="AR34" s="763"/>
      <c r="AS34" s="763"/>
      <c r="AT34" s="763"/>
      <c r="AU34" s="763"/>
      <c r="AV34" s="763"/>
      <c r="AW34" s="763"/>
      <c r="AX34" s="763"/>
      <c r="AY34" s="763"/>
      <c r="AZ34" s="763"/>
      <c r="BA34" s="763"/>
      <c r="BB34" s="763"/>
      <c r="BC34" s="763"/>
      <c r="BD34" s="763"/>
      <c r="BE34" s="763"/>
      <c r="BF34" s="763"/>
      <c r="BG34" s="763"/>
      <c r="BH34" s="763"/>
      <c r="BI34" s="763"/>
      <c r="BJ34" s="763"/>
      <c r="BK34" s="763"/>
      <c r="BL34" s="763"/>
      <c r="BM34" s="763"/>
      <c r="BN34" s="763"/>
      <c r="BO34" s="763"/>
      <c r="BP34" s="763"/>
      <c r="BQ34" s="763"/>
      <c r="BR34" s="763"/>
      <c r="BS34" s="763"/>
      <c r="BT34" s="763"/>
      <c r="BU34" s="763"/>
      <c r="BV34" s="763"/>
      <c r="BW34" s="763"/>
      <c r="BX34" s="763"/>
      <c r="BY34" s="763"/>
      <c r="BZ34" s="763"/>
      <c r="CA34" s="763"/>
      <c r="CB34" s="763"/>
      <c r="CC34" s="763"/>
      <c r="CD34" s="763"/>
      <c r="CE34" s="763"/>
      <c r="CF34" s="763"/>
      <c r="CG34" s="763"/>
      <c r="CH34" s="763"/>
      <c r="CI34" s="763"/>
      <c r="CJ34" s="763"/>
      <c r="CK34" s="763"/>
      <c r="CL34" s="763"/>
      <c r="CM34" s="763"/>
      <c r="CN34" s="763"/>
      <c r="CO34" s="763"/>
      <c r="CP34" s="763"/>
      <c r="CQ34" s="763"/>
      <c r="CR34" s="763"/>
      <c r="CS34" s="763"/>
      <c r="CT34" s="763"/>
      <c r="CU34" s="763"/>
      <c r="CV34" s="763"/>
      <c r="CW34" s="763"/>
      <c r="CX34" s="763"/>
      <c r="CY34" s="763"/>
      <c r="CZ34" s="763"/>
      <c r="DA34" s="763"/>
      <c r="DB34" s="763"/>
      <c r="DC34" s="763"/>
      <c r="DD34" s="763"/>
      <c r="DE34" s="763"/>
      <c r="DF34" s="763"/>
      <c r="DG34" s="763"/>
      <c r="DH34" s="763"/>
      <c r="DI34" s="763"/>
      <c r="DJ34" s="763"/>
      <c r="DK34" s="763"/>
      <c r="DL34" s="763"/>
      <c r="DM34" s="763"/>
      <c r="DN34" s="763"/>
      <c r="DO34" s="763"/>
      <c r="DP34" s="763"/>
      <c r="DQ34" s="763"/>
      <c r="DR34" s="763"/>
      <c r="DS34" s="763"/>
      <c r="DT34" s="763"/>
      <c r="DU34" s="763"/>
      <c r="DV34" s="763"/>
      <c r="DW34" s="763"/>
      <c r="DX34" s="763"/>
      <c r="DY34" s="763"/>
      <c r="DZ34" s="763"/>
      <c r="EA34" s="763"/>
    </row>
    <row r="35" spans="1:131" s="899" customFormat="1" ht="13.5" customHeight="1" x14ac:dyDescent="0.2">
      <c r="A35" s="533" t="s">
        <v>500</v>
      </c>
      <c r="B35" s="1368" t="s">
        <v>347</v>
      </c>
      <c r="C35" s="1368"/>
      <c r="D35" s="1368"/>
      <c r="E35" s="1368"/>
      <c r="F35" s="1368"/>
      <c r="G35" s="1368"/>
      <c r="H35" s="764"/>
      <c r="I35" s="764"/>
      <c r="J35" s="773"/>
      <c r="K35" s="753">
        <v>1</v>
      </c>
      <c r="L35" s="765">
        <v>0.4</v>
      </c>
      <c r="M35" s="1369" t="s">
        <v>348</v>
      </c>
      <c r="N35" s="1369">
        <v>1</v>
      </c>
      <c r="O35" s="480"/>
      <c r="P35" s="766"/>
      <c r="Q35" s="480"/>
      <c r="R35" s="763"/>
      <c r="S35" s="763"/>
      <c r="T35" s="763"/>
      <c r="U35" s="763"/>
      <c r="V35" s="763"/>
      <c r="W35" s="763"/>
      <c r="X35" s="763"/>
      <c r="Y35" s="763"/>
      <c r="Z35" s="763"/>
      <c r="AA35" s="763"/>
      <c r="AB35" s="763"/>
      <c r="AC35" s="763"/>
      <c r="AD35" s="763"/>
      <c r="AE35" s="763"/>
      <c r="AF35" s="763"/>
      <c r="AG35" s="763"/>
      <c r="AH35" s="763"/>
      <c r="AI35" s="763"/>
      <c r="AJ35" s="763"/>
      <c r="AK35" s="763"/>
      <c r="AL35" s="763"/>
      <c r="AM35" s="763"/>
      <c r="AN35" s="763"/>
      <c r="AO35" s="763"/>
      <c r="AP35" s="763"/>
      <c r="AQ35" s="763"/>
      <c r="AR35" s="763"/>
      <c r="AS35" s="763"/>
      <c r="AT35" s="763"/>
      <c r="AU35" s="763"/>
      <c r="AV35" s="763"/>
      <c r="AW35" s="763"/>
      <c r="AX35" s="763"/>
      <c r="AY35" s="763"/>
      <c r="AZ35" s="763"/>
      <c r="BA35" s="763"/>
      <c r="BB35" s="763"/>
      <c r="BC35" s="763"/>
      <c r="BD35" s="763"/>
      <c r="BE35" s="763"/>
      <c r="BF35" s="763"/>
      <c r="BG35" s="763"/>
      <c r="BH35" s="763"/>
      <c r="BI35" s="763"/>
      <c r="BJ35" s="763"/>
      <c r="BK35" s="763"/>
      <c r="BL35" s="763"/>
      <c r="BM35" s="763"/>
      <c r="BN35" s="763"/>
      <c r="BO35" s="763"/>
      <c r="BP35" s="763"/>
      <c r="BQ35" s="763"/>
      <c r="BR35" s="763"/>
      <c r="BS35" s="763"/>
      <c r="BT35" s="763"/>
      <c r="BU35" s="763"/>
      <c r="BV35" s="763"/>
      <c r="BW35" s="763"/>
      <c r="BX35" s="763"/>
      <c r="BY35" s="763"/>
      <c r="BZ35" s="763"/>
      <c r="CA35" s="763"/>
      <c r="CB35" s="763"/>
      <c r="CC35" s="763"/>
      <c r="CD35" s="763"/>
      <c r="CE35" s="763"/>
      <c r="CF35" s="763"/>
      <c r="CG35" s="763"/>
      <c r="CH35" s="763"/>
      <c r="CI35" s="763"/>
      <c r="CJ35" s="763"/>
      <c r="CK35" s="763"/>
      <c r="CL35" s="763"/>
      <c r="CM35" s="763"/>
      <c r="CN35" s="763"/>
      <c r="CO35" s="763"/>
      <c r="CP35" s="763"/>
      <c r="CQ35" s="763"/>
      <c r="CR35" s="763"/>
      <c r="CS35" s="763"/>
      <c r="CT35" s="763"/>
      <c r="CU35" s="763"/>
      <c r="CV35" s="763"/>
      <c r="CW35" s="763"/>
      <c r="CX35" s="763"/>
      <c r="CY35" s="763"/>
      <c r="CZ35" s="763"/>
      <c r="DA35" s="763"/>
      <c r="DB35" s="763"/>
      <c r="DC35" s="763"/>
      <c r="DD35" s="763"/>
      <c r="DE35" s="763"/>
      <c r="DF35" s="763"/>
      <c r="DG35" s="763"/>
      <c r="DH35" s="763"/>
      <c r="DI35" s="763"/>
      <c r="DJ35" s="763"/>
      <c r="DK35" s="763"/>
      <c r="DL35" s="763"/>
      <c r="DM35" s="763"/>
      <c r="DN35" s="763"/>
      <c r="DO35" s="763"/>
      <c r="DP35" s="763"/>
      <c r="DQ35" s="763"/>
      <c r="DR35" s="763"/>
      <c r="DS35" s="763"/>
      <c r="DT35" s="763"/>
      <c r="DU35" s="763"/>
      <c r="DV35" s="763"/>
      <c r="DW35" s="763"/>
      <c r="DX35" s="763"/>
      <c r="DY35" s="763"/>
      <c r="DZ35" s="763"/>
      <c r="EA35" s="763"/>
    </row>
    <row r="36" spans="1:131" s="899" customFormat="1" ht="12" customHeight="1" x14ac:dyDescent="0.2">
      <c r="A36" s="426"/>
      <c r="B36" s="426"/>
      <c r="C36" s="426"/>
      <c r="D36" s="426"/>
      <c r="E36" s="426"/>
      <c r="F36" s="426"/>
      <c r="G36" s="426"/>
      <c r="H36" s="426"/>
      <c r="I36" s="426"/>
      <c r="J36" s="480"/>
      <c r="K36" s="753">
        <v>2</v>
      </c>
      <c r="L36" s="765">
        <v>0.3</v>
      </c>
      <c r="M36" s="1370"/>
      <c r="N36" s="1370"/>
      <c r="O36" s="480"/>
      <c r="P36" s="766"/>
      <c r="Q36" s="480"/>
      <c r="R36" s="763"/>
      <c r="S36" s="763"/>
      <c r="T36" s="763"/>
      <c r="U36" s="763"/>
      <c r="V36" s="763"/>
      <c r="W36" s="763"/>
      <c r="X36" s="763"/>
      <c r="Y36" s="763"/>
      <c r="Z36" s="763"/>
      <c r="AA36" s="763"/>
      <c r="AB36" s="763"/>
      <c r="AC36" s="763"/>
      <c r="AD36" s="763"/>
      <c r="AE36" s="763"/>
      <c r="AF36" s="763"/>
      <c r="AG36" s="763"/>
      <c r="AH36" s="763"/>
      <c r="AI36" s="763"/>
      <c r="AJ36" s="763"/>
      <c r="AK36" s="763"/>
      <c r="AL36" s="763"/>
      <c r="AM36" s="763"/>
      <c r="AN36" s="763"/>
      <c r="AO36" s="763"/>
      <c r="AP36" s="763"/>
      <c r="AQ36" s="763"/>
      <c r="AR36" s="763"/>
      <c r="AS36" s="763"/>
      <c r="AT36" s="763"/>
      <c r="AU36" s="763"/>
      <c r="AV36" s="763"/>
      <c r="AW36" s="763"/>
      <c r="AX36" s="763"/>
      <c r="AY36" s="763"/>
      <c r="AZ36" s="763"/>
      <c r="BA36" s="763"/>
      <c r="BB36" s="763"/>
      <c r="BC36" s="763"/>
      <c r="BD36" s="763"/>
      <c r="BE36" s="763"/>
      <c r="BF36" s="763"/>
      <c r="BG36" s="763"/>
      <c r="BH36" s="763"/>
      <c r="BI36" s="763"/>
      <c r="BJ36" s="763"/>
      <c r="BK36" s="763"/>
      <c r="BL36" s="763"/>
      <c r="BM36" s="763"/>
      <c r="BN36" s="763"/>
      <c r="BO36" s="763"/>
      <c r="BP36" s="763"/>
      <c r="BQ36" s="763"/>
      <c r="BR36" s="763"/>
      <c r="BS36" s="763"/>
      <c r="BT36" s="763"/>
      <c r="BU36" s="763"/>
      <c r="BV36" s="763"/>
      <c r="BW36" s="763"/>
      <c r="BX36" s="763"/>
      <c r="BY36" s="763"/>
      <c r="BZ36" s="763"/>
      <c r="CA36" s="763"/>
      <c r="CB36" s="763"/>
      <c r="CC36" s="763"/>
      <c r="CD36" s="763"/>
      <c r="CE36" s="763"/>
      <c r="CF36" s="763"/>
      <c r="CG36" s="763"/>
      <c r="CH36" s="763"/>
      <c r="CI36" s="763"/>
      <c r="CJ36" s="763"/>
      <c r="CK36" s="763"/>
      <c r="CL36" s="763"/>
      <c r="CM36" s="763"/>
      <c r="CN36" s="763"/>
      <c r="CO36" s="763"/>
      <c r="CP36" s="763"/>
      <c r="CQ36" s="763"/>
      <c r="CR36" s="763"/>
      <c r="CS36" s="763"/>
      <c r="CT36" s="763"/>
      <c r="CU36" s="763"/>
      <c r="CV36" s="763"/>
      <c r="CW36" s="763"/>
      <c r="CX36" s="763"/>
      <c r="CY36" s="763"/>
      <c r="CZ36" s="763"/>
      <c r="DA36" s="763"/>
      <c r="DB36" s="763"/>
      <c r="DC36" s="763"/>
      <c r="DD36" s="763"/>
      <c r="DE36" s="763"/>
      <c r="DF36" s="763"/>
      <c r="DG36" s="763"/>
      <c r="DH36" s="763"/>
      <c r="DI36" s="763"/>
      <c r="DJ36" s="763"/>
      <c r="DK36" s="763"/>
      <c r="DL36" s="763"/>
      <c r="DM36" s="763"/>
      <c r="DN36" s="763"/>
      <c r="DO36" s="763"/>
      <c r="DP36" s="763"/>
      <c r="DQ36" s="763"/>
      <c r="DR36" s="763"/>
      <c r="DS36" s="763"/>
      <c r="DT36" s="763"/>
      <c r="DU36" s="763"/>
      <c r="DV36" s="763"/>
      <c r="DW36" s="763"/>
      <c r="DX36" s="763"/>
      <c r="DY36" s="763"/>
      <c r="DZ36" s="763"/>
      <c r="EA36" s="763"/>
    </row>
    <row r="37" spans="1:131" s="899" customFormat="1" ht="12" customHeight="1" x14ac:dyDescent="0.2">
      <c r="A37" s="426"/>
      <c r="B37" s="426"/>
      <c r="C37" s="426"/>
      <c r="D37" s="426"/>
      <c r="E37" s="426"/>
      <c r="F37" s="426"/>
      <c r="G37" s="426"/>
      <c r="H37" s="426"/>
      <c r="I37" s="426"/>
      <c r="J37" s="480"/>
      <c r="K37" s="753">
        <v>3</v>
      </c>
      <c r="L37" s="765">
        <v>0.3</v>
      </c>
      <c r="M37" s="1371"/>
      <c r="N37" s="1371"/>
      <c r="O37" s="480"/>
      <c r="P37" s="766"/>
      <c r="Q37" s="480"/>
      <c r="R37" s="763"/>
      <c r="S37" s="763"/>
      <c r="T37" s="763"/>
      <c r="U37" s="763"/>
      <c r="V37" s="763"/>
      <c r="W37" s="763"/>
      <c r="X37" s="763"/>
      <c r="Y37" s="763"/>
      <c r="Z37" s="763"/>
      <c r="AA37" s="763"/>
      <c r="AB37" s="763"/>
      <c r="AC37" s="763"/>
      <c r="AD37" s="763"/>
      <c r="AE37" s="763"/>
      <c r="AF37" s="763"/>
      <c r="AG37" s="763"/>
      <c r="AH37" s="763"/>
      <c r="AI37" s="763"/>
      <c r="AJ37" s="763"/>
      <c r="AK37" s="763"/>
      <c r="AL37" s="763"/>
      <c r="AM37" s="763"/>
      <c r="AN37" s="763"/>
      <c r="AO37" s="763"/>
      <c r="AP37" s="763"/>
      <c r="AQ37" s="763"/>
      <c r="AR37" s="763"/>
      <c r="AS37" s="763"/>
      <c r="AT37" s="763"/>
      <c r="AU37" s="763"/>
      <c r="AV37" s="763"/>
      <c r="AW37" s="763"/>
      <c r="AX37" s="763"/>
      <c r="AY37" s="763"/>
      <c r="AZ37" s="763"/>
      <c r="BA37" s="763"/>
      <c r="BB37" s="763"/>
      <c r="BC37" s="763"/>
      <c r="BD37" s="763"/>
      <c r="BE37" s="763"/>
      <c r="BF37" s="763"/>
      <c r="BG37" s="763"/>
      <c r="BH37" s="763"/>
      <c r="BI37" s="763"/>
      <c r="BJ37" s="763"/>
      <c r="BK37" s="763"/>
      <c r="BL37" s="763"/>
      <c r="BM37" s="763"/>
      <c r="BN37" s="763"/>
      <c r="BO37" s="763"/>
      <c r="BP37" s="763"/>
      <c r="BQ37" s="763"/>
      <c r="BR37" s="763"/>
      <c r="BS37" s="763"/>
      <c r="BT37" s="763"/>
      <c r="BU37" s="763"/>
      <c r="BV37" s="763"/>
      <c r="BW37" s="763"/>
      <c r="BX37" s="763"/>
      <c r="BY37" s="763"/>
      <c r="BZ37" s="763"/>
      <c r="CA37" s="763"/>
      <c r="CB37" s="763"/>
      <c r="CC37" s="763"/>
      <c r="CD37" s="763"/>
      <c r="CE37" s="763"/>
      <c r="CF37" s="763"/>
      <c r="CG37" s="763"/>
      <c r="CH37" s="763"/>
      <c r="CI37" s="763"/>
      <c r="CJ37" s="763"/>
      <c r="CK37" s="763"/>
      <c r="CL37" s="763"/>
      <c r="CM37" s="763"/>
      <c r="CN37" s="763"/>
      <c r="CO37" s="763"/>
      <c r="CP37" s="763"/>
      <c r="CQ37" s="763"/>
      <c r="CR37" s="763"/>
      <c r="CS37" s="763"/>
      <c r="CT37" s="763"/>
      <c r="CU37" s="763"/>
      <c r="CV37" s="763"/>
      <c r="CW37" s="763"/>
      <c r="CX37" s="763"/>
      <c r="CY37" s="763"/>
      <c r="CZ37" s="763"/>
      <c r="DA37" s="763"/>
      <c r="DB37" s="763"/>
      <c r="DC37" s="763"/>
      <c r="DD37" s="763"/>
      <c r="DE37" s="763"/>
      <c r="DF37" s="763"/>
      <c r="DG37" s="763"/>
      <c r="DH37" s="763"/>
      <c r="DI37" s="763"/>
      <c r="DJ37" s="763"/>
      <c r="DK37" s="763"/>
      <c r="DL37" s="763"/>
      <c r="DM37" s="763"/>
      <c r="DN37" s="763"/>
      <c r="DO37" s="763"/>
      <c r="DP37" s="763"/>
      <c r="DQ37" s="763"/>
      <c r="DR37" s="763"/>
      <c r="DS37" s="763"/>
      <c r="DT37" s="763"/>
      <c r="DU37" s="763"/>
      <c r="DV37" s="763"/>
      <c r="DW37" s="763"/>
      <c r="DX37" s="763"/>
      <c r="DY37" s="763"/>
      <c r="DZ37" s="763"/>
      <c r="EA37" s="763"/>
    </row>
    <row r="38" spans="1:131" x14ac:dyDescent="0.2">
      <c r="A38" s="899"/>
      <c r="B38" s="899"/>
      <c r="C38" s="899"/>
      <c r="D38" s="899"/>
      <c r="E38" s="899"/>
      <c r="F38" s="899"/>
      <c r="G38" s="899"/>
      <c r="H38" s="899"/>
      <c r="I38" s="899"/>
      <c r="J38" s="763"/>
      <c r="K38" s="899"/>
      <c r="L38" s="899"/>
      <c r="M38" s="899"/>
      <c r="N38" s="899"/>
      <c r="O38" s="763"/>
      <c r="P38" s="762"/>
      <c r="Q38" s="763"/>
      <c r="R38" s="763"/>
      <c r="S38" s="763"/>
      <c r="T38" s="763"/>
      <c r="U38" s="763"/>
      <c r="V38" s="763"/>
      <c r="W38" s="763"/>
      <c r="X38" s="763"/>
      <c r="Y38" s="763"/>
      <c r="Z38" s="763"/>
      <c r="AA38" s="763"/>
      <c r="AB38" s="763"/>
      <c r="AC38" s="763"/>
      <c r="AD38" s="763"/>
      <c r="AE38" s="763"/>
      <c r="AF38" s="763"/>
    </row>
    <row r="39" spans="1:131" x14ac:dyDescent="0.2">
      <c r="A39" s="899"/>
      <c r="B39" s="899"/>
      <c r="C39" s="899"/>
      <c r="D39" s="899"/>
      <c r="E39" s="899"/>
      <c r="F39" s="899"/>
      <c r="G39" s="899"/>
      <c r="H39" s="899"/>
      <c r="I39" s="899"/>
      <c r="J39" s="763"/>
      <c r="K39" s="763"/>
      <c r="L39" s="763"/>
      <c r="M39" s="763"/>
      <c r="N39" s="763"/>
      <c r="O39" s="763"/>
      <c r="P39" s="762"/>
      <c r="Q39" s="763"/>
      <c r="R39" s="763"/>
      <c r="S39" s="763"/>
      <c r="T39" s="763"/>
      <c r="U39" s="763"/>
      <c r="V39" s="763"/>
      <c r="W39" s="763"/>
      <c r="X39" s="763"/>
      <c r="Y39" s="763"/>
      <c r="Z39" s="763"/>
      <c r="AA39" s="763"/>
      <c r="AB39" s="763"/>
      <c r="AC39" s="763"/>
      <c r="AD39" s="763"/>
      <c r="AE39" s="763"/>
      <c r="AF39" s="763"/>
    </row>
    <row r="40" spans="1:131" x14ac:dyDescent="0.2">
      <c r="A40" s="899"/>
      <c r="B40" s="899"/>
      <c r="C40" s="899"/>
      <c r="D40" s="899"/>
      <c r="E40" s="899"/>
      <c r="F40" s="899"/>
      <c r="G40" s="899"/>
      <c r="H40" s="899"/>
      <c r="I40" s="899"/>
      <c r="J40" s="763"/>
      <c r="K40" s="763"/>
      <c r="L40" s="763"/>
      <c r="M40" s="763"/>
      <c r="N40" s="763"/>
      <c r="O40" s="763"/>
      <c r="P40" s="762"/>
      <c r="Q40" s="763"/>
      <c r="R40" s="763"/>
      <c r="S40" s="763"/>
      <c r="T40" s="763"/>
      <c r="U40" s="763"/>
      <c r="V40" s="763"/>
      <c r="W40" s="763"/>
      <c r="X40" s="763"/>
      <c r="Y40" s="763"/>
      <c r="Z40" s="763"/>
      <c r="AA40" s="763"/>
      <c r="AB40" s="763"/>
      <c r="AC40" s="763"/>
      <c r="AD40" s="763"/>
      <c r="AE40" s="763"/>
      <c r="AF40" s="763"/>
    </row>
    <row r="41" spans="1:131" x14ac:dyDescent="0.2">
      <c r="A41" s="899"/>
      <c r="B41" s="899"/>
      <c r="C41" s="899"/>
      <c r="D41" s="899"/>
      <c r="E41" s="899"/>
      <c r="F41" s="899"/>
      <c r="G41" s="899"/>
      <c r="H41" s="899"/>
      <c r="I41" s="899"/>
      <c r="J41" s="763"/>
      <c r="K41" s="763"/>
      <c r="L41" s="763"/>
      <c r="M41" s="763"/>
      <c r="N41" s="763"/>
      <c r="O41" s="763"/>
      <c r="P41" s="762"/>
      <c r="Q41" s="763"/>
      <c r="R41" s="763"/>
      <c r="S41" s="763"/>
      <c r="T41" s="763"/>
      <c r="U41" s="763"/>
      <c r="V41" s="763"/>
      <c r="W41" s="763"/>
      <c r="X41" s="763"/>
      <c r="Y41" s="763"/>
      <c r="Z41" s="763"/>
      <c r="AA41" s="763"/>
      <c r="AB41" s="763"/>
      <c r="AC41" s="763"/>
      <c r="AD41" s="763"/>
      <c r="AE41" s="763"/>
      <c r="AF41" s="763"/>
    </row>
    <row r="42" spans="1:131" x14ac:dyDescent="0.2">
      <c r="A42" s="899"/>
      <c r="B42" s="899"/>
      <c r="C42" s="899"/>
      <c r="D42" s="899"/>
      <c r="E42" s="899"/>
      <c r="F42" s="899"/>
      <c r="G42" s="899"/>
      <c r="H42" s="899"/>
      <c r="I42" s="899"/>
      <c r="J42" s="763"/>
      <c r="K42" s="763"/>
      <c r="L42" s="763"/>
      <c r="M42" s="763"/>
      <c r="N42" s="763"/>
      <c r="O42" s="763"/>
      <c r="P42" s="762"/>
      <c r="Q42" s="763"/>
      <c r="R42" s="763"/>
      <c r="S42" s="763"/>
      <c r="T42" s="763"/>
      <c r="U42" s="763"/>
      <c r="V42" s="763"/>
      <c r="W42" s="763"/>
      <c r="X42" s="763"/>
      <c r="Y42" s="763"/>
      <c r="Z42" s="763"/>
      <c r="AA42" s="763"/>
      <c r="AB42" s="763"/>
      <c r="AC42" s="763"/>
      <c r="AD42" s="763"/>
      <c r="AE42" s="763"/>
      <c r="AF42" s="763"/>
    </row>
  </sheetData>
  <sheetProtection password="F46F" sheet="1" objects="1" scenarios="1"/>
  <mergeCells count="79">
    <mergeCell ref="N33:N34"/>
    <mergeCell ref="B34:G34"/>
    <mergeCell ref="B35:G35"/>
    <mergeCell ref="M35:M37"/>
    <mergeCell ref="N35:N37"/>
    <mergeCell ref="B33:G33"/>
    <mergeCell ref="K33:K34"/>
    <mergeCell ref="L33:L34"/>
    <mergeCell ref="M33:M34"/>
    <mergeCell ref="B30:D30"/>
    <mergeCell ref="B32:G32"/>
    <mergeCell ref="K32:N32"/>
    <mergeCell ref="B28:D29"/>
    <mergeCell ref="I28:I29"/>
    <mergeCell ref="J28:L28"/>
    <mergeCell ref="M28:O28"/>
    <mergeCell ref="B17:B24"/>
    <mergeCell ref="D17:E17"/>
    <mergeCell ref="P28:P29"/>
    <mergeCell ref="Q28:Q29"/>
    <mergeCell ref="D24:E24"/>
    <mergeCell ref="C25:E25"/>
    <mergeCell ref="C26:D26"/>
    <mergeCell ref="P26:Q26"/>
    <mergeCell ref="Y17:Y24"/>
    <mergeCell ref="Z17:Z24"/>
    <mergeCell ref="D18:E18"/>
    <mergeCell ref="D19:E19"/>
    <mergeCell ref="D20:E20"/>
    <mergeCell ref="D21:E21"/>
    <mergeCell ref="D22:E22"/>
    <mergeCell ref="D23:E23"/>
    <mergeCell ref="AA10:AA16"/>
    <mergeCell ref="AB10:AB13"/>
    <mergeCell ref="AC10:AC13"/>
    <mergeCell ref="AD10:AD13"/>
    <mergeCell ref="D15:E15"/>
    <mergeCell ref="D16:E16"/>
    <mergeCell ref="AE10:AE24"/>
    <mergeCell ref="D11:E11"/>
    <mergeCell ref="D12:E12"/>
    <mergeCell ref="D13:E13"/>
    <mergeCell ref="AB14:AB16"/>
    <mergeCell ref="AC14:AC24"/>
    <mergeCell ref="AD14:AD16"/>
    <mergeCell ref="AA17:AA24"/>
    <mergeCell ref="AB17:AB24"/>
    <mergeCell ref="AD17:AD24"/>
    <mergeCell ref="B10:B13"/>
    <mergeCell ref="D10:E10"/>
    <mergeCell ref="Y10:Y13"/>
    <mergeCell ref="Z10:Z13"/>
    <mergeCell ref="B14:B16"/>
    <mergeCell ref="D14:E14"/>
    <mergeCell ref="Y14:Y16"/>
    <mergeCell ref="Z14:Z16"/>
    <mergeCell ref="M2:O2"/>
    <mergeCell ref="O7:O9"/>
    <mergeCell ref="AD7:AD9"/>
    <mergeCell ref="AE7:AE9"/>
    <mergeCell ref="M8:N8"/>
    <mergeCell ref="Z7:Z9"/>
    <mergeCell ref="AA7:AA9"/>
    <mergeCell ref="AB7:AB9"/>
    <mergeCell ref="H7:H9"/>
    <mergeCell ref="I7:N7"/>
    <mergeCell ref="AC7:AC9"/>
    <mergeCell ref="P7:Q8"/>
    <mergeCell ref="V7:V9"/>
    <mergeCell ref="W7:X8"/>
    <mergeCell ref="Y7:Y9"/>
    <mergeCell ref="I8:J8"/>
    <mergeCell ref="K8:L8"/>
    <mergeCell ref="C4:D4"/>
    <mergeCell ref="B7:B9"/>
    <mergeCell ref="C7:E7"/>
    <mergeCell ref="G7:G9"/>
    <mergeCell ref="C8:C9"/>
    <mergeCell ref="D8:E9"/>
  </mergeCells>
  <phoneticPr fontId="36" type="noConversion"/>
  <dataValidations count="1">
    <dataValidation type="decimal" operator="greaterThanOrEqual" allowBlank="1" showInputMessage="1" showErrorMessage="1" sqref="I10:L24">
      <formula1>0</formula1>
    </dataValidation>
  </dataValidations>
  <pageMargins left="0.25" right="0.25" top="1" bottom="1" header="0.5" footer="0.5"/>
  <pageSetup paperSize="9" scale="74" orientation="landscape" r:id="rId1"/>
  <headerFooter alignWithMargins="0">
    <oddHeader>&amp;C&amp;"Arial,Bold"&amp;8 NEW RURAL BANK OF SAN LEONARDO, INC  [ 04-040656 ]
 As of: September 30, 2017</oddHeader>
  </headerFooter>
  <colBreaks count="1" manualBreakCount="1">
    <brk id="15" max="1048575" man="1"/>
  </colBreak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ED42"/>
  <sheetViews>
    <sheetView view="pageBreakPreview" zoomScale="60" zoomScaleNormal="55" workbookViewId="0">
      <selection activeCell="B1" sqref="B1"/>
    </sheetView>
  </sheetViews>
  <sheetFormatPr defaultRowHeight="12.75" x14ac:dyDescent="0.2"/>
  <cols>
    <col min="1" max="1" width="2" style="889" customWidth="1"/>
    <col min="2" max="2" width="6.7109375" style="889" customWidth="1"/>
    <col min="3" max="3" width="21.28515625" style="889" customWidth="1"/>
    <col min="4" max="4" width="17.85546875" style="889" customWidth="1"/>
    <col min="5" max="5" width="5" style="889" customWidth="1"/>
    <col min="6" max="6" width="12.42578125" style="889" hidden="1" customWidth="1"/>
    <col min="7" max="7" width="16.7109375" style="889" bestFit="1" customWidth="1"/>
    <col min="8" max="8" width="19.42578125" style="889" hidden="1" customWidth="1"/>
    <col min="9" max="9" width="15.85546875" style="889" customWidth="1"/>
    <col min="10" max="15" width="15.85546875" style="891" customWidth="1"/>
    <col min="16" max="16" width="15.85546875" style="1012" customWidth="1"/>
    <col min="17" max="17" width="15.85546875" style="891" customWidth="1"/>
    <col min="18" max="18" width="8" style="891" customWidth="1"/>
    <col min="19" max="21" width="10.140625" style="891" customWidth="1"/>
    <col min="22" max="25" width="10.140625" style="891" hidden="1" customWidth="1"/>
    <col min="26" max="31" width="8" style="891" hidden="1" customWidth="1"/>
    <col min="32" max="32" width="8" style="891" customWidth="1"/>
  </cols>
  <sheetData>
    <row r="1" spans="1:132" s="889" customFormat="1" x14ac:dyDescent="0.2">
      <c r="A1" s="426"/>
      <c r="B1" s="426"/>
      <c r="C1" s="426"/>
      <c r="D1" s="426"/>
      <c r="E1" s="426"/>
      <c r="F1" s="426"/>
      <c r="G1" s="426"/>
      <c r="H1" s="426"/>
      <c r="I1" s="426"/>
      <c r="J1" s="480"/>
      <c r="K1" s="480"/>
      <c r="L1" s="480"/>
      <c r="M1" s="480"/>
      <c r="N1" s="480"/>
      <c r="O1" s="480"/>
      <c r="P1" s="766"/>
      <c r="Q1" s="480"/>
      <c r="R1" s="891"/>
      <c r="S1" s="891"/>
      <c r="T1" s="891"/>
      <c r="U1" s="891"/>
      <c r="V1" s="891"/>
      <c r="W1" s="891"/>
      <c r="X1" s="891"/>
      <c r="Y1" s="891"/>
      <c r="Z1" s="891"/>
      <c r="AA1" s="891"/>
      <c r="AB1" s="891"/>
      <c r="AC1" s="891"/>
      <c r="AD1" s="891"/>
      <c r="AE1" s="891"/>
      <c r="AF1" s="891"/>
      <c r="AG1" s="891"/>
      <c r="AH1" s="891"/>
      <c r="AI1" s="891"/>
      <c r="AJ1" s="891"/>
      <c r="AK1" s="891"/>
      <c r="AL1" s="891"/>
      <c r="AM1" s="891"/>
      <c r="AN1" s="891"/>
      <c r="AO1" s="891"/>
      <c r="AP1" s="891"/>
      <c r="AQ1" s="891"/>
      <c r="AR1" s="891"/>
      <c r="AS1" s="891"/>
      <c r="AT1" s="891"/>
      <c r="AU1" s="891"/>
      <c r="AV1" s="891"/>
      <c r="AW1" s="891"/>
      <c r="AX1" s="891"/>
      <c r="AY1" s="891"/>
      <c r="AZ1" s="891"/>
      <c r="BA1" s="891"/>
      <c r="BB1" s="891"/>
      <c r="BC1" s="891"/>
      <c r="BD1" s="891"/>
      <c r="BE1" s="891"/>
      <c r="BF1" s="891"/>
      <c r="BG1" s="891"/>
      <c r="BH1" s="891"/>
      <c r="BI1" s="891"/>
      <c r="BJ1" s="891"/>
      <c r="BK1" s="891"/>
      <c r="BL1" s="891"/>
      <c r="BM1" s="891"/>
      <c r="BN1" s="891"/>
      <c r="BO1" s="891"/>
      <c r="BP1" s="891"/>
      <c r="BQ1" s="891"/>
      <c r="BR1" s="891"/>
      <c r="BS1" s="891"/>
      <c r="BT1" s="891"/>
      <c r="BU1" s="891"/>
      <c r="BV1" s="891"/>
      <c r="BW1" s="891"/>
      <c r="BX1" s="891"/>
      <c r="BY1" s="891"/>
      <c r="BZ1" s="891"/>
      <c r="CA1" s="891"/>
      <c r="CB1" s="891"/>
      <c r="CC1" s="891"/>
      <c r="CD1" s="891"/>
      <c r="CE1" s="891"/>
      <c r="CF1" s="891"/>
      <c r="CG1" s="891"/>
      <c r="CH1" s="891"/>
      <c r="CI1" s="891"/>
      <c r="CJ1" s="891"/>
      <c r="CK1" s="891"/>
      <c r="CL1" s="891"/>
      <c r="CM1" s="891"/>
      <c r="CN1" s="891"/>
      <c r="CO1" s="891"/>
      <c r="CP1" s="891"/>
      <c r="CQ1" s="891"/>
      <c r="CR1" s="891"/>
      <c r="CS1" s="891"/>
      <c r="CT1" s="891"/>
      <c r="CU1" s="891"/>
      <c r="CV1" s="891"/>
      <c r="CW1" s="891"/>
      <c r="CX1" s="891"/>
      <c r="CY1" s="891"/>
      <c r="CZ1" s="891"/>
      <c r="DA1" s="891"/>
      <c r="DB1" s="891"/>
      <c r="DC1" s="891"/>
      <c r="DD1" s="891"/>
      <c r="DE1" s="891"/>
      <c r="DF1" s="891"/>
      <c r="DG1" s="891"/>
      <c r="DH1" s="891"/>
      <c r="DI1" s="891"/>
      <c r="DJ1" s="891"/>
      <c r="DK1" s="891"/>
      <c r="DL1" s="891"/>
      <c r="DM1" s="891"/>
      <c r="DN1" s="891"/>
      <c r="DO1" s="891"/>
      <c r="DP1" s="891"/>
      <c r="DQ1" s="891"/>
      <c r="DR1" s="891"/>
      <c r="DS1" s="891"/>
      <c r="DT1" s="891"/>
      <c r="DU1" s="891"/>
      <c r="DV1" s="891"/>
      <c r="DW1" s="891"/>
      <c r="DX1" s="891"/>
      <c r="DY1" s="891"/>
      <c r="DZ1" s="891"/>
      <c r="EA1" s="891"/>
    </row>
    <row r="2" spans="1:132" s="889" customFormat="1" ht="15.95" customHeight="1" x14ac:dyDescent="0.2">
      <c r="A2" s="426"/>
      <c r="B2" s="680" t="s">
        <v>357</v>
      </c>
      <c r="C2" s="680"/>
      <c r="D2" s="680"/>
      <c r="E2" s="680"/>
      <c r="F2" s="680"/>
      <c r="G2" s="680"/>
      <c r="H2" s="680"/>
      <c r="I2" s="680"/>
      <c r="J2" s="680"/>
      <c r="K2" s="680"/>
      <c r="L2" s="480"/>
      <c r="M2" s="1303"/>
      <c r="N2" s="1303"/>
      <c r="O2" s="1303"/>
      <c r="P2" s="766"/>
      <c r="Q2" s="480"/>
      <c r="R2" s="891"/>
      <c r="S2" s="891"/>
      <c r="T2" s="891"/>
      <c r="U2" s="891"/>
      <c r="V2" s="891"/>
      <c r="W2" s="891"/>
      <c r="X2" s="891"/>
      <c r="Y2" s="891"/>
      <c r="Z2" s="891"/>
      <c r="AA2" s="891"/>
      <c r="AB2" s="891"/>
      <c r="AC2" s="891"/>
      <c r="AD2" s="891"/>
      <c r="AE2" s="891"/>
      <c r="AF2" s="891"/>
      <c r="AG2" s="891"/>
      <c r="AH2" s="891"/>
      <c r="AI2" s="891"/>
      <c r="AJ2" s="891"/>
      <c r="AK2" s="891"/>
      <c r="AL2" s="891"/>
      <c r="AM2" s="891"/>
      <c r="AN2" s="891"/>
      <c r="AO2" s="891"/>
      <c r="AP2" s="891"/>
      <c r="AQ2" s="891"/>
      <c r="AR2" s="891"/>
      <c r="AS2" s="891"/>
      <c r="AT2" s="891"/>
      <c r="AU2" s="891"/>
      <c r="AV2" s="891"/>
      <c r="AW2" s="891"/>
      <c r="AX2" s="891"/>
      <c r="AY2" s="891"/>
      <c r="AZ2" s="891"/>
      <c r="BA2" s="891"/>
      <c r="BB2" s="891"/>
      <c r="BC2" s="891"/>
      <c r="BD2" s="891"/>
      <c r="BE2" s="891"/>
      <c r="BF2" s="891"/>
      <c r="BG2" s="891"/>
      <c r="BH2" s="891"/>
      <c r="BI2" s="891"/>
      <c r="BJ2" s="891"/>
      <c r="BK2" s="891"/>
      <c r="BL2" s="891"/>
      <c r="BM2" s="891"/>
      <c r="BN2" s="891"/>
      <c r="BO2" s="891"/>
      <c r="BP2" s="891"/>
      <c r="BQ2" s="891"/>
      <c r="BR2" s="891"/>
      <c r="BS2" s="891"/>
      <c r="BT2" s="891"/>
      <c r="BU2" s="891"/>
      <c r="BV2" s="891"/>
      <c r="BW2" s="891"/>
      <c r="BX2" s="891"/>
      <c r="BY2" s="891"/>
      <c r="BZ2" s="891"/>
      <c r="CA2" s="891"/>
      <c r="CB2" s="891"/>
      <c r="CC2" s="891"/>
      <c r="CD2" s="891"/>
      <c r="CE2" s="891"/>
      <c r="CF2" s="891"/>
      <c r="CG2" s="891"/>
      <c r="CH2" s="891"/>
      <c r="CI2" s="891"/>
      <c r="CJ2" s="891"/>
      <c r="CK2" s="891"/>
      <c r="CL2" s="891"/>
      <c r="CM2" s="891"/>
      <c r="CN2" s="891"/>
      <c r="CO2" s="891"/>
      <c r="CP2" s="891"/>
      <c r="CQ2" s="891"/>
      <c r="CR2" s="891"/>
      <c r="CS2" s="891"/>
      <c r="CT2" s="891"/>
      <c r="CU2" s="891"/>
      <c r="CV2" s="891"/>
      <c r="CW2" s="891"/>
      <c r="CX2" s="891"/>
      <c r="CY2" s="891"/>
      <c r="CZ2" s="891"/>
      <c r="DA2" s="891"/>
      <c r="DB2" s="891"/>
      <c r="DC2" s="891"/>
      <c r="DD2" s="891"/>
      <c r="DE2" s="891"/>
      <c r="DF2" s="891"/>
      <c r="DG2" s="891"/>
      <c r="DH2" s="891"/>
      <c r="DI2" s="891"/>
      <c r="DJ2" s="891"/>
      <c r="DK2" s="891"/>
      <c r="DL2" s="891"/>
      <c r="DM2" s="891"/>
      <c r="DN2" s="891"/>
      <c r="DO2" s="891"/>
      <c r="DP2" s="891"/>
      <c r="DQ2" s="891"/>
      <c r="DR2" s="891"/>
      <c r="DS2" s="891"/>
      <c r="DT2" s="891"/>
      <c r="DU2" s="891"/>
      <c r="DV2" s="891"/>
      <c r="DW2" s="891"/>
      <c r="DX2" s="891"/>
      <c r="DY2" s="891"/>
      <c r="DZ2" s="891"/>
      <c r="EA2" s="891"/>
    </row>
    <row r="3" spans="1:132" s="899" customFormat="1" ht="2.25" customHeight="1" x14ac:dyDescent="0.2">
      <c r="A3" s="426"/>
      <c r="B3" s="426"/>
      <c r="C3" s="426"/>
      <c r="D3" s="426"/>
      <c r="E3" s="426"/>
      <c r="F3" s="426"/>
      <c r="G3" s="426"/>
      <c r="H3" s="426"/>
      <c r="I3" s="426"/>
      <c r="J3" s="480"/>
      <c r="K3" s="480"/>
      <c r="L3" s="480"/>
      <c r="M3" s="480"/>
      <c r="N3" s="480"/>
      <c r="O3" s="480"/>
      <c r="P3" s="766"/>
      <c r="Q3" s="480"/>
      <c r="R3" s="763"/>
      <c r="S3" s="763"/>
      <c r="T3" s="763"/>
      <c r="U3" s="763"/>
      <c r="V3" s="763"/>
      <c r="W3" s="763"/>
      <c r="X3" s="763"/>
      <c r="Y3" s="763"/>
      <c r="Z3" s="763"/>
      <c r="AA3" s="763"/>
      <c r="AB3" s="763"/>
      <c r="AC3" s="763"/>
      <c r="AD3" s="763"/>
      <c r="AE3" s="763"/>
      <c r="AF3" s="763"/>
      <c r="AG3" s="763"/>
      <c r="AH3" s="763"/>
      <c r="AI3" s="763"/>
      <c r="AJ3" s="763"/>
      <c r="AK3" s="763"/>
      <c r="AL3" s="763"/>
      <c r="AM3" s="763"/>
      <c r="AN3" s="763"/>
      <c r="AO3" s="763"/>
      <c r="AP3" s="763"/>
      <c r="AQ3" s="763"/>
      <c r="AR3" s="763"/>
      <c r="AS3" s="763"/>
      <c r="AT3" s="763"/>
      <c r="AU3" s="763"/>
      <c r="AV3" s="763"/>
      <c r="AW3" s="763"/>
      <c r="AX3" s="763"/>
      <c r="AY3" s="763"/>
      <c r="AZ3" s="763"/>
      <c r="BA3" s="763"/>
      <c r="BB3" s="763"/>
      <c r="BC3" s="763"/>
      <c r="BD3" s="763"/>
      <c r="BE3" s="763"/>
      <c r="BF3" s="763"/>
      <c r="BG3" s="763"/>
      <c r="BH3" s="763"/>
      <c r="BI3" s="763"/>
      <c r="BJ3" s="763"/>
      <c r="BK3" s="763"/>
      <c r="BL3" s="763"/>
      <c r="BM3" s="763"/>
      <c r="BN3" s="763"/>
      <c r="BO3" s="763"/>
      <c r="BP3" s="763"/>
      <c r="BQ3" s="763"/>
      <c r="BR3" s="763"/>
      <c r="BS3" s="763"/>
      <c r="BT3" s="763"/>
      <c r="BU3" s="763"/>
      <c r="BV3" s="763"/>
      <c r="BW3" s="763"/>
      <c r="BX3" s="763"/>
      <c r="BY3" s="763"/>
      <c r="BZ3" s="763"/>
      <c r="CA3" s="763"/>
      <c r="CB3" s="763"/>
      <c r="CC3" s="763"/>
      <c r="CD3" s="763"/>
      <c r="CE3" s="763"/>
      <c r="CF3" s="763"/>
      <c r="CG3" s="763"/>
      <c r="CH3" s="763"/>
      <c r="CI3" s="763"/>
      <c r="CJ3" s="763"/>
      <c r="CK3" s="763"/>
      <c r="CL3" s="763"/>
      <c r="CM3" s="763"/>
      <c r="CN3" s="763"/>
      <c r="CO3" s="763"/>
      <c r="CP3" s="763"/>
      <c r="CQ3" s="763"/>
      <c r="CR3" s="763"/>
      <c r="CS3" s="763"/>
      <c r="CT3" s="763"/>
      <c r="CU3" s="763"/>
      <c r="CV3" s="763"/>
      <c r="CW3" s="763"/>
      <c r="CX3" s="763"/>
      <c r="CY3" s="763"/>
      <c r="CZ3" s="763"/>
      <c r="DA3" s="763"/>
      <c r="DB3" s="763"/>
      <c r="DC3" s="763"/>
      <c r="DD3" s="763"/>
      <c r="DE3" s="763"/>
      <c r="DF3" s="763"/>
      <c r="DG3" s="763"/>
      <c r="DH3" s="763"/>
      <c r="DI3" s="763"/>
      <c r="DJ3" s="763"/>
      <c r="DK3" s="763"/>
      <c r="DL3" s="763"/>
      <c r="DM3" s="763"/>
      <c r="DN3" s="763"/>
      <c r="DO3" s="763"/>
      <c r="DP3" s="763"/>
      <c r="DQ3" s="763"/>
      <c r="DR3" s="763"/>
      <c r="DS3" s="763"/>
      <c r="DT3" s="763"/>
      <c r="DU3" s="763"/>
      <c r="DV3" s="763"/>
      <c r="DW3" s="763"/>
      <c r="DX3" s="763"/>
      <c r="DY3" s="763"/>
      <c r="DZ3" s="763"/>
      <c r="EA3" s="763"/>
    </row>
    <row r="4" spans="1:132" s="899" customFormat="1" ht="11.25" x14ac:dyDescent="0.2">
      <c r="A4" s="426"/>
      <c r="B4" s="536" t="s">
        <v>1153</v>
      </c>
      <c r="C4" s="1304" t="s">
        <v>1659</v>
      </c>
      <c r="D4" s="1304"/>
      <c r="E4" s="682" t="s">
        <v>1154</v>
      </c>
      <c r="F4" s="682"/>
      <c r="G4" s="426"/>
      <c r="H4" s="426"/>
      <c r="I4" s="426"/>
      <c r="J4" s="480"/>
      <c r="K4" s="480"/>
      <c r="L4" s="480"/>
      <c r="M4" s="480"/>
      <c r="N4" s="480"/>
      <c r="O4" s="480"/>
      <c r="P4" s="766"/>
      <c r="Q4" s="480"/>
      <c r="R4" s="763"/>
      <c r="S4" s="763"/>
      <c r="T4" s="763"/>
      <c r="U4" s="763"/>
      <c r="V4" s="763"/>
      <c r="W4" s="763"/>
      <c r="X4" s="763"/>
      <c r="Y4" s="763"/>
      <c r="Z4" s="763"/>
      <c r="AA4" s="763"/>
      <c r="AB4" s="763"/>
      <c r="AC4" s="763"/>
      <c r="AD4" s="763"/>
      <c r="AE4" s="763"/>
      <c r="AF4" s="763"/>
      <c r="AG4" s="763"/>
      <c r="AH4" s="763"/>
      <c r="AI4" s="763"/>
      <c r="AJ4" s="763"/>
      <c r="AK4" s="763"/>
      <c r="AL4" s="763"/>
      <c r="AM4" s="763"/>
      <c r="AN4" s="763"/>
      <c r="AO4" s="763"/>
      <c r="AP4" s="763"/>
      <c r="AQ4" s="763"/>
      <c r="AR4" s="763"/>
      <c r="AS4" s="763"/>
      <c r="AT4" s="763"/>
      <c r="AU4" s="763"/>
      <c r="AV4" s="763"/>
      <c r="AW4" s="763"/>
      <c r="AX4" s="763"/>
      <c r="AY4" s="763"/>
      <c r="AZ4" s="763"/>
      <c r="BA4" s="763"/>
      <c r="BB4" s="763"/>
      <c r="BC4" s="763"/>
      <c r="BD4" s="763"/>
      <c r="BE4" s="763"/>
      <c r="BF4" s="763"/>
      <c r="BG4" s="763"/>
      <c r="BH4" s="763"/>
      <c r="BI4" s="763"/>
      <c r="BJ4" s="763"/>
      <c r="BK4" s="763"/>
      <c r="BL4" s="763"/>
      <c r="BM4" s="763"/>
      <c r="BN4" s="763"/>
      <c r="BO4" s="763"/>
      <c r="BP4" s="763"/>
      <c r="BQ4" s="763"/>
      <c r="BR4" s="763"/>
      <c r="BS4" s="763"/>
      <c r="BT4" s="763"/>
      <c r="BU4" s="763"/>
      <c r="BV4" s="763"/>
      <c r="BW4" s="763"/>
      <c r="BX4" s="763"/>
      <c r="BY4" s="763"/>
      <c r="BZ4" s="763"/>
      <c r="CA4" s="763"/>
      <c r="CB4" s="763"/>
      <c r="CC4" s="763"/>
      <c r="CD4" s="763"/>
      <c r="CE4" s="763"/>
      <c r="CF4" s="763"/>
      <c r="CG4" s="763"/>
      <c r="CH4" s="763"/>
      <c r="CI4" s="763"/>
      <c r="CJ4" s="763"/>
      <c r="CK4" s="763"/>
      <c r="CL4" s="763"/>
      <c r="CM4" s="763"/>
      <c r="CN4" s="763"/>
      <c r="CO4" s="763"/>
      <c r="CP4" s="763"/>
      <c r="CQ4" s="763"/>
      <c r="CR4" s="763"/>
      <c r="CS4" s="763"/>
      <c r="CT4" s="763"/>
      <c r="CU4" s="763"/>
      <c r="CV4" s="763"/>
      <c r="CW4" s="763"/>
      <c r="CX4" s="763"/>
      <c r="CY4" s="763"/>
      <c r="CZ4" s="763"/>
      <c r="DA4" s="763"/>
      <c r="DB4" s="763"/>
      <c r="DC4" s="763"/>
      <c r="DD4" s="763"/>
      <c r="DE4" s="763"/>
      <c r="DF4" s="763"/>
      <c r="DG4" s="763"/>
      <c r="DH4" s="763"/>
      <c r="DI4" s="763"/>
      <c r="DJ4" s="763"/>
      <c r="DK4" s="763"/>
      <c r="DL4" s="763"/>
      <c r="DM4" s="763"/>
      <c r="DN4" s="763"/>
      <c r="DO4" s="763"/>
      <c r="DP4" s="763"/>
      <c r="DQ4" s="763"/>
      <c r="DR4" s="763"/>
      <c r="DS4" s="763"/>
      <c r="DT4" s="763"/>
      <c r="DU4" s="763"/>
      <c r="DV4" s="763"/>
      <c r="DW4" s="763"/>
      <c r="DX4" s="763"/>
      <c r="DY4" s="763"/>
      <c r="DZ4" s="763"/>
      <c r="EA4" s="763"/>
    </row>
    <row r="5" spans="1:132" s="899" customFormat="1" ht="11.25" x14ac:dyDescent="0.2">
      <c r="A5" s="426"/>
      <c r="B5" s="536" t="s">
        <v>1155</v>
      </c>
      <c r="C5" s="426"/>
      <c r="D5" s="426"/>
      <c r="E5" s="426"/>
      <c r="F5" s="426"/>
      <c r="G5" s="426"/>
      <c r="H5" s="426"/>
      <c r="I5" s="426"/>
      <c r="J5" s="480"/>
      <c r="K5" s="480"/>
      <c r="L5" s="480"/>
      <c r="M5" s="480"/>
      <c r="N5" s="480"/>
      <c r="O5" s="480"/>
      <c r="P5" s="766"/>
      <c r="Q5" s="480"/>
      <c r="R5" s="763"/>
      <c r="S5" s="763"/>
      <c r="T5" s="763"/>
      <c r="U5" s="763"/>
      <c r="V5" s="763"/>
      <c r="W5" s="763"/>
      <c r="X5" s="763"/>
      <c r="Y5" s="763"/>
      <c r="Z5" s="763"/>
      <c r="AA5" s="763"/>
      <c r="AB5" s="763"/>
      <c r="AC5" s="763"/>
      <c r="AD5" s="763"/>
      <c r="AE5" s="763"/>
      <c r="AF5" s="763"/>
      <c r="AG5" s="763"/>
      <c r="AH5" s="763"/>
      <c r="AI5" s="763"/>
      <c r="AJ5" s="763"/>
      <c r="AK5" s="763"/>
      <c r="AL5" s="763"/>
      <c r="AM5" s="763"/>
      <c r="AN5" s="763"/>
      <c r="AO5" s="763"/>
      <c r="AP5" s="763"/>
      <c r="AQ5" s="763"/>
      <c r="AR5" s="763"/>
      <c r="AS5" s="763"/>
      <c r="AT5" s="763"/>
      <c r="AU5" s="763"/>
      <c r="AV5" s="763"/>
      <c r="AW5" s="763"/>
      <c r="AX5" s="763"/>
      <c r="AY5" s="763"/>
      <c r="AZ5" s="763"/>
      <c r="BA5" s="763"/>
      <c r="BB5" s="763"/>
      <c r="BC5" s="763"/>
      <c r="BD5" s="763"/>
      <c r="BE5" s="763"/>
      <c r="BF5" s="763"/>
      <c r="BG5" s="763"/>
      <c r="BH5" s="763"/>
      <c r="BI5" s="763"/>
      <c r="BJ5" s="763"/>
      <c r="BK5" s="763"/>
      <c r="BL5" s="763"/>
      <c r="BM5" s="763"/>
      <c r="BN5" s="763"/>
      <c r="BO5" s="763"/>
      <c r="BP5" s="763"/>
      <c r="BQ5" s="763"/>
      <c r="BR5" s="763"/>
      <c r="BS5" s="763"/>
      <c r="BT5" s="763"/>
      <c r="BU5" s="763"/>
      <c r="BV5" s="763"/>
      <c r="BW5" s="763"/>
      <c r="BX5" s="763"/>
      <c r="BY5" s="763"/>
      <c r="BZ5" s="763"/>
      <c r="CA5" s="763"/>
      <c r="CB5" s="763"/>
      <c r="CC5" s="763"/>
      <c r="CD5" s="763"/>
      <c r="CE5" s="763"/>
      <c r="CF5" s="763"/>
      <c r="CG5" s="763"/>
      <c r="CH5" s="763"/>
      <c r="CI5" s="763"/>
      <c r="CJ5" s="763"/>
      <c r="CK5" s="763"/>
      <c r="CL5" s="763"/>
      <c r="CM5" s="763"/>
      <c r="CN5" s="763"/>
      <c r="CO5" s="763"/>
      <c r="CP5" s="763"/>
      <c r="CQ5" s="763"/>
      <c r="CR5" s="763"/>
      <c r="CS5" s="763"/>
      <c r="CT5" s="763"/>
      <c r="CU5" s="763"/>
      <c r="CV5" s="763"/>
      <c r="CW5" s="763"/>
      <c r="CX5" s="763"/>
      <c r="CY5" s="763"/>
      <c r="CZ5" s="763"/>
      <c r="DA5" s="763"/>
      <c r="DB5" s="763"/>
      <c r="DC5" s="763"/>
      <c r="DD5" s="763"/>
      <c r="DE5" s="763"/>
      <c r="DF5" s="763"/>
      <c r="DG5" s="763"/>
      <c r="DH5" s="763"/>
      <c r="DI5" s="763"/>
      <c r="DJ5" s="763"/>
      <c r="DK5" s="763"/>
      <c r="DL5" s="763"/>
      <c r="DM5" s="763"/>
      <c r="DN5" s="763"/>
      <c r="DO5" s="763"/>
      <c r="DP5" s="763"/>
      <c r="DQ5" s="763"/>
      <c r="DR5" s="763"/>
      <c r="DS5" s="763"/>
      <c r="DT5" s="763"/>
      <c r="DU5" s="763"/>
      <c r="DV5" s="763"/>
      <c r="DW5" s="763"/>
      <c r="DX5" s="763"/>
      <c r="DY5" s="763"/>
      <c r="DZ5" s="763"/>
      <c r="EA5" s="763"/>
    </row>
    <row r="6" spans="1:132" s="899" customFormat="1" ht="3" customHeight="1" thickBot="1" x14ac:dyDescent="0.25">
      <c r="A6" s="426"/>
      <c r="B6" s="426"/>
      <c r="C6" s="426"/>
      <c r="D6" s="426"/>
      <c r="E6" s="426"/>
      <c r="F6" s="426"/>
      <c r="G6" s="426"/>
      <c r="H6" s="426"/>
      <c r="I6" s="426"/>
      <c r="J6" s="480"/>
      <c r="K6" s="480"/>
      <c r="L6" s="480"/>
      <c r="M6" s="480"/>
      <c r="N6" s="480"/>
      <c r="O6" s="480"/>
      <c r="P6" s="766"/>
      <c r="Q6" s="480"/>
      <c r="R6" s="763"/>
      <c r="S6" s="763"/>
      <c r="T6" s="763"/>
      <c r="U6" s="763"/>
      <c r="V6" s="763"/>
      <c r="W6" s="763"/>
      <c r="X6" s="763"/>
      <c r="Y6" s="763"/>
      <c r="Z6" s="763"/>
      <c r="AA6" s="763"/>
      <c r="AB6" s="763"/>
      <c r="AC6" s="763"/>
      <c r="AD6" s="763"/>
      <c r="AE6" s="763"/>
      <c r="AF6" s="763"/>
      <c r="AG6" s="763"/>
      <c r="AH6" s="763"/>
      <c r="AI6" s="763"/>
      <c r="AJ6" s="763"/>
      <c r="AK6" s="763"/>
      <c r="AL6" s="763"/>
      <c r="AM6" s="763"/>
      <c r="AN6" s="763"/>
      <c r="AO6" s="763"/>
      <c r="AP6" s="763"/>
      <c r="AQ6" s="763"/>
      <c r="AR6" s="763"/>
      <c r="AS6" s="763"/>
      <c r="AT6" s="763"/>
      <c r="AU6" s="763"/>
      <c r="AV6" s="763"/>
      <c r="AW6" s="763"/>
      <c r="AX6" s="763"/>
      <c r="AY6" s="763"/>
      <c r="AZ6" s="763"/>
      <c r="BA6" s="763"/>
      <c r="BB6" s="763"/>
      <c r="BC6" s="763"/>
      <c r="BD6" s="763"/>
      <c r="BE6" s="763"/>
      <c r="BF6" s="763"/>
      <c r="BG6" s="763"/>
      <c r="BH6" s="763"/>
      <c r="BI6" s="763"/>
      <c r="BJ6" s="763"/>
      <c r="BK6" s="763"/>
      <c r="BL6" s="763"/>
      <c r="BM6" s="763"/>
      <c r="BN6" s="763"/>
      <c r="BO6" s="763"/>
      <c r="BP6" s="763"/>
      <c r="BQ6" s="763"/>
      <c r="BR6" s="763"/>
      <c r="BS6" s="763"/>
      <c r="BT6" s="763"/>
      <c r="BU6" s="763"/>
      <c r="BV6" s="763"/>
      <c r="BW6" s="763"/>
      <c r="BX6" s="763"/>
      <c r="BY6" s="763"/>
      <c r="BZ6" s="763"/>
      <c r="CA6" s="763"/>
      <c r="CB6" s="763"/>
      <c r="CC6" s="763"/>
      <c r="CD6" s="763"/>
      <c r="CE6" s="763"/>
      <c r="CF6" s="763"/>
      <c r="CG6" s="763"/>
      <c r="CH6" s="763"/>
      <c r="CI6" s="763"/>
      <c r="CJ6" s="763"/>
      <c r="CK6" s="763"/>
      <c r="CL6" s="763"/>
      <c r="CM6" s="763"/>
      <c r="CN6" s="763"/>
      <c r="CO6" s="763"/>
      <c r="CP6" s="763"/>
      <c r="CQ6" s="763"/>
      <c r="CR6" s="763"/>
      <c r="CS6" s="763"/>
      <c r="CT6" s="763"/>
      <c r="CU6" s="763"/>
      <c r="CV6" s="763"/>
      <c r="CW6" s="763"/>
      <c r="CX6" s="763"/>
      <c r="CY6" s="763"/>
      <c r="CZ6" s="763"/>
      <c r="DA6" s="763"/>
      <c r="DB6" s="763"/>
      <c r="DC6" s="763"/>
      <c r="DD6" s="763"/>
      <c r="DE6" s="763"/>
      <c r="DF6" s="763"/>
      <c r="DG6" s="763"/>
      <c r="DH6" s="763"/>
      <c r="DI6" s="763"/>
      <c r="DJ6" s="763"/>
      <c r="DK6" s="763"/>
      <c r="DL6" s="763"/>
      <c r="DM6" s="763"/>
      <c r="DN6" s="763"/>
      <c r="DO6" s="763"/>
      <c r="DP6" s="763"/>
      <c r="DQ6" s="763"/>
      <c r="DR6" s="763"/>
      <c r="DS6" s="763"/>
      <c r="DT6" s="763"/>
      <c r="DU6" s="763"/>
      <c r="DV6" s="763"/>
      <c r="DW6" s="763"/>
      <c r="DX6" s="763"/>
      <c r="DY6" s="763"/>
      <c r="DZ6" s="763"/>
      <c r="EA6" s="763"/>
    </row>
    <row r="7" spans="1:132" s="899" customFormat="1" ht="14.1" customHeight="1" x14ac:dyDescent="0.2">
      <c r="A7" s="426"/>
      <c r="B7" s="1241" t="s">
        <v>1156</v>
      </c>
      <c r="C7" s="1211" t="s">
        <v>1157</v>
      </c>
      <c r="D7" s="1293"/>
      <c r="E7" s="1212"/>
      <c r="F7" s="683"/>
      <c r="G7" s="1229" t="s">
        <v>257</v>
      </c>
      <c r="H7" s="1229"/>
      <c r="I7" s="1307" t="s">
        <v>1158</v>
      </c>
      <c r="J7" s="1307"/>
      <c r="K7" s="1307"/>
      <c r="L7" s="1307"/>
      <c r="M7" s="1307"/>
      <c r="N7" s="1307"/>
      <c r="O7" s="1269" t="s">
        <v>1159</v>
      </c>
      <c r="P7" s="1270" t="s">
        <v>1160</v>
      </c>
      <c r="Q7" s="1305"/>
      <c r="R7" s="1013"/>
      <c r="S7" s="1013"/>
      <c r="T7" s="1013"/>
      <c r="U7" s="1013"/>
      <c r="V7" s="1309" t="s">
        <v>1008</v>
      </c>
      <c r="W7" s="1299" t="s">
        <v>1009</v>
      </c>
      <c r="X7" s="1300"/>
      <c r="Y7" s="1296" t="s">
        <v>1010</v>
      </c>
      <c r="Z7" s="1296" t="s">
        <v>1011</v>
      </c>
      <c r="AA7" s="1296" t="s">
        <v>1012</v>
      </c>
      <c r="AB7" s="1296" t="s">
        <v>1011</v>
      </c>
      <c r="AC7" s="1296" t="s">
        <v>1013</v>
      </c>
      <c r="AD7" s="1296" t="s">
        <v>1011</v>
      </c>
      <c r="AE7" s="1296" t="s">
        <v>1014</v>
      </c>
      <c r="AF7" s="763"/>
      <c r="AG7" s="763"/>
      <c r="AH7" s="763"/>
      <c r="AI7" s="763"/>
      <c r="AJ7" s="763"/>
      <c r="AK7" s="763"/>
      <c r="AL7" s="763"/>
      <c r="AM7" s="763"/>
      <c r="AN7" s="763"/>
      <c r="AO7" s="763"/>
      <c r="AP7" s="763"/>
      <c r="AQ7" s="763"/>
      <c r="AR7" s="763"/>
      <c r="AS7" s="763"/>
      <c r="AT7" s="763"/>
      <c r="AU7" s="763"/>
      <c r="AV7" s="763"/>
      <c r="AW7" s="763"/>
      <c r="AX7" s="763"/>
      <c r="AY7" s="763"/>
      <c r="AZ7" s="763"/>
      <c r="BA7" s="763"/>
      <c r="BB7" s="763"/>
      <c r="BC7" s="763"/>
      <c r="BD7" s="763"/>
      <c r="BE7" s="763"/>
      <c r="BF7" s="763"/>
      <c r="BG7" s="763"/>
      <c r="BH7" s="763"/>
      <c r="BI7" s="763"/>
      <c r="BJ7" s="763"/>
      <c r="BK7" s="763"/>
      <c r="BL7" s="763"/>
      <c r="BM7" s="763"/>
      <c r="BN7" s="763"/>
      <c r="BO7" s="763"/>
      <c r="BP7" s="763"/>
      <c r="BQ7" s="763"/>
      <c r="BR7" s="763"/>
      <c r="BS7" s="763"/>
      <c r="BT7" s="763"/>
      <c r="BU7" s="763"/>
      <c r="BV7" s="763"/>
      <c r="BW7" s="763"/>
      <c r="BX7" s="763"/>
      <c r="BY7" s="763"/>
      <c r="BZ7" s="763"/>
      <c r="CA7" s="763"/>
      <c r="CB7" s="763"/>
      <c r="CC7" s="763"/>
      <c r="CD7" s="763"/>
      <c r="CE7" s="763"/>
      <c r="CF7" s="763"/>
      <c r="CG7" s="763"/>
      <c r="CH7" s="763"/>
      <c r="CI7" s="763"/>
      <c r="CJ7" s="763"/>
      <c r="CK7" s="763"/>
      <c r="CL7" s="763"/>
      <c r="CM7" s="763"/>
      <c r="CN7" s="763"/>
      <c r="CO7" s="763"/>
      <c r="CP7" s="763"/>
      <c r="CQ7" s="763"/>
      <c r="CR7" s="763"/>
      <c r="CS7" s="763"/>
      <c r="CT7" s="763"/>
      <c r="CU7" s="763"/>
      <c r="CV7" s="763"/>
      <c r="CW7" s="763"/>
      <c r="CX7" s="763"/>
      <c r="CY7" s="763"/>
      <c r="CZ7" s="763"/>
      <c r="DA7" s="763"/>
      <c r="DB7" s="763"/>
      <c r="DC7" s="763"/>
      <c r="DD7" s="763"/>
      <c r="DE7" s="763"/>
      <c r="DF7" s="763"/>
      <c r="DG7" s="763"/>
      <c r="DH7" s="763"/>
      <c r="DI7" s="763"/>
      <c r="DJ7" s="763"/>
      <c r="DK7" s="763"/>
      <c r="DL7" s="763"/>
      <c r="DM7" s="763"/>
      <c r="DN7" s="763"/>
      <c r="DO7" s="763"/>
      <c r="DP7" s="763"/>
      <c r="DQ7" s="763"/>
      <c r="DR7" s="763"/>
      <c r="DS7" s="763"/>
      <c r="DT7" s="763"/>
      <c r="DU7" s="763"/>
      <c r="DV7" s="763"/>
      <c r="DW7" s="763"/>
      <c r="DX7" s="763"/>
      <c r="DY7" s="763"/>
      <c r="DZ7" s="763"/>
      <c r="EA7" s="763"/>
      <c r="EB7" s="763"/>
    </row>
    <row r="8" spans="1:132" s="899" customFormat="1" ht="27.95" customHeight="1" x14ac:dyDescent="0.2">
      <c r="A8" s="426"/>
      <c r="B8" s="1242"/>
      <c r="C8" s="1312" t="s">
        <v>1161</v>
      </c>
      <c r="D8" s="1314" t="s">
        <v>1162</v>
      </c>
      <c r="E8" s="1315"/>
      <c r="F8" s="684"/>
      <c r="G8" s="1294"/>
      <c r="H8" s="1294"/>
      <c r="I8" s="1254" t="s">
        <v>1163</v>
      </c>
      <c r="J8" s="1254"/>
      <c r="K8" s="1318" t="s">
        <v>1164</v>
      </c>
      <c r="L8" s="1253"/>
      <c r="M8" s="1318" t="s">
        <v>1411</v>
      </c>
      <c r="N8" s="1253"/>
      <c r="O8" s="1256"/>
      <c r="P8" s="1274"/>
      <c r="Q8" s="1306"/>
      <c r="R8" s="1013"/>
      <c r="S8" s="1013"/>
      <c r="T8" s="1013"/>
      <c r="U8" s="1013"/>
      <c r="V8" s="1310"/>
      <c r="W8" s="1301"/>
      <c r="X8" s="1302"/>
      <c r="Y8" s="1297"/>
      <c r="Z8" s="1297"/>
      <c r="AA8" s="1297"/>
      <c r="AB8" s="1297"/>
      <c r="AC8" s="1297"/>
      <c r="AD8" s="1297"/>
      <c r="AE8" s="1297"/>
      <c r="AF8" s="763"/>
      <c r="AG8" s="763"/>
      <c r="AH8" s="763"/>
      <c r="AI8" s="763"/>
      <c r="AJ8" s="763"/>
      <c r="AK8" s="763"/>
      <c r="AL8" s="763"/>
      <c r="AM8" s="763"/>
      <c r="AN8" s="763"/>
      <c r="AO8" s="763"/>
      <c r="AP8" s="763"/>
      <c r="AQ8" s="763"/>
      <c r="AR8" s="763"/>
      <c r="AS8" s="763"/>
      <c r="AT8" s="763"/>
      <c r="AU8" s="763"/>
      <c r="AV8" s="763"/>
      <c r="AW8" s="763"/>
      <c r="AX8" s="763"/>
      <c r="AY8" s="763"/>
      <c r="AZ8" s="763"/>
      <c r="BA8" s="763"/>
      <c r="BB8" s="763"/>
      <c r="BC8" s="763"/>
      <c r="BD8" s="763"/>
      <c r="BE8" s="763"/>
      <c r="BF8" s="763"/>
      <c r="BG8" s="763"/>
      <c r="BH8" s="763"/>
      <c r="BI8" s="763"/>
      <c r="BJ8" s="763"/>
      <c r="BK8" s="763"/>
      <c r="BL8" s="763"/>
      <c r="BM8" s="763"/>
      <c r="BN8" s="763"/>
      <c r="BO8" s="763"/>
      <c r="BP8" s="763"/>
      <c r="BQ8" s="763"/>
      <c r="BR8" s="763"/>
      <c r="BS8" s="763"/>
      <c r="BT8" s="763"/>
      <c r="BU8" s="763"/>
      <c r="BV8" s="763"/>
      <c r="BW8" s="763"/>
      <c r="BX8" s="763"/>
      <c r="BY8" s="763"/>
      <c r="BZ8" s="763"/>
      <c r="CA8" s="763"/>
      <c r="CB8" s="763"/>
      <c r="CC8" s="763"/>
      <c r="CD8" s="763"/>
      <c r="CE8" s="763"/>
      <c r="CF8" s="763"/>
      <c r="CG8" s="763"/>
      <c r="CH8" s="763"/>
      <c r="CI8" s="763"/>
      <c r="CJ8" s="763"/>
      <c r="CK8" s="763"/>
      <c r="CL8" s="763"/>
      <c r="CM8" s="763"/>
      <c r="CN8" s="763"/>
      <c r="CO8" s="763"/>
      <c r="CP8" s="763"/>
      <c r="CQ8" s="763"/>
      <c r="CR8" s="763"/>
      <c r="CS8" s="763"/>
      <c r="CT8" s="763"/>
      <c r="CU8" s="763"/>
      <c r="CV8" s="763"/>
      <c r="CW8" s="763"/>
      <c r="CX8" s="763"/>
      <c r="CY8" s="763"/>
      <c r="CZ8" s="763"/>
      <c r="DA8" s="763"/>
      <c r="DB8" s="763"/>
      <c r="DC8" s="763"/>
      <c r="DD8" s="763"/>
      <c r="DE8" s="763"/>
      <c r="DF8" s="763"/>
      <c r="DG8" s="763"/>
      <c r="DH8" s="763"/>
      <c r="DI8" s="763"/>
      <c r="DJ8" s="763"/>
      <c r="DK8" s="763"/>
      <c r="DL8" s="763"/>
      <c r="DM8" s="763"/>
      <c r="DN8" s="763"/>
      <c r="DO8" s="763"/>
      <c r="DP8" s="763"/>
      <c r="DQ8" s="763"/>
      <c r="DR8" s="763"/>
      <c r="DS8" s="763"/>
      <c r="DT8" s="763"/>
      <c r="DU8" s="763"/>
      <c r="DV8" s="763"/>
      <c r="DW8" s="763"/>
      <c r="DX8" s="763"/>
      <c r="DY8" s="763"/>
      <c r="DZ8" s="763"/>
      <c r="EA8" s="763"/>
      <c r="EB8" s="763"/>
    </row>
    <row r="9" spans="1:132" s="899" customFormat="1" ht="14.1" customHeight="1" thickBot="1" x14ac:dyDescent="0.25">
      <c r="A9" s="426"/>
      <c r="B9" s="1292"/>
      <c r="C9" s="1313"/>
      <c r="D9" s="1316"/>
      <c r="E9" s="1317"/>
      <c r="F9" s="687"/>
      <c r="G9" s="1295"/>
      <c r="H9" s="1295"/>
      <c r="I9" s="688" t="s">
        <v>1025</v>
      </c>
      <c r="J9" s="688" t="s">
        <v>1027</v>
      </c>
      <c r="K9" s="689" t="s">
        <v>1025</v>
      </c>
      <c r="L9" s="689" t="s">
        <v>1027</v>
      </c>
      <c r="M9" s="689" t="s">
        <v>1025</v>
      </c>
      <c r="N9" s="689" t="s">
        <v>1027</v>
      </c>
      <c r="O9" s="1308"/>
      <c r="P9" s="689" t="s">
        <v>1025</v>
      </c>
      <c r="Q9" s="690" t="s">
        <v>1027</v>
      </c>
      <c r="R9" s="1014"/>
      <c r="S9" s="1014"/>
      <c r="T9" s="1014"/>
      <c r="U9" s="1014"/>
      <c r="V9" s="1311"/>
      <c r="W9" s="1015" t="s">
        <v>1025</v>
      </c>
      <c r="X9" s="1015" t="s">
        <v>1027</v>
      </c>
      <c r="Y9" s="1298"/>
      <c r="Z9" s="1298"/>
      <c r="AA9" s="1298"/>
      <c r="AB9" s="1298"/>
      <c r="AC9" s="1298"/>
      <c r="AD9" s="1298"/>
      <c r="AE9" s="1298"/>
      <c r="AF9" s="763"/>
      <c r="AG9" s="763"/>
      <c r="AH9" s="763"/>
      <c r="AI9" s="763"/>
      <c r="AJ9" s="763"/>
      <c r="AK9" s="763"/>
      <c r="AL9" s="763"/>
      <c r="AM9" s="763"/>
      <c r="AN9" s="763"/>
      <c r="AO9" s="763"/>
      <c r="AP9" s="763"/>
      <c r="AQ9" s="763"/>
      <c r="AR9" s="763"/>
      <c r="AS9" s="763"/>
      <c r="AT9" s="763"/>
      <c r="AU9" s="763"/>
      <c r="AV9" s="763"/>
      <c r="AW9" s="763"/>
      <c r="AX9" s="763"/>
      <c r="AY9" s="763"/>
      <c r="AZ9" s="763"/>
      <c r="BA9" s="763"/>
      <c r="BB9" s="763"/>
      <c r="BC9" s="763"/>
      <c r="BD9" s="763"/>
      <c r="BE9" s="763"/>
      <c r="BF9" s="763"/>
      <c r="BG9" s="763"/>
      <c r="BH9" s="763"/>
      <c r="BI9" s="763"/>
      <c r="BJ9" s="763"/>
      <c r="BK9" s="763"/>
      <c r="BL9" s="763"/>
      <c r="BM9" s="763"/>
      <c r="BN9" s="763"/>
      <c r="BO9" s="763"/>
      <c r="BP9" s="763"/>
      <c r="BQ9" s="763"/>
      <c r="BR9" s="763"/>
      <c r="BS9" s="763"/>
      <c r="BT9" s="763"/>
      <c r="BU9" s="763"/>
      <c r="BV9" s="763"/>
      <c r="BW9" s="763"/>
      <c r="BX9" s="763"/>
      <c r="BY9" s="763"/>
      <c r="BZ9" s="763"/>
      <c r="CA9" s="763"/>
      <c r="CB9" s="763"/>
      <c r="CC9" s="763"/>
      <c r="CD9" s="763"/>
      <c r="CE9" s="763"/>
      <c r="CF9" s="763"/>
      <c r="CG9" s="763"/>
      <c r="CH9" s="763"/>
      <c r="CI9" s="763"/>
      <c r="CJ9" s="763"/>
      <c r="CK9" s="763"/>
      <c r="CL9" s="763"/>
      <c r="CM9" s="763"/>
      <c r="CN9" s="763"/>
      <c r="CO9" s="763"/>
      <c r="CP9" s="763"/>
      <c r="CQ9" s="763"/>
      <c r="CR9" s="763"/>
      <c r="CS9" s="763"/>
      <c r="CT9" s="763"/>
      <c r="CU9" s="763"/>
      <c r="CV9" s="763"/>
      <c r="CW9" s="763"/>
      <c r="CX9" s="763"/>
      <c r="CY9" s="763"/>
      <c r="CZ9" s="763"/>
      <c r="DA9" s="763"/>
      <c r="DB9" s="763"/>
      <c r="DC9" s="763"/>
      <c r="DD9" s="763"/>
      <c r="DE9" s="763"/>
      <c r="DF9" s="763"/>
      <c r="DG9" s="763"/>
      <c r="DH9" s="763"/>
      <c r="DI9" s="763"/>
      <c r="DJ9" s="763"/>
      <c r="DK9" s="763"/>
      <c r="DL9" s="763"/>
      <c r="DM9" s="763"/>
      <c r="DN9" s="763"/>
      <c r="DO9" s="763"/>
      <c r="DP9" s="763"/>
      <c r="DQ9" s="763"/>
      <c r="DR9" s="763"/>
      <c r="DS9" s="763"/>
      <c r="DT9" s="763"/>
      <c r="DU9" s="763"/>
      <c r="DV9" s="763"/>
      <c r="DW9" s="763"/>
      <c r="DX9" s="763"/>
      <c r="DY9" s="763"/>
      <c r="DZ9" s="763"/>
      <c r="EA9" s="763"/>
      <c r="EB9" s="763"/>
    </row>
    <row r="10" spans="1:132" s="899" customFormat="1" ht="14.1" customHeight="1" x14ac:dyDescent="0.2">
      <c r="A10" s="426"/>
      <c r="B10" s="1319">
        <v>1</v>
      </c>
      <c r="C10" s="691" t="s">
        <v>1165</v>
      </c>
      <c r="D10" s="1321" t="s">
        <v>1165</v>
      </c>
      <c r="E10" s="1322"/>
      <c r="F10" s="767"/>
      <c r="G10" s="693" t="s">
        <v>1166</v>
      </c>
      <c r="H10" s="693"/>
      <c r="I10" s="694"/>
      <c r="J10" s="694"/>
      <c r="K10" s="695"/>
      <c r="L10" s="696"/>
      <c r="M10" s="697">
        <f>I10+K10</f>
        <v>0</v>
      </c>
      <c r="N10" s="697">
        <f>J10+L10</f>
        <v>0</v>
      </c>
      <c r="O10" s="698">
        <v>0</v>
      </c>
      <c r="P10" s="699">
        <f>M10*O10</f>
        <v>0</v>
      </c>
      <c r="Q10" s="700">
        <f>N10*O10</f>
        <v>0</v>
      </c>
      <c r="R10" s="1016"/>
      <c r="S10" s="1016"/>
      <c r="T10" s="1016"/>
      <c r="U10" s="1016"/>
      <c r="V10" s="1017">
        <f>IF(P10&lt;=Q10,P10*10%,Q10*10%)</f>
        <v>0</v>
      </c>
      <c r="W10" s="1018">
        <f>IF(P10&gt;Q10,P10-Q10,0)</f>
        <v>0</v>
      </c>
      <c r="X10" s="1018">
        <f>IF(Q10&gt;P10,Q10-P10,0)</f>
        <v>0</v>
      </c>
      <c r="Y10" s="1323">
        <f>IF(SUM(W10:W13)&lt;SUM(X10:X13),SUM(W10:W13)*40%,SUM(X10:X13)*40%)</f>
        <v>0</v>
      </c>
      <c r="Z10" s="1323">
        <f>(SUM(W10:W13)-SUM(X10:X13))</f>
        <v>0</v>
      </c>
      <c r="AA10" s="1323">
        <f>(IF(Z10=0,0,IF(Z14=0,0,IF(Z10&gt;0,IF(Z14&lt;0,IF(Z10&lt;ABS(Z14),Z10*40%,ABS(Z14)*40%),0),IF(Z14&gt;0,IF(ABS(Z10)&lt;Z14,ABS(Z10)*40%,Z14*40%),0)))))</f>
        <v>0</v>
      </c>
      <c r="AB10" s="1323">
        <f>IF(AA10=0,Z10,IF(ABS(Z10)&lt;ABS(Z14),0,Z10+Z14))</f>
        <v>0</v>
      </c>
      <c r="AC10" s="1337"/>
      <c r="AD10" s="1323">
        <f>AB10</f>
        <v>0</v>
      </c>
      <c r="AE10" s="1330">
        <f>(IF(AD10=0,0,IF(AD17=0,0,IF(AD10&gt;0,IF(AD17&lt;0,IF(AD10&lt;ABS(AD17),AD10*100%,ABS(AD17)*100%),0),IF(AD17&gt;0,IF(ABS(AD10)&lt;AD17,ABS(AD10)*100%,AD17*100%),0)))))</f>
        <v>0</v>
      </c>
      <c r="AF10" s="763"/>
      <c r="AG10" s="763"/>
      <c r="AH10" s="763"/>
      <c r="AI10" s="763"/>
      <c r="AJ10" s="763"/>
      <c r="AK10" s="763"/>
      <c r="AL10" s="763"/>
      <c r="AM10" s="763"/>
      <c r="AN10" s="763"/>
      <c r="AO10" s="763"/>
      <c r="AP10" s="763"/>
      <c r="AQ10" s="763"/>
      <c r="AR10" s="763"/>
      <c r="AS10" s="763"/>
      <c r="AT10" s="763"/>
      <c r="AU10" s="763"/>
      <c r="AV10" s="763"/>
      <c r="AW10" s="763"/>
      <c r="AX10" s="763"/>
      <c r="AY10" s="763"/>
      <c r="AZ10" s="763"/>
      <c r="BA10" s="763"/>
      <c r="BB10" s="763"/>
      <c r="BC10" s="763"/>
      <c r="BD10" s="763"/>
      <c r="BE10" s="763"/>
      <c r="BF10" s="763"/>
      <c r="BG10" s="763"/>
      <c r="BH10" s="763"/>
      <c r="BI10" s="763"/>
      <c r="BJ10" s="763"/>
      <c r="BK10" s="763"/>
      <c r="BL10" s="763"/>
      <c r="BM10" s="763"/>
      <c r="BN10" s="763"/>
      <c r="BO10" s="763"/>
      <c r="BP10" s="763"/>
      <c r="BQ10" s="763"/>
      <c r="BR10" s="763"/>
      <c r="BS10" s="763"/>
      <c r="BT10" s="763"/>
      <c r="BU10" s="763"/>
      <c r="BV10" s="763"/>
      <c r="BW10" s="763"/>
      <c r="BX10" s="763"/>
      <c r="BY10" s="763"/>
      <c r="BZ10" s="763"/>
      <c r="CA10" s="763"/>
      <c r="CB10" s="763"/>
      <c r="CC10" s="763"/>
      <c r="CD10" s="763"/>
      <c r="CE10" s="763"/>
      <c r="CF10" s="763"/>
      <c r="CG10" s="763"/>
      <c r="CH10" s="763"/>
      <c r="CI10" s="763"/>
      <c r="CJ10" s="763"/>
      <c r="CK10" s="763"/>
      <c r="CL10" s="763"/>
      <c r="CM10" s="763"/>
      <c r="CN10" s="763"/>
      <c r="CO10" s="763"/>
      <c r="CP10" s="763"/>
      <c r="CQ10" s="763"/>
      <c r="CR10" s="763"/>
      <c r="CS10" s="763"/>
      <c r="CT10" s="763"/>
      <c r="CU10" s="763"/>
      <c r="CV10" s="763"/>
      <c r="CW10" s="763"/>
      <c r="CX10" s="763"/>
      <c r="CY10" s="763"/>
      <c r="CZ10" s="763"/>
      <c r="DA10" s="763"/>
      <c r="DB10" s="763"/>
      <c r="DC10" s="763"/>
      <c r="DD10" s="763"/>
      <c r="DE10" s="763"/>
      <c r="DF10" s="763"/>
      <c r="DG10" s="763"/>
      <c r="DH10" s="763"/>
      <c r="DI10" s="763"/>
      <c r="DJ10" s="763"/>
      <c r="DK10" s="763"/>
      <c r="DL10" s="763"/>
      <c r="DM10" s="763"/>
      <c r="DN10" s="763"/>
      <c r="DO10" s="763"/>
      <c r="DP10" s="763"/>
      <c r="DQ10" s="763"/>
      <c r="DR10" s="763"/>
      <c r="DS10" s="763"/>
      <c r="DT10" s="763"/>
      <c r="DU10" s="763"/>
      <c r="DV10" s="763"/>
      <c r="DW10" s="763"/>
      <c r="DX10" s="763"/>
      <c r="DY10" s="763"/>
      <c r="DZ10" s="763"/>
      <c r="EA10" s="763"/>
      <c r="EB10" s="763"/>
    </row>
    <row r="11" spans="1:132" s="899" customFormat="1" ht="14.1" customHeight="1" x14ac:dyDescent="0.2">
      <c r="A11" s="426"/>
      <c r="B11" s="1320"/>
      <c r="C11" s="451" t="s">
        <v>1167</v>
      </c>
      <c r="D11" s="1333" t="s">
        <v>1167</v>
      </c>
      <c r="E11" s="1334"/>
      <c r="F11" s="774"/>
      <c r="G11" s="702" t="s">
        <v>1168</v>
      </c>
      <c r="H11" s="702"/>
      <c r="I11" s="703"/>
      <c r="J11" s="703"/>
      <c r="K11" s="704"/>
      <c r="L11" s="705"/>
      <c r="M11" s="706">
        <f>I11+K11</f>
        <v>0</v>
      </c>
      <c r="N11" s="706">
        <f>J11+L11</f>
        <v>0</v>
      </c>
      <c r="O11" s="707">
        <v>2E-3</v>
      </c>
      <c r="P11" s="708">
        <f>M11*O11</f>
        <v>0</v>
      </c>
      <c r="Q11" s="709">
        <f>N11*O11</f>
        <v>0</v>
      </c>
      <c r="R11" s="1016"/>
      <c r="S11" s="1016"/>
      <c r="T11" s="1016"/>
      <c r="U11" s="1016"/>
      <c r="V11" s="1017">
        <f t="shared" ref="V11:V24" si="0">IF(P11&lt;=Q11,P11*10%,Q11*10%)</f>
        <v>0</v>
      </c>
      <c r="W11" s="1018">
        <f t="shared" ref="W11:W24" si="1">IF(P11&gt;Q11,P11-Q11,0)</f>
        <v>0</v>
      </c>
      <c r="X11" s="1018">
        <f t="shared" ref="X11:X23" si="2">IF(Q11&gt;P11,Q11-P11,0)</f>
        <v>0</v>
      </c>
      <c r="Y11" s="1324"/>
      <c r="Z11" s="1324"/>
      <c r="AA11" s="1324"/>
      <c r="AB11" s="1324"/>
      <c r="AC11" s="1338"/>
      <c r="AD11" s="1324"/>
      <c r="AE11" s="1331"/>
      <c r="AF11" s="763"/>
      <c r="AG11" s="763"/>
      <c r="AH11" s="763"/>
      <c r="AI11" s="763"/>
      <c r="AJ11" s="763"/>
      <c r="AK11" s="763"/>
      <c r="AL11" s="763"/>
      <c r="AM11" s="763"/>
      <c r="AN11" s="763"/>
      <c r="AO11" s="763"/>
      <c r="AP11" s="763"/>
      <c r="AQ11" s="763"/>
      <c r="AR11" s="763"/>
      <c r="AS11" s="763"/>
      <c r="AT11" s="763"/>
      <c r="AU11" s="763"/>
      <c r="AV11" s="763"/>
      <c r="AW11" s="763"/>
      <c r="AX11" s="763"/>
      <c r="AY11" s="763"/>
      <c r="AZ11" s="763"/>
      <c r="BA11" s="763"/>
      <c r="BB11" s="763"/>
      <c r="BC11" s="763"/>
      <c r="BD11" s="763"/>
      <c r="BE11" s="763"/>
      <c r="BF11" s="763"/>
      <c r="BG11" s="763"/>
      <c r="BH11" s="763"/>
      <c r="BI11" s="763"/>
      <c r="BJ11" s="763"/>
      <c r="BK11" s="763"/>
      <c r="BL11" s="763"/>
      <c r="BM11" s="763"/>
      <c r="BN11" s="763"/>
      <c r="BO11" s="763"/>
      <c r="BP11" s="763"/>
      <c r="BQ11" s="763"/>
      <c r="BR11" s="763"/>
      <c r="BS11" s="763"/>
      <c r="BT11" s="763"/>
      <c r="BU11" s="763"/>
      <c r="BV11" s="763"/>
      <c r="BW11" s="763"/>
      <c r="BX11" s="763"/>
      <c r="BY11" s="763"/>
      <c r="BZ11" s="763"/>
      <c r="CA11" s="763"/>
      <c r="CB11" s="763"/>
      <c r="CC11" s="763"/>
      <c r="CD11" s="763"/>
      <c r="CE11" s="763"/>
      <c r="CF11" s="763"/>
      <c r="CG11" s="763"/>
      <c r="CH11" s="763"/>
      <c r="CI11" s="763"/>
      <c r="CJ11" s="763"/>
      <c r="CK11" s="763"/>
      <c r="CL11" s="763"/>
      <c r="CM11" s="763"/>
      <c r="CN11" s="763"/>
      <c r="CO11" s="763"/>
      <c r="CP11" s="763"/>
      <c r="CQ11" s="763"/>
      <c r="CR11" s="763"/>
      <c r="CS11" s="763"/>
      <c r="CT11" s="763"/>
      <c r="CU11" s="763"/>
      <c r="CV11" s="763"/>
      <c r="CW11" s="763"/>
      <c r="CX11" s="763"/>
      <c r="CY11" s="763"/>
      <c r="CZ11" s="763"/>
      <c r="DA11" s="763"/>
      <c r="DB11" s="763"/>
      <c r="DC11" s="763"/>
      <c r="DD11" s="763"/>
      <c r="DE11" s="763"/>
      <c r="DF11" s="763"/>
      <c r="DG11" s="763"/>
      <c r="DH11" s="763"/>
      <c r="DI11" s="763"/>
      <c r="DJ11" s="763"/>
      <c r="DK11" s="763"/>
      <c r="DL11" s="763"/>
      <c r="DM11" s="763"/>
      <c r="DN11" s="763"/>
      <c r="DO11" s="763"/>
      <c r="DP11" s="763"/>
      <c r="DQ11" s="763"/>
      <c r="DR11" s="763"/>
      <c r="DS11" s="763"/>
      <c r="DT11" s="763"/>
      <c r="DU11" s="763"/>
      <c r="DV11" s="763"/>
      <c r="DW11" s="763"/>
      <c r="DX11" s="763"/>
      <c r="DY11" s="763"/>
      <c r="DZ11" s="763"/>
      <c r="EA11" s="763"/>
      <c r="EB11" s="763"/>
    </row>
    <row r="12" spans="1:132" s="899" customFormat="1" ht="14.1" customHeight="1" x14ac:dyDescent="0.2">
      <c r="A12" s="426"/>
      <c r="B12" s="1320"/>
      <c r="C12" s="710" t="s">
        <v>1169</v>
      </c>
      <c r="D12" s="1333" t="s">
        <v>1169</v>
      </c>
      <c r="E12" s="1334"/>
      <c r="F12" s="701"/>
      <c r="G12" s="702" t="s">
        <v>1170</v>
      </c>
      <c r="H12" s="702"/>
      <c r="I12" s="703"/>
      <c r="J12" s="703"/>
      <c r="K12" s="703"/>
      <c r="L12" s="711"/>
      <c r="M12" s="706">
        <f>I12+K12</f>
        <v>0</v>
      </c>
      <c r="N12" s="706">
        <f t="shared" ref="N12:N24" si="3">J12+L12</f>
        <v>0</v>
      </c>
      <c r="O12" s="712">
        <v>4.0000000000000001E-3</v>
      </c>
      <c r="P12" s="708">
        <f t="shared" ref="P12:P24" si="4">M12*O12</f>
        <v>0</v>
      </c>
      <c r="Q12" s="709">
        <f t="shared" ref="Q12:Q24" si="5">N12*O12</f>
        <v>0</v>
      </c>
      <c r="R12" s="1016"/>
      <c r="S12" s="1016"/>
      <c r="T12" s="1016"/>
      <c r="U12" s="1016"/>
      <c r="V12" s="1017">
        <f t="shared" si="0"/>
        <v>0</v>
      </c>
      <c r="W12" s="1019">
        <f t="shared" si="1"/>
        <v>0</v>
      </c>
      <c r="X12" s="1018">
        <f t="shared" si="2"/>
        <v>0</v>
      </c>
      <c r="Y12" s="1324"/>
      <c r="Z12" s="1324"/>
      <c r="AA12" s="1324"/>
      <c r="AB12" s="1324"/>
      <c r="AC12" s="1338"/>
      <c r="AD12" s="1324"/>
      <c r="AE12" s="1331"/>
      <c r="AF12" s="763"/>
      <c r="AG12" s="763"/>
      <c r="AH12" s="763"/>
      <c r="AI12" s="763"/>
      <c r="AJ12" s="763"/>
      <c r="AK12" s="763"/>
      <c r="AL12" s="763"/>
      <c r="AM12" s="763"/>
      <c r="AN12" s="763"/>
      <c r="AO12" s="763"/>
      <c r="AP12" s="763"/>
      <c r="AQ12" s="763"/>
      <c r="AR12" s="763"/>
      <c r="AS12" s="763"/>
      <c r="AT12" s="763"/>
      <c r="AU12" s="763"/>
      <c r="AV12" s="763"/>
      <c r="AW12" s="763"/>
      <c r="AX12" s="763"/>
      <c r="AY12" s="763"/>
      <c r="AZ12" s="763"/>
      <c r="BA12" s="763"/>
      <c r="BB12" s="763"/>
      <c r="BC12" s="763"/>
      <c r="BD12" s="763"/>
      <c r="BE12" s="763"/>
      <c r="BF12" s="763"/>
      <c r="BG12" s="763"/>
      <c r="BH12" s="763"/>
      <c r="BI12" s="763"/>
      <c r="BJ12" s="763"/>
      <c r="BK12" s="763"/>
      <c r="BL12" s="763"/>
      <c r="BM12" s="763"/>
      <c r="BN12" s="763"/>
      <c r="BO12" s="763"/>
      <c r="BP12" s="763"/>
      <c r="BQ12" s="763"/>
      <c r="BR12" s="763"/>
      <c r="BS12" s="763"/>
      <c r="BT12" s="763"/>
      <c r="BU12" s="763"/>
      <c r="BV12" s="763"/>
      <c r="BW12" s="763"/>
      <c r="BX12" s="763"/>
      <c r="BY12" s="763"/>
      <c r="BZ12" s="763"/>
      <c r="CA12" s="763"/>
      <c r="CB12" s="763"/>
      <c r="CC12" s="763"/>
      <c r="CD12" s="763"/>
      <c r="CE12" s="763"/>
      <c r="CF12" s="763"/>
      <c r="CG12" s="763"/>
      <c r="CH12" s="763"/>
      <c r="CI12" s="763"/>
      <c r="CJ12" s="763"/>
      <c r="CK12" s="763"/>
      <c r="CL12" s="763"/>
      <c r="CM12" s="763"/>
      <c r="CN12" s="763"/>
      <c r="CO12" s="763"/>
      <c r="CP12" s="763"/>
      <c r="CQ12" s="763"/>
      <c r="CR12" s="763"/>
      <c r="CS12" s="763"/>
      <c r="CT12" s="763"/>
      <c r="CU12" s="763"/>
      <c r="CV12" s="763"/>
      <c r="CW12" s="763"/>
      <c r="CX12" s="763"/>
      <c r="CY12" s="763"/>
      <c r="CZ12" s="763"/>
      <c r="DA12" s="763"/>
      <c r="DB12" s="763"/>
      <c r="DC12" s="763"/>
      <c r="DD12" s="763"/>
      <c r="DE12" s="763"/>
      <c r="DF12" s="763"/>
      <c r="DG12" s="763"/>
      <c r="DH12" s="763"/>
      <c r="DI12" s="763"/>
      <c r="DJ12" s="763"/>
      <c r="DK12" s="763"/>
      <c r="DL12" s="763"/>
      <c r="DM12" s="763"/>
      <c r="DN12" s="763"/>
      <c r="DO12" s="763"/>
      <c r="DP12" s="763"/>
      <c r="DQ12" s="763"/>
      <c r="DR12" s="763"/>
      <c r="DS12" s="763"/>
      <c r="DT12" s="763"/>
      <c r="DU12" s="763"/>
      <c r="DV12" s="763"/>
      <c r="DW12" s="763"/>
      <c r="DX12" s="763"/>
      <c r="DY12" s="763"/>
      <c r="DZ12" s="763"/>
      <c r="EA12" s="763"/>
      <c r="EB12" s="763"/>
    </row>
    <row r="13" spans="1:132" s="899" customFormat="1" ht="14.1" customHeight="1" thickBot="1" x14ac:dyDescent="0.25">
      <c r="A13" s="426"/>
      <c r="B13" s="1320"/>
      <c r="C13" s="710" t="s">
        <v>1171</v>
      </c>
      <c r="D13" s="1372" t="s">
        <v>1171</v>
      </c>
      <c r="E13" s="1373"/>
      <c r="F13" s="768"/>
      <c r="G13" s="714" t="s">
        <v>1172</v>
      </c>
      <c r="H13" s="714"/>
      <c r="I13" s="703"/>
      <c r="J13" s="703"/>
      <c r="K13" s="703"/>
      <c r="L13" s="711"/>
      <c r="M13" s="715">
        <f t="shared" ref="M13:M24" si="6">I13+K13</f>
        <v>0</v>
      </c>
      <c r="N13" s="715">
        <f t="shared" si="3"/>
        <v>0</v>
      </c>
      <c r="O13" s="712">
        <v>7.0000000000000001E-3</v>
      </c>
      <c r="P13" s="716">
        <f t="shared" si="4"/>
        <v>0</v>
      </c>
      <c r="Q13" s="717">
        <f t="shared" si="5"/>
        <v>0</v>
      </c>
      <c r="R13" s="1016"/>
      <c r="S13" s="1016"/>
      <c r="T13" s="1016"/>
      <c r="U13" s="1016"/>
      <c r="V13" s="1020">
        <f t="shared" si="0"/>
        <v>0</v>
      </c>
      <c r="W13" s="1021">
        <f t="shared" si="1"/>
        <v>0</v>
      </c>
      <c r="X13" s="1021">
        <f t="shared" si="2"/>
        <v>0</v>
      </c>
      <c r="Y13" s="1325"/>
      <c r="Z13" s="1325"/>
      <c r="AA13" s="1324"/>
      <c r="AB13" s="1325"/>
      <c r="AC13" s="1339"/>
      <c r="AD13" s="1325"/>
      <c r="AE13" s="1331"/>
      <c r="AF13" s="763"/>
      <c r="AG13" s="763"/>
      <c r="AH13" s="763"/>
      <c r="AI13" s="763"/>
      <c r="AJ13" s="763"/>
      <c r="AK13" s="763"/>
      <c r="AL13" s="763"/>
      <c r="AM13" s="763"/>
      <c r="AN13" s="763"/>
      <c r="AO13" s="763"/>
      <c r="AP13" s="763"/>
      <c r="AQ13" s="763"/>
      <c r="AR13" s="763"/>
      <c r="AS13" s="763"/>
      <c r="AT13" s="763"/>
      <c r="AU13" s="763"/>
      <c r="AV13" s="763"/>
      <c r="AW13" s="763"/>
      <c r="AX13" s="763"/>
      <c r="AY13" s="763"/>
      <c r="AZ13" s="763"/>
      <c r="BA13" s="763"/>
      <c r="BB13" s="763"/>
      <c r="BC13" s="763"/>
      <c r="BD13" s="763"/>
      <c r="BE13" s="763"/>
      <c r="BF13" s="763"/>
      <c r="BG13" s="763"/>
      <c r="BH13" s="763"/>
      <c r="BI13" s="763"/>
      <c r="BJ13" s="763"/>
      <c r="BK13" s="763"/>
      <c r="BL13" s="763"/>
      <c r="BM13" s="763"/>
      <c r="BN13" s="763"/>
      <c r="BO13" s="763"/>
      <c r="BP13" s="763"/>
      <c r="BQ13" s="763"/>
      <c r="BR13" s="763"/>
      <c r="BS13" s="763"/>
      <c r="BT13" s="763"/>
      <c r="BU13" s="763"/>
      <c r="BV13" s="763"/>
      <c r="BW13" s="763"/>
      <c r="BX13" s="763"/>
      <c r="BY13" s="763"/>
      <c r="BZ13" s="763"/>
      <c r="CA13" s="763"/>
      <c r="CB13" s="763"/>
      <c r="CC13" s="763"/>
      <c r="CD13" s="763"/>
      <c r="CE13" s="763"/>
      <c r="CF13" s="763"/>
      <c r="CG13" s="763"/>
      <c r="CH13" s="763"/>
      <c r="CI13" s="763"/>
      <c r="CJ13" s="763"/>
      <c r="CK13" s="763"/>
      <c r="CL13" s="763"/>
      <c r="CM13" s="763"/>
      <c r="CN13" s="763"/>
      <c r="CO13" s="763"/>
      <c r="CP13" s="763"/>
      <c r="CQ13" s="763"/>
      <c r="CR13" s="763"/>
      <c r="CS13" s="763"/>
      <c r="CT13" s="763"/>
      <c r="CU13" s="763"/>
      <c r="CV13" s="763"/>
      <c r="CW13" s="763"/>
      <c r="CX13" s="763"/>
      <c r="CY13" s="763"/>
      <c r="CZ13" s="763"/>
      <c r="DA13" s="763"/>
      <c r="DB13" s="763"/>
      <c r="DC13" s="763"/>
      <c r="DD13" s="763"/>
      <c r="DE13" s="763"/>
      <c r="DF13" s="763"/>
      <c r="DG13" s="763"/>
      <c r="DH13" s="763"/>
      <c r="DI13" s="763"/>
      <c r="DJ13" s="763"/>
      <c r="DK13" s="763"/>
      <c r="DL13" s="763"/>
      <c r="DM13" s="763"/>
      <c r="DN13" s="763"/>
      <c r="DO13" s="763"/>
      <c r="DP13" s="763"/>
      <c r="DQ13" s="763"/>
      <c r="DR13" s="763"/>
      <c r="DS13" s="763"/>
      <c r="DT13" s="763"/>
      <c r="DU13" s="763"/>
      <c r="DV13" s="763"/>
      <c r="DW13" s="763"/>
      <c r="DX13" s="763"/>
      <c r="DY13" s="763"/>
      <c r="DZ13" s="763"/>
      <c r="EA13" s="763"/>
      <c r="EB13" s="763"/>
    </row>
    <row r="14" spans="1:132" s="899" customFormat="1" ht="14.1" customHeight="1" x14ac:dyDescent="0.2">
      <c r="A14" s="426"/>
      <c r="B14" s="1319">
        <v>2</v>
      </c>
      <c r="C14" s="691" t="s">
        <v>1173</v>
      </c>
      <c r="D14" s="1321" t="s">
        <v>1174</v>
      </c>
      <c r="E14" s="1322"/>
      <c r="F14" s="692"/>
      <c r="G14" s="693" t="s">
        <v>1175</v>
      </c>
      <c r="H14" s="693"/>
      <c r="I14" s="695"/>
      <c r="J14" s="695"/>
      <c r="K14" s="695"/>
      <c r="L14" s="696"/>
      <c r="M14" s="718">
        <f t="shared" si="6"/>
        <v>0</v>
      </c>
      <c r="N14" s="718">
        <f t="shared" si="3"/>
        <v>0</v>
      </c>
      <c r="O14" s="698">
        <v>1.2500000000000001E-2</v>
      </c>
      <c r="P14" s="719">
        <f t="shared" si="4"/>
        <v>0</v>
      </c>
      <c r="Q14" s="720">
        <f t="shared" si="5"/>
        <v>0</v>
      </c>
      <c r="R14" s="1016"/>
      <c r="S14" s="1016"/>
      <c r="T14" s="1016"/>
      <c r="U14" s="1016"/>
      <c r="V14" s="1022">
        <f t="shared" si="0"/>
        <v>0</v>
      </c>
      <c r="W14" s="1023">
        <f t="shared" si="1"/>
        <v>0</v>
      </c>
      <c r="X14" s="1023">
        <f t="shared" si="2"/>
        <v>0</v>
      </c>
      <c r="Y14" s="1327">
        <f>IF(SUM(W14:W16)&lt;SUM(X14:X16),SUM(W14:W16)*30%,SUM(X14:X16)*30%)</f>
        <v>0</v>
      </c>
      <c r="Z14" s="1327">
        <f>(SUM(W14:W16)-SUM(X14:X16))</f>
        <v>0</v>
      </c>
      <c r="AA14" s="1324"/>
      <c r="AB14" s="1327">
        <f>IF(AA10=0,Z14,IF(ABS(Z10)&lt;ABS(Z14),Z10+Z14,0))</f>
        <v>0</v>
      </c>
      <c r="AC14" s="1327">
        <f>(IF(AB14=0,0,IF(AB17=0,0,IF(AB14&gt;0,IF(AB17&lt;0,IF(AB14&lt;ABS(AB17),AB14*40%,ABS(AB17)*40%),0),IF(AB17&gt;0,IF(ABS(AB14)&lt;AB17,ABS(AB14)*40%,AB17*40%),0)))))</f>
        <v>0</v>
      </c>
      <c r="AD14" s="1327">
        <f>IF(AC14=0,AB14,IF(ABS(AB14)&lt;ABS(AB17),0,AB14+AB17))</f>
        <v>0</v>
      </c>
      <c r="AE14" s="1331"/>
      <c r="AF14" s="763"/>
      <c r="AG14" s="763"/>
      <c r="AH14" s="763"/>
      <c r="AI14" s="763"/>
      <c r="AJ14" s="763"/>
      <c r="AK14" s="763"/>
      <c r="AL14" s="763"/>
      <c r="AM14" s="763"/>
      <c r="AN14" s="763"/>
      <c r="AO14" s="763"/>
      <c r="AP14" s="763"/>
      <c r="AQ14" s="763"/>
      <c r="AR14" s="763"/>
      <c r="AS14" s="763"/>
      <c r="AT14" s="763"/>
      <c r="AU14" s="763"/>
      <c r="AV14" s="763"/>
      <c r="AW14" s="763"/>
      <c r="AX14" s="763"/>
      <c r="AY14" s="763"/>
      <c r="AZ14" s="763"/>
      <c r="BA14" s="763"/>
      <c r="BB14" s="763"/>
      <c r="BC14" s="763"/>
      <c r="BD14" s="763"/>
      <c r="BE14" s="763"/>
      <c r="BF14" s="763"/>
      <c r="BG14" s="763"/>
      <c r="BH14" s="763"/>
      <c r="BI14" s="763"/>
      <c r="BJ14" s="763"/>
      <c r="BK14" s="763"/>
      <c r="BL14" s="763"/>
      <c r="BM14" s="763"/>
      <c r="BN14" s="763"/>
      <c r="BO14" s="763"/>
      <c r="BP14" s="763"/>
      <c r="BQ14" s="763"/>
      <c r="BR14" s="763"/>
      <c r="BS14" s="763"/>
      <c r="BT14" s="763"/>
      <c r="BU14" s="763"/>
      <c r="BV14" s="763"/>
      <c r="BW14" s="763"/>
      <c r="BX14" s="763"/>
      <c r="BY14" s="763"/>
      <c r="BZ14" s="763"/>
      <c r="CA14" s="763"/>
      <c r="CB14" s="763"/>
      <c r="CC14" s="763"/>
      <c r="CD14" s="763"/>
      <c r="CE14" s="763"/>
      <c r="CF14" s="763"/>
      <c r="CG14" s="763"/>
      <c r="CH14" s="763"/>
      <c r="CI14" s="763"/>
      <c r="CJ14" s="763"/>
      <c r="CK14" s="763"/>
      <c r="CL14" s="763"/>
      <c r="CM14" s="763"/>
      <c r="CN14" s="763"/>
      <c r="CO14" s="763"/>
      <c r="CP14" s="763"/>
      <c r="CQ14" s="763"/>
      <c r="CR14" s="763"/>
      <c r="CS14" s="763"/>
      <c r="CT14" s="763"/>
      <c r="CU14" s="763"/>
      <c r="CV14" s="763"/>
      <c r="CW14" s="763"/>
      <c r="CX14" s="763"/>
      <c r="CY14" s="763"/>
      <c r="CZ14" s="763"/>
      <c r="DA14" s="763"/>
      <c r="DB14" s="763"/>
      <c r="DC14" s="763"/>
      <c r="DD14" s="763"/>
      <c r="DE14" s="763"/>
      <c r="DF14" s="763"/>
      <c r="DG14" s="763"/>
      <c r="DH14" s="763"/>
      <c r="DI14" s="763"/>
      <c r="DJ14" s="763"/>
      <c r="DK14" s="763"/>
      <c r="DL14" s="763"/>
      <c r="DM14" s="763"/>
      <c r="DN14" s="763"/>
      <c r="DO14" s="763"/>
      <c r="DP14" s="763"/>
      <c r="DQ14" s="763"/>
      <c r="DR14" s="763"/>
      <c r="DS14" s="763"/>
      <c r="DT14" s="763"/>
      <c r="DU14" s="763"/>
      <c r="DV14" s="763"/>
      <c r="DW14" s="763"/>
      <c r="DX14" s="763"/>
      <c r="DY14" s="763"/>
      <c r="DZ14" s="763"/>
      <c r="EA14" s="763"/>
      <c r="EB14" s="763"/>
    </row>
    <row r="15" spans="1:132" s="899" customFormat="1" ht="14.1" customHeight="1" x14ac:dyDescent="0.2">
      <c r="A15" s="426"/>
      <c r="B15" s="1320"/>
      <c r="C15" s="451" t="s">
        <v>1176</v>
      </c>
      <c r="D15" s="1333" t="s">
        <v>1177</v>
      </c>
      <c r="E15" s="1334"/>
      <c r="F15" s="701"/>
      <c r="G15" s="702" t="s">
        <v>1178</v>
      </c>
      <c r="H15" s="702"/>
      <c r="I15" s="704"/>
      <c r="J15" s="704"/>
      <c r="K15" s="704"/>
      <c r="L15" s="705"/>
      <c r="M15" s="706">
        <f t="shared" si="6"/>
        <v>0</v>
      </c>
      <c r="N15" s="706">
        <f t="shared" si="3"/>
        <v>0</v>
      </c>
      <c r="O15" s="707">
        <v>1.7500000000000002E-2</v>
      </c>
      <c r="P15" s="708">
        <f t="shared" si="4"/>
        <v>0</v>
      </c>
      <c r="Q15" s="709">
        <f t="shared" si="5"/>
        <v>0</v>
      </c>
      <c r="R15" s="1016"/>
      <c r="S15" s="1016"/>
      <c r="T15" s="1016"/>
      <c r="U15" s="1016"/>
      <c r="V15" s="1024">
        <f t="shared" si="0"/>
        <v>0</v>
      </c>
      <c r="W15" s="1025">
        <f t="shared" si="1"/>
        <v>0</v>
      </c>
      <c r="X15" s="1025">
        <f t="shared" si="2"/>
        <v>0</v>
      </c>
      <c r="Y15" s="1328"/>
      <c r="Z15" s="1328"/>
      <c r="AA15" s="1324"/>
      <c r="AB15" s="1328"/>
      <c r="AC15" s="1328"/>
      <c r="AD15" s="1328"/>
      <c r="AE15" s="1331"/>
      <c r="AF15" s="763"/>
      <c r="AG15" s="763"/>
      <c r="AH15" s="763"/>
      <c r="AI15" s="763"/>
      <c r="AJ15" s="763"/>
      <c r="AK15" s="763"/>
      <c r="AL15" s="763"/>
      <c r="AM15" s="763"/>
      <c r="AN15" s="763"/>
      <c r="AO15" s="763"/>
      <c r="AP15" s="763"/>
      <c r="AQ15" s="763"/>
      <c r="AR15" s="763"/>
      <c r="AS15" s="763"/>
      <c r="AT15" s="763"/>
      <c r="AU15" s="763"/>
      <c r="AV15" s="763"/>
      <c r="AW15" s="763"/>
      <c r="AX15" s="763"/>
      <c r="AY15" s="763"/>
      <c r="AZ15" s="763"/>
      <c r="BA15" s="763"/>
      <c r="BB15" s="763"/>
      <c r="BC15" s="763"/>
      <c r="BD15" s="763"/>
      <c r="BE15" s="763"/>
      <c r="BF15" s="763"/>
      <c r="BG15" s="763"/>
      <c r="BH15" s="763"/>
      <c r="BI15" s="763"/>
      <c r="BJ15" s="763"/>
      <c r="BK15" s="763"/>
      <c r="BL15" s="763"/>
      <c r="BM15" s="763"/>
      <c r="BN15" s="763"/>
      <c r="BO15" s="763"/>
      <c r="BP15" s="763"/>
      <c r="BQ15" s="763"/>
      <c r="BR15" s="763"/>
      <c r="BS15" s="763"/>
      <c r="BT15" s="763"/>
      <c r="BU15" s="763"/>
      <c r="BV15" s="763"/>
      <c r="BW15" s="763"/>
      <c r="BX15" s="763"/>
      <c r="BY15" s="763"/>
      <c r="BZ15" s="763"/>
      <c r="CA15" s="763"/>
      <c r="CB15" s="763"/>
      <c r="CC15" s="763"/>
      <c r="CD15" s="763"/>
      <c r="CE15" s="763"/>
      <c r="CF15" s="763"/>
      <c r="CG15" s="763"/>
      <c r="CH15" s="763"/>
      <c r="CI15" s="763"/>
      <c r="CJ15" s="763"/>
      <c r="CK15" s="763"/>
      <c r="CL15" s="763"/>
      <c r="CM15" s="763"/>
      <c r="CN15" s="763"/>
      <c r="CO15" s="763"/>
      <c r="CP15" s="763"/>
      <c r="CQ15" s="763"/>
      <c r="CR15" s="763"/>
      <c r="CS15" s="763"/>
      <c r="CT15" s="763"/>
      <c r="CU15" s="763"/>
      <c r="CV15" s="763"/>
      <c r="CW15" s="763"/>
      <c r="CX15" s="763"/>
      <c r="CY15" s="763"/>
      <c r="CZ15" s="763"/>
      <c r="DA15" s="763"/>
      <c r="DB15" s="763"/>
      <c r="DC15" s="763"/>
      <c r="DD15" s="763"/>
      <c r="DE15" s="763"/>
      <c r="DF15" s="763"/>
      <c r="DG15" s="763"/>
      <c r="DH15" s="763"/>
      <c r="DI15" s="763"/>
      <c r="DJ15" s="763"/>
      <c r="DK15" s="763"/>
      <c r="DL15" s="763"/>
      <c r="DM15" s="763"/>
      <c r="DN15" s="763"/>
      <c r="DO15" s="763"/>
      <c r="DP15" s="763"/>
      <c r="DQ15" s="763"/>
      <c r="DR15" s="763"/>
      <c r="DS15" s="763"/>
      <c r="DT15" s="763"/>
      <c r="DU15" s="763"/>
      <c r="DV15" s="763"/>
      <c r="DW15" s="763"/>
      <c r="DX15" s="763"/>
      <c r="DY15" s="763"/>
      <c r="DZ15" s="763"/>
      <c r="EA15" s="763"/>
      <c r="EB15" s="763"/>
    </row>
    <row r="16" spans="1:132" s="899" customFormat="1" ht="14.1" customHeight="1" thickBot="1" x14ac:dyDescent="0.25">
      <c r="A16" s="426"/>
      <c r="B16" s="1326"/>
      <c r="C16" s="721" t="s">
        <v>1179</v>
      </c>
      <c r="D16" s="1372" t="s">
        <v>1180</v>
      </c>
      <c r="E16" s="1373"/>
      <c r="F16" s="768"/>
      <c r="G16" s="714" t="s">
        <v>1181</v>
      </c>
      <c r="H16" s="714"/>
      <c r="I16" s="722"/>
      <c r="J16" s="722"/>
      <c r="K16" s="722"/>
      <c r="L16" s="723"/>
      <c r="M16" s="715">
        <f t="shared" si="6"/>
        <v>0</v>
      </c>
      <c r="N16" s="715">
        <f t="shared" si="3"/>
        <v>0</v>
      </c>
      <c r="O16" s="724">
        <v>2.2499999999999999E-2</v>
      </c>
      <c r="P16" s="716">
        <f t="shared" si="4"/>
        <v>0</v>
      </c>
      <c r="Q16" s="717">
        <f t="shared" si="5"/>
        <v>0</v>
      </c>
      <c r="R16" s="1016"/>
      <c r="S16" s="1016"/>
      <c r="T16" s="1016"/>
      <c r="U16" s="1016"/>
      <c r="V16" s="1026">
        <f t="shared" si="0"/>
        <v>0</v>
      </c>
      <c r="W16" s="1027">
        <f t="shared" si="1"/>
        <v>0</v>
      </c>
      <c r="X16" s="1027">
        <f t="shared" si="2"/>
        <v>0</v>
      </c>
      <c r="Y16" s="1329"/>
      <c r="Z16" s="1329"/>
      <c r="AA16" s="1325"/>
      <c r="AB16" s="1329"/>
      <c r="AC16" s="1328"/>
      <c r="AD16" s="1329"/>
      <c r="AE16" s="1331"/>
      <c r="AF16" s="763"/>
      <c r="AG16" s="763"/>
      <c r="AH16" s="763"/>
      <c r="AI16" s="763"/>
      <c r="AJ16" s="763"/>
      <c r="AK16" s="763"/>
      <c r="AL16" s="763"/>
      <c r="AM16" s="763"/>
      <c r="AN16" s="763"/>
      <c r="AO16" s="763"/>
      <c r="AP16" s="763"/>
      <c r="AQ16" s="763"/>
      <c r="AR16" s="763"/>
      <c r="AS16" s="763"/>
      <c r="AT16" s="763"/>
      <c r="AU16" s="763"/>
      <c r="AV16" s="763"/>
      <c r="AW16" s="763"/>
      <c r="AX16" s="763"/>
      <c r="AY16" s="763"/>
      <c r="AZ16" s="763"/>
      <c r="BA16" s="763"/>
      <c r="BB16" s="763"/>
      <c r="BC16" s="763"/>
      <c r="BD16" s="763"/>
      <c r="BE16" s="763"/>
      <c r="BF16" s="763"/>
      <c r="BG16" s="763"/>
      <c r="BH16" s="763"/>
      <c r="BI16" s="763"/>
      <c r="BJ16" s="763"/>
      <c r="BK16" s="763"/>
      <c r="BL16" s="763"/>
      <c r="BM16" s="763"/>
      <c r="BN16" s="763"/>
      <c r="BO16" s="763"/>
      <c r="BP16" s="763"/>
      <c r="BQ16" s="763"/>
      <c r="BR16" s="763"/>
      <c r="BS16" s="763"/>
      <c r="BT16" s="763"/>
      <c r="BU16" s="763"/>
      <c r="BV16" s="763"/>
      <c r="BW16" s="763"/>
      <c r="BX16" s="763"/>
      <c r="BY16" s="763"/>
      <c r="BZ16" s="763"/>
      <c r="CA16" s="763"/>
      <c r="CB16" s="763"/>
      <c r="CC16" s="763"/>
      <c r="CD16" s="763"/>
      <c r="CE16" s="763"/>
      <c r="CF16" s="763"/>
      <c r="CG16" s="763"/>
      <c r="CH16" s="763"/>
      <c r="CI16" s="763"/>
      <c r="CJ16" s="763"/>
      <c r="CK16" s="763"/>
      <c r="CL16" s="763"/>
      <c r="CM16" s="763"/>
      <c r="CN16" s="763"/>
      <c r="CO16" s="763"/>
      <c r="CP16" s="763"/>
      <c r="CQ16" s="763"/>
      <c r="CR16" s="763"/>
      <c r="CS16" s="763"/>
      <c r="CT16" s="763"/>
      <c r="CU16" s="763"/>
      <c r="CV16" s="763"/>
      <c r="CW16" s="763"/>
      <c r="CX16" s="763"/>
      <c r="CY16" s="763"/>
      <c r="CZ16" s="763"/>
      <c r="DA16" s="763"/>
      <c r="DB16" s="763"/>
      <c r="DC16" s="763"/>
      <c r="DD16" s="763"/>
      <c r="DE16" s="763"/>
      <c r="DF16" s="763"/>
      <c r="DG16" s="763"/>
      <c r="DH16" s="763"/>
      <c r="DI16" s="763"/>
      <c r="DJ16" s="763"/>
      <c r="DK16" s="763"/>
      <c r="DL16" s="763"/>
      <c r="DM16" s="763"/>
      <c r="DN16" s="763"/>
      <c r="DO16" s="763"/>
      <c r="DP16" s="763"/>
      <c r="DQ16" s="763"/>
      <c r="DR16" s="763"/>
      <c r="DS16" s="763"/>
      <c r="DT16" s="763"/>
      <c r="DU16" s="763"/>
      <c r="DV16" s="763"/>
      <c r="DW16" s="763"/>
      <c r="DX16" s="763"/>
      <c r="DY16" s="763"/>
      <c r="DZ16" s="763"/>
      <c r="EA16" s="763"/>
      <c r="EB16" s="763"/>
    </row>
    <row r="17" spans="1:134" s="899" customFormat="1" ht="14.1" customHeight="1" x14ac:dyDescent="0.2">
      <c r="A17" s="426"/>
      <c r="B17" s="1319">
        <v>3</v>
      </c>
      <c r="C17" s="725" t="s">
        <v>1182</v>
      </c>
      <c r="D17" s="1321" t="s">
        <v>1183</v>
      </c>
      <c r="E17" s="1322"/>
      <c r="F17" s="767"/>
      <c r="G17" s="693" t="s">
        <v>1184</v>
      </c>
      <c r="H17" s="693"/>
      <c r="I17" s="694"/>
      <c r="J17" s="694"/>
      <c r="K17" s="694"/>
      <c r="L17" s="726"/>
      <c r="M17" s="718">
        <f t="shared" si="6"/>
        <v>0</v>
      </c>
      <c r="N17" s="718">
        <f t="shared" si="3"/>
        <v>0</v>
      </c>
      <c r="O17" s="727">
        <v>2.75E-2</v>
      </c>
      <c r="P17" s="719">
        <f t="shared" si="4"/>
        <v>0</v>
      </c>
      <c r="Q17" s="720">
        <f t="shared" si="5"/>
        <v>0</v>
      </c>
      <c r="R17" s="1016"/>
      <c r="S17" s="1016"/>
      <c r="T17" s="1016"/>
      <c r="U17" s="1016"/>
      <c r="V17" s="1028">
        <f t="shared" si="0"/>
        <v>0</v>
      </c>
      <c r="W17" s="1029">
        <f t="shared" si="1"/>
        <v>0</v>
      </c>
      <c r="X17" s="1029">
        <f t="shared" si="2"/>
        <v>0</v>
      </c>
      <c r="Y17" s="1330">
        <f>IF(SUM(W17:W24)&lt;SUM(X17:X24),SUM(W17:W24)*30%,SUM(X17:X24)*30%)</f>
        <v>0</v>
      </c>
      <c r="Z17" s="1330">
        <f>SUM(W17:W24)-SUM(X17:X24)</f>
        <v>0</v>
      </c>
      <c r="AA17" s="1337"/>
      <c r="AB17" s="1330">
        <f>Z17</f>
        <v>0</v>
      </c>
      <c r="AC17" s="1328"/>
      <c r="AD17" s="1330">
        <f>IF(AC14=0,AB17,IF(ABS(AB14)&lt;ABS(AB17),AB14+AB17,0))</f>
        <v>0</v>
      </c>
      <c r="AE17" s="1331"/>
      <c r="AF17" s="763"/>
      <c r="AG17" s="763"/>
      <c r="AH17" s="763"/>
      <c r="AI17" s="763"/>
      <c r="AJ17" s="763"/>
      <c r="AK17" s="763"/>
      <c r="AL17" s="763"/>
      <c r="AM17" s="763"/>
      <c r="AN17" s="763"/>
      <c r="AO17" s="763"/>
      <c r="AP17" s="763"/>
      <c r="AQ17" s="763"/>
      <c r="AR17" s="763"/>
      <c r="AS17" s="763"/>
      <c r="AT17" s="763"/>
      <c r="AU17" s="763"/>
      <c r="AV17" s="763"/>
      <c r="AW17" s="763"/>
      <c r="AX17" s="763"/>
      <c r="AY17" s="763"/>
      <c r="AZ17" s="763"/>
      <c r="BA17" s="763"/>
      <c r="BB17" s="763"/>
      <c r="BC17" s="763"/>
      <c r="BD17" s="763"/>
      <c r="BE17" s="763"/>
      <c r="BF17" s="763"/>
      <c r="BG17" s="763"/>
      <c r="BH17" s="763"/>
      <c r="BI17" s="763"/>
      <c r="BJ17" s="763"/>
      <c r="BK17" s="763"/>
      <c r="BL17" s="763"/>
      <c r="BM17" s="763"/>
      <c r="BN17" s="763"/>
      <c r="BO17" s="763"/>
      <c r="BP17" s="763"/>
      <c r="BQ17" s="763"/>
      <c r="BR17" s="763"/>
      <c r="BS17" s="763"/>
      <c r="BT17" s="763"/>
      <c r="BU17" s="763"/>
      <c r="BV17" s="763"/>
      <c r="BW17" s="763"/>
      <c r="BX17" s="763"/>
      <c r="BY17" s="763"/>
      <c r="BZ17" s="763"/>
      <c r="CA17" s="763"/>
      <c r="CB17" s="763"/>
      <c r="CC17" s="763"/>
      <c r="CD17" s="763"/>
      <c r="CE17" s="763"/>
      <c r="CF17" s="763"/>
      <c r="CG17" s="763"/>
      <c r="CH17" s="763"/>
      <c r="CI17" s="763"/>
      <c r="CJ17" s="763"/>
      <c r="CK17" s="763"/>
      <c r="CL17" s="763"/>
      <c r="CM17" s="763"/>
      <c r="CN17" s="763"/>
      <c r="CO17" s="763"/>
      <c r="CP17" s="763"/>
      <c r="CQ17" s="763"/>
      <c r="CR17" s="763"/>
      <c r="CS17" s="763"/>
      <c r="CT17" s="763"/>
      <c r="CU17" s="763"/>
      <c r="CV17" s="763"/>
      <c r="CW17" s="763"/>
      <c r="CX17" s="763"/>
      <c r="CY17" s="763"/>
      <c r="CZ17" s="763"/>
      <c r="DA17" s="763"/>
      <c r="DB17" s="763"/>
      <c r="DC17" s="763"/>
      <c r="DD17" s="763"/>
      <c r="DE17" s="763"/>
      <c r="DF17" s="763"/>
      <c r="DG17" s="763"/>
      <c r="DH17" s="763"/>
      <c r="DI17" s="763"/>
      <c r="DJ17" s="763"/>
      <c r="DK17" s="763"/>
      <c r="DL17" s="763"/>
      <c r="DM17" s="763"/>
      <c r="DN17" s="763"/>
      <c r="DO17" s="763"/>
      <c r="DP17" s="763"/>
      <c r="DQ17" s="763"/>
      <c r="DR17" s="763"/>
      <c r="DS17" s="763"/>
      <c r="DT17" s="763"/>
      <c r="DU17" s="763"/>
      <c r="DV17" s="763"/>
      <c r="DW17" s="763"/>
      <c r="DX17" s="763"/>
      <c r="DY17" s="763"/>
      <c r="DZ17" s="763"/>
      <c r="EA17" s="763"/>
      <c r="EB17" s="763"/>
    </row>
    <row r="18" spans="1:134" s="899" customFormat="1" ht="14.1" customHeight="1" x14ac:dyDescent="0.2">
      <c r="A18" s="426"/>
      <c r="B18" s="1320"/>
      <c r="C18" s="451" t="s">
        <v>1185</v>
      </c>
      <c r="D18" s="1333" t="s">
        <v>1186</v>
      </c>
      <c r="E18" s="1334"/>
      <c r="F18" s="701"/>
      <c r="G18" s="702" t="s">
        <v>1187</v>
      </c>
      <c r="H18" s="702"/>
      <c r="I18" s="704"/>
      <c r="J18" s="704"/>
      <c r="K18" s="704"/>
      <c r="L18" s="705"/>
      <c r="M18" s="706">
        <f t="shared" si="6"/>
        <v>0</v>
      </c>
      <c r="N18" s="706">
        <f t="shared" si="3"/>
        <v>0</v>
      </c>
      <c r="O18" s="707">
        <v>3.2500000000000001E-2</v>
      </c>
      <c r="P18" s="708">
        <f t="shared" si="4"/>
        <v>0</v>
      </c>
      <c r="Q18" s="709">
        <f t="shared" si="5"/>
        <v>0</v>
      </c>
      <c r="R18" s="1016"/>
      <c r="S18" s="1016"/>
      <c r="T18" s="1016"/>
      <c r="U18" s="1016"/>
      <c r="V18" s="1030">
        <f t="shared" si="0"/>
        <v>0</v>
      </c>
      <c r="W18" s="1031">
        <f t="shared" si="1"/>
        <v>0</v>
      </c>
      <c r="X18" s="1031">
        <f t="shared" si="2"/>
        <v>0</v>
      </c>
      <c r="Y18" s="1331"/>
      <c r="Z18" s="1331"/>
      <c r="AA18" s="1338"/>
      <c r="AB18" s="1331"/>
      <c r="AC18" s="1328"/>
      <c r="AD18" s="1331"/>
      <c r="AE18" s="1331"/>
      <c r="AF18" s="763"/>
      <c r="AG18" s="763"/>
      <c r="AH18" s="763"/>
      <c r="AI18" s="763"/>
      <c r="AJ18" s="763"/>
      <c r="AK18" s="763"/>
      <c r="AL18" s="763"/>
      <c r="AM18" s="763"/>
      <c r="AN18" s="763"/>
      <c r="AO18" s="763"/>
      <c r="AP18" s="763"/>
      <c r="AQ18" s="763"/>
      <c r="AR18" s="763"/>
      <c r="AS18" s="763"/>
      <c r="AT18" s="763"/>
      <c r="AU18" s="763"/>
      <c r="AV18" s="763"/>
      <c r="AW18" s="763"/>
      <c r="AX18" s="763"/>
      <c r="AY18" s="763"/>
      <c r="AZ18" s="763"/>
      <c r="BA18" s="763"/>
      <c r="BB18" s="763"/>
      <c r="BC18" s="763"/>
      <c r="BD18" s="763"/>
      <c r="BE18" s="763"/>
      <c r="BF18" s="763"/>
      <c r="BG18" s="763"/>
      <c r="BH18" s="763"/>
      <c r="BI18" s="763"/>
      <c r="BJ18" s="763"/>
      <c r="BK18" s="763"/>
      <c r="BL18" s="763"/>
      <c r="BM18" s="763"/>
      <c r="BN18" s="763"/>
      <c r="BO18" s="763"/>
      <c r="BP18" s="763"/>
      <c r="BQ18" s="763"/>
      <c r="BR18" s="763"/>
      <c r="BS18" s="763"/>
      <c r="BT18" s="763"/>
      <c r="BU18" s="763"/>
      <c r="BV18" s="763"/>
      <c r="BW18" s="763"/>
      <c r="BX18" s="763"/>
      <c r="BY18" s="763"/>
      <c r="BZ18" s="763"/>
      <c r="CA18" s="763"/>
      <c r="CB18" s="763"/>
      <c r="CC18" s="763"/>
      <c r="CD18" s="763"/>
      <c r="CE18" s="763"/>
      <c r="CF18" s="763"/>
      <c r="CG18" s="763"/>
      <c r="CH18" s="763"/>
      <c r="CI18" s="763"/>
      <c r="CJ18" s="763"/>
      <c r="CK18" s="763"/>
      <c r="CL18" s="763"/>
      <c r="CM18" s="763"/>
      <c r="CN18" s="763"/>
      <c r="CO18" s="763"/>
      <c r="CP18" s="763"/>
      <c r="CQ18" s="763"/>
      <c r="CR18" s="763"/>
      <c r="CS18" s="763"/>
      <c r="CT18" s="763"/>
      <c r="CU18" s="763"/>
      <c r="CV18" s="763"/>
      <c r="CW18" s="763"/>
      <c r="CX18" s="763"/>
      <c r="CY18" s="763"/>
      <c r="CZ18" s="763"/>
      <c r="DA18" s="763"/>
      <c r="DB18" s="763"/>
      <c r="DC18" s="763"/>
      <c r="DD18" s="763"/>
      <c r="DE18" s="763"/>
      <c r="DF18" s="763"/>
      <c r="DG18" s="763"/>
      <c r="DH18" s="763"/>
      <c r="DI18" s="763"/>
      <c r="DJ18" s="763"/>
      <c r="DK18" s="763"/>
      <c r="DL18" s="763"/>
      <c r="DM18" s="763"/>
      <c r="DN18" s="763"/>
      <c r="DO18" s="763"/>
      <c r="DP18" s="763"/>
      <c r="DQ18" s="763"/>
      <c r="DR18" s="763"/>
      <c r="DS18" s="763"/>
      <c r="DT18" s="763"/>
      <c r="DU18" s="763"/>
      <c r="DV18" s="763"/>
      <c r="DW18" s="763"/>
      <c r="DX18" s="763"/>
      <c r="DY18" s="763"/>
      <c r="DZ18" s="763"/>
      <c r="EA18" s="763"/>
      <c r="EB18" s="763"/>
    </row>
    <row r="19" spans="1:134" s="899" customFormat="1" ht="14.1" customHeight="1" x14ac:dyDescent="0.2">
      <c r="A19" s="426"/>
      <c r="B19" s="1320"/>
      <c r="C19" s="451" t="s">
        <v>1188</v>
      </c>
      <c r="D19" s="1333" t="s">
        <v>1189</v>
      </c>
      <c r="E19" s="1334"/>
      <c r="F19" s="701"/>
      <c r="G19" s="702" t="s">
        <v>1190</v>
      </c>
      <c r="H19" s="702"/>
      <c r="I19" s="704"/>
      <c r="J19" s="704"/>
      <c r="K19" s="704"/>
      <c r="L19" s="705"/>
      <c r="M19" s="706">
        <f t="shared" si="6"/>
        <v>0</v>
      </c>
      <c r="N19" s="706">
        <f t="shared" si="3"/>
        <v>0</v>
      </c>
      <c r="O19" s="707">
        <v>3.7499999999999999E-2</v>
      </c>
      <c r="P19" s="708">
        <f t="shared" si="4"/>
        <v>0</v>
      </c>
      <c r="Q19" s="709">
        <f t="shared" si="5"/>
        <v>0</v>
      </c>
      <c r="R19" s="1016"/>
      <c r="S19" s="1016"/>
      <c r="T19" s="1016"/>
      <c r="U19" s="1016"/>
      <c r="V19" s="1030">
        <f t="shared" si="0"/>
        <v>0</v>
      </c>
      <c r="W19" s="1031">
        <f t="shared" si="1"/>
        <v>0</v>
      </c>
      <c r="X19" s="1031">
        <f t="shared" si="2"/>
        <v>0</v>
      </c>
      <c r="Y19" s="1331"/>
      <c r="Z19" s="1331"/>
      <c r="AA19" s="1338"/>
      <c r="AB19" s="1331"/>
      <c r="AC19" s="1328"/>
      <c r="AD19" s="1331"/>
      <c r="AE19" s="1331"/>
      <c r="AF19" s="763"/>
      <c r="AG19" s="763"/>
      <c r="AH19" s="763"/>
      <c r="AI19" s="763"/>
      <c r="AJ19" s="763"/>
      <c r="AK19" s="763"/>
      <c r="AL19" s="763"/>
      <c r="AM19" s="763"/>
      <c r="AN19" s="763"/>
      <c r="AO19" s="763"/>
      <c r="AP19" s="763"/>
      <c r="AQ19" s="763"/>
      <c r="AR19" s="763"/>
      <c r="AS19" s="763"/>
      <c r="AT19" s="763"/>
      <c r="AU19" s="763"/>
      <c r="AV19" s="763"/>
      <c r="AW19" s="763"/>
      <c r="AX19" s="763"/>
      <c r="AY19" s="763"/>
      <c r="AZ19" s="763"/>
      <c r="BA19" s="763"/>
      <c r="BB19" s="763"/>
      <c r="BC19" s="763"/>
      <c r="BD19" s="763"/>
      <c r="BE19" s="763"/>
      <c r="BF19" s="763"/>
      <c r="BG19" s="763"/>
      <c r="BH19" s="763"/>
      <c r="BI19" s="763"/>
      <c r="BJ19" s="763"/>
      <c r="BK19" s="763"/>
      <c r="BL19" s="763"/>
      <c r="BM19" s="763"/>
      <c r="BN19" s="763"/>
      <c r="BO19" s="763"/>
      <c r="BP19" s="763"/>
      <c r="BQ19" s="763"/>
      <c r="BR19" s="763"/>
      <c r="BS19" s="763"/>
      <c r="BT19" s="763"/>
      <c r="BU19" s="763"/>
      <c r="BV19" s="763"/>
      <c r="BW19" s="763"/>
      <c r="BX19" s="763"/>
      <c r="BY19" s="763"/>
      <c r="BZ19" s="763"/>
      <c r="CA19" s="763"/>
      <c r="CB19" s="763"/>
      <c r="CC19" s="763"/>
      <c r="CD19" s="763"/>
      <c r="CE19" s="763"/>
      <c r="CF19" s="763"/>
      <c r="CG19" s="763"/>
      <c r="CH19" s="763"/>
      <c r="CI19" s="763"/>
      <c r="CJ19" s="763"/>
      <c r="CK19" s="763"/>
      <c r="CL19" s="763"/>
      <c r="CM19" s="763"/>
      <c r="CN19" s="763"/>
      <c r="CO19" s="763"/>
      <c r="CP19" s="763"/>
      <c r="CQ19" s="763"/>
      <c r="CR19" s="763"/>
      <c r="CS19" s="763"/>
      <c r="CT19" s="763"/>
      <c r="CU19" s="763"/>
      <c r="CV19" s="763"/>
      <c r="CW19" s="763"/>
      <c r="CX19" s="763"/>
      <c r="CY19" s="763"/>
      <c r="CZ19" s="763"/>
      <c r="DA19" s="763"/>
      <c r="DB19" s="763"/>
      <c r="DC19" s="763"/>
      <c r="DD19" s="763"/>
      <c r="DE19" s="763"/>
      <c r="DF19" s="763"/>
      <c r="DG19" s="763"/>
      <c r="DH19" s="763"/>
      <c r="DI19" s="763"/>
      <c r="DJ19" s="763"/>
      <c r="DK19" s="763"/>
      <c r="DL19" s="763"/>
      <c r="DM19" s="763"/>
      <c r="DN19" s="763"/>
      <c r="DO19" s="763"/>
      <c r="DP19" s="763"/>
      <c r="DQ19" s="763"/>
      <c r="DR19" s="763"/>
      <c r="DS19" s="763"/>
      <c r="DT19" s="763"/>
      <c r="DU19" s="763"/>
      <c r="DV19" s="763"/>
      <c r="DW19" s="763"/>
      <c r="DX19" s="763"/>
      <c r="DY19" s="763"/>
      <c r="DZ19" s="763"/>
      <c r="EA19" s="763"/>
      <c r="EB19" s="763"/>
    </row>
    <row r="20" spans="1:134" s="899" customFormat="1" ht="14.1" customHeight="1" x14ac:dyDescent="0.2">
      <c r="A20" s="426"/>
      <c r="B20" s="1320"/>
      <c r="C20" s="451" t="s">
        <v>1191</v>
      </c>
      <c r="D20" s="1333" t="s">
        <v>1192</v>
      </c>
      <c r="E20" s="1334"/>
      <c r="F20" s="701"/>
      <c r="G20" s="702" t="s">
        <v>1193</v>
      </c>
      <c r="H20" s="702"/>
      <c r="I20" s="704"/>
      <c r="J20" s="704"/>
      <c r="K20" s="704"/>
      <c r="L20" s="705"/>
      <c r="M20" s="706">
        <f t="shared" si="6"/>
        <v>0</v>
      </c>
      <c r="N20" s="706">
        <f t="shared" si="3"/>
        <v>0</v>
      </c>
      <c r="O20" s="707">
        <v>4.4999999999999998E-2</v>
      </c>
      <c r="P20" s="708">
        <f t="shared" si="4"/>
        <v>0</v>
      </c>
      <c r="Q20" s="709">
        <f t="shared" si="5"/>
        <v>0</v>
      </c>
      <c r="R20" s="1016"/>
      <c r="S20" s="1016"/>
      <c r="T20" s="1016"/>
      <c r="U20" s="1016"/>
      <c r="V20" s="1030">
        <f t="shared" si="0"/>
        <v>0</v>
      </c>
      <c r="W20" s="1031">
        <f t="shared" si="1"/>
        <v>0</v>
      </c>
      <c r="X20" s="1031">
        <f t="shared" si="2"/>
        <v>0</v>
      </c>
      <c r="Y20" s="1331"/>
      <c r="Z20" s="1331"/>
      <c r="AA20" s="1338"/>
      <c r="AB20" s="1331"/>
      <c r="AC20" s="1328"/>
      <c r="AD20" s="1331"/>
      <c r="AE20" s="1331"/>
      <c r="AF20" s="763"/>
      <c r="AG20" s="763"/>
      <c r="AH20" s="763"/>
      <c r="AI20" s="763"/>
      <c r="AJ20" s="763"/>
      <c r="AK20" s="763"/>
      <c r="AL20" s="763"/>
      <c r="AM20" s="763"/>
      <c r="AN20" s="763"/>
      <c r="AO20" s="763"/>
      <c r="AP20" s="763"/>
      <c r="AQ20" s="763"/>
      <c r="AR20" s="763"/>
      <c r="AS20" s="763"/>
      <c r="AT20" s="763"/>
      <c r="AU20" s="763"/>
      <c r="AV20" s="763"/>
      <c r="AW20" s="763"/>
      <c r="AX20" s="763"/>
      <c r="AY20" s="763"/>
      <c r="AZ20" s="763"/>
      <c r="BA20" s="763"/>
      <c r="BB20" s="763"/>
      <c r="BC20" s="763"/>
      <c r="BD20" s="763"/>
      <c r="BE20" s="763"/>
      <c r="BF20" s="763"/>
      <c r="BG20" s="763"/>
      <c r="BH20" s="763"/>
      <c r="BI20" s="763"/>
      <c r="BJ20" s="763"/>
      <c r="BK20" s="763"/>
      <c r="BL20" s="763"/>
      <c r="BM20" s="763"/>
      <c r="BN20" s="763"/>
      <c r="BO20" s="763"/>
      <c r="BP20" s="763"/>
      <c r="BQ20" s="763"/>
      <c r="BR20" s="763"/>
      <c r="BS20" s="763"/>
      <c r="BT20" s="763"/>
      <c r="BU20" s="763"/>
      <c r="BV20" s="763"/>
      <c r="BW20" s="763"/>
      <c r="BX20" s="763"/>
      <c r="BY20" s="763"/>
      <c r="BZ20" s="763"/>
      <c r="CA20" s="763"/>
      <c r="CB20" s="763"/>
      <c r="CC20" s="763"/>
      <c r="CD20" s="763"/>
      <c r="CE20" s="763"/>
      <c r="CF20" s="763"/>
      <c r="CG20" s="763"/>
      <c r="CH20" s="763"/>
      <c r="CI20" s="763"/>
      <c r="CJ20" s="763"/>
      <c r="CK20" s="763"/>
      <c r="CL20" s="763"/>
      <c r="CM20" s="763"/>
      <c r="CN20" s="763"/>
      <c r="CO20" s="763"/>
      <c r="CP20" s="763"/>
      <c r="CQ20" s="763"/>
      <c r="CR20" s="763"/>
      <c r="CS20" s="763"/>
      <c r="CT20" s="763"/>
      <c r="CU20" s="763"/>
      <c r="CV20" s="763"/>
      <c r="CW20" s="763"/>
      <c r="CX20" s="763"/>
      <c r="CY20" s="763"/>
      <c r="CZ20" s="763"/>
      <c r="DA20" s="763"/>
      <c r="DB20" s="763"/>
      <c r="DC20" s="763"/>
      <c r="DD20" s="763"/>
      <c r="DE20" s="763"/>
      <c r="DF20" s="763"/>
      <c r="DG20" s="763"/>
      <c r="DH20" s="763"/>
      <c r="DI20" s="763"/>
      <c r="DJ20" s="763"/>
      <c r="DK20" s="763"/>
      <c r="DL20" s="763"/>
      <c r="DM20" s="763"/>
      <c r="DN20" s="763"/>
      <c r="DO20" s="763"/>
      <c r="DP20" s="763"/>
      <c r="DQ20" s="763"/>
      <c r="DR20" s="763"/>
      <c r="DS20" s="763"/>
      <c r="DT20" s="763"/>
      <c r="DU20" s="763"/>
      <c r="DV20" s="763"/>
      <c r="DW20" s="763"/>
      <c r="DX20" s="763"/>
      <c r="DY20" s="763"/>
      <c r="DZ20" s="763"/>
      <c r="EA20" s="763"/>
      <c r="EB20" s="763"/>
    </row>
    <row r="21" spans="1:134" s="899" customFormat="1" ht="14.1" customHeight="1" x14ac:dyDescent="0.2">
      <c r="A21" s="426"/>
      <c r="B21" s="1320"/>
      <c r="C21" s="451" t="s">
        <v>1194</v>
      </c>
      <c r="D21" s="1333" t="s">
        <v>1195</v>
      </c>
      <c r="E21" s="1334"/>
      <c r="F21" s="701"/>
      <c r="G21" s="702" t="s">
        <v>1196</v>
      </c>
      <c r="H21" s="702"/>
      <c r="I21" s="704"/>
      <c r="J21" s="704"/>
      <c r="K21" s="704"/>
      <c r="L21" s="705"/>
      <c r="M21" s="706">
        <f t="shared" si="6"/>
        <v>0</v>
      </c>
      <c r="N21" s="706">
        <f t="shared" si="3"/>
        <v>0</v>
      </c>
      <c r="O21" s="707">
        <v>5.2499999999999998E-2</v>
      </c>
      <c r="P21" s="708">
        <f t="shared" si="4"/>
        <v>0</v>
      </c>
      <c r="Q21" s="709">
        <f t="shared" si="5"/>
        <v>0</v>
      </c>
      <c r="R21" s="1016"/>
      <c r="S21" s="1016"/>
      <c r="T21" s="1016"/>
      <c r="U21" s="1016"/>
      <c r="V21" s="1030">
        <f t="shared" si="0"/>
        <v>0</v>
      </c>
      <c r="W21" s="1031">
        <f t="shared" si="1"/>
        <v>0</v>
      </c>
      <c r="X21" s="1031">
        <f t="shared" si="2"/>
        <v>0</v>
      </c>
      <c r="Y21" s="1331"/>
      <c r="Z21" s="1331"/>
      <c r="AA21" s="1338"/>
      <c r="AB21" s="1331"/>
      <c r="AC21" s="1328"/>
      <c r="AD21" s="1331"/>
      <c r="AE21" s="1331"/>
      <c r="AF21" s="763"/>
      <c r="AG21" s="763"/>
      <c r="AH21" s="763"/>
      <c r="AI21" s="763"/>
      <c r="AJ21" s="763"/>
      <c r="AK21" s="763"/>
      <c r="AL21" s="763"/>
      <c r="AM21" s="763"/>
      <c r="AN21" s="763"/>
      <c r="AO21" s="763"/>
      <c r="AP21" s="763"/>
      <c r="AQ21" s="763"/>
      <c r="AR21" s="763"/>
      <c r="AS21" s="763"/>
      <c r="AT21" s="763"/>
      <c r="AU21" s="763"/>
      <c r="AV21" s="763"/>
      <c r="AW21" s="763"/>
      <c r="AX21" s="763"/>
      <c r="AY21" s="763"/>
      <c r="AZ21" s="763"/>
      <c r="BA21" s="763"/>
      <c r="BB21" s="763"/>
      <c r="BC21" s="763"/>
      <c r="BD21" s="763"/>
      <c r="BE21" s="763"/>
      <c r="BF21" s="763"/>
      <c r="BG21" s="763"/>
      <c r="BH21" s="763"/>
      <c r="BI21" s="763"/>
      <c r="BJ21" s="763"/>
      <c r="BK21" s="763"/>
      <c r="BL21" s="763"/>
      <c r="BM21" s="763"/>
      <c r="BN21" s="763"/>
      <c r="BO21" s="763"/>
      <c r="BP21" s="763"/>
      <c r="BQ21" s="763"/>
      <c r="BR21" s="763"/>
      <c r="BS21" s="763"/>
      <c r="BT21" s="763"/>
      <c r="BU21" s="763"/>
      <c r="BV21" s="763"/>
      <c r="BW21" s="763"/>
      <c r="BX21" s="763"/>
      <c r="BY21" s="763"/>
      <c r="BZ21" s="763"/>
      <c r="CA21" s="763"/>
      <c r="CB21" s="763"/>
      <c r="CC21" s="763"/>
      <c r="CD21" s="763"/>
      <c r="CE21" s="763"/>
      <c r="CF21" s="763"/>
      <c r="CG21" s="763"/>
      <c r="CH21" s="763"/>
      <c r="CI21" s="763"/>
      <c r="CJ21" s="763"/>
      <c r="CK21" s="763"/>
      <c r="CL21" s="763"/>
      <c r="CM21" s="763"/>
      <c r="CN21" s="763"/>
      <c r="CO21" s="763"/>
      <c r="CP21" s="763"/>
      <c r="CQ21" s="763"/>
      <c r="CR21" s="763"/>
      <c r="CS21" s="763"/>
      <c r="CT21" s="763"/>
      <c r="CU21" s="763"/>
      <c r="CV21" s="763"/>
      <c r="CW21" s="763"/>
      <c r="CX21" s="763"/>
      <c r="CY21" s="763"/>
      <c r="CZ21" s="763"/>
      <c r="DA21" s="763"/>
      <c r="DB21" s="763"/>
      <c r="DC21" s="763"/>
      <c r="DD21" s="763"/>
      <c r="DE21" s="763"/>
      <c r="DF21" s="763"/>
      <c r="DG21" s="763"/>
      <c r="DH21" s="763"/>
      <c r="DI21" s="763"/>
      <c r="DJ21" s="763"/>
      <c r="DK21" s="763"/>
      <c r="DL21" s="763"/>
      <c r="DM21" s="763"/>
      <c r="DN21" s="763"/>
      <c r="DO21" s="763"/>
      <c r="DP21" s="763"/>
      <c r="DQ21" s="763"/>
      <c r="DR21" s="763"/>
      <c r="DS21" s="763"/>
      <c r="DT21" s="763"/>
      <c r="DU21" s="763"/>
      <c r="DV21" s="763"/>
      <c r="DW21" s="763"/>
      <c r="DX21" s="763"/>
      <c r="DY21" s="763"/>
      <c r="DZ21" s="763"/>
      <c r="EA21" s="763"/>
      <c r="EB21" s="763"/>
    </row>
    <row r="22" spans="1:134" s="899" customFormat="1" ht="14.1" customHeight="1" x14ac:dyDescent="0.2">
      <c r="A22" s="426"/>
      <c r="B22" s="1320"/>
      <c r="C22" s="451" t="s">
        <v>1197</v>
      </c>
      <c r="D22" s="1333" t="s">
        <v>1198</v>
      </c>
      <c r="E22" s="1334"/>
      <c r="F22" s="701"/>
      <c r="G22" s="702" t="s">
        <v>1199</v>
      </c>
      <c r="H22" s="702"/>
      <c r="I22" s="704"/>
      <c r="J22" s="704"/>
      <c r="K22" s="704"/>
      <c r="L22" s="705"/>
      <c r="M22" s="706">
        <f t="shared" si="6"/>
        <v>0</v>
      </c>
      <c r="N22" s="706">
        <f t="shared" si="3"/>
        <v>0</v>
      </c>
      <c r="O22" s="707">
        <v>0.06</v>
      </c>
      <c r="P22" s="708">
        <f t="shared" si="4"/>
        <v>0</v>
      </c>
      <c r="Q22" s="709">
        <f t="shared" si="5"/>
        <v>0</v>
      </c>
      <c r="R22" s="1016"/>
      <c r="S22" s="1016"/>
      <c r="T22" s="1016"/>
      <c r="U22" s="1016"/>
      <c r="V22" s="1030">
        <f t="shared" si="0"/>
        <v>0</v>
      </c>
      <c r="W22" s="1032">
        <f t="shared" si="1"/>
        <v>0</v>
      </c>
      <c r="X22" s="1031">
        <f t="shared" si="2"/>
        <v>0</v>
      </c>
      <c r="Y22" s="1331"/>
      <c r="Z22" s="1331"/>
      <c r="AA22" s="1338"/>
      <c r="AB22" s="1331"/>
      <c r="AC22" s="1328"/>
      <c r="AD22" s="1331"/>
      <c r="AE22" s="1331"/>
      <c r="AF22" s="763"/>
      <c r="AG22" s="763"/>
      <c r="AH22" s="763"/>
      <c r="AI22" s="763"/>
      <c r="AJ22" s="763"/>
      <c r="AK22" s="763"/>
      <c r="AL22" s="763"/>
      <c r="AM22" s="763"/>
      <c r="AN22" s="763"/>
      <c r="AO22" s="763"/>
      <c r="AP22" s="763"/>
      <c r="AQ22" s="763"/>
      <c r="AR22" s="763"/>
      <c r="AS22" s="763"/>
      <c r="AT22" s="763"/>
      <c r="AU22" s="763"/>
      <c r="AV22" s="763"/>
      <c r="AW22" s="763"/>
      <c r="AX22" s="763"/>
      <c r="AY22" s="763"/>
      <c r="AZ22" s="763"/>
      <c r="BA22" s="763"/>
      <c r="BB22" s="763"/>
      <c r="BC22" s="763"/>
      <c r="BD22" s="763"/>
      <c r="BE22" s="763"/>
      <c r="BF22" s="763"/>
      <c r="BG22" s="763"/>
      <c r="BH22" s="763"/>
      <c r="BI22" s="763"/>
      <c r="BJ22" s="763"/>
      <c r="BK22" s="763"/>
      <c r="BL22" s="763"/>
      <c r="BM22" s="763"/>
      <c r="BN22" s="763"/>
      <c r="BO22" s="763"/>
      <c r="BP22" s="763"/>
      <c r="BQ22" s="763"/>
      <c r="BR22" s="763"/>
      <c r="BS22" s="763"/>
      <c r="BT22" s="763"/>
      <c r="BU22" s="763"/>
      <c r="BV22" s="763"/>
      <c r="BW22" s="763"/>
      <c r="BX22" s="763"/>
      <c r="BY22" s="763"/>
      <c r="BZ22" s="763"/>
      <c r="CA22" s="763"/>
      <c r="CB22" s="763"/>
      <c r="CC22" s="763"/>
      <c r="CD22" s="763"/>
      <c r="CE22" s="763"/>
      <c r="CF22" s="763"/>
      <c r="CG22" s="763"/>
      <c r="CH22" s="763"/>
      <c r="CI22" s="763"/>
      <c r="CJ22" s="763"/>
      <c r="CK22" s="763"/>
      <c r="CL22" s="763"/>
      <c r="CM22" s="763"/>
      <c r="CN22" s="763"/>
      <c r="CO22" s="763"/>
      <c r="CP22" s="763"/>
      <c r="CQ22" s="763"/>
      <c r="CR22" s="763"/>
      <c r="CS22" s="763"/>
      <c r="CT22" s="763"/>
      <c r="CU22" s="763"/>
      <c r="CV22" s="763"/>
      <c r="CW22" s="763"/>
      <c r="CX22" s="763"/>
      <c r="CY22" s="763"/>
      <c r="CZ22" s="763"/>
      <c r="DA22" s="763"/>
      <c r="DB22" s="763"/>
      <c r="DC22" s="763"/>
      <c r="DD22" s="763"/>
      <c r="DE22" s="763"/>
      <c r="DF22" s="763"/>
      <c r="DG22" s="763"/>
      <c r="DH22" s="763"/>
      <c r="DI22" s="763"/>
      <c r="DJ22" s="763"/>
      <c r="DK22" s="763"/>
      <c r="DL22" s="763"/>
      <c r="DM22" s="763"/>
      <c r="DN22" s="763"/>
      <c r="DO22" s="763"/>
      <c r="DP22" s="763"/>
      <c r="DQ22" s="763"/>
      <c r="DR22" s="763"/>
      <c r="DS22" s="763"/>
      <c r="DT22" s="763"/>
      <c r="DU22" s="763"/>
      <c r="DV22" s="763"/>
      <c r="DW22" s="763"/>
      <c r="DX22" s="763"/>
      <c r="DY22" s="763"/>
      <c r="DZ22" s="763"/>
      <c r="EA22" s="763"/>
      <c r="EB22" s="763"/>
    </row>
    <row r="23" spans="1:134" s="899" customFormat="1" ht="14.1" customHeight="1" x14ac:dyDescent="0.2">
      <c r="A23" s="426"/>
      <c r="B23" s="1320"/>
      <c r="C23" s="451"/>
      <c r="D23" s="1333" t="s">
        <v>1200</v>
      </c>
      <c r="E23" s="1334"/>
      <c r="F23" s="701"/>
      <c r="G23" s="702" t="s">
        <v>1201</v>
      </c>
      <c r="H23" s="702"/>
      <c r="I23" s="704"/>
      <c r="J23" s="704"/>
      <c r="K23" s="704"/>
      <c r="L23" s="705"/>
      <c r="M23" s="706">
        <f t="shared" si="6"/>
        <v>0</v>
      </c>
      <c r="N23" s="706">
        <f t="shared" si="3"/>
        <v>0</v>
      </c>
      <c r="O23" s="707">
        <v>0.08</v>
      </c>
      <c r="P23" s="708">
        <f t="shared" si="4"/>
        <v>0</v>
      </c>
      <c r="Q23" s="709">
        <f t="shared" si="5"/>
        <v>0</v>
      </c>
      <c r="R23" s="1016"/>
      <c r="S23" s="1016"/>
      <c r="T23" s="1016"/>
      <c r="U23" s="1016"/>
      <c r="V23" s="1030">
        <f t="shared" si="0"/>
        <v>0</v>
      </c>
      <c r="W23" s="1031">
        <f t="shared" si="1"/>
        <v>0</v>
      </c>
      <c r="X23" s="1031">
        <f t="shared" si="2"/>
        <v>0</v>
      </c>
      <c r="Y23" s="1331"/>
      <c r="Z23" s="1331"/>
      <c r="AA23" s="1338"/>
      <c r="AB23" s="1331"/>
      <c r="AC23" s="1328"/>
      <c r="AD23" s="1331"/>
      <c r="AE23" s="1331"/>
      <c r="AF23" s="763"/>
      <c r="AG23" s="763"/>
      <c r="AH23" s="763"/>
      <c r="AI23" s="763"/>
      <c r="AJ23" s="763"/>
      <c r="AK23" s="763"/>
      <c r="AL23" s="763"/>
      <c r="AM23" s="763"/>
      <c r="AN23" s="763"/>
      <c r="AO23" s="763"/>
      <c r="AP23" s="763"/>
      <c r="AQ23" s="763"/>
      <c r="AR23" s="763"/>
      <c r="AS23" s="763"/>
      <c r="AT23" s="763"/>
      <c r="AU23" s="763"/>
      <c r="AV23" s="763"/>
      <c r="AW23" s="763"/>
      <c r="AX23" s="763"/>
      <c r="AY23" s="763"/>
      <c r="AZ23" s="763"/>
      <c r="BA23" s="763"/>
      <c r="BB23" s="763"/>
      <c r="BC23" s="763"/>
      <c r="BD23" s="763"/>
      <c r="BE23" s="763"/>
      <c r="BF23" s="763"/>
      <c r="BG23" s="763"/>
      <c r="BH23" s="763"/>
      <c r="BI23" s="763"/>
      <c r="BJ23" s="763"/>
      <c r="BK23" s="763"/>
      <c r="BL23" s="763"/>
      <c r="BM23" s="763"/>
      <c r="BN23" s="763"/>
      <c r="BO23" s="763"/>
      <c r="BP23" s="763"/>
      <c r="BQ23" s="763"/>
      <c r="BR23" s="763"/>
      <c r="BS23" s="763"/>
      <c r="BT23" s="763"/>
      <c r="BU23" s="763"/>
      <c r="BV23" s="763"/>
      <c r="BW23" s="763"/>
      <c r="BX23" s="763"/>
      <c r="BY23" s="763"/>
      <c r="BZ23" s="763"/>
      <c r="CA23" s="763"/>
      <c r="CB23" s="763"/>
      <c r="CC23" s="763"/>
      <c r="CD23" s="763"/>
      <c r="CE23" s="763"/>
      <c r="CF23" s="763"/>
      <c r="CG23" s="763"/>
      <c r="CH23" s="763"/>
      <c r="CI23" s="763"/>
      <c r="CJ23" s="763"/>
      <c r="CK23" s="763"/>
      <c r="CL23" s="763"/>
      <c r="CM23" s="763"/>
      <c r="CN23" s="763"/>
      <c r="CO23" s="763"/>
      <c r="CP23" s="763"/>
      <c r="CQ23" s="763"/>
      <c r="CR23" s="763"/>
      <c r="CS23" s="763"/>
      <c r="CT23" s="763"/>
      <c r="CU23" s="763"/>
      <c r="CV23" s="763"/>
      <c r="CW23" s="763"/>
      <c r="CX23" s="763"/>
      <c r="CY23" s="763"/>
      <c r="CZ23" s="763"/>
      <c r="DA23" s="763"/>
      <c r="DB23" s="763"/>
      <c r="DC23" s="763"/>
      <c r="DD23" s="763"/>
      <c r="DE23" s="763"/>
      <c r="DF23" s="763"/>
      <c r="DG23" s="763"/>
      <c r="DH23" s="763"/>
      <c r="DI23" s="763"/>
      <c r="DJ23" s="763"/>
      <c r="DK23" s="763"/>
      <c r="DL23" s="763"/>
      <c r="DM23" s="763"/>
      <c r="DN23" s="763"/>
      <c r="DO23" s="763"/>
      <c r="DP23" s="763"/>
      <c r="DQ23" s="763"/>
      <c r="DR23" s="763"/>
      <c r="DS23" s="763"/>
      <c r="DT23" s="763"/>
      <c r="DU23" s="763"/>
      <c r="DV23" s="763"/>
      <c r="DW23" s="763"/>
      <c r="DX23" s="763"/>
      <c r="DY23" s="763"/>
      <c r="DZ23" s="763"/>
      <c r="EA23" s="763"/>
      <c r="EB23" s="763"/>
    </row>
    <row r="24" spans="1:134" s="899" customFormat="1" ht="14.1" customHeight="1" thickBot="1" x14ac:dyDescent="0.25">
      <c r="A24" s="426"/>
      <c r="B24" s="1326"/>
      <c r="C24" s="728"/>
      <c r="D24" s="1372" t="s">
        <v>1197</v>
      </c>
      <c r="E24" s="1373"/>
      <c r="F24" s="768"/>
      <c r="G24" s="714" t="s">
        <v>1202</v>
      </c>
      <c r="H24" s="714"/>
      <c r="I24" s="729"/>
      <c r="J24" s="729"/>
      <c r="K24" s="729"/>
      <c r="L24" s="730"/>
      <c r="M24" s="715">
        <f t="shared" si="6"/>
        <v>0</v>
      </c>
      <c r="N24" s="715">
        <f t="shared" si="3"/>
        <v>0</v>
      </c>
      <c r="O24" s="731">
        <v>0.125</v>
      </c>
      <c r="P24" s="716">
        <f t="shared" si="4"/>
        <v>0</v>
      </c>
      <c r="Q24" s="717">
        <f t="shared" si="5"/>
        <v>0</v>
      </c>
      <c r="R24" s="1016"/>
      <c r="S24" s="1016"/>
      <c r="T24" s="1016"/>
      <c r="U24" s="1016"/>
      <c r="V24" s="1030">
        <f t="shared" si="0"/>
        <v>0</v>
      </c>
      <c r="W24" s="1031">
        <f t="shared" si="1"/>
        <v>0</v>
      </c>
      <c r="X24" s="1031">
        <f>IF(Q24&gt;P24,Q24-P24,0)</f>
        <v>0</v>
      </c>
      <c r="Y24" s="1332"/>
      <c r="Z24" s="1332"/>
      <c r="AA24" s="1339"/>
      <c r="AB24" s="1332"/>
      <c r="AC24" s="1329"/>
      <c r="AD24" s="1332"/>
      <c r="AE24" s="1332"/>
      <c r="AF24" s="763"/>
      <c r="AG24" s="763"/>
      <c r="AH24" s="763"/>
      <c r="AI24" s="763"/>
      <c r="AJ24" s="763"/>
      <c r="AK24" s="763"/>
      <c r="AL24" s="763"/>
      <c r="AM24" s="763"/>
      <c r="AN24" s="763"/>
      <c r="AO24" s="763"/>
      <c r="AP24" s="763"/>
      <c r="AQ24" s="763"/>
      <c r="AR24" s="763"/>
      <c r="AS24" s="763"/>
      <c r="AT24" s="763"/>
      <c r="AU24" s="763"/>
      <c r="AV24" s="763"/>
      <c r="AW24" s="763"/>
      <c r="AX24" s="763"/>
      <c r="AY24" s="763"/>
      <c r="AZ24" s="763"/>
      <c r="BA24" s="763"/>
      <c r="BB24" s="763"/>
      <c r="BC24" s="763"/>
      <c r="BD24" s="763"/>
      <c r="BE24" s="763"/>
      <c r="BF24" s="763"/>
      <c r="BG24" s="763"/>
      <c r="BH24" s="763"/>
      <c r="BI24" s="763"/>
      <c r="BJ24" s="763"/>
      <c r="BK24" s="763"/>
      <c r="BL24" s="763"/>
      <c r="BM24" s="763"/>
      <c r="BN24" s="763"/>
      <c r="BO24" s="763"/>
      <c r="BP24" s="763"/>
      <c r="BQ24" s="763"/>
      <c r="BR24" s="763"/>
      <c r="BS24" s="763"/>
      <c r="BT24" s="763"/>
      <c r="BU24" s="763"/>
      <c r="BV24" s="763"/>
      <c r="BW24" s="763"/>
      <c r="BX24" s="763"/>
      <c r="BY24" s="763"/>
      <c r="BZ24" s="763"/>
      <c r="CA24" s="763"/>
      <c r="CB24" s="763"/>
      <c r="CC24" s="763"/>
      <c r="CD24" s="763"/>
      <c r="CE24" s="763"/>
      <c r="CF24" s="763"/>
      <c r="CG24" s="763"/>
      <c r="CH24" s="763"/>
      <c r="CI24" s="763"/>
      <c r="CJ24" s="763"/>
      <c r="CK24" s="763"/>
      <c r="CL24" s="763"/>
      <c r="CM24" s="763"/>
      <c r="CN24" s="763"/>
      <c r="CO24" s="763"/>
      <c r="CP24" s="763"/>
      <c r="CQ24" s="763"/>
      <c r="CR24" s="763"/>
      <c r="CS24" s="763"/>
      <c r="CT24" s="763"/>
      <c r="CU24" s="763"/>
      <c r="CV24" s="763"/>
      <c r="CW24" s="763"/>
      <c r="CX24" s="763"/>
      <c r="CY24" s="763"/>
      <c r="CZ24" s="763"/>
      <c r="DA24" s="763"/>
      <c r="DB24" s="763"/>
      <c r="DC24" s="763"/>
      <c r="DD24" s="763"/>
      <c r="DE24" s="763"/>
      <c r="DF24" s="763"/>
      <c r="DG24" s="763"/>
      <c r="DH24" s="763"/>
      <c r="DI24" s="763"/>
      <c r="DJ24" s="763"/>
      <c r="DK24" s="763"/>
      <c r="DL24" s="763"/>
      <c r="DM24" s="763"/>
      <c r="DN24" s="763"/>
      <c r="DO24" s="763"/>
      <c r="DP24" s="763"/>
      <c r="DQ24" s="763"/>
      <c r="DR24" s="763"/>
      <c r="DS24" s="763"/>
      <c r="DT24" s="763"/>
      <c r="DU24" s="763"/>
      <c r="DV24" s="763"/>
      <c r="DW24" s="763"/>
      <c r="DX24" s="763"/>
      <c r="DY24" s="763"/>
      <c r="DZ24" s="763"/>
      <c r="EA24" s="763"/>
      <c r="EB24" s="763"/>
    </row>
    <row r="25" spans="1:134" s="905" customFormat="1" x14ac:dyDescent="0.2">
      <c r="A25" s="350"/>
      <c r="B25" s="732"/>
      <c r="C25" s="1345" t="s">
        <v>1411</v>
      </c>
      <c r="D25" s="1345"/>
      <c r="E25" s="1346"/>
      <c r="F25" s="775"/>
      <c r="G25" s="735" t="s">
        <v>1203</v>
      </c>
      <c r="H25" s="735"/>
      <c r="I25" s="736">
        <f t="shared" ref="I25:N25" si="7">SUM(I10:I24)</f>
        <v>0</v>
      </c>
      <c r="J25" s="736">
        <f t="shared" si="7"/>
        <v>0</v>
      </c>
      <c r="K25" s="736">
        <f t="shared" si="7"/>
        <v>0</v>
      </c>
      <c r="L25" s="736">
        <f t="shared" si="7"/>
        <v>0</v>
      </c>
      <c r="M25" s="736">
        <f t="shared" si="7"/>
        <v>0</v>
      </c>
      <c r="N25" s="736">
        <f t="shared" si="7"/>
        <v>0</v>
      </c>
      <c r="O25" s="737"/>
      <c r="P25" s="719">
        <f>SUM(P10:P24)</f>
        <v>0</v>
      </c>
      <c r="Q25" s="720">
        <f>SUM(Q10:Q24)</f>
        <v>0</v>
      </c>
      <c r="R25" s="1016"/>
      <c r="S25" s="1016"/>
      <c r="T25" s="1016"/>
      <c r="U25" s="1016"/>
      <c r="V25" s="1033"/>
      <c r="W25" s="904"/>
      <c r="X25" s="904"/>
      <c r="Y25" s="904"/>
      <c r="Z25" s="904"/>
      <c r="AA25" s="904"/>
      <c r="AB25" s="904"/>
      <c r="AC25" s="904"/>
      <c r="AD25" s="904"/>
      <c r="AE25" s="904"/>
      <c r="AF25" s="904"/>
      <c r="AG25" s="904"/>
      <c r="AH25" s="904"/>
      <c r="AI25" s="904"/>
      <c r="AJ25" s="904"/>
      <c r="AK25" s="904"/>
      <c r="AL25" s="904"/>
      <c r="AM25" s="904"/>
      <c r="AN25" s="904"/>
      <c r="AO25" s="904"/>
      <c r="AP25" s="904"/>
      <c r="AQ25" s="904"/>
      <c r="AR25" s="904"/>
      <c r="AS25" s="904"/>
      <c r="AT25" s="904"/>
      <c r="AU25" s="904"/>
      <c r="AV25" s="904"/>
      <c r="AW25" s="904"/>
      <c r="AX25" s="904"/>
      <c r="AY25" s="904"/>
      <c r="AZ25" s="904"/>
      <c r="BA25" s="904"/>
      <c r="BB25" s="904"/>
      <c r="BC25" s="904"/>
      <c r="BD25" s="904"/>
      <c r="BE25" s="904"/>
      <c r="BF25" s="904"/>
      <c r="BG25" s="904"/>
      <c r="BH25" s="904"/>
      <c r="BI25" s="904"/>
      <c r="BJ25" s="904"/>
      <c r="BK25" s="904"/>
      <c r="BL25" s="904"/>
      <c r="BM25" s="904"/>
      <c r="BN25" s="904"/>
      <c r="BO25" s="904"/>
      <c r="BP25" s="904"/>
      <c r="BQ25" s="904"/>
      <c r="BR25" s="904"/>
      <c r="BS25" s="904"/>
      <c r="BT25" s="904"/>
      <c r="BU25" s="904"/>
      <c r="BV25" s="904"/>
      <c r="BW25" s="904"/>
      <c r="BX25" s="904"/>
      <c r="BY25" s="904"/>
      <c r="BZ25" s="904"/>
      <c r="CA25" s="904"/>
      <c r="CB25" s="904"/>
      <c r="CC25" s="904"/>
      <c r="CD25" s="904"/>
      <c r="CE25" s="904"/>
      <c r="CF25" s="904"/>
      <c r="CG25" s="904"/>
      <c r="CH25" s="904"/>
      <c r="CI25" s="904"/>
      <c r="CJ25" s="904"/>
      <c r="CK25" s="904"/>
      <c r="CL25" s="904"/>
      <c r="CM25" s="904"/>
      <c r="CN25" s="904"/>
      <c r="CO25" s="904"/>
      <c r="CP25" s="904"/>
      <c r="CQ25" s="904"/>
      <c r="CR25" s="904"/>
      <c r="CS25" s="904"/>
      <c r="CT25" s="904"/>
      <c r="CU25" s="904"/>
      <c r="CV25" s="904"/>
      <c r="CW25" s="904"/>
      <c r="CX25" s="904"/>
      <c r="CY25" s="904"/>
      <c r="CZ25" s="904"/>
      <c r="DA25" s="904"/>
      <c r="DB25" s="904"/>
      <c r="DC25" s="904"/>
      <c r="DD25" s="904"/>
      <c r="DE25" s="904"/>
      <c r="DF25" s="904"/>
      <c r="DG25" s="904"/>
      <c r="DH25" s="904"/>
      <c r="DI25" s="904"/>
      <c r="DJ25" s="904"/>
      <c r="DK25" s="904"/>
      <c r="DL25" s="904"/>
      <c r="DM25" s="904"/>
      <c r="DN25" s="904"/>
      <c r="DO25" s="904"/>
      <c r="DP25" s="904"/>
      <c r="DQ25" s="904"/>
      <c r="DR25" s="904"/>
      <c r="DS25" s="904"/>
      <c r="DT25" s="904"/>
      <c r="DU25" s="904"/>
      <c r="DV25" s="904"/>
      <c r="DW25" s="904"/>
      <c r="DX25" s="904"/>
      <c r="DY25" s="904"/>
      <c r="DZ25" s="904"/>
      <c r="EA25" s="904"/>
      <c r="EB25" s="904"/>
    </row>
    <row r="26" spans="1:134" s="899" customFormat="1" ht="14.1" customHeight="1" x14ac:dyDescent="0.2">
      <c r="A26" s="426"/>
      <c r="B26" s="738"/>
      <c r="C26" s="1348" t="s">
        <v>1204</v>
      </c>
      <c r="D26" s="1348"/>
      <c r="E26" s="740"/>
      <c r="F26" s="739"/>
      <c r="G26" s="742" t="s">
        <v>1205</v>
      </c>
      <c r="H26" s="742"/>
      <c r="I26" s="769"/>
      <c r="J26" s="743"/>
      <c r="K26" s="743"/>
      <c r="L26" s="743"/>
      <c r="M26" s="743"/>
      <c r="N26" s="743"/>
      <c r="O26" s="744"/>
      <c r="P26" s="1350">
        <f>IF(P25&gt;Q25,P25-Q25,Q25-P25)</f>
        <v>0</v>
      </c>
      <c r="Q26" s="1351"/>
      <c r="R26" s="1034"/>
      <c r="S26" s="1034"/>
      <c r="T26" s="1034"/>
      <c r="U26" s="1034"/>
      <c r="V26" s="1035"/>
      <c r="W26" s="763"/>
      <c r="X26" s="763"/>
      <c r="Y26" s="763"/>
      <c r="Z26" s="763"/>
      <c r="AA26" s="763"/>
      <c r="AB26" s="763"/>
      <c r="AC26" s="763"/>
      <c r="AD26" s="763"/>
      <c r="AE26" s="763"/>
      <c r="AF26" s="763"/>
      <c r="AG26" s="763"/>
      <c r="AH26" s="763"/>
      <c r="AI26" s="763"/>
      <c r="AJ26" s="763"/>
      <c r="AK26" s="763"/>
      <c r="AL26" s="763"/>
      <c r="AM26" s="763"/>
      <c r="AN26" s="763"/>
      <c r="AO26" s="763"/>
      <c r="AP26" s="763"/>
      <c r="AQ26" s="763"/>
      <c r="AR26" s="763"/>
      <c r="AS26" s="763"/>
      <c r="AT26" s="763"/>
      <c r="AU26" s="763"/>
      <c r="AV26" s="763"/>
      <c r="AW26" s="763"/>
      <c r="AX26" s="763"/>
      <c r="AY26" s="763"/>
      <c r="AZ26" s="763"/>
      <c r="BA26" s="763"/>
      <c r="BB26" s="763"/>
      <c r="BC26" s="763"/>
      <c r="BD26" s="763"/>
      <c r="BE26" s="763"/>
      <c r="BF26" s="763"/>
      <c r="BG26" s="763"/>
      <c r="BH26" s="763"/>
      <c r="BI26" s="763"/>
      <c r="BJ26" s="763"/>
      <c r="BK26" s="763"/>
      <c r="BL26" s="763"/>
      <c r="BM26" s="763"/>
      <c r="BN26" s="763"/>
      <c r="BO26" s="763"/>
      <c r="BP26" s="763"/>
      <c r="BQ26" s="763"/>
      <c r="BR26" s="763"/>
      <c r="BS26" s="763"/>
      <c r="BT26" s="763"/>
      <c r="BU26" s="763"/>
      <c r="BV26" s="763"/>
      <c r="BW26" s="763"/>
      <c r="BX26" s="763"/>
      <c r="BY26" s="763"/>
      <c r="BZ26" s="763"/>
      <c r="CA26" s="763"/>
      <c r="CB26" s="763"/>
      <c r="CC26" s="763"/>
      <c r="CD26" s="763"/>
      <c r="CE26" s="763"/>
      <c r="CF26" s="763"/>
      <c r="CG26" s="763"/>
      <c r="CH26" s="763"/>
      <c r="CI26" s="763"/>
      <c r="CJ26" s="763"/>
      <c r="CK26" s="763"/>
      <c r="CL26" s="763"/>
      <c r="CM26" s="763"/>
      <c r="CN26" s="763"/>
      <c r="CO26" s="763"/>
      <c r="CP26" s="763"/>
      <c r="CQ26" s="763"/>
      <c r="CR26" s="763"/>
      <c r="CS26" s="763"/>
      <c r="CT26" s="763"/>
      <c r="CU26" s="763"/>
      <c r="CV26" s="763"/>
      <c r="CW26" s="763"/>
      <c r="CX26" s="763"/>
      <c r="CY26" s="763"/>
      <c r="CZ26" s="763"/>
      <c r="DA26" s="763"/>
      <c r="DB26" s="763"/>
      <c r="DC26" s="763"/>
      <c r="DD26" s="763"/>
      <c r="DE26" s="763"/>
      <c r="DF26" s="763"/>
      <c r="DG26" s="763"/>
      <c r="DH26" s="763"/>
      <c r="DI26" s="763"/>
      <c r="DJ26" s="763"/>
      <c r="DK26" s="763"/>
      <c r="DL26" s="763"/>
      <c r="DM26" s="763"/>
      <c r="DN26" s="763"/>
      <c r="DO26" s="763"/>
      <c r="DP26" s="763"/>
      <c r="DQ26" s="763"/>
      <c r="DR26" s="763"/>
      <c r="DS26" s="763"/>
      <c r="DT26" s="763"/>
      <c r="DU26" s="763"/>
      <c r="DV26" s="763"/>
      <c r="DW26" s="763"/>
      <c r="DX26" s="763"/>
      <c r="DY26" s="763"/>
      <c r="DZ26" s="763"/>
      <c r="EA26" s="763"/>
      <c r="EB26" s="763"/>
      <c r="EC26" s="763"/>
    </row>
    <row r="27" spans="1:134" s="899" customFormat="1" ht="14.1" customHeight="1" x14ac:dyDescent="0.2">
      <c r="A27" s="426"/>
      <c r="B27" s="745"/>
      <c r="C27" s="746"/>
      <c r="D27" s="746"/>
      <c r="E27" s="770"/>
      <c r="F27" s="746"/>
      <c r="G27" s="747"/>
      <c r="H27" s="747"/>
      <c r="I27" s="748"/>
      <c r="J27" s="748"/>
      <c r="K27" s="748"/>
      <c r="L27" s="748"/>
      <c r="M27" s="748"/>
      <c r="N27" s="748"/>
      <c r="O27" s="749"/>
      <c r="P27" s="750"/>
      <c r="Q27" s="751"/>
      <c r="R27" s="1034"/>
      <c r="S27" s="1034"/>
      <c r="T27" s="1034"/>
      <c r="U27" s="1034"/>
      <c r="V27" s="1035"/>
      <c r="W27" s="763"/>
      <c r="X27" s="763"/>
      <c r="Y27" s="763"/>
      <c r="Z27" s="763"/>
      <c r="AA27" s="763"/>
      <c r="AB27" s="763"/>
      <c r="AC27" s="763"/>
      <c r="AD27" s="763"/>
      <c r="AE27" s="763"/>
      <c r="AF27" s="763"/>
      <c r="AG27" s="763"/>
      <c r="AH27" s="763"/>
      <c r="AI27" s="763"/>
      <c r="AJ27" s="763"/>
      <c r="AK27" s="763"/>
      <c r="AL27" s="763"/>
      <c r="AM27" s="763"/>
      <c r="AN27" s="763"/>
      <c r="AO27" s="763"/>
      <c r="AP27" s="763"/>
      <c r="AQ27" s="763"/>
      <c r="AR27" s="763"/>
      <c r="AS27" s="763"/>
      <c r="AT27" s="763"/>
      <c r="AU27" s="763"/>
      <c r="AV27" s="763"/>
      <c r="AW27" s="763"/>
      <c r="AX27" s="763"/>
      <c r="AY27" s="763"/>
      <c r="AZ27" s="763"/>
      <c r="BA27" s="763"/>
      <c r="BB27" s="763"/>
      <c r="BC27" s="763"/>
      <c r="BD27" s="763"/>
      <c r="BE27" s="763"/>
      <c r="BF27" s="763"/>
      <c r="BG27" s="763"/>
      <c r="BH27" s="763"/>
      <c r="BI27" s="763"/>
      <c r="BJ27" s="763"/>
      <c r="BK27" s="763"/>
      <c r="BL27" s="763"/>
      <c r="BM27" s="763"/>
      <c r="BN27" s="763"/>
      <c r="BO27" s="763"/>
      <c r="BP27" s="763"/>
      <c r="BQ27" s="763"/>
      <c r="BR27" s="763"/>
      <c r="BS27" s="763"/>
      <c r="BT27" s="763"/>
      <c r="BU27" s="763"/>
      <c r="BV27" s="763"/>
      <c r="BW27" s="763"/>
      <c r="BX27" s="763"/>
      <c r="BY27" s="763"/>
      <c r="BZ27" s="763"/>
      <c r="CA27" s="763"/>
      <c r="CB27" s="763"/>
      <c r="CC27" s="763"/>
      <c r="CD27" s="763"/>
      <c r="CE27" s="763"/>
      <c r="CF27" s="763"/>
      <c r="CG27" s="763"/>
      <c r="CH27" s="763"/>
      <c r="CI27" s="763"/>
      <c r="CJ27" s="763"/>
      <c r="CK27" s="763"/>
      <c r="CL27" s="763"/>
      <c r="CM27" s="763"/>
      <c r="CN27" s="763"/>
      <c r="CO27" s="763"/>
      <c r="CP27" s="763"/>
      <c r="CQ27" s="763"/>
      <c r="CR27" s="763"/>
      <c r="CS27" s="763"/>
      <c r="CT27" s="763"/>
      <c r="CU27" s="763"/>
      <c r="CV27" s="763"/>
      <c r="CW27" s="763"/>
      <c r="CX27" s="763"/>
      <c r="CY27" s="763"/>
      <c r="CZ27" s="763"/>
      <c r="DA27" s="763"/>
      <c r="DB27" s="763"/>
      <c r="DC27" s="763"/>
      <c r="DD27" s="763"/>
      <c r="DE27" s="763"/>
      <c r="DF27" s="763"/>
      <c r="DG27" s="763"/>
      <c r="DH27" s="763"/>
      <c r="DI27" s="763"/>
      <c r="DJ27" s="763"/>
      <c r="DK27" s="763"/>
      <c r="DL27" s="763"/>
      <c r="DM27" s="763"/>
      <c r="DN27" s="763"/>
      <c r="DO27" s="763"/>
      <c r="DP27" s="763"/>
      <c r="DQ27" s="763"/>
      <c r="DR27" s="763"/>
      <c r="DS27" s="763"/>
      <c r="DT27" s="763"/>
      <c r="DU27" s="763"/>
      <c r="DV27" s="763"/>
      <c r="DW27" s="763"/>
      <c r="DX27" s="763"/>
      <c r="DY27" s="763"/>
      <c r="DZ27" s="763"/>
      <c r="EA27" s="763"/>
      <c r="EB27" s="763"/>
      <c r="EC27" s="763"/>
    </row>
    <row r="28" spans="1:134" s="899" customFormat="1" ht="18.75" customHeight="1" x14ac:dyDescent="0.2">
      <c r="A28" s="426"/>
      <c r="B28" s="1374" t="s">
        <v>350</v>
      </c>
      <c r="C28" s="1375"/>
      <c r="D28" s="1376"/>
      <c r="E28" s="752"/>
      <c r="F28" s="752"/>
      <c r="G28" s="752"/>
      <c r="H28" s="752"/>
      <c r="I28" s="1362" t="s">
        <v>1207</v>
      </c>
      <c r="J28" s="1363" t="s">
        <v>1208</v>
      </c>
      <c r="K28" s="1364"/>
      <c r="L28" s="1365"/>
      <c r="M28" s="1363" t="s">
        <v>1209</v>
      </c>
      <c r="N28" s="1364"/>
      <c r="O28" s="1365"/>
      <c r="P28" s="1340" t="s">
        <v>1210</v>
      </c>
      <c r="Q28" s="1342" t="s">
        <v>1211</v>
      </c>
      <c r="R28" s="1036"/>
      <c r="S28" s="1037"/>
      <c r="T28" s="1037"/>
      <c r="U28" s="1037"/>
      <c r="V28" s="1037"/>
      <c r="W28" s="1035"/>
      <c r="X28" s="763"/>
      <c r="Y28" s="763"/>
      <c r="Z28" s="763"/>
      <c r="AA28" s="1038"/>
      <c r="AB28" s="1039"/>
      <c r="AC28" s="763"/>
      <c r="AD28" s="763"/>
      <c r="AE28" s="763"/>
      <c r="AF28" s="763"/>
      <c r="AG28" s="763"/>
      <c r="AH28" s="763"/>
      <c r="AI28" s="763"/>
      <c r="AJ28" s="763"/>
      <c r="AK28" s="763"/>
      <c r="AL28" s="763"/>
      <c r="AM28" s="763"/>
      <c r="AN28" s="763"/>
      <c r="AO28" s="763"/>
      <c r="AP28" s="763"/>
      <c r="AQ28" s="763"/>
      <c r="AR28" s="763"/>
      <c r="AS28" s="763"/>
      <c r="AT28" s="763"/>
      <c r="AU28" s="763"/>
      <c r="AV28" s="763"/>
      <c r="AW28" s="763"/>
      <c r="AX28" s="763"/>
      <c r="AY28" s="763"/>
      <c r="AZ28" s="763"/>
      <c r="BA28" s="763"/>
      <c r="BB28" s="763"/>
      <c r="BC28" s="763"/>
      <c r="BD28" s="763"/>
      <c r="BE28" s="763"/>
      <c r="BF28" s="763"/>
      <c r="BG28" s="763"/>
      <c r="BH28" s="763"/>
      <c r="BI28" s="763"/>
      <c r="BJ28" s="763"/>
      <c r="BK28" s="763"/>
      <c r="BL28" s="763"/>
      <c r="BM28" s="763"/>
      <c r="BN28" s="763"/>
      <c r="BO28" s="763"/>
      <c r="BP28" s="763"/>
      <c r="BQ28" s="763"/>
      <c r="BR28" s="763"/>
      <c r="BS28" s="763"/>
      <c r="BT28" s="763"/>
      <c r="BU28" s="763"/>
      <c r="BV28" s="763"/>
      <c r="BW28" s="763"/>
      <c r="BX28" s="763"/>
      <c r="BY28" s="763"/>
      <c r="BZ28" s="763"/>
      <c r="CA28" s="763"/>
      <c r="CB28" s="763"/>
      <c r="CC28" s="763"/>
      <c r="CD28" s="763"/>
      <c r="CE28" s="763"/>
      <c r="CF28" s="763"/>
      <c r="CG28" s="763"/>
      <c r="CH28" s="763"/>
      <c r="CI28" s="763"/>
      <c r="CJ28" s="763"/>
      <c r="CK28" s="763"/>
      <c r="CL28" s="763"/>
      <c r="CM28" s="763"/>
      <c r="CN28" s="763"/>
      <c r="CO28" s="763"/>
      <c r="CP28" s="763"/>
      <c r="CQ28" s="763"/>
      <c r="CR28" s="763"/>
      <c r="CS28" s="763"/>
      <c r="CT28" s="763"/>
      <c r="CU28" s="763"/>
      <c r="CV28" s="763"/>
      <c r="CW28" s="763"/>
      <c r="CX28" s="763"/>
      <c r="CY28" s="763"/>
      <c r="CZ28" s="763"/>
      <c r="DA28" s="763"/>
      <c r="DB28" s="763"/>
      <c r="DC28" s="763"/>
      <c r="DD28" s="763"/>
      <c r="DE28" s="763"/>
      <c r="DF28" s="763"/>
      <c r="DG28" s="763"/>
      <c r="DH28" s="763"/>
      <c r="DI28" s="763"/>
      <c r="DJ28" s="763"/>
      <c r="DK28" s="763"/>
      <c r="DL28" s="763"/>
      <c r="DM28" s="763"/>
      <c r="DN28" s="763"/>
      <c r="DO28" s="763"/>
      <c r="DP28" s="763"/>
      <c r="DQ28" s="763"/>
      <c r="DR28" s="763"/>
      <c r="DS28" s="763"/>
      <c r="DT28" s="763"/>
      <c r="DU28" s="763"/>
      <c r="DV28" s="763"/>
      <c r="DW28" s="763"/>
      <c r="DX28" s="763"/>
      <c r="DY28" s="763"/>
      <c r="DZ28" s="763"/>
      <c r="EA28" s="763"/>
      <c r="EB28" s="763"/>
      <c r="EC28" s="763"/>
      <c r="ED28" s="763"/>
    </row>
    <row r="29" spans="1:134" s="899" customFormat="1" ht="19.5" customHeight="1" x14ac:dyDescent="0.2">
      <c r="A29" s="426"/>
      <c r="B29" s="1377"/>
      <c r="C29" s="1378"/>
      <c r="D29" s="1379"/>
      <c r="E29" s="754"/>
      <c r="F29" s="754"/>
      <c r="G29" s="754"/>
      <c r="H29" s="754"/>
      <c r="I29" s="1362"/>
      <c r="J29" s="753" t="s">
        <v>1212</v>
      </c>
      <c r="K29" s="753" t="s">
        <v>1213</v>
      </c>
      <c r="L29" s="753" t="s">
        <v>1214</v>
      </c>
      <c r="M29" s="755" t="s">
        <v>1215</v>
      </c>
      <c r="N29" s="755" t="s">
        <v>1216</v>
      </c>
      <c r="O29" s="755" t="s">
        <v>1217</v>
      </c>
      <c r="P29" s="1341"/>
      <c r="Q29" s="1343"/>
      <c r="R29" s="1036"/>
      <c r="S29" s="1037"/>
      <c r="T29" s="1037"/>
      <c r="U29" s="1037"/>
      <c r="V29" s="1037"/>
      <c r="W29" s="1035"/>
      <c r="Z29" s="763"/>
      <c r="AA29" s="1038"/>
      <c r="AB29" s="1038"/>
      <c r="AC29" s="763"/>
      <c r="AD29" s="763"/>
      <c r="AE29" s="763"/>
      <c r="AF29" s="763"/>
      <c r="AG29" s="763"/>
      <c r="AH29" s="763"/>
      <c r="AI29" s="763"/>
      <c r="AJ29" s="763"/>
      <c r="AK29" s="763"/>
      <c r="AL29" s="763"/>
      <c r="AM29" s="763"/>
      <c r="AN29" s="763"/>
      <c r="AO29" s="763"/>
      <c r="AP29" s="763"/>
      <c r="AQ29" s="763"/>
      <c r="AR29" s="763"/>
      <c r="AS29" s="763"/>
      <c r="AT29" s="763"/>
      <c r="AU29" s="763"/>
      <c r="AV29" s="763"/>
      <c r="AW29" s="763"/>
      <c r="AX29" s="763"/>
      <c r="AY29" s="763"/>
      <c r="AZ29" s="763"/>
      <c r="BA29" s="763"/>
      <c r="BB29" s="763"/>
      <c r="BC29" s="763"/>
      <c r="BD29" s="763"/>
      <c r="BE29" s="763"/>
      <c r="BF29" s="763"/>
      <c r="BG29" s="763"/>
      <c r="BH29" s="763"/>
      <c r="BI29" s="763"/>
      <c r="BJ29" s="763"/>
      <c r="BK29" s="763"/>
      <c r="BL29" s="763"/>
      <c r="BM29" s="763"/>
      <c r="BN29" s="763"/>
      <c r="BO29" s="763"/>
      <c r="BP29" s="763"/>
      <c r="BQ29" s="763"/>
      <c r="BR29" s="763"/>
      <c r="BS29" s="763"/>
      <c r="BT29" s="763"/>
      <c r="BU29" s="763"/>
      <c r="BV29" s="763"/>
      <c r="BW29" s="763"/>
      <c r="BX29" s="763"/>
      <c r="BY29" s="763"/>
      <c r="BZ29" s="763"/>
      <c r="CA29" s="763"/>
      <c r="CB29" s="763"/>
      <c r="CC29" s="763"/>
      <c r="CD29" s="763"/>
      <c r="CE29" s="763"/>
      <c r="CF29" s="763"/>
      <c r="CG29" s="763"/>
      <c r="CH29" s="763"/>
      <c r="CI29" s="763"/>
      <c r="CJ29" s="763"/>
      <c r="CK29" s="763"/>
      <c r="CL29" s="763"/>
      <c r="CM29" s="763"/>
      <c r="CN29" s="763"/>
      <c r="CO29" s="763"/>
      <c r="CP29" s="763"/>
      <c r="CQ29" s="763"/>
      <c r="CR29" s="763"/>
      <c r="CS29" s="763"/>
      <c r="CT29" s="763"/>
      <c r="CU29" s="763"/>
      <c r="CV29" s="763"/>
      <c r="CW29" s="763"/>
      <c r="CX29" s="763"/>
      <c r="CY29" s="763"/>
      <c r="CZ29" s="763"/>
      <c r="DA29" s="763"/>
      <c r="DB29" s="763"/>
      <c r="DC29" s="763"/>
      <c r="DD29" s="763"/>
      <c r="DE29" s="763"/>
      <c r="DF29" s="763"/>
      <c r="DG29" s="763"/>
      <c r="DH29" s="763"/>
      <c r="DI29" s="763"/>
      <c r="DJ29" s="763"/>
      <c r="DK29" s="763"/>
      <c r="DL29" s="763"/>
      <c r="DM29" s="763"/>
      <c r="DN29" s="763"/>
      <c r="DO29" s="763"/>
      <c r="DP29" s="763"/>
      <c r="DQ29" s="763"/>
      <c r="DR29" s="763"/>
      <c r="DS29" s="763"/>
      <c r="DT29" s="763"/>
      <c r="DU29" s="763"/>
      <c r="DV29" s="763"/>
      <c r="DW29" s="763"/>
      <c r="DX29" s="763"/>
      <c r="DY29" s="763"/>
      <c r="DZ29" s="763"/>
      <c r="EA29" s="763"/>
      <c r="EB29" s="763"/>
      <c r="EC29" s="763"/>
      <c r="ED29" s="763"/>
    </row>
    <row r="30" spans="1:134" s="899" customFormat="1" ht="15.95" customHeight="1" thickBot="1" x14ac:dyDescent="0.25">
      <c r="A30" s="426"/>
      <c r="B30" s="1352" t="s">
        <v>1218</v>
      </c>
      <c r="C30" s="1353"/>
      <c r="D30" s="1354"/>
      <c r="E30" s="756"/>
      <c r="F30" s="756"/>
      <c r="G30" s="757" t="s">
        <v>1636</v>
      </c>
      <c r="H30" s="757"/>
      <c r="I30" s="716">
        <f>SUM(V10:V24)</f>
        <v>0</v>
      </c>
      <c r="J30" s="716">
        <f>Y10</f>
        <v>0</v>
      </c>
      <c r="K30" s="716">
        <f>Y14</f>
        <v>0</v>
      </c>
      <c r="L30" s="716">
        <f>Y17</f>
        <v>0</v>
      </c>
      <c r="M30" s="716">
        <f>AA10</f>
        <v>0</v>
      </c>
      <c r="N30" s="716">
        <f>AC14</f>
        <v>0</v>
      </c>
      <c r="O30" s="716">
        <f>AE10</f>
        <v>0</v>
      </c>
      <c r="P30" s="716">
        <f>P26</f>
        <v>0</v>
      </c>
      <c r="Q30" s="758">
        <f>SUM(I30:P30)</f>
        <v>0</v>
      </c>
      <c r="R30" s="1040"/>
      <c r="S30" s="1041"/>
      <c r="T30" s="1041"/>
      <c r="U30" s="1041"/>
      <c r="V30" s="1041"/>
      <c r="W30" s="1038"/>
      <c r="X30" s="1038"/>
      <c r="Y30" s="1038"/>
      <c r="Z30" s="1042"/>
      <c r="AA30" s="970"/>
      <c r="AC30" s="1038"/>
      <c r="AD30" s="1038"/>
      <c r="AE30" s="763"/>
      <c r="AF30" s="763"/>
      <c r="AG30" s="763"/>
      <c r="AH30" s="763"/>
      <c r="AI30" s="763"/>
      <c r="AJ30" s="763"/>
      <c r="AK30" s="763"/>
      <c r="AL30" s="763"/>
      <c r="AM30" s="763"/>
      <c r="AN30" s="763"/>
      <c r="AO30" s="763"/>
      <c r="AP30" s="763"/>
      <c r="AQ30" s="763"/>
      <c r="AR30" s="763"/>
      <c r="AS30" s="763"/>
      <c r="AT30" s="763"/>
      <c r="AU30" s="763"/>
      <c r="AV30" s="763"/>
      <c r="AW30" s="763"/>
      <c r="AX30" s="763"/>
      <c r="AY30" s="763"/>
      <c r="AZ30" s="763"/>
      <c r="BA30" s="763"/>
      <c r="BB30" s="763"/>
      <c r="BC30" s="763"/>
      <c r="BD30" s="763"/>
      <c r="BE30" s="763"/>
      <c r="BF30" s="763"/>
      <c r="BG30" s="763"/>
      <c r="BH30" s="763"/>
      <c r="BI30" s="763"/>
      <c r="BJ30" s="763"/>
      <c r="BK30" s="763"/>
      <c r="BL30" s="763"/>
      <c r="BM30" s="763"/>
      <c r="BN30" s="763"/>
      <c r="BO30" s="763"/>
      <c r="BP30" s="763"/>
      <c r="BQ30" s="763"/>
      <c r="BR30" s="763"/>
      <c r="BS30" s="763"/>
      <c r="BT30" s="763"/>
      <c r="BU30" s="763"/>
      <c r="BV30" s="763"/>
      <c r="BW30" s="763"/>
      <c r="BX30" s="763"/>
      <c r="BY30" s="763"/>
      <c r="BZ30" s="763"/>
      <c r="CA30" s="763"/>
      <c r="CB30" s="763"/>
      <c r="CC30" s="763"/>
      <c r="CD30" s="763"/>
      <c r="CE30" s="763"/>
      <c r="CF30" s="763"/>
      <c r="CG30" s="763"/>
      <c r="CH30" s="763"/>
      <c r="CI30" s="763"/>
      <c r="CJ30" s="763"/>
      <c r="CK30" s="763"/>
      <c r="CL30" s="763"/>
      <c r="CM30" s="763"/>
      <c r="CN30" s="763"/>
      <c r="CO30" s="763"/>
      <c r="CP30" s="763"/>
      <c r="CQ30" s="763"/>
      <c r="CR30" s="763"/>
      <c r="CS30" s="763"/>
      <c r="CT30" s="763"/>
      <c r="CU30" s="763"/>
      <c r="CV30" s="763"/>
      <c r="CW30" s="763"/>
      <c r="CX30" s="763"/>
      <c r="CY30" s="763"/>
      <c r="CZ30" s="763"/>
      <c r="DA30" s="763"/>
      <c r="DB30" s="763"/>
      <c r="DC30" s="763"/>
      <c r="DD30" s="763"/>
      <c r="DE30" s="763"/>
      <c r="DF30" s="763"/>
      <c r="DG30" s="763"/>
      <c r="DH30" s="763"/>
      <c r="DI30" s="763"/>
      <c r="DJ30" s="763"/>
      <c r="DK30" s="763"/>
      <c r="DL30" s="763"/>
      <c r="DM30" s="763"/>
      <c r="DN30" s="763"/>
      <c r="DO30" s="763"/>
      <c r="DP30" s="763"/>
      <c r="DQ30" s="763"/>
      <c r="DR30" s="763"/>
      <c r="DS30" s="763"/>
      <c r="DT30" s="763"/>
      <c r="DU30" s="763"/>
      <c r="DV30" s="763"/>
      <c r="DW30" s="763"/>
      <c r="DX30" s="763"/>
      <c r="DY30" s="763"/>
      <c r="DZ30" s="763"/>
      <c r="EA30" s="763"/>
      <c r="EB30" s="763"/>
      <c r="EC30" s="763"/>
      <c r="ED30" s="763"/>
    </row>
    <row r="31" spans="1:134" s="899" customFormat="1" ht="3.75" customHeight="1" x14ac:dyDescent="0.2">
      <c r="A31" s="426"/>
      <c r="B31" s="426"/>
      <c r="C31" s="426"/>
      <c r="D31" s="426"/>
      <c r="E31" s="426"/>
      <c r="F31" s="426"/>
      <c r="G31" s="759" t="s">
        <v>309</v>
      </c>
      <c r="H31" s="759"/>
      <c r="I31" s="426"/>
      <c r="J31" s="426"/>
      <c r="K31" s="760"/>
      <c r="L31" s="480"/>
      <c r="M31" s="480"/>
      <c r="N31" s="480"/>
      <c r="O31" s="480"/>
      <c r="P31" s="480"/>
      <c r="Q31" s="480"/>
      <c r="R31" s="763"/>
      <c r="S31" s="763"/>
      <c r="T31" s="763"/>
      <c r="U31" s="763"/>
      <c r="V31" s="1043"/>
      <c r="W31" s="763"/>
      <c r="X31" s="763"/>
      <c r="Y31" s="763"/>
      <c r="Z31" s="763"/>
      <c r="AA31" s="763"/>
      <c r="AB31" s="763"/>
      <c r="AC31" s="763"/>
      <c r="AD31" s="763"/>
      <c r="AE31" s="763"/>
      <c r="AF31" s="763"/>
      <c r="AG31" s="763"/>
      <c r="AH31" s="763"/>
      <c r="AI31" s="763"/>
      <c r="AJ31" s="763"/>
      <c r="AK31" s="763"/>
      <c r="AL31" s="763"/>
      <c r="AM31" s="763"/>
      <c r="AN31" s="763"/>
      <c r="AO31" s="763"/>
      <c r="AP31" s="763"/>
      <c r="AQ31" s="763"/>
      <c r="AR31" s="763"/>
      <c r="AS31" s="763"/>
      <c r="AT31" s="763"/>
      <c r="AU31" s="763"/>
      <c r="AV31" s="763"/>
      <c r="AW31" s="763"/>
      <c r="AX31" s="763"/>
      <c r="AY31" s="763"/>
      <c r="AZ31" s="763"/>
      <c r="BA31" s="763"/>
      <c r="BB31" s="763"/>
      <c r="BC31" s="763"/>
      <c r="BD31" s="763"/>
      <c r="BE31" s="763"/>
      <c r="BF31" s="763"/>
      <c r="BG31" s="763"/>
      <c r="BH31" s="763"/>
      <c r="BI31" s="763"/>
      <c r="BJ31" s="763"/>
      <c r="BK31" s="763"/>
      <c r="BL31" s="763"/>
      <c r="BM31" s="763"/>
      <c r="BN31" s="763"/>
      <c r="BO31" s="763"/>
      <c r="BP31" s="763"/>
      <c r="BQ31" s="763"/>
      <c r="BR31" s="763"/>
      <c r="BS31" s="763"/>
      <c r="BT31" s="763"/>
      <c r="BU31" s="763"/>
      <c r="BV31" s="763"/>
      <c r="BW31" s="763"/>
      <c r="BX31" s="763"/>
      <c r="BY31" s="763"/>
      <c r="BZ31" s="763"/>
      <c r="CA31" s="763"/>
      <c r="CB31" s="763"/>
      <c r="CC31" s="763"/>
      <c r="CD31" s="763"/>
      <c r="CE31" s="763"/>
      <c r="CF31" s="763"/>
      <c r="CG31" s="763"/>
      <c r="CH31" s="763"/>
      <c r="CI31" s="763"/>
      <c r="CJ31" s="763"/>
      <c r="CK31" s="763"/>
      <c r="CL31" s="763"/>
      <c r="CM31" s="763"/>
      <c r="CN31" s="763"/>
      <c r="CO31" s="763"/>
      <c r="CP31" s="763"/>
      <c r="CQ31" s="763"/>
      <c r="CR31" s="763"/>
      <c r="CS31" s="763"/>
      <c r="CT31" s="763"/>
      <c r="CU31" s="763"/>
      <c r="CV31" s="763"/>
      <c r="CW31" s="763"/>
      <c r="CX31" s="763"/>
      <c r="CY31" s="763"/>
      <c r="CZ31" s="763"/>
      <c r="DA31" s="763"/>
      <c r="DB31" s="763"/>
      <c r="DC31" s="763"/>
      <c r="DD31" s="763"/>
      <c r="DE31" s="763"/>
      <c r="DF31" s="763"/>
      <c r="DG31" s="763"/>
      <c r="DH31" s="763"/>
      <c r="DI31" s="763"/>
      <c r="DJ31" s="763"/>
      <c r="DK31" s="763"/>
      <c r="DL31" s="763"/>
      <c r="DM31" s="763"/>
      <c r="DN31" s="763"/>
      <c r="DO31" s="763"/>
      <c r="DP31" s="763"/>
      <c r="DQ31" s="763"/>
      <c r="DR31" s="763"/>
      <c r="DS31" s="763"/>
      <c r="DT31" s="763"/>
      <c r="DU31" s="763"/>
      <c r="DV31" s="763"/>
      <c r="DW31" s="763"/>
      <c r="DX31" s="763"/>
      <c r="DY31" s="763"/>
      <c r="DZ31" s="763"/>
      <c r="EA31" s="763"/>
    </row>
    <row r="32" spans="1:134" s="899" customFormat="1" ht="48.75" customHeight="1" x14ac:dyDescent="0.2">
      <c r="A32" s="533" t="s">
        <v>494</v>
      </c>
      <c r="B32" s="1276" t="s">
        <v>1219</v>
      </c>
      <c r="C32" s="1276"/>
      <c r="D32" s="1276"/>
      <c r="E32" s="1276"/>
      <c r="F32" s="1276"/>
      <c r="G32" s="1276"/>
      <c r="H32" s="761"/>
      <c r="I32" s="761"/>
      <c r="J32" s="771"/>
      <c r="K32" s="1355" t="s">
        <v>1220</v>
      </c>
      <c r="L32" s="1355"/>
      <c r="M32" s="1355"/>
      <c r="N32" s="1355"/>
      <c r="O32" s="549"/>
      <c r="P32" s="766"/>
      <c r="Q32" s="480"/>
      <c r="R32" s="763"/>
      <c r="S32" s="763"/>
      <c r="T32" s="763"/>
      <c r="U32" s="763"/>
      <c r="V32" s="763"/>
      <c r="W32" s="763"/>
      <c r="X32" s="763"/>
      <c r="Y32" s="763"/>
      <c r="Z32" s="763"/>
      <c r="AA32" s="763"/>
      <c r="AB32" s="763"/>
      <c r="AC32" s="763"/>
      <c r="AD32" s="763"/>
      <c r="AE32" s="763"/>
      <c r="AF32" s="763"/>
      <c r="AG32" s="763"/>
      <c r="AH32" s="763"/>
      <c r="AI32" s="763"/>
      <c r="AJ32" s="763"/>
      <c r="AK32" s="763"/>
      <c r="AL32" s="763"/>
      <c r="AM32" s="763"/>
      <c r="AN32" s="763"/>
      <c r="AO32" s="763"/>
      <c r="AP32" s="763"/>
      <c r="AQ32" s="763"/>
      <c r="AR32" s="763"/>
      <c r="AS32" s="763"/>
      <c r="AT32" s="763"/>
      <c r="AU32" s="763"/>
      <c r="AV32" s="763"/>
      <c r="AW32" s="763"/>
      <c r="AX32" s="763"/>
      <c r="AY32" s="763"/>
      <c r="AZ32" s="763"/>
      <c r="BA32" s="763"/>
      <c r="BB32" s="763"/>
      <c r="BC32" s="763"/>
      <c r="BD32" s="763"/>
      <c r="BE32" s="763"/>
      <c r="BF32" s="763"/>
      <c r="BG32" s="763"/>
      <c r="BH32" s="763"/>
      <c r="BI32" s="763"/>
      <c r="BJ32" s="763"/>
      <c r="BK32" s="763"/>
      <c r="BL32" s="763"/>
      <c r="BM32" s="763"/>
      <c r="BN32" s="763"/>
      <c r="BO32" s="763"/>
      <c r="BP32" s="763"/>
      <c r="BQ32" s="763"/>
      <c r="BR32" s="763"/>
      <c r="BS32" s="763"/>
      <c r="BT32" s="763"/>
      <c r="BU32" s="763"/>
      <c r="BV32" s="763"/>
      <c r="BW32" s="763"/>
      <c r="BX32" s="763"/>
      <c r="BY32" s="763"/>
      <c r="BZ32" s="763"/>
      <c r="CA32" s="763"/>
      <c r="CB32" s="763"/>
      <c r="CC32" s="763"/>
      <c r="CD32" s="763"/>
      <c r="CE32" s="763"/>
      <c r="CF32" s="763"/>
      <c r="CG32" s="763"/>
      <c r="CH32" s="763"/>
      <c r="CI32" s="763"/>
      <c r="CJ32" s="763"/>
      <c r="CK32" s="763"/>
      <c r="CL32" s="763"/>
      <c r="CM32" s="763"/>
      <c r="CN32" s="763"/>
      <c r="CO32" s="763"/>
      <c r="CP32" s="763"/>
      <c r="CQ32" s="763"/>
      <c r="CR32" s="763"/>
      <c r="CS32" s="763"/>
      <c r="CT32" s="763"/>
      <c r="CU32" s="763"/>
      <c r="CV32" s="763"/>
      <c r="CW32" s="763"/>
      <c r="CX32" s="763"/>
      <c r="CY32" s="763"/>
      <c r="CZ32" s="763"/>
      <c r="DA32" s="763"/>
      <c r="DB32" s="763"/>
      <c r="DC32" s="763"/>
      <c r="DD32" s="763"/>
      <c r="DE32" s="763"/>
      <c r="DF32" s="763"/>
      <c r="DG32" s="763"/>
      <c r="DH32" s="763"/>
      <c r="DI32" s="763"/>
      <c r="DJ32" s="763"/>
      <c r="DK32" s="763"/>
      <c r="DL32" s="763"/>
      <c r="DM32" s="763"/>
      <c r="DN32" s="763"/>
      <c r="DO32" s="763"/>
      <c r="DP32" s="763"/>
      <c r="DQ32" s="763"/>
      <c r="DR32" s="763"/>
      <c r="DS32" s="763"/>
      <c r="DT32" s="763"/>
      <c r="DU32" s="763"/>
      <c r="DV32" s="763"/>
      <c r="DW32" s="763"/>
      <c r="DX32" s="763"/>
      <c r="DY32" s="763"/>
      <c r="DZ32" s="763"/>
      <c r="EA32" s="763"/>
    </row>
    <row r="33" spans="1:131" s="899" customFormat="1" ht="35.25" customHeight="1" x14ac:dyDescent="0.2">
      <c r="A33" s="533" t="s">
        <v>496</v>
      </c>
      <c r="B33" s="1276" t="s">
        <v>1221</v>
      </c>
      <c r="C33" s="1276"/>
      <c r="D33" s="1276"/>
      <c r="E33" s="1276"/>
      <c r="F33" s="1276"/>
      <c r="G33" s="1276"/>
      <c r="H33" s="761"/>
      <c r="I33" s="761"/>
      <c r="J33" s="772"/>
      <c r="K33" s="1366" t="s">
        <v>1222</v>
      </c>
      <c r="L33" s="1366" t="s">
        <v>1223</v>
      </c>
      <c r="M33" s="1366" t="s">
        <v>1224</v>
      </c>
      <c r="N33" s="1366" t="s">
        <v>1225</v>
      </c>
      <c r="O33" s="480"/>
      <c r="P33" s="766"/>
      <c r="Q33" s="480"/>
      <c r="R33" s="763"/>
      <c r="S33" s="763"/>
      <c r="T33" s="763"/>
      <c r="U33" s="763"/>
      <c r="V33" s="763"/>
      <c r="W33" s="763"/>
      <c r="X33" s="763"/>
      <c r="Y33" s="763"/>
      <c r="Z33" s="763"/>
      <c r="AA33" s="763"/>
      <c r="AB33" s="763"/>
      <c r="AC33" s="763"/>
      <c r="AD33" s="763"/>
      <c r="AE33" s="763"/>
      <c r="AF33" s="763"/>
      <c r="AG33" s="763"/>
      <c r="AH33" s="763"/>
      <c r="AI33" s="763"/>
      <c r="AJ33" s="763"/>
      <c r="AK33" s="763"/>
      <c r="AL33" s="763"/>
      <c r="AM33" s="763"/>
      <c r="AN33" s="763"/>
      <c r="AO33" s="763"/>
      <c r="AP33" s="763"/>
      <c r="AQ33" s="763"/>
      <c r="AR33" s="763"/>
      <c r="AS33" s="763"/>
      <c r="AT33" s="763"/>
      <c r="AU33" s="763"/>
      <c r="AV33" s="763"/>
      <c r="AW33" s="763"/>
      <c r="AX33" s="763"/>
      <c r="AY33" s="763"/>
      <c r="AZ33" s="763"/>
      <c r="BA33" s="763"/>
      <c r="BB33" s="763"/>
      <c r="BC33" s="763"/>
      <c r="BD33" s="763"/>
      <c r="BE33" s="763"/>
      <c r="BF33" s="763"/>
      <c r="BG33" s="763"/>
      <c r="BH33" s="763"/>
      <c r="BI33" s="763"/>
      <c r="BJ33" s="763"/>
      <c r="BK33" s="763"/>
      <c r="BL33" s="763"/>
      <c r="BM33" s="763"/>
      <c r="BN33" s="763"/>
      <c r="BO33" s="763"/>
      <c r="BP33" s="763"/>
      <c r="BQ33" s="763"/>
      <c r="BR33" s="763"/>
      <c r="BS33" s="763"/>
      <c r="BT33" s="763"/>
      <c r="BU33" s="763"/>
      <c r="BV33" s="763"/>
      <c r="BW33" s="763"/>
      <c r="BX33" s="763"/>
      <c r="BY33" s="763"/>
      <c r="BZ33" s="763"/>
      <c r="CA33" s="763"/>
      <c r="CB33" s="763"/>
      <c r="CC33" s="763"/>
      <c r="CD33" s="763"/>
      <c r="CE33" s="763"/>
      <c r="CF33" s="763"/>
      <c r="CG33" s="763"/>
      <c r="CH33" s="763"/>
      <c r="CI33" s="763"/>
      <c r="CJ33" s="763"/>
      <c r="CK33" s="763"/>
      <c r="CL33" s="763"/>
      <c r="CM33" s="763"/>
      <c r="CN33" s="763"/>
      <c r="CO33" s="763"/>
      <c r="CP33" s="763"/>
      <c r="CQ33" s="763"/>
      <c r="CR33" s="763"/>
      <c r="CS33" s="763"/>
      <c r="CT33" s="763"/>
      <c r="CU33" s="763"/>
      <c r="CV33" s="763"/>
      <c r="CW33" s="763"/>
      <c r="CX33" s="763"/>
      <c r="CY33" s="763"/>
      <c r="CZ33" s="763"/>
      <c r="DA33" s="763"/>
      <c r="DB33" s="763"/>
      <c r="DC33" s="763"/>
      <c r="DD33" s="763"/>
      <c r="DE33" s="763"/>
      <c r="DF33" s="763"/>
      <c r="DG33" s="763"/>
      <c r="DH33" s="763"/>
      <c r="DI33" s="763"/>
      <c r="DJ33" s="763"/>
      <c r="DK33" s="763"/>
      <c r="DL33" s="763"/>
      <c r="DM33" s="763"/>
      <c r="DN33" s="763"/>
      <c r="DO33" s="763"/>
      <c r="DP33" s="763"/>
      <c r="DQ33" s="763"/>
      <c r="DR33" s="763"/>
      <c r="DS33" s="763"/>
      <c r="DT33" s="763"/>
      <c r="DU33" s="763"/>
      <c r="DV33" s="763"/>
      <c r="DW33" s="763"/>
      <c r="DX33" s="763"/>
      <c r="DY33" s="763"/>
      <c r="DZ33" s="763"/>
      <c r="EA33" s="763"/>
    </row>
    <row r="34" spans="1:131" s="899" customFormat="1" ht="25.5" customHeight="1" x14ac:dyDescent="0.2">
      <c r="A34" s="533" t="s">
        <v>498</v>
      </c>
      <c r="B34" s="1276" t="s">
        <v>346</v>
      </c>
      <c r="C34" s="1276"/>
      <c r="D34" s="1276"/>
      <c r="E34" s="1276"/>
      <c r="F34" s="1276"/>
      <c r="G34" s="1276"/>
      <c r="H34" s="761"/>
      <c r="I34" s="761"/>
      <c r="J34" s="772"/>
      <c r="K34" s="1367"/>
      <c r="L34" s="1367"/>
      <c r="M34" s="1367"/>
      <c r="N34" s="1367"/>
      <c r="O34" s="480"/>
      <c r="P34" s="766"/>
      <c r="Q34" s="480"/>
      <c r="R34" s="763"/>
      <c r="S34" s="763"/>
      <c r="T34" s="763"/>
      <c r="U34" s="763"/>
      <c r="V34" s="763"/>
      <c r="W34" s="763"/>
      <c r="X34" s="763"/>
      <c r="Y34" s="763"/>
      <c r="Z34" s="763"/>
      <c r="AA34" s="763"/>
      <c r="AB34" s="763"/>
      <c r="AC34" s="763"/>
      <c r="AD34" s="763"/>
      <c r="AE34" s="763"/>
      <c r="AF34" s="763"/>
      <c r="AG34" s="763"/>
      <c r="AH34" s="763"/>
      <c r="AI34" s="763"/>
      <c r="AJ34" s="763"/>
      <c r="AK34" s="763"/>
      <c r="AL34" s="763"/>
      <c r="AM34" s="763"/>
      <c r="AN34" s="763"/>
      <c r="AO34" s="763"/>
      <c r="AP34" s="763"/>
      <c r="AQ34" s="763"/>
      <c r="AR34" s="763"/>
      <c r="AS34" s="763"/>
      <c r="AT34" s="763"/>
      <c r="AU34" s="763"/>
      <c r="AV34" s="763"/>
      <c r="AW34" s="763"/>
      <c r="AX34" s="763"/>
      <c r="AY34" s="763"/>
      <c r="AZ34" s="763"/>
      <c r="BA34" s="763"/>
      <c r="BB34" s="763"/>
      <c r="BC34" s="763"/>
      <c r="BD34" s="763"/>
      <c r="BE34" s="763"/>
      <c r="BF34" s="763"/>
      <c r="BG34" s="763"/>
      <c r="BH34" s="763"/>
      <c r="BI34" s="763"/>
      <c r="BJ34" s="763"/>
      <c r="BK34" s="763"/>
      <c r="BL34" s="763"/>
      <c r="BM34" s="763"/>
      <c r="BN34" s="763"/>
      <c r="BO34" s="763"/>
      <c r="BP34" s="763"/>
      <c r="BQ34" s="763"/>
      <c r="BR34" s="763"/>
      <c r="BS34" s="763"/>
      <c r="BT34" s="763"/>
      <c r="BU34" s="763"/>
      <c r="BV34" s="763"/>
      <c r="BW34" s="763"/>
      <c r="BX34" s="763"/>
      <c r="BY34" s="763"/>
      <c r="BZ34" s="763"/>
      <c r="CA34" s="763"/>
      <c r="CB34" s="763"/>
      <c r="CC34" s="763"/>
      <c r="CD34" s="763"/>
      <c r="CE34" s="763"/>
      <c r="CF34" s="763"/>
      <c r="CG34" s="763"/>
      <c r="CH34" s="763"/>
      <c r="CI34" s="763"/>
      <c r="CJ34" s="763"/>
      <c r="CK34" s="763"/>
      <c r="CL34" s="763"/>
      <c r="CM34" s="763"/>
      <c r="CN34" s="763"/>
      <c r="CO34" s="763"/>
      <c r="CP34" s="763"/>
      <c r="CQ34" s="763"/>
      <c r="CR34" s="763"/>
      <c r="CS34" s="763"/>
      <c r="CT34" s="763"/>
      <c r="CU34" s="763"/>
      <c r="CV34" s="763"/>
      <c r="CW34" s="763"/>
      <c r="CX34" s="763"/>
      <c r="CY34" s="763"/>
      <c r="CZ34" s="763"/>
      <c r="DA34" s="763"/>
      <c r="DB34" s="763"/>
      <c r="DC34" s="763"/>
      <c r="DD34" s="763"/>
      <c r="DE34" s="763"/>
      <c r="DF34" s="763"/>
      <c r="DG34" s="763"/>
      <c r="DH34" s="763"/>
      <c r="DI34" s="763"/>
      <c r="DJ34" s="763"/>
      <c r="DK34" s="763"/>
      <c r="DL34" s="763"/>
      <c r="DM34" s="763"/>
      <c r="DN34" s="763"/>
      <c r="DO34" s="763"/>
      <c r="DP34" s="763"/>
      <c r="DQ34" s="763"/>
      <c r="DR34" s="763"/>
      <c r="DS34" s="763"/>
      <c r="DT34" s="763"/>
      <c r="DU34" s="763"/>
      <c r="DV34" s="763"/>
      <c r="DW34" s="763"/>
      <c r="DX34" s="763"/>
      <c r="DY34" s="763"/>
      <c r="DZ34" s="763"/>
      <c r="EA34" s="763"/>
    </row>
    <row r="35" spans="1:131" s="899" customFormat="1" ht="13.5" customHeight="1" x14ac:dyDescent="0.2">
      <c r="A35" s="533" t="s">
        <v>500</v>
      </c>
      <c r="B35" s="1368" t="s">
        <v>347</v>
      </c>
      <c r="C35" s="1368"/>
      <c r="D35" s="1368"/>
      <c r="E35" s="1368"/>
      <c r="F35" s="1368"/>
      <c r="G35" s="1368"/>
      <c r="H35" s="764"/>
      <c r="I35" s="764"/>
      <c r="J35" s="773"/>
      <c r="K35" s="753">
        <v>1</v>
      </c>
      <c r="L35" s="765">
        <v>0.4</v>
      </c>
      <c r="M35" s="1369" t="s">
        <v>348</v>
      </c>
      <c r="N35" s="1369">
        <v>1</v>
      </c>
      <c r="O35" s="480"/>
      <c r="P35" s="766"/>
      <c r="Q35" s="480"/>
      <c r="R35" s="763"/>
      <c r="S35" s="763"/>
      <c r="T35" s="763"/>
      <c r="U35" s="763"/>
      <c r="V35" s="763"/>
      <c r="W35" s="763"/>
      <c r="X35" s="763"/>
      <c r="Y35" s="763"/>
      <c r="Z35" s="763"/>
      <c r="AA35" s="763"/>
      <c r="AB35" s="763"/>
      <c r="AC35" s="763"/>
      <c r="AD35" s="763"/>
      <c r="AE35" s="763"/>
      <c r="AF35" s="763"/>
      <c r="AG35" s="763"/>
      <c r="AH35" s="763"/>
      <c r="AI35" s="763"/>
      <c r="AJ35" s="763"/>
      <c r="AK35" s="763"/>
      <c r="AL35" s="763"/>
      <c r="AM35" s="763"/>
      <c r="AN35" s="763"/>
      <c r="AO35" s="763"/>
      <c r="AP35" s="763"/>
      <c r="AQ35" s="763"/>
      <c r="AR35" s="763"/>
      <c r="AS35" s="763"/>
      <c r="AT35" s="763"/>
      <c r="AU35" s="763"/>
      <c r="AV35" s="763"/>
      <c r="AW35" s="763"/>
      <c r="AX35" s="763"/>
      <c r="AY35" s="763"/>
      <c r="AZ35" s="763"/>
      <c r="BA35" s="763"/>
      <c r="BB35" s="763"/>
      <c r="BC35" s="763"/>
      <c r="BD35" s="763"/>
      <c r="BE35" s="763"/>
      <c r="BF35" s="763"/>
      <c r="BG35" s="763"/>
      <c r="BH35" s="763"/>
      <c r="BI35" s="763"/>
      <c r="BJ35" s="763"/>
      <c r="BK35" s="763"/>
      <c r="BL35" s="763"/>
      <c r="BM35" s="763"/>
      <c r="BN35" s="763"/>
      <c r="BO35" s="763"/>
      <c r="BP35" s="763"/>
      <c r="BQ35" s="763"/>
      <c r="BR35" s="763"/>
      <c r="BS35" s="763"/>
      <c r="BT35" s="763"/>
      <c r="BU35" s="763"/>
      <c r="BV35" s="763"/>
      <c r="BW35" s="763"/>
      <c r="BX35" s="763"/>
      <c r="BY35" s="763"/>
      <c r="BZ35" s="763"/>
      <c r="CA35" s="763"/>
      <c r="CB35" s="763"/>
      <c r="CC35" s="763"/>
      <c r="CD35" s="763"/>
      <c r="CE35" s="763"/>
      <c r="CF35" s="763"/>
      <c r="CG35" s="763"/>
      <c r="CH35" s="763"/>
      <c r="CI35" s="763"/>
      <c r="CJ35" s="763"/>
      <c r="CK35" s="763"/>
      <c r="CL35" s="763"/>
      <c r="CM35" s="763"/>
      <c r="CN35" s="763"/>
      <c r="CO35" s="763"/>
      <c r="CP35" s="763"/>
      <c r="CQ35" s="763"/>
      <c r="CR35" s="763"/>
      <c r="CS35" s="763"/>
      <c r="CT35" s="763"/>
      <c r="CU35" s="763"/>
      <c r="CV35" s="763"/>
      <c r="CW35" s="763"/>
      <c r="CX35" s="763"/>
      <c r="CY35" s="763"/>
      <c r="CZ35" s="763"/>
      <c r="DA35" s="763"/>
      <c r="DB35" s="763"/>
      <c r="DC35" s="763"/>
      <c r="DD35" s="763"/>
      <c r="DE35" s="763"/>
      <c r="DF35" s="763"/>
      <c r="DG35" s="763"/>
      <c r="DH35" s="763"/>
      <c r="DI35" s="763"/>
      <c r="DJ35" s="763"/>
      <c r="DK35" s="763"/>
      <c r="DL35" s="763"/>
      <c r="DM35" s="763"/>
      <c r="DN35" s="763"/>
      <c r="DO35" s="763"/>
      <c r="DP35" s="763"/>
      <c r="DQ35" s="763"/>
      <c r="DR35" s="763"/>
      <c r="DS35" s="763"/>
      <c r="DT35" s="763"/>
      <c r="DU35" s="763"/>
      <c r="DV35" s="763"/>
      <c r="DW35" s="763"/>
      <c r="DX35" s="763"/>
      <c r="DY35" s="763"/>
      <c r="DZ35" s="763"/>
      <c r="EA35" s="763"/>
    </row>
    <row r="36" spans="1:131" s="899" customFormat="1" ht="12" customHeight="1" x14ac:dyDescent="0.2">
      <c r="A36" s="426"/>
      <c r="B36" s="426"/>
      <c r="C36" s="426"/>
      <c r="D36" s="426"/>
      <c r="E36" s="426"/>
      <c r="F36" s="426"/>
      <c r="G36" s="426"/>
      <c r="H36" s="426"/>
      <c r="I36" s="426"/>
      <c r="J36" s="480"/>
      <c r="K36" s="753">
        <v>2</v>
      </c>
      <c r="L36" s="765">
        <v>0.3</v>
      </c>
      <c r="M36" s="1370"/>
      <c r="N36" s="1370"/>
      <c r="O36" s="480"/>
      <c r="P36" s="766"/>
      <c r="Q36" s="480"/>
      <c r="R36" s="763"/>
      <c r="S36" s="763"/>
      <c r="T36" s="763"/>
      <c r="U36" s="763"/>
      <c r="V36" s="763"/>
      <c r="W36" s="763"/>
      <c r="X36" s="763"/>
      <c r="Y36" s="763"/>
      <c r="Z36" s="763"/>
      <c r="AA36" s="763"/>
      <c r="AB36" s="763"/>
      <c r="AC36" s="763"/>
      <c r="AD36" s="763"/>
      <c r="AE36" s="763"/>
      <c r="AF36" s="763"/>
      <c r="AG36" s="763"/>
      <c r="AH36" s="763"/>
      <c r="AI36" s="763"/>
      <c r="AJ36" s="763"/>
      <c r="AK36" s="763"/>
      <c r="AL36" s="763"/>
      <c r="AM36" s="763"/>
      <c r="AN36" s="763"/>
      <c r="AO36" s="763"/>
      <c r="AP36" s="763"/>
      <c r="AQ36" s="763"/>
      <c r="AR36" s="763"/>
      <c r="AS36" s="763"/>
      <c r="AT36" s="763"/>
      <c r="AU36" s="763"/>
      <c r="AV36" s="763"/>
      <c r="AW36" s="763"/>
      <c r="AX36" s="763"/>
      <c r="AY36" s="763"/>
      <c r="AZ36" s="763"/>
      <c r="BA36" s="763"/>
      <c r="BB36" s="763"/>
      <c r="BC36" s="763"/>
      <c r="BD36" s="763"/>
      <c r="BE36" s="763"/>
      <c r="BF36" s="763"/>
      <c r="BG36" s="763"/>
      <c r="BH36" s="763"/>
      <c r="BI36" s="763"/>
      <c r="BJ36" s="763"/>
      <c r="BK36" s="763"/>
      <c r="BL36" s="763"/>
      <c r="BM36" s="763"/>
      <c r="BN36" s="763"/>
      <c r="BO36" s="763"/>
      <c r="BP36" s="763"/>
      <c r="BQ36" s="763"/>
      <c r="BR36" s="763"/>
      <c r="BS36" s="763"/>
      <c r="BT36" s="763"/>
      <c r="BU36" s="763"/>
      <c r="BV36" s="763"/>
      <c r="BW36" s="763"/>
      <c r="BX36" s="763"/>
      <c r="BY36" s="763"/>
      <c r="BZ36" s="763"/>
      <c r="CA36" s="763"/>
      <c r="CB36" s="763"/>
      <c r="CC36" s="763"/>
      <c r="CD36" s="763"/>
      <c r="CE36" s="763"/>
      <c r="CF36" s="763"/>
      <c r="CG36" s="763"/>
      <c r="CH36" s="763"/>
      <c r="CI36" s="763"/>
      <c r="CJ36" s="763"/>
      <c r="CK36" s="763"/>
      <c r="CL36" s="763"/>
      <c r="CM36" s="763"/>
      <c r="CN36" s="763"/>
      <c r="CO36" s="763"/>
      <c r="CP36" s="763"/>
      <c r="CQ36" s="763"/>
      <c r="CR36" s="763"/>
      <c r="CS36" s="763"/>
      <c r="CT36" s="763"/>
      <c r="CU36" s="763"/>
      <c r="CV36" s="763"/>
      <c r="CW36" s="763"/>
      <c r="CX36" s="763"/>
      <c r="CY36" s="763"/>
      <c r="CZ36" s="763"/>
      <c r="DA36" s="763"/>
      <c r="DB36" s="763"/>
      <c r="DC36" s="763"/>
      <c r="DD36" s="763"/>
      <c r="DE36" s="763"/>
      <c r="DF36" s="763"/>
      <c r="DG36" s="763"/>
      <c r="DH36" s="763"/>
      <c r="DI36" s="763"/>
      <c r="DJ36" s="763"/>
      <c r="DK36" s="763"/>
      <c r="DL36" s="763"/>
      <c r="DM36" s="763"/>
      <c r="DN36" s="763"/>
      <c r="DO36" s="763"/>
      <c r="DP36" s="763"/>
      <c r="DQ36" s="763"/>
      <c r="DR36" s="763"/>
      <c r="DS36" s="763"/>
      <c r="DT36" s="763"/>
      <c r="DU36" s="763"/>
      <c r="DV36" s="763"/>
      <c r="DW36" s="763"/>
      <c r="DX36" s="763"/>
      <c r="DY36" s="763"/>
      <c r="DZ36" s="763"/>
      <c r="EA36" s="763"/>
    </row>
    <row r="37" spans="1:131" s="899" customFormat="1" ht="12" customHeight="1" x14ac:dyDescent="0.2">
      <c r="A37" s="426"/>
      <c r="B37" s="426"/>
      <c r="C37" s="426"/>
      <c r="D37" s="426"/>
      <c r="E37" s="426"/>
      <c r="F37" s="426"/>
      <c r="G37" s="426"/>
      <c r="H37" s="426"/>
      <c r="I37" s="426"/>
      <c r="J37" s="480"/>
      <c r="K37" s="753">
        <v>3</v>
      </c>
      <c r="L37" s="765">
        <v>0.3</v>
      </c>
      <c r="M37" s="1371"/>
      <c r="N37" s="1371"/>
      <c r="O37" s="480"/>
      <c r="P37" s="766"/>
      <c r="Q37" s="480"/>
      <c r="R37" s="763"/>
      <c r="S37" s="763"/>
      <c r="T37" s="763"/>
      <c r="U37" s="763"/>
      <c r="V37" s="763"/>
      <c r="W37" s="763"/>
      <c r="X37" s="763"/>
      <c r="Y37" s="763"/>
      <c r="Z37" s="763"/>
      <c r="AA37" s="763"/>
      <c r="AB37" s="763"/>
      <c r="AC37" s="763"/>
      <c r="AD37" s="763"/>
      <c r="AE37" s="763"/>
      <c r="AF37" s="763"/>
      <c r="AG37" s="763"/>
      <c r="AH37" s="763"/>
      <c r="AI37" s="763"/>
      <c r="AJ37" s="763"/>
      <c r="AK37" s="763"/>
      <c r="AL37" s="763"/>
      <c r="AM37" s="763"/>
      <c r="AN37" s="763"/>
      <c r="AO37" s="763"/>
      <c r="AP37" s="763"/>
      <c r="AQ37" s="763"/>
      <c r="AR37" s="763"/>
      <c r="AS37" s="763"/>
      <c r="AT37" s="763"/>
      <c r="AU37" s="763"/>
      <c r="AV37" s="763"/>
      <c r="AW37" s="763"/>
      <c r="AX37" s="763"/>
      <c r="AY37" s="763"/>
      <c r="AZ37" s="763"/>
      <c r="BA37" s="763"/>
      <c r="BB37" s="763"/>
      <c r="BC37" s="763"/>
      <c r="BD37" s="763"/>
      <c r="BE37" s="763"/>
      <c r="BF37" s="763"/>
      <c r="BG37" s="763"/>
      <c r="BH37" s="763"/>
      <c r="BI37" s="763"/>
      <c r="BJ37" s="763"/>
      <c r="BK37" s="763"/>
      <c r="BL37" s="763"/>
      <c r="BM37" s="763"/>
      <c r="BN37" s="763"/>
      <c r="BO37" s="763"/>
      <c r="BP37" s="763"/>
      <c r="BQ37" s="763"/>
      <c r="BR37" s="763"/>
      <c r="BS37" s="763"/>
      <c r="BT37" s="763"/>
      <c r="BU37" s="763"/>
      <c r="BV37" s="763"/>
      <c r="BW37" s="763"/>
      <c r="BX37" s="763"/>
      <c r="BY37" s="763"/>
      <c r="BZ37" s="763"/>
      <c r="CA37" s="763"/>
      <c r="CB37" s="763"/>
      <c r="CC37" s="763"/>
      <c r="CD37" s="763"/>
      <c r="CE37" s="763"/>
      <c r="CF37" s="763"/>
      <c r="CG37" s="763"/>
      <c r="CH37" s="763"/>
      <c r="CI37" s="763"/>
      <c r="CJ37" s="763"/>
      <c r="CK37" s="763"/>
      <c r="CL37" s="763"/>
      <c r="CM37" s="763"/>
      <c r="CN37" s="763"/>
      <c r="CO37" s="763"/>
      <c r="CP37" s="763"/>
      <c r="CQ37" s="763"/>
      <c r="CR37" s="763"/>
      <c r="CS37" s="763"/>
      <c r="CT37" s="763"/>
      <c r="CU37" s="763"/>
      <c r="CV37" s="763"/>
      <c r="CW37" s="763"/>
      <c r="CX37" s="763"/>
      <c r="CY37" s="763"/>
      <c r="CZ37" s="763"/>
      <c r="DA37" s="763"/>
      <c r="DB37" s="763"/>
      <c r="DC37" s="763"/>
      <c r="DD37" s="763"/>
      <c r="DE37" s="763"/>
      <c r="DF37" s="763"/>
      <c r="DG37" s="763"/>
      <c r="DH37" s="763"/>
      <c r="DI37" s="763"/>
      <c r="DJ37" s="763"/>
      <c r="DK37" s="763"/>
      <c r="DL37" s="763"/>
      <c r="DM37" s="763"/>
      <c r="DN37" s="763"/>
      <c r="DO37" s="763"/>
      <c r="DP37" s="763"/>
      <c r="DQ37" s="763"/>
      <c r="DR37" s="763"/>
      <c r="DS37" s="763"/>
      <c r="DT37" s="763"/>
      <c r="DU37" s="763"/>
      <c r="DV37" s="763"/>
      <c r="DW37" s="763"/>
      <c r="DX37" s="763"/>
      <c r="DY37" s="763"/>
      <c r="DZ37" s="763"/>
      <c r="EA37" s="763"/>
    </row>
    <row r="38" spans="1:131" x14ac:dyDescent="0.2">
      <c r="A38" s="899"/>
      <c r="B38" s="899"/>
      <c r="C38" s="899"/>
      <c r="D38" s="899"/>
      <c r="E38" s="899"/>
      <c r="F38" s="899"/>
      <c r="G38" s="899"/>
      <c r="H38" s="899"/>
      <c r="I38" s="899"/>
      <c r="J38" s="763"/>
      <c r="K38" s="899"/>
      <c r="L38" s="899"/>
      <c r="M38" s="899"/>
      <c r="N38" s="899"/>
      <c r="O38" s="763"/>
      <c r="P38" s="762"/>
      <c r="Q38" s="763"/>
      <c r="R38" s="763"/>
      <c r="S38" s="763"/>
      <c r="T38" s="763"/>
      <c r="U38" s="763"/>
      <c r="V38" s="763"/>
      <c r="W38" s="763"/>
      <c r="X38" s="763"/>
      <c r="Y38" s="763"/>
      <c r="Z38" s="763"/>
      <c r="AA38" s="763"/>
      <c r="AB38" s="763"/>
      <c r="AC38" s="763"/>
      <c r="AD38" s="763"/>
      <c r="AE38" s="763"/>
      <c r="AF38" s="763"/>
    </row>
    <row r="39" spans="1:131" x14ac:dyDescent="0.2">
      <c r="A39" s="899"/>
      <c r="B39" s="899"/>
      <c r="C39" s="899"/>
      <c r="D39" s="899"/>
      <c r="E39" s="899"/>
      <c r="F39" s="899"/>
      <c r="G39" s="899"/>
      <c r="H39" s="899"/>
      <c r="I39" s="899"/>
      <c r="J39" s="763"/>
      <c r="K39" s="763"/>
      <c r="L39" s="763"/>
      <c r="M39" s="763"/>
      <c r="N39" s="763"/>
      <c r="O39" s="763"/>
      <c r="P39" s="762"/>
      <c r="Q39" s="763"/>
      <c r="R39" s="763"/>
      <c r="S39" s="763"/>
      <c r="T39" s="763"/>
      <c r="U39" s="763"/>
      <c r="V39" s="763"/>
      <c r="W39" s="763"/>
      <c r="X39" s="763"/>
      <c r="Y39" s="763"/>
      <c r="Z39" s="763"/>
      <c r="AA39" s="763"/>
      <c r="AB39" s="763"/>
      <c r="AC39" s="763"/>
      <c r="AD39" s="763"/>
      <c r="AE39" s="763"/>
      <c r="AF39" s="763"/>
    </row>
    <row r="40" spans="1:131" x14ac:dyDescent="0.2">
      <c r="A40" s="899"/>
      <c r="B40" s="899"/>
      <c r="C40" s="899"/>
      <c r="D40" s="899"/>
      <c r="E40" s="899"/>
      <c r="F40" s="899"/>
      <c r="G40" s="899"/>
      <c r="H40" s="899"/>
      <c r="I40" s="899"/>
      <c r="J40" s="763"/>
      <c r="K40" s="763"/>
      <c r="L40" s="763"/>
      <c r="M40" s="763"/>
      <c r="N40" s="763"/>
      <c r="O40" s="763"/>
      <c r="P40" s="762"/>
      <c r="Q40" s="763"/>
      <c r="R40" s="763"/>
      <c r="S40" s="763"/>
      <c r="T40" s="763"/>
      <c r="U40" s="763"/>
      <c r="V40" s="763"/>
      <c r="W40" s="763"/>
      <c r="X40" s="763"/>
      <c r="Y40" s="763"/>
      <c r="Z40" s="763"/>
      <c r="AA40" s="763"/>
      <c r="AB40" s="763"/>
      <c r="AC40" s="763"/>
      <c r="AD40" s="763"/>
      <c r="AE40" s="763"/>
      <c r="AF40" s="763"/>
    </row>
    <row r="41" spans="1:131" x14ac:dyDescent="0.2">
      <c r="A41" s="899"/>
      <c r="B41" s="899"/>
      <c r="C41" s="899"/>
      <c r="D41" s="899"/>
      <c r="E41" s="899"/>
      <c r="F41" s="899"/>
      <c r="G41" s="899"/>
      <c r="H41" s="899"/>
      <c r="I41" s="899"/>
      <c r="J41" s="763"/>
      <c r="K41" s="763"/>
      <c r="L41" s="763"/>
      <c r="M41" s="763"/>
      <c r="N41" s="763"/>
      <c r="O41" s="763"/>
      <c r="P41" s="762"/>
      <c r="Q41" s="763"/>
      <c r="R41" s="763"/>
      <c r="S41" s="763"/>
      <c r="T41" s="763"/>
      <c r="U41" s="763"/>
      <c r="V41" s="763"/>
      <c r="W41" s="763"/>
      <c r="X41" s="763"/>
      <c r="Y41" s="763"/>
      <c r="Z41" s="763"/>
      <c r="AA41" s="763"/>
      <c r="AB41" s="763"/>
      <c r="AC41" s="763"/>
      <c r="AD41" s="763"/>
      <c r="AE41" s="763"/>
      <c r="AF41" s="763"/>
    </row>
    <row r="42" spans="1:131" x14ac:dyDescent="0.2">
      <c r="A42" s="899"/>
      <c r="B42" s="899"/>
      <c r="C42" s="899"/>
      <c r="D42" s="899"/>
      <c r="E42" s="899"/>
      <c r="F42" s="899"/>
      <c r="G42" s="899"/>
      <c r="H42" s="899"/>
      <c r="I42" s="899"/>
      <c r="J42" s="763"/>
      <c r="K42" s="763"/>
      <c r="L42" s="763"/>
      <c r="M42" s="763"/>
      <c r="N42" s="763"/>
      <c r="O42" s="763"/>
      <c r="P42" s="762"/>
      <c r="Q42" s="763"/>
      <c r="R42" s="763"/>
      <c r="S42" s="763"/>
      <c r="T42" s="763"/>
      <c r="U42" s="763"/>
      <c r="V42" s="763"/>
      <c r="W42" s="763"/>
      <c r="X42" s="763"/>
      <c r="Y42" s="763"/>
      <c r="Z42" s="763"/>
      <c r="AA42" s="763"/>
      <c r="AB42" s="763"/>
      <c r="AC42" s="763"/>
      <c r="AD42" s="763"/>
      <c r="AE42" s="763"/>
      <c r="AF42" s="763"/>
    </row>
  </sheetData>
  <sheetProtection password="EF6F" sheet="1" objects="1" scenarios="1"/>
  <mergeCells count="79">
    <mergeCell ref="N33:N34"/>
    <mergeCell ref="B34:G34"/>
    <mergeCell ref="B35:G35"/>
    <mergeCell ref="M35:M37"/>
    <mergeCell ref="N35:N37"/>
    <mergeCell ref="B33:G33"/>
    <mergeCell ref="K33:K34"/>
    <mergeCell ref="L33:L34"/>
    <mergeCell ref="M33:M34"/>
    <mergeCell ref="B30:D30"/>
    <mergeCell ref="B32:G32"/>
    <mergeCell ref="K32:N32"/>
    <mergeCell ref="B28:D29"/>
    <mergeCell ref="I28:I29"/>
    <mergeCell ref="J28:L28"/>
    <mergeCell ref="M28:O28"/>
    <mergeCell ref="B17:B24"/>
    <mergeCell ref="D17:E17"/>
    <mergeCell ref="P28:P29"/>
    <mergeCell ref="Q28:Q29"/>
    <mergeCell ref="D24:E24"/>
    <mergeCell ref="C25:E25"/>
    <mergeCell ref="C26:D26"/>
    <mergeCell ref="P26:Q26"/>
    <mergeCell ref="Y17:Y24"/>
    <mergeCell ref="Z17:Z24"/>
    <mergeCell ref="D18:E18"/>
    <mergeCell ref="D19:E19"/>
    <mergeCell ref="D20:E20"/>
    <mergeCell ref="D21:E21"/>
    <mergeCell ref="D22:E22"/>
    <mergeCell ref="D23:E23"/>
    <mergeCell ref="AA10:AA16"/>
    <mergeCell ref="AB10:AB13"/>
    <mergeCell ref="AC10:AC13"/>
    <mergeCell ref="AD10:AD13"/>
    <mergeCell ref="D15:E15"/>
    <mergeCell ref="D16:E16"/>
    <mergeCell ref="AE10:AE24"/>
    <mergeCell ref="D11:E11"/>
    <mergeCell ref="D12:E12"/>
    <mergeCell ref="D13:E13"/>
    <mergeCell ref="AB14:AB16"/>
    <mergeCell ref="AC14:AC24"/>
    <mergeCell ref="AD14:AD16"/>
    <mergeCell ref="AA17:AA24"/>
    <mergeCell ref="AB17:AB24"/>
    <mergeCell ref="AD17:AD24"/>
    <mergeCell ref="B10:B13"/>
    <mergeCell ref="D10:E10"/>
    <mergeCell ref="Y10:Y13"/>
    <mergeCell ref="Z10:Z13"/>
    <mergeCell ref="B14:B16"/>
    <mergeCell ref="D14:E14"/>
    <mergeCell ref="Y14:Y16"/>
    <mergeCell ref="Z14:Z16"/>
    <mergeCell ref="M2:O2"/>
    <mergeCell ref="O7:O9"/>
    <mergeCell ref="AD7:AD9"/>
    <mergeCell ref="AE7:AE9"/>
    <mergeCell ref="M8:N8"/>
    <mergeCell ref="Z7:Z9"/>
    <mergeCell ref="AA7:AA9"/>
    <mergeCell ref="AB7:AB9"/>
    <mergeCell ref="H7:H9"/>
    <mergeCell ref="I7:N7"/>
    <mergeCell ref="AC7:AC9"/>
    <mergeCell ref="P7:Q8"/>
    <mergeCell ref="V7:V9"/>
    <mergeCell ref="W7:X8"/>
    <mergeCell ref="Y7:Y9"/>
    <mergeCell ref="I8:J8"/>
    <mergeCell ref="K8:L8"/>
    <mergeCell ref="C4:D4"/>
    <mergeCell ref="B7:B9"/>
    <mergeCell ref="C7:E7"/>
    <mergeCell ref="G7:G9"/>
    <mergeCell ref="C8:C9"/>
    <mergeCell ref="D8:E9"/>
  </mergeCells>
  <phoneticPr fontId="36" type="noConversion"/>
  <dataValidations count="1">
    <dataValidation type="decimal" operator="greaterThanOrEqual" allowBlank="1" showInputMessage="1" showErrorMessage="1" sqref="I10:L24">
      <formula1>0</formula1>
    </dataValidation>
  </dataValidations>
  <pageMargins left="0.25" right="0.25" top="1" bottom="1" header="0.5" footer="0.5"/>
  <pageSetup paperSize="9" scale="74" orientation="landscape" r:id="rId1"/>
  <headerFooter alignWithMargins="0">
    <oddHeader>&amp;C&amp;"Arial,Bold"&amp;8 NEW RURAL BANK OF SAN LEONARDO, INC  [ 04-040656 ]
 As of: September 30, 2017</oddHeader>
  </headerFooter>
  <colBreaks count="1" manualBreakCount="1">
    <brk id="15" max="1048575" man="1"/>
  </colBreak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BJ45"/>
  <sheetViews>
    <sheetView view="pageBreakPreview" topLeftCell="A4" zoomScale="130" zoomScaleNormal="100" workbookViewId="0">
      <selection activeCell="A44" sqref="A44"/>
    </sheetView>
  </sheetViews>
  <sheetFormatPr defaultRowHeight="12.75" x14ac:dyDescent="0.2"/>
  <cols>
    <col min="1" max="1" width="8" style="889" customWidth="1"/>
    <col min="2" max="2" width="38.5703125" style="889" customWidth="1"/>
    <col min="3" max="3" width="11.85546875" style="889" customWidth="1"/>
    <col min="4" max="4" width="17.140625" style="889" hidden="1" customWidth="1"/>
    <col min="5" max="5" width="40" style="889" hidden="1" customWidth="1"/>
    <col min="6" max="6" width="9.140625" style="889" hidden="1" customWidth="1"/>
    <col min="7" max="7" width="16.7109375" style="889" bestFit="1" customWidth="1"/>
    <col min="8" max="8" width="40.28515625" style="889" hidden="1" customWidth="1"/>
    <col min="9" max="9" width="15.85546875" style="889" customWidth="1"/>
    <col min="10" max="10" width="15.85546875" style="891" customWidth="1"/>
    <col min="11" max="11" width="6" style="1045" hidden="1" customWidth="1"/>
    <col min="12" max="12" width="6" style="1045" customWidth="1"/>
    <col min="13" max="13" width="15.85546875" style="891" customWidth="1"/>
  </cols>
  <sheetData>
    <row r="1" spans="1:62" s="889" customFormat="1" hidden="1" x14ac:dyDescent="0.2">
      <c r="A1" s="426"/>
      <c r="B1" s="426"/>
      <c r="C1" s="426"/>
      <c r="D1" s="426"/>
      <c r="E1" s="426"/>
      <c r="F1" s="426"/>
      <c r="G1" s="426"/>
      <c r="H1" s="426"/>
      <c r="I1" s="426"/>
      <c r="J1" s="480"/>
      <c r="K1" s="789"/>
      <c r="L1" s="789"/>
      <c r="M1" s="480"/>
      <c r="N1" s="891"/>
      <c r="O1" s="891"/>
      <c r="P1" s="891"/>
      <c r="Q1" s="891"/>
      <c r="R1" s="891"/>
      <c r="S1" s="891"/>
      <c r="T1" s="891"/>
      <c r="U1" s="891"/>
      <c r="V1" s="891"/>
      <c r="W1" s="891"/>
      <c r="X1" s="891"/>
      <c r="Y1" s="891"/>
      <c r="Z1" s="891"/>
      <c r="AA1" s="891"/>
      <c r="AB1" s="891"/>
      <c r="AC1" s="891"/>
      <c r="AD1" s="891"/>
      <c r="AE1" s="891"/>
      <c r="AF1" s="891"/>
      <c r="AG1" s="891"/>
      <c r="AH1" s="891"/>
      <c r="AI1" s="891"/>
      <c r="AJ1" s="891"/>
      <c r="AK1" s="891"/>
      <c r="AL1" s="891"/>
      <c r="AM1" s="891"/>
      <c r="AN1" s="891"/>
      <c r="AO1" s="891"/>
      <c r="AP1" s="891"/>
      <c r="AQ1" s="891"/>
      <c r="AR1" s="891"/>
      <c r="AS1" s="891"/>
      <c r="AT1" s="891"/>
      <c r="AU1" s="891"/>
      <c r="AV1" s="891"/>
      <c r="AW1" s="891"/>
      <c r="AX1" s="891"/>
      <c r="AY1" s="891"/>
      <c r="AZ1" s="891"/>
      <c r="BA1" s="891"/>
      <c r="BB1" s="891"/>
      <c r="BC1" s="891"/>
      <c r="BD1" s="891"/>
      <c r="BE1" s="891"/>
      <c r="BF1" s="891"/>
      <c r="BG1" s="891"/>
      <c r="BH1" s="891"/>
      <c r="BI1" s="891"/>
      <c r="BJ1" s="891"/>
    </row>
    <row r="2" spans="1:62" s="889" customFormat="1" hidden="1" x14ac:dyDescent="0.2">
      <c r="A2" s="426"/>
      <c r="B2" s="426"/>
      <c r="C2" s="426"/>
      <c r="D2" s="426"/>
      <c r="E2" s="426"/>
      <c r="F2" s="426"/>
      <c r="G2" s="426"/>
      <c r="H2" s="426"/>
      <c r="I2" s="426"/>
      <c r="J2" s="480"/>
      <c r="K2" s="789"/>
      <c r="L2" s="789"/>
      <c r="M2" s="480"/>
      <c r="N2" s="891"/>
      <c r="O2" s="891"/>
      <c r="P2" s="891"/>
      <c r="Q2" s="891"/>
      <c r="R2" s="891"/>
      <c r="S2" s="891"/>
      <c r="T2" s="891"/>
      <c r="U2" s="891"/>
      <c r="V2" s="891"/>
      <c r="W2" s="891"/>
      <c r="X2" s="891"/>
      <c r="Y2" s="891"/>
      <c r="Z2" s="891"/>
      <c r="AA2" s="891"/>
      <c r="AB2" s="891"/>
      <c r="AC2" s="891"/>
      <c r="AD2" s="891"/>
      <c r="AE2" s="891"/>
      <c r="AF2" s="891"/>
      <c r="AG2" s="891"/>
      <c r="AH2" s="891"/>
      <c r="AI2" s="891"/>
      <c r="AJ2" s="891"/>
      <c r="AK2" s="891"/>
      <c r="AL2" s="891"/>
      <c r="AM2" s="891"/>
      <c r="AN2" s="891"/>
      <c r="AO2" s="891"/>
      <c r="AP2" s="891"/>
      <c r="AQ2" s="891"/>
      <c r="AR2" s="891"/>
      <c r="AS2" s="891"/>
      <c r="AT2" s="891"/>
      <c r="AU2" s="891"/>
      <c r="AV2" s="891"/>
      <c r="AW2" s="891"/>
      <c r="AX2" s="891"/>
      <c r="AY2" s="891"/>
      <c r="AZ2" s="891"/>
      <c r="BA2" s="891"/>
      <c r="BB2" s="891"/>
      <c r="BC2" s="891"/>
      <c r="BD2" s="891"/>
      <c r="BE2" s="891"/>
      <c r="BF2" s="891"/>
      <c r="BG2" s="891"/>
      <c r="BH2" s="891"/>
      <c r="BI2" s="891"/>
      <c r="BJ2" s="891"/>
    </row>
    <row r="3" spans="1:62" s="889" customFormat="1" hidden="1" x14ac:dyDescent="0.2">
      <c r="A3" s="426"/>
      <c r="B3" s="426"/>
      <c r="C3" s="426"/>
      <c r="D3" s="426"/>
      <c r="E3" s="426"/>
      <c r="F3" s="426"/>
      <c r="G3" s="426"/>
      <c r="H3" s="426"/>
      <c r="I3" s="426"/>
      <c r="J3" s="480"/>
      <c r="K3" s="789"/>
      <c r="L3" s="789"/>
      <c r="M3" s="480"/>
      <c r="N3" s="891"/>
      <c r="O3" s="891"/>
      <c r="P3" s="891"/>
      <c r="Q3" s="891"/>
      <c r="R3" s="891"/>
      <c r="S3" s="891"/>
      <c r="T3" s="891"/>
      <c r="U3" s="891"/>
      <c r="V3" s="891"/>
      <c r="W3" s="891"/>
      <c r="X3" s="891"/>
      <c r="Y3" s="891"/>
      <c r="Z3" s="891"/>
      <c r="AA3" s="891"/>
      <c r="AB3" s="891"/>
      <c r="AC3" s="891"/>
      <c r="AD3" s="891"/>
      <c r="AE3" s="891"/>
      <c r="AF3" s="891"/>
      <c r="AG3" s="891"/>
      <c r="AH3" s="891"/>
      <c r="AI3" s="891"/>
      <c r="AJ3" s="891"/>
      <c r="AK3" s="891"/>
      <c r="AL3" s="891"/>
      <c r="AM3" s="891"/>
      <c r="AN3" s="891"/>
      <c r="AO3" s="891"/>
      <c r="AP3" s="891"/>
      <c r="AQ3" s="891"/>
      <c r="AR3" s="891"/>
      <c r="AS3" s="891"/>
      <c r="AT3" s="891"/>
      <c r="AU3" s="891"/>
      <c r="AV3" s="891"/>
      <c r="AW3" s="891"/>
      <c r="AX3" s="891"/>
      <c r="AY3" s="891"/>
      <c r="AZ3" s="891"/>
      <c r="BA3" s="891"/>
      <c r="BB3" s="891"/>
      <c r="BC3" s="891"/>
      <c r="BD3" s="891"/>
      <c r="BE3" s="891"/>
      <c r="BF3" s="891"/>
      <c r="BG3" s="891"/>
      <c r="BH3" s="891"/>
      <c r="BI3" s="891"/>
      <c r="BJ3" s="891"/>
    </row>
    <row r="4" spans="1:62" s="889" customFormat="1" x14ac:dyDescent="0.2">
      <c r="A4" s="426"/>
      <c r="B4" s="426"/>
      <c r="C4" s="426"/>
      <c r="D4" s="426"/>
      <c r="E4" s="426"/>
      <c r="F4" s="426"/>
      <c r="G4" s="426"/>
      <c r="H4" s="426"/>
      <c r="I4" s="426"/>
      <c r="J4" s="426"/>
      <c r="K4" s="790"/>
      <c r="L4" s="790"/>
      <c r="M4" s="480"/>
      <c r="N4" s="891"/>
      <c r="O4" s="891"/>
      <c r="P4" s="891"/>
      <c r="Q4" s="891"/>
      <c r="R4" s="891"/>
      <c r="S4" s="891"/>
      <c r="T4" s="891"/>
      <c r="U4" s="891"/>
      <c r="V4" s="891"/>
      <c r="W4" s="891"/>
      <c r="X4" s="891"/>
      <c r="Y4" s="891"/>
      <c r="Z4" s="891"/>
      <c r="AA4" s="891"/>
      <c r="AB4" s="891"/>
      <c r="AC4" s="891"/>
      <c r="AD4" s="891"/>
      <c r="AE4" s="891"/>
      <c r="AF4" s="891"/>
      <c r="AG4" s="891"/>
      <c r="AH4" s="891"/>
      <c r="AI4" s="891"/>
      <c r="AJ4" s="891"/>
      <c r="AK4" s="891"/>
      <c r="AL4" s="891"/>
      <c r="AM4" s="891"/>
      <c r="AN4" s="891"/>
      <c r="AO4" s="891"/>
      <c r="AP4" s="891"/>
      <c r="AQ4" s="891"/>
      <c r="AR4" s="891"/>
      <c r="AS4" s="891"/>
      <c r="AT4" s="891"/>
      <c r="AU4" s="891"/>
      <c r="AV4" s="891"/>
      <c r="AW4" s="891"/>
      <c r="AX4" s="891"/>
      <c r="AY4" s="891"/>
      <c r="AZ4" s="891"/>
      <c r="BA4" s="891"/>
      <c r="BB4" s="891"/>
      <c r="BC4" s="891"/>
      <c r="BD4" s="891"/>
      <c r="BE4" s="891"/>
      <c r="BF4" s="891"/>
      <c r="BG4" s="891"/>
      <c r="BH4" s="891"/>
      <c r="BI4" s="891"/>
      <c r="BJ4" s="891"/>
    </row>
    <row r="5" spans="1:62" s="889" customFormat="1" x14ac:dyDescent="0.2">
      <c r="A5" s="428" t="s">
        <v>358</v>
      </c>
      <c r="B5" s="428"/>
      <c r="C5" s="426"/>
      <c r="D5" s="426"/>
      <c r="E5" s="426"/>
      <c r="F5" s="426"/>
      <c r="G5" s="426"/>
      <c r="H5" s="426"/>
      <c r="I5" s="426"/>
      <c r="J5" s="426"/>
      <c r="K5" s="790"/>
      <c r="L5" s="790"/>
      <c r="M5" s="480"/>
      <c r="N5" s="891"/>
      <c r="O5" s="891"/>
      <c r="P5" s="891"/>
      <c r="Q5" s="891"/>
      <c r="R5" s="891"/>
      <c r="S5" s="891"/>
      <c r="T5" s="891"/>
      <c r="U5" s="891"/>
      <c r="V5" s="891"/>
      <c r="W5" s="891"/>
      <c r="X5" s="891"/>
      <c r="Y5" s="891"/>
      <c r="Z5" s="891"/>
      <c r="AA5" s="891"/>
      <c r="AB5" s="891"/>
      <c r="AC5" s="891"/>
      <c r="AD5" s="891"/>
      <c r="AE5" s="891"/>
      <c r="AF5" s="891"/>
      <c r="AG5" s="891"/>
      <c r="AH5" s="891"/>
      <c r="AI5" s="891"/>
      <c r="AJ5" s="891"/>
      <c r="AK5" s="891"/>
      <c r="AL5" s="891"/>
      <c r="AM5" s="891"/>
      <c r="AN5" s="891"/>
      <c r="AO5" s="891"/>
      <c r="AP5" s="891"/>
      <c r="AQ5" s="891"/>
      <c r="AR5" s="891"/>
      <c r="AS5" s="891"/>
      <c r="AT5" s="891"/>
      <c r="AU5" s="891"/>
      <c r="AV5" s="891"/>
      <c r="AW5" s="891"/>
      <c r="AX5" s="891"/>
      <c r="AY5" s="891"/>
      <c r="AZ5" s="891"/>
      <c r="BA5" s="891"/>
      <c r="BB5" s="891"/>
      <c r="BC5" s="891"/>
      <c r="BD5" s="891"/>
      <c r="BE5" s="891"/>
      <c r="BF5" s="891"/>
      <c r="BG5" s="891"/>
      <c r="BH5" s="891"/>
      <c r="BI5" s="891"/>
      <c r="BJ5" s="891"/>
    </row>
    <row r="6" spans="1:62" s="889" customFormat="1" x14ac:dyDescent="0.2">
      <c r="A6" s="426"/>
      <c r="B6" s="426"/>
      <c r="C6" s="426"/>
      <c r="D6" s="426"/>
      <c r="E6" s="426"/>
      <c r="F6" s="426"/>
      <c r="G6" s="426"/>
      <c r="H6" s="426"/>
      <c r="I6" s="426"/>
      <c r="J6" s="426"/>
      <c r="K6" s="790"/>
      <c r="L6" s="790"/>
      <c r="M6" s="480"/>
      <c r="N6" s="891"/>
      <c r="O6" s="891"/>
      <c r="P6" s="891"/>
      <c r="Q6" s="891"/>
      <c r="R6" s="891"/>
      <c r="S6" s="891"/>
      <c r="T6" s="891"/>
      <c r="U6" s="891"/>
      <c r="V6" s="891"/>
      <c r="W6" s="891"/>
      <c r="X6" s="891"/>
      <c r="Y6" s="891"/>
      <c r="Z6" s="891"/>
      <c r="AA6" s="891"/>
      <c r="AB6" s="891"/>
      <c r="AC6" s="891"/>
      <c r="AD6" s="891"/>
      <c r="AE6" s="891"/>
      <c r="AF6" s="891"/>
      <c r="AG6" s="891"/>
      <c r="AH6" s="891"/>
      <c r="AI6" s="891"/>
      <c r="AJ6" s="891"/>
      <c r="AK6" s="891"/>
      <c r="AL6" s="891"/>
      <c r="AM6" s="891"/>
      <c r="AN6" s="891"/>
      <c r="AO6" s="891"/>
      <c r="AP6" s="891"/>
      <c r="AQ6" s="891"/>
      <c r="AR6" s="891"/>
      <c r="AS6" s="891"/>
      <c r="AT6" s="891"/>
      <c r="AU6" s="891"/>
      <c r="AV6" s="891"/>
      <c r="AW6" s="891"/>
      <c r="AX6" s="891"/>
      <c r="AY6" s="891"/>
      <c r="AZ6" s="891"/>
      <c r="BA6" s="891"/>
      <c r="BB6" s="891"/>
      <c r="BC6" s="891"/>
      <c r="BD6" s="891"/>
      <c r="BE6" s="891"/>
      <c r="BF6" s="891"/>
      <c r="BG6" s="891"/>
      <c r="BH6" s="891"/>
      <c r="BI6" s="891"/>
      <c r="BJ6" s="891"/>
    </row>
    <row r="7" spans="1:62" s="899" customFormat="1" ht="11.25" x14ac:dyDescent="0.2">
      <c r="A7" s="1313" t="s">
        <v>964</v>
      </c>
      <c r="B7" s="1313" t="s">
        <v>256</v>
      </c>
      <c r="C7" s="1313" t="s">
        <v>107</v>
      </c>
      <c r="D7" s="426"/>
      <c r="E7" s="426"/>
      <c r="F7" s="426"/>
      <c r="G7" s="1313" t="s">
        <v>257</v>
      </c>
      <c r="H7" s="1313"/>
      <c r="I7" s="1384" t="s">
        <v>359</v>
      </c>
      <c r="J7" s="1385"/>
      <c r="K7" s="1385"/>
      <c r="L7" s="1386"/>
      <c r="M7" s="686" t="s">
        <v>1411</v>
      </c>
      <c r="N7" s="763"/>
      <c r="O7" s="763"/>
      <c r="P7" s="763"/>
      <c r="Q7" s="763"/>
      <c r="R7" s="763"/>
      <c r="S7" s="763"/>
      <c r="T7" s="763"/>
      <c r="U7" s="763"/>
      <c r="V7" s="763"/>
      <c r="W7" s="763"/>
      <c r="X7" s="763"/>
      <c r="Y7" s="763"/>
      <c r="Z7" s="763"/>
      <c r="AA7" s="763"/>
      <c r="AB7" s="763"/>
      <c r="AC7" s="763"/>
      <c r="AD7" s="763"/>
      <c r="AE7" s="763"/>
      <c r="AF7" s="763"/>
      <c r="AG7" s="763"/>
      <c r="AH7" s="763"/>
      <c r="AI7" s="763"/>
      <c r="AJ7" s="763"/>
      <c r="AK7" s="763"/>
      <c r="AL7" s="763"/>
      <c r="AM7" s="763"/>
      <c r="AN7" s="763"/>
      <c r="AO7" s="763"/>
      <c r="AP7" s="763"/>
      <c r="AQ7" s="763"/>
      <c r="AR7" s="763"/>
      <c r="AS7" s="763"/>
      <c r="AT7" s="763"/>
      <c r="AU7" s="763"/>
      <c r="AV7" s="763"/>
      <c r="AW7" s="763"/>
      <c r="AX7" s="763"/>
      <c r="AY7" s="763"/>
      <c r="AZ7" s="763"/>
      <c r="BA7" s="763"/>
      <c r="BB7" s="763"/>
      <c r="BC7" s="763"/>
      <c r="BD7" s="763"/>
      <c r="BE7" s="763"/>
      <c r="BF7" s="763"/>
      <c r="BG7" s="763"/>
      <c r="BH7" s="763"/>
      <c r="BI7" s="763"/>
      <c r="BJ7" s="763"/>
    </row>
    <row r="8" spans="1:62" s="899" customFormat="1" ht="32.25" customHeight="1" x14ac:dyDescent="0.2">
      <c r="A8" s="1230"/>
      <c r="B8" s="1230"/>
      <c r="C8" s="1230"/>
      <c r="D8" s="426"/>
      <c r="E8" s="426"/>
      <c r="F8" s="426"/>
      <c r="G8" s="1230"/>
      <c r="H8" s="1230"/>
      <c r="I8" s="791"/>
      <c r="J8" s="1318" t="s">
        <v>360</v>
      </c>
      <c r="K8" s="1387"/>
      <c r="L8" s="1253"/>
      <c r="M8" s="482"/>
      <c r="N8" s="763"/>
      <c r="O8" s="763"/>
      <c r="P8" s="763"/>
      <c r="Q8" s="763"/>
      <c r="R8" s="763"/>
      <c r="S8" s="763"/>
      <c r="T8" s="763"/>
      <c r="U8" s="763"/>
      <c r="V8" s="763"/>
      <c r="W8" s="763"/>
      <c r="X8" s="763"/>
      <c r="Y8" s="763"/>
      <c r="Z8" s="763"/>
      <c r="AA8" s="763"/>
      <c r="AB8" s="763"/>
      <c r="AC8" s="763"/>
      <c r="AD8" s="763"/>
      <c r="AE8" s="763"/>
      <c r="AF8" s="763"/>
      <c r="AG8" s="763"/>
      <c r="AH8" s="763"/>
      <c r="AI8" s="763"/>
      <c r="AJ8" s="763"/>
      <c r="AK8" s="763"/>
      <c r="AL8" s="763"/>
      <c r="AM8" s="763"/>
      <c r="AN8" s="763"/>
      <c r="AO8" s="763"/>
      <c r="AP8" s="763"/>
      <c r="AQ8" s="763"/>
      <c r="AR8" s="763"/>
      <c r="AS8" s="763"/>
      <c r="AT8" s="763"/>
      <c r="AU8" s="763"/>
      <c r="AV8" s="763"/>
      <c r="AW8" s="763"/>
      <c r="AX8" s="763"/>
      <c r="AY8" s="763"/>
      <c r="AZ8" s="763"/>
      <c r="BA8" s="763"/>
      <c r="BB8" s="763"/>
      <c r="BC8" s="763"/>
      <c r="BD8" s="763"/>
      <c r="BE8" s="763"/>
      <c r="BF8" s="763"/>
      <c r="BG8" s="763"/>
      <c r="BH8" s="763"/>
      <c r="BI8" s="763"/>
      <c r="BJ8" s="763"/>
    </row>
    <row r="9" spans="1:62" s="899" customFormat="1" ht="11.25" x14ac:dyDescent="0.2">
      <c r="A9" s="1231"/>
      <c r="B9" s="1231"/>
      <c r="C9" s="1231"/>
      <c r="D9" s="426"/>
      <c r="E9" s="426"/>
      <c r="F9" s="426"/>
      <c r="G9" s="1231"/>
      <c r="H9" s="1383"/>
      <c r="I9" s="484" t="s">
        <v>361</v>
      </c>
      <c r="J9" s="792"/>
      <c r="K9" s="793" t="s">
        <v>309</v>
      </c>
      <c r="L9" s="793"/>
      <c r="M9" s="484"/>
      <c r="N9" s="763"/>
      <c r="O9" s="763"/>
      <c r="P9" s="763"/>
      <c r="Q9" s="763"/>
      <c r="R9" s="763"/>
      <c r="S9" s="763"/>
      <c r="T9" s="763"/>
      <c r="U9" s="763"/>
      <c r="V9" s="763"/>
      <c r="W9" s="763"/>
      <c r="X9" s="763"/>
      <c r="Y9" s="763"/>
      <c r="Z9" s="763"/>
      <c r="AA9" s="763"/>
      <c r="AB9" s="763"/>
      <c r="AC9" s="763"/>
      <c r="AD9" s="763"/>
      <c r="AE9" s="763"/>
      <c r="AF9" s="763"/>
      <c r="AG9" s="763"/>
      <c r="AH9" s="763"/>
      <c r="AI9" s="763"/>
      <c r="AJ9" s="763"/>
      <c r="AK9" s="763"/>
      <c r="AL9" s="763"/>
      <c r="AM9" s="763"/>
      <c r="AN9" s="763"/>
      <c r="AO9" s="763"/>
      <c r="AP9" s="763"/>
      <c r="AQ9" s="763"/>
      <c r="AR9" s="763"/>
      <c r="AS9" s="763"/>
      <c r="AT9" s="763"/>
      <c r="AU9" s="763"/>
      <c r="AV9" s="763"/>
      <c r="AW9" s="763"/>
      <c r="AX9" s="763"/>
      <c r="AY9" s="763"/>
      <c r="AZ9" s="763"/>
      <c r="BA9" s="763"/>
      <c r="BB9" s="763"/>
      <c r="BC9" s="763"/>
      <c r="BD9" s="763"/>
      <c r="BE9" s="763"/>
      <c r="BF9" s="763"/>
      <c r="BG9" s="763"/>
      <c r="BH9" s="763"/>
      <c r="BI9" s="763"/>
      <c r="BJ9" s="763"/>
    </row>
    <row r="10" spans="1:62" s="905" customFormat="1" ht="11.25" x14ac:dyDescent="0.2">
      <c r="A10" s="1381" t="s">
        <v>261</v>
      </c>
      <c r="B10" s="1237" t="s">
        <v>362</v>
      </c>
      <c r="C10" s="438" t="s">
        <v>1025</v>
      </c>
      <c r="D10" s="350"/>
      <c r="E10" s="350"/>
      <c r="F10" s="350"/>
      <c r="G10" s="440" t="s">
        <v>363</v>
      </c>
      <c r="H10" s="440"/>
      <c r="I10" s="505"/>
      <c r="J10" s="487"/>
      <c r="K10" s="487"/>
      <c r="L10" s="794"/>
      <c r="M10" s="572">
        <f>SUM(I10:K10)</f>
        <v>0</v>
      </c>
      <c r="N10" s="904"/>
      <c r="O10" s="904"/>
      <c r="P10" s="904"/>
      <c r="Q10" s="904"/>
      <c r="R10" s="904"/>
      <c r="S10" s="904"/>
      <c r="T10" s="904"/>
      <c r="U10" s="904"/>
      <c r="V10" s="904"/>
      <c r="W10" s="904"/>
      <c r="X10" s="904"/>
      <c r="Y10" s="904"/>
      <c r="Z10" s="904"/>
      <c r="AA10" s="904"/>
      <c r="AB10" s="904"/>
      <c r="AC10" s="904"/>
      <c r="AD10" s="904"/>
      <c r="AE10" s="904"/>
      <c r="AF10" s="904"/>
      <c r="AG10" s="904"/>
      <c r="AH10" s="904"/>
      <c r="AI10" s="904"/>
      <c r="AJ10" s="904"/>
      <c r="AK10" s="904"/>
      <c r="AL10" s="904"/>
      <c r="AM10" s="904"/>
      <c r="AN10" s="904"/>
      <c r="AO10" s="904"/>
      <c r="AP10" s="904"/>
      <c r="AQ10" s="904"/>
      <c r="AR10" s="904"/>
      <c r="AS10" s="904"/>
      <c r="AT10" s="904"/>
      <c r="AU10" s="904"/>
      <c r="AV10" s="904"/>
      <c r="AW10" s="904"/>
      <c r="AX10" s="904"/>
      <c r="AY10" s="904"/>
      <c r="AZ10" s="904"/>
      <c r="BA10" s="904"/>
      <c r="BB10" s="904"/>
      <c r="BC10" s="904"/>
      <c r="BD10" s="904"/>
      <c r="BE10" s="904"/>
      <c r="BF10" s="904"/>
      <c r="BG10" s="904"/>
      <c r="BH10" s="904"/>
      <c r="BI10" s="904"/>
      <c r="BJ10" s="904"/>
    </row>
    <row r="11" spans="1:62" s="905" customFormat="1" ht="11.25" x14ac:dyDescent="0.2">
      <c r="A11" s="1382"/>
      <c r="B11" s="1238"/>
      <c r="C11" s="438" t="s">
        <v>1027</v>
      </c>
      <c r="D11" s="350"/>
      <c r="E11" s="350"/>
      <c r="F11" s="350"/>
      <c r="G11" s="440" t="s">
        <v>364</v>
      </c>
      <c r="H11" s="440"/>
      <c r="I11" s="487"/>
      <c r="J11" s="487"/>
      <c r="K11" s="487"/>
      <c r="L11" s="794"/>
      <c r="M11" s="572">
        <f t="shared" ref="M11:M27" si="0">SUM(I11:K11)</f>
        <v>0</v>
      </c>
      <c r="N11" s="904"/>
      <c r="O11" s="904"/>
      <c r="P11" s="904"/>
      <c r="Q11" s="904"/>
      <c r="R11" s="904"/>
      <c r="S11" s="904"/>
      <c r="T11" s="904"/>
      <c r="U11" s="904"/>
      <c r="V11" s="904"/>
      <c r="W11" s="904"/>
      <c r="X11" s="904"/>
      <c r="Y11" s="904"/>
      <c r="Z11" s="904"/>
      <c r="AA11" s="904"/>
      <c r="AB11" s="904"/>
      <c r="AC11" s="904"/>
      <c r="AD11" s="904"/>
      <c r="AE11" s="904"/>
      <c r="AF11" s="904"/>
      <c r="AG11" s="904"/>
      <c r="AH11" s="904"/>
      <c r="AI11" s="904"/>
      <c r="AJ11" s="904"/>
      <c r="AK11" s="904"/>
      <c r="AL11" s="904"/>
      <c r="AM11" s="904"/>
      <c r="AN11" s="904"/>
      <c r="AO11" s="904"/>
      <c r="AP11" s="904"/>
      <c r="AQ11" s="904"/>
      <c r="AR11" s="904"/>
      <c r="AS11" s="904"/>
      <c r="AT11" s="904"/>
      <c r="AU11" s="904"/>
      <c r="AV11" s="904"/>
      <c r="AW11" s="904"/>
      <c r="AX11" s="904"/>
      <c r="AY11" s="904"/>
      <c r="AZ11" s="904"/>
      <c r="BA11" s="904"/>
      <c r="BB11" s="904"/>
      <c r="BC11" s="904"/>
      <c r="BD11" s="904"/>
      <c r="BE11" s="904"/>
      <c r="BF11" s="904"/>
      <c r="BG11" s="904"/>
      <c r="BH11" s="904"/>
      <c r="BI11" s="904"/>
      <c r="BJ11" s="904"/>
    </row>
    <row r="12" spans="1:62" s="905" customFormat="1" ht="12.75" customHeight="1" x14ac:dyDescent="0.2">
      <c r="A12" s="1381" t="s">
        <v>264</v>
      </c>
      <c r="B12" s="1237" t="s">
        <v>365</v>
      </c>
      <c r="C12" s="438" t="s">
        <v>1025</v>
      </c>
      <c r="D12" s="350"/>
      <c r="E12" s="350"/>
      <c r="F12" s="350"/>
      <c r="G12" s="440" t="s">
        <v>366</v>
      </c>
      <c r="H12" s="440"/>
      <c r="I12" s="487"/>
      <c r="J12" s="487"/>
      <c r="K12" s="487"/>
      <c r="L12" s="794"/>
      <c r="M12" s="572">
        <f t="shared" si="0"/>
        <v>0</v>
      </c>
      <c r="N12" s="904"/>
      <c r="O12" s="904"/>
      <c r="P12" s="904"/>
      <c r="Q12" s="904"/>
      <c r="R12" s="904"/>
      <c r="S12" s="904"/>
      <c r="T12" s="904"/>
      <c r="U12" s="904"/>
      <c r="V12" s="904"/>
      <c r="W12" s="904"/>
      <c r="X12" s="904"/>
      <c r="Y12" s="904"/>
      <c r="Z12" s="904"/>
      <c r="AA12" s="904"/>
      <c r="AB12" s="904"/>
      <c r="AC12" s="904"/>
      <c r="AD12" s="904"/>
      <c r="AE12" s="904"/>
      <c r="AF12" s="904"/>
      <c r="AG12" s="904"/>
      <c r="AH12" s="904"/>
      <c r="AI12" s="904"/>
      <c r="AJ12" s="904"/>
      <c r="AK12" s="904"/>
      <c r="AL12" s="904"/>
      <c r="AM12" s="904"/>
      <c r="AN12" s="904"/>
      <c r="AO12" s="904"/>
      <c r="AP12" s="904"/>
      <c r="AQ12" s="904"/>
      <c r="AR12" s="904"/>
      <c r="AS12" s="904"/>
      <c r="AT12" s="904"/>
      <c r="AU12" s="904"/>
      <c r="AV12" s="904"/>
      <c r="AW12" s="904"/>
      <c r="AX12" s="904"/>
      <c r="AY12" s="904"/>
      <c r="AZ12" s="904"/>
      <c r="BA12" s="904"/>
      <c r="BB12" s="904"/>
      <c r="BC12" s="904"/>
      <c r="BD12" s="904"/>
      <c r="BE12" s="904"/>
      <c r="BF12" s="904"/>
      <c r="BG12" s="904"/>
      <c r="BH12" s="904"/>
      <c r="BI12" s="904"/>
      <c r="BJ12" s="904"/>
    </row>
    <row r="13" spans="1:62" s="905" customFormat="1" ht="11.25" x14ac:dyDescent="0.2">
      <c r="A13" s="1382"/>
      <c r="B13" s="1238"/>
      <c r="C13" s="438" t="s">
        <v>1027</v>
      </c>
      <c r="D13" s="350"/>
      <c r="E13" s="350"/>
      <c r="F13" s="350"/>
      <c r="G13" s="440" t="s">
        <v>367</v>
      </c>
      <c r="H13" s="440"/>
      <c r="I13" s="487"/>
      <c r="J13" s="487"/>
      <c r="K13" s="487"/>
      <c r="L13" s="794"/>
      <c r="M13" s="572">
        <f t="shared" si="0"/>
        <v>0</v>
      </c>
      <c r="N13" s="904"/>
      <c r="O13" s="904"/>
      <c r="P13" s="904"/>
      <c r="Q13" s="904"/>
      <c r="R13" s="904"/>
      <c r="S13" s="904"/>
      <c r="T13" s="904"/>
      <c r="U13" s="904"/>
      <c r="V13" s="904"/>
      <c r="W13" s="904"/>
      <c r="X13" s="904"/>
      <c r="Y13" s="904"/>
      <c r="Z13" s="904"/>
      <c r="AA13" s="904"/>
      <c r="AB13" s="904"/>
      <c r="AC13" s="904"/>
      <c r="AD13" s="904"/>
      <c r="AE13" s="904"/>
      <c r="AF13" s="904"/>
      <c r="AG13" s="904"/>
      <c r="AH13" s="904"/>
      <c r="AI13" s="904"/>
      <c r="AJ13" s="904"/>
      <c r="AK13" s="904"/>
      <c r="AL13" s="904"/>
      <c r="AM13" s="904"/>
      <c r="AN13" s="904"/>
      <c r="AO13" s="904"/>
      <c r="AP13" s="904"/>
      <c r="AQ13" s="904"/>
      <c r="AR13" s="904"/>
      <c r="AS13" s="904"/>
      <c r="AT13" s="904"/>
      <c r="AU13" s="904"/>
      <c r="AV13" s="904"/>
      <c r="AW13" s="904"/>
      <c r="AX13" s="904"/>
      <c r="AY13" s="904"/>
      <c r="AZ13" s="904"/>
      <c r="BA13" s="904"/>
      <c r="BB13" s="904"/>
      <c r="BC13" s="904"/>
      <c r="BD13" s="904"/>
      <c r="BE13" s="904"/>
      <c r="BF13" s="904"/>
      <c r="BG13" s="904"/>
      <c r="BH13" s="904"/>
      <c r="BI13" s="904"/>
      <c r="BJ13" s="904"/>
    </row>
    <row r="14" spans="1:62" s="905" customFormat="1" ht="11.25" x14ac:dyDescent="0.2">
      <c r="A14" s="1381" t="s">
        <v>267</v>
      </c>
      <c r="B14" s="1237" t="s">
        <v>368</v>
      </c>
      <c r="C14" s="438" t="s">
        <v>1025</v>
      </c>
      <c r="D14" s="350"/>
      <c r="E14" s="350"/>
      <c r="F14" s="350"/>
      <c r="G14" s="440" t="s">
        <v>369</v>
      </c>
      <c r="H14" s="440"/>
      <c r="I14" s="487"/>
      <c r="J14" s="487"/>
      <c r="K14" s="487"/>
      <c r="L14" s="794"/>
      <c r="M14" s="572">
        <f t="shared" si="0"/>
        <v>0</v>
      </c>
      <c r="N14" s="904"/>
      <c r="O14" s="904"/>
      <c r="P14" s="904"/>
      <c r="Q14" s="904"/>
      <c r="R14" s="904"/>
      <c r="S14" s="904"/>
      <c r="T14" s="904"/>
      <c r="U14" s="904"/>
      <c r="V14" s="904"/>
      <c r="W14" s="904"/>
      <c r="X14" s="904"/>
      <c r="Y14" s="904"/>
      <c r="Z14" s="904"/>
      <c r="AA14" s="904"/>
      <c r="AB14" s="904"/>
      <c r="AC14" s="904"/>
      <c r="AD14" s="904"/>
      <c r="AE14" s="904"/>
      <c r="AF14" s="904"/>
      <c r="AG14" s="904"/>
      <c r="AH14" s="904"/>
      <c r="AI14" s="904"/>
      <c r="AJ14" s="904"/>
      <c r="AK14" s="904"/>
      <c r="AL14" s="904"/>
      <c r="AM14" s="904"/>
      <c r="AN14" s="904"/>
      <c r="AO14" s="904"/>
      <c r="AP14" s="904"/>
      <c r="AQ14" s="904"/>
      <c r="AR14" s="904"/>
      <c r="AS14" s="904"/>
      <c r="AT14" s="904"/>
      <c r="AU14" s="904"/>
      <c r="AV14" s="904"/>
      <c r="AW14" s="904"/>
      <c r="AX14" s="904"/>
      <c r="AY14" s="904"/>
      <c r="AZ14" s="904"/>
      <c r="BA14" s="904"/>
      <c r="BB14" s="904"/>
      <c r="BC14" s="904"/>
      <c r="BD14" s="904"/>
      <c r="BE14" s="904"/>
      <c r="BF14" s="904"/>
      <c r="BG14" s="904"/>
      <c r="BH14" s="904"/>
      <c r="BI14" s="904"/>
      <c r="BJ14" s="904"/>
    </row>
    <row r="15" spans="1:62" s="905" customFormat="1" ht="11.25" x14ac:dyDescent="0.2">
      <c r="A15" s="1382"/>
      <c r="B15" s="1238"/>
      <c r="C15" s="438" t="s">
        <v>1027</v>
      </c>
      <c r="D15" s="350"/>
      <c r="E15" s="350"/>
      <c r="F15" s="350"/>
      <c r="G15" s="440" t="s">
        <v>370</v>
      </c>
      <c r="H15" s="440"/>
      <c r="I15" s="487"/>
      <c r="J15" s="487"/>
      <c r="K15" s="487"/>
      <c r="L15" s="794"/>
      <c r="M15" s="572">
        <f t="shared" si="0"/>
        <v>0</v>
      </c>
      <c r="N15" s="904"/>
      <c r="O15" s="904"/>
      <c r="P15" s="904"/>
      <c r="Q15" s="904"/>
      <c r="R15" s="904"/>
      <c r="S15" s="904"/>
      <c r="T15" s="904"/>
      <c r="U15" s="904"/>
      <c r="V15" s="904"/>
      <c r="W15" s="904"/>
      <c r="X15" s="904"/>
      <c r="Y15" s="904"/>
      <c r="Z15" s="904"/>
      <c r="AA15" s="904"/>
      <c r="AB15" s="904"/>
      <c r="AC15" s="904"/>
      <c r="AD15" s="904"/>
      <c r="AE15" s="904"/>
      <c r="AF15" s="904"/>
      <c r="AG15" s="904"/>
      <c r="AH15" s="904"/>
      <c r="AI15" s="904"/>
      <c r="AJ15" s="904"/>
      <c r="AK15" s="904"/>
      <c r="AL15" s="904"/>
      <c r="AM15" s="904"/>
      <c r="AN15" s="904"/>
      <c r="AO15" s="904"/>
      <c r="AP15" s="904"/>
      <c r="AQ15" s="904"/>
      <c r="AR15" s="904"/>
      <c r="AS15" s="904"/>
      <c r="AT15" s="904"/>
      <c r="AU15" s="904"/>
      <c r="AV15" s="904"/>
      <c r="AW15" s="904"/>
      <c r="AX15" s="904"/>
      <c r="AY15" s="904"/>
      <c r="AZ15" s="904"/>
      <c r="BA15" s="904"/>
      <c r="BB15" s="904"/>
      <c r="BC15" s="904"/>
      <c r="BD15" s="904"/>
      <c r="BE15" s="904"/>
      <c r="BF15" s="904"/>
      <c r="BG15" s="904"/>
      <c r="BH15" s="904"/>
      <c r="BI15" s="904"/>
      <c r="BJ15" s="904"/>
    </row>
    <row r="16" spans="1:62" s="905" customFormat="1" ht="12.75" customHeight="1" x14ac:dyDescent="0.2">
      <c r="A16" s="1381" t="s">
        <v>1078</v>
      </c>
      <c r="B16" s="1237" t="s">
        <v>371</v>
      </c>
      <c r="C16" s="438" t="s">
        <v>1025</v>
      </c>
      <c r="D16" s="350"/>
      <c r="E16" s="350"/>
      <c r="F16" s="350"/>
      <c r="G16" s="440" t="s">
        <v>372</v>
      </c>
      <c r="H16" s="440"/>
      <c r="I16" s="487"/>
      <c r="J16" s="487"/>
      <c r="K16" s="487"/>
      <c r="L16" s="794"/>
      <c r="M16" s="572">
        <f t="shared" si="0"/>
        <v>0</v>
      </c>
      <c r="N16" s="904"/>
      <c r="O16" s="904"/>
      <c r="P16" s="904"/>
      <c r="Q16" s="904"/>
      <c r="R16" s="904"/>
      <c r="S16" s="904"/>
      <c r="T16" s="904"/>
      <c r="U16" s="904"/>
      <c r="V16" s="904"/>
      <c r="W16" s="904"/>
      <c r="X16" s="904"/>
      <c r="Y16" s="904"/>
      <c r="Z16" s="904"/>
      <c r="AA16" s="904"/>
      <c r="AB16" s="904"/>
      <c r="AC16" s="904"/>
      <c r="AD16" s="904"/>
      <c r="AE16" s="904"/>
      <c r="AF16" s="904"/>
      <c r="AG16" s="904"/>
      <c r="AH16" s="904"/>
      <c r="AI16" s="904"/>
      <c r="AJ16" s="904"/>
      <c r="AK16" s="904"/>
      <c r="AL16" s="904"/>
      <c r="AM16" s="904"/>
      <c r="AN16" s="904"/>
      <c r="AO16" s="904"/>
      <c r="AP16" s="904"/>
      <c r="AQ16" s="904"/>
      <c r="AR16" s="904"/>
      <c r="AS16" s="904"/>
      <c r="AT16" s="904"/>
      <c r="AU16" s="904"/>
      <c r="AV16" s="904"/>
      <c r="AW16" s="904"/>
      <c r="AX16" s="904"/>
      <c r="AY16" s="904"/>
      <c r="AZ16" s="904"/>
      <c r="BA16" s="904"/>
      <c r="BB16" s="904"/>
      <c r="BC16" s="904"/>
      <c r="BD16" s="904"/>
      <c r="BE16" s="904"/>
      <c r="BF16" s="904"/>
      <c r="BG16" s="904"/>
      <c r="BH16" s="904"/>
      <c r="BI16" s="904"/>
      <c r="BJ16" s="904"/>
    </row>
    <row r="17" spans="1:62" s="905" customFormat="1" ht="11.25" x14ac:dyDescent="0.2">
      <c r="A17" s="1382"/>
      <c r="B17" s="1238"/>
      <c r="C17" s="438" t="s">
        <v>1027</v>
      </c>
      <c r="D17" s="350"/>
      <c r="E17" s="350"/>
      <c r="F17" s="350"/>
      <c r="G17" s="440" t="s">
        <v>373</v>
      </c>
      <c r="H17" s="440"/>
      <c r="I17" s="487"/>
      <c r="J17" s="487"/>
      <c r="K17" s="487"/>
      <c r="L17" s="794"/>
      <c r="M17" s="572">
        <f t="shared" si="0"/>
        <v>0</v>
      </c>
      <c r="N17" s="904"/>
      <c r="O17" s="904"/>
      <c r="P17" s="904"/>
      <c r="Q17" s="904"/>
      <c r="R17" s="904"/>
      <c r="S17" s="904"/>
      <c r="T17" s="904"/>
      <c r="U17" s="904"/>
      <c r="V17" s="904"/>
      <c r="W17" s="904"/>
      <c r="X17" s="904"/>
      <c r="Y17" s="904"/>
      <c r="Z17" s="904"/>
      <c r="AA17" s="904"/>
      <c r="AB17" s="904"/>
      <c r="AC17" s="904"/>
      <c r="AD17" s="904"/>
      <c r="AE17" s="904"/>
      <c r="AF17" s="904"/>
      <c r="AG17" s="904"/>
      <c r="AH17" s="904"/>
      <c r="AI17" s="904"/>
      <c r="AJ17" s="904"/>
      <c r="AK17" s="904"/>
      <c r="AL17" s="904"/>
      <c r="AM17" s="904"/>
      <c r="AN17" s="904"/>
      <c r="AO17" s="904"/>
      <c r="AP17" s="904"/>
      <c r="AQ17" s="904"/>
      <c r="AR17" s="904"/>
      <c r="AS17" s="904"/>
      <c r="AT17" s="904"/>
      <c r="AU17" s="904"/>
      <c r="AV17" s="904"/>
      <c r="AW17" s="904"/>
      <c r="AX17" s="904"/>
      <c r="AY17" s="904"/>
      <c r="AZ17" s="904"/>
      <c r="BA17" s="904"/>
      <c r="BB17" s="904"/>
      <c r="BC17" s="904"/>
      <c r="BD17" s="904"/>
      <c r="BE17" s="904"/>
      <c r="BF17" s="904"/>
      <c r="BG17" s="904"/>
      <c r="BH17" s="904"/>
      <c r="BI17" s="904"/>
      <c r="BJ17" s="904"/>
    </row>
    <row r="18" spans="1:62" s="905" customFormat="1" ht="11.25" x14ac:dyDescent="0.2">
      <c r="A18" s="1381" t="s">
        <v>1088</v>
      </c>
      <c r="B18" s="1237" t="s">
        <v>374</v>
      </c>
      <c r="C18" s="438" t="s">
        <v>1025</v>
      </c>
      <c r="D18" s="350"/>
      <c r="E18" s="350"/>
      <c r="F18" s="350"/>
      <c r="G18" s="440" t="s">
        <v>375</v>
      </c>
      <c r="H18" s="440"/>
      <c r="I18" s="487"/>
      <c r="J18" s="487"/>
      <c r="K18" s="487"/>
      <c r="L18" s="794"/>
      <c r="M18" s="572">
        <f t="shared" si="0"/>
        <v>0</v>
      </c>
      <c r="N18" s="904"/>
      <c r="O18" s="904"/>
      <c r="P18" s="904"/>
      <c r="Q18" s="904"/>
      <c r="R18" s="904"/>
      <c r="S18" s="904"/>
      <c r="T18" s="904"/>
      <c r="U18" s="904"/>
      <c r="V18" s="904"/>
      <c r="W18" s="904"/>
      <c r="X18" s="904"/>
      <c r="Y18" s="904"/>
      <c r="Z18" s="904"/>
      <c r="AA18" s="904"/>
      <c r="AB18" s="904"/>
      <c r="AC18" s="904"/>
      <c r="AD18" s="904"/>
      <c r="AE18" s="904"/>
      <c r="AF18" s="904"/>
      <c r="AG18" s="904"/>
      <c r="AH18" s="904"/>
      <c r="AI18" s="904"/>
      <c r="AJ18" s="904"/>
      <c r="AK18" s="904"/>
      <c r="AL18" s="904"/>
      <c r="AM18" s="904"/>
      <c r="AN18" s="904"/>
      <c r="AO18" s="904"/>
      <c r="AP18" s="904"/>
      <c r="AQ18" s="904"/>
      <c r="AR18" s="904"/>
      <c r="AS18" s="904"/>
      <c r="AT18" s="904"/>
      <c r="AU18" s="904"/>
      <c r="AV18" s="904"/>
      <c r="AW18" s="904"/>
      <c r="AX18" s="904"/>
      <c r="AY18" s="904"/>
      <c r="AZ18" s="904"/>
      <c r="BA18" s="904"/>
      <c r="BB18" s="904"/>
      <c r="BC18" s="904"/>
      <c r="BD18" s="904"/>
      <c r="BE18" s="904"/>
      <c r="BF18" s="904"/>
      <c r="BG18" s="904"/>
      <c r="BH18" s="904"/>
      <c r="BI18" s="904"/>
      <c r="BJ18" s="904"/>
    </row>
    <row r="19" spans="1:62" s="905" customFormat="1" ht="11.25" x14ac:dyDescent="0.2">
      <c r="A19" s="1382"/>
      <c r="B19" s="1238"/>
      <c r="C19" s="438" t="s">
        <v>1027</v>
      </c>
      <c r="D19" s="350"/>
      <c r="E19" s="350"/>
      <c r="F19" s="350"/>
      <c r="G19" s="440" t="s">
        <v>376</v>
      </c>
      <c r="H19" s="440"/>
      <c r="I19" s="487"/>
      <c r="J19" s="487"/>
      <c r="K19" s="487"/>
      <c r="L19" s="794"/>
      <c r="M19" s="572">
        <f t="shared" si="0"/>
        <v>0</v>
      </c>
      <c r="N19" s="904"/>
      <c r="O19" s="904"/>
      <c r="P19" s="904"/>
      <c r="Q19" s="904"/>
      <c r="R19" s="904"/>
      <c r="S19" s="904"/>
      <c r="T19" s="904"/>
      <c r="U19" s="904"/>
      <c r="V19" s="904"/>
      <c r="W19" s="904"/>
      <c r="X19" s="904"/>
      <c r="Y19" s="904"/>
      <c r="Z19" s="904"/>
      <c r="AA19" s="904"/>
      <c r="AB19" s="904"/>
      <c r="AC19" s="904"/>
      <c r="AD19" s="904"/>
      <c r="AE19" s="904"/>
      <c r="AF19" s="904"/>
      <c r="AG19" s="904"/>
      <c r="AH19" s="904"/>
      <c r="AI19" s="904"/>
      <c r="AJ19" s="904"/>
      <c r="AK19" s="904"/>
      <c r="AL19" s="904"/>
      <c r="AM19" s="904"/>
      <c r="AN19" s="904"/>
      <c r="AO19" s="904"/>
      <c r="AP19" s="904"/>
      <c r="AQ19" s="904"/>
      <c r="AR19" s="904"/>
      <c r="AS19" s="904"/>
      <c r="AT19" s="904"/>
      <c r="AU19" s="904"/>
      <c r="AV19" s="904"/>
      <c r="AW19" s="904"/>
      <c r="AX19" s="904"/>
      <c r="AY19" s="904"/>
      <c r="AZ19" s="904"/>
      <c r="BA19" s="904"/>
      <c r="BB19" s="904"/>
      <c r="BC19" s="904"/>
      <c r="BD19" s="904"/>
      <c r="BE19" s="904"/>
      <c r="BF19" s="904"/>
      <c r="BG19" s="904"/>
      <c r="BH19" s="904"/>
      <c r="BI19" s="904"/>
      <c r="BJ19" s="904"/>
    </row>
    <row r="20" spans="1:62" s="905" customFormat="1" ht="11.25" x14ac:dyDescent="0.2">
      <c r="A20" s="1381" t="s">
        <v>1041</v>
      </c>
      <c r="B20" s="1237" t="s">
        <v>377</v>
      </c>
      <c r="C20" s="438" t="s">
        <v>1025</v>
      </c>
      <c r="D20" s="350"/>
      <c r="E20" s="350"/>
      <c r="F20" s="350"/>
      <c r="G20" s="440" t="s">
        <v>378</v>
      </c>
      <c r="H20" s="440"/>
      <c r="I20" s="487"/>
      <c r="J20" s="487"/>
      <c r="K20" s="487"/>
      <c r="L20" s="794"/>
      <c r="M20" s="572">
        <f t="shared" si="0"/>
        <v>0</v>
      </c>
      <c r="N20" s="904"/>
      <c r="O20" s="904"/>
      <c r="P20" s="904"/>
      <c r="Q20" s="904"/>
      <c r="R20" s="904"/>
      <c r="S20" s="904"/>
      <c r="T20" s="904"/>
      <c r="U20" s="904"/>
      <c r="V20" s="904"/>
      <c r="W20" s="904"/>
      <c r="X20" s="904"/>
      <c r="Y20" s="904"/>
      <c r="Z20" s="904"/>
      <c r="AA20" s="904"/>
      <c r="AB20" s="904"/>
      <c r="AC20" s="904"/>
      <c r="AD20" s="904"/>
      <c r="AE20" s="904"/>
      <c r="AF20" s="904"/>
      <c r="AG20" s="904"/>
      <c r="AH20" s="904"/>
      <c r="AI20" s="904"/>
      <c r="AJ20" s="904"/>
      <c r="AK20" s="904"/>
      <c r="AL20" s="904"/>
      <c r="AM20" s="904"/>
      <c r="AN20" s="904"/>
      <c r="AO20" s="904"/>
      <c r="AP20" s="904"/>
      <c r="AQ20" s="904"/>
      <c r="AR20" s="904"/>
      <c r="AS20" s="904"/>
      <c r="AT20" s="904"/>
      <c r="AU20" s="904"/>
      <c r="AV20" s="904"/>
      <c r="AW20" s="904"/>
      <c r="AX20" s="904"/>
      <c r="AY20" s="904"/>
      <c r="AZ20" s="904"/>
      <c r="BA20" s="904"/>
      <c r="BB20" s="904"/>
      <c r="BC20" s="904"/>
      <c r="BD20" s="904"/>
      <c r="BE20" s="904"/>
      <c r="BF20" s="904"/>
      <c r="BG20" s="904"/>
      <c r="BH20" s="904"/>
      <c r="BI20" s="904"/>
      <c r="BJ20" s="904"/>
    </row>
    <row r="21" spans="1:62" s="905" customFormat="1" ht="11.25" x14ac:dyDescent="0.2">
      <c r="A21" s="1382"/>
      <c r="B21" s="1238"/>
      <c r="C21" s="438" t="s">
        <v>1027</v>
      </c>
      <c r="D21" s="350"/>
      <c r="E21" s="350"/>
      <c r="F21" s="350"/>
      <c r="G21" s="440" t="s">
        <v>379</v>
      </c>
      <c r="H21" s="440"/>
      <c r="I21" s="487"/>
      <c r="J21" s="487"/>
      <c r="K21" s="487"/>
      <c r="L21" s="794"/>
      <c r="M21" s="572">
        <f t="shared" si="0"/>
        <v>0</v>
      </c>
      <c r="N21" s="904"/>
      <c r="O21" s="904"/>
      <c r="P21" s="904"/>
      <c r="Q21" s="904"/>
      <c r="R21" s="904"/>
      <c r="S21" s="904"/>
      <c r="T21" s="904"/>
      <c r="U21" s="904"/>
      <c r="V21" s="904"/>
      <c r="W21" s="904"/>
      <c r="X21" s="904"/>
      <c r="Y21" s="904"/>
      <c r="Z21" s="904"/>
      <c r="AA21" s="904"/>
      <c r="AB21" s="904"/>
      <c r="AC21" s="904"/>
      <c r="AD21" s="904"/>
      <c r="AE21" s="904"/>
      <c r="AF21" s="904"/>
      <c r="AG21" s="904"/>
      <c r="AH21" s="904"/>
      <c r="AI21" s="904"/>
      <c r="AJ21" s="904"/>
      <c r="AK21" s="904"/>
      <c r="AL21" s="904"/>
      <c r="AM21" s="904"/>
      <c r="AN21" s="904"/>
      <c r="AO21" s="904"/>
      <c r="AP21" s="904"/>
      <c r="AQ21" s="904"/>
      <c r="AR21" s="904"/>
      <c r="AS21" s="904"/>
      <c r="AT21" s="904"/>
      <c r="AU21" s="904"/>
      <c r="AV21" s="904"/>
      <c r="AW21" s="904"/>
      <c r="AX21" s="904"/>
      <c r="AY21" s="904"/>
      <c r="AZ21" s="904"/>
      <c r="BA21" s="904"/>
      <c r="BB21" s="904"/>
      <c r="BC21" s="904"/>
      <c r="BD21" s="904"/>
      <c r="BE21" s="904"/>
      <c r="BF21" s="904"/>
      <c r="BG21" s="904"/>
      <c r="BH21" s="904"/>
      <c r="BI21" s="904"/>
      <c r="BJ21" s="904"/>
    </row>
    <row r="22" spans="1:62" s="905" customFormat="1" ht="12.75" customHeight="1" x14ac:dyDescent="0.2">
      <c r="A22" s="1381" t="s">
        <v>1045</v>
      </c>
      <c r="B22" s="1237" t="s">
        <v>380</v>
      </c>
      <c r="C22" s="438" t="s">
        <v>1025</v>
      </c>
      <c r="D22" s="350"/>
      <c r="E22" s="350"/>
      <c r="F22" s="350"/>
      <c r="G22" s="440" t="s">
        <v>381</v>
      </c>
      <c r="H22" s="440"/>
      <c r="I22" s="487"/>
      <c r="J22" s="487"/>
      <c r="K22" s="487"/>
      <c r="L22" s="794"/>
      <c r="M22" s="572">
        <f t="shared" si="0"/>
        <v>0</v>
      </c>
      <c r="N22" s="904"/>
      <c r="O22" s="904"/>
      <c r="P22" s="904"/>
      <c r="Q22" s="904"/>
      <c r="R22" s="904"/>
      <c r="S22" s="904"/>
      <c r="T22" s="904"/>
      <c r="U22" s="904"/>
      <c r="V22" s="904"/>
      <c r="W22" s="904"/>
      <c r="X22" s="904"/>
      <c r="Y22" s="904"/>
      <c r="Z22" s="904"/>
      <c r="AA22" s="904"/>
      <c r="AB22" s="904"/>
      <c r="AC22" s="904"/>
      <c r="AD22" s="904"/>
      <c r="AE22" s="904"/>
      <c r="AF22" s="904"/>
      <c r="AG22" s="904"/>
      <c r="AH22" s="904"/>
      <c r="AI22" s="904"/>
      <c r="AJ22" s="904"/>
      <c r="AK22" s="904"/>
      <c r="AL22" s="904"/>
      <c r="AM22" s="904"/>
      <c r="AN22" s="904"/>
      <c r="AO22" s="904"/>
      <c r="AP22" s="904"/>
      <c r="AQ22" s="904"/>
      <c r="AR22" s="904"/>
      <c r="AS22" s="904"/>
      <c r="AT22" s="904"/>
      <c r="AU22" s="904"/>
      <c r="AV22" s="904"/>
      <c r="AW22" s="904"/>
      <c r="AX22" s="904"/>
      <c r="AY22" s="904"/>
      <c r="AZ22" s="904"/>
      <c r="BA22" s="904"/>
      <c r="BB22" s="904"/>
      <c r="BC22" s="904"/>
      <c r="BD22" s="904"/>
      <c r="BE22" s="904"/>
      <c r="BF22" s="904"/>
      <c r="BG22" s="904"/>
      <c r="BH22" s="904"/>
      <c r="BI22" s="904"/>
      <c r="BJ22" s="904"/>
    </row>
    <row r="23" spans="1:62" s="905" customFormat="1" ht="11.25" x14ac:dyDescent="0.2">
      <c r="A23" s="1382"/>
      <c r="B23" s="1238"/>
      <c r="C23" s="438" t="s">
        <v>1027</v>
      </c>
      <c r="D23" s="350"/>
      <c r="E23" s="350"/>
      <c r="F23" s="350"/>
      <c r="G23" s="440" t="s">
        <v>382</v>
      </c>
      <c r="H23" s="440"/>
      <c r="I23" s="487"/>
      <c r="J23" s="487"/>
      <c r="K23" s="487"/>
      <c r="L23" s="794"/>
      <c r="M23" s="572">
        <f t="shared" si="0"/>
        <v>0</v>
      </c>
      <c r="N23" s="904"/>
      <c r="O23" s="904"/>
      <c r="P23" s="904"/>
      <c r="Q23" s="904"/>
      <c r="R23" s="904"/>
      <c r="S23" s="904"/>
      <c r="T23" s="904"/>
      <c r="U23" s="904"/>
      <c r="V23" s="904"/>
      <c r="W23" s="904"/>
      <c r="X23" s="904"/>
      <c r="Y23" s="904"/>
      <c r="Z23" s="904"/>
      <c r="AA23" s="904"/>
      <c r="AB23" s="904"/>
      <c r="AC23" s="904"/>
      <c r="AD23" s="904"/>
      <c r="AE23" s="904"/>
      <c r="AF23" s="904"/>
      <c r="AG23" s="904"/>
      <c r="AH23" s="904"/>
      <c r="AI23" s="904"/>
      <c r="AJ23" s="904"/>
      <c r="AK23" s="904"/>
      <c r="AL23" s="904"/>
      <c r="AM23" s="904"/>
      <c r="AN23" s="904"/>
      <c r="AO23" s="904"/>
      <c r="AP23" s="904"/>
      <c r="AQ23" s="904"/>
      <c r="AR23" s="904"/>
      <c r="AS23" s="904"/>
      <c r="AT23" s="904"/>
      <c r="AU23" s="904"/>
      <c r="AV23" s="904"/>
      <c r="AW23" s="904"/>
      <c r="AX23" s="904"/>
      <c r="AY23" s="904"/>
      <c r="AZ23" s="904"/>
      <c r="BA23" s="904"/>
      <c r="BB23" s="904"/>
      <c r="BC23" s="904"/>
      <c r="BD23" s="904"/>
      <c r="BE23" s="904"/>
      <c r="BF23" s="904"/>
      <c r="BG23" s="904"/>
      <c r="BH23" s="904"/>
      <c r="BI23" s="904"/>
      <c r="BJ23" s="904"/>
    </row>
    <row r="24" spans="1:62" s="905" customFormat="1" ht="12.75" customHeight="1" x14ac:dyDescent="0.2">
      <c r="A24" s="1381" t="s">
        <v>1049</v>
      </c>
      <c r="B24" s="1237" t="s">
        <v>383</v>
      </c>
      <c r="C24" s="438" t="s">
        <v>1025</v>
      </c>
      <c r="D24" s="350"/>
      <c r="E24" s="350"/>
      <c r="F24" s="350"/>
      <c r="G24" s="440" t="s">
        <v>384</v>
      </c>
      <c r="H24" s="440"/>
      <c r="I24" s="487"/>
      <c r="J24" s="487"/>
      <c r="K24" s="487"/>
      <c r="L24" s="794"/>
      <c r="M24" s="572">
        <f t="shared" si="0"/>
        <v>0</v>
      </c>
      <c r="N24" s="904"/>
      <c r="O24" s="904"/>
      <c r="P24" s="904"/>
      <c r="Q24" s="904"/>
      <c r="R24" s="904"/>
      <c r="S24" s="904"/>
      <c r="T24" s="904"/>
      <c r="U24" s="904"/>
      <c r="V24" s="904"/>
      <c r="W24" s="904"/>
      <c r="X24" s="904"/>
      <c r="Y24" s="904"/>
      <c r="Z24" s="904"/>
      <c r="AA24" s="904"/>
      <c r="AB24" s="904"/>
      <c r="AC24" s="904"/>
      <c r="AD24" s="904"/>
      <c r="AE24" s="904"/>
      <c r="AF24" s="904"/>
      <c r="AG24" s="904"/>
      <c r="AH24" s="904"/>
      <c r="AI24" s="904"/>
      <c r="AJ24" s="904"/>
      <c r="AK24" s="904"/>
      <c r="AL24" s="904"/>
      <c r="AM24" s="904"/>
      <c r="AN24" s="904"/>
      <c r="AO24" s="904"/>
      <c r="AP24" s="904"/>
      <c r="AQ24" s="904"/>
      <c r="AR24" s="904"/>
      <c r="AS24" s="904"/>
      <c r="AT24" s="904"/>
      <c r="AU24" s="904"/>
      <c r="AV24" s="904"/>
      <c r="AW24" s="904"/>
      <c r="AX24" s="904"/>
      <c r="AY24" s="904"/>
      <c r="AZ24" s="904"/>
      <c r="BA24" s="904"/>
      <c r="BB24" s="904"/>
      <c r="BC24" s="904"/>
      <c r="BD24" s="904"/>
      <c r="BE24" s="904"/>
      <c r="BF24" s="904"/>
      <c r="BG24" s="904"/>
      <c r="BH24" s="904"/>
      <c r="BI24" s="904"/>
      <c r="BJ24" s="904"/>
    </row>
    <row r="25" spans="1:62" s="905" customFormat="1" ht="11.25" x14ac:dyDescent="0.2">
      <c r="A25" s="1382"/>
      <c r="B25" s="1238"/>
      <c r="C25" s="438" t="s">
        <v>1027</v>
      </c>
      <c r="D25" s="350"/>
      <c r="E25" s="350"/>
      <c r="F25" s="350"/>
      <c r="G25" s="440" t="s">
        <v>385</v>
      </c>
      <c r="H25" s="440"/>
      <c r="I25" s="487"/>
      <c r="J25" s="487"/>
      <c r="K25" s="487"/>
      <c r="L25" s="794"/>
      <c r="M25" s="572">
        <f t="shared" si="0"/>
        <v>0</v>
      </c>
      <c r="N25" s="904"/>
      <c r="O25" s="904"/>
      <c r="P25" s="904"/>
      <c r="Q25" s="904"/>
      <c r="R25" s="904"/>
      <c r="S25" s="904"/>
      <c r="T25" s="904"/>
      <c r="U25" s="904"/>
      <c r="V25" s="904"/>
      <c r="W25" s="904"/>
      <c r="X25" s="904"/>
      <c r="Y25" s="904"/>
      <c r="Z25" s="904"/>
      <c r="AA25" s="904"/>
      <c r="AB25" s="904"/>
      <c r="AC25" s="904"/>
      <c r="AD25" s="904"/>
      <c r="AE25" s="904"/>
      <c r="AF25" s="904"/>
      <c r="AG25" s="904"/>
      <c r="AH25" s="904"/>
      <c r="AI25" s="904"/>
      <c r="AJ25" s="904"/>
      <c r="AK25" s="904"/>
      <c r="AL25" s="904"/>
      <c r="AM25" s="904"/>
      <c r="AN25" s="904"/>
      <c r="AO25" s="904"/>
      <c r="AP25" s="904"/>
      <c r="AQ25" s="904"/>
      <c r="AR25" s="904"/>
      <c r="AS25" s="904"/>
      <c r="AT25" s="904"/>
      <c r="AU25" s="904"/>
      <c r="AV25" s="904"/>
      <c r="AW25" s="904"/>
      <c r="AX25" s="904"/>
      <c r="AY25" s="904"/>
      <c r="AZ25" s="904"/>
      <c r="BA25" s="904"/>
      <c r="BB25" s="904"/>
      <c r="BC25" s="904"/>
      <c r="BD25" s="904"/>
      <c r="BE25" s="904"/>
      <c r="BF25" s="904"/>
      <c r="BG25" s="904"/>
      <c r="BH25" s="904"/>
      <c r="BI25" s="904"/>
      <c r="BJ25" s="904"/>
    </row>
    <row r="26" spans="1:62" s="905" customFormat="1" ht="11.25" x14ac:dyDescent="0.2">
      <c r="A26" s="1381" t="s">
        <v>1053</v>
      </c>
      <c r="B26" s="1237" t="s">
        <v>1243</v>
      </c>
      <c r="C26" s="438" t="s">
        <v>1025</v>
      </c>
      <c r="D26" s="350"/>
      <c r="E26" s="350"/>
      <c r="F26" s="350"/>
      <c r="G26" s="440" t="s">
        <v>386</v>
      </c>
      <c r="H26" s="440"/>
      <c r="I26" s="487"/>
      <c r="J26" s="487"/>
      <c r="K26" s="487"/>
      <c r="L26" s="794"/>
      <c r="M26" s="572">
        <f t="shared" si="0"/>
        <v>0</v>
      </c>
      <c r="N26" s="904"/>
      <c r="O26" s="904"/>
      <c r="P26" s="904"/>
      <c r="Q26" s="904"/>
      <c r="R26" s="904"/>
      <c r="S26" s="904"/>
      <c r="T26" s="904"/>
      <c r="U26" s="904"/>
      <c r="V26" s="904"/>
      <c r="W26" s="904"/>
      <c r="X26" s="904"/>
      <c r="Y26" s="904"/>
      <c r="Z26" s="904"/>
      <c r="AA26" s="904"/>
      <c r="AB26" s="904"/>
      <c r="AC26" s="904"/>
      <c r="AD26" s="904"/>
      <c r="AE26" s="904"/>
      <c r="AF26" s="904"/>
      <c r="AG26" s="904"/>
      <c r="AH26" s="904"/>
      <c r="AI26" s="904"/>
      <c r="AJ26" s="904"/>
      <c r="AK26" s="904"/>
      <c r="AL26" s="904"/>
      <c r="AM26" s="904"/>
      <c r="AN26" s="904"/>
      <c r="AO26" s="904"/>
      <c r="AP26" s="904"/>
      <c r="AQ26" s="904"/>
      <c r="AR26" s="904"/>
      <c r="AS26" s="904"/>
      <c r="AT26" s="904"/>
      <c r="AU26" s="904"/>
      <c r="AV26" s="904"/>
      <c r="AW26" s="904"/>
      <c r="AX26" s="904"/>
      <c r="AY26" s="904"/>
      <c r="AZ26" s="904"/>
      <c r="BA26" s="904"/>
      <c r="BB26" s="904"/>
      <c r="BC26" s="904"/>
      <c r="BD26" s="904"/>
      <c r="BE26" s="904"/>
      <c r="BF26" s="904"/>
      <c r="BG26" s="904"/>
      <c r="BH26" s="904"/>
      <c r="BI26" s="904"/>
      <c r="BJ26" s="904"/>
    </row>
    <row r="27" spans="1:62" s="905" customFormat="1" ht="11.25" x14ac:dyDescent="0.2">
      <c r="A27" s="1382"/>
      <c r="B27" s="1238"/>
      <c r="C27" s="438" t="s">
        <v>1027</v>
      </c>
      <c r="D27" s="350"/>
      <c r="E27" s="350"/>
      <c r="F27" s="350"/>
      <c r="G27" s="440" t="s">
        <v>387</v>
      </c>
      <c r="H27" s="440"/>
      <c r="I27" s="487"/>
      <c r="J27" s="487"/>
      <c r="K27" s="487"/>
      <c r="L27" s="794"/>
      <c r="M27" s="572">
        <f t="shared" si="0"/>
        <v>0</v>
      </c>
      <c r="N27" s="904"/>
      <c r="O27" s="904"/>
      <c r="P27" s="904"/>
      <c r="Q27" s="904"/>
      <c r="R27" s="904"/>
      <c r="S27" s="904"/>
      <c r="T27" s="904"/>
      <c r="U27" s="904"/>
      <c r="V27" s="904"/>
      <c r="W27" s="904"/>
      <c r="X27" s="904"/>
      <c r="Y27" s="904"/>
      <c r="Z27" s="904"/>
      <c r="AA27" s="904"/>
      <c r="AB27" s="904"/>
      <c r="AC27" s="904"/>
      <c r="AD27" s="904"/>
      <c r="AE27" s="904"/>
      <c r="AF27" s="904"/>
      <c r="AG27" s="904"/>
      <c r="AH27" s="904"/>
      <c r="AI27" s="904"/>
      <c r="AJ27" s="904"/>
      <c r="AK27" s="904"/>
      <c r="AL27" s="904"/>
      <c r="AM27" s="904"/>
      <c r="AN27" s="904"/>
      <c r="AO27" s="904"/>
      <c r="AP27" s="904"/>
      <c r="AQ27" s="904"/>
      <c r="AR27" s="904"/>
      <c r="AS27" s="904"/>
      <c r="AT27" s="904"/>
      <c r="AU27" s="904"/>
      <c r="AV27" s="904"/>
      <c r="AW27" s="904"/>
      <c r="AX27" s="904"/>
      <c r="AY27" s="904"/>
      <c r="AZ27" s="904"/>
      <c r="BA27" s="904"/>
      <c r="BB27" s="904"/>
      <c r="BC27" s="904"/>
      <c r="BD27" s="904"/>
      <c r="BE27" s="904"/>
      <c r="BF27" s="904"/>
      <c r="BG27" s="904"/>
      <c r="BH27" s="904"/>
      <c r="BI27" s="904"/>
      <c r="BJ27" s="904"/>
    </row>
    <row r="28" spans="1:62" s="905" customFormat="1" ht="11.25" x14ac:dyDescent="0.2">
      <c r="A28" s="1381" t="s">
        <v>1057</v>
      </c>
      <c r="B28" s="1237" t="s">
        <v>388</v>
      </c>
      <c r="C28" s="438" t="s">
        <v>1025</v>
      </c>
      <c r="D28" s="350"/>
      <c r="E28" s="350"/>
      <c r="F28" s="350"/>
      <c r="G28" s="440" t="s">
        <v>389</v>
      </c>
      <c r="H28" s="501"/>
      <c r="I28" s="642">
        <f t="shared" ref="I28:K29" si="1">I10+I12+I14+I16+I18+I20+I22+I24+I26</f>
        <v>0</v>
      </c>
      <c r="J28" s="642">
        <f t="shared" si="1"/>
        <v>0</v>
      </c>
      <c r="K28" s="663">
        <f t="shared" si="1"/>
        <v>0</v>
      </c>
      <c r="L28" s="794"/>
      <c r="M28" s="642">
        <f>M10+M12+M14+M16+M18+M20+M22+M24+M26</f>
        <v>0</v>
      </c>
      <c r="N28" s="904"/>
      <c r="O28" s="904"/>
      <c r="P28" s="904"/>
      <c r="Q28" s="904"/>
      <c r="R28" s="904"/>
      <c r="S28" s="904"/>
      <c r="T28" s="904"/>
      <c r="U28" s="904"/>
      <c r="V28" s="904"/>
      <c r="W28" s="904"/>
      <c r="X28" s="904"/>
      <c r="Y28" s="904"/>
      <c r="Z28" s="904"/>
      <c r="AA28" s="904"/>
      <c r="AB28" s="904"/>
      <c r="AC28" s="904"/>
      <c r="AD28" s="904"/>
      <c r="AE28" s="904"/>
      <c r="AF28" s="904"/>
      <c r="AG28" s="904"/>
      <c r="AH28" s="904"/>
      <c r="AI28" s="904"/>
      <c r="AJ28" s="904"/>
      <c r="AK28" s="904"/>
      <c r="AL28" s="904"/>
      <c r="AM28" s="904"/>
      <c r="AN28" s="904"/>
      <c r="AO28" s="904"/>
      <c r="AP28" s="904"/>
      <c r="AQ28" s="904"/>
      <c r="AR28" s="904"/>
      <c r="AS28" s="904"/>
      <c r="AT28" s="904"/>
      <c r="AU28" s="904"/>
      <c r="AV28" s="904"/>
      <c r="AW28" s="904"/>
      <c r="AX28" s="904"/>
      <c r="AY28" s="904"/>
      <c r="AZ28" s="904"/>
      <c r="BA28" s="904"/>
      <c r="BB28" s="904"/>
      <c r="BC28" s="904"/>
      <c r="BD28" s="904"/>
      <c r="BE28" s="904"/>
      <c r="BF28" s="904"/>
      <c r="BG28" s="904"/>
      <c r="BH28" s="904"/>
      <c r="BI28" s="904"/>
      <c r="BJ28" s="904"/>
    </row>
    <row r="29" spans="1:62" s="905" customFormat="1" ht="11.25" x14ac:dyDescent="0.2">
      <c r="A29" s="1382"/>
      <c r="B29" s="1238"/>
      <c r="C29" s="438" t="s">
        <v>1027</v>
      </c>
      <c r="D29" s="350"/>
      <c r="E29" s="350"/>
      <c r="F29" s="350"/>
      <c r="G29" s="440" t="s">
        <v>390</v>
      </c>
      <c r="H29" s="501"/>
      <c r="I29" s="642">
        <f t="shared" si="1"/>
        <v>0</v>
      </c>
      <c r="J29" s="642">
        <f t="shared" si="1"/>
        <v>0</v>
      </c>
      <c r="K29" s="663">
        <f t="shared" si="1"/>
        <v>0</v>
      </c>
      <c r="L29" s="794"/>
      <c r="M29" s="642">
        <f>M11+M13+M15+M17+M19+M21+M23+M25+M27</f>
        <v>0</v>
      </c>
      <c r="N29" s="904"/>
      <c r="O29" s="904"/>
      <c r="P29" s="904"/>
      <c r="Q29" s="904"/>
      <c r="R29" s="904"/>
      <c r="S29" s="904"/>
      <c r="T29" s="904"/>
      <c r="U29" s="904"/>
      <c r="V29" s="904"/>
      <c r="W29" s="904"/>
      <c r="X29" s="904"/>
      <c r="Y29" s="904"/>
      <c r="Z29" s="904"/>
      <c r="AA29" s="904"/>
      <c r="AB29" s="904"/>
      <c r="AC29" s="904"/>
      <c r="AD29" s="904"/>
      <c r="AE29" s="904"/>
      <c r="AF29" s="904"/>
      <c r="AG29" s="904"/>
      <c r="AH29" s="904"/>
      <c r="AI29" s="904"/>
      <c r="AJ29" s="904"/>
      <c r="AK29" s="904"/>
      <c r="AL29" s="904"/>
      <c r="AM29" s="904"/>
      <c r="AN29" s="904"/>
      <c r="AO29" s="904"/>
      <c r="AP29" s="904"/>
      <c r="AQ29" s="904"/>
      <c r="AR29" s="904"/>
      <c r="AS29" s="904"/>
      <c r="AT29" s="904"/>
      <c r="AU29" s="904"/>
      <c r="AV29" s="904"/>
      <c r="AW29" s="904"/>
      <c r="AX29" s="904"/>
      <c r="AY29" s="904"/>
      <c r="AZ29" s="904"/>
      <c r="BA29" s="904"/>
      <c r="BB29" s="904"/>
      <c r="BC29" s="904"/>
      <c r="BD29" s="904"/>
      <c r="BE29" s="904"/>
      <c r="BF29" s="904"/>
      <c r="BG29" s="904"/>
      <c r="BH29" s="904"/>
      <c r="BI29" s="904"/>
      <c r="BJ29" s="904"/>
    </row>
    <row r="30" spans="1:62" s="905" customFormat="1" ht="11.25" x14ac:dyDescent="0.2">
      <c r="A30" s="438" t="s">
        <v>1426</v>
      </c>
      <c r="B30" s="795" t="s">
        <v>391</v>
      </c>
      <c r="C30" s="796"/>
      <c r="D30" s="350"/>
      <c r="E30" s="350"/>
      <c r="F30" s="350"/>
      <c r="G30" s="633" t="s">
        <v>392</v>
      </c>
      <c r="H30" s="797"/>
      <c r="I30" s="517">
        <f>I28+I29</f>
        <v>0</v>
      </c>
      <c r="J30" s="517">
        <f>J28+J29</f>
        <v>0</v>
      </c>
      <c r="K30" s="798">
        <f>K28+K29</f>
        <v>0</v>
      </c>
      <c r="L30" s="571"/>
      <c r="M30" s="799"/>
      <c r="N30" s="904"/>
      <c r="O30" s="904"/>
      <c r="P30" s="904"/>
      <c r="Q30" s="904"/>
      <c r="R30" s="904"/>
      <c r="S30" s="904"/>
      <c r="T30" s="904"/>
      <c r="U30" s="904"/>
      <c r="V30" s="904"/>
      <c r="W30" s="904"/>
      <c r="X30" s="904"/>
      <c r="Y30" s="904"/>
      <c r="Z30" s="904"/>
      <c r="AA30" s="904"/>
      <c r="AB30" s="904"/>
      <c r="AC30" s="904"/>
      <c r="AD30" s="904"/>
      <c r="AE30" s="904"/>
      <c r="AF30" s="904"/>
      <c r="AG30" s="904"/>
      <c r="AH30" s="904"/>
      <c r="AI30" s="904"/>
      <c r="AJ30" s="904"/>
      <c r="AK30" s="904"/>
      <c r="AL30" s="904"/>
      <c r="AM30" s="904"/>
      <c r="AN30" s="904"/>
      <c r="AO30" s="904"/>
      <c r="AP30" s="904"/>
      <c r="AQ30" s="904"/>
      <c r="AR30" s="904"/>
      <c r="AS30" s="904"/>
      <c r="AT30" s="904"/>
      <c r="AU30" s="904"/>
      <c r="AV30" s="904"/>
      <c r="AW30" s="904"/>
      <c r="AX30" s="904"/>
      <c r="AY30" s="904"/>
      <c r="AZ30" s="904"/>
      <c r="BA30" s="904"/>
      <c r="BB30" s="904"/>
      <c r="BC30" s="904"/>
      <c r="BD30" s="904"/>
      <c r="BE30" s="904"/>
      <c r="BF30" s="904"/>
      <c r="BG30" s="904"/>
      <c r="BH30" s="904"/>
      <c r="BI30" s="904"/>
      <c r="BJ30" s="904"/>
    </row>
    <row r="31" spans="1:62" s="905" customFormat="1" ht="11.25" x14ac:dyDescent="0.2">
      <c r="A31" s="438" t="s">
        <v>1438</v>
      </c>
      <c r="B31" s="1388" t="s">
        <v>108</v>
      </c>
      <c r="C31" s="1389"/>
      <c r="D31" s="350"/>
      <c r="E31" s="350"/>
      <c r="F31" s="350"/>
      <c r="G31" s="800" t="s">
        <v>309</v>
      </c>
      <c r="H31" s="801"/>
      <c r="I31" s="802">
        <v>0.08</v>
      </c>
      <c r="J31" s="802">
        <v>0.08</v>
      </c>
      <c r="K31" s="802">
        <v>0.08</v>
      </c>
      <c r="L31" s="803"/>
      <c r="M31" s="439"/>
      <c r="N31" s="904"/>
      <c r="O31" s="904"/>
      <c r="P31" s="904"/>
      <c r="Q31" s="904"/>
      <c r="R31" s="904"/>
      <c r="S31" s="904"/>
      <c r="T31" s="904"/>
      <c r="U31" s="904"/>
      <c r="V31" s="904"/>
      <c r="W31" s="904"/>
      <c r="X31" s="904"/>
      <c r="Y31" s="904"/>
      <c r="Z31" s="904"/>
      <c r="AA31" s="904"/>
      <c r="AB31" s="904"/>
      <c r="AC31" s="904"/>
      <c r="AD31" s="904"/>
      <c r="AE31" s="904"/>
      <c r="AF31" s="904"/>
      <c r="AG31" s="904"/>
      <c r="AH31" s="904"/>
      <c r="AI31" s="904"/>
      <c r="AJ31" s="904"/>
      <c r="AK31" s="904"/>
      <c r="AL31" s="904"/>
      <c r="AM31" s="904"/>
      <c r="AN31" s="904"/>
      <c r="AO31" s="904"/>
      <c r="AP31" s="904"/>
      <c r="AQ31" s="904"/>
      <c r="AR31" s="904"/>
      <c r="AS31" s="904"/>
      <c r="AT31" s="904"/>
      <c r="AU31" s="904"/>
      <c r="AV31" s="904"/>
      <c r="AW31" s="904"/>
      <c r="AX31" s="904"/>
      <c r="AY31" s="904"/>
      <c r="AZ31" s="904"/>
      <c r="BA31" s="904"/>
      <c r="BB31" s="904"/>
      <c r="BC31" s="904"/>
      <c r="BD31" s="904"/>
      <c r="BE31" s="904"/>
      <c r="BF31" s="904"/>
      <c r="BG31" s="904"/>
      <c r="BH31" s="904"/>
      <c r="BI31" s="904"/>
      <c r="BJ31" s="904"/>
    </row>
    <row r="32" spans="1:62" s="905" customFormat="1" ht="11.25" x14ac:dyDescent="0.2">
      <c r="A32" s="438" t="s">
        <v>816</v>
      </c>
      <c r="B32" s="1388" t="s">
        <v>393</v>
      </c>
      <c r="C32" s="1389"/>
      <c r="D32" s="350"/>
      <c r="E32" s="350"/>
      <c r="F32" s="350"/>
      <c r="G32" s="633" t="s">
        <v>394</v>
      </c>
      <c r="H32" s="633"/>
      <c r="I32" s="517">
        <f>I30*0.08</f>
        <v>0</v>
      </c>
      <c r="J32" s="517">
        <f>J30*0.08</f>
        <v>0</v>
      </c>
      <c r="K32" s="798">
        <f>K30*0.08</f>
        <v>0</v>
      </c>
      <c r="L32" s="571"/>
      <c r="M32" s="804">
        <f>SUM(I32:K32)</f>
        <v>0</v>
      </c>
      <c r="N32" s="904"/>
      <c r="O32" s="904"/>
      <c r="P32" s="904"/>
      <c r="Q32" s="904"/>
      <c r="R32" s="904"/>
      <c r="S32" s="904"/>
      <c r="T32" s="904"/>
      <c r="U32" s="904"/>
      <c r="V32" s="904"/>
      <c r="W32" s="904"/>
      <c r="X32" s="904"/>
      <c r="Y32" s="904"/>
      <c r="Z32" s="904"/>
      <c r="AA32" s="904"/>
      <c r="AB32" s="904"/>
      <c r="AC32" s="904"/>
      <c r="AD32" s="904"/>
      <c r="AE32" s="904"/>
      <c r="AF32" s="904"/>
      <c r="AG32" s="904"/>
      <c r="AH32" s="904"/>
      <c r="AI32" s="904"/>
      <c r="AJ32" s="904"/>
      <c r="AK32" s="904"/>
      <c r="AL32" s="904"/>
      <c r="AM32" s="904"/>
      <c r="AN32" s="904"/>
      <c r="AO32" s="904"/>
      <c r="AP32" s="904"/>
      <c r="AQ32" s="904"/>
      <c r="AR32" s="904"/>
      <c r="AS32" s="904"/>
      <c r="AT32" s="904"/>
      <c r="AU32" s="904"/>
      <c r="AV32" s="904"/>
      <c r="AW32" s="904"/>
      <c r="AX32" s="904"/>
      <c r="AY32" s="904"/>
      <c r="AZ32" s="904"/>
      <c r="BA32" s="904"/>
      <c r="BB32" s="904"/>
      <c r="BC32" s="904"/>
      <c r="BD32" s="904"/>
      <c r="BE32" s="904"/>
      <c r="BF32" s="904"/>
      <c r="BG32" s="904"/>
      <c r="BH32" s="904"/>
      <c r="BI32" s="904"/>
      <c r="BJ32" s="904"/>
    </row>
    <row r="33" spans="1:62" s="905" customFormat="1" ht="27.75" customHeight="1" x14ac:dyDescent="0.2">
      <c r="A33" s="438" t="s">
        <v>486</v>
      </c>
      <c r="B33" s="1388" t="s">
        <v>395</v>
      </c>
      <c r="C33" s="1389"/>
      <c r="D33" s="350"/>
      <c r="E33" s="350"/>
      <c r="F33" s="350"/>
      <c r="G33" s="633" t="s">
        <v>396</v>
      </c>
      <c r="H33" s="797"/>
      <c r="I33" s="517">
        <f>ABS(I28-I29)</f>
        <v>0</v>
      </c>
      <c r="J33" s="517">
        <f>ABS(J28-J29)</f>
        <v>0</v>
      </c>
      <c r="K33" s="798">
        <f>ABS(K28-K29)</f>
        <v>0</v>
      </c>
      <c r="L33" s="571"/>
      <c r="M33" s="439"/>
      <c r="N33" s="904"/>
      <c r="O33" s="904"/>
      <c r="P33" s="904"/>
      <c r="Q33" s="904"/>
      <c r="R33" s="904"/>
      <c r="S33" s="904"/>
      <c r="T33" s="904"/>
      <c r="U33" s="904"/>
      <c r="V33" s="904"/>
      <c r="W33" s="904"/>
      <c r="X33" s="904"/>
      <c r="Y33" s="904"/>
      <c r="Z33" s="904"/>
      <c r="AA33" s="904"/>
      <c r="AB33" s="904"/>
      <c r="AC33" s="904"/>
      <c r="AD33" s="904"/>
      <c r="AE33" s="904"/>
      <c r="AF33" s="904"/>
      <c r="AG33" s="904"/>
      <c r="AH33" s="904"/>
      <c r="AI33" s="904"/>
      <c r="AJ33" s="904"/>
      <c r="AK33" s="904"/>
      <c r="AL33" s="904"/>
      <c r="AM33" s="904"/>
      <c r="AN33" s="904"/>
      <c r="AO33" s="904"/>
      <c r="AP33" s="904"/>
      <c r="AQ33" s="904"/>
      <c r="AR33" s="904"/>
      <c r="AS33" s="904"/>
      <c r="AT33" s="904"/>
      <c r="AU33" s="904"/>
      <c r="AV33" s="904"/>
      <c r="AW33" s="904"/>
      <c r="AX33" s="904"/>
      <c r="AY33" s="904"/>
      <c r="AZ33" s="904"/>
      <c r="BA33" s="904"/>
      <c r="BB33" s="904"/>
      <c r="BC33" s="904"/>
      <c r="BD33" s="904"/>
      <c r="BE33" s="904"/>
      <c r="BF33" s="904"/>
      <c r="BG33" s="904"/>
      <c r="BH33" s="904"/>
      <c r="BI33" s="904"/>
      <c r="BJ33" s="904"/>
    </row>
    <row r="34" spans="1:62" s="905" customFormat="1" ht="11.25" x14ac:dyDescent="0.2">
      <c r="A34" s="438" t="s">
        <v>492</v>
      </c>
      <c r="B34" s="1388" t="s">
        <v>108</v>
      </c>
      <c r="C34" s="1389"/>
      <c r="D34" s="350"/>
      <c r="E34" s="350"/>
      <c r="F34" s="350"/>
      <c r="G34" s="800" t="s">
        <v>309</v>
      </c>
      <c r="H34" s="801"/>
      <c r="I34" s="802">
        <v>0.08</v>
      </c>
      <c r="J34" s="802">
        <v>0.08</v>
      </c>
      <c r="K34" s="802">
        <v>0.08</v>
      </c>
      <c r="L34" s="803"/>
      <c r="M34" s="439"/>
      <c r="N34" s="904"/>
      <c r="O34" s="904"/>
      <c r="P34" s="904"/>
      <c r="Q34" s="904"/>
      <c r="R34" s="904"/>
      <c r="S34" s="904"/>
      <c r="T34" s="904"/>
      <c r="U34" s="904"/>
      <c r="V34" s="904"/>
      <c r="W34" s="904"/>
      <c r="X34" s="904"/>
      <c r="Y34" s="904"/>
      <c r="Z34" s="904"/>
      <c r="AA34" s="904"/>
      <c r="AB34" s="904"/>
      <c r="AC34" s="904"/>
      <c r="AD34" s="904"/>
      <c r="AE34" s="904"/>
      <c r="AF34" s="904"/>
      <c r="AG34" s="904"/>
      <c r="AH34" s="904"/>
      <c r="AI34" s="904"/>
      <c r="AJ34" s="904"/>
      <c r="AK34" s="904"/>
      <c r="AL34" s="904"/>
      <c r="AM34" s="904"/>
      <c r="AN34" s="904"/>
      <c r="AO34" s="904"/>
      <c r="AP34" s="904"/>
      <c r="AQ34" s="904"/>
      <c r="AR34" s="904"/>
      <c r="AS34" s="904"/>
      <c r="AT34" s="904"/>
      <c r="AU34" s="904"/>
      <c r="AV34" s="904"/>
      <c r="AW34" s="904"/>
      <c r="AX34" s="904"/>
      <c r="AY34" s="904"/>
      <c r="AZ34" s="904"/>
      <c r="BA34" s="904"/>
      <c r="BB34" s="904"/>
      <c r="BC34" s="904"/>
      <c r="BD34" s="904"/>
      <c r="BE34" s="904"/>
      <c r="BF34" s="904"/>
      <c r="BG34" s="904"/>
      <c r="BH34" s="904"/>
      <c r="BI34" s="904"/>
      <c r="BJ34" s="904"/>
    </row>
    <row r="35" spans="1:62" s="905" customFormat="1" ht="11.25" x14ac:dyDescent="0.2">
      <c r="A35" s="438" t="s">
        <v>847</v>
      </c>
      <c r="B35" s="1388" t="s">
        <v>397</v>
      </c>
      <c r="C35" s="1389"/>
      <c r="D35" s="350"/>
      <c r="E35" s="350"/>
      <c r="F35" s="350"/>
      <c r="G35" s="633" t="s">
        <v>398</v>
      </c>
      <c r="H35" s="633"/>
      <c r="I35" s="517">
        <f>I33*0.08</f>
        <v>0</v>
      </c>
      <c r="J35" s="517">
        <f>J33*0.08</f>
        <v>0</v>
      </c>
      <c r="K35" s="798">
        <f>K33*0.08</f>
        <v>0</v>
      </c>
      <c r="L35" s="571"/>
      <c r="M35" s="804">
        <f>SUM(I35:K35)</f>
        <v>0</v>
      </c>
      <c r="N35" s="904"/>
      <c r="O35" s="904"/>
      <c r="P35" s="904"/>
      <c r="Q35" s="904"/>
      <c r="R35" s="904"/>
      <c r="S35" s="904"/>
      <c r="T35" s="904"/>
      <c r="U35" s="904"/>
      <c r="V35" s="904"/>
      <c r="W35" s="904"/>
      <c r="X35" s="904"/>
      <c r="Y35" s="904"/>
      <c r="Z35" s="904"/>
      <c r="AA35" s="904"/>
      <c r="AB35" s="904"/>
      <c r="AC35" s="904"/>
      <c r="AD35" s="904"/>
      <c r="AE35" s="904"/>
      <c r="AF35" s="904"/>
      <c r="AG35" s="904"/>
      <c r="AH35" s="904"/>
      <c r="AI35" s="904"/>
      <c r="AJ35" s="904"/>
      <c r="AK35" s="904"/>
      <c r="AL35" s="904"/>
      <c r="AM35" s="904"/>
      <c r="AN35" s="904"/>
      <c r="AO35" s="904"/>
      <c r="AP35" s="904"/>
      <c r="AQ35" s="904"/>
      <c r="AR35" s="904"/>
      <c r="AS35" s="904"/>
      <c r="AT35" s="904"/>
      <c r="AU35" s="904"/>
      <c r="AV35" s="904"/>
      <c r="AW35" s="904"/>
      <c r="AX35" s="904"/>
      <c r="AY35" s="904"/>
      <c r="AZ35" s="904"/>
      <c r="BA35" s="904"/>
      <c r="BB35" s="904"/>
      <c r="BC35" s="904"/>
      <c r="BD35" s="904"/>
      <c r="BE35" s="904"/>
      <c r="BF35" s="904"/>
      <c r="BG35" s="904"/>
      <c r="BH35" s="904"/>
      <c r="BI35" s="904"/>
      <c r="BJ35" s="904"/>
    </row>
    <row r="36" spans="1:62" s="905" customFormat="1" ht="11.25" x14ac:dyDescent="0.2">
      <c r="A36" s="438" t="s">
        <v>399</v>
      </c>
      <c r="B36" s="1388" t="s">
        <v>400</v>
      </c>
      <c r="C36" s="1389"/>
      <c r="D36" s="350"/>
      <c r="E36" s="350"/>
      <c r="F36" s="350"/>
      <c r="G36" s="633" t="s">
        <v>401</v>
      </c>
      <c r="H36" s="797"/>
      <c r="I36" s="439"/>
      <c r="J36" s="439"/>
      <c r="K36" s="805"/>
      <c r="L36" s="805"/>
      <c r="M36" s="804">
        <f>M32+M35</f>
        <v>0</v>
      </c>
      <c r="N36" s="904"/>
      <c r="O36" s="904"/>
      <c r="P36" s="904"/>
      <c r="Q36" s="904"/>
      <c r="R36" s="904"/>
      <c r="S36" s="904"/>
      <c r="T36" s="904"/>
      <c r="U36" s="904"/>
      <c r="V36" s="904"/>
      <c r="W36" s="904"/>
      <c r="X36" s="904"/>
      <c r="Y36" s="904"/>
      <c r="Z36" s="904"/>
      <c r="AA36" s="904"/>
      <c r="AB36" s="904"/>
      <c r="AC36" s="904"/>
      <c r="AD36" s="904"/>
      <c r="AE36" s="904"/>
      <c r="AF36" s="904"/>
      <c r="AG36" s="904"/>
      <c r="AH36" s="904"/>
      <c r="AI36" s="904"/>
      <c r="AJ36" s="904"/>
      <c r="AK36" s="904"/>
      <c r="AL36" s="904"/>
      <c r="AM36" s="904"/>
      <c r="AN36" s="904"/>
      <c r="AO36" s="904"/>
      <c r="AP36" s="904"/>
      <c r="AQ36" s="904"/>
      <c r="AR36" s="904"/>
      <c r="AS36" s="904"/>
      <c r="AT36" s="904"/>
      <c r="AU36" s="904"/>
      <c r="AV36" s="904"/>
      <c r="AW36" s="904"/>
      <c r="AX36" s="904"/>
      <c r="AY36" s="904"/>
      <c r="AZ36" s="904"/>
      <c r="BA36" s="904"/>
      <c r="BB36" s="904"/>
      <c r="BC36" s="904"/>
      <c r="BD36" s="904"/>
      <c r="BE36" s="904"/>
      <c r="BF36" s="904"/>
      <c r="BG36" s="904"/>
      <c r="BH36" s="904"/>
      <c r="BI36" s="904"/>
      <c r="BJ36" s="904"/>
    </row>
    <row r="37" spans="1:62" s="905" customFormat="1" ht="11.25" x14ac:dyDescent="0.2">
      <c r="A37" s="438" t="s">
        <v>402</v>
      </c>
      <c r="B37" s="1388" t="s">
        <v>403</v>
      </c>
      <c r="C37" s="1389"/>
      <c r="D37" s="350"/>
      <c r="E37" s="350"/>
      <c r="F37" s="350"/>
      <c r="G37" s="633" t="s">
        <v>404</v>
      </c>
      <c r="H37" s="633"/>
      <c r="I37" s="439"/>
      <c r="J37" s="439"/>
      <c r="K37" s="805"/>
      <c r="L37" s="805"/>
      <c r="M37" s="804">
        <f>M36*1.25</f>
        <v>0</v>
      </c>
      <c r="N37" s="904"/>
      <c r="O37" s="904"/>
      <c r="P37" s="904"/>
      <c r="Q37" s="904"/>
      <c r="R37" s="904"/>
      <c r="S37" s="904"/>
      <c r="T37" s="904"/>
      <c r="U37" s="904"/>
      <c r="V37" s="904"/>
      <c r="W37" s="904"/>
      <c r="X37" s="904"/>
      <c r="Y37" s="904"/>
      <c r="Z37" s="904"/>
      <c r="AA37" s="904"/>
      <c r="AB37" s="904"/>
      <c r="AC37" s="904"/>
      <c r="AD37" s="904"/>
      <c r="AE37" s="904"/>
      <c r="AF37" s="904"/>
      <c r="AG37" s="904"/>
      <c r="AH37" s="904"/>
      <c r="AI37" s="904"/>
      <c r="AJ37" s="904"/>
      <c r="AK37" s="904"/>
      <c r="AL37" s="904"/>
      <c r="AM37" s="904"/>
      <c r="AN37" s="904"/>
      <c r="AO37" s="904"/>
      <c r="AP37" s="904"/>
      <c r="AQ37" s="904"/>
      <c r="AR37" s="904"/>
      <c r="AS37" s="904"/>
      <c r="AT37" s="904"/>
      <c r="AU37" s="904"/>
      <c r="AV37" s="904"/>
      <c r="AW37" s="904"/>
      <c r="AX37" s="904"/>
      <c r="AY37" s="904"/>
      <c r="AZ37" s="904"/>
      <c r="BA37" s="904"/>
      <c r="BB37" s="904"/>
      <c r="BC37" s="904"/>
      <c r="BD37" s="904"/>
      <c r="BE37" s="904"/>
      <c r="BF37" s="904"/>
      <c r="BG37" s="904"/>
      <c r="BH37" s="904"/>
      <c r="BI37" s="904"/>
      <c r="BJ37" s="904"/>
    </row>
    <row r="38" spans="1:62" s="905" customFormat="1" ht="14.25" customHeight="1" x14ac:dyDescent="0.2">
      <c r="A38" s="438" t="s">
        <v>405</v>
      </c>
      <c r="B38" s="1215" t="s">
        <v>406</v>
      </c>
      <c r="C38" s="1216"/>
      <c r="D38" s="350"/>
      <c r="E38" s="350"/>
      <c r="F38" s="350"/>
      <c r="G38" s="797" t="s">
        <v>1617</v>
      </c>
      <c r="H38" s="797"/>
      <c r="I38" s="439"/>
      <c r="J38" s="439"/>
      <c r="K38" s="805"/>
      <c r="L38" s="805"/>
      <c r="M38" s="804">
        <f>M37*10</f>
        <v>0</v>
      </c>
      <c r="N38" s="904"/>
      <c r="O38" s="904"/>
      <c r="P38" s="904"/>
      <c r="Q38" s="904"/>
      <c r="R38" s="904"/>
      <c r="S38" s="904"/>
      <c r="T38" s="904"/>
      <c r="U38" s="904"/>
      <c r="V38" s="904"/>
      <c r="W38" s="904"/>
      <c r="X38" s="904"/>
      <c r="Y38" s="904"/>
      <c r="Z38" s="904"/>
      <c r="AA38" s="904"/>
      <c r="AB38" s="904"/>
      <c r="AC38" s="904"/>
      <c r="AD38" s="904"/>
      <c r="AE38" s="904"/>
      <c r="AF38" s="904"/>
      <c r="AG38" s="904"/>
      <c r="AH38" s="904"/>
      <c r="AI38" s="904"/>
      <c r="AJ38" s="904"/>
      <c r="AK38" s="904"/>
      <c r="AL38" s="904"/>
      <c r="AM38" s="904"/>
      <c r="AN38" s="904"/>
      <c r="AO38" s="904"/>
      <c r="AP38" s="904"/>
      <c r="AQ38" s="904"/>
      <c r="AR38" s="904"/>
      <c r="AS38" s="904"/>
      <c r="AT38" s="904"/>
      <c r="AU38" s="904"/>
      <c r="AV38" s="904"/>
      <c r="AW38" s="904"/>
      <c r="AX38" s="904"/>
      <c r="AY38" s="904"/>
      <c r="AZ38" s="904"/>
      <c r="BA38" s="904"/>
      <c r="BB38" s="904"/>
      <c r="BC38" s="904"/>
      <c r="BD38" s="904"/>
      <c r="BE38" s="904"/>
      <c r="BF38" s="904"/>
      <c r="BG38" s="904"/>
      <c r="BH38" s="904"/>
      <c r="BI38" s="904"/>
      <c r="BJ38" s="904"/>
    </row>
    <row r="39" spans="1:62" s="899" customFormat="1" ht="11.25" x14ac:dyDescent="0.2">
      <c r="A39" s="426"/>
      <c r="B39" s="426"/>
      <c r="C39" s="426"/>
      <c r="D39" s="426"/>
      <c r="E39" s="426"/>
      <c r="F39" s="426"/>
      <c r="G39" s="478" t="s">
        <v>309</v>
      </c>
      <c r="H39" s="426"/>
      <c r="I39" s="426"/>
      <c r="J39" s="426"/>
      <c r="K39" s="790"/>
      <c r="L39" s="790"/>
      <c r="M39" s="480"/>
      <c r="N39" s="763"/>
      <c r="O39" s="763"/>
      <c r="P39" s="763"/>
      <c r="Q39" s="763"/>
      <c r="R39" s="763"/>
      <c r="S39" s="763"/>
      <c r="T39" s="763"/>
      <c r="U39" s="763"/>
      <c r="V39" s="763"/>
      <c r="W39" s="763"/>
      <c r="X39" s="763"/>
      <c r="Y39" s="763"/>
      <c r="Z39" s="763"/>
      <c r="AA39" s="763"/>
      <c r="AB39" s="763"/>
      <c r="AC39" s="763"/>
      <c r="AD39" s="763"/>
      <c r="AE39" s="763"/>
      <c r="AF39" s="763"/>
      <c r="AG39" s="763"/>
      <c r="AH39" s="763"/>
      <c r="AI39" s="763"/>
      <c r="AJ39" s="763"/>
      <c r="AK39" s="763"/>
      <c r="AL39" s="763"/>
      <c r="AM39" s="763"/>
      <c r="AN39" s="763"/>
      <c r="AO39" s="763"/>
      <c r="AP39" s="763"/>
      <c r="AQ39" s="763"/>
      <c r="AR39" s="763"/>
      <c r="AS39" s="763"/>
      <c r="AT39" s="763"/>
      <c r="AU39" s="763"/>
      <c r="AV39" s="763"/>
      <c r="AW39" s="763"/>
      <c r="AX39" s="763"/>
      <c r="AY39" s="763"/>
      <c r="AZ39" s="763"/>
      <c r="BA39" s="763"/>
      <c r="BB39" s="763"/>
      <c r="BC39" s="763"/>
      <c r="BD39" s="763"/>
      <c r="BE39" s="763"/>
      <c r="BF39" s="763"/>
      <c r="BG39" s="763"/>
      <c r="BH39" s="763"/>
      <c r="BI39" s="763"/>
      <c r="BJ39" s="763"/>
    </row>
    <row r="40" spans="1:62" s="899" customFormat="1" ht="11.25" x14ac:dyDescent="0.2">
      <c r="A40" s="806" t="s">
        <v>494</v>
      </c>
      <c r="B40" s="764" t="s">
        <v>407</v>
      </c>
      <c r="C40" s="764"/>
      <c r="D40" s="764"/>
      <c r="E40" s="764"/>
      <c r="F40" s="764"/>
      <c r="G40" s="764"/>
      <c r="H40" s="764"/>
      <c r="I40" s="764"/>
      <c r="J40" s="773"/>
      <c r="K40" s="807"/>
      <c r="L40" s="807"/>
      <c r="M40" s="480"/>
      <c r="N40" s="763"/>
      <c r="O40" s="763"/>
      <c r="P40" s="763"/>
      <c r="Q40" s="763"/>
      <c r="R40" s="763"/>
      <c r="S40" s="763"/>
      <c r="T40" s="763"/>
      <c r="U40" s="763"/>
      <c r="V40" s="763"/>
      <c r="W40" s="763"/>
      <c r="X40" s="763"/>
      <c r="Y40" s="763"/>
      <c r="Z40" s="763"/>
      <c r="AA40" s="763"/>
      <c r="AB40" s="763"/>
      <c r="AC40" s="763"/>
      <c r="AD40" s="763"/>
      <c r="AE40" s="763"/>
      <c r="AF40" s="763"/>
      <c r="AG40" s="763"/>
      <c r="AH40" s="763"/>
      <c r="AI40" s="763"/>
      <c r="AJ40" s="763"/>
      <c r="AK40" s="763"/>
      <c r="AL40" s="763"/>
      <c r="AM40" s="763"/>
      <c r="AN40" s="763"/>
      <c r="AO40" s="763"/>
      <c r="AP40" s="763"/>
      <c r="AQ40" s="763"/>
      <c r="AR40" s="763"/>
      <c r="AS40" s="763"/>
      <c r="AT40" s="763"/>
      <c r="AU40" s="763"/>
      <c r="AV40" s="763"/>
      <c r="AW40" s="763"/>
      <c r="AX40" s="763"/>
      <c r="AY40" s="763"/>
      <c r="AZ40" s="763"/>
      <c r="BA40" s="763"/>
      <c r="BB40" s="763"/>
      <c r="BC40" s="763"/>
      <c r="BD40" s="763"/>
      <c r="BE40" s="763"/>
      <c r="BF40" s="763"/>
      <c r="BG40" s="763"/>
      <c r="BH40" s="763"/>
      <c r="BI40" s="763"/>
      <c r="BJ40" s="763"/>
    </row>
    <row r="41" spans="1:62" s="899" customFormat="1" ht="27" customHeight="1" x14ac:dyDescent="0.2">
      <c r="A41" s="806" t="s">
        <v>496</v>
      </c>
      <c r="B41" s="1276" t="s">
        <v>408</v>
      </c>
      <c r="C41" s="1276"/>
      <c r="D41" s="1276"/>
      <c r="E41" s="1276"/>
      <c r="F41" s="1276"/>
      <c r="G41" s="1276"/>
      <c r="H41" s="1276"/>
      <c r="I41" s="1276"/>
      <c r="J41" s="1276"/>
      <c r="K41" s="1276"/>
      <c r="L41" s="1276"/>
      <c r="M41" s="1276"/>
      <c r="N41" s="763"/>
      <c r="O41" s="763"/>
      <c r="P41" s="763"/>
      <c r="Q41" s="763"/>
      <c r="R41" s="763"/>
      <c r="S41" s="763"/>
      <c r="T41" s="763"/>
      <c r="U41" s="763"/>
      <c r="V41" s="763"/>
      <c r="W41" s="763"/>
      <c r="X41" s="763"/>
      <c r="Y41" s="763"/>
      <c r="Z41" s="763"/>
      <c r="AA41" s="763"/>
      <c r="AB41" s="763"/>
      <c r="AC41" s="763"/>
      <c r="AD41" s="763"/>
      <c r="AE41" s="763"/>
      <c r="AF41" s="763"/>
      <c r="AG41" s="763"/>
      <c r="AH41" s="763"/>
      <c r="AI41" s="763"/>
      <c r="AJ41" s="763"/>
      <c r="AK41" s="763"/>
      <c r="AL41" s="763"/>
      <c r="AM41" s="763"/>
      <c r="AN41" s="763"/>
      <c r="AO41" s="763"/>
      <c r="AP41" s="763"/>
      <c r="AQ41" s="763"/>
      <c r="AR41" s="763"/>
      <c r="AS41" s="763"/>
      <c r="AT41" s="763"/>
      <c r="AU41" s="763"/>
      <c r="AV41" s="763"/>
      <c r="AW41" s="763"/>
      <c r="AX41" s="763"/>
      <c r="AY41" s="763"/>
      <c r="AZ41" s="763"/>
      <c r="BA41" s="763"/>
      <c r="BB41" s="763"/>
      <c r="BC41" s="763"/>
      <c r="BD41" s="763"/>
      <c r="BE41" s="763"/>
      <c r="BF41" s="763"/>
      <c r="BG41" s="763"/>
      <c r="BH41" s="763"/>
      <c r="BI41" s="763"/>
      <c r="BJ41" s="763"/>
    </row>
    <row r="42" spans="1:62" s="899" customFormat="1" ht="36" customHeight="1" x14ac:dyDescent="0.2">
      <c r="A42" s="533" t="s">
        <v>498</v>
      </c>
      <c r="B42" s="1244" t="s">
        <v>966</v>
      </c>
      <c r="C42" s="1244"/>
      <c r="D42" s="1244"/>
      <c r="E42" s="1244"/>
      <c r="F42" s="1244"/>
      <c r="G42" s="1244"/>
      <c r="H42" s="1244"/>
      <c r="I42" s="1244"/>
      <c r="J42" s="1244"/>
      <c r="K42" s="1244"/>
      <c r="L42" s="1244"/>
      <c r="M42" s="1244"/>
      <c r="N42" s="763"/>
      <c r="O42" s="763"/>
      <c r="P42" s="763"/>
      <c r="Q42" s="763"/>
      <c r="R42" s="763"/>
      <c r="S42" s="763"/>
      <c r="T42" s="763"/>
      <c r="U42" s="763"/>
      <c r="V42" s="763"/>
      <c r="W42" s="763"/>
      <c r="X42" s="763"/>
      <c r="Y42" s="763"/>
      <c r="Z42" s="763"/>
      <c r="AA42" s="763"/>
      <c r="AB42" s="763"/>
      <c r="AC42" s="763"/>
      <c r="AD42" s="763"/>
      <c r="AE42" s="763"/>
      <c r="AF42" s="763"/>
      <c r="AG42" s="763"/>
      <c r="AH42" s="763"/>
      <c r="AI42" s="763"/>
      <c r="AJ42" s="763"/>
      <c r="AK42" s="763"/>
      <c r="AL42" s="763"/>
      <c r="AM42" s="763"/>
      <c r="AN42" s="763"/>
      <c r="AO42" s="763"/>
      <c r="AP42" s="763"/>
      <c r="AQ42" s="763"/>
      <c r="AR42" s="763"/>
      <c r="AS42" s="763"/>
      <c r="AT42" s="763"/>
      <c r="AU42" s="763"/>
      <c r="AV42" s="763"/>
      <c r="AW42" s="763"/>
      <c r="AX42" s="763"/>
      <c r="AY42" s="763"/>
      <c r="AZ42" s="763"/>
      <c r="BA42" s="763"/>
      <c r="BB42" s="763"/>
      <c r="BC42" s="763"/>
      <c r="BD42" s="763"/>
      <c r="BE42" s="763"/>
      <c r="BF42" s="763"/>
      <c r="BG42" s="763"/>
      <c r="BH42" s="763"/>
      <c r="BI42" s="763"/>
      <c r="BJ42" s="763"/>
    </row>
    <row r="43" spans="1:62" s="889" customFormat="1" x14ac:dyDescent="0.2">
      <c r="A43" s="806" t="s">
        <v>500</v>
      </c>
      <c r="B43" s="764" t="s">
        <v>104</v>
      </c>
      <c r="C43" s="764"/>
      <c r="D43" s="764"/>
      <c r="E43" s="764"/>
      <c r="F43" s="764"/>
      <c r="G43" s="764"/>
      <c r="H43" s="764"/>
      <c r="I43" s="764"/>
      <c r="J43" s="773"/>
      <c r="K43" s="807"/>
      <c r="L43" s="807"/>
      <c r="M43" s="480"/>
      <c r="N43" s="891"/>
      <c r="O43" s="891"/>
      <c r="P43" s="891"/>
      <c r="Q43" s="891"/>
      <c r="R43" s="891"/>
      <c r="S43" s="891"/>
      <c r="T43" s="891"/>
      <c r="U43" s="891"/>
      <c r="V43" s="891"/>
      <c r="W43" s="891"/>
      <c r="X43" s="891"/>
      <c r="Y43" s="891"/>
      <c r="Z43" s="891"/>
      <c r="AA43" s="891"/>
      <c r="AB43" s="891"/>
      <c r="AC43" s="891"/>
      <c r="AD43" s="891"/>
      <c r="AE43" s="891"/>
      <c r="AF43" s="891"/>
      <c r="AG43" s="891"/>
      <c r="AH43" s="891"/>
      <c r="AI43" s="891"/>
      <c r="AJ43" s="891"/>
      <c r="AK43" s="891"/>
      <c r="AL43" s="891"/>
      <c r="AM43" s="891"/>
      <c r="AN43" s="891"/>
      <c r="AO43" s="891"/>
      <c r="AP43" s="891"/>
      <c r="AQ43" s="891"/>
      <c r="AR43" s="891"/>
      <c r="AS43" s="891"/>
      <c r="AT43" s="891"/>
      <c r="AU43" s="891"/>
      <c r="AV43" s="891"/>
      <c r="AW43" s="891"/>
      <c r="AX43" s="891"/>
      <c r="AY43" s="891"/>
      <c r="AZ43" s="891"/>
      <c r="BA43" s="891"/>
      <c r="BB43" s="891"/>
      <c r="BC43" s="891"/>
      <c r="BD43" s="891"/>
      <c r="BE43" s="891"/>
      <c r="BF43" s="891"/>
      <c r="BG43" s="891"/>
      <c r="BH43" s="891"/>
      <c r="BI43" s="891"/>
      <c r="BJ43" s="891"/>
    </row>
    <row r="44" spans="1:62" s="889" customFormat="1" x14ac:dyDescent="0.2">
      <c r="A44" s="806" t="s">
        <v>227</v>
      </c>
      <c r="B44" s="764" t="s">
        <v>409</v>
      </c>
      <c r="C44" s="764"/>
      <c r="D44" s="764"/>
      <c r="E44" s="764"/>
      <c r="F44" s="764"/>
      <c r="G44" s="764"/>
      <c r="H44" s="764"/>
      <c r="I44" s="764"/>
      <c r="J44" s="773"/>
      <c r="K44" s="807"/>
      <c r="L44" s="807"/>
      <c r="M44" s="480"/>
      <c r="N44" s="891"/>
      <c r="O44" s="891"/>
      <c r="P44" s="891"/>
      <c r="Q44" s="891"/>
      <c r="R44" s="891"/>
      <c r="S44" s="891"/>
      <c r="T44" s="891"/>
      <c r="U44" s="891"/>
      <c r="V44" s="891"/>
      <c r="W44" s="891"/>
      <c r="X44" s="891"/>
      <c r="Y44" s="891"/>
      <c r="Z44" s="891"/>
      <c r="AA44" s="891"/>
      <c r="AB44" s="891"/>
      <c r="AC44" s="891"/>
      <c r="AD44" s="891"/>
      <c r="AE44" s="891"/>
      <c r="AF44" s="891"/>
      <c r="AG44" s="891"/>
      <c r="AH44" s="891"/>
      <c r="AI44" s="891"/>
      <c r="AJ44" s="891"/>
      <c r="AK44" s="891"/>
      <c r="AL44" s="891"/>
      <c r="AM44" s="891"/>
      <c r="AN44" s="891"/>
      <c r="AO44" s="891"/>
      <c r="AP44" s="891"/>
      <c r="AQ44" s="891"/>
      <c r="AR44" s="891"/>
      <c r="AS44" s="891"/>
      <c r="AT44" s="891"/>
      <c r="AU44" s="891"/>
      <c r="AV44" s="891"/>
      <c r="AW44" s="891"/>
      <c r="AX44" s="891"/>
      <c r="AY44" s="891"/>
      <c r="AZ44" s="891"/>
      <c r="BA44" s="891"/>
      <c r="BB44" s="891"/>
      <c r="BC44" s="891"/>
      <c r="BD44" s="891"/>
      <c r="BE44" s="891"/>
      <c r="BF44" s="891"/>
      <c r="BG44" s="891"/>
      <c r="BH44" s="891"/>
      <c r="BI44" s="891"/>
      <c r="BJ44" s="891"/>
    </row>
    <row r="45" spans="1:62" x14ac:dyDescent="0.2">
      <c r="A45" s="426"/>
      <c r="B45" s="426"/>
      <c r="C45" s="426"/>
      <c r="D45" s="426"/>
      <c r="E45" s="426"/>
      <c r="F45" s="426"/>
      <c r="G45" s="426"/>
      <c r="H45" s="426"/>
      <c r="I45" s="426"/>
      <c r="J45" s="480"/>
      <c r="K45" s="789"/>
      <c r="L45" s="789"/>
      <c r="M45" s="480"/>
    </row>
  </sheetData>
  <sheetProtection password="ADC2" sheet="1" objects="1" scenarios="1"/>
  <mergeCells count="37">
    <mergeCell ref="B37:C37"/>
    <mergeCell ref="B38:C38"/>
    <mergeCell ref="B41:M41"/>
    <mergeCell ref="B33:C33"/>
    <mergeCell ref="B34:C34"/>
    <mergeCell ref="B35:C35"/>
    <mergeCell ref="B36:C36"/>
    <mergeCell ref="B42:M42"/>
    <mergeCell ref="B18:B19"/>
    <mergeCell ref="A28:A29"/>
    <mergeCell ref="B28:B29"/>
    <mergeCell ref="B31:C31"/>
    <mergeCell ref="B32:C32"/>
    <mergeCell ref="A24:A25"/>
    <mergeCell ref="B24:B25"/>
    <mergeCell ref="A26:A27"/>
    <mergeCell ref="B26:B27"/>
    <mergeCell ref="B7:B9"/>
    <mergeCell ref="C7:C9"/>
    <mergeCell ref="G7:G9"/>
    <mergeCell ref="A20:A21"/>
    <mergeCell ref="B20:B21"/>
    <mergeCell ref="A22:A23"/>
    <mergeCell ref="B22:B23"/>
    <mergeCell ref="A16:A17"/>
    <mergeCell ref="B16:B17"/>
    <mergeCell ref="A18:A19"/>
    <mergeCell ref="A12:A13"/>
    <mergeCell ref="B12:B13"/>
    <mergeCell ref="A14:A15"/>
    <mergeCell ref="B14:B15"/>
    <mergeCell ref="H7:H9"/>
    <mergeCell ref="I7:L7"/>
    <mergeCell ref="J8:L8"/>
    <mergeCell ref="A10:A11"/>
    <mergeCell ref="B10:B11"/>
    <mergeCell ref="A7:A9"/>
  </mergeCells>
  <phoneticPr fontId="36" type="noConversion"/>
  <dataValidations count="1">
    <dataValidation type="decimal" operator="greaterThanOrEqual" allowBlank="1" showInputMessage="1" showErrorMessage="1" sqref="I10:L27">
      <formula1>0</formula1>
    </dataValidation>
  </dataValidations>
  <pageMargins left="0.75" right="0.75" top="1" bottom="1" header="0.5" footer="0.5"/>
  <pageSetup paperSize="9" scale="81" orientation="landscape" r:id="rId1"/>
  <headerFooter alignWithMargins="0">
    <oddHeader>&amp;C&amp;"Arial,Bold"&amp;8 NEW RURAL BANK OF SAN LEONARDO, INC  [ 04-040656 ]
 As of: September 30, 2017</oddHeader>
  </headerFooter>
  <drawing r:id="rId2"/>
  <legacyDrawing r:id="rId3"/>
  <controls>
    <mc:AlternateContent xmlns:mc="http://schemas.openxmlformats.org/markup-compatibility/2006">
      <mc:Choice Requires="x14">
        <control shapeId="4098" r:id="rId4" name="AddCol">
          <controlPr defaultSize="0" autoLine="0" r:id="rId5">
            <anchor moveWithCells="1">
              <from>
                <xdr:col>11</xdr:col>
                <xdr:colOff>200025</xdr:colOff>
                <xdr:row>8</xdr:row>
                <xdr:rowOff>9525</xdr:rowOff>
              </from>
              <to>
                <xdr:col>11</xdr:col>
                <xdr:colOff>361950</xdr:colOff>
                <xdr:row>9</xdr:row>
                <xdr:rowOff>19050</xdr:rowOff>
              </to>
            </anchor>
          </controlPr>
        </control>
      </mc:Choice>
      <mc:Fallback>
        <control shapeId="4098" r:id="rId4" name="AddCol"/>
      </mc:Fallback>
    </mc:AlternateContent>
    <mc:AlternateContent xmlns:mc="http://schemas.openxmlformats.org/markup-compatibility/2006">
      <mc:Choice Requires="x14">
        <control shapeId="4097" r:id="rId6" name="DelCol">
          <controlPr defaultSize="0" autoLine="0" r:id="rId7">
            <anchor moveWithCells="1">
              <from>
                <xdr:col>11</xdr:col>
                <xdr:colOff>38100</xdr:colOff>
                <xdr:row>8</xdr:row>
                <xdr:rowOff>9525</xdr:rowOff>
              </from>
              <to>
                <xdr:col>11</xdr:col>
                <xdr:colOff>171450</xdr:colOff>
                <xdr:row>8</xdr:row>
                <xdr:rowOff>133350</xdr:rowOff>
              </to>
            </anchor>
          </controlPr>
        </control>
      </mc:Choice>
      <mc:Fallback>
        <control shapeId="4097" r:id="rId6" name="DelCol"/>
      </mc:Fallback>
    </mc:AlternateContent>
  </control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M32"/>
  <sheetViews>
    <sheetView view="pageBreakPreview" zoomScale="120" zoomScaleNormal="100" zoomScaleSheetLayoutView="120" workbookViewId="0">
      <selection activeCell="M4" sqref="M4"/>
    </sheetView>
  </sheetViews>
  <sheetFormatPr defaultRowHeight="12.75" x14ac:dyDescent="0.2"/>
  <cols>
    <col min="1" max="1" width="6.42578125" style="889" customWidth="1"/>
    <col min="2" max="2" width="7.7109375" style="889" customWidth="1"/>
    <col min="3" max="3" width="34" style="889" customWidth="1"/>
    <col min="4" max="4" width="8" style="889" bestFit="1" customWidth="1"/>
    <col min="5" max="5" width="19.42578125" style="889" hidden="1" customWidth="1"/>
    <col min="6" max="6" width="30" style="889" hidden="1" customWidth="1"/>
    <col min="7" max="7" width="15.7109375" style="889" customWidth="1"/>
    <col min="8" max="8" width="24.7109375" style="889" hidden="1" customWidth="1"/>
    <col min="9" max="10" width="15.85546875" style="889" customWidth="1"/>
    <col min="11" max="13" width="15.85546875" style="891" customWidth="1"/>
  </cols>
  <sheetData>
    <row r="1" spans="1:65" s="889" customFormat="1" x14ac:dyDescent="0.2">
      <c r="A1" s="426"/>
      <c r="B1" s="426"/>
      <c r="C1" s="426"/>
      <c r="D1" s="426"/>
      <c r="E1" s="426"/>
      <c r="F1" s="426"/>
      <c r="G1" s="426"/>
      <c r="H1" s="426"/>
      <c r="I1" s="426"/>
      <c r="J1" s="426"/>
      <c r="K1" s="480"/>
      <c r="L1" s="480"/>
      <c r="M1" s="480"/>
      <c r="N1" s="891"/>
      <c r="O1" s="891"/>
      <c r="P1" s="891"/>
      <c r="Q1" s="891"/>
      <c r="R1" s="891"/>
      <c r="S1" s="891"/>
      <c r="T1" s="891"/>
      <c r="U1" s="891"/>
      <c r="V1" s="891"/>
      <c r="W1" s="891"/>
      <c r="X1" s="891"/>
      <c r="Y1" s="891"/>
      <c r="Z1" s="891"/>
      <c r="AA1" s="891"/>
      <c r="AB1" s="891"/>
      <c r="AC1" s="891"/>
      <c r="AD1" s="891"/>
      <c r="AE1" s="891"/>
      <c r="AF1" s="891"/>
      <c r="AG1" s="891"/>
      <c r="AH1" s="891"/>
      <c r="AI1" s="891"/>
      <c r="AJ1" s="891"/>
      <c r="AK1" s="891"/>
      <c r="AL1" s="891"/>
      <c r="AM1" s="891"/>
      <c r="AN1" s="891"/>
      <c r="AO1" s="891"/>
      <c r="AP1" s="891"/>
      <c r="AQ1" s="891"/>
      <c r="AR1" s="891"/>
      <c r="AS1" s="891"/>
      <c r="AT1" s="891"/>
      <c r="AU1" s="891"/>
      <c r="AV1" s="891"/>
      <c r="AW1" s="891"/>
      <c r="AX1" s="891"/>
      <c r="AY1" s="891"/>
      <c r="AZ1" s="891"/>
      <c r="BA1" s="891"/>
      <c r="BB1" s="891"/>
      <c r="BC1" s="891"/>
      <c r="BD1" s="891"/>
      <c r="BE1" s="891"/>
      <c r="BF1" s="891"/>
      <c r="BG1" s="891"/>
      <c r="BH1" s="891"/>
      <c r="BI1" s="891"/>
      <c r="BJ1" s="891"/>
      <c r="BK1" s="891"/>
      <c r="BL1" s="891"/>
      <c r="BM1" s="891"/>
    </row>
    <row r="2" spans="1:65" s="889" customFormat="1" x14ac:dyDescent="0.2">
      <c r="A2" s="426"/>
      <c r="B2" s="426"/>
      <c r="C2" s="426"/>
      <c r="D2" s="426"/>
      <c r="E2" s="426"/>
      <c r="F2" s="426"/>
      <c r="G2" s="426"/>
      <c r="H2" s="426"/>
      <c r="I2" s="426"/>
      <c r="J2" s="426"/>
      <c r="K2" s="426"/>
      <c r="L2" s="426"/>
      <c r="M2" s="480"/>
      <c r="N2" s="891"/>
      <c r="O2" s="891"/>
      <c r="P2" s="891"/>
      <c r="Q2" s="891"/>
      <c r="R2" s="891"/>
      <c r="S2" s="891"/>
      <c r="T2" s="891"/>
      <c r="U2" s="891"/>
      <c r="V2" s="891"/>
      <c r="W2" s="891"/>
      <c r="X2" s="891"/>
      <c r="Y2" s="891"/>
      <c r="Z2" s="891"/>
      <c r="AA2" s="891"/>
      <c r="AB2" s="891"/>
      <c r="AC2" s="891"/>
      <c r="AD2" s="891"/>
      <c r="AE2" s="891"/>
      <c r="AF2" s="891"/>
      <c r="AG2" s="891"/>
      <c r="AH2" s="891"/>
      <c r="AI2" s="891"/>
      <c r="AJ2" s="891"/>
      <c r="AK2" s="891"/>
      <c r="AL2" s="891"/>
      <c r="AM2" s="891"/>
      <c r="AN2" s="891"/>
      <c r="AO2" s="891"/>
      <c r="AP2" s="891"/>
      <c r="AQ2" s="891"/>
      <c r="AR2" s="891"/>
      <c r="AS2" s="891"/>
      <c r="AT2" s="891"/>
      <c r="AU2" s="891"/>
      <c r="AV2" s="891"/>
      <c r="AW2" s="891"/>
      <c r="AX2" s="891"/>
      <c r="AY2" s="891"/>
      <c r="AZ2" s="891"/>
      <c r="BA2" s="891"/>
      <c r="BB2" s="891"/>
      <c r="BC2" s="891"/>
      <c r="BD2" s="891"/>
      <c r="BE2" s="891"/>
      <c r="BF2" s="891"/>
      <c r="BG2" s="891"/>
      <c r="BH2" s="891"/>
      <c r="BI2" s="891"/>
      <c r="BJ2" s="891"/>
      <c r="BK2" s="891"/>
      <c r="BL2" s="891"/>
      <c r="BM2" s="891"/>
    </row>
    <row r="3" spans="1:65" s="1048" customFormat="1" ht="12" x14ac:dyDescent="0.2">
      <c r="A3" s="808" t="s">
        <v>410</v>
      </c>
      <c r="B3" s="808"/>
      <c r="C3" s="808"/>
      <c r="D3" s="808"/>
      <c r="E3" s="809"/>
      <c r="F3" s="809"/>
      <c r="G3" s="808"/>
      <c r="H3" s="808"/>
      <c r="I3" s="808"/>
      <c r="J3" s="808"/>
      <c r="K3" s="809"/>
      <c r="L3" s="809"/>
      <c r="M3" s="810"/>
      <c r="N3" s="1046"/>
      <c r="O3" s="1047"/>
      <c r="P3" s="1047"/>
      <c r="Q3" s="1047"/>
      <c r="R3" s="1047"/>
      <c r="S3" s="1047"/>
      <c r="T3" s="1047"/>
      <c r="U3" s="1047"/>
      <c r="V3" s="1047"/>
      <c r="W3" s="1047"/>
      <c r="X3" s="1047"/>
      <c r="Y3" s="1047"/>
      <c r="Z3" s="1047"/>
      <c r="AA3" s="1047"/>
      <c r="AB3" s="1047"/>
      <c r="AC3" s="1047"/>
      <c r="AD3" s="1047"/>
      <c r="AE3" s="1047"/>
      <c r="AF3" s="1047"/>
      <c r="AG3" s="1047"/>
      <c r="AH3" s="1047"/>
      <c r="AI3" s="1047"/>
      <c r="AJ3" s="1047"/>
      <c r="AK3" s="1047"/>
      <c r="AL3" s="1047"/>
      <c r="AM3" s="1047"/>
      <c r="AN3" s="1047"/>
      <c r="AO3" s="1047"/>
      <c r="AP3" s="1047"/>
      <c r="AQ3" s="1047"/>
      <c r="AR3" s="1047"/>
      <c r="AS3" s="1047"/>
      <c r="AT3" s="1047"/>
      <c r="AU3" s="1047"/>
      <c r="AV3" s="1047"/>
      <c r="AW3" s="1047"/>
      <c r="AX3" s="1047"/>
      <c r="AY3" s="1047"/>
      <c r="AZ3" s="1047"/>
      <c r="BA3" s="1047"/>
      <c r="BB3" s="1047"/>
      <c r="BC3" s="1047"/>
      <c r="BD3" s="1047"/>
      <c r="BE3" s="1047"/>
      <c r="BF3" s="1047"/>
      <c r="BG3" s="1047"/>
      <c r="BH3" s="1047"/>
      <c r="BI3" s="1047"/>
      <c r="BJ3" s="1047"/>
      <c r="BK3" s="1047"/>
      <c r="BL3" s="1047"/>
      <c r="BM3" s="1047"/>
    </row>
    <row r="4" spans="1:65" s="899" customFormat="1" ht="12" thickBot="1" x14ac:dyDescent="0.25">
      <c r="A4" s="426"/>
      <c r="B4" s="426"/>
      <c r="C4" s="426"/>
      <c r="D4" s="426"/>
      <c r="E4" s="426"/>
      <c r="F4" s="426"/>
      <c r="G4" s="426"/>
      <c r="H4" s="426"/>
      <c r="I4" s="426"/>
      <c r="J4" s="426"/>
      <c r="K4" s="480"/>
      <c r="L4" s="811" t="s">
        <v>411</v>
      </c>
      <c r="M4" s="812">
        <v>0</v>
      </c>
      <c r="N4" s="763"/>
      <c r="O4" s="763"/>
      <c r="P4" s="763"/>
      <c r="Q4" s="763"/>
      <c r="R4" s="763"/>
      <c r="S4" s="763"/>
      <c r="T4" s="763"/>
      <c r="U4" s="763"/>
      <c r="V4" s="763"/>
      <c r="W4" s="763"/>
      <c r="X4" s="763"/>
      <c r="Y4" s="763"/>
      <c r="Z4" s="763"/>
      <c r="AA4" s="763"/>
      <c r="AB4" s="763"/>
      <c r="AC4" s="763"/>
      <c r="AD4" s="763"/>
      <c r="AE4" s="763"/>
      <c r="AF4" s="763"/>
      <c r="AG4" s="763"/>
      <c r="AH4" s="763"/>
      <c r="AI4" s="763"/>
      <c r="AJ4" s="763"/>
      <c r="AK4" s="763"/>
      <c r="AL4" s="763"/>
      <c r="AM4" s="763"/>
      <c r="AN4" s="763"/>
      <c r="AO4" s="763"/>
      <c r="AP4" s="763"/>
      <c r="AQ4" s="763"/>
      <c r="AR4" s="763"/>
      <c r="AS4" s="763"/>
      <c r="AT4" s="763"/>
      <c r="AU4" s="763"/>
      <c r="AV4" s="763"/>
      <c r="AW4" s="763"/>
      <c r="AX4" s="763"/>
      <c r="AY4" s="763"/>
      <c r="AZ4" s="763"/>
      <c r="BA4" s="763"/>
      <c r="BB4" s="763"/>
      <c r="BC4" s="763"/>
      <c r="BD4" s="763"/>
      <c r="BE4" s="763"/>
      <c r="BF4" s="763"/>
      <c r="BG4" s="763"/>
      <c r="BH4" s="763"/>
      <c r="BI4" s="763"/>
      <c r="BJ4" s="763"/>
      <c r="BK4" s="763"/>
      <c r="BL4" s="763"/>
      <c r="BM4" s="763"/>
    </row>
    <row r="5" spans="1:65" s="899" customFormat="1" ht="11.25" x14ac:dyDescent="0.2">
      <c r="A5" s="1394" t="s">
        <v>964</v>
      </c>
      <c r="B5" s="1397" t="s">
        <v>256</v>
      </c>
      <c r="C5" s="1398"/>
      <c r="D5" s="1229" t="s">
        <v>1629</v>
      </c>
      <c r="E5" s="426"/>
      <c r="F5" s="426"/>
      <c r="G5" s="1229" t="s">
        <v>257</v>
      </c>
      <c r="H5" s="1229"/>
      <c r="I5" s="1211" t="s">
        <v>412</v>
      </c>
      <c r="J5" s="1293"/>
      <c r="K5" s="1293"/>
      <c r="L5" s="1212"/>
      <c r="M5" s="813" t="s">
        <v>413</v>
      </c>
      <c r="N5" s="763"/>
      <c r="O5" s="763"/>
      <c r="P5" s="763"/>
      <c r="Q5" s="763"/>
      <c r="R5" s="763"/>
      <c r="S5" s="763"/>
      <c r="T5" s="763"/>
      <c r="U5" s="763"/>
      <c r="V5" s="763"/>
      <c r="W5" s="763"/>
      <c r="X5" s="763"/>
      <c r="Y5" s="763"/>
      <c r="Z5" s="763"/>
      <c r="AA5" s="763"/>
      <c r="AB5" s="763"/>
      <c r="AC5" s="763"/>
      <c r="AD5" s="763"/>
      <c r="AE5" s="763"/>
      <c r="AF5" s="763"/>
      <c r="AG5" s="763"/>
      <c r="AH5" s="763"/>
      <c r="AI5" s="763"/>
      <c r="AJ5" s="763"/>
      <c r="AK5" s="763"/>
      <c r="AL5" s="763"/>
      <c r="AM5" s="763"/>
      <c r="AN5" s="763"/>
      <c r="AO5" s="763"/>
      <c r="AP5" s="763"/>
      <c r="AQ5" s="763"/>
      <c r="AR5" s="763"/>
      <c r="AS5" s="763"/>
      <c r="AT5" s="763"/>
      <c r="AU5" s="763"/>
      <c r="AV5" s="763"/>
      <c r="AW5" s="763"/>
      <c r="AX5" s="763"/>
      <c r="AY5" s="763"/>
      <c r="AZ5" s="763"/>
      <c r="BA5" s="763"/>
      <c r="BB5" s="763"/>
      <c r="BC5" s="763"/>
      <c r="BD5" s="763"/>
      <c r="BE5" s="763"/>
      <c r="BF5" s="763"/>
      <c r="BG5" s="763"/>
      <c r="BH5" s="763"/>
      <c r="BI5" s="763"/>
      <c r="BJ5" s="763"/>
      <c r="BK5" s="763"/>
      <c r="BL5" s="763"/>
      <c r="BM5" s="763"/>
    </row>
    <row r="6" spans="1:65" s="899" customFormat="1" ht="24.75" customHeight="1" x14ac:dyDescent="0.2">
      <c r="A6" s="1395"/>
      <c r="B6" s="1399"/>
      <c r="C6" s="1400"/>
      <c r="D6" s="1230"/>
      <c r="E6" s="426"/>
      <c r="F6" s="426"/>
      <c r="G6" s="1230"/>
      <c r="H6" s="1230"/>
      <c r="I6" s="1318" t="s">
        <v>414</v>
      </c>
      <c r="J6" s="1253"/>
      <c r="K6" s="1255" t="s">
        <v>415</v>
      </c>
      <c r="L6" s="1255" t="s">
        <v>416</v>
      </c>
      <c r="M6" s="1392" t="s">
        <v>417</v>
      </c>
      <c r="N6" s="763"/>
      <c r="O6" s="763"/>
      <c r="P6" s="763"/>
      <c r="Q6" s="763"/>
      <c r="R6" s="763"/>
      <c r="S6" s="763"/>
      <c r="T6" s="763"/>
      <c r="U6" s="763"/>
      <c r="V6" s="763"/>
      <c r="W6" s="763"/>
      <c r="X6" s="763"/>
      <c r="Y6" s="763"/>
      <c r="Z6" s="763"/>
      <c r="AA6" s="763"/>
      <c r="AB6" s="763"/>
      <c r="AC6" s="763"/>
      <c r="AD6" s="763"/>
      <c r="AE6" s="763"/>
      <c r="AF6" s="763"/>
      <c r="AG6" s="763"/>
      <c r="AH6" s="763"/>
      <c r="AI6" s="763"/>
      <c r="AJ6" s="763"/>
      <c r="AK6" s="763"/>
      <c r="AL6" s="763"/>
      <c r="AM6" s="763"/>
      <c r="AN6" s="763"/>
      <c r="AO6" s="763"/>
      <c r="AP6" s="763"/>
      <c r="AQ6" s="763"/>
      <c r="AR6" s="763"/>
      <c r="AS6" s="763"/>
      <c r="AT6" s="763"/>
      <c r="AU6" s="763"/>
      <c r="AV6" s="763"/>
      <c r="AW6" s="763"/>
      <c r="AX6" s="763"/>
      <c r="AY6" s="763"/>
      <c r="AZ6" s="763"/>
      <c r="BA6" s="763"/>
      <c r="BB6" s="763"/>
      <c r="BC6" s="763"/>
      <c r="BD6" s="763"/>
      <c r="BE6" s="763"/>
      <c r="BF6" s="763"/>
      <c r="BG6" s="763"/>
      <c r="BH6" s="763"/>
      <c r="BI6" s="763"/>
      <c r="BJ6" s="763"/>
      <c r="BK6" s="763"/>
      <c r="BL6" s="763"/>
      <c r="BM6" s="763"/>
    </row>
    <row r="7" spans="1:65" s="899" customFormat="1" ht="50.25" customHeight="1" x14ac:dyDescent="0.2">
      <c r="A7" s="1395"/>
      <c r="B7" s="1399"/>
      <c r="C7" s="1400"/>
      <c r="D7" s="1230"/>
      <c r="E7" s="426"/>
      <c r="F7" s="426"/>
      <c r="G7" s="1230"/>
      <c r="H7" s="1230"/>
      <c r="I7" s="551" t="s">
        <v>418</v>
      </c>
      <c r="J7" s="685" t="s">
        <v>419</v>
      </c>
      <c r="K7" s="1252"/>
      <c r="L7" s="1252"/>
      <c r="M7" s="1250"/>
      <c r="N7" s="763"/>
      <c r="O7" s="763"/>
      <c r="P7" s="763"/>
      <c r="Q7" s="763"/>
      <c r="R7" s="763"/>
      <c r="S7" s="763"/>
      <c r="T7" s="763"/>
      <c r="U7" s="763"/>
      <c r="V7" s="763"/>
      <c r="W7" s="763"/>
      <c r="X7" s="763"/>
      <c r="Y7" s="763"/>
      <c r="Z7" s="763"/>
      <c r="AA7" s="763"/>
      <c r="AB7" s="763"/>
      <c r="AC7" s="763"/>
      <c r="AD7" s="763"/>
      <c r="AE7" s="763"/>
      <c r="AF7" s="763"/>
      <c r="AG7" s="763"/>
      <c r="AH7" s="763"/>
      <c r="AI7" s="763"/>
      <c r="AJ7" s="763"/>
      <c r="AK7" s="763"/>
      <c r="AL7" s="763"/>
      <c r="AM7" s="763"/>
      <c r="AN7" s="763"/>
      <c r="AO7" s="763"/>
      <c r="AP7" s="763"/>
      <c r="AQ7" s="763"/>
      <c r="AR7" s="763"/>
      <c r="AS7" s="763"/>
      <c r="AT7" s="763"/>
      <c r="AU7" s="763"/>
      <c r="AV7" s="763"/>
      <c r="AW7" s="763"/>
      <c r="AX7" s="763"/>
      <c r="AY7" s="763"/>
      <c r="AZ7" s="763"/>
      <c r="BA7" s="763"/>
      <c r="BB7" s="763"/>
      <c r="BC7" s="763"/>
      <c r="BD7" s="763"/>
      <c r="BE7" s="763"/>
      <c r="BF7" s="763"/>
      <c r="BG7" s="763"/>
      <c r="BH7" s="763"/>
      <c r="BI7" s="763"/>
      <c r="BJ7" s="763"/>
      <c r="BK7" s="763"/>
      <c r="BL7" s="763"/>
      <c r="BM7" s="763"/>
    </row>
    <row r="8" spans="1:65" s="899" customFormat="1" ht="11.25" x14ac:dyDescent="0.2">
      <c r="A8" s="1396"/>
      <c r="B8" s="1383"/>
      <c r="C8" s="1401"/>
      <c r="D8" s="1231"/>
      <c r="E8" s="426"/>
      <c r="F8" s="426"/>
      <c r="G8" s="1231"/>
      <c r="H8" s="1231"/>
      <c r="I8" s="814">
        <v>1</v>
      </c>
      <c r="J8" s="814">
        <v>2</v>
      </c>
      <c r="K8" s="814">
        <v>3</v>
      </c>
      <c r="L8" s="814" t="s">
        <v>420</v>
      </c>
      <c r="M8" s="815" t="s">
        <v>421</v>
      </c>
      <c r="N8" s="763"/>
      <c r="O8" s="763"/>
      <c r="P8" s="763"/>
      <c r="Q8" s="763"/>
      <c r="R8" s="763"/>
      <c r="S8" s="763"/>
      <c r="T8" s="763"/>
      <c r="U8" s="763"/>
      <c r="V8" s="763"/>
      <c r="W8" s="763"/>
      <c r="X8" s="763"/>
      <c r="Y8" s="763"/>
      <c r="Z8" s="763"/>
      <c r="AA8" s="763"/>
      <c r="AB8" s="763"/>
      <c r="AC8" s="763"/>
      <c r="AD8" s="763"/>
      <c r="AE8" s="763"/>
      <c r="AF8" s="763"/>
      <c r="AG8" s="763"/>
      <c r="AH8" s="763"/>
      <c r="AI8" s="763"/>
      <c r="AJ8" s="763"/>
      <c r="AK8" s="763"/>
      <c r="AL8" s="763"/>
      <c r="AM8" s="763"/>
      <c r="AN8" s="763"/>
      <c r="AO8" s="763"/>
      <c r="AP8" s="763"/>
      <c r="AQ8" s="763"/>
      <c r="AR8" s="763"/>
      <c r="AS8" s="763"/>
      <c r="AT8" s="763"/>
      <c r="AU8" s="763"/>
      <c r="AV8" s="763"/>
      <c r="AW8" s="763"/>
      <c r="AX8" s="763"/>
      <c r="AY8" s="763"/>
      <c r="AZ8" s="763"/>
      <c r="BA8" s="763"/>
      <c r="BB8" s="763"/>
      <c r="BC8" s="763"/>
      <c r="BD8" s="763"/>
      <c r="BE8" s="763"/>
      <c r="BF8" s="763"/>
      <c r="BG8" s="763"/>
      <c r="BH8" s="763"/>
      <c r="BI8" s="763"/>
      <c r="BJ8" s="763"/>
      <c r="BK8" s="763"/>
      <c r="BL8" s="763"/>
      <c r="BM8" s="763"/>
    </row>
    <row r="9" spans="1:65" s="905" customFormat="1" ht="11.25" x14ac:dyDescent="0.2">
      <c r="A9" s="465" t="s">
        <v>1414</v>
      </c>
      <c r="B9" s="1393" t="s">
        <v>1629</v>
      </c>
      <c r="C9" s="1286"/>
      <c r="D9" s="816"/>
      <c r="E9" s="350"/>
      <c r="F9" s="350"/>
      <c r="G9" s="816"/>
      <c r="H9" s="816"/>
      <c r="I9" s="1059"/>
      <c r="J9" s="1059"/>
      <c r="K9" s="1059"/>
      <c r="L9" s="799"/>
      <c r="M9" s="817"/>
      <c r="N9" s="1049"/>
      <c r="O9" s="904"/>
      <c r="P9" s="904"/>
      <c r="Q9" s="904"/>
      <c r="R9" s="904"/>
      <c r="S9" s="904"/>
      <c r="T9" s="904"/>
      <c r="U9" s="904"/>
      <c r="V9" s="904"/>
      <c r="W9" s="904"/>
      <c r="X9" s="904"/>
      <c r="Y9" s="904"/>
      <c r="Z9" s="904"/>
      <c r="AA9" s="904"/>
      <c r="AB9" s="904"/>
      <c r="AC9" s="904"/>
      <c r="AD9" s="904"/>
      <c r="AE9" s="904"/>
      <c r="AF9" s="904"/>
      <c r="AG9" s="904"/>
      <c r="AH9" s="904"/>
      <c r="AI9" s="904"/>
      <c r="AJ9" s="904"/>
      <c r="AK9" s="904"/>
      <c r="AL9" s="904"/>
      <c r="AM9" s="904"/>
      <c r="AN9" s="904"/>
      <c r="AO9" s="904"/>
      <c r="AP9" s="904"/>
      <c r="AQ9" s="904"/>
      <c r="AR9" s="904"/>
      <c r="AS9" s="904"/>
      <c r="AT9" s="904"/>
      <c r="AU9" s="904"/>
      <c r="AV9" s="904"/>
      <c r="AW9" s="904"/>
      <c r="AX9" s="904"/>
      <c r="AY9" s="904"/>
      <c r="AZ9" s="904"/>
      <c r="BA9" s="904"/>
      <c r="BB9" s="904"/>
      <c r="BC9" s="904"/>
      <c r="BD9" s="904"/>
      <c r="BE9" s="904"/>
      <c r="BF9" s="904"/>
      <c r="BG9" s="904"/>
      <c r="BH9" s="904"/>
      <c r="BI9" s="904"/>
      <c r="BJ9" s="904"/>
      <c r="BK9" s="904"/>
      <c r="BL9" s="904"/>
      <c r="BM9" s="904"/>
    </row>
    <row r="10" spans="1:65" s="905" customFormat="1" ht="11.25" x14ac:dyDescent="0.2">
      <c r="A10" s="465" t="s">
        <v>261</v>
      </c>
      <c r="B10" s="818" t="s">
        <v>1637</v>
      </c>
      <c r="C10" s="461"/>
      <c r="D10" s="438" t="s">
        <v>1638</v>
      </c>
      <c r="E10" s="350"/>
      <c r="F10" s="350"/>
      <c r="G10" s="437" t="s">
        <v>422</v>
      </c>
      <c r="H10" s="438"/>
      <c r="I10" s="496"/>
      <c r="J10" s="496"/>
      <c r="K10" s="113"/>
      <c r="L10" s="804">
        <f>I10+J10+K10</f>
        <v>0</v>
      </c>
      <c r="M10" s="819">
        <f>L10*$M$4</f>
        <v>0</v>
      </c>
      <c r="N10" s="1050"/>
      <c r="O10" s="904"/>
      <c r="P10" s="904"/>
      <c r="Q10" s="904"/>
      <c r="R10" s="904"/>
      <c r="S10" s="904"/>
      <c r="T10" s="904"/>
      <c r="U10" s="904"/>
      <c r="V10" s="904"/>
      <c r="W10" s="904"/>
      <c r="X10" s="904"/>
      <c r="Y10" s="904"/>
      <c r="Z10" s="904"/>
      <c r="AA10" s="904"/>
      <c r="AB10" s="904"/>
      <c r="AC10" s="904"/>
      <c r="AD10" s="904"/>
      <c r="AE10" s="904"/>
      <c r="AF10" s="904"/>
      <c r="AG10" s="904"/>
      <c r="AH10" s="904"/>
      <c r="AI10" s="904"/>
      <c r="AJ10" s="904"/>
      <c r="AK10" s="904"/>
      <c r="AL10" s="904"/>
      <c r="AM10" s="904"/>
      <c r="AN10" s="904"/>
      <c r="AO10" s="904"/>
      <c r="AP10" s="904"/>
      <c r="AQ10" s="904"/>
      <c r="AR10" s="904"/>
      <c r="AS10" s="904"/>
      <c r="AT10" s="904"/>
      <c r="AU10" s="904"/>
      <c r="AV10" s="904"/>
      <c r="AW10" s="904"/>
      <c r="AX10" s="904"/>
      <c r="AY10" s="904"/>
      <c r="AZ10" s="904"/>
      <c r="BA10" s="904"/>
      <c r="BB10" s="904"/>
      <c r="BC10" s="904"/>
      <c r="BD10" s="904"/>
      <c r="BE10" s="904"/>
      <c r="BF10" s="904"/>
      <c r="BG10" s="904"/>
      <c r="BH10" s="904"/>
      <c r="BI10" s="904"/>
      <c r="BJ10" s="904"/>
      <c r="BK10" s="904"/>
      <c r="BL10" s="904"/>
      <c r="BM10" s="904"/>
    </row>
    <row r="11" spans="1:65" s="905" customFormat="1" ht="11.25" x14ac:dyDescent="0.2">
      <c r="A11" s="465" t="s">
        <v>264</v>
      </c>
      <c r="B11" s="818" t="s">
        <v>1640</v>
      </c>
      <c r="C11" s="461"/>
      <c r="D11" s="438" t="s">
        <v>1641</v>
      </c>
      <c r="E11" s="350"/>
      <c r="F11" s="350"/>
      <c r="G11" s="437" t="s">
        <v>423</v>
      </c>
      <c r="H11" s="438"/>
      <c r="I11" s="496"/>
      <c r="J11" s="496"/>
      <c r="K11" s="113"/>
      <c r="L11" s="804">
        <f t="shared" ref="L11:L18" si="0">I11+J11+K11</f>
        <v>0</v>
      </c>
      <c r="M11" s="819">
        <f t="shared" ref="M11:M18" si="1">L11*$M$4</f>
        <v>0</v>
      </c>
      <c r="N11" s="1050"/>
      <c r="O11" s="904"/>
      <c r="P11" s="904"/>
      <c r="Q11" s="904"/>
      <c r="R11" s="904"/>
      <c r="S11" s="904"/>
      <c r="T11" s="904"/>
      <c r="U11" s="904"/>
      <c r="V11" s="904"/>
      <c r="W11" s="904"/>
      <c r="X11" s="904"/>
      <c r="Y11" s="904"/>
      <c r="Z11" s="904"/>
      <c r="AA11" s="904"/>
      <c r="AB11" s="904"/>
      <c r="AC11" s="904"/>
      <c r="AD11" s="904"/>
      <c r="AE11" s="904"/>
      <c r="AF11" s="904"/>
      <c r="AG11" s="904"/>
      <c r="AH11" s="904"/>
      <c r="AI11" s="904"/>
      <c r="AJ11" s="904"/>
      <c r="AK11" s="904"/>
      <c r="AL11" s="904"/>
      <c r="AM11" s="904"/>
      <c r="AN11" s="904"/>
      <c r="AO11" s="904"/>
      <c r="AP11" s="904"/>
      <c r="AQ11" s="904"/>
      <c r="AR11" s="904"/>
      <c r="AS11" s="904"/>
      <c r="AT11" s="904"/>
      <c r="AU11" s="904"/>
      <c r="AV11" s="904"/>
      <c r="AW11" s="904"/>
      <c r="AX11" s="904"/>
      <c r="AY11" s="904"/>
      <c r="AZ11" s="904"/>
      <c r="BA11" s="904"/>
      <c r="BB11" s="904"/>
      <c r="BC11" s="904"/>
      <c r="BD11" s="904"/>
      <c r="BE11" s="904"/>
      <c r="BF11" s="904"/>
      <c r="BG11" s="904"/>
      <c r="BH11" s="904"/>
      <c r="BI11" s="904"/>
      <c r="BJ11" s="904"/>
      <c r="BK11" s="904"/>
      <c r="BL11" s="904"/>
      <c r="BM11" s="904"/>
    </row>
    <row r="12" spans="1:65" s="905" customFormat="1" ht="11.25" x14ac:dyDescent="0.2">
      <c r="A12" s="465" t="s">
        <v>267</v>
      </c>
      <c r="B12" s="818" t="s">
        <v>1643</v>
      </c>
      <c r="C12" s="461"/>
      <c r="D12" s="438" t="s">
        <v>1644</v>
      </c>
      <c r="E12" s="350"/>
      <c r="F12" s="350"/>
      <c r="G12" s="437" t="s">
        <v>424</v>
      </c>
      <c r="H12" s="438"/>
      <c r="I12" s="496"/>
      <c r="J12" s="496"/>
      <c r="K12" s="113"/>
      <c r="L12" s="804">
        <f t="shared" si="0"/>
        <v>0</v>
      </c>
      <c r="M12" s="819">
        <f t="shared" si="1"/>
        <v>0</v>
      </c>
      <c r="N12" s="1050"/>
      <c r="O12" s="904"/>
      <c r="P12" s="904"/>
      <c r="Q12" s="904"/>
      <c r="R12" s="904"/>
      <c r="S12" s="904"/>
      <c r="T12" s="904"/>
      <c r="U12" s="904"/>
      <c r="V12" s="904"/>
      <c r="W12" s="904"/>
      <c r="X12" s="904"/>
      <c r="Y12" s="904"/>
      <c r="Z12" s="904"/>
      <c r="AA12" s="904"/>
      <c r="AB12" s="904"/>
      <c r="AC12" s="904"/>
      <c r="AD12" s="904"/>
      <c r="AE12" s="904"/>
      <c r="AF12" s="904"/>
      <c r="AG12" s="904"/>
      <c r="AH12" s="904"/>
      <c r="AI12" s="904"/>
      <c r="AJ12" s="904"/>
      <c r="AK12" s="904"/>
      <c r="AL12" s="904"/>
      <c r="AM12" s="904"/>
      <c r="AN12" s="904"/>
      <c r="AO12" s="904"/>
      <c r="AP12" s="904"/>
      <c r="AQ12" s="904"/>
      <c r="AR12" s="904"/>
      <c r="AS12" s="904"/>
      <c r="AT12" s="904"/>
      <c r="AU12" s="904"/>
      <c r="AV12" s="904"/>
      <c r="AW12" s="904"/>
      <c r="AX12" s="904"/>
      <c r="AY12" s="904"/>
      <c r="AZ12" s="904"/>
      <c r="BA12" s="904"/>
      <c r="BB12" s="904"/>
      <c r="BC12" s="904"/>
      <c r="BD12" s="904"/>
      <c r="BE12" s="904"/>
      <c r="BF12" s="904"/>
      <c r="BG12" s="904"/>
      <c r="BH12" s="904"/>
      <c r="BI12" s="904"/>
      <c r="BJ12" s="904"/>
      <c r="BK12" s="904"/>
      <c r="BL12" s="904"/>
      <c r="BM12" s="904"/>
    </row>
    <row r="13" spans="1:65" s="905" customFormat="1" ht="11.25" x14ac:dyDescent="0.2">
      <c r="A13" s="465" t="s">
        <v>1078</v>
      </c>
      <c r="B13" s="818" t="s">
        <v>1646</v>
      </c>
      <c r="C13" s="461"/>
      <c r="D13" s="438" t="s">
        <v>1647</v>
      </c>
      <c r="E13" s="350"/>
      <c r="F13" s="350"/>
      <c r="G13" s="437" t="s">
        <v>425</v>
      </c>
      <c r="H13" s="438"/>
      <c r="I13" s="496"/>
      <c r="J13" s="496"/>
      <c r="K13" s="113"/>
      <c r="L13" s="804">
        <f t="shared" si="0"/>
        <v>0</v>
      </c>
      <c r="M13" s="819">
        <f t="shared" si="1"/>
        <v>0</v>
      </c>
      <c r="N13" s="1050"/>
      <c r="O13" s="904"/>
      <c r="P13" s="904"/>
      <c r="Q13" s="904"/>
      <c r="R13" s="904"/>
      <c r="S13" s="904"/>
      <c r="T13" s="904"/>
      <c r="U13" s="904"/>
      <c r="V13" s="904"/>
      <c r="W13" s="904"/>
      <c r="X13" s="904"/>
      <c r="Y13" s="904"/>
      <c r="Z13" s="904"/>
      <c r="AA13" s="904"/>
      <c r="AB13" s="904"/>
      <c r="AC13" s="904"/>
      <c r="AD13" s="904"/>
      <c r="AE13" s="904"/>
      <c r="AF13" s="904"/>
      <c r="AG13" s="904"/>
      <c r="AH13" s="904"/>
      <c r="AI13" s="904"/>
      <c r="AJ13" s="904"/>
      <c r="AK13" s="904"/>
      <c r="AL13" s="904"/>
      <c r="AM13" s="904"/>
      <c r="AN13" s="904"/>
      <c r="AO13" s="904"/>
      <c r="AP13" s="904"/>
      <c r="AQ13" s="904"/>
      <c r="AR13" s="904"/>
      <c r="AS13" s="904"/>
      <c r="AT13" s="904"/>
      <c r="AU13" s="904"/>
      <c r="AV13" s="904"/>
      <c r="AW13" s="904"/>
      <c r="AX13" s="904"/>
      <c r="AY13" s="904"/>
      <c r="AZ13" s="904"/>
      <c r="BA13" s="904"/>
      <c r="BB13" s="904"/>
      <c r="BC13" s="904"/>
      <c r="BD13" s="904"/>
      <c r="BE13" s="904"/>
      <c r="BF13" s="904"/>
      <c r="BG13" s="904"/>
      <c r="BH13" s="904"/>
      <c r="BI13" s="904"/>
      <c r="BJ13" s="904"/>
      <c r="BK13" s="904"/>
      <c r="BL13" s="904"/>
      <c r="BM13" s="904"/>
    </row>
    <row r="14" spans="1:65" s="905" customFormat="1" ht="11.25" x14ac:dyDescent="0.2">
      <c r="A14" s="465" t="s">
        <v>1088</v>
      </c>
      <c r="B14" s="820" t="s">
        <v>426</v>
      </c>
      <c r="C14" s="796"/>
      <c r="D14" s="438" t="s">
        <v>1650</v>
      </c>
      <c r="E14" s="350"/>
      <c r="F14" s="350"/>
      <c r="G14" s="437" t="s">
        <v>427</v>
      </c>
      <c r="H14" s="438"/>
      <c r="I14" s="496"/>
      <c r="J14" s="496"/>
      <c r="K14" s="113"/>
      <c r="L14" s="804">
        <f t="shared" si="0"/>
        <v>0</v>
      </c>
      <c r="M14" s="819">
        <f t="shared" si="1"/>
        <v>0</v>
      </c>
      <c r="N14" s="1050"/>
      <c r="O14" s="904"/>
      <c r="P14" s="904"/>
      <c r="Q14" s="904"/>
      <c r="R14" s="904"/>
      <c r="S14" s="904"/>
      <c r="T14" s="904"/>
      <c r="U14" s="904"/>
      <c r="V14" s="904"/>
      <c r="W14" s="904"/>
      <c r="X14" s="904"/>
      <c r="Y14" s="904"/>
      <c r="Z14" s="904"/>
      <c r="AA14" s="904"/>
      <c r="AB14" s="904"/>
      <c r="AC14" s="904"/>
      <c r="AD14" s="904"/>
      <c r="AE14" s="904"/>
      <c r="AF14" s="904"/>
      <c r="AG14" s="904"/>
      <c r="AH14" s="904"/>
      <c r="AI14" s="904"/>
      <c r="AJ14" s="904"/>
      <c r="AK14" s="904"/>
      <c r="AL14" s="904"/>
      <c r="AM14" s="904"/>
      <c r="AN14" s="904"/>
      <c r="AO14" s="904"/>
      <c r="AP14" s="904"/>
      <c r="AQ14" s="904"/>
      <c r="AR14" s="904"/>
      <c r="AS14" s="904"/>
      <c r="AT14" s="904"/>
      <c r="AU14" s="904"/>
      <c r="AV14" s="904"/>
      <c r="AW14" s="904"/>
      <c r="AX14" s="904"/>
      <c r="AY14" s="904"/>
      <c r="AZ14" s="904"/>
      <c r="BA14" s="904"/>
      <c r="BB14" s="904"/>
      <c r="BC14" s="904"/>
      <c r="BD14" s="904"/>
      <c r="BE14" s="904"/>
      <c r="BF14" s="904"/>
      <c r="BG14" s="904"/>
      <c r="BH14" s="904"/>
      <c r="BI14" s="904"/>
      <c r="BJ14" s="904"/>
      <c r="BK14" s="904"/>
      <c r="BL14" s="904"/>
      <c r="BM14" s="904"/>
    </row>
    <row r="15" spans="1:65" s="905" customFormat="1" ht="11.25" x14ac:dyDescent="0.2">
      <c r="A15" s="465" t="s">
        <v>1041</v>
      </c>
      <c r="B15" s="818" t="s">
        <v>1652</v>
      </c>
      <c r="C15" s="461"/>
      <c r="D15" s="438" t="s">
        <v>1653</v>
      </c>
      <c r="E15" s="350"/>
      <c r="F15" s="350"/>
      <c r="G15" s="437" t="s">
        <v>428</v>
      </c>
      <c r="H15" s="438"/>
      <c r="I15" s="496"/>
      <c r="J15" s="496"/>
      <c r="K15" s="113"/>
      <c r="L15" s="804">
        <f t="shared" si="0"/>
        <v>0</v>
      </c>
      <c r="M15" s="819">
        <f t="shared" si="1"/>
        <v>0</v>
      </c>
      <c r="N15" s="1050"/>
      <c r="O15" s="904"/>
      <c r="P15" s="904"/>
      <c r="Q15" s="904"/>
      <c r="R15" s="904"/>
      <c r="S15" s="904"/>
      <c r="T15" s="904"/>
      <c r="U15" s="904"/>
      <c r="V15" s="904"/>
      <c r="W15" s="904"/>
      <c r="X15" s="904"/>
      <c r="Y15" s="904"/>
      <c r="Z15" s="904"/>
      <c r="AA15" s="904"/>
      <c r="AB15" s="904"/>
      <c r="AC15" s="904"/>
      <c r="AD15" s="904"/>
      <c r="AE15" s="904"/>
      <c r="AF15" s="904"/>
      <c r="AG15" s="904"/>
      <c r="AH15" s="904"/>
      <c r="AI15" s="904"/>
      <c r="AJ15" s="904"/>
      <c r="AK15" s="904"/>
      <c r="AL15" s="904"/>
      <c r="AM15" s="904"/>
      <c r="AN15" s="904"/>
      <c r="AO15" s="904"/>
      <c r="AP15" s="904"/>
      <c r="AQ15" s="904"/>
      <c r="AR15" s="904"/>
      <c r="AS15" s="904"/>
      <c r="AT15" s="904"/>
      <c r="AU15" s="904"/>
      <c r="AV15" s="904"/>
      <c r="AW15" s="904"/>
      <c r="AX15" s="904"/>
      <c r="AY15" s="904"/>
      <c r="AZ15" s="904"/>
      <c r="BA15" s="904"/>
      <c r="BB15" s="904"/>
      <c r="BC15" s="904"/>
      <c r="BD15" s="904"/>
      <c r="BE15" s="904"/>
      <c r="BF15" s="904"/>
      <c r="BG15" s="904"/>
      <c r="BH15" s="904"/>
      <c r="BI15" s="904"/>
      <c r="BJ15" s="904"/>
      <c r="BK15" s="904"/>
      <c r="BL15" s="904"/>
      <c r="BM15" s="904"/>
    </row>
    <row r="16" spans="1:65" s="905" customFormat="1" ht="11.25" x14ac:dyDescent="0.2">
      <c r="A16" s="465" t="s">
        <v>1045</v>
      </c>
      <c r="B16" s="818" t="s">
        <v>1655</v>
      </c>
      <c r="C16" s="461"/>
      <c r="D16" s="438" t="s">
        <v>1656</v>
      </c>
      <c r="E16" s="350"/>
      <c r="F16" s="350"/>
      <c r="G16" s="437" t="s">
        <v>429</v>
      </c>
      <c r="H16" s="438"/>
      <c r="I16" s="496"/>
      <c r="J16" s="496"/>
      <c r="K16" s="113"/>
      <c r="L16" s="804">
        <f t="shared" si="0"/>
        <v>0</v>
      </c>
      <c r="M16" s="819">
        <f t="shared" si="1"/>
        <v>0</v>
      </c>
      <c r="N16" s="1050"/>
      <c r="O16" s="904"/>
      <c r="P16" s="904"/>
      <c r="Q16" s="904"/>
      <c r="R16" s="904"/>
      <c r="S16" s="904"/>
      <c r="T16" s="904"/>
      <c r="U16" s="904"/>
      <c r="V16" s="904"/>
      <c r="W16" s="904"/>
      <c r="X16" s="904"/>
      <c r="Y16" s="904"/>
      <c r="Z16" s="904"/>
      <c r="AA16" s="904"/>
      <c r="AB16" s="904"/>
      <c r="AC16" s="904"/>
      <c r="AD16" s="904"/>
      <c r="AE16" s="904"/>
      <c r="AF16" s="904"/>
      <c r="AG16" s="904"/>
      <c r="AH16" s="904"/>
      <c r="AI16" s="904"/>
      <c r="AJ16" s="904"/>
      <c r="AK16" s="904"/>
      <c r="AL16" s="904"/>
      <c r="AM16" s="904"/>
      <c r="AN16" s="904"/>
      <c r="AO16" s="904"/>
      <c r="AP16" s="904"/>
      <c r="AQ16" s="904"/>
      <c r="AR16" s="904"/>
      <c r="AS16" s="904"/>
      <c r="AT16" s="904"/>
      <c r="AU16" s="904"/>
      <c r="AV16" s="904"/>
      <c r="AW16" s="904"/>
      <c r="AX16" s="904"/>
      <c r="AY16" s="904"/>
      <c r="AZ16" s="904"/>
      <c r="BA16" s="904"/>
      <c r="BB16" s="904"/>
      <c r="BC16" s="904"/>
      <c r="BD16" s="904"/>
      <c r="BE16" s="904"/>
      <c r="BF16" s="904"/>
      <c r="BG16" s="904"/>
      <c r="BH16" s="904"/>
      <c r="BI16" s="904"/>
      <c r="BJ16" s="904"/>
      <c r="BK16" s="904"/>
      <c r="BL16" s="904"/>
      <c r="BM16" s="904"/>
    </row>
    <row r="17" spans="1:65" s="905" customFormat="1" ht="11.25" x14ac:dyDescent="0.2">
      <c r="A17" s="465" t="s">
        <v>1049</v>
      </c>
      <c r="B17" s="818" t="s">
        <v>1658</v>
      </c>
      <c r="C17" s="461"/>
      <c r="D17" s="438" t="s">
        <v>1659</v>
      </c>
      <c r="E17" s="350"/>
      <c r="F17" s="350"/>
      <c r="G17" s="437" t="s">
        <v>430</v>
      </c>
      <c r="H17" s="438"/>
      <c r="I17" s="496"/>
      <c r="J17" s="496"/>
      <c r="K17" s="113"/>
      <c r="L17" s="804">
        <f t="shared" si="0"/>
        <v>0</v>
      </c>
      <c r="M17" s="819">
        <f t="shared" si="1"/>
        <v>0</v>
      </c>
      <c r="N17" s="1050"/>
      <c r="O17" s="904"/>
      <c r="P17" s="904"/>
      <c r="Q17" s="904"/>
      <c r="R17" s="904"/>
      <c r="S17" s="904"/>
      <c r="T17" s="904"/>
      <c r="U17" s="904"/>
      <c r="V17" s="904"/>
      <c r="W17" s="904"/>
      <c r="X17" s="904"/>
      <c r="Y17" s="904"/>
      <c r="Z17" s="904"/>
      <c r="AA17" s="904"/>
      <c r="AB17" s="904"/>
      <c r="AC17" s="904"/>
      <c r="AD17" s="904"/>
      <c r="AE17" s="904"/>
      <c r="AF17" s="904"/>
      <c r="AG17" s="904"/>
      <c r="AH17" s="904"/>
      <c r="AI17" s="904"/>
      <c r="AJ17" s="904"/>
      <c r="AK17" s="904"/>
      <c r="AL17" s="904"/>
      <c r="AM17" s="904"/>
      <c r="AN17" s="904"/>
      <c r="AO17" s="904"/>
      <c r="AP17" s="904"/>
      <c r="AQ17" s="904"/>
      <c r="AR17" s="904"/>
      <c r="AS17" s="904"/>
      <c r="AT17" s="904"/>
      <c r="AU17" s="904"/>
      <c r="AV17" s="904"/>
      <c r="AW17" s="904"/>
      <c r="AX17" s="904"/>
      <c r="AY17" s="904"/>
      <c r="AZ17" s="904"/>
      <c r="BA17" s="904"/>
      <c r="BB17" s="904"/>
      <c r="BC17" s="904"/>
      <c r="BD17" s="904"/>
      <c r="BE17" s="904"/>
      <c r="BF17" s="904"/>
      <c r="BG17" s="904"/>
      <c r="BH17" s="904"/>
      <c r="BI17" s="904"/>
      <c r="BJ17" s="904"/>
      <c r="BK17" s="904"/>
      <c r="BL17" s="904"/>
      <c r="BM17" s="904"/>
    </row>
    <row r="18" spans="1:65" s="905" customFormat="1" ht="11.25" x14ac:dyDescent="0.2">
      <c r="A18" s="465" t="s">
        <v>1053</v>
      </c>
      <c r="B18" s="818" t="s">
        <v>1662</v>
      </c>
      <c r="C18" s="795"/>
      <c r="D18" s="262"/>
      <c r="E18" s="350"/>
      <c r="F18" s="350"/>
      <c r="G18" s="437" t="s">
        <v>431</v>
      </c>
      <c r="H18" s="461"/>
      <c r="I18" s="496"/>
      <c r="J18" s="496"/>
      <c r="K18" s="113"/>
      <c r="L18" s="804">
        <f t="shared" si="0"/>
        <v>0</v>
      </c>
      <c r="M18" s="819">
        <f t="shared" si="1"/>
        <v>0</v>
      </c>
      <c r="N18" s="1050"/>
      <c r="O18" s="904"/>
      <c r="P18" s="904"/>
      <c r="Q18" s="904"/>
      <c r="R18" s="904"/>
      <c r="S18" s="904"/>
      <c r="T18" s="904"/>
      <c r="U18" s="904"/>
      <c r="V18" s="904"/>
      <c r="W18" s="904"/>
      <c r="X18" s="904"/>
      <c r="Y18" s="904"/>
      <c r="Z18" s="904"/>
      <c r="AA18" s="904"/>
      <c r="AB18" s="904"/>
      <c r="AC18" s="904"/>
      <c r="AD18" s="904"/>
      <c r="AE18" s="904"/>
      <c r="AF18" s="904"/>
      <c r="AG18" s="904"/>
      <c r="AH18" s="904"/>
      <c r="AI18" s="904"/>
      <c r="AJ18" s="904"/>
      <c r="AK18" s="904"/>
      <c r="AL18" s="904"/>
      <c r="AM18" s="904"/>
      <c r="AN18" s="904"/>
      <c r="AO18" s="904"/>
      <c r="AP18" s="904"/>
      <c r="AQ18" s="904"/>
      <c r="AR18" s="904"/>
      <c r="AS18" s="904"/>
      <c r="AT18" s="904"/>
      <c r="AU18" s="904"/>
      <c r="AV18" s="904"/>
      <c r="AW18" s="904"/>
      <c r="AX18" s="904"/>
      <c r="AY18" s="904"/>
      <c r="AZ18" s="904"/>
      <c r="BA18" s="904"/>
      <c r="BB18" s="904"/>
      <c r="BC18" s="904"/>
      <c r="BD18" s="904"/>
      <c r="BE18" s="904"/>
      <c r="BF18" s="904"/>
      <c r="BG18" s="904"/>
      <c r="BH18" s="904"/>
      <c r="BI18" s="904"/>
      <c r="BJ18" s="904"/>
      <c r="BK18" s="904"/>
      <c r="BL18" s="904"/>
      <c r="BM18" s="904"/>
    </row>
    <row r="19" spans="1:65" s="905" customFormat="1" ht="11.25" x14ac:dyDescent="0.2">
      <c r="A19" s="465" t="s">
        <v>1057</v>
      </c>
      <c r="B19" s="795" t="s">
        <v>432</v>
      </c>
      <c r="C19" s="821"/>
      <c r="D19" s="439"/>
      <c r="E19" s="350"/>
      <c r="F19" s="350"/>
      <c r="G19" s="440" t="s">
        <v>433</v>
      </c>
      <c r="H19" s="822"/>
      <c r="I19" s="439"/>
      <c r="J19" s="439"/>
      <c r="K19" s="439"/>
      <c r="L19" s="439"/>
      <c r="M19" s="819">
        <f>SUMIF(M10:M18,"&gt;0")</f>
        <v>0</v>
      </c>
      <c r="N19" s="1050"/>
      <c r="O19" s="904"/>
      <c r="P19" s="904"/>
      <c r="Q19" s="904"/>
      <c r="R19" s="904"/>
      <c r="S19" s="904"/>
      <c r="T19" s="904"/>
      <c r="U19" s="904"/>
      <c r="V19" s="904"/>
      <c r="W19" s="904"/>
      <c r="X19" s="904"/>
      <c r="Y19" s="904"/>
      <c r="Z19" s="904"/>
      <c r="AA19" s="904"/>
      <c r="AB19" s="904"/>
      <c r="AC19" s="904"/>
      <c r="AD19" s="904"/>
      <c r="AE19" s="904"/>
      <c r="AF19" s="904"/>
      <c r="AG19" s="904"/>
      <c r="AH19" s="904"/>
      <c r="AI19" s="904"/>
      <c r="AJ19" s="904"/>
      <c r="AK19" s="904"/>
      <c r="AL19" s="904"/>
      <c r="AM19" s="904"/>
      <c r="AN19" s="904"/>
      <c r="AO19" s="904"/>
      <c r="AP19" s="904"/>
      <c r="AQ19" s="904"/>
      <c r="AR19" s="904"/>
      <c r="AS19" s="904"/>
      <c r="AT19" s="904"/>
      <c r="AU19" s="904"/>
      <c r="AV19" s="904"/>
      <c r="AW19" s="904"/>
      <c r="AX19" s="904"/>
      <c r="AY19" s="904"/>
      <c r="AZ19" s="904"/>
      <c r="BA19" s="904"/>
      <c r="BB19" s="904"/>
      <c r="BC19" s="904"/>
      <c r="BD19" s="904"/>
      <c r="BE19" s="904"/>
      <c r="BF19" s="904"/>
      <c r="BG19" s="904"/>
      <c r="BH19" s="904"/>
      <c r="BI19" s="904"/>
      <c r="BJ19" s="904"/>
      <c r="BK19" s="904"/>
      <c r="BL19" s="904"/>
      <c r="BM19" s="904"/>
    </row>
    <row r="20" spans="1:65" s="905" customFormat="1" ht="11.25" x14ac:dyDescent="0.2">
      <c r="A20" s="465" t="s">
        <v>434</v>
      </c>
      <c r="B20" s="795" t="s">
        <v>435</v>
      </c>
      <c r="C20" s="821"/>
      <c r="D20" s="439"/>
      <c r="E20" s="350"/>
      <c r="F20" s="350"/>
      <c r="G20" s="440" t="s">
        <v>436</v>
      </c>
      <c r="H20" s="822"/>
      <c r="I20" s="439"/>
      <c r="J20" s="439"/>
      <c r="K20" s="439"/>
      <c r="L20" s="439"/>
      <c r="M20" s="819">
        <f>SUMIF(M10:M18,"&lt;0")</f>
        <v>0</v>
      </c>
      <c r="N20" s="1050"/>
      <c r="O20" s="904"/>
      <c r="P20" s="904"/>
      <c r="Q20" s="904"/>
      <c r="R20" s="904"/>
      <c r="S20" s="904"/>
      <c r="T20" s="904"/>
      <c r="U20" s="904"/>
      <c r="V20" s="904"/>
      <c r="W20" s="904"/>
      <c r="X20" s="904"/>
      <c r="Y20" s="904"/>
      <c r="Z20" s="904"/>
      <c r="AA20" s="904"/>
      <c r="AB20" s="904"/>
      <c r="AC20" s="904"/>
      <c r="AD20" s="904"/>
      <c r="AE20" s="904"/>
      <c r="AF20" s="904"/>
      <c r="AG20" s="904"/>
      <c r="AH20" s="904"/>
      <c r="AI20" s="904"/>
      <c r="AJ20" s="904"/>
      <c r="AK20" s="904"/>
      <c r="AL20" s="904"/>
      <c r="AM20" s="904"/>
      <c r="AN20" s="904"/>
      <c r="AO20" s="904"/>
      <c r="AP20" s="904"/>
      <c r="AQ20" s="904"/>
      <c r="AR20" s="904"/>
      <c r="AS20" s="904"/>
      <c r="AT20" s="904"/>
      <c r="AU20" s="904"/>
      <c r="AV20" s="904"/>
      <c r="AW20" s="904"/>
      <c r="AX20" s="904"/>
      <c r="AY20" s="904"/>
      <c r="AZ20" s="904"/>
      <c r="BA20" s="904"/>
      <c r="BB20" s="904"/>
      <c r="BC20" s="904"/>
      <c r="BD20" s="904"/>
      <c r="BE20" s="904"/>
      <c r="BF20" s="904"/>
      <c r="BG20" s="904"/>
      <c r="BH20" s="904"/>
      <c r="BI20" s="904"/>
      <c r="BJ20" s="904"/>
      <c r="BK20" s="904"/>
      <c r="BL20" s="904"/>
      <c r="BM20" s="904"/>
    </row>
    <row r="21" spans="1:65" s="905" customFormat="1" ht="11.25" x14ac:dyDescent="0.2">
      <c r="A21" s="465" t="s">
        <v>1426</v>
      </c>
      <c r="B21" s="795" t="s">
        <v>437</v>
      </c>
      <c r="C21" s="821"/>
      <c r="D21" s="439"/>
      <c r="E21" s="350"/>
      <c r="F21" s="350"/>
      <c r="G21" s="440" t="s">
        <v>438</v>
      </c>
      <c r="H21" s="467"/>
      <c r="I21" s="439"/>
      <c r="J21" s="439"/>
      <c r="K21" s="439"/>
      <c r="L21" s="439"/>
      <c r="M21" s="819">
        <f>IF(M19&gt;=ABS(M20),M19,ABS(M20))</f>
        <v>0</v>
      </c>
      <c r="N21" s="904"/>
      <c r="O21" s="904"/>
      <c r="P21" s="904"/>
      <c r="Q21" s="904"/>
      <c r="R21" s="904"/>
      <c r="S21" s="904"/>
      <c r="T21" s="904"/>
      <c r="U21" s="904"/>
      <c r="V21" s="904"/>
      <c r="W21" s="904"/>
      <c r="X21" s="904"/>
      <c r="Y21" s="904"/>
      <c r="Z21" s="904"/>
      <c r="AA21" s="904"/>
      <c r="AB21" s="904"/>
      <c r="AC21" s="904"/>
      <c r="AD21" s="904"/>
      <c r="AE21" s="904"/>
      <c r="AF21" s="904"/>
      <c r="AG21" s="904"/>
      <c r="AH21" s="904"/>
      <c r="AI21" s="904"/>
      <c r="AJ21" s="904"/>
      <c r="AK21" s="904"/>
      <c r="AL21" s="904"/>
      <c r="AM21" s="904"/>
      <c r="AN21" s="904"/>
      <c r="AO21" s="904"/>
      <c r="AP21" s="904"/>
      <c r="AQ21" s="904"/>
      <c r="AR21" s="904"/>
      <c r="AS21" s="904"/>
      <c r="AT21" s="904"/>
      <c r="AU21" s="904"/>
      <c r="AV21" s="904"/>
      <c r="AW21" s="904"/>
      <c r="AX21" s="904"/>
      <c r="AY21" s="904"/>
      <c r="AZ21" s="904"/>
      <c r="BA21" s="904"/>
      <c r="BB21" s="904"/>
      <c r="BC21" s="904"/>
      <c r="BD21" s="904"/>
      <c r="BE21" s="904"/>
      <c r="BF21" s="904"/>
      <c r="BG21" s="904"/>
      <c r="BH21" s="904"/>
      <c r="BI21" s="904"/>
      <c r="BJ21" s="904"/>
      <c r="BK21" s="904"/>
      <c r="BL21" s="904"/>
      <c r="BM21" s="904"/>
    </row>
    <row r="22" spans="1:65" s="905" customFormat="1" ht="11.25" x14ac:dyDescent="0.2">
      <c r="A22" s="465" t="s">
        <v>1438</v>
      </c>
      <c r="B22" s="795" t="s">
        <v>1159</v>
      </c>
      <c r="C22" s="821"/>
      <c r="D22" s="439"/>
      <c r="E22" s="350"/>
      <c r="F22" s="350"/>
      <c r="G22" s="823" t="s">
        <v>309</v>
      </c>
      <c r="H22" s="439"/>
      <c r="I22" s="439"/>
      <c r="J22" s="439"/>
      <c r="K22" s="439"/>
      <c r="L22" s="439"/>
      <c r="M22" s="824">
        <v>0.08</v>
      </c>
      <c r="N22" s="904"/>
      <c r="O22" s="904"/>
      <c r="P22" s="904"/>
      <c r="Q22" s="904"/>
      <c r="R22" s="904"/>
      <c r="S22" s="904"/>
      <c r="T22" s="904"/>
      <c r="U22" s="904"/>
      <c r="V22" s="904"/>
      <c r="W22" s="904"/>
      <c r="X22" s="904"/>
      <c r="Y22" s="904"/>
      <c r="Z22" s="904"/>
      <c r="AA22" s="904"/>
      <c r="AB22" s="904"/>
      <c r="AC22" s="904"/>
      <c r="AD22" s="904"/>
      <c r="AE22" s="904"/>
      <c r="AF22" s="904"/>
      <c r="AG22" s="904"/>
      <c r="AH22" s="904"/>
      <c r="AI22" s="904"/>
      <c r="AJ22" s="904"/>
      <c r="AK22" s="904"/>
      <c r="AL22" s="904"/>
      <c r="AM22" s="904"/>
      <c r="AN22" s="904"/>
      <c r="AO22" s="904"/>
      <c r="AP22" s="904"/>
      <c r="AQ22" s="904"/>
      <c r="AR22" s="904"/>
      <c r="AS22" s="904"/>
      <c r="AT22" s="904"/>
      <c r="AU22" s="904"/>
      <c r="AV22" s="904"/>
      <c r="AW22" s="904"/>
      <c r="AX22" s="904"/>
      <c r="AY22" s="904"/>
      <c r="AZ22" s="904"/>
      <c r="BA22" s="904"/>
      <c r="BB22" s="904"/>
      <c r="BC22" s="904"/>
      <c r="BD22" s="904"/>
      <c r="BE22" s="904"/>
      <c r="BF22" s="904"/>
      <c r="BG22" s="904"/>
      <c r="BH22" s="904"/>
      <c r="BI22" s="904"/>
      <c r="BJ22" s="904"/>
      <c r="BK22" s="904"/>
      <c r="BL22" s="904"/>
      <c r="BM22" s="904"/>
    </row>
    <row r="23" spans="1:65" s="905" customFormat="1" ht="27.75" customHeight="1" x14ac:dyDescent="0.2">
      <c r="A23" s="465" t="s">
        <v>816</v>
      </c>
      <c r="B23" s="1245" t="s">
        <v>439</v>
      </c>
      <c r="C23" s="1246"/>
      <c r="D23" s="439"/>
      <c r="E23" s="350"/>
      <c r="F23" s="350"/>
      <c r="G23" s="466" t="s">
        <v>440</v>
      </c>
      <c r="H23" s="466"/>
      <c r="I23" s="439"/>
      <c r="J23" s="439"/>
      <c r="K23" s="439"/>
      <c r="L23" s="439"/>
      <c r="M23" s="524">
        <f>M21*0.08</f>
        <v>0</v>
      </c>
      <c r="N23" s="904"/>
      <c r="O23" s="904"/>
      <c r="P23" s="904"/>
      <c r="Q23" s="904"/>
      <c r="R23" s="904"/>
      <c r="S23" s="904"/>
      <c r="T23" s="904"/>
      <c r="U23" s="904"/>
      <c r="V23" s="904"/>
      <c r="W23" s="904"/>
      <c r="X23" s="904"/>
      <c r="Y23" s="904"/>
      <c r="Z23" s="904"/>
      <c r="AA23" s="904"/>
      <c r="AB23" s="904"/>
      <c r="AC23" s="904"/>
      <c r="AD23" s="904"/>
      <c r="AE23" s="904"/>
      <c r="AF23" s="904"/>
      <c r="AG23" s="904"/>
      <c r="AH23" s="904"/>
      <c r="AI23" s="904"/>
      <c r="AJ23" s="904"/>
      <c r="AK23" s="904"/>
      <c r="AL23" s="904"/>
      <c r="AM23" s="904"/>
      <c r="AN23" s="904"/>
      <c r="AO23" s="904"/>
      <c r="AP23" s="904"/>
      <c r="AQ23" s="904"/>
      <c r="AR23" s="904"/>
      <c r="AS23" s="904"/>
      <c r="AT23" s="904"/>
      <c r="AU23" s="904"/>
      <c r="AV23" s="904"/>
      <c r="AW23" s="904"/>
      <c r="AX23" s="904"/>
      <c r="AY23" s="904"/>
      <c r="AZ23" s="904"/>
      <c r="BA23" s="904"/>
      <c r="BB23" s="904"/>
      <c r="BC23" s="904"/>
      <c r="BD23" s="904"/>
      <c r="BE23" s="904"/>
      <c r="BF23" s="904"/>
      <c r="BG23" s="904"/>
      <c r="BH23" s="904"/>
      <c r="BI23" s="904"/>
      <c r="BJ23" s="904"/>
      <c r="BK23" s="904"/>
      <c r="BL23" s="904"/>
      <c r="BM23" s="904"/>
    </row>
    <row r="24" spans="1:65" s="905" customFormat="1" ht="31.5" customHeight="1" x14ac:dyDescent="0.2">
      <c r="A24" s="465" t="s">
        <v>486</v>
      </c>
      <c r="B24" s="1245" t="s">
        <v>1287</v>
      </c>
      <c r="C24" s="1246"/>
      <c r="D24" s="439"/>
      <c r="E24" s="350"/>
      <c r="F24" s="350"/>
      <c r="G24" s="466" t="s">
        <v>1288</v>
      </c>
      <c r="H24" s="466"/>
      <c r="I24" s="439"/>
      <c r="J24" s="439"/>
      <c r="K24" s="439"/>
      <c r="L24" s="439"/>
      <c r="M24" s="524">
        <f>M23*1.25</f>
        <v>0</v>
      </c>
      <c r="N24" s="904"/>
      <c r="O24" s="904"/>
      <c r="P24" s="904"/>
      <c r="Q24" s="904"/>
      <c r="R24" s="904"/>
      <c r="S24" s="904"/>
      <c r="T24" s="904"/>
      <c r="U24" s="904"/>
      <c r="V24" s="904"/>
      <c r="W24" s="904"/>
      <c r="X24" s="904"/>
      <c r="Y24" s="904"/>
      <c r="Z24" s="904"/>
      <c r="AA24" s="904"/>
      <c r="AB24" s="904"/>
      <c r="AC24" s="904"/>
      <c r="AD24" s="904"/>
      <c r="AE24" s="904"/>
      <c r="AF24" s="904"/>
      <c r="AG24" s="904"/>
      <c r="AH24" s="904"/>
      <c r="AI24" s="904"/>
      <c r="AJ24" s="904"/>
      <c r="AK24" s="904"/>
      <c r="AL24" s="904"/>
      <c r="AM24" s="904"/>
      <c r="AN24" s="904"/>
      <c r="AO24" s="904"/>
      <c r="AP24" s="904"/>
      <c r="AQ24" s="904"/>
      <c r="AR24" s="904"/>
      <c r="AS24" s="904"/>
      <c r="AT24" s="904"/>
      <c r="AU24" s="904"/>
      <c r="AV24" s="904"/>
      <c r="AW24" s="904"/>
      <c r="AX24" s="904"/>
      <c r="AY24" s="904"/>
      <c r="AZ24" s="904"/>
      <c r="BA24" s="904"/>
      <c r="BB24" s="904"/>
      <c r="BC24" s="904"/>
      <c r="BD24" s="904"/>
      <c r="BE24" s="904"/>
      <c r="BF24" s="904"/>
      <c r="BG24" s="904"/>
      <c r="BH24" s="904"/>
      <c r="BI24" s="904"/>
      <c r="BJ24" s="904"/>
      <c r="BK24" s="904"/>
      <c r="BL24" s="904"/>
      <c r="BM24" s="904"/>
    </row>
    <row r="25" spans="1:65" s="905" customFormat="1" ht="27.75" customHeight="1" thickBot="1" x14ac:dyDescent="0.25">
      <c r="A25" s="825" t="s">
        <v>492</v>
      </c>
      <c r="B25" s="1390" t="s">
        <v>1289</v>
      </c>
      <c r="C25" s="1391"/>
      <c r="D25" s="826"/>
      <c r="E25" s="350"/>
      <c r="F25" s="350"/>
      <c r="G25" s="615" t="s">
        <v>1619</v>
      </c>
      <c r="H25" s="615"/>
      <c r="I25" s="826"/>
      <c r="J25" s="826"/>
      <c r="K25" s="826"/>
      <c r="L25" s="826"/>
      <c r="M25" s="530">
        <f>M24*10</f>
        <v>0</v>
      </c>
      <c r="N25" s="904"/>
      <c r="O25" s="904"/>
      <c r="P25" s="904"/>
      <c r="Q25" s="904"/>
      <c r="R25" s="904"/>
      <c r="S25" s="904"/>
      <c r="T25" s="904"/>
      <c r="U25" s="904"/>
      <c r="V25" s="904"/>
      <c r="W25" s="904"/>
      <c r="X25" s="904"/>
      <c r="Y25" s="904"/>
      <c r="Z25" s="904"/>
      <c r="AA25" s="904"/>
      <c r="AB25" s="904"/>
      <c r="AC25" s="904"/>
      <c r="AD25" s="904"/>
      <c r="AE25" s="904"/>
      <c r="AF25" s="904"/>
      <c r="AG25" s="904"/>
      <c r="AH25" s="904"/>
      <c r="AI25" s="904"/>
      <c r="AJ25" s="904"/>
      <c r="AK25" s="904"/>
      <c r="AL25" s="904"/>
      <c r="AM25" s="904"/>
      <c r="AN25" s="904"/>
      <c r="AO25" s="904"/>
      <c r="AP25" s="904"/>
      <c r="AQ25" s="904"/>
      <c r="AR25" s="904"/>
      <c r="AS25" s="904"/>
      <c r="AT25" s="904"/>
      <c r="AU25" s="904"/>
      <c r="AV25" s="904"/>
      <c r="AW25" s="904"/>
      <c r="AX25" s="904"/>
      <c r="AY25" s="904"/>
      <c r="AZ25" s="904"/>
      <c r="BA25" s="904"/>
      <c r="BB25" s="904"/>
      <c r="BC25" s="904"/>
      <c r="BD25" s="904"/>
      <c r="BE25" s="904"/>
      <c r="BF25" s="904"/>
      <c r="BG25" s="904"/>
      <c r="BH25" s="904"/>
      <c r="BI25" s="904"/>
      <c r="BJ25" s="904"/>
      <c r="BK25" s="904"/>
      <c r="BL25" s="904"/>
      <c r="BM25" s="904"/>
    </row>
    <row r="26" spans="1:65" s="899" customFormat="1" ht="11.25" x14ac:dyDescent="0.2">
      <c r="A26" s="426"/>
      <c r="B26" s="426"/>
      <c r="C26" s="426"/>
      <c r="D26" s="426"/>
      <c r="E26" s="478" t="s">
        <v>309</v>
      </c>
      <c r="F26" s="426"/>
      <c r="G26" s="478" t="s">
        <v>309</v>
      </c>
      <c r="H26" s="426"/>
      <c r="I26" s="426"/>
      <c r="J26" s="426"/>
      <c r="K26" s="480"/>
      <c r="L26" s="480"/>
      <c r="M26" s="480"/>
      <c r="N26" s="763"/>
      <c r="O26" s="763"/>
      <c r="P26" s="763"/>
      <c r="Q26" s="763"/>
      <c r="R26" s="763"/>
      <c r="S26" s="763"/>
      <c r="T26" s="763"/>
      <c r="U26" s="763"/>
      <c r="V26" s="763"/>
      <c r="W26" s="763"/>
      <c r="X26" s="763"/>
      <c r="Y26" s="763"/>
      <c r="Z26" s="763"/>
      <c r="AA26" s="763"/>
      <c r="AB26" s="763"/>
      <c r="AC26" s="763"/>
      <c r="AD26" s="763"/>
      <c r="AE26" s="763"/>
      <c r="AF26" s="763"/>
      <c r="AG26" s="763"/>
      <c r="AH26" s="763"/>
      <c r="AI26" s="763"/>
      <c r="AJ26" s="763"/>
      <c r="AK26" s="763"/>
      <c r="AL26" s="763"/>
      <c r="AM26" s="763"/>
      <c r="AN26" s="763"/>
      <c r="AO26" s="763"/>
      <c r="AP26" s="763"/>
      <c r="AQ26" s="763"/>
      <c r="AR26" s="763"/>
      <c r="AS26" s="763"/>
      <c r="AT26" s="763"/>
      <c r="AU26" s="763"/>
      <c r="AV26" s="763"/>
      <c r="AW26" s="763"/>
      <c r="AX26" s="763"/>
      <c r="AY26" s="763"/>
      <c r="AZ26" s="763"/>
      <c r="BA26" s="763"/>
      <c r="BB26" s="763"/>
      <c r="BC26" s="763"/>
      <c r="BD26" s="763"/>
      <c r="BE26" s="763"/>
      <c r="BF26" s="763"/>
      <c r="BG26" s="763"/>
      <c r="BH26" s="763"/>
      <c r="BI26" s="763"/>
      <c r="BJ26" s="763"/>
      <c r="BK26" s="763"/>
      <c r="BL26" s="763"/>
      <c r="BM26" s="763"/>
    </row>
    <row r="27" spans="1:65" s="899" customFormat="1" ht="11.25" x14ac:dyDescent="0.2">
      <c r="A27" s="621" t="s">
        <v>494</v>
      </c>
      <c r="B27" s="426" t="s">
        <v>1290</v>
      </c>
      <c r="C27" s="426"/>
      <c r="D27" s="426"/>
      <c r="E27" s="426"/>
      <c r="F27" s="426"/>
      <c r="G27" s="426"/>
      <c r="H27" s="426"/>
      <c r="I27" s="426"/>
      <c r="J27" s="426"/>
      <c r="K27" s="480"/>
      <c r="L27" s="480"/>
      <c r="M27" s="480"/>
      <c r="N27" s="763"/>
      <c r="O27" s="763"/>
      <c r="P27" s="763"/>
      <c r="Q27" s="763"/>
      <c r="R27" s="763"/>
      <c r="S27" s="763"/>
      <c r="T27" s="763"/>
      <c r="U27" s="763"/>
      <c r="V27" s="763"/>
      <c r="W27" s="763"/>
      <c r="X27" s="763"/>
      <c r="Y27" s="763"/>
      <c r="Z27" s="763"/>
      <c r="AA27" s="763"/>
      <c r="AB27" s="763"/>
      <c r="AC27" s="763"/>
      <c r="AD27" s="763"/>
      <c r="AE27" s="763"/>
      <c r="AF27" s="763"/>
      <c r="AG27" s="763"/>
      <c r="AH27" s="763"/>
      <c r="AI27" s="763"/>
      <c r="AJ27" s="763"/>
      <c r="AK27" s="763"/>
      <c r="AL27" s="763"/>
      <c r="AM27" s="763"/>
      <c r="AN27" s="763"/>
      <c r="AO27" s="763"/>
      <c r="AP27" s="763"/>
      <c r="AQ27" s="763"/>
      <c r="AR27" s="763"/>
      <c r="AS27" s="763"/>
      <c r="AT27" s="763"/>
      <c r="AU27" s="763"/>
      <c r="AV27" s="763"/>
      <c r="AW27" s="763"/>
      <c r="AX27" s="763"/>
      <c r="AY27" s="763"/>
      <c r="AZ27" s="763"/>
      <c r="BA27" s="763"/>
      <c r="BB27" s="763"/>
      <c r="BC27" s="763"/>
      <c r="BD27" s="763"/>
      <c r="BE27" s="763"/>
      <c r="BF27" s="763"/>
      <c r="BG27" s="763"/>
      <c r="BH27" s="763"/>
      <c r="BI27" s="763"/>
      <c r="BJ27" s="763"/>
      <c r="BK27" s="763"/>
      <c r="BL27" s="763"/>
      <c r="BM27" s="763"/>
    </row>
    <row r="28" spans="1:65" s="899" customFormat="1" ht="11.25" x14ac:dyDescent="0.2">
      <c r="A28" s="621" t="s">
        <v>496</v>
      </c>
      <c r="B28" s="426" t="s">
        <v>1291</v>
      </c>
      <c r="C28" s="426"/>
      <c r="D28" s="426"/>
      <c r="E28" s="426"/>
      <c r="F28" s="426"/>
      <c r="G28" s="426"/>
      <c r="H28" s="426"/>
      <c r="I28" s="426"/>
      <c r="J28" s="426"/>
      <c r="K28" s="480"/>
      <c r="L28" s="480"/>
      <c r="M28" s="480"/>
      <c r="N28" s="763"/>
      <c r="O28" s="763"/>
      <c r="P28" s="763"/>
      <c r="Q28" s="763"/>
      <c r="R28" s="763"/>
      <c r="S28" s="763"/>
      <c r="T28" s="763"/>
      <c r="U28" s="763"/>
      <c r="V28" s="763"/>
      <c r="W28" s="763"/>
      <c r="X28" s="763"/>
      <c r="Y28" s="763"/>
      <c r="Z28" s="763"/>
      <c r="AA28" s="763"/>
      <c r="AB28" s="763"/>
      <c r="AC28" s="763"/>
      <c r="AD28" s="763"/>
      <c r="AE28" s="763"/>
      <c r="AF28" s="763"/>
      <c r="AG28" s="763"/>
      <c r="AH28" s="763"/>
      <c r="AI28" s="763"/>
      <c r="AJ28" s="763"/>
      <c r="AK28" s="763"/>
      <c r="AL28" s="763"/>
      <c r="AM28" s="763"/>
      <c r="AN28" s="763"/>
      <c r="AO28" s="763"/>
      <c r="AP28" s="763"/>
      <c r="AQ28" s="763"/>
      <c r="AR28" s="763"/>
      <c r="AS28" s="763"/>
      <c r="AT28" s="763"/>
      <c r="AU28" s="763"/>
      <c r="AV28" s="763"/>
      <c r="AW28" s="763"/>
      <c r="AX28" s="763"/>
      <c r="AY28" s="763"/>
      <c r="AZ28" s="763"/>
      <c r="BA28" s="763"/>
      <c r="BB28" s="763"/>
      <c r="BC28" s="763"/>
      <c r="BD28" s="763"/>
      <c r="BE28" s="763"/>
      <c r="BF28" s="763"/>
      <c r="BG28" s="763"/>
      <c r="BH28" s="763"/>
      <c r="BI28" s="763"/>
      <c r="BJ28" s="763"/>
      <c r="BK28" s="763"/>
      <c r="BL28" s="763"/>
      <c r="BM28" s="763"/>
    </row>
    <row r="29" spans="1:65" s="899" customFormat="1" ht="11.25" x14ac:dyDescent="0.2">
      <c r="A29" s="621" t="s">
        <v>498</v>
      </c>
      <c r="B29" s="426" t="s">
        <v>1292</v>
      </c>
      <c r="C29" s="426"/>
      <c r="D29" s="426"/>
      <c r="E29" s="426"/>
      <c r="F29" s="426"/>
      <c r="G29" s="426"/>
      <c r="H29" s="426"/>
      <c r="I29" s="426"/>
      <c r="J29" s="426"/>
      <c r="K29" s="480"/>
      <c r="L29" s="480"/>
      <c r="M29" s="480"/>
      <c r="N29" s="763"/>
      <c r="O29" s="763"/>
      <c r="P29" s="763"/>
      <c r="Q29" s="763"/>
      <c r="R29" s="763"/>
      <c r="S29" s="763"/>
      <c r="T29" s="763"/>
      <c r="U29" s="763"/>
      <c r="V29" s="763"/>
      <c r="W29" s="763"/>
      <c r="X29" s="763"/>
      <c r="Y29" s="763"/>
      <c r="Z29" s="763"/>
      <c r="AA29" s="763"/>
      <c r="AB29" s="763"/>
      <c r="AC29" s="763"/>
      <c r="AD29" s="763"/>
      <c r="AE29" s="763"/>
      <c r="AF29" s="763"/>
      <c r="AG29" s="763"/>
      <c r="AH29" s="763"/>
      <c r="AI29" s="763"/>
      <c r="AJ29" s="763"/>
      <c r="AK29" s="763"/>
      <c r="AL29" s="763"/>
      <c r="AM29" s="763"/>
      <c r="AN29" s="763"/>
      <c r="AO29" s="763"/>
      <c r="AP29" s="763"/>
      <c r="AQ29" s="763"/>
      <c r="AR29" s="763"/>
      <c r="AS29" s="763"/>
      <c r="AT29" s="763"/>
      <c r="AU29" s="763"/>
      <c r="AV29" s="763"/>
      <c r="AW29" s="763"/>
      <c r="AX29" s="763"/>
      <c r="AY29" s="763"/>
      <c r="AZ29" s="763"/>
      <c r="BA29" s="763"/>
      <c r="BB29" s="763"/>
      <c r="BC29" s="763"/>
      <c r="BD29" s="763"/>
      <c r="BE29" s="763"/>
      <c r="BF29" s="763"/>
      <c r="BG29" s="763"/>
      <c r="BH29" s="763"/>
      <c r="BI29" s="763"/>
      <c r="BJ29" s="763"/>
      <c r="BK29" s="763"/>
      <c r="BL29" s="763"/>
      <c r="BM29" s="763"/>
    </row>
    <row r="30" spans="1:65" s="899" customFormat="1" ht="11.25" x14ac:dyDescent="0.2">
      <c r="A30" s="621" t="s">
        <v>500</v>
      </c>
      <c r="B30" s="426" t="s">
        <v>104</v>
      </c>
      <c r="C30" s="426"/>
      <c r="D30" s="426"/>
      <c r="E30" s="426"/>
      <c r="F30" s="426"/>
      <c r="G30" s="426"/>
      <c r="H30" s="426"/>
      <c r="I30" s="426"/>
      <c r="J30" s="426"/>
      <c r="K30" s="480"/>
      <c r="L30" s="480"/>
      <c r="M30" s="480"/>
      <c r="N30" s="763"/>
      <c r="O30" s="763"/>
      <c r="P30" s="763"/>
      <c r="Q30" s="763"/>
      <c r="R30" s="763"/>
      <c r="S30" s="763"/>
      <c r="T30" s="763"/>
      <c r="U30" s="763"/>
      <c r="V30" s="763"/>
      <c r="W30" s="763"/>
      <c r="X30" s="763"/>
      <c r="Y30" s="763"/>
      <c r="Z30" s="763"/>
      <c r="AA30" s="763"/>
      <c r="AB30" s="763"/>
      <c r="AC30" s="763"/>
      <c r="AD30" s="763"/>
      <c r="AE30" s="763"/>
      <c r="AF30" s="763"/>
      <c r="AG30" s="763"/>
      <c r="AH30" s="763"/>
      <c r="AI30" s="763"/>
      <c r="AJ30" s="763"/>
      <c r="AK30" s="763"/>
      <c r="AL30" s="763"/>
      <c r="AM30" s="763"/>
      <c r="AN30" s="763"/>
      <c r="AO30" s="763"/>
      <c r="AP30" s="763"/>
      <c r="AQ30" s="763"/>
      <c r="AR30" s="763"/>
      <c r="AS30" s="763"/>
      <c r="AT30" s="763"/>
      <c r="AU30" s="763"/>
      <c r="AV30" s="763"/>
      <c r="AW30" s="763"/>
      <c r="AX30" s="763"/>
      <c r="AY30" s="763"/>
      <c r="AZ30" s="763"/>
      <c r="BA30" s="763"/>
      <c r="BB30" s="763"/>
      <c r="BC30" s="763"/>
      <c r="BD30" s="763"/>
      <c r="BE30" s="763"/>
      <c r="BF30" s="763"/>
      <c r="BG30" s="763"/>
      <c r="BH30" s="763"/>
      <c r="BI30" s="763"/>
      <c r="BJ30" s="763"/>
      <c r="BK30" s="763"/>
      <c r="BL30" s="763"/>
      <c r="BM30" s="763"/>
    </row>
    <row r="31" spans="1:65" s="889" customFormat="1" x14ac:dyDescent="0.2">
      <c r="A31" s="621" t="s">
        <v>227</v>
      </c>
      <c r="B31" s="426" t="s">
        <v>1293</v>
      </c>
      <c r="C31" s="426"/>
      <c r="D31" s="426"/>
      <c r="E31" s="426"/>
      <c r="F31" s="426"/>
      <c r="G31" s="426"/>
      <c r="H31" s="426"/>
      <c r="I31" s="426"/>
      <c r="J31" s="426"/>
      <c r="K31" s="480"/>
      <c r="L31" s="480"/>
      <c r="M31" s="480"/>
      <c r="N31" s="891"/>
      <c r="O31" s="891"/>
      <c r="P31" s="891"/>
      <c r="Q31" s="891"/>
      <c r="R31" s="891"/>
      <c r="S31" s="891"/>
      <c r="T31" s="891"/>
      <c r="U31" s="891"/>
      <c r="V31" s="891"/>
      <c r="W31" s="891"/>
      <c r="X31" s="891"/>
      <c r="Y31" s="891"/>
      <c r="Z31" s="891"/>
      <c r="AA31" s="891"/>
      <c r="AB31" s="891"/>
      <c r="AC31" s="891"/>
      <c r="AD31" s="891"/>
      <c r="AE31" s="891"/>
      <c r="AF31" s="891"/>
      <c r="AG31" s="891"/>
      <c r="AH31" s="891"/>
      <c r="AI31" s="891"/>
      <c r="AJ31" s="891"/>
      <c r="AK31" s="891"/>
      <c r="AL31" s="891"/>
      <c r="AM31" s="891"/>
      <c r="AN31" s="891"/>
      <c r="AO31" s="891"/>
      <c r="AP31" s="891"/>
      <c r="AQ31" s="891"/>
      <c r="AR31" s="891"/>
      <c r="AS31" s="891"/>
      <c r="AT31" s="891"/>
      <c r="AU31" s="891"/>
      <c r="AV31" s="891"/>
      <c r="AW31" s="891"/>
      <c r="AX31" s="891"/>
      <c r="AY31" s="891"/>
      <c r="AZ31" s="891"/>
      <c r="BA31" s="891"/>
      <c r="BB31" s="891"/>
      <c r="BC31" s="891"/>
      <c r="BD31" s="891"/>
      <c r="BE31" s="891"/>
      <c r="BF31" s="891"/>
      <c r="BG31" s="891"/>
      <c r="BH31" s="891"/>
      <c r="BI31" s="891"/>
      <c r="BJ31" s="891"/>
      <c r="BK31" s="891"/>
      <c r="BL31" s="891"/>
      <c r="BM31" s="891"/>
    </row>
    <row r="32" spans="1:65" x14ac:dyDescent="0.2">
      <c r="A32" s="426"/>
      <c r="B32" s="426"/>
      <c r="C32" s="426"/>
      <c r="D32" s="426"/>
      <c r="E32" s="426"/>
      <c r="F32" s="426"/>
      <c r="G32" s="426"/>
      <c r="H32" s="426"/>
      <c r="I32" s="426"/>
      <c r="J32" s="426"/>
      <c r="K32" s="480"/>
      <c r="L32" s="480"/>
      <c r="M32" s="480"/>
    </row>
  </sheetData>
  <sheetProtection password="EDCA" sheet="1" objects="1" scenarios="1"/>
  <mergeCells count="14">
    <mergeCell ref="A5:A8"/>
    <mergeCell ref="B5:C8"/>
    <mergeCell ref="D5:D8"/>
    <mergeCell ref="G5:G8"/>
    <mergeCell ref="B25:C25"/>
    <mergeCell ref="M6:M7"/>
    <mergeCell ref="B9:C9"/>
    <mergeCell ref="B23:C23"/>
    <mergeCell ref="B24:C24"/>
    <mergeCell ref="H5:H8"/>
    <mergeCell ref="I5:L5"/>
    <mergeCell ref="I6:J6"/>
    <mergeCell ref="K6:K7"/>
    <mergeCell ref="L6:L7"/>
  </mergeCells>
  <phoneticPr fontId="36" type="noConversion"/>
  <dataValidations count="3">
    <dataValidation type="decimal" allowBlank="1" showInputMessage="1" showErrorMessage="1" sqref="I10:J18">
      <formula1>-999999999999.999</formula1>
      <formula2>999999999999.999</formula2>
    </dataValidation>
    <dataValidation type="decimal" operator="greaterThanOrEqual" allowBlank="1" showInputMessage="1" showErrorMessage="1" sqref="M4 K10:K18">
      <formula1>0</formula1>
    </dataValidation>
    <dataValidation operator="greaterThanOrEqual" allowBlank="1" showInputMessage="1" showErrorMessage="1" sqref="M19:M21"/>
  </dataValidations>
  <pageMargins left="0.75" right="0.75" top="1" bottom="1" header="0.5" footer="0.5"/>
  <pageSetup paperSize="9" scale="80" orientation="landscape" r:id="rId1"/>
  <headerFooter alignWithMargins="0">
    <oddHeader>&amp;C&amp;"Arial,Bold"&amp;8 NEW RURAL BANK OF SAN LEONARDO, INC  [ 04-040656 ]
 As of: September 30, 2017</oddHead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706"/>
  <sheetViews>
    <sheetView zoomScaleNormal="100" workbookViewId="0"/>
  </sheetViews>
  <sheetFormatPr defaultRowHeight="12.75" x14ac:dyDescent="0.2"/>
  <sheetData>
    <row r="1" spans="1:10" s="831" customFormat="1" ht="13.5" x14ac:dyDescent="0.25">
      <c r="A1" s="827" t="s">
        <v>1686</v>
      </c>
      <c r="B1" s="827" t="s">
        <v>1294</v>
      </c>
      <c r="C1" s="1402" t="s">
        <v>996</v>
      </c>
      <c r="D1" s="1402"/>
      <c r="E1" s="1402" t="s">
        <v>997</v>
      </c>
      <c r="F1" s="1402"/>
      <c r="G1" s="1402" t="s">
        <v>1295</v>
      </c>
      <c r="H1" s="1402"/>
      <c r="I1" s="827"/>
      <c r="J1" s="830"/>
    </row>
    <row r="2" spans="1:10" s="831" customFormat="1" ht="13.5" x14ac:dyDescent="0.25">
      <c r="A2" s="827">
        <v>4</v>
      </c>
      <c r="B2" s="827" t="s">
        <v>1295</v>
      </c>
      <c r="C2" s="827" t="s">
        <v>998</v>
      </c>
      <c r="D2" s="827">
        <v>1</v>
      </c>
      <c r="E2" s="827" t="s">
        <v>999</v>
      </c>
      <c r="F2" s="827">
        <v>2012</v>
      </c>
      <c r="G2" s="827" t="s">
        <v>1000</v>
      </c>
      <c r="H2" s="827">
        <v>3</v>
      </c>
      <c r="I2" s="827"/>
      <c r="J2" s="830"/>
    </row>
    <row r="3" spans="1:10" s="831" customFormat="1" ht="13.5" x14ac:dyDescent="0.25">
      <c r="A3" s="827">
        <v>40656</v>
      </c>
      <c r="B3" s="827" t="s">
        <v>1296</v>
      </c>
      <c r="C3" s="827" t="s">
        <v>1001</v>
      </c>
      <c r="D3" s="827">
        <v>2</v>
      </c>
      <c r="E3" s="827" t="s">
        <v>1002</v>
      </c>
      <c r="F3" s="827">
        <v>2013</v>
      </c>
      <c r="G3" s="827" t="s">
        <v>1003</v>
      </c>
      <c r="H3" s="827">
        <v>4</v>
      </c>
      <c r="I3" s="827"/>
      <c r="J3" s="830"/>
    </row>
    <row r="4" spans="1:10" s="831" customFormat="1" ht="13.5" x14ac:dyDescent="0.25">
      <c r="A4" s="827">
        <v>9999</v>
      </c>
      <c r="B4" s="827" t="s">
        <v>1297</v>
      </c>
      <c r="C4" s="827" t="s">
        <v>1004</v>
      </c>
      <c r="D4" s="827">
        <v>3</v>
      </c>
      <c r="E4" s="827" t="s">
        <v>1005</v>
      </c>
      <c r="F4" s="827">
        <v>2014</v>
      </c>
      <c r="G4" s="827" t="s">
        <v>1006</v>
      </c>
      <c r="H4" s="827">
        <v>5</v>
      </c>
      <c r="I4" s="827"/>
      <c r="J4" s="830"/>
    </row>
    <row r="5" spans="1:10" s="831" customFormat="1" ht="13.5" x14ac:dyDescent="0.25">
      <c r="A5" s="827">
        <v>2</v>
      </c>
      <c r="B5" s="827" t="s">
        <v>1298</v>
      </c>
      <c r="C5" s="827"/>
      <c r="D5" s="827"/>
      <c r="E5" s="827" t="s">
        <v>1007</v>
      </c>
      <c r="F5" s="827">
        <v>2015</v>
      </c>
      <c r="G5" s="827"/>
      <c r="H5" s="827"/>
      <c r="I5" s="827"/>
      <c r="J5" s="830"/>
    </row>
    <row r="6" spans="1:10" s="831" customFormat="1" ht="13.5" x14ac:dyDescent="0.25">
      <c r="A6" s="827">
        <v>2017</v>
      </c>
      <c r="B6" s="827" t="s">
        <v>1299</v>
      </c>
      <c r="C6" s="827"/>
      <c r="D6" s="827"/>
      <c r="E6" s="827"/>
      <c r="F6" s="827"/>
      <c r="G6" s="827"/>
      <c r="H6" s="827"/>
      <c r="I6" s="827"/>
      <c r="J6" s="830"/>
    </row>
    <row r="7" spans="1:10" s="831" customFormat="1" ht="13.5" x14ac:dyDescent="0.25">
      <c r="A7" s="827">
        <v>20170930</v>
      </c>
      <c r="B7" s="827" t="s">
        <v>1300</v>
      </c>
      <c r="C7" s="827"/>
      <c r="D7" s="827"/>
      <c r="E7" s="827"/>
      <c r="F7" s="827"/>
      <c r="G7" s="827"/>
      <c r="H7" s="827"/>
      <c r="I7" s="827"/>
      <c r="J7" s="830"/>
    </row>
    <row r="8" spans="1:10" s="831" customFormat="1" ht="13.5" x14ac:dyDescent="0.25">
      <c r="A8" s="827">
        <v>2</v>
      </c>
      <c r="B8" s="827" t="s">
        <v>1301</v>
      </c>
      <c r="C8" s="827"/>
      <c r="D8" s="827"/>
      <c r="E8" s="827"/>
      <c r="F8" s="827"/>
      <c r="G8" s="827"/>
      <c r="H8" s="827"/>
      <c r="I8" s="827"/>
      <c r="J8" s="830"/>
    </row>
    <row r="9" spans="1:10" s="831" customFormat="1" ht="13.5" x14ac:dyDescent="0.25">
      <c r="A9" s="828" t="s">
        <v>224</v>
      </c>
      <c r="B9" s="827" t="s">
        <v>1302</v>
      </c>
      <c r="C9" s="827"/>
      <c r="D9" s="827"/>
      <c r="E9" s="827"/>
      <c r="F9" s="827"/>
      <c r="G9" s="827"/>
      <c r="H9" s="827"/>
      <c r="I9" s="827"/>
      <c r="J9" s="830"/>
    </row>
    <row r="10" spans="1:10" s="831" customFormat="1" ht="13.5" x14ac:dyDescent="0.25">
      <c r="A10" s="827" t="s">
        <v>1303</v>
      </c>
      <c r="B10" s="827" t="s">
        <v>1304</v>
      </c>
      <c r="C10" s="827"/>
      <c r="D10" s="827"/>
      <c r="E10" s="827"/>
      <c r="F10" s="827"/>
      <c r="G10" s="827"/>
      <c r="H10" s="827"/>
      <c r="I10" s="827"/>
      <c r="J10" s="830"/>
    </row>
    <row r="11" spans="1:10" s="831" customFormat="1" ht="13.5" x14ac:dyDescent="0.25">
      <c r="A11" s="827">
        <v>4</v>
      </c>
      <c r="B11" s="827" t="s">
        <v>1305</v>
      </c>
      <c r="C11" s="827"/>
      <c r="D11" s="827"/>
      <c r="E11" s="827"/>
      <c r="F11" s="827"/>
      <c r="G11" s="827"/>
      <c r="H11" s="827"/>
      <c r="I11" s="827"/>
      <c r="J11" s="830"/>
    </row>
    <row r="12" spans="1:10" s="831" customFormat="1" ht="13.5" x14ac:dyDescent="0.25">
      <c r="A12" s="829" t="s">
        <v>1685</v>
      </c>
      <c r="B12" s="827" t="s">
        <v>1306</v>
      </c>
      <c r="C12" s="827"/>
      <c r="D12" s="827"/>
      <c r="E12" s="827"/>
      <c r="F12" s="827"/>
      <c r="G12" s="827"/>
      <c r="H12" s="827"/>
      <c r="I12" s="827"/>
      <c r="J12" s="830"/>
    </row>
    <row r="13" spans="1:10" s="831" customFormat="1" ht="13.5" x14ac:dyDescent="0.25">
      <c r="A13" s="827"/>
      <c r="B13" s="827"/>
      <c r="C13" s="827"/>
      <c r="D13" s="827"/>
      <c r="E13" s="827"/>
      <c r="F13" s="827"/>
      <c r="G13" s="827"/>
      <c r="H13" s="827"/>
      <c r="I13" s="827"/>
      <c r="J13" s="830"/>
    </row>
    <row r="14" spans="1:10" s="831" customFormat="1" ht="13.5" x14ac:dyDescent="0.25">
      <c r="A14" s="827"/>
      <c r="B14" s="827"/>
      <c r="C14" s="827"/>
      <c r="D14" s="827"/>
      <c r="E14" s="827"/>
      <c r="F14" s="827"/>
      <c r="G14" s="827"/>
      <c r="H14" s="827"/>
      <c r="I14" s="827"/>
      <c r="J14" s="830"/>
    </row>
    <row r="15" spans="1:10" s="831" customFormat="1" ht="13.5" x14ac:dyDescent="0.25">
      <c r="A15" s="827"/>
      <c r="B15" s="827"/>
      <c r="C15" s="827"/>
      <c r="D15" s="827"/>
      <c r="E15" s="827"/>
      <c r="F15" s="827"/>
      <c r="G15" s="827"/>
      <c r="H15" s="827"/>
      <c r="I15" s="827"/>
      <c r="J15" s="830"/>
    </row>
    <row r="16" spans="1:10" s="831" customFormat="1" ht="13.5" x14ac:dyDescent="0.25">
      <c r="A16" s="827"/>
      <c r="B16" s="827"/>
      <c r="C16" s="827"/>
      <c r="D16" s="827"/>
      <c r="E16" s="827"/>
      <c r="F16" s="827"/>
      <c r="G16" s="827"/>
      <c r="H16" s="827"/>
      <c r="I16" s="827"/>
      <c r="J16" s="830"/>
    </row>
    <row r="17" spans="1:10" s="831" customFormat="1" ht="13.5" x14ac:dyDescent="0.25">
      <c r="A17" s="827"/>
      <c r="B17" s="827"/>
      <c r="C17" s="827"/>
      <c r="D17" s="827"/>
      <c r="E17" s="827"/>
      <c r="F17" s="827"/>
      <c r="G17" s="827"/>
      <c r="H17" s="827"/>
      <c r="I17" s="827"/>
      <c r="J17" s="830"/>
    </row>
    <row r="18" spans="1:10" s="831" customFormat="1" ht="13.5" x14ac:dyDescent="0.25">
      <c r="A18" s="827"/>
      <c r="B18" s="827"/>
      <c r="C18" s="827"/>
      <c r="D18" s="827"/>
      <c r="E18" s="827"/>
      <c r="F18" s="827"/>
      <c r="G18" s="827"/>
      <c r="H18" s="827"/>
      <c r="I18" s="827"/>
      <c r="J18" s="830"/>
    </row>
    <row r="19" spans="1:10" s="831" customFormat="1" ht="13.5" x14ac:dyDescent="0.25">
      <c r="A19" s="827"/>
      <c r="B19" s="827"/>
    </row>
    <row r="20" spans="1:10" s="831" customFormat="1" ht="13.5" x14ac:dyDescent="0.25">
      <c r="A20" s="827"/>
      <c r="B20" s="827"/>
    </row>
    <row r="21" spans="1:10" s="831" customFormat="1" ht="13.5" x14ac:dyDescent="0.25">
      <c r="A21" s="827"/>
      <c r="B21" s="827"/>
    </row>
    <row r="22" spans="1:10" s="831" customFormat="1" ht="13.5" x14ac:dyDescent="0.25">
      <c r="A22" s="827"/>
      <c r="B22" s="827"/>
    </row>
    <row r="23" spans="1:10" s="831" customFormat="1" ht="13.5" x14ac:dyDescent="0.25">
      <c r="A23" s="827"/>
      <c r="B23" s="827"/>
    </row>
    <row r="24" spans="1:10" s="831" customFormat="1" ht="13.5" x14ac:dyDescent="0.25">
      <c r="A24" s="827"/>
      <c r="B24" s="827"/>
    </row>
    <row r="25" spans="1:10" s="831" customFormat="1" ht="13.5" x14ac:dyDescent="0.25">
      <c r="A25" s="827"/>
      <c r="B25" s="827"/>
    </row>
    <row r="26" spans="1:10" s="831" customFormat="1" ht="13.5" x14ac:dyDescent="0.25">
      <c r="A26" s="827"/>
      <c r="B26" s="827"/>
    </row>
    <row r="27" spans="1:10" s="831" customFormat="1" ht="13.5" x14ac:dyDescent="0.25">
      <c r="A27" s="827"/>
      <c r="B27" s="827"/>
    </row>
    <row r="28" spans="1:10" s="831" customFormat="1" ht="13.5" x14ac:dyDescent="0.25">
      <c r="A28" s="827"/>
      <c r="B28" s="827"/>
    </row>
    <row r="29" spans="1:10" s="831" customFormat="1" ht="13.5" x14ac:dyDescent="0.25">
      <c r="A29" s="827"/>
      <c r="B29" s="827"/>
    </row>
    <row r="30" spans="1:10" s="831" customFormat="1" ht="13.5" x14ac:dyDescent="0.25">
      <c r="A30" s="827"/>
      <c r="B30" s="827"/>
    </row>
    <row r="31" spans="1:10" s="831" customFormat="1" ht="13.5" x14ac:dyDescent="0.25">
      <c r="A31" s="827"/>
      <c r="B31" s="827"/>
    </row>
    <row r="32" spans="1:10" s="831" customFormat="1" ht="13.5" x14ac:dyDescent="0.25">
      <c r="A32" s="827"/>
      <c r="B32" s="827"/>
    </row>
    <row r="33" spans="1:2" s="831" customFormat="1" ht="13.5" x14ac:dyDescent="0.25">
      <c r="A33" s="827"/>
      <c r="B33" s="827"/>
    </row>
    <row r="34" spans="1:2" s="831" customFormat="1" ht="13.5" x14ac:dyDescent="0.25">
      <c r="A34" s="827"/>
      <c r="B34" s="827"/>
    </row>
    <row r="35" spans="1:2" s="831" customFormat="1" ht="13.5" x14ac:dyDescent="0.25">
      <c r="A35" s="827"/>
      <c r="B35" s="827"/>
    </row>
    <row r="36" spans="1:2" s="831" customFormat="1" ht="13.5" x14ac:dyDescent="0.25">
      <c r="A36" s="827"/>
      <c r="B36" s="827"/>
    </row>
    <row r="37" spans="1:2" s="831" customFormat="1" ht="13.5" x14ac:dyDescent="0.25">
      <c r="A37" s="827"/>
      <c r="B37" s="827"/>
    </row>
    <row r="38" spans="1:2" s="831" customFormat="1" ht="13.5" x14ac:dyDescent="0.25">
      <c r="A38" s="827"/>
      <c r="B38" s="827"/>
    </row>
    <row r="39" spans="1:2" s="831" customFormat="1" ht="13.5" x14ac:dyDescent="0.25">
      <c r="A39" s="827"/>
      <c r="B39" s="827"/>
    </row>
    <row r="40" spans="1:2" s="831" customFormat="1" ht="13.5" x14ac:dyDescent="0.25">
      <c r="A40" s="827"/>
      <c r="B40" s="827"/>
    </row>
    <row r="41" spans="1:2" s="831" customFormat="1" ht="13.5" x14ac:dyDescent="0.25">
      <c r="A41" s="827"/>
      <c r="B41" s="827"/>
    </row>
    <row r="42" spans="1:2" s="831" customFormat="1" ht="13.5" x14ac:dyDescent="0.25">
      <c r="A42" s="827"/>
      <c r="B42" s="827"/>
    </row>
    <row r="43" spans="1:2" s="831" customFormat="1" ht="13.5" x14ac:dyDescent="0.25">
      <c r="A43" s="827"/>
      <c r="B43" s="827"/>
    </row>
    <row r="44" spans="1:2" s="831" customFormat="1" ht="13.5" x14ac:dyDescent="0.25">
      <c r="A44" s="827"/>
      <c r="B44" s="827"/>
    </row>
    <row r="45" spans="1:2" s="831" customFormat="1" ht="13.5" x14ac:dyDescent="0.25">
      <c r="A45" s="827"/>
      <c r="B45" s="827"/>
    </row>
    <row r="46" spans="1:2" s="831" customFormat="1" ht="13.5" x14ac:dyDescent="0.25">
      <c r="A46" s="827"/>
      <c r="B46" s="827"/>
    </row>
    <row r="47" spans="1:2" s="831" customFormat="1" ht="13.5" x14ac:dyDescent="0.25">
      <c r="A47" s="827"/>
      <c r="B47" s="827"/>
    </row>
    <row r="48" spans="1:2" s="831" customFormat="1" ht="13.5" x14ac:dyDescent="0.25">
      <c r="A48" s="827"/>
      <c r="B48" s="827"/>
    </row>
    <row r="49" spans="1:2" s="831" customFormat="1" ht="13.5" x14ac:dyDescent="0.25">
      <c r="A49" s="827"/>
      <c r="B49" s="827"/>
    </row>
    <row r="50" spans="1:2" s="827" customFormat="1" x14ac:dyDescent="0.25">
      <c r="A50" s="827">
        <v>3</v>
      </c>
      <c r="B50" s="827" t="s">
        <v>1672</v>
      </c>
    </row>
    <row r="51" spans="1:2" s="827" customFormat="1" x14ac:dyDescent="0.25">
      <c r="A51" s="827">
        <v>3</v>
      </c>
      <c r="B51" s="827" t="s">
        <v>931</v>
      </c>
    </row>
    <row r="52" spans="1:2" s="827" customFormat="1" x14ac:dyDescent="0.25">
      <c r="A52" s="827">
        <v>3</v>
      </c>
      <c r="B52" s="827" t="s">
        <v>1307</v>
      </c>
    </row>
    <row r="53" spans="1:2" s="827" customFormat="1" x14ac:dyDescent="0.25">
      <c r="A53" s="827">
        <v>3</v>
      </c>
      <c r="B53" s="827" t="s">
        <v>1308</v>
      </c>
    </row>
    <row r="54" spans="1:2" s="827" customFormat="1" x14ac:dyDescent="0.25">
      <c r="A54" s="827">
        <v>3</v>
      </c>
      <c r="B54" s="827" t="s">
        <v>1309</v>
      </c>
    </row>
    <row r="55" spans="1:2" s="827" customFormat="1" x14ac:dyDescent="0.25">
      <c r="A55" s="827">
        <v>3</v>
      </c>
      <c r="B55" s="827" t="s">
        <v>1310</v>
      </c>
    </row>
    <row r="56" spans="1:2" s="827" customFormat="1" x14ac:dyDescent="0.25">
      <c r="A56" s="827">
        <v>3</v>
      </c>
      <c r="B56" s="827" t="s">
        <v>1311</v>
      </c>
    </row>
    <row r="57" spans="1:2" s="827" customFormat="1" x14ac:dyDescent="0.25">
      <c r="A57" s="827">
        <v>3</v>
      </c>
      <c r="B57" s="827" t="s">
        <v>1312</v>
      </c>
    </row>
    <row r="58" spans="1:2" s="827" customFormat="1" x14ac:dyDescent="0.25">
      <c r="A58" s="827">
        <v>3</v>
      </c>
      <c r="B58" s="827" t="s">
        <v>1313</v>
      </c>
    </row>
    <row r="59" spans="1:2" s="827" customFormat="1" x14ac:dyDescent="0.25">
      <c r="A59" s="827">
        <v>3</v>
      </c>
      <c r="B59" s="827" t="s">
        <v>1314</v>
      </c>
    </row>
    <row r="60" spans="1:2" s="827" customFormat="1" x14ac:dyDescent="0.25">
      <c r="A60" s="827">
        <v>3</v>
      </c>
      <c r="B60" s="827" t="s">
        <v>1315</v>
      </c>
    </row>
    <row r="61" spans="1:2" s="827" customFormat="1" x14ac:dyDescent="0.25">
      <c r="A61" s="827">
        <v>3</v>
      </c>
      <c r="B61" s="827" t="s">
        <v>1316</v>
      </c>
    </row>
    <row r="62" spans="1:2" s="827" customFormat="1" x14ac:dyDescent="0.25">
      <c r="A62" s="827">
        <v>3</v>
      </c>
      <c r="B62" s="827" t="s">
        <v>1317</v>
      </c>
    </row>
    <row r="63" spans="1:2" s="827" customFormat="1" x14ac:dyDescent="0.25">
      <c r="A63" s="827">
        <v>3</v>
      </c>
      <c r="B63" s="827" t="s">
        <v>1318</v>
      </c>
    </row>
    <row r="64" spans="1:2" s="827" customFormat="1" x14ac:dyDescent="0.25">
      <c r="A64" s="827">
        <v>3</v>
      </c>
      <c r="B64" s="827" t="s">
        <v>1319</v>
      </c>
    </row>
    <row r="65" spans="1:2" s="827" customFormat="1" x14ac:dyDescent="0.25">
      <c r="A65" s="827">
        <v>3</v>
      </c>
      <c r="B65" s="827" t="s">
        <v>1320</v>
      </c>
    </row>
    <row r="66" spans="1:2" s="827" customFormat="1" x14ac:dyDescent="0.25">
      <c r="A66" s="827">
        <v>3</v>
      </c>
      <c r="B66" s="827" t="s">
        <v>1321</v>
      </c>
    </row>
    <row r="67" spans="1:2" s="827" customFormat="1" x14ac:dyDescent="0.25">
      <c r="A67" s="827">
        <v>3</v>
      </c>
      <c r="B67" s="827" t="s">
        <v>1322</v>
      </c>
    </row>
    <row r="68" spans="1:2" s="827" customFormat="1" x14ac:dyDescent="0.25">
      <c r="A68" s="827">
        <v>3</v>
      </c>
      <c r="B68" s="827" t="s">
        <v>1323</v>
      </c>
    </row>
    <row r="69" spans="1:2" s="827" customFormat="1" x14ac:dyDescent="0.25">
      <c r="A69" s="827">
        <v>3</v>
      </c>
      <c r="B69" s="827" t="s">
        <v>1324</v>
      </c>
    </row>
    <row r="70" spans="1:2" s="827" customFormat="1" x14ac:dyDescent="0.25">
      <c r="A70" s="827">
        <v>3</v>
      </c>
      <c r="B70" s="827" t="s">
        <v>1325</v>
      </c>
    </row>
    <row r="71" spans="1:2" s="827" customFormat="1" x14ac:dyDescent="0.25">
      <c r="A71" s="827">
        <v>3</v>
      </c>
      <c r="B71" s="827" t="s">
        <v>1326</v>
      </c>
    </row>
    <row r="72" spans="1:2" s="827" customFormat="1" x14ac:dyDescent="0.25">
      <c r="A72" s="827">
        <v>3</v>
      </c>
      <c r="B72" s="827" t="s">
        <v>1327</v>
      </c>
    </row>
    <row r="73" spans="1:2" s="827" customFormat="1" x14ac:dyDescent="0.25">
      <c r="A73" s="827">
        <v>3</v>
      </c>
      <c r="B73" s="827" t="s">
        <v>1328</v>
      </c>
    </row>
    <row r="74" spans="1:2" s="827" customFormat="1" x14ac:dyDescent="0.25">
      <c r="A74" s="827">
        <v>3</v>
      </c>
      <c r="B74" s="827" t="s">
        <v>1329</v>
      </c>
    </row>
    <row r="75" spans="1:2" s="827" customFormat="1" x14ac:dyDescent="0.25">
      <c r="A75" s="827">
        <v>3</v>
      </c>
      <c r="B75" s="827" t="s">
        <v>1330</v>
      </c>
    </row>
    <row r="76" spans="1:2" s="827" customFormat="1" x14ac:dyDescent="0.25">
      <c r="A76" s="827">
        <v>3</v>
      </c>
      <c r="B76" s="827" t="s">
        <v>1331</v>
      </c>
    </row>
    <row r="77" spans="1:2" s="827" customFormat="1" x14ac:dyDescent="0.25">
      <c r="A77" s="827">
        <v>3</v>
      </c>
      <c r="B77" s="827" t="s">
        <v>1332</v>
      </c>
    </row>
    <row r="78" spans="1:2" s="827" customFormat="1" x14ac:dyDescent="0.25">
      <c r="A78" s="827">
        <v>3</v>
      </c>
      <c r="B78" s="827" t="s">
        <v>1333</v>
      </c>
    </row>
    <row r="79" spans="1:2" s="827" customFormat="1" x14ac:dyDescent="0.25">
      <c r="A79" s="827">
        <v>3</v>
      </c>
      <c r="B79" s="827" t="s">
        <v>1334</v>
      </c>
    </row>
    <row r="80" spans="1:2" s="827" customFormat="1" x14ac:dyDescent="0.25">
      <c r="A80" s="827">
        <v>3</v>
      </c>
      <c r="B80" s="827" t="s">
        <v>1335</v>
      </c>
    </row>
    <row r="81" spans="1:2" s="827" customFormat="1" x14ac:dyDescent="0.25">
      <c r="A81" s="827">
        <v>3</v>
      </c>
      <c r="B81" s="827" t="s">
        <v>1336</v>
      </c>
    </row>
    <row r="82" spans="1:2" s="827" customFormat="1" x14ac:dyDescent="0.25">
      <c r="A82" s="827">
        <v>3</v>
      </c>
      <c r="B82" s="827" t="s">
        <v>1337</v>
      </c>
    </row>
    <row r="83" spans="1:2" s="827" customFormat="1" x14ac:dyDescent="0.25">
      <c r="A83" s="827">
        <v>3</v>
      </c>
      <c r="B83" s="827" t="s">
        <v>1338</v>
      </c>
    </row>
    <row r="84" spans="1:2" s="827" customFormat="1" x14ac:dyDescent="0.25">
      <c r="A84" s="827">
        <v>3</v>
      </c>
      <c r="B84" s="827" t="s">
        <v>1339</v>
      </c>
    </row>
    <row r="85" spans="1:2" s="827" customFormat="1" x14ac:dyDescent="0.25">
      <c r="A85" s="827">
        <v>3</v>
      </c>
      <c r="B85" s="827" t="s">
        <v>1340</v>
      </c>
    </row>
    <row r="86" spans="1:2" s="827" customFormat="1" x14ac:dyDescent="0.25">
      <c r="A86" s="827">
        <v>3</v>
      </c>
      <c r="B86" s="827" t="s">
        <v>1677</v>
      </c>
    </row>
    <row r="87" spans="1:2" s="827" customFormat="1" x14ac:dyDescent="0.25">
      <c r="A87" s="827">
        <v>3</v>
      </c>
      <c r="B87" s="827" t="s">
        <v>1341</v>
      </c>
    </row>
    <row r="88" spans="1:2" s="827" customFormat="1" x14ac:dyDescent="0.25">
      <c r="A88" s="827">
        <v>3</v>
      </c>
      <c r="B88" s="827" t="s">
        <v>1342</v>
      </c>
    </row>
    <row r="89" spans="1:2" s="827" customFormat="1" x14ac:dyDescent="0.25">
      <c r="A89" s="827">
        <v>3</v>
      </c>
      <c r="B89" s="827" t="s">
        <v>1343</v>
      </c>
    </row>
    <row r="90" spans="1:2" s="827" customFormat="1" x14ac:dyDescent="0.25">
      <c r="A90" s="827">
        <v>3</v>
      </c>
      <c r="B90" s="827" t="s">
        <v>1344</v>
      </c>
    </row>
    <row r="91" spans="1:2" s="827" customFormat="1" x14ac:dyDescent="0.25">
      <c r="A91" s="827">
        <v>3</v>
      </c>
      <c r="B91" s="827" t="s">
        <v>1345</v>
      </c>
    </row>
    <row r="92" spans="1:2" s="827" customFormat="1" x14ac:dyDescent="0.25">
      <c r="A92" s="827">
        <v>3</v>
      </c>
      <c r="B92" s="827" t="s">
        <v>1346</v>
      </c>
    </row>
    <row r="93" spans="1:2" s="827" customFormat="1" x14ac:dyDescent="0.25">
      <c r="A93" s="827">
        <v>3</v>
      </c>
      <c r="B93" s="827" t="s">
        <v>1347</v>
      </c>
    </row>
    <row r="94" spans="1:2" s="827" customFormat="1" x14ac:dyDescent="0.25">
      <c r="A94" s="827">
        <v>3</v>
      </c>
      <c r="B94" s="827" t="s">
        <v>1348</v>
      </c>
    </row>
    <row r="95" spans="1:2" s="827" customFormat="1" x14ac:dyDescent="0.25">
      <c r="A95" s="827">
        <v>3</v>
      </c>
      <c r="B95" s="827" t="s">
        <v>1349</v>
      </c>
    </row>
    <row r="96" spans="1:2" s="827" customFormat="1" x14ac:dyDescent="0.25">
      <c r="A96" s="827">
        <v>3</v>
      </c>
      <c r="B96" s="827" t="s">
        <v>1350</v>
      </c>
    </row>
    <row r="97" spans="1:2" s="827" customFormat="1" x14ac:dyDescent="0.25">
      <c r="A97" s="827">
        <v>3</v>
      </c>
      <c r="B97" s="827" t="s">
        <v>1351</v>
      </c>
    </row>
    <row r="98" spans="1:2" s="827" customFormat="1" x14ac:dyDescent="0.25">
      <c r="A98" s="827">
        <v>3</v>
      </c>
      <c r="B98" s="827" t="s">
        <v>1352</v>
      </c>
    </row>
    <row r="99" spans="1:2" s="827" customFormat="1" x14ac:dyDescent="0.25">
      <c r="A99" s="827">
        <v>3</v>
      </c>
      <c r="B99" s="827" t="s">
        <v>1353</v>
      </c>
    </row>
    <row r="100" spans="1:2" s="827" customFormat="1" x14ac:dyDescent="0.25">
      <c r="A100" s="827">
        <v>3</v>
      </c>
      <c r="B100" s="827" t="s">
        <v>1354</v>
      </c>
    </row>
    <row r="101" spans="1:2" s="827" customFormat="1" x14ac:dyDescent="0.25">
      <c r="A101" s="827">
        <v>3</v>
      </c>
      <c r="B101" s="827" t="s">
        <v>1355</v>
      </c>
    </row>
    <row r="102" spans="1:2" s="827" customFormat="1" x14ac:dyDescent="0.25">
      <c r="A102" s="827">
        <v>3</v>
      </c>
      <c r="B102" s="827" t="s">
        <v>1356</v>
      </c>
    </row>
    <row r="103" spans="1:2" s="827" customFormat="1" x14ac:dyDescent="0.25">
      <c r="A103" s="827">
        <v>3</v>
      </c>
      <c r="B103" s="827" t="s">
        <v>1357</v>
      </c>
    </row>
    <row r="104" spans="1:2" s="827" customFormat="1" x14ac:dyDescent="0.25">
      <c r="A104" s="827">
        <v>3</v>
      </c>
      <c r="B104" s="827" t="s">
        <v>1358</v>
      </c>
    </row>
    <row r="105" spans="1:2" s="827" customFormat="1" x14ac:dyDescent="0.25">
      <c r="A105" s="827">
        <v>3</v>
      </c>
      <c r="B105" s="827" t="s">
        <v>1359</v>
      </c>
    </row>
    <row r="106" spans="1:2" s="827" customFormat="1" x14ac:dyDescent="0.25">
      <c r="A106" s="827">
        <v>3</v>
      </c>
      <c r="B106" s="827" t="s">
        <v>1360</v>
      </c>
    </row>
    <row r="107" spans="1:2" s="827" customFormat="1" x14ac:dyDescent="0.25">
      <c r="A107" s="827">
        <v>3</v>
      </c>
      <c r="B107" s="827" t="s">
        <v>1361</v>
      </c>
    </row>
    <row r="108" spans="1:2" s="827" customFormat="1" x14ac:dyDescent="0.25">
      <c r="A108" s="827">
        <v>3</v>
      </c>
      <c r="B108" s="827" t="s">
        <v>1362</v>
      </c>
    </row>
    <row r="109" spans="1:2" s="827" customFormat="1" x14ac:dyDescent="0.25">
      <c r="A109" s="827">
        <v>3</v>
      </c>
      <c r="B109" s="827" t="s">
        <v>1363</v>
      </c>
    </row>
    <row r="110" spans="1:2" s="827" customFormat="1" x14ac:dyDescent="0.25">
      <c r="A110" s="827">
        <v>3</v>
      </c>
      <c r="B110" s="827" t="s">
        <v>1364</v>
      </c>
    </row>
    <row r="111" spans="1:2" s="827" customFormat="1" x14ac:dyDescent="0.25">
      <c r="A111" s="827">
        <v>3</v>
      </c>
      <c r="B111" s="827" t="s">
        <v>1365</v>
      </c>
    </row>
    <row r="112" spans="1:2" s="827" customFormat="1" x14ac:dyDescent="0.25">
      <c r="A112" s="827">
        <v>3</v>
      </c>
      <c r="B112" s="827" t="s">
        <v>1366</v>
      </c>
    </row>
    <row r="113" spans="1:2" s="827" customFormat="1" x14ac:dyDescent="0.25">
      <c r="A113" s="827">
        <v>3</v>
      </c>
      <c r="B113" s="827" t="s">
        <v>1367</v>
      </c>
    </row>
    <row r="114" spans="1:2" s="827" customFormat="1" x14ac:dyDescent="0.25">
      <c r="A114" s="827">
        <v>3</v>
      </c>
      <c r="B114" s="827" t="s">
        <v>1676</v>
      </c>
    </row>
    <row r="115" spans="1:2" s="827" customFormat="1" x14ac:dyDescent="0.25">
      <c r="A115" s="827">
        <v>3</v>
      </c>
      <c r="B115" s="827" t="s">
        <v>1368</v>
      </c>
    </row>
    <row r="116" spans="1:2" s="827" customFormat="1" x14ac:dyDescent="0.25">
      <c r="A116" s="827">
        <v>3</v>
      </c>
      <c r="B116" s="827" t="s">
        <v>1369</v>
      </c>
    </row>
    <row r="117" spans="1:2" s="827" customFormat="1" x14ac:dyDescent="0.25">
      <c r="A117" s="827">
        <v>3</v>
      </c>
      <c r="B117" s="827" t="s">
        <v>1370</v>
      </c>
    </row>
    <row r="118" spans="1:2" s="827" customFormat="1" x14ac:dyDescent="0.25">
      <c r="A118" s="827">
        <v>3</v>
      </c>
      <c r="B118" s="827" t="s">
        <v>1371</v>
      </c>
    </row>
    <row r="119" spans="1:2" s="827" customFormat="1" x14ac:dyDescent="0.25">
      <c r="A119" s="827">
        <v>3</v>
      </c>
      <c r="B119" s="827" t="s">
        <v>1372</v>
      </c>
    </row>
    <row r="120" spans="1:2" s="827" customFormat="1" x14ac:dyDescent="0.25">
      <c r="A120" s="827">
        <v>3</v>
      </c>
      <c r="B120" s="827" t="s">
        <v>1373</v>
      </c>
    </row>
    <row r="121" spans="1:2" s="827" customFormat="1" x14ac:dyDescent="0.25">
      <c r="A121" s="827">
        <v>3</v>
      </c>
      <c r="B121" s="827" t="s">
        <v>1374</v>
      </c>
    </row>
    <row r="122" spans="1:2" s="827" customFormat="1" x14ac:dyDescent="0.25">
      <c r="A122" s="827">
        <v>4</v>
      </c>
      <c r="B122" s="827" t="s">
        <v>1375</v>
      </c>
    </row>
    <row r="123" spans="1:2" s="827" customFormat="1" x14ac:dyDescent="0.25">
      <c r="A123" s="827">
        <v>4</v>
      </c>
      <c r="B123" s="827" t="s">
        <v>1376</v>
      </c>
    </row>
    <row r="124" spans="1:2" s="827" customFormat="1" x14ac:dyDescent="0.25">
      <c r="A124" s="827">
        <v>4</v>
      </c>
      <c r="B124" s="827" t="s">
        <v>1377</v>
      </c>
    </row>
    <row r="125" spans="1:2" s="827" customFormat="1" x14ac:dyDescent="0.25">
      <c r="A125" s="827">
        <v>4</v>
      </c>
      <c r="B125" s="827" t="s">
        <v>1378</v>
      </c>
    </row>
    <row r="126" spans="1:2" s="827" customFormat="1" x14ac:dyDescent="0.25">
      <c r="A126" s="827">
        <v>4</v>
      </c>
      <c r="B126" s="827" t="s">
        <v>1379</v>
      </c>
    </row>
    <row r="127" spans="1:2" s="827" customFormat="1" x14ac:dyDescent="0.25">
      <c r="A127" s="827">
        <v>4</v>
      </c>
      <c r="B127" s="827" t="s">
        <v>1380</v>
      </c>
    </row>
    <row r="128" spans="1:2" s="827" customFormat="1" x14ac:dyDescent="0.25">
      <c r="A128" s="827">
        <v>4</v>
      </c>
      <c r="B128" s="827" t="s">
        <v>1381</v>
      </c>
    </row>
    <row r="129" spans="1:2" s="827" customFormat="1" x14ac:dyDescent="0.25">
      <c r="A129" s="827">
        <v>4</v>
      </c>
      <c r="B129" s="827" t="s">
        <v>1382</v>
      </c>
    </row>
    <row r="130" spans="1:2" s="827" customFormat="1" x14ac:dyDescent="0.25">
      <c r="A130" s="827">
        <v>4</v>
      </c>
      <c r="B130" s="827" t="s">
        <v>512</v>
      </c>
    </row>
    <row r="131" spans="1:2" s="827" customFormat="1" x14ac:dyDescent="0.25">
      <c r="A131" s="827">
        <v>4</v>
      </c>
      <c r="B131" s="827" t="s">
        <v>513</v>
      </c>
    </row>
    <row r="132" spans="1:2" s="827" customFormat="1" x14ac:dyDescent="0.25">
      <c r="A132" s="827">
        <v>4</v>
      </c>
      <c r="B132" s="827" t="s">
        <v>514</v>
      </c>
    </row>
    <row r="133" spans="1:2" s="827" customFormat="1" x14ac:dyDescent="0.25">
      <c r="A133" s="827">
        <v>4</v>
      </c>
      <c r="B133" s="827" t="s">
        <v>515</v>
      </c>
    </row>
    <row r="134" spans="1:2" s="827" customFormat="1" x14ac:dyDescent="0.25">
      <c r="A134" s="827">
        <v>4</v>
      </c>
      <c r="B134" s="827" t="s">
        <v>516</v>
      </c>
    </row>
    <row r="135" spans="1:2" s="827" customFormat="1" x14ac:dyDescent="0.25">
      <c r="A135" s="827">
        <v>4</v>
      </c>
      <c r="B135" s="827" t="s">
        <v>517</v>
      </c>
    </row>
    <row r="136" spans="1:2" s="827" customFormat="1" x14ac:dyDescent="0.25">
      <c r="A136" s="827">
        <v>4</v>
      </c>
      <c r="B136" s="827" t="s">
        <v>518</v>
      </c>
    </row>
    <row r="137" spans="1:2" s="827" customFormat="1" x14ac:dyDescent="0.25">
      <c r="A137" s="827">
        <v>4</v>
      </c>
      <c r="B137" s="827" t="s">
        <v>519</v>
      </c>
    </row>
    <row r="138" spans="1:2" s="827" customFormat="1" x14ac:dyDescent="0.25">
      <c r="A138" s="827">
        <v>4</v>
      </c>
      <c r="B138" s="827" t="s">
        <v>520</v>
      </c>
    </row>
    <row r="139" spans="1:2" s="827" customFormat="1" x14ac:dyDescent="0.25">
      <c r="A139" s="827">
        <v>4</v>
      </c>
      <c r="B139" s="827" t="s">
        <v>521</v>
      </c>
    </row>
    <row r="140" spans="1:2" s="827" customFormat="1" x14ac:dyDescent="0.25">
      <c r="A140" s="827">
        <v>4</v>
      </c>
      <c r="B140" s="827" t="s">
        <v>522</v>
      </c>
    </row>
    <row r="141" spans="1:2" s="827" customFormat="1" x14ac:dyDescent="0.25">
      <c r="A141" s="827">
        <v>4</v>
      </c>
      <c r="B141" s="827" t="s">
        <v>523</v>
      </c>
    </row>
    <row r="142" spans="1:2" s="827" customFormat="1" x14ac:dyDescent="0.25">
      <c r="A142" s="827">
        <v>4</v>
      </c>
      <c r="B142" s="827" t="s">
        <v>524</v>
      </c>
    </row>
    <row r="143" spans="1:2" s="827" customFormat="1" x14ac:dyDescent="0.25">
      <c r="A143" s="827">
        <v>4</v>
      </c>
      <c r="B143" s="827" t="s">
        <v>525</v>
      </c>
    </row>
    <row r="144" spans="1:2" s="827" customFormat="1" x14ac:dyDescent="0.25">
      <c r="A144" s="827">
        <v>4</v>
      </c>
      <c r="B144" s="827" t="s">
        <v>526</v>
      </c>
    </row>
    <row r="145" spans="1:2" s="827" customFormat="1" x14ac:dyDescent="0.25">
      <c r="A145" s="827">
        <v>4</v>
      </c>
      <c r="B145" s="827" t="s">
        <v>527</v>
      </c>
    </row>
    <row r="146" spans="1:2" s="827" customFormat="1" x14ac:dyDescent="0.25">
      <c r="A146" s="827">
        <v>4</v>
      </c>
      <c r="B146" s="827" t="s">
        <v>528</v>
      </c>
    </row>
    <row r="147" spans="1:2" s="827" customFormat="1" x14ac:dyDescent="0.25">
      <c r="A147" s="827">
        <v>4</v>
      </c>
      <c r="B147" s="827" t="s">
        <v>529</v>
      </c>
    </row>
    <row r="148" spans="1:2" s="827" customFormat="1" x14ac:dyDescent="0.25">
      <c r="A148" s="827">
        <v>4</v>
      </c>
      <c r="B148" s="827" t="s">
        <v>530</v>
      </c>
    </row>
    <row r="149" spans="1:2" s="827" customFormat="1" x14ac:dyDescent="0.25">
      <c r="A149" s="827">
        <v>4</v>
      </c>
      <c r="B149" s="827" t="s">
        <v>531</v>
      </c>
    </row>
    <row r="150" spans="1:2" s="827" customFormat="1" x14ac:dyDescent="0.25">
      <c r="A150" s="827">
        <v>4</v>
      </c>
      <c r="B150" s="827" t="s">
        <v>532</v>
      </c>
    </row>
    <row r="151" spans="1:2" s="827" customFormat="1" x14ac:dyDescent="0.25">
      <c r="A151" s="827">
        <v>4</v>
      </c>
      <c r="B151" s="827" t="s">
        <v>533</v>
      </c>
    </row>
    <row r="152" spans="1:2" s="827" customFormat="1" x14ac:dyDescent="0.25">
      <c r="A152" s="827">
        <v>4</v>
      </c>
      <c r="B152" s="827" t="s">
        <v>534</v>
      </c>
    </row>
    <row r="153" spans="1:2" s="827" customFormat="1" x14ac:dyDescent="0.25">
      <c r="A153" s="827">
        <v>4</v>
      </c>
      <c r="B153" s="827" t="s">
        <v>535</v>
      </c>
    </row>
    <row r="154" spans="1:2" s="827" customFormat="1" x14ac:dyDescent="0.25">
      <c r="A154" s="827">
        <v>4</v>
      </c>
      <c r="B154" s="827" t="s">
        <v>536</v>
      </c>
    </row>
    <row r="155" spans="1:2" s="827" customFormat="1" x14ac:dyDescent="0.25">
      <c r="A155" s="827">
        <v>4</v>
      </c>
      <c r="B155" s="827" t="s">
        <v>537</v>
      </c>
    </row>
    <row r="156" spans="1:2" s="827" customFormat="1" x14ac:dyDescent="0.25">
      <c r="A156" s="827">
        <v>4</v>
      </c>
      <c r="B156" s="827" t="s">
        <v>1675</v>
      </c>
    </row>
    <row r="157" spans="1:2" s="827" customFormat="1" x14ac:dyDescent="0.25">
      <c r="A157" s="827">
        <v>4</v>
      </c>
      <c r="B157" s="827" t="s">
        <v>538</v>
      </c>
    </row>
    <row r="158" spans="1:2" s="827" customFormat="1" x14ac:dyDescent="0.25">
      <c r="A158" s="827">
        <v>4</v>
      </c>
      <c r="B158" s="827" t="s">
        <v>539</v>
      </c>
    </row>
    <row r="159" spans="1:2" s="827" customFormat="1" x14ac:dyDescent="0.25">
      <c r="A159" s="827">
        <v>4</v>
      </c>
      <c r="B159" s="827" t="s">
        <v>540</v>
      </c>
    </row>
    <row r="160" spans="1:2" s="827" customFormat="1" x14ac:dyDescent="0.25">
      <c r="A160" s="827">
        <v>4</v>
      </c>
      <c r="B160" s="827" t="s">
        <v>541</v>
      </c>
    </row>
    <row r="161" spans="1:2" s="827" customFormat="1" x14ac:dyDescent="0.25">
      <c r="A161" s="827">
        <v>4</v>
      </c>
      <c r="B161" s="827" t="s">
        <v>542</v>
      </c>
    </row>
    <row r="162" spans="1:2" s="827" customFormat="1" x14ac:dyDescent="0.25">
      <c r="A162" s="827">
        <v>4</v>
      </c>
      <c r="B162" s="827" t="s">
        <v>543</v>
      </c>
    </row>
    <row r="163" spans="1:2" s="827" customFormat="1" x14ac:dyDescent="0.25">
      <c r="A163" s="827">
        <v>4</v>
      </c>
      <c r="B163" s="827" t="s">
        <v>544</v>
      </c>
    </row>
    <row r="164" spans="1:2" s="827" customFormat="1" x14ac:dyDescent="0.25">
      <c r="A164" s="827">
        <v>4</v>
      </c>
      <c r="B164" s="827" t="s">
        <v>545</v>
      </c>
    </row>
    <row r="165" spans="1:2" s="827" customFormat="1" x14ac:dyDescent="0.25">
      <c r="A165" s="827">
        <v>4</v>
      </c>
      <c r="B165" s="827" t="s">
        <v>546</v>
      </c>
    </row>
    <row r="166" spans="1:2" s="827" customFormat="1" x14ac:dyDescent="0.25">
      <c r="A166" s="827">
        <v>4</v>
      </c>
      <c r="B166" s="827" t="s">
        <v>547</v>
      </c>
    </row>
    <row r="167" spans="1:2" s="827" customFormat="1" x14ac:dyDescent="0.25">
      <c r="A167" s="827">
        <v>4</v>
      </c>
      <c r="B167" s="827" t="s">
        <v>548</v>
      </c>
    </row>
    <row r="168" spans="1:2" s="827" customFormat="1" x14ac:dyDescent="0.25">
      <c r="A168" s="827">
        <v>4</v>
      </c>
      <c r="B168" s="827" t="s">
        <v>549</v>
      </c>
    </row>
    <row r="169" spans="1:2" s="827" customFormat="1" x14ac:dyDescent="0.25">
      <c r="A169" s="827">
        <v>4</v>
      </c>
      <c r="B169" s="827" t="s">
        <v>550</v>
      </c>
    </row>
    <row r="170" spans="1:2" s="827" customFormat="1" x14ac:dyDescent="0.25">
      <c r="A170" s="827">
        <v>4</v>
      </c>
      <c r="B170" s="827" t="s">
        <v>551</v>
      </c>
    </row>
    <row r="171" spans="1:2" s="827" customFormat="1" x14ac:dyDescent="0.25">
      <c r="A171" s="827">
        <v>4</v>
      </c>
      <c r="B171" s="827" t="s">
        <v>552</v>
      </c>
    </row>
    <row r="172" spans="1:2" s="827" customFormat="1" x14ac:dyDescent="0.25">
      <c r="A172" s="827">
        <v>4</v>
      </c>
      <c r="B172" s="827" t="s">
        <v>553</v>
      </c>
    </row>
    <row r="173" spans="1:2" s="827" customFormat="1" x14ac:dyDescent="0.25">
      <c r="A173" s="827">
        <v>4</v>
      </c>
      <c r="B173" s="827" t="s">
        <v>554</v>
      </c>
    </row>
    <row r="174" spans="1:2" s="827" customFormat="1" x14ac:dyDescent="0.25">
      <c r="A174" s="827">
        <v>4</v>
      </c>
      <c r="B174" s="827" t="s">
        <v>555</v>
      </c>
    </row>
    <row r="175" spans="1:2" s="827" customFormat="1" x14ac:dyDescent="0.25">
      <c r="A175" s="827">
        <v>4</v>
      </c>
      <c r="B175" s="827" t="s">
        <v>556</v>
      </c>
    </row>
    <row r="176" spans="1:2" s="827" customFormat="1" x14ac:dyDescent="0.25">
      <c r="A176" s="827">
        <v>4</v>
      </c>
      <c r="B176" s="827" t="s">
        <v>557</v>
      </c>
    </row>
    <row r="177" spans="1:2" s="827" customFormat="1" x14ac:dyDescent="0.25">
      <c r="A177" s="827">
        <v>4</v>
      </c>
      <c r="B177" s="827" t="s">
        <v>558</v>
      </c>
    </row>
    <row r="178" spans="1:2" s="827" customFormat="1" x14ac:dyDescent="0.25">
      <c r="A178" s="827">
        <v>4</v>
      </c>
      <c r="B178" s="827" t="s">
        <v>559</v>
      </c>
    </row>
    <row r="179" spans="1:2" s="827" customFormat="1" x14ac:dyDescent="0.25">
      <c r="A179" s="827">
        <v>4</v>
      </c>
      <c r="B179" s="827" t="s">
        <v>560</v>
      </c>
    </row>
    <row r="180" spans="1:2" s="827" customFormat="1" x14ac:dyDescent="0.25">
      <c r="A180" s="827">
        <v>4</v>
      </c>
      <c r="B180" s="827" t="s">
        <v>561</v>
      </c>
    </row>
    <row r="181" spans="1:2" s="827" customFormat="1" x14ac:dyDescent="0.25">
      <c r="A181" s="827">
        <v>4</v>
      </c>
      <c r="B181" s="827" t="s">
        <v>562</v>
      </c>
    </row>
    <row r="182" spans="1:2" s="827" customFormat="1" x14ac:dyDescent="0.25">
      <c r="A182" s="827">
        <v>4</v>
      </c>
      <c r="B182" s="827" t="s">
        <v>563</v>
      </c>
    </row>
    <row r="183" spans="1:2" s="827" customFormat="1" x14ac:dyDescent="0.25">
      <c r="A183" s="827">
        <v>4</v>
      </c>
      <c r="B183" s="827" t="s">
        <v>564</v>
      </c>
    </row>
    <row r="184" spans="1:2" s="827" customFormat="1" x14ac:dyDescent="0.25">
      <c r="A184" s="827">
        <v>4</v>
      </c>
      <c r="B184" s="827" t="s">
        <v>565</v>
      </c>
    </row>
    <row r="185" spans="1:2" s="827" customFormat="1" x14ac:dyDescent="0.25">
      <c r="A185" s="827">
        <v>4</v>
      </c>
      <c r="B185" s="827" t="s">
        <v>566</v>
      </c>
    </row>
    <row r="186" spans="1:2" s="827" customFormat="1" x14ac:dyDescent="0.25">
      <c r="A186" s="827">
        <v>4</v>
      </c>
      <c r="B186" s="827" t="s">
        <v>567</v>
      </c>
    </row>
    <row r="187" spans="1:2" s="827" customFormat="1" x14ac:dyDescent="0.25">
      <c r="A187" s="827">
        <v>4</v>
      </c>
      <c r="B187" s="827" t="s">
        <v>568</v>
      </c>
    </row>
    <row r="188" spans="1:2" s="827" customFormat="1" x14ac:dyDescent="0.25">
      <c r="A188" s="827">
        <v>4</v>
      </c>
      <c r="B188" s="827" t="s">
        <v>569</v>
      </c>
    </row>
    <row r="189" spans="1:2" s="827" customFormat="1" x14ac:dyDescent="0.25">
      <c r="A189" s="827">
        <v>4</v>
      </c>
      <c r="B189" s="827" t="s">
        <v>570</v>
      </c>
    </row>
    <row r="190" spans="1:2" s="827" customFormat="1" x14ac:dyDescent="0.25">
      <c r="A190" s="827">
        <v>4</v>
      </c>
      <c r="B190" s="827" t="s">
        <v>571</v>
      </c>
    </row>
    <row r="191" spans="1:2" s="827" customFormat="1" x14ac:dyDescent="0.25">
      <c r="A191" s="827">
        <v>4</v>
      </c>
      <c r="B191" s="827" t="s">
        <v>572</v>
      </c>
    </row>
    <row r="192" spans="1:2" s="827" customFormat="1" x14ac:dyDescent="0.25">
      <c r="A192" s="827">
        <v>4</v>
      </c>
      <c r="B192" s="827" t="s">
        <v>573</v>
      </c>
    </row>
    <row r="193" spans="1:2" s="827" customFormat="1" x14ac:dyDescent="0.25">
      <c r="A193" s="827">
        <v>4</v>
      </c>
      <c r="B193" s="827" t="s">
        <v>574</v>
      </c>
    </row>
    <row r="194" spans="1:2" s="827" customFormat="1" x14ac:dyDescent="0.25">
      <c r="A194" s="827">
        <v>4</v>
      </c>
      <c r="B194" s="827" t="s">
        <v>575</v>
      </c>
    </row>
    <row r="195" spans="1:2" s="827" customFormat="1" x14ac:dyDescent="0.25">
      <c r="A195" s="827">
        <v>4</v>
      </c>
      <c r="B195" s="827" t="s">
        <v>576</v>
      </c>
    </row>
    <row r="196" spans="1:2" s="827" customFormat="1" x14ac:dyDescent="0.25">
      <c r="A196" s="827">
        <v>4</v>
      </c>
      <c r="B196" s="827" t="s">
        <v>577</v>
      </c>
    </row>
    <row r="197" spans="1:2" s="827" customFormat="1" x14ac:dyDescent="0.25">
      <c r="A197" s="827">
        <v>4</v>
      </c>
      <c r="B197" s="827" t="s">
        <v>578</v>
      </c>
    </row>
    <row r="198" spans="1:2" s="827" customFormat="1" x14ac:dyDescent="0.25">
      <c r="A198" s="827">
        <v>4</v>
      </c>
      <c r="B198" s="827" t="s">
        <v>579</v>
      </c>
    </row>
    <row r="199" spans="1:2" s="827" customFormat="1" x14ac:dyDescent="0.25">
      <c r="A199" s="827">
        <v>4</v>
      </c>
      <c r="B199" s="827" t="s">
        <v>580</v>
      </c>
    </row>
    <row r="200" spans="1:2" s="827" customFormat="1" x14ac:dyDescent="0.25">
      <c r="A200" s="827">
        <v>4</v>
      </c>
      <c r="B200" s="827" t="s">
        <v>581</v>
      </c>
    </row>
    <row r="201" spans="1:2" s="827" customFormat="1" x14ac:dyDescent="0.25">
      <c r="A201" s="827">
        <v>4</v>
      </c>
      <c r="B201" s="827" t="s">
        <v>582</v>
      </c>
    </row>
    <row r="202" spans="1:2" s="827" customFormat="1" x14ac:dyDescent="0.25">
      <c r="A202" s="827">
        <v>4</v>
      </c>
      <c r="B202" s="827" t="s">
        <v>583</v>
      </c>
    </row>
    <row r="203" spans="1:2" s="827" customFormat="1" x14ac:dyDescent="0.25">
      <c r="A203" s="827">
        <v>4</v>
      </c>
      <c r="B203" s="827" t="s">
        <v>584</v>
      </c>
    </row>
    <row r="204" spans="1:2" s="827" customFormat="1" x14ac:dyDescent="0.25">
      <c r="A204" s="827">
        <v>4</v>
      </c>
      <c r="B204" s="827" t="s">
        <v>585</v>
      </c>
    </row>
    <row r="205" spans="1:2" s="827" customFormat="1" x14ac:dyDescent="0.25">
      <c r="A205" s="827">
        <v>4</v>
      </c>
      <c r="B205" s="827" t="s">
        <v>586</v>
      </c>
    </row>
    <row r="206" spans="1:2" s="827" customFormat="1" x14ac:dyDescent="0.25">
      <c r="A206" s="827">
        <v>4</v>
      </c>
      <c r="B206" s="827" t="s">
        <v>587</v>
      </c>
    </row>
    <row r="207" spans="1:2" s="827" customFormat="1" x14ac:dyDescent="0.25">
      <c r="A207" s="827">
        <v>4</v>
      </c>
      <c r="B207" s="827" t="s">
        <v>588</v>
      </c>
    </row>
    <row r="208" spans="1:2" s="827" customFormat="1" x14ac:dyDescent="0.25">
      <c r="A208" s="827">
        <v>4</v>
      </c>
      <c r="B208" s="827" t="s">
        <v>589</v>
      </c>
    </row>
    <row r="209" spans="1:2" s="827" customFormat="1" x14ac:dyDescent="0.25">
      <c r="A209" s="827">
        <v>4</v>
      </c>
      <c r="B209" s="827" t="s">
        <v>590</v>
      </c>
    </row>
    <row r="210" spans="1:2" s="827" customFormat="1" x14ac:dyDescent="0.25">
      <c r="A210" s="827">
        <v>4</v>
      </c>
      <c r="B210" s="827" t="s">
        <v>591</v>
      </c>
    </row>
    <row r="211" spans="1:2" s="827" customFormat="1" x14ac:dyDescent="0.25">
      <c r="A211" s="827">
        <v>4</v>
      </c>
      <c r="B211" s="827" t="s">
        <v>592</v>
      </c>
    </row>
    <row r="212" spans="1:2" s="827" customFormat="1" x14ac:dyDescent="0.25">
      <c r="A212" s="827">
        <v>4</v>
      </c>
      <c r="B212" s="827" t="s">
        <v>593</v>
      </c>
    </row>
    <row r="213" spans="1:2" s="827" customFormat="1" x14ac:dyDescent="0.25">
      <c r="A213" s="827">
        <v>4</v>
      </c>
      <c r="B213" s="827" t="s">
        <v>594</v>
      </c>
    </row>
    <row r="214" spans="1:2" s="827" customFormat="1" x14ac:dyDescent="0.25">
      <c r="A214" s="827">
        <v>4</v>
      </c>
      <c r="B214" s="827" t="s">
        <v>595</v>
      </c>
    </row>
    <row r="215" spans="1:2" s="827" customFormat="1" x14ac:dyDescent="0.25">
      <c r="A215" s="827">
        <v>4</v>
      </c>
      <c r="B215" s="827" t="s">
        <v>1669</v>
      </c>
    </row>
    <row r="216" spans="1:2" s="827" customFormat="1" x14ac:dyDescent="0.25">
      <c r="A216" s="827">
        <v>4</v>
      </c>
      <c r="B216" s="827" t="s">
        <v>596</v>
      </c>
    </row>
    <row r="217" spans="1:2" s="827" customFormat="1" x14ac:dyDescent="0.25">
      <c r="A217" s="827">
        <v>4</v>
      </c>
      <c r="B217" s="827" t="s">
        <v>597</v>
      </c>
    </row>
    <row r="218" spans="1:2" s="827" customFormat="1" x14ac:dyDescent="0.25">
      <c r="A218" s="827">
        <v>4</v>
      </c>
      <c r="B218" s="827" t="s">
        <v>598</v>
      </c>
    </row>
    <row r="219" spans="1:2" s="827" customFormat="1" x14ac:dyDescent="0.25">
      <c r="A219" s="827">
        <v>4</v>
      </c>
      <c r="B219" s="827" t="s">
        <v>599</v>
      </c>
    </row>
    <row r="220" spans="1:2" s="827" customFormat="1" x14ac:dyDescent="0.25">
      <c r="A220" s="827">
        <v>4</v>
      </c>
      <c r="B220" s="827" t="s">
        <v>600</v>
      </c>
    </row>
    <row r="221" spans="1:2" s="827" customFormat="1" x14ac:dyDescent="0.25">
      <c r="A221" s="827">
        <v>4</v>
      </c>
      <c r="B221" s="827" t="s">
        <v>601</v>
      </c>
    </row>
    <row r="222" spans="1:2" s="827" customFormat="1" x14ac:dyDescent="0.25">
      <c r="A222" s="827">
        <v>4</v>
      </c>
      <c r="B222" s="827" t="s">
        <v>602</v>
      </c>
    </row>
    <row r="223" spans="1:2" s="827" customFormat="1" x14ac:dyDescent="0.25">
      <c r="A223" s="827">
        <v>4</v>
      </c>
      <c r="B223" s="827" t="s">
        <v>603</v>
      </c>
    </row>
    <row r="224" spans="1:2" s="827" customFormat="1" x14ac:dyDescent="0.25">
      <c r="A224" s="827">
        <v>4</v>
      </c>
      <c r="B224" s="827" t="s">
        <v>604</v>
      </c>
    </row>
    <row r="225" spans="1:2" s="827" customFormat="1" x14ac:dyDescent="0.25">
      <c r="A225" s="827">
        <v>4</v>
      </c>
      <c r="B225" s="827" t="s">
        <v>605</v>
      </c>
    </row>
    <row r="226" spans="1:2" s="827" customFormat="1" x14ac:dyDescent="0.25">
      <c r="A226" s="827">
        <v>4</v>
      </c>
      <c r="B226" s="827" t="s">
        <v>606</v>
      </c>
    </row>
    <row r="227" spans="1:2" s="827" customFormat="1" x14ac:dyDescent="0.25">
      <c r="A227" s="827">
        <v>4</v>
      </c>
      <c r="B227" s="827" t="s">
        <v>607</v>
      </c>
    </row>
    <row r="228" spans="1:2" s="827" customFormat="1" x14ac:dyDescent="0.25">
      <c r="A228" s="827">
        <v>4</v>
      </c>
      <c r="B228" s="827" t="s">
        <v>1458</v>
      </c>
    </row>
    <row r="229" spans="1:2" s="827" customFormat="1" x14ac:dyDescent="0.25">
      <c r="A229" s="827">
        <v>4</v>
      </c>
      <c r="B229" s="827" t="s">
        <v>1459</v>
      </c>
    </row>
    <row r="230" spans="1:2" s="827" customFormat="1" x14ac:dyDescent="0.25">
      <c r="A230" s="827">
        <v>4</v>
      </c>
      <c r="B230" s="827" t="s">
        <v>1460</v>
      </c>
    </row>
    <row r="231" spans="1:2" s="827" customFormat="1" x14ac:dyDescent="0.25">
      <c r="A231" s="827">
        <v>4</v>
      </c>
      <c r="B231" s="827" t="s">
        <v>1461</v>
      </c>
    </row>
    <row r="232" spans="1:2" s="827" customFormat="1" x14ac:dyDescent="0.25">
      <c r="A232" s="827">
        <v>4</v>
      </c>
      <c r="B232" s="827" t="s">
        <v>1462</v>
      </c>
    </row>
    <row r="233" spans="1:2" s="827" customFormat="1" x14ac:dyDescent="0.25">
      <c r="A233" s="827">
        <v>4</v>
      </c>
      <c r="B233" s="827" t="s">
        <v>1463</v>
      </c>
    </row>
    <row r="234" spans="1:2" s="827" customFormat="1" x14ac:dyDescent="0.25">
      <c r="A234" s="827">
        <v>4</v>
      </c>
      <c r="B234" s="827" t="s">
        <v>1464</v>
      </c>
    </row>
    <row r="235" spans="1:2" s="827" customFormat="1" x14ac:dyDescent="0.25">
      <c r="A235" s="827">
        <v>4</v>
      </c>
      <c r="B235" s="827" t="s">
        <v>1465</v>
      </c>
    </row>
    <row r="236" spans="1:2" s="827" customFormat="1" x14ac:dyDescent="0.25">
      <c r="A236" s="827">
        <v>4</v>
      </c>
      <c r="B236" s="827" t="s">
        <v>1466</v>
      </c>
    </row>
    <row r="237" spans="1:2" s="827" customFormat="1" x14ac:dyDescent="0.25">
      <c r="A237" s="827">
        <v>4</v>
      </c>
      <c r="B237" s="827" t="s">
        <v>1467</v>
      </c>
    </row>
    <row r="238" spans="1:2" s="827" customFormat="1" x14ac:dyDescent="0.25">
      <c r="A238" s="827">
        <v>4</v>
      </c>
      <c r="B238" s="827" t="s">
        <v>1468</v>
      </c>
    </row>
    <row r="239" spans="1:2" s="827" customFormat="1" x14ac:dyDescent="0.25">
      <c r="A239" s="827">
        <v>4</v>
      </c>
      <c r="B239" s="827" t="s">
        <v>1469</v>
      </c>
    </row>
    <row r="240" spans="1:2" s="827" customFormat="1" x14ac:dyDescent="0.25">
      <c r="A240" s="827">
        <v>4</v>
      </c>
      <c r="B240" s="827" t="s">
        <v>1470</v>
      </c>
    </row>
    <row r="241" spans="1:2" s="827" customFormat="1" x14ac:dyDescent="0.25">
      <c r="A241" s="827">
        <v>4</v>
      </c>
      <c r="B241" s="827" t="s">
        <v>1471</v>
      </c>
    </row>
    <row r="242" spans="1:2" s="827" customFormat="1" x14ac:dyDescent="0.25">
      <c r="A242" s="827">
        <v>4</v>
      </c>
      <c r="B242" s="827" t="s">
        <v>1472</v>
      </c>
    </row>
    <row r="243" spans="1:2" s="827" customFormat="1" x14ac:dyDescent="0.25">
      <c r="A243" s="827">
        <v>4</v>
      </c>
      <c r="B243" s="827" t="s">
        <v>1473</v>
      </c>
    </row>
    <row r="244" spans="1:2" s="827" customFormat="1" x14ac:dyDescent="0.25">
      <c r="A244" s="827">
        <v>4</v>
      </c>
      <c r="B244" s="827" t="s">
        <v>1474</v>
      </c>
    </row>
    <row r="245" spans="1:2" s="827" customFormat="1" x14ac:dyDescent="0.25">
      <c r="A245" s="827">
        <v>4</v>
      </c>
      <c r="B245" s="827" t="s">
        <v>1475</v>
      </c>
    </row>
    <row r="246" spans="1:2" s="827" customFormat="1" x14ac:dyDescent="0.25">
      <c r="A246" s="827">
        <v>4</v>
      </c>
      <c r="B246" s="827" t="s">
        <v>1476</v>
      </c>
    </row>
    <row r="247" spans="1:2" s="827" customFormat="1" x14ac:dyDescent="0.25">
      <c r="A247" s="827">
        <v>4</v>
      </c>
      <c r="B247" s="827" t="s">
        <v>1477</v>
      </c>
    </row>
    <row r="248" spans="1:2" s="827" customFormat="1" x14ac:dyDescent="0.25">
      <c r="A248" s="827">
        <v>4</v>
      </c>
      <c r="B248" s="827" t="s">
        <v>1478</v>
      </c>
    </row>
    <row r="249" spans="1:2" s="827" customFormat="1" x14ac:dyDescent="0.25">
      <c r="A249" s="827">
        <v>4</v>
      </c>
      <c r="B249" s="827" t="s">
        <v>1479</v>
      </c>
    </row>
    <row r="250" spans="1:2" s="827" customFormat="1" x14ac:dyDescent="0.25">
      <c r="A250" s="827">
        <v>4</v>
      </c>
      <c r="B250" s="827" t="s">
        <v>1480</v>
      </c>
    </row>
    <row r="251" spans="1:2" s="827" customFormat="1" x14ac:dyDescent="0.25">
      <c r="A251" s="827">
        <v>4</v>
      </c>
      <c r="B251" s="827" t="s">
        <v>1481</v>
      </c>
    </row>
    <row r="252" spans="1:2" s="827" customFormat="1" x14ac:dyDescent="0.25">
      <c r="A252" s="827">
        <v>4</v>
      </c>
      <c r="B252" s="827" t="s">
        <v>1482</v>
      </c>
    </row>
    <row r="253" spans="1:2" s="827" customFormat="1" x14ac:dyDescent="0.25">
      <c r="A253" s="827">
        <v>4</v>
      </c>
      <c r="B253" s="827" t="s">
        <v>1483</v>
      </c>
    </row>
    <row r="254" spans="1:2" s="827" customFormat="1" x14ac:dyDescent="0.25">
      <c r="A254" s="827">
        <v>4</v>
      </c>
      <c r="B254" s="827" t="s">
        <v>1484</v>
      </c>
    </row>
    <row r="255" spans="1:2" s="827" customFormat="1" x14ac:dyDescent="0.25">
      <c r="A255" s="827">
        <v>4</v>
      </c>
      <c r="B255" s="827" t="s">
        <v>1485</v>
      </c>
    </row>
    <row r="256" spans="1:2" s="827" customFormat="1" x14ac:dyDescent="0.25">
      <c r="A256" s="827">
        <v>4</v>
      </c>
      <c r="B256" s="827" t="s">
        <v>1486</v>
      </c>
    </row>
    <row r="257" spans="1:2" s="827" customFormat="1" x14ac:dyDescent="0.25">
      <c r="A257" s="827">
        <v>4</v>
      </c>
      <c r="B257" s="827" t="s">
        <v>1487</v>
      </c>
    </row>
    <row r="258" spans="1:2" s="827" customFormat="1" x14ac:dyDescent="0.25">
      <c r="A258" s="827">
        <v>4</v>
      </c>
      <c r="B258" s="827" t="s">
        <v>1674</v>
      </c>
    </row>
    <row r="259" spans="1:2" s="827" customFormat="1" x14ac:dyDescent="0.25">
      <c r="A259" s="827">
        <v>4</v>
      </c>
      <c r="B259" s="827" t="s">
        <v>1488</v>
      </c>
    </row>
    <row r="260" spans="1:2" s="827" customFormat="1" x14ac:dyDescent="0.25">
      <c r="A260" s="827">
        <v>4</v>
      </c>
      <c r="B260" s="827" t="s">
        <v>1489</v>
      </c>
    </row>
    <row r="261" spans="1:2" s="827" customFormat="1" x14ac:dyDescent="0.25">
      <c r="A261" s="827">
        <v>4</v>
      </c>
      <c r="B261" s="827" t="s">
        <v>1490</v>
      </c>
    </row>
    <row r="262" spans="1:2" s="827" customFormat="1" x14ac:dyDescent="0.25">
      <c r="A262" s="827">
        <v>4</v>
      </c>
      <c r="B262" s="827" t="s">
        <v>1491</v>
      </c>
    </row>
    <row r="263" spans="1:2" s="827" customFormat="1" x14ac:dyDescent="0.25">
      <c r="A263" s="827">
        <v>4</v>
      </c>
      <c r="B263" s="827" t="s">
        <v>1492</v>
      </c>
    </row>
    <row r="264" spans="1:2" s="827" customFormat="1" x14ac:dyDescent="0.25">
      <c r="A264" s="827">
        <v>4</v>
      </c>
      <c r="B264" s="827" t="s">
        <v>1493</v>
      </c>
    </row>
    <row r="265" spans="1:2" s="827" customFormat="1" x14ac:dyDescent="0.25">
      <c r="A265" s="827">
        <v>4</v>
      </c>
      <c r="B265" s="827" t="s">
        <v>1494</v>
      </c>
    </row>
    <row r="266" spans="1:2" s="827" customFormat="1" x14ac:dyDescent="0.25">
      <c r="A266" s="827">
        <v>4</v>
      </c>
      <c r="B266" s="827" t="s">
        <v>1495</v>
      </c>
    </row>
    <row r="267" spans="1:2" s="827" customFormat="1" x14ac:dyDescent="0.25">
      <c r="A267" s="827">
        <v>4</v>
      </c>
      <c r="B267" s="827" t="s">
        <v>1671</v>
      </c>
    </row>
    <row r="268" spans="1:2" s="827" customFormat="1" x14ac:dyDescent="0.25">
      <c r="A268" s="827">
        <v>4</v>
      </c>
      <c r="B268" s="827" t="s">
        <v>1496</v>
      </c>
    </row>
    <row r="269" spans="1:2" s="827" customFormat="1" x14ac:dyDescent="0.25">
      <c r="A269" s="827">
        <v>4</v>
      </c>
      <c r="B269" s="827" t="s">
        <v>1497</v>
      </c>
    </row>
    <row r="270" spans="1:2" s="827" customFormat="1" x14ac:dyDescent="0.25">
      <c r="A270" s="827">
        <v>4</v>
      </c>
      <c r="B270" s="827" t="s">
        <v>1498</v>
      </c>
    </row>
    <row r="271" spans="1:2" s="827" customFormat="1" x14ac:dyDescent="0.25">
      <c r="A271" s="827">
        <v>4</v>
      </c>
      <c r="B271" s="827" t="s">
        <v>1499</v>
      </c>
    </row>
    <row r="272" spans="1:2" s="827" customFormat="1" x14ac:dyDescent="0.25">
      <c r="A272" s="827">
        <v>4</v>
      </c>
      <c r="B272" s="827" t="s">
        <v>1500</v>
      </c>
    </row>
    <row r="273" spans="1:2" s="827" customFormat="1" x14ac:dyDescent="0.25">
      <c r="A273" s="827">
        <v>4</v>
      </c>
      <c r="B273" s="827" t="s">
        <v>1501</v>
      </c>
    </row>
    <row r="274" spans="1:2" s="827" customFormat="1" x14ac:dyDescent="0.25">
      <c r="A274" s="827">
        <v>4</v>
      </c>
      <c r="B274" s="827" t="s">
        <v>1502</v>
      </c>
    </row>
    <row r="275" spans="1:2" s="827" customFormat="1" x14ac:dyDescent="0.25">
      <c r="A275" s="827">
        <v>4</v>
      </c>
      <c r="B275" s="827" t="s">
        <v>1503</v>
      </c>
    </row>
    <row r="276" spans="1:2" s="827" customFormat="1" x14ac:dyDescent="0.25">
      <c r="A276" s="827">
        <v>4</v>
      </c>
      <c r="B276" s="827" t="s">
        <v>1504</v>
      </c>
    </row>
    <row r="277" spans="1:2" s="827" customFormat="1" x14ac:dyDescent="0.25">
      <c r="A277" s="827">
        <v>4</v>
      </c>
      <c r="B277" s="827" t="s">
        <v>1505</v>
      </c>
    </row>
    <row r="278" spans="1:2" s="827" customFormat="1" x14ac:dyDescent="0.25">
      <c r="A278" s="827">
        <v>4</v>
      </c>
      <c r="B278" s="827" t="s">
        <v>1506</v>
      </c>
    </row>
    <row r="279" spans="1:2" s="827" customFormat="1" x14ac:dyDescent="0.25">
      <c r="A279" s="827">
        <v>4</v>
      </c>
      <c r="B279" s="827" t="s">
        <v>1507</v>
      </c>
    </row>
    <row r="280" spans="1:2" s="827" customFormat="1" x14ac:dyDescent="0.25">
      <c r="A280" s="827">
        <v>4</v>
      </c>
      <c r="B280" s="827" t="s">
        <v>1508</v>
      </c>
    </row>
    <row r="281" spans="1:2" s="827" customFormat="1" x14ac:dyDescent="0.25">
      <c r="A281" s="827">
        <v>4</v>
      </c>
      <c r="B281" s="827" t="s">
        <v>1509</v>
      </c>
    </row>
    <row r="282" spans="1:2" s="827" customFormat="1" x14ac:dyDescent="0.25">
      <c r="A282" s="827">
        <v>4</v>
      </c>
      <c r="B282" s="827" t="s">
        <v>1510</v>
      </c>
    </row>
    <row r="283" spans="1:2" s="827" customFormat="1" x14ac:dyDescent="0.25">
      <c r="A283" s="827">
        <v>4</v>
      </c>
      <c r="B283" s="827" t="s">
        <v>1511</v>
      </c>
    </row>
    <row r="284" spans="1:2" s="827" customFormat="1" x14ac:dyDescent="0.25">
      <c r="A284" s="827">
        <v>4</v>
      </c>
      <c r="B284" s="827" t="s">
        <v>1512</v>
      </c>
    </row>
    <row r="285" spans="1:2" s="827" customFormat="1" x14ac:dyDescent="0.25">
      <c r="A285" s="827">
        <v>4</v>
      </c>
      <c r="B285" s="827" t="s">
        <v>1513</v>
      </c>
    </row>
    <row r="286" spans="1:2" s="827" customFormat="1" x14ac:dyDescent="0.25">
      <c r="A286" s="827">
        <v>4</v>
      </c>
      <c r="B286" s="827" t="s">
        <v>1514</v>
      </c>
    </row>
    <row r="287" spans="1:2" s="827" customFormat="1" x14ac:dyDescent="0.25">
      <c r="A287" s="827">
        <v>4</v>
      </c>
      <c r="B287" s="827" t="s">
        <v>1515</v>
      </c>
    </row>
    <row r="288" spans="1:2" s="827" customFormat="1" x14ac:dyDescent="0.25">
      <c r="A288" s="827">
        <v>4</v>
      </c>
      <c r="B288" s="827" t="s">
        <v>1516</v>
      </c>
    </row>
    <row r="289" spans="1:2" s="827" customFormat="1" x14ac:dyDescent="0.25">
      <c r="A289" s="827">
        <v>4</v>
      </c>
      <c r="B289" s="827" t="s">
        <v>1517</v>
      </c>
    </row>
    <row r="290" spans="1:2" s="827" customFormat="1" x14ac:dyDescent="0.25">
      <c r="A290" s="827">
        <v>4</v>
      </c>
      <c r="B290" s="827" t="s">
        <v>1518</v>
      </c>
    </row>
    <row r="291" spans="1:2" s="827" customFormat="1" x14ac:dyDescent="0.25">
      <c r="A291" s="827">
        <v>4</v>
      </c>
      <c r="B291" s="827" t="s">
        <v>1670</v>
      </c>
    </row>
    <row r="292" spans="1:2" s="827" customFormat="1" x14ac:dyDescent="0.25">
      <c r="A292" s="827">
        <v>4</v>
      </c>
      <c r="B292" s="827" t="s">
        <v>1519</v>
      </c>
    </row>
    <row r="293" spans="1:2" s="827" customFormat="1" x14ac:dyDescent="0.25">
      <c r="A293" s="827">
        <v>4</v>
      </c>
      <c r="B293" s="827" t="s">
        <v>1520</v>
      </c>
    </row>
    <row r="294" spans="1:2" s="827" customFormat="1" x14ac:dyDescent="0.25">
      <c r="A294" s="827">
        <v>4</v>
      </c>
      <c r="B294" s="827" t="s">
        <v>1521</v>
      </c>
    </row>
    <row r="295" spans="1:2" s="827" customFormat="1" x14ac:dyDescent="0.25">
      <c r="A295" s="827">
        <v>4</v>
      </c>
      <c r="B295" s="827" t="s">
        <v>1522</v>
      </c>
    </row>
    <row r="296" spans="1:2" s="827" customFormat="1" x14ac:dyDescent="0.25">
      <c r="A296" s="827">
        <v>4</v>
      </c>
      <c r="B296" s="827" t="s">
        <v>1523</v>
      </c>
    </row>
    <row r="297" spans="1:2" s="827" customFormat="1" x14ac:dyDescent="0.25">
      <c r="A297" s="827">
        <v>4</v>
      </c>
      <c r="B297" s="827" t="s">
        <v>1524</v>
      </c>
    </row>
    <row r="298" spans="1:2" s="827" customFormat="1" x14ac:dyDescent="0.25">
      <c r="A298" s="827">
        <v>4</v>
      </c>
      <c r="B298" s="827" t="s">
        <v>1525</v>
      </c>
    </row>
    <row r="299" spans="1:2" s="827" customFormat="1" x14ac:dyDescent="0.25">
      <c r="A299" s="827">
        <v>4</v>
      </c>
      <c r="B299" s="827" t="s">
        <v>1526</v>
      </c>
    </row>
    <row r="300" spans="1:2" s="827" customFormat="1" x14ac:dyDescent="0.25">
      <c r="A300" s="827">
        <v>4</v>
      </c>
      <c r="B300" s="827" t="s">
        <v>1527</v>
      </c>
    </row>
    <row r="301" spans="1:2" s="827" customFormat="1" x14ac:dyDescent="0.25">
      <c r="A301" s="827">
        <v>4</v>
      </c>
      <c r="B301" s="827" t="s">
        <v>1528</v>
      </c>
    </row>
    <row r="302" spans="1:2" s="827" customFormat="1" x14ac:dyDescent="0.25">
      <c r="A302" s="827">
        <v>4</v>
      </c>
      <c r="B302" s="827" t="s">
        <v>1529</v>
      </c>
    </row>
    <row r="303" spans="1:2" s="827" customFormat="1" x14ac:dyDescent="0.25">
      <c r="A303" s="827">
        <v>4</v>
      </c>
      <c r="B303" s="827" t="s">
        <v>1530</v>
      </c>
    </row>
    <row r="304" spans="1:2" s="827" customFormat="1" x14ac:dyDescent="0.25">
      <c r="A304" s="827">
        <v>4</v>
      </c>
      <c r="B304" s="827" t="s">
        <v>1531</v>
      </c>
    </row>
    <row r="305" spans="1:2" s="827" customFormat="1" x14ac:dyDescent="0.25">
      <c r="A305" s="827">
        <v>4</v>
      </c>
      <c r="B305" s="827" t="s">
        <v>1532</v>
      </c>
    </row>
    <row r="306" spans="1:2" s="827" customFormat="1" x14ac:dyDescent="0.25">
      <c r="A306" s="827">
        <v>4</v>
      </c>
      <c r="B306" s="827" t="s">
        <v>1533</v>
      </c>
    </row>
    <row r="307" spans="1:2" s="827" customFormat="1" x14ac:dyDescent="0.25">
      <c r="A307" s="827">
        <v>4</v>
      </c>
      <c r="B307" s="827" t="s">
        <v>1534</v>
      </c>
    </row>
    <row r="308" spans="1:2" s="827" customFormat="1" x14ac:dyDescent="0.25">
      <c r="A308" s="827">
        <v>4</v>
      </c>
      <c r="B308" s="827" t="s">
        <v>1535</v>
      </c>
    </row>
    <row r="309" spans="1:2" s="827" customFormat="1" x14ac:dyDescent="0.25">
      <c r="A309" s="827">
        <v>4</v>
      </c>
      <c r="B309" s="827" t="s">
        <v>1536</v>
      </c>
    </row>
    <row r="310" spans="1:2" s="827" customFormat="1" x14ac:dyDescent="0.25">
      <c r="A310" s="827">
        <v>4</v>
      </c>
      <c r="B310" s="827" t="s">
        <v>1537</v>
      </c>
    </row>
    <row r="311" spans="1:2" s="827" customFormat="1" x14ac:dyDescent="0.25">
      <c r="A311" s="827">
        <v>4</v>
      </c>
      <c r="B311" s="827" t="s">
        <v>1538</v>
      </c>
    </row>
    <row r="312" spans="1:2" s="827" customFormat="1" x14ac:dyDescent="0.25">
      <c r="A312" s="827">
        <v>4</v>
      </c>
      <c r="B312" s="827" t="s">
        <v>1539</v>
      </c>
    </row>
    <row r="313" spans="1:2" s="827" customFormat="1" x14ac:dyDescent="0.25">
      <c r="A313" s="827">
        <v>4</v>
      </c>
      <c r="B313" s="827" t="s">
        <v>1540</v>
      </c>
    </row>
    <row r="314" spans="1:2" s="827" customFormat="1" x14ac:dyDescent="0.25">
      <c r="A314" s="827">
        <v>4</v>
      </c>
      <c r="B314" s="827" t="s">
        <v>1541</v>
      </c>
    </row>
    <row r="315" spans="1:2" s="827" customFormat="1" x14ac:dyDescent="0.25">
      <c r="A315" s="827">
        <v>4</v>
      </c>
      <c r="B315" s="827" t="s">
        <v>1542</v>
      </c>
    </row>
    <row r="316" spans="1:2" s="827" customFormat="1" x14ac:dyDescent="0.25">
      <c r="A316" s="827">
        <v>4</v>
      </c>
      <c r="B316" s="827" t="s">
        <v>1543</v>
      </c>
    </row>
    <row r="317" spans="1:2" s="827" customFormat="1" x14ac:dyDescent="0.25">
      <c r="A317" s="827">
        <v>4</v>
      </c>
      <c r="B317" s="827" t="s">
        <v>1544</v>
      </c>
    </row>
    <row r="318" spans="1:2" s="827" customFormat="1" x14ac:dyDescent="0.25">
      <c r="A318" s="827">
        <v>4</v>
      </c>
      <c r="B318" s="827" t="s">
        <v>1545</v>
      </c>
    </row>
    <row r="319" spans="1:2" s="827" customFormat="1" x14ac:dyDescent="0.25">
      <c r="A319" s="827">
        <v>4</v>
      </c>
      <c r="B319" s="827" t="s">
        <v>1546</v>
      </c>
    </row>
    <row r="320" spans="1:2" s="827" customFormat="1" x14ac:dyDescent="0.25">
      <c r="A320" s="827">
        <v>4</v>
      </c>
      <c r="B320" s="827" t="s">
        <v>1547</v>
      </c>
    </row>
    <row r="321" spans="1:2" s="827" customFormat="1" x14ac:dyDescent="0.25">
      <c r="A321" s="827">
        <v>4</v>
      </c>
      <c r="B321" s="827" t="s">
        <v>1548</v>
      </c>
    </row>
    <row r="322" spans="1:2" s="827" customFormat="1" x14ac:dyDescent="0.25">
      <c r="A322" s="827">
        <v>4</v>
      </c>
      <c r="B322" s="827" t="s">
        <v>1549</v>
      </c>
    </row>
    <row r="323" spans="1:2" s="827" customFormat="1" x14ac:dyDescent="0.25">
      <c r="A323" s="827">
        <v>4</v>
      </c>
      <c r="B323" s="827" t="s">
        <v>1550</v>
      </c>
    </row>
    <row r="324" spans="1:2" s="827" customFormat="1" x14ac:dyDescent="0.25">
      <c r="A324" s="827">
        <v>4</v>
      </c>
      <c r="B324" s="827" t="s">
        <v>1551</v>
      </c>
    </row>
    <row r="325" spans="1:2" s="827" customFormat="1" x14ac:dyDescent="0.25">
      <c r="A325" s="827">
        <v>4</v>
      </c>
      <c r="B325" s="827" t="s">
        <v>1552</v>
      </c>
    </row>
    <row r="326" spans="1:2" s="827" customFormat="1" x14ac:dyDescent="0.25">
      <c r="A326" s="827">
        <v>4</v>
      </c>
      <c r="B326" s="827" t="s">
        <v>1553</v>
      </c>
    </row>
    <row r="327" spans="1:2" s="827" customFormat="1" x14ac:dyDescent="0.25">
      <c r="A327" s="827">
        <v>4</v>
      </c>
      <c r="B327" s="827" t="s">
        <v>1554</v>
      </c>
    </row>
    <row r="328" spans="1:2" s="827" customFormat="1" x14ac:dyDescent="0.25">
      <c r="A328" s="827">
        <v>4</v>
      </c>
      <c r="B328" s="827" t="s">
        <v>1555</v>
      </c>
    </row>
    <row r="329" spans="1:2" s="827" customFormat="1" x14ac:dyDescent="0.25">
      <c r="A329" s="827">
        <v>4</v>
      </c>
      <c r="B329" s="827" t="s">
        <v>1556</v>
      </c>
    </row>
    <row r="330" spans="1:2" s="827" customFormat="1" x14ac:dyDescent="0.25">
      <c r="A330" s="827">
        <v>4</v>
      </c>
      <c r="B330" s="827" t="s">
        <v>1557</v>
      </c>
    </row>
    <row r="331" spans="1:2" s="827" customFormat="1" x14ac:dyDescent="0.25">
      <c r="A331" s="827">
        <v>4</v>
      </c>
      <c r="B331" s="827" t="s">
        <v>1558</v>
      </c>
    </row>
    <row r="332" spans="1:2" s="827" customFormat="1" x14ac:dyDescent="0.25">
      <c r="A332" s="827">
        <v>4</v>
      </c>
      <c r="B332" s="827" t="s">
        <v>1559</v>
      </c>
    </row>
    <row r="333" spans="1:2" s="827" customFormat="1" x14ac:dyDescent="0.25">
      <c r="A333" s="827">
        <v>4</v>
      </c>
      <c r="B333" s="827" t="s">
        <v>1560</v>
      </c>
    </row>
    <row r="334" spans="1:2" s="827" customFormat="1" x14ac:dyDescent="0.25">
      <c r="A334" s="827">
        <v>4</v>
      </c>
      <c r="B334" s="827" t="s">
        <v>1561</v>
      </c>
    </row>
    <row r="335" spans="1:2" s="827" customFormat="1" x14ac:dyDescent="0.25">
      <c r="A335" s="827">
        <v>4</v>
      </c>
      <c r="B335" s="827" t="s">
        <v>1562</v>
      </c>
    </row>
    <row r="336" spans="1:2" s="827" customFormat="1" x14ac:dyDescent="0.25">
      <c r="A336" s="827">
        <v>4</v>
      </c>
      <c r="B336" s="827" t="s">
        <v>1563</v>
      </c>
    </row>
    <row r="337" spans="1:2" s="827" customFormat="1" x14ac:dyDescent="0.25">
      <c r="A337" s="827">
        <v>4</v>
      </c>
      <c r="B337" s="827" t="s">
        <v>1564</v>
      </c>
    </row>
    <row r="338" spans="1:2" s="827" customFormat="1" x14ac:dyDescent="0.25">
      <c r="A338" s="827">
        <v>4</v>
      </c>
      <c r="B338" s="827" t="s">
        <v>1565</v>
      </c>
    </row>
    <row r="339" spans="1:2" s="827" customFormat="1" x14ac:dyDescent="0.25">
      <c r="A339" s="827">
        <v>4</v>
      </c>
      <c r="B339" s="827" t="s">
        <v>1566</v>
      </c>
    </row>
    <row r="340" spans="1:2" s="827" customFormat="1" x14ac:dyDescent="0.25">
      <c r="A340" s="827">
        <v>4</v>
      </c>
      <c r="B340" s="827" t="s">
        <v>1567</v>
      </c>
    </row>
    <row r="341" spans="1:2" s="827" customFormat="1" x14ac:dyDescent="0.25">
      <c r="A341" s="827">
        <v>4</v>
      </c>
      <c r="B341" s="827" t="s">
        <v>1568</v>
      </c>
    </row>
    <row r="342" spans="1:2" s="827" customFormat="1" x14ac:dyDescent="0.25">
      <c r="A342" s="827">
        <v>4</v>
      </c>
      <c r="B342" s="827" t="s">
        <v>1569</v>
      </c>
    </row>
    <row r="343" spans="1:2" s="827" customFormat="1" x14ac:dyDescent="0.25">
      <c r="A343" s="827">
        <v>4</v>
      </c>
      <c r="B343" s="827" t="s">
        <v>1570</v>
      </c>
    </row>
    <row r="344" spans="1:2" s="827" customFormat="1" x14ac:dyDescent="0.25">
      <c r="A344" s="827">
        <v>4</v>
      </c>
      <c r="B344" s="827" t="s">
        <v>1571</v>
      </c>
    </row>
    <row r="345" spans="1:2" s="827" customFormat="1" x14ac:dyDescent="0.25">
      <c r="A345" s="827">
        <v>4</v>
      </c>
      <c r="B345" s="827" t="s">
        <v>1572</v>
      </c>
    </row>
    <row r="346" spans="1:2" s="827" customFormat="1" x14ac:dyDescent="0.25">
      <c r="A346" s="827">
        <v>4</v>
      </c>
      <c r="B346" s="827" t="s">
        <v>1573</v>
      </c>
    </row>
    <row r="347" spans="1:2" s="827" customFormat="1" x14ac:dyDescent="0.25">
      <c r="A347" s="827">
        <v>4</v>
      </c>
      <c r="B347" s="827" t="s">
        <v>1574</v>
      </c>
    </row>
    <row r="348" spans="1:2" s="827" customFormat="1" x14ac:dyDescent="0.25">
      <c r="A348" s="827">
        <v>4</v>
      </c>
      <c r="B348" s="827" t="s">
        <v>1575</v>
      </c>
    </row>
    <row r="349" spans="1:2" s="827" customFormat="1" x14ac:dyDescent="0.25">
      <c r="A349" s="827">
        <v>4</v>
      </c>
      <c r="B349" s="827" t="s">
        <v>1576</v>
      </c>
    </row>
    <row r="350" spans="1:2" s="827" customFormat="1" x14ac:dyDescent="0.25">
      <c r="A350" s="827">
        <v>4</v>
      </c>
      <c r="B350" s="827" t="s">
        <v>1577</v>
      </c>
    </row>
    <row r="351" spans="1:2" s="827" customFormat="1" x14ac:dyDescent="0.25">
      <c r="A351" s="827">
        <v>4</v>
      </c>
      <c r="B351" s="827" t="s">
        <v>1578</v>
      </c>
    </row>
    <row r="352" spans="1:2" s="827" customFormat="1" x14ac:dyDescent="0.25">
      <c r="A352" s="827">
        <v>4</v>
      </c>
      <c r="B352" s="827" t="s">
        <v>1579</v>
      </c>
    </row>
    <row r="353" spans="1:2" s="827" customFormat="1" x14ac:dyDescent="0.25">
      <c r="A353" s="827">
        <v>4</v>
      </c>
      <c r="B353" s="827" t="s">
        <v>1580</v>
      </c>
    </row>
    <row r="354" spans="1:2" s="827" customFormat="1" x14ac:dyDescent="0.25">
      <c r="A354" s="827">
        <v>4</v>
      </c>
      <c r="B354" s="827" t="s">
        <v>1581</v>
      </c>
    </row>
    <row r="355" spans="1:2" s="827" customFormat="1" x14ac:dyDescent="0.25">
      <c r="A355" s="827">
        <v>4</v>
      </c>
      <c r="B355" s="827" t="s">
        <v>1582</v>
      </c>
    </row>
    <row r="356" spans="1:2" s="827" customFormat="1" x14ac:dyDescent="0.25">
      <c r="A356" s="827">
        <v>4</v>
      </c>
      <c r="B356" s="827" t="s">
        <v>1583</v>
      </c>
    </row>
    <row r="357" spans="1:2" s="827" customFormat="1" x14ac:dyDescent="0.25">
      <c r="A357" s="827">
        <v>4</v>
      </c>
      <c r="B357" s="827" t="s">
        <v>674</v>
      </c>
    </row>
    <row r="358" spans="1:2" s="827" customFormat="1" x14ac:dyDescent="0.25">
      <c r="A358" s="827">
        <v>4</v>
      </c>
      <c r="B358" s="827" t="s">
        <v>675</v>
      </c>
    </row>
    <row r="359" spans="1:2" s="827" customFormat="1" x14ac:dyDescent="0.25">
      <c r="A359" s="827">
        <v>4</v>
      </c>
      <c r="B359" s="827" t="s">
        <v>676</v>
      </c>
    </row>
    <row r="360" spans="1:2" s="827" customFormat="1" x14ac:dyDescent="0.25">
      <c r="A360" s="827">
        <v>4</v>
      </c>
      <c r="B360" s="827" t="s">
        <v>677</v>
      </c>
    </row>
    <row r="361" spans="1:2" s="827" customFormat="1" x14ac:dyDescent="0.25">
      <c r="A361" s="827">
        <v>4</v>
      </c>
      <c r="B361" s="827" t="s">
        <v>678</v>
      </c>
    </row>
    <row r="362" spans="1:2" s="827" customFormat="1" x14ac:dyDescent="0.25">
      <c r="A362" s="827">
        <v>4</v>
      </c>
      <c r="B362" s="827" t="s">
        <v>679</v>
      </c>
    </row>
    <row r="363" spans="1:2" s="827" customFormat="1" x14ac:dyDescent="0.25">
      <c r="A363" s="827">
        <v>4</v>
      </c>
      <c r="B363" s="827" t="s">
        <v>680</v>
      </c>
    </row>
    <row r="364" spans="1:2" s="827" customFormat="1" x14ac:dyDescent="0.25">
      <c r="A364" s="827">
        <v>4</v>
      </c>
      <c r="B364" s="827" t="s">
        <v>681</v>
      </c>
    </row>
    <row r="365" spans="1:2" s="827" customFormat="1" x14ac:dyDescent="0.25">
      <c r="A365" s="827">
        <v>4</v>
      </c>
      <c r="B365" s="827" t="s">
        <v>682</v>
      </c>
    </row>
    <row r="366" spans="1:2" s="827" customFormat="1" x14ac:dyDescent="0.25">
      <c r="A366" s="827">
        <v>4</v>
      </c>
      <c r="B366" s="827" t="s">
        <v>683</v>
      </c>
    </row>
    <row r="367" spans="1:2" s="827" customFormat="1" x14ac:dyDescent="0.25">
      <c r="A367" s="827">
        <v>4</v>
      </c>
      <c r="B367" s="827" t="s">
        <v>684</v>
      </c>
    </row>
    <row r="368" spans="1:2" s="827" customFormat="1" x14ac:dyDescent="0.25">
      <c r="A368" s="827">
        <v>4</v>
      </c>
      <c r="B368" s="827" t="s">
        <v>685</v>
      </c>
    </row>
    <row r="369" spans="1:2" s="827" customFormat="1" x14ac:dyDescent="0.25">
      <c r="A369" s="827">
        <v>4</v>
      </c>
      <c r="B369" s="827" t="s">
        <v>686</v>
      </c>
    </row>
    <row r="370" spans="1:2" s="827" customFormat="1" x14ac:dyDescent="0.25">
      <c r="A370" s="827">
        <v>4</v>
      </c>
      <c r="B370" s="827" t="s">
        <v>687</v>
      </c>
    </row>
    <row r="371" spans="1:2" s="827" customFormat="1" x14ac:dyDescent="0.25">
      <c r="A371" s="827">
        <v>4</v>
      </c>
      <c r="B371" s="827" t="s">
        <v>688</v>
      </c>
    </row>
    <row r="372" spans="1:2" s="827" customFormat="1" x14ac:dyDescent="0.25">
      <c r="A372" s="827">
        <v>4</v>
      </c>
      <c r="B372" s="827" t="s">
        <v>689</v>
      </c>
    </row>
    <row r="373" spans="1:2" s="827" customFormat="1" x14ac:dyDescent="0.25">
      <c r="A373" s="827">
        <v>4</v>
      </c>
      <c r="B373" s="827" t="s">
        <v>690</v>
      </c>
    </row>
    <row r="374" spans="1:2" s="827" customFormat="1" x14ac:dyDescent="0.25">
      <c r="A374" s="827">
        <v>4</v>
      </c>
      <c r="B374" s="827" t="s">
        <v>691</v>
      </c>
    </row>
    <row r="375" spans="1:2" s="827" customFormat="1" x14ac:dyDescent="0.25">
      <c r="A375" s="827">
        <v>4</v>
      </c>
      <c r="B375" s="827" t="s">
        <v>692</v>
      </c>
    </row>
    <row r="376" spans="1:2" s="827" customFormat="1" x14ac:dyDescent="0.25">
      <c r="A376" s="827">
        <v>4</v>
      </c>
      <c r="B376" s="827" t="s">
        <v>693</v>
      </c>
    </row>
    <row r="377" spans="1:2" s="827" customFormat="1" x14ac:dyDescent="0.25">
      <c r="A377" s="827">
        <v>4</v>
      </c>
      <c r="B377" s="827" t="s">
        <v>694</v>
      </c>
    </row>
    <row r="378" spans="1:2" s="827" customFormat="1" x14ac:dyDescent="0.25">
      <c r="A378" s="827">
        <v>4</v>
      </c>
      <c r="B378" s="827" t="s">
        <v>695</v>
      </c>
    </row>
    <row r="379" spans="1:2" s="827" customFormat="1" x14ac:dyDescent="0.25">
      <c r="A379" s="827">
        <v>4</v>
      </c>
      <c r="B379" s="827" t="s">
        <v>696</v>
      </c>
    </row>
    <row r="380" spans="1:2" s="827" customFormat="1" x14ac:dyDescent="0.25">
      <c r="A380" s="827">
        <v>4</v>
      </c>
      <c r="B380" s="827" t="s">
        <v>697</v>
      </c>
    </row>
    <row r="381" spans="1:2" s="827" customFormat="1" x14ac:dyDescent="0.25">
      <c r="A381" s="827">
        <v>4</v>
      </c>
      <c r="B381" s="827" t="s">
        <v>698</v>
      </c>
    </row>
    <row r="382" spans="1:2" s="827" customFormat="1" x14ac:dyDescent="0.25">
      <c r="A382" s="827">
        <v>4</v>
      </c>
      <c r="B382" s="827" t="s">
        <v>699</v>
      </c>
    </row>
    <row r="383" spans="1:2" s="827" customFormat="1" x14ac:dyDescent="0.25">
      <c r="A383" s="827">
        <v>4</v>
      </c>
      <c r="B383" s="827" t="s">
        <v>700</v>
      </c>
    </row>
    <row r="384" spans="1:2" s="827" customFormat="1" x14ac:dyDescent="0.25">
      <c r="A384" s="827">
        <v>4</v>
      </c>
      <c r="B384" s="827" t="s">
        <v>701</v>
      </c>
    </row>
    <row r="385" spans="1:2" s="827" customFormat="1" x14ac:dyDescent="0.25">
      <c r="A385" s="827">
        <v>4</v>
      </c>
      <c r="B385" s="827" t="s">
        <v>702</v>
      </c>
    </row>
    <row r="386" spans="1:2" s="827" customFormat="1" x14ac:dyDescent="0.25">
      <c r="A386" s="827">
        <v>4</v>
      </c>
      <c r="B386" s="827" t="s">
        <v>703</v>
      </c>
    </row>
    <row r="387" spans="1:2" s="827" customFormat="1" x14ac:dyDescent="0.25">
      <c r="A387" s="827">
        <v>4</v>
      </c>
      <c r="B387" s="827" t="s">
        <v>704</v>
      </c>
    </row>
    <row r="388" spans="1:2" s="827" customFormat="1" x14ac:dyDescent="0.25">
      <c r="A388" s="827">
        <v>4</v>
      </c>
      <c r="B388" s="827" t="s">
        <v>705</v>
      </c>
    </row>
    <row r="389" spans="1:2" s="827" customFormat="1" x14ac:dyDescent="0.25">
      <c r="A389" s="827">
        <v>4</v>
      </c>
      <c r="B389" s="827" t="s">
        <v>706</v>
      </c>
    </row>
    <row r="390" spans="1:2" s="827" customFormat="1" x14ac:dyDescent="0.25">
      <c r="A390" s="827">
        <v>4</v>
      </c>
      <c r="B390" s="827" t="s">
        <v>707</v>
      </c>
    </row>
    <row r="391" spans="1:2" s="827" customFormat="1" x14ac:dyDescent="0.25">
      <c r="A391" s="827">
        <v>4</v>
      </c>
      <c r="B391" s="827" t="s">
        <v>708</v>
      </c>
    </row>
    <row r="392" spans="1:2" s="827" customFormat="1" x14ac:dyDescent="0.25">
      <c r="A392" s="827">
        <v>4</v>
      </c>
      <c r="B392" s="827" t="s">
        <v>709</v>
      </c>
    </row>
    <row r="393" spans="1:2" s="827" customFormat="1" x14ac:dyDescent="0.25">
      <c r="A393" s="827">
        <v>4</v>
      </c>
      <c r="B393" s="827" t="s">
        <v>710</v>
      </c>
    </row>
    <row r="394" spans="1:2" s="827" customFormat="1" x14ac:dyDescent="0.25">
      <c r="A394" s="827">
        <v>4</v>
      </c>
      <c r="B394" s="827" t="s">
        <v>711</v>
      </c>
    </row>
    <row r="395" spans="1:2" s="827" customFormat="1" x14ac:dyDescent="0.25">
      <c r="A395" s="827">
        <v>4</v>
      </c>
      <c r="B395" s="827" t="s">
        <v>712</v>
      </c>
    </row>
    <row r="396" spans="1:2" s="827" customFormat="1" x14ac:dyDescent="0.25">
      <c r="A396" s="827">
        <v>4</v>
      </c>
      <c r="B396" s="827" t="s">
        <v>713</v>
      </c>
    </row>
    <row r="397" spans="1:2" s="827" customFormat="1" x14ac:dyDescent="0.25">
      <c r="A397" s="827">
        <v>4</v>
      </c>
      <c r="B397" s="827" t="s">
        <v>714</v>
      </c>
    </row>
    <row r="398" spans="1:2" s="827" customFormat="1" x14ac:dyDescent="0.25">
      <c r="A398" s="827">
        <v>4</v>
      </c>
      <c r="B398" s="827" t="s">
        <v>715</v>
      </c>
    </row>
    <row r="399" spans="1:2" s="827" customFormat="1" x14ac:dyDescent="0.25">
      <c r="A399" s="827">
        <v>4</v>
      </c>
      <c r="B399" s="827" t="s">
        <v>716</v>
      </c>
    </row>
    <row r="400" spans="1:2" s="827" customFormat="1" x14ac:dyDescent="0.25">
      <c r="A400" s="827">
        <v>4</v>
      </c>
      <c r="B400" s="827" t="s">
        <v>717</v>
      </c>
    </row>
    <row r="401" spans="1:2" s="827" customFormat="1" x14ac:dyDescent="0.25">
      <c r="A401" s="827">
        <v>4</v>
      </c>
      <c r="B401" s="827" t="s">
        <v>718</v>
      </c>
    </row>
    <row r="402" spans="1:2" s="827" customFormat="1" x14ac:dyDescent="0.25">
      <c r="A402" s="827">
        <v>4</v>
      </c>
      <c r="B402" s="827" t="s">
        <v>719</v>
      </c>
    </row>
    <row r="403" spans="1:2" s="827" customFormat="1" x14ac:dyDescent="0.25">
      <c r="A403" s="827">
        <v>4</v>
      </c>
      <c r="B403" s="827" t="s">
        <v>720</v>
      </c>
    </row>
    <row r="404" spans="1:2" s="827" customFormat="1" x14ac:dyDescent="0.25">
      <c r="A404" s="827">
        <v>4</v>
      </c>
      <c r="B404" s="827" t="s">
        <v>721</v>
      </c>
    </row>
    <row r="405" spans="1:2" s="827" customFormat="1" x14ac:dyDescent="0.25">
      <c r="A405" s="827">
        <v>4</v>
      </c>
      <c r="B405" s="827" t="s">
        <v>722</v>
      </c>
    </row>
    <row r="406" spans="1:2" s="827" customFormat="1" x14ac:dyDescent="0.25">
      <c r="A406" s="827">
        <v>4</v>
      </c>
      <c r="B406" s="827" t="s">
        <v>723</v>
      </c>
    </row>
    <row r="407" spans="1:2" s="827" customFormat="1" x14ac:dyDescent="0.25">
      <c r="A407" s="827">
        <v>4</v>
      </c>
      <c r="B407" s="827" t="s">
        <v>724</v>
      </c>
    </row>
    <row r="408" spans="1:2" s="827" customFormat="1" x14ac:dyDescent="0.25">
      <c r="A408" s="827">
        <v>4</v>
      </c>
      <c r="B408" s="827" t="s">
        <v>725</v>
      </c>
    </row>
    <row r="409" spans="1:2" s="827" customFormat="1" x14ac:dyDescent="0.25">
      <c r="A409" s="827">
        <v>4</v>
      </c>
      <c r="B409" s="827" t="s">
        <v>726</v>
      </c>
    </row>
    <row r="410" spans="1:2" s="827" customFormat="1" x14ac:dyDescent="0.25">
      <c r="A410" s="827">
        <v>4</v>
      </c>
      <c r="B410" s="827" t="s">
        <v>727</v>
      </c>
    </row>
    <row r="411" spans="1:2" s="827" customFormat="1" x14ac:dyDescent="0.25">
      <c r="A411" s="827">
        <v>4</v>
      </c>
      <c r="B411" s="827" t="s">
        <v>728</v>
      </c>
    </row>
    <row r="412" spans="1:2" s="827" customFormat="1" x14ac:dyDescent="0.25">
      <c r="A412" s="827">
        <v>4</v>
      </c>
      <c r="B412" s="827" t="s">
        <v>729</v>
      </c>
    </row>
    <row r="413" spans="1:2" s="827" customFormat="1" x14ac:dyDescent="0.25">
      <c r="A413" s="827">
        <v>4</v>
      </c>
      <c r="B413" s="827" t="s">
        <v>730</v>
      </c>
    </row>
    <row r="414" spans="1:2" s="827" customFormat="1" x14ac:dyDescent="0.25">
      <c r="A414" s="827">
        <v>4</v>
      </c>
      <c r="B414" s="827" t="s">
        <v>731</v>
      </c>
    </row>
    <row r="415" spans="1:2" s="827" customFormat="1" x14ac:dyDescent="0.25">
      <c r="A415" s="827">
        <v>4</v>
      </c>
      <c r="B415" s="827" t="s">
        <v>732</v>
      </c>
    </row>
    <row r="416" spans="1:2" s="827" customFormat="1" x14ac:dyDescent="0.25">
      <c r="A416" s="827">
        <v>4</v>
      </c>
      <c r="B416" s="827" t="s">
        <v>733</v>
      </c>
    </row>
    <row r="417" spans="1:2" s="827" customFormat="1" x14ac:dyDescent="0.25">
      <c r="A417" s="827">
        <v>4</v>
      </c>
      <c r="B417" s="827" t="s">
        <v>734</v>
      </c>
    </row>
    <row r="418" spans="1:2" s="827" customFormat="1" x14ac:dyDescent="0.25">
      <c r="A418" s="827">
        <v>4</v>
      </c>
      <c r="B418" s="827" t="s">
        <v>735</v>
      </c>
    </row>
    <row r="419" spans="1:2" s="827" customFormat="1" x14ac:dyDescent="0.25">
      <c r="A419" s="827">
        <v>4</v>
      </c>
      <c r="B419" s="827" t="s">
        <v>736</v>
      </c>
    </row>
    <row r="420" spans="1:2" s="827" customFormat="1" x14ac:dyDescent="0.25">
      <c r="A420" s="827">
        <v>4</v>
      </c>
      <c r="B420" s="827" t="s">
        <v>737</v>
      </c>
    </row>
    <row r="421" spans="1:2" s="827" customFormat="1" x14ac:dyDescent="0.25">
      <c r="A421" s="827">
        <v>4</v>
      </c>
      <c r="B421" s="827" t="s">
        <v>738</v>
      </c>
    </row>
    <row r="422" spans="1:2" s="827" customFormat="1" x14ac:dyDescent="0.25">
      <c r="A422" s="827">
        <v>4</v>
      </c>
      <c r="B422" s="827" t="s">
        <v>739</v>
      </c>
    </row>
    <row r="423" spans="1:2" s="827" customFormat="1" x14ac:dyDescent="0.25">
      <c r="A423" s="827">
        <v>4</v>
      </c>
      <c r="B423" s="827" t="s">
        <v>740</v>
      </c>
    </row>
    <row r="424" spans="1:2" s="827" customFormat="1" x14ac:dyDescent="0.25">
      <c r="A424" s="827">
        <v>4</v>
      </c>
      <c r="B424" s="827" t="s">
        <v>741</v>
      </c>
    </row>
    <row r="425" spans="1:2" s="827" customFormat="1" x14ac:dyDescent="0.25">
      <c r="A425" s="827">
        <v>4</v>
      </c>
      <c r="B425" s="827" t="s">
        <v>742</v>
      </c>
    </row>
    <row r="426" spans="1:2" s="827" customFormat="1" x14ac:dyDescent="0.25">
      <c r="A426" s="827">
        <v>4</v>
      </c>
      <c r="B426" s="827" t="s">
        <v>743</v>
      </c>
    </row>
    <row r="427" spans="1:2" s="827" customFormat="1" x14ac:dyDescent="0.25">
      <c r="A427" s="827">
        <v>4</v>
      </c>
      <c r="B427" s="827" t="s">
        <v>744</v>
      </c>
    </row>
    <row r="428" spans="1:2" s="827" customFormat="1" x14ac:dyDescent="0.25">
      <c r="A428" s="827">
        <v>4</v>
      </c>
      <c r="B428" s="827" t="s">
        <v>745</v>
      </c>
    </row>
    <row r="429" spans="1:2" s="827" customFormat="1" x14ac:dyDescent="0.25">
      <c r="A429" s="827">
        <v>4</v>
      </c>
      <c r="B429" s="827" t="s">
        <v>746</v>
      </c>
    </row>
    <row r="430" spans="1:2" s="827" customFormat="1" x14ac:dyDescent="0.25">
      <c r="A430" s="827">
        <v>4</v>
      </c>
      <c r="B430" s="827" t="s">
        <v>747</v>
      </c>
    </row>
    <row r="431" spans="1:2" s="827" customFormat="1" x14ac:dyDescent="0.25">
      <c r="A431" s="827">
        <v>4</v>
      </c>
      <c r="B431" s="827" t="s">
        <v>748</v>
      </c>
    </row>
    <row r="432" spans="1:2" s="827" customFormat="1" x14ac:dyDescent="0.25">
      <c r="A432" s="827">
        <v>4</v>
      </c>
      <c r="B432" s="827" t="s">
        <v>749</v>
      </c>
    </row>
    <row r="433" spans="1:2" s="827" customFormat="1" x14ac:dyDescent="0.25">
      <c r="A433" s="827">
        <v>4</v>
      </c>
      <c r="B433" s="827" t="s">
        <v>750</v>
      </c>
    </row>
    <row r="434" spans="1:2" s="827" customFormat="1" x14ac:dyDescent="0.25">
      <c r="A434" s="827">
        <v>4</v>
      </c>
      <c r="B434" s="827" t="s">
        <v>751</v>
      </c>
    </row>
    <row r="435" spans="1:2" s="827" customFormat="1" x14ac:dyDescent="0.25">
      <c r="A435" s="827">
        <v>4</v>
      </c>
      <c r="B435" s="827" t="s">
        <v>752</v>
      </c>
    </row>
    <row r="436" spans="1:2" s="827" customFormat="1" x14ac:dyDescent="0.25">
      <c r="A436" s="827">
        <v>4</v>
      </c>
      <c r="B436" s="827" t="s">
        <v>753</v>
      </c>
    </row>
    <row r="437" spans="1:2" s="827" customFormat="1" x14ac:dyDescent="0.25">
      <c r="A437" s="827">
        <v>4</v>
      </c>
      <c r="B437" s="827" t="s">
        <v>754</v>
      </c>
    </row>
    <row r="438" spans="1:2" s="827" customFormat="1" x14ac:dyDescent="0.25">
      <c r="A438" s="827">
        <v>4</v>
      </c>
      <c r="B438" s="827" t="s">
        <v>755</v>
      </c>
    </row>
    <row r="439" spans="1:2" s="827" customFormat="1" x14ac:dyDescent="0.25">
      <c r="A439" s="827">
        <v>4</v>
      </c>
      <c r="B439" s="827" t="s">
        <v>756</v>
      </c>
    </row>
    <row r="440" spans="1:2" s="827" customFormat="1" x14ac:dyDescent="0.25">
      <c r="A440" s="827">
        <v>4</v>
      </c>
      <c r="B440" s="827" t="s">
        <v>757</v>
      </c>
    </row>
    <row r="441" spans="1:2" s="827" customFormat="1" x14ac:dyDescent="0.25">
      <c r="A441" s="827">
        <v>4</v>
      </c>
      <c r="B441" s="827" t="s">
        <v>758</v>
      </c>
    </row>
    <row r="442" spans="1:2" s="827" customFormat="1" x14ac:dyDescent="0.25">
      <c r="A442" s="827">
        <v>4</v>
      </c>
      <c r="B442" s="827" t="s">
        <v>759</v>
      </c>
    </row>
    <row r="443" spans="1:2" s="827" customFormat="1" x14ac:dyDescent="0.25">
      <c r="A443" s="827">
        <v>4</v>
      </c>
      <c r="B443" s="827" t="s">
        <v>760</v>
      </c>
    </row>
    <row r="444" spans="1:2" s="827" customFormat="1" x14ac:dyDescent="0.25">
      <c r="A444" s="827">
        <v>4</v>
      </c>
      <c r="B444" s="827" t="s">
        <v>761</v>
      </c>
    </row>
    <row r="445" spans="1:2" s="827" customFormat="1" x14ac:dyDescent="0.25">
      <c r="A445" s="827">
        <v>4</v>
      </c>
      <c r="B445" s="827" t="s">
        <v>762</v>
      </c>
    </row>
    <row r="446" spans="1:2" s="827" customFormat="1" x14ac:dyDescent="0.25">
      <c r="A446" s="827">
        <v>4</v>
      </c>
      <c r="B446" s="827" t="s">
        <v>763</v>
      </c>
    </row>
    <row r="447" spans="1:2" s="827" customFormat="1" x14ac:dyDescent="0.25">
      <c r="A447" s="827">
        <v>4</v>
      </c>
      <c r="B447" s="827" t="s">
        <v>764</v>
      </c>
    </row>
    <row r="448" spans="1:2" s="827" customFormat="1" x14ac:dyDescent="0.25">
      <c r="A448" s="827">
        <v>4</v>
      </c>
      <c r="B448" s="827" t="s">
        <v>765</v>
      </c>
    </row>
    <row r="449" spans="1:2" s="827" customFormat="1" x14ac:dyDescent="0.25">
      <c r="A449" s="827">
        <v>4</v>
      </c>
      <c r="B449" s="827" t="s">
        <v>766</v>
      </c>
    </row>
    <row r="450" spans="1:2" s="827" customFormat="1" x14ac:dyDescent="0.25">
      <c r="A450" s="827">
        <v>4</v>
      </c>
      <c r="B450" s="827" t="s">
        <v>767</v>
      </c>
    </row>
    <row r="451" spans="1:2" s="827" customFormat="1" x14ac:dyDescent="0.25">
      <c r="A451" s="827">
        <v>4</v>
      </c>
      <c r="B451" s="827" t="s">
        <v>768</v>
      </c>
    </row>
    <row r="452" spans="1:2" s="827" customFormat="1" x14ac:dyDescent="0.25">
      <c r="A452" s="827">
        <v>4</v>
      </c>
      <c r="B452" s="827" t="s">
        <v>769</v>
      </c>
    </row>
    <row r="453" spans="1:2" s="827" customFormat="1" x14ac:dyDescent="0.25">
      <c r="A453" s="827">
        <v>4</v>
      </c>
      <c r="B453" s="827" t="s">
        <v>770</v>
      </c>
    </row>
    <row r="454" spans="1:2" s="827" customFormat="1" x14ac:dyDescent="0.25">
      <c r="A454" s="827">
        <v>4</v>
      </c>
      <c r="B454" s="827" t="s">
        <v>771</v>
      </c>
    </row>
    <row r="455" spans="1:2" s="827" customFormat="1" x14ac:dyDescent="0.25">
      <c r="A455" s="827">
        <v>4</v>
      </c>
      <c r="B455" s="827" t="s">
        <v>772</v>
      </c>
    </row>
    <row r="456" spans="1:2" s="827" customFormat="1" x14ac:dyDescent="0.25">
      <c r="A456" s="827">
        <v>4</v>
      </c>
      <c r="B456" s="827" t="s">
        <v>773</v>
      </c>
    </row>
    <row r="457" spans="1:2" s="827" customFormat="1" x14ac:dyDescent="0.25">
      <c r="A457" s="827">
        <v>4</v>
      </c>
      <c r="B457" s="827" t="s">
        <v>774</v>
      </c>
    </row>
    <row r="458" spans="1:2" s="827" customFormat="1" x14ac:dyDescent="0.25">
      <c r="A458" s="827">
        <v>4</v>
      </c>
      <c r="B458" s="827" t="s">
        <v>775</v>
      </c>
    </row>
    <row r="459" spans="1:2" s="827" customFormat="1" x14ac:dyDescent="0.25">
      <c r="A459" s="827">
        <v>4</v>
      </c>
      <c r="B459" s="827" t="s">
        <v>776</v>
      </c>
    </row>
    <row r="460" spans="1:2" s="827" customFormat="1" x14ac:dyDescent="0.25">
      <c r="A460" s="827">
        <v>4</v>
      </c>
      <c r="B460" s="827" t="s">
        <v>777</v>
      </c>
    </row>
    <row r="461" spans="1:2" s="827" customFormat="1" x14ac:dyDescent="0.25">
      <c r="A461" s="827">
        <v>4</v>
      </c>
      <c r="B461" s="827" t="s">
        <v>778</v>
      </c>
    </row>
    <row r="462" spans="1:2" s="827" customFormat="1" x14ac:dyDescent="0.25">
      <c r="A462" s="827">
        <v>4</v>
      </c>
      <c r="B462" s="827" t="s">
        <v>779</v>
      </c>
    </row>
    <row r="463" spans="1:2" s="827" customFormat="1" x14ac:dyDescent="0.25">
      <c r="A463" s="827">
        <v>4</v>
      </c>
      <c r="B463" s="827" t="s">
        <v>780</v>
      </c>
    </row>
    <row r="464" spans="1:2" s="827" customFormat="1" x14ac:dyDescent="0.25">
      <c r="A464" s="827">
        <v>4</v>
      </c>
      <c r="B464" s="827" t="s">
        <v>781</v>
      </c>
    </row>
    <row r="465" spans="1:2" s="827" customFormat="1" x14ac:dyDescent="0.25">
      <c r="A465" s="827">
        <v>4</v>
      </c>
      <c r="B465" s="827" t="s">
        <v>782</v>
      </c>
    </row>
    <row r="466" spans="1:2" s="827" customFormat="1" x14ac:dyDescent="0.25">
      <c r="A466" s="827">
        <v>4</v>
      </c>
      <c r="B466" s="827" t="s">
        <v>783</v>
      </c>
    </row>
    <row r="467" spans="1:2" s="827" customFormat="1" x14ac:dyDescent="0.25">
      <c r="A467" s="827">
        <v>4</v>
      </c>
      <c r="B467" s="827" t="s">
        <v>784</v>
      </c>
    </row>
    <row r="468" spans="1:2" s="827" customFormat="1" x14ac:dyDescent="0.25">
      <c r="A468" s="827">
        <v>4</v>
      </c>
      <c r="B468" s="827" t="s">
        <v>785</v>
      </c>
    </row>
    <row r="469" spans="1:2" s="827" customFormat="1" x14ac:dyDescent="0.25">
      <c r="A469" s="827">
        <v>4</v>
      </c>
      <c r="B469" s="827" t="s">
        <v>786</v>
      </c>
    </row>
    <row r="470" spans="1:2" s="827" customFormat="1" x14ac:dyDescent="0.25">
      <c r="A470" s="827">
        <v>4</v>
      </c>
      <c r="B470" s="827" t="s">
        <v>787</v>
      </c>
    </row>
    <row r="471" spans="1:2" s="827" customFormat="1" x14ac:dyDescent="0.25">
      <c r="A471" s="827">
        <v>4</v>
      </c>
      <c r="B471" s="827" t="s">
        <v>788</v>
      </c>
    </row>
    <row r="472" spans="1:2" s="827" customFormat="1" x14ac:dyDescent="0.25">
      <c r="A472" s="827">
        <v>4</v>
      </c>
      <c r="B472" s="827" t="s">
        <v>789</v>
      </c>
    </row>
    <row r="473" spans="1:2" s="827" customFormat="1" x14ac:dyDescent="0.25">
      <c r="A473" s="827">
        <v>4</v>
      </c>
      <c r="B473" s="827" t="s">
        <v>790</v>
      </c>
    </row>
    <row r="474" spans="1:2" s="827" customFormat="1" x14ac:dyDescent="0.25">
      <c r="A474" s="827">
        <v>4</v>
      </c>
      <c r="B474" s="827" t="s">
        <v>791</v>
      </c>
    </row>
    <row r="475" spans="1:2" s="827" customFormat="1" x14ac:dyDescent="0.25">
      <c r="A475" s="827">
        <v>4</v>
      </c>
      <c r="B475" s="827" t="s">
        <v>792</v>
      </c>
    </row>
    <row r="476" spans="1:2" s="827" customFormat="1" x14ac:dyDescent="0.25">
      <c r="A476" s="827">
        <v>4</v>
      </c>
      <c r="B476" s="827" t="s">
        <v>793</v>
      </c>
    </row>
    <row r="477" spans="1:2" s="827" customFormat="1" x14ac:dyDescent="0.25">
      <c r="A477" s="827">
        <v>4</v>
      </c>
      <c r="B477" s="827" t="s">
        <v>794</v>
      </c>
    </row>
    <row r="478" spans="1:2" s="827" customFormat="1" x14ac:dyDescent="0.25">
      <c r="A478" s="827">
        <v>4</v>
      </c>
      <c r="B478" s="827" t="s">
        <v>795</v>
      </c>
    </row>
    <row r="479" spans="1:2" s="827" customFormat="1" x14ac:dyDescent="0.25">
      <c r="A479" s="827">
        <v>4</v>
      </c>
      <c r="B479" s="827" t="s">
        <v>796</v>
      </c>
    </row>
    <row r="480" spans="1:2" s="827" customFormat="1" x14ac:dyDescent="0.25">
      <c r="A480" s="827">
        <v>4</v>
      </c>
      <c r="B480" s="827" t="s">
        <v>797</v>
      </c>
    </row>
    <row r="481" spans="1:2" s="827" customFormat="1" x14ac:dyDescent="0.25">
      <c r="A481" s="827">
        <v>4</v>
      </c>
      <c r="B481" s="827" t="s">
        <v>798</v>
      </c>
    </row>
    <row r="482" spans="1:2" s="827" customFormat="1" x14ac:dyDescent="0.25">
      <c r="A482" s="827">
        <v>4</v>
      </c>
      <c r="B482" s="827" t="s">
        <v>799</v>
      </c>
    </row>
    <row r="483" spans="1:2" s="827" customFormat="1" x14ac:dyDescent="0.25">
      <c r="A483" s="827">
        <v>4</v>
      </c>
      <c r="B483" s="827" t="s">
        <v>800</v>
      </c>
    </row>
    <row r="484" spans="1:2" s="827" customFormat="1" x14ac:dyDescent="0.25">
      <c r="A484" s="827">
        <v>4</v>
      </c>
      <c r="B484" s="827" t="s">
        <v>801</v>
      </c>
    </row>
    <row r="485" spans="1:2" s="827" customFormat="1" x14ac:dyDescent="0.25">
      <c r="A485" s="827">
        <v>4</v>
      </c>
      <c r="B485" s="827" t="s">
        <v>802</v>
      </c>
    </row>
    <row r="486" spans="1:2" s="827" customFormat="1" x14ac:dyDescent="0.25">
      <c r="A486" s="827">
        <v>4</v>
      </c>
      <c r="B486" s="827" t="s">
        <v>803</v>
      </c>
    </row>
    <row r="487" spans="1:2" s="827" customFormat="1" x14ac:dyDescent="0.25">
      <c r="A487" s="827">
        <v>4</v>
      </c>
      <c r="B487" s="827" t="s">
        <v>804</v>
      </c>
    </row>
    <row r="488" spans="1:2" s="827" customFormat="1" x14ac:dyDescent="0.25">
      <c r="A488" s="827">
        <v>4</v>
      </c>
      <c r="B488" s="827" t="s">
        <v>805</v>
      </c>
    </row>
    <row r="489" spans="1:2" s="827" customFormat="1" x14ac:dyDescent="0.25">
      <c r="A489" s="827">
        <v>4</v>
      </c>
      <c r="B489" s="827" t="s">
        <v>113</v>
      </c>
    </row>
    <row r="490" spans="1:2" s="827" customFormat="1" x14ac:dyDescent="0.25">
      <c r="A490" s="827">
        <v>4</v>
      </c>
      <c r="B490" s="827" t="s">
        <v>114</v>
      </c>
    </row>
    <row r="491" spans="1:2" s="827" customFormat="1" x14ac:dyDescent="0.25">
      <c r="A491" s="827">
        <v>4</v>
      </c>
      <c r="B491" s="827" t="s">
        <v>115</v>
      </c>
    </row>
    <row r="492" spans="1:2" s="827" customFormat="1" x14ac:dyDescent="0.25">
      <c r="A492" s="827">
        <v>4</v>
      </c>
      <c r="B492" s="827" t="s">
        <v>116</v>
      </c>
    </row>
    <row r="493" spans="1:2" s="827" customFormat="1" x14ac:dyDescent="0.25">
      <c r="A493" s="827">
        <v>4</v>
      </c>
      <c r="B493" s="827" t="s">
        <v>117</v>
      </c>
    </row>
    <row r="494" spans="1:2" s="827" customFormat="1" x14ac:dyDescent="0.25">
      <c r="A494" s="827">
        <v>4</v>
      </c>
      <c r="B494" s="827" t="s">
        <v>118</v>
      </c>
    </row>
    <row r="495" spans="1:2" s="827" customFormat="1" x14ac:dyDescent="0.25">
      <c r="A495" s="827">
        <v>4</v>
      </c>
      <c r="B495" s="827" t="s">
        <v>119</v>
      </c>
    </row>
    <row r="496" spans="1:2" s="827" customFormat="1" x14ac:dyDescent="0.25">
      <c r="A496" s="827">
        <v>4</v>
      </c>
      <c r="B496" s="827" t="s">
        <v>120</v>
      </c>
    </row>
    <row r="497" spans="1:2" s="827" customFormat="1" x14ac:dyDescent="0.25">
      <c r="A497" s="827">
        <v>4</v>
      </c>
      <c r="B497" s="827" t="s">
        <v>121</v>
      </c>
    </row>
    <row r="498" spans="1:2" s="827" customFormat="1" x14ac:dyDescent="0.25">
      <c r="A498" s="827">
        <v>4</v>
      </c>
      <c r="B498" s="827" t="s">
        <v>122</v>
      </c>
    </row>
    <row r="499" spans="1:2" s="827" customFormat="1" x14ac:dyDescent="0.25">
      <c r="A499" s="827">
        <v>4</v>
      </c>
      <c r="B499" s="827" t="s">
        <v>123</v>
      </c>
    </row>
    <row r="500" spans="1:2" s="827" customFormat="1" x14ac:dyDescent="0.25">
      <c r="A500" s="827">
        <v>4</v>
      </c>
      <c r="B500" s="827" t="s">
        <v>124</v>
      </c>
    </row>
    <row r="501" spans="1:2" s="827" customFormat="1" x14ac:dyDescent="0.25">
      <c r="A501" s="827">
        <v>4</v>
      </c>
      <c r="B501" s="827" t="s">
        <v>125</v>
      </c>
    </row>
    <row r="502" spans="1:2" s="827" customFormat="1" x14ac:dyDescent="0.25">
      <c r="A502" s="827">
        <v>4</v>
      </c>
      <c r="B502" s="827" t="s">
        <v>126</v>
      </c>
    </row>
    <row r="503" spans="1:2" s="827" customFormat="1" x14ac:dyDescent="0.25">
      <c r="A503" s="827">
        <v>4</v>
      </c>
      <c r="B503" s="827" t="s">
        <v>127</v>
      </c>
    </row>
    <row r="504" spans="1:2" s="827" customFormat="1" x14ac:dyDescent="0.25">
      <c r="A504" s="827">
        <v>4</v>
      </c>
      <c r="B504" s="827" t="s">
        <v>128</v>
      </c>
    </row>
    <row r="505" spans="1:2" s="827" customFormat="1" x14ac:dyDescent="0.25">
      <c r="A505" s="827">
        <v>4</v>
      </c>
      <c r="B505" s="827" t="s">
        <v>129</v>
      </c>
    </row>
    <row r="506" spans="1:2" s="827" customFormat="1" x14ac:dyDescent="0.25">
      <c r="A506" s="827">
        <v>4</v>
      </c>
      <c r="B506" s="827" t="s">
        <v>130</v>
      </c>
    </row>
    <row r="507" spans="1:2" s="827" customFormat="1" x14ac:dyDescent="0.25">
      <c r="A507" s="827">
        <v>4</v>
      </c>
      <c r="B507" s="827" t="s">
        <v>131</v>
      </c>
    </row>
    <row r="508" spans="1:2" s="827" customFormat="1" x14ac:dyDescent="0.25">
      <c r="A508" s="827">
        <v>4</v>
      </c>
      <c r="B508" s="827" t="s">
        <v>132</v>
      </c>
    </row>
    <row r="509" spans="1:2" s="827" customFormat="1" x14ac:dyDescent="0.25">
      <c r="A509" s="827">
        <v>4</v>
      </c>
      <c r="B509" s="827" t="s">
        <v>133</v>
      </c>
    </row>
    <row r="510" spans="1:2" s="827" customFormat="1" x14ac:dyDescent="0.25">
      <c r="A510" s="827">
        <v>4</v>
      </c>
      <c r="B510" s="827" t="s">
        <v>134</v>
      </c>
    </row>
    <row r="511" spans="1:2" s="827" customFormat="1" x14ac:dyDescent="0.25">
      <c r="A511" s="827">
        <v>4</v>
      </c>
      <c r="B511" s="827" t="s">
        <v>135</v>
      </c>
    </row>
    <row r="512" spans="1:2" s="827" customFormat="1" x14ac:dyDescent="0.25">
      <c r="A512" s="827">
        <v>4</v>
      </c>
      <c r="B512" s="827" t="s">
        <v>136</v>
      </c>
    </row>
    <row r="513" spans="1:2" s="827" customFormat="1" x14ac:dyDescent="0.25">
      <c r="A513" s="827">
        <v>4</v>
      </c>
      <c r="B513" s="827" t="s">
        <v>137</v>
      </c>
    </row>
    <row r="514" spans="1:2" s="827" customFormat="1" x14ac:dyDescent="0.25">
      <c r="A514" s="827">
        <v>4</v>
      </c>
      <c r="B514" s="827" t="s">
        <v>138</v>
      </c>
    </row>
    <row r="515" spans="1:2" s="827" customFormat="1" x14ac:dyDescent="0.25">
      <c r="A515" s="827">
        <v>4</v>
      </c>
      <c r="B515" s="827" t="s">
        <v>139</v>
      </c>
    </row>
    <row r="516" spans="1:2" s="827" customFormat="1" x14ac:dyDescent="0.25">
      <c r="A516" s="827">
        <v>4</v>
      </c>
      <c r="B516" s="827" t="s">
        <v>140</v>
      </c>
    </row>
    <row r="517" spans="1:2" s="827" customFormat="1" x14ac:dyDescent="0.25">
      <c r="A517" s="827">
        <v>4</v>
      </c>
      <c r="B517" s="827" t="s">
        <v>141</v>
      </c>
    </row>
    <row r="518" spans="1:2" s="827" customFormat="1" x14ac:dyDescent="0.25">
      <c r="A518" s="827">
        <v>4</v>
      </c>
      <c r="B518" s="827" t="s">
        <v>142</v>
      </c>
    </row>
    <row r="519" spans="1:2" s="827" customFormat="1" x14ac:dyDescent="0.25">
      <c r="A519" s="827">
        <v>4</v>
      </c>
      <c r="B519" s="827" t="s">
        <v>143</v>
      </c>
    </row>
    <row r="520" spans="1:2" s="827" customFormat="1" x14ac:dyDescent="0.25">
      <c r="A520" s="827">
        <v>4</v>
      </c>
      <c r="B520" s="827" t="s">
        <v>144</v>
      </c>
    </row>
    <row r="521" spans="1:2" s="827" customFormat="1" x14ac:dyDescent="0.25">
      <c r="A521" s="827">
        <v>4</v>
      </c>
      <c r="B521" s="827" t="s">
        <v>145</v>
      </c>
    </row>
    <row r="522" spans="1:2" s="827" customFormat="1" x14ac:dyDescent="0.25">
      <c r="A522" s="827">
        <v>4</v>
      </c>
      <c r="B522" s="827" t="s">
        <v>146</v>
      </c>
    </row>
    <row r="523" spans="1:2" s="827" customFormat="1" x14ac:dyDescent="0.25">
      <c r="A523" s="827">
        <v>4</v>
      </c>
      <c r="B523" s="827" t="s">
        <v>147</v>
      </c>
    </row>
    <row r="524" spans="1:2" s="827" customFormat="1" x14ac:dyDescent="0.25">
      <c r="A524" s="827">
        <v>4</v>
      </c>
      <c r="B524" s="827" t="s">
        <v>148</v>
      </c>
    </row>
    <row r="525" spans="1:2" s="827" customFormat="1" x14ac:dyDescent="0.25">
      <c r="A525" s="827">
        <v>4</v>
      </c>
      <c r="B525" s="827" t="s">
        <v>149</v>
      </c>
    </row>
    <row r="526" spans="1:2" s="827" customFormat="1" x14ac:dyDescent="0.25">
      <c r="A526" s="827">
        <v>4</v>
      </c>
      <c r="B526" s="827" t="s">
        <v>150</v>
      </c>
    </row>
    <row r="527" spans="1:2" s="827" customFormat="1" x14ac:dyDescent="0.25">
      <c r="A527" s="827">
        <v>4</v>
      </c>
      <c r="B527" s="827" t="s">
        <v>151</v>
      </c>
    </row>
    <row r="528" spans="1:2" s="827" customFormat="1" x14ac:dyDescent="0.25">
      <c r="A528" s="827">
        <v>4</v>
      </c>
      <c r="B528" s="827" t="s">
        <v>152</v>
      </c>
    </row>
    <row r="529" spans="1:2" s="827" customFormat="1" x14ac:dyDescent="0.25">
      <c r="A529" s="827">
        <v>4</v>
      </c>
      <c r="B529" s="827" t="s">
        <v>153</v>
      </c>
    </row>
    <row r="530" spans="1:2" s="827" customFormat="1" x14ac:dyDescent="0.25">
      <c r="A530" s="827">
        <v>4</v>
      </c>
      <c r="B530" s="827" t="s">
        <v>154</v>
      </c>
    </row>
    <row r="531" spans="1:2" s="827" customFormat="1" x14ac:dyDescent="0.25">
      <c r="A531" s="827">
        <v>4</v>
      </c>
      <c r="B531" s="827" t="s">
        <v>155</v>
      </c>
    </row>
    <row r="532" spans="1:2" s="827" customFormat="1" x14ac:dyDescent="0.25">
      <c r="A532" s="827">
        <v>4</v>
      </c>
      <c r="B532" s="827" t="s">
        <v>156</v>
      </c>
    </row>
    <row r="533" spans="1:2" s="827" customFormat="1" x14ac:dyDescent="0.25">
      <c r="A533" s="827">
        <v>4</v>
      </c>
      <c r="B533" s="827" t="s">
        <v>157</v>
      </c>
    </row>
    <row r="534" spans="1:2" s="827" customFormat="1" x14ac:dyDescent="0.25">
      <c r="A534" s="827">
        <v>4</v>
      </c>
      <c r="B534" s="827" t="s">
        <v>158</v>
      </c>
    </row>
    <row r="535" spans="1:2" s="827" customFormat="1" x14ac:dyDescent="0.25">
      <c r="A535" s="827">
        <v>4</v>
      </c>
      <c r="B535" s="827" t="s">
        <v>159</v>
      </c>
    </row>
    <row r="536" spans="1:2" s="827" customFormat="1" x14ac:dyDescent="0.25">
      <c r="A536" s="827">
        <v>4</v>
      </c>
      <c r="B536" s="827" t="s">
        <v>160</v>
      </c>
    </row>
    <row r="537" spans="1:2" s="827" customFormat="1" x14ac:dyDescent="0.25">
      <c r="A537" s="827">
        <v>4</v>
      </c>
      <c r="B537" s="827" t="s">
        <v>161</v>
      </c>
    </row>
    <row r="538" spans="1:2" s="827" customFormat="1" x14ac:dyDescent="0.25">
      <c r="A538" s="827">
        <v>4</v>
      </c>
      <c r="B538" s="827" t="s">
        <v>162</v>
      </c>
    </row>
    <row r="539" spans="1:2" s="827" customFormat="1" x14ac:dyDescent="0.25">
      <c r="A539" s="827">
        <v>4</v>
      </c>
      <c r="B539" s="827" t="s">
        <v>163</v>
      </c>
    </row>
    <row r="540" spans="1:2" s="827" customFormat="1" x14ac:dyDescent="0.25">
      <c r="A540" s="827">
        <v>4</v>
      </c>
      <c r="B540" s="827" t="s">
        <v>164</v>
      </c>
    </row>
    <row r="541" spans="1:2" s="827" customFormat="1" x14ac:dyDescent="0.25">
      <c r="A541" s="827">
        <v>4</v>
      </c>
      <c r="B541" s="827" t="s">
        <v>165</v>
      </c>
    </row>
    <row r="542" spans="1:2" s="827" customFormat="1" x14ac:dyDescent="0.25">
      <c r="A542" s="827">
        <v>4</v>
      </c>
      <c r="B542" s="827" t="s">
        <v>166</v>
      </c>
    </row>
    <row r="543" spans="1:2" s="827" customFormat="1" x14ac:dyDescent="0.25">
      <c r="A543" s="827">
        <v>4</v>
      </c>
      <c r="B543" s="827" t="s">
        <v>167</v>
      </c>
    </row>
    <row r="544" spans="1:2" s="827" customFormat="1" x14ac:dyDescent="0.25">
      <c r="A544" s="827">
        <v>4</v>
      </c>
      <c r="B544" s="827" t="s">
        <v>168</v>
      </c>
    </row>
    <row r="545" spans="1:2" s="827" customFormat="1" x14ac:dyDescent="0.25">
      <c r="A545" s="827">
        <v>4</v>
      </c>
      <c r="B545" s="827" t="s">
        <v>169</v>
      </c>
    </row>
    <row r="546" spans="1:2" s="827" customFormat="1" x14ac:dyDescent="0.25">
      <c r="A546" s="827">
        <v>4</v>
      </c>
      <c r="B546" s="827" t="s">
        <v>170</v>
      </c>
    </row>
    <row r="547" spans="1:2" s="827" customFormat="1" x14ac:dyDescent="0.25">
      <c r="A547" s="827">
        <v>4</v>
      </c>
      <c r="B547" s="827" t="s">
        <v>171</v>
      </c>
    </row>
    <row r="548" spans="1:2" s="827" customFormat="1" x14ac:dyDescent="0.25">
      <c r="A548" s="827">
        <v>4</v>
      </c>
      <c r="B548" s="827" t="s">
        <v>172</v>
      </c>
    </row>
    <row r="549" spans="1:2" s="827" customFormat="1" x14ac:dyDescent="0.25">
      <c r="A549" s="827">
        <v>4</v>
      </c>
      <c r="B549" s="827" t="s">
        <v>173</v>
      </c>
    </row>
    <row r="550" spans="1:2" s="827" customFormat="1" x14ac:dyDescent="0.25">
      <c r="A550" s="827">
        <v>4</v>
      </c>
      <c r="B550" s="827" t="s">
        <v>174</v>
      </c>
    </row>
    <row r="551" spans="1:2" s="827" customFormat="1" x14ac:dyDescent="0.25">
      <c r="A551" s="827">
        <v>4</v>
      </c>
      <c r="B551" s="827" t="s">
        <v>175</v>
      </c>
    </row>
    <row r="552" spans="1:2" s="827" customFormat="1" x14ac:dyDescent="0.25">
      <c r="A552" s="827">
        <v>4</v>
      </c>
      <c r="B552" s="827" t="s">
        <v>176</v>
      </c>
    </row>
    <row r="553" spans="1:2" s="827" customFormat="1" x14ac:dyDescent="0.25">
      <c r="A553" s="827">
        <v>4</v>
      </c>
      <c r="B553" s="827" t="s">
        <v>177</v>
      </c>
    </row>
    <row r="554" spans="1:2" s="827" customFormat="1" x14ac:dyDescent="0.25">
      <c r="A554" s="827">
        <v>4</v>
      </c>
      <c r="B554" s="827" t="s">
        <v>178</v>
      </c>
    </row>
    <row r="555" spans="1:2" s="827" customFormat="1" x14ac:dyDescent="0.25">
      <c r="A555" s="827">
        <v>4</v>
      </c>
      <c r="B555" s="827" t="s">
        <v>179</v>
      </c>
    </row>
    <row r="556" spans="1:2" s="827" customFormat="1" x14ac:dyDescent="0.25">
      <c r="A556" s="827">
        <v>4</v>
      </c>
      <c r="B556" s="827" t="s">
        <v>180</v>
      </c>
    </row>
    <row r="557" spans="1:2" s="827" customFormat="1" x14ac:dyDescent="0.25">
      <c r="A557" s="827">
        <v>4</v>
      </c>
      <c r="B557" s="827" t="s">
        <v>181</v>
      </c>
    </row>
    <row r="558" spans="1:2" s="827" customFormat="1" x14ac:dyDescent="0.25">
      <c r="A558" s="827">
        <v>4</v>
      </c>
      <c r="B558" s="827" t="s">
        <v>182</v>
      </c>
    </row>
    <row r="559" spans="1:2" s="827" customFormat="1" x14ac:dyDescent="0.25">
      <c r="A559" s="827">
        <v>4</v>
      </c>
      <c r="B559" s="827" t="s">
        <v>183</v>
      </c>
    </row>
    <row r="560" spans="1:2" s="827" customFormat="1" x14ac:dyDescent="0.25">
      <c r="A560" s="827">
        <v>4</v>
      </c>
      <c r="B560" s="827" t="s">
        <v>184</v>
      </c>
    </row>
    <row r="561" spans="1:2" s="827" customFormat="1" x14ac:dyDescent="0.25">
      <c r="A561" s="827">
        <v>4</v>
      </c>
      <c r="B561" s="827" t="s">
        <v>185</v>
      </c>
    </row>
    <row r="562" spans="1:2" s="827" customFormat="1" x14ac:dyDescent="0.25">
      <c r="A562" s="827">
        <v>4</v>
      </c>
      <c r="B562" s="827" t="s">
        <v>186</v>
      </c>
    </row>
    <row r="563" spans="1:2" s="827" customFormat="1" x14ac:dyDescent="0.25">
      <c r="A563" s="827">
        <v>4</v>
      </c>
      <c r="B563" s="827" t="s">
        <v>187</v>
      </c>
    </row>
    <row r="564" spans="1:2" s="827" customFormat="1" x14ac:dyDescent="0.25">
      <c r="A564" s="827">
        <v>4</v>
      </c>
      <c r="B564" s="827" t="s">
        <v>188</v>
      </c>
    </row>
    <row r="565" spans="1:2" s="827" customFormat="1" x14ac:dyDescent="0.25">
      <c r="A565" s="827">
        <v>4</v>
      </c>
      <c r="B565" s="827" t="s">
        <v>189</v>
      </c>
    </row>
    <row r="566" spans="1:2" s="827" customFormat="1" x14ac:dyDescent="0.25">
      <c r="A566" s="827">
        <v>4</v>
      </c>
      <c r="B566" s="827" t="s">
        <v>190</v>
      </c>
    </row>
    <row r="567" spans="1:2" s="827" customFormat="1" x14ac:dyDescent="0.25">
      <c r="A567" s="827">
        <v>4</v>
      </c>
      <c r="B567" s="827" t="s">
        <v>191</v>
      </c>
    </row>
    <row r="568" spans="1:2" s="827" customFormat="1" x14ac:dyDescent="0.25">
      <c r="A568" s="827">
        <v>4</v>
      </c>
      <c r="B568" s="827" t="s">
        <v>192</v>
      </c>
    </row>
    <row r="569" spans="1:2" s="827" customFormat="1" x14ac:dyDescent="0.25">
      <c r="A569" s="827">
        <v>4</v>
      </c>
      <c r="B569" s="827" t="s">
        <v>193</v>
      </c>
    </row>
    <row r="570" spans="1:2" s="827" customFormat="1" x14ac:dyDescent="0.25">
      <c r="A570" s="827">
        <v>4</v>
      </c>
      <c r="B570" s="827" t="s">
        <v>194</v>
      </c>
    </row>
    <row r="571" spans="1:2" s="827" customFormat="1" x14ac:dyDescent="0.25">
      <c r="A571" s="827">
        <v>4</v>
      </c>
      <c r="B571" s="827" t="s">
        <v>195</v>
      </c>
    </row>
    <row r="572" spans="1:2" s="827" customFormat="1" x14ac:dyDescent="0.25">
      <c r="A572" s="827">
        <v>4</v>
      </c>
      <c r="B572" s="827" t="s">
        <v>196</v>
      </c>
    </row>
    <row r="573" spans="1:2" s="827" customFormat="1" x14ac:dyDescent="0.25">
      <c r="A573" s="827">
        <v>4</v>
      </c>
      <c r="B573" s="827" t="s">
        <v>197</v>
      </c>
    </row>
    <row r="574" spans="1:2" s="827" customFormat="1" x14ac:dyDescent="0.25">
      <c r="A574" s="827">
        <v>4</v>
      </c>
      <c r="B574" s="827" t="s">
        <v>198</v>
      </c>
    </row>
    <row r="575" spans="1:2" s="827" customFormat="1" x14ac:dyDescent="0.25">
      <c r="A575" s="827">
        <v>4</v>
      </c>
      <c r="B575" s="827" t="s">
        <v>199</v>
      </c>
    </row>
    <row r="576" spans="1:2" s="827" customFormat="1" x14ac:dyDescent="0.25">
      <c r="A576" s="827">
        <v>4</v>
      </c>
      <c r="B576" s="827" t="s">
        <v>877</v>
      </c>
    </row>
    <row r="577" spans="1:2" s="827" customFormat="1" x14ac:dyDescent="0.25">
      <c r="A577" s="827">
        <v>4</v>
      </c>
      <c r="B577" s="827" t="s">
        <v>878</v>
      </c>
    </row>
    <row r="578" spans="1:2" s="827" customFormat="1" x14ac:dyDescent="0.25">
      <c r="A578" s="827">
        <v>4</v>
      </c>
      <c r="B578" s="827" t="s">
        <v>879</v>
      </c>
    </row>
    <row r="579" spans="1:2" s="827" customFormat="1" x14ac:dyDescent="0.25">
      <c r="A579" s="827">
        <v>4</v>
      </c>
      <c r="B579" s="827" t="s">
        <v>880</v>
      </c>
    </row>
    <row r="580" spans="1:2" s="827" customFormat="1" x14ac:dyDescent="0.25">
      <c r="A580" s="827">
        <v>4</v>
      </c>
      <c r="B580" s="827" t="s">
        <v>881</v>
      </c>
    </row>
    <row r="581" spans="1:2" s="827" customFormat="1" x14ac:dyDescent="0.25">
      <c r="A581" s="827">
        <v>4</v>
      </c>
      <c r="B581" s="827" t="s">
        <v>882</v>
      </c>
    </row>
    <row r="582" spans="1:2" s="827" customFormat="1" x14ac:dyDescent="0.25">
      <c r="A582" s="827">
        <v>4</v>
      </c>
      <c r="B582" s="827" t="s">
        <v>883</v>
      </c>
    </row>
    <row r="583" spans="1:2" s="827" customFormat="1" x14ac:dyDescent="0.25">
      <c r="A583" s="827">
        <v>4</v>
      </c>
      <c r="B583" s="827" t="s">
        <v>884</v>
      </c>
    </row>
    <row r="584" spans="1:2" s="827" customFormat="1" x14ac:dyDescent="0.25">
      <c r="A584" s="827">
        <v>4</v>
      </c>
      <c r="B584" s="827" t="s">
        <v>885</v>
      </c>
    </row>
    <row r="585" spans="1:2" s="827" customFormat="1" x14ac:dyDescent="0.25">
      <c r="A585" s="827">
        <v>4</v>
      </c>
      <c r="B585" s="827" t="s">
        <v>886</v>
      </c>
    </row>
    <row r="586" spans="1:2" s="827" customFormat="1" x14ac:dyDescent="0.25">
      <c r="A586" s="827">
        <v>4</v>
      </c>
      <c r="B586" s="827" t="s">
        <v>887</v>
      </c>
    </row>
    <row r="587" spans="1:2" s="827" customFormat="1" x14ac:dyDescent="0.25">
      <c r="A587" s="827">
        <v>4</v>
      </c>
      <c r="B587" s="827" t="s">
        <v>888</v>
      </c>
    </row>
    <row r="588" spans="1:2" s="827" customFormat="1" x14ac:dyDescent="0.25">
      <c r="A588" s="827">
        <v>4</v>
      </c>
      <c r="B588" s="827" t="s">
        <v>889</v>
      </c>
    </row>
    <row r="589" spans="1:2" s="827" customFormat="1" x14ac:dyDescent="0.25">
      <c r="A589" s="827">
        <v>4</v>
      </c>
      <c r="B589" s="827" t="s">
        <v>890</v>
      </c>
    </row>
    <row r="590" spans="1:2" s="827" customFormat="1" x14ac:dyDescent="0.25">
      <c r="A590" s="827">
        <v>4</v>
      </c>
      <c r="B590" s="827" t="s">
        <v>891</v>
      </c>
    </row>
    <row r="591" spans="1:2" s="827" customFormat="1" x14ac:dyDescent="0.25">
      <c r="A591" s="827">
        <v>4</v>
      </c>
      <c r="B591" s="827" t="s">
        <v>892</v>
      </c>
    </row>
    <row r="592" spans="1:2" s="827" customFormat="1" x14ac:dyDescent="0.25">
      <c r="A592" s="827">
        <v>4</v>
      </c>
      <c r="B592" s="827" t="s">
        <v>893</v>
      </c>
    </row>
    <row r="593" spans="1:2" s="827" customFormat="1" x14ac:dyDescent="0.25">
      <c r="A593" s="827">
        <v>4</v>
      </c>
      <c r="B593" s="827" t="s">
        <v>894</v>
      </c>
    </row>
    <row r="594" spans="1:2" s="827" customFormat="1" x14ac:dyDescent="0.25">
      <c r="A594" s="827">
        <v>4</v>
      </c>
      <c r="B594" s="827" t="s">
        <v>895</v>
      </c>
    </row>
    <row r="595" spans="1:2" s="827" customFormat="1" x14ac:dyDescent="0.25">
      <c r="A595" s="827">
        <v>4</v>
      </c>
      <c r="B595" s="827" t="s">
        <v>896</v>
      </c>
    </row>
    <row r="596" spans="1:2" s="827" customFormat="1" x14ac:dyDescent="0.25">
      <c r="A596" s="827">
        <v>4</v>
      </c>
      <c r="B596" s="827" t="s">
        <v>897</v>
      </c>
    </row>
    <row r="597" spans="1:2" s="827" customFormat="1" x14ac:dyDescent="0.25">
      <c r="A597" s="827">
        <v>4</v>
      </c>
      <c r="B597" s="827" t="s">
        <v>898</v>
      </c>
    </row>
    <row r="598" spans="1:2" s="827" customFormat="1" x14ac:dyDescent="0.25">
      <c r="A598" s="827">
        <v>4</v>
      </c>
      <c r="B598" s="827" t="s">
        <v>899</v>
      </c>
    </row>
    <row r="599" spans="1:2" s="827" customFormat="1" x14ac:dyDescent="0.25">
      <c r="A599" s="827">
        <v>4</v>
      </c>
      <c r="B599" s="827" t="s">
        <v>900</v>
      </c>
    </row>
    <row r="600" spans="1:2" s="827" customFormat="1" x14ac:dyDescent="0.25">
      <c r="A600" s="827">
        <v>4</v>
      </c>
      <c r="B600" s="827" t="s">
        <v>901</v>
      </c>
    </row>
    <row r="601" spans="1:2" s="827" customFormat="1" x14ac:dyDescent="0.25">
      <c r="A601" s="827">
        <v>4</v>
      </c>
      <c r="B601" s="827" t="s">
        <v>902</v>
      </c>
    </row>
    <row r="602" spans="1:2" s="827" customFormat="1" x14ac:dyDescent="0.25">
      <c r="A602" s="827">
        <v>4</v>
      </c>
      <c r="B602" s="827" t="s">
        <v>903</v>
      </c>
    </row>
    <row r="603" spans="1:2" s="827" customFormat="1" x14ac:dyDescent="0.25">
      <c r="A603" s="827">
        <v>4</v>
      </c>
      <c r="B603" s="827" t="s">
        <v>904</v>
      </c>
    </row>
    <row r="604" spans="1:2" s="827" customFormat="1" x14ac:dyDescent="0.25">
      <c r="A604" s="827">
        <v>4</v>
      </c>
      <c r="B604" s="827" t="s">
        <v>905</v>
      </c>
    </row>
    <row r="605" spans="1:2" s="827" customFormat="1" x14ac:dyDescent="0.25">
      <c r="A605" s="827">
        <v>4</v>
      </c>
      <c r="B605" s="827" t="s">
        <v>906</v>
      </c>
    </row>
    <row r="606" spans="1:2" s="827" customFormat="1" x14ac:dyDescent="0.25">
      <c r="A606" s="827">
        <v>4</v>
      </c>
      <c r="B606" s="827" t="s">
        <v>907</v>
      </c>
    </row>
    <row r="607" spans="1:2" s="827" customFormat="1" x14ac:dyDescent="0.25">
      <c r="A607" s="827">
        <v>4</v>
      </c>
      <c r="B607" s="827" t="s">
        <v>908</v>
      </c>
    </row>
    <row r="608" spans="1:2" s="827" customFormat="1" x14ac:dyDescent="0.25">
      <c r="A608" s="827">
        <v>4</v>
      </c>
      <c r="B608" s="827" t="s">
        <v>909</v>
      </c>
    </row>
    <row r="609" spans="1:2" s="827" customFormat="1" x14ac:dyDescent="0.25">
      <c r="A609" s="827">
        <v>4</v>
      </c>
      <c r="B609" s="827" t="s">
        <v>910</v>
      </c>
    </row>
    <row r="610" spans="1:2" s="827" customFormat="1" x14ac:dyDescent="0.25">
      <c r="A610" s="827">
        <v>4</v>
      </c>
      <c r="B610" s="827" t="s">
        <v>911</v>
      </c>
    </row>
    <row r="611" spans="1:2" s="827" customFormat="1" x14ac:dyDescent="0.25">
      <c r="A611" s="827">
        <v>4</v>
      </c>
      <c r="B611" s="827" t="s">
        <v>912</v>
      </c>
    </row>
    <row r="612" spans="1:2" s="827" customFormat="1" x14ac:dyDescent="0.25">
      <c r="A612" s="827">
        <v>4</v>
      </c>
      <c r="B612" s="827" t="s">
        <v>913</v>
      </c>
    </row>
    <row r="613" spans="1:2" s="827" customFormat="1" x14ac:dyDescent="0.25">
      <c r="A613" s="827">
        <v>4</v>
      </c>
      <c r="B613" s="827" t="s">
        <v>914</v>
      </c>
    </row>
    <row r="614" spans="1:2" s="827" customFormat="1" x14ac:dyDescent="0.25">
      <c r="A614" s="827">
        <v>4</v>
      </c>
      <c r="B614" s="827" t="s">
        <v>915</v>
      </c>
    </row>
    <row r="615" spans="1:2" s="827" customFormat="1" x14ac:dyDescent="0.25">
      <c r="A615" s="827">
        <v>4</v>
      </c>
      <c r="B615" s="827" t="s">
        <v>38</v>
      </c>
    </row>
    <row r="616" spans="1:2" s="827" customFormat="1" x14ac:dyDescent="0.25">
      <c r="A616" s="827">
        <v>4</v>
      </c>
      <c r="B616" s="827" t="s">
        <v>39</v>
      </c>
    </row>
    <row r="617" spans="1:2" s="827" customFormat="1" x14ac:dyDescent="0.25">
      <c r="A617" s="827">
        <v>4</v>
      </c>
      <c r="B617" s="827" t="s">
        <v>40</v>
      </c>
    </row>
    <row r="618" spans="1:2" s="827" customFormat="1" x14ac:dyDescent="0.25">
      <c r="A618" s="827">
        <v>4</v>
      </c>
      <c r="B618" s="827" t="s">
        <v>41</v>
      </c>
    </row>
    <row r="619" spans="1:2" s="827" customFormat="1" x14ac:dyDescent="0.25">
      <c r="A619" s="827">
        <v>4</v>
      </c>
      <c r="B619" s="827" t="s">
        <v>42</v>
      </c>
    </row>
    <row r="620" spans="1:2" s="827" customFormat="1" x14ac:dyDescent="0.25">
      <c r="A620" s="827">
        <v>4</v>
      </c>
      <c r="B620" s="827" t="s">
        <v>43</v>
      </c>
    </row>
    <row r="621" spans="1:2" s="827" customFormat="1" x14ac:dyDescent="0.25">
      <c r="A621" s="827">
        <v>4</v>
      </c>
      <c r="B621" s="827" t="s">
        <v>44</v>
      </c>
    </row>
    <row r="622" spans="1:2" s="827" customFormat="1" x14ac:dyDescent="0.25">
      <c r="A622" s="827">
        <v>4</v>
      </c>
      <c r="B622" s="827" t="s">
        <v>45</v>
      </c>
    </row>
    <row r="623" spans="1:2" s="827" customFormat="1" x14ac:dyDescent="0.25">
      <c r="A623" s="827">
        <v>4</v>
      </c>
      <c r="B623" s="827" t="s">
        <v>46</v>
      </c>
    </row>
    <row r="624" spans="1:2" s="827" customFormat="1" x14ac:dyDescent="0.25">
      <c r="A624" s="827">
        <v>4</v>
      </c>
      <c r="B624" s="827" t="s">
        <v>47</v>
      </c>
    </row>
    <row r="625" spans="1:2" s="827" customFormat="1" x14ac:dyDescent="0.25">
      <c r="A625" s="827">
        <v>4</v>
      </c>
      <c r="B625" s="827" t="s">
        <v>48</v>
      </c>
    </row>
    <row r="626" spans="1:2" s="827" customFormat="1" x14ac:dyDescent="0.25">
      <c r="A626" s="827">
        <v>4</v>
      </c>
      <c r="B626" s="827" t="s">
        <v>49</v>
      </c>
    </row>
    <row r="627" spans="1:2" s="827" customFormat="1" x14ac:dyDescent="0.25">
      <c r="A627" s="827">
        <v>4</v>
      </c>
      <c r="B627" s="827" t="s">
        <v>50</v>
      </c>
    </row>
    <row r="628" spans="1:2" s="827" customFormat="1" x14ac:dyDescent="0.25">
      <c r="A628" s="827">
        <v>4</v>
      </c>
      <c r="B628" s="827" t="s">
        <v>51</v>
      </c>
    </row>
    <row r="629" spans="1:2" s="827" customFormat="1" x14ac:dyDescent="0.25">
      <c r="A629" s="827">
        <v>4</v>
      </c>
      <c r="B629" s="827" t="s">
        <v>52</v>
      </c>
    </row>
    <row r="630" spans="1:2" s="827" customFormat="1" x14ac:dyDescent="0.25">
      <c r="A630" s="827">
        <v>4</v>
      </c>
      <c r="B630" s="827" t="s">
        <v>53</v>
      </c>
    </row>
    <row r="631" spans="1:2" s="827" customFormat="1" x14ac:dyDescent="0.25">
      <c r="A631" s="827">
        <v>4</v>
      </c>
      <c r="B631" s="827" t="s">
        <v>54</v>
      </c>
    </row>
    <row r="632" spans="1:2" s="827" customFormat="1" x14ac:dyDescent="0.25">
      <c r="A632" s="827">
        <v>4</v>
      </c>
      <c r="B632" s="827" t="s">
        <v>55</v>
      </c>
    </row>
    <row r="633" spans="1:2" s="827" customFormat="1" x14ac:dyDescent="0.25">
      <c r="A633" s="827">
        <v>4</v>
      </c>
      <c r="B633" s="827" t="s">
        <v>56</v>
      </c>
    </row>
    <row r="634" spans="1:2" s="827" customFormat="1" x14ac:dyDescent="0.25">
      <c r="A634" s="827">
        <v>4</v>
      </c>
      <c r="B634" s="827" t="s">
        <v>57</v>
      </c>
    </row>
    <row r="635" spans="1:2" s="827" customFormat="1" x14ac:dyDescent="0.25">
      <c r="A635" s="827">
        <v>4</v>
      </c>
      <c r="B635" s="827" t="s">
        <v>58</v>
      </c>
    </row>
    <row r="636" spans="1:2" s="827" customFormat="1" x14ac:dyDescent="0.25">
      <c r="A636" s="827">
        <v>4</v>
      </c>
      <c r="B636" s="827" t="s">
        <v>59</v>
      </c>
    </row>
    <row r="637" spans="1:2" s="827" customFormat="1" x14ac:dyDescent="0.25">
      <c r="A637" s="827">
        <v>4</v>
      </c>
      <c r="B637" s="827" t="s">
        <v>60</v>
      </c>
    </row>
    <row r="638" spans="1:2" s="827" customFormat="1" x14ac:dyDescent="0.25">
      <c r="A638" s="827">
        <v>4</v>
      </c>
      <c r="B638" s="827" t="s">
        <v>61</v>
      </c>
    </row>
    <row r="639" spans="1:2" s="827" customFormat="1" x14ac:dyDescent="0.25">
      <c r="A639" s="827">
        <v>4</v>
      </c>
      <c r="B639" s="827" t="s">
        <v>62</v>
      </c>
    </row>
    <row r="640" spans="1:2" s="827" customFormat="1" x14ac:dyDescent="0.25">
      <c r="A640" s="827">
        <v>4</v>
      </c>
      <c r="B640" s="827" t="s">
        <v>63</v>
      </c>
    </row>
    <row r="641" spans="1:2" s="827" customFormat="1" x14ac:dyDescent="0.25">
      <c r="A641" s="827">
        <v>4</v>
      </c>
      <c r="B641" s="827" t="s">
        <v>64</v>
      </c>
    </row>
    <row r="642" spans="1:2" s="827" customFormat="1" x14ac:dyDescent="0.25">
      <c r="A642" s="827">
        <v>4</v>
      </c>
      <c r="B642" s="827" t="s">
        <v>65</v>
      </c>
    </row>
    <row r="643" spans="1:2" s="827" customFormat="1" x14ac:dyDescent="0.25">
      <c r="A643" s="827">
        <v>4</v>
      </c>
      <c r="B643" s="827" t="s">
        <v>66</v>
      </c>
    </row>
    <row r="644" spans="1:2" s="827" customFormat="1" x14ac:dyDescent="0.25">
      <c r="A644" s="827">
        <v>4</v>
      </c>
      <c r="B644" s="827" t="s">
        <v>67</v>
      </c>
    </row>
    <row r="645" spans="1:2" s="827" customFormat="1" x14ac:dyDescent="0.25">
      <c r="A645" s="827">
        <v>4</v>
      </c>
      <c r="B645" s="827" t="s">
        <v>68</v>
      </c>
    </row>
    <row r="646" spans="1:2" s="827" customFormat="1" x14ac:dyDescent="0.25">
      <c r="A646" s="827">
        <v>4</v>
      </c>
      <c r="B646" s="827" t="s">
        <v>69</v>
      </c>
    </row>
    <row r="647" spans="1:2" s="827" customFormat="1" x14ac:dyDescent="0.25">
      <c r="A647" s="827">
        <v>4</v>
      </c>
      <c r="B647" s="827" t="s">
        <v>70</v>
      </c>
    </row>
    <row r="648" spans="1:2" s="827" customFormat="1" x14ac:dyDescent="0.25">
      <c r="A648" s="827">
        <v>4</v>
      </c>
      <c r="B648" s="827" t="s">
        <v>71</v>
      </c>
    </row>
    <row r="649" spans="1:2" s="827" customFormat="1" x14ac:dyDescent="0.25">
      <c r="A649" s="827">
        <v>4</v>
      </c>
      <c r="B649" s="827" t="s">
        <v>72</v>
      </c>
    </row>
    <row r="650" spans="1:2" s="827" customFormat="1" x14ac:dyDescent="0.25">
      <c r="A650" s="827">
        <v>4</v>
      </c>
      <c r="B650" s="827" t="s">
        <v>73</v>
      </c>
    </row>
    <row r="651" spans="1:2" s="827" customFormat="1" x14ac:dyDescent="0.25">
      <c r="A651" s="827">
        <v>4</v>
      </c>
      <c r="B651" s="827" t="s">
        <v>74</v>
      </c>
    </row>
    <row r="652" spans="1:2" s="827" customFormat="1" x14ac:dyDescent="0.25">
      <c r="A652" s="827">
        <v>4</v>
      </c>
      <c r="B652" s="827" t="s">
        <v>75</v>
      </c>
    </row>
    <row r="653" spans="1:2" s="827" customFormat="1" x14ac:dyDescent="0.25">
      <c r="A653" s="827">
        <v>4</v>
      </c>
      <c r="B653" s="827" t="s">
        <v>76</v>
      </c>
    </row>
    <row r="654" spans="1:2" s="827" customFormat="1" x14ac:dyDescent="0.25">
      <c r="A654" s="827">
        <v>4</v>
      </c>
      <c r="B654" s="827" t="s">
        <v>77</v>
      </c>
    </row>
    <row r="655" spans="1:2" s="827" customFormat="1" x14ac:dyDescent="0.25">
      <c r="A655" s="827">
        <v>4</v>
      </c>
      <c r="B655" s="827" t="s">
        <v>78</v>
      </c>
    </row>
    <row r="656" spans="1:2" s="827" customFormat="1" x14ac:dyDescent="0.25">
      <c r="A656" s="827">
        <v>4</v>
      </c>
      <c r="B656" s="827" t="s">
        <v>79</v>
      </c>
    </row>
    <row r="657" spans="1:2" s="827" customFormat="1" x14ac:dyDescent="0.25">
      <c r="A657" s="827">
        <v>4</v>
      </c>
      <c r="B657" s="827" t="s">
        <v>80</v>
      </c>
    </row>
    <row r="658" spans="1:2" s="827" customFormat="1" x14ac:dyDescent="0.25">
      <c r="A658" s="827">
        <v>4</v>
      </c>
      <c r="B658" s="827" t="s">
        <v>81</v>
      </c>
    </row>
    <row r="659" spans="1:2" s="827" customFormat="1" x14ac:dyDescent="0.25">
      <c r="A659" s="827">
        <v>4</v>
      </c>
      <c r="B659" s="827" t="s">
        <v>82</v>
      </c>
    </row>
    <row r="660" spans="1:2" s="827" customFormat="1" x14ac:dyDescent="0.25">
      <c r="A660" s="827">
        <v>4</v>
      </c>
      <c r="B660" s="827" t="s">
        <v>83</v>
      </c>
    </row>
    <row r="661" spans="1:2" s="827" customFormat="1" x14ac:dyDescent="0.25">
      <c r="A661" s="827">
        <v>4</v>
      </c>
      <c r="B661" s="827" t="s">
        <v>84</v>
      </c>
    </row>
    <row r="662" spans="1:2" s="827" customFormat="1" x14ac:dyDescent="0.25">
      <c r="A662" s="827">
        <v>4</v>
      </c>
      <c r="B662" s="827" t="s">
        <v>85</v>
      </c>
    </row>
    <row r="663" spans="1:2" s="827" customFormat="1" x14ac:dyDescent="0.25">
      <c r="A663" s="827">
        <v>4</v>
      </c>
      <c r="B663" s="827" t="s">
        <v>86</v>
      </c>
    </row>
    <row r="664" spans="1:2" s="827" customFormat="1" x14ac:dyDescent="0.25">
      <c r="A664" s="827">
        <v>4</v>
      </c>
      <c r="B664" s="827" t="s">
        <v>87</v>
      </c>
    </row>
    <row r="665" spans="1:2" s="827" customFormat="1" x14ac:dyDescent="0.25">
      <c r="A665" s="827">
        <v>4</v>
      </c>
      <c r="B665" s="827" t="s">
        <v>88</v>
      </c>
    </row>
    <row r="666" spans="1:2" s="827" customFormat="1" x14ac:dyDescent="0.25">
      <c r="A666" s="827">
        <v>4</v>
      </c>
      <c r="B666" s="827" t="s">
        <v>89</v>
      </c>
    </row>
    <row r="667" spans="1:2" s="827" customFormat="1" x14ac:dyDescent="0.25">
      <c r="A667" s="827">
        <v>4</v>
      </c>
      <c r="B667" s="827" t="s">
        <v>90</v>
      </c>
    </row>
    <row r="668" spans="1:2" s="827" customFormat="1" x14ac:dyDescent="0.25">
      <c r="A668" s="827">
        <v>4</v>
      </c>
      <c r="B668" s="827" t="s">
        <v>91</v>
      </c>
    </row>
    <row r="669" spans="1:2" s="827" customFormat="1" x14ac:dyDescent="0.25">
      <c r="A669" s="827">
        <v>4</v>
      </c>
      <c r="B669" s="827" t="s">
        <v>92</v>
      </c>
    </row>
    <row r="670" spans="1:2" s="827" customFormat="1" x14ac:dyDescent="0.25">
      <c r="A670" s="827">
        <v>5</v>
      </c>
      <c r="B670" s="827" t="s">
        <v>93</v>
      </c>
    </row>
    <row r="671" spans="1:2" s="827" customFormat="1" x14ac:dyDescent="0.25">
      <c r="A671" s="827">
        <v>5</v>
      </c>
      <c r="B671" s="827" t="s">
        <v>94</v>
      </c>
    </row>
    <row r="672" spans="1:2" s="827" customFormat="1" x14ac:dyDescent="0.25">
      <c r="A672" s="827">
        <v>5</v>
      </c>
      <c r="B672" s="827" t="s">
        <v>95</v>
      </c>
    </row>
    <row r="673" spans="1:2" s="827" customFormat="1" x14ac:dyDescent="0.25">
      <c r="A673" s="827">
        <v>5</v>
      </c>
      <c r="B673" s="827" t="s">
        <v>96</v>
      </c>
    </row>
    <row r="674" spans="1:2" s="827" customFormat="1" x14ac:dyDescent="0.25">
      <c r="A674" s="827">
        <v>5</v>
      </c>
      <c r="B674" s="827" t="s">
        <v>97</v>
      </c>
    </row>
    <row r="675" spans="1:2" s="827" customFormat="1" x14ac:dyDescent="0.25">
      <c r="A675" s="827">
        <v>5</v>
      </c>
      <c r="B675" s="827" t="s">
        <v>98</v>
      </c>
    </row>
    <row r="676" spans="1:2" s="827" customFormat="1" x14ac:dyDescent="0.25">
      <c r="A676" s="827">
        <v>5</v>
      </c>
      <c r="B676" s="827" t="s">
        <v>99</v>
      </c>
    </row>
    <row r="677" spans="1:2" s="827" customFormat="1" x14ac:dyDescent="0.25">
      <c r="A677" s="827">
        <v>5</v>
      </c>
      <c r="B677" s="827" t="s">
        <v>100</v>
      </c>
    </row>
    <row r="678" spans="1:2" s="827" customFormat="1" x14ac:dyDescent="0.25">
      <c r="A678" s="827">
        <v>5</v>
      </c>
      <c r="B678" s="827" t="s">
        <v>967</v>
      </c>
    </row>
    <row r="679" spans="1:2" s="827" customFormat="1" x14ac:dyDescent="0.25">
      <c r="A679" s="827">
        <v>5</v>
      </c>
      <c r="B679" s="827" t="s">
        <v>968</v>
      </c>
    </row>
    <row r="680" spans="1:2" s="827" customFormat="1" x14ac:dyDescent="0.25">
      <c r="A680" s="827">
        <v>5</v>
      </c>
      <c r="B680" s="827" t="s">
        <v>969</v>
      </c>
    </row>
    <row r="681" spans="1:2" s="827" customFormat="1" x14ac:dyDescent="0.25">
      <c r="A681" s="827">
        <v>5</v>
      </c>
      <c r="B681" s="827" t="s">
        <v>970</v>
      </c>
    </row>
    <row r="682" spans="1:2" s="827" customFormat="1" x14ac:dyDescent="0.25">
      <c r="A682" s="827">
        <v>5</v>
      </c>
      <c r="B682" s="827" t="s">
        <v>971</v>
      </c>
    </row>
    <row r="683" spans="1:2" s="827" customFormat="1" x14ac:dyDescent="0.25">
      <c r="A683" s="827">
        <v>5</v>
      </c>
      <c r="B683" s="827" t="s">
        <v>972</v>
      </c>
    </row>
    <row r="684" spans="1:2" s="827" customFormat="1" x14ac:dyDescent="0.25">
      <c r="A684" s="827">
        <v>5</v>
      </c>
      <c r="B684" s="827" t="s">
        <v>973</v>
      </c>
    </row>
    <row r="685" spans="1:2" s="827" customFormat="1" x14ac:dyDescent="0.25">
      <c r="A685" s="827">
        <v>5</v>
      </c>
      <c r="B685" s="827" t="s">
        <v>974</v>
      </c>
    </row>
    <row r="686" spans="1:2" s="827" customFormat="1" x14ac:dyDescent="0.25">
      <c r="A686" s="827">
        <v>5</v>
      </c>
      <c r="B686" s="827" t="s">
        <v>975</v>
      </c>
    </row>
    <row r="687" spans="1:2" s="827" customFormat="1" x14ac:dyDescent="0.25">
      <c r="A687" s="827">
        <v>5</v>
      </c>
      <c r="B687" s="827" t="s">
        <v>976</v>
      </c>
    </row>
    <row r="688" spans="1:2" s="827" customFormat="1" x14ac:dyDescent="0.25">
      <c r="A688" s="827">
        <v>5</v>
      </c>
      <c r="B688" s="827" t="s">
        <v>977</v>
      </c>
    </row>
    <row r="689" spans="1:2" s="827" customFormat="1" x14ac:dyDescent="0.25">
      <c r="A689" s="827">
        <v>5</v>
      </c>
      <c r="B689" s="827" t="s">
        <v>978</v>
      </c>
    </row>
    <row r="690" spans="1:2" s="827" customFormat="1" x14ac:dyDescent="0.25">
      <c r="A690" s="827">
        <v>5</v>
      </c>
      <c r="B690" s="827" t="s">
        <v>979</v>
      </c>
    </row>
    <row r="691" spans="1:2" s="827" customFormat="1" x14ac:dyDescent="0.25">
      <c r="A691" s="827">
        <v>5</v>
      </c>
      <c r="B691" s="827" t="s">
        <v>980</v>
      </c>
    </row>
    <row r="692" spans="1:2" s="827" customFormat="1" x14ac:dyDescent="0.25">
      <c r="A692" s="827">
        <v>5</v>
      </c>
      <c r="B692" s="827" t="s">
        <v>981</v>
      </c>
    </row>
    <row r="693" spans="1:2" s="827" customFormat="1" x14ac:dyDescent="0.25">
      <c r="A693" s="827">
        <v>5</v>
      </c>
      <c r="B693" s="827" t="s">
        <v>982</v>
      </c>
    </row>
    <row r="694" spans="1:2" s="827" customFormat="1" x14ac:dyDescent="0.25">
      <c r="A694" s="827">
        <v>5</v>
      </c>
      <c r="B694" s="827" t="s">
        <v>983</v>
      </c>
    </row>
    <row r="695" spans="1:2" s="827" customFormat="1" x14ac:dyDescent="0.25">
      <c r="A695" s="827">
        <v>5</v>
      </c>
      <c r="B695" s="827" t="s">
        <v>984</v>
      </c>
    </row>
    <row r="696" spans="1:2" s="827" customFormat="1" x14ac:dyDescent="0.25">
      <c r="A696" s="827">
        <v>5</v>
      </c>
      <c r="B696" s="827" t="s">
        <v>985</v>
      </c>
    </row>
    <row r="697" spans="1:2" s="827" customFormat="1" x14ac:dyDescent="0.25">
      <c r="A697" s="827">
        <v>5</v>
      </c>
      <c r="B697" s="827" t="s">
        <v>986</v>
      </c>
    </row>
    <row r="698" spans="1:2" s="827" customFormat="1" x14ac:dyDescent="0.25">
      <c r="A698" s="827">
        <v>5</v>
      </c>
      <c r="B698" s="827" t="s">
        <v>987</v>
      </c>
    </row>
    <row r="699" spans="1:2" s="827" customFormat="1" x14ac:dyDescent="0.25">
      <c r="A699" s="827">
        <v>5</v>
      </c>
      <c r="B699" s="827" t="s">
        <v>988</v>
      </c>
    </row>
    <row r="700" spans="1:2" s="827" customFormat="1" x14ac:dyDescent="0.25">
      <c r="A700" s="827">
        <v>5</v>
      </c>
      <c r="B700" s="827" t="s">
        <v>989</v>
      </c>
    </row>
    <row r="701" spans="1:2" s="827" customFormat="1" x14ac:dyDescent="0.25">
      <c r="A701" s="827">
        <v>5</v>
      </c>
      <c r="B701" s="827" t="s">
        <v>990</v>
      </c>
    </row>
    <row r="702" spans="1:2" s="827" customFormat="1" x14ac:dyDescent="0.25">
      <c r="A702" s="827">
        <v>5</v>
      </c>
      <c r="B702" s="827" t="s">
        <v>991</v>
      </c>
    </row>
    <row r="703" spans="1:2" s="827" customFormat="1" x14ac:dyDescent="0.25">
      <c r="A703" s="827">
        <v>5</v>
      </c>
      <c r="B703" s="827" t="s">
        <v>992</v>
      </c>
    </row>
    <row r="704" spans="1:2" s="827" customFormat="1" x14ac:dyDescent="0.25">
      <c r="A704" s="827">
        <v>5</v>
      </c>
      <c r="B704" s="827" t="s">
        <v>993</v>
      </c>
    </row>
    <row r="705" spans="1:2" s="827" customFormat="1" x14ac:dyDescent="0.25">
      <c r="A705" s="827">
        <v>5</v>
      </c>
      <c r="B705" s="827" t="s">
        <v>994</v>
      </c>
    </row>
    <row r="706" spans="1:2" s="827" customFormat="1" x14ac:dyDescent="0.25">
      <c r="A706" s="827">
        <v>5</v>
      </c>
      <c r="B706" s="827" t="s">
        <v>995</v>
      </c>
    </row>
  </sheetData>
  <mergeCells count="3">
    <mergeCell ref="C1:D1"/>
    <mergeCell ref="E1:F1"/>
    <mergeCell ref="G1:H1"/>
  </mergeCells>
  <phoneticPr fontId="36" type="noConversion"/>
  <pageMargins left="0.75" right="0.75" top="1" bottom="1" header="0.5" footer="0.5"/>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16</vt:i4>
      </vt:variant>
    </vt:vector>
  </HeadingPairs>
  <TitlesOfParts>
    <vt:vector size="40" baseType="lpstr">
      <vt:lpstr>Cover</vt:lpstr>
      <vt:lpstr>CAR</vt:lpstr>
      <vt:lpstr>TQC</vt:lpstr>
      <vt:lpstr>ONBS_RWA</vt:lpstr>
      <vt:lpstr>OFF_RWA</vt:lpstr>
      <vt:lpstr>CORWA</vt:lpstr>
      <vt:lpstr>ORWA</vt:lpstr>
      <vt:lpstr>MRWA</vt:lpstr>
      <vt:lpstr>IR-EXP</vt:lpstr>
      <vt:lpstr>IRX-SP</vt:lpstr>
      <vt:lpstr>IRX-CLN</vt:lpstr>
      <vt:lpstr>IRX-SWAP</vt:lpstr>
      <vt:lpstr>IRX-GMR(PHP)</vt:lpstr>
      <vt:lpstr>IRX-GMR(USD)</vt:lpstr>
      <vt:lpstr>IRX-GMR(JPY)</vt:lpstr>
      <vt:lpstr>IRX-GMR(CHF)</vt:lpstr>
      <vt:lpstr>IRX-GMR(GBP)</vt:lpstr>
      <vt:lpstr>IRX-GMR(EUR)</vt:lpstr>
      <vt:lpstr>IRX-GMR(CAD)</vt:lpstr>
      <vt:lpstr>IRX-GMR(AUD)</vt:lpstr>
      <vt:lpstr>IRX-GMR(SGD)</vt:lpstr>
      <vt:lpstr>EQ-EXP</vt:lpstr>
      <vt:lpstr>FX-EXP</vt:lpstr>
      <vt:lpstr>Bank</vt:lpstr>
      <vt:lpstr>CAR!Print_Area</vt:lpstr>
      <vt:lpstr>CORWA!Print_Area</vt:lpstr>
      <vt:lpstr>'IR-EXP'!Print_Area</vt:lpstr>
      <vt:lpstr>'IRX-GMR(EUR)'!Print_Area</vt:lpstr>
      <vt:lpstr>ONBS_RWA!Print_Area</vt:lpstr>
      <vt:lpstr>'IRX-CLN'!Print_Titles</vt:lpstr>
      <vt:lpstr>'IRX-GMR(AUD)'!Print_Titles</vt:lpstr>
      <vt:lpstr>'IRX-GMR(CAD)'!Print_Titles</vt:lpstr>
      <vt:lpstr>'IRX-GMR(CHF)'!Print_Titles</vt:lpstr>
      <vt:lpstr>'IRX-GMR(EUR)'!Print_Titles</vt:lpstr>
      <vt:lpstr>'IRX-GMR(GBP)'!Print_Titles</vt:lpstr>
      <vt:lpstr>'IRX-GMR(JPY)'!Print_Titles</vt:lpstr>
      <vt:lpstr>'IRX-GMR(PHP)'!Print_Titles</vt:lpstr>
      <vt:lpstr>'IRX-GMR(SGD)'!Print_Titles</vt:lpstr>
      <vt:lpstr>'IRX-GMR(USD)'!Print_Titles</vt:lpstr>
      <vt:lpstr>'IRX-SP'!Print_Titles</vt:lpstr>
    </vt:vector>
  </TitlesOfParts>
  <Company>bsp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mallillinjg</dc:creator>
  <cp:lastModifiedBy>Aldrin</cp:lastModifiedBy>
  <dcterms:created xsi:type="dcterms:W3CDTF">2013-04-05T00:47:04Z</dcterms:created>
  <dcterms:modified xsi:type="dcterms:W3CDTF">2017-10-12T16:51:56Z</dcterms:modified>
</cp:coreProperties>
</file>