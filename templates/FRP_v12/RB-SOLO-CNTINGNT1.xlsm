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P\Cir644_Simplified_FRP_RBs\"/>
    </mc:Choice>
  </mc:AlternateContent>
  <workbookProtection workbookAlgorithmName="SHA-512" workbookHashValue="/Gdd5IZzeRMs2qhCN0ZdZsAtYBfCS+o37NJh4np073MW5qoH5P2wXWJ3ldk37ZuAQ+HUXKjz7lPYYRX2JowgOA==" workbookSaltValue="varIALjrZFCx3PYYFgBdUw==" workbookSpinCount="100000" lockStructure="1"/>
  <bookViews>
    <workbookView xWindow="-15" yWindow="4020" windowWidth="15330" windowHeight="4080" firstSheet="5" activeTab="5"/>
  </bookViews>
  <sheets>
    <sheet name="38" sheetId="1" state="hidden" r:id="rId1"/>
    <sheet name="38A" sheetId="7" state="hidden" r:id="rId2"/>
    <sheet name="38A1" sheetId="4" state="hidden" r:id="rId3"/>
    <sheet name="38A3" sheetId="5" state="hidden" r:id="rId4"/>
    <sheet name="38A4" sheetId="6" state="hidden" r:id="rId5"/>
    <sheet name="Bank" sheetId="3" r:id="rId6"/>
  </sheets>
  <functionGroups builtInGroupCount="18"/>
  <definedNames>
    <definedName name="_xlnm.Print_Area" localSheetId="0">'38'!$A$1:$P$122</definedName>
    <definedName name="_xlnm.Print_Titles" localSheetId="0">'38'!$A:$H,'38'!$1:$9</definedName>
  </definedNames>
  <calcPr calcId="152511" fullCalcOnLoad="1"/>
</workbook>
</file>

<file path=xl/calcChain.xml><?xml version="1.0" encoding="utf-8"?>
<calcChain xmlns="http://schemas.openxmlformats.org/spreadsheetml/2006/main">
  <c r="P57" i="1" l="1"/>
  <c r="P56" i="1"/>
  <c r="P55" i="1"/>
  <c r="P54" i="1"/>
  <c r="P53" i="1"/>
  <c r="M57" i="4"/>
  <c r="L57" i="4"/>
  <c r="M54" i="4"/>
  <c r="L54" i="4"/>
  <c r="AD98" i="6"/>
  <c r="AC98" i="6"/>
  <c r="AD98" i="5"/>
  <c r="AC98" i="5"/>
  <c r="S98" i="4"/>
  <c r="P70" i="1"/>
  <c r="O52" i="1"/>
  <c r="P52" i="1" s="1"/>
  <c r="N52" i="1"/>
  <c r="O55" i="1"/>
  <c r="N55" i="1"/>
  <c r="R102" i="7"/>
  <c r="Q102" i="7"/>
  <c r="P102" i="7"/>
  <c r="O102" i="7"/>
  <c r="N102" i="7"/>
  <c r="M102" i="7"/>
  <c r="L102" i="7"/>
  <c r="K102" i="7"/>
  <c r="J102" i="7"/>
  <c r="I102" i="7"/>
  <c r="R101" i="7"/>
  <c r="Q101" i="7"/>
  <c r="P101" i="7"/>
  <c r="O101" i="7"/>
  <c r="N101" i="7"/>
  <c r="M101" i="7"/>
  <c r="L101" i="7"/>
  <c r="K101" i="7"/>
  <c r="J101" i="7"/>
  <c r="I101" i="7"/>
  <c r="R100" i="7"/>
  <c r="Q100" i="7"/>
  <c r="P100" i="7"/>
  <c r="O100" i="7"/>
  <c r="N100" i="7"/>
  <c r="M100" i="7"/>
  <c r="L100" i="7"/>
  <c r="K100" i="7"/>
  <c r="J100" i="7"/>
  <c r="I100" i="7"/>
  <c r="S97" i="7"/>
  <c r="S96" i="7"/>
  <c r="S98" i="7" s="1"/>
  <c r="R94" i="7"/>
  <c r="Q94" i="7"/>
  <c r="P94" i="7"/>
  <c r="O94" i="7"/>
  <c r="N94" i="7"/>
  <c r="M94" i="7"/>
  <c r="L94" i="7"/>
  <c r="K94" i="7"/>
  <c r="J94" i="7"/>
  <c r="I94" i="7"/>
  <c r="R91" i="7"/>
  <c r="Q91" i="7"/>
  <c r="P91" i="7"/>
  <c r="O91" i="7"/>
  <c r="N91" i="7"/>
  <c r="M91" i="7"/>
  <c r="L91" i="7"/>
  <c r="K91" i="7"/>
  <c r="J91" i="7"/>
  <c r="I91" i="7"/>
  <c r="R84" i="7"/>
  <c r="Q84" i="7"/>
  <c r="P84" i="7"/>
  <c r="O84" i="7"/>
  <c r="N84" i="7"/>
  <c r="M84" i="7"/>
  <c r="L84" i="7"/>
  <c r="K84" i="7"/>
  <c r="J84" i="7"/>
  <c r="I84" i="7"/>
  <c r="R83" i="7"/>
  <c r="Q83" i="7"/>
  <c r="P83" i="7"/>
  <c r="O83" i="7"/>
  <c r="N83" i="7"/>
  <c r="M83" i="7"/>
  <c r="L83" i="7"/>
  <c r="K83" i="7"/>
  <c r="J83" i="7"/>
  <c r="I83" i="7"/>
  <c r="R82" i="7"/>
  <c r="Q82" i="7"/>
  <c r="P82" i="7"/>
  <c r="O82" i="7"/>
  <c r="N82" i="7"/>
  <c r="M82" i="7"/>
  <c r="L82" i="7"/>
  <c r="K82" i="7"/>
  <c r="J82" i="7"/>
  <c r="I82" i="7"/>
  <c r="R81" i="7"/>
  <c r="Q81" i="7"/>
  <c r="P81" i="7"/>
  <c r="O81" i="7"/>
  <c r="N81" i="7"/>
  <c r="M81" i="7"/>
  <c r="L81" i="7"/>
  <c r="K81" i="7"/>
  <c r="J81" i="7"/>
  <c r="I81" i="7"/>
  <c r="R80" i="7"/>
  <c r="Q80" i="7"/>
  <c r="P80" i="7"/>
  <c r="O80" i="7"/>
  <c r="N80" i="7"/>
  <c r="M80" i="7"/>
  <c r="L80" i="7"/>
  <c r="K80" i="7"/>
  <c r="J80" i="7"/>
  <c r="I80" i="7"/>
  <c r="R79" i="7"/>
  <c r="Q79" i="7"/>
  <c r="P79" i="7"/>
  <c r="O79" i="7"/>
  <c r="N79" i="7"/>
  <c r="M79" i="7"/>
  <c r="L79" i="7"/>
  <c r="K79" i="7"/>
  <c r="J79" i="7"/>
  <c r="I79" i="7"/>
  <c r="R78" i="7"/>
  <c r="Q78" i="7"/>
  <c r="P78" i="7"/>
  <c r="O78" i="7"/>
  <c r="N78" i="7"/>
  <c r="M78" i="7"/>
  <c r="L78" i="7"/>
  <c r="K78" i="7"/>
  <c r="J78" i="7"/>
  <c r="I78" i="7"/>
  <c r="R75" i="7"/>
  <c r="Q75" i="7"/>
  <c r="P75" i="7"/>
  <c r="O75" i="7"/>
  <c r="N75" i="7"/>
  <c r="M75" i="7"/>
  <c r="L75" i="7"/>
  <c r="K75" i="7"/>
  <c r="J75" i="7"/>
  <c r="I75" i="7"/>
  <c r="R74" i="7"/>
  <c r="Q74" i="7"/>
  <c r="P74" i="7"/>
  <c r="O74" i="7"/>
  <c r="N74" i="7"/>
  <c r="M74" i="7"/>
  <c r="L74" i="7"/>
  <c r="K74" i="7"/>
  <c r="J74" i="7"/>
  <c r="I74" i="7"/>
  <c r="R72" i="7"/>
  <c r="Q72" i="7"/>
  <c r="P72" i="7"/>
  <c r="O72" i="7"/>
  <c r="N72" i="7"/>
  <c r="M72" i="7"/>
  <c r="L72" i="7"/>
  <c r="K72" i="7"/>
  <c r="J72" i="7"/>
  <c r="I72" i="7"/>
  <c r="R71" i="7"/>
  <c r="Q71" i="7"/>
  <c r="P71" i="7"/>
  <c r="O71" i="7"/>
  <c r="N71" i="7"/>
  <c r="M71" i="7"/>
  <c r="L71" i="7"/>
  <c r="K71" i="7"/>
  <c r="J71" i="7"/>
  <c r="I71" i="7"/>
  <c r="R67" i="7"/>
  <c r="Q67" i="7"/>
  <c r="P67" i="7"/>
  <c r="O67" i="7"/>
  <c r="N67" i="7"/>
  <c r="M67" i="7"/>
  <c r="L67" i="7"/>
  <c r="K67" i="7"/>
  <c r="J67" i="7"/>
  <c r="I67" i="7"/>
  <c r="R66" i="7"/>
  <c r="Q66" i="7"/>
  <c r="P66" i="7"/>
  <c r="O66" i="7"/>
  <c r="N66" i="7"/>
  <c r="M66" i="7"/>
  <c r="L66" i="7"/>
  <c r="K66" i="7"/>
  <c r="J66" i="7"/>
  <c r="I66" i="7"/>
  <c r="R64" i="7"/>
  <c r="Q64" i="7"/>
  <c r="P64" i="7"/>
  <c r="O64" i="7"/>
  <c r="N64" i="7"/>
  <c r="M64" i="7"/>
  <c r="L64" i="7"/>
  <c r="K64" i="7"/>
  <c r="J64" i="7"/>
  <c r="I64" i="7"/>
  <c r="R63" i="7"/>
  <c r="Q63" i="7"/>
  <c r="P63" i="7"/>
  <c r="O63" i="7"/>
  <c r="N63" i="7"/>
  <c r="M63" i="7"/>
  <c r="L63" i="7"/>
  <c r="K63" i="7"/>
  <c r="J63" i="7"/>
  <c r="I63" i="7"/>
  <c r="R62" i="7"/>
  <c r="Q62" i="7"/>
  <c r="P62" i="7"/>
  <c r="O62" i="7"/>
  <c r="N62" i="7"/>
  <c r="M62" i="7"/>
  <c r="L62" i="7"/>
  <c r="K62" i="7"/>
  <c r="J62" i="7"/>
  <c r="I62" i="7"/>
  <c r="R60" i="7"/>
  <c r="Q60" i="7"/>
  <c r="P60" i="7"/>
  <c r="O60" i="7"/>
  <c r="N60" i="7"/>
  <c r="M60" i="7"/>
  <c r="L60" i="7"/>
  <c r="K60" i="7"/>
  <c r="J60" i="7"/>
  <c r="I60" i="7"/>
  <c r="R59" i="7"/>
  <c r="Q59" i="7"/>
  <c r="P59" i="7"/>
  <c r="O59" i="7"/>
  <c r="N59" i="7"/>
  <c r="M59" i="7"/>
  <c r="L59" i="7"/>
  <c r="K59" i="7"/>
  <c r="J59" i="7"/>
  <c r="I59" i="7"/>
  <c r="R58" i="7"/>
  <c r="Q58" i="7"/>
  <c r="P58" i="7"/>
  <c r="O58" i="7"/>
  <c r="N58" i="7"/>
  <c r="M58" i="7"/>
  <c r="L58" i="7"/>
  <c r="K58" i="7"/>
  <c r="J58" i="7"/>
  <c r="I58" i="7"/>
  <c r="R56" i="7"/>
  <c r="Q56" i="7"/>
  <c r="P56" i="7"/>
  <c r="O56" i="7"/>
  <c r="N56" i="7"/>
  <c r="M56" i="7"/>
  <c r="L56" i="7"/>
  <c r="K56" i="7"/>
  <c r="J56" i="7"/>
  <c r="I56" i="7"/>
  <c r="R55" i="7"/>
  <c r="Q55" i="7"/>
  <c r="P55" i="7"/>
  <c r="O55" i="7"/>
  <c r="N55" i="7"/>
  <c r="M55" i="7"/>
  <c r="L55" i="7"/>
  <c r="K55" i="7"/>
  <c r="J55" i="7"/>
  <c r="I55" i="7"/>
  <c r="R53" i="7"/>
  <c r="Q53" i="7"/>
  <c r="P53" i="7"/>
  <c r="O53" i="7"/>
  <c r="N53" i="7"/>
  <c r="M53" i="7"/>
  <c r="L53" i="7"/>
  <c r="K53" i="7"/>
  <c r="J53" i="7"/>
  <c r="I53" i="7"/>
  <c r="R52" i="7"/>
  <c r="Q52" i="7"/>
  <c r="P52" i="7"/>
  <c r="O52" i="7"/>
  <c r="N52" i="7"/>
  <c r="M52" i="7"/>
  <c r="L52" i="7"/>
  <c r="K52" i="7"/>
  <c r="J52" i="7"/>
  <c r="I52" i="7"/>
  <c r="R51" i="7"/>
  <c r="Q51" i="7"/>
  <c r="P51" i="7"/>
  <c r="O51" i="7"/>
  <c r="N51" i="7"/>
  <c r="M51" i="7"/>
  <c r="L51" i="7"/>
  <c r="K51" i="7"/>
  <c r="J51" i="7"/>
  <c r="I51" i="7"/>
  <c r="R49" i="7"/>
  <c r="Q49" i="7"/>
  <c r="P49" i="7"/>
  <c r="O49" i="7"/>
  <c r="N49" i="7"/>
  <c r="M49" i="7"/>
  <c r="L49" i="7"/>
  <c r="K49" i="7"/>
  <c r="J49" i="7"/>
  <c r="I49" i="7"/>
  <c r="R47" i="7"/>
  <c r="Q47" i="7"/>
  <c r="P47" i="7"/>
  <c r="O47" i="7"/>
  <c r="N47" i="7"/>
  <c r="M47" i="7"/>
  <c r="L47" i="7"/>
  <c r="K47" i="7"/>
  <c r="J47" i="7"/>
  <c r="I47" i="7"/>
  <c r="R46" i="7"/>
  <c r="Q46" i="7"/>
  <c r="P46" i="7"/>
  <c r="O46" i="7"/>
  <c r="N46" i="7"/>
  <c r="M46" i="7"/>
  <c r="L46" i="7"/>
  <c r="K46" i="7"/>
  <c r="J46" i="7"/>
  <c r="I46" i="7"/>
  <c r="R44" i="7"/>
  <c r="Q44" i="7"/>
  <c r="P44" i="7"/>
  <c r="O44" i="7"/>
  <c r="N44" i="7"/>
  <c r="M44" i="7"/>
  <c r="L44" i="7"/>
  <c r="K44" i="7"/>
  <c r="J44" i="7"/>
  <c r="I44" i="7"/>
  <c r="R42" i="7"/>
  <c r="Q42" i="7"/>
  <c r="P42" i="7"/>
  <c r="O42" i="7"/>
  <c r="N42" i="7"/>
  <c r="M42" i="7"/>
  <c r="L42" i="7"/>
  <c r="K42" i="7"/>
  <c r="J42" i="7"/>
  <c r="I42" i="7"/>
  <c r="R41" i="7"/>
  <c r="Q41" i="7"/>
  <c r="P41" i="7"/>
  <c r="O41" i="7"/>
  <c r="N41" i="7"/>
  <c r="M41" i="7"/>
  <c r="L41" i="7"/>
  <c r="K41" i="7"/>
  <c r="J41" i="7"/>
  <c r="I41" i="7"/>
  <c r="R39" i="7"/>
  <c r="Q39" i="7"/>
  <c r="P39" i="7"/>
  <c r="O39" i="7"/>
  <c r="N39" i="7"/>
  <c r="M39" i="7"/>
  <c r="L39" i="7"/>
  <c r="K39" i="7"/>
  <c r="J39" i="7"/>
  <c r="I39" i="7"/>
  <c r="R38" i="7"/>
  <c r="Q38" i="7"/>
  <c r="P38" i="7"/>
  <c r="O38" i="7"/>
  <c r="N38" i="7"/>
  <c r="M38" i="7"/>
  <c r="L38" i="7"/>
  <c r="K38" i="7"/>
  <c r="J38" i="7"/>
  <c r="I38" i="7"/>
  <c r="R36" i="7"/>
  <c r="Q36" i="7"/>
  <c r="P36" i="7"/>
  <c r="O36" i="7"/>
  <c r="N36" i="7"/>
  <c r="M36" i="7"/>
  <c r="L36" i="7"/>
  <c r="K36" i="7"/>
  <c r="J36" i="7"/>
  <c r="I36" i="7"/>
  <c r="R34" i="7"/>
  <c r="Q34" i="7"/>
  <c r="P34" i="7"/>
  <c r="O34" i="7"/>
  <c r="N34" i="7"/>
  <c r="M34" i="7"/>
  <c r="L34" i="7"/>
  <c r="K34" i="7"/>
  <c r="J34" i="7"/>
  <c r="I34" i="7"/>
  <c r="R33" i="7"/>
  <c r="Q33" i="7"/>
  <c r="P33" i="7"/>
  <c r="O33" i="7"/>
  <c r="N33" i="7"/>
  <c r="M33" i="7"/>
  <c r="L33" i="7"/>
  <c r="K33" i="7"/>
  <c r="J33" i="7"/>
  <c r="I33" i="7"/>
  <c r="R31" i="7"/>
  <c r="Q31" i="7"/>
  <c r="P31" i="7"/>
  <c r="O31" i="7"/>
  <c r="N31" i="7"/>
  <c r="M31" i="7"/>
  <c r="L31" i="7"/>
  <c r="K31" i="7"/>
  <c r="J31" i="7"/>
  <c r="I31" i="7"/>
  <c r="R29" i="7"/>
  <c r="Q29" i="7"/>
  <c r="P29" i="7"/>
  <c r="O29" i="7"/>
  <c r="N29" i="7"/>
  <c r="M29" i="7"/>
  <c r="L29" i="7"/>
  <c r="K29" i="7"/>
  <c r="J29" i="7"/>
  <c r="I29" i="7"/>
  <c r="R28" i="7"/>
  <c r="Q28" i="7"/>
  <c r="P28" i="7"/>
  <c r="O28" i="7"/>
  <c r="N28" i="7"/>
  <c r="M28" i="7"/>
  <c r="L28" i="7"/>
  <c r="K28" i="7"/>
  <c r="J28" i="7"/>
  <c r="I28" i="7"/>
  <c r="R26" i="7"/>
  <c r="Q26" i="7"/>
  <c r="P26" i="7"/>
  <c r="O26" i="7"/>
  <c r="N26" i="7"/>
  <c r="M26" i="7"/>
  <c r="L26" i="7"/>
  <c r="K26" i="7"/>
  <c r="J26" i="7"/>
  <c r="I26" i="7"/>
  <c r="R24" i="7"/>
  <c r="Q24" i="7"/>
  <c r="P24" i="7"/>
  <c r="O24" i="7"/>
  <c r="N24" i="7"/>
  <c r="M24" i="7"/>
  <c r="L24" i="7"/>
  <c r="K24" i="7"/>
  <c r="J24" i="7"/>
  <c r="I24" i="7"/>
  <c r="R23" i="7"/>
  <c r="Q23" i="7"/>
  <c r="P23" i="7"/>
  <c r="O23" i="7"/>
  <c r="N23" i="7"/>
  <c r="M23" i="7"/>
  <c r="L23" i="7"/>
  <c r="K23" i="7"/>
  <c r="J23" i="7"/>
  <c r="I23" i="7"/>
  <c r="J22" i="7"/>
  <c r="R21" i="7"/>
  <c r="Q21" i="7"/>
  <c r="P21" i="7"/>
  <c r="O21" i="7"/>
  <c r="N21" i="7"/>
  <c r="M21" i="7"/>
  <c r="L21" i="7"/>
  <c r="K21" i="7"/>
  <c r="J21" i="7"/>
  <c r="I21" i="7"/>
  <c r="K20" i="7"/>
  <c r="R19" i="7"/>
  <c r="Q19" i="7"/>
  <c r="P19" i="7"/>
  <c r="O19" i="7"/>
  <c r="N19" i="7"/>
  <c r="M19" i="7"/>
  <c r="L19" i="7"/>
  <c r="K19" i="7"/>
  <c r="J19" i="7"/>
  <c r="I19" i="7"/>
  <c r="R18" i="7"/>
  <c r="Q18" i="7"/>
  <c r="P18" i="7"/>
  <c r="O18" i="7"/>
  <c r="N18" i="7"/>
  <c r="M18" i="7"/>
  <c r="L18" i="7"/>
  <c r="K18" i="7"/>
  <c r="J18" i="7"/>
  <c r="I18" i="7"/>
  <c r="R16" i="7"/>
  <c r="Q16" i="7"/>
  <c r="P16" i="7"/>
  <c r="O16" i="7"/>
  <c r="N16" i="7"/>
  <c r="M16" i="7"/>
  <c r="L16" i="7"/>
  <c r="K16" i="7"/>
  <c r="J16" i="7"/>
  <c r="I16" i="7"/>
  <c r="R15" i="7"/>
  <c r="Q15" i="7"/>
  <c r="P15" i="7"/>
  <c r="O15" i="7"/>
  <c r="N15" i="7"/>
  <c r="M15" i="7"/>
  <c r="L15" i="7"/>
  <c r="K15" i="7"/>
  <c r="J15" i="7"/>
  <c r="I15" i="7"/>
  <c r="R13" i="7"/>
  <c r="Q13" i="7"/>
  <c r="P13" i="7"/>
  <c r="O13" i="7"/>
  <c r="N13" i="7"/>
  <c r="M13" i="7"/>
  <c r="L13" i="7"/>
  <c r="K13" i="7"/>
  <c r="J13" i="7"/>
  <c r="I13" i="7"/>
  <c r="R12" i="7"/>
  <c r="Q12" i="7"/>
  <c r="P12" i="7"/>
  <c r="O12" i="7"/>
  <c r="N12" i="7"/>
  <c r="M12" i="7"/>
  <c r="L12" i="7"/>
  <c r="K12" i="7"/>
  <c r="J12" i="7"/>
  <c r="I12" i="7"/>
  <c r="R11" i="7"/>
  <c r="Q11" i="7"/>
  <c r="P11" i="7"/>
  <c r="O11" i="7"/>
  <c r="N11" i="7"/>
  <c r="M11" i="7"/>
  <c r="L11" i="7"/>
  <c r="K11" i="7"/>
  <c r="J11" i="7"/>
  <c r="I11" i="7"/>
  <c r="R9" i="7"/>
  <c r="Q9" i="7"/>
  <c r="P9" i="7"/>
  <c r="O9" i="7"/>
  <c r="N9" i="7"/>
  <c r="M9" i="7"/>
  <c r="L9" i="7"/>
  <c r="K9" i="7"/>
  <c r="J9" i="7"/>
  <c r="I9" i="7"/>
  <c r="R103" i="7"/>
  <c r="R104" i="7"/>
  <c r="Q103" i="7"/>
  <c r="Q104" i="7" s="1"/>
  <c r="P103" i="7"/>
  <c r="P104" i="7"/>
  <c r="O103" i="7"/>
  <c r="O104" i="7" s="1"/>
  <c r="N103" i="7"/>
  <c r="N104" i="7"/>
  <c r="M103" i="7"/>
  <c r="M104" i="7" s="1"/>
  <c r="L103" i="7"/>
  <c r="L104" i="7"/>
  <c r="K103" i="7"/>
  <c r="K104" i="7" s="1"/>
  <c r="J103" i="7"/>
  <c r="J104" i="7"/>
  <c r="I103" i="7"/>
  <c r="I104" i="7" s="1"/>
  <c r="AB103" i="6"/>
  <c r="AB104" i="6"/>
  <c r="AA103" i="6"/>
  <c r="AA104" i="6" s="1"/>
  <c r="Z103" i="6"/>
  <c r="Z104" i="6"/>
  <c r="Y103" i="6"/>
  <c r="Y104" i="6" s="1"/>
  <c r="X103" i="6"/>
  <c r="X104" i="6"/>
  <c r="W103" i="6"/>
  <c r="W104" i="6" s="1"/>
  <c r="V103" i="6"/>
  <c r="V104" i="6"/>
  <c r="U103" i="6"/>
  <c r="U104" i="6" s="1"/>
  <c r="T103" i="6"/>
  <c r="T104" i="6"/>
  <c r="S103" i="6"/>
  <c r="S104" i="6" s="1"/>
  <c r="R103" i="6"/>
  <c r="R104" i="6"/>
  <c r="Q103" i="6"/>
  <c r="Q104" i="6" s="1"/>
  <c r="P103" i="6"/>
  <c r="P104" i="6"/>
  <c r="O103" i="6"/>
  <c r="O104" i="6" s="1"/>
  <c r="N103" i="6"/>
  <c r="N104" i="6"/>
  <c r="M103" i="6"/>
  <c r="M104" i="6" s="1"/>
  <c r="L103" i="6"/>
  <c r="L104" i="6"/>
  <c r="K103" i="6"/>
  <c r="K104" i="6" s="1"/>
  <c r="J103" i="6"/>
  <c r="J104" i="6"/>
  <c r="I103" i="6"/>
  <c r="I104" i="6" s="1"/>
  <c r="AD102" i="6"/>
  <c r="AC102" i="6"/>
  <c r="AD101" i="6"/>
  <c r="AC101" i="6"/>
  <c r="AD100" i="6"/>
  <c r="AD103" i="6"/>
  <c r="AD104" i="6" s="1"/>
  <c r="AC100" i="6"/>
  <c r="AC103" i="6" s="1"/>
  <c r="AC104" i="6" s="1"/>
  <c r="AD94" i="6"/>
  <c r="AC94" i="6"/>
  <c r="AC93" i="6"/>
  <c r="AB93" i="6"/>
  <c r="Z93" i="6"/>
  <c r="X93" i="6"/>
  <c r="V93" i="6"/>
  <c r="T93" i="6"/>
  <c r="R93" i="6"/>
  <c r="P93" i="6"/>
  <c r="N93" i="6"/>
  <c r="L93" i="6"/>
  <c r="J93" i="6"/>
  <c r="AD92" i="6"/>
  <c r="AC91" i="6"/>
  <c r="AD91" i="6" s="1"/>
  <c r="AC90" i="6"/>
  <c r="AD90" i="6" s="1"/>
  <c r="AB90" i="6"/>
  <c r="Z90" i="6"/>
  <c r="X90" i="6"/>
  <c r="V90" i="6"/>
  <c r="T90" i="6"/>
  <c r="R90" i="6"/>
  <c r="P90" i="6"/>
  <c r="N90" i="6"/>
  <c r="L90" i="6"/>
  <c r="J90" i="6"/>
  <c r="AD89" i="6"/>
  <c r="AD88" i="6" s="1"/>
  <c r="AC88" i="6"/>
  <c r="AA87" i="6"/>
  <c r="AB87" i="6"/>
  <c r="Y87" i="6"/>
  <c r="Z87" i="6"/>
  <c r="W87" i="6"/>
  <c r="X87" i="6"/>
  <c r="U87" i="6"/>
  <c r="V87" i="6" s="1"/>
  <c r="S87" i="6"/>
  <c r="T87" i="6" s="1"/>
  <c r="Q87" i="6"/>
  <c r="R87" i="6" s="1"/>
  <c r="O87" i="6"/>
  <c r="P87" i="6" s="1"/>
  <c r="M87" i="6"/>
  <c r="N87" i="6" s="1"/>
  <c r="K87" i="6"/>
  <c r="L87" i="6" s="1"/>
  <c r="I87" i="6"/>
  <c r="AD84" i="6"/>
  <c r="AC84" i="6"/>
  <c r="AD83" i="6"/>
  <c r="AC83" i="6"/>
  <c r="AD82" i="6"/>
  <c r="AC82" i="6"/>
  <c r="AD81" i="6"/>
  <c r="AC81" i="6"/>
  <c r="AD80" i="6"/>
  <c r="AC80" i="6"/>
  <c r="AD79" i="6"/>
  <c r="AC79" i="6"/>
  <c r="AD78" i="6"/>
  <c r="AC78" i="6"/>
  <c r="AD75" i="6"/>
  <c r="AC75" i="6"/>
  <c r="AD74" i="6"/>
  <c r="AC74" i="6"/>
  <c r="AB73" i="6"/>
  <c r="AB76" i="6" s="1"/>
  <c r="AB85" i="6" s="1"/>
  <c r="AA73" i="6"/>
  <c r="AA76" i="6"/>
  <c r="AA85" i="6" s="1"/>
  <c r="Z73" i="6"/>
  <c r="Z76" i="6" s="1"/>
  <c r="Z85" i="6" s="1"/>
  <c r="Y73" i="6"/>
  <c r="Y76" i="6"/>
  <c r="Y85" i="6" s="1"/>
  <c r="X73" i="6"/>
  <c r="X76" i="6" s="1"/>
  <c r="X85" i="6" s="1"/>
  <c r="W73" i="6"/>
  <c r="W76" i="6"/>
  <c r="W85" i="6" s="1"/>
  <c r="V73" i="6"/>
  <c r="V76" i="6" s="1"/>
  <c r="V85" i="6"/>
  <c r="U73" i="6"/>
  <c r="U76" i="6"/>
  <c r="U85" i="6" s="1"/>
  <c r="T73" i="6"/>
  <c r="T76" i="6" s="1"/>
  <c r="T85" i="6" s="1"/>
  <c r="S73" i="6"/>
  <c r="S76" i="6"/>
  <c r="S85" i="6" s="1"/>
  <c r="R73" i="6"/>
  <c r="R76" i="6" s="1"/>
  <c r="R85" i="6"/>
  <c r="Q73" i="6"/>
  <c r="Q76" i="6" s="1"/>
  <c r="Q85" i="6" s="1"/>
  <c r="P73" i="6"/>
  <c r="P76" i="6" s="1"/>
  <c r="P85" i="6" s="1"/>
  <c r="O73" i="6"/>
  <c r="O76" i="6"/>
  <c r="O85" i="6" s="1"/>
  <c r="N73" i="6"/>
  <c r="N76" i="6" s="1"/>
  <c r="N85" i="6" s="1"/>
  <c r="M73" i="6"/>
  <c r="M76" i="6" s="1"/>
  <c r="M85" i="6" s="1"/>
  <c r="L73" i="6"/>
  <c r="L76" i="6" s="1"/>
  <c r="L85" i="6" s="1"/>
  <c r="K73" i="6"/>
  <c r="K76" i="6"/>
  <c r="K85" i="6" s="1"/>
  <c r="J73" i="6"/>
  <c r="J76" i="6"/>
  <c r="I73" i="6"/>
  <c r="I76" i="6" s="1"/>
  <c r="I85" i="6" s="1"/>
  <c r="AC85" i="6" s="1"/>
  <c r="AD72" i="6"/>
  <c r="AC72" i="6"/>
  <c r="AD71" i="6"/>
  <c r="AC71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AD68" i="6" s="1"/>
  <c r="I68" i="6"/>
  <c r="AC68" i="6"/>
  <c r="AD67" i="6"/>
  <c r="AC67" i="6"/>
  <c r="AD66" i="6"/>
  <c r="AC66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AD65" i="6" s="1"/>
  <c r="K65" i="6"/>
  <c r="J65" i="6"/>
  <c r="I65" i="6"/>
  <c r="AC65" i="6" s="1"/>
  <c r="AD64" i="6"/>
  <c r="AC64" i="6"/>
  <c r="AD63" i="6"/>
  <c r="AC63" i="6"/>
  <c r="AD62" i="6"/>
  <c r="AC62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AC61" i="6" s="1"/>
  <c r="AD60" i="6"/>
  <c r="AC60" i="6"/>
  <c r="AD59" i="6"/>
  <c r="AC59" i="6"/>
  <c r="AD58" i="6"/>
  <c r="AC58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AD57" i="6" s="1"/>
  <c r="K57" i="6"/>
  <c r="J57" i="6"/>
  <c r="I57" i="6"/>
  <c r="AC57" i="6" s="1"/>
  <c r="AD56" i="6"/>
  <c r="AC56" i="6"/>
  <c r="AD55" i="6"/>
  <c r="S55" i="7" s="1"/>
  <c r="AC55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AD54" i="6" s="1"/>
  <c r="I54" i="6"/>
  <c r="AC54" i="6"/>
  <c r="AD53" i="6"/>
  <c r="AC53" i="6"/>
  <c r="AD52" i="6"/>
  <c r="AC52" i="6"/>
  <c r="AD51" i="6"/>
  <c r="AC51" i="6"/>
  <c r="AD49" i="6"/>
  <c r="AC49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AD48" i="6" s="1"/>
  <c r="K48" i="6"/>
  <c r="J48" i="6"/>
  <c r="I48" i="6"/>
  <c r="AC48" i="6" s="1"/>
  <c r="AD47" i="6"/>
  <c r="AC47" i="6"/>
  <c r="AD46" i="6"/>
  <c r="AC46" i="6"/>
  <c r="AD44" i="6"/>
  <c r="AC44" i="6"/>
  <c r="AB43" i="6"/>
  <c r="AB45" i="6" s="1"/>
  <c r="AB50" i="6" s="1"/>
  <c r="AA43" i="6"/>
  <c r="AA45" i="6"/>
  <c r="AA50" i="6" s="1"/>
  <c r="Z43" i="6"/>
  <c r="Z45" i="6"/>
  <c r="Z50" i="6"/>
  <c r="Y43" i="6"/>
  <c r="Y45" i="6"/>
  <c r="Y50" i="6"/>
  <c r="X43" i="6"/>
  <c r="X45" i="6" s="1"/>
  <c r="X50" i="6" s="1"/>
  <c r="W43" i="6"/>
  <c r="W45" i="6"/>
  <c r="W50" i="6" s="1"/>
  <c r="AC50" i="6" s="1"/>
  <c r="V43" i="6"/>
  <c r="V45" i="6"/>
  <c r="V50" i="6"/>
  <c r="U43" i="6"/>
  <c r="U45" i="6"/>
  <c r="U50" i="6"/>
  <c r="T43" i="6"/>
  <c r="T45" i="6" s="1"/>
  <c r="T50" i="6" s="1"/>
  <c r="S43" i="6"/>
  <c r="S45" i="6"/>
  <c r="S50" i="6" s="1"/>
  <c r="R43" i="6"/>
  <c r="R45" i="6"/>
  <c r="R50" i="6"/>
  <c r="Q43" i="6"/>
  <c r="Q45" i="6"/>
  <c r="Q50" i="6"/>
  <c r="P43" i="6"/>
  <c r="P45" i="6" s="1"/>
  <c r="P50" i="6" s="1"/>
  <c r="O43" i="6"/>
  <c r="O45" i="6"/>
  <c r="O50" i="6" s="1"/>
  <c r="N43" i="6"/>
  <c r="N45" i="6"/>
  <c r="N50" i="6"/>
  <c r="M43" i="6"/>
  <c r="M45" i="6"/>
  <c r="M50" i="6"/>
  <c r="L43" i="6"/>
  <c r="L45" i="6" s="1"/>
  <c r="L50" i="6" s="1"/>
  <c r="K43" i="6"/>
  <c r="K45" i="6"/>
  <c r="K50" i="6" s="1"/>
  <c r="J43" i="6"/>
  <c r="J45" i="6"/>
  <c r="I43" i="6"/>
  <c r="I45" i="6" s="1"/>
  <c r="AD42" i="6"/>
  <c r="AC42" i="6"/>
  <c r="AD41" i="6"/>
  <c r="AC41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AD40" i="6" s="1"/>
  <c r="I40" i="6"/>
  <c r="AC40" i="6"/>
  <c r="AD39" i="6"/>
  <c r="AC39" i="6"/>
  <c r="AD38" i="6"/>
  <c r="AC38" i="6"/>
  <c r="AD36" i="6"/>
  <c r="AC36" i="6"/>
  <c r="AB35" i="6"/>
  <c r="AB37" i="6"/>
  <c r="AA35" i="6"/>
  <c r="AA37" i="6" s="1"/>
  <c r="Z35" i="6"/>
  <c r="Z37" i="6"/>
  <c r="Y35" i="6"/>
  <c r="Y37" i="6" s="1"/>
  <c r="X35" i="6"/>
  <c r="X37" i="6"/>
  <c r="W35" i="6"/>
  <c r="W37" i="6" s="1"/>
  <c r="V35" i="6"/>
  <c r="V37" i="6"/>
  <c r="U35" i="6"/>
  <c r="U37" i="6" s="1"/>
  <c r="T35" i="6"/>
  <c r="T37" i="6"/>
  <c r="S35" i="6"/>
  <c r="S37" i="6" s="1"/>
  <c r="R35" i="6"/>
  <c r="R37" i="6"/>
  <c r="Q35" i="6"/>
  <c r="Q37" i="6" s="1"/>
  <c r="P35" i="6"/>
  <c r="P37" i="6"/>
  <c r="O35" i="6"/>
  <c r="O37" i="6" s="1"/>
  <c r="N35" i="6"/>
  <c r="N37" i="6"/>
  <c r="M35" i="6"/>
  <c r="M37" i="6" s="1"/>
  <c r="L35" i="6"/>
  <c r="L37" i="6"/>
  <c r="K35" i="6"/>
  <c r="K37" i="6" s="1"/>
  <c r="J35" i="6"/>
  <c r="J37" i="6"/>
  <c r="AD37" i="6"/>
  <c r="I35" i="6"/>
  <c r="I37" i="6" s="1"/>
  <c r="AC37" i="6" s="1"/>
  <c r="AD34" i="6"/>
  <c r="AC34" i="6"/>
  <c r="AD33" i="6"/>
  <c r="AC33" i="6"/>
  <c r="AD31" i="6"/>
  <c r="AC31" i="6"/>
  <c r="AB30" i="6"/>
  <c r="AB32" i="6"/>
  <c r="AA30" i="6"/>
  <c r="AA32" i="6" s="1"/>
  <c r="Z30" i="6"/>
  <c r="Z32" i="6"/>
  <c r="Y30" i="6"/>
  <c r="Y32" i="6" s="1"/>
  <c r="X30" i="6"/>
  <c r="X32" i="6"/>
  <c r="W30" i="6"/>
  <c r="W32" i="6" s="1"/>
  <c r="V30" i="6"/>
  <c r="V32" i="6"/>
  <c r="U30" i="6"/>
  <c r="U32" i="6" s="1"/>
  <c r="T30" i="6"/>
  <c r="T32" i="6"/>
  <c r="S30" i="6"/>
  <c r="S32" i="6" s="1"/>
  <c r="R30" i="6"/>
  <c r="R32" i="6"/>
  <c r="Q30" i="6"/>
  <c r="Q32" i="6" s="1"/>
  <c r="P30" i="6"/>
  <c r="P32" i="6"/>
  <c r="O30" i="6"/>
  <c r="O32" i="6" s="1"/>
  <c r="N30" i="6"/>
  <c r="N32" i="6"/>
  <c r="M30" i="6"/>
  <c r="M32" i="6" s="1"/>
  <c r="L30" i="6"/>
  <c r="L32" i="6"/>
  <c r="K30" i="6"/>
  <c r="K32" i="6" s="1"/>
  <c r="J30" i="6"/>
  <c r="J32" i="6"/>
  <c r="AD32" i="6"/>
  <c r="I30" i="6"/>
  <c r="I32" i="6"/>
  <c r="AD29" i="6"/>
  <c r="AC29" i="6"/>
  <c r="AD28" i="6"/>
  <c r="AC28" i="6"/>
  <c r="AD26" i="6"/>
  <c r="AC26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AD25" i="6" s="1"/>
  <c r="I25" i="6"/>
  <c r="AC25" i="6"/>
  <c r="AD24" i="6"/>
  <c r="AC24" i="6"/>
  <c r="AD23" i="6"/>
  <c r="AC23" i="6"/>
  <c r="AD21" i="6"/>
  <c r="AC21" i="6"/>
  <c r="AB20" i="6"/>
  <c r="AB22" i="6"/>
  <c r="AB17" i="6"/>
  <c r="AB27" i="6" s="1"/>
  <c r="AA20" i="6"/>
  <c r="AA22" i="6"/>
  <c r="AA17" i="6"/>
  <c r="AA27" i="6" s="1"/>
  <c r="Z20" i="6"/>
  <c r="Z22" i="6"/>
  <c r="Z17" i="6"/>
  <c r="Z27" i="6" s="1"/>
  <c r="Y20" i="6"/>
  <c r="Y22" i="6"/>
  <c r="Y17" i="6"/>
  <c r="Y27" i="6" s="1"/>
  <c r="X20" i="6"/>
  <c r="X22" i="6"/>
  <c r="X17" i="6"/>
  <c r="X27" i="6" s="1"/>
  <c r="W20" i="6"/>
  <c r="W22" i="6"/>
  <c r="W17" i="6"/>
  <c r="W27" i="6" s="1"/>
  <c r="V20" i="6"/>
  <c r="V22" i="6"/>
  <c r="V17" i="6"/>
  <c r="V27" i="6" s="1"/>
  <c r="U20" i="6"/>
  <c r="U22" i="6"/>
  <c r="U17" i="6"/>
  <c r="U27" i="6" s="1"/>
  <c r="T20" i="6"/>
  <c r="T22" i="6"/>
  <c r="T17" i="6"/>
  <c r="T27" i="6" s="1"/>
  <c r="S20" i="6"/>
  <c r="S22" i="6"/>
  <c r="S17" i="6"/>
  <c r="S27" i="6" s="1"/>
  <c r="R20" i="6"/>
  <c r="R22" i="6"/>
  <c r="R17" i="6"/>
  <c r="R27" i="6" s="1"/>
  <c r="Q20" i="6"/>
  <c r="Q22" i="6"/>
  <c r="Q17" i="6"/>
  <c r="Q27" i="6" s="1"/>
  <c r="P20" i="6"/>
  <c r="P22" i="6"/>
  <c r="P17" i="6"/>
  <c r="P27" i="6" s="1"/>
  <c r="O20" i="6"/>
  <c r="O22" i="6"/>
  <c r="O17" i="6"/>
  <c r="O27" i="6" s="1"/>
  <c r="N20" i="6"/>
  <c r="N22" i="6"/>
  <c r="N17" i="6"/>
  <c r="N27" i="6" s="1"/>
  <c r="N69" i="6" s="1"/>
  <c r="M20" i="6"/>
  <c r="M22" i="6"/>
  <c r="M17" i="6"/>
  <c r="M27" i="6" s="1"/>
  <c r="L20" i="6"/>
  <c r="L22" i="6"/>
  <c r="L17" i="6"/>
  <c r="L27" i="6" s="1"/>
  <c r="K20" i="6"/>
  <c r="K22" i="6"/>
  <c r="K17" i="6"/>
  <c r="K27" i="6" s="1"/>
  <c r="J20" i="6"/>
  <c r="J22" i="6"/>
  <c r="I20" i="6"/>
  <c r="I22" i="6" s="1"/>
  <c r="I17" i="6" s="1"/>
  <c r="AD19" i="6"/>
  <c r="AC19" i="6"/>
  <c r="AD18" i="6"/>
  <c r="AC18" i="6"/>
  <c r="AD16" i="6"/>
  <c r="AC16" i="6"/>
  <c r="AD15" i="6"/>
  <c r="AC15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AD14" i="6" s="1"/>
  <c r="I14" i="6"/>
  <c r="AC14" i="6"/>
  <c r="AD13" i="6"/>
  <c r="AC13" i="6"/>
  <c r="AD12" i="6"/>
  <c r="AC12" i="6"/>
  <c r="AD11" i="6"/>
  <c r="AC11" i="6"/>
  <c r="AB10" i="6"/>
  <c r="AA10" i="6"/>
  <c r="Z10" i="6"/>
  <c r="Y10" i="6"/>
  <c r="X10" i="6"/>
  <c r="W10" i="6"/>
  <c r="V10" i="6"/>
  <c r="U10" i="6"/>
  <c r="U69" i="6" s="1"/>
  <c r="T10" i="6"/>
  <c r="S10" i="6"/>
  <c r="R10" i="6"/>
  <c r="Q10" i="6"/>
  <c r="P10" i="6"/>
  <c r="O10" i="6"/>
  <c r="O69" i="6" s="1"/>
  <c r="N10" i="6"/>
  <c r="M10" i="6"/>
  <c r="M69" i="6" s="1"/>
  <c r="L10" i="6"/>
  <c r="K10" i="6"/>
  <c r="J10" i="6"/>
  <c r="I10" i="6"/>
  <c r="AD9" i="6"/>
  <c r="AC9" i="6"/>
  <c r="AB103" i="5"/>
  <c r="AB104" i="5"/>
  <c r="AA103" i="5"/>
  <c r="AA104" i="5" s="1"/>
  <c r="Z103" i="5"/>
  <c r="Z104" i="5"/>
  <c r="Y103" i="5"/>
  <c r="Y104" i="5" s="1"/>
  <c r="X103" i="5"/>
  <c r="X104" i="5"/>
  <c r="W103" i="5"/>
  <c r="W104" i="5" s="1"/>
  <c r="V103" i="5"/>
  <c r="V104" i="5"/>
  <c r="U103" i="5"/>
  <c r="U104" i="5" s="1"/>
  <c r="T103" i="5"/>
  <c r="T104" i="5"/>
  <c r="S103" i="5"/>
  <c r="S104" i="5" s="1"/>
  <c r="R103" i="5"/>
  <c r="R104" i="5"/>
  <c r="Q103" i="5"/>
  <c r="Q104" i="5" s="1"/>
  <c r="P103" i="5"/>
  <c r="P104" i="5"/>
  <c r="O103" i="5"/>
  <c r="O104" i="5" s="1"/>
  <c r="N103" i="5"/>
  <c r="N104" i="5"/>
  <c r="M103" i="5"/>
  <c r="M104" i="5" s="1"/>
  <c r="L103" i="5"/>
  <c r="L104" i="5"/>
  <c r="K103" i="5"/>
  <c r="K104" i="5" s="1"/>
  <c r="J103" i="5"/>
  <c r="J104" i="5"/>
  <c r="I103" i="5"/>
  <c r="I104" i="5" s="1"/>
  <c r="AD102" i="5"/>
  <c r="AC102" i="5"/>
  <c r="AD101" i="5"/>
  <c r="AD103" i="5" s="1"/>
  <c r="AD104" i="5" s="1"/>
  <c r="AC101" i="5"/>
  <c r="AD100" i="5"/>
  <c r="AC100" i="5"/>
  <c r="AC103" i="5" s="1"/>
  <c r="AC104" i="5" s="1"/>
  <c r="AD94" i="5"/>
  <c r="AC94" i="5"/>
  <c r="AC93" i="5"/>
  <c r="AB93" i="5"/>
  <c r="R93" i="7" s="1"/>
  <c r="Z93" i="5"/>
  <c r="Q93" i="7" s="1"/>
  <c r="X93" i="5"/>
  <c r="P93" i="7" s="1"/>
  <c r="V93" i="5"/>
  <c r="O93" i="7" s="1"/>
  <c r="T93" i="5"/>
  <c r="N93" i="7" s="1"/>
  <c r="R93" i="5"/>
  <c r="M93" i="7" s="1"/>
  <c r="P93" i="5"/>
  <c r="L93" i="7" s="1"/>
  <c r="N93" i="5"/>
  <c r="K93" i="7" s="1"/>
  <c r="L93" i="5"/>
  <c r="J93" i="7" s="1"/>
  <c r="J93" i="5"/>
  <c r="I93" i="7" s="1"/>
  <c r="AD93" i="5"/>
  <c r="AD92" i="5"/>
  <c r="S92" i="7" s="1"/>
  <c r="AC91" i="5"/>
  <c r="AD91" i="5"/>
  <c r="AC90" i="5"/>
  <c r="AD90" i="5" s="1"/>
  <c r="AB90" i="5"/>
  <c r="R90" i="7" s="1"/>
  <c r="Z90" i="5"/>
  <c r="Q90" i="7" s="1"/>
  <c r="X90" i="5"/>
  <c r="P90" i="7" s="1"/>
  <c r="V90" i="5"/>
  <c r="O90" i="7" s="1"/>
  <c r="T90" i="5"/>
  <c r="N90" i="7" s="1"/>
  <c r="R90" i="5"/>
  <c r="M90" i="7" s="1"/>
  <c r="P90" i="5"/>
  <c r="L90" i="7" s="1"/>
  <c r="N90" i="5"/>
  <c r="K90" i="7" s="1"/>
  <c r="L90" i="5"/>
  <c r="J90" i="7" s="1"/>
  <c r="J90" i="5"/>
  <c r="I90" i="7" s="1"/>
  <c r="AD89" i="5"/>
  <c r="AC88" i="5"/>
  <c r="AB87" i="5"/>
  <c r="AA87" i="5"/>
  <c r="Y87" i="5"/>
  <c r="Z87" i="5" s="1"/>
  <c r="X87" i="5"/>
  <c r="W87" i="5"/>
  <c r="U87" i="5"/>
  <c r="V87" i="5" s="1"/>
  <c r="S87" i="5"/>
  <c r="T87" i="5" s="1"/>
  <c r="Q87" i="5"/>
  <c r="R87" i="5" s="1"/>
  <c r="O87" i="5"/>
  <c r="P87" i="5" s="1"/>
  <c r="M87" i="5"/>
  <c r="N87" i="5" s="1"/>
  <c r="L87" i="5"/>
  <c r="K87" i="5"/>
  <c r="I87" i="5"/>
  <c r="AD84" i="5"/>
  <c r="AC84" i="5"/>
  <c r="AD83" i="5"/>
  <c r="AC83" i="5"/>
  <c r="AD82" i="5"/>
  <c r="AC82" i="5"/>
  <c r="AD81" i="5"/>
  <c r="AC81" i="5"/>
  <c r="AD80" i="5"/>
  <c r="AC80" i="5"/>
  <c r="AD79" i="5"/>
  <c r="AC79" i="5"/>
  <c r="AD78" i="5"/>
  <c r="AC78" i="5"/>
  <c r="AD75" i="5"/>
  <c r="AC75" i="5"/>
  <c r="AD74" i="5"/>
  <c r="AC74" i="5"/>
  <c r="AB73" i="5"/>
  <c r="AB76" i="5" s="1"/>
  <c r="AB85" i="5" s="1"/>
  <c r="AA73" i="5"/>
  <c r="AA76" i="5"/>
  <c r="AA85" i="5" s="1"/>
  <c r="Z73" i="5"/>
  <c r="Z76" i="5"/>
  <c r="Z85" i="5"/>
  <c r="Y73" i="5"/>
  <c r="Y76" i="5" s="1"/>
  <c r="Y85" i="5" s="1"/>
  <c r="X73" i="5"/>
  <c r="X76" i="5" s="1"/>
  <c r="X85" i="5" s="1"/>
  <c r="W73" i="5"/>
  <c r="W76" i="5"/>
  <c r="W85" i="5" s="1"/>
  <c r="V73" i="5"/>
  <c r="V76" i="5"/>
  <c r="V85" i="5"/>
  <c r="U73" i="5"/>
  <c r="U76" i="5" s="1"/>
  <c r="U85" i="5" s="1"/>
  <c r="T73" i="5"/>
  <c r="T76" i="5" s="1"/>
  <c r="T85" i="5" s="1"/>
  <c r="S73" i="5"/>
  <c r="S76" i="5"/>
  <c r="S85" i="5" s="1"/>
  <c r="R73" i="5"/>
  <c r="R76" i="5"/>
  <c r="R85" i="5"/>
  <c r="Q73" i="5"/>
  <c r="Q76" i="5" s="1"/>
  <c r="Q85" i="5" s="1"/>
  <c r="P73" i="5"/>
  <c r="P76" i="5" s="1"/>
  <c r="P85" i="5" s="1"/>
  <c r="O73" i="5"/>
  <c r="O76" i="5"/>
  <c r="O85" i="5" s="1"/>
  <c r="N73" i="5"/>
  <c r="N76" i="5"/>
  <c r="N85" i="5"/>
  <c r="M73" i="5"/>
  <c r="M76" i="5" s="1"/>
  <c r="M85" i="5" s="1"/>
  <c r="L73" i="5"/>
  <c r="L76" i="5" s="1"/>
  <c r="L85" i="5" s="1"/>
  <c r="K73" i="5"/>
  <c r="K76" i="5"/>
  <c r="K85" i="5" s="1"/>
  <c r="J73" i="5"/>
  <c r="J76" i="5"/>
  <c r="I73" i="5"/>
  <c r="I76" i="5" s="1"/>
  <c r="AD72" i="5"/>
  <c r="AC72" i="5"/>
  <c r="AD71" i="5"/>
  <c r="AC71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AD68" i="5" s="1"/>
  <c r="I68" i="5"/>
  <c r="AC68" i="5"/>
  <c r="AD67" i="5"/>
  <c r="AC67" i="5"/>
  <c r="AD66" i="5"/>
  <c r="AC66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AD65" i="5" s="1"/>
  <c r="K65" i="5"/>
  <c r="J65" i="5"/>
  <c r="I65" i="5"/>
  <c r="AC65" i="5" s="1"/>
  <c r="AD64" i="5"/>
  <c r="AC64" i="5"/>
  <c r="AD63" i="5"/>
  <c r="AC63" i="5"/>
  <c r="AD62" i="5"/>
  <c r="AC62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AD61" i="5" s="1"/>
  <c r="K61" i="5"/>
  <c r="J61" i="5"/>
  <c r="I61" i="5"/>
  <c r="AC61" i="5" s="1"/>
  <c r="AD60" i="5"/>
  <c r="AC60" i="5"/>
  <c r="AD59" i="5"/>
  <c r="AC59" i="5"/>
  <c r="AD58" i="5"/>
  <c r="AC58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L57" i="7" s="1"/>
  <c r="O57" i="5"/>
  <c r="N57" i="5"/>
  <c r="M57" i="5"/>
  <c r="L57" i="5"/>
  <c r="AD57" i="5" s="1"/>
  <c r="K57" i="5"/>
  <c r="J57" i="5"/>
  <c r="I57" i="5"/>
  <c r="AC57" i="5" s="1"/>
  <c r="AD56" i="5"/>
  <c r="AC56" i="5"/>
  <c r="AD55" i="5"/>
  <c r="AC55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AD54" i="5" s="1"/>
  <c r="I54" i="5"/>
  <c r="AC54" i="5"/>
  <c r="AD53" i="5"/>
  <c r="AC53" i="5"/>
  <c r="AD52" i="5"/>
  <c r="AC52" i="5"/>
  <c r="AD51" i="5"/>
  <c r="AC51" i="5"/>
  <c r="AD49" i="5"/>
  <c r="AC49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AD48" i="5" s="1"/>
  <c r="K48" i="5"/>
  <c r="J48" i="5"/>
  <c r="I48" i="5"/>
  <c r="AC48" i="5" s="1"/>
  <c r="AD47" i="5"/>
  <c r="AC47" i="5"/>
  <c r="AD46" i="5"/>
  <c r="AC46" i="5"/>
  <c r="AD44" i="5"/>
  <c r="AC44" i="5"/>
  <c r="AB43" i="5"/>
  <c r="AB45" i="5" s="1"/>
  <c r="AA43" i="5"/>
  <c r="AA45" i="5"/>
  <c r="AA50" i="5" s="1"/>
  <c r="Z43" i="5"/>
  <c r="Z45" i="5"/>
  <c r="Z50" i="5"/>
  <c r="Y43" i="5"/>
  <c r="Y45" i="5"/>
  <c r="Y50" i="5"/>
  <c r="X43" i="5"/>
  <c r="X45" i="5" s="1"/>
  <c r="W43" i="5"/>
  <c r="W45" i="5"/>
  <c r="W50" i="5" s="1"/>
  <c r="V43" i="5"/>
  <c r="V45" i="5"/>
  <c r="V50" i="5"/>
  <c r="U43" i="5"/>
  <c r="U45" i="5"/>
  <c r="U50" i="5"/>
  <c r="T43" i="5"/>
  <c r="T45" i="5" s="1"/>
  <c r="T50" i="5" s="1"/>
  <c r="S43" i="5"/>
  <c r="S45" i="5"/>
  <c r="S50" i="5" s="1"/>
  <c r="R43" i="5"/>
  <c r="R45" i="5"/>
  <c r="R50" i="5"/>
  <c r="Q43" i="5"/>
  <c r="Q45" i="5"/>
  <c r="Q50" i="5"/>
  <c r="P43" i="5"/>
  <c r="P45" i="5" s="1"/>
  <c r="O43" i="5"/>
  <c r="O45" i="5"/>
  <c r="O50" i="5" s="1"/>
  <c r="N43" i="5"/>
  <c r="N45" i="5"/>
  <c r="N50" i="5"/>
  <c r="M43" i="5"/>
  <c r="M45" i="5"/>
  <c r="M50" i="5"/>
  <c r="L43" i="5"/>
  <c r="L45" i="5" s="1"/>
  <c r="K43" i="5"/>
  <c r="K45" i="5"/>
  <c r="K50" i="5" s="1"/>
  <c r="AC50" i="5" s="1"/>
  <c r="J43" i="5"/>
  <c r="J45" i="5"/>
  <c r="I43" i="5"/>
  <c r="I45" i="5" s="1"/>
  <c r="AD42" i="5"/>
  <c r="AC42" i="5"/>
  <c r="AD41" i="5"/>
  <c r="AC41" i="5"/>
  <c r="AB40" i="5"/>
  <c r="AA40" i="5"/>
  <c r="Z40" i="5"/>
  <c r="Y40" i="5"/>
  <c r="X40" i="5"/>
  <c r="W40" i="5"/>
  <c r="V40" i="5"/>
  <c r="O40" i="7" s="1"/>
  <c r="U40" i="5"/>
  <c r="T40" i="5"/>
  <c r="S40" i="5"/>
  <c r="R40" i="5"/>
  <c r="Q40" i="5"/>
  <c r="P40" i="5"/>
  <c r="O40" i="5"/>
  <c r="N40" i="5"/>
  <c r="M40" i="5"/>
  <c r="L40" i="5"/>
  <c r="K40" i="5"/>
  <c r="J40" i="5"/>
  <c r="AD40" i="5" s="1"/>
  <c r="I40" i="5"/>
  <c r="AC40" i="5"/>
  <c r="AD39" i="5"/>
  <c r="AC39" i="5"/>
  <c r="AD38" i="5"/>
  <c r="AC38" i="5"/>
  <c r="AD36" i="5"/>
  <c r="AC36" i="5"/>
  <c r="AB35" i="5"/>
  <c r="AB37" i="5"/>
  <c r="AA35" i="5"/>
  <c r="AA37" i="5" s="1"/>
  <c r="Z35" i="5"/>
  <c r="Z37" i="5"/>
  <c r="Y35" i="5"/>
  <c r="Y37" i="5" s="1"/>
  <c r="X35" i="5"/>
  <c r="X37" i="5"/>
  <c r="W35" i="5"/>
  <c r="W37" i="5" s="1"/>
  <c r="V35" i="5"/>
  <c r="V37" i="5"/>
  <c r="U35" i="5"/>
  <c r="U37" i="5" s="1"/>
  <c r="T35" i="5"/>
  <c r="T37" i="5"/>
  <c r="S35" i="5"/>
  <c r="S37" i="5" s="1"/>
  <c r="R35" i="5"/>
  <c r="R37" i="5"/>
  <c r="Q35" i="5"/>
  <c r="Q37" i="5" s="1"/>
  <c r="P35" i="5"/>
  <c r="P37" i="5"/>
  <c r="O35" i="5"/>
  <c r="O37" i="5" s="1"/>
  <c r="N35" i="5"/>
  <c r="N37" i="5"/>
  <c r="M35" i="5"/>
  <c r="M37" i="5" s="1"/>
  <c r="L35" i="5"/>
  <c r="L37" i="5"/>
  <c r="K35" i="5"/>
  <c r="K37" i="5" s="1"/>
  <c r="J35" i="5"/>
  <c r="J37" i="5"/>
  <c r="AD37" i="5"/>
  <c r="I35" i="5"/>
  <c r="I37" i="5"/>
  <c r="AD34" i="5"/>
  <c r="AC34" i="5"/>
  <c r="AD33" i="5"/>
  <c r="AC33" i="5"/>
  <c r="AD31" i="5"/>
  <c r="AC31" i="5"/>
  <c r="AB30" i="5"/>
  <c r="AB32" i="5"/>
  <c r="AA30" i="5"/>
  <c r="AA32" i="5" s="1"/>
  <c r="Z30" i="5"/>
  <c r="Z32" i="5"/>
  <c r="Y30" i="5"/>
  <c r="Y32" i="5" s="1"/>
  <c r="X30" i="5"/>
  <c r="X32" i="5"/>
  <c r="W30" i="5"/>
  <c r="W32" i="5" s="1"/>
  <c r="V30" i="5"/>
  <c r="V32" i="5"/>
  <c r="U30" i="5"/>
  <c r="U32" i="5" s="1"/>
  <c r="T30" i="5"/>
  <c r="T32" i="5"/>
  <c r="S30" i="5"/>
  <c r="S32" i="5" s="1"/>
  <c r="R30" i="5"/>
  <c r="R32" i="5"/>
  <c r="Q30" i="5"/>
  <c r="Q32" i="5" s="1"/>
  <c r="P30" i="5"/>
  <c r="P32" i="5"/>
  <c r="O30" i="5"/>
  <c r="O32" i="5" s="1"/>
  <c r="N30" i="5"/>
  <c r="N32" i="5"/>
  <c r="M30" i="5"/>
  <c r="M32" i="5" s="1"/>
  <c r="L30" i="5"/>
  <c r="L32" i="5"/>
  <c r="K30" i="5"/>
  <c r="K32" i="5" s="1"/>
  <c r="J30" i="5"/>
  <c r="J32" i="5"/>
  <c r="AD32" i="5"/>
  <c r="I30" i="5"/>
  <c r="I32" i="5"/>
  <c r="AD29" i="5"/>
  <c r="AC29" i="5"/>
  <c r="AD28" i="5"/>
  <c r="AC28" i="5"/>
  <c r="AD26" i="5"/>
  <c r="AC26" i="5"/>
  <c r="AB25" i="5"/>
  <c r="AA25" i="5"/>
  <c r="Z25" i="5"/>
  <c r="Z17" i="5" s="1"/>
  <c r="Z27" i="5" s="1"/>
  <c r="Y25" i="5"/>
  <c r="X25" i="5"/>
  <c r="W25" i="5"/>
  <c r="V25" i="5"/>
  <c r="V17" i="5" s="1"/>
  <c r="V27" i="5" s="1"/>
  <c r="U25" i="5"/>
  <c r="T25" i="5"/>
  <c r="S25" i="5"/>
  <c r="R25" i="5"/>
  <c r="R17" i="5" s="1"/>
  <c r="R27" i="5" s="1"/>
  <c r="Q25" i="5"/>
  <c r="P25" i="5"/>
  <c r="O25" i="5"/>
  <c r="N25" i="5"/>
  <c r="N17" i="5" s="1"/>
  <c r="N27" i="5" s="1"/>
  <c r="M25" i="5"/>
  <c r="L25" i="5"/>
  <c r="K25" i="5"/>
  <c r="J25" i="5"/>
  <c r="AD25" i="5" s="1"/>
  <c r="I25" i="5"/>
  <c r="AC25" i="5"/>
  <c r="AD24" i="5"/>
  <c r="AC24" i="5"/>
  <c r="AD23" i="5"/>
  <c r="AC23" i="5"/>
  <c r="AD21" i="5"/>
  <c r="AC21" i="5"/>
  <c r="AB20" i="5"/>
  <c r="AB22" i="5"/>
  <c r="AB17" i="5"/>
  <c r="AB27" i="5" s="1"/>
  <c r="AA20" i="5"/>
  <c r="AA22" i="5"/>
  <c r="AA17" i="5"/>
  <c r="AA27" i="5" s="1"/>
  <c r="Z20" i="5"/>
  <c r="Z22" i="5"/>
  <c r="Y20" i="5"/>
  <c r="Y22" i="5"/>
  <c r="Y17" i="5"/>
  <c r="Y27" i="5" s="1"/>
  <c r="X20" i="5"/>
  <c r="X22" i="5"/>
  <c r="X17" i="5"/>
  <c r="X27" i="5" s="1"/>
  <c r="W20" i="5"/>
  <c r="W22" i="5"/>
  <c r="W17" i="5"/>
  <c r="W27" i="5" s="1"/>
  <c r="V20" i="5"/>
  <c r="V22" i="5"/>
  <c r="U20" i="5"/>
  <c r="U22" i="5"/>
  <c r="U17" i="5"/>
  <c r="U27" i="5" s="1"/>
  <c r="T20" i="5"/>
  <c r="T22" i="5"/>
  <c r="T17" i="5"/>
  <c r="T27" i="5" s="1"/>
  <c r="T69" i="5" s="1"/>
  <c r="S20" i="5"/>
  <c r="S22" i="5"/>
  <c r="S17" i="5"/>
  <c r="S27" i="5" s="1"/>
  <c r="R20" i="5"/>
  <c r="R22" i="5"/>
  <c r="Q20" i="5"/>
  <c r="Q22" i="5"/>
  <c r="Q17" i="5"/>
  <c r="Q27" i="5" s="1"/>
  <c r="P20" i="5"/>
  <c r="P22" i="5"/>
  <c r="P17" i="5"/>
  <c r="P27" i="5" s="1"/>
  <c r="O20" i="5"/>
  <c r="O22" i="5"/>
  <c r="O17" i="5"/>
  <c r="O27" i="5" s="1"/>
  <c r="N20" i="5"/>
  <c r="N22" i="5"/>
  <c r="M20" i="5"/>
  <c r="M22" i="5"/>
  <c r="M17" i="5"/>
  <c r="M27" i="5" s="1"/>
  <c r="L20" i="5"/>
  <c r="L22" i="5"/>
  <c r="L17" i="5"/>
  <c r="L27" i="5" s="1"/>
  <c r="K20" i="5"/>
  <c r="K22" i="5"/>
  <c r="K17" i="5"/>
  <c r="K27" i="5" s="1"/>
  <c r="J20" i="5"/>
  <c r="J22" i="5"/>
  <c r="I20" i="5"/>
  <c r="I22" i="5" s="1"/>
  <c r="AD19" i="5"/>
  <c r="AC19" i="5"/>
  <c r="AD18" i="5"/>
  <c r="AC18" i="5"/>
  <c r="AD16" i="5"/>
  <c r="AC16" i="5"/>
  <c r="AD15" i="5"/>
  <c r="AC15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AD14" i="5" s="1"/>
  <c r="I14" i="5"/>
  <c r="AC14" i="5"/>
  <c r="AD13" i="5"/>
  <c r="AC13" i="5"/>
  <c r="AD12" i="5"/>
  <c r="AC12" i="5"/>
  <c r="AD11" i="5"/>
  <c r="S11" i="7" s="1"/>
  <c r="AC11" i="5"/>
  <c r="AB10" i="5"/>
  <c r="AA10" i="5"/>
  <c r="Z10" i="5"/>
  <c r="Y10" i="5"/>
  <c r="X10" i="5"/>
  <c r="W10" i="5"/>
  <c r="W69" i="5" s="1"/>
  <c r="V10" i="5"/>
  <c r="U10" i="5"/>
  <c r="T10" i="5"/>
  <c r="S10" i="5"/>
  <c r="S69" i="5" s="1"/>
  <c r="R10" i="5"/>
  <c r="Q10" i="5"/>
  <c r="P10" i="5"/>
  <c r="O10" i="5"/>
  <c r="O69" i="5" s="1"/>
  <c r="N10" i="5"/>
  <c r="M10" i="5"/>
  <c r="L10" i="5"/>
  <c r="K10" i="5"/>
  <c r="J10" i="5"/>
  <c r="I10" i="5"/>
  <c r="AD9" i="5"/>
  <c r="S9" i="7" s="1"/>
  <c r="AC9" i="5"/>
  <c r="I68" i="4"/>
  <c r="J68" i="4"/>
  <c r="J68" i="7" s="1"/>
  <c r="K68" i="4"/>
  <c r="L68" i="4"/>
  <c r="L68" i="7" s="1"/>
  <c r="M68" i="4"/>
  <c r="N68" i="4"/>
  <c r="N68" i="7" s="1"/>
  <c r="O68" i="4"/>
  <c r="P68" i="4"/>
  <c r="P68" i="7" s="1"/>
  <c r="Q68" i="4"/>
  <c r="R68" i="4"/>
  <c r="R68" i="7" s="1"/>
  <c r="I65" i="4"/>
  <c r="I65" i="7" s="1"/>
  <c r="J65" i="4"/>
  <c r="K65" i="4"/>
  <c r="K65" i="7" s="1"/>
  <c r="L65" i="4"/>
  <c r="M65" i="4"/>
  <c r="M65" i="7" s="1"/>
  <c r="N65" i="4"/>
  <c r="N65" i="7" s="1"/>
  <c r="O65" i="4"/>
  <c r="O65" i="7" s="1"/>
  <c r="P65" i="4"/>
  <c r="Q65" i="4"/>
  <c r="Q65" i="7" s="1"/>
  <c r="R65" i="4"/>
  <c r="R103" i="4"/>
  <c r="R104" i="4" s="1"/>
  <c r="Q103" i="4"/>
  <c r="Q104" i="4"/>
  <c r="P103" i="4"/>
  <c r="P104" i="4" s="1"/>
  <c r="O103" i="4"/>
  <c r="O104" i="4"/>
  <c r="N103" i="4"/>
  <c r="N104" i="4" s="1"/>
  <c r="M103" i="4"/>
  <c r="M104" i="4"/>
  <c r="L103" i="4"/>
  <c r="L104" i="4" s="1"/>
  <c r="K103" i="4"/>
  <c r="K104" i="4"/>
  <c r="J103" i="4"/>
  <c r="J104" i="4" s="1"/>
  <c r="I103" i="4"/>
  <c r="I104" i="4"/>
  <c r="S102" i="4"/>
  <c r="S102" i="7" s="1"/>
  <c r="S101" i="4"/>
  <c r="S101" i="7" s="1"/>
  <c r="S100" i="4"/>
  <c r="S100" i="7" s="1"/>
  <c r="S94" i="4"/>
  <c r="S94" i="7" s="1"/>
  <c r="S93" i="4"/>
  <c r="S91" i="4"/>
  <c r="S91" i="7" s="1"/>
  <c r="S90" i="4"/>
  <c r="S88" i="4"/>
  <c r="R87" i="4"/>
  <c r="R87" i="7" s="1"/>
  <c r="Q87" i="4"/>
  <c r="Q87" i="7" s="1"/>
  <c r="P87" i="4"/>
  <c r="O87" i="4"/>
  <c r="O87" i="7" s="1"/>
  <c r="N87" i="4"/>
  <c r="M87" i="4"/>
  <c r="M87" i="7" s="1"/>
  <c r="L87" i="4"/>
  <c r="K87" i="4"/>
  <c r="J87" i="4"/>
  <c r="J87" i="7" s="1"/>
  <c r="I87" i="4"/>
  <c r="S84" i="4"/>
  <c r="S84" i="7" s="1"/>
  <c r="S83" i="4"/>
  <c r="S82" i="4"/>
  <c r="S82" i="7" s="1"/>
  <c r="S81" i="4"/>
  <c r="S81" i="7" s="1"/>
  <c r="S80" i="4"/>
  <c r="S80" i="7" s="1"/>
  <c r="S79" i="4"/>
  <c r="S78" i="4"/>
  <c r="S78" i="7" s="1"/>
  <c r="S75" i="4"/>
  <c r="S75" i="7" s="1"/>
  <c r="S74" i="4"/>
  <c r="S74" i="7" s="1"/>
  <c r="R73" i="4"/>
  <c r="R76" i="4"/>
  <c r="R85" i="4"/>
  <c r="R85" i="7" s="1"/>
  <c r="Q73" i="4"/>
  <c r="Q73" i="7" s="1"/>
  <c r="P73" i="4"/>
  <c r="O73" i="4"/>
  <c r="O73" i="7" s="1"/>
  <c r="O76" i="4"/>
  <c r="N73" i="4"/>
  <c r="N76" i="4"/>
  <c r="N76" i="7" s="1"/>
  <c r="N85" i="4"/>
  <c r="N85" i="7" s="1"/>
  <c r="M73" i="4"/>
  <c r="M73" i="7" s="1"/>
  <c r="L73" i="4"/>
  <c r="K73" i="4"/>
  <c r="K73" i="7" s="1"/>
  <c r="K76" i="4"/>
  <c r="J73" i="4"/>
  <c r="J76" i="4"/>
  <c r="J85" i="4"/>
  <c r="I73" i="4"/>
  <c r="I73" i="7" s="1"/>
  <c r="S72" i="4"/>
  <c r="S72" i="7" s="1"/>
  <c r="S71" i="4"/>
  <c r="S67" i="4"/>
  <c r="S66" i="4"/>
  <c r="S66" i="7" s="1"/>
  <c r="S65" i="4"/>
  <c r="S65" i="7" s="1"/>
  <c r="S64" i="4"/>
  <c r="S64" i="7" s="1"/>
  <c r="S63" i="4"/>
  <c r="S62" i="4"/>
  <c r="S62" i="7" s="1"/>
  <c r="R61" i="4"/>
  <c r="R61" i="7" s="1"/>
  <c r="Q61" i="4"/>
  <c r="Q61" i="7" s="1"/>
  <c r="P61" i="4"/>
  <c r="O61" i="4"/>
  <c r="O61" i="7" s="1"/>
  <c r="N61" i="4"/>
  <c r="N61" i="7" s="1"/>
  <c r="M61" i="4"/>
  <c r="M61" i="7" s="1"/>
  <c r="L61" i="4"/>
  <c r="K61" i="4"/>
  <c r="K61" i="7" s="1"/>
  <c r="J61" i="4"/>
  <c r="J61" i="7" s="1"/>
  <c r="I61" i="4"/>
  <c r="I61" i="7" s="1"/>
  <c r="S60" i="4"/>
  <c r="S60" i="7" s="1"/>
  <c r="S59" i="4"/>
  <c r="S58" i="4"/>
  <c r="S58" i="7" s="1"/>
  <c r="R57" i="4"/>
  <c r="Q57" i="4"/>
  <c r="Q57" i="7" s="1"/>
  <c r="P57" i="4"/>
  <c r="O57" i="4"/>
  <c r="O57" i="7" s="1"/>
  <c r="N57" i="4"/>
  <c r="M57" i="7"/>
  <c r="K57" i="4"/>
  <c r="J57" i="4"/>
  <c r="I57" i="4"/>
  <c r="I57" i="7" s="1"/>
  <c r="S56" i="4"/>
  <c r="S56" i="7" s="1"/>
  <c r="S55" i="4"/>
  <c r="R54" i="4"/>
  <c r="R54" i="7" s="1"/>
  <c r="Q54" i="4"/>
  <c r="P54" i="4"/>
  <c r="P54" i="7" s="1"/>
  <c r="O54" i="4"/>
  <c r="N54" i="4"/>
  <c r="N54" i="7" s="1"/>
  <c r="K54" i="4"/>
  <c r="J54" i="4"/>
  <c r="J54" i="7" s="1"/>
  <c r="I54" i="4"/>
  <c r="S53" i="4"/>
  <c r="S52" i="4"/>
  <c r="S52" i="7"/>
  <c r="S51" i="4"/>
  <c r="S49" i="4"/>
  <c r="S49" i="7" s="1"/>
  <c r="R48" i="4"/>
  <c r="Q48" i="4"/>
  <c r="Q48" i="7" s="1"/>
  <c r="P48" i="4"/>
  <c r="O48" i="4"/>
  <c r="O48" i="7" s="1"/>
  <c r="N48" i="4"/>
  <c r="M48" i="4"/>
  <c r="M48" i="7" s="1"/>
  <c r="L48" i="4"/>
  <c r="K48" i="4"/>
  <c r="K48" i="7" s="1"/>
  <c r="J48" i="4"/>
  <c r="I48" i="4"/>
  <c r="S47" i="4"/>
  <c r="S47" i="7" s="1"/>
  <c r="S46" i="4"/>
  <c r="S44" i="4"/>
  <c r="S44" i="7" s="1"/>
  <c r="R43" i="4"/>
  <c r="R45" i="4" s="1"/>
  <c r="Q43" i="4"/>
  <c r="P43" i="4"/>
  <c r="P45" i="4"/>
  <c r="O43" i="4"/>
  <c r="O43" i="7" s="1"/>
  <c r="O45" i="4"/>
  <c r="O45" i="7" s="1"/>
  <c r="O50" i="4"/>
  <c r="N43" i="4"/>
  <c r="N45" i="4" s="1"/>
  <c r="M43" i="4"/>
  <c r="L43" i="4"/>
  <c r="L45" i="4"/>
  <c r="K43" i="4"/>
  <c r="K43" i="7" s="1"/>
  <c r="K45" i="4"/>
  <c r="K45" i="7" s="1"/>
  <c r="K50" i="4"/>
  <c r="K50" i="7" s="1"/>
  <c r="J43" i="4"/>
  <c r="J45" i="4" s="1"/>
  <c r="I43" i="4"/>
  <c r="S42" i="4"/>
  <c r="S42" i="7" s="1"/>
  <c r="S41" i="4"/>
  <c r="R40" i="4"/>
  <c r="R40" i="7" s="1"/>
  <c r="Q40" i="4"/>
  <c r="P40" i="4"/>
  <c r="P40" i="7" s="1"/>
  <c r="O40" i="4"/>
  <c r="N40" i="4"/>
  <c r="N40" i="7" s="1"/>
  <c r="M40" i="4"/>
  <c r="L40" i="4"/>
  <c r="L40" i="7" s="1"/>
  <c r="K40" i="4"/>
  <c r="J40" i="4"/>
  <c r="J40" i="7" s="1"/>
  <c r="I40" i="4"/>
  <c r="S40" i="4" s="1"/>
  <c r="S40" i="7" s="1"/>
  <c r="S39" i="4"/>
  <c r="S38" i="4"/>
  <c r="S38" i="7" s="1"/>
  <c r="S36" i="4"/>
  <c r="R35" i="4"/>
  <c r="R35" i="7" s="1"/>
  <c r="R37" i="4"/>
  <c r="R37" i="7" s="1"/>
  <c r="Q35" i="4"/>
  <c r="P35" i="4"/>
  <c r="P35" i="7" s="1"/>
  <c r="P37" i="4"/>
  <c r="P37" i="7" s="1"/>
  <c r="O35" i="4"/>
  <c r="N35" i="4"/>
  <c r="N35" i="7" s="1"/>
  <c r="N37" i="4"/>
  <c r="N37" i="7" s="1"/>
  <c r="M35" i="4"/>
  <c r="L35" i="4"/>
  <c r="L35" i="7" s="1"/>
  <c r="L37" i="4"/>
  <c r="L37" i="7" s="1"/>
  <c r="K35" i="4"/>
  <c r="J35" i="4"/>
  <c r="J35" i="7" s="1"/>
  <c r="J37" i="4"/>
  <c r="J37" i="7" s="1"/>
  <c r="I35" i="4"/>
  <c r="S34" i="4"/>
  <c r="S33" i="4"/>
  <c r="S33" i="7" s="1"/>
  <c r="S31" i="4"/>
  <c r="R30" i="4"/>
  <c r="R30" i="7" s="1"/>
  <c r="R32" i="4"/>
  <c r="R32" i="7" s="1"/>
  <c r="Q30" i="4"/>
  <c r="P30" i="4"/>
  <c r="P30" i="7" s="1"/>
  <c r="P32" i="4"/>
  <c r="P32" i="7" s="1"/>
  <c r="O30" i="4"/>
  <c r="N30" i="4"/>
  <c r="N30" i="7" s="1"/>
  <c r="N32" i="4"/>
  <c r="N32" i="7" s="1"/>
  <c r="M30" i="4"/>
  <c r="L30" i="4"/>
  <c r="L30" i="7" s="1"/>
  <c r="L32" i="4"/>
  <c r="L32" i="7" s="1"/>
  <c r="K30" i="4"/>
  <c r="J30" i="4"/>
  <c r="J30" i="7" s="1"/>
  <c r="J32" i="4"/>
  <c r="J32" i="7" s="1"/>
  <c r="I30" i="4"/>
  <c r="S29" i="4"/>
  <c r="S28" i="4"/>
  <c r="S28" i="7" s="1"/>
  <c r="S26" i="4"/>
  <c r="S26" i="7" s="1"/>
  <c r="R25" i="4"/>
  <c r="R25" i="7" s="1"/>
  <c r="Q25" i="4"/>
  <c r="P25" i="4"/>
  <c r="P25" i="7" s="1"/>
  <c r="O25" i="4"/>
  <c r="O25" i="7" s="1"/>
  <c r="N25" i="4"/>
  <c r="N25" i="7" s="1"/>
  <c r="M25" i="4"/>
  <c r="L25" i="4"/>
  <c r="L25" i="7" s="1"/>
  <c r="K25" i="4"/>
  <c r="J25" i="4"/>
  <c r="J25" i="7" s="1"/>
  <c r="I25" i="4"/>
  <c r="S24" i="4"/>
  <c r="S23" i="4"/>
  <c r="S23" i="7" s="1"/>
  <c r="S21" i="4"/>
  <c r="R20" i="4"/>
  <c r="R20" i="7" s="1"/>
  <c r="R22" i="4"/>
  <c r="Q20" i="4"/>
  <c r="Q20" i="7" s="1"/>
  <c r="Q22" i="4"/>
  <c r="P20" i="4"/>
  <c r="P20" i="7" s="1"/>
  <c r="P22" i="4"/>
  <c r="O20" i="4"/>
  <c r="O20" i="7" s="1"/>
  <c r="O22" i="4"/>
  <c r="N20" i="4"/>
  <c r="N20" i="7" s="1"/>
  <c r="N22" i="4"/>
  <c r="M20" i="4"/>
  <c r="M20" i="7" s="1"/>
  <c r="M22" i="4"/>
  <c r="L20" i="4"/>
  <c r="L20" i="7" s="1"/>
  <c r="L22" i="4"/>
  <c r="K20" i="4"/>
  <c r="K22" i="4"/>
  <c r="J20" i="4"/>
  <c r="J20" i="7" s="1"/>
  <c r="J22" i="4"/>
  <c r="J17" i="4" s="1"/>
  <c r="I20" i="4"/>
  <c r="I20" i="7" s="1"/>
  <c r="I22" i="4"/>
  <c r="I22" i="7" s="1"/>
  <c r="S19" i="4"/>
  <c r="S19" i="7" s="1"/>
  <c r="S18" i="4"/>
  <c r="S16" i="4"/>
  <c r="S16" i="7" s="1"/>
  <c r="S15" i="4"/>
  <c r="S15" i="7" s="1"/>
  <c r="R14" i="4"/>
  <c r="R14" i="7" s="1"/>
  <c r="Q14" i="4"/>
  <c r="P14" i="4"/>
  <c r="P14" i="7" s="1"/>
  <c r="O14" i="4"/>
  <c r="O14" i="7" s="1"/>
  <c r="N14" i="4"/>
  <c r="N14" i="7" s="1"/>
  <c r="M14" i="4"/>
  <c r="M14" i="7" s="1"/>
  <c r="L14" i="4"/>
  <c r="L14" i="7" s="1"/>
  <c r="K14" i="4"/>
  <c r="J14" i="4"/>
  <c r="J14" i="7" s="1"/>
  <c r="I14" i="4"/>
  <c r="S13" i="4"/>
  <c r="S13" i="7" s="1"/>
  <c r="S12" i="4"/>
  <c r="S12" i="7" s="1"/>
  <c r="S11" i="4"/>
  <c r="R10" i="4"/>
  <c r="R10" i="7" s="1"/>
  <c r="Q10" i="4"/>
  <c r="Q10" i="7" s="1"/>
  <c r="P10" i="4"/>
  <c r="P10" i="7" s="1"/>
  <c r="O10" i="4"/>
  <c r="N10" i="4"/>
  <c r="N10" i="7" s="1"/>
  <c r="M10" i="4"/>
  <c r="M10" i="7" s="1"/>
  <c r="L10" i="4"/>
  <c r="L10" i="7" s="1"/>
  <c r="K10" i="4"/>
  <c r="K10" i="7" s="1"/>
  <c r="J10" i="4"/>
  <c r="I10" i="4"/>
  <c r="S9" i="4"/>
  <c r="I76" i="4"/>
  <c r="I95" i="1"/>
  <c r="P67" i="1"/>
  <c r="P66" i="1"/>
  <c r="P65" i="1"/>
  <c r="P69" i="1"/>
  <c r="P68" i="1"/>
  <c r="P105" i="1"/>
  <c r="P104" i="1"/>
  <c r="P103" i="1"/>
  <c r="P102" i="1"/>
  <c r="P101" i="1"/>
  <c r="P115" i="1"/>
  <c r="P114" i="1"/>
  <c r="P113" i="1"/>
  <c r="P112" i="1"/>
  <c r="P111" i="1"/>
  <c r="O84" i="1"/>
  <c r="O75" i="1" s="1"/>
  <c r="L84" i="1"/>
  <c r="K84" i="1"/>
  <c r="P90" i="1"/>
  <c r="O89" i="1"/>
  <c r="N89" i="1"/>
  <c r="N84" i="1" s="1"/>
  <c r="M89" i="1"/>
  <c r="M84" i="1" s="1"/>
  <c r="L89" i="1"/>
  <c r="K89" i="1"/>
  <c r="P89" i="1"/>
  <c r="J89" i="1"/>
  <c r="J84" i="1" s="1"/>
  <c r="P41" i="1"/>
  <c r="P40" i="1"/>
  <c r="P38" i="1"/>
  <c r="I39" i="1"/>
  <c r="H41" i="1"/>
  <c r="O39" i="1"/>
  <c r="O34" i="1"/>
  <c r="N39" i="1"/>
  <c r="N34" i="1"/>
  <c r="M39" i="1"/>
  <c r="M34" i="1"/>
  <c r="L39" i="1"/>
  <c r="L34" i="1"/>
  <c r="K39" i="1"/>
  <c r="K34" i="1"/>
  <c r="J39" i="1"/>
  <c r="J34" i="1"/>
  <c r="I34" i="1"/>
  <c r="P110" i="1"/>
  <c r="P119" i="1"/>
  <c r="I75" i="1"/>
  <c r="K79" i="1"/>
  <c r="L79" i="1"/>
  <c r="L75" i="1" s="1"/>
  <c r="M79" i="1"/>
  <c r="N79" i="1"/>
  <c r="O79" i="1"/>
  <c r="J79" i="1"/>
  <c r="P106" i="1"/>
  <c r="P107" i="1"/>
  <c r="P108" i="1"/>
  <c r="P109" i="1"/>
  <c r="P58" i="1"/>
  <c r="P59" i="1"/>
  <c r="P60" i="1"/>
  <c r="P61" i="1"/>
  <c r="P62" i="1"/>
  <c r="P63" i="1"/>
  <c r="P64" i="1"/>
  <c r="J71" i="1"/>
  <c r="J47" i="1" s="1"/>
  <c r="K71" i="1"/>
  <c r="K47" i="1"/>
  <c r="L71" i="1"/>
  <c r="L47" i="1" s="1"/>
  <c r="M71" i="1"/>
  <c r="M47" i="1"/>
  <c r="N71" i="1"/>
  <c r="N47" i="1" s="1"/>
  <c r="O71" i="1"/>
  <c r="O47" i="1"/>
  <c r="I71" i="1"/>
  <c r="I47" i="1" s="1"/>
  <c r="P47" i="1" s="1"/>
  <c r="L28" i="1"/>
  <c r="L18" i="1"/>
  <c r="M28" i="1"/>
  <c r="M18" i="1" s="1"/>
  <c r="P80" i="1"/>
  <c r="P81" i="1"/>
  <c r="P82" i="1"/>
  <c r="P83" i="1"/>
  <c r="P72" i="1"/>
  <c r="O31" i="1"/>
  <c r="N31" i="1"/>
  <c r="O28" i="1"/>
  <c r="N28" i="1"/>
  <c r="O25" i="1"/>
  <c r="N25" i="1"/>
  <c r="O22" i="1"/>
  <c r="N22" i="1"/>
  <c r="O19" i="1"/>
  <c r="O18" i="1" s="1"/>
  <c r="O10" i="1" s="1"/>
  <c r="N19" i="1"/>
  <c r="N18" i="1" s="1"/>
  <c r="N10" i="1" s="1"/>
  <c r="N122" i="1" s="1"/>
  <c r="O15" i="1"/>
  <c r="N15" i="1"/>
  <c r="M15" i="1"/>
  <c r="P15" i="1" s="1"/>
  <c r="L15" i="1"/>
  <c r="K15" i="1"/>
  <c r="J15" i="1"/>
  <c r="I15" i="1"/>
  <c r="I12" i="1"/>
  <c r="I19" i="1"/>
  <c r="P19" i="1"/>
  <c r="I22" i="1"/>
  <c r="I25" i="1"/>
  <c r="I28" i="1"/>
  <c r="I31" i="1"/>
  <c r="P31" i="1" s="1"/>
  <c r="K12" i="1"/>
  <c r="K19" i="1"/>
  <c r="K22" i="1"/>
  <c r="K25" i="1"/>
  <c r="P25" i="1"/>
  <c r="K28" i="1"/>
  <c r="K18" i="1" s="1"/>
  <c r="K10" i="1" s="1"/>
  <c r="K31" i="1"/>
  <c r="K43" i="1"/>
  <c r="K118" i="1"/>
  <c r="K117" i="1" s="1"/>
  <c r="K91" i="1"/>
  <c r="M12" i="1"/>
  <c r="M43" i="1"/>
  <c r="M118" i="1"/>
  <c r="M95" i="1" s="1"/>
  <c r="M91" i="1"/>
  <c r="O12" i="1"/>
  <c r="P12" i="1"/>
  <c r="O43" i="1"/>
  <c r="O118" i="1"/>
  <c r="O95" i="1"/>
  <c r="O91" i="1"/>
  <c r="P100" i="1"/>
  <c r="P99" i="1"/>
  <c r="P98" i="1"/>
  <c r="P97" i="1"/>
  <c r="P96" i="1"/>
  <c r="P94" i="1"/>
  <c r="P93" i="1"/>
  <c r="P92" i="1"/>
  <c r="P88" i="1"/>
  <c r="P86" i="1"/>
  <c r="P85" i="1"/>
  <c r="P78" i="1"/>
  <c r="P77" i="1"/>
  <c r="P76" i="1"/>
  <c r="P71" i="1"/>
  <c r="P51" i="1"/>
  <c r="P50" i="1"/>
  <c r="P49" i="1"/>
  <c r="P48" i="1"/>
  <c r="P46" i="1"/>
  <c r="P45" i="1"/>
  <c r="P44" i="1"/>
  <c r="P43" i="1"/>
  <c r="P36" i="1"/>
  <c r="P35" i="1"/>
  <c r="P33" i="1"/>
  <c r="P32" i="1"/>
  <c r="P30" i="1"/>
  <c r="P29" i="1"/>
  <c r="P27" i="1"/>
  <c r="P26" i="1"/>
  <c r="P24" i="1"/>
  <c r="P23" i="1"/>
  <c r="P21" i="1"/>
  <c r="P20" i="1"/>
  <c r="P17" i="1"/>
  <c r="P16" i="1"/>
  <c r="P14" i="1"/>
  <c r="P13" i="1"/>
  <c r="P11" i="1"/>
  <c r="N12" i="1"/>
  <c r="N43" i="1"/>
  <c r="N91" i="1"/>
  <c r="N118" i="1"/>
  <c r="N95" i="1"/>
  <c r="H120" i="1"/>
  <c r="H73" i="1"/>
  <c r="L118" i="1"/>
  <c r="L117" i="1" s="1"/>
  <c r="L116" i="1" s="1"/>
  <c r="L95" i="1"/>
  <c r="J118" i="1"/>
  <c r="J95" i="1" s="1"/>
  <c r="L12" i="1"/>
  <c r="L10" i="1" s="1"/>
  <c r="L122" i="1" s="1"/>
  <c r="L43" i="1"/>
  <c r="L91" i="1"/>
  <c r="J12" i="1"/>
  <c r="J19" i="1"/>
  <c r="J22" i="1"/>
  <c r="J25" i="1"/>
  <c r="J28" i="1"/>
  <c r="J31" i="1"/>
  <c r="J43" i="1"/>
  <c r="J91" i="1"/>
  <c r="K95" i="1"/>
  <c r="P95" i="1" s="1"/>
  <c r="P28" i="1"/>
  <c r="P118" i="1"/>
  <c r="P22" i="1"/>
  <c r="N75" i="1"/>
  <c r="M75" i="1"/>
  <c r="J75" i="1"/>
  <c r="P34" i="1"/>
  <c r="P79" i="1"/>
  <c r="I18" i="1"/>
  <c r="P18" i="1" s="1"/>
  <c r="P91" i="1"/>
  <c r="P39" i="1"/>
  <c r="I10" i="1"/>
  <c r="I122" i="1"/>
  <c r="J27" i="4"/>
  <c r="J27" i="7" s="1"/>
  <c r="AD22" i="6"/>
  <c r="J17" i="6"/>
  <c r="J27" i="6" s="1"/>
  <c r="J50" i="6"/>
  <c r="AD50" i="6" s="1"/>
  <c r="J85" i="6"/>
  <c r="AD85" i="6" s="1"/>
  <c r="AD76" i="6"/>
  <c r="AC22" i="6"/>
  <c r="I50" i="6"/>
  <c r="AC45" i="6"/>
  <c r="AD10" i="6"/>
  <c r="AD20" i="6"/>
  <c r="AD30" i="6"/>
  <c r="AD35" i="6"/>
  <c r="AD43" i="6"/>
  <c r="AD73" i="6"/>
  <c r="AC10" i="6"/>
  <c r="AC30" i="6"/>
  <c r="AC43" i="6"/>
  <c r="AC22" i="5"/>
  <c r="I17" i="5"/>
  <c r="I27" i="5" s="1"/>
  <c r="I50" i="5"/>
  <c r="AC45" i="5"/>
  <c r="I85" i="5"/>
  <c r="AC85" i="5" s="1"/>
  <c r="AD22" i="5"/>
  <c r="J17" i="5"/>
  <c r="J50" i="5"/>
  <c r="AD45" i="5"/>
  <c r="J85" i="5"/>
  <c r="AD85" i="5" s="1"/>
  <c r="AD10" i="5"/>
  <c r="AD20" i="5"/>
  <c r="AD30" i="5"/>
  <c r="AD35" i="5"/>
  <c r="AD43" i="5"/>
  <c r="AC10" i="5"/>
  <c r="AC20" i="5"/>
  <c r="AC30" i="5"/>
  <c r="AC43" i="5"/>
  <c r="AC73" i="5"/>
  <c r="J27" i="5"/>
  <c r="AD27" i="5" s="1"/>
  <c r="AC17" i="5"/>
  <c r="J10" i="7"/>
  <c r="I10" i="7"/>
  <c r="S10" i="4"/>
  <c r="S10" i="7"/>
  <c r="L54" i="7"/>
  <c r="J69" i="6" l="1"/>
  <c r="AD27" i="6"/>
  <c r="O122" i="1"/>
  <c r="J10" i="1"/>
  <c r="J122" i="1" s="1"/>
  <c r="AC17" i="6"/>
  <c r="I27" i="6"/>
  <c r="K122" i="1"/>
  <c r="P122" i="1" s="1"/>
  <c r="AC27" i="5"/>
  <c r="I69" i="5"/>
  <c r="P117" i="1"/>
  <c r="K116" i="1"/>
  <c r="O22" i="7"/>
  <c r="O17" i="4"/>
  <c r="P45" i="7"/>
  <c r="P50" i="4"/>
  <c r="AD17" i="6"/>
  <c r="AD76" i="5"/>
  <c r="AC76" i="5"/>
  <c r="AC73" i="6"/>
  <c r="AC20" i="6"/>
  <c r="AC76" i="6"/>
  <c r="AD45" i="6"/>
  <c r="P84" i="1"/>
  <c r="S61" i="4"/>
  <c r="O10" i="7"/>
  <c r="K25" i="7"/>
  <c r="S25" i="4"/>
  <c r="S25" i="7" s="1"/>
  <c r="O30" i="7"/>
  <c r="O32" i="4"/>
  <c r="O32" i="7" s="1"/>
  <c r="K37" i="4"/>
  <c r="K37" i="7" s="1"/>
  <c r="K35" i="7"/>
  <c r="J45" i="7"/>
  <c r="J50" i="4"/>
  <c r="J50" i="7" s="1"/>
  <c r="L45" i="7"/>
  <c r="L50" i="4"/>
  <c r="O50" i="7"/>
  <c r="S53" i="7"/>
  <c r="K54" i="7"/>
  <c r="S54" i="4"/>
  <c r="S54" i="7" s="1"/>
  <c r="Q54" i="7"/>
  <c r="K57" i="7"/>
  <c r="S57" i="4"/>
  <c r="S57" i="7" s="1"/>
  <c r="K76" i="7"/>
  <c r="K85" i="4"/>
  <c r="K85" i="7" s="1"/>
  <c r="K69" i="5"/>
  <c r="AA69" i="5"/>
  <c r="AC32" i="5"/>
  <c r="X50" i="5"/>
  <c r="Q22" i="7"/>
  <c r="Q17" i="4"/>
  <c r="N45" i="7"/>
  <c r="N50" i="4"/>
  <c r="N50" i="7" s="1"/>
  <c r="O76" i="7"/>
  <c r="O85" i="4"/>
  <c r="O85" i="7" s="1"/>
  <c r="J69" i="5"/>
  <c r="K75" i="1"/>
  <c r="P75" i="1" s="1"/>
  <c r="M10" i="1"/>
  <c r="M122" i="1" s="1"/>
  <c r="J17" i="7"/>
  <c r="L22" i="7"/>
  <c r="L17" i="4"/>
  <c r="N22" i="7"/>
  <c r="N17" i="4"/>
  <c r="P22" i="7"/>
  <c r="P17" i="4"/>
  <c r="R17" i="4"/>
  <c r="R22" i="7"/>
  <c r="S24" i="7"/>
  <c r="M30" i="7"/>
  <c r="M32" i="4"/>
  <c r="M32" i="7" s="1"/>
  <c r="I35" i="7"/>
  <c r="I37" i="4"/>
  <c r="S35" i="4"/>
  <c r="S35" i="7" s="1"/>
  <c r="Q35" i="7"/>
  <c r="Q37" i="4"/>
  <c r="Q37" i="7" s="1"/>
  <c r="Q43" i="7"/>
  <c r="Q45" i="4"/>
  <c r="J85" i="7"/>
  <c r="P73" i="7"/>
  <c r="P76" i="4"/>
  <c r="S79" i="7"/>
  <c r="S103" i="7"/>
  <c r="S104" i="7" s="1"/>
  <c r="O68" i="7"/>
  <c r="K68" i="7"/>
  <c r="S68" i="4"/>
  <c r="S68" i="7" s="1"/>
  <c r="L50" i="5"/>
  <c r="AB50" i="5"/>
  <c r="AB69" i="5" s="1"/>
  <c r="N73" i="7"/>
  <c r="K22" i="7"/>
  <c r="K17" i="4"/>
  <c r="M22" i="7"/>
  <c r="M17" i="4"/>
  <c r="I30" i="7"/>
  <c r="I32" i="4"/>
  <c r="S30" i="4"/>
  <c r="S30" i="7" s="1"/>
  <c r="Q30" i="7"/>
  <c r="Q32" i="4"/>
  <c r="Q32" i="7" s="1"/>
  <c r="M35" i="7"/>
  <c r="M37" i="4"/>
  <c r="M37" i="7" s="1"/>
  <c r="I43" i="7"/>
  <c r="I45" i="4"/>
  <c r="S43" i="4"/>
  <c r="S43" i="7" s="1"/>
  <c r="X69" i="5"/>
  <c r="AD61" i="6"/>
  <c r="L69" i="6"/>
  <c r="AD17" i="5"/>
  <c r="AC35" i="5"/>
  <c r="AD73" i="5"/>
  <c r="AC35" i="6"/>
  <c r="J18" i="1"/>
  <c r="M117" i="1"/>
  <c r="M116" i="1" s="1"/>
  <c r="I76" i="7"/>
  <c r="I85" i="4"/>
  <c r="K14" i="7"/>
  <c r="S14" i="4"/>
  <c r="S14" i="7" s="1"/>
  <c r="S22" i="4"/>
  <c r="S22" i="7" s="1"/>
  <c r="K30" i="7"/>
  <c r="K32" i="4"/>
  <c r="K32" i="7" s="1"/>
  <c r="O35" i="7"/>
  <c r="O37" i="4"/>
  <c r="O37" i="7" s="1"/>
  <c r="M43" i="7"/>
  <c r="M45" i="4"/>
  <c r="R45" i="7"/>
  <c r="R50" i="4"/>
  <c r="I48" i="7"/>
  <c r="S48" i="4"/>
  <c r="S48" i="7" s="1"/>
  <c r="O54" i="7"/>
  <c r="S71" i="7"/>
  <c r="L73" i="7"/>
  <c r="L76" i="4"/>
  <c r="K87" i="7"/>
  <c r="S87" i="4"/>
  <c r="M69" i="5"/>
  <c r="Q69" i="5"/>
  <c r="U69" i="5"/>
  <c r="Y69" i="5"/>
  <c r="N69" i="5"/>
  <c r="R69" i="5"/>
  <c r="V69" i="5"/>
  <c r="Z69" i="5"/>
  <c r="AC37" i="5"/>
  <c r="P50" i="5"/>
  <c r="P69" i="5" s="1"/>
  <c r="M54" i="7"/>
  <c r="J87" i="5"/>
  <c r="AD87" i="5" s="1"/>
  <c r="AC87" i="5"/>
  <c r="J117" i="1"/>
  <c r="J116" i="1" s="1"/>
  <c r="S34" i="7"/>
  <c r="S39" i="7"/>
  <c r="K40" i="7"/>
  <c r="S41" i="7"/>
  <c r="L43" i="7"/>
  <c r="P43" i="7"/>
  <c r="S46" i="7"/>
  <c r="J48" i="7"/>
  <c r="N48" i="7"/>
  <c r="R48" i="7"/>
  <c r="P57" i="7"/>
  <c r="S59" i="7"/>
  <c r="J76" i="7"/>
  <c r="R76" i="7"/>
  <c r="L87" i="7"/>
  <c r="P87" i="7"/>
  <c r="R65" i="7"/>
  <c r="J65" i="7"/>
  <c r="S89" i="7"/>
  <c r="AD88" i="5"/>
  <c r="S88" i="7" s="1"/>
  <c r="K69" i="6"/>
  <c r="Q69" i="6"/>
  <c r="Y69" i="6"/>
  <c r="R69" i="6"/>
  <c r="V69" i="6"/>
  <c r="Z69" i="6"/>
  <c r="I14" i="7"/>
  <c r="Q14" i="7"/>
  <c r="S18" i="7"/>
  <c r="S21" i="7"/>
  <c r="I25" i="7"/>
  <c r="M25" i="7"/>
  <c r="Q25" i="7"/>
  <c r="S29" i="7"/>
  <c r="I54" i="7"/>
  <c r="L61" i="7"/>
  <c r="P61" i="7"/>
  <c r="S63" i="7"/>
  <c r="S67" i="7"/>
  <c r="S73" i="4"/>
  <c r="J73" i="7"/>
  <c r="M76" i="4"/>
  <c r="Q76" i="4"/>
  <c r="R73" i="7"/>
  <c r="S83" i="7"/>
  <c r="I87" i="7"/>
  <c r="S103" i="4"/>
  <c r="S104" i="4" s="1"/>
  <c r="Q68" i="7"/>
  <c r="M68" i="7"/>
  <c r="I68" i="7"/>
  <c r="P69" i="6"/>
  <c r="T69" i="6"/>
  <c r="X69" i="6"/>
  <c r="AB69" i="6"/>
  <c r="AC87" i="6"/>
  <c r="J87" i="6"/>
  <c r="AD87" i="6" s="1"/>
  <c r="AD93" i="6"/>
  <c r="S93" i="7" s="1"/>
  <c r="S20" i="4"/>
  <c r="S20" i="7" s="1"/>
  <c r="I17" i="4"/>
  <c r="S31" i="7"/>
  <c r="S36" i="7"/>
  <c r="I40" i="7"/>
  <c r="M40" i="7"/>
  <c r="Q40" i="7"/>
  <c r="J43" i="7"/>
  <c r="N43" i="7"/>
  <c r="R43" i="7"/>
  <c r="L48" i="7"/>
  <c r="P48" i="7"/>
  <c r="S51" i="7"/>
  <c r="J57" i="7"/>
  <c r="N57" i="7"/>
  <c r="R57" i="7"/>
  <c r="N87" i="7"/>
  <c r="S90" i="7"/>
  <c r="P65" i="7"/>
  <c r="L65" i="7"/>
  <c r="S69" i="6"/>
  <c r="W69" i="6"/>
  <c r="AA69" i="6"/>
  <c r="AC32" i="6"/>
  <c r="M76" i="7" l="1"/>
  <c r="M85" i="4"/>
  <c r="M85" i="7" s="1"/>
  <c r="I45" i="7"/>
  <c r="I50" i="4"/>
  <c r="S45" i="4"/>
  <c r="S45" i="7" s="1"/>
  <c r="AD50" i="5"/>
  <c r="N17" i="7"/>
  <c r="N27" i="4"/>
  <c r="O17" i="7"/>
  <c r="O27" i="4"/>
  <c r="P10" i="1"/>
  <c r="L76" i="7"/>
  <c r="L85" i="4"/>
  <c r="L85" i="7" s="1"/>
  <c r="M45" i="7"/>
  <c r="M50" i="4"/>
  <c r="M50" i="7" s="1"/>
  <c r="K17" i="7"/>
  <c r="K27" i="4"/>
  <c r="S73" i="7"/>
  <c r="S87" i="7"/>
  <c r="R50" i="7"/>
  <c r="S76" i="4"/>
  <c r="S76" i="7" s="1"/>
  <c r="M17" i="7"/>
  <c r="M27" i="4"/>
  <c r="J69" i="4"/>
  <c r="R17" i="7"/>
  <c r="R27" i="4"/>
  <c r="L69" i="5"/>
  <c r="AD69" i="5" s="1"/>
  <c r="L50" i="7"/>
  <c r="S61" i="7"/>
  <c r="AC69" i="5"/>
  <c r="I69" i="6"/>
  <c r="AC69" i="6" s="1"/>
  <c r="AC27" i="6"/>
  <c r="I32" i="7"/>
  <c r="S32" i="4"/>
  <c r="S32" i="7" s="1"/>
  <c r="P76" i="7"/>
  <c r="P85" i="4"/>
  <c r="P85" i="7" s="1"/>
  <c r="I37" i="7"/>
  <c r="S37" i="4"/>
  <c r="S37" i="7" s="1"/>
  <c r="I17" i="7"/>
  <c r="I27" i="4"/>
  <c r="S17" i="4"/>
  <c r="S17" i="7" s="1"/>
  <c r="Q76" i="7"/>
  <c r="Q85" i="4"/>
  <c r="Q85" i="7" s="1"/>
  <c r="I85" i="7"/>
  <c r="Q45" i="7"/>
  <c r="Q50" i="4"/>
  <c r="Q50" i="7" s="1"/>
  <c r="P17" i="7"/>
  <c r="P27" i="4"/>
  <c r="L17" i="7"/>
  <c r="L27" i="4"/>
  <c r="Q17" i="7"/>
  <c r="Q27" i="4"/>
  <c r="P50" i="7"/>
  <c r="P116" i="1"/>
  <c r="AD69" i="6"/>
  <c r="M27" i="7" l="1"/>
  <c r="M69" i="4"/>
  <c r="M69" i="7" s="1"/>
  <c r="R27" i="7"/>
  <c r="R69" i="4"/>
  <c r="R69" i="7" s="1"/>
  <c r="O27" i="7"/>
  <c r="O69" i="4"/>
  <c r="O69" i="7" s="1"/>
  <c r="L27" i="7"/>
  <c r="L69" i="4"/>
  <c r="L69" i="7" s="1"/>
  <c r="Q27" i="7"/>
  <c r="Q69" i="4"/>
  <c r="Q69" i="7" s="1"/>
  <c r="P27" i="7"/>
  <c r="P69" i="4"/>
  <c r="P69" i="7" s="1"/>
  <c r="S85" i="4"/>
  <c r="S85" i="7" s="1"/>
  <c r="K27" i="7"/>
  <c r="K69" i="4"/>
  <c r="K69" i="7" s="1"/>
  <c r="I27" i="7"/>
  <c r="S27" i="4"/>
  <c r="S27" i="7" s="1"/>
  <c r="I69" i="4"/>
  <c r="J69" i="7"/>
  <c r="N27" i="7"/>
  <c r="N69" i="4"/>
  <c r="N69" i="7" s="1"/>
  <c r="I50" i="7"/>
  <c r="S50" i="4"/>
  <c r="S50" i="7" s="1"/>
  <c r="I69" i="7" l="1"/>
  <c r="S69" i="4"/>
  <c r="S69" i="7" s="1"/>
</calcChain>
</file>

<file path=xl/sharedStrings.xml><?xml version="1.0" encoding="utf-8"?>
<sst xmlns="http://schemas.openxmlformats.org/spreadsheetml/2006/main" count="1981" uniqueCount="1026">
  <si>
    <t>Particulars</t>
  </si>
  <si>
    <t>Account Code</t>
  </si>
  <si>
    <t>Peso Accounts</t>
  </si>
  <si>
    <t>Foreign Regular</t>
  </si>
  <si>
    <t>FCDU/EFCDU</t>
  </si>
  <si>
    <t>In US $</t>
  </si>
  <si>
    <t>Peso Equiv.</t>
  </si>
  <si>
    <t>Resident</t>
  </si>
  <si>
    <t>(1)</t>
  </si>
  <si>
    <t>Guarantees Issued</t>
  </si>
  <si>
    <t>(2)</t>
  </si>
  <si>
    <t>Financial Standby Letters of Credit</t>
  </si>
  <si>
    <t>(a)</t>
  </si>
  <si>
    <t>Domestic</t>
  </si>
  <si>
    <t>(b)</t>
  </si>
  <si>
    <t xml:space="preserve">Foreign </t>
  </si>
  <si>
    <t>(3)</t>
  </si>
  <si>
    <t>Performance Standby Letters of Credit</t>
  </si>
  <si>
    <t>(4)</t>
  </si>
  <si>
    <t>Commercial Letters of Credit</t>
  </si>
  <si>
    <t>Sight LCs</t>
  </si>
  <si>
    <t>(i)</t>
  </si>
  <si>
    <t>(ii)</t>
  </si>
  <si>
    <t>Usance LCs</t>
  </si>
  <si>
    <t>(c)</t>
  </si>
  <si>
    <t>Deferred LCs</t>
  </si>
  <si>
    <t>(d)</t>
  </si>
  <si>
    <t>Revolving LCs</t>
  </si>
  <si>
    <t>(5)</t>
  </si>
  <si>
    <t>Trade Related Guarantees</t>
  </si>
  <si>
    <t>Shipside Bond/Airway Bills</t>
  </si>
  <si>
    <t>(6)</t>
  </si>
  <si>
    <t>Commitments</t>
  </si>
  <si>
    <t>Underwritten Accounts Unsold</t>
  </si>
  <si>
    <t xml:space="preserve">Committed Credit Lines for Commercial </t>
  </si>
  <si>
    <t>Papers Issued</t>
  </si>
  <si>
    <t>Credit Card Lines</t>
  </si>
  <si>
    <t>Others</t>
  </si>
  <si>
    <t>(7)</t>
  </si>
  <si>
    <t>Spot Foreign Exchange Contracts</t>
  </si>
  <si>
    <t>Bought</t>
  </si>
  <si>
    <t>Sold</t>
  </si>
  <si>
    <t>(8)</t>
  </si>
  <si>
    <t>Derivatives</t>
  </si>
  <si>
    <t>(9)</t>
  </si>
  <si>
    <t>a.</t>
  </si>
  <si>
    <t>Late Deposit/Payment Received</t>
  </si>
  <si>
    <t>b.</t>
  </si>
  <si>
    <t>Inward Bills for Collection</t>
  </si>
  <si>
    <t>c.</t>
  </si>
  <si>
    <t>Outward Bills for Collection</t>
  </si>
  <si>
    <t>d.</t>
  </si>
  <si>
    <t>Traveller's Check Unsold</t>
  </si>
  <si>
    <t>e.</t>
  </si>
  <si>
    <t>Trust Department Accounts</t>
  </si>
  <si>
    <t>f.</t>
  </si>
  <si>
    <t>Items Held for Safekeeping</t>
  </si>
  <si>
    <t>g.</t>
  </si>
  <si>
    <t>Items Held as Collateral</t>
  </si>
  <si>
    <t>h.</t>
  </si>
  <si>
    <t>Deficiency Claims Receivable</t>
  </si>
  <si>
    <t>i.</t>
  </si>
  <si>
    <t>Others (specify)</t>
  </si>
  <si>
    <t>Non-Resident</t>
  </si>
  <si>
    <t>400000000000100000</t>
  </si>
  <si>
    <t>405000000000100000</t>
  </si>
  <si>
    <t>410050000000100000</t>
  </si>
  <si>
    <t>410050500000100000</t>
  </si>
  <si>
    <t>410051000000100000</t>
  </si>
  <si>
    <t>410100000000100000</t>
  </si>
  <si>
    <t>410100500000100000</t>
  </si>
  <si>
    <t>410101000000100000</t>
  </si>
  <si>
    <t>415000000000100000</t>
  </si>
  <si>
    <t>420000000000100000</t>
  </si>
  <si>
    <t>425000000000100000</t>
  </si>
  <si>
    <t>430000000000100000</t>
  </si>
  <si>
    <t>435000000000100000</t>
  </si>
  <si>
    <t>495000000000100000</t>
  </si>
  <si>
    <t>400000000000200000</t>
  </si>
  <si>
    <t>405000000000200000</t>
  </si>
  <si>
    <t>425000000000200000</t>
  </si>
  <si>
    <t>430000000000200000</t>
  </si>
  <si>
    <t>435000000000200000</t>
  </si>
  <si>
    <t>495000000000200000</t>
  </si>
  <si>
    <t>$$$</t>
  </si>
  <si>
    <t>x</t>
  </si>
  <si>
    <t>-</t>
  </si>
  <si>
    <t>Foreign Offices</t>
  </si>
  <si>
    <t>LCs Confirmed</t>
  </si>
  <si>
    <t>Financial Standby Letters of Credit-Foreign</t>
  </si>
  <si>
    <t>Performance Standby Letters of Credit-Foreign</t>
  </si>
  <si>
    <t>415050000000100000</t>
  </si>
  <si>
    <t>415050500000100000</t>
  </si>
  <si>
    <t>415051000000100000</t>
  </si>
  <si>
    <t>415100000000100000</t>
  </si>
  <si>
    <t>415100500000100000</t>
  </si>
  <si>
    <t>415101000000100000</t>
  </si>
  <si>
    <t>415150000000100000</t>
  </si>
  <si>
    <t>415150500000100000</t>
  </si>
  <si>
    <t>415151000000100000</t>
  </si>
  <si>
    <t>415200000000100000</t>
  </si>
  <si>
    <t>415200500000100000</t>
  </si>
  <si>
    <t>415201000000100000</t>
  </si>
  <si>
    <t>420050000000100000</t>
  </si>
  <si>
    <t>420100000000100000</t>
  </si>
  <si>
    <t>425050000000100000</t>
  </si>
  <si>
    <t>425100000000100000</t>
  </si>
  <si>
    <t>425150000000100000</t>
  </si>
  <si>
    <t>425950000000100000</t>
  </si>
  <si>
    <t>430000000000105000</t>
  </si>
  <si>
    <t>430000000000106000</t>
  </si>
  <si>
    <t>495050000000100000</t>
  </si>
  <si>
    <t>495100000000100000</t>
  </si>
  <si>
    <t>495150000000100000</t>
  </si>
  <si>
    <t>495200000000100000</t>
  </si>
  <si>
    <t>495250000000100000</t>
  </si>
  <si>
    <t>495300000000100000</t>
  </si>
  <si>
    <t>495350000000100000</t>
  </si>
  <si>
    <t>495400000000100000</t>
  </si>
  <si>
    <t>495950000000100000</t>
  </si>
  <si>
    <t>410050000000200000</t>
  </si>
  <si>
    <t>410100000000200000</t>
  </si>
  <si>
    <t>425050000000200000</t>
  </si>
  <si>
    <t>425100000000200000</t>
  </si>
  <si>
    <t>425150000000200000</t>
  </si>
  <si>
    <t>425950000000200000</t>
  </si>
  <si>
    <t>430000000000205000</t>
  </si>
  <si>
    <t>430000000000206000</t>
  </si>
  <si>
    <t>495050000000200000</t>
  </si>
  <si>
    <t>495100000000200000</t>
  </si>
  <si>
    <t>495150000000200000</t>
  </si>
  <si>
    <t>495200000000200000</t>
  </si>
  <si>
    <t>495250000000200000</t>
  </si>
  <si>
    <t>495350000000200000</t>
  </si>
  <si>
    <t>495400000000200000</t>
  </si>
  <si>
    <t>495950000000200000</t>
  </si>
  <si>
    <t>400000000000000000</t>
  </si>
  <si>
    <t>_a</t>
  </si>
  <si>
    <t>_b</t>
  </si>
  <si>
    <t>TOTAL</t>
  </si>
  <si>
    <t/>
  </si>
  <si>
    <t>Off- Balance Sheet</t>
  </si>
  <si>
    <t>Seq. No.</t>
  </si>
  <si>
    <t>Solo Reports</t>
  </si>
  <si>
    <t>Total Amount</t>
  </si>
  <si>
    <t>j.</t>
  </si>
  <si>
    <t>420000000000200000</t>
  </si>
  <si>
    <t>420051000000200000</t>
  </si>
  <si>
    <t>495220000000100000</t>
  </si>
  <si>
    <t>Sight LCs - Foreign</t>
  </si>
  <si>
    <t>Usance LCs - Foreign</t>
  </si>
  <si>
    <t>Deferred LCs - Foreign</t>
  </si>
  <si>
    <t>Revolving LCs - Foreign</t>
  </si>
  <si>
    <t>495220000000200000</t>
  </si>
  <si>
    <t>Securities Held Under Custodianship by Bank Proper</t>
  </si>
  <si>
    <t>Securities Held Under Custodianship by Trust Department</t>
  </si>
  <si>
    <t>(a) Face Value</t>
  </si>
  <si>
    <t>(b) Market Value</t>
  </si>
  <si>
    <t>420101000000200000</t>
  </si>
  <si>
    <t>420151000000200000</t>
  </si>
  <si>
    <t>420201000000200000</t>
  </si>
  <si>
    <t>495220000500100000</t>
  </si>
  <si>
    <t>495220001000100000</t>
  </si>
  <si>
    <t>495250500500100000</t>
  </si>
  <si>
    <t>495250501000100000</t>
  </si>
  <si>
    <t>495220000500200000</t>
  </si>
  <si>
    <t>495220001000200000</t>
  </si>
  <si>
    <t>495250500500200000</t>
  </si>
  <si>
    <t>495250501000200000</t>
  </si>
  <si>
    <t>495250500000100000</t>
  </si>
  <si>
    <t>495250500000200000</t>
  </si>
  <si>
    <t>495300000000200000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</si>
  <si>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</si>
  <si>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</si>
  <si>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</si>
  <si>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</si>
  <si>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</si>
  <si>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</si>
  <si>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</si>
  <si>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</si>
  <si>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</si>
  <si>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</si>
  <si>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</si>
  <si>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</si>
  <si>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</si>
  <si>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</si>
  <si>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</si>
  <si>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</si>
  <si>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</si>
  <si>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</si>
  <si>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</si>
  <si>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</si>
  <si>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</si>
  <si>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</si>
  <si>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</si>
  <si>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</si>
  <si>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</si>
  <si>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</si>
  <si>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</si>
  <si>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</si>
  <si>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</si>
  <si>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</si>
  <si>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</si>
  <si>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</si>
  <si>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</si>
  <si>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</si>
  <si>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</si>
  <si>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</si>
  <si>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</si>
  <si>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</si>
  <si>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</si>
  <si>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</si>
  <si>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</si>
  <si>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</si>
  <si>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</si>
  <si>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</si>
  <si>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</si>
  <si>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</si>
  <si>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</si>
  <si>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</si>
  <si>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</si>
  <si>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</si>
  <si>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</si>
  <si>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</si>
  <si>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</si>
  <si>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</si>
  <si>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</si>
  <si>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</si>
  <si>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</si>
  <si>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</si>
  <si>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</si>
  <si>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</si>
  <si>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</si>
  <si>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</si>
  <si>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</si>
  <si>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</si>
  <si>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</si>
  <si>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</si>
  <si>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</si>
  <si>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</si>
  <si>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</si>
  <si>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</si>
  <si>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</si>
  <si>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</si>
  <si>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</si>
  <si>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</si>
  <si>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</si>
  <si>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</si>
  <si>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</si>
  <si>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</si>
  <si>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</si>
  <si>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</si>
  <si>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</si>
  <si>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</si>
  <si>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</si>
  <si>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</si>
  <si>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</si>
  <si>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</si>
  <si>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</si>
  <si>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</si>
  <si>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</si>
  <si>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</si>
  <si>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</si>
  <si>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</si>
  <si>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</si>
  <si>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</si>
  <si>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</si>
  <si>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</si>
  <si>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</si>
  <si>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</si>
  <si>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</si>
  <si>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</si>
  <si>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</si>
  <si>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</si>
  <si>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</si>
  <si>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</si>
  <si>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</si>
  <si>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</si>
  <si>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</si>
  <si>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</si>
  <si>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</si>
  <si>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</si>
  <si>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</si>
  <si>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</si>
  <si>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</si>
  <si>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</si>
  <si>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</si>
  <si>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</si>
  <si>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</si>
  <si>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</si>
  <si>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</si>
  <si>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</si>
  <si>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</si>
  <si>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</si>
  <si>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</si>
  <si>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</si>
  <si>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</si>
  <si>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</si>
  <si>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</si>
  <si>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</si>
  <si>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</si>
  <si>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</si>
  <si>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</si>
  <si>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</si>
  <si>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</si>
  <si>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</si>
  <si>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</si>
  <si>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</si>
  <si>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</si>
  <si>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</si>
  <si>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</si>
  <si>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</si>
  <si>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</si>
  <si>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</si>
  <si>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</si>
  <si>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</si>
  <si>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</si>
  <si>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</si>
  <si>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</si>
  <si>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</si>
  <si>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</si>
  <si>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</si>
  <si>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</si>
  <si>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</si>
  <si>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</si>
  <si>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</si>
  <si>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</si>
  <si>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</si>
  <si>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</si>
  <si>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</si>
  <si>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</si>
  <si>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</si>
  <si>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</si>
  <si>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</si>
  <si>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</si>
  <si>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</si>
  <si>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</si>
  <si>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</si>
  <si>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</si>
  <si>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</si>
  <si>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</si>
  <si>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</si>
  <si>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</si>
  <si>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</si>
  <si>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</si>
  <si>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</si>
  <si>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</si>
  <si>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</si>
  <si>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</si>
  <si>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</si>
  <si>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</si>
  <si>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</si>
  <si>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</si>
  <si>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</si>
  <si>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</si>
  <si>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</si>
  <si>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</si>
  <si>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</si>
  <si>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</si>
  <si>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</si>
  <si>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</si>
  <si>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</si>
  <si>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</si>
  <si>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</si>
  <si>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</si>
  <si>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</si>
  <si>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</si>
  <si>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</si>
  <si>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</si>
  <si>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</si>
  <si>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</si>
  <si>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</si>
  <si>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</si>
  <si>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</si>
  <si>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</si>
  <si>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</si>
  <si>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</si>
  <si>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</si>
  <si>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</si>
  <si>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</si>
  <si>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</si>
  <si>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</si>
  <si>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</si>
  <si>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</si>
  <si>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</si>
  <si>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</si>
  <si>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</si>
  <si>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</si>
  <si>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</si>
  <si>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</si>
  <si>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</si>
  <si>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</si>
  <si>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</si>
  <si>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</si>
  <si>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</si>
  <si>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</si>
  <si>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</si>
  <si>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</si>
  <si>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</si>
  <si>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</si>
  <si>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</si>
  <si>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</si>
  <si>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</si>
  <si>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</si>
  <si>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</si>
  <si>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</si>
  <si>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</si>
  <si>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</si>
  <si>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</si>
  <si>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</si>
  <si>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</si>
  <si>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</si>
  <si>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</si>
  <si>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</si>
  <si>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</si>
  <si>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</si>
  <si>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</si>
  <si>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</si>
  <si>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</si>
  <si>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</si>
  <si>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</si>
  <si>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</si>
  <si>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</si>
  <si>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</si>
  <si>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</si>
  <si>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</si>
  <si>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</si>
  <si>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</si>
  <si>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</si>
  <si>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</si>
  <si>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</si>
  <si>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</si>
  <si>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</si>
  <si>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</si>
  <si>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</si>
  <si>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</si>
  <si>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</si>
  <si>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</si>
  <si>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</si>
  <si>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</si>
  <si>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</si>
  <si>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</si>
  <si>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</si>
  <si>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</si>
  <si>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</si>
  <si>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</si>
  <si>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</si>
  <si>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</si>
  <si>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</si>
  <si>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</si>
  <si>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</si>
  <si>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</si>
  <si>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</si>
  <si>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</si>
  <si>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</si>
  <si>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</si>
  <si>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</si>
  <si>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</si>
  <si>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</si>
  <si>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</si>
  <si>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</si>
  <si>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</si>
  <si>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</si>
  <si>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</si>
  <si>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</si>
  <si>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</si>
  <si>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</si>
  <si>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</si>
  <si>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</si>
  <si>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</si>
  <si>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</si>
  <si>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</si>
  <si>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</si>
  <si>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</si>
  <si>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</si>
  <si>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</si>
  <si>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</si>
  <si>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</si>
  <si>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</si>
  <si>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</si>
  <si>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</si>
  <si>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</si>
  <si>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</si>
  <si>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</si>
  <si>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</si>
  <si>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</si>
  <si>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</si>
  <si>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</si>
  <si>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</si>
  <si>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</si>
  <si>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</si>
  <si>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</si>
  <si>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</si>
  <si>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</si>
  <si>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</si>
  <si>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</si>
  <si>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</si>
  <si>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</si>
  <si>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</si>
  <si>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</si>
  <si>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</si>
  <si>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</si>
  <si>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</si>
  <si>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</si>
  <si>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</si>
  <si>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</si>
  <si>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</si>
  <si>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</si>
  <si>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</si>
  <si>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</si>
  <si>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</si>
  <si>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</si>
  <si>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</si>
  <si>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</si>
  <si>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</si>
  <si>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</si>
  <si>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</si>
  <si>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</si>
  <si>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</si>
  <si>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</si>
  <si>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</si>
  <si>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</si>
  <si>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</si>
  <si>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</si>
  <si>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</si>
  <si>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</si>
  <si>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</si>
  <si>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</si>
  <si>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</si>
  <si>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</si>
  <si>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</si>
  <si>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</si>
  <si>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</si>
  <si>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</si>
  <si>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</si>
  <si>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</si>
  <si>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</si>
  <si>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</si>
  <si>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</si>
  <si>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</si>
  <si>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</si>
  <si>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</si>
  <si>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</si>
  <si>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</si>
  <si>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</si>
  <si>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</si>
  <si>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</si>
  <si>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</si>
  <si>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</si>
  <si>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</si>
  <si>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</si>
  <si>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</si>
  <si>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</si>
  <si>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</si>
  <si>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</si>
  <si>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</si>
  <si>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</si>
  <si>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</si>
  <si>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</si>
  <si>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</si>
  <si>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</si>
  <si>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</si>
  <si>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</si>
  <si>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</si>
  <si>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</si>
  <si>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</si>
  <si>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</si>
  <si>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</si>
  <si>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</si>
  <si>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</si>
  <si>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</si>
  <si>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</si>
  <si>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</si>
  <si>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</si>
  <si>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</si>
  <si>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</si>
  <si>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</si>
  <si>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</si>
  <si>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</si>
  <si>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</si>
  <si>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</si>
  <si>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</si>
  <si>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</si>
  <si>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</si>
  <si>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</si>
  <si>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</si>
  <si>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</si>
  <si>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</si>
  <si>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</si>
  <si>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</si>
  <si>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</si>
  <si>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</si>
  <si>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</si>
  <si>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</si>
  <si>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</si>
  <si>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</si>
  <si>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</si>
  <si>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</si>
  <si>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</si>
  <si>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</si>
  <si>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</si>
  <si>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</si>
  <si>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</si>
  <si>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</si>
  <si>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</si>
  <si>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</si>
  <si>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</si>
  <si>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</si>
  <si>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</si>
  <si>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</si>
  <si>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</si>
  <si>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</si>
  <si>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</si>
  <si>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</si>
  <si>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</si>
  <si>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</si>
  <si>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</si>
  <si>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</si>
  <si>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</si>
  <si>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</si>
  <si>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</si>
  <si>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</si>
  <si>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</si>
  <si>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</si>
  <si>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</si>
  <si>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</si>
  <si>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</si>
  <si>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</si>
  <si>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</si>
  <si>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</si>
  <si>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</si>
  <si>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</si>
  <si>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</si>
  <si>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</si>
  <si>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</si>
  <si>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</si>
  <si>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</si>
  <si>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</si>
  <si>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</si>
  <si>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</si>
  <si>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</si>
  <si>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</si>
  <si>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</si>
  <si>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</si>
  <si>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</si>
  <si>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</si>
  <si>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</si>
  <si>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</si>
  <si>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</si>
  <si>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</si>
  <si>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</si>
  <si>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</si>
  <si>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</si>
  <si>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</si>
  <si>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</si>
  <si>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</si>
  <si>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</si>
  <si>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</si>
  <si>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</si>
  <si>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</si>
  <si>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</si>
  <si>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</si>
  <si>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</si>
  <si>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</si>
  <si>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</si>
  <si>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</si>
  <si>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</si>
  <si>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</si>
  <si>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</si>
  <si>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</si>
  <si>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</si>
  <si>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</si>
  <si>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</si>
  <si>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</si>
  <si>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</si>
  <si>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</si>
  <si>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</si>
  <si>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</si>
  <si>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</si>
  <si>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</si>
  <si>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</si>
  <si>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</si>
  <si>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</si>
  <si>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</si>
  <si>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</si>
  <si>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</si>
  <si>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</si>
  <si>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</si>
  <si>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</si>
  <si>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</si>
  <si>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</si>
  <si>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</si>
  <si>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</si>
  <si>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</si>
  <si>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</si>
  <si>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</si>
  <si>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</si>
  <si>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</si>
  <si>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</si>
  <si>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</si>
  <si>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</si>
  <si>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</si>
  <si>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</si>
  <si>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</si>
  <si>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</si>
  <si>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</si>
  <si>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</si>
  <si>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</si>
  <si>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</si>
  <si>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</si>
  <si>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</si>
  <si>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</si>
  <si>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</si>
  <si>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</si>
  <si>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</si>
  <si>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</si>
  <si>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</si>
  <si>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</si>
  <si>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</si>
  <si>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</si>
  <si>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</si>
  <si>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</si>
  <si>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</si>
  <si>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</si>
  <si>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</si>
  <si>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</si>
  <si>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</si>
  <si>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</si>
  <si>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</si>
  <si>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</si>
  <si>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</si>
  <si>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</si>
  <si>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</si>
  <si>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</si>
  <si>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</si>
  <si>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</si>
  <si>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</si>
  <si>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</si>
  <si>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</si>
  <si>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</si>
  <si>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</si>
  <si>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</si>
  <si>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</si>
  <si>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</si>
  <si>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</si>
  <si>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</si>
  <si>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</si>
  <si>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</si>
  <si>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</si>
  <si>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</si>
  <si>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</si>
  <si>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</si>
  <si>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</si>
  <si>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</si>
  <si>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</si>
  <si>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</si>
  <si>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</si>
  <si>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</si>
  <si>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</si>
  <si>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</si>
  <si>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</si>
  <si>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</si>
  <si>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</si>
  <si>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</si>
  <si>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</si>
  <si>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</si>
  <si>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</si>
  <si>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</si>
  <si>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</si>
  <si>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</si>
  <si>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</si>
  <si>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</si>
  <si>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</si>
  <si>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</si>
  <si>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</si>
  <si>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</si>
  <si>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</si>
  <si>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</si>
  <si>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</si>
  <si>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</si>
  <si>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</si>
  <si>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CNTINGNT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</si>
  <si>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</si>
  <si>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</si>
  <si>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</si>
  <si>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</si>
  <si>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</si>
  <si>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</si>
  <si>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</si>
  <si>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</si>
  <si>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</si>
  <si>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</si>
  <si>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</si>
  <si>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</si>
  <si>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</si>
  <si>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_c</t>
  </si>
  <si>
    <t>Others (specify details below)</t>
  </si>
  <si>
    <t>(i.a) PERA Assets Held Under Custodianship by Trust Department</t>
  </si>
  <si>
    <t xml:space="preserve">PERA Securities Held Under Custodianship by Trust Deparment </t>
  </si>
  <si>
    <t>495250500005200000</t>
  </si>
  <si>
    <t>495250500505200000</t>
  </si>
  <si>
    <t>495250501005200000</t>
  </si>
  <si>
    <t xml:space="preserve">(ii) PERA Assets Administered by Trust Department </t>
  </si>
  <si>
    <t>495251000000200000</t>
  </si>
  <si>
    <t>PERA Assets Administered by Bank Proper</t>
  </si>
  <si>
    <t>495450000000200000</t>
  </si>
  <si>
    <t>k.</t>
  </si>
  <si>
    <t>PERA Securities Held Under Custodianship by Bank Proper</t>
  </si>
  <si>
    <t>495220500000200000</t>
  </si>
  <si>
    <t>495220500500200000</t>
  </si>
  <si>
    <t>495220501000200000</t>
  </si>
  <si>
    <t>495250500005100000</t>
  </si>
  <si>
    <t>495250500505100000</t>
  </si>
  <si>
    <t>495250501005100000</t>
  </si>
  <si>
    <t>495251000000100000</t>
  </si>
  <si>
    <t>495450000000100000</t>
  </si>
  <si>
    <t>495220500000100000</t>
  </si>
  <si>
    <t>495220500500100000</t>
  </si>
  <si>
    <t>495220501000100000</t>
  </si>
  <si>
    <t xml:space="preserve">Report by the Personal Equity and Retirement Account (PERA) Administrator </t>
  </si>
  <si>
    <t>Account Description</t>
  </si>
  <si>
    <t xml:space="preserve">Deposits </t>
  </si>
  <si>
    <t>Unit Investment Trust Fund</t>
  </si>
  <si>
    <t>Mutual Fund</t>
  </si>
  <si>
    <t xml:space="preserve">Annuity </t>
  </si>
  <si>
    <t>Insurance Pension</t>
  </si>
  <si>
    <t>Pre-need Pension</t>
  </si>
  <si>
    <t>Government Securities</t>
  </si>
  <si>
    <t>Stock or other Security listed and traded in a local exchange</t>
  </si>
  <si>
    <t>Exchange-traded bond</t>
  </si>
  <si>
    <t xml:space="preserve">Others </t>
  </si>
  <si>
    <t>Peso
Total</t>
  </si>
  <si>
    <t>Asset Accounts</t>
  </si>
  <si>
    <t>Cash on Hand, Checks and Other Cash Items</t>
  </si>
  <si>
    <t>105080000000000001</t>
  </si>
  <si>
    <t xml:space="preserve">Due from BSP </t>
  </si>
  <si>
    <t>105150000000000001</t>
  </si>
  <si>
    <t>Deposits in Banks</t>
  </si>
  <si>
    <t>105250000000000001</t>
  </si>
  <si>
    <t>Financial Assets at Fair Value through Profit or Loss</t>
  </si>
  <si>
    <t>115000000000000001</t>
  </si>
  <si>
    <t>Debt and Equity Securities</t>
  </si>
  <si>
    <t>115050000000000001</t>
  </si>
  <si>
    <t xml:space="preserve">Derivatives with Positive Fair Value </t>
  </si>
  <si>
    <t>115100000000000001</t>
  </si>
  <si>
    <t xml:space="preserve">Available-for-Sale (AFS) Financial Assets </t>
  </si>
  <si>
    <t>120000000000000001</t>
  </si>
  <si>
    <t>AFS Debt Securities</t>
  </si>
  <si>
    <t>120001500000000001</t>
  </si>
  <si>
    <t>Unamortized Discount/Premium</t>
  </si>
  <si>
    <t>170050000000000001</t>
  </si>
  <si>
    <t>AFS Debt Securities (at amortized cost)</t>
  </si>
  <si>
    <t>120001000000000001</t>
  </si>
  <si>
    <t>Accumulated Market Gains/(Losses)</t>
  </si>
  <si>
    <t>160200001000000001</t>
  </si>
  <si>
    <t>AFS Debt Securities (Fair Value)</t>
  </si>
  <si>
    <t>195200001000000001</t>
  </si>
  <si>
    <t>AFS Equity Securities</t>
  </si>
  <si>
    <t>120002000000000001</t>
  </si>
  <si>
    <t>160200002000000001</t>
  </si>
  <si>
    <t>AFS Equity Securities (Fair Value)</t>
  </si>
  <si>
    <t>195200002000000001</t>
  </si>
  <si>
    <t>Less: Allowance for Credit Losses</t>
  </si>
  <si>
    <t>165200000000000001</t>
  </si>
  <si>
    <t>AFS Financial Assets - Net</t>
  </si>
  <si>
    <t>195200000000000001</t>
  </si>
  <si>
    <t xml:space="preserve">Held-to-Maturity (HTM) Financial Assets </t>
  </si>
  <si>
    <t>125000000000000001</t>
  </si>
  <si>
    <t>170250000000000001</t>
  </si>
  <si>
    <t>HTM Financial Assets - Net of Amortization</t>
  </si>
  <si>
    <t>125001000000000001</t>
  </si>
  <si>
    <t>165250000000000001</t>
  </si>
  <si>
    <t>HTM Financial Assets - Net</t>
  </si>
  <si>
    <t>195250000000000001</t>
  </si>
  <si>
    <t>Unquoted Debt Securities Classified as Loans</t>
  </si>
  <si>
    <t>130000000000000001</t>
  </si>
  <si>
    <t>170300000000000001</t>
  </si>
  <si>
    <t>Unquoted Debt Securities Classified as Loans -Net of Amortization</t>
  </si>
  <si>
    <t>130001000000000001</t>
  </si>
  <si>
    <t>165300000000000001</t>
  </si>
  <si>
    <t>Unquoted Debt Securities Classified as Loans - Net</t>
  </si>
  <si>
    <t>195300000000000001</t>
  </si>
  <si>
    <t>Investments in Non-Marketable Equity Securities (INMES)</t>
  </si>
  <si>
    <t>135000000000000001</t>
  </si>
  <si>
    <t>165350000000000001</t>
  </si>
  <si>
    <t>INMES - Net</t>
  </si>
  <si>
    <t>195350000000000001</t>
  </si>
  <si>
    <t>Loans and Receivables</t>
  </si>
  <si>
    <t>140150000000000001</t>
  </si>
  <si>
    <t>Unamortized Discount and Other Deferred Credits</t>
  </si>
  <si>
    <t>170350000000000001</t>
  </si>
  <si>
    <t>Loans and Receivables - Net of Amortization</t>
  </si>
  <si>
    <t>140150300000000001</t>
  </si>
  <si>
    <t>165150000000000001</t>
  </si>
  <si>
    <t>Loans and Receivables - Net of Specific Allowance for Credit Losses</t>
  </si>
  <si>
    <t>140150500000000001</t>
  </si>
  <si>
    <t>(10)</t>
  </si>
  <si>
    <t xml:space="preserve">Loans and Receivables Arising from Repurchase Agreements and Securities Lending and Borrowing Transactions </t>
  </si>
  <si>
    <t>140200000000000001</t>
  </si>
  <si>
    <t>165180000000000001</t>
  </si>
  <si>
    <t xml:space="preserve">Loans and Receivables Arising from Repurchase Agreements and Securities Lending and Borrowing Transactions-Net of Specific Allowance for Credit Losses </t>
  </si>
  <si>
    <t>195402000000000001</t>
  </si>
  <si>
    <t>Less: General Loan Loss Provision (GLLP)</t>
  </si>
  <si>
    <t>175150000000000001</t>
  </si>
  <si>
    <t>Loan Portfolio - Net</t>
  </si>
  <si>
    <t>195400000000000001</t>
  </si>
  <si>
    <t>(11)</t>
  </si>
  <si>
    <t>Derivatives with Positive Fair Value Held for Hedging</t>
  </si>
  <si>
    <t>145050000000000001</t>
  </si>
  <si>
    <t>(12)</t>
  </si>
  <si>
    <t>Sales Contract Receivable</t>
  </si>
  <si>
    <t>145150000000000001</t>
  </si>
  <si>
    <t>165451500000000001</t>
  </si>
  <si>
    <t>Sales Contract Receivable - Net</t>
  </si>
  <si>
    <t>195451500000000001</t>
  </si>
  <si>
    <t>(13)</t>
  </si>
  <si>
    <t>Accrued Interest Income from Financial Assets</t>
  </si>
  <si>
    <t>145200000000000001</t>
  </si>
  <si>
    <t>165452000000000001</t>
  </si>
  <si>
    <t>Accrued Interest Income from Financial Assets - Net</t>
  </si>
  <si>
    <t>195452000000000001</t>
  </si>
  <si>
    <t>(14)</t>
  </si>
  <si>
    <t>Investment Properties</t>
  </si>
  <si>
    <t>150300000000000001</t>
  </si>
  <si>
    <t>Less: Accumulated Depreciation</t>
  </si>
  <si>
    <t>185300000000000001</t>
  </si>
  <si>
    <t>Less: Allowance for Losses</t>
  </si>
  <si>
    <t>180350000000000001</t>
  </si>
  <si>
    <t>Investment Properties - Net</t>
  </si>
  <si>
    <t>195503000000000001</t>
  </si>
  <si>
    <t>(15)</t>
  </si>
  <si>
    <t>Real and Other Properties Acquired</t>
  </si>
  <si>
    <t>150100000000000001</t>
  </si>
  <si>
    <t>185100000000000001</t>
  </si>
  <si>
    <t>180100000000000001</t>
  </si>
  <si>
    <t>Real and Other Properties Acquired - Net</t>
  </si>
  <si>
    <t>195501000000000001</t>
  </si>
  <si>
    <t>(16)</t>
  </si>
  <si>
    <t>Other Assets</t>
  </si>
  <si>
    <t>155100000000000001</t>
  </si>
  <si>
    <t>180300000000000001</t>
  </si>
  <si>
    <t>Other Assets - Net</t>
  </si>
  <si>
    <t>195551000000000001</t>
  </si>
  <si>
    <t>Total Assets</t>
  </si>
  <si>
    <t>100000000000000001</t>
  </si>
  <si>
    <t>Accountabilities</t>
  </si>
  <si>
    <t>Principal</t>
  </si>
  <si>
    <t>202050000000000001</t>
  </si>
  <si>
    <t xml:space="preserve">Accumulated Income </t>
  </si>
  <si>
    <t>202100000000000001</t>
  </si>
  <si>
    <t>Net Unrealized Gains/(Losses) on AFS Financial Assets</t>
  </si>
  <si>
    <t>202150000000000001</t>
  </si>
  <si>
    <t>Debt Securities</t>
  </si>
  <si>
    <t>202150500000000001</t>
  </si>
  <si>
    <t>Equity Securities</t>
  </si>
  <si>
    <t>202151000000000001</t>
  </si>
  <si>
    <t>Subtotal</t>
  </si>
  <si>
    <t>202000000000000001</t>
  </si>
  <si>
    <t>Other Accountabilities</t>
  </si>
  <si>
    <t>Derivatives with Negative Fair Value Held for Trading</t>
  </si>
  <si>
    <t>205050000000000001</t>
  </si>
  <si>
    <t>Derivatives with Negative Fair Value Held for Hedging</t>
  </si>
  <si>
    <t>225100000000000001</t>
  </si>
  <si>
    <t>Unearned Income</t>
  </si>
  <si>
    <t>230650000000000001</t>
  </si>
  <si>
    <t>Due to the Bureau of Internal Revenue</t>
  </si>
  <si>
    <t>230480000000000001</t>
  </si>
  <si>
    <t>Accrued Expenses</t>
  </si>
  <si>
    <t>230600000000000001</t>
  </si>
  <si>
    <t>Accounts Payable</t>
  </si>
  <si>
    <t>230800003000000001</t>
  </si>
  <si>
    <t>Miscellaneous Liabilities</t>
  </si>
  <si>
    <t>230800006000000001</t>
  </si>
  <si>
    <t>Total Accountabilities</t>
  </si>
  <si>
    <t>200000000000000001</t>
  </si>
  <si>
    <t>Additional Information</t>
  </si>
  <si>
    <t xml:space="preserve">Total Number of Personal Equity and Retirement Accounts </t>
  </si>
  <si>
    <t>495450000500600000</t>
  </si>
  <si>
    <t>Total Number of Contributors</t>
  </si>
  <si>
    <t>495450001000600000</t>
  </si>
  <si>
    <t xml:space="preserve">Total Number of Contributors who are OFs  </t>
  </si>
  <si>
    <t>495450001000610000</t>
  </si>
  <si>
    <t>495450001000611000</t>
  </si>
  <si>
    <t>495450001000612000</t>
  </si>
  <si>
    <t xml:space="preserve">Total Number of Contributors who are non-OFs  </t>
  </si>
  <si>
    <t>495450001000620000</t>
  </si>
  <si>
    <t>495450001000621000</t>
  </si>
  <si>
    <t>495450001000622000</t>
  </si>
  <si>
    <t xml:space="preserve">Basic Security Deposit </t>
  </si>
  <si>
    <t>1% of the average month-end balances of the total volume of PERA assets administered</t>
  </si>
  <si>
    <t>495450001505600000</t>
  </si>
  <si>
    <t>Securities for Faithful Performance Earmarked in favor of the BSP</t>
  </si>
  <si>
    <t>495450001510600000</t>
  </si>
  <si>
    <t>Excess/(Deficiency)</t>
  </si>
  <si>
    <t>495450001515600000</t>
  </si>
  <si>
    <t>Breakdown of PERA Assets for the Quarter</t>
  </si>
  <si>
    <t>First Month of the Reporting Period</t>
  </si>
  <si>
    <t>495450002005600000</t>
  </si>
  <si>
    <t>Second Month of the Reporting Period</t>
  </si>
  <si>
    <t>495450002010600000</t>
  </si>
  <si>
    <t>Third Month of the Reporting Period</t>
  </si>
  <si>
    <t>495450002015600000</t>
  </si>
  <si>
    <t>Total PERA Assets for the Quarter</t>
  </si>
  <si>
    <t>495450002020600000</t>
  </si>
  <si>
    <t>Average PERA Assets for the Quarter</t>
  </si>
  <si>
    <t>495450002025600000</t>
  </si>
  <si>
    <t xml:space="preserve">Number of Accounts </t>
  </si>
  <si>
    <t>FCDU Total</t>
  </si>
  <si>
    <t>In US$</t>
  </si>
  <si>
    <t xml:space="preserve"> In US$</t>
  </si>
  <si>
    <t xml:space="preserve">(i) Number of Accounts </t>
  </si>
  <si>
    <t>(ii) Total Assets</t>
  </si>
  <si>
    <t>Total</t>
  </si>
  <si>
    <t>l.</t>
  </si>
  <si>
    <t>495500000000100000</t>
  </si>
  <si>
    <t xml:space="preserve">Broker Customer Securities Account </t>
  </si>
  <si>
    <t>v12.1</t>
  </si>
  <si>
    <t>Overnight Deposit Account</t>
  </si>
  <si>
    <t>Term Deposit Account</t>
  </si>
  <si>
    <t>105150700000000001</t>
  </si>
  <si>
    <t>105150900000000001</t>
  </si>
  <si>
    <t>NEW RURAL BANK OF SAN LEONARDO INC.</t>
  </si>
  <si>
    <t>4</t>
  </si>
  <si>
    <t>006056</t>
  </si>
  <si>
    <t>8888</t>
  </si>
  <si>
    <t>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</si>
</sst>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);\(0\)"/>
    <numFmt numFmtId="169" formatCode="00000000000#"/>
  </numFmts>
  <fonts count="25" x14ac:knownFonts="1">
    <font>
      <sz val="10"/>
      <name val="Arial"/>
    </font>
    <font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color indexed="9"/>
      <name val="Arial"/>
      <family val="2"/>
    </font>
    <font>
      <sz val="10"/>
      <color indexed="48"/>
      <name val="Arial"/>
      <family val="2"/>
    </font>
    <font>
      <sz val="8"/>
      <color indexed="9"/>
      <name val="Wingdings 3"/>
      <family val="1"/>
      <charset val="2"/>
    </font>
    <font>
      <sz val="8"/>
      <name val="Arial"/>
      <family val="2"/>
    </font>
    <font>
      <sz val="8"/>
      <color indexed="55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  <font>
      <sz val="8"/>
      <name val="Courier New"/>
      <family val="3"/>
    </font>
    <font>
      <sz val="8"/>
      <color indexed="48"/>
      <name val="Arial"/>
      <family val="2"/>
    </font>
    <font>
      <sz val="8"/>
      <color indexed="23"/>
      <name val="Arial"/>
      <family val="2"/>
    </font>
    <font>
      <sz val="8"/>
      <color rgb="FF0000FF"/>
      <name val="Courier New"/>
      <family val="3"/>
    </font>
    <font>
      <sz val="8"/>
      <color rgb="FFFF0000"/>
      <name val="Arial"/>
      <family val="2"/>
    </font>
    <font>
      <sz val="8"/>
      <color rgb="FF0000FF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4" fillId="0" borderId="0"/>
  </cellStyleXfs>
  <cellXfs count="218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1" xfId="0" applyFont="1" applyFill="1" applyBorder="1" applyAlignment="1">
      <alignment horizontal="center" vertical="top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horizontal="center" vertical="top"/>
    </xf>
    <xf numFmtId="4" fontId="5" fillId="0" borderId="1" xfId="0" applyNumberFormat="1" applyFont="1" applyBorder="1" applyProtection="1">
      <protection hidden="1"/>
    </xf>
    <xf numFmtId="49" fontId="0" fillId="2" borderId="0" xfId="0" applyNumberFormat="1" applyFill="1"/>
    <xf numFmtId="0" fontId="0" fillId="2" borderId="0" xfId="0" applyFill="1"/>
    <xf numFmtId="0" fontId="9" fillId="2" borderId="0" xfId="0" applyFont="1" applyFill="1"/>
    <xf numFmtId="0" fontId="1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8" fillId="0" borderId="1" xfId="0" applyFont="1" applyBorder="1" applyAlignment="1">
      <alignment horizontal="center" vertical="top"/>
    </xf>
    <xf numFmtId="0" fontId="1" fillId="0" borderId="1" xfId="0" applyFont="1" applyFill="1" applyBorder="1" applyProtection="1">
      <protection locked="0"/>
    </xf>
    <xf numFmtId="0" fontId="1" fillId="0" borderId="1" xfId="0" applyFont="1" applyBorder="1" applyAlignment="1" applyProtection="1">
      <alignment horizontal="center" vertical="top"/>
    </xf>
    <xf numFmtId="0" fontId="1" fillId="0" borderId="1" xfId="0" applyFont="1" applyBorder="1" applyProtection="1">
      <protection locked="0"/>
    </xf>
    <xf numFmtId="0" fontId="8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/>
    </xf>
    <xf numFmtId="4" fontId="1" fillId="0" borderId="1" xfId="0" applyNumberFormat="1" applyFont="1" applyFill="1" applyBorder="1" applyProtection="1">
      <protection locked="0"/>
    </xf>
    <xf numFmtId="4" fontId="5" fillId="0" borderId="1" xfId="0" applyNumberFormat="1" applyFont="1" applyFill="1" applyBorder="1" applyProtection="1"/>
    <xf numFmtId="49" fontId="1" fillId="0" borderId="1" xfId="0" applyNumberFormat="1" applyFont="1" applyBorder="1" applyProtection="1">
      <protection hidden="1"/>
    </xf>
    <xf numFmtId="0" fontId="1" fillId="0" borderId="1" xfId="0" applyFont="1" applyFill="1" applyBorder="1" applyProtection="1">
      <protection hidden="1"/>
    </xf>
    <xf numFmtId="164" fontId="1" fillId="0" borderId="1" xfId="0" applyNumberFormat="1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top"/>
      <protection hidden="1"/>
    </xf>
    <xf numFmtId="0" fontId="10" fillId="0" borderId="1" xfId="0" applyFont="1" applyBorder="1" applyAlignment="1" applyProtection="1">
      <alignment horizontal="center" vertical="top"/>
      <protection hidden="1"/>
    </xf>
    <xf numFmtId="0" fontId="10" fillId="0" borderId="1" xfId="0" applyFont="1" applyBorder="1" applyAlignment="1">
      <alignment horizontal="center" vertical="top"/>
    </xf>
    <xf numFmtId="4" fontId="5" fillId="0" borderId="1" xfId="0" applyNumberFormat="1" applyFont="1" applyBorder="1" applyProtection="1"/>
    <xf numFmtId="4" fontId="1" fillId="0" borderId="1" xfId="0" applyNumberFormat="1" applyFont="1" applyFill="1" applyBorder="1" applyProtection="1"/>
    <xf numFmtId="4" fontId="1" fillId="0" borderId="1" xfId="0" applyNumberFormat="1" applyFont="1" applyBorder="1" applyProtection="1">
      <protection locked="0"/>
    </xf>
    <xf numFmtId="4" fontId="1" fillId="3" borderId="1" xfId="0" applyNumberFormat="1" applyFont="1" applyFill="1" applyBorder="1" applyProtection="1"/>
    <xf numFmtId="4" fontId="5" fillId="3" borderId="1" xfId="0" applyNumberFormat="1" applyFont="1" applyFill="1" applyBorder="1" applyProtection="1"/>
    <xf numFmtId="4" fontId="1" fillId="0" borderId="1" xfId="0" applyNumberFormat="1" applyFont="1" applyBorder="1" applyProtection="1"/>
    <xf numFmtId="4" fontId="1" fillId="3" borderId="1" xfId="0" applyNumberFormat="1" applyFont="1" applyFill="1" applyBorder="1" applyProtection="1">
      <protection hidden="1"/>
    </xf>
    <xf numFmtId="4" fontId="1" fillId="3" borderId="1" xfId="0" applyNumberFormat="1" applyFont="1" applyFill="1" applyBorder="1" applyAlignment="1" applyProtection="1">
      <alignment horizontal="right"/>
      <protection hidden="1"/>
    </xf>
    <xf numFmtId="4" fontId="12" fillId="3" borderId="1" xfId="0" applyNumberFormat="1" applyFont="1" applyFill="1" applyBorder="1" applyProtection="1">
      <protection hidden="1"/>
    </xf>
    <xf numFmtId="4" fontId="12" fillId="3" borderId="1" xfId="0" applyNumberFormat="1" applyFont="1" applyFill="1" applyBorder="1" applyProtection="1"/>
    <xf numFmtId="4" fontId="12" fillId="3" borderId="1" xfId="0" applyNumberFormat="1" applyFont="1" applyFill="1" applyBorder="1" applyAlignment="1" applyProtection="1">
      <alignment horizontal="right"/>
    </xf>
    <xf numFmtId="49" fontId="13" fillId="2" borderId="0" xfId="0" applyNumberFormat="1" applyFont="1" applyFill="1" applyProtection="1"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/>
    <xf numFmtId="1" fontId="13" fillId="2" borderId="0" xfId="0" applyNumberFormat="1" applyFont="1" applyFill="1"/>
    <xf numFmtId="49" fontId="3" fillId="0" borderId="1" xfId="0" applyNumberFormat="1" applyFont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1" fillId="0" borderId="1" xfId="0" applyNumberFormat="1" applyFont="1" applyBorder="1" applyProtection="1">
      <protection hidden="1"/>
    </xf>
    <xf numFmtId="0" fontId="1" fillId="0" borderId="1" xfId="0" quotePrefix="1" applyFont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horizontal="center" vertical="top"/>
      <protection hidden="1"/>
    </xf>
    <xf numFmtId="164" fontId="1" fillId="0" borderId="2" xfId="0" applyNumberFormat="1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164" fontId="1" fillId="0" borderId="4" xfId="0" applyNumberFormat="1" applyFont="1" applyFill="1" applyBorder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1" xfId="0" quotePrefix="1" applyFont="1" applyFill="1" applyBorder="1" applyProtection="1">
      <protection hidden="1"/>
    </xf>
    <xf numFmtId="0" fontId="11" fillId="0" borderId="3" xfId="0" quotePrefix="1" applyFont="1" applyFill="1" applyBorder="1" applyProtection="1">
      <protection hidden="1"/>
    </xf>
    <xf numFmtId="0" fontId="11" fillId="0" borderId="0" xfId="0" applyFont="1" applyFill="1" applyBorder="1" applyProtection="1">
      <protection hidden="1"/>
    </xf>
    <xf numFmtId="0" fontId="11" fillId="0" borderId="1" xfId="0" applyFont="1" applyFill="1" applyBorder="1" applyProtection="1">
      <protection hidden="1"/>
    </xf>
    <xf numFmtId="49" fontId="11" fillId="0" borderId="1" xfId="0" quotePrefix="1" applyNumberFormat="1" applyFont="1" applyFill="1" applyBorder="1" applyAlignment="1" applyProtection="1">
      <alignment horizontal="center"/>
      <protection hidden="1"/>
    </xf>
    <xf numFmtId="164" fontId="1" fillId="0" borderId="1" xfId="0" quotePrefix="1" applyNumberFormat="1" applyFont="1" applyFill="1" applyBorder="1" applyProtection="1">
      <protection hidden="1"/>
    </xf>
    <xf numFmtId="0" fontId="11" fillId="0" borderId="1" xfId="0" quotePrefix="1" applyFont="1" applyBorder="1" applyProtection="1">
      <protection hidden="1"/>
    </xf>
    <xf numFmtId="0" fontId="11" fillId="0" borderId="1" xfId="0" applyFont="1" applyBorder="1" applyProtection="1">
      <protection hidden="1"/>
    </xf>
    <xf numFmtId="164" fontId="11" fillId="0" borderId="2" xfId="0" applyNumberFormat="1" applyFont="1" applyFill="1" applyBorder="1" applyProtection="1">
      <protection hidden="1"/>
    </xf>
    <xf numFmtId="0" fontId="11" fillId="0" borderId="3" xfId="0" applyFont="1" applyFill="1" applyBorder="1" applyProtection="1">
      <protection hidden="1"/>
    </xf>
    <xf numFmtId="164" fontId="11" fillId="0" borderId="6" xfId="0" applyNumberFormat="1" applyFont="1" applyFill="1" applyBorder="1" applyProtection="1">
      <protection hidden="1"/>
    </xf>
    <xf numFmtId="0" fontId="11" fillId="0" borderId="5" xfId="0" applyFont="1" applyFill="1" applyBorder="1" applyProtection="1">
      <protection hidden="1"/>
    </xf>
    <xf numFmtId="164" fontId="11" fillId="0" borderId="1" xfId="0" applyNumberFormat="1" applyFont="1" applyFill="1" applyBorder="1" applyProtection="1">
      <protection hidden="1"/>
    </xf>
    <xf numFmtId="0" fontId="3" fillId="0" borderId="1" xfId="0" applyFont="1" applyBorder="1" applyAlignment="1" applyProtection="1">
      <alignment vertical="center"/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/>
    </xf>
    <xf numFmtId="4" fontId="5" fillId="0" borderId="1" xfId="0" applyNumberFormat="1" applyFont="1" applyFill="1" applyBorder="1" applyProtection="1">
      <protection hidden="1"/>
    </xf>
    <xf numFmtId="49" fontId="1" fillId="0" borderId="1" xfId="0" applyNumberFormat="1" applyFont="1" applyFill="1" applyBorder="1" applyAlignment="1" applyProtection="1">
      <alignment horizontal="center"/>
    </xf>
    <xf numFmtId="4" fontId="18" fillId="0" borderId="1" xfId="0" applyNumberFormat="1" applyFont="1" applyFill="1" applyBorder="1" applyProtection="1"/>
    <xf numFmtId="4" fontId="19" fillId="0" borderId="1" xfId="0" applyNumberFormat="1" applyFont="1" applyFill="1" applyBorder="1" applyProtection="1"/>
    <xf numFmtId="4" fontId="20" fillId="0" borderId="1" xfId="0" applyNumberFormat="1" applyFont="1" applyFill="1" applyBorder="1" applyProtection="1">
      <protection hidden="1"/>
    </xf>
    <xf numFmtId="49" fontId="1" fillId="0" borderId="1" xfId="0" applyNumberFormat="1" applyFont="1" applyFill="1" applyBorder="1"/>
    <xf numFmtId="0" fontId="15" fillId="0" borderId="2" xfId="0" applyFont="1" applyFill="1" applyBorder="1" applyAlignment="1">
      <alignment vertical="top"/>
    </xf>
    <xf numFmtId="0" fontId="1" fillId="0" borderId="3" xfId="0" applyFont="1" applyFill="1" applyBorder="1"/>
    <xf numFmtId="0" fontId="1" fillId="0" borderId="1" xfId="0" applyFont="1" applyFill="1" applyBorder="1"/>
    <xf numFmtId="49" fontId="15" fillId="0" borderId="1" xfId="0" quotePrefix="1" applyNumberFormat="1" applyFont="1" applyFill="1" applyBorder="1" applyAlignment="1" applyProtection="1">
      <alignment horizontal="center"/>
      <protection hidden="1"/>
    </xf>
    <xf numFmtId="0" fontId="15" fillId="0" borderId="1" xfId="0" applyFont="1" applyFill="1" applyBorder="1"/>
    <xf numFmtId="0" fontId="15" fillId="0" borderId="7" xfId="0" quotePrefix="1" applyFont="1" applyFill="1" applyBorder="1"/>
    <xf numFmtId="0" fontId="15" fillId="0" borderId="3" xfId="0" quotePrefix="1" applyFont="1" applyFill="1" applyBorder="1"/>
    <xf numFmtId="0" fontId="15" fillId="0" borderId="3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15" fillId="0" borderId="3" xfId="0" applyFont="1" applyFill="1" applyBorder="1" applyAlignment="1" applyProtection="1">
      <alignment wrapText="1"/>
      <protection hidden="1"/>
    </xf>
    <xf numFmtId="49" fontId="1" fillId="0" borderId="1" xfId="0" applyNumberFormat="1" applyFont="1" applyFill="1" applyBorder="1" applyProtection="1">
      <protection hidden="1"/>
    </xf>
    <xf numFmtId="0" fontId="15" fillId="0" borderId="3" xfId="0" quotePrefix="1" applyFont="1" applyFill="1" applyBorder="1" applyProtection="1">
      <protection hidden="1"/>
    </xf>
    <xf numFmtId="0" fontId="15" fillId="0" borderId="5" xfId="0" applyFont="1" applyFill="1" applyBorder="1" applyProtection="1">
      <protection hidden="1"/>
    </xf>
    <xf numFmtId="49" fontId="15" fillId="0" borderId="1" xfId="0" quotePrefix="1" applyNumberFormat="1" applyFont="1" applyFill="1" applyBorder="1" applyAlignment="1" applyProtection="1">
      <alignment horizontal="center"/>
    </xf>
    <xf numFmtId="0" fontId="15" fillId="0" borderId="8" xfId="0" applyFont="1" applyFill="1" applyBorder="1" applyAlignment="1">
      <alignment vertical="top"/>
    </xf>
    <xf numFmtId="164" fontId="15" fillId="0" borderId="1" xfId="0" applyNumberFormat="1" applyFont="1" applyFill="1" applyBorder="1"/>
    <xf numFmtId="164" fontId="15" fillId="0" borderId="1" xfId="0" applyNumberFormat="1" applyFont="1" applyFill="1" applyBorder="1" applyProtection="1">
      <protection hidden="1"/>
    </xf>
    <xf numFmtId="0" fontId="1" fillId="0" borderId="3" xfId="0" quotePrefix="1" applyFont="1" applyFill="1" applyBorder="1" applyProtection="1">
      <protection hidden="1"/>
    </xf>
    <xf numFmtId="0" fontId="21" fillId="0" borderId="0" xfId="1" applyFont="1" applyAlignment="1" applyProtection="1"/>
    <xf numFmtId="0" fontId="19" fillId="0" borderId="0" xfId="1" applyFont="1" applyAlignment="1" applyProtection="1"/>
    <xf numFmtId="0" fontId="1" fillId="0" borderId="0" xfId="1" applyFont="1" applyAlignment="1" applyProtection="1"/>
    <xf numFmtId="0" fontId="1" fillId="0" borderId="0" xfId="1" applyFont="1" applyAlignment="1" applyProtection="1">
      <alignment horizontal="center"/>
    </xf>
    <xf numFmtId="0" fontId="1" fillId="0" borderId="0" xfId="1" applyFont="1" applyFill="1" applyAlignment="1" applyProtection="1"/>
    <xf numFmtId="0" fontId="1" fillId="0" borderId="0" xfId="1" applyFont="1" applyAlignment="1" applyProtection="1">
      <alignment horizontal="right"/>
    </xf>
    <xf numFmtId="0" fontId="1" fillId="0" borderId="0" xfId="1" applyFont="1" applyProtection="1"/>
    <xf numFmtId="0" fontId="22" fillId="0" borderId="0" xfId="1" applyFont="1" applyAlignment="1" applyProtection="1"/>
    <xf numFmtId="0" fontId="23" fillId="0" borderId="0" xfId="1" applyFont="1" applyAlignment="1" applyProtection="1"/>
    <xf numFmtId="0" fontId="3" fillId="0" borderId="0" xfId="1" applyFont="1" applyAlignment="1" applyProtection="1"/>
    <xf numFmtId="0" fontId="3" fillId="0" borderId="0" xfId="1" applyFont="1" applyAlignment="1" applyProtection="1">
      <alignment horizontal="center"/>
    </xf>
    <xf numFmtId="0" fontId="3" fillId="0" borderId="0" xfId="1" applyFont="1" applyFill="1" applyAlignment="1" applyProtection="1"/>
    <xf numFmtId="0" fontId="19" fillId="0" borderId="0" xfId="1" applyFont="1" applyBorder="1" applyAlignment="1" applyProtection="1">
      <alignment horizontal="center"/>
    </xf>
    <xf numFmtId="0" fontId="1" fillId="0" borderId="0" xfId="1" applyFont="1" applyBorder="1" applyAlignment="1" applyProtection="1">
      <alignment horizontal="center"/>
    </xf>
    <xf numFmtId="0" fontId="1" fillId="0" borderId="0" xfId="1" applyFont="1" applyFill="1" applyBorder="1" applyAlignment="1" applyProtection="1">
      <alignment horizontal="center"/>
    </xf>
    <xf numFmtId="0" fontId="3" fillId="0" borderId="1" xfId="1" applyFont="1" applyFill="1" applyBorder="1" applyAlignment="1" applyProtection="1">
      <alignment horizontal="center" vertical="top" wrapText="1"/>
    </xf>
    <xf numFmtId="0" fontId="1" fillId="0" borderId="0" xfId="1" applyFont="1" applyAlignment="1" applyProtection="1">
      <alignment vertical="top" wrapText="1"/>
    </xf>
    <xf numFmtId="0" fontId="1" fillId="0" borderId="1" xfId="1" applyFont="1" applyFill="1" applyBorder="1" applyProtection="1"/>
    <xf numFmtId="0" fontId="1" fillId="4" borderId="1" xfId="1" applyFont="1" applyFill="1" applyBorder="1" applyProtection="1"/>
    <xf numFmtId="4" fontId="16" fillId="0" borderId="1" xfId="1" applyNumberFormat="1" applyFont="1" applyFill="1" applyBorder="1" applyProtection="1"/>
    <xf numFmtId="4" fontId="17" fillId="0" borderId="1" xfId="1" applyNumberFormat="1" applyFont="1" applyFill="1" applyBorder="1" applyProtection="1">
      <protection hidden="1"/>
    </xf>
    <xf numFmtId="0" fontId="1" fillId="0" borderId="0" xfId="1" applyFont="1" applyBorder="1" applyProtection="1"/>
    <xf numFmtId="4" fontId="16" fillId="4" borderId="1" xfId="1" applyNumberFormat="1" applyFont="1" applyFill="1" applyBorder="1" applyProtection="1"/>
    <xf numFmtId="0" fontId="1" fillId="0" borderId="1" xfId="1" quotePrefix="1" applyFont="1" applyFill="1" applyBorder="1" applyAlignment="1" applyProtection="1">
      <alignment horizontal="left" vertical="top"/>
    </xf>
    <xf numFmtId="3" fontId="20" fillId="0" borderId="1" xfId="1" applyNumberFormat="1" applyFont="1" applyFill="1" applyBorder="1" applyAlignment="1" applyProtection="1">
      <alignment horizontal="right" vertical="top"/>
    </xf>
    <xf numFmtId="3" fontId="20" fillId="0" borderId="1" xfId="1" applyNumberFormat="1" applyFont="1" applyBorder="1" applyProtection="1"/>
    <xf numFmtId="0" fontId="1" fillId="0" borderId="0" xfId="1" applyFont="1" applyAlignment="1" applyProtection="1">
      <alignment vertical="top"/>
    </xf>
    <xf numFmtId="4" fontId="1" fillId="0" borderId="1" xfId="1" applyNumberFormat="1" applyFont="1" applyFill="1" applyBorder="1" applyAlignment="1" applyProtection="1">
      <alignment horizontal="right" vertical="top"/>
      <protection hidden="1"/>
    </xf>
    <xf numFmtId="4" fontId="1" fillId="5" borderId="1" xfId="1" applyNumberFormat="1" applyFont="1" applyFill="1" applyBorder="1" applyAlignment="1" applyProtection="1">
      <alignment horizontal="right" vertical="top"/>
      <protection hidden="1"/>
    </xf>
    <xf numFmtId="3" fontId="20" fillId="0" borderId="1" xfId="1" applyNumberFormat="1" applyFont="1" applyFill="1" applyBorder="1" applyProtection="1"/>
    <xf numFmtId="3" fontId="16" fillId="0" borderId="1" xfId="1" applyNumberFormat="1" applyFont="1" applyBorder="1" applyProtection="1"/>
    <xf numFmtId="0" fontId="1" fillId="0" borderId="1" xfId="1" applyFont="1" applyFill="1" applyBorder="1" applyAlignment="1" applyProtection="1">
      <alignment horizontal="left" vertical="top"/>
    </xf>
    <xf numFmtId="2" fontId="1" fillId="4" borderId="1" xfId="1" applyNumberFormat="1" applyFont="1" applyFill="1" applyBorder="1" applyAlignment="1" applyProtection="1">
      <alignment horizontal="right" vertical="top"/>
    </xf>
    <xf numFmtId="4" fontId="20" fillId="0" borderId="1" xfId="1" applyNumberFormat="1" applyFont="1" applyFill="1" applyBorder="1" applyAlignment="1" applyProtection="1">
      <alignment horizontal="right" vertical="top"/>
      <protection hidden="1"/>
    </xf>
    <xf numFmtId="4" fontId="20" fillId="0" borderId="1" xfId="1" applyNumberFormat="1" applyFont="1" applyFill="1" applyBorder="1" applyAlignment="1" applyProtection="1">
      <alignment horizontal="right" vertical="top"/>
    </xf>
    <xf numFmtId="4" fontId="20" fillId="0" borderId="1" xfId="1" applyNumberFormat="1" applyFont="1" applyFill="1" applyBorder="1" applyProtection="1"/>
    <xf numFmtId="0" fontId="24" fillId="0" borderId="0" xfId="0" applyFont="1"/>
    <xf numFmtId="0" fontId="0" fillId="0" borderId="0" xfId="0" applyFill="1"/>
    <xf numFmtId="0" fontId="1" fillId="0" borderId="1" xfId="1" quotePrefix="1" applyFont="1" applyBorder="1" applyAlignment="1" applyProtection="1">
      <alignment vertical="top"/>
      <protection hidden="1"/>
    </xf>
    <xf numFmtId="0" fontId="1" fillId="0" borderId="1" xfId="1" applyFont="1" applyBorder="1" applyAlignment="1" applyProtection="1">
      <alignment vertical="top"/>
      <protection hidden="1"/>
    </xf>
    <xf numFmtId="0" fontId="1" fillId="0" borderId="6" xfId="1" applyFont="1" applyBorder="1" applyAlignment="1" applyProtection="1">
      <alignment vertical="top"/>
      <protection hidden="1"/>
    </xf>
    <xf numFmtId="0" fontId="1" fillId="0" borderId="3" xfId="1" applyFont="1" applyBorder="1" applyProtection="1">
      <protection hidden="1"/>
    </xf>
    <xf numFmtId="0" fontId="1" fillId="0" borderId="1" xfId="1" applyFont="1" applyBorder="1" applyProtection="1">
      <protection hidden="1"/>
    </xf>
    <xf numFmtId="49" fontId="1" fillId="0" borderId="1" xfId="1" quotePrefix="1" applyNumberFormat="1" applyFont="1" applyBorder="1" applyAlignment="1" applyProtection="1">
      <alignment horizontal="center" vertical="top"/>
      <protection hidden="1"/>
    </xf>
    <xf numFmtId="0" fontId="1" fillId="0" borderId="1" xfId="1" applyFont="1" applyFill="1" applyBorder="1" applyAlignment="1" applyProtection="1">
      <alignment vertical="top"/>
      <protection hidden="1"/>
    </xf>
    <xf numFmtId="0" fontId="1" fillId="0" borderId="6" xfId="1" applyFont="1" applyFill="1" applyBorder="1" applyAlignment="1" applyProtection="1">
      <alignment vertical="top"/>
      <protection hidden="1"/>
    </xf>
    <xf numFmtId="49" fontId="1" fillId="0" borderId="1" xfId="1" quotePrefix="1" applyNumberFormat="1" applyFont="1" applyFill="1" applyBorder="1" applyAlignment="1" applyProtection="1">
      <alignment horizontal="center" vertical="top"/>
      <protection hidden="1"/>
    </xf>
    <xf numFmtId="0" fontId="1" fillId="0" borderId="1" xfId="1" applyFont="1" applyFill="1" applyBorder="1" applyAlignment="1" applyProtection="1">
      <alignment horizontal="center" vertical="top"/>
      <protection hidden="1"/>
    </xf>
    <xf numFmtId="0" fontId="2" fillId="0" borderId="6" xfId="1" applyFont="1" applyFill="1" applyBorder="1" applyAlignment="1" applyProtection="1">
      <alignment vertical="top"/>
      <protection hidden="1"/>
    </xf>
    <xf numFmtId="0" fontId="2" fillId="0" borderId="1" xfId="1" applyFont="1" applyFill="1" applyBorder="1" applyAlignment="1" applyProtection="1">
      <alignment vertical="top"/>
      <protection hidden="1"/>
    </xf>
    <xf numFmtId="49" fontId="1" fillId="0" borderId="1" xfId="1" quotePrefix="1" applyNumberFormat="1" applyFont="1" applyFill="1" applyBorder="1" applyAlignment="1" applyProtection="1">
      <alignment horizontal="center" vertical="top" wrapText="1"/>
      <protection hidden="1"/>
    </xf>
    <xf numFmtId="49" fontId="1" fillId="0" borderId="1" xfId="1" quotePrefix="1" applyNumberFormat="1" applyFont="1" applyBorder="1" applyAlignment="1" applyProtection="1">
      <alignment horizontal="center" vertical="top" wrapText="1"/>
      <protection hidden="1"/>
    </xf>
    <xf numFmtId="0" fontId="3" fillId="0" borderId="1" xfId="1" applyFont="1" applyBorder="1" applyAlignment="1" applyProtection="1">
      <alignment vertical="top"/>
      <protection hidden="1"/>
    </xf>
    <xf numFmtId="49" fontId="1" fillId="4" borderId="1" xfId="1" applyNumberFormat="1" applyFont="1" applyFill="1" applyBorder="1" applyAlignment="1" applyProtection="1">
      <alignment horizontal="center" vertical="top"/>
      <protection hidden="1"/>
    </xf>
    <xf numFmtId="0" fontId="1" fillId="0" borderId="1" xfId="1" quotePrefix="1" applyFont="1" applyFill="1" applyBorder="1" applyAlignment="1" applyProtection="1">
      <alignment vertical="top"/>
      <protection hidden="1"/>
    </xf>
    <xf numFmtId="0" fontId="1" fillId="0" borderId="3" xfId="1" applyFont="1" applyFill="1" applyBorder="1" applyAlignment="1" applyProtection="1">
      <alignment vertical="top"/>
      <protection hidden="1"/>
    </xf>
    <xf numFmtId="0" fontId="1" fillId="4" borderId="1" xfId="1" applyFont="1" applyFill="1" applyBorder="1" applyAlignment="1" applyProtection="1">
      <alignment horizontal="center" vertical="top"/>
      <protection hidden="1"/>
    </xf>
    <xf numFmtId="0" fontId="24" fillId="0" borderId="0" xfId="0" applyFont="1" applyProtection="1"/>
    <xf numFmtId="0" fontId="8" fillId="0" borderId="0" xfId="1" applyFont="1" applyFill="1" applyAlignment="1" applyProtection="1">
      <alignment horizontal="center" vertical="top"/>
    </xf>
    <xf numFmtId="0" fontId="3" fillId="0" borderId="2" xfId="1" applyFont="1" applyBorder="1" applyAlignment="1" applyProtection="1">
      <alignment horizontal="left" vertical="top"/>
      <protection hidden="1"/>
    </xf>
    <xf numFmtId="0" fontId="1" fillId="0" borderId="6" xfId="1" applyFont="1" applyBorder="1" applyAlignment="1" applyProtection="1">
      <alignment horizontal="center" vertical="top"/>
      <protection hidden="1"/>
    </xf>
    <xf numFmtId="0" fontId="3" fillId="0" borderId="1" xfId="1" applyFont="1" applyFill="1" applyBorder="1" applyAlignment="1" applyProtection="1">
      <alignment horizontal="center" vertical="center" wrapText="1"/>
    </xf>
    <xf numFmtId="0" fontId="3" fillId="0" borderId="2" xfId="1" applyFont="1" applyBorder="1" applyAlignment="1" applyProtection="1">
      <alignment horizontal="left" vertical="top"/>
    </xf>
    <xf numFmtId="0" fontId="1" fillId="0" borderId="6" xfId="1" applyFont="1" applyBorder="1" applyAlignment="1" applyProtection="1">
      <alignment horizontal="center" vertical="top"/>
    </xf>
    <xf numFmtId="0" fontId="1" fillId="0" borderId="3" xfId="1" applyFont="1" applyBorder="1" applyProtection="1"/>
    <xf numFmtId="0" fontId="1" fillId="0" borderId="1" xfId="1" applyFont="1" applyBorder="1" applyProtection="1"/>
    <xf numFmtId="49" fontId="1" fillId="4" borderId="1" xfId="1" applyNumberFormat="1" applyFont="1" applyFill="1" applyBorder="1" applyAlignment="1" applyProtection="1">
      <alignment horizontal="center" vertical="top"/>
    </xf>
    <xf numFmtId="0" fontId="1" fillId="0" borderId="2" xfId="1" quotePrefix="1" applyFont="1" applyBorder="1" applyAlignment="1" applyProtection="1">
      <alignment vertical="top"/>
    </xf>
    <xf numFmtId="0" fontId="1" fillId="0" borderId="6" xfId="1" applyFont="1" applyBorder="1" applyAlignment="1" applyProtection="1">
      <alignment vertical="top"/>
    </xf>
    <xf numFmtId="49" fontId="1" fillId="0" borderId="1" xfId="1" quotePrefix="1" applyNumberFormat="1" applyFont="1" applyBorder="1" applyAlignment="1" applyProtection="1">
      <alignment horizontal="center" vertical="top"/>
    </xf>
    <xf numFmtId="4" fontId="16" fillId="0" borderId="1" xfId="1" applyNumberFormat="1" applyFont="1" applyBorder="1" applyProtection="1">
      <protection locked="0"/>
    </xf>
    <xf numFmtId="0" fontId="1" fillId="0" borderId="6" xfId="1" applyFont="1" applyFill="1" applyBorder="1" applyAlignment="1" applyProtection="1">
      <alignment vertical="top"/>
    </xf>
    <xf numFmtId="49" fontId="1" fillId="0" borderId="1" xfId="1" quotePrefix="1" applyNumberFormat="1" applyFont="1" applyFill="1" applyBorder="1" applyAlignment="1" applyProtection="1">
      <alignment horizontal="center" vertical="top"/>
    </xf>
    <xf numFmtId="0" fontId="1" fillId="0" borderId="6" xfId="1" applyFont="1" applyFill="1" applyBorder="1" applyAlignment="1" applyProtection="1">
      <alignment horizontal="center" vertical="top"/>
    </xf>
    <xf numFmtId="0" fontId="2" fillId="0" borderId="6" xfId="1" applyFont="1" applyFill="1" applyBorder="1" applyAlignment="1" applyProtection="1">
      <alignment vertical="top"/>
    </xf>
    <xf numFmtId="0" fontId="1" fillId="0" borderId="2" xfId="1" applyFont="1" applyBorder="1" applyAlignment="1" applyProtection="1">
      <alignment vertical="top"/>
    </xf>
    <xf numFmtId="49" fontId="1" fillId="0" borderId="1" xfId="1" quotePrefix="1" applyNumberFormat="1" applyFont="1" applyFill="1" applyBorder="1" applyAlignment="1" applyProtection="1">
      <alignment horizontal="center" vertical="top" wrapText="1"/>
    </xf>
    <xf numFmtId="49" fontId="1" fillId="0" borderId="1" xfId="1" quotePrefix="1" applyNumberFormat="1" applyFont="1" applyBorder="1" applyAlignment="1" applyProtection="1">
      <alignment horizontal="center" vertical="top" wrapText="1"/>
    </xf>
    <xf numFmtId="0" fontId="3" fillId="0" borderId="2" xfId="1" applyFont="1" applyBorder="1" applyAlignment="1" applyProtection="1">
      <alignment vertical="top"/>
    </xf>
    <xf numFmtId="0" fontId="1" fillId="0" borderId="2" xfId="1" quotePrefix="1" applyFont="1" applyFill="1" applyBorder="1" applyAlignment="1" applyProtection="1">
      <alignment vertical="top"/>
    </xf>
    <xf numFmtId="0" fontId="1" fillId="0" borderId="3" xfId="1" applyFont="1" applyFill="1" applyBorder="1" applyAlignment="1" applyProtection="1">
      <alignment vertical="top"/>
    </xf>
    <xf numFmtId="0" fontId="1" fillId="0" borderId="1" xfId="1" applyFont="1" applyFill="1" applyBorder="1" applyAlignment="1" applyProtection="1">
      <alignment vertical="top"/>
    </xf>
    <xf numFmtId="0" fontId="1" fillId="0" borderId="6" xfId="1" quotePrefix="1" applyFont="1" applyFill="1" applyBorder="1" applyAlignment="1" applyProtection="1">
      <alignment vertical="top"/>
    </xf>
    <xf numFmtId="3" fontId="1" fillId="0" borderId="1" xfId="1" applyNumberFormat="1" applyFont="1" applyFill="1" applyBorder="1" applyAlignment="1" applyProtection="1">
      <alignment horizontal="right" vertical="top"/>
      <protection locked="0"/>
    </xf>
    <xf numFmtId="0" fontId="1" fillId="4" borderId="1" xfId="1" applyFont="1" applyFill="1" applyBorder="1" applyAlignment="1" applyProtection="1">
      <alignment horizontal="center" vertical="top"/>
    </xf>
    <xf numFmtId="4" fontId="1" fillId="0" borderId="1" xfId="1" applyNumberFormat="1" applyFont="1" applyFill="1" applyBorder="1" applyAlignment="1" applyProtection="1">
      <alignment horizontal="right" vertical="top"/>
      <protection locked="0"/>
    </xf>
    <xf numFmtId="4" fontId="16" fillId="4" borderId="1" xfId="1" applyNumberFormat="1" applyFont="1" applyFill="1" applyBorder="1" applyProtection="1">
      <protection hidden="1"/>
    </xf>
    <xf numFmtId="2" fontId="1" fillId="4" borderId="1" xfId="1" applyNumberFormat="1" applyFont="1" applyFill="1" applyBorder="1" applyAlignment="1" applyProtection="1">
      <alignment horizontal="right" vertical="top"/>
      <protection hidden="1"/>
    </xf>
    <xf numFmtId="3" fontId="1" fillId="0" borderId="1" xfId="1" applyNumberFormat="1" applyFont="1" applyBorder="1" applyProtection="1">
      <protection locked="0"/>
    </xf>
    <xf numFmtId="4" fontId="1" fillId="0" borderId="1" xfId="1" applyNumberFormat="1" applyFont="1" applyBorder="1" applyProtection="1">
      <protection locked="0"/>
    </xf>
    <xf numFmtId="4" fontId="1" fillId="0" borderId="1" xfId="1" applyNumberFormat="1" applyFont="1" applyFill="1" applyBorder="1" applyProtection="1">
      <protection locked="0"/>
    </xf>
    <xf numFmtId="3" fontId="5" fillId="0" borderId="1" xfId="0" applyNumberFormat="1" applyFont="1" applyBorder="1" applyProtection="1"/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9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1" applyFont="1" applyFill="1" applyBorder="1" applyAlignment="1" applyProtection="1">
      <alignment horizontal="center" vertical="center" wrapText="1"/>
    </xf>
    <xf numFmtId="0" fontId="2" fillId="0" borderId="6" xfId="1" applyFont="1" applyFill="1" applyBorder="1" applyAlignment="1" applyProtection="1">
      <alignment horizontal="left" vertical="top" wrapText="1"/>
    </xf>
    <xf numFmtId="0" fontId="2" fillId="0" borderId="3" xfId="1" applyFont="1" applyFill="1" applyBorder="1" applyAlignment="1" applyProtection="1">
      <alignment horizontal="left" vertical="top" wrapText="1"/>
    </xf>
    <xf numFmtId="0" fontId="1" fillId="0" borderId="6" xfId="1" applyFont="1" applyFill="1" applyBorder="1" applyAlignment="1" applyProtection="1">
      <alignment horizontal="left" vertical="top" wrapText="1"/>
    </xf>
    <xf numFmtId="0" fontId="1" fillId="0" borderId="3" xfId="1" applyFont="1" applyFill="1" applyBorder="1" applyAlignment="1" applyProtection="1">
      <alignment horizontal="left" vertical="top" wrapText="1"/>
    </xf>
    <xf numFmtId="0" fontId="3" fillId="0" borderId="9" xfId="1" applyFont="1" applyFill="1" applyBorder="1" applyAlignment="1" applyProtection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2" fillId="0" borderId="6" xfId="1" applyFont="1" applyFill="1" applyBorder="1" applyAlignment="1" applyProtection="1">
      <alignment horizontal="left" vertical="top" wrapText="1"/>
      <protection hidden="1"/>
    </xf>
    <xf numFmtId="0" fontId="2" fillId="0" borderId="3" xfId="1" applyFont="1" applyFill="1" applyBorder="1" applyAlignment="1" applyProtection="1">
      <alignment horizontal="left" vertical="top" wrapText="1"/>
      <protection hidden="1"/>
    </xf>
    <xf numFmtId="0" fontId="1" fillId="0" borderId="6" xfId="1" applyFont="1" applyFill="1" applyBorder="1" applyAlignment="1" applyProtection="1">
      <alignment horizontal="left" vertical="top" wrapText="1"/>
      <protection hidden="1"/>
    </xf>
    <xf numFmtId="0" fontId="1" fillId="0" borderId="3" xfId="1" applyFont="1" applyFill="1" applyBorder="1" applyAlignment="1" applyProtection="1">
      <alignment horizontal="left" vertical="top" wrapText="1"/>
      <protection hidden="1"/>
    </xf>
    <xf numFmtId="0" fontId="3" fillId="0" borderId="11" xfId="1" applyFont="1" applyFill="1" applyBorder="1" applyAlignment="1" applyProtection="1">
      <alignment horizontal="center" vertical="center" wrapText="1"/>
    </xf>
    <xf numFmtId="0" fontId="3" fillId="0" borderId="12" xfId="1" applyFont="1" applyFill="1" applyBorder="1" applyAlignment="1" applyProtection="1">
      <alignment horizontal="center" vertical="center" wrapText="1"/>
    </xf>
    <xf numFmtId="0" fontId="3" fillId="0" borderId="8" xfId="1" applyFont="1" applyFill="1" applyBorder="1" applyAlignment="1" applyProtection="1">
      <alignment horizontal="center" vertical="center" wrapText="1"/>
    </xf>
    <xf numFmtId="0" fontId="3" fillId="0" borderId="13" xfId="1" applyFont="1" applyFill="1" applyBorder="1" applyAlignment="1" applyProtection="1">
      <alignment horizontal="center" vertical="center" wrapText="1"/>
    </xf>
    <xf numFmtId="0" fontId="3" fillId="0" borderId="14" xfId="1" applyFont="1" applyFill="1" applyBorder="1" applyAlignment="1" applyProtection="1">
      <alignment horizontal="center" vertical="center" wrapText="1"/>
    </xf>
    <xf numFmtId="0" fontId="3" fillId="0" borderId="7" xfId="1" applyFont="1" applyFill="1" applyBorder="1" applyAlignment="1" applyProtection="1">
      <alignment horizontal="center" vertical="center" wrapText="1"/>
    </xf>
    <xf numFmtId="0" fontId="3" fillId="0" borderId="10" xfId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72</xdr:row>
          <xdr:rowOff>19050</xdr:rowOff>
        </xdr:from>
        <xdr:to>
          <xdr:col>7</xdr:col>
          <xdr:colOff>523875</xdr:colOff>
          <xdr:row>73</xdr:row>
          <xdr:rowOff>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119</xdr:row>
          <xdr:rowOff>19050</xdr:rowOff>
        </xdr:from>
        <xdr:to>
          <xdr:col>7</xdr:col>
          <xdr:colOff>523875</xdr:colOff>
          <xdr:row>120</xdr:row>
          <xdr:rowOff>0</xdr:rowOff>
        </xdr:to>
        <xdr:sp macro="" textlink="">
          <xdr:nvSpPr>
            <xdr:cNvPr id="1026" name="Label_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40</xdr:row>
          <xdr:rowOff>19050</xdr:rowOff>
        </xdr:from>
        <xdr:to>
          <xdr:col>7</xdr:col>
          <xdr:colOff>523875</xdr:colOff>
          <xdr:row>41</xdr:row>
          <xdr:rowOff>0</xdr:rowOff>
        </xdr:to>
        <xdr:sp macro="" textlink="">
          <xdr:nvSpPr>
            <xdr:cNvPr id="1033" name="label_c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61"/>
  <sheetViews>
    <sheetView zoomScale="85" zoomScaleNormal="85" workbookViewId="0">
      <pane xSplit="8" ySplit="9" topLeftCell="I43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2.5703125" style="2" customWidth="1"/>
    <col min="2" max="2" width="2.5703125" style="1" customWidth="1"/>
    <col min="3" max="3" width="3.42578125" style="1" customWidth="1"/>
    <col min="4" max="4" width="42.28515625" style="1" bestFit="1" customWidth="1"/>
    <col min="5" max="5" width="3.28515625" style="1" hidden="1" customWidth="1"/>
    <col min="6" max="6" width="27.7109375" style="1" hidden="1" customWidth="1"/>
    <col min="7" max="7" width="18.85546875" style="23" bestFit="1" customWidth="1"/>
    <col min="8" max="8" width="8" style="3" customWidth="1"/>
    <col min="9" max="13" width="20.7109375" style="1" customWidth="1"/>
    <col min="14" max="14" width="20.7109375" style="1" hidden="1" customWidth="1"/>
    <col min="15" max="15" width="9.5703125" style="1" hidden="1" customWidth="1"/>
    <col min="16" max="16" width="20.7109375" style="1" customWidth="1"/>
    <col min="17" max="17" width="1.7109375" style="1" customWidth="1"/>
    <col min="18" max="16384" width="9.140625" style="1"/>
  </cols>
  <sheetData>
    <row r="1" spans="1:16" ht="12.75" x14ac:dyDescent="0.2">
      <c r="A1" s="196" t="s">
        <v>141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</row>
    <row r="2" spans="1:16" ht="12.75" hidden="1" x14ac:dyDescent="0.2">
      <c r="A2" s="197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</row>
    <row r="3" spans="1:16" hidden="1" x14ac:dyDescent="0.2">
      <c r="A3" s="191"/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</row>
    <row r="4" spans="1:16" hidden="1" x14ac:dyDescent="0.2">
      <c r="A4" s="191"/>
      <c r="B4" s="191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</row>
    <row r="5" spans="1:16" hidden="1" x14ac:dyDescent="0.2">
      <c r="A5" s="191"/>
      <c r="B5" s="191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191"/>
    </row>
    <row r="6" spans="1:16" hidden="1" x14ac:dyDescent="0.2">
      <c r="A6" s="191"/>
      <c r="B6" s="191"/>
      <c r="C6" s="191"/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  <c r="O6" s="191"/>
      <c r="P6" s="191"/>
    </row>
    <row r="7" spans="1:16" x14ac:dyDescent="0.2">
      <c r="A7" s="191"/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</row>
    <row r="8" spans="1:16" ht="11.25" customHeight="1" x14ac:dyDescent="0.2">
      <c r="A8" s="198" t="s">
        <v>0</v>
      </c>
      <c r="B8" s="198"/>
      <c r="C8" s="198"/>
      <c r="D8" s="198"/>
      <c r="E8" s="198"/>
      <c r="F8" s="198"/>
      <c r="G8" s="194" t="s">
        <v>1</v>
      </c>
      <c r="H8" s="195" t="s">
        <v>142</v>
      </c>
      <c r="I8" s="195" t="s">
        <v>2</v>
      </c>
      <c r="J8" s="192" t="s">
        <v>3</v>
      </c>
      <c r="K8" s="192"/>
      <c r="L8" s="192" t="s">
        <v>4</v>
      </c>
      <c r="M8" s="192"/>
      <c r="N8" s="192" t="s">
        <v>87</v>
      </c>
      <c r="O8" s="193"/>
      <c r="P8" s="199" t="s">
        <v>144</v>
      </c>
    </row>
    <row r="9" spans="1:16" x14ac:dyDescent="0.2">
      <c r="A9" s="198"/>
      <c r="B9" s="198"/>
      <c r="C9" s="198"/>
      <c r="D9" s="198"/>
      <c r="E9" s="198"/>
      <c r="F9" s="198"/>
      <c r="G9" s="194"/>
      <c r="H9" s="195"/>
      <c r="I9" s="195"/>
      <c r="J9" s="4" t="s">
        <v>5</v>
      </c>
      <c r="K9" s="4" t="s">
        <v>6</v>
      </c>
      <c r="L9" s="4" t="s">
        <v>5</v>
      </c>
      <c r="M9" s="4" t="s">
        <v>6</v>
      </c>
      <c r="N9" s="4" t="s">
        <v>5</v>
      </c>
      <c r="O9" s="4" t="s">
        <v>6</v>
      </c>
      <c r="P9" s="199"/>
    </row>
    <row r="10" spans="1:16" s="5" customFormat="1" x14ac:dyDescent="0.2">
      <c r="A10" s="48" t="s">
        <v>7</v>
      </c>
      <c r="B10" s="29"/>
      <c r="C10" s="27"/>
      <c r="D10" s="27"/>
      <c r="E10" s="27"/>
      <c r="F10" s="27"/>
      <c r="G10" s="49" t="s">
        <v>64</v>
      </c>
      <c r="H10" s="15"/>
      <c r="I10" s="11">
        <f xml:space="preserve"> I11 + I12 + I15 + I18 + I31 + I34 + I43 + I46 + I47</f>
        <v>0</v>
      </c>
      <c r="J10" s="41">
        <f t="shared" ref="J10:O10" si="0" xml:space="preserve"> (J11 + J12 + J15 + J18 + J31 + J34 + J43 + J46 + J47)</f>
        <v>0</v>
      </c>
      <c r="K10" s="41">
        <f t="shared" si="0"/>
        <v>0</v>
      </c>
      <c r="L10" s="41">
        <f t="shared" si="0"/>
        <v>0</v>
      </c>
      <c r="M10" s="41">
        <f t="shared" si="0"/>
        <v>0</v>
      </c>
      <c r="N10" s="11">
        <f t="shared" si="0"/>
        <v>0</v>
      </c>
      <c r="O10" s="11">
        <f t="shared" si="0"/>
        <v>0</v>
      </c>
      <c r="P10" s="11">
        <f>I10+K10+M10+O10</f>
        <v>0</v>
      </c>
    </row>
    <row r="11" spans="1:16" s="5" customFormat="1" x14ac:dyDescent="0.2">
      <c r="A11" s="50" t="s">
        <v>8</v>
      </c>
      <c r="B11" s="29" t="s">
        <v>9</v>
      </c>
      <c r="C11" s="27"/>
      <c r="D11" s="27"/>
      <c r="E11" s="27"/>
      <c r="F11" s="27"/>
      <c r="G11" s="49" t="s">
        <v>65</v>
      </c>
      <c r="H11" s="15"/>
      <c r="I11" s="35"/>
      <c r="J11" s="42"/>
      <c r="K11" s="42"/>
      <c r="L11" s="42"/>
      <c r="M11" s="42"/>
      <c r="N11" s="35"/>
      <c r="O11" s="35"/>
      <c r="P11" s="11">
        <f t="shared" ref="P11:P36" si="1">I11+K11+M11+O11</f>
        <v>0</v>
      </c>
    </row>
    <row r="12" spans="1:16" s="5" customFormat="1" x14ac:dyDescent="0.2">
      <c r="A12" s="50" t="s">
        <v>10</v>
      </c>
      <c r="B12" s="29" t="s">
        <v>11</v>
      </c>
      <c r="C12" s="27"/>
      <c r="D12" s="27"/>
      <c r="E12" s="27"/>
      <c r="F12" s="27"/>
      <c r="G12" s="49" t="s">
        <v>66</v>
      </c>
      <c r="H12" s="15"/>
      <c r="I12" s="42">
        <f t="shared" ref="I12:O12" si="2" xml:space="preserve"> (I13 + I14)</f>
        <v>0</v>
      </c>
      <c r="J12" s="42">
        <f t="shared" si="2"/>
        <v>0</v>
      </c>
      <c r="K12" s="42">
        <f t="shared" si="2"/>
        <v>0</v>
      </c>
      <c r="L12" s="42">
        <f t="shared" si="2"/>
        <v>0</v>
      </c>
      <c r="M12" s="42">
        <f t="shared" si="2"/>
        <v>0</v>
      </c>
      <c r="N12" s="25">
        <f t="shared" si="2"/>
        <v>0</v>
      </c>
      <c r="O12" s="25">
        <f t="shared" si="2"/>
        <v>0</v>
      </c>
      <c r="P12" s="41">
        <f t="shared" si="1"/>
        <v>0</v>
      </c>
    </row>
    <row r="13" spans="1:16" s="5" customFormat="1" x14ac:dyDescent="0.2">
      <c r="A13" s="51"/>
      <c r="B13" s="29" t="s">
        <v>12</v>
      </c>
      <c r="C13" s="27" t="s">
        <v>13</v>
      </c>
      <c r="D13" s="27"/>
      <c r="E13" s="27"/>
      <c r="F13" s="27"/>
      <c r="G13" s="49" t="s">
        <v>67</v>
      </c>
      <c r="H13" s="15"/>
      <c r="I13" s="42"/>
      <c r="J13" s="42"/>
      <c r="K13" s="42"/>
      <c r="L13" s="36"/>
      <c r="M13" s="36"/>
      <c r="N13" s="24"/>
      <c r="O13" s="24"/>
      <c r="P13" s="41">
        <f t="shared" si="1"/>
        <v>0</v>
      </c>
    </row>
    <row r="14" spans="1:16" s="5" customFormat="1" x14ac:dyDescent="0.2">
      <c r="A14" s="51"/>
      <c r="B14" s="29" t="s">
        <v>14</v>
      </c>
      <c r="C14" s="27" t="s">
        <v>15</v>
      </c>
      <c r="D14" s="27"/>
      <c r="E14" s="27"/>
      <c r="F14" s="27"/>
      <c r="G14" s="49" t="s">
        <v>68</v>
      </c>
      <c r="H14" s="15"/>
      <c r="I14" s="36"/>
      <c r="J14" s="42"/>
      <c r="K14" s="42"/>
      <c r="L14" s="42"/>
      <c r="M14" s="42"/>
      <c r="N14" s="24"/>
      <c r="O14" s="24"/>
      <c r="P14" s="41">
        <f t="shared" si="1"/>
        <v>0</v>
      </c>
    </row>
    <row r="15" spans="1:16" s="5" customFormat="1" x14ac:dyDescent="0.2">
      <c r="A15" s="51" t="s">
        <v>16</v>
      </c>
      <c r="B15" s="29" t="s">
        <v>17</v>
      </c>
      <c r="C15" s="27"/>
      <c r="D15" s="27"/>
      <c r="E15" s="27"/>
      <c r="F15" s="27"/>
      <c r="G15" s="49" t="s">
        <v>69</v>
      </c>
      <c r="H15" s="15"/>
      <c r="I15" s="42">
        <f>I16+I17</f>
        <v>0</v>
      </c>
      <c r="J15" s="42">
        <f t="shared" ref="J15:O15" si="3">J16+J17</f>
        <v>0</v>
      </c>
      <c r="K15" s="42">
        <f t="shared" si="3"/>
        <v>0</v>
      </c>
      <c r="L15" s="42">
        <f t="shared" si="3"/>
        <v>0</v>
      </c>
      <c r="M15" s="42">
        <f t="shared" si="3"/>
        <v>0</v>
      </c>
      <c r="N15" s="25">
        <f t="shared" si="3"/>
        <v>0</v>
      </c>
      <c r="O15" s="25">
        <f t="shared" si="3"/>
        <v>0</v>
      </c>
      <c r="P15" s="41">
        <f t="shared" si="1"/>
        <v>0</v>
      </c>
    </row>
    <row r="16" spans="1:16" s="6" customFormat="1" x14ac:dyDescent="0.2">
      <c r="A16" s="51"/>
      <c r="B16" s="29" t="s">
        <v>12</v>
      </c>
      <c r="C16" s="27" t="s">
        <v>13</v>
      </c>
      <c r="D16" s="27"/>
      <c r="E16" s="27"/>
      <c r="F16" s="27"/>
      <c r="G16" s="49" t="s">
        <v>70</v>
      </c>
      <c r="H16" s="16"/>
      <c r="I16" s="42"/>
      <c r="J16" s="42"/>
      <c r="K16" s="42"/>
      <c r="L16" s="36"/>
      <c r="M16" s="36"/>
      <c r="N16" s="24"/>
      <c r="O16" s="24"/>
      <c r="P16" s="41">
        <f t="shared" si="1"/>
        <v>0</v>
      </c>
    </row>
    <row r="17" spans="1:16" s="6" customFormat="1" x14ac:dyDescent="0.2">
      <c r="A17" s="51"/>
      <c r="B17" s="29" t="s">
        <v>14</v>
      </c>
      <c r="C17" s="27" t="s">
        <v>15</v>
      </c>
      <c r="D17" s="27"/>
      <c r="E17" s="27"/>
      <c r="F17" s="27"/>
      <c r="G17" s="49" t="s">
        <v>71</v>
      </c>
      <c r="H17" s="16"/>
      <c r="I17" s="36"/>
      <c r="J17" s="42"/>
      <c r="K17" s="42"/>
      <c r="L17" s="42"/>
      <c r="M17" s="42"/>
      <c r="N17" s="24"/>
      <c r="O17" s="24"/>
      <c r="P17" s="41">
        <f t="shared" si="1"/>
        <v>0</v>
      </c>
    </row>
    <row r="18" spans="1:16" s="5" customFormat="1" x14ac:dyDescent="0.2">
      <c r="A18" s="51" t="s">
        <v>18</v>
      </c>
      <c r="B18" s="29" t="s">
        <v>19</v>
      </c>
      <c r="C18" s="27"/>
      <c r="D18" s="27"/>
      <c r="E18" s="27"/>
      <c r="F18" s="27"/>
      <c r="G18" s="49" t="s">
        <v>72</v>
      </c>
      <c r="H18" s="15"/>
      <c r="I18" s="42">
        <f t="shared" ref="I18:O18" si="4" xml:space="preserve"> (I19 + I22 + I25 + I28)</f>
        <v>0</v>
      </c>
      <c r="J18" s="42">
        <f t="shared" si="4"/>
        <v>0</v>
      </c>
      <c r="K18" s="42">
        <f t="shared" si="4"/>
        <v>0</v>
      </c>
      <c r="L18" s="42">
        <f t="shared" si="4"/>
        <v>0</v>
      </c>
      <c r="M18" s="42">
        <f t="shared" si="4"/>
        <v>0</v>
      </c>
      <c r="N18" s="25">
        <f t="shared" si="4"/>
        <v>0</v>
      </c>
      <c r="O18" s="25">
        <f t="shared" si="4"/>
        <v>0</v>
      </c>
      <c r="P18" s="41">
        <f t="shared" si="1"/>
        <v>0</v>
      </c>
    </row>
    <row r="19" spans="1:16" s="5" customFormat="1" x14ac:dyDescent="0.2">
      <c r="A19" s="51"/>
      <c r="B19" s="29" t="s">
        <v>12</v>
      </c>
      <c r="C19" s="27" t="s">
        <v>20</v>
      </c>
      <c r="D19" s="27"/>
      <c r="E19" s="27"/>
      <c r="F19" s="27"/>
      <c r="G19" s="52" t="s">
        <v>91</v>
      </c>
      <c r="H19" s="15"/>
      <c r="I19" s="42">
        <f t="shared" ref="I19:O19" si="5" xml:space="preserve"> (I20 + I21)</f>
        <v>0</v>
      </c>
      <c r="J19" s="42">
        <f t="shared" si="5"/>
        <v>0</v>
      </c>
      <c r="K19" s="42">
        <f t="shared" si="5"/>
        <v>0</v>
      </c>
      <c r="L19" s="37"/>
      <c r="M19" s="37"/>
      <c r="N19" s="25">
        <f t="shared" si="5"/>
        <v>0</v>
      </c>
      <c r="O19" s="25">
        <f t="shared" si="5"/>
        <v>0</v>
      </c>
      <c r="P19" s="41">
        <f t="shared" si="1"/>
        <v>0</v>
      </c>
    </row>
    <row r="20" spans="1:16" s="5" customFormat="1" x14ac:dyDescent="0.2">
      <c r="A20" s="51"/>
      <c r="B20" s="29"/>
      <c r="C20" s="27" t="s">
        <v>21</v>
      </c>
      <c r="D20" s="27" t="s">
        <v>13</v>
      </c>
      <c r="E20" s="27"/>
      <c r="F20" s="27"/>
      <c r="G20" s="52" t="s">
        <v>92</v>
      </c>
      <c r="H20" s="15"/>
      <c r="I20" s="42"/>
      <c r="J20" s="42"/>
      <c r="K20" s="42"/>
      <c r="L20" s="36"/>
      <c r="M20" s="36"/>
      <c r="N20" s="24"/>
      <c r="O20" s="24"/>
      <c r="P20" s="41">
        <f t="shared" si="1"/>
        <v>0</v>
      </c>
    </row>
    <row r="21" spans="1:16" s="5" customFormat="1" x14ac:dyDescent="0.2">
      <c r="A21" s="51"/>
      <c r="B21" s="29"/>
      <c r="C21" s="27" t="s">
        <v>22</v>
      </c>
      <c r="D21" s="27" t="s">
        <v>15</v>
      </c>
      <c r="E21" s="27"/>
      <c r="F21" s="27"/>
      <c r="G21" s="52" t="s">
        <v>93</v>
      </c>
      <c r="H21" s="15"/>
      <c r="I21" s="36"/>
      <c r="J21" s="42"/>
      <c r="K21" s="42"/>
      <c r="L21" s="39"/>
      <c r="M21" s="39"/>
      <c r="N21" s="24"/>
      <c r="O21" s="24"/>
      <c r="P21" s="41">
        <f t="shared" si="1"/>
        <v>0</v>
      </c>
    </row>
    <row r="22" spans="1:16" s="5" customFormat="1" x14ac:dyDescent="0.2">
      <c r="A22" s="51"/>
      <c r="B22" s="29" t="s">
        <v>14</v>
      </c>
      <c r="C22" s="27" t="s">
        <v>23</v>
      </c>
      <c r="D22" s="27"/>
      <c r="E22" s="27"/>
      <c r="F22" s="27"/>
      <c r="G22" s="52" t="s">
        <v>94</v>
      </c>
      <c r="H22" s="15"/>
      <c r="I22" s="42">
        <f t="shared" ref="I22:O22" si="6" xml:space="preserve"> (I23 + I24)</f>
        <v>0</v>
      </c>
      <c r="J22" s="42">
        <f t="shared" si="6"/>
        <v>0</v>
      </c>
      <c r="K22" s="42">
        <f t="shared" si="6"/>
        <v>0</v>
      </c>
      <c r="L22" s="37"/>
      <c r="M22" s="37"/>
      <c r="N22" s="25">
        <f t="shared" si="6"/>
        <v>0</v>
      </c>
      <c r="O22" s="25">
        <f t="shared" si="6"/>
        <v>0</v>
      </c>
      <c r="P22" s="41">
        <f t="shared" si="1"/>
        <v>0</v>
      </c>
    </row>
    <row r="23" spans="1:16" s="5" customFormat="1" x14ac:dyDescent="0.2">
      <c r="A23" s="51"/>
      <c r="B23" s="29"/>
      <c r="C23" s="27" t="s">
        <v>21</v>
      </c>
      <c r="D23" s="27" t="s">
        <v>13</v>
      </c>
      <c r="E23" s="27"/>
      <c r="F23" s="27"/>
      <c r="G23" s="52" t="s">
        <v>95</v>
      </c>
      <c r="H23" s="15"/>
      <c r="I23" s="42"/>
      <c r="J23" s="42"/>
      <c r="K23" s="42"/>
      <c r="L23" s="36"/>
      <c r="M23" s="36"/>
      <c r="N23" s="24"/>
      <c r="O23" s="24"/>
      <c r="P23" s="41">
        <f t="shared" si="1"/>
        <v>0</v>
      </c>
    </row>
    <row r="24" spans="1:16" s="5" customFormat="1" x14ac:dyDescent="0.2">
      <c r="A24" s="51"/>
      <c r="B24" s="29"/>
      <c r="C24" s="27" t="s">
        <v>22</v>
      </c>
      <c r="D24" s="27" t="s">
        <v>15</v>
      </c>
      <c r="E24" s="27"/>
      <c r="F24" s="27"/>
      <c r="G24" s="52" t="s">
        <v>96</v>
      </c>
      <c r="H24" s="15"/>
      <c r="I24" s="36"/>
      <c r="J24" s="42"/>
      <c r="K24" s="42"/>
      <c r="L24" s="39"/>
      <c r="M24" s="39"/>
      <c r="N24" s="24"/>
      <c r="O24" s="24"/>
      <c r="P24" s="41">
        <f t="shared" si="1"/>
        <v>0</v>
      </c>
    </row>
    <row r="25" spans="1:16" s="5" customFormat="1" x14ac:dyDescent="0.2">
      <c r="A25" s="51"/>
      <c r="B25" s="29" t="s">
        <v>24</v>
      </c>
      <c r="C25" s="27" t="s">
        <v>25</v>
      </c>
      <c r="D25" s="27"/>
      <c r="E25" s="27"/>
      <c r="F25" s="27"/>
      <c r="G25" s="52" t="s">
        <v>97</v>
      </c>
      <c r="H25" s="15"/>
      <c r="I25" s="42">
        <f t="shared" ref="I25:O25" si="7" xml:space="preserve"> (I26 + I27)</f>
        <v>0</v>
      </c>
      <c r="J25" s="42">
        <f t="shared" si="7"/>
        <v>0</v>
      </c>
      <c r="K25" s="42">
        <f t="shared" si="7"/>
        <v>0</v>
      </c>
      <c r="L25" s="37"/>
      <c r="M25" s="37"/>
      <c r="N25" s="25">
        <f t="shared" si="7"/>
        <v>0</v>
      </c>
      <c r="O25" s="25">
        <f t="shared" si="7"/>
        <v>0</v>
      </c>
      <c r="P25" s="41">
        <f t="shared" si="1"/>
        <v>0</v>
      </c>
    </row>
    <row r="26" spans="1:16" s="5" customFormat="1" x14ac:dyDescent="0.2">
      <c r="A26" s="51"/>
      <c r="B26" s="29"/>
      <c r="C26" s="27" t="s">
        <v>21</v>
      </c>
      <c r="D26" s="27" t="s">
        <v>13</v>
      </c>
      <c r="E26" s="27"/>
      <c r="F26" s="27"/>
      <c r="G26" s="52" t="s">
        <v>98</v>
      </c>
      <c r="H26" s="15"/>
      <c r="I26" s="42"/>
      <c r="J26" s="42"/>
      <c r="K26" s="42"/>
      <c r="L26" s="36"/>
      <c r="M26" s="36"/>
      <c r="N26" s="24"/>
      <c r="O26" s="24"/>
      <c r="P26" s="41">
        <f t="shared" si="1"/>
        <v>0</v>
      </c>
    </row>
    <row r="27" spans="1:16" s="5" customFormat="1" x14ac:dyDescent="0.2">
      <c r="A27" s="51"/>
      <c r="B27" s="29"/>
      <c r="C27" s="27" t="s">
        <v>22</v>
      </c>
      <c r="D27" s="27" t="s">
        <v>15</v>
      </c>
      <c r="E27" s="27"/>
      <c r="F27" s="27"/>
      <c r="G27" s="52" t="s">
        <v>99</v>
      </c>
      <c r="H27" s="15"/>
      <c r="I27" s="36"/>
      <c r="J27" s="42"/>
      <c r="K27" s="42"/>
      <c r="L27" s="39"/>
      <c r="M27" s="39"/>
      <c r="N27" s="24"/>
      <c r="O27" s="24"/>
      <c r="P27" s="41">
        <f t="shared" si="1"/>
        <v>0</v>
      </c>
    </row>
    <row r="28" spans="1:16" s="5" customFormat="1" x14ac:dyDescent="0.2">
      <c r="A28" s="51"/>
      <c r="B28" s="29" t="s">
        <v>26</v>
      </c>
      <c r="C28" s="27" t="s">
        <v>27</v>
      </c>
      <c r="D28" s="27"/>
      <c r="E28" s="27"/>
      <c r="F28" s="27"/>
      <c r="G28" s="52" t="s">
        <v>100</v>
      </c>
      <c r="H28" s="15"/>
      <c r="I28" s="42">
        <f t="shared" ref="I28:O28" si="8" xml:space="preserve"> (I29 + I30)</f>
        <v>0</v>
      </c>
      <c r="J28" s="42">
        <f t="shared" si="8"/>
        <v>0</v>
      </c>
      <c r="K28" s="42">
        <f t="shared" si="8"/>
        <v>0</v>
      </c>
      <c r="L28" s="42">
        <f t="shared" si="8"/>
        <v>0</v>
      </c>
      <c r="M28" s="42">
        <f t="shared" si="8"/>
        <v>0</v>
      </c>
      <c r="N28" s="25">
        <f t="shared" si="8"/>
        <v>0</v>
      </c>
      <c r="O28" s="25">
        <f t="shared" si="8"/>
        <v>0</v>
      </c>
      <c r="P28" s="41">
        <f t="shared" si="1"/>
        <v>0</v>
      </c>
    </row>
    <row r="29" spans="1:16" s="5" customFormat="1" x14ac:dyDescent="0.2">
      <c r="A29" s="51"/>
      <c r="B29" s="29"/>
      <c r="C29" s="27" t="s">
        <v>21</v>
      </c>
      <c r="D29" s="27" t="s">
        <v>13</v>
      </c>
      <c r="E29" s="27"/>
      <c r="F29" s="27"/>
      <c r="G29" s="52" t="s">
        <v>101</v>
      </c>
      <c r="H29" s="15"/>
      <c r="I29" s="42"/>
      <c r="J29" s="42"/>
      <c r="K29" s="42"/>
      <c r="L29" s="36"/>
      <c r="M29" s="36"/>
      <c r="N29" s="24"/>
      <c r="O29" s="24"/>
      <c r="P29" s="41">
        <f t="shared" si="1"/>
        <v>0</v>
      </c>
    </row>
    <row r="30" spans="1:16" s="5" customFormat="1" x14ac:dyDescent="0.2">
      <c r="A30" s="51"/>
      <c r="B30" s="29"/>
      <c r="C30" s="27" t="s">
        <v>22</v>
      </c>
      <c r="D30" s="27" t="s">
        <v>15</v>
      </c>
      <c r="E30" s="27"/>
      <c r="F30" s="27"/>
      <c r="G30" s="52" t="s">
        <v>102</v>
      </c>
      <c r="H30" s="15"/>
      <c r="I30" s="36"/>
      <c r="J30" s="42"/>
      <c r="K30" s="42"/>
      <c r="L30" s="42"/>
      <c r="M30" s="42"/>
      <c r="N30" s="24"/>
      <c r="O30" s="24"/>
      <c r="P30" s="41">
        <f t="shared" si="1"/>
        <v>0</v>
      </c>
    </row>
    <row r="31" spans="1:16" s="5" customFormat="1" x14ac:dyDescent="0.2">
      <c r="A31" s="51" t="s">
        <v>28</v>
      </c>
      <c r="B31" s="29" t="s">
        <v>29</v>
      </c>
      <c r="C31" s="27"/>
      <c r="D31" s="27"/>
      <c r="E31" s="27"/>
      <c r="F31" s="27"/>
      <c r="G31" s="49" t="s">
        <v>73</v>
      </c>
      <c r="H31" s="15"/>
      <c r="I31" s="42">
        <f t="shared" ref="I31:O31" si="9" xml:space="preserve"> (I32 + I33)</f>
        <v>0</v>
      </c>
      <c r="J31" s="42">
        <f t="shared" si="9"/>
        <v>0</v>
      </c>
      <c r="K31" s="42">
        <f t="shared" si="9"/>
        <v>0</v>
      </c>
      <c r="L31" s="37"/>
      <c r="M31" s="37"/>
      <c r="N31" s="25">
        <f t="shared" si="9"/>
        <v>0</v>
      </c>
      <c r="O31" s="25">
        <f t="shared" si="9"/>
        <v>0</v>
      </c>
      <c r="P31" s="41">
        <f t="shared" si="1"/>
        <v>0</v>
      </c>
    </row>
    <row r="32" spans="1:16" s="5" customFormat="1" x14ac:dyDescent="0.2">
      <c r="A32" s="51"/>
      <c r="B32" s="27" t="s">
        <v>12</v>
      </c>
      <c r="C32" s="28" t="s">
        <v>88</v>
      </c>
      <c r="D32" s="27"/>
      <c r="E32" s="27"/>
      <c r="F32" s="27"/>
      <c r="G32" s="52" t="s">
        <v>103</v>
      </c>
      <c r="H32" s="15"/>
      <c r="I32" s="42"/>
      <c r="J32" s="42"/>
      <c r="K32" s="42"/>
      <c r="L32" s="36"/>
      <c r="M32" s="36"/>
      <c r="N32" s="24"/>
      <c r="O32" s="24"/>
      <c r="P32" s="41">
        <f t="shared" si="1"/>
        <v>0</v>
      </c>
    </row>
    <row r="33" spans="1:16" s="5" customFormat="1" x14ac:dyDescent="0.2">
      <c r="A33" s="51"/>
      <c r="B33" s="27" t="s">
        <v>14</v>
      </c>
      <c r="C33" s="28" t="s">
        <v>30</v>
      </c>
      <c r="D33" s="27"/>
      <c r="E33" s="27"/>
      <c r="F33" s="27"/>
      <c r="G33" s="52" t="s">
        <v>104</v>
      </c>
      <c r="H33" s="15"/>
      <c r="I33" s="42"/>
      <c r="J33" s="42"/>
      <c r="K33" s="42"/>
      <c r="L33" s="39"/>
      <c r="M33" s="39"/>
      <c r="N33" s="24"/>
      <c r="O33" s="24"/>
      <c r="P33" s="41">
        <f t="shared" si="1"/>
        <v>0</v>
      </c>
    </row>
    <row r="34" spans="1:16" s="5" customFormat="1" x14ac:dyDescent="0.2">
      <c r="A34" s="51" t="s">
        <v>31</v>
      </c>
      <c r="B34" s="29" t="s">
        <v>32</v>
      </c>
      <c r="C34" s="27"/>
      <c r="D34" s="27"/>
      <c r="E34" s="27"/>
      <c r="F34" s="27"/>
      <c r="G34" s="49" t="s">
        <v>74</v>
      </c>
      <c r="H34" s="15"/>
      <c r="I34" s="33">
        <f t="shared" ref="I34:O34" si="10" xml:space="preserve"> (I35 + I36 + I38 +I39)</f>
        <v>0</v>
      </c>
      <c r="J34" s="42">
        <f t="shared" si="10"/>
        <v>0</v>
      </c>
      <c r="K34" s="42">
        <f t="shared" si="10"/>
        <v>0</v>
      </c>
      <c r="L34" s="42">
        <f t="shared" si="10"/>
        <v>0</v>
      </c>
      <c r="M34" s="42">
        <f t="shared" si="10"/>
        <v>0</v>
      </c>
      <c r="N34" s="25">
        <f t="shared" si="10"/>
        <v>0</v>
      </c>
      <c r="O34" s="25">
        <f t="shared" si="10"/>
        <v>0</v>
      </c>
      <c r="P34" s="11">
        <f t="shared" si="1"/>
        <v>0</v>
      </c>
    </row>
    <row r="35" spans="1:16" s="5" customFormat="1" x14ac:dyDescent="0.2">
      <c r="A35" s="51"/>
      <c r="B35" s="29" t="s">
        <v>12</v>
      </c>
      <c r="C35" s="28" t="s">
        <v>33</v>
      </c>
      <c r="D35" s="27"/>
      <c r="E35" s="27"/>
      <c r="F35" s="27"/>
      <c r="G35" s="52" t="s">
        <v>105</v>
      </c>
      <c r="H35" s="15"/>
      <c r="I35" s="42"/>
      <c r="J35" s="42"/>
      <c r="K35" s="42"/>
      <c r="L35" s="36"/>
      <c r="M35" s="36"/>
      <c r="N35" s="24"/>
      <c r="O35" s="24"/>
      <c r="P35" s="41">
        <f t="shared" si="1"/>
        <v>0</v>
      </c>
    </row>
    <row r="36" spans="1:16" s="5" customFormat="1" x14ac:dyDescent="0.2">
      <c r="A36" s="51"/>
      <c r="B36" s="29" t="s">
        <v>14</v>
      </c>
      <c r="C36" s="28" t="s">
        <v>34</v>
      </c>
      <c r="D36" s="27"/>
      <c r="E36" s="27"/>
      <c r="F36" s="27"/>
      <c r="G36" s="52" t="s">
        <v>106</v>
      </c>
      <c r="H36" s="15"/>
      <c r="I36" s="42"/>
      <c r="J36" s="42"/>
      <c r="K36" s="42"/>
      <c r="L36" s="39"/>
      <c r="M36" s="39"/>
      <c r="N36" s="24"/>
      <c r="O36" s="24"/>
      <c r="P36" s="41">
        <f t="shared" si="1"/>
        <v>0</v>
      </c>
    </row>
    <row r="37" spans="1:16" s="5" customFormat="1" x14ac:dyDescent="0.2">
      <c r="A37" s="51"/>
      <c r="B37" s="29"/>
      <c r="C37" s="28" t="s">
        <v>35</v>
      </c>
      <c r="D37" s="27"/>
      <c r="E37" s="27"/>
      <c r="F37" s="27"/>
      <c r="G37" s="53"/>
      <c r="H37" s="15"/>
      <c r="I37" s="42"/>
      <c r="J37" s="42"/>
      <c r="K37" s="42"/>
      <c r="L37" s="42"/>
      <c r="M37" s="42"/>
      <c r="N37" s="34"/>
      <c r="O37" s="34"/>
      <c r="P37" s="41"/>
    </row>
    <row r="38" spans="1:16" s="5" customFormat="1" x14ac:dyDescent="0.2">
      <c r="A38" s="51"/>
      <c r="B38" s="29" t="s">
        <v>24</v>
      </c>
      <c r="C38" s="28" t="s">
        <v>36</v>
      </c>
      <c r="D38" s="27"/>
      <c r="E38" s="27"/>
      <c r="F38" s="27"/>
      <c r="G38" s="52" t="s">
        <v>107</v>
      </c>
      <c r="H38" s="15"/>
      <c r="I38" s="35"/>
      <c r="J38" s="42"/>
      <c r="K38" s="42"/>
      <c r="L38" s="42"/>
      <c r="M38" s="42"/>
      <c r="N38" s="24"/>
      <c r="O38" s="24"/>
      <c r="P38" s="75">
        <f>I38+K38+M38+O38</f>
        <v>0</v>
      </c>
    </row>
    <row r="39" spans="1:16" s="5" customFormat="1" x14ac:dyDescent="0.2">
      <c r="A39" s="26"/>
      <c r="B39" s="29" t="s">
        <v>26</v>
      </c>
      <c r="C39" s="28" t="s">
        <v>796</v>
      </c>
      <c r="D39" s="27"/>
      <c r="E39" s="27"/>
      <c r="F39" s="27"/>
      <c r="G39" s="74" t="s">
        <v>108</v>
      </c>
      <c r="H39" s="17" t="s">
        <v>795</v>
      </c>
      <c r="I39" s="77">
        <f>SUM(I40:I41)</f>
        <v>0</v>
      </c>
      <c r="J39" s="42">
        <f t="shared" ref="J39:O39" si="11">SUM(J40:J42)</f>
        <v>0</v>
      </c>
      <c r="K39" s="42">
        <f t="shared" si="11"/>
        <v>0</v>
      </c>
      <c r="L39" s="42">
        <f t="shared" si="11"/>
        <v>0</v>
      </c>
      <c r="M39" s="42">
        <f t="shared" si="11"/>
        <v>0</v>
      </c>
      <c r="N39" s="25">
        <f t="shared" si="11"/>
        <v>0</v>
      </c>
      <c r="O39" s="25">
        <f t="shared" si="11"/>
        <v>0</v>
      </c>
      <c r="P39" s="75">
        <f>I39+K39+M39+O39</f>
        <v>0</v>
      </c>
    </row>
    <row r="40" spans="1:16" s="5" customFormat="1" x14ac:dyDescent="0.2">
      <c r="A40" s="26"/>
      <c r="B40" s="27"/>
      <c r="C40" s="64" t="s">
        <v>86</v>
      </c>
      <c r="D40" s="18"/>
      <c r="E40" s="27"/>
      <c r="F40" s="27"/>
      <c r="G40" s="53"/>
      <c r="H40" s="15">
        <v>1</v>
      </c>
      <c r="I40" s="35"/>
      <c r="J40" s="42"/>
      <c r="K40" s="42"/>
      <c r="L40" s="42"/>
      <c r="M40" s="42"/>
      <c r="N40" s="24"/>
      <c r="O40" s="24"/>
      <c r="P40" s="75">
        <f>I40+K40+M40+O40</f>
        <v>0</v>
      </c>
    </row>
    <row r="41" spans="1:16" s="5" customFormat="1" x14ac:dyDescent="0.2">
      <c r="A41" s="26"/>
      <c r="B41" s="27"/>
      <c r="C41" s="28"/>
      <c r="D41" s="27"/>
      <c r="E41" s="27"/>
      <c r="F41" s="27"/>
      <c r="G41" s="53"/>
      <c r="H41" s="31" t="str">
        <f>CHAR(132)</f>
        <v>„</v>
      </c>
      <c r="I41" s="38"/>
      <c r="J41" s="42"/>
      <c r="K41" s="42"/>
      <c r="L41" s="42"/>
      <c r="M41" s="42"/>
      <c r="N41" s="34"/>
      <c r="O41" s="34"/>
      <c r="P41" s="75">
        <f>I41+K41+M41+O41</f>
        <v>0</v>
      </c>
    </row>
    <row r="42" spans="1:16" s="5" customFormat="1" x14ac:dyDescent="0.2">
      <c r="A42" s="26"/>
      <c r="B42" s="29"/>
      <c r="C42" s="27"/>
      <c r="D42" s="27"/>
      <c r="E42" s="27"/>
      <c r="F42" s="27"/>
      <c r="G42" s="53"/>
      <c r="H42" s="30"/>
      <c r="I42" s="38"/>
      <c r="J42" s="42"/>
      <c r="K42" s="42"/>
      <c r="L42" s="42"/>
      <c r="M42" s="42"/>
      <c r="N42" s="34"/>
      <c r="O42" s="34"/>
      <c r="P42" s="11"/>
    </row>
    <row r="43" spans="1:16" s="5" customFormat="1" x14ac:dyDescent="0.2">
      <c r="A43" s="51" t="s">
        <v>38</v>
      </c>
      <c r="B43" s="29" t="s">
        <v>39</v>
      </c>
      <c r="C43" s="27"/>
      <c r="D43" s="27"/>
      <c r="E43" s="27"/>
      <c r="F43" s="27"/>
      <c r="G43" s="49" t="s">
        <v>75</v>
      </c>
      <c r="H43" s="15"/>
      <c r="I43" s="37"/>
      <c r="J43" s="42">
        <f t="shared" ref="J43:O43" si="12" xml:space="preserve"> (J44 + J45)</f>
        <v>0</v>
      </c>
      <c r="K43" s="42">
        <f t="shared" si="12"/>
        <v>0</v>
      </c>
      <c r="L43" s="42">
        <f t="shared" si="12"/>
        <v>0</v>
      </c>
      <c r="M43" s="42">
        <f t="shared" si="12"/>
        <v>0</v>
      </c>
      <c r="N43" s="25">
        <f t="shared" si="12"/>
        <v>0</v>
      </c>
      <c r="O43" s="25">
        <f t="shared" si="12"/>
        <v>0</v>
      </c>
      <c r="P43" s="41">
        <f t="shared" ref="P43:P72" si="13">I43+K43+M43+O43</f>
        <v>0</v>
      </c>
    </row>
    <row r="44" spans="1:16" s="5" customFormat="1" x14ac:dyDescent="0.2">
      <c r="A44" s="51"/>
      <c r="B44" s="29" t="s">
        <v>12</v>
      </c>
      <c r="C44" s="27" t="s">
        <v>40</v>
      </c>
      <c r="D44" s="27"/>
      <c r="E44" s="27"/>
      <c r="F44" s="27"/>
      <c r="G44" s="52" t="s">
        <v>109</v>
      </c>
      <c r="H44" s="15"/>
      <c r="I44" s="36"/>
      <c r="J44" s="42"/>
      <c r="K44" s="42"/>
      <c r="L44" s="42"/>
      <c r="M44" s="42"/>
      <c r="N44" s="24"/>
      <c r="O44" s="24"/>
      <c r="P44" s="41">
        <f t="shared" si="13"/>
        <v>0</v>
      </c>
    </row>
    <row r="45" spans="1:16" s="5" customFormat="1" x14ac:dyDescent="0.2">
      <c r="A45" s="51"/>
      <c r="B45" s="29" t="s">
        <v>14</v>
      </c>
      <c r="C45" s="27" t="s">
        <v>41</v>
      </c>
      <c r="D45" s="27"/>
      <c r="E45" s="27"/>
      <c r="F45" s="27"/>
      <c r="G45" s="52" t="s">
        <v>110</v>
      </c>
      <c r="H45" s="15"/>
      <c r="I45" s="36"/>
      <c r="J45" s="42"/>
      <c r="K45" s="42"/>
      <c r="L45" s="42"/>
      <c r="M45" s="42"/>
      <c r="N45" s="24"/>
      <c r="O45" s="24"/>
      <c r="P45" s="41">
        <f t="shared" si="13"/>
        <v>0</v>
      </c>
    </row>
    <row r="46" spans="1:16" s="5" customFormat="1" x14ac:dyDescent="0.2">
      <c r="A46" s="51" t="s">
        <v>42</v>
      </c>
      <c r="B46" s="29" t="s">
        <v>43</v>
      </c>
      <c r="C46" s="27"/>
      <c r="D46" s="27"/>
      <c r="E46" s="27"/>
      <c r="F46" s="27"/>
      <c r="G46" s="49" t="s">
        <v>76</v>
      </c>
      <c r="H46" s="15"/>
      <c r="I46" s="42"/>
      <c r="J46" s="42"/>
      <c r="K46" s="42"/>
      <c r="L46" s="42"/>
      <c r="M46" s="42"/>
      <c r="N46" s="24"/>
      <c r="O46" s="24"/>
      <c r="P46" s="41">
        <f t="shared" si="13"/>
        <v>0</v>
      </c>
    </row>
    <row r="47" spans="1:16" s="5" customFormat="1" x14ac:dyDescent="0.2">
      <c r="A47" s="51" t="s">
        <v>44</v>
      </c>
      <c r="B47" s="29" t="s">
        <v>37</v>
      </c>
      <c r="C47" s="27"/>
      <c r="D47" s="27"/>
      <c r="E47" s="27"/>
      <c r="F47" s="27"/>
      <c r="G47" s="49" t="s">
        <v>77</v>
      </c>
      <c r="H47" s="15"/>
      <c r="I47" s="33">
        <f>I48+I49+I50+I51+I52+I58+I59+I60+I61+I69+I71+I70</f>
        <v>0</v>
      </c>
      <c r="J47" s="42">
        <f t="shared" ref="J47:O47" si="14">J48+J49+J50+J51+J52+J58+J59+J60+J61+J71</f>
        <v>0</v>
      </c>
      <c r="K47" s="42">
        <f t="shared" si="14"/>
        <v>0</v>
      </c>
      <c r="L47" s="42">
        <f t="shared" si="14"/>
        <v>0</v>
      </c>
      <c r="M47" s="42">
        <f t="shared" si="14"/>
        <v>0</v>
      </c>
      <c r="N47" s="33">
        <f t="shared" si="14"/>
        <v>0</v>
      </c>
      <c r="O47" s="33">
        <f t="shared" si="14"/>
        <v>0</v>
      </c>
      <c r="P47" s="11">
        <f t="shared" si="13"/>
        <v>0</v>
      </c>
    </row>
    <row r="48" spans="1:16" s="5" customFormat="1" x14ac:dyDescent="0.2">
      <c r="A48" s="26"/>
      <c r="B48" s="29" t="s">
        <v>45</v>
      </c>
      <c r="C48" s="28" t="s">
        <v>46</v>
      </c>
      <c r="D48" s="27"/>
      <c r="E48" s="27"/>
      <c r="F48" s="27"/>
      <c r="G48" s="52" t="s">
        <v>111</v>
      </c>
      <c r="H48" s="15"/>
      <c r="I48" s="35"/>
      <c r="J48" s="42"/>
      <c r="K48" s="42"/>
      <c r="L48" s="42"/>
      <c r="M48" s="42"/>
      <c r="N48" s="24"/>
      <c r="O48" s="24"/>
      <c r="P48" s="11">
        <f t="shared" si="13"/>
        <v>0</v>
      </c>
    </row>
    <row r="49" spans="1:17" s="5" customFormat="1" x14ac:dyDescent="0.2">
      <c r="A49" s="26"/>
      <c r="B49" s="29" t="s">
        <v>47</v>
      </c>
      <c r="C49" s="28" t="s">
        <v>48</v>
      </c>
      <c r="D49" s="27"/>
      <c r="E49" s="27"/>
      <c r="F49" s="27"/>
      <c r="G49" s="52" t="s">
        <v>112</v>
      </c>
      <c r="H49" s="15"/>
      <c r="I49" s="35"/>
      <c r="J49" s="42"/>
      <c r="K49" s="42"/>
      <c r="L49" s="40"/>
      <c r="M49" s="40"/>
      <c r="N49" s="24"/>
      <c r="O49" s="24"/>
      <c r="P49" s="11">
        <f t="shared" si="13"/>
        <v>0</v>
      </c>
    </row>
    <row r="50" spans="1:17" s="5" customFormat="1" x14ac:dyDescent="0.2">
      <c r="A50" s="26"/>
      <c r="B50" s="27" t="s">
        <v>49</v>
      </c>
      <c r="C50" s="28" t="s">
        <v>50</v>
      </c>
      <c r="D50" s="27"/>
      <c r="E50" s="27"/>
      <c r="F50" s="27"/>
      <c r="G50" s="52" t="s">
        <v>113</v>
      </c>
      <c r="H50" s="15"/>
      <c r="I50" s="35"/>
      <c r="J50" s="42"/>
      <c r="K50" s="42"/>
      <c r="L50" s="43"/>
      <c r="M50" s="43"/>
      <c r="N50" s="24"/>
      <c r="O50" s="24"/>
      <c r="P50" s="11">
        <f t="shared" si="13"/>
        <v>0</v>
      </c>
    </row>
    <row r="51" spans="1:17" s="5" customFormat="1" x14ac:dyDescent="0.2">
      <c r="A51" s="26"/>
      <c r="B51" s="27" t="s">
        <v>51</v>
      </c>
      <c r="C51" s="28" t="s">
        <v>52</v>
      </c>
      <c r="D51" s="27"/>
      <c r="E51" s="27"/>
      <c r="F51" s="27"/>
      <c r="G51" s="52" t="s">
        <v>114</v>
      </c>
      <c r="H51" s="15"/>
      <c r="I51" s="42"/>
      <c r="J51" s="42"/>
      <c r="K51" s="42"/>
      <c r="L51" s="42"/>
      <c r="M51" s="42"/>
      <c r="N51" s="24"/>
      <c r="O51" s="24"/>
      <c r="P51" s="41">
        <f t="shared" si="13"/>
        <v>0</v>
      </c>
    </row>
    <row r="52" spans="1:17" s="5" customFormat="1" x14ac:dyDescent="0.2">
      <c r="A52" s="26"/>
      <c r="B52" s="27" t="s">
        <v>53</v>
      </c>
      <c r="C52" s="54" t="s">
        <v>154</v>
      </c>
      <c r="D52" s="55"/>
      <c r="E52" s="56"/>
      <c r="F52" s="27"/>
      <c r="G52" s="52" t="s">
        <v>148</v>
      </c>
      <c r="H52" s="15"/>
      <c r="I52" s="42"/>
      <c r="J52" s="39"/>
      <c r="K52" s="39"/>
      <c r="L52" s="39"/>
      <c r="M52" s="39"/>
      <c r="N52" s="79">
        <f>N53</f>
        <v>0</v>
      </c>
      <c r="O52" s="79">
        <f>O53</f>
        <v>0</v>
      </c>
      <c r="P52" s="41">
        <f t="shared" si="13"/>
        <v>0</v>
      </c>
    </row>
    <row r="53" spans="1:17" s="5" customFormat="1" x14ac:dyDescent="0.2">
      <c r="A53" s="91"/>
      <c r="B53" s="27"/>
      <c r="C53" s="54"/>
      <c r="D53" s="98" t="s">
        <v>156</v>
      </c>
      <c r="E53" s="56"/>
      <c r="F53" s="27"/>
      <c r="G53" s="52" t="s">
        <v>161</v>
      </c>
      <c r="H53" s="15"/>
      <c r="I53" s="42"/>
      <c r="J53" s="39"/>
      <c r="K53" s="39"/>
      <c r="L53" s="39"/>
      <c r="M53" s="39"/>
      <c r="N53" s="24"/>
      <c r="O53" s="24"/>
      <c r="P53" s="41">
        <f t="shared" si="13"/>
        <v>0</v>
      </c>
    </row>
    <row r="54" spans="1:17" s="5" customFormat="1" x14ac:dyDescent="0.2">
      <c r="A54" s="91"/>
      <c r="B54" s="27"/>
      <c r="C54" s="57"/>
      <c r="D54" s="98" t="s">
        <v>157</v>
      </c>
      <c r="E54" s="56"/>
      <c r="F54" s="27"/>
      <c r="G54" s="52" t="s">
        <v>162</v>
      </c>
      <c r="H54" s="15"/>
      <c r="I54" s="42"/>
      <c r="J54" s="39"/>
      <c r="K54" s="39"/>
      <c r="L54" s="39"/>
      <c r="M54" s="39"/>
      <c r="N54" s="24"/>
      <c r="O54" s="24"/>
      <c r="P54" s="41">
        <f t="shared" si="13"/>
        <v>0</v>
      </c>
    </row>
    <row r="55" spans="1:17" s="5" customFormat="1" x14ac:dyDescent="0.2">
      <c r="A55" s="91"/>
      <c r="B55" s="27"/>
      <c r="C55" s="54" t="s">
        <v>21</v>
      </c>
      <c r="D55" s="58" t="s">
        <v>807</v>
      </c>
      <c r="E55" s="56"/>
      <c r="F55" s="27"/>
      <c r="G55" s="84" t="s">
        <v>816</v>
      </c>
      <c r="H55" s="15"/>
      <c r="I55" s="42"/>
      <c r="J55" s="39"/>
      <c r="K55" s="39"/>
      <c r="L55" s="39"/>
      <c r="M55" s="39"/>
      <c r="N55" s="79">
        <f>N56</f>
        <v>0</v>
      </c>
      <c r="O55" s="79">
        <f>O56</f>
        <v>0</v>
      </c>
      <c r="P55" s="41">
        <f t="shared" si="13"/>
        <v>0</v>
      </c>
    </row>
    <row r="56" spans="1:17" s="5" customFormat="1" x14ac:dyDescent="0.2">
      <c r="A56" s="91"/>
      <c r="B56" s="27"/>
      <c r="C56" s="54"/>
      <c r="D56" s="98" t="s">
        <v>156</v>
      </c>
      <c r="E56" s="56"/>
      <c r="F56" s="27"/>
      <c r="G56" s="84" t="s">
        <v>817</v>
      </c>
      <c r="H56" s="15"/>
      <c r="I56" s="42"/>
      <c r="J56" s="39"/>
      <c r="K56" s="39"/>
      <c r="L56" s="39"/>
      <c r="M56" s="39"/>
      <c r="N56" s="24"/>
      <c r="O56" s="24"/>
      <c r="P56" s="41">
        <f t="shared" si="13"/>
        <v>0</v>
      </c>
    </row>
    <row r="57" spans="1:17" s="5" customFormat="1" x14ac:dyDescent="0.2">
      <c r="A57" s="91"/>
      <c r="B57" s="27"/>
      <c r="C57" s="57"/>
      <c r="D57" s="98" t="s">
        <v>157</v>
      </c>
      <c r="E57" s="56"/>
      <c r="F57" s="27"/>
      <c r="G57" s="84" t="s">
        <v>818</v>
      </c>
      <c r="H57" s="15"/>
      <c r="I57" s="42"/>
      <c r="J57" s="39"/>
      <c r="K57" s="39"/>
      <c r="L57" s="39"/>
      <c r="M57" s="39"/>
      <c r="N57" s="24"/>
      <c r="O57" s="24"/>
      <c r="P57" s="41">
        <f t="shared" si="13"/>
        <v>0</v>
      </c>
    </row>
    <row r="58" spans="1:17" s="5" customFormat="1" x14ac:dyDescent="0.2">
      <c r="A58" s="26"/>
      <c r="B58" s="27" t="s">
        <v>55</v>
      </c>
      <c r="C58" s="28" t="s">
        <v>56</v>
      </c>
      <c r="D58" s="27"/>
      <c r="E58" s="27"/>
      <c r="F58" s="27"/>
      <c r="G58" s="52" t="s">
        <v>116</v>
      </c>
      <c r="H58" s="15"/>
      <c r="I58" s="35"/>
      <c r="J58" s="39"/>
      <c r="K58" s="39"/>
      <c r="L58" s="42"/>
      <c r="M58" s="42"/>
      <c r="N58" s="24"/>
      <c r="O58" s="24"/>
      <c r="P58" s="11">
        <f t="shared" si="13"/>
        <v>0</v>
      </c>
    </row>
    <row r="59" spans="1:17" s="5" customFormat="1" x14ac:dyDescent="0.2">
      <c r="A59" s="26"/>
      <c r="B59" s="27" t="s">
        <v>57</v>
      </c>
      <c r="C59" s="28" t="s">
        <v>58</v>
      </c>
      <c r="D59" s="27"/>
      <c r="E59" s="27"/>
      <c r="F59" s="27"/>
      <c r="G59" s="52" t="s">
        <v>117</v>
      </c>
      <c r="H59" s="15"/>
      <c r="I59" s="35"/>
      <c r="J59" s="42"/>
      <c r="K59" s="42"/>
      <c r="L59" s="42"/>
      <c r="M59" s="42"/>
      <c r="N59" s="24"/>
      <c r="O59" s="24"/>
      <c r="P59" s="11">
        <f t="shared" si="13"/>
        <v>0</v>
      </c>
    </row>
    <row r="60" spans="1:17" s="5" customFormat="1" x14ac:dyDescent="0.2">
      <c r="A60" s="26"/>
      <c r="B60" s="27" t="s">
        <v>59</v>
      </c>
      <c r="C60" s="27" t="s">
        <v>60</v>
      </c>
      <c r="D60" s="27"/>
      <c r="E60" s="27"/>
      <c r="F60" s="27"/>
      <c r="G60" s="52" t="s">
        <v>118</v>
      </c>
      <c r="H60" s="15"/>
      <c r="I60" s="35"/>
      <c r="J60" s="42"/>
      <c r="K60" s="42"/>
      <c r="L60" s="42"/>
      <c r="M60" s="42"/>
      <c r="N60" s="24"/>
      <c r="O60" s="24"/>
      <c r="P60" s="11">
        <f t="shared" si="13"/>
        <v>0</v>
      </c>
    </row>
    <row r="61" spans="1:17" s="5" customFormat="1" x14ac:dyDescent="0.2">
      <c r="A61" s="26"/>
      <c r="B61" s="27" t="s">
        <v>61</v>
      </c>
      <c r="C61" s="28" t="s">
        <v>54</v>
      </c>
      <c r="D61" s="27"/>
      <c r="E61" s="27"/>
      <c r="F61" s="27"/>
      <c r="G61" s="52" t="s">
        <v>115</v>
      </c>
      <c r="H61" s="15"/>
      <c r="I61" s="35"/>
      <c r="J61" s="39"/>
      <c r="K61" s="39"/>
      <c r="L61" s="42"/>
      <c r="M61" s="42"/>
      <c r="N61" s="35"/>
      <c r="O61" s="35"/>
      <c r="P61" s="11">
        <f t="shared" si="13"/>
        <v>0</v>
      </c>
    </row>
    <row r="62" spans="1:17" s="5" customFormat="1" x14ac:dyDescent="0.2">
      <c r="A62" s="26"/>
      <c r="B62" s="27"/>
      <c r="C62" s="59" t="s">
        <v>21</v>
      </c>
      <c r="D62" s="54" t="s">
        <v>155</v>
      </c>
      <c r="E62" s="55"/>
      <c r="F62" s="27"/>
      <c r="G62" s="52" t="s">
        <v>169</v>
      </c>
      <c r="H62" s="15"/>
      <c r="I62" s="42"/>
      <c r="J62" s="39"/>
      <c r="K62" s="39"/>
      <c r="L62" s="42"/>
      <c r="M62" s="42"/>
      <c r="N62" s="35"/>
      <c r="O62" s="35"/>
      <c r="P62" s="41">
        <f t="shared" si="13"/>
        <v>0</v>
      </c>
    </row>
    <row r="63" spans="1:17" s="5" customFormat="1" x14ac:dyDescent="0.2">
      <c r="A63" s="26"/>
      <c r="B63" s="27"/>
      <c r="C63" s="28"/>
      <c r="D63" s="60" t="s">
        <v>156</v>
      </c>
      <c r="E63" s="61"/>
      <c r="F63" s="62"/>
      <c r="G63" s="63" t="s">
        <v>163</v>
      </c>
      <c r="H63" s="15"/>
      <c r="I63" s="42"/>
      <c r="J63" s="39"/>
      <c r="K63" s="39"/>
      <c r="L63" s="42"/>
      <c r="M63" s="42"/>
      <c r="N63" s="24"/>
      <c r="O63" s="24"/>
      <c r="P63" s="41">
        <f t="shared" si="13"/>
        <v>0</v>
      </c>
    </row>
    <row r="64" spans="1:17" s="5" customFormat="1" x14ac:dyDescent="0.2">
      <c r="A64" s="26"/>
      <c r="B64" s="27"/>
      <c r="C64" s="28"/>
      <c r="D64" s="60" t="s">
        <v>157</v>
      </c>
      <c r="E64" s="61"/>
      <c r="F64" s="62"/>
      <c r="G64" s="63" t="s">
        <v>164</v>
      </c>
      <c r="H64" s="15"/>
      <c r="I64" s="42"/>
      <c r="J64" s="39"/>
      <c r="K64" s="39"/>
      <c r="L64" s="42"/>
      <c r="M64" s="42"/>
      <c r="N64" s="24"/>
      <c r="O64" s="24"/>
      <c r="P64" s="41">
        <f t="shared" si="13"/>
        <v>0</v>
      </c>
      <c r="Q64" s="7"/>
    </row>
    <row r="65" spans="1:17" s="5" customFormat="1" ht="22.5" x14ac:dyDescent="0.2">
      <c r="A65" s="80"/>
      <c r="B65" s="81"/>
      <c r="C65" s="89" t="s">
        <v>797</v>
      </c>
      <c r="D65" s="90" t="s">
        <v>798</v>
      </c>
      <c r="E65" s="82"/>
      <c r="F65" s="83"/>
      <c r="G65" s="84" t="s">
        <v>811</v>
      </c>
      <c r="H65" s="15"/>
      <c r="I65" s="42"/>
      <c r="J65" s="39"/>
      <c r="K65" s="39"/>
      <c r="L65" s="42"/>
      <c r="M65" s="42"/>
      <c r="N65" s="24"/>
      <c r="O65" s="24"/>
      <c r="P65" s="41">
        <f>I65+K65+M65+O65</f>
        <v>0</v>
      </c>
      <c r="Q65" s="7"/>
    </row>
    <row r="66" spans="1:17" s="5" customFormat="1" x14ac:dyDescent="0.2">
      <c r="A66" s="80"/>
      <c r="B66" s="85"/>
      <c r="C66" s="96"/>
      <c r="D66" s="86" t="s">
        <v>156</v>
      </c>
      <c r="E66" s="83"/>
      <c r="F66" s="83"/>
      <c r="G66" s="84" t="s">
        <v>812</v>
      </c>
      <c r="H66" s="15"/>
      <c r="I66" s="42"/>
      <c r="J66" s="39"/>
      <c r="K66" s="39"/>
      <c r="L66" s="42"/>
      <c r="M66" s="42"/>
      <c r="N66" s="24"/>
      <c r="O66" s="24"/>
      <c r="P66" s="41">
        <f>I66+K66+M66+O66</f>
        <v>0</v>
      </c>
      <c r="Q66" s="7"/>
    </row>
    <row r="67" spans="1:17" s="5" customFormat="1" x14ac:dyDescent="0.2">
      <c r="A67" s="80"/>
      <c r="B67" s="85"/>
      <c r="C67" s="96"/>
      <c r="D67" s="87" t="s">
        <v>157</v>
      </c>
      <c r="E67" s="83"/>
      <c r="F67" s="83"/>
      <c r="G67" s="84" t="s">
        <v>813</v>
      </c>
      <c r="H67" s="15"/>
      <c r="I67" s="42"/>
      <c r="J67" s="39"/>
      <c r="K67" s="39"/>
      <c r="L67" s="42"/>
      <c r="M67" s="42"/>
      <c r="N67" s="24"/>
      <c r="O67" s="24"/>
      <c r="P67" s="41">
        <f>I67+K67+M67+O67</f>
        <v>0</v>
      </c>
      <c r="Q67" s="7"/>
    </row>
    <row r="68" spans="1:17" s="5" customFormat="1" x14ac:dyDescent="0.2">
      <c r="A68" s="80"/>
      <c r="B68" s="81"/>
      <c r="C68" s="89" t="s">
        <v>802</v>
      </c>
      <c r="D68" s="88"/>
      <c r="E68" s="82"/>
      <c r="F68" s="83"/>
      <c r="G68" s="84" t="s">
        <v>814</v>
      </c>
      <c r="H68" s="15"/>
      <c r="I68" s="35"/>
      <c r="J68" s="39"/>
      <c r="K68" s="39"/>
      <c r="L68" s="42"/>
      <c r="M68" s="42"/>
      <c r="N68" s="78"/>
      <c r="O68" s="78"/>
      <c r="P68" s="79">
        <f t="shared" si="13"/>
        <v>0</v>
      </c>
      <c r="Q68" s="7"/>
    </row>
    <row r="69" spans="1:17" s="5" customFormat="1" x14ac:dyDescent="0.2">
      <c r="A69" s="80"/>
      <c r="B69" s="89" t="s">
        <v>145</v>
      </c>
      <c r="C69" s="89" t="s">
        <v>804</v>
      </c>
      <c r="D69" s="95"/>
      <c r="E69" s="83"/>
      <c r="F69" s="83"/>
      <c r="G69" s="94" t="s">
        <v>815</v>
      </c>
      <c r="H69" s="15"/>
      <c r="I69" s="35"/>
      <c r="J69" s="39"/>
      <c r="K69" s="39"/>
      <c r="L69" s="42"/>
      <c r="M69" s="42"/>
      <c r="N69" s="78"/>
      <c r="O69" s="78"/>
      <c r="P69" s="79">
        <f t="shared" si="13"/>
        <v>0</v>
      </c>
      <c r="Q69" s="7"/>
    </row>
    <row r="70" spans="1:17" s="5" customFormat="1" x14ac:dyDescent="0.2">
      <c r="A70" s="80"/>
      <c r="B70" s="89" t="s">
        <v>806</v>
      </c>
      <c r="C70" s="89" t="s">
        <v>1015</v>
      </c>
      <c r="D70" s="95"/>
      <c r="E70" s="83"/>
      <c r="F70" s="83"/>
      <c r="G70" s="94" t="s">
        <v>1014</v>
      </c>
      <c r="H70" s="15"/>
      <c r="I70" s="35"/>
      <c r="J70" s="39"/>
      <c r="K70" s="39"/>
      <c r="L70" s="42"/>
      <c r="M70" s="42"/>
      <c r="N70" s="78"/>
      <c r="O70" s="78"/>
      <c r="P70" s="79">
        <f t="shared" si="13"/>
        <v>0</v>
      </c>
      <c r="Q70" s="7"/>
    </row>
    <row r="71" spans="1:17" s="5" customFormat="1" x14ac:dyDescent="0.2">
      <c r="A71" s="26"/>
      <c r="B71" s="27" t="s">
        <v>1013</v>
      </c>
      <c r="C71" s="28" t="s">
        <v>62</v>
      </c>
      <c r="D71" s="55"/>
      <c r="E71" s="27"/>
      <c r="F71" s="27"/>
      <c r="G71" s="52" t="s">
        <v>119</v>
      </c>
      <c r="H71" s="17" t="s">
        <v>137</v>
      </c>
      <c r="I71" s="33">
        <f t="shared" ref="I71:O71" si="15">SUM(I72:I74)</f>
        <v>0</v>
      </c>
      <c r="J71" s="42">
        <f t="shared" si="15"/>
        <v>0</v>
      </c>
      <c r="K71" s="42">
        <f t="shared" si="15"/>
        <v>0</v>
      </c>
      <c r="L71" s="42">
        <f t="shared" si="15"/>
        <v>0</v>
      </c>
      <c r="M71" s="42">
        <f t="shared" si="15"/>
        <v>0</v>
      </c>
      <c r="N71" s="25">
        <f t="shared" si="15"/>
        <v>0</v>
      </c>
      <c r="O71" s="25">
        <f t="shared" si="15"/>
        <v>0</v>
      </c>
      <c r="P71" s="11">
        <f t="shared" si="13"/>
        <v>0</v>
      </c>
    </row>
    <row r="72" spans="1:17" s="5" customFormat="1" x14ac:dyDescent="0.2">
      <c r="A72" s="26"/>
      <c r="B72" s="27"/>
      <c r="C72" s="64" t="s">
        <v>86</v>
      </c>
      <c r="D72" s="18"/>
      <c r="E72" s="27"/>
      <c r="F72" s="27"/>
      <c r="G72" s="53"/>
      <c r="H72" s="15">
        <v>1</v>
      </c>
      <c r="I72" s="35"/>
      <c r="J72" s="42"/>
      <c r="K72" s="42"/>
      <c r="L72" s="42"/>
      <c r="M72" s="42"/>
      <c r="N72" s="24"/>
      <c r="O72" s="24"/>
      <c r="P72" s="33">
        <f t="shared" si="13"/>
        <v>0</v>
      </c>
    </row>
    <row r="73" spans="1:17" s="5" customFormat="1" x14ac:dyDescent="0.2">
      <c r="A73" s="26"/>
      <c r="B73" s="27"/>
      <c r="C73" s="28"/>
      <c r="D73" s="27"/>
      <c r="E73" s="27"/>
      <c r="F73" s="27"/>
      <c r="G73" s="53"/>
      <c r="H73" s="31" t="str">
        <f>CHAR(132)</f>
        <v>„</v>
      </c>
      <c r="I73" s="38"/>
      <c r="J73" s="42"/>
      <c r="K73" s="42"/>
      <c r="L73" s="42"/>
      <c r="M73" s="42"/>
      <c r="N73" s="34"/>
      <c r="O73" s="34"/>
      <c r="P73" s="11"/>
    </row>
    <row r="74" spans="1:17" s="5" customFormat="1" x14ac:dyDescent="0.2">
      <c r="A74" s="26"/>
      <c r="B74" s="29"/>
      <c r="C74" s="27"/>
      <c r="D74" s="27"/>
      <c r="E74" s="27"/>
      <c r="F74" s="27"/>
      <c r="G74" s="53"/>
      <c r="H74" s="30"/>
      <c r="I74" s="38"/>
      <c r="J74" s="42"/>
      <c r="K74" s="42"/>
      <c r="L74" s="42"/>
      <c r="M74" s="42"/>
      <c r="N74" s="34"/>
      <c r="O74" s="34"/>
      <c r="P74" s="11"/>
    </row>
    <row r="75" spans="1:17" s="5" customFormat="1" x14ac:dyDescent="0.2">
      <c r="A75" s="48" t="s">
        <v>63</v>
      </c>
      <c r="B75" s="29"/>
      <c r="C75" s="27"/>
      <c r="D75" s="27"/>
      <c r="E75" s="27"/>
      <c r="F75" s="27"/>
      <c r="G75" s="49" t="s">
        <v>78</v>
      </c>
      <c r="H75" s="15"/>
      <c r="I75" s="25">
        <f t="shared" ref="I75:O75" si="16" xml:space="preserve"> (I76 + I77 + I78 + I79+I84 + I91 + I94 + I95)</f>
        <v>0</v>
      </c>
      <c r="J75" s="42">
        <f t="shared" si="16"/>
        <v>0</v>
      </c>
      <c r="K75" s="42">
        <f t="shared" si="16"/>
        <v>0</v>
      </c>
      <c r="L75" s="42">
        <f t="shared" si="16"/>
        <v>0</v>
      </c>
      <c r="M75" s="42">
        <f t="shared" si="16"/>
        <v>0</v>
      </c>
      <c r="N75" s="25">
        <f t="shared" si="16"/>
        <v>0</v>
      </c>
      <c r="O75" s="25">
        <f t="shared" si="16"/>
        <v>0</v>
      </c>
      <c r="P75" s="11">
        <f t="shared" ref="P75:P86" si="17">I75+K75+M75+O75</f>
        <v>0</v>
      </c>
    </row>
    <row r="76" spans="1:17" s="5" customFormat="1" x14ac:dyDescent="0.2">
      <c r="A76" s="51" t="s">
        <v>8</v>
      </c>
      <c r="B76" s="29" t="s">
        <v>9</v>
      </c>
      <c r="C76" s="27"/>
      <c r="D76" s="27"/>
      <c r="E76" s="27"/>
      <c r="F76" s="27"/>
      <c r="G76" s="49" t="s">
        <v>79</v>
      </c>
      <c r="H76" s="15"/>
      <c r="I76" s="41"/>
      <c r="J76" s="42"/>
      <c r="K76" s="42"/>
      <c r="L76" s="42"/>
      <c r="M76" s="42"/>
      <c r="N76" s="24"/>
      <c r="O76" s="24"/>
      <c r="P76" s="41">
        <f t="shared" si="17"/>
        <v>0</v>
      </c>
    </row>
    <row r="77" spans="1:17" s="5" customFormat="1" x14ac:dyDescent="0.2">
      <c r="A77" s="51" t="s">
        <v>10</v>
      </c>
      <c r="B77" s="29" t="s">
        <v>89</v>
      </c>
      <c r="C77" s="27"/>
      <c r="D77" s="27"/>
      <c r="E77" s="27"/>
      <c r="F77" s="27"/>
      <c r="G77" s="52" t="s">
        <v>120</v>
      </c>
      <c r="H77" s="15"/>
      <c r="I77" s="36"/>
      <c r="J77" s="42"/>
      <c r="K77" s="42"/>
      <c r="L77" s="42"/>
      <c r="M77" s="42"/>
      <c r="N77" s="24"/>
      <c r="O77" s="24"/>
      <c r="P77" s="41">
        <f t="shared" si="17"/>
        <v>0</v>
      </c>
    </row>
    <row r="78" spans="1:17" s="5" customFormat="1" x14ac:dyDescent="0.2">
      <c r="A78" s="51" t="s">
        <v>16</v>
      </c>
      <c r="B78" s="29" t="s">
        <v>90</v>
      </c>
      <c r="C78" s="27"/>
      <c r="D78" s="27"/>
      <c r="E78" s="27"/>
      <c r="F78" s="27"/>
      <c r="G78" s="52" t="s">
        <v>121</v>
      </c>
      <c r="H78" s="15"/>
      <c r="I78" s="36"/>
      <c r="J78" s="42"/>
      <c r="K78" s="42"/>
      <c r="L78" s="42"/>
      <c r="M78" s="42"/>
      <c r="N78" s="24"/>
      <c r="O78" s="24"/>
      <c r="P78" s="41">
        <f t="shared" si="17"/>
        <v>0</v>
      </c>
    </row>
    <row r="79" spans="1:17" s="5" customFormat="1" x14ac:dyDescent="0.2">
      <c r="A79" s="65" t="s">
        <v>18</v>
      </c>
      <c r="B79" s="66" t="s">
        <v>19</v>
      </c>
      <c r="C79" s="62"/>
      <c r="D79" s="62"/>
      <c r="E79" s="62"/>
      <c r="F79" s="62"/>
      <c r="G79" s="63" t="s">
        <v>146</v>
      </c>
      <c r="H79" s="15"/>
      <c r="I79" s="36"/>
      <c r="J79" s="41">
        <f t="shared" ref="J79:O79" si="18">SUM(J80:J83)</f>
        <v>0</v>
      </c>
      <c r="K79" s="41">
        <f t="shared" si="18"/>
        <v>0</v>
      </c>
      <c r="L79" s="41">
        <f t="shared" si="18"/>
        <v>0</v>
      </c>
      <c r="M79" s="41">
        <f t="shared" si="18"/>
        <v>0</v>
      </c>
      <c r="N79" s="11">
        <f t="shared" si="18"/>
        <v>0</v>
      </c>
      <c r="O79" s="11">
        <f t="shared" si="18"/>
        <v>0</v>
      </c>
      <c r="P79" s="41">
        <f t="shared" si="17"/>
        <v>0</v>
      </c>
    </row>
    <row r="80" spans="1:17" s="5" customFormat="1" x14ac:dyDescent="0.2">
      <c r="A80" s="65"/>
      <c r="B80" s="66" t="s">
        <v>12</v>
      </c>
      <c r="C80" s="62" t="s">
        <v>149</v>
      </c>
      <c r="D80" s="62"/>
      <c r="E80" s="62"/>
      <c r="F80" s="62"/>
      <c r="G80" s="63" t="s">
        <v>147</v>
      </c>
      <c r="H80" s="15"/>
      <c r="I80" s="36"/>
      <c r="J80" s="42"/>
      <c r="K80" s="42"/>
      <c r="L80" s="42"/>
      <c r="M80" s="42"/>
      <c r="N80" s="35"/>
      <c r="O80" s="35"/>
      <c r="P80" s="41">
        <f t="shared" si="17"/>
        <v>0</v>
      </c>
    </row>
    <row r="81" spans="1:16" s="5" customFormat="1" x14ac:dyDescent="0.2">
      <c r="A81" s="65"/>
      <c r="B81" s="66" t="s">
        <v>14</v>
      </c>
      <c r="C81" s="62" t="s">
        <v>150</v>
      </c>
      <c r="D81" s="62"/>
      <c r="E81" s="62"/>
      <c r="F81" s="62"/>
      <c r="G81" s="63" t="s">
        <v>158</v>
      </c>
      <c r="H81" s="15"/>
      <c r="I81" s="36"/>
      <c r="J81" s="42"/>
      <c r="K81" s="42"/>
      <c r="L81" s="42"/>
      <c r="M81" s="42"/>
      <c r="N81" s="35"/>
      <c r="O81" s="35"/>
      <c r="P81" s="41">
        <f t="shared" si="17"/>
        <v>0</v>
      </c>
    </row>
    <row r="82" spans="1:16" s="5" customFormat="1" x14ac:dyDescent="0.2">
      <c r="A82" s="65"/>
      <c r="B82" s="66" t="s">
        <v>24</v>
      </c>
      <c r="C82" s="62" t="s">
        <v>151</v>
      </c>
      <c r="D82" s="62"/>
      <c r="E82" s="62"/>
      <c r="F82" s="62"/>
      <c r="G82" s="63" t="s">
        <v>159</v>
      </c>
      <c r="H82" s="15"/>
      <c r="I82" s="36"/>
      <c r="J82" s="42"/>
      <c r="K82" s="42"/>
      <c r="L82" s="42"/>
      <c r="M82" s="42"/>
      <c r="N82" s="35"/>
      <c r="O82" s="35"/>
      <c r="P82" s="41">
        <f t="shared" si="17"/>
        <v>0</v>
      </c>
    </row>
    <row r="83" spans="1:16" s="5" customFormat="1" x14ac:dyDescent="0.2">
      <c r="A83" s="65"/>
      <c r="B83" s="66" t="s">
        <v>26</v>
      </c>
      <c r="C83" s="62" t="s">
        <v>152</v>
      </c>
      <c r="D83" s="62"/>
      <c r="E83" s="62"/>
      <c r="F83" s="62"/>
      <c r="G83" s="63" t="s">
        <v>160</v>
      </c>
      <c r="H83" s="15"/>
      <c r="I83" s="36"/>
      <c r="J83" s="42"/>
      <c r="K83" s="42"/>
      <c r="L83" s="42"/>
      <c r="M83" s="42"/>
      <c r="N83" s="35"/>
      <c r="O83" s="35"/>
      <c r="P83" s="41">
        <f t="shared" si="17"/>
        <v>0</v>
      </c>
    </row>
    <row r="84" spans="1:16" s="5" customFormat="1" x14ac:dyDescent="0.2">
      <c r="A84" s="51" t="s">
        <v>28</v>
      </c>
      <c r="B84" s="29" t="s">
        <v>32</v>
      </c>
      <c r="C84" s="27"/>
      <c r="D84" s="27"/>
      <c r="E84" s="27"/>
      <c r="F84" s="27"/>
      <c r="G84" s="49" t="s">
        <v>80</v>
      </c>
      <c r="H84" s="15"/>
      <c r="I84" s="37"/>
      <c r="J84" s="42">
        <f t="shared" ref="J84:O84" si="19" xml:space="preserve"> (J85 + J86 + J88 +J89)</f>
        <v>0</v>
      </c>
      <c r="K84" s="42">
        <f t="shared" si="19"/>
        <v>0</v>
      </c>
      <c r="L84" s="42">
        <f t="shared" si="19"/>
        <v>0</v>
      </c>
      <c r="M84" s="42">
        <f t="shared" si="19"/>
        <v>0</v>
      </c>
      <c r="N84" s="25">
        <f t="shared" si="19"/>
        <v>0</v>
      </c>
      <c r="O84" s="25">
        <f t="shared" si="19"/>
        <v>0</v>
      </c>
      <c r="P84" s="41">
        <f t="shared" si="17"/>
        <v>0</v>
      </c>
    </row>
    <row r="85" spans="1:16" s="5" customFormat="1" x14ac:dyDescent="0.2">
      <c r="A85" s="51"/>
      <c r="B85" s="29" t="s">
        <v>12</v>
      </c>
      <c r="C85" s="28" t="s">
        <v>33</v>
      </c>
      <c r="D85" s="27"/>
      <c r="E85" s="27"/>
      <c r="F85" s="27"/>
      <c r="G85" s="52" t="s">
        <v>122</v>
      </c>
      <c r="H85" s="15"/>
      <c r="I85" s="36"/>
      <c r="J85" s="42"/>
      <c r="K85" s="42"/>
      <c r="L85" s="36"/>
      <c r="M85" s="36"/>
      <c r="N85" s="24"/>
      <c r="O85" s="24"/>
      <c r="P85" s="41">
        <f t="shared" si="17"/>
        <v>0</v>
      </c>
    </row>
    <row r="86" spans="1:16" s="5" customFormat="1" x14ac:dyDescent="0.2">
      <c r="A86" s="51"/>
      <c r="B86" s="29" t="s">
        <v>14</v>
      </c>
      <c r="C86" s="28" t="s">
        <v>34</v>
      </c>
      <c r="D86" s="27"/>
      <c r="E86" s="27"/>
      <c r="F86" s="27"/>
      <c r="G86" s="52" t="s">
        <v>123</v>
      </c>
      <c r="H86" s="15"/>
      <c r="I86" s="36"/>
      <c r="J86" s="42"/>
      <c r="K86" s="42"/>
      <c r="L86" s="39"/>
      <c r="M86" s="39"/>
      <c r="N86" s="24"/>
      <c r="O86" s="24"/>
      <c r="P86" s="41">
        <f t="shared" si="17"/>
        <v>0</v>
      </c>
    </row>
    <row r="87" spans="1:16" s="5" customFormat="1" x14ac:dyDescent="0.2">
      <c r="A87" s="51"/>
      <c r="B87" s="29"/>
      <c r="C87" s="28" t="s">
        <v>35</v>
      </c>
      <c r="D87" s="27"/>
      <c r="E87" s="27"/>
      <c r="F87" s="27"/>
      <c r="G87" s="53"/>
      <c r="H87" s="15"/>
      <c r="I87" s="36"/>
      <c r="J87" s="42"/>
      <c r="K87" s="42"/>
      <c r="L87" s="42"/>
      <c r="M87" s="42"/>
      <c r="N87" s="34"/>
      <c r="O87" s="34"/>
      <c r="P87" s="41"/>
    </row>
    <row r="88" spans="1:16" s="5" customFormat="1" x14ac:dyDescent="0.2">
      <c r="A88" s="51"/>
      <c r="B88" s="29" t="s">
        <v>24</v>
      </c>
      <c r="C88" s="28" t="s">
        <v>36</v>
      </c>
      <c r="D88" s="27"/>
      <c r="E88" s="27"/>
      <c r="F88" s="27"/>
      <c r="G88" s="52" t="s">
        <v>124</v>
      </c>
      <c r="H88" s="15"/>
      <c r="I88" s="36"/>
      <c r="J88" s="42"/>
      <c r="K88" s="42"/>
      <c r="L88" s="42"/>
      <c r="M88" s="42"/>
      <c r="N88" s="24"/>
      <c r="O88" s="24"/>
      <c r="P88" s="41">
        <f t="shared" ref="P88:P119" si="20">I88+K88+M88+O88</f>
        <v>0</v>
      </c>
    </row>
    <row r="89" spans="1:16" s="5" customFormat="1" x14ac:dyDescent="0.2">
      <c r="A89" s="26"/>
      <c r="B89" s="29" t="s">
        <v>26</v>
      </c>
      <c r="C89" s="28" t="s">
        <v>796</v>
      </c>
      <c r="D89" s="27"/>
      <c r="E89" s="27"/>
      <c r="F89" s="27"/>
      <c r="G89" s="76" t="s">
        <v>125</v>
      </c>
      <c r="H89" s="17"/>
      <c r="I89" s="36"/>
      <c r="J89" s="42">
        <f t="shared" ref="J89:O89" si="21">SUM(J90:J90)</f>
        <v>0</v>
      </c>
      <c r="K89" s="42">
        <f t="shared" si="21"/>
        <v>0</v>
      </c>
      <c r="L89" s="42">
        <f t="shared" si="21"/>
        <v>0</v>
      </c>
      <c r="M89" s="42">
        <f t="shared" si="21"/>
        <v>0</v>
      </c>
      <c r="N89" s="25">
        <f t="shared" si="21"/>
        <v>0</v>
      </c>
      <c r="O89" s="25">
        <f t="shared" si="21"/>
        <v>0</v>
      </c>
      <c r="P89" s="75">
        <f t="shared" si="20"/>
        <v>0</v>
      </c>
    </row>
    <row r="90" spans="1:16" s="5" customFormat="1" x14ac:dyDescent="0.2">
      <c r="A90" s="26"/>
      <c r="B90" s="27"/>
      <c r="C90" s="64" t="s">
        <v>86</v>
      </c>
      <c r="D90" s="27"/>
      <c r="E90" s="27"/>
      <c r="F90" s="27"/>
      <c r="G90" s="53"/>
      <c r="H90" s="15"/>
      <c r="I90" s="36"/>
      <c r="J90" s="42"/>
      <c r="K90" s="42"/>
      <c r="L90" s="42"/>
      <c r="M90" s="42"/>
      <c r="N90" s="24"/>
      <c r="O90" s="24"/>
      <c r="P90" s="41">
        <f t="shared" si="20"/>
        <v>0</v>
      </c>
    </row>
    <row r="91" spans="1:16" s="5" customFormat="1" x14ac:dyDescent="0.2">
      <c r="A91" s="51" t="s">
        <v>31</v>
      </c>
      <c r="B91" s="29" t="s">
        <v>39</v>
      </c>
      <c r="C91" s="27"/>
      <c r="D91" s="27"/>
      <c r="E91" s="27"/>
      <c r="F91" s="27"/>
      <c r="G91" s="49" t="s">
        <v>81</v>
      </c>
      <c r="H91" s="15"/>
      <c r="I91" s="37"/>
      <c r="J91" s="42">
        <f t="shared" ref="J91:O91" si="22" xml:space="preserve"> (J92 + J93)</f>
        <v>0</v>
      </c>
      <c r="K91" s="42">
        <f t="shared" si="22"/>
        <v>0</v>
      </c>
      <c r="L91" s="42">
        <f t="shared" si="22"/>
        <v>0</v>
      </c>
      <c r="M91" s="42">
        <f t="shared" si="22"/>
        <v>0</v>
      </c>
      <c r="N91" s="25">
        <f t="shared" si="22"/>
        <v>0</v>
      </c>
      <c r="O91" s="25">
        <f t="shared" si="22"/>
        <v>0</v>
      </c>
      <c r="P91" s="41">
        <f t="shared" si="20"/>
        <v>0</v>
      </c>
    </row>
    <row r="92" spans="1:16" s="5" customFormat="1" x14ac:dyDescent="0.2">
      <c r="A92" s="51"/>
      <c r="B92" s="29" t="s">
        <v>12</v>
      </c>
      <c r="C92" s="27" t="s">
        <v>40</v>
      </c>
      <c r="D92" s="27"/>
      <c r="E92" s="27"/>
      <c r="F92" s="27"/>
      <c r="G92" s="52" t="s">
        <v>126</v>
      </c>
      <c r="H92" s="15"/>
      <c r="I92" s="36"/>
      <c r="J92" s="42"/>
      <c r="K92" s="42"/>
      <c r="L92" s="42"/>
      <c r="M92" s="42"/>
      <c r="N92" s="24"/>
      <c r="O92" s="24"/>
      <c r="P92" s="41">
        <f t="shared" si="20"/>
        <v>0</v>
      </c>
    </row>
    <row r="93" spans="1:16" s="5" customFormat="1" x14ac:dyDescent="0.2">
      <c r="A93" s="51"/>
      <c r="B93" s="29" t="s">
        <v>14</v>
      </c>
      <c r="C93" s="27" t="s">
        <v>41</v>
      </c>
      <c r="D93" s="27"/>
      <c r="E93" s="27"/>
      <c r="F93" s="27"/>
      <c r="G93" s="52" t="s">
        <v>127</v>
      </c>
      <c r="H93" s="15"/>
      <c r="I93" s="36"/>
      <c r="J93" s="42"/>
      <c r="K93" s="42"/>
      <c r="L93" s="42"/>
      <c r="M93" s="42"/>
      <c r="N93" s="24"/>
      <c r="O93" s="24"/>
      <c r="P93" s="41">
        <f t="shared" si="20"/>
        <v>0</v>
      </c>
    </row>
    <row r="94" spans="1:16" s="5" customFormat="1" x14ac:dyDescent="0.2">
      <c r="A94" s="51" t="s">
        <v>38</v>
      </c>
      <c r="B94" s="29" t="s">
        <v>43</v>
      </c>
      <c r="C94" s="27"/>
      <c r="D94" s="27"/>
      <c r="E94" s="27"/>
      <c r="F94" s="27"/>
      <c r="G94" s="52" t="s">
        <v>82</v>
      </c>
      <c r="H94" s="15"/>
      <c r="I94" s="42"/>
      <c r="J94" s="42"/>
      <c r="K94" s="42"/>
      <c r="L94" s="42"/>
      <c r="M94" s="42"/>
      <c r="N94" s="24"/>
      <c r="O94" s="24"/>
      <c r="P94" s="41">
        <f t="shared" si="20"/>
        <v>0</v>
      </c>
    </row>
    <row r="95" spans="1:16" s="5" customFormat="1" x14ac:dyDescent="0.2">
      <c r="A95" s="51" t="s">
        <v>42</v>
      </c>
      <c r="B95" s="29" t="s">
        <v>37</v>
      </c>
      <c r="C95" s="27"/>
      <c r="D95" s="27"/>
      <c r="E95" s="27"/>
      <c r="F95" s="27"/>
      <c r="G95" s="52" t="s">
        <v>83</v>
      </c>
      <c r="H95" s="15"/>
      <c r="I95" s="33">
        <f xml:space="preserve"> (I96 + I97 + I98 + I99 + I100 +I106+I107+I108+I109+I117+ I118)</f>
        <v>0</v>
      </c>
      <c r="J95" s="42">
        <f t="shared" ref="J95:O95" si="23" xml:space="preserve"> (J96 + J97 + J98 + J99 + J100 +J106+J107+J108+J109+ J118)</f>
        <v>0</v>
      </c>
      <c r="K95" s="42">
        <f t="shared" si="23"/>
        <v>0</v>
      </c>
      <c r="L95" s="42">
        <f t="shared" si="23"/>
        <v>0</v>
      </c>
      <c r="M95" s="42">
        <f t="shared" si="23"/>
        <v>0</v>
      </c>
      <c r="N95" s="33">
        <f t="shared" si="23"/>
        <v>0</v>
      </c>
      <c r="O95" s="33">
        <f t="shared" si="23"/>
        <v>0</v>
      </c>
      <c r="P95" s="11">
        <f t="shared" si="20"/>
        <v>0</v>
      </c>
    </row>
    <row r="96" spans="1:16" s="5" customFormat="1" x14ac:dyDescent="0.2">
      <c r="A96" s="26"/>
      <c r="B96" s="29" t="s">
        <v>45</v>
      </c>
      <c r="C96" s="28" t="s">
        <v>46</v>
      </c>
      <c r="D96" s="27"/>
      <c r="E96" s="27"/>
      <c r="F96" s="27"/>
      <c r="G96" s="52" t="s">
        <v>128</v>
      </c>
      <c r="H96" s="15"/>
      <c r="I96" s="36"/>
      <c r="J96" s="42"/>
      <c r="K96" s="42"/>
      <c r="L96" s="42"/>
      <c r="M96" s="42"/>
      <c r="N96" s="24"/>
      <c r="O96" s="24"/>
      <c r="P96" s="41">
        <f t="shared" si="20"/>
        <v>0</v>
      </c>
    </row>
    <row r="97" spans="1:17" s="5" customFormat="1" x14ac:dyDescent="0.2">
      <c r="A97" s="26"/>
      <c r="B97" s="29" t="s">
        <v>47</v>
      </c>
      <c r="C97" s="28" t="s">
        <v>48</v>
      </c>
      <c r="D97" s="27"/>
      <c r="E97" s="27"/>
      <c r="F97" s="27"/>
      <c r="G97" s="52" t="s">
        <v>129</v>
      </c>
      <c r="H97" s="15"/>
      <c r="I97" s="36"/>
      <c r="J97" s="42"/>
      <c r="K97" s="42"/>
      <c r="L97" s="40"/>
      <c r="M97" s="40"/>
      <c r="N97" s="24"/>
      <c r="O97" s="24"/>
      <c r="P97" s="41">
        <f t="shared" si="20"/>
        <v>0</v>
      </c>
    </row>
    <row r="98" spans="1:17" s="5" customFormat="1" x14ac:dyDescent="0.2">
      <c r="A98" s="26"/>
      <c r="B98" s="27" t="s">
        <v>49</v>
      </c>
      <c r="C98" s="28" t="s">
        <v>50</v>
      </c>
      <c r="D98" s="27"/>
      <c r="E98" s="27"/>
      <c r="F98" s="27"/>
      <c r="G98" s="52" t="s">
        <v>130</v>
      </c>
      <c r="H98" s="15"/>
      <c r="I98" s="36"/>
      <c r="J98" s="42"/>
      <c r="K98" s="42"/>
      <c r="L98" s="43"/>
      <c r="M98" s="43"/>
      <c r="N98" s="24"/>
      <c r="O98" s="24"/>
      <c r="P98" s="41">
        <f t="shared" si="20"/>
        <v>0</v>
      </c>
    </row>
    <row r="99" spans="1:17" s="5" customFormat="1" x14ac:dyDescent="0.2">
      <c r="A99" s="26"/>
      <c r="B99" s="27" t="s">
        <v>51</v>
      </c>
      <c r="C99" s="28" t="s">
        <v>52</v>
      </c>
      <c r="D99" s="27"/>
      <c r="E99" s="27"/>
      <c r="F99" s="27"/>
      <c r="G99" s="52" t="s">
        <v>131</v>
      </c>
      <c r="H99" s="15"/>
      <c r="I99" s="36"/>
      <c r="J99" s="42"/>
      <c r="K99" s="42"/>
      <c r="L99" s="42"/>
      <c r="M99" s="42"/>
      <c r="N99" s="35"/>
      <c r="O99" s="35"/>
      <c r="P99" s="41">
        <f t="shared" si="20"/>
        <v>0</v>
      </c>
    </row>
    <row r="100" spans="1:17" s="5" customFormat="1" x14ac:dyDescent="0.2">
      <c r="A100" s="26"/>
      <c r="B100" s="27" t="s">
        <v>53</v>
      </c>
      <c r="C100" s="67" t="s">
        <v>154</v>
      </c>
      <c r="D100" s="68"/>
      <c r="E100" s="61"/>
      <c r="F100" s="62"/>
      <c r="G100" s="63" t="s">
        <v>153</v>
      </c>
      <c r="H100" s="15"/>
      <c r="I100" s="42"/>
      <c r="J100" s="36"/>
      <c r="K100" s="36"/>
      <c r="L100" s="42"/>
      <c r="M100" s="42"/>
      <c r="N100" s="24"/>
      <c r="O100" s="24"/>
      <c r="P100" s="41">
        <f t="shared" si="20"/>
        <v>0</v>
      </c>
    </row>
    <row r="101" spans="1:17" s="5" customFormat="1" x14ac:dyDescent="0.2">
      <c r="A101" s="91"/>
      <c r="B101" s="27"/>
      <c r="C101" s="97"/>
      <c r="D101" s="92" t="s">
        <v>156</v>
      </c>
      <c r="E101" s="56"/>
      <c r="F101" s="27"/>
      <c r="G101" s="52" t="s">
        <v>165</v>
      </c>
      <c r="H101" s="15"/>
      <c r="I101" s="42"/>
      <c r="J101" s="36"/>
      <c r="K101" s="36"/>
      <c r="L101" s="42"/>
      <c r="M101" s="42"/>
      <c r="N101" s="24"/>
      <c r="O101" s="24"/>
      <c r="P101" s="41">
        <f>I101+K101+M101+O101</f>
        <v>0</v>
      </c>
    </row>
    <row r="102" spans="1:17" s="5" customFormat="1" x14ac:dyDescent="0.2">
      <c r="A102" s="91"/>
      <c r="B102" s="27"/>
      <c r="C102" s="97"/>
      <c r="D102" s="92" t="s">
        <v>157</v>
      </c>
      <c r="E102" s="56"/>
      <c r="F102" s="27"/>
      <c r="G102" s="52" t="s">
        <v>166</v>
      </c>
      <c r="H102" s="15"/>
      <c r="I102" s="42"/>
      <c r="J102" s="36"/>
      <c r="K102" s="36"/>
      <c r="L102" s="42"/>
      <c r="M102" s="42"/>
      <c r="N102" s="24"/>
      <c r="O102" s="24"/>
      <c r="P102" s="41">
        <f>I102+K102+M102+O102</f>
        <v>0</v>
      </c>
    </row>
    <row r="103" spans="1:17" s="5" customFormat="1" x14ac:dyDescent="0.2">
      <c r="A103" s="91"/>
      <c r="B103" s="27"/>
      <c r="C103" s="97" t="s">
        <v>21</v>
      </c>
      <c r="D103" s="93" t="s">
        <v>807</v>
      </c>
      <c r="E103" s="56"/>
      <c r="F103" s="27"/>
      <c r="G103" s="84" t="s">
        <v>808</v>
      </c>
      <c r="H103" s="15"/>
      <c r="I103" s="42"/>
      <c r="J103" s="36"/>
      <c r="K103" s="36"/>
      <c r="L103" s="42"/>
      <c r="M103" s="42"/>
      <c r="N103" s="24"/>
      <c r="O103" s="24"/>
      <c r="P103" s="41">
        <f>I103+K103+M103+O103</f>
        <v>0</v>
      </c>
    </row>
    <row r="104" spans="1:17" s="5" customFormat="1" x14ac:dyDescent="0.2">
      <c r="A104" s="91"/>
      <c r="B104" s="27"/>
      <c r="C104" s="97"/>
      <c r="D104" s="92" t="s">
        <v>156</v>
      </c>
      <c r="E104" s="56"/>
      <c r="F104" s="27"/>
      <c r="G104" s="84" t="s">
        <v>809</v>
      </c>
      <c r="H104" s="15"/>
      <c r="I104" s="42"/>
      <c r="J104" s="36"/>
      <c r="K104" s="36"/>
      <c r="L104" s="42"/>
      <c r="M104" s="42"/>
      <c r="N104" s="24"/>
      <c r="O104" s="24"/>
      <c r="P104" s="41">
        <f>I104+K104+M104+O104</f>
        <v>0</v>
      </c>
    </row>
    <row r="105" spans="1:17" s="5" customFormat="1" x14ac:dyDescent="0.2">
      <c r="A105" s="91"/>
      <c r="B105" s="27"/>
      <c r="C105" s="97"/>
      <c r="D105" s="92" t="s">
        <v>157</v>
      </c>
      <c r="E105" s="56"/>
      <c r="F105" s="27"/>
      <c r="G105" s="84" t="s">
        <v>810</v>
      </c>
      <c r="H105" s="15"/>
      <c r="I105" s="42"/>
      <c r="J105" s="36"/>
      <c r="K105" s="36"/>
      <c r="L105" s="42"/>
      <c r="M105" s="42"/>
      <c r="N105" s="24"/>
      <c r="O105" s="24"/>
      <c r="P105" s="41">
        <f>I105+K105+M105+O105</f>
        <v>0</v>
      </c>
    </row>
    <row r="106" spans="1:17" s="5" customFormat="1" x14ac:dyDescent="0.2">
      <c r="A106" s="26"/>
      <c r="B106" s="27" t="s">
        <v>55</v>
      </c>
      <c r="C106" s="28" t="s">
        <v>56</v>
      </c>
      <c r="D106" s="68"/>
      <c r="E106" s="61"/>
      <c r="F106" s="70"/>
      <c r="G106" s="63" t="s">
        <v>171</v>
      </c>
      <c r="H106" s="15"/>
      <c r="I106" s="24"/>
      <c r="J106" s="36"/>
      <c r="K106" s="36"/>
      <c r="L106" s="42"/>
      <c r="M106" s="42"/>
      <c r="N106" s="35"/>
      <c r="O106" s="35"/>
      <c r="P106" s="11">
        <f t="shared" si="20"/>
        <v>0</v>
      </c>
    </row>
    <row r="107" spans="1:17" s="5" customFormat="1" x14ac:dyDescent="0.2">
      <c r="A107" s="26"/>
      <c r="B107" s="27" t="s">
        <v>57</v>
      </c>
      <c r="C107" s="28" t="s">
        <v>58</v>
      </c>
      <c r="D107" s="27"/>
      <c r="E107" s="27"/>
      <c r="F107" s="27"/>
      <c r="G107" s="52" t="s">
        <v>133</v>
      </c>
      <c r="H107" s="15"/>
      <c r="I107" s="24"/>
      <c r="J107" s="42"/>
      <c r="K107" s="42"/>
      <c r="L107" s="42"/>
      <c r="M107" s="42"/>
      <c r="N107" s="35"/>
      <c r="O107" s="35"/>
      <c r="P107" s="11">
        <f t="shared" si="20"/>
        <v>0</v>
      </c>
    </row>
    <row r="108" spans="1:17" s="5" customFormat="1" x14ac:dyDescent="0.2">
      <c r="A108" s="26"/>
      <c r="B108" s="27" t="s">
        <v>59</v>
      </c>
      <c r="C108" s="27" t="s">
        <v>60</v>
      </c>
      <c r="D108" s="27"/>
      <c r="E108" s="27"/>
      <c r="F108" s="27"/>
      <c r="G108" s="52" t="s">
        <v>134</v>
      </c>
      <c r="H108" s="15"/>
      <c r="I108" s="24"/>
      <c r="J108" s="42"/>
      <c r="K108" s="42"/>
      <c r="L108" s="42"/>
      <c r="M108" s="42"/>
      <c r="N108" s="35"/>
      <c r="O108" s="35"/>
      <c r="P108" s="11">
        <f t="shared" si="20"/>
        <v>0</v>
      </c>
    </row>
    <row r="109" spans="1:17" s="5" customFormat="1" x14ac:dyDescent="0.2">
      <c r="A109" s="26"/>
      <c r="B109" s="27" t="s">
        <v>61</v>
      </c>
      <c r="C109" s="71" t="s">
        <v>54</v>
      </c>
      <c r="D109" s="62"/>
      <c r="E109" s="27"/>
      <c r="F109" s="27"/>
      <c r="G109" s="52" t="s">
        <v>132</v>
      </c>
      <c r="H109" s="15"/>
      <c r="I109" s="24"/>
      <c r="J109" s="36"/>
      <c r="K109" s="36"/>
      <c r="L109" s="42"/>
      <c r="M109" s="42"/>
      <c r="N109" s="24"/>
      <c r="O109" s="24"/>
      <c r="P109" s="11">
        <f t="shared" si="20"/>
        <v>0</v>
      </c>
      <c r="Q109" s="7"/>
    </row>
    <row r="110" spans="1:17" s="5" customFormat="1" x14ac:dyDescent="0.2">
      <c r="A110" s="26"/>
      <c r="B110" s="27"/>
      <c r="C110" s="27" t="s">
        <v>61</v>
      </c>
      <c r="D110" s="69" t="s">
        <v>155</v>
      </c>
      <c r="E110" s="68"/>
      <c r="F110" s="70"/>
      <c r="G110" s="63" t="s">
        <v>170</v>
      </c>
      <c r="H110" s="15"/>
      <c r="I110" s="42"/>
      <c r="J110" s="36"/>
      <c r="K110" s="36"/>
      <c r="L110" s="42"/>
      <c r="M110" s="42"/>
      <c r="N110" s="24"/>
      <c r="O110" s="24"/>
      <c r="P110" s="41">
        <f t="shared" si="20"/>
        <v>0</v>
      </c>
    </row>
    <row r="111" spans="1:17" s="5" customFormat="1" x14ac:dyDescent="0.2">
      <c r="A111" s="26"/>
      <c r="B111" s="27"/>
      <c r="C111" s="71"/>
      <c r="D111" s="60" t="s">
        <v>156</v>
      </c>
      <c r="E111" s="61"/>
      <c r="F111" s="62"/>
      <c r="G111" s="63" t="s">
        <v>167</v>
      </c>
      <c r="H111" s="15"/>
      <c r="I111" s="42"/>
      <c r="J111" s="36"/>
      <c r="K111" s="36"/>
      <c r="L111" s="42"/>
      <c r="M111" s="42"/>
      <c r="N111" s="24"/>
      <c r="O111" s="24"/>
      <c r="P111" s="41">
        <f>I111+K111+M111+O111</f>
        <v>0</v>
      </c>
    </row>
    <row r="112" spans="1:17" s="5" customFormat="1" x14ac:dyDescent="0.2">
      <c r="A112" s="26"/>
      <c r="B112" s="27"/>
      <c r="C112" s="71"/>
      <c r="D112" s="60" t="s">
        <v>157</v>
      </c>
      <c r="E112" s="61"/>
      <c r="F112" s="62"/>
      <c r="G112" s="63" t="s">
        <v>168</v>
      </c>
      <c r="H112" s="15"/>
      <c r="I112" s="42"/>
      <c r="J112" s="36"/>
      <c r="K112" s="36"/>
      <c r="L112" s="42"/>
      <c r="M112" s="42"/>
      <c r="N112" s="24"/>
      <c r="O112" s="24"/>
      <c r="P112" s="41">
        <f>I112+K112+M112+O112</f>
        <v>0</v>
      </c>
    </row>
    <row r="113" spans="1:16" s="5" customFormat="1" ht="22.5" x14ac:dyDescent="0.2">
      <c r="A113" s="80"/>
      <c r="B113" s="81"/>
      <c r="C113" s="89" t="s">
        <v>797</v>
      </c>
      <c r="D113" s="90" t="s">
        <v>798</v>
      </c>
      <c r="E113" s="82"/>
      <c r="F113" s="83"/>
      <c r="G113" s="84" t="s">
        <v>799</v>
      </c>
      <c r="H113" s="15"/>
      <c r="I113" s="42"/>
      <c r="J113" s="36"/>
      <c r="K113" s="36"/>
      <c r="L113" s="42"/>
      <c r="M113" s="42"/>
      <c r="N113" s="24"/>
      <c r="O113" s="24"/>
      <c r="P113" s="41">
        <f>I113+K113+M113+O113</f>
        <v>0</v>
      </c>
    </row>
    <row r="114" spans="1:16" s="5" customFormat="1" x14ac:dyDescent="0.2">
      <c r="A114" s="80"/>
      <c r="B114" s="85"/>
      <c r="C114" s="96"/>
      <c r="D114" s="86" t="s">
        <v>156</v>
      </c>
      <c r="E114" s="83"/>
      <c r="F114" s="83"/>
      <c r="G114" s="84" t="s">
        <v>800</v>
      </c>
      <c r="H114" s="15"/>
      <c r="I114" s="42"/>
      <c r="J114" s="36"/>
      <c r="K114" s="36"/>
      <c r="L114" s="42"/>
      <c r="M114" s="42"/>
      <c r="N114" s="24"/>
      <c r="O114" s="24"/>
      <c r="P114" s="41">
        <f>I114+K114+M114+O114</f>
        <v>0</v>
      </c>
    </row>
    <row r="115" spans="1:16" s="5" customFormat="1" x14ac:dyDescent="0.2">
      <c r="A115" s="80"/>
      <c r="B115" s="85"/>
      <c r="C115" s="96"/>
      <c r="D115" s="87" t="s">
        <v>157</v>
      </c>
      <c r="E115" s="83"/>
      <c r="F115" s="83"/>
      <c r="G115" s="84" t="s">
        <v>801</v>
      </c>
      <c r="H115" s="15"/>
      <c r="I115" s="42"/>
      <c r="J115" s="36"/>
      <c r="K115" s="36"/>
      <c r="L115" s="42"/>
      <c r="M115" s="42"/>
      <c r="N115" s="24"/>
      <c r="O115" s="24"/>
      <c r="P115" s="41">
        <f>I115+K115+M115+O115</f>
        <v>0</v>
      </c>
    </row>
    <row r="116" spans="1:16" s="5" customFormat="1" x14ac:dyDescent="0.2">
      <c r="A116" s="80"/>
      <c r="B116" s="81"/>
      <c r="C116" s="89" t="s">
        <v>802</v>
      </c>
      <c r="D116" s="88"/>
      <c r="E116" s="82"/>
      <c r="F116" s="83"/>
      <c r="G116" s="84" t="s">
        <v>803</v>
      </c>
      <c r="H116" s="15"/>
      <c r="I116" s="24"/>
      <c r="J116" s="42">
        <f t="shared" ref="J116:M117" si="24">SUM(J117:J119)</f>
        <v>0</v>
      </c>
      <c r="K116" s="42">
        <f t="shared" si="24"/>
        <v>0</v>
      </c>
      <c r="L116" s="42">
        <f t="shared" si="24"/>
        <v>0</v>
      </c>
      <c r="M116" s="42">
        <f t="shared" si="24"/>
        <v>0</v>
      </c>
      <c r="N116" s="78"/>
      <c r="O116" s="78"/>
      <c r="P116" s="11">
        <f t="shared" si="20"/>
        <v>0</v>
      </c>
    </row>
    <row r="117" spans="1:16" s="5" customFormat="1" x14ac:dyDescent="0.2">
      <c r="A117" s="80"/>
      <c r="B117" s="89" t="s">
        <v>145</v>
      </c>
      <c r="C117" s="89" t="s">
        <v>804</v>
      </c>
      <c r="D117" s="95"/>
      <c r="E117" s="83"/>
      <c r="F117" s="83"/>
      <c r="G117" s="84" t="s">
        <v>805</v>
      </c>
      <c r="H117" s="15"/>
      <c r="I117" s="24"/>
      <c r="J117" s="42">
        <f t="shared" si="24"/>
        <v>0</v>
      </c>
      <c r="K117" s="42">
        <f t="shared" si="24"/>
        <v>0</v>
      </c>
      <c r="L117" s="42">
        <f t="shared" si="24"/>
        <v>0</v>
      </c>
      <c r="M117" s="42">
        <f t="shared" si="24"/>
        <v>0</v>
      </c>
      <c r="N117" s="78"/>
      <c r="O117" s="78"/>
      <c r="P117" s="11">
        <f t="shared" si="20"/>
        <v>0</v>
      </c>
    </row>
    <row r="118" spans="1:16" s="5" customFormat="1" x14ac:dyDescent="0.2">
      <c r="A118" s="26"/>
      <c r="B118" s="27" t="s">
        <v>806</v>
      </c>
      <c r="C118" s="28" t="s">
        <v>62</v>
      </c>
      <c r="D118" s="55"/>
      <c r="E118" s="27"/>
      <c r="F118" s="27"/>
      <c r="G118" s="52" t="s">
        <v>135</v>
      </c>
      <c r="H118" s="17" t="s">
        <v>138</v>
      </c>
      <c r="I118" s="37"/>
      <c r="J118" s="42">
        <f t="shared" ref="J118:O118" si="25">SUM(J119:J121)</f>
        <v>0</v>
      </c>
      <c r="K118" s="42">
        <f t="shared" si="25"/>
        <v>0</v>
      </c>
      <c r="L118" s="42">
        <f t="shared" si="25"/>
        <v>0</v>
      </c>
      <c r="M118" s="42">
        <f t="shared" si="25"/>
        <v>0</v>
      </c>
      <c r="N118" s="33">
        <f t="shared" si="25"/>
        <v>0</v>
      </c>
      <c r="O118" s="33">
        <f t="shared" si="25"/>
        <v>0</v>
      </c>
      <c r="P118" s="41">
        <f t="shared" si="20"/>
        <v>0</v>
      </c>
    </row>
    <row r="119" spans="1:16" s="5" customFormat="1" x14ac:dyDescent="0.2">
      <c r="A119" s="26"/>
      <c r="B119" s="27"/>
      <c r="C119" s="64" t="s">
        <v>86</v>
      </c>
      <c r="D119" s="20"/>
      <c r="E119" s="29"/>
      <c r="F119" s="29"/>
      <c r="G119" s="53"/>
      <c r="H119" s="15">
        <v>1</v>
      </c>
      <c r="I119" s="36"/>
      <c r="J119" s="42"/>
      <c r="K119" s="42"/>
      <c r="L119" s="42"/>
      <c r="M119" s="42"/>
      <c r="N119" s="35"/>
      <c r="O119" s="35"/>
      <c r="P119" s="41">
        <f t="shared" si="20"/>
        <v>0</v>
      </c>
    </row>
    <row r="120" spans="1:16" s="5" customFormat="1" x14ac:dyDescent="0.2">
      <c r="A120" s="26"/>
      <c r="B120" s="27"/>
      <c r="C120" s="28"/>
      <c r="D120" s="29"/>
      <c r="E120" s="29"/>
      <c r="F120" s="29"/>
      <c r="G120" s="53"/>
      <c r="H120" s="32" t="str">
        <f>CHAR(132)</f>
        <v>„</v>
      </c>
      <c r="I120" s="42"/>
      <c r="J120" s="42"/>
      <c r="K120" s="42"/>
      <c r="L120" s="42"/>
      <c r="M120" s="42"/>
      <c r="N120" s="38"/>
      <c r="O120" s="38"/>
      <c r="P120" s="41"/>
    </row>
    <row r="121" spans="1:16" s="5" customFormat="1" x14ac:dyDescent="0.2">
      <c r="A121" s="26"/>
      <c r="B121" s="29"/>
      <c r="C121" s="29"/>
      <c r="D121" s="29"/>
      <c r="E121" s="29"/>
      <c r="F121" s="29"/>
      <c r="G121" s="53"/>
      <c r="H121" s="19"/>
      <c r="I121" s="42"/>
      <c r="J121" s="42"/>
      <c r="K121" s="42"/>
      <c r="L121" s="42"/>
      <c r="M121" s="42"/>
      <c r="N121" s="38"/>
      <c r="O121" s="38"/>
      <c r="P121" s="41"/>
    </row>
    <row r="122" spans="1:16" s="5" customFormat="1" x14ac:dyDescent="0.2">
      <c r="A122" s="72" t="s">
        <v>139</v>
      </c>
      <c r="B122" s="29"/>
      <c r="C122" s="29"/>
      <c r="D122" s="29"/>
      <c r="E122" s="29"/>
      <c r="F122" s="29"/>
      <c r="G122" s="73" t="s">
        <v>136</v>
      </c>
      <c r="H122" s="8"/>
      <c r="I122" s="11">
        <f t="shared" ref="I122:O122" si="26" xml:space="preserve"> (I10 + I75)</f>
        <v>0</v>
      </c>
      <c r="J122" s="41">
        <f t="shared" si="26"/>
        <v>0</v>
      </c>
      <c r="K122" s="41">
        <f t="shared" si="26"/>
        <v>0</v>
      </c>
      <c r="L122" s="41">
        <f t="shared" si="26"/>
        <v>0</v>
      </c>
      <c r="M122" s="41">
        <f t="shared" si="26"/>
        <v>0</v>
      </c>
      <c r="N122" s="11">
        <f t="shared" si="26"/>
        <v>0</v>
      </c>
      <c r="O122" s="11">
        <f t="shared" si="26"/>
        <v>0</v>
      </c>
      <c r="P122" s="11">
        <f>I122+K122+M122+O122</f>
        <v>0</v>
      </c>
    </row>
    <row r="123" spans="1:16" s="5" customFormat="1" x14ac:dyDescent="0.2">
      <c r="A123" s="9"/>
      <c r="G123" s="21" t="s">
        <v>84</v>
      </c>
      <c r="H123" s="10"/>
    </row>
    <row r="124" spans="1:16" s="5" customFormat="1" x14ac:dyDescent="0.2">
      <c r="A124" s="9"/>
      <c r="G124" s="22"/>
      <c r="H124" s="10"/>
    </row>
    <row r="125" spans="1:16" s="5" customFormat="1" x14ac:dyDescent="0.2">
      <c r="A125" s="9"/>
      <c r="G125" s="22"/>
      <c r="H125" s="10"/>
    </row>
    <row r="126" spans="1:16" s="5" customFormat="1" x14ac:dyDescent="0.2">
      <c r="A126" s="9"/>
      <c r="G126" s="22"/>
      <c r="H126" s="10"/>
    </row>
    <row r="127" spans="1:16" s="5" customFormat="1" x14ac:dyDescent="0.2">
      <c r="A127" s="9"/>
      <c r="G127" s="22"/>
      <c r="H127" s="10"/>
    </row>
    <row r="128" spans="1:16" s="5" customFormat="1" x14ac:dyDescent="0.2">
      <c r="A128" s="9"/>
      <c r="G128" s="22"/>
      <c r="H128" s="10"/>
    </row>
    <row r="129" spans="1:8" s="5" customFormat="1" x14ac:dyDescent="0.2">
      <c r="A129" s="9"/>
      <c r="G129" s="22"/>
      <c r="H129" s="10"/>
    </row>
    <row r="130" spans="1:8" s="5" customFormat="1" x14ac:dyDescent="0.2">
      <c r="A130" s="9"/>
      <c r="G130" s="22"/>
      <c r="H130" s="10"/>
    </row>
    <row r="131" spans="1:8" s="5" customFormat="1" x14ac:dyDescent="0.2">
      <c r="A131" s="9"/>
      <c r="G131" s="22"/>
      <c r="H131" s="10"/>
    </row>
    <row r="132" spans="1:8" s="5" customFormat="1" x14ac:dyDescent="0.2">
      <c r="A132" s="9"/>
      <c r="G132" s="22"/>
      <c r="H132" s="10"/>
    </row>
    <row r="133" spans="1:8" s="5" customFormat="1" x14ac:dyDescent="0.2">
      <c r="A133" s="9"/>
      <c r="G133" s="22"/>
      <c r="H133" s="10"/>
    </row>
    <row r="134" spans="1:8" s="5" customFormat="1" x14ac:dyDescent="0.2">
      <c r="A134" s="9"/>
      <c r="G134" s="22"/>
      <c r="H134" s="10"/>
    </row>
    <row r="135" spans="1:8" s="5" customFormat="1" x14ac:dyDescent="0.2">
      <c r="A135" s="9"/>
      <c r="G135" s="22"/>
      <c r="H135" s="10"/>
    </row>
    <row r="136" spans="1:8" s="5" customFormat="1" x14ac:dyDescent="0.2">
      <c r="A136" s="9"/>
      <c r="G136" s="22"/>
      <c r="H136" s="10"/>
    </row>
    <row r="137" spans="1:8" s="5" customFormat="1" x14ac:dyDescent="0.2">
      <c r="A137" s="9"/>
      <c r="G137" s="22"/>
      <c r="H137" s="10"/>
    </row>
    <row r="138" spans="1:8" s="5" customFormat="1" x14ac:dyDescent="0.2">
      <c r="A138" s="9"/>
      <c r="G138" s="22"/>
      <c r="H138" s="10"/>
    </row>
    <row r="139" spans="1:8" s="5" customFormat="1" x14ac:dyDescent="0.2">
      <c r="A139" s="9"/>
      <c r="G139" s="22"/>
      <c r="H139" s="10"/>
    </row>
    <row r="140" spans="1:8" s="5" customFormat="1" x14ac:dyDescent="0.2">
      <c r="A140" s="9"/>
      <c r="G140" s="22"/>
      <c r="H140" s="10"/>
    </row>
    <row r="141" spans="1:8" s="5" customFormat="1" x14ac:dyDescent="0.2">
      <c r="A141" s="9"/>
      <c r="G141" s="22"/>
      <c r="H141" s="10"/>
    </row>
    <row r="142" spans="1:8" s="5" customFormat="1" x14ac:dyDescent="0.2">
      <c r="A142" s="9"/>
      <c r="G142" s="22"/>
      <c r="H142" s="10"/>
    </row>
    <row r="143" spans="1:8" s="5" customFormat="1" x14ac:dyDescent="0.2">
      <c r="A143" s="9"/>
      <c r="G143" s="22"/>
      <c r="H143" s="10"/>
    </row>
    <row r="144" spans="1:8" s="5" customFormat="1" x14ac:dyDescent="0.2">
      <c r="A144" s="9"/>
      <c r="G144" s="22"/>
      <c r="H144" s="10"/>
    </row>
    <row r="145" spans="1:8" s="5" customFormat="1" x14ac:dyDescent="0.2">
      <c r="A145" s="9"/>
      <c r="G145" s="22"/>
      <c r="H145" s="10"/>
    </row>
    <row r="146" spans="1:8" s="5" customFormat="1" x14ac:dyDescent="0.2">
      <c r="A146" s="9"/>
      <c r="G146" s="22"/>
      <c r="H146" s="10"/>
    </row>
    <row r="147" spans="1:8" s="5" customFormat="1" x14ac:dyDescent="0.2">
      <c r="A147" s="9"/>
      <c r="G147" s="22"/>
      <c r="H147" s="10"/>
    </row>
    <row r="148" spans="1:8" s="5" customFormat="1" x14ac:dyDescent="0.2">
      <c r="A148" s="9"/>
      <c r="G148" s="22"/>
      <c r="H148" s="10"/>
    </row>
    <row r="149" spans="1:8" s="5" customFormat="1" x14ac:dyDescent="0.2">
      <c r="A149" s="9"/>
      <c r="G149" s="22"/>
      <c r="H149" s="10"/>
    </row>
    <row r="150" spans="1:8" s="5" customFormat="1" x14ac:dyDescent="0.2">
      <c r="A150" s="9"/>
      <c r="G150" s="22"/>
      <c r="H150" s="10"/>
    </row>
    <row r="151" spans="1:8" s="5" customFormat="1" x14ac:dyDescent="0.2">
      <c r="A151" s="9"/>
      <c r="G151" s="22"/>
      <c r="H151" s="10"/>
    </row>
    <row r="152" spans="1:8" s="5" customFormat="1" x14ac:dyDescent="0.2">
      <c r="A152" s="9"/>
      <c r="G152" s="22"/>
      <c r="H152" s="10"/>
    </row>
    <row r="153" spans="1:8" s="5" customFormat="1" x14ac:dyDescent="0.2">
      <c r="A153" s="9"/>
      <c r="G153" s="22"/>
      <c r="H153" s="10"/>
    </row>
    <row r="154" spans="1:8" s="5" customFormat="1" x14ac:dyDescent="0.2">
      <c r="A154" s="9"/>
      <c r="G154" s="22"/>
      <c r="H154" s="10"/>
    </row>
    <row r="155" spans="1:8" s="5" customFormat="1" x14ac:dyDescent="0.2">
      <c r="A155" s="9"/>
      <c r="G155" s="22"/>
      <c r="H155" s="10"/>
    </row>
    <row r="156" spans="1:8" s="5" customFormat="1" x14ac:dyDescent="0.2">
      <c r="A156" s="9"/>
      <c r="G156" s="22"/>
      <c r="H156" s="10"/>
    </row>
    <row r="157" spans="1:8" s="5" customFormat="1" x14ac:dyDescent="0.2">
      <c r="A157" s="9"/>
      <c r="G157" s="22"/>
      <c r="H157" s="10"/>
    </row>
    <row r="158" spans="1:8" s="5" customFormat="1" x14ac:dyDescent="0.2">
      <c r="A158" s="9"/>
      <c r="G158" s="22"/>
      <c r="H158" s="10"/>
    </row>
    <row r="159" spans="1:8" s="5" customFormat="1" x14ac:dyDescent="0.2">
      <c r="A159" s="9"/>
      <c r="G159" s="22"/>
      <c r="H159" s="10"/>
    </row>
    <row r="160" spans="1:8" s="5" customFormat="1" x14ac:dyDescent="0.2">
      <c r="A160" s="9"/>
      <c r="G160" s="22"/>
      <c r="H160" s="10"/>
    </row>
    <row r="161" spans="1:8" s="5" customFormat="1" x14ac:dyDescent="0.2">
      <c r="A161" s="9"/>
      <c r="G161" s="22"/>
      <c r="H161" s="10"/>
    </row>
    <row r="162" spans="1:8" s="5" customFormat="1" x14ac:dyDescent="0.2">
      <c r="A162" s="9"/>
      <c r="G162" s="22"/>
      <c r="H162" s="10"/>
    </row>
    <row r="163" spans="1:8" s="5" customFormat="1" x14ac:dyDescent="0.2">
      <c r="A163" s="9"/>
      <c r="G163" s="22"/>
      <c r="H163" s="10"/>
    </row>
    <row r="164" spans="1:8" s="5" customFormat="1" x14ac:dyDescent="0.2">
      <c r="A164" s="9"/>
      <c r="G164" s="22"/>
      <c r="H164" s="10"/>
    </row>
    <row r="165" spans="1:8" s="5" customFormat="1" x14ac:dyDescent="0.2">
      <c r="A165" s="9"/>
      <c r="G165" s="22"/>
      <c r="H165" s="10"/>
    </row>
    <row r="166" spans="1:8" s="5" customFormat="1" x14ac:dyDescent="0.2">
      <c r="A166" s="9"/>
      <c r="G166" s="22"/>
      <c r="H166" s="10"/>
    </row>
    <row r="167" spans="1:8" s="5" customFormat="1" x14ac:dyDescent="0.2">
      <c r="A167" s="9"/>
      <c r="G167" s="22"/>
      <c r="H167" s="10"/>
    </row>
    <row r="168" spans="1:8" s="5" customFormat="1" x14ac:dyDescent="0.2">
      <c r="A168" s="9"/>
      <c r="G168" s="22"/>
      <c r="H168" s="10"/>
    </row>
    <row r="169" spans="1:8" s="5" customFormat="1" x14ac:dyDescent="0.2">
      <c r="A169" s="9"/>
      <c r="G169" s="22"/>
      <c r="H169" s="10"/>
    </row>
    <row r="170" spans="1:8" s="5" customFormat="1" x14ac:dyDescent="0.2">
      <c r="A170" s="9"/>
      <c r="G170" s="22"/>
      <c r="H170" s="10"/>
    </row>
    <row r="171" spans="1:8" s="5" customFormat="1" x14ac:dyDescent="0.2">
      <c r="A171" s="9"/>
      <c r="G171" s="22"/>
      <c r="H171" s="10"/>
    </row>
    <row r="172" spans="1:8" s="5" customFormat="1" x14ac:dyDescent="0.2">
      <c r="A172" s="9"/>
      <c r="G172" s="22"/>
      <c r="H172" s="10"/>
    </row>
    <row r="173" spans="1:8" s="5" customFormat="1" x14ac:dyDescent="0.2">
      <c r="A173" s="9"/>
      <c r="G173" s="22"/>
      <c r="H173" s="10"/>
    </row>
    <row r="174" spans="1:8" s="5" customFormat="1" x14ac:dyDescent="0.2">
      <c r="A174" s="9"/>
      <c r="G174" s="22"/>
      <c r="H174" s="10"/>
    </row>
    <row r="175" spans="1:8" s="5" customFormat="1" x14ac:dyDescent="0.2">
      <c r="A175" s="9"/>
      <c r="G175" s="22"/>
      <c r="H175" s="10"/>
    </row>
    <row r="176" spans="1:8" s="5" customFormat="1" x14ac:dyDescent="0.2">
      <c r="A176" s="9"/>
      <c r="G176" s="22"/>
      <c r="H176" s="10"/>
    </row>
    <row r="177" spans="1:8" s="5" customFormat="1" x14ac:dyDescent="0.2">
      <c r="A177" s="9"/>
      <c r="G177" s="22"/>
      <c r="H177" s="10"/>
    </row>
    <row r="178" spans="1:8" s="5" customFormat="1" x14ac:dyDescent="0.2">
      <c r="A178" s="9"/>
      <c r="G178" s="22"/>
      <c r="H178" s="10"/>
    </row>
    <row r="179" spans="1:8" s="5" customFormat="1" x14ac:dyDescent="0.2">
      <c r="A179" s="9"/>
      <c r="G179" s="22"/>
      <c r="H179" s="10"/>
    </row>
    <row r="180" spans="1:8" s="5" customFormat="1" x14ac:dyDescent="0.2">
      <c r="A180" s="9"/>
      <c r="G180" s="22"/>
      <c r="H180" s="10"/>
    </row>
    <row r="181" spans="1:8" s="5" customFormat="1" x14ac:dyDescent="0.2">
      <c r="A181" s="9"/>
      <c r="G181" s="22"/>
      <c r="H181" s="10"/>
    </row>
    <row r="182" spans="1:8" s="5" customFormat="1" x14ac:dyDescent="0.2">
      <c r="A182" s="9"/>
      <c r="G182" s="22"/>
      <c r="H182" s="10"/>
    </row>
    <row r="183" spans="1:8" s="5" customFormat="1" x14ac:dyDescent="0.2">
      <c r="A183" s="9"/>
      <c r="G183" s="22"/>
      <c r="H183" s="10"/>
    </row>
    <row r="184" spans="1:8" s="5" customFormat="1" x14ac:dyDescent="0.2">
      <c r="A184" s="9"/>
      <c r="G184" s="22"/>
      <c r="H184" s="10"/>
    </row>
    <row r="185" spans="1:8" s="5" customFormat="1" x14ac:dyDescent="0.2">
      <c r="A185" s="9"/>
      <c r="G185" s="22"/>
      <c r="H185" s="10"/>
    </row>
    <row r="186" spans="1:8" s="5" customFormat="1" x14ac:dyDescent="0.2">
      <c r="A186" s="9"/>
      <c r="G186" s="22"/>
      <c r="H186" s="10"/>
    </row>
    <row r="187" spans="1:8" s="5" customFormat="1" x14ac:dyDescent="0.2">
      <c r="A187" s="9"/>
      <c r="G187" s="22"/>
      <c r="H187" s="10"/>
    </row>
    <row r="188" spans="1:8" s="5" customFormat="1" x14ac:dyDescent="0.2">
      <c r="A188" s="9"/>
      <c r="G188" s="22"/>
      <c r="H188" s="10"/>
    </row>
    <row r="189" spans="1:8" s="5" customFormat="1" x14ac:dyDescent="0.2">
      <c r="A189" s="9"/>
      <c r="G189" s="22"/>
      <c r="H189" s="10"/>
    </row>
    <row r="190" spans="1:8" s="5" customFormat="1" x14ac:dyDescent="0.2">
      <c r="A190" s="9"/>
      <c r="G190" s="22"/>
      <c r="H190" s="10"/>
    </row>
    <row r="191" spans="1:8" s="5" customFormat="1" x14ac:dyDescent="0.2">
      <c r="A191" s="9"/>
      <c r="G191" s="22"/>
      <c r="H191" s="10"/>
    </row>
    <row r="192" spans="1:8" s="5" customFormat="1" x14ac:dyDescent="0.2">
      <c r="A192" s="9"/>
      <c r="G192" s="22"/>
      <c r="H192" s="10"/>
    </row>
    <row r="193" spans="1:8" s="5" customFormat="1" x14ac:dyDescent="0.2">
      <c r="A193" s="9"/>
      <c r="G193" s="22"/>
      <c r="H193" s="10"/>
    </row>
    <row r="194" spans="1:8" s="5" customFormat="1" x14ac:dyDescent="0.2">
      <c r="A194" s="9"/>
      <c r="G194" s="22"/>
      <c r="H194" s="10"/>
    </row>
    <row r="195" spans="1:8" s="5" customFormat="1" x14ac:dyDescent="0.2">
      <c r="A195" s="9"/>
      <c r="G195" s="22"/>
      <c r="H195" s="10"/>
    </row>
    <row r="196" spans="1:8" s="5" customFormat="1" x14ac:dyDescent="0.2">
      <c r="A196" s="9"/>
      <c r="G196" s="22"/>
      <c r="H196" s="10"/>
    </row>
    <row r="197" spans="1:8" s="5" customFormat="1" x14ac:dyDescent="0.2">
      <c r="A197" s="9"/>
      <c r="G197" s="22"/>
      <c r="H197" s="10"/>
    </row>
    <row r="198" spans="1:8" s="5" customFormat="1" x14ac:dyDescent="0.2">
      <c r="A198" s="9"/>
      <c r="G198" s="22"/>
      <c r="H198" s="10"/>
    </row>
    <row r="199" spans="1:8" s="5" customFormat="1" x14ac:dyDescent="0.2">
      <c r="A199" s="9"/>
      <c r="G199" s="22"/>
      <c r="H199" s="10"/>
    </row>
    <row r="200" spans="1:8" s="5" customFormat="1" x14ac:dyDescent="0.2">
      <c r="A200" s="9"/>
      <c r="G200" s="22"/>
      <c r="H200" s="10"/>
    </row>
    <row r="201" spans="1:8" s="5" customFormat="1" x14ac:dyDescent="0.2">
      <c r="A201" s="9"/>
      <c r="G201" s="22"/>
      <c r="H201" s="10"/>
    </row>
    <row r="202" spans="1:8" s="5" customFormat="1" x14ac:dyDescent="0.2">
      <c r="A202" s="9"/>
      <c r="G202" s="22"/>
      <c r="H202" s="10"/>
    </row>
    <row r="203" spans="1:8" s="5" customFormat="1" x14ac:dyDescent="0.2">
      <c r="A203" s="9"/>
      <c r="G203" s="22"/>
      <c r="H203" s="10"/>
    </row>
    <row r="204" spans="1:8" s="5" customFormat="1" x14ac:dyDescent="0.2">
      <c r="A204" s="9"/>
      <c r="G204" s="22"/>
      <c r="H204" s="10"/>
    </row>
    <row r="205" spans="1:8" s="5" customFormat="1" x14ac:dyDescent="0.2">
      <c r="A205" s="9"/>
      <c r="G205" s="22"/>
      <c r="H205" s="10"/>
    </row>
    <row r="206" spans="1:8" s="5" customFormat="1" x14ac:dyDescent="0.2">
      <c r="A206" s="9"/>
      <c r="G206" s="22"/>
      <c r="H206" s="10"/>
    </row>
    <row r="207" spans="1:8" s="5" customFormat="1" x14ac:dyDescent="0.2">
      <c r="A207" s="9"/>
      <c r="G207" s="22"/>
      <c r="H207" s="10"/>
    </row>
    <row r="208" spans="1:8" s="5" customFormat="1" x14ac:dyDescent="0.2">
      <c r="A208" s="9"/>
      <c r="G208" s="22"/>
      <c r="H208" s="10"/>
    </row>
    <row r="209" spans="1:8" s="5" customFormat="1" x14ac:dyDescent="0.2">
      <c r="A209" s="9"/>
      <c r="G209" s="22"/>
      <c r="H209" s="10"/>
    </row>
    <row r="210" spans="1:8" s="5" customFormat="1" x14ac:dyDescent="0.2">
      <c r="A210" s="9"/>
      <c r="G210" s="22"/>
      <c r="H210" s="10"/>
    </row>
    <row r="211" spans="1:8" s="5" customFormat="1" x14ac:dyDescent="0.2">
      <c r="A211" s="9"/>
      <c r="G211" s="22"/>
      <c r="H211" s="10"/>
    </row>
    <row r="212" spans="1:8" s="5" customFormat="1" x14ac:dyDescent="0.2">
      <c r="A212" s="9"/>
      <c r="G212" s="22"/>
      <c r="H212" s="10"/>
    </row>
    <row r="213" spans="1:8" s="5" customFormat="1" x14ac:dyDescent="0.2">
      <c r="A213" s="9"/>
      <c r="G213" s="22"/>
      <c r="H213" s="10"/>
    </row>
    <row r="214" spans="1:8" s="5" customFormat="1" x14ac:dyDescent="0.2">
      <c r="A214" s="9"/>
      <c r="G214" s="22"/>
      <c r="H214" s="10"/>
    </row>
    <row r="215" spans="1:8" s="5" customFormat="1" x14ac:dyDescent="0.2">
      <c r="A215" s="9"/>
      <c r="G215" s="22"/>
      <c r="H215" s="10"/>
    </row>
    <row r="216" spans="1:8" s="5" customFormat="1" x14ac:dyDescent="0.2">
      <c r="A216" s="9"/>
      <c r="G216" s="22"/>
      <c r="H216" s="10"/>
    </row>
    <row r="217" spans="1:8" s="5" customFormat="1" x14ac:dyDescent="0.2">
      <c r="A217" s="9"/>
      <c r="G217" s="22"/>
      <c r="H217" s="10"/>
    </row>
    <row r="218" spans="1:8" s="5" customFormat="1" x14ac:dyDescent="0.2">
      <c r="A218" s="9"/>
      <c r="G218" s="22"/>
      <c r="H218" s="10"/>
    </row>
    <row r="219" spans="1:8" s="5" customFormat="1" x14ac:dyDescent="0.2">
      <c r="A219" s="9"/>
      <c r="G219" s="22"/>
      <c r="H219" s="10"/>
    </row>
    <row r="220" spans="1:8" s="5" customFormat="1" x14ac:dyDescent="0.2">
      <c r="A220" s="9"/>
      <c r="G220" s="22"/>
      <c r="H220" s="10"/>
    </row>
    <row r="221" spans="1:8" s="5" customFormat="1" x14ac:dyDescent="0.2">
      <c r="A221" s="9"/>
      <c r="G221" s="22"/>
      <c r="H221" s="10"/>
    </row>
    <row r="222" spans="1:8" s="5" customFormat="1" x14ac:dyDescent="0.2">
      <c r="A222" s="9"/>
      <c r="G222" s="22"/>
      <c r="H222" s="10"/>
    </row>
    <row r="223" spans="1:8" s="5" customFormat="1" x14ac:dyDescent="0.2">
      <c r="A223" s="9"/>
      <c r="G223" s="22"/>
      <c r="H223" s="10"/>
    </row>
    <row r="224" spans="1:8" s="5" customFormat="1" x14ac:dyDescent="0.2">
      <c r="A224" s="9"/>
      <c r="G224" s="22"/>
      <c r="H224" s="10"/>
    </row>
    <row r="225" spans="1:8" s="5" customFormat="1" x14ac:dyDescent="0.2">
      <c r="A225" s="9"/>
      <c r="G225" s="22"/>
      <c r="H225" s="10"/>
    </row>
    <row r="226" spans="1:8" s="5" customFormat="1" x14ac:dyDescent="0.2">
      <c r="A226" s="9"/>
      <c r="G226" s="22"/>
      <c r="H226" s="10"/>
    </row>
    <row r="227" spans="1:8" s="5" customFormat="1" x14ac:dyDescent="0.2">
      <c r="A227" s="9"/>
      <c r="G227" s="22"/>
      <c r="H227" s="10"/>
    </row>
    <row r="228" spans="1:8" s="5" customFormat="1" x14ac:dyDescent="0.2">
      <c r="A228" s="9"/>
      <c r="G228" s="22"/>
      <c r="H228" s="10"/>
    </row>
    <row r="229" spans="1:8" s="5" customFormat="1" x14ac:dyDescent="0.2">
      <c r="A229" s="9"/>
      <c r="G229" s="22"/>
      <c r="H229" s="10"/>
    </row>
    <row r="230" spans="1:8" s="5" customFormat="1" x14ac:dyDescent="0.2">
      <c r="A230" s="9"/>
      <c r="G230" s="22"/>
      <c r="H230" s="10"/>
    </row>
    <row r="231" spans="1:8" s="5" customFormat="1" x14ac:dyDescent="0.2">
      <c r="A231" s="9"/>
      <c r="G231" s="22"/>
      <c r="H231" s="10"/>
    </row>
    <row r="232" spans="1:8" s="5" customFormat="1" x14ac:dyDescent="0.2">
      <c r="A232" s="9"/>
      <c r="G232" s="22"/>
      <c r="H232" s="10"/>
    </row>
    <row r="233" spans="1:8" s="5" customFormat="1" x14ac:dyDescent="0.2">
      <c r="A233" s="9"/>
      <c r="G233" s="22"/>
      <c r="H233" s="10"/>
    </row>
    <row r="234" spans="1:8" s="5" customFormat="1" x14ac:dyDescent="0.2">
      <c r="A234" s="9"/>
      <c r="G234" s="22"/>
      <c r="H234" s="10"/>
    </row>
    <row r="235" spans="1:8" s="5" customFormat="1" x14ac:dyDescent="0.2">
      <c r="A235" s="9"/>
      <c r="G235" s="22"/>
      <c r="H235" s="10"/>
    </row>
    <row r="236" spans="1:8" s="5" customFormat="1" x14ac:dyDescent="0.2">
      <c r="A236" s="9"/>
      <c r="G236" s="22"/>
      <c r="H236" s="10"/>
    </row>
    <row r="237" spans="1:8" s="5" customFormat="1" x14ac:dyDescent="0.2">
      <c r="A237" s="9"/>
      <c r="G237" s="22"/>
      <c r="H237" s="10"/>
    </row>
    <row r="238" spans="1:8" s="5" customFormat="1" x14ac:dyDescent="0.2">
      <c r="A238" s="9"/>
      <c r="G238" s="22"/>
      <c r="H238" s="10"/>
    </row>
    <row r="239" spans="1:8" s="5" customFormat="1" x14ac:dyDescent="0.2">
      <c r="A239" s="9"/>
      <c r="G239" s="22"/>
      <c r="H239" s="10"/>
    </row>
    <row r="240" spans="1:8" s="5" customFormat="1" x14ac:dyDescent="0.2">
      <c r="A240" s="9"/>
      <c r="G240" s="22"/>
      <c r="H240" s="10"/>
    </row>
    <row r="241" spans="1:16" s="5" customFormat="1" x14ac:dyDescent="0.2">
      <c r="A241" s="9"/>
      <c r="G241" s="22"/>
      <c r="H241" s="10"/>
    </row>
    <row r="242" spans="1:16" s="5" customFormat="1" x14ac:dyDescent="0.2">
      <c r="A242" s="9"/>
      <c r="G242" s="22"/>
      <c r="H242" s="10"/>
    </row>
    <row r="243" spans="1:16" s="5" customFormat="1" x14ac:dyDescent="0.2">
      <c r="A243" s="9"/>
      <c r="G243" s="22"/>
      <c r="H243" s="10"/>
    </row>
    <row r="244" spans="1:16" s="5" customFormat="1" x14ac:dyDescent="0.2">
      <c r="A244" s="9"/>
      <c r="G244" s="22"/>
      <c r="H244" s="10"/>
    </row>
    <row r="245" spans="1:16" s="5" customFormat="1" x14ac:dyDescent="0.2">
      <c r="A245" s="9"/>
      <c r="G245" s="22"/>
      <c r="H245" s="10"/>
    </row>
    <row r="246" spans="1:16" s="5" customFormat="1" x14ac:dyDescent="0.2">
      <c r="A246" s="9"/>
      <c r="G246" s="22"/>
      <c r="H246" s="10"/>
    </row>
    <row r="247" spans="1:16" s="5" customFormat="1" x14ac:dyDescent="0.2">
      <c r="A247" s="9"/>
      <c r="G247" s="22"/>
      <c r="H247" s="10"/>
    </row>
    <row r="248" spans="1:16" s="5" customFormat="1" x14ac:dyDescent="0.2">
      <c r="A248" s="9"/>
      <c r="G248" s="22"/>
      <c r="H248" s="10"/>
    </row>
    <row r="249" spans="1:16" s="5" customFormat="1" x14ac:dyDescent="0.2">
      <c r="A249" s="9"/>
      <c r="G249" s="22"/>
      <c r="H249" s="10"/>
    </row>
    <row r="250" spans="1:16" s="5" customFormat="1" x14ac:dyDescent="0.2">
      <c r="A250" s="9"/>
      <c r="G250" s="22"/>
      <c r="H250" s="10"/>
    </row>
    <row r="251" spans="1:16" s="5" customFormat="1" x14ac:dyDescent="0.2">
      <c r="A251" s="9"/>
      <c r="G251" s="22"/>
      <c r="H251" s="10"/>
    </row>
    <row r="252" spans="1:16" s="5" customFormat="1" x14ac:dyDescent="0.2">
      <c r="A252" s="9"/>
      <c r="G252" s="22"/>
      <c r="H252" s="10"/>
    </row>
    <row r="253" spans="1:16" s="5" customFormat="1" x14ac:dyDescent="0.2">
      <c r="A253" s="9"/>
      <c r="G253" s="22"/>
      <c r="H253" s="10"/>
    </row>
    <row r="254" spans="1:16" s="5" customFormat="1" x14ac:dyDescent="0.2">
      <c r="A254" s="9"/>
      <c r="G254" s="22"/>
      <c r="H254" s="10"/>
    </row>
    <row r="255" spans="1:16" x14ac:dyDescent="0.2">
      <c r="A255" s="9"/>
      <c r="B255" s="5"/>
      <c r="C255" s="5"/>
      <c r="D255" s="5"/>
      <c r="E255" s="5"/>
      <c r="F255" s="5"/>
      <c r="G255" s="22"/>
      <c r="H255" s="10"/>
      <c r="I255" s="5"/>
      <c r="J255" s="5"/>
      <c r="K255" s="5"/>
      <c r="L255" s="5"/>
      <c r="M255" s="5"/>
      <c r="N255" s="5"/>
      <c r="O255" s="5"/>
      <c r="P255" s="5"/>
    </row>
    <row r="256" spans="1:16" x14ac:dyDescent="0.2">
      <c r="A256" s="9"/>
      <c r="B256" s="5"/>
      <c r="C256" s="5"/>
      <c r="D256" s="5"/>
      <c r="E256" s="5"/>
      <c r="F256" s="5"/>
      <c r="G256" s="22"/>
      <c r="H256" s="10"/>
      <c r="I256" s="5"/>
      <c r="J256" s="5"/>
      <c r="K256" s="5"/>
      <c r="L256" s="5"/>
      <c r="M256" s="5"/>
      <c r="N256" s="5"/>
      <c r="O256" s="5"/>
      <c r="P256" s="5"/>
    </row>
    <row r="257" spans="1:16" x14ac:dyDescent="0.2">
      <c r="A257" s="9"/>
      <c r="B257" s="5"/>
      <c r="C257" s="5"/>
      <c r="D257" s="5"/>
      <c r="E257" s="5"/>
      <c r="F257" s="5"/>
      <c r="G257" s="22"/>
      <c r="H257" s="10"/>
      <c r="I257" s="5"/>
      <c r="J257" s="5"/>
      <c r="K257" s="5"/>
      <c r="L257" s="5"/>
      <c r="M257" s="5"/>
      <c r="N257" s="5"/>
      <c r="O257" s="5"/>
      <c r="P257" s="5"/>
    </row>
    <row r="258" spans="1:16" x14ac:dyDescent="0.2">
      <c r="A258" s="9"/>
      <c r="B258" s="5"/>
      <c r="C258" s="5"/>
      <c r="D258" s="5"/>
      <c r="E258" s="5"/>
      <c r="F258" s="5"/>
      <c r="G258" s="22"/>
      <c r="H258" s="10"/>
      <c r="I258" s="5"/>
      <c r="J258" s="5"/>
      <c r="K258" s="5"/>
      <c r="L258" s="5"/>
      <c r="M258" s="5"/>
      <c r="N258" s="5"/>
      <c r="O258" s="5"/>
      <c r="P258" s="5"/>
    </row>
    <row r="259" spans="1:16" x14ac:dyDescent="0.2">
      <c r="A259" s="9"/>
      <c r="B259" s="5"/>
      <c r="C259" s="5"/>
      <c r="D259" s="5"/>
      <c r="E259" s="5"/>
      <c r="F259" s="5"/>
      <c r="G259" s="22"/>
      <c r="H259" s="10"/>
      <c r="I259" s="5"/>
      <c r="J259" s="5"/>
      <c r="K259" s="5"/>
      <c r="L259" s="5"/>
      <c r="M259" s="5"/>
      <c r="N259" s="5"/>
      <c r="O259" s="5"/>
      <c r="P259" s="5"/>
    </row>
    <row r="260" spans="1:16" x14ac:dyDescent="0.2">
      <c r="A260" s="9"/>
      <c r="B260" s="5"/>
      <c r="C260" s="5"/>
      <c r="D260" s="5"/>
      <c r="E260" s="5"/>
      <c r="F260" s="5"/>
      <c r="G260" s="22"/>
      <c r="H260" s="10"/>
      <c r="I260" s="5"/>
      <c r="J260" s="5"/>
      <c r="K260" s="5"/>
      <c r="L260" s="5"/>
      <c r="M260" s="5"/>
      <c r="N260" s="5"/>
      <c r="O260" s="5"/>
      <c r="P260" s="5"/>
    </row>
    <row r="261" spans="1:16" x14ac:dyDescent="0.2">
      <c r="A261" s="9"/>
      <c r="B261" s="5"/>
      <c r="C261" s="5"/>
      <c r="D261" s="5"/>
      <c r="E261" s="5"/>
      <c r="F261" s="5"/>
      <c r="G261" s="22"/>
      <c r="H261" s="10"/>
      <c r="I261" s="5"/>
      <c r="J261" s="5"/>
      <c r="K261" s="5"/>
      <c r="L261" s="5"/>
      <c r="M261" s="5"/>
      <c r="N261" s="5"/>
      <c r="O261" s="5"/>
      <c r="P261" s="5"/>
    </row>
  </sheetData>
  <sheetProtection sheet="1" objects="1" scenarios="1" selectLockedCells="1"/>
  <mergeCells count="15">
    <mergeCell ref="L8:M8"/>
    <mergeCell ref="P8:P9"/>
    <mergeCell ref="A3:P3"/>
    <mergeCell ref="A5:P5"/>
    <mergeCell ref="A6:P6"/>
    <mergeCell ref="A7:P7"/>
    <mergeCell ref="A4:P4"/>
    <mergeCell ref="N8:O8"/>
    <mergeCell ref="G8:G9"/>
    <mergeCell ref="H8:H9"/>
    <mergeCell ref="A1:P1"/>
    <mergeCell ref="A2:P2"/>
    <mergeCell ref="A8:F9"/>
    <mergeCell ref="I8:I9"/>
    <mergeCell ref="J8:K8"/>
  </mergeCells>
  <phoneticPr fontId="1" type="noConversion"/>
  <dataValidations count="4">
    <dataValidation allowBlank="1" showInputMessage="1" showErrorMessage="1" sqref="I120:O122 J91:O91 L97:O98 J106:K115 J95:O95 L109:O115 J84:O84 L85:O85 J47:O47 L49:O50 J73:O75 J71:O71 P11:P37 J41:O43 J39:O39 L21:O21 L24:O24 J22:O23 J12:O13 L27:O27 J25:O26 L30:O30 J31:O31 L32:O32 J16:O16 L35:O35 J34:O34 J18:O20 J28:O29 J10:P10 P91:P122 J89:O89 I110:I115 I118:O118 J116:M117 J100:O105 P71:P88 P42:P67"/>
    <dataValidation type="decimal" operator="greaterThanOrEqual" allowBlank="1" showInputMessage="1" showErrorMessage="1" errorTitle="Invalid Entry" error="The value you entered is not valid." sqref="I119:O119 L86:O88 J90:O90 L99:O99 J92:O94 J96:O96 J97:K99 L106:O108 J48:O48 J44:O46 J76:O83 J72:O72 I39 J40:O40 L36:O38 J35:K38 J21:K21 J14:O15 J24:K24 J27:K27 J30:K30 J17:O17 L33:O33 J32:K33 J11:O11 J85:K88 N56:O67 L51:O51 J53:O54 J49:K51 J56:M70">
      <formula1>0</formula1>
    </dataValidation>
    <dataValidation type="decimal" operator="greaterThanOrEqual" allowBlank="1" showInputMessage="1" showErrorMessage="1" errorTitle="Invalid entry!" error="Accepts greater than or equal to zero only." sqref="I10:I38 I116:I117 I40:I109 J52:O52 J55:O55">
      <formula1>0</formula1>
    </dataValidation>
    <dataValidation allowBlank="1" showInputMessage="1" showErrorMessage="1" sqref="P38:P41 P89:P90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&amp;R&amp;"Arial,Bold"&amp;9&amp;USchedule 38_x000D_&amp;U &amp;"Arial,Bold" &amp;P &amp;"Arial,Regular"of &amp;"Arial,Bold"&amp;N&amp;C&amp;"Arial,Bold"&amp;8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1033" r:id="rId4" name="label_c">
          <controlPr defaultSize="0" autoLine="0" r:id="rId5">
            <anchor moveWithCells="1">
              <from>
                <xdr:col>7</xdr:col>
                <xdr:colOff>247650</xdr:colOff>
                <xdr:row>40</xdr:row>
                <xdr:rowOff>19050</xdr:rowOff>
              </from>
              <to>
                <xdr:col>7</xdr:col>
                <xdr:colOff>523875</xdr:colOff>
                <xdr:row>41</xdr:row>
                <xdr:rowOff>0</xdr:rowOff>
              </to>
            </anchor>
          </controlPr>
        </control>
      </mc:Choice>
      <mc:Fallback>
        <control shapeId="1033" r:id="rId4" name="label_c"/>
      </mc:Fallback>
    </mc:AlternateContent>
    <mc:AlternateContent xmlns:mc="http://schemas.openxmlformats.org/markup-compatibility/2006">
      <mc:Choice Requires="x14">
        <control shapeId="1026" r:id="rId6" name="Label_b">
          <controlPr defaultSize="0" autoLine="0" r:id="rId7">
            <anchor moveWithCells="1">
              <from>
                <xdr:col>7</xdr:col>
                <xdr:colOff>247650</xdr:colOff>
                <xdr:row>119</xdr:row>
                <xdr:rowOff>19050</xdr:rowOff>
              </from>
              <to>
                <xdr:col>7</xdr:col>
                <xdr:colOff>523875</xdr:colOff>
                <xdr:row>120</xdr:row>
                <xdr:rowOff>0</xdr:rowOff>
              </to>
            </anchor>
          </controlPr>
        </control>
      </mc:Choice>
      <mc:Fallback>
        <control shapeId="1026" r:id="rId6" name="Label_b"/>
      </mc:Fallback>
    </mc:AlternateContent>
    <mc:AlternateContent xmlns:mc="http://schemas.openxmlformats.org/markup-compatibility/2006">
      <mc:Choice Requires="x14">
        <control shapeId="1025" r:id="rId8" name="Label_a">
          <controlPr defaultSize="0" autoLine="0" r:id="rId9">
            <anchor moveWithCells="1">
              <from>
                <xdr:col>7</xdr:col>
                <xdr:colOff>247650</xdr:colOff>
                <xdr:row>72</xdr:row>
                <xdr:rowOff>19050</xdr:rowOff>
              </from>
              <to>
                <xdr:col>7</xdr:col>
                <xdr:colOff>523875</xdr:colOff>
                <xdr:row>73</xdr:row>
                <xdr:rowOff>0</xdr:rowOff>
              </to>
            </anchor>
          </controlPr>
        </control>
      </mc:Choice>
      <mc:Fallback>
        <control shapeId="1025" r:id="rId8" name="Label_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5"/>
  <sheetViews>
    <sheetView workbookViewId="0">
      <pane xSplit="8" ySplit="7" topLeftCell="I8" activePane="bottomRight" state="frozen"/>
      <selection pane="topRight" activeCell="I1" sqref="I1"/>
      <selection pane="bottomLeft" activeCell="A8" sqref="A8"/>
      <selection pane="bottomRight"/>
    </sheetView>
  </sheetViews>
  <sheetFormatPr defaultRowHeight="12.75" x14ac:dyDescent="0.2"/>
  <cols>
    <col min="1" max="1" width="4" customWidth="1"/>
    <col min="2" max="2" width="3.28515625" customWidth="1"/>
    <col min="5" max="5" width="20.42578125" customWidth="1"/>
    <col min="6" max="6" width="0" hidden="1" customWidth="1"/>
    <col min="7" max="7" width="16.5703125" bestFit="1" customWidth="1"/>
    <col min="8" max="8" width="0" hidden="1" customWidth="1"/>
    <col min="9" max="15" width="15.7109375" customWidth="1"/>
    <col min="16" max="16" width="25.28515625" customWidth="1"/>
    <col min="17" max="19" width="15.7109375" customWidth="1"/>
  </cols>
  <sheetData>
    <row r="1" spans="1:19" x14ac:dyDescent="0.2">
      <c r="A1" s="99" t="s">
        <v>819</v>
      </c>
      <c r="B1" s="100"/>
      <c r="C1" s="100"/>
      <c r="D1" s="100"/>
      <c r="E1" s="101"/>
      <c r="F1" s="101"/>
      <c r="G1" s="102"/>
      <c r="H1" s="103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</row>
    <row r="2" spans="1:19" x14ac:dyDescent="0.2">
      <c r="A2" s="106" t="s">
        <v>144</v>
      </c>
      <c r="B2" s="107"/>
      <c r="C2" s="107"/>
      <c r="D2" s="107"/>
      <c r="E2" s="108"/>
      <c r="F2" s="108"/>
      <c r="G2" s="109"/>
      <c r="H2" s="110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</row>
    <row r="3" spans="1:19" x14ac:dyDescent="0.2">
      <c r="A3" s="100"/>
      <c r="B3" s="107"/>
      <c r="C3" s="107"/>
      <c r="D3" s="107"/>
      <c r="E3" s="108"/>
      <c r="F3" s="108"/>
      <c r="G3" s="109"/>
      <c r="H3" s="110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</row>
    <row r="4" spans="1:19" x14ac:dyDescent="0.2">
      <c r="A4" s="100"/>
      <c r="B4" s="107"/>
      <c r="C4" s="107"/>
      <c r="D4" s="107"/>
      <c r="E4" s="108"/>
      <c r="F4" s="108"/>
      <c r="G4" s="109"/>
      <c r="H4" s="110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</row>
    <row r="5" spans="1:19" x14ac:dyDescent="0.2">
      <c r="A5" s="111"/>
      <c r="B5" s="111"/>
      <c r="C5" s="111"/>
      <c r="D5" s="111"/>
      <c r="E5" s="112"/>
      <c r="F5" s="112"/>
      <c r="G5" s="112"/>
      <c r="H5" s="113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</row>
    <row r="6" spans="1:19" x14ac:dyDescent="0.2">
      <c r="A6" s="200" t="s">
        <v>820</v>
      </c>
      <c r="B6" s="200"/>
      <c r="C6" s="200"/>
      <c r="D6" s="200"/>
      <c r="E6" s="200"/>
      <c r="F6" s="114"/>
      <c r="G6" s="200" t="s">
        <v>1</v>
      </c>
      <c r="H6" s="114"/>
      <c r="I6" s="200" t="s">
        <v>821</v>
      </c>
      <c r="J6" s="200" t="s">
        <v>822</v>
      </c>
      <c r="K6" s="200" t="s">
        <v>823</v>
      </c>
      <c r="L6" s="200" t="s">
        <v>824</v>
      </c>
      <c r="M6" s="200" t="s">
        <v>825</v>
      </c>
      <c r="N6" s="200" t="s">
        <v>826</v>
      </c>
      <c r="O6" s="200" t="s">
        <v>827</v>
      </c>
      <c r="P6" s="200" t="s">
        <v>828</v>
      </c>
      <c r="Q6" s="200" t="s">
        <v>829</v>
      </c>
      <c r="R6" s="200" t="s">
        <v>830</v>
      </c>
      <c r="S6" s="205" t="s">
        <v>1012</v>
      </c>
    </row>
    <row r="7" spans="1:19" x14ac:dyDescent="0.2">
      <c r="A7" s="200"/>
      <c r="B7" s="200"/>
      <c r="C7" s="200"/>
      <c r="D7" s="200"/>
      <c r="E7" s="200"/>
      <c r="F7" s="114"/>
      <c r="G7" s="200"/>
      <c r="H7" s="114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6"/>
    </row>
    <row r="8" spans="1:19" x14ac:dyDescent="0.2">
      <c r="A8" s="161" t="s">
        <v>832</v>
      </c>
      <c r="B8" s="162"/>
      <c r="C8" s="162"/>
      <c r="D8" s="162"/>
      <c r="E8" s="163"/>
      <c r="F8" s="164"/>
      <c r="G8" s="165"/>
      <c r="H8" s="116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</row>
    <row r="9" spans="1:19" x14ac:dyDescent="0.2">
      <c r="A9" s="166" t="s">
        <v>8</v>
      </c>
      <c r="B9" s="167" t="s">
        <v>833</v>
      </c>
      <c r="C9" s="167"/>
      <c r="D9" s="167"/>
      <c r="E9" s="163"/>
      <c r="F9" s="164"/>
      <c r="G9" s="168" t="s">
        <v>834</v>
      </c>
      <c r="H9" s="118"/>
      <c r="I9" s="33">
        <f>'38A1'!I9+'38A3'!J9+'38A4'!J9</f>
        <v>0</v>
      </c>
      <c r="J9" s="33">
        <f>'38A1'!J9+'38A3'!L9+'38A4'!L9</f>
        <v>0</v>
      </c>
      <c r="K9" s="33">
        <f>'38A1'!K9+'38A3'!N9+'38A4'!N9</f>
        <v>0</v>
      </c>
      <c r="L9" s="11">
        <f>'38A1'!L9+'38A3'!P9+'38A4'!P9</f>
        <v>0</v>
      </c>
      <c r="M9" s="11">
        <f>'38A1'!M9+'38A3'!R9+'38A4'!R9</f>
        <v>0</v>
      </c>
      <c r="N9" s="11">
        <f>'38A1'!N9+'38A3'!T9+'38A4'!T9</f>
        <v>0</v>
      </c>
      <c r="O9" s="11">
        <f>'38A1'!O9+'38A3'!V9+'38A4'!V9</f>
        <v>0</v>
      </c>
      <c r="P9" s="11">
        <f>'38A1'!P9+'38A3'!X9+'38A4'!X9</f>
        <v>0</v>
      </c>
      <c r="Q9" s="11">
        <f>'38A1'!Q9+'38A3'!Z9+'38A4'!Z9</f>
        <v>0</v>
      </c>
      <c r="R9" s="11">
        <f>'38A1'!R9+'38A3'!AB9+'38A4'!AB9</f>
        <v>0</v>
      </c>
      <c r="S9" s="11">
        <f>'38A1'!S9+'38A3'!AD9+'38A4'!AD9</f>
        <v>0</v>
      </c>
    </row>
    <row r="10" spans="1:19" x14ac:dyDescent="0.2">
      <c r="A10" s="166" t="s">
        <v>10</v>
      </c>
      <c r="B10" s="170" t="s">
        <v>835</v>
      </c>
      <c r="C10" s="170"/>
      <c r="D10" s="170"/>
      <c r="E10" s="163"/>
      <c r="F10" s="164"/>
      <c r="G10" s="171" t="s">
        <v>836</v>
      </c>
      <c r="H10" s="118"/>
      <c r="I10" s="33">
        <f>'38A1'!I10+'38A3'!J10+'38A4'!J10</f>
        <v>0</v>
      </c>
      <c r="J10" s="33">
        <f>'38A1'!J10+'38A3'!L10+'38A4'!L10</f>
        <v>0</v>
      </c>
      <c r="K10" s="33">
        <f>'38A1'!K10+'38A3'!N10+'38A4'!N10</f>
        <v>0</v>
      </c>
      <c r="L10" s="11">
        <f>'38A1'!L10+'38A3'!P10+'38A4'!P10</f>
        <v>0</v>
      </c>
      <c r="M10" s="11">
        <f>'38A1'!M10+'38A3'!R10+'38A4'!R10</f>
        <v>0</v>
      </c>
      <c r="N10" s="11">
        <f>'38A1'!N10+'38A3'!T10+'38A4'!T10</f>
        <v>0</v>
      </c>
      <c r="O10" s="11">
        <f>'38A1'!O10+'38A3'!V10+'38A4'!V10</f>
        <v>0</v>
      </c>
      <c r="P10" s="11">
        <f>'38A1'!P10+'38A3'!X10+'38A4'!X10</f>
        <v>0</v>
      </c>
      <c r="Q10" s="11">
        <f>'38A1'!Q10+'38A3'!Z10+'38A4'!Z10</f>
        <v>0</v>
      </c>
      <c r="R10" s="11">
        <f>'38A1'!R10+'38A3'!AB10+'38A4'!AB10</f>
        <v>0</v>
      </c>
      <c r="S10" s="11">
        <f>'38A1'!S10+'38A3'!AD10+'38A4'!AD10</f>
        <v>0</v>
      </c>
    </row>
    <row r="11" spans="1:19" x14ac:dyDescent="0.2">
      <c r="A11" s="166"/>
      <c r="B11" s="172" t="s">
        <v>12</v>
      </c>
      <c r="C11" s="170" t="s">
        <v>1017</v>
      </c>
      <c r="D11" s="170"/>
      <c r="E11" s="163"/>
      <c r="F11" s="164"/>
      <c r="G11" s="171" t="s">
        <v>1019</v>
      </c>
      <c r="H11" s="118"/>
      <c r="I11" s="33">
        <f>'38A1'!I11+'38A3'!J11+'38A4'!J11</f>
        <v>0</v>
      </c>
      <c r="J11" s="33">
        <f>'38A1'!J11+'38A3'!L11+'38A4'!L11</f>
        <v>0</v>
      </c>
      <c r="K11" s="33">
        <f>'38A1'!K11+'38A3'!N11+'38A4'!N11</f>
        <v>0</v>
      </c>
      <c r="L11" s="11">
        <f>'38A1'!L11+'38A3'!P11+'38A4'!P11</f>
        <v>0</v>
      </c>
      <c r="M11" s="11">
        <f>'38A1'!M11+'38A3'!R11+'38A4'!R11</f>
        <v>0</v>
      </c>
      <c r="N11" s="11">
        <f>'38A1'!N11+'38A3'!T11+'38A4'!T11</f>
        <v>0</v>
      </c>
      <c r="O11" s="11">
        <f>'38A1'!O11+'38A3'!V11+'38A4'!V11</f>
        <v>0</v>
      </c>
      <c r="P11" s="11">
        <f>'38A1'!P11+'38A3'!X11+'38A4'!X11</f>
        <v>0</v>
      </c>
      <c r="Q11" s="11">
        <f>'38A1'!Q11+'38A3'!Z11+'38A4'!Z11</f>
        <v>0</v>
      </c>
      <c r="R11" s="11">
        <f>'38A1'!R11+'38A3'!AB11+'38A4'!AB11</f>
        <v>0</v>
      </c>
      <c r="S11" s="11">
        <f>'38A1'!S11+'38A3'!AD11+'38A4'!AD11</f>
        <v>0</v>
      </c>
    </row>
    <row r="12" spans="1:19" x14ac:dyDescent="0.2">
      <c r="A12" s="166"/>
      <c r="B12" s="172" t="s">
        <v>14</v>
      </c>
      <c r="C12" s="170" t="s">
        <v>1018</v>
      </c>
      <c r="D12" s="170"/>
      <c r="E12" s="163"/>
      <c r="F12" s="164"/>
      <c r="G12" s="171" t="s">
        <v>1020</v>
      </c>
      <c r="H12" s="118"/>
      <c r="I12" s="33">
        <f>'38A1'!I12+'38A3'!J12+'38A4'!J12</f>
        <v>0</v>
      </c>
      <c r="J12" s="33">
        <f>'38A1'!J12+'38A3'!L12+'38A4'!L12</f>
        <v>0</v>
      </c>
      <c r="K12" s="33">
        <f>'38A1'!K12+'38A3'!N12+'38A4'!N12</f>
        <v>0</v>
      </c>
      <c r="L12" s="11">
        <f>'38A1'!L12+'38A3'!P12+'38A4'!P12</f>
        <v>0</v>
      </c>
      <c r="M12" s="11">
        <f>'38A1'!M12+'38A3'!R12+'38A4'!R12</f>
        <v>0</v>
      </c>
      <c r="N12" s="11">
        <f>'38A1'!N12+'38A3'!T12+'38A4'!T12</f>
        <v>0</v>
      </c>
      <c r="O12" s="11">
        <f>'38A1'!O12+'38A3'!V12+'38A4'!V12</f>
        <v>0</v>
      </c>
      <c r="P12" s="11">
        <f>'38A1'!P12+'38A3'!X12+'38A4'!X12</f>
        <v>0</v>
      </c>
      <c r="Q12" s="11">
        <f>'38A1'!Q12+'38A3'!Z12+'38A4'!Z12</f>
        <v>0</v>
      </c>
      <c r="R12" s="11">
        <f>'38A1'!R12+'38A3'!AB12+'38A4'!AB12</f>
        <v>0</v>
      </c>
      <c r="S12" s="11">
        <f>'38A1'!S12+'38A3'!AD12+'38A4'!AD12</f>
        <v>0</v>
      </c>
    </row>
    <row r="13" spans="1:19" x14ac:dyDescent="0.2">
      <c r="A13" s="166" t="s">
        <v>16</v>
      </c>
      <c r="B13" s="170" t="s">
        <v>837</v>
      </c>
      <c r="C13" s="170"/>
      <c r="D13" s="170"/>
      <c r="E13" s="163"/>
      <c r="F13" s="164"/>
      <c r="G13" s="171" t="s">
        <v>838</v>
      </c>
      <c r="H13" s="118"/>
      <c r="I13" s="33">
        <f>'38A1'!I13+'38A3'!J13+'38A4'!J13</f>
        <v>0</v>
      </c>
      <c r="J13" s="33">
        <f>'38A1'!J13+'38A3'!L13+'38A4'!L13</f>
        <v>0</v>
      </c>
      <c r="K13" s="33">
        <f>'38A1'!K13+'38A3'!N13+'38A4'!N13</f>
        <v>0</v>
      </c>
      <c r="L13" s="11">
        <f>'38A1'!L13+'38A3'!P13+'38A4'!P13</f>
        <v>0</v>
      </c>
      <c r="M13" s="11">
        <f>'38A1'!M13+'38A3'!R13+'38A4'!R13</f>
        <v>0</v>
      </c>
      <c r="N13" s="11">
        <f>'38A1'!N13+'38A3'!T13+'38A4'!T13</f>
        <v>0</v>
      </c>
      <c r="O13" s="11">
        <f>'38A1'!O13+'38A3'!V13+'38A4'!V13</f>
        <v>0</v>
      </c>
      <c r="P13" s="11">
        <f>'38A1'!P13+'38A3'!X13+'38A4'!X13</f>
        <v>0</v>
      </c>
      <c r="Q13" s="11">
        <f>'38A1'!Q13+'38A3'!Z13+'38A4'!Z13</f>
        <v>0</v>
      </c>
      <c r="R13" s="11">
        <f>'38A1'!R13+'38A3'!AB13+'38A4'!AB13</f>
        <v>0</v>
      </c>
      <c r="S13" s="11">
        <f>'38A1'!S13+'38A3'!AD13+'38A4'!AD13</f>
        <v>0</v>
      </c>
    </row>
    <row r="14" spans="1:19" x14ac:dyDescent="0.2">
      <c r="A14" s="166" t="s">
        <v>18</v>
      </c>
      <c r="B14" s="170" t="s">
        <v>839</v>
      </c>
      <c r="C14" s="170"/>
      <c r="D14" s="170"/>
      <c r="E14" s="163"/>
      <c r="F14" s="164"/>
      <c r="G14" s="171" t="s">
        <v>840</v>
      </c>
      <c r="H14" s="118"/>
      <c r="I14" s="33">
        <f>'38A1'!I14+'38A3'!J14+'38A4'!J14</f>
        <v>0</v>
      </c>
      <c r="J14" s="33">
        <f>'38A1'!J14+'38A3'!L14+'38A4'!L14</f>
        <v>0</v>
      </c>
      <c r="K14" s="33">
        <f>'38A1'!K14+'38A3'!N14+'38A4'!N14</f>
        <v>0</v>
      </c>
      <c r="L14" s="11">
        <f>'38A1'!L14+'38A3'!P14+'38A4'!P14</f>
        <v>0</v>
      </c>
      <c r="M14" s="11">
        <f>'38A1'!M14+'38A3'!R14+'38A4'!R14</f>
        <v>0</v>
      </c>
      <c r="N14" s="11">
        <f>'38A1'!N14+'38A3'!T14+'38A4'!T14</f>
        <v>0</v>
      </c>
      <c r="O14" s="11">
        <f>'38A1'!O14+'38A3'!V14+'38A4'!V14</f>
        <v>0</v>
      </c>
      <c r="P14" s="11">
        <f>'38A1'!P14+'38A3'!X14+'38A4'!X14</f>
        <v>0</v>
      </c>
      <c r="Q14" s="11">
        <f>'38A1'!Q14+'38A3'!Z14+'38A4'!Z14</f>
        <v>0</v>
      </c>
      <c r="R14" s="11">
        <f>'38A1'!R14+'38A3'!AB14+'38A4'!AB14</f>
        <v>0</v>
      </c>
      <c r="S14" s="11">
        <f>'38A1'!S14+'38A3'!AD14+'38A4'!AD14</f>
        <v>0</v>
      </c>
    </row>
    <row r="15" spans="1:19" x14ac:dyDescent="0.2">
      <c r="A15" s="166"/>
      <c r="B15" s="170" t="s">
        <v>12</v>
      </c>
      <c r="C15" s="170" t="s">
        <v>841</v>
      </c>
      <c r="D15" s="170"/>
      <c r="E15" s="163"/>
      <c r="F15" s="164"/>
      <c r="G15" s="171" t="s">
        <v>842</v>
      </c>
      <c r="H15" s="118"/>
      <c r="I15" s="33">
        <f>'38A1'!I15+'38A3'!J15+'38A4'!J15</f>
        <v>0</v>
      </c>
      <c r="J15" s="33">
        <f>'38A1'!J15+'38A3'!L15+'38A4'!L15</f>
        <v>0</v>
      </c>
      <c r="K15" s="33">
        <f>'38A1'!K15+'38A3'!N15+'38A4'!N15</f>
        <v>0</v>
      </c>
      <c r="L15" s="11">
        <f>'38A1'!L15+'38A3'!P15+'38A4'!P15</f>
        <v>0</v>
      </c>
      <c r="M15" s="11">
        <f>'38A1'!M15+'38A3'!R15+'38A4'!R15</f>
        <v>0</v>
      </c>
      <c r="N15" s="11">
        <f>'38A1'!N15+'38A3'!T15+'38A4'!T15</f>
        <v>0</v>
      </c>
      <c r="O15" s="11">
        <f>'38A1'!O15+'38A3'!V15+'38A4'!V15</f>
        <v>0</v>
      </c>
      <c r="P15" s="11">
        <f>'38A1'!P15+'38A3'!X15+'38A4'!X15</f>
        <v>0</v>
      </c>
      <c r="Q15" s="11">
        <f>'38A1'!Q15+'38A3'!Z15+'38A4'!Z15</f>
        <v>0</v>
      </c>
      <c r="R15" s="11">
        <f>'38A1'!R15+'38A3'!AB15+'38A4'!AB15</f>
        <v>0</v>
      </c>
      <c r="S15" s="11">
        <f>'38A1'!S15+'38A3'!AD15+'38A4'!AD15</f>
        <v>0</v>
      </c>
    </row>
    <row r="16" spans="1:19" x14ac:dyDescent="0.2">
      <c r="A16" s="166"/>
      <c r="B16" s="170" t="s">
        <v>14</v>
      </c>
      <c r="C16" s="170" t="s">
        <v>843</v>
      </c>
      <c r="D16" s="170"/>
      <c r="E16" s="163"/>
      <c r="F16" s="164"/>
      <c r="G16" s="171" t="s">
        <v>844</v>
      </c>
      <c r="H16" s="118"/>
      <c r="I16" s="33">
        <f>'38A1'!I16+'38A3'!J16+'38A4'!J16</f>
        <v>0</v>
      </c>
      <c r="J16" s="33">
        <f>'38A1'!J16+'38A3'!L16+'38A4'!L16</f>
        <v>0</v>
      </c>
      <c r="K16" s="33">
        <f>'38A1'!K16+'38A3'!N16+'38A4'!N16</f>
        <v>0</v>
      </c>
      <c r="L16" s="11">
        <f>'38A1'!L16+'38A3'!P16+'38A4'!P16</f>
        <v>0</v>
      </c>
      <c r="M16" s="11">
        <f>'38A1'!M16+'38A3'!R16+'38A4'!R16</f>
        <v>0</v>
      </c>
      <c r="N16" s="11">
        <f>'38A1'!N16+'38A3'!T16+'38A4'!T16</f>
        <v>0</v>
      </c>
      <c r="O16" s="11">
        <f>'38A1'!O16+'38A3'!V16+'38A4'!V16</f>
        <v>0</v>
      </c>
      <c r="P16" s="11">
        <f>'38A1'!P16+'38A3'!X16+'38A4'!X16</f>
        <v>0</v>
      </c>
      <c r="Q16" s="11">
        <f>'38A1'!Q16+'38A3'!Z16+'38A4'!Z16</f>
        <v>0</v>
      </c>
      <c r="R16" s="11">
        <f>'38A1'!R16+'38A3'!AB16+'38A4'!AB16</f>
        <v>0</v>
      </c>
      <c r="S16" s="11">
        <f>'38A1'!S16+'38A3'!AD16+'38A4'!AD16</f>
        <v>0</v>
      </c>
    </row>
    <row r="17" spans="1:19" x14ac:dyDescent="0.2">
      <c r="A17" s="166" t="s">
        <v>28</v>
      </c>
      <c r="B17" s="170" t="s">
        <v>845</v>
      </c>
      <c r="C17" s="170"/>
      <c r="D17" s="170"/>
      <c r="E17" s="163"/>
      <c r="F17" s="164"/>
      <c r="G17" s="171" t="s">
        <v>846</v>
      </c>
      <c r="H17" s="119"/>
      <c r="I17" s="33">
        <f>'38A1'!I17+'38A3'!J17+'38A4'!J17</f>
        <v>0</v>
      </c>
      <c r="J17" s="33">
        <f>'38A1'!J17+'38A3'!L17+'38A4'!L17</f>
        <v>0</v>
      </c>
      <c r="K17" s="33">
        <f>'38A1'!K17+'38A3'!N17+'38A4'!N17</f>
        <v>0</v>
      </c>
      <c r="L17" s="11">
        <f>'38A1'!L17+'38A3'!P17+'38A4'!P17</f>
        <v>0</v>
      </c>
      <c r="M17" s="11">
        <f>'38A1'!M17+'38A3'!R17+'38A4'!R17</f>
        <v>0</v>
      </c>
      <c r="N17" s="11">
        <f>'38A1'!N17+'38A3'!T17+'38A4'!T17</f>
        <v>0</v>
      </c>
      <c r="O17" s="11">
        <f>'38A1'!O17+'38A3'!V17+'38A4'!V17</f>
        <v>0</v>
      </c>
      <c r="P17" s="11">
        <f>'38A1'!P17+'38A3'!X17+'38A4'!X17</f>
        <v>0</v>
      </c>
      <c r="Q17" s="11">
        <f>'38A1'!Q17+'38A3'!Z17+'38A4'!Z17</f>
        <v>0</v>
      </c>
      <c r="R17" s="11">
        <f>'38A1'!R17+'38A3'!AB17+'38A4'!AB17</f>
        <v>0</v>
      </c>
      <c r="S17" s="11">
        <f>'38A1'!S17+'38A3'!AD17+'38A4'!AD17</f>
        <v>0</v>
      </c>
    </row>
    <row r="18" spans="1:19" x14ac:dyDescent="0.2">
      <c r="A18" s="166"/>
      <c r="B18" s="172" t="s">
        <v>12</v>
      </c>
      <c r="C18" s="170" t="s">
        <v>847</v>
      </c>
      <c r="D18" s="170"/>
      <c r="E18" s="163"/>
      <c r="F18" s="164"/>
      <c r="G18" s="171" t="s">
        <v>848</v>
      </c>
      <c r="H18" s="119"/>
      <c r="I18" s="33">
        <f>'38A1'!I18+'38A3'!J18+'38A4'!J18</f>
        <v>0</v>
      </c>
      <c r="J18" s="33">
        <f>'38A1'!J18+'38A3'!L18+'38A4'!L18</f>
        <v>0</v>
      </c>
      <c r="K18" s="33">
        <f>'38A1'!K18+'38A3'!N18+'38A4'!N18</f>
        <v>0</v>
      </c>
      <c r="L18" s="11">
        <f>'38A1'!L18+'38A3'!P18+'38A4'!P18</f>
        <v>0</v>
      </c>
      <c r="M18" s="11">
        <f>'38A1'!M18+'38A3'!R18+'38A4'!R18</f>
        <v>0</v>
      </c>
      <c r="N18" s="11">
        <f>'38A1'!N18+'38A3'!T18+'38A4'!T18</f>
        <v>0</v>
      </c>
      <c r="O18" s="11">
        <f>'38A1'!O18+'38A3'!V18+'38A4'!V18</f>
        <v>0</v>
      </c>
      <c r="P18" s="11">
        <f>'38A1'!P18+'38A3'!X18+'38A4'!X18</f>
        <v>0</v>
      </c>
      <c r="Q18" s="11">
        <f>'38A1'!Q18+'38A3'!Z18+'38A4'!Z18</f>
        <v>0</v>
      </c>
      <c r="R18" s="11">
        <f>'38A1'!R18+'38A3'!AB18+'38A4'!AB18</f>
        <v>0</v>
      </c>
      <c r="S18" s="11">
        <f>'38A1'!S18+'38A3'!AD18+'38A4'!AD18</f>
        <v>0</v>
      </c>
    </row>
    <row r="19" spans="1:19" x14ac:dyDescent="0.2">
      <c r="A19" s="166"/>
      <c r="B19" s="172"/>
      <c r="C19" s="173" t="s">
        <v>849</v>
      </c>
      <c r="D19" s="170"/>
      <c r="E19" s="163"/>
      <c r="F19" s="164"/>
      <c r="G19" s="171" t="s">
        <v>850</v>
      </c>
      <c r="H19" s="119"/>
      <c r="I19" s="33">
        <f>'38A1'!I19+'38A3'!J19+'38A4'!J19</f>
        <v>0</v>
      </c>
      <c r="J19" s="33">
        <f>'38A1'!J19+'38A3'!L19+'38A4'!L19</f>
        <v>0</v>
      </c>
      <c r="K19" s="33">
        <f>'38A1'!K19+'38A3'!N19+'38A4'!N19</f>
        <v>0</v>
      </c>
      <c r="L19" s="11">
        <f>'38A1'!L19+'38A3'!P19+'38A4'!P19</f>
        <v>0</v>
      </c>
      <c r="M19" s="11">
        <f>'38A1'!M19+'38A3'!R19+'38A4'!R19</f>
        <v>0</v>
      </c>
      <c r="N19" s="11">
        <f>'38A1'!N19+'38A3'!T19+'38A4'!T19</f>
        <v>0</v>
      </c>
      <c r="O19" s="11">
        <f>'38A1'!O19+'38A3'!V19+'38A4'!V19</f>
        <v>0</v>
      </c>
      <c r="P19" s="11">
        <f>'38A1'!P19+'38A3'!X19+'38A4'!X19</f>
        <v>0</v>
      </c>
      <c r="Q19" s="11">
        <f>'38A1'!Q19+'38A3'!Z19+'38A4'!Z19</f>
        <v>0</v>
      </c>
      <c r="R19" s="11">
        <f>'38A1'!R19+'38A3'!AB19+'38A4'!AB19</f>
        <v>0</v>
      </c>
      <c r="S19" s="11">
        <f>'38A1'!S19+'38A3'!AD19+'38A4'!AD19</f>
        <v>0</v>
      </c>
    </row>
    <row r="20" spans="1:19" x14ac:dyDescent="0.2">
      <c r="A20" s="166"/>
      <c r="B20" s="172"/>
      <c r="C20" s="170" t="s">
        <v>851</v>
      </c>
      <c r="D20" s="170"/>
      <c r="E20" s="163"/>
      <c r="F20" s="164"/>
      <c r="G20" s="171" t="s">
        <v>852</v>
      </c>
      <c r="H20" s="119"/>
      <c r="I20" s="33">
        <f>'38A1'!I20+'38A3'!J20+'38A4'!J20</f>
        <v>0</v>
      </c>
      <c r="J20" s="33">
        <f>'38A1'!J20+'38A3'!L20+'38A4'!L20</f>
        <v>0</v>
      </c>
      <c r="K20" s="33">
        <f>'38A1'!K20+'38A3'!N20+'38A4'!N20</f>
        <v>0</v>
      </c>
      <c r="L20" s="11">
        <f>'38A1'!L20+'38A3'!P20+'38A4'!P20</f>
        <v>0</v>
      </c>
      <c r="M20" s="11">
        <f>'38A1'!M20+'38A3'!R20+'38A4'!R20</f>
        <v>0</v>
      </c>
      <c r="N20" s="11">
        <f>'38A1'!N20+'38A3'!T20+'38A4'!T20</f>
        <v>0</v>
      </c>
      <c r="O20" s="11">
        <f>'38A1'!O20+'38A3'!V20+'38A4'!V20</f>
        <v>0</v>
      </c>
      <c r="P20" s="11">
        <f>'38A1'!P20+'38A3'!X20+'38A4'!X20</f>
        <v>0</v>
      </c>
      <c r="Q20" s="11">
        <f>'38A1'!Q20+'38A3'!Z20+'38A4'!Z20</f>
        <v>0</v>
      </c>
      <c r="R20" s="11">
        <f>'38A1'!R20+'38A3'!AB20+'38A4'!AB20</f>
        <v>0</v>
      </c>
      <c r="S20" s="11">
        <f>'38A1'!S20+'38A3'!AD20+'38A4'!AD20</f>
        <v>0</v>
      </c>
    </row>
    <row r="21" spans="1:19" x14ac:dyDescent="0.2">
      <c r="A21" s="166"/>
      <c r="B21" s="172"/>
      <c r="C21" s="173" t="s">
        <v>853</v>
      </c>
      <c r="D21" s="170"/>
      <c r="E21" s="163"/>
      <c r="F21" s="164"/>
      <c r="G21" s="171" t="s">
        <v>854</v>
      </c>
      <c r="H21" s="119"/>
      <c r="I21" s="33">
        <f>'38A1'!I21+'38A3'!J21+'38A4'!J21</f>
        <v>0</v>
      </c>
      <c r="J21" s="33">
        <f>'38A1'!J21+'38A3'!L21+'38A4'!L21</f>
        <v>0</v>
      </c>
      <c r="K21" s="33">
        <f>'38A1'!K21+'38A3'!N21+'38A4'!N21</f>
        <v>0</v>
      </c>
      <c r="L21" s="11">
        <f>'38A1'!L21+'38A3'!P21+'38A4'!P21</f>
        <v>0</v>
      </c>
      <c r="M21" s="11">
        <f>'38A1'!M21+'38A3'!R21+'38A4'!R21</f>
        <v>0</v>
      </c>
      <c r="N21" s="11">
        <f>'38A1'!N21+'38A3'!T21+'38A4'!T21</f>
        <v>0</v>
      </c>
      <c r="O21" s="11">
        <f>'38A1'!O21+'38A3'!V21+'38A4'!V21</f>
        <v>0</v>
      </c>
      <c r="P21" s="11">
        <f>'38A1'!P21+'38A3'!X21+'38A4'!X21</f>
        <v>0</v>
      </c>
      <c r="Q21" s="11">
        <f>'38A1'!Q21+'38A3'!Z21+'38A4'!Z21</f>
        <v>0</v>
      </c>
      <c r="R21" s="11">
        <f>'38A1'!R21+'38A3'!AB21+'38A4'!AB21</f>
        <v>0</v>
      </c>
      <c r="S21" s="11">
        <f>'38A1'!S21+'38A3'!AD21+'38A4'!AD21</f>
        <v>0</v>
      </c>
    </row>
    <row r="22" spans="1:19" x14ac:dyDescent="0.2">
      <c r="A22" s="166"/>
      <c r="B22" s="172"/>
      <c r="C22" s="170" t="s">
        <v>855</v>
      </c>
      <c r="D22" s="170"/>
      <c r="E22" s="163"/>
      <c r="F22" s="164"/>
      <c r="G22" s="171" t="s">
        <v>856</v>
      </c>
      <c r="H22" s="119"/>
      <c r="I22" s="33">
        <f>'38A1'!I22+'38A3'!J22+'38A4'!J22</f>
        <v>0</v>
      </c>
      <c r="J22" s="33">
        <f>'38A1'!J22+'38A3'!L22+'38A4'!L22</f>
        <v>0</v>
      </c>
      <c r="K22" s="33">
        <f>'38A1'!K22+'38A3'!N22+'38A4'!N22</f>
        <v>0</v>
      </c>
      <c r="L22" s="11">
        <f>'38A1'!L22+'38A3'!P22+'38A4'!P22</f>
        <v>0</v>
      </c>
      <c r="M22" s="11">
        <f>'38A1'!M22+'38A3'!R22+'38A4'!R22</f>
        <v>0</v>
      </c>
      <c r="N22" s="11">
        <f>'38A1'!N22+'38A3'!T22+'38A4'!T22</f>
        <v>0</v>
      </c>
      <c r="O22" s="11">
        <f>'38A1'!O22+'38A3'!V22+'38A4'!V22</f>
        <v>0</v>
      </c>
      <c r="P22" s="11">
        <f>'38A1'!P22+'38A3'!X22+'38A4'!X22</f>
        <v>0</v>
      </c>
      <c r="Q22" s="11">
        <f>'38A1'!Q22+'38A3'!Z22+'38A4'!Z22</f>
        <v>0</v>
      </c>
      <c r="R22" s="11">
        <f>'38A1'!R22+'38A3'!AB22+'38A4'!AB22</f>
        <v>0</v>
      </c>
      <c r="S22" s="11">
        <f>'38A1'!S22+'38A3'!AD22+'38A4'!AD22</f>
        <v>0</v>
      </c>
    </row>
    <row r="23" spans="1:19" x14ac:dyDescent="0.2">
      <c r="A23" s="166"/>
      <c r="B23" s="172" t="s">
        <v>14</v>
      </c>
      <c r="C23" s="170" t="s">
        <v>857</v>
      </c>
      <c r="D23" s="170"/>
      <c r="E23" s="163"/>
      <c r="F23" s="164"/>
      <c r="G23" s="171" t="s">
        <v>858</v>
      </c>
      <c r="H23" s="119"/>
      <c r="I23" s="33">
        <f>'38A1'!I23+'38A3'!J23+'38A4'!J23</f>
        <v>0</v>
      </c>
      <c r="J23" s="33">
        <f>'38A1'!J23+'38A3'!L23+'38A4'!L23</f>
        <v>0</v>
      </c>
      <c r="K23" s="33">
        <f>'38A1'!K23+'38A3'!N23+'38A4'!N23</f>
        <v>0</v>
      </c>
      <c r="L23" s="11">
        <f>'38A1'!L23+'38A3'!P23+'38A4'!P23</f>
        <v>0</v>
      </c>
      <c r="M23" s="11">
        <f>'38A1'!M23+'38A3'!R23+'38A4'!R23</f>
        <v>0</v>
      </c>
      <c r="N23" s="11">
        <f>'38A1'!N23+'38A3'!T23+'38A4'!T23</f>
        <v>0</v>
      </c>
      <c r="O23" s="11">
        <f>'38A1'!O23+'38A3'!V23+'38A4'!V23</f>
        <v>0</v>
      </c>
      <c r="P23" s="11">
        <f>'38A1'!P23+'38A3'!X23+'38A4'!X23</f>
        <v>0</v>
      </c>
      <c r="Q23" s="11">
        <f>'38A1'!Q23+'38A3'!Z23+'38A4'!Z23</f>
        <v>0</v>
      </c>
      <c r="R23" s="11">
        <f>'38A1'!R23+'38A3'!AB23+'38A4'!AB23</f>
        <v>0</v>
      </c>
      <c r="S23" s="11">
        <f>'38A1'!S23+'38A3'!AD23+'38A4'!AD23</f>
        <v>0</v>
      </c>
    </row>
    <row r="24" spans="1:19" x14ac:dyDescent="0.2">
      <c r="A24" s="166"/>
      <c r="B24" s="170"/>
      <c r="C24" s="173" t="s">
        <v>853</v>
      </c>
      <c r="D24" s="170"/>
      <c r="E24" s="163"/>
      <c r="F24" s="164"/>
      <c r="G24" s="171" t="s">
        <v>859</v>
      </c>
      <c r="H24" s="119"/>
      <c r="I24" s="33">
        <f>'38A1'!I24+'38A3'!J24+'38A4'!J24</f>
        <v>0</v>
      </c>
      <c r="J24" s="33">
        <f>'38A1'!J24+'38A3'!L24+'38A4'!L24</f>
        <v>0</v>
      </c>
      <c r="K24" s="33">
        <f>'38A1'!K24+'38A3'!N24+'38A4'!N24</f>
        <v>0</v>
      </c>
      <c r="L24" s="11">
        <f>'38A1'!L24+'38A3'!P24+'38A4'!P24</f>
        <v>0</v>
      </c>
      <c r="M24" s="11">
        <f>'38A1'!M24+'38A3'!R24+'38A4'!R24</f>
        <v>0</v>
      </c>
      <c r="N24" s="11">
        <f>'38A1'!N24+'38A3'!T24+'38A4'!T24</f>
        <v>0</v>
      </c>
      <c r="O24" s="11">
        <f>'38A1'!O24+'38A3'!V24+'38A4'!V24</f>
        <v>0</v>
      </c>
      <c r="P24" s="11">
        <f>'38A1'!P24+'38A3'!X24+'38A4'!X24</f>
        <v>0</v>
      </c>
      <c r="Q24" s="11">
        <f>'38A1'!Q24+'38A3'!Z24+'38A4'!Z24</f>
        <v>0</v>
      </c>
      <c r="R24" s="11">
        <f>'38A1'!R24+'38A3'!AB24+'38A4'!AB24</f>
        <v>0</v>
      </c>
      <c r="S24" s="11">
        <f>'38A1'!S24+'38A3'!AD24+'38A4'!AD24</f>
        <v>0</v>
      </c>
    </row>
    <row r="25" spans="1:19" x14ac:dyDescent="0.2">
      <c r="A25" s="166"/>
      <c r="B25" s="167"/>
      <c r="C25" s="170" t="s">
        <v>860</v>
      </c>
      <c r="D25" s="170"/>
      <c r="E25" s="163"/>
      <c r="F25" s="164"/>
      <c r="G25" s="171" t="s">
        <v>861</v>
      </c>
      <c r="H25" s="119"/>
      <c r="I25" s="33">
        <f>'38A1'!I25+'38A3'!J25+'38A4'!J25</f>
        <v>0</v>
      </c>
      <c r="J25" s="33">
        <f>'38A1'!J25+'38A3'!L25+'38A4'!L25</f>
        <v>0</v>
      </c>
      <c r="K25" s="33">
        <f>'38A1'!K25+'38A3'!N25+'38A4'!N25</f>
        <v>0</v>
      </c>
      <c r="L25" s="11">
        <f>'38A1'!L25+'38A3'!P25+'38A4'!P25</f>
        <v>0</v>
      </c>
      <c r="M25" s="11">
        <f>'38A1'!M25+'38A3'!R25+'38A4'!R25</f>
        <v>0</v>
      </c>
      <c r="N25" s="11">
        <f>'38A1'!N25+'38A3'!T25+'38A4'!T25</f>
        <v>0</v>
      </c>
      <c r="O25" s="11">
        <f>'38A1'!O25+'38A3'!V25+'38A4'!V25</f>
        <v>0</v>
      </c>
      <c r="P25" s="11">
        <f>'38A1'!P25+'38A3'!X25+'38A4'!X25</f>
        <v>0</v>
      </c>
      <c r="Q25" s="11">
        <f>'38A1'!Q25+'38A3'!Z25+'38A4'!Z25</f>
        <v>0</v>
      </c>
      <c r="R25" s="11">
        <f>'38A1'!R25+'38A3'!AB25+'38A4'!AB25</f>
        <v>0</v>
      </c>
      <c r="S25" s="11">
        <f>'38A1'!S25+'38A3'!AD25+'38A4'!AD25</f>
        <v>0</v>
      </c>
    </row>
    <row r="26" spans="1:19" x14ac:dyDescent="0.2">
      <c r="A26" s="166"/>
      <c r="B26" s="173" t="s">
        <v>862</v>
      </c>
      <c r="C26" s="173"/>
      <c r="D26" s="173"/>
      <c r="E26" s="163"/>
      <c r="F26" s="164"/>
      <c r="G26" s="171" t="s">
        <v>863</v>
      </c>
      <c r="H26" s="119"/>
      <c r="I26" s="33">
        <f>'38A1'!I26+'38A3'!J26+'38A4'!J26</f>
        <v>0</v>
      </c>
      <c r="J26" s="33">
        <f>'38A1'!J26+'38A3'!L26+'38A4'!L26</f>
        <v>0</v>
      </c>
      <c r="K26" s="33">
        <f>'38A1'!K26+'38A3'!N26+'38A4'!N26</f>
        <v>0</v>
      </c>
      <c r="L26" s="11">
        <f>'38A1'!L26+'38A3'!P26+'38A4'!P26</f>
        <v>0</v>
      </c>
      <c r="M26" s="11">
        <f>'38A1'!M26+'38A3'!R26+'38A4'!R26</f>
        <v>0</v>
      </c>
      <c r="N26" s="11">
        <f>'38A1'!N26+'38A3'!T26+'38A4'!T26</f>
        <v>0</v>
      </c>
      <c r="O26" s="11">
        <f>'38A1'!O26+'38A3'!V26+'38A4'!V26</f>
        <v>0</v>
      </c>
      <c r="P26" s="11">
        <f>'38A1'!P26+'38A3'!X26+'38A4'!X26</f>
        <v>0</v>
      </c>
      <c r="Q26" s="11">
        <f>'38A1'!Q26+'38A3'!Z26+'38A4'!Z26</f>
        <v>0</v>
      </c>
      <c r="R26" s="11">
        <f>'38A1'!R26+'38A3'!AB26+'38A4'!AB26</f>
        <v>0</v>
      </c>
      <c r="S26" s="11">
        <f>'38A1'!S26+'38A3'!AD26+'38A4'!AD26</f>
        <v>0</v>
      </c>
    </row>
    <row r="27" spans="1:19" x14ac:dyDescent="0.2">
      <c r="A27" s="166"/>
      <c r="B27" s="170" t="s">
        <v>864</v>
      </c>
      <c r="C27" s="170"/>
      <c r="D27" s="170"/>
      <c r="E27" s="163"/>
      <c r="F27" s="164"/>
      <c r="G27" s="171" t="s">
        <v>865</v>
      </c>
      <c r="H27" s="119"/>
      <c r="I27" s="33">
        <f>'38A1'!I27+'38A3'!J27+'38A4'!J27</f>
        <v>0</v>
      </c>
      <c r="J27" s="33">
        <f>'38A1'!J27+'38A3'!L27+'38A4'!L27</f>
        <v>0</v>
      </c>
      <c r="K27" s="33">
        <f>'38A1'!K27+'38A3'!N27+'38A4'!N27</f>
        <v>0</v>
      </c>
      <c r="L27" s="11">
        <f>'38A1'!L27+'38A3'!P27+'38A4'!P27</f>
        <v>0</v>
      </c>
      <c r="M27" s="11">
        <f>'38A1'!M27+'38A3'!R27+'38A4'!R27</f>
        <v>0</v>
      </c>
      <c r="N27" s="11">
        <f>'38A1'!N27+'38A3'!T27+'38A4'!T27</f>
        <v>0</v>
      </c>
      <c r="O27" s="11">
        <f>'38A1'!O27+'38A3'!V27+'38A4'!V27</f>
        <v>0</v>
      </c>
      <c r="P27" s="11">
        <f>'38A1'!P27+'38A3'!X27+'38A4'!X27</f>
        <v>0</v>
      </c>
      <c r="Q27" s="11">
        <f>'38A1'!Q27+'38A3'!Z27+'38A4'!Z27</f>
        <v>0</v>
      </c>
      <c r="R27" s="11">
        <f>'38A1'!R27+'38A3'!AB27+'38A4'!AB27</f>
        <v>0</v>
      </c>
      <c r="S27" s="11">
        <f>'38A1'!S27+'38A3'!AD27+'38A4'!AD27</f>
        <v>0</v>
      </c>
    </row>
    <row r="28" spans="1:19" x14ac:dyDescent="0.2">
      <c r="A28" s="166" t="s">
        <v>31</v>
      </c>
      <c r="B28" s="170" t="s">
        <v>866</v>
      </c>
      <c r="C28" s="170"/>
      <c r="D28" s="170"/>
      <c r="E28" s="163"/>
      <c r="F28" s="164"/>
      <c r="G28" s="171" t="s">
        <v>867</v>
      </c>
      <c r="H28" s="119"/>
      <c r="I28" s="33">
        <f>'38A1'!I28+'38A3'!J28+'38A4'!J28</f>
        <v>0</v>
      </c>
      <c r="J28" s="33">
        <f>'38A1'!J28+'38A3'!L28+'38A4'!L28</f>
        <v>0</v>
      </c>
      <c r="K28" s="33">
        <f>'38A1'!K28+'38A3'!N28+'38A4'!N28</f>
        <v>0</v>
      </c>
      <c r="L28" s="11">
        <f>'38A1'!L28+'38A3'!P28+'38A4'!P28</f>
        <v>0</v>
      </c>
      <c r="M28" s="11">
        <f>'38A1'!M28+'38A3'!R28+'38A4'!R28</f>
        <v>0</v>
      </c>
      <c r="N28" s="11">
        <f>'38A1'!N28+'38A3'!T28+'38A4'!T28</f>
        <v>0</v>
      </c>
      <c r="O28" s="11">
        <f>'38A1'!O28+'38A3'!V28+'38A4'!V28</f>
        <v>0</v>
      </c>
      <c r="P28" s="11">
        <f>'38A1'!P28+'38A3'!X28+'38A4'!X28</f>
        <v>0</v>
      </c>
      <c r="Q28" s="11">
        <f>'38A1'!Q28+'38A3'!Z28+'38A4'!Z28</f>
        <v>0</v>
      </c>
      <c r="R28" s="11">
        <f>'38A1'!R28+'38A3'!AB28+'38A4'!AB28</f>
        <v>0</v>
      </c>
      <c r="S28" s="11">
        <f>'38A1'!S28+'38A3'!AD28+'38A4'!AD28</f>
        <v>0</v>
      </c>
    </row>
    <row r="29" spans="1:19" x14ac:dyDescent="0.2">
      <c r="A29" s="166"/>
      <c r="B29" s="170"/>
      <c r="C29" s="173" t="s">
        <v>849</v>
      </c>
      <c r="D29" s="170"/>
      <c r="E29" s="163"/>
      <c r="F29" s="164"/>
      <c r="G29" s="171" t="s">
        <v>868</v>
      </c>
      <c r="H29" s="119"/>
      <c r="I29" s="33">
        <f>'38A1'!I29+'38A3'!J29+'38A4'!J29</f>
        <v>0</v>
      </c>
      <c r="J29" s="33">
        <f>'38A1'!J29+'38A3'!L29+'38A4'!L29</f>
        <v>0</v>
      </c>
      <c r="K29" s="33">
        <f>'38A1'!K29+'38A3'!N29+'38A4'!N29</f>
        <v>0</v>
      </c>
      <c r="L29" s="11">
        <f>'38A1'!L29+'38A3'!P29+'38A4'!P29</f>
        <v>0</v>
      </c>
      <c r="M29" s="11">
        <f>'38A1'!M29+'38A3'!R29+'38A4'!R29</f>
        <v>0</v>
      </c>
      <c r="N29" s="11">
        <f>'38A1'!N29+'38A3'!T29+'38A4'!T29</f>
        <v>0</v>
      </c>
      <c r="O29" s="11">
        <f>'38A1'!O29+'38A3'!V29+'38A4'!V29</f>
        <v>0</v>
      </c>
      <c r="P29" s="11">
        <f>'38A1'!P29+'38A3'!X29+'38A4'!X29</f>
        <v>0</v>
      </c>
      <c r="Q29" s="11">
        <f>'38A1'!Q29+'38A3'!Z29+'38A4'!Z29</f>
        <v>0</v>
      </c>
      <c r="R29" s="11">
        <f>'38A1'!R29+'38A3'!AB29+'38A4'!AB29</f>
        <v>0</v>
      </c>
      <c r="S29" s="11">
        <f>'38A1'!S29+'38A3'!AD29+'38A4'!AD29</f>
        <v>0</v>
      </c>
    </row>
    <row r="30" spans="1:19" x14ac:dyDescent="0.2">
      <c r="A30" s="166"/>
      <c r="B30" s="170"/>
      <c r="C30" s="170" t="s">
        <v>869</v>
      </c>
      <c r="D30" s="170"/>
      <c r="E30" s="163"/>
      <c r="F30" s="164"/>
      <c r="G30" s="171" t="s">
        <v>870</v>
      </c>
      <c r="H30" s="119"/>
      <c r="I30" s="33">
        <f>'38A1'!I30+'38A3'!J30+'38A4'!J30</f>
        <v>0</v>
      </c>
      <c r="J30" s="33">
        <f>'38A1'!J30+'38A3'!L30+'38A4'!L30</f>
        <v>0</v>
      </c>
      <c r="K30" s="33">
        <f>'38A1'!K30+'38A3'!N30+'38A4'!N30</f>
        <v>0</v>
      </c>
      <c r="L30" s="11">
        <f>'38A1'!L30+'38A3'!P30+'38A4'!P30</f>
        <v>0</v>
      </c>
      <c r="M30" s="11">
        <f>'38A1'!M30+'38A3'!R30+'38A4'!R30</f>
        <v>0</v>
      </c>
      <c r="N30" s="11">
        <f>'38A1'!N30+'38A3'!T30+'38A4'!T30</f>
        <v>0</v>
      </c>
      <c r="O30" s="11">
        <f>'38A1'!O30+'38A3'!V30+'38A4'!V30</f>
        <v>0</v>
      </c>
      <c r="P30" s="11">
        <f>'38A1'!P30+'38A3'!X30+'38A4'!X30</f>
        <v>0</v>
      </c>
      <c r="Q30" s="11">
        <f>'38A1'!Q30+'38A3'!Z30+'38A4'!Z30</f>
        <v>0</v>
      </c>
      <c r="R30" s="11">
        <f>'38A1'!R30+'38A3'!AB30+'38A4'!AB30</f>
        <v>0</v>
      </c>
      <c r="S30" s="11">
        <f>'38A1'!S30+'38A3'!AD30+'38A4'!AD30</f>
        <v>0</v>
      </c>
    </row>
    <row r="31" spans="1:19" x14ac:dyDescent="0.2">
      <c r="A31" s="166"/>
      <c r="B31" s="173" t="s">
        <v>862</v>
      </c>
      <c r="C31" s="170"/>
      <c r="D31" s="170"/>
      <c r="E31" s="163"/>
      <c r="F31" s="164"/>
      <c r="G31" s="171" t="s">
        <v>871</v>
      </c>
      <c r="H31" s="119"/>
      <c r="I31" s="33">
        <f>'38A1'!I31+'38A3'!J31+'38A4'!J31</f>
        <v>0</v>
      </c>
      <c r="J31" s="33">
        <f>'38A1'!J31+'38A3'!L31+'38A4'!L31</f>
        <v>0</v>
      </c>
      <c r="K31" s="33">
        <f>'38A1'!K31+'38A3'!N31+'38A4'!N31</f>
        <v>0</v>
      </c>
      <c r="L31" s="11">
        <f>'38A1'!L31+'38A3'!P31+'38A4'!P31</f>
        <v>0</v>
      </c>
      <c r="M31" s="11">
        <f>'38A1'!M31+'38A3'!R31+'38A4'!R31</f>
        <v>0</v>
      </c>
      <c r="N31" s="11">
        <f>'38A1'!N31+'38A3'!T31+'38A4'!T31</f>
        <v>0</v>
      </c>
      <c r="O31" s="11">
        <f>'38A1'!O31+'38A3'!V31+'38A4'!V31</f>
        <v>0</v>
      </c>
      <c r="P31" s="11">
        <f>'38A1'!P31+'38A3'!X31+'38A4'!X31</f>
        <v>0</v>
      </c>
      <c r="Q31" s="11">
        <f>'38A1'!Q31+'38A3'!Z31+'38A4'!Z31</f>
        <v>0</v>
      </c>
      <c r="R31" s="11">
        <f>'38A1'!R31+'38A3'!AB31+'38A4'!AB31</f>
        <v>0</v>
      </c>
      <c r="S31" s="11">
        <f>'38A1'!S31+'38A3'!AD31+'38A4'!AD31</f>
        <v>0</v>
      </c>
    </row>
    <row r="32" spans="1:19" x14ac:dyDescent="0.2">
      <c r="A32" s="174"/>
      <c r="B32" s="170" t="s">
        <v>872</v>
      </c>
      <c r="C32" s="170"/>
      <c r="D32" s="170"/>
      <c r="E32" s="163"/>
      <c r="F32" s="164"/>
      <c r="G32" s="171" t="s">
        <v>873</v>
      </c>
      <c r="H32" s="119"/>
      <c r="I32" s="33">
        <f>'38A1'!I32+'38A3'!J32+'38A4'!J32</f>
        <v>0</v>
      </c>
      <c r="J32" s="33">
        <f>'38A1'!J32+'38A3'!L32+'38A4'!L32</f>
        <v>0</v>
      </c>
      <c r="K32" s="33">
        <f>'38A1'!K32+'38A3'!N32+'38A4'!N32</f>
        <v>0</v>
      </c>
      <c r="L32" s="11">
        <f>'38A1'!L32+'38A3'!P32+'38A4'!P32</f>
        <v>0</v>
      </c>
      <c r="M32" s="11">
        <f>'38A1'!M32+'38A3'!R32+'38A4'!R32</f>
        <v>0</v>
      </c>
      <c r="N32" s="11">
        <f>'38A1'!N32+'38A3'!T32+'38A4'!T32</f>
        <v>0</v>
      </c>
      <c r="O32" s="11">
        <f>'38A1'!O32+'38A3'!V32+'38A4'!V32</f>
        <v>0</v>
      </c>
      <c r="P32" s="11">
        <f>'38A1'!P32+'38A3'!X32+'38A4'!X32</f>
        <v>0</v>
      </c>
      <c r="Q32" s="11">
        <f>'38A1'!Q32+'38A3'!Z32+'38A4'!Z32</f>
        <v>0</v>
      </c>
      <c r="R32" s="11">
        <f>'38A1'!R32+'38A3'!AB32+'38A4'!AB32</f>
        <v>0</v>
      </c>
      <c r="S32" s="11">
        <f>'38A1'!S32+'38A3'!AD32+'38A4'!AD32</f>
        <v>0</v>
      </c>
    </row>
    <row r="33" spans="1:19" x14ac:dyDescent="0.2">
      <c r="A33" s="166" t="s">
        <v>38</v>
      </c>
      <c r="B33" s="170" t="s">
        <v>874</v>
      </c>
      <c r="C33" s="170"/>
      <c r="D33" s="170"/>
      <c r="E33" s="163"/>
      <c r="F33" s="164"/>
      <c r="G33" s="171" t="s">
        <v>875</v>
      </c>
      <c r="H33" s="119"/>
      <c r="I33" s="33">
        <f>'38A1'!I33+'38A3'!J33+'38A4'!J33</f>
        <v>0</v>
      </c>
      <c r="J33" s="33">
        <f>'38A1'!J33+'38A3'!L33+'38A4'!L33</f>
        <v>0</v>
      </c>
      <c r="K33" s="33">
        <f>'38A1'!K33+'38A3'!N33+'38A4'!N33</f>
        <v>0</v>
      </c>
      <c r="L33" s="11">
        <f>'38A1'!L33+'38A3'!P33+'38A4'!P33</f>
        <v>0</v>
      </c>
      <c r="M33" s="11">
        <f>'38A1'!M33+'38A3'!R33+'38A4'!R33</f>
        <v>0</v>
      </c>
      <c r="N33" s="11">
        <f>'38A1'!N33+'38A3'!T33+'38A4'!T33</f>
        <v>0</v>
      </c>
      <c r="O33" s="11">
        <f>'38A1'!O33+'38A3'!V33+'38A4'!V33</f>
        <v>0</v>
      </c>
      <c r="P33" s="11">
        <f>'38A1'!P33+'38A3'!X33+'38A4'!X33</f>
        <v>0</v>
      </c>
      <c r="Q33" s="11">
        <f>'38A1'!Q33+'38A3'!Z33+'38A4'!Z33</f>
        <v>0</v>
      </c>
      <c r="R33" s="11">
        <f>'38A1'!R33+'38A3'!AB33+'38A4'!AB33</f>
        <v>0</v>
      </c>
      <c r="S33" s="11">
        <f>'38A1'!S33+'38A3'!AD33+'38A4'!AD33</f>
        <v>0</v>
      </c>
    </row>
    <row r="34" spans="1:19" x14ac:dyDescent="0.2">
      <c r="A34" s="174"/>
      <c r="B34" s="170"/>
      <c r="C34" s="173" t="s">
        <v>849</v>
      </c>
      <c r="D34" s="170"/>
      <c r="E34" s="163"/>
      <c r="F34" s="164"/>
      <c r="G34" s="171" t="s">
        <v>876</v>
      </c>
      <c r="H34" s="119"/>
      <c r="I34" s="33">
        <f>'38A1'!I34+'38A3'!J34+'38A4'!J34</f>
        <v>0</v>
      </c>
      <c r="J34" s="33">
        <f>'38A1'!J34+'38A3'!L34+'38A4'!L34</f>
        <v>0</v>
      </c>
      <c r="K34" s="33">
        <f>'38A1'!K34+'38A3'!N34+'38A4'!N34</f>
        <v>0</v>
      </c>
      <c r="L34" s="11">
        <f>'38A1'!L34+'38A3'!P34+'38A4'!P34</f>
        <v>0</v>
      </c>
      <c r="M34" s="11">
        <f>'38A1'!M34+'38A3'!R34+'38A4'!R34</f>
        <v>0</v>
      </c>
      <c r="N34" s="11">
        <f>'38A1'!N34+'38A3'!T34+'38A4'!T34</f>
        <v>0</v>
      </c>
      <c r="O34" s="11">
        <f>'38A1'!O34+'38A3'!V34+'38A4'!V34</f>
        <v>0</v>
      </c>
      <c r="P34" s="11">
        <f>'38A1'!P34+'38A3'!X34+'38A4'!X34</f>
        <v>0</v>
      </c>
      <c r="Q34" s="11">
        <f>'38A1'!Q34+'38A3'!Z34+'38A4'!Z34</f>
        <v>0</v>
      </c>
      <c r="R34" s="11">
        <f>'38A1'!R34+'38A3'!AB34+'38A4'!AB34</f>
        <v>0</v>
      </c>
      <c r="S34" s="11">
        <f>'38A1'!S34+'38A3'!AD34+'38A4'!AD34</f>
        <v>0</v>
      </c>
    </row>
    <row r="35" spans="1:19" ht="27" customHeight="1" x14ac:dyDescent="0.2">
      <c r="A35" s="174"/>
      <c r="B35" s="170"/>
      <c r="C35" s="203" t="s">
        <v>877</v>
      </c>
      <c r="D35" s="203"/>
      <c r="E35" s="204"/>
      <c r="F35" s="164"/>
      <c r="G35" s="171" t="s">
        <v>878</v>
      </c>
      <c r="H35" s="119"/>
      <c r="I35" s="33">
        <f>'38A1'!I35+'38A3'!J35+'38A4'!J35</f>
        <v>0</v>
      </c>
      <c r="J35" s="33">
        <f>'38A1'!J35+'38A3'!L35+'38A4'!L35</f>
        <v>0</v>
      </c>
      <c r="K35" s="33">
        <f>'38A1'!K35+'38A3'!N35+'38A4'!N35</f>
        <v>0</v>
      </c>
      <c r="L35" s="11">
        <f>'38A1'!L35+'38A3'!P35+'38A4'!P35</f>
        <v>0</v>
      </c>
      <c r="M35" s="11">
        <f>'38A1'!M35+'38A3'!R35+'38A4'!R35</f>
        <v>0</v>
      </c>
      <c r="N35" s="11">
        <f>'38A1'!N35+'38A3'!T35+'38A4'!T35</f>
        <v>0</v>
      </c>
      <c r="O35" s="11">
        <f>'38A1'!O35+'38A3'!V35+'38A4'!V35</f>
        <v>0</v>
      </c>
      <c r="P35" s="11">
        <f>'38A1'!P35+'38A3'!X35+'38A4'!X35</f>
        <v>0</v>
      </c>
      <c r="Q35" s="11">
        <f>'38A1'!Q35+'38A3'!Z35+'38A4'!Z35</f>
        <v>0</v>
      </c>
      <c r="R35" s="11">
        <f>'38A1'!R35+'38A3'!AB35+'38A4'!AB35</f>
        <v>0</v>
      </c>
      <c r="S35" s="11">
        <f>'38A1'!S35+'38A3'!AD35+'38A4'!AD35</f>
        <v>0</v>
      </c>
    </row>
    <row r="36" spans="1:19" x14ac:dyDescent="0.2">
      <c r="A36" s="174"/>
      <c r="B36" s="173" t="s">
        <v>862</v>
      </c>
      <c r="C36" s="170"/>
      <c r="D36" s="170"/>
      <c r="E36" s="163"/>
      <c r="F36" s="164"/>
      <c r="G36" s="171" t="s">
        <v>879</v>
      </c>
      <c r="H36" s="119"/>
      <c r="I36" s="33">
        <f>'38A1'!I36+'38A3'!J36+'38A4'!J36</f>
        <v>0</v>
      </c>
      <c r="J36" s="33">
        <f>'38A1'!J36+'38A3'!L36+'38A4'!L36</f>
        <v>0</v>
      </c>
      <c r="K36" s="33">
        <f>'38A1'!K36+'38A3'!N36+'38A4'!N36</f>
        <v>0</v>
      </c>
      <c r="L36" s="11">
        <f>'38A1'!L36+'38A3'!P36+'38A4'!P36</f>
        <v>0</v>
      </c>
      <c r="M36" s="11">
        <f>'38A1'!M36+'38A3'!R36+'38A4'!R36</f>
        <v>0</v>
      </c>
      <c r="N36" s="11">
        <f>'38A1'!N36+'38A3'!T36+'38A4'!T36</f>
        <v>0</v>
      </c>
      <c r="O36" s="11">
        <f>'38A1'!O36+'38A3'!V36+'38A4'!V36</f>
        <v>0</v>
      </c>
      <c r="P36" s="11">
        <f>'38A1'!P36+'38A3'!X36+'38A4'!X36</f>
        <v>0</v>
      </c>
      <c r="Q36" s="11">
        <f>'38A1'!Q36+'38A3'!Z36+'38A4'!Z36</f>
        <v>0</v>
      </c>
      <c r="R36" s="11">
        <f>'38A1'!R36+'38A3'!AB36+'38A4'!AB36</f>
        <v>0</v>
      </c>
      <c r="S36" s="11">
        <f>'38A1'!S36+'38A3'!AD36+'38A4'!AD36</f>
        <v>0</v>
      </c>
    </row>
    <row r="37" spans="1:19" x14ac:dyDescent="0.2">
      <c r="A37" s="174"/>
      <c r="B37" s="170" t="s">
        <v>880</v>
      </c>
      <c r="C37" s="170"/>
      <c r="D37" s="170"/>
      <c r="E37" s="163"/>
      <c r="F37" s="164"/>
      <c r="G37" s="171" t="s">
        <v>881</v>
      </c>
      <c r="H37" s="119"/>
      <c r="I37" s="33">
        <f>'38A1'!I37+'38A3'!J37+'38A4'!J37</f>
        <v>0</v>
      </c>
      <c r="J37" s="33">
        <f>'38A1'!J37+'38A3'!L37+'38A4'!L37</f>
        <v>0</v>
      </c>
      <c r="K37" s="33">
        <f>'38A1'!K37+'38A3'!N37+'38A4'!N37</f>
        <v>0</v>
      </c>
      <c r="L37" s="11">
        <f>'38A1'!L37+'38A3'!P37+'38A4'!P37</f>
        <v>0</v>
      </c>
      <c r="M37" s="11">
        <f>'38A1'!M37+'38A3'!R37+'38A4'!R37</f>
        <v>0</v>
      </c>
      <c r="N37" s="11">
        <f>'38A1'!N37+'38A3'!T37+'38A4'!T37</f>
        <v>0</v>
      </c>
      <c r="O37" s="11">
        <f>'38A1'!O37+'38A3'!V37+'38A4'!V37</f>
        <v>0</v>
      </c>
      <c r="P37" s="11">
        <f>'38A1'!P37+'38A3'!X37+'38A4'!X37</f>
        <v>0</v>
      </c>
      <c r="Q37" s="11">
        <f>'38A1'!Q37+'38A3'!Z37+'38A4'!Z37</f>
        <v>0</v>
      </c>
      <c r="R37" s="11">
        <f>'38A1'!R37+'38A3'!AB37+'38A4'!AB37</f>
        <v>0</v>
      </c>
      <c r="S37" s="11">
        <f>'38A1'!S37+'38A3'!AD37+'38A4'!AD37</f>
        <v>0</v>
      </c>
    </row>
    <row r="38" spans="1:19" x14ac:dyDescent="0.2">
      <c r="A38" s="166" t="s">
        <v>42</v>
      </c>
      <c r="B38" s="170" t="s">
        <v>882</v>
      </c>
      <c r="C38" s="170"/>
      <c r="D38" s="170"/>
      <c r="E38" s="163"/>
      <c r="F38" s="164"/>
      <c r="G38" s="171" t="s">
        <v>883</v>
      </c>
      <c r="H38" s="119"/>
      <c r="I38" s="33">
        <f>'38A1'!I38+'38A3'!J38+'38A4'!J38</f>
        <v>0</v>
      </c>
      <c r="J38" s="33">
        <f>'38A1'!J38+'38A3'!L38+'38A4'!L38</f>
        <v>0</v>
      </c>
      <c r="K38" s="33">
        <f>'38A1'!K38+'38A3'!N38+'38A4'!N38</f>
        <v>0</v>
      </c>
      <c r="L38" s="11">
        <f>'38A1'!L38+'38A3'!P38+'38A4'!P38</f>
        <v>0</v>
      </c>
      <c r="M38" s="11">
        <f>'38A1'!M38+'38A3'!R38+'38A4'!R38</f>
        <v>0</v>
      </c>
      <c r="N38" s="11">
        <f>'38A1'!N38+'38A3'!T38+'38A4'!T38</f>
        <v>0</v>
      </c>
      <c r="O38" s="11">
        <f>'38A1'!O38+'38A3'!V38+'38A4'!V38</f>
        <v>0</v>
      </c>
      <c r="P38" s="11">
        <f>'38A1'!P38+'38A3'!X38+'38A4'!X38</f>
        <v>0</v>
      </c>
      <c r="Q38" s="11">
        <f>'38A1'!Q38+'38A3'!Z38+'38A4'!Z38</f>
        <v>0</v>
      </c>
      <c r="R38" s="11">
        <f>'38A1'!R38+'38A3'!AB38+'38A4'!AB38</f>
        <v>0</v>
      </c>
      <c r="S38" s="11">
        <f>'38A1'!S38+'38A3'!AD38+'38A4'!AD38</f>
        <v>0</v>
      </c>
    </row>
    <row r="39" spans="1:19" x14ac:dyDescent="0.2">
      <c r="A39" s="166"/>
      <c r="B39" s="173" t="s">
        <v>862</v>
      </c>
      <c r="C39" s="170"/>
      <c r="D39" s="170"/>
      <c r="E39" s="163"/>
      <c r="F39" s="164"/>
      <c r="G39" s="171" t="s">
        <v>884</v>
      </c>
      <c r="H39" s="119"/>
      <c r="I39" s="33">
        <f>'38A1'!I39+'38A3'!J39+'38A4'!J39</f>
        <v>0</v>
      </c>
      <c r="J39" s="33">
        <f>'38A1'!J39+'38A3'!L39+'38A4'!L39</f>
        <v>0</v>
      </c>
      <c r="K39" s="33">
        <f>'38A1'!K39+'38A3'!N39+'38A4'!N39</f>
        <v>0</v>
      </c>
      <c r="L39" s="11">
        <f>'38A1'!L39+'38A3'!P39+'38A4'!P39</f>
        <v>0</v>
      </c>
      <c r="M39" s="11">
        <f>'38A1'!M39+'38A3'!R39+'38A4'!R39</f>
        <v>0</v>
      </c>
      <c r="N39" s="11">
        <f>'38A1'!N39+'38A3'!T39+'38A4'!T39</f>
        <v>0</v>
      </c>
      <c r="O39" s="11">
        <f>'38A1'!O39+'38A3'!V39+'38A4'!V39</f>
        <v>0</v>
      </c>
      <c r="P39" s="11">
        <f>'38A1'!P39+'38A3'!X39+'38A4'!X39</f>
        <v>0</v>
      </c>
      <c r="Q39" s="11">
        <f>'38A1'!Q39+'38A3'!Z39+'38A4'!Z39</f>
        <v>0</v>
      </c>
      <c r="R39" s="11">
        <f>'38A1'!R39+'38A3'!AB39+'38A4'!AB39</f>
        <v>0</v>
      </c>
      <c r="S39" s="11">
        <f>'38A1'!S39+'38A3'!AD39+'38A4'!AD39</f>
        <v>0</v>
      </c>
    </row>
    <row r="40" spans="1:19" x14ac:dyDescent="0.2">
      <c r="A40" s="166"/>
      <c r="B40" s="170" t="s">
        <v>885</v>
      </c>
      <c r="C40" s="170"/>
      <c r="D40" s="170"/>
      <c r="E40" s="163"/>
      <c r="F40" s="164"/>
      <c r="G40" s="171" t="s">
        <v>886</v>
      </c>
      <c r="H40" s="119"/>
      <c r="I40" s="33">
        <f>'38A1'!I40+'38A3'!J40+'38A4'!J40</f>
        <v>0</v>
      </c>
      <c r="J40" s="33">
        <f>'38A1'!J40+'38A3'!L40+'38A4'!L40</f>
        <v>0</v>
      </c>
      <c r="K40" s="33">
        <f>'38A1'!K40+'38A3'!N40+'38A4'!N40</f>
        <v>0</v>
      </c>
      <c r="L40" s="11">
        <f>'38A1'!L40+'38A3'!P40+'38A4'!P40</f>
        <v>0</v>
      </c>
      <c r="M40" s="11">
        <f>'38A1'!M40+'38A3'!R40+'38A4'!R40</f>
        <v>0</v>
      </c>
      <c r="N40" s="11">
        <f>'38A1'!N40+'38A3'!T40+'38A4'!T40</f>
        <v>0</v>
      </c>
      <c r="O40" s="11">
        <f>'38A1'!O40+'38A3'!V40+'38A4'!V40</f>
        <v>0</v>
      </c>
      <c r="P40" s="11">
        <f>'38A1'!P40+'38A3'!X40+'38A4'!X40</f>
        <v>0</v>
      </c>
      <c r="Q40" s="11">
        <f>'38A1'!Q40+'38A3'!Z40+'38A4'!Z40</f>
        <v>0</v>
      </c>
      <c r="R40" s="11">
        <f>'38A1'!R40+'38A3'!AB40+'38A4'!AB40</f>
        <v>0</v>
      </c>
      <c r="S40" s="11">
        <f>'38A1'!S40+'38A3'!AD40+'38A4'!AD40</f>
        <v>0</v>
      </c>
    </row>
    <row r="41" spans="1:19" x14ac:dyDescent="0.2">
      <c r="A41" s="166" t="s">
        <v>44</v>
      </c>
      <c r="B41" s="170" t="s">
        <v>887</v>
      </c>
      <c r="C41" s="170"/>
      <c r="D41" s="170"/>
      <c r="E41" s="163"/>
      <c r="F41" s="164"/>
      <c r="G41" s="171" t="s">
        <v>888</v>
      </c>
      <c r="H41" s="119"/>
      <c r="I41" s="33">
        <f>'38A1'!I41+'38A3'!J41+'38A4'!J41</f>
        <v>0</v>
      </c>
      <c r="J41" s="33">
        <f>'38A1'!J41+'38A3'!L41+'38A4'!L41</f>
        <v>0</v>
      </c>
      <c r="K41" s="33">
        <f>'38A1'!K41+'38A3'!N41+'38A4'!N41</f>
        <v>0</v>
      </c>
      <c r="L41" s="11">
        <f>'38A1'!L41+'38A3'!P41+'38A4'!P41</f>
        <v>0</v>
      </c>
      <c r="M41" s="11">
        <f>'38A1'!M41+'38A3'!R41+'38A4'!R41</f>
        <v>0</v>
      </c>
      <c r="N41" s="11">
        <f>'38A1'!N41+'38A3'!T41+'38A4'!T41</f>
        <v>0</v>
      </c>
      <c r="O41" s="11">
        <f>'38A1'!O41+'38A3'!V41+'38A4'!V41</f>
        <v>0</v>
      </c>
      <c r="P41" s="11">
        <f>'38A1'!P41+'38A3'!X41+'38A4'!X41</f>
        <v>0</v>
      </c>
      <c r="Q41" s="11">
        <f>'38A1'!Q41+'38A3'!Z41+'38A4'!Z41</f>
        <v>0</v>
      </c>
      <c r="R41" s="11">
        <f>'38A1'!R41+'38A3'!AB41+'38A4'!AB41</f>
        <v>0</v>
      </c>
      <c r="S41" s="11">
        <f>'38A1'!S41+'38A3'!AD41+'38A4'!AD41</f>
        <v>0</v>
      </c>
    </row>
    <row r="42" spans="1:19" x14ac:dyDescent="0.2">
      <c r="A42" s="166"/>
      <c r="B42" s="173" t="s">
        <v>889</v>
      </c>
      <c r="C42" s="170"/>
      <c r="D42" s="170"/>
      <c r="E42" s="163"/>
      <c r="F42" s="164"/>
      <c r="G42" s="171" t="s">
        <v>890</v>
      </c>
      <c r="H42" s="119"/>
      <c r="I42" s="33">
        <f>'38A1'!I42+'38A3'!J42+'38A4'!J42</f>
        <v>0</v>
      </c>
      <c r="J42" s="33">
        <f>'38A1'!J42+'38A3'!L42+'38A4'!L42</f>
        <v>0</v>
      </c>
      <c r="K42" s="33">
        <f>'38A1'!K42+'38A3'!N42+'38A4'!N42</f>
        <v>0</v>
      </c>
      <c r="L42" s="11">
        <f>'38A1'!L42+'38A3'!P42+'38A4'!P42</f>
        <v>0</v>
      </c>
      <c r="M42" s="11">
        <f>'38A1'!M42+'38A3'!R42+'38A4'!R42</f>
        <v>0</v>
      </c>
      <c r="N42" s="11">
        <f>'38A1'!N42+'38A3'!T42+'38A4'!T42</f>
        <v>0</v>
      </c>
      <c r="O42" s="11">
        <f>'38A1'!O42+'38A3'!V42+'38A4'!V42</f>
        <v>0</v>
      </c>
      <c r="P42" s="11">
        <f>'38A1'!P42+'38A3'!X42+'38A4'!X42</f>
        <v>0</v>
      </c>
      <c r="Q42" s="11">
        <f>'38A1'!Q42+'38A3'!Z42+'38A4'!Z42</f>
        <v>0</v>
      </c>
      <c r="R42" s="11">
        <f>'38A1'!R42+'38A3'!AB42+'38A4'!AB42</f>
        <v>0</v>
      </c>
      <c r="S42" s="11">
        <f>'38A1'!S42+'38A3'!AD42+'38A4'!AD42</f>
        <v>0</v>
      </c>
    </row>
    <row r="43" spans="1:19" x14ac:dyDescent="0.2">
      <c r="A43" s="166"/>
      <c r="B43" s="170" t="s">
        <v>891</v>
      </c>
      <c r="C43" s="170"/>
      <c r="D43" s="170"/>
      <c r="E43" s="163"/>
      <c r="F43" s="164"/>
      <c r="G43" s="171" t="s">
        <v>892</v>
      </c>
      <c r="H43" s="119"/>
      <c r="I43" s="33">
        <f>'38A1'!I43+'38A3'!J43+'38A4'!J43</f>
        <v>0</v>
      </c>
      <c r="J43" s="33">
        <f>'38A1'!J43+'38A3'!L43+'38A4'!L43</f>
        <v>0</v>
      </c>
      <c r="K43" s="33">
        <f>'38A1'!K43+'38A3'!N43+'38A4'!N43</f>
        <v>0</v>
      </c>
      <c r="L43" s="11">
        <f>'38A1'!L43+'38A3'!P43+'38A4'!P43</f>
        <v>0</v>
      </c>
      <c r="M43" s="11">
        <f>'38A1'!M43+'38A3'!R43+'38A4'!R43</f>
        <v>0</v>
      </c>
      <c r="N43" s="11">
        <f>'38A1'!N43+'38A3'!T43+'38A4'!T43</f>
        <v>0</v>
      </c>
      <c r="O43" s="11">
        <f>'38A1'!O43+'38A3'!V43+'38A4'!V43</f>
        <v>0</v>
      </c>
      <c r="P43" s="11">
        <f>'38A1'!P43+'38A3'!X43+'38A4'!X43</f>
        <v>0</v>
      </c>
      <c r="Q43" s="11">
        <f>'38A1'!Q43+'38A3'!Z43+'38A4'!Z43</f>
        <v>0</v>
      </c>
      <c r="R43" s="11">
        <f>'38A1'!R43+'38A3'!AB43+'38A4'!AB43</f>
        <v>0</v>
      </c>
      <c r="S43" s="11">
        <f>'38A1'!S43+'38A3'!AD43+'38A4'!AD43</f>
        <v>0</v>
      </c>
    </row>
    <row r="44" spans="1:19" x14ac:dyDescent="0.2">
      <c r="A44" s="174"/>
      <c r="B44" s="173" t="s">
        <v>862</v>
      </c>
      <c r="C44" s="167"/>
      <c r="D44" s="173"/>
      <c r="E44" s="163"/>
      <c r="F44" s="164"/>
      <c r="G44" s="171" t="s">
        <v>893</v>
      </c>
      <c r="H44" s="119"/>
      <c r="I44" s="33">
        <f>'38A1'!I44+'38A3'!J44+'38A4'!J44</f>
        <v>0</v>
      </c>
      <c r="J44" s="33">
        <f>'38A1'!J44+'38A3'!L44+'38A4'!L44</f>
        <v>0</v>
      </c>
      <c r="K44" s="33">
        <f>'38A1'!K44+'38A3'!N44+'38A4'!N44</f>
        <v>0</v>
      </c>
      <c r="L44" s="11">
        <f>'38A1'!L44+'38A3'!P44+'38A4'!P44</f>
        <v>0</v>
      </c>
      <c r="M44" s="11">
        <f>'38A1'!M44+'38A3'!R44+'38A4'!R44</f>
        <v>0</v>
      </c>
      <c r="N44" s="11">
        <f>'38A1'!N44+'38A3'!T44+'38A4'!T44</f>
        <v>0</v>
      </c>
      <c r="O44" s="11">
        <f>'38A1'!O44+'38A3'!V44+'38A4'!V44</f>
        <v>0</v>
      </c>
      <c r="P44" s="11">
        <f>'38A1'!P44+'38A3'!X44+'38A4'!X44</f>
        <v>0</v>
      </c>
      <c r="Q44" s="11">
        <f>'38A1'!Q44+'38A3'!Z44+'38A4'!Z44</f>
        <v>0</v>
      </c>
      <c r="R44" s="11">
        <f>'38A1'!R44+'38A3'!AB44+'38A4'!AB44</f>
        <v>0</v>
      </c>
      <c r="S44" s="11">
        <f>'38A1'!S44+'38A3'!AD44+'38A4'!AD44</f>
        <v>0</v>
      </c>
    </row>
    <row r="45" spans="1:19" ht="26.25" customHeight="1" x14ac:dyDescent="0.2">
      <c r="A45" s="174"/>
      <c r="B45" s="203" t="s">
        <v>894</v>
      </c>
      <c r="C45" s="203"/>
      <c r="D45" s="203"/>
      <c r="E45" s="204"/>
      <c r="F45" s="164"/>
      <c r="G45" s="175" t="s">
        <v>895</v>
      </c>
      <c r="H45" s="119"/>
      <c r="I45" s="33">
        <f>'38A1'!I45+'38A3'!J45+'38A4'!J45</f>
        <v>0</v>
      </c>
      <c r="J45" s="33">
        <f>'38A1'!J45+'38A3'!L45+'38A4'!L45</f>
        <v>0</v>
      </c>
      <c r="K45" s="33">
        <f>'38A1'!K45+'38A3'!N45+'38A4'!N45</f>
        <v>0</v>
      </c>
      <c r="L45" s="11">
        <f>'38A1'!L45+'38A3'!P45+'38A4'!P45</f>
        <v>0</v>
      </c>
      <c r="M45" s="11">
        <f>'38A1'!M45+'38A3'!R45+'38A4'!R45</f>
        <v>0</v>
      </c>
      <c r="N45" s="11">
        <f>'38A1'!N45+'38A3'!T45+'38A4'!T45</f>
        <v>0</v>
      </c>
      <c r="O45" s="11">
        <f>'38A1'!O45+'38A3'!V45+'38A4'!V45</f>
        <v>0</v>
      </c>
      <c r="P45" s="11">
        <f>'38A1'!P45+'38A3'!X45+'38A4'!X45</f>
        <v>0</v>
      </c>
      <c r="Q45" s="11">
        <f>'38A1'!Q45+'38A3'!Z45+'38A4'!Z45</f>
        <v>0</v>
      </c>
      <c r="R45" s="11">
        <f>'38A1'!R45+'38A3'!AB45+'38A4'!AB45</f>
        <v>0</v>
      </c>
      <c r="S45" s="11">
        <f>'38A1'!S45+'38A3'!AD45+'38A4'!AD45</f>
        <v>0</v>
      </c>
    </row>
    <row r="46" spans="1:19" ht="38.25" customHeight="1" x14ac:dyDescent="0.2">
      <c r="A46" s="166" t="s">
        <v>896</v>
      </c>
      <c r="B46" s="203" t="s">
        <v>897</v>
      </c>
      <c r="C46" s="203"/>
      <c r="D46" s="203"/>
      <c r="E46" s="204"/>
      <c r="F46" s="164"/>
      <c r="G46" s="176" t="s">
        <v>898</v>
      </c>
      <c r="H46" s="118"/>
      <c r="I46" s="33">
        <f>'38A1'!I46+'38A3'!J46+'38A4'!J46</f>
        <v>0</v>
      </c>
      <c r="J46" s="33">
        <f>'38A1'!J46+'38A3'!L46+'38A4'!L46</f>
        <v>0</v>
      </c>
      <c r="K46" s="33">
        <f>'38A1'!K46+'38A3'!N46+'38A4'!N46</f>
        <v>0</v>
      </c>
      <c r="L46" s="11">
        <f>'38A1'!L46+'38A3'!P46+'38A4'!P46</f>
        <v>0</v>
      </c>
      <c r="M46" s="11">
        <f>'38A1'!M46+'38A3'!R46+'38A4'!R46</f>
        <v>0</v>
      </c>
      <c r="N46" s="11">
        <f>'38A1'!N46+'38A3'!T46+'38A4'!T46</f>
        <v>0</v>
      </c>
      <c r="O46" s="11">
        <f>'38A1'!O46+'38A3'!V46+'38A4'!V46</f>
        <v>0</v>
      </c>
      <c r="P46" s="11">
        <f>'38A1'!P46+'38A3'!X46+'38A4'!X46</f>
        <v>0</v>
      </c>
      <c r="Q46" s="11">
        <f>'38A1'!Q46+'38A3'!Z46+'38A4'!Z46</f>
        <v>0</v>
      </c>
      <c r="R46" s="11">
        <f>'38A1'!R46+'38A3'!AB46+'38A4'!AB46</f>
        <v>0</v>
      </c>
      <c r="S46" s="11">
        <f>'38A1'!S46+'38A3'!AD46+'38A4'!AD46</f>
        <v>0</v>
      </c>
    </row>
    <row r="47" spans="1:19" ht="22.5" x14ac:dyDescent="0.2">
      <c r="A47" s="166"/>
      <c r="B47" s="201" t="s">
        <v>862</v>
      </c>
      <c r="C47" s="201"/>
      <c r="D47" s="201"/>
      <c r="E47" s="202"/>
      <c r="F47" s="164"/>
      <c r="G47" s="176" t="s">
        <v>899</v>
      </c>
      <c r="H47" s="118"/>
      <c r="I47" s="33">
        <f>'38A1'!I47+'38A3'!J47+'38A4'!J47</f>
        <v>0</v>
      </c>
      <c r="J47" s="33">
        <f>'38A1'!J47+'38A3'!L47+'38A4'!L47</f>
        <v>0</v>
      </c>
      <c r="K47" s="33">
        <f>'38A1'!K47+'38A3'!N47+'38A4'!N47</f>
        <v>0</v>
      </c>
      <c r="L47" s="11">
        <f>'38A1'!L47+'38A3'!P47+'38A4'!P47</f>
        <v>0</v>
      </c>
      <c r="M47" s="11">
        <f>'38A1'!M47+'38A3'!R47+'38A4'!R47</f>
        <v>0</v>
      </c>
      <c r="N47" s="11">
        <f>'38A1'!N47+'38A3'!T47+'38A4'!T47</f>
        <v>0</v>
      </c>
      <c r="O47" s="11">
        <f>'38A1'!O47+'38A3'!V47+'38A4'!V47</f>
        <v>0</v>
      </c>
      <c r="P47" s="11">
        <f>'38A1'!P47+'38A3'!X47+'38A4'!X47</f>
        <v>0</v>
      </c>
      <c r="Q47" s="11">
        <f>'38A1'!Q47+'38A3'!Z47+'38A4'!Z47</f>
        <v>0</v>
      </c>
      <c r="R47" s="11">
        <f>'38A1'!R47+'38A3'!AB47+'38A4'!AB47</f>
        <v>0</v>
      </c>
      <c r="S47" s="11">
        <f>'38A1'!S47+'38A3'!AD47+'38A4'!AD47</f>
        <v>0</v>
      </c>
    </row>
    <row r="48" spans="1:19" ht="40.5" customHeight="1" x14ac:dyDescent="0.2">
      <c r="A48" s="166"/>
      <c r="B48" s="203" t="s">
        <v>900</v>
      </c>
      <c r="C48" s="203"/>
      <c r="D48" s="203"/>
      <c r="E48" s="204"/>
      <c r="F48" s="164"/>
      <c r="G48" s="176" t="s">
        <v>901</v>
      </c>
      <c r="H48" s="118"/>
      <c r="I48" s="33">
        <f>'38A1'!I48+'38A3'!J48+'38A4'!J48</f>
        <v>0</v>
      </c>
      <c r="J48" s="33">
        <f>'38A1'!J48+'38A3'!L48+'38A4'!L48</f>
        <v>0</v>
      </c>
      <c r="K48" s="33">
        <f>'38A1'!K48+'38A3'!N48+'38A4'!N48</f>
        <v>0</v>
      </c>
      <c r="L48" s="11">
        <f>'38A1'!L48+'38A3'!P48+'38A4'!P48</f>
        <v>0</v>
      </c>
      <c r="M48" s="11">
        <f>'38A1'!M48+'38A3'!R48+'38A4'!R48</f>
        <v>0</v>
      </c>
      <c r="N48" s="11">
        <f>'38A1'!N48+'38A3'!T48+'38A4'!T48</f>
        <v>0</v>
      </c>
      <c r="O48" s="11">
        <f>'38A1'!O48+'38A3'!V48+'38A4'!V48</f>
        <v>0</v>
      </c>
      <c r="P48" s="11">
        <f>'38A1'!P48+'38A3'!X48+'38A4'!X48</f>
        <v>0</v>
      </c>
      <c r="Q48" s="11">
        <f>'38A1'!Q48+'38A3'!Z48+'38A4'!Z48</f>
        <v>0</v>
      </c>
      <c r="R48" s="11">
        <f>'38A1'!R48+'38A3'!AB48+'38A4'!AB48</f>
        <v>0</v>
      </c>
      <c r="S48" s="11">
        <f>'38A1'!S48+'38A3'!AD48+'38A4'!AD48</f>
        <v>0</v>
      </c>
    </row>
    <row r="49" spans="1:19" x14ac:dyDescent="0.2">
      <c r="A49" s="174"/>
      <c r="B49" s="173" t="s">
        <v>902</v>
      </c>
      <c r="C49" s="170"/>
      <c r="D49" s="170"/>
      <c r="E49" s="163"/>
      <c r="F49" s="164"/>
      <c r="G49" s="171" t="s">
        <v>903</v>
      </c>
      <c r="H49" s="119"/>
      <c r="I49" s="33">
        <f>'38A1'!I49+'38A3'!J49+'38A4'!J49</f>
        <v>0</v>
      </c>
      <c r="J49" s="33">
        <f>'38A1'!J49+'38A3'!L49+'38A4'!L49</f>
        <v>0</v>
      </c>
      <c r="K49" s="33">
        <f>'38A1'!K49+'38A3'!N49+'38A4'!N49</f>
        <v>0</v>
      </c>
      <c r="L49" s="11">
        <f>'38A1'!L49+'38A3'!P49+'38A4'!P49</f>
        <v>0</v>
      </c>
      <c r="M49" s="11">
        <f>'38A1'!M49+'38A3'!R49+'38A4'!R49</f>
        <v>0</v>
      </c>
      <c r="N49" s="11">
        <f>'38A1'!N49+'38A3'!T49+'38A4'!T49</f>
        <v>0</v>
      </c>
      <c r="O49" s="11">
        <f>'38A1'!O49+'38A3'!V49+'38A4'!V49</f>
        <v>0</v>
      </c>
      <c r="P49" s="11">
        <f>'38A1'!P49+'38A3'!X49+'38A4'!X49</f>
        <v>0</v>
      </c>
      <c r="Q49" s="11">
        <f>'38A1'!Q49+'38A3'!Z49+'38A4'!Z49</f>
        <v>0</v>
      </c>
      <c r="R49" s="11">
        <f>'38A1'!R49+'38A3'!AB49+'38A4'!AB49</f>
        <v>0</v>
      </c>
      <c r="S49" s="11">
        <f>'38A1'!S49+'38A3'!AD49+'38A4'!AD49</f>
        <v>0</v>
      </c>
    </row>
    <row r="50" spans="1:19" ht="22.5" x14ac:dyDescent="0.2">
      <c r="A50" s="174"/>
      <c r="B50" s="201" t="s">
        <v>904</v>
      </c>
      <c r="C50" s="201"/>
      <c r="D50" s="201"/>
      <c r="E50" s="202"/>
      <c r="F50" s="164"/>
      <c r="G50" s="175" t="s">
        <v>905</v>
      </c>
      <c r="H50" s="118"/>
      <c r="I50" s="33">
        <f>'38A1'!I50+'38A3'!J50+'38A4'!J50</f>
        <v>0</v>
      </c>
      <c r="J50" s="33">
        <f>'38A1'!J50+'38A3'!L50+'38A4'!L50</f>
        <v>0</v>
      </c>
      <c r="K50" s="33">
        <f>'38A1'!K50+'38A3'!N50+'38A4'!N50</f>
        <v>0</v>
      </c>
      <c r="L50" s="11">
        <f>'38A1'!L50+'38A3'!P50+'38A4'!P50</f>
        <v>0</v>
      </c>
      <c r="M50" s="11">
        <f>'38A1'!M50+'38A3'!R50+'38A4'!R50</f>
        <v>0</v>
      </c>
      <c r="N50" s="11">
        <f>'38A1'!N50+'38A3'!T50+'38A4'!T50</f>
        <v>0</v>
      </c>
      <c r="O50" s="11">
        <f>'38A1'!O50+'38A3'!V50+'38A4'!V50</f>
        <v>0</v>
      </c>
      <c r="P50" s="11">
        <f>'38A1'!P50+'38A3'!X50+'38A4'!X50</f>
        <v>0</v>
      </c>
      <c r="Q50" s="11">
        <f>'38A1'!Q50+'38A3'!Z50+'38A4'!Z50</f>
        <v>0</v>
      </c>
      <c r="R50" s="11">
        <f>'38A1'!R50+'38A3'!AB50+'38A4'!AB50</f>
        <v>0</v>
      </c>
      <c r="S50" s="11">
        <f>'38A1'!S50+'38A3'!AD50+'38A4'!AD50</f>
        <v>0</v>
      </c>
    </row>
    <row r="51" spans="1:19" ht="22.5" x14ac:dyDescent="0.2">
      <c r="A51" s="166" t="s">
        <v>906</v>
      </c>
      <c r="B51" s="203" t="s">
        <v>907</v>
      </c>
      <c r="C51" s="203"/>
      <c r="D51" s="203"/>
      <c r="E51" s="204"/>
      <c r="F51" s="164"/>
      <c r="G51" s="175" t="s">
        <v>908</v>
      </c>
      <c r="H51" s="119"/>
      <c r="I51" s="33">
        <f>'38A1'!I51+'38A3'!J51+'38A4'!J51</f>
        <v>0</v>
      </c>
      <c r="J51" s="33">
        <f>'38A1'!J51+'38A3'!L51+'38A4'!L51</f>
        <v>0</v>
      </c>
      <c r="K51" s="33">
        <f>'38A1'!K51+'38A3'!N51+'38A4'!N51</f>
        <v>0</v>
      </c>
      <c r="L51" s="11">
        <f>'38A1'!L51+'38A3'!P51+'38A4'!P51</f>
        <v>0</v>
      </c>
      <c r="M51" s="11">
        <f>'38A1'!M51+'38A3'!R51+'38A4'!R51</f>
        <v>0</v>
      </c>
      <c r="N51" s="11">
        <f>'38A1'!N51+'38A3'!T51+'38A4'!T51</f>
        <v>0</v>
      </c>
      <c r="O51" s="11">
        <f>'38A1'!O51+'38A3'!V51+'38A4'!V51</f>
        <v>0</v>
      </c>
      <c r="P51" s="11">
        <f>'38A1'!P51+'38A3'!X51+'38A4'!X51</f>
        <v>0</v>
      </c>
      <c r="Q51" s="11">
        <f>'38A1'!Q51+'38A3'!Z51+'38A4'!Z51</f>
        <v>0</v>
      </c>
      <c r="R51" s="11">
        <f>'38A1'!R51+'38A3'!AB51+'38A4'!AB51</f>
        <v>0</v>
      </c>
      <c r="S51" s="11">
        <f>'38A1'!S51+'38A3'!AD51+'38A4'!AD51</f>
        <v>0</v>
      </c>
    </row>
    <row r="52" spans="1:19" x14ac:dyDescent="0.2">
      <c r="A52" s="166" t="s">
        <v>909</v>
      </c>
      <c r="B52" s="170" t="s">
        <v>910</v>
      </c>
      <c r="C52" s="170"/>
      <c r="D52" s="170"/>
      <c r="E52" s="163"/>
      <c r="F52" s="164"/>
      <c r="G52" s="171" t="s">
        <v>911</v>
      </c>
      <c r="H52" s="119"/>
      <c r="I52" s="33">
        <f>'38A1'!I52+'38A3'!J52+'38A4'!J52</f>
        <v>0</v>
      </c>
      <c r="J52" s="33">
        <f>'38A1'!J52+'38A3'!L52+'38A4'!L52</f>
        <v>0</v>
      </c>
      <c r="K52" s="33">
        <f>'38A1'!K52+'38A3'!N52+'38A4'!N52</f>
        <v>0</v>
      </c>
      <c r="L52" s="11">
        <f>'38A1'!L52+'38A3'!P52+'38A4'!P52</f>
        <v>0</v>
      </c>
      <c r="M52" s="11">
        <f>'38A1'!M52+'38A3'!R52+'38A4'!R52</f>
        <v>0</v>
      </c>
      <c r="N52" s="11">
        <f>'38A1'!N52+'38A3'!T52+'38A4'!T52</f>
        <v>0</v>
      </c>
      <c r="O52" s="11">
        <f>'38A1'!O52+'38A3'!V52+'38A4'!V52</f>
        <v>0</v>
      </c>
      <c r="P52" s="11">
        <f>'38A1'!P52+'38A3'!X52+'38A4'!X52</f>
        <v>0</v>
      </c>
      <c r="Q52" s="11">
        <f>'38A1'!Q52+'38A3'!Z52+'38A4'!Z52</f>
        <v>0</v>
      </c>
      <c r="R52" s="11">
        <f>'38A1'!R52+'38A3'!AB52+'38A4'!AB52</f>
        <v>0</v>
      </c>
      <c r="S52" s="11">
        <f>'38A1'!S52+'38A3'!AD52+'38A4'!AD52</f>
        <v>0</v>
      </c>
    </row>
    <row r="53" spans="1:19" x14ac:dyDescent="0.2">
      <c r="A53" s="166"/>
      <c r="B53" s="173" t="s">
        <v>862</v>
      </c>
      <c r="C53" s="173"/>
      <c r="D53" s="170"/>
      <c r="E53" s="163"/>
      <c r="F53" s="164"/>
      <c r="G53" s="171" t="s">
        <v>912</v>
      </c>
      <c r="H53" s="119"/>
      <c r="I53" s="33">
        <f>'38A1'!I53+'38A3'!J53+'38A4'!J53</f>
        <v>0</v>
      </c>
      <c r="J53" s="33">
        <f>'38A1'!J53+'38A3'!L53+'38A4'!L53</f>
        <v>0</v>
      </c>
      <c r="K53" s="33">
        <f>'38A1'!K53+'38A3'!N53+'38A4'!N53</f>
        <v>0</v>
      </c>
      <c r="L53" s="11">
        <f>'38A1'!L53+'38A3'!P53+'38A4'!P53</f>
        <v>0</v>
      </c>
      <c r="M53" s="11">
        <f>'38A1'!M53+'38A3'!R53+'38A4'!R53</f>
        <v>0</v>
      </c>
      <c r="N53" s="11">
        <f>'38A1'!N53+'38A3'!T53+'38A4'!T53</f>
        <v>0</v>
      </c>
      <c r="O53" s="11">
        <f>'38A1'!O53+'38A3'!V53+'38A4'!V53</f>
        <v>0</v>
      </c>
      <c r="P53" s="11">
        <f>'38A1'!P53+'38A3'!X53+'38A4'!X53</f>
        <v>0</v>
      </c>
      <c r="Q53" s="11">
        <f>'38A1'!Q53+'38A3'!Z53+'38A4'!Z53</f>
        <v>0</v>
      </c>
      <c r="R53" s="11">
        <f>'38A1'!R53+'38A3'!AB53+'38A4'!AB53</f>
        <v>0</v>
      </c>
      <c r="S53" s="11">
        <f>'38A1'!S53+'38A3'!AD53+'38A4'!AD53</f>
        <v>0</v>
      </c>
    </row>
    <row r="54" spans="1:19" x14ac:dyDescent="0.2">
      <c r="A54" s="166"/>
      <c r="B54" s="170" t="s">
        <v>913</v>
      </c>
      <c r="C54" s="170"/>
      <c r="D54" s="170"/>
      <c r="E54" s="163"/>
      <c r="F54" s="164"/>
      <c r="G54" s="171" t="s">
        <v>914</v>
      </c>
      <c r="H54" s="119"/>
      <c r="I54" s="33">
        <f>'38A1'!I54+'38A3'!J54+'38A4'!J54</f>
        <v>0</v>
      </c>
      <c r="J54" s="33">
        <f>'38A1'!J54+'38A3'!L54+'38A4'!L54</f>
        <v>0</v>
      </c>
      <c r="K54" s="33">
        <f>'38A1'!K54+'38A3'!N54+'38A4'!N54</f>
        <v>0</v>
      </c>
      <c r="L54" s="11">
        <f>'38A1'!L54+'38A3'!P54+'38A4'!P54</f>
        <v>0</v>
      </c>
      <c r="M54" s="11">
        <f>'38A1'!M54+'38A3'!R54+'38A4'!R54</f>
        <v>0</v>
      </c>
      <c r="N54" s="11">
        <f>'38A1'!N54+'38A3'!T54+'38A4'!T54</f>
        <v>0</v>
      </c>
      <c r="O54" s="11">
        <f>'38A1'!O54+'38A3'!V54+'38A4'!V54</f>
        <v>0</v>
      </c>
      <c r="P54" s="11">
        <f>'38A1'!P54+'38A3'!X54+'38A4'!X54</f>
        <v>0</v>
      </c>
      <c r="Q54" s="11">
        <f>'38A1'!Q54+'38A3'!Z54+'38A4'!Z54</f>
        <v>0</v>
      </c>
      <c r="R54" s="11">
        <f>'38A1'!R54+'38A3'!AB54+'38A4'!AB54</f>
        <v>0</v>
      </c>
      <c r="S54" s="11">
        <f>'38A1'!S54+'38A3'!AD54+'38A4'!AD54</f>
        <v>0</v>
      </c>
    </row>
    <row r="55" spans="1:19" x14ac:dyDescent="0.2">
      <c r="A55" s="166" t="s">
        <v>915</v>
      </c>
      <c r="B55" s="170" t="s">
        <v>916</v>
      </c>
      <c r="C55" s="170"/>
      <c r="D55" s="170"/>
      <c r="E55" s="163"/>
      <c r="F55" s="164"/>
      <c r="G55" s="171" t="s">
        <v>917</v>
      </c>
      <c r="H55" s="118"/>
      <c r="I55" s="33">
        <f>'38A1'!I55+'38A3'!J55+'38A4'!J55</f>
        <v>0</v>
      </c>
      <c r="J55" s="33">
        <f>'38A1'!J55+'38A3'!L55+'38A4'!L55</f>
        <v>0</v>
      </c>
      <c r="K55" s="33">
        <f>'38A1'!K55+'38A3'!N55+'38A4'!N55</f>
        <v>0</v>
      </c>
      <c r="L55" s="11">
        <f>'38A1'!L55+'38A3'!P55+'38A4'!P55</f>
        <v>0</v>
      </c>
      <c r="M55" s="11">
        <f>'38A1'!M55+'38A3'!R55+'38A4'!R55</f>
        <v>0</v>
      </c>
      <c r="N55" s="11">
        <f>'38A1'!N55+'38A3'!T55+'38A4'!T55</f>
        <v>0</v>
      </c>
      <c r="O55" s="11">
        <f>'38A1'!O55+'38A3'!V55+'38A4'!V55</f>
        <v>0</v>
      </c>
      <c r="P55" s="11">
        <f>'38A1'!P55+'38A3'!X55+'38A4'!X55</f>
        <v>0</v>
      </c>
      <c r="Q55" s="11">
        <f>'38A1'!Q55+'38A3'!Z55+'38A4'!Z55</f>
        <v>0</v>
      </c>
      <c r="R55" s="11">
        <f>'38A1'!R55+'38A3'!AB55+'38A4'!AB55</f>
        <v>0</v>
      </c>
      <c r="S55" s="11">
        <f>'38A1'!S55+'38A3'!AD55+'38A4'!AD55</f>
        <v>0</v>
      </c>
    </row>
    <row r="56" spans="1:19" x14ac:dyDescent="0.2">
      <c r="A56" s="166"/>
      <c r="B56" s="173" t="s">
        <v>862</v>
      </c>
      <c r="C56" s="170"/>
      <c r="D56" s="170"/>
      <c r="E56" s="163"/>
      <c r="F56" s="164"/>
      <c r="G56" s="171" t="s">
        <v>918</v>
      </c>
      <c r="H56" s="118"/>
      <c r="I56" s="33">
        <f>'38A1'!I56+'38A3'!J56+'38A4'!J56</f>
        <v>0</v>
      </c>
      <c r="J56" s="33">
        <f>'38A1'!J56+'38A3'!L56+'38A4'!L56</f>
        <v>0</v>
      </c>
      <c r="K56" s="33">
        <f>'38A1'!K56+'38A3'!N56+'38A4'!N56</f>
        <v>0</v>
      </c>
      <c r="L56" s="11">
        <f>'38A1'!L56+'38A3'!P56+'38A4'!P56</f>
        <v>0</v>
      </c>
      <c r="M56" s="11">
        <f>'38A1'!M56+'38A3'!R56+'38A4'!R56</f>
        <v>0</v>
      </c>
      <c r="N56" s="11">
        <f>'38A1'!N56+'38A3'!T56+'38A4'!T56</f>
        <v>0</v>
      </c>
      <c r="O56" s="11">
        <f>'38A1'!O56+'38A3'!V56+'38A4'!V56</f>
        <v>0</v>
      </c>
      <c r="P56" s="11">
        <f>'38A1'!P56+'38A3'!X56+'38A4'!X56</f>
        <v>0</v>
      </c>
      <c r="Q56" s="11">
        <f>'38A1'!Q56+'38A3'!Z56+'38A4'!Z56</f>
        <v>0</v>
      </c>
      <c r="R56" s="11">
        <f>'38A1'!R56+'38A3'!AB56+'38A4'!AB56</f>
        <v>0</v>
      </c>
      <c r="S56" s="11">
        <f>'38A1'!S56+'38A3'!AD56+'38A4'!AD56</f>
        <v>0</v>
      </c>
    </row>
    <row r="57" spans="1:19" x14ac:dyDescent="0.2">
      <c r="A57" s="166"/>
      <c r="B57" s="170" t="s">
        <v>919</v>
      </c>
      <c r="C57" s="170"/>
      <c r="D57" s="170"/>
      <c r="E57" s="163"/>
      <c r="F57" s="164"/>
      <c r="G57" s="171" t="s">
        <v>920</v>
      </c>
      <c r="H57" s="118"/>
      <c r="I57" s="33">
        <f>'38A1'!I57+'38A3'!J57+'38A4'!J57</f>
        <v>0</v>
      </c>
      <c r="J57" s="33">
        <f>'38A1'!J57+'38A3'!L57+'38A4'!L57</f>
        <v>0</v>
      </c>
      <c r="K57" s="33">
        <f>'38A1'!K57+'38A3'!N57+'38A4'!N57</f>
        <v>0</v>
      </c>
      <c r="L57" s="11">
        <f>'38A1'!L57+'38A3'!P57+'38A4'!P57</f>
        <v>0</v>
      </c>
      <c r="M57" s="11">
        <f>'38A1'!M57+'38A3'!R57+'38A4'!R57</f>
        <v>0</v>
      </c>
      <c r="N57" s="11">
        <f>'38A1'!N57+'38A3'!T57+'38A4'!T57</f>
        <v>0</v>
      </c>
      <c r="O57" s="11">
        <f>'38A1'!O57+'38A3'!V57+'38A4'!V57</f>
        <v>0</v>
      </c>
      <c r="P57" s="11">
        <f>'38A1'!P57+'38A3'!X57+'38A4'!X57</f>
        <v>0</v>
      </c>
      <c r="Q57" s="11">
        <f>'38A1'!Q57+'38A3'!Z57+'38A4'!Z57</f>
        <v>0</v>
      </c>
      <c r="R57" s="11">
        <f>'38A1'!R57+'38A3'!AB57+'38A4'!AB57</f>
        <v>0</v>
      </c>
      <c r="S57" s="11">
        <f>'38A1'!S57+'38A3'!AD57+'38A4'!AD57</f>
        <v>0</v>
      </c>
    </row>
    <row r="58" spans="1:19" x14ac:dyDescent="0.2">
      <c r="A58" s="166" t="s">
        <v>921</v>
      </c>
      <c r="B58" s="170" t="s">
        <v>922</v>
      </c>
      <c r="C58" s="170"/>
      <c r="D58" s="170"/>
      <c r="E58" s="163"/>
      <c r="F58" s="164"/>
      <c r="G58" s="171" t="s">
        <v>923</v>
      </c>
      <c r="H58" s="119"/>
      <c r="I58" s="33">
        <f>'38A1'!I58+'38A3'!J58+'38A4'!J58</f>
        <v>0</v>
      </c>
      <c r="J58" s="33">
        <f>'38A1'!J58+'38A3'!L58+'38A4'!L58</f>
        <v>0</v>
      </c>
      <c r="K58" s="33">
        <f>'38A1'!K58+'38A3'!N58+'38A4'!N58</f>
        <v>0</v>
      </c>
      <c r="L58" s="11">
        <f>'38A1'!L58+'38A3'!P58+'38A4'!P58</f>
        <v>0</v>
      </c>
      <c r="M58" s="11">
        <f>'38A1'!M58+'38A3'!R58+'38A4'!R58</f>
        <v>0</v>
      </c>
      <c r="N58" s="11">
        <f>'38A1'!N58+'38A3'!T58+'38A4'!T58</f>
        <v>0</v>
      </c>
      <c r="O58" s="11">
        <f>'38A1'!O58+'38A3'!V58+'38A4'!V58</f>
        <v>0</v>
      </c>
      <c r="P58" s="11">
        <f>'38A1'!P58+'38A3'!X58+'38A4'!X58</f>
        <v>0</v>
      </c>
      <c r="Q58" s="11">
        <f>'38A1'!Q58+'38A3'!Z58+'38A4'!Z58</f>
        <v>0</v>
      </c>
      <c r="R58" s="11">
        <f>'38A1'!R58+'38A3'!AB58+'38A4'!AB58</f>
        <v>0</v>
      </c>
      <c r="S58" s="11">
        <f>'38A1'!S58+'38A3'!AD58+'38A4'!AD58</f>
        <v>0</v>
      </c>
    </row>
    <row r="59" spans="1:19" x14ac:dyDescent="0.2">
      <c r="A59" s="166"/>
      <c r="B59" s="173" t="s">
        <v>924</v>
      </c>
      <c r="C59" s="170"/>
      <c r="D59" s="170"/>
      <c r="E59" s="163"/>
      <c r="F59" s="164"/>
      <c r="G59" s="171" t="s">
        <v>925</v>
      </c>
      <c r="H59" s="119"/>
      <c r="I59" s="33">
        <f>'38A1'!I59+'38A3'!J59+'38A4'!J59</f>
        <v>0</v>
      </c>
      <c r="J59" s="33">
        <f>'38A1'!J59+'38A3'!L59+'38A4'!L59</f>
        <v>0</v>
      </c>
      <c r="K59" s="33">
        <f>'38A1'!K59+'38A3'!N59+'38A4'!N59</f>
        <v>0</v>
      </c>
      <c r="L59" s="11">
        <f>'38A1'!L59+'38A3'!P59+'38A4'!P59</f>
        <v>0</v>
      </c>
      <c r="M59" s="11">
        <f>'38A1'!M59+'38A3'!R59+'38A4'!R59</f>
        <v>0</v>
      </c>
      <c r="N59" s="11">
        <f>'38A1'!N59+'38A3'!T59+'38A4'!T59</f>
        <v>0</v>
      </c>
      <c r="O59" s="11">
        <f>'38A1'!O59+'38A3'!V59+'38A4'!V59</f>
        <v>0</v>
      </c>
      <c r="P59" s="11">
        <f>'38A1'!P59+'38A3'!X59+'38A4'!X59</f>
        <v>0</v>
      </c>
      <c r="Q59" s="11">
        <f>'38A1'!Q59+'38A3'!Z59+'38A4'!Z59</f>
        <v>0</v>
      </c>
      <c r="R59" s="11">
        <f>'38A1'!R59+'38A3'!AB59+'38A4'!AB59</f>
        <v>0</v>
      </c>
      <c r="S59" s="11">
        <f>'38A1'!S59+'38A3'!AD59+'38A4'!AD59</f>
        <v>0</v>
      </c>
    </row>
    <row r="60" spans="1:19" x14ac:dyDescent="0.2">
      <c r="A60" s="166"/>
      <c r="B60" s="173" t="s">
        <v>926</v>
      </c>
      <c r="C60" s="170"/>
      <c r="D60" s="170"/>
      <c r="E60" s="163"/>
      <c r="F60" s="164"/>
      <c r="G60" s="171" t="s">
        <v>927</v>
      </c>
      <c r="H60" s="119"/>
      <c r="I60" s="33">
        <f>'38A1'!I60+'38A3'!J60+'38A4'!J60</f>
        <v>0</v>
      </c>
      <c r="J60" s="33">
        <f>'38A1'!J60+'38A3'!L60+'38A4'!L60</f>
        <v>0</v>
      </c>
      <c r="K60" s="33">
        <f>'38A1'!K60+'38A3'!N60+'38A4'!N60</f>
        <v>0</v>
      </c>
      <c r="L60" s="11">
        <f>'38A1'!L60+'38A3'!P60+'38A4'!P60</f>
        <v>0</v>
      </c>
      <c r="M60" s="11">
        <f>'38A1'!M60+'38A3'!R60+'38A4'!R60</f>
        <v>0</v>
      </c>
      <c r="N60" s="11">
        <f>'38A1'!N60+'38A3'!T60+'38A4'!T60</f>
        <v>0</v>
      </c>
      <c r="O60" s="11">
        <f>'38A1'!O60+'38A3'!V60+'38A4'!V60</f>
        <v>0</v>
      </c>
      <c r="P60" s="11">
        <f>'38A1'!P60+'38A3'!X60+'38A4'!X60</f>
        <v>0</v>
      </c>
      <c r="Q60" s="11">
        <f>'38A1'!Q60+'38A3'!Z60+'38A4'!Z60</f>
        <v>0</v>
      </c>
      <c r="R60" s="11">
        <f>'38A1'!R60+'38A3'!AB60+'38A4'!AB60</f>
        <v>0</v>
      </c>
      <c r="S60" s="11">
        <f>'38A1'!S60+'38A3'!AD60+'38A4'!AD60</f>
        <v>0</v>
      </c>
    </row>
    <row r="61" spans="1:19" ht="22.5" x14ac:dyDescent="0.2">
      <c r="A61" s="166"/>
      <c r="B61" s="170" t="s">
        <v>928</v>
      </c>
      <c r="C61" s="173"/>
      <c r="D61" s="173"/>
      <c r="E61" s="163"/>
      <c r="F61" s="164"/>
      <c r="G61" s="175" t="s">
        <v>929</v>
      </c>
      <c r="H61" s="119"/>
      <c r="I61" s="33">
        <f>'38A1'!I61+'38A3'!J61+'38A4'!J61</f>
        <v>0</v>
      </c>
      <c r="J61" s="33">
        <f>'38A1'!J61+'38A3'!L61+'38A4'!L61</f>
        <v>0</v>
      </c>
      <c r="K61" s="33">
        <f>'38A1'!K61+'38A3'!N61+'38A4'!N61</f>
        <v>0</v>
      </c>
      <c r="L61" s="11">
        <f>'38A1'!L61+'38A3'!P61+'38A4'!P61</f>
        <v>0</v>
      </c>
      <c r="M61" s="11">
        <f>'38A1'!M61+'38A3'!R61+'38A4'!R61</f>
        <v>0</v>
      </c>
      <c r="N61" s="11">
        <f>'38A1'!N61+'38A3'!T61+'38A4'!T61</f>
        <v>0</v>
      </c>
      <c r="O61" s="11">
        <f>'38A1'!O61+'38A3'!V61+'38A4'!V61</f>
        <v>0</v>
      </c>
      <c r="P61" s="11">
        <f>'38A1'!P61+'38A3'!X61+'38A4'!X61</f>
        <v>0</v>
      </c>
      <c r="Q61" s="11">
        <f>'38A1'!Q61+'38A3'!Z61+'38A4'!Z61</f>
        <v>0</v>
      </c>
      <c r="R61" s="11">
        <f>'38A1'!R61+'38A3'!AB61+'38A4'!AB61</f>
        <v>0</v>
      </c>
      <c r="S61" s="11">
        <f>'38A1'!S61+'38A3'!AD61+'38A4'!AD61</f>
        <v>0</v>
      </c>
    </row>
    <row r="62" spans="1:19" x14ac:dyDescent="0.2">
      <c r="A62" s="166" t="s">
        <v>930</v>
      </c>
      <c r="B62" s="170" t="s">
        <v>931</v>
      </c>
      <c r="C62" s="170"/>
      <c r="D62" s="170"/>
      <c r="E62" s="163"/>
      <c r="F62" s="164"/>
      <c r="G62" s="171" t="s">
        <v>932</v>
      </c>
      <c r="H62" s="119"/>
      <c r="I62" s="33">
        <f>'38A1'!I62+'38A3'!J62+'38A4'!J62</f>
        <v>0</v>
      </c>
      <c r="J62" s="33">
        <f>'38A1'!J62+'38A3'!L62+'38A4'!L62</f>
        <v>0</v>
      </c>
      <c r="K62" s="33">
        <f>'38A1'!K62+'38A3'!N62+'38A4'!N62</f>
        <v>0</v>
      </c>
      <c r="L62" s="11">
        <f>'38A1'!L62+'38A3'!P62+'38A4'!P62</f>
        <v>0</v>
      </c>
      <c r="M62" s="11">
        <f>'38A1'!M62+'38A3'!R62+'38A4'!R62</f>
        <v>0</v>
      </c>
      <c r="N62" s="11">
        <f>'38A1'!N62+'38A3'!T62+'38A4'!T62</f>
        <v>0</v>
      </c>
      <c r="O62" s="11">
        <f>'38A1'!O62+'38A3'!V62+'38A4'!V62</f>
        <v>0</v>
      </c>
      <c r="P62" s="11">
        <f>'38A1'!P62+'38A3'!X62+'38A4'!X62</f>
        <v>0</v>
      </c>
      <c r="Q62" s="11">
        <f>'38A1'!Q62+'38A3'!Z62+'38A4'!Z62</f>
        <v>0</v>
      </c>
      <c r="R62" s="11">
        <f>'38A1'!R62+'38A3'!AB62+'38A4'!AB62</f>
        <v>0</v>
      </c>
      <c r="S62" s="11">
        <f>'38A1'!S62+'38A3'!AD62+'38A4'!AD62</f>
        <v>0</v>
      </c>
    </row>
    <row r="63" spans="1:19" x14ac:dyDescent="0.2">
      <c r="A63" s="166"/>
      <c r="B63" s="173" t="s">
        <v>924</v>
      </c>
      <c r="C63" s="170"/>
      <c r="D63" s="170"/>
      <c r="E63" s="163"/>
      <c r="F63" s="164"/>
      <c r="G63" s="171" t="s">
        <v>933</v>
      </c>
      <c r="H63" s="119"/>
      <c r="I63" s="33">
        <f>'38A1'!I63+'38A3'!J63+'38A4'!J63</f>
        <v>0</v>
      </c>
      <c r="J63" s="33">
        <f>'38A1'!J63+'38A3'!L63+'38A4'!L63</f>
        <v>0</v>
      </c>
      <c r="K63" s="33">
        <f>'38A1'!K63+'38A3'!N63+'38A4'!N63</f>
        <v>0</v>
      </c>
      <c r="L63" s="11">
        <f>'38A1'!L63+'38A3'!P63+'38A4'!P63</f>
        <v>0</v>
      </c>
      <c r="M63" s="11">
        <f>'38A1'!M63+'38A3'!R63+'38A4'!R63</f>
        <v>0</v>
      </c>
      <c r="N63" s="11">
        <f>'38A1'!N63+'38A3'!T63+'38A4'!T63</f>
        <v>0</v>
      </c>
      <c r="O63" s="11">
        <f>'38A1'!O63+'38A3'!V63+'38A4'!V63</f>
        <v>0</v>
      </c>
      <c r="P63" s="11">
        <f>'38A1'!P63+'38A3'!X63+'38A4'!X63</f>
        <v>0</v>
      </c>
      <c r="Q63" s="11">
        <f>'38A1'!Q63+'38A3'!Z63+'38A4'!Z63</f>
        <v>0</v>
      </c>
      <c r="R63" s="11">
        <f>'38A1'!R63+'38A3'!AB63+'38A4'!AB63</f>
        <v>0</v>
      </c>
      <c r="S63" s="11">
        <f>'38A1'!S63+'38A3'!AD63+'38A4'!AD63</f>
        <v>0</v>
      </c>
    </row>
    <row r="64" spans="1:19" x14ac:dyDescent="0.2">
      <c r="A64" s="174"/>
      <c r="B64" s="173" t="s">
        <v>926</v>
      </c>
      <c r="C64" s="173"/>
      <c r="D64" s="170"/>
      <c r="E64" s="163"/>
      <c r="F64" s="164"/>
      <c r="G64" s="171" t="s">
        <v>934</v>
      </c>
      <c r="H64" s="119"/>
      <c r="I64" s="33">
        <f>'38A1'!I64+'38A3'!J64+'38A4'!J64</f>
        <v>0</v>
      </c>
      <c r="J64" s="33">
        <f>'38A1'!J64+'38A3'!L64+'38A4'!L64</f>
        <v>0</v>
      </c>
      <c r="K64" s="33">
        <f>'38A1'!K64+'38A3'!N64+'38A4'!N64</f>
        <v>0</v>
      </c>
      <c r="L64" s="11">
        <f>'38A1'!L64+'38A3'!P64+'38A4'!P64</f>
        <v>0</v>
      </c>
      <c r="M64" s="11">
        <f>'38A1'!M64+'38A3'!R64+'38A4'!R64</f>
        <v>0</v>
      </c>
      <c r="N64" s="11">
        <f>'38A1'!N64+'38A3'!T64+'38A4'!T64</f>
        <v>0</v>
      </c>
      <c r="O64" s="11">
        <f>'38A1'!O64+'38A3'!V64+'38A4'!V64</f>
        <v>0</v>
      </c>
      <c r="P64" s="11">
        <f>'38A1'!P64+'38A3'!X64+'38A4'!X64</f>
        <v>0</v>
      </c>
      <c r="Q64" s="11">
        <f>'38A1'!Q64+'38A3'!Z64+'38A4'!Z64</f>
        <v>0</v>
      </c>
      <c r="R64" s="11">
        <f>'38A1'!R64+'38A3'!AB64+'38A4'!AB64</f>
        <v>0</v>
      </c>
      <c r="S64" s="11">
        <f>'38A1'!S64+'38A3'!AD64+'38A4'!AD64</f>
        <v>0</v>
      </c>
    </row>
    <row r="65" spans="1:19" ht="22.5" x14ac:dyDescent="0.2">
      <c r="A65" s="174"/>
      <c r="B65" s="170" t="s">
        <v>935</v>
      </c>
      <c r="C65" s="173"/>
      <c r="D65" s="173"/>
      <c r="E65" s="163"/>
      <c r="F65" s="164"/>
      <c r="G65" s="175" t="s">
        <v>936</v>
      </c>
      <c r="H65" s="119"/>
      <c r="I65" s="33">
        <f>'38A1'!I65+'38A3'!J65+'38A4'!J65</f>
        <v>0</v>
      </c>
      <c r="J65" s="33">
        <f>'38A1'!J65+'38A3'!L65+'38A4'!L65</f>
        <v>0</v>
      </c>
      <c r="K65" s="33">
        <f>'38A1'!K65+'38A3'!N65+'38A4'!N65</f>
        <v>0</v>
      </c>
      <c r="L65" s="11">
        <f>'38A1'!L65+'38A3'!P65+'38A4'!P65</f>
        <v>0</v>
      </c>
      <c r="M65" s="11">
        <f>'38A1'!M65+'38A3'!R65+'38A4'!R65</f>
        <v>0</v>
      </c>
      <c r="N65" s="11">
        <f>'38A1'!N65+'38A3'!T65+'38A4'!T65</f>
        <v>0</v>
      </c>
      <c r="O65" s="11">
        <f>'38A1'!O65+'38A3'!V65+'38A4'!V65</f>
        <v>0</v>
      </c>
      <c r="P65" s="11">
        <f>'38A1'!P65+'38A3'!X65+'38A4'!X65</f>
        <v>0</v>
      </c>
      <c r="Q65" s="11">
        <f>'38A1'!Q65+'38A3'!Z65+'38A4'!Z65</f>
        <v>0</v>
      </c>
      <c r="R65" s="11">
        <f>'38A1'!R65+'38A3'!AB65+'38A4'!AB65</f>
        <v>0</v>
      </c>
      <c r="S65" s="11">
        <f>'38A1'!S65+'38A3'!AD65+'38A4'!AD65</f>
        <v>0</v>
      </c>
    </row>
    <row r="66" spans="1:19" x14ac:dyDescent="0.2">
      <c r="A66" s="166" t="s">
        <v>937</v>
      </c>
      <c r="B66" s="170" t="s">
        <v>938</v>
      </c>
      <c r="C66" s="170"/>
      <c r="D66" s="170"/>
      <c r="E66" s="163"/>
      <c r="F66" s="164"/>
      <c r="G66" s="171" t="s">
        <v>939</v>
      </c>
      <c r="H66" s="118"/>
      <c r="I66" s="33">
        <f>'38A1'!I66+'38A3'!J66+'38A4'!J66</f>
        <v>0</v>
      </c>
      <c r="J66" s="33">
        <f>'38A1'!J66+'38A3'!L66+'38A4'!L66</f>
        <v>0</v>
      </c>
      <c r="K66" s="33">
        <f>'38A1'!K66+'38A3'!N66+'38A4'!N66</f>
        <v>0</v>
      </c>
      <c r="L66" s="11">
        <f>'38A1'!L66+'38A3'!P66+'38A4'!P66</f>
        <v>0</v>
      </c>
      <c r="M66" s="11">
        <f>'38A1'!M66+'38A3'!R66+'38A4'!R66</f>
        <v>0</v>
      </c>
      <c r="N66" s="11">
        <f>'38A1'!N66+'38A3'!T66+'38A4'!T66</f>
        <v>0</v>
      </c>
      <c r="O66" s="11">
        <f>'38A1'!O66+'38A3'!V66+'38A4'!V66</f>
        <v>0</v>
      </c>
      <c r="P66" s="11">
        <f>'38A1'!P66+'38A3'!X66+'38A4'!X66</f>
        <v>0</v>
      </c>
      <c r="Q66" s="11">
        <f>'38A1'!Q66+'38A3'!Z66+'38A4'!Z66</f>
        <v>0</v>
      </c>
      <c r="R66" s="11">
        <f>'38A1'!R66+'38A3'!AB66+'38A4'!AB66</f>
        <v>0</v>
      </c>
      <c r="S66" s="11">
        <f>'38A1'!S66+'38A3'!AD66+'38A4'!AD66</f>
        <v>0</v>
      </c>
    </row>
    <row r="67" spans="1:19" x14ac:dyDescent="0.2">
      <c r="A67" s="166"/>
      <c r="B67" s="173" t="s">
        <v>926</v>
      </c>
      <c r="C67" s="170"/>
      <c r="D67" s="170"/>
      <c r="E67" s="163"/>
      <c r="F67" s="164"/>
      <c r="G67" s="171" t="s">
        <v>940</v>
      </c>
      <c r="H67" s="118"/>
      <c r="I67" s="33">
        <f>'38A1'!I67+'38A3'!J67+'38A4'!J67</f>
        <v>0</v>
      </c>
      <c r="J67" s="33">
        <f>'38A1'!J67+'38A3'!L67+'38A4'!L67</f>
        <v>0</v>
      </c>
      <c r="K67" s="33">
        <f>'38A1'!K67+'38A3'!N67+'38A4'!N67</f>
        <v>0</v>
      </c>
      <c r="L67" s="11">
        <f>'38A1'!L67+'38A3'!P67+'38A4'!P67</f>
        <v>0</v>
      </c>
      <c r="M67" s="11">
        <f>'38A1'!M67+'38A3'!R67+'38A4'!R67</f>
        <v>0</v>
      </c>
      <c r="N67" s="11">
        <f>'38A1'!N67+'38A3'!T67+'38A4'!T67</f>
        <v>0</v>
      </c>
      <c r="O67" s="11">
        <f>'38A1'!O67+'38A3'!V67+'38A4'!V67</f>
        <v>0</v>
      </c>
      <c r="P67" s="11">
        <f>'38A1'!P67+'38A3'!X67+'38A4'!X67</f>
        <v>0</v>
      </c>
      <c r="Q67" s="11">
        <f>'38A1'!Q67+'38A3'!Z67+'38A4'!Z67</f>
        <v>0</v>
      </c>
      <c r="R67" s="11">
        <f>'38A1'!R67+'38A3'!AB67+'38A4'!AB67</f>
        <v>0</v>
      </c>
      <c r="S67" s="11">
        <f>'38A1'!S67+'38A3'!AD67+'38A4'!AD67</f>
        <v>0</v>
      </c>
    </row>
    <row r="68" spans="1:19" x14ac:dyDescent="0.2">
      <c r="A68" s="166"/>
      <c r="B68" s="170" t="s">
        <v>941</v>
      </c>
      <c r="C68" s="170"/>
      <c r="D68" s="170"/>
      <c r="E68" s="163"/>
      <c r="F68" s="164"/>
      <c r="G68" s="171" t="s">
        <v>942</v>
      </c>
      <c r="H68" s="118"/>
      <c r="I68" s="33">
        <f>'38A1'!I68+'38A3'!J68+'38A4'!J68</f>
        <v>0</v>
      </c>
      <c r="J68" s="33">
        <f>'38A1'!J68+'38A3'!L68+'38A4'!L68</f>
        <v>0</v>
      </c>
      <c r="K68" s="33">
        <f>'38A1'!K68+'38A3'!N68+'38A4'!N68</f>
        <v>0</v>
      </c>
      <c r="L68" s="11">
        <f>'38A1'!L68+'38A3'!P68+'38A4'!P68</f>
        <v>0</v>
      </c>
      <c r="M68" s="11">
        <f>'38A1'!M68+'38A3'!R68+'38A4'!R68</f>
        <v>0</v>
      </c>
      <c r="N68" s="11">
        <f>'38A1'!N68+'38A3'!T68+'38A4'!T68</f>
        <v>0</v>
      </c>
      <c r="O68" s="11">
        <f>'38A1'!O68+'38A3'!V68+'38A4'!V68</f>
        <v>0</v>
      </c>
      <c r="P68" s="11">
        <f>'38A1'!P68+'38A3'!X68+'38A4'!X68</f>
        <v>0</v>
      </c>
      <c r="Q68" s="11">
        <f>'38A1'!Q68+'38A3'!Z68+'38A4'!Z68</f>
        <v>0</v>
      </c>
      <c r="R68" s="11">
        <f>'38A1'!R68+'38A3'!AB68+'38A4'!AB68</f>
        <v>0</v>
      </c>
      <c r="S68" s="11">
        <f>'38A1'!S68+'38A3'!AD68+'38A4'!AD68</f>
        <v>0</v>
      </c>
    </row>
    <row r="69" spans="1:19" x14ac:dyDescent="0.2">
      <c r="A69" s="177" t="s">
        <v>943</v>
      </c>
      <c r="B69" s="173"/>
      <c r="C69" s="173"/>
      <c r="D69" s="173"/>
      <c r="E69" s="163"/>
      <c r="F69" s="164"/>
      <c r="G69" s="171" t="s">
        <v>944</v>
      </c>
      <c r="H69" s="118"/>
      <c r="I69" s="33">
        <f>'38A1'!I69+'38A3'!J69+'38A4'!J69</f>
        <v>0</v>
      </c>
      <c r="J69" s="33">
        <f>'38A1'!J69+'38A3'!L69+'38A4'!L69</f>
        <v>0</v>
      </c>
      <c r="K69" s="33">
        <f>'38A1'!K69+'38A3'!N69+'38A4'!N69</f>
        <v>0</v>
      </c>
      <c r="L69" s="11">
        <f>'38A1'!L69+'38A3'!P69+'38A4'!P69</f>
        <v>0</v>
      </c>
      <c r="M69" s="11">
        <f>'38A1'!M69+'38A3'!R69+'38A4'!R69</f>
        <v>0</v>
      </c>
      <c r="N69" s="11">
        <f>'38A1'!N69+'38A3'!T69+'38A4'!T69</f>
        <v>0</v>
      </c>
      <c r="O69" s="11">
        <f>'38A1'!O69+'38A3'!V69+'38A4'!V69</f>
        <v>0</v>
      </c>
      <c r="P69" s="11">
        <f>'38A1'!P69+'38A3'!X69+'38A4'!X69</f>
        <v>0</v>
      </c>
      <c r="Q69" s="11">
        <f>'38A1'!Q69+'38A3'!Z69+'38A4'!Z69</f>
        <v>0</v>
      </c>
      <c r="R69" s="11">
        <f>'38A1'!R69+'38A3'!AB69+'38A4'!AB69</f>
        <v>0</v>
      </c>
      <c r="S69" s="11">
        <f>'38A1'!S69+'38A3'!AD69+'38A4'!AD69</f>
        <v>0</v>
      </c>
    </row>
    <row r="70" spans="1:19" x14ac:dyDescent="0.2">
      <c r="A70" s="177" t="s">
        <v>945</v>
      </c>
      <c r="B70" s="170"/>
      <c r="C70" s="170"/>
      <c r="D70" s="170"/>
      <c r="E70" s="163"/>
      <c r="F70" s="164"/>
      <c r="G70" s="165"/>
      <c r="H70" s="118"/>
      <c r="I70" s="121"/>
      <c r="J70" s="121"/>
      <c r="K70" s="121"/>
      <c r="L70" s="185"/>
      <c r="M70" s="185"/>
      <c r="N70" s="185"/>
      <c r="O70" s="185"/>
      <c r="P70" s="185"/>
      <c r="Q70" s="185"/>
      <c r="R70" s="185"/>
      <c r="S70" s="185"/>
    </row>
    <row r="71" spans="1:19" x14ac:dyDescent="0.2">
      <c r="A71" s="166" t="s">
        <v>8</v>
      </c>
      <c r="B71" s="170" t="s">
        <v>946</v>
      </c>
      <c r="C71" s="170"/>
      <c r="D71" s="170"/>
      <c r="E71" s="163"/>
      <c r="F71" s="164"/>
      <c r="G71" s="171" t="s">
        <v>947</v>
      </c>
      <c r="H71" s="118"/>
      <c r="I71" s="33">
        <f>'38A1'!I71+'38A3'!J71+'38A4'!J71</f>
        <v>0</v>
      </c>
      <c r="J71" s="33">
        <f>'38A1'!J71+'38A3'!L71+'38A4'!L71</f>
        <v>0</v>
      </c>
      <c r="K71" s="33">
        <f>'38A1'!K71+'38A3'!N71+'38A4'!N71</f>
        <v>0</v>
      </c>
      <c r="L71" s="11">
        <f>'38A1'!L71+'38A3'!P71+'38A4'!P71</f>
        <v>0</v>
      </c>
      <c r="M71" s="11">
        <f>'38A1'!M71+'38A3'!R71+'38A4'!R71</f>
        <v>0</v>
      </c>
      <c r="N71" s="11">
        <f>'38A1'!N71+'38A3'!T71+'38A4'!T71</f>
        <v>0</v>
      </c>
      <c r="O71" s="11">
        <f>'38A1'!O71+'38A3'!V71+'38A4'!V71</f>
        <v>0</v>
      </c>
      <c r="P71" s="11">
        <f>'38A1'!P71+'38A3'!X71+'38A4'!X71</f>
        <v>0</v>
      </c>
      <c r="Q71" s="11">
        <f>'38A1'!Q71+'38A3'!Z71+'38A4'!Z71</f>
        <v>0</v>
      </c>
      <c r="R71" s="11">
        <f>'38A1'!R71+'38A3'!AB71+'38A4'!AB71</f>
        <v>0</v>
      </c>
      <c r="S71" s="11">
        <f>'38A1'!S71+'38A3'!AD71+'38A4'!AD71</f>
        <v>0</v>
      </c>
    </row>
    <row r="72" spans="1:19" x14ac:dyDescent="0.2">
      <c r="A72" s="166" t="s">
        <v>10</v>
      </c>
      <c r="B72" s="170" t="s">
        <v>948</v>
      </c>
      <c r="C72" s="170"/>
      <c r="D72" s="170"/>
      <c r="E72" s="163"/>
      <c r="F72" s="164"/>
      <c r="G72" s="171" t="s">
        <v>949</v>
      </c>
      <c r="H72" s="118"/>
      <c r="I72" s="33">
        <f>'38A1'!I72+'38A3'!J72+'38A4'!J72</f>
        <v>0</v>
      </c>
      <c r="J72" s="33">
        <f>'38A1'!J72+'38A3'!L72+'38A4'!L72</f>
        <v>0</v>
      </c>
      <c r="K72" s="33">
        <f>'38A1'!K72+'38A3'!N72+'38A4'!N72</f>
        <v>0</v>
      </c>
      <c r="L72" s="11">
        <f>'38A1'!L72+'38A3'!P72+'38A4'!P72</f>
        <v>0</v>
      </c>
      <c r="M72" s="11">
        <f>'38A1'!M72+'38A3'!R72+'38A4'!R72</f>
        <v>0</v>
      </c>
      <c r="N72" s="11">
        <f>'38A1'!N72+'38A3'!T72+'38A4'!T72</f>
        <v>0</v>
      </c>
      <c r="O72" s="11">
        <f>'38A1'!O72+'38A3'!V72+'38A4'!V72</f>
        <v>0</v>
      </c>
      <c r="P72" s="11">
        <f>'38A1'!P72+'38A3'!X72+'38A4'!X72</f>
        <v>0</v>
      </c>
      <c r="Q72" s="11">
        <f>'38A1'!Q72+'38A3'!Z72+'38A4'!Z72</f>
        <v>0</v>
      </c>
      <c r="R72" s="11">
        <f>'38A1'!R72+'38A3'!AB72+'38A4'!AB72</f>
        <v>0</v>
      </c>
      <c r="S72" s="11">
        <f>'38A1'!S72+'38A3'!AD72+'38A4'!AD72</f>
        <v>0</v>
      </c>
    </row>
    <row r="73" spans="1:19" x14ac:dyDescent="0.2">
      <c r="A73" s="166" t="s">
        <v>16</v>
      </c>
      <c r="B73" s="170" t="s">
        <v>950</v>
      </c>
      <c r="C73" s="170"/>
      <c r="D73" s="170"/>
      <c r="E73" s="163"/>
      <c r="F73" s="164"/>
      <c r="G73" s="171" t="s">
        <v>951</v>
      </c>
      <c r="H73" s="119"/>
      <c r="I73" s="33">
        <f>'38A1'!I73+'38A3'!J73+'38A4'!J73</f>
        <v>0</v>
      </c>
      <c r="J73" s="33">
        <f>'38A1'!J73+'38A3'!L73+'38A4'!L73</f>
        <v>0</v>
      </c>
      <c r="K73" s="33">
        <f>'38A1'!K73+'38A3'!N73+'38A4'!N73</f>
        <v>0</v>
      </c>
      <c r="L73" s="11">
        <f>'38A1'!L73+'38A3'!P73+'38A4'!P73</f>
        <v>0</v>
      </c>
      <c r="M73" s="11">
        <f>'38A1'!M73+'38A3'!R73+'38A4'!R73</f>
        <v>0</v>
      </c>
      <c r="N73" s="11">
        <f>'38A1'!N73+'38A3'!T73+'38A4'!T73</f>
        <v>0</v>
      </c>
      <c r="O73" s="11">
        <f>'38A1'!O73+'38A3'!V73+'38A4'!V73</f>
        <v>0</v>
      </c>
      <c r="P73" s="11">
        <f>'38A1'!P73+'38A3'!X73+'38A4'!X73</f>
        <v>0</v>
      </c>
      <c r="Q73" s="11">
        <f>'38A1'!Q73+'38A3'!Z73+'38A4'!Z73</f>
        <v>0</v>
      </c>
      <c r="R73" s="11">
        <f>'38A1'!R73+'38A3'!AB73+'38A4'!AB73</f>
        <v>0</v>
      </c>
      <c r="S73" s="11">
        <f>'38A1'!S73+'38A3'!AD73+'38A4'!AD73</f>
        <v>0</v>
      </c>
    </row>
    <row r="74" spans="1:19" x14ac:dyDescent="0.2">
      <c r="A74" s="166"/>
      <c r="B74" s="172" t="s">
        <v>12</v>
      </c>
      <c r="C74" s="170" t="s">
        <v>952</v>
      </c>
      <c r="D74" s="170"/>
      <c r="E74" s="163"/>
      <c r="F74" s="164"/>
      <c r="G74" s="171" t="s">
        <v>953</v>
      </c>
      <c r="H74" s="119"/>
      <c r="I74" s="33">
        <f>'38A1'!I74+'38A3'!J74+'38A4'!J74</f>
        <v>0</v>
      </c>
      <c r="J74" s="33">
        <f>'38A1'!J74+'38A3'!L74+'38A4'!L74</f>
        <v>0</v>
      </c>
      <c r="K74" s="33">
        <f>'38A1'!K74+'38A3'!N74+'38A4'!N74</f>
        <v>0</v>
      </c>
      <c r="L74" s="11">
        <f>'38A1'!L74+'38A3'!P74+'38A4'!P74</f>
        <v>0</v>
      </c>
      <c r="M74" s="11">
        <f>'38A1'!M74+'38A3'!R74+'38A4'!R74</f>
        <v>0</v>
      </c>
      <c r="N74" s="11">
        <f>'38A1'!N74+'38A3'!T74+'38A4'!T74</f>
        <v>0</v>
      </c>
      <c r="O74" s="11">
        <f>'38A1'!O74+'38A3'!V74+'38A4'!V74</f>
        <v>0</v>
      </c>
      <c r="P74" s="11">
        <f>'38A1'!P74+'38A3'!X74+'38A4'!X74</f>
        <v>0</v>
      </c>
      <c r="Q74" s="11">
        <f>'38A1'!Q74+'38A3'!Z74+'38A4'!Z74</f>
        <v>0</v>
      </c>
      <c r="R74" s="11">
        <f>'38A1'!R74+'38A3'!AB74+'38A4'!AB74</f>
        <v>0</v>
      </c>
      <c r="S74" s="11">
        <f>'38A1'!S74+'38A3'!AD74+'38A4'!AD74</f>
        <v>0</v>
      </c>
    </row>
    <row r="75" spans="1:19" x14ac:dyDescent="0.2">
      <c r="A75" s="166"/>
      <c r="B75" s="172" t="s">
        <v>14</v>
      </c>
      <c r="C75" s="170" t="s">
        <v>954</v>
      </c>
      <c r="D75" s="170"/>
      <c r="E75" s="163"/>
      <c r="F75" s="164"/>
      <c r="G75" s="171" t="s">
        <v>955</v>
      </c>
      <c r="H75" s="119"/>
      <c r="I75" s="33">
        <f>'38A1'!I75+'38A3'!J75+'38A4'!J75</f>
        <v>0</v>
      </c>
      <c r="J75" s="33">
        <f>'38A1'!J75+'38A3'!L75+'38A4'!L75</f>
        <v>0</v>
      </c>
      <c r="K75" s="33">
        <f>'38A1'!K75+'38A3'!N75+'38A4'!N75</f>
        <v>0</v>
      </c>
      <c r="L75" s="11">
        <f>'38A1'!L75+'38A3'!P75+'38A4'!P75</f>
        <v>0</v>
      </c>
      <c r="M75" s="11">
        <f>'38A1'!M75+'38A3'!R75+'38A4'!R75</f>
        <v>0</v>
      </c>
      <c r="N75" s="11">
        <f>'38A1'!N75+'38A3'!T75+'38A4'!T75</f>
        <v>0</v>
      </c>
      <c r="O75" s="11">
        <f>'38A1'!O75+'38A3'!V75+'38A4'!V75</f>
        <v>0</v>
      </c>
      <c r="P75" s="11">
        <f>'38A1'!P75+'38A3'!X75+'38A4'!X75</f>
        <v>0</v>
      </c>
      <c r="Q75" s="11">
        <f>'38A1'!Q75+'38A3'!Z75+'38A4'!Z75</f>
        <v>0</v>
      </c>
      <c r="R75" s="11">
        <f>'38A1'!R75+'38A3'!AB75+'38A4'!AB75</f>
        <v>0</v>
      </c>
      <c r="S75" s="11">
        <f>'38A1'!S75+'38A3'!AD75+'38A4'!AD75</f>
        <v>0</v>
      </c>
    </row>
    <row r="76" spans="1:19" x14ac:dyDescent="0.2">
      <c r="A76" s="166"/>
      <c r="B76" s="170" t="s">
        <v>956</v>
      </c>
      <c r="C76" s="170"/>
      <c r="D76" s="170"/>
      <c r="E76" s="163"/>
      <c r="F76" s="164"/>
      <c r="G76" s="171" t="s">
        <v>957</v>
      </c>
      <c r="H76" s="118"/>
      <c r="I76" s="33">
        <f>'38A1'!I76+'38A3'!J76+'38A4'!J76</f>
        <v>0</v>
      </c>
      <c r="J76" s="33">
        <f>'38A1'!J76+'38A3'!L76+'38A4'!L76</f>
        <v>0</v>
      </c>
      <c r="K76" s="33">
        <f>'38A1'!K76+'38A3'!N76+'38A4'!N76</f>
        <v>0</v>
      </c>
      <c r="L76" s="11">
        <f>'38A1'!L76+'38A3'!P76+'38A4'!P76</f>
        <v>0</v>
      </c>
      <c r="M76" s="11">
        <f>'38A1'!M76+'38A3'!R76+'38A4'!R76</f>
        <v>0</v>
      </c>
      <c r="N76" s="11">
        <f>'38A1'!N76+'38A3'!T76+'38A4'!T76</f>
        <v>0</v>
      </c>
      <c r="O76" s="11">
        <f>'38A1'!O76+'38A3'!V76+'38A4'!V76</f>
        <v>0</v>
      </c>
      <c r="P76" s="11">
        <f>'38A1'!P76+'38A3'!X76+'38A4'!X76</f>
        <v>0</v>
      </c>
      <c r="Q76" s="11">
        <f>'38A1'!Q76+'38A3'!Z76+'38A4'!Z76</f>
        <v>0</v>
      </c>
      <c r="R76" s="11">
        <f>'38A1'!R76+'38A3'!AB76+'38A4'!AB76</f>
        <v>0</v>
      </c>
      <c r="S76" s="11">
        <f>'38A1'!S76+'38A3'!AD76+'38A4'!AD76</f>
        <v>0</v>
      </c>
    </row>
    <row r="77" spans="1:19" x14ac:dyDescent="0.2">
      <c r="A77" s="174" t="s">
        <v>958</v>
      </c>
      <c r="B77" s="170"/>
      <c r="C77" s="170"/>
      <c r="D77" s="170"/>
      <c r="E77" s="163"/>
      <c r="F77" s="164"/>
      <c r="G77" s="165"/>
      <c r="H77" s="118"/>
      <c r="I77" s="121"/>
      <c r="J77" s="121"/>
      <c r="K77" s="121"/>
      <c r="L77" s="185"/>
      <c r="M77" s="185"/>
      <c r="N77" s="185"/>
      <c r="O77" s="185"/>
      <c r="P77" s="185"/>
      <c r="Q77" s="185"/>
      <c r="R77" s="185"/>
      <c r="S77" s="185"/>
    </row>
    <row r="78" spans="1:19" x14ac:dyDescent="0.2">
      <c r="A78" s="166" t="s">
        <v>18</v>
      </c>
      <c r="B78" s="170" t="s">
        <v>959</v>
      </c>
      <c r="C78" s="170"/>
      <c r="D78" s="170"/>
      <c r="E78" s="163"/>
      <c r="F78" s="164"/>
      <c r="G78" s="171" t="s">
        <v>960</v>
      </c>
      <c r="H78" s="118"/>
      <c r="I78" s="33">
        <f>'38A1'!I78+'38A3'!J78+'38A4'!J78</f>
        <v>0</v>
      </c>
      <c r="J78" s="33">
        <f>'38A1'!J78+'38A3'!L78+'38A4'!L78</f>
        <v>0</v>
      </c>
      <c r="K78" s="33">
        <f>'38A1'!K78+'38A3'!N78+'38A4'!N78</f>
        <v>0</v>
      </c>
      <c r="L78" s="11">
        <f>'38A1'!L78+'38A3'!P78+'38A4'!P78</f>
        <v>0</v>
      </c>
      <c r="M78" s="11">
        <f>'38A1'!M78+'38A3'!R78+'38A4'!R78</f>
        <v>0</v>
      </c>
      <c r="N78" s="11">
        <f>'38A1'!N78+'38A3'!T78+'38A4'!T78</f>
        <v>0</v>
      </c>
      <c r="O78" s="11">
        <f>'38A1'!O78+'38A3'!V78+'38A4'!V78</f>
        <v>0</v>
      </c>
      <c r="P78" s="11">
        <f>'38A1'!P78+'38A3'!X78+'38A4'!X78</f>
        <v>0</v>
      </c>
      <c r="Q78" s="11">
        <f>'38A1'!Q78+'38A3'!Z78+'38A4'!Z78</f>
        <v>0</v>
      </c>
      <c r="R78" s="11">
        <f>'38A1'!R78+'38A3'!AB78+'38A4'!AB78</f>
        <v>0</v>
      </c>
      <c r="S78" s="11">
        <f>'38A1'!S78+'38A3'!AD78+'38A4'!AD78</f>
        <v>0</v>
      </c>
    </row>
    <row r="79" spans="1:19" x14ac:dyDescent="0.2">
      <c r="A79" s="166" t="s">
        <v>28</v>
      </c>
      <c r="B79" s="170" t="s">
        <v>961</v>
      </c>
      <c r="C79" s="170"/>
      <c r="D79" s="170"/>
      <c r="E79" s="163"/>
      <c r="F79" s="164"/>
      <c r="G79" s="171" t="s">
        <v>962</v>
      </c>
      <c r="H79" s="119"/>
      <c r="I79" s="33">
        <f>'38A1'!I79+'38A3'!J79+'38A4'!J79</f>
        <v>0</v>
      </c>
      <c r="J79" s="33">
        <f>'38A1'!J79+'38A3'!L79+'38A4'!L79</f>
        <v>0</v>
      </c>
      <c r="K79" s="33">
        <f>'38A1'!K79+'38A3'!N79+'38A4'!N79</f>
        <v>0</v>
      </c>
      <c r="L79" s="11">
        <f>'38A1'!L79+'38A3'!P79+'38A4'!P79</f>
        <v>0</v>
      </c>
      <c r="M79" s="11">
        <f>'38A1'!M79+'38A3'!R79+'38A4'!R79</f>
        <v>0</v>
      </c>
      <c r="N79" s="11">
        <f>'38A1'!N79+'38A3'!T79+'38A4'!T79</f>
        <v>0</v>
      </c>
      <c r="O79" s="11">
        <f>'38A1'!O79+'38A3'!V79+'38A4'!V79</f>
        <v>0</v>
      </c>
      <c r="P79" s="11">
        <f>'38A1'!P79+'38A3'!X79+'38A4'!X79</f>
        <v>0</v>
      </c>
      <c r="Q79" s="11">
        <f>'38A1'!Q79+'38A3'!Z79+'38A4'!Z79</f>
        <v>0</v>
      </c>
      <c r="R79" s="11">
        <f>'38A1'!R79+'38A3'!AB79+'38A4'!AB79</f>
        <v>0</v>
      </c>
      <c r="S79" s="11">
        <f>'38A1'!S79+'38A3'!AD79+'38A4'!AD79</f>
        <v>0</v>
      </c>
    </row>
    <row r="80" spans="1:19" x14ac:dyDescent="0.2">
      <c r="A80" s="166" t="s">
        <v>31</v>
      </c>
      <c r="B80" s="170" t="s">
        <v>963</v>
      </c>
      <c r="C80" s="170"/>
      <c r="D80" s="170"/>
      <c r="E80" s="163"/>
      <c r="F80" s="164"/>
      <c r="G80" s="171" t="s">
        <v>964</v>
      </c>
      <c r="H80" s="118"/>
      <c r="I80" s="33">
        <f>'38A1'!I80+'38A3'!J80+'38A4'!J80</f>
        <v>0</v>
      </c>
      <c r="J80" s="33">
        <f>'38A1'!J80+'38A3'!L80+'38A4'!L80</f>
        <v>0</v>
      </c>
      <c r="K80" s="33">
        <f>'38A1'!K80+'38A3'!N80+'38A4'!N80</f>
        <v>0</v>
      </c>
      <c r="L80" s="11">
        <f>'38A1'!L80+'38A3'!P80+'38A4'!P80</f>
        <v>0</v>
      </c>
      <c r="M80" s="11">
        <f>'38A1'!M80+'38A3'!R80+'38A4'!R80</f>
        <v>0</v>
      </c>
      <c r="N80" s="11">
        <f>'38A1'!N80+'38A3'!T80+'38A4'!T80</f>
        <v>0</v>
      </c>
      <c r="O80" s="11">
        <f>'38A1'!O80+'38A3'!V80+'38A4'!V80</f>
        <v>0</v>
      </c>
      <c r="P80" s="11">
        <f>'38A1'!P80+'38A3'!X80+'38A4'!X80</f>
        <v>0</v>
      </c>
      <c r="Q80" s="11">
        <f>'38A1'!Q80+'38A3'!Z80+'38A4'!Z80</f>
        <v>0</v>
      </c>
      <c r="R80" s="11">
        <f>'38A1'!R80+'38A3'!AB80+'38A4'!AB80</f>
        <v>0</v>
      </c>
      <c r="S80" s="11">
        <f>'38A1'!S80+'38A3'!AD80+'38A4'!AD80</f>
        <v>0</v>
      </c>
    </row>
    <row r="81" spans="1:19" x14ac:dyDescent="0.2">
      <c r="A81" s="166" t="s">
        <v>38</v>
      </c>
      <c r="B81" s="167" t="s">
        <v>965</v>
      </c>
      <c r="C81" s="167"/>
      <c r="D81" s="170"/>
      <c r="E81" s="163"/>
      <c r="F81" s="164"/>
      <c r="G81" s="171" t="s">
        <v>966</v>
      </c>
      <c r="H81" s="118"/>
      <c r="I81" s="33">
        <f>'38A1'!I81+'38A3'!J81+'38A4'!J81</f>
        <v>0</v>
      </c>
      <c r="J81" s="33">
        <f>'38A1'!J81+'38A3'!L81+'38A4'!L81</f>
        <v>0</v>
      </c>
      <c r="K81" s="33">
        <f>'38A1'!K81+'38A3'!N81+'38A4'!N81</f>
        <v>0</v>
      </c>
      <c r="L81" s="11">
        <f>'38A1'!L81+'38A3'!P81+'38A4'!P81</f>
        <v>0</v>
      </c>
      <c r="M81" s="11">
        <f>'38A1'!M81+'38A3'!R81+'38A4'!R81</f>
        <v>0</v>
      </c>
      <c r="N81" s="11">
        <f>'38A1'!N81+'38A3'!T81+'38A4'!T81</f>
        <v>0</v>
      </c>
      <c r="O81" s="11">
        <f>'38A1'!O81+'38A3'!V81+'38A4'!V81</f>
        <v>0</v>
      </c>
      <c r="P81" s="11">
        <f>'38A1'!P81+'38A3'!X81+'38A4'!X81</f>
        <v>0</v>
      </c>
      <c r="Q81" s="11">
        <f>'38A1'!Q81+'38A3'!Z81+'38A4'!Z81</f>
        <v>0</v>
      </c>
      <c r="R81" s="11">
        <f>'38A1'!R81+'38A3'!AB81+'38A4'!AB81</f>
        <v>0</v>
      </c>
      <c r="S81" s="11">
        <f>'38A1'!S81+'38A3'!AD81+'38A4'!AD81</f>
        <v>0</v>
      </c>
    </row>
    <row r="82" spans="1:19" x14ac:dyDescent="0.2">
      <c r="A82" s="166" t="s">
        <v>42</v>
      </c>
      <c r="B82" s="170" t="s">
        <v>967</v>
      </c>
      <c r="C82" s="170"/>
      <c r="D82" s="170"/>
      <c r="E82" s="163"/>
      <c r="F82" s="164"/>
      <c r="G82" s="171" t="s">
        <v>968</v>
      </c>
      <c r="H82" s="118"/>
      <c r="I82" s="33">
        <f>'38A1'!I82+'38A3'!J82+'38A4'!J82</f>
        <v>0</v>
      </c>
      <c r="J82" s="33">
        <f>'38A1'!J82+'38A3'!L82+'38A4'!L82</f>
        <v>0</v>
      </c>
      <c r="K82" s="33">
        <f>'38A1'!K82+'38A3'!N82+'38A4'!N82</f>
        <v>0</v>
      </c>
      <c r="L82" s="11">
        <f>'38A1'!L82+'38A3'!P82+'38A4'!P82</f>
        <v>0</v>
      </c>
      <c r="M82" s="11">
        <f>'38A1'!M82+'38A3'!R82+'38A4'!R82</f>
        <v>0</v>
      </c>
      <c r="N82" s="11">
        <f>'38A1'!N82+'38A3'!T82+'38A4'!T82</f>
        <v>0</v>
      </c>
      <c r="O82" s="11">
        <f>'38A1'!O82+'38A3'!V82+'38A4'!V82</f>
        <v>0</v>
      </c>
      <c r="P82" s="11">
        <f>'38A1'!P82+'38A3'!X82+'38A4'!X82</f>
        <v>0</v>
      </c>
      <c r="Q82" s="11">
        <f>'38A1'!Q82+'38A3'!Z82+'38A4'!Z82</f>
        <v>0</v>
      </c>
      <c r="R82" s="11">
        <f>'38A1'!R82+'38A3'!AB82+'38A4'!AB82</f>
        <v>0</v>
      </c>
      <c r="S82" s="11">
        <f>'38A1'!S82+'38A3'!AD82+'38A4'!AD82</f>
        <v>0</v>
      </c>
    </row>
    <row r="83" spans="1:19" x14ac:dyDescent="0.2">
      <c r="A83" s="166" t="s">
        <v>44</v>
      </c>
      <c r="B83" s="170" t="s">
        <v>969</v>
      </c>
      <c r="C83" s="170"/>
      <c r="D83" s="170"/>
      <c r="E83" s="163"/>
      <c r="F83" s="164"/>
      <c r="G83" s="171" t="s">
        <v>970</v>
      </c>
      <c r="H83" s="118"/>
      <c r="I83" s="33">
        <f>'38A1'!I83+'38A3'!J83+'38A4'!J83</f>
        <v>0</v>
      </c>
      <c r="J83" s="33">
        <f>'38A1'!J83+'38A3'!L83+'38A4'!L83</f>
        <v>0</v>
      </c>
      <c r="K83" s="33">
        <f>'38A1'!K83+'38A3'!N83+'38A4'!N83</f>
        <v>0</v>
      </c>
      <c r="L83" s="11">
        <f>'38A1'!L83+'38A3'!P83+'38A4'!P83</f>
        <v>0</v>
      </c>
      <c r="M83" s="11">
        <f>'38A1'!M83+'38A3'!R83+'38A4'!R83</f>
        <v>0</v>
      </c>
      <c r="N83" s="11">
        <f>'38A1'!N83+'38A3'!T83+'38A4'!T83</f>
        <v>0</v>
      </c>
      <c r="O83" s="11">
        <f>'38A1'!O83+'38A3'!V83+'38A4'!V83</f>
        <v>0</v>
      </c>
      <c r="P83" s="11">
        <f>'38A1'!P83+'38A3'!X83+'38A4'!X83</f>
        <v>0</v>
      </c>
      <c r="Q83" s="11">
        <f>'38A1'!Q83+'38A3'!Z83+'38A4'!Z83</f>
        <v>0</v>
      </c>
      <c r="R83" s="11">
        <f>'38A1'!R83+'38A3'!AB83+'38A4'!AB83</f>
        <v>0</v>
      </c>
      <c r="S83" s="11">
        <f>'38A1'!S83+'38A3'!AD83+'38A4'!AD83</f>
        <v>0</v>
      </c>
    </row>
    <row r="84" spans="1:19" x14ac:dyDescent="0.2">
      <c r="A84" s="166" t="s">
        <v>896</v>
      </c>
      <c r="B84" s="170" t="s">
        <v>971</v>
      </c>
      <c r="C84" s="170"/>
      <c r="D84" s="170"/>
      <c r="E84" s="163"/>
      <c r="F84" s="164"/>
      <c r="G84" s="171" t="s">
        <v>972</v>
      </c>
      <c r="H84" s="118"/>
      <c r="I84" s="33">
        <f>'38A1'!I84+'38A3'!J84+'38A4'!J84</f>
        <v>0</v>
      </c>
      <c r="J84" s="33">
        <f>'38A1'!J84+'38A3'!L84+'38A4'!L84</f>
        <v>0</v>
      </c>
      <c r="K84" s="33">
        <f>'38A1'!K84+'38A3'!N84+'38A4'!N84</f>
        <v>0</v>
      </c>
      <c r="L84" s="11">
        <f>'38A1'!L84+'38A3'!P84+'38A4'!P84</f>
        <v>0</v>
      </c>
      <c r="M84" s="11">
        <f>'38A1'!M84+'38A3'!R84+'38A4'!R84</f>
        <v>0</v>
      </c>
      <c r="N84" s="11">
        <f>'38A1'!N84+'38A3'!T84+'38A4'!T84</f>
        <v>0</v>
      </c>
      <c r="O84" s="11">
        <f>'38A1'!O84+'38A3'!V84+'38A4'!V84</f>
        <v>0</v>
      </c>
      <c r="P84" s="11">
        <f>'38A1'!P84+'38A3'!X84+'38A4'!X84</f>
        <v>0</v>
      </c>
      <c r="Q84" s="11">
        <f>'38A1'!Q84+'38A3'!Z84+'38A4'!Z84</f>
        <v>0</v>
      </c>
      <c r="R84" s="11">
        <f>'38A1'!R84+'38A3'!AB84+'38A4'!AB84</f>
        <v>0</v>
      </c>
      <c r="S84" s="11">
        <f>'38A1'!S84+'38A3'!AD84+'38A4'!AD84</f>
        <v>0</v>
      </c>
    </row>
    <row r="85" spans="1:19" x14ac:dyDescent="0.2">
      <c r="A85" s="177" t="s">
        <v>973</v>
      </c>
      <c r="B85" s="170"/>
      <c r="C85" s="170"/>
      <c r="D85" s="170"/>
      <c r="E85" s="163"/>
      <c r="F85" s="164"/>
      <c r="G85" s="171" t="s">
        <v>974</v>
      </c>
      <c r="H85" s="118"/>
      <c r="I85" s="33">
        <f>'38A1'!I85+'38A3'!J85+'38A4'!J85</f>
        <v>0</v>
      </c>
      <c r="J85" s="33">
        <f>'38A1'!J85+'38A3'!L85+'38A4'!L85</f>
        <v>0</v>
      </c>
      <c r="K85" s="33">
        <f>'38A1'!K85+'38A3'!N85+'38A4'!N85</f>
        <v>0</v>
      </c>
      <c r="L85" s="11">
        <f>'38A1'!L85+'38A3'!P85+'38A4'!P85</f>
        <v>0</v>
      </c>
      <c r="M85" s="11">
        <f>'38A1'!M85+'38A3'!R85+'38A4'!R85</f>
        <v>0</v>
      </c>
      <c r="N85" s="11">
        <f>'38A1'!N85+'38A3'!T85+'38A4'!T85</f>
        <v>0</v>
      </c>
      <c r="O85" s="11">
        <f>'38A1'!O85+'38A3'!V85+'38A4'!V85</f>
        <v>0</v>
      </c>
      <c r="P85" s="11">
        <f>'38A1'!P85+'38A3'!X85+'38A4'!X85</f>
        <v>0</v>
      </c>
      <c r="Q85" s="11">
        <f>'38A1'!Q85+'38A3'!Z85+'38A4'!Z85</f>
        <v>0</v>
      </c>
      <c r="R85" s="11">
        <f>'38A1'!R85+'38A3'!AB85+'38A4'!AB85</f>
        <v>0</v>
      </c>
      <c r="S85" s="11">
        <f>'38A1'!S85+'38A3'!AD85+'38A4'!AD85</f>
        <v>0</v>
      </c>
    </row>
    <row r="86" spans="1:19" x14ac:dyDescent="0.2">
      <c r="A86" s="177" t="s">
        <v>975</v>
      </c>
      <c r="B86" s="170"/>
      <c r="C86" s="170"/>
      <c r="D86" s="170"/>
      <c r="E86" s="163"/>
      <c r="F86" s="164"/>
      <c r="G86" s="165"/>
      <c r="H86" s="118"/>
      <c r="I86" s="121"/>
      <c r="J86" s="121"/>
      <c r="K86" s="121"/>
      <c r="L86" s="185"/>
      <c r="M86" s="185"/>
      <c r="N86" s="185"/>
      <c r="O86" s="185"/>
      <c r="P86" s="185"/>
      <c r="Q86" s="185"/>
      <c r="R86" s="185"/>
      <c r="S86" s="185"/>
    </row>
    <row r="87" spans="1:19" ht="13.5" customHeight="1" x14ac:dyDescent="0.2">
      <c r="A87" s="178" t="s">
        <v>8</v>
      </c>
      <c r="B87" s="170" t="s">
        <v>976</v>
      </c>
      <c r="C87" s="170"/>
      <c r="D87" s="170"/>
      <c r="E87" s="179"/>
      <c r="F87" s="180"/>
      <c r="G87" s="49" t="s">
        <v>977</v>
      </c>
      <c r="H87" s="122"/>
      <c r="I87" s="190">
        <f>'38A1'!I87+'38A3'!J87+'38A4'!J87</f>
        <v>0</v>
      </c>
      <c r="J87" s="190">
        <f>'38A1'!J87+'38A3'!L87+'38A4'!L87</f>
        <v>0</v>
      </c>
      <c r="K87" s="190">
        <f>'38A1'!K87+'38A3'!N87+'38A4'!N87</f>
        <v>0</v>
      </c>
      <c r="L87" s="190">
        <f>'38A1'!L87+'38A3'!P87+'38A4'!P87</f>
        <v>0</v>
      </c>
      <c r="M87" s="190">
        <f>'38A1'!M87+'38A3'!R87+'38A4'!R87</f>
        <v>0</v>
      </c>
      <c r="N87" s="190">
        <f>'38A1'!N87+'38A3'!T87+'38A4'!T87</f>
        <v>0</v>
      </c>
      <c r="O87" s="190">
        <f>'38A1'!O87+'38A3'!V87+'38A4'!V87</f>
        <v>0</v>
      </c>
      <c r="P87" s="190">
        <f>'38A1'!P87+'38A3'!X87+'38A4'!X87</f>
        <v>0</v>
      </c>
      <c r="Q87" s="190">
        <f>'38A1'!Q87+'38A3'!Z87+'38A4'!Z87</f>
        <v>0</v>
      </c>
      <c r="R87" s="190">
        <f>'38A1'!R87+'38A3'!AB87+'38A4'!AB87</f>
        <v>0</v>
      </c>
      <c r="S87" s="190">
        <f>'38A1'!S87+'38A3'!AD87+'38A4'!AD87</f>
        <v>0</v>
      </c>
    </row>
    <row r="88" spans="1:19" x14ac:dyDescent="0.2">
      <c r="A88" s="178" t="s">
        <v>10</v>
      </c>
      <c r="B88" s="170" t="s">
        <v>978</v>
      </c>
      <c r="C88" s="170"/>
      <c r="D88" s="170"/>
      <c r="E88" s="179"/>
      <c r="F88" s="180"/>
      <c r="G88" s="49" t="s">
        <v>979</v>
      </c>
      <c r="H88" s="126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90">
        <f>'38A1'!S88+'38A3'!AD88+'38A4'!AD88</f>
        <v>0</v>
      </c>
    </row>
    <row r="89" spans="1:19" x14ac:dyDescent="0.2">
      <c r="A89" s="178"/>
      <c r="B89" s="181" t="s">
        <v>12</v>
      </c>
      <c r="C89" s="170" t="s">
        <v>980</v>
      </c>
      <c r="D89" s="170"/>
      <c r="E89" s="179"/>
      <c r="F89" s="180"/>
      <c r="G89" s="49" t="s">
        <v>981</v>
      </c>
      <c r="H89" s="118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90">
        <f>'38A1'!S89+'38A3'!AD89+'38A4'!AD89</f>
        <v>0</v>
      </c>
    </row>
    <row r="90" spans="1:19" x14ac:dyDescent="0.2">
      <c r="A90" s="178"/>
      <c r="B90" s="181"/>
      <c r="C90" s="170" t="s">
        <v>1010</v>
      </c>
      <c r="D90" s="170"/>
      <c r="E90" s="179"/>
      <c r="F90" s="180"/>
      <c r="G90" s="49" t="s">
        <v>982</v>
      </c>
      <c r="H90" s="126"/>
      <c r="I90" s="190">
        <f>'38A1'!I90+'38A3'!J90+'38A4'!J90</f>
        <v>0</v>
      </c>
      <c r="J90" s="190">
        <f>'38A1'!J90+'38A3'!L90+'38A4'!L90</f>
        <v>0</v>
      </c>
      <c r="K90" s="190">
        <f>'38A1'!K90+'38A3'!N90+'38A4'!N90</f>
        <v>0</v>
      </c>
      <c r="L90" s="190">
        <f>'38A1'!L90+'38A3'!P90+'38A4'!P90</f>
        <v>0</v>
      </c>
      <c r="M90" s="190">
        <f>'38A1'!M90+'38A3'!R90+'38A4'!R90</f>
        <v>0</v>
      </c>
      <c r="N90" s="190">
        <f>'38A1'!N90+'38A3'!T90+'38A4'!T90</f>
        <v>0</v>
      </c>
      <c r="O90" s="190">
        <f>'38A1'!O90+'38A3'!V90+'38A4'!V90</f>
        <v>0</v>
      </c>
      <c r="P90" s="190">
        <f>'38A1'!P90+'38A3'!X90+'38A4'!X90</f>
        <v>0</v>
      </c>
      <c r="Q90" s="190">
        <f>'38A1'!Q90+'38A3'!Z90+'38A4'!Z90</f>
        <v>0</v>
      </c>
      <c r="R90" s="190">
        <f>'38A1'!R90+'38A3'!AB90+'38A4'!AB90</f>
        <v>0</v>
      </c>
      <c r="S90" s="190">
        <f>'38A1'!S90+'38A3'!AD90+'38A4'!AD90</f>
        <v>0</v>
      </c>
    </row>
    <row r="91" spans="1:19" x14ac:dyDescent="0.2">
      <c r="A91" s="178"/>
      <c r="B91" s="170"/>
      <c r="C91" s="170" t="s">
        <v>1011</v>
      </c>
      <c r="D91" s="170"/>
      <c r="E91" s="179"/>
      <c r="F91" s="180"/>
      <c r="G91" s="49" t="s">
        <v>983</v>
      </c>
      <c r="H91" s="126"/>
      <c r="I91" s="33">
        <f>'38A1'!I91+'38A3'!J91+'38A4'!J91</f>
        <v>0</v>
      </c>
      <c r="J91" s="33">
        <f>'38A1'!J91+'38A3'!L91+'38A4'!L91</f>
        <v>0</v>
      </c>
      <c r="K91" s="33">
        <f>'38A1'!K91+'38A3'!N91+'38A4'!N91</f>
        <v>0</v>
      </c>
      <c r="L91" s="11">
        <f>'38A1'!L91+'38A3'!P91+'38A4'!P91</f>
        <v>0</v>
      </c>
      <c r="M91" s="11">
        <f>'38A1'!M91+'38A3'!R91+'38A4'!R91</f>
        <v>0</v>
      </c>
      <c r="N91" s="11">
        <f>'38A1'!N91+'38A3'!T91+'38A4'!T91</f>
        <v>0</v>
      </c>
      <c r="O91" s="11">
        <f>'38A1'!O91+'38A3'!V91+'38A4'!V91</f>
        <v>0</v>
      </c>
      <c r="P91" s="11">
        <f>'38A1'!P91+'38A3'!X91+'38A4'!X91</f>
        <v>0</v>
      </c>
      <c r="Q91" s="11">
        <f>'38A1'!Q91+'38A3'!Z91+'38A4'!Z91</f>
        <v>0</v>
      </c>
      <c r="R91" s="11">
        <f>'38A1'!R91+'38A3'!AB91+'38A4'!AB91</f>
        <v>0</v>
      </c>
      <c r="S91" s="11">
        <f>'38A1'!S91+'38A3'!AD91+'38A4'!AD91</f>
        <v>0</v>
      </c>
    </row>
    <row r="92" spans="1:19" x14ac:dyDescent="0.2">
      <c r="A92" s="178"/>
      <c r="B92" s="181" t="s">
        <v>14</v>
      </c>
      <c r="C92" s="170" t="s">
        <v>984</v>
      </c>
      <c r="D92" s="170"/>
      <c r="E92" s="179"/>
      <c r="F92" s="180"/>
      <c r="G92" s="49" t="s">
        <v>985</v>
      </c>
      <c r="H92" s="118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90">
        <f>'38A1'!S92+'38A3'!AD92+'38A4'!AD92</f>
        <v>0</v>
      </c>
    </row>
    <row r="93" spans="1:19" x14ac:dyDescent="0.2">
      <c r="A93" s="178"/>
      <c r="B93" s="170"/>
      <c r="C93" s="170" t="s">
        <v>1010</v>
      </c>
      <c r="D93" s="170"/>
      <c r="E93" s="179"/>
      <c r="F93" s="180"/>
      <c r="G93" s="49" t="s">
        <v>986</v>
      </c>
      <c r="H93" s="126"/>
      <c r="I93" s="190">
        <f>'38A1'!I93+'38A3'!J93+'38A4'!J93</f>
        <v>0</v>
      </c>
      <c r="J93" s="190">
        <f>'38A1'!J93+'38A3'!L93+'38A4'!L93</f>
        <v>0</v>
      </c>
      <c r="K93" s="190">
        <f>'38A1'!K93+'38A3'!N93+'38A4'!N93</f>
        <v>0</v>
      </c>
      <c r="L93" s="190">
        <f>'38A1'!L93+'38A3'!P93+'38A4'!P93</f>
        <v>0</v>
      </c>
      <c r="M93" s="190">
        <f>'38A1'!M93+'38A3'!R93+'38A4'!R93</f>
        <v>0</v>
      </c>
      <c r="N93" s="190">
        <f>'38A1'!N93+'38A3'!T93+'38A4'!T93</f>
        <v>0</v>
      </c>
      <c r="O93" s="190">
        <f>'38A1'!O93+'38A3'!V93+'38A4'!V93</f>
        <v>0</v>
      </c>
      <c r="P93" s="190">
        <f>'38A1'!P93+'38A3'!X93+'38A4'!X93</f>
        <v>0</v>
      </c>
      <c r="Q93" s="190">
        <f>'38A1'!Q93+'38A3'!Z93+'38A4'!Z93</f>
        <v>0</v>
      </c>
      <c r="R93" s="190">
        <f>'38A1'!R93+'38A3'!AB93+'38A4'!AB93</f>
        <v>0</v>
      </c>
      <c r="S93" s="190">
        <f>'38A1'!S93+'38A3'!AD93+'38A4'!AD93</f>
        <v>0</v>
      </c>
    </row>
    <row r="94" spans="1:19" x14ac:dyDescent="0.2">
      <c r="A94" s="178"/>
      <c r="B94" s="170"/>
      <c r="C94" s="170" t="s">
        <v>1011</v>
      </c>
      <c r="D94" s="170"/>
      <c r="E94" s="179"/>
      <c r="F94" s="180"/>
      <c r="G94" s="49" t="s">
        <v>987</v>
      </c>
      <c r="H94" s="126"/>
      <c r="I94" s="33">
        <f>'38A1'!I94+'38A3'!J94+'38A4'!J94</f>
        <v>0</v>
      </c>
      <c r="J94" s="33">
        <f>'38A1'!J94+'38A3'!L94+'38A4'!L94</f>
        <v>0</v>
      </c>
      <c r="K94" s="33">
        <f>'38A1'!K94+'38A3'!N94+'38A4'!N94</f>
        <v>0</v>
      </c>
      <c r="L94" s="11">
        <f>'38A1'!L94+'38A3'!P94+'38A4'!P94</f>
        <v>0</v>
      </c>
      <c r="M94" s="11">
        <f>'38A1'!M94+'38A3'!R94+'38A4'!R94</f>
        <v>0</v>
      </c>
      <c r="N94" s="11">
        <f>'38A1'!N94+'38A3'!T94+'38A4'!T94</f>
        <v>0</v>
      </c>
      <c r="O94" s="11">
        <f>'38A1'!O94+'38A3'!V94+'38A4'!V94</f>
        <v>0</v>
      </c>
      <c r="P94" s="11">
        <f>'38A1'!P94+'38A3'!X94+'38A4'!X94</f>
        <v>0</v>
      </c>
      <c r="Q94" s="11">
        <f>'38A1'!Q94+'38A3'!Z94+'38A4'!Z94</f>
        <v>0</v>
      </c>
      <c r="R94" s="11">
        <f>'38A1'!R94+'38A3'!AB94+'38A4'!AB94</f>
        <v>0</v>
      </c>
      <c r="S94" s="11">
        <f>'38A1'!S94+'38A3'!AD94+'38A4'!AD94</f>
        <v>0</v>
      </c>
    </row>
    <row r="95" spans="1:19" x14ac:dyDescent="0.2">
      <c r="A95" s="166" t="s">
        <v>16</v>
      </c>
      <c r="B95" s="170" t="s">
        <v>988</v>
      </c>
      <c r="C95" s="170"/>
      <c r="D95" s="170"/>
      <c r="E95" s="163"/>
      <c r="F95" s="180"/>
      <c r="G95" s="183"/>
      <c r="H95" s="130"/>
      <c r="I95" s="131"/>
      <c r="J95" s="131"/>
      <c r="K95" s="131"/>
      <c r="L95" s="186"/>
      <c r="M95" s="186"/>
      <c r="N95" s="186"/>
      <c r="O95" s="186"/>
      <c r="P95" s="186"/>
      <c r="Q95" s="186"/>
      <c r="R95" s="186"/>
      <c r="S95" s="186"/>
    </row>
    <row r="96" spans="1:19" ht="27.75" customHeight="1" x14ac:dyDescent="0.2">
      <c r="A96" s="174"/>
      <c r="B96" s="203" t="s">
        <v>989</v>
      </c>
      <c r="C96" s="203"/>
      <c r="D96" s="203"/>
      <c r="E96" s="204"/>
      <c r="F96" s="180"/>
      <c r="G96" s="49" t="s">
        <v>990</v>
      </c>
      <c r="H96" s="130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1">
        <f>'38A1'!S96+'38A3'!AD96+'38A4'!AD96</f>
        <v>0</v>
      </c>
    </row>
    <row r="97" spans="1:19" ht="26.25" customHeight="1" x14ac:dyDescent="0.2">
      <c r="A97" s="174"/>
      <c r="B97" s="203" t="s">
        <v>991</v>
      </c>
      <c r="C97" s="203"/>
      <c r="D97" s="203"/>
      <c r="E97" s="204"/>
      <c r="F97" s="180"/>
      <c r="G97" s="49" t="s">
        <v>992</v>
      </c>
      <c r="H97" s="130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1">
        <f>'38A1'!S97+'38A3'!AD97+'38A4'!AD97</f>
        <v>0</v>
      </c>
    </row>
    <row r="98" spans="1:19" x14ac:dyDescent="0.2">
      <c r="A98" s="174"/>
      <c r="B98" s="170" t="s">
        <v>993</v>
      </c>
      <c r="C98" s="170"/>
      <c r="D98" s="170"/>
      <c r="E98" s="163"/>
      <c r="F98" s="180"/>
      <c r="G98" s="49" t="s">
        <v>994</v>
      </c>
      <c r="H98" s="130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1">
        <f>-(S96-S97)</f>
        <v>0</v>
      </c>
    </row>
    <row r="99" spans="1:19" x14ac:dyDescent="0.2">
      <c r="A99" s="166" t="s">
        <v>18</v>
      </c>
      <c r="B99" s="170" t="s">
        <v>995</v>
      </c>
      <c r="C99" s="170"/>
      <c r="D99" s="170"/>
      <c r="E99" s="163"/>
      <c r="F99" s="180"/>
      <c r="G99" s="183"/>
      <c r="H99" s="130"/>
      <c r="I99" s="131"/>
      <c r="J99" s="131"/>
      <c r="K99" s="131"/>
      <c r="L99" s="186"/>
      <c r="M99" s="186"/>
      <c r="N99" s="186"/>
      <c r="O99" s="186"/>
      <c r="P99" s="186"/>
      <c r="Q99" s="186"/>
      <c r="R99" s="186"/>
      <c r="S99" s="186"/>
    </row>
    <row r="100" spans="1:19" x14ac:dyDescent="0.2">
      <c r="A100" s="174"/>
      <c r="B100" s="181" t="s">
        <v>12</v>
      </c>
      <c r="C100" s="170" t="s">
        <v>996</v>
      </c>
      <c r="D100" s="170"/>
      <c r="E100" s="163"/>
      <c r="F100" s="180"/>
      <c r="G100" s="49" t="s">
        <v>997</v>
      </c>
      <c r="H100" s="130"/>
      <c r="I100" s="33">
        <f>'38A1'!I100+'38A3'!J100+'38A4'!J100</f>
        <v>0</v>
      </c>
      <c r="J100" s="33">
        <f>'38A1'!J100+'38A3'!L100+'38A4'!L100</f>
        <v>0</v>
      </c>
      <c r="K100" s="33">
        <f>'38A1'!K100+'38A3'!N100+'38A4'!N100</f>
        <v>0</v>
      </c>
      <c r="L100" s="11">
        <f>'38A1'!L100+'38A3'!P100+'38A4'!P100</f>
        <v>0</v>
      </c>
      <c r="M100" s="11">
        <f>'38A1'!M100+'38A3'!R100+'38A4'!R100</f>
        <v>0</v>
      </c>
      <c r="N100" s="11">
        <f>'38A1'!N100+'38A3'!T100+'38A4'!T100</f>
        <v>0</v>
      </c>
      <c r="O100" s="11">
        <f>'38A1'!O100+'38A3'!V100+'38A4'!V100</f>
        <v>0</v>
      </c>
      <c r="P100" s="11">
        <f>'38A1'!P100+'38A3'!X100+'38A4'!X100</f>
        <v>0</v>
      </c>
      <c r="Q100" s="11">
        <f>'38A1'!Q100+'38A3'!Z100+'38A4'!Z100</f>
        <v>0</v>
      </c>
      <c r="R100" s="11">
        <f>'38A1'!R100+'38A3'!AB100+'38A4'!AB100</f>
        <v>0</v>
      </c>
      <c r="S100" s="11">
        <f>'38A1'!S100+'38A3'!AD100+'38A4'!AD100</f>
        <v>0</v>
      </c>
    </row>
    <row r="101" spans="1:19" x14ac:dyDescent="0.2">
      <c r="A101" s="174"/>
      <c r="B101" s="181" t="s">
        <v>14</v>
      </c>
      <c r="C101" s="170" t="s">
        <v>998</v>
      </c>
      <c r="D101" s="170"/>
      <c r="E101" s="163"/>
      <c r="F101" s="180"/>
      <c r="G101" s="49" t="s">
        <v>999</v>
      </c>
      <c r="H101" s="130"/>
      <c r="I101" s="33">
        <f>'38A1'!I101+'38A3'!J101+'38A4'!J101</f>
        <v>0</v>
      </c>
      <c r="J101" s="33">
        <f>'38A1'!J101+'38A3'!L101+'38A4'!L101</f>
        <v>0</v>
      </c>
      <c r="K101" s="33">
        <f>'38A1'!K101+'38A3'!N101+'38A4'!N101</f>
        <v>0</v>
      </c>
      <c r="L101" s="11">
        <f>'38A1'!L101+'38A3'!P101+'38A4'!P101</f>
        <v>0</v>
      </c>
      <c r="M101" s="11">
        <f>'38A1'!M101+'38A3'!R101+'38A4'!R101</f>
        <v>0</v>
      </c>
      <c r="N101" s="11">
        <f>'38A1'!N101+'38A3'!T101+'38A4'!T101</f>
        <v>0</v>
      </c>
      <c r="O101" s="11">
        <f>'38A1'!O101+'38A3'!V101+'38A4'!V101</f>
        <v>0</v>
      </c>
      <c r="P101" s="11">
        <f>'38A1'!P101+'38A3'!X101+'38A4'!X101</f>
        <v>0</v>
      </c>
      <c r="Q101" s="11">
        <f>'38A1'!Q101+'38A3'!Z101+'38A4'!Z101</f>
        <v>0</v>
      </c>
      <c r="R101" s="11">
        <f>'38A1'!R101+'38A3'!AB101+'38A4'!AB101</f>
        <v>0</v>
      </c>
      <c r="S101" s="11">
        <f>'38A1'!S101+'38A3'!AD101+'38A4'!AD101</f>
        <v>0</v>
      </c>
    </row>
    <row r="102" spans="1:19" x14ac:dyDescent="0.2">
      <c r="A102" s="174"/>
      <c r="B102" s="181" t="s">
        <v>24</v>
      </c>
      <c r="C102" s="170" t="s">
        <v>1000</v>
      </c>
      <c r="D102" s="170"/>
      <c r="E102" s="163"/>
      <c r="F102" s="180"/>
      <c r="G102" s="49" t="s">
        <v>1001</v>
      </c>
      <c r="H102" s="130"/>
      <c r="I102" s="33">
        <f>'38A1'!I102+'38A3'!J102+'38A4'!J102</f>
        <v>0</v>
      </c>
      <c r="J102" s="33">
        <f>'38A1'!J102+'38A3'!L102+'38A4'!L102</f>
        <v>0</v>
      </c>
      <c r="K102" s="33">
        <f>'38A1'!K102+'38A3'!N102+'38A4'!N102</f>
        <v>0</v>
      </c>
      <c r="L102" s="11">
        <f>'38A1'!L102+'38A3'!P102+'38A4'!P102</f>
        <v>0</v>
      </c>
      <c r="M102" s="11">
        <f>'38A1'!M102+'38A3'!R102+'38A4'!R102</f>
        <v>0</v>
      </c>
      <c r="N102" s="11">
        <f>'38A1'!N102+'38A3'!T102+'38A4'!T102</f>
        <v>0</v>
      </c>
      <c r="O102" s="11">
        <f>'38A1'!O102+'38A3'!V102+'38A4'!V102</f>
        <v>0</v>
      </c>
      <c r="P102" s="11">
        <f>'38A1'!P102+'38A3'!X102+'38A4'!X102</f>
        <v>0</v>
      </c>
      <c r="Q102" s="11">
        <f>'38A1'!Q102+'38A3'!Z102+'38A4'!Z102</f>
        <v>0</v>
      </c>
      <c r="R102" s="11">
        <f>'38A1'!R102+'38A3'!AB102+'38A4'!AB102</f>
        <v>0</v>
      </c>
      <c r="S102" s="11">
        <f>'38A1'!S102+'38A3'!AD102+'38A4'!AD102</f>
        <v>0</v>
      </c>
    </row>
    <row r="103" spans="1:19" x14ac:dyDescent="0.2">
      <c r="A103" s="174"/>
      <c r="B103" s="170" t="s">
        <v>1002</v>
      </c>
      <c r="C103" s="170"/>
      <c r="D103" s="170"/>
      <c r="E103" s="163"/>
      <c r="F103" s="180"/>
      <c r="G103" s="49" t="s">
        <v>1003</v>
      </c>
      <c r="H103" s="130"/>
      <c r="I103" s="33">
        <f>SUM(I100:I102)</f>
        <v>0</v>
      </c>
      <c r="J103" s="33">
        <f t="shared" ref="J103:S103" si="0">SUM(J100:J102)</f>
        <v>0</v>
      </c>
      <c r="K103" s="33">
        <f t="shared" si="0"/>
        <v>0</v>
      </c>
      <c r="L103" s="11">
        <f t="shared" si="0"/>
        <v>0</v>
      </c>
      <c r="M103" s="11">
        <f t="shared" si="0"/>
        <v>0</v>
      </c>
      <c r="N103" s="11">
        <f t="shared" si="0"/>
        <v>0</v>
      </c>
      <c r="O103" s="11">
        <f t="shared" si="0"/>
        <v>0</v>
      </c>
      <c r="P103" s="11">
        <f t="shared" si="0"/>
        <v>0</v>
      </c>
      <c r="Q103" s="11">
        <f t="shared" si="0"/>
        <v>0</v>
      </c>
      <c r="R103" s="11">
        <f t="shared" si="0"/>
        <v>0</v>
      </c>
      <c r="S103" s="11">
        <f t="shared" si="0"/>
        <v>0</v>
      </c>
    </row>
    <row r="104" spans="1:19" x14ac:dyDescent="0.2">
      <c r="A104" s="174"/>
      <c r="B104" s="170" t="s">
        <v>1004</v>
      </c>
      <c r="C104" s="170"/>
      <c r="D104" s="170"/>
      <c r="E104" s="163"/>
      <c r="F104" s="180"/>
      <c r="G104" s="49" t="s">
        <v>1005</v>
      </c>
      <c r="H104" s="130"/>
      <c r="I104" s="33">
        <f>I103/3</f>
        <v>0</v>
      </c>
      <c r="J104" s="33">
        <f t="shared" ref="J104:S104" si="1">J103/3</f>
        <v>0</v>
      </c>
      <c r="K104" s="33">
        <f t="shared" si="1"/>
        <v>0</v>
      </c>
      <c r="L104" s="11">
        <f t="shared" si="1"/>
        <v>0</v>
      </c>
      <c r="M104" s="11">
        <f t="shared" si="1"/>
        <v>0</v>
      </c>
      <c r="N104" s="11">
        <f t="shared" si="1"/>
        <v>0</v>
      </c>
      <c r="O104" s="11">
        <f t="shared" si="1"/>
        <v>0</v>
      </c>
      <c r="P104" s="11">
        <f t="shared" si="1"/>
        <v>0</v>
      </c>
      <c r="Q104" s="11">
        <f t="shared" si="1"/>
        <v>0</v>
      </c>
      <c r="R104" s="11">
        <f t="shared" si="1"/>
        <v>0</v>
      </c>
      <c r="S104" s="11">
        <f t="shared" si="1"/>
        <v>0</v>
      </c>
    </row>
    <row r="105" spans="1:19" ht="15" x14ac:dyDescent="0.25">
      <c r="A105" s="135"/>
      <c r="B105" s="135"/>
      <c r="C105" s="135"/>
      <c r="D105" s="135"/>
      <c r="E105" s="135"/>
      <c r="F105" s="135"/>
      <c r="G105" s="21" t="s">
        <v>84</v>
      </c>
      <c r="H105" s="136"/>
    </row>
  </sheetData>
  <sheetProtection sheet="1" objects="1" scenarios="1" selectLockedCells="1"/>
  <mergeCells count="22">
    <mergeCell ref="B50:E50"/>
    <mergeCell ref="B51:E51"/>
    <mergeCell ref="B96:E96"/>
    <mergeCell ref="B97:E97"/>
    <mergeCell ref="S6:S7"/>
    <mergeCell ref="C35:E35"/>
    <mergeCell ref="B45:E45"/>
    <mergeCell ref="B46:E46"/>
    <mergeCell ref="B47:E47"/>
    <mergeCell ref="B48:E48"/>
    <mergeCell ref="M6:M7"/>
    <mergeCell ref="N6:N7"/>
    <mergeCell ref="O6:O7"/>
    <mergeCell ref="P6:P7"/>
    <mergeCell ref="Q6:Q7"/>
    <mergeCell ref="R6:R7"/>
    <mergeCell ref="A6:E7"/>
    <mergeCell ref="G6:G7"/>
    <mergeCell ref="I6:I7"/>
    <mergeCell ref="J6:J7"/>
    <mergeCell ref="K6:K7"/>
    <mergeCell ref="L6:L7"/>
  </mergeCells>
  <dataValidations count="1">
    <dataValidation type="decimal" allowBlank="1" showInputMessage="1" showErrorMessage="1" error="Invalid Input." sqref="S96:S97 H9:S94 I100:S102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  <headerFooter>
    <oddHeader>&amp;C&amp;"Arial,Bold"&amp;8 NEW RURAL BANK OF SAN LEONARDO INC.  [ 04-006056 ]
 As of: June 30, 2016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05"/>
  <sheetViews>
    <sheetView workbookViewId="0">
      <selection activeCell="I9" sqref="I9"/>
    </sheetView>
  </sheetViews>
  <sheetFormatPr defaultRowHeight="15" x14ac:dyDescent="0.25"/>
  <cols>
    <col min="1" max="1" width="3.5703125" style="135" customWidth="1"/>
    <col min="2" max="2" width="3" style="135" customWidth="1"/>
    <col min="3" max="3" width="3.140625" style="135" customWidth="1"/>
    <col min="4" max="4" width="9.140625" style="135"/>
    <col min="5" max="5" width="30" style="135" customWidth="1"/>
    <col min="6" max="6" width="0" style="135" hidden="1" customWidth="1"/>
    <col min="7" max="7" width="16.5703125" style="135" bestFit="1" customWidth="1"/>
    <col min="8" max="8" width="0" style="136" hidden="1" customWidth="1"/>
    <col min="9" max="15" width="15.7109375" customWidth="1"/>
    <col min="16" max="16" width="26.28515625" customWidth="1"/>
    <col min="17" max="19" width="15.7109375" customWidth="1"/>
  </cols>
  <sheetData>
    <row r="1" spans="1:19" s="105" customFormat="1" ht="11.25" x14ac:dyDescent="0.2">
      <c r="A1" s="99" t="s">
        <v>819</v>
      </c>
      <c r="B1" s="100"/>
      <c r="C1" s="100"/>
      <c r="D1" s="100"/>
      <c r="E1" s="101"/>
      <c r="F1" s="101"/>
      <c r="G1" s="102"/>
      <c r="H1" s="103"/>
      <c r="I1" s="102"/>
      <c r="J1" s="101"/>
      <c r="K1" s="101"/>
      <c r="L1" s="101"/>
      <c r="M1" s="101"/>
      <c r="N1" s="101"/>
      <c r="O1" s="101"/>
      <c r="P1" s="101"/>
      <c r="Q1" s="101"/>
      <c r="R1" s="101"/>
      <c r="S1" s="104"/>
    </row>
    <row r="2" spans="1:19" s="105" customFormat="1" ht="11.25" x14ac:dyDescent="0.2">
      <c r="A2" s="106" t="s">
        <v>2</v>
      </c>
      <c r="B2" s="107"/>
      <c r="C2" s="107"/>
      <c r="D2" s="107"/>
      <c r="E2" s="108"/>
      <c r="F2" s="108"/>
      <c r="G2" s="109"/>
      <c r="H2" s="110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</row>
    <row r="3" spans="1:19" s="105" customFormat="1" ht="11.25" x14ac:dyDescent="0.2">
      <c r="A3" s="100"/>
      <c r="B3" s="107"/>
      <c r="C3" s="107"/>
      <c r="D3" s="107"/>
      <c r="E3" s="108"/>
      <c r="F3" s="108"/>
      <c r="G3" s="109"/>
      <c r="H3" s="110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</row>
    <row r="4" spans="1:19" s="105" customFormat="1" ht="11.25" x14ac:dyDescent="0.2">
      <c r="A4" s="100"/>
      <c r="B4" s="107"/>
      <c r="C4" s="107"/>
      <c r="D4" s="107"/>
      <c r="E4" s="108"/>
      <c r="F4" s="108"/>
      <c r="G4" s="109"/>
      <c r="H4" s="110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</row>
    <row r="5" spans="1:19" s="105" customFormat="1" ht="11.25" x14ac:dyDescent="0.2">
      <c r="A5" s="111"/>
      <c r="B5" s="111"/>
      <c r="C5" s="111"/>
      <c r="D5" s="111"/>
      <c r="E5" s="112"/>
      <c r="F5" s="112"/>
      <c r="G5" s="112"/>
      <c r="H5" s="113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</row>
    <row r="6" spans="1:19" s="115" customFormat="1" ht="11.25" x14ac:dyDescent="0.2">
      <c r="A6" s="200" t="s">
        <v>820</v>
      </c>
      <c r="B6" s="200"/>
      <c r="C6" s="200"/>
      <c r="D6" s="200"/>
      <c r="E6" s="200"/>
      <c r="F6" s="114"/>
      <c r="G6" s="200" t="s">
        <v>1</v>
      </c>
      <c r="H6" s="114"/>
      <c r="I6" s="200" t="s">
        <v>821</v>
      </c>
      <c r="J6" s="200" t="s">
        <v>822</v>
      </c>
      <c r="K6" s="200" t="s">
        <v>823</v>
      </c>
      <c r="L6" s="200" t="s">
        <v>824</v>
      </c>
      <c r="M6" s="200" t="s">
        <v>825</v>
      </c>
      <c r="N6" s="200" t="s">
        <v>826</v>
      </c>
      <c r="O6" s="200" t="s">
        <v>827</v>
      </c>
      <c r="P6" s="200" t="s">
        <v>828</v>
      </c>
      <c r="Q6" s="200" t="s">
        <v>829</v>
      </c>
      <c r="R6" s="200" t="s">
        <v>830</v>
      </c>
      <c r="S6" s="205" t="s">
        <v>831</v>
      </c>
    </row>
    <row r="7" spans="1:19" s="115" customFormat="1" ht="11.25" x14ac:dyDescent="0.2">
      <c r="A7" s="200"/>
      <c r="B7" s="200"/>
      <c r="C7" s="200"/>
      <c r="D7" s="200"/>
      <c r="E7" s="200"/>
      <c r="F7" s="114"/>
      <c r="G7" s="200"/>
      <c r="H7" s="114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6"/>
    </row>
    <row r="8" spans="1:19" s="105" customFormat="1" ht="11.25" x14ac:dyDescent="0.2">
      <c r="A8" s="158" t="s">
        <v>832</v>
      </c>
      <c r="B8" s="159"/>
      <c r="C8" s="159"/>
      <c r="D8" s="159"/>
      <c r="E8" s="140"/>
      <c r="F8" s="141"/>
      <c r="G8" s="152"/>
      <c r="H8" s="116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</row>
    <row r="9" spans="1:19" s="105" customFormat="1" ht="11.25" x14ac:dyDescent="0.2">
      <c r="A9" s="137" t="s">
        <v>8</v>
      </c>
      <c r="B9" s="138" t="s">
        <v>833</v>
      </c>
      <c r="C9" s="139"/>
      <c r="D9" s="139"/>
      <c r="E9" s="140"/>
      <c r="F9" s="141"/>
      <c r="G9" s="142" t="s">
        <v>834</v>
      </c>
      <c r="H9" s="118"/>
      <c r="I9" s="35"/>
      <c r="J9" s="35"/>
      <c r="K9" s="35"/>
      <c r="L9" s="35"/>
      <c r="M9" s="35"/>
      <c r="N9" s="35"/>
      <c r="O9" s="35"/>
      <c r="P9" s="35"/>
      <c r="Q9" s="35"/>
      <c r="R9" s="35"/>
      <c r="S9" s="133">
        <f t="shared" ref="S9:S40" si="0">SUM(I9:R9)</f>
        <v>0</v>
      </c>
    </row>
    <row r="10" spans="1:19" s="105" customFormat="1" ht="11.25" x14ac:dyDescent="0.2">
      <c r="A10" s="137" t="s">
        <v>10</v>
      </c>
      <c r="B10" s="143" t="s">
        <v>835</v>
      </c>
      <c r="C10" s="144"/>
      <c r="D10" s="144"/>
      <c r="E10" s="140"/>
      <c r="F10" s="141"/>
      <c r="G10" s="145" t="s">
        <v>836</v>
      </c>
      <c r="H10" s="118"/>
      <c r="I10" s="133">
        <f t="shared" ref="I10:R10" si="1">SUM(I11:I12)</f>
        <v>0</v>
      </c>
      <c r="J10" s="133">
        <f t="shared" si="1"/>
        <v>0</v>
      </c>
      <c r="K10" s="133">
        <f t="shared" si="1"/>
        <v>0</v>
      </c>
      <c r="L10" s="133">
        <f t="shared" si="1"/>
        <v>0</v>
      </c>
      <c r="M10" s="133">
        <f t="shared" si="1"/>
        <v>0</v>
      </c>
      <c r="N10" s="133">
        <f t="shared" si="1"/>
        <v>0</v>
      </c>
      <c r="O10" s="133">
        <f t="shared" si="1"/>
        <v>0</v>
      </c>
      <c r="P10" s="133">
        <f t="shared" si="1"/>
        <v>0</v>
      </c>
      <c r="Q10" s="133">
        <f t="shared" si="1"/>
        <v>0</v>
      </c>
      <c r="R10" s="133">
        <f t="shared" si="1"/>
        <v>0</v>
      </c>
      <c r="S10" s="133">
        <f t="shared" si="0"/>
        <v>0</v>
      </c>
    </row>
    <row r="11" spans="1:19" s="105" customFormat="1" ht="11.25" x14ac:dyDescent="0.2">
      <c r="A11" s="137"/>
      <c r="B11" s="146" t="s">
        <v>12</v>
      </c>
      <c r="C11" s="144" t="s">
        <v>1017</v>
      </c>
      <c r="D11" s="144"/>
      <c r="E11" s="140"/>
      <c r="F11" s="141"/>
      <c r="G11" s="145" t="s">
        <v>1019</v>
      </c>
      <c r="H11" s="118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33">
        <f t="shared" si="0"/>
        <v>0</v>
      </c>
    </row>
    <row r="12" spans="1:19" s="105" customFormat="1" ht="11.25" x14ac:dyDescent="0.2">
      <c r="A12" s="137"/>
      <c r="B12" s="146" t="s">
        <v>14</v>
      </c>
      <c r="C12" s="144" t="s">
        <v>1018</v>
      </c>
      <c r="D12" s="144"/>
      <c r="E12" s="140"/>
      <c r="F12" s="141"/>
      <c r="G12" s="145" t="s">
        <v>1020</v>
      </c>
      <c r="H12" s="118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133">
        <f t="shared" si="0"/>
        <v>0</v>
      </c>
    </row>
    <row r="13" spans="1:19" s="105" customFormat="1" ht="11.25" x14ac:dyDescent="0.2">
      <c r="A13" s="137" t="s">
        <v>16</v>
      </c>
      <c r="B13" s="143" t="s">
        <v>837</v>
      </c>
      <c r="C13" s="144"/>
      <c r="D13" s="144"/>
      <c r="E13" s="140"/>
      <c r="F13" s="141"/>
      <c r="G13" s="145" t="s">
        <v>838</v>
      </c>
      <c r="H13" s="118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133">
        <f t="shared" si="0"/>
        <v>0</v>
      </c>
    </row>
    <row r="14" spans="1:19" s="105" customFormat="1" ht="11.25" x14ac:dyDescent="0.2">
      <c r="A14" s="137" t="s">
        <v>18</v>
      </c>
      <c r="B14" s="143" t="s">
        <v>839</v>
      </c>
      <c r="C14" s="144"/>
      <c r="D14" s="144"/>
      <c r="E14" s="140"/>
      <c r="F14" s="141"/>
      <c r="G14" s="145" t="s">
        <v>840</v>
      </c>
      <c r="H14" s="118"/>
      <c r="I14" s="133">
        <f t="shared" ref="I14:R14" si="2">SUM(I15:I16)</f>
        <v>0</v>
      </c>
      <c r="J14" s="133">
        <f t="shared" si="2"/>
        <v>0</v>
      </c>
      <c r="K14" s="133">
        <f t="shared" si="2"/>
        <v>0</v>
      </c>
      <c r="L14" s="133">
        <f t="shared" si="2"/>
        <v>0</v>
      </c>
      <c r="M14" s="133">
        <f t="shared" si="2"/>
        <v>0</v>
      </c>
      <c r="N14" s="133">
        <f t="shared" si="2"/>
        <v>0</v>
      </c>
      <c r="O14" s="133">
        <f t="shared" si="2"/>
        <v>0</v>
      </c>
      <c r="P14" s="133">
        <f t="shared" si="2"/>
        <v>0</v>
      </c>
      <c r="Q14" s="133">
        <f t="shared" si="2"/>
        <v>0</v>
      </c>
      <c r="R14" s="133">
        <f t="shared" si="2"/>
        <v>0</v>
      </c>
      <c r="S14" s="133">
        <f t="shared" si="0"/>
        <v>0</v>
      </c>
    </row>
    <row r="15" spans="1:19" s="105" customFormat="1" ht="11.25" x14ac:dyDescent="0.2">
      <c r="A15" s="137"/>
      <c r="B15" s="143" t="s">
        <v>12</v>
      </c>
      <c r="C15" s="144" t="s">
        <v>841</v>
      </c>
      <c r="D15" s="144"/>
      <c r="E15" s="140"/>
      <c r="F15" s="141"/>
      <c r="G15" s="145" t="s">
        <v>842</v>
      </c>
      <c r="H15" s="118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133">
        <f t="shared" si="0"/>
        <v>0</v>
      </c>
    </row>
    <row r="16" spans="1:19" s="105" customFormat="1" ht="11.25" x14ac:dyDescent="0.2">
      <c r="A16" s="137"/>
      <c r="B16" s="143" t="s">
        <v>14</v>
      </c>
      <c r="C16" s="144" t="s">
        <v>843</v>
      </c>
      <c r="D16" s="144"/>
      <c r="E16" s="140"/>
      <c r="F16" s="141"/>
      <c r="G16" s="145" t="s">
        <v>844</v>
      </c>
      <c r="H16" s="118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133">
        <f t="shared" si="0"/>
        <v>0</v>
      </c>
    </row>
    <row r="17" spans="1:19" s="105" customFormat="1" ht="11.25" x14ac:dyDescent="0.2">
      <c r="A17" s="137" t="s">
        <v>28</v>
      </c>
      <c r="B17" s="143" t="s">
        <v>845</v>
      </c>
      <c r="C17" s="144"/>
      <c r="D17" s="144"/>
      <c r="E17" s="140"/>
      <c r="F17" s="141"/>
      <c r="G17" s="145" t="s">
        <v>846</v>
      </c>
      <c r="H17" s="119"/>
      <c r="I17" s="133">
        <f t="shared" ref="I17:R17" si="3">SUM(I22,I25)</f>
        <v>0</v>
      </c>
      <c r="J17" s="133">
        <f t="shared" si="3"/>
        <v>0</v>
      </c>
      <c r="K17" s="133">
        <f t="shared" si="3"/>
        <v>0</v>
      </c>
      <c r="L17" s="133">
        <f t="shared" si="3"/>
        <v>0</v>
      </c>
      <c r="M17" s="133">
        <f t="shared" si="3"/>
        <v>0</v>
      </c>
      <c r="N17" s="133">
        <f t="shared" si="3"/>
        <v>0</v>
      </c>
      <c r="O17" s="133">
        <f t="shared" si="3"/>
        <v>0</v>
      </c>
      <c r="P17" s="133">
        <f t="shared" si="3"/>
        <v>0</v>
      </c>
      <c r="Q17" s="133">
        <f t="shared" si="3"/>
        <v>0</v>
      </c>
      <c r="R17" s="133">
        <f t="shared" si="3"/>
        <v>0</v>
      </c>
      <c r="S17" s="133">
        <f t="shared" si="0"/>
        <v>0</v>
      </c>
    </row>
    <row r="18" spans="1:19" s="105" customFormat="1" ht="11.25" x14ac:dyDescent="0.2">
      <c r="A18" s="137"/>
      <c r="B18" s="146" t="s">
        <v>12</v>
      </c>
      <c r="C18" s="144" t="s">
        <v>847</v>
      </c>
      <c r="D18" s="144"/>
      <c r="E18" s="140"/>
      <c r="F18" s="141"/>
      <c r="G18" s="145" t="s">
        <v>848</v>
      </c>
      <c r="H18" s="119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133">
        <f t="shared" si="0"/>
        <v>0</v>
      </c>
    </row>
    <row r="19" spans="1:19" s="105" customFormat="1" ht="11.25" x14ac:dyDescent="0.2">
      <c r="A19" s="137"/>
      <c r="B19" s="146"/>
      <c r="C19" s="147" t="s">
        <v>849</v>
      </c>
      <c r="D19" s="144"/>
      <c r="E19" s="140"/>
      <c r="F19" s="141"/>
      <c r="G19" s="145" t="s">
        <v>850</v>
      </c>
      <c r="H19" s="119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133">
        <f t="shared" si="0"/>
        <v>0</v>
      </c>
    </row>
    <row r="20" spans="1:19" s="105" customFormat="1" ht="11.25" x14ac:dyDescent="0.2">
      <c r="A20" s="137"/>
      <c r="B20" s="146"/>
      <c r="C20" s="144" t="s">
        <v>851</v>
      </c>
      <c r="D20" s="144"/>
      <c r="E20" s="140"/>
      <c r="F20" s="141"/>
      <c r="G20" s="145" t="s">
        <v>852</v>
      </c>
      <c r="H20" s="119"/>
      <c r="I20" s="133">
        <f t="shared" ref="I20:R20" si="4">SUM(I18,I19)</f>
        <v>0</v>
      </c>
      <c r="J20" s="133">
        <f t="shared" si="4"/>
        <v>0</v>
      </c>
      <c r="K20" s="133">
        <f t="shared" si="4"/>
        <v>0</v>
      </c>
      <c r="L20" s="133">
        <f t="shared" si="4"/>
        <v>0</v>
      </c>
      <c r="M20" s="133">
        <f t="shared" si="4"/>
        <v>0</v>
      </c>
      <c r="N20" s="133">
        <f t="shared" si="4"/>
        <v>0</v>
      </c>
      <c r="O20" s="133">
        <f t="shared" si="4"/>
        <v>0</v>
      </c>
      <c r="P20" s="133">
        <f t="shared" si="4"/>
        <v>0</v>
      </c>
      <c r="Q20" s="133">
        <f t="shared" si="4"/>
        <v>0</v>
      </c>
      <c r="R20" s="133">
        <f t="shared" si="4"/>
        <v>0</v>
      </c>
      <c r="S20" s="133">
        <f t="shared" si="0"/>
        <v>0</v>
      </c>
    </row>
    <row r="21" spans="1:19" s="105" customFormat="1" ht="11.25" x14ac:dyDescent="0.2">
      <c r="A21" s="137"/>
      <c r="B21" s="146"/>
      <c r="C21" s="147" t="s">
        <v>853</v>
      </c>
      <c r="D21" s="144"/>
      <c r="E21" s="140"/>
      <c r="F21" s="141"/>
      <c r="G21" s="145" t="s">
        <v>854</v>
      </c>
      <c r="H21" s="119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133">
        <f t="shared" si="0"/>
        <v>0</v>
      </c>
    </row>
    <row r="22" spans="1:19" s="105" customFormat="1" ht="11.25" x14ac:dyDescent="0.2">
      <c r="A22" s="137"/>
      <c r="B22" s="146"/>
      <c r="C22" s="144" t="s">
        <v>855</v>
      </c>
      <c r="D22" s="144"/>
      <c r="E22" s="140"/>
      <c r="F22" s="141"/>
      <c r="G22" s="145" t="s">
        <v>856</v>
      </c>
      <c r="H22" s="119"/>
      <c r="I22" s="133">
        <f t="shared" ref="I22:R22" si="5">SUM(I20,I21)</f>
        <v>0</v>
      </c>
      <c r="J22" s="133">
        <f t="shared" si="5"/>
        <v>0</v>
      </c>
      <c r="K22" s="133">
        <f t="shared" si="5"/>
        <v>0</v>
      </c>
      <c r="L22" s="133">
        <f t="shared" si="5"/>
        <v>0</v>
      </c>
      <c r="M22" s="133">
        <f t="shared" si="5"/>
        <v>0</v>
      </c>
      <c r="N22" s="133">
        <f t="shared" si="5"/>
        <v>0</v>
      </c>
      <c r="O22" s="133">
        <f t="shared" si="5"/>
        <v>0</v>
      </c>
      <c r="P22" s="133">
        <f t="shared" si="5"/>
        <v>0</v>
      </c>
      <c r="Q22" s="133">
        <f t="shared" si="5"/>
        <v>0</v>
      </c>
      <c r="R22" s="133">
        <f t="shared" si="5"/>
        <v>0</v>
      </c>
      <c r="S22" s="133">
        <f t="shared" si="0"/>
        <v>0</v>
      </c>
    </row>
    <row r="23" spans="1:19" s="105" customFormat="1" ht="11.25" x14ac:dyDescent="0.2">
      <c r="A23" s="137"/>
      <c r="B23" s="146" t="s">
        <v>14</v>
      </c>
      <c r="C23" s="144" t="s">
        <v>857</v>
      </c>
      <c r="D23" s="144"/>
      <c r="E23" s="140"/>
      <c r="F23" s="141"/>
      <c r="G23" s="145" t="s">
        <v>858</v>
      </c>
      <c r="H23" s="119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133">
        <f t="shared" si="0"/>
        <v>0</v>
      </c>
    </row>
    <row r="24" spans="1:19" s="105" customFormat="1" ht="11.25" x14ac:dyDescent="0.2">
      <c r="A24" s="137"/>
      <c r="B24" s="143"/>
      <c r="C24" s="147" t="s">
        <v>853</v>
      </c>
      <c r="D24" s="144"/>
      <c r="E24" s="140"/>
      <c r="F24" s="141"/>
      <c r="G24" s="145" t="s">
        <v>859</v>
      </c>
      <c r="H24" s="119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133">
        <f t="shared" si="0"/>
        <v>0</v>
      </c>
    </row>
    <row r="25" spans="1:19" s="105" customFormat="1" ht="11.25" x14ac:dyDescent="0.2">
      <c r="A25" s="137"/>
      <c r="B25" s="138"/>
      <c r="C25" s="144" t="s">
        <v>860</v>
      </c>
      <c r="D25" s="144"/>
      <c r="E25" s="140"/>
      <c r="F25" s="141"/>
      <c r="G25" s="145" t="s">
        <v>861</v>
      </c>
      <c r="H25" s="119"/>
      <c r="I25" s="133">
        <f t="shared" ref="I25:R25" si="6">SUM(I23,I24)</f>
        <v>0</v>
      </c>
      <c r="J25" s="133">
        <f t="shared" si="6"/>
        <v>0</v>
      </c>
      <c r="K25" s="133">
        <f t="shared" si="6"/>
        <v>0</v>
      </c>
      <c r="L25" s="133">
        <f t="shared" si="6"/>
        <v>0</v>
      </c>
      <c r="M25" s="133">
        <f t="shared" si="6"/>
        <v>0</v>
      </c>
      <c r="N25" s="133">
        <f t="shared" si="6"/>
        <v>0</v>
      </c>
      <c r="O25" s="133">
        <f t="shared" si="6"/>
        <v>0</v>
      </c>
      <c r="P25" s="133">
        <f t="shared" si="6"/>
        <v>0</v>
      </c>
      <c r="Q25" s="133">
        <f t="shared" si="6"/>
        <v>0</v>
      </c>
      <c r="R25" s="133">
        <f t="shared" si="6"/>
        <v>0</v>
      </c>
      <c r="S25" s="133">
        <f t="shared" si="0"/>
        <v>0</v>
      </c>
    </row>
    <row r="26" spans="1:19" s="105" customFormat="1" ht="11.25" x14ac:dyDescent="0.2">
      <c r="A26" s="137"/>
      <c r="B26" s="148" t="s">
        <v>862</v>
      </c>
      <c r="C26" s="147"/>
      <c r="D26" s="147"/>
      <c r="E26" s="140"/>
      <c r="F26" s="141"/>
      <c r="G26" s="145" t="s">
        <v>863</v>
      </c>
      <c r="H26" s="119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133">
        <f t="shared" si="0"/>
        <v>0</v>
      </c>
    </row>
    <row r="27" spans="1:19" s="105" customFormat="1" ht="11.25" x14ac:dyDescent="0.2">
      <c r="A27" s="137"/>
      <c r="B27" s="143" t="s">
        <v>864</v>
      </c>
      <c r="C27" s="144"/>
      <c r="D27" s="144"/>
      <c r="E27" s="140"/>
      <c r="F27" s="141"/>
      <c r="G27" s="145" t="s">
        <v>865</v>
      </c>
      <c r="H27" s="119"/>
      <c r="I27" s="133">
        <f t="shared" ref="I27:R27" si="7">I17-I26</f>
        <v>0</v>
      </c>
      <c r="J27" s="133">
        <f t="shared" si="7"/>
        <v>0</v>
      </c>
      <c r="K27" s="133">
        <f t="shared" si="7"/>
        <v>0</v>
      </c>
      <c r="L27" s="133">
        <f t="shared" si="7"/>
        <v>0</v>
      </c>
      <c r="M27" s="133">
        <f t="shared" si="7"/>
        <v>0</v>
      </c>
      <c r="N27" s="133">
        <f t="shared" si="7"/>
        <v>0</v>
      </c>
      <c r="O27" s="133">
        <f t="shared" si="7"/>
        <v>0</v>
      </c>
      <c r="P27" s="133">
        <f t="shared" si="7"/>
        <v>0</v>
      </c>
      <c r="Q27" s="133">
        <f t="shared" si="7"/>
        <v>0</v>
      </c>
      <c r="R27" s="133">
        <f t="shared" si="7"/>
        <v>0</v>
      </c>
      <c r="S27" s="133">
        <f t="shared" si="0"/>
        <v>0</v>
      </c>
    </row>
    <row r="28" spans="1:19" s="105" customFormat="1" ht="11.25" x14ac:dyDescent="0.2">
      <c r="A28" s="137" t="s">
        <v>31</v>
      </c>
      <c r="B28" s="143" t="s">
        <v>866</v>
      </c>
      <c r="C28" s="144"/>
      <c r="D28" s="144"/>
      <c r="E28" s="140"/>
      <c r="F28" s="141"/>
      <c r="G28" s="145" t="s">
        <v>867</v>
      </c>
      <c r="H28" s="119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133">
        <f t="shared" si="0"/>
        <v>0</v>
      </c>
    </row>
    <row r="29" spans="1:19" s="105" customFormat="1" ht="11.25" x14ac:dyDescent="0.2">
      <c r="A29" s="137"/>
      <c r="B29" s="143"/>
      <c r="C29" s="147" t="s">
        <v>849</v>
      </c>
      <c r="D29" s="144"/>
      <c r="E29" s="140"/>
      <c r="F29" s="141"/>
      <c r="G29" s="145" t="s">
        <v>868</v>
      </c>
      <c r="H29" s="119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133">
        <f t="shared" si="0"/>
        <v>0</v>
      </c>
    </row>
    <row r="30" spans="1:19" s="105" customFormat="1" ht="11.25" x14ac:dyDescent="0.2">
      <c r="A30" s="137"/>
      <c r="B30" s="143"/>
      <c r="C30" s="144" t="s">
        <v>869</v>
      </c>
      <c r="D30" s="144"/>
      <c r="E30" s="140"/>
      <c r="F30" s="141"/>
      <c r="G30" s="145" t="s">
        <v>870</v>
      </c>
      <c r="H30" s="119"/>
      <c r="I30" s="133">
        <f t="shared" ref="I30:R30" si="8">SUM(I28,I29)</f>
        <v>0</v>
      </c>
      <c r="J30" s="133">
        <f t="shared" si="8"/>
        <v>0</v>
      </c>
      <c r="K30" s="133">
        <f t="shared" si="8"/>
        <v>0</v>
      </c>
      <c r="L30" s="133">
        <f t="shared" si="8"/>
        <v>0</v>
      </c>
      <c r="M30" s="133">
        <f t="shared" si="8"/>
        <v>0</v>
      </c>
      <c r="N30" s="133">
        <f t="shared" si="8"/>
        <v>0</v>
      </c>
      <c r="O30" s="133">
        <f t="shared" si="8"/>
        <v>0</v>
      </c>
      <c r="P30" s="133">
        <f t="shared" si="8"/>
        <v>0</v>
      </c>
      <c r="Q30" s="133">
        <f t="shared" si="8"/>
        <v>0</v>
      </c>
      <c r="R30" s="133">
        <f t="shared" si="8"/>
        <v>0</v>
      </c>
      <c r="S30" s="133">
        <f t="shared" si="0"/>
        <v>0</v>
      </c>
    </row>
    <row r="31" spans="1:19" s="105" customFormat="1" ht="11.25" x14ac:dyDescent="0.2">
      <c r="A31" s="137"/>
      <c r="B31" s="148" t="s">
        <v>862</v>
      </c>
      <c r="C31" s="144"/>
      <c r="D31" s="144"/>
      <c r="E31" s="140"/>
      <c r="F31" s="141"/>
      <c r="G31" s="145" t="s">
        <v>871</v>
      </c>
      <c r="H31" s="119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133">
        <f t="shared" si="0"/>
        <v>0</v>
      </c>
    </row>
    <row r="32" spans="1:19" s="105" customFormat="1" ht="11.25" x14ac:dyDescent="0.2">
      <c r="A32" s="138"/>
      <c r="B32" s="143" t="s">
        <v>872</v>
      </c>
      <c r="C32" s="144"/>
      <c r="D32" s="144"/>
      <c r="E32" s="140"/>
      <c r="F32" s="141"/>
      <c r="G32" s="145" t="s">
        <v>873</v>
      </c>
      <c r="H32" s="119"/>
      <c r="I32" s="133">
        <f t="shared" ref="I32:R32" si="9">I30-I31</f>
        <v>0</v>
      </c>
      <c r="J32" s="133">
        <f t="shared" si="9"/>
        <v>0</v>
      </c>
      <c r="K32" s="133">
        <f t="shared" si="9"/>
        <v>0</v>
      </c>
      <c r="L32" s="133">
        <f t="shared" si="9"/>
        <v>0</v>
      </c>
      <c r="M32" s="133">
        <f t="shared" si="9"/>
        <v>0</v>
      </c>
      <c r="N32" s="133">
        <f t="shared" si="9"/>
        <v>0</v>
      </c>
      <c r="O32" s="133">
        <f t="shared" si="9"/>
        <v>0</v>
      </c>
      <c r="P32" s="133">
        <f t="shared" si="9"/>
        <v>0</v>
      </c>
      <c r="Q32" s="133">
        <f t="shared" si="9"/>
        <v>0</v>
      </c>
      <c r="R32" s="133">
        <f t="shared" si="9"/>
        <v>0</v>
      </c>
      <c r="S32" s="133">
        <f t="shared" si="0"/>
        <v>0</v>
      </c>
    </row>
    <row r="33" spans="1:19" s="105" customFormat="1" ht="11.25" x14ac:dyDescent="0.2">
      <c r="A33" s="137" t="s">
        <v>38</v>
      </c>
      <c r="B33" s="143" t="s">
        <v>874</v>
      </c>
      <c r="C33" s="144"/>
      <c r="D33" s="144"/>
      <c r="E33" s="140"/>
      <c r="F33" s="141"/>
      <c r="G33" s="145" t="s">
        <v>875</v>
      </c>
      <c r="H33" s="119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133">
        <f t="shared" si="0"/>
        <v>0</v>
      </c>
    </row>
    <row r="34" spans="1:19" s="105" customFormat="1" ht="11.25" x14ac:dyDescent="0.2">
      <c r="A34" s="138"/>
      <c r="B34" s="143"/>
      <c r="C34" s="147" t="s">
        <v>849</v>
      </c>
      <c r="D34" s="144"/>
      <c r="E34" s="140"/>
      <c r="F34" s="141"/>
      <c r="G34" s="145" t="s">
        <v>876</v>
      </c>
      <c r="H34" s="119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133">
        <f t="shared" si="0"/>
        <v>0</v>
      </c>
    </row>
    <row r="35" spans="1:19" s="105" customFormat="1" ht="11.25" x14ac:dyDescent="0.2">
      <c r="A35" s="138"/>
      <c r="B35" s="143"/>
      <c r="C35" s="209" t="s">
        <v>877</v>
      </c>
      <c r="D35" s="209"/>
      <c r="E35" s="210"/>
      <c r="F35" s="141"/>
      <c r="G35" s="145" t="s">
        <v>878</v>
      </c>
      <c r="H35" s="119"/>
      <c r="I35" s="133">
        <f t="shared" ref="I35:R35" si="10">SUM(I33:I34)</f>
        <v>0</v>
      </c>
      <c r="J35" s="133">
        <f t="shared" si="10"/>
        <v>0</v>
      </c>
      <c r="K35" s="133">
        <f t="shared" si="10"/>
        <v>0</v>
      </c>
      <c r="L35" s="133">
        <f t="shared" si="10"/>
        <v>0</v>
      </c>
      <c r="M35" s="133">
        <f t="shared" si="10"/>
        <v>0</v>
      </c>
      <c r="N35" s="133">
        <f t="shared" si="10"/>
        <v>0</v>
      </c>
      <c r="O35" s="133">
        <f t="shared" si="10"/>
        <v>0</v>
      </c>
      <c r="P35" s="133">
        <f t="shared" si="10"/>
        <v>0</v>
      </c>
      <c r="Q35" s="133">
        <f t="shared" si="10"/>
        <v>0</v>
      </c>
      <c r="R35" s="133">
        <f t="shared" si="10"/>
        <v>0</v>
      </c>
      <c r="S35" s="133">
        <f t="shared" si="0"/>
        <v>0</v>
      </c>
    </row>
    <row r="36" spans="1:19" s="105" customFormat="1" ht="11.25" x14ac:dyDescent="0.2">
      <c r="A36" s="138"/>
      <c r="B36" s="148" t="s">
        <v>862</v>
      </c>
      <c r="C36" s="144"/>
      <c r="D36" s="144"/>
      <c r="E36" s="140"/>
      <c r="F36" s="141"/>
      <c r="G36" s="145" t="s">
        <v>879</v>
      </c>
      <c r="H36" s="119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133">
        <f t="shared" si="0"/>
        <v>0</v>
      </c>
    </row>
    <row r="37" spans="1:19" s="105" customFormat="1" ht="11.25" x14ac:dyDescent="0.2">
      <c r="A37" s="138"/>
      <c r="B37" s="143" t="s">
        <v>880</v>
      </c>
      <c r="C37" s="144"/>
      <c r="D37" s="144"/>
      <c r="E37" s="140"/>
      <c r="F37" s="141"/>
      <c r="G37" s="145" t="s">
        <v>881</v>
      </c>
      <c r="H37" s="119"/>
      <c r="I37" s="133">
        <f t="shared" ref="I37:R37" si="11">I35-I36</f>
        <v>0</v>
      </c>
      <c r="J37" s="133">
        <f t="shared" si="11"/>
        <v>0</v>
      </c>
      <c r="K37" s="133">
        <f t="shared" si="11"/>
        <v>0</v>
      </c>
      <c r="L37" s="133">
        <f t="shared" si="11"/>
        <v>0</v>
      </c>
      <c r="M37" s="133">
        <f t="shared" si="11"/>
        <v>0</v>
      </c>
      <c r="N37" s="133">
        <f t="shared" si="11"/>
        <v>0</v>
      </c>
      <c r="O37" s="133">
        <f t="shared" si="11"/>
        <v>0</v>
      </c>
      <c r="P37" s="133">
        <f t="shared" si="11"/>
        <v>0</v>
      </c>
      <c r="Q37" s="133">
        <f t="shared" si="11"/>
        <v>0</v>
      </c>
      <c r="R37" s="133">
        <f t="shared" si="11"/>
        <v>0</v>
      </c>
      <c r="S37" s="133">
        <f t="shared" si="0"/>
        <v>0</v>
      </c>
    </row>
    <row r="38" spans="1:19" s="105" customFormat="1" ht="11.25" x14ac:dyDescent="0.2">
      <c r="A38" s="137" t="s">
        <v>42</v>
      </c>
      <c r="B38" s="143" t="s">
        <v>882</v>
      </c>
      <c r="C38" s="144"/>
      <c r="D38" s="144"/>
      <c r="E38" s="140"/>
      <c r="F38" s="141"/>
      <c r="G38" s="145" t="s">
        <v>883</v>
      </c>
      <c r="H38" s="119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133">
        <f t="shared" si="0"/>
        <v>0</v>
      </c>
    </row>
    <row r="39" spans="1:19" s="105" customFormat="1" ht="11.25" x14ac:dyDescent="0.2">
      <c r="A39" s="137"/>
      <c r="B39" s="148" t="s">
        <v>862</v>
      </c>
      <c r="C39" s="144"/>
      <c r="D39" s="144"/>
      <c r="E39" s="140"/>
      <c r="F39" s="141"/>
      <c r="G39" s="145" t="s">
        <v>884</v>
      </c>
      <c r="H39" s="119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133">
        <f t="shared" si="0"/>
        <v>0</v>
      </c>
    </row>
    <row r="40" spans="1:19" s="105" customFormat="1" ht="11.25" x14ac:dyDescent="0.2">
      <c r="A40" s="137"/>
      <c r="B40" s="143" t="s">
        <v>885</v>
      </c>
      <c r="C40" s="144"/>
      <c r="D40" s="144"/>
      <c r="E40" s="140"/>
      <c r="F40" s="141"/>
      <c r="G40" s="145" t="s">
        <v>886</v>
      </c>
      <c r="H40" s="119"/>
      <c r="I40" s="133">
        <f t="shared" ref="I40:R40" si="12">I38-I39</f>
        <v>0</v>
      </c>
      <c r="J40" s="133">
        <f t="shared" si="12"/>
        <v>0</v>
      </c>
      <c r="K40" s="133">
        <f t="shared" si="12"/>
        <v>0</v>
      </c>
      <c r="L40" s="133">
        <f t="shared" si="12"/>
        <v>0</v>
      </c>
      <c r="M40" s="133">
        <f t="shared" si="12"/>
        <v>0</v>
      </c>
      <c r="N40" s="133">
        <f t="shared" si="12"/>
        <v>0</v>
      </c>
      <c r="O40" s="133">
        <f t="shared" si="12"/>
        <v>0</v>
      </c>
      <c r="P40" s="133">
        <f t="shared" si="12"/>
        <v>0</v>
      </c>
      <c r="Q40" s="133">
        <f t="shared" si="12"/>
        <v>0</v>
      </c>
      <c r="R40" s="133">
        <f t="shared" si="12"/>
        <v>0</v>
      </c>
      <c r="S40" s="133">
        <f t="shared" si="0"/>
        <v>0</v>
      </c>
    </row>
    <row r="41" spans="1:19" s="105" customFormat="1" ht="11.25" x14ac:dyDescent="0.2">
      <c r="A41" s="137" t="s">
        <v>44</v>
      </c>
      <c r="B41" s="143" t="s">
        <v>887</v>
      </c>
      <c r="C41" s="144"/>
      <c r="D41" s="144"/>
      <c r="E41" s="140"/>
      <c r="F41" s="141"/>
      <c r="G41" s="145" t="s">
        <v>888</v>
      </c>
      <c r="H41" s="119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133">
        <f t="shared" ref="S41:S69" si="13">SUM(I41:R41)</f>
        <v>0</v>
      </c>
    </row>
    <row r="42" spans="1:19" s="105" customFormat="1" ht="11.25" x14ac:dyDescent="0.2">
      <c r="A42" s="137"/>
      <c r="B42" s="148" t="s">
        <v>889</v>
      </c>
      <c r="C42" s="144"/>
      <c r="D42" s="144"/>
      <c r="E42" s="140"/>
      <c r="F42" s="141"/>
      <c r="G42" s="145" t="s">
        <v>890</v>
      </c>
      <c r="H42" s="119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133">
        <f t="shared" si="13"/>
        <v>0</v>
      </c>
    </row>
    <row r="43" spans="1:19" s="120" customFormat="1" ht="11.25" x14ac:dyDescent="0.2">
      <c r="A43" s="137"/>
      <c r="B43" s="143" t="s">
        <v>891</v>
      </c>
      <c r="C43" s="144"/>
      <c r="D43" s="144"/>
      <c r="E43" s="140"/>
      <c r="F43" s="141"/>
      <c r="G43" s="145" t="s">
        <v>892</v>
      </c>
      <c r="H43" s="119"/>
      <c r="I43" s="133">
        <f t="shared" ref="I43:R43" si="14">SUM(I41:I42)</f>
        <v>0</v>
      </c>
      <c r="J43" s="133">
        <f t="shared" si="14"/>
        <v>0</v>
      </c>
      <c r="K43" s="133">
        <f t="shared" si="14"/>
        <v>0</v>
      </c>
      <c r="L43" s="133">
        <f t="shared" si="14"/>
        <v>0</v>
      </c>
      <c r="M43" s="133">
        <f t="shared" si="14"/>
        <v>0</v>
      </c>
      <c r="N43" s="133">
        <f t="shared" si="14"/>
        <v>0</v>
      </c>
      <c r="O43" s="133">
        <f t="shared" si="14"/>
        <v>0</v>
      </c>
      <c r="P43" s="133">
        <f t="shared" si="14"/>
        <v>0</v>
      </c>
      <c r="Q43" s="133">
        <f t="shared" si="14"/>
        <v>0</v>
      </c>
      <c r="R43" s="133">
        <f t="shared" si="14"/>
        <v>0</v>
      </c>
      <c r="S43" s="133">
        <f t="shared" si="13"/>
        <v>0</v>
      </c>
    </row>
    <row r="44" spans="1:19" s="120" customFormat="1" ht="11.25" x14ac:dyDescent="0.2">
      <c r="A44" s="138"/>
      <c r="B44" s="148" t="s">
        <v>862</v>
      </c>
      <c r="C44" s="139"/>
      <c r="D44" s="147"/>
      <c r="E44" s="140"/>
      <c r="F44" s="141"/>
      <c r="G44" s="145" t="s">
        <v>893</v>
      </c>
      <c r="H44" s="119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133">
        <f t="shared" si="13"/>
        <v>0</v>
      </c>
    </row>
    <row r="45" spans="1:19" s="120" customFormat="1" ht="11.25" x14ac:dyDescent="0.2">
      <c r="A45" s="138"/>
      <c r="B45" s="209" t="s">
        <v>894</v>
      </c>
      <c r="C45" s="209"/>
      <c r="D45" s="209"/>
      <c r="E45" s="210"/>
      <c r="F45" s="141"/>
      <c r="G45" s="149" t="s">
        <v>895</v>
      </c>
      <c r="H45" s="119"/>
      <c r="I45" s="133">
        <f t="shared" ref="I45:R45" si="15">I43-I44</f>
        <v>0</v>
      </c>
      <c r="J45" s="133">
        <f t="shared" si="15"/>
        <v>0</v>
      </c>
      <c r="K45" s="133">
        <f t="shared" si="15"/>
        <v>0</v>
      </c>
      <c r="L45" s="133">
        <f t="shared" si="15"/>
        <v>0</v>
      </c>
      <c r="M45" s="133">
        <f t="shared" si="15"/>
        <v>0</v>
      </c>
      <c r="N45" s="133">
        <f t="shared" si="15"/>
        <v>0</v>
      </c>
      <c r="O45" s="133">
        <f t="shared" si="15"/>
        <v>0</v>
      </c>
      <c r="P45" s="133">
        <f t="shared" si="15"/>
        <v>0</v>
      </c>
      <c r="Q45" s="133">
        <f t="shared" si="15"/>
        <v>0</v>
      </c>
      <c r="R45" s="133">
        <f t="shared" si="15"/>
        <v>0</v>
      </c>
      <c r="S45" s="133">
        <f t="shared" si="13"/>
        <v>0</v>
      </c>
    </row>
    <row r="46" spans="1:19" s="120" customFormat="1" ht="11.25" x14ac:dyDescent="0.2">
      <c r="A46" s="137" t="s">
        <v>896</v>
      </c>
      <c r="B46" s="209" t="s">
        <v>897</v>
      </c>
      <c r="C46" s="209"/>
      <c r="D46" s="209"/>
      <c r="E46" s="210"/>
      <c r="F46" s="141"/>
      <c r="G46" s="150" t="s">
        <v>898</v>
      </c>
      <c r="H46" s="118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133">
        <f t="shared" si="13"/>
        <v>0</v>
      </c>
    </row>
    <row r="47" spans="1:19" s="120" customFormat="1" ht="11.25" x14ac:dyDescent="0.2">
      <c r="A47" s="137"/>
      <c r="B47" s="207" t="s">
        <v>862</v>
      </c>
      <c r="C47" s="207"/>
      <c r="D47" s="207"/>
      <c r="E47" s="208"/>
      <c r="F47" s="141"/>
      <c r="G47" s="150" t="s">
        <v>899</v>
      </c>
      <c r="H47" s="118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133">
        <f t="shared" si="13"/>
        <v>0</v>
      </c>
    </row>
    <row r="48" spans="1:19" s="120" customFormat="1" ht="11.25" x14ac:dyDescent="0.2">
      <c r="A48" s="137"/>
      <c r="B48" s="209" t="s">
        <v>900</v>
      </c>
      <c r="C48" s="209"/>
      <c r="D48" s="209"/>
      <c r="E48" s="210"/>
      <c r="F48" s="141"/>
      <c r="G48" s="150" t="s">
        <v>901</v>
      </c>
      <c r="H48" s="118"/>
      <c r="I48" s="133">
        <f t="shared" ref="I48:R48" si="16">I46-I47</f>
        <v>0</v>
      </c>
      <c r="J48" s="133">
        <f t="shared" si="16"/>
        <v>0</v>
      </c>
      <c r="K48" s="133">
        <f t="shared" si="16"/>
        <v>0</v>
      </c>
      <c r="L48" s="133">
        <f t="shared" si="16"/>
        <v>0</v>
      </c>
      <c r="M48" s="133">
        <f t="shared" si="16"/>
        <v>0</v>
      </c>
      <c r="N48" s="133">
        <f t="shared" si="16"/>
        <v>0</v>
      </c>
      <c r="O48" s="133">
        <f t="shared" si="16"/>
        <v>0</v>
      </c>
      <c r="P48" s="133">
        <f t="shared" si="16"/>
        <v>0</v>
      </c>
      <c r="Q48" s="133">
        <f t="shared" si="16"/>
        <v>0</v>
      </c>
      <c r="R48" s="133">
        <f t="shared" si="16"/>
        <v>0</v>
      </c>
      <c r="S48" s="133">
        <f t="shared" si="13"/>
        <v>0</v>
      </c>
    </row>
    <row r="49" spans="1:19" s="120" customFormat="1" ht="11.25" x14ac:dyDescent="0.2">
      <c r="A49" s="138"/>
      <c r="B49" s="147" t="s">
        <v>902</v>
      </c>
      <c r="C49" s="144"/>
      <c r="D49" s="144"/>
      <c r="E49" s="140"/>
      <c r="F49" s="141"/>
      <c r="G49" s="145" t="s">
        <v>903</v>
      </c>
      <c r="H49" s="119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133">
        <f t="shared" si="13"/>
        <v>0</v>
      </c>
    </row>
    <row r="50" spans="1:19" s="120" customFormat="1" ht="11.25" x14ac:dyDescent="0.2">
      <c r="A50" s="138"/>
      <c r="B50" s="207" t="s">
        <v>904</v>
      </c>
      <c r="C50" s="207"/>
      <c r="D50" s="207"/>
      <c r="E50" s="208"/>
      <c r="F50" s="141"/>
      <c r="G50" s="149" t="s">
        <v>905</v>
      </c>
      <c r="H50" s="118"/>
      <c r="I50" s="133">
        <f t="shared" ref="I50:R50" si="17">SUM(I45,I48)-I49</f>
        <v>0</v>
      </c>
      <c r="J50" s="133">
        <f t="shared" si="17"/>
        <v>0</v>
      </c>
      <c r="K50" s="133">
        <f t="shared" si="17"/>
        <v>0</v>
      </c>
      <c r="L50" s="133">
        <f t="shared" si="17"/>
        <v>0</v>
      </c>
      <c r="M50" s="133">
        <f t="shared" si="17"/>
        <v>0</v>
      </c>
      <c r="N50" s="133">
        <f t="shared" si="17"/>
        <v>0</v>
      </c>
      <c r="O50" s="133">
        <f t="shared" si="17"/>
        <v>0</v>
      </c>
      <c r="P50" s="133">
        <f t="shared" si="17"/>
        <v>0</v>
      </c>
      <c r="Q50" s="133">
        <f t="shared" si="17"/>
        <v>0</v>
      </c>
      <c r="R50" s="133">
        <f t="shared" si="17"/>
        <v>0</v>
      </c>
      <c r="S50" s="133">
        <f t="shared" si="13"/>
        <v>0</v>
      </c>
    </row>
    <row r="51" spans="1:19" s="120" customFormat="1" ht="11.25" x14ac:dyDescent="0.2">
      <c r="A51" s="137" t="s">
        <v>906</v>
      </c>
      <c r="B51" s="209" t="s">
        <v>907</v>
      </c>
      <c r="C51" s="209"/>
      <c r="D51" s="209"/>
      <c r="E51" s="210"/>
      <c r="F51" s="141"/>
      <c r="G51" s="149" t="s">
        <v>908</v>
      </c>
      <c r="H51" s="119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133">
        <f t="shared" si="13"/>
        <v>0</v>
      </c>
    </row>
    <row r="52" spans="1:19" s="120" customFormat="1" ht="11.25" x14ac:dyDescent="0.2">
      <c r="A52" s="137" t="s">
        <v>909</v>
      </c>
      <c r="B52" s="144" t="s">
        <v>910</v>
      </c>
      <c r="C52" s="144"/>
      <c r="D52" s="144"/>
      <c r="E52" s="140"/>
      <c r="F52" s="141"/>
      <c r="G52" s="145" t="s">
        <v>911</v>
      </c>
      <c r="H52" s="119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133">
        <f t="shared" si="13"/>
        <v>0</v>
      </c>
    </row>
    <row r="53" spans="1:19" s="120" customFormat="1" ht="11.25" x14ac:dyDescent="0.2">
      <c r="A53" s="137"/>
      <c r="B53" s="147" t="s">
        <v>862</v>
      </c>
      <c r="C53" s="147"/>
      <c r="D53" s="144"/>
      <c r="E53" s="140"/>
      <c r="F53" s="141"/>
      <c r="G53" s="145" t="s">
        <v>912</v>
      </c>
      <c r="H53" s="119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133">
        <f t="shared" si="13"/>
        <v>0</v>
      </c>
    </row>
    <row r="54" spans="1:19" s="120" customFormat="1" ht="11.25" x14ac:dyDescent="0.2">
      <c r="A54" s="137"/>
      <c r="B54" s="144" t="s">
        <v>913</v>
      </c>
      <c r="C54" s="144"/>
      <c r="D54" s="144"/>
      <c r="E54" s="140"/>
      <c r="F54" s="141"/>
      <c r="G54" s="145" t="s">
        <v>914</v>
      </c>
      <c r="H54" s="119"/>
      <c r="I54" s="133">
        <f t="shared" ref="I54:R54" si="18">I52-I53</f>
        <v>0</v>
      </c>
      <c r="J54" s="133">
        <f t="shared" si="18"/>
        <v>0</v>
      </c>
      <c r="K54" s="133">
        <f t="shared" si="18"/>
        <v>0</v>
      </c>
      <c r="L54" s="133">
        <f t="shared" si="18"/>
        <v>0</v>
      </c>
      <c r="M54" s="133">
        <f t="shared" si="18"/>
        <v>0</v>
      </c>
      <c r="N54" s="133">
        <f t="shared" si="18"/>
        <v>0</v>
      </c>
      <c r="O54" s="133">
        <f t="shared" si="18"/>
        <v>0</v>
      </c>
      <c r="P54" s="133">
        <f t="shared" si="18"/>
        <v>0</v>
      </c>
      <c r="Q54" s="133">
        <f t="shared" si="18"/>
        <v>0</v>
      </c>
      <c r="R54" s="133">
        <f t="shared" si="18"/>
        <v>0</v>
      </c>
      <c r="S54" s="133">
        <f t="shared" si="13"/>
        <v>0</v>
      </c>
    </row>
    <row r="55" spans="1:19" s="120" customFormat="1" ht="11.25" x14ac:dyDescent="0.2">
      <c r="A55" s="137" t="s">
        <v>915</v>
      </c>
      <c r="B55" s="144" t="s">
        <v>916</v>
      </c>
      <c r="C55" s="144"/>
      <c r="D55" s="144"/>
      <c r="E55" s="140"/>
      <c r="F55" s="141"/>
      <c r="G55" s="145" t="s">
        <v>917</v>
      </c>
      <c r="H55" s="118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133">
        <f t="shared" si="13"/>
        <v>0</v>
      </c>
    </row>
    <row r="56" spans="1:19" s="120" customFormat="1" ht="11.25" x14ac:dyDescent="0.2">
      <c r="A56" s="137"/>
      <c r="B56" s="147" t="s">
        <v>862</v>
      </c>
      <c r="C56" s="144"/>
      <c r="D56" s="144"/>
      <c r="E56" s="140"/>
      <c r="F56" s="141"/>
      <c r="G56" s="145" t="s">
        <v>918</v>
      </c>
      <c r="H56" s="118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133">
        <f t="shared" si="13"/>
        <v>0</v>
      </c>
    </row>
    <row r="57" spans="1:19" s="120" customFormat="1" ht="11.25" x14ac:dyDescent="0.2">
      <c r="A57" s="137"/>
      <c r="B57" s="144" t="s">
        <v>919</v>
      </c>
      <c r="C57" s="144"/>
      <c r="D57" s="144"/>
      <c r="E57" s="140"/>
      <c r="F57" s="141"/>
      <c r="G57" s="145" t="s">
        <v>920</v>
      </c>
      <c r="H57" s="118"/>
      <c r="I57" s="133">
        <f t="shared" ref="I57:R57" si="19">I55-I56</f>
        <v>0</v>
      </c>
      <c r="J57" s="133">
        <f t="shared" si="19"/>
        <v>0</v>
      </c>
      <c r="K57" s="133">
        <f t="shared" si="19"/>
        <v>0</v>
      </c>
      <c r="L57" s="133">
        <f t="shared" si="19"/>
        <v>0</v>
      </c>
      <c r="M57" s="133">
        <f t="shared" si="19"/>
        <v>0</v>
      </c>
      <c r="N57" s="133">
        <f t="shared" si="19"/>
        <v>0</v>
      </c>
      <c r="O57" s="133">
        <f t="shared" si="19"/>
        <v>0</v>
      </c>
      <c r="P57" s="133">
        <f t="shared" si="19"/>
        <v>0</v>
      </c>
      <c r="Q57" s="133">
        <f t="shared" si="19"/>
        <v>0</v>
      </c>
      <c r="R57" s="133">
        <f t="shared" si="19"/>
        <v>0</v>
      </c>
      <c r="S57" s="133">
        <f t="shared" si="13"/>
        <v>0</v>
      </c>
    </row>
    <row r="58" spans="1:19" s="120" customFormat="1" ht="11.25" x14ac:dyDescent="0.2">
      <c r="A58" s="137" t="s">
        <v>921</v>
      </c>
      <c r="B58" s="144" t="s">
        <v>922</v>
      </c>
      <c r="C58" s="144"/>
      <c r="D58" s="144"/>
      <c r="E58" s="140"/>
      <c r="F58" s="141"/>
      <c r="G58" s="145" t="s">
        <v>923</v>
      </c>
      <c r="H58" s="119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133">
        <f t="shared" si="13"/>
        <v>0</v>
      </c>
    </row>
    <row r="59" spans="1:19" s="120" customFormat="1" ht="11.25" x14ac:dyDescent="0.2">
      <c r="A59" s="137"/>
      <c r="B59" s="147" t="s">
        <v>924</v>
      </c>
      <c r="C59" s="144"/>
      <c r="D59" s="144"/>
      <c r="E59" s="140"/>
      <c r="F59" s="141"/>
      <c r="G59" s="145" t="s">
        <v>925</v>
      </c>
      <c r="H59" s="119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133">
        <f t="shared" si="13"/>
        <v>0</v>
      </c>
    </row>
    <row r="60" spans="1:19" s="120" customFormat="1" ht="11.25" x14ac:dyDescent="0.2">
      <c r="A60" s="137"/>
      <c r="B60" s="147" t="s">
        <v>926</v>
      </c>
      <c r="C60" s="144"/>
      <c r="D60" s="144"/>
      <c r="E60" s="140"/>
      <c r="F60" s="141"/>
      <c r="G60" s="145" t="s">
        <v>927</v>
      </c>
      <c r="H60" s="119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133">
        <f t="shared" si="13"/>
        <v>0</v>
      </c>
    </row>
    <row r="61" spans="1:19" s="120" customFormat="1" ht="11.25" x14ac:dyDescent="0.2">
      <c r="A61" s="137"/>
      <c r="B61" s="144" t="s">
        <v>928</v>
      </c>
      <c r="C61" s="147"/>
      <c r="D61" s="147"/>
      <c r="E61" s="140"/>
      <c r="F61" s="141"/>
      <c r="G61" s="149" t="s">
        <v>929</v>
      </c>
      <c r="H61" s="119"/>
      <c r="I61" s="133">
        <f t="shared" ref="I61:R61" si="20">I58-I59-I60</f>
        <v>0</v>
      </c>
      <c r="J61" s="133">
        <f t="shared" si="20"/>
        <v>0</v>
      </c>
      <c r="K61" s="133">
        <f t="shared" si="20"/>
        <v>0</v>
      </c>
      <c r="L61" s="133">
        <f t="shared" si="20"/>
        <v>0</v>
      </c>
      <c r="M61" s="133">
        <f t="shared" si="20"/>
        <v>0</v>
      </c>
      <c r="N61" s="133">
        <f t="shared" si="20"/>
        <v>0</v>
      </c>
      <c r="O61" s="133">
        <f t="shared" si="20"/>
        <v>0</v>
      </c>
      <c r="P61" s="133">
        <f t="shared" si="20"/>
        <v>0</v>
      </c>
      <c r="Q61" s="133">
        <f t="shared" si="20"/>
        <v>0</v>
      </c>
      <c r="R61" s="133">
        <f t="shared" si="20"/>
        <v>0</v>
      </c>
      <c r="S61" s="133">
        <f t="shared" si="13"/>
        <v>0</v>
      </c>
    </row>
    <row r="62" spans="1:19" s="120" customFormat="1" ht="11.25" x14ac:dyDescent="0.2">
      <c r="A62" s="137" t="s">
        <v>930</v>
      </c>
      <c r="B62" s="144" t="s">
        <v>931</v>
      </c>
      <c r="C62" s="144"/>
      <c r="D62" s="144"/>
      <c r="E62" s="140"/>
      <c r="F62" s="141"/>
      <c r="G62" s="145" t="s">
        <v>932</v>
      </c>
      <c r="H62" s="119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133">
        <f t="shared" si="13"/>
        <v>0</v>
      </c>
    </row>
    <row r="63" spans="1:19" s="120" customFormat="1" ht="11.25" x14ac:dyDescent="0.2">
      <c r="A63" s="137"/>
      <c r="B63" s="147" t="s">
        <v>924</v>
      </c>
      <c r="C63" s="144"/>
      <c r="D63" s="144"/>
      <c r="E63" s="140"/>
      <c r="F63" s="141"/>
      <c r="G63" s="145" t="s">
        <v>933</v>
      </c>
      <c r="H63" s="119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133">
        <f t="shared" si="13"/>
        <v>0</v>
      </c>
    </row>
    <row r="64" spans="1:19" s="120" customFormat="1" ht="11.25" x14ac:dyDescent="0.2">
      <c r="A64" s="138"/>
      <c r="B64" s="147" t="s">
        <v>926</v>
      </c>
      <c r="C64" s="147"/>
      <c r="D64" s="144"/>
      <c r="E64" s="140"/>
      <c r="F64" s="141"/>
      <c r="G64" s="145" t="s">
        <v>934</v>
      </c>
      <c r="H64" s="119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133">
        <f t="shared" si="13"/>
        <v>0</v>
      </c>
    </row>
    <row r="65" spans="1:19" s="120" customFormat="1" ht="11.25" x14ac:dyDescent="0.2">
      <c r="A65" s="138"/>
      <c r="B65" s="144" t="s">
        <v>935</v>
      </c>
      <c r="C65" s="147"/>
      <c r="D65" s="147"/>
      <c r="E65" s="140"/>
      <c r="F65" s="141"/>
      <c r="G65" s="149" t="s">
        <v>936</v>
      </c>
      <c r="H65" s="119"/>
      <c r="I65" s="133">
        <f t="shared" ref="I65:R65" si="21">I62-I63-I64</f>
        <v>0</v>
      </c>
      <c r="J65" s="133">
        <f t="shared" si="21"/>
        <v>0</v>
      </c>
      <c r="K65" s="133">
        <f t="shared" si="21"/>
        <v>0</v>
      </c>
      <c r="L65" s="133">
        <f t="shared" si="21"/>
        <v>0</v>
      </c>
      <c r="M65" s="133">
        <f t="shared" si="21"/>
        <v>0</v>
      </c>
      <c r="N65" s="133">
        <f t="shared" si="21"/>
        <v>0</v>
      </c>
      <c r="O65" s="133">
        <f t="shared" si="21"/>
        <v>0</v>
      </c>
      <c r="P65" s="133">
        <f t="shared" si="21"/>
        <v>0</v>
      </c>
      <c r="Q65" s="133">
        <f t="shared" si="21"/>
        <v>0</v>
      </c>
      <c r="R65" s="133">
        <f t="shared" si="21"/>
        <v>0</v>
      </c>
      <c r="S65" s="133">
        <f t="shared" si="13"/>
        <v>0</v>
      </c>
    </row>
    <row r="66" spans="1:19" s="120" customFormat="1" ht="11.25" x14ac:dyDescent="0.2">
      <c r="A66" s="137" t="s">
        <v>937</v>
      </c>
      <c r="B66" s="144" t="s">
        <v>938</v>
      </c>
      <c r="C66" s="144"/>
      <c r="D66" s="144"/>
      <c r="E66" s="140"/>
      <c r="F66" s="141"/>
      <c r="G66" s="145" t="s">
        <v>939</v>
      </c>
      <c r="H66" s="118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133">
        <f t="shared" si="13"/>
        <v>0</v>
      </c>
    </row>
    <row r="67" spans="1:19" s="120" customFormat="1" ht="11.25" x14ac:dyDescent="0.2">
      <c r="A67" s="137"/>
      <c r="B67" s="147" t="s">
        <v>926</v>
      </c>
      <c r="C67" s="144"/>
      <c r="D67" s="144"/>
      <c r="E67" s="140"/>
      <c r="F67" s="141"/>
      <c r="G67" s="145" t="s">
        <v>940</v>
      </c>
      <c r="H67" s="118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133">
        <f t="shared" si="13"/>
        <v>0</v>
      </c>
    </row>
    <row r="68" spans="1:19" s="120" customFormat="1" ht="11.25" x14ac:dyDescent="0.2">
      <c r="A68" s="137"/>
      <c r="B68" s="144" t="s">
        <v>941</v>
      </c>
      <c r="C68" s="144"/>
      <c r="D68" s="144"/>
      <c r="E68" s="140"/>
      <c r="F68" s="141"/>
      <c r="G68" s="145" t="s">
        <v>942</v>
      </c>
      <c r="H68" s="118"/>
      <c r="I68" s="133">
        <f t="shared" ref="I68:R68" si="22">I66-I67</f>
        <v>0</v>
      </c>
      <c r="J68" s="133">
        <f t="shared" si="22"/>
        <v>0</v>
      </c>
      <c r="K68" s="133">
        <f t="shared" si="22"/>
        <v>0</v>
      </c>
      <c r="L68" s="133">
        <f t="shared" si="22"/>
        <v>0</v>
      </c>
      <c r="M68" s="133">
        <f t="shared" si="22"/>
        <v>0</v>
      </c>
      <c r="N68" s="133">
        <f t="shared" si="22"/>
        <v>0</v>
      </c>
      <c r="O68" s="133">
        <f t="shared" si="22"/>
        <v>0</v>
      </c>
      <c r="P68" s="133">
        <f t="shared" si="22"/>
        <v>0</v>
      </c>
      <c r="Q68" s="133">
        <f t="shared" si="22"/>
        <v>0</v>
      </c>
      <c r="R68" s="133">
        <f t="shared" si="22"/>
        <v>0</v>
      </c>
      <c r="S68" s="133">
        <f t="shared" si="13"/>
        <v>0</v>
      </c>
    </row>
    <row r="69" spans="1:19" s="120" customFormat="1" ht="11.25" x14ac:dyDescent="0.2">
      <c r="A69" s="151" t="s">
        <v>943</v>
      </c>
      <c r="B69" s="147"/>
      <c r="C69" s="147"/>
      <c r="D69" s="147"/>
      <c r="E69" s="140"/>
      <c r="F69" s="141"/>
      <c r="G69" s="145" t="s">
        <v>944</v>
      </c>
      <c r="H69" s="118"/>
      <c r="I69" s="133">
        <f t="shared" ref="I69:R69" si="23">SUM(I9,I10,I13,I14,I27,I32,I37,I40,I50,I51,I54,I57,I61,I65,I68)</f>
        <v>0</v>
      </c>
      <c r="J69" s="133">
        <f t="shared" si="23"/>
        <v>0</v>
      </c>
      <c r="K69" s="133">
        <f t="shared" si="23"/>
        <v>0</v>
      </c>
      <c r="L69" s="133">
        <f t="shared" si="23"/>
        <v>0</v>
      </c>
      <c r="M69" s="133">
        <f t="shared" si="23"/>
        <v>0</v>
      </c>
      <c r="N69" s="133">
        <f t="shared" si="23"/>
        <v>0</v>
      </c>
      <c r="O69" s="133">
        <f t="shared" si="23"/>
        <v>0</v>
      </c>
      <c r="P69" s="133">
        <f t="shared" si="23"/>
        <v>0</v>
      </c>
      <c r="Q69" s="133">
        <f t="shared" si="23"/>
        <v>0</v>
      </c>
      <c r="R69" s="133">
        <f t="shared" si="23"/>
        <v>0</v>
      </c>
      <c r="S69" s="133">
        <f t="shared" si="13"/>
        <v>0</v>
      </c>
    </row>
    <row r="70" spans="1:19" s="120" customFormat="1" ht="11.25" x14ac:dyDescent="0.2">
      <c r="A70" s="151" t="s">
        <v>945</v>
      </c>
      <c r="B70" s="144"/>
      <c r="C70" s="144"/>
      <c r="D70" s="144"/>
      <c r="E70" s="140"/>
      <c r="F70" s="141"/>
      <c r="G70" s="152"/>
      <c r="H70" s="118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</row>
    <row r="71" spans="1:19" s="120" customFormat="1" ht="11.25" x14ac:dyDescent="0.2">
      <c r="A71" s="137" t="s">
        <v>8</v>
      </c>
      <c r="B71" s="143" t="s">
        <v>946</v>
      </c>
      <c r="C71" s="144"/>
      <c r="D71" s="144"/>
      <c r="E71" s="140"/>
      <c r="F71" s="141"/>
      <c r="G71" s="145" t="s">
        <v>947</v>
      </c>
      <c r="H71" s="118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133">
        <f t="shared" ref="S71:S76" si="24">SUM(I71:R71)</f>
        <v>0</v>
      </c>
    </row>
    <row r="72" spans="1:19" s="120" customFormat="1" ht="11.25" x14ac:dyDescent="0.2">
      <c r="A72" s="137" t="s">
        <v>10</v>
      </c>
      <c r="B72" s="143" t="s">
        <v>948</v>
      </c>
      <c r="C72" s="144"/>
      <c r="D72" s="144"/>
      <c r="E72" s="140"/>
      <c r="F72" s="141"/>
      <c r="G72" s="145" t="s">
        <v>949</v>
      </c>
      <c r="H72" s="118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133">
        <f t="shared" si="24"/>
        <v>0</v>
      </c>
    </row>
    <row r="73" spans="1:19" s="120" customFormat="1" ht="11.25" x14ac:dyDescent="0.2">
      <c r="A73" s="137" t="s">
        <v>16</v>
      </c>
      <c r="B73" s="143" t="s">
        <v>950</v>
      </c>
      <c r="C73" s="144"/>
      <c r="D73" s="144"/>
      <c r="E73" s="140"/>
      <c r="F73" s="141"/>
      <c r="G73" s="145" t="s">
        <v>951</v>
      </c>
      <c r="H73" s="119"/>
      <c r="I73" s="133">
        <f t="shared" ref="I73:R73" si="25">SUM(I74:I75)</f>
        <v>0</v>
      </c>
      <c r="J73" s="133">
        <f t="shared" si="25"/>
        <v>0</v>
      </c>
      <c r="K73" s="133">
        <f t="shared" si="25"/>
        <v>0</v>
      </c>
      <c r="L73" s="133">
        <f t="shared" si="25"/>
        <v>0</v>
      </c>
      <c r="M73" s="133">
        <f t="shared" si="25"/>
        <v>0</v>
      </c>
      <c r="N73" s="133">
        <f t="shared" si="25"/>
        <v>0</v>
      </c>
      <c r="O73" s="133">
        <f t="shared" si="25"/>
        <v>0</v>
      </c>
      <c r="P73" s="133">
        <f t="shared" si="25"/>
        <v>0</v>
      </c>
      <c r="Q73" s="133">
        <f t="shared" si="25"/>
        <v>0</v>
      </c>
      <c r="R73" s="133">
        <f t="shared" si="25"/>
        <v>0</v>
      </c>
      <c r="S73" s="133">
        <f t="shared" si="24"/>
        <v>0</v>
      </c>
    </row>
    <row r="74" spans="1:19" s="120" customFormat="1" ht="11.25" x14ac:dyDescent="0.2">
      <c r="A74" s="137"/>
      <c r="B74" s="146" t="s">
        <v>12</v>
      </c>
      <c r="C74" s="144" t="s">
        <v>952</v>
      </c>
      <c r="D74" s="144"/>
      <c r="E74" s="140"/>
      <c r="F74" s="141"/>
      <c r="G74" s="145" t="s">
        <v>953</v>
      </c>
      <c r="H74" s="119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133">
        <f t="shared" si="24"/>
        <v>0</v>
      </c>
    </row>
    <row r="75" spans="1:19" s="120" customFormat="1" ht="11.25" x14ac:dyDescent="0.2">
      <c r="A75" s="137"/>
      <c r="B75" s="146" t="s">
        <v>14</v>
      </c>
      <c r="C75" s="144" t="s">
        <v>954</v>
      </c>
      <c r="D75" s="144"/>
      <c r="E75" s="140"/>
      <c r="F75" s="141"/>
      <c r="G75" s="145" t="s">
        <v>955</v>
      </c>
      <c r="H75" s="119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133">
        <f t="shared" si="24"/>
        <v>0</v>
      </c>
    </row>
    <row r="76" spans="1:19" s="120" customFormat="1" ht="11.25" x14ac:dyDescent="0.2">
      <c r="A76" s="137"/>
      <c r="B76" s="143" t="s">
        <v>956</v>
      </c>
      <c r="C76" s="144"/>
      <c r="D76" s="144"/>
      <c r="E76" s="140"/>
      <c r="F76" s="141"/>
      <c r="G76" s="145" t="s">
        <v>957</v>
      </c>
      <c r="H76" s="118"/>
      <c r="I76" s="133">
        <f t="shared" ref="I76:R76" si="26">SUM(I71:I73)</f>
        <v>0</v>
      </c>
      <c r="J76" s="133">
        <f t="shared" si="26"/>
        <v>0</v>
      </c>
      <c r="K76" s="133">
        <f t="shared" si="26"/>
        <v>0</v>
      </c>
      <c r="L76" s="133">
        <f t="shared" si="26"/>
        <v>0</v>
      </c>
      <c r="M76" s="133">
        <f t="shared" si="26"/>
        <v>0</v>
      </c>
      <c r="N76" s="133">
        <f t="shared" si="26"/>
        <v>0</v>
      </c>
      <c r="O76" s="133">
        <f t="shared" si="26"/>
        <v>0</v>
      </c>
      <c r="P76" s="133">
        <f t="shared" si="26"/>
        <v>0</v>
      </c>
      <c r="Q76" s="133">
        <f t="shared" si="26"/>
        <v>0</v>
      </c>
      <c r="R76" s="133">
        <f t="shared" si="26"/>
        <v>0</v>
      </c>
      <c r="S76" s="133">
        <f t="shared" si="24"/>
        <v>0</v>
      </c>
    </row>
    <row r="77" spans="1:19" s="120" customFormat="1" ht="11.25" x14ac:dyDescent="0.2">
      <c r="A77" s="138" t="s">
        <v>958</v>
      </c>
      <c r="B77" s="143"/>
      <c r="C77" s="144"/>
      <c r="D77" s="144"/>
      <c r="E77" s="140"/>
      <c r="F77" s="141"/>
      <c r="G77" s="152"/>
      <c r="H77" s="118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</row>
    <row r="78" spans="1:19" s="120" customFormat="1" ht="11.25" x14ac:dyDescent="0.2">
      <c r="A78" s="137" t="s">
        <v>18</v>
      </c>
      <c r="B78" s="143" t="s">
        <v>959</v>
      </c>
      <c r="C78" s="144"/>
      <c r="D78" s="144"/>
      <c r="E78" s="140"/>
      <c r="F78" s="141"/>
      <c r="G78" s="145" t="s">
        <v>960</v>
      </c>
      <c r="H78" s="118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133">
        <f t="shared" ref="S78:S85" si="27">SUM(I78:R78)</f>
        <v>0</v>
      </c>
    </row>
    <row r="79" spans="1:19" s="120" customFormat="1" ht="11.25" x14ac:dyDescent="0.2">
      <c r="A79" s="137" t="s">
        <v>28</v>
      </c>
      <c r="B79" s="143" t="s">
        <v>961</v>
      </c>
      <c r="C79" s="144"/>
      <c r="D79" s="144"/>
      <c r="E79" s="140"/>
      <c r="F79" s="141"/>
      <c r="G79" s="145" t="s">
        <v>962</v>
      </c>
      <c r="H79" s="119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133">
        <f t="shared" si="27"/>
        <v>0</v>
      </c>
    </row>
    <row r="80" spans="1:19" s="120" customFormat="1" ht="11.25" x14ac:dyDescent="0.2">
      <c r="A80" s="137" t="s">
        <v>31</v>
      </c>
      <c r="B80" s="143" t="s">
        <v>963</v>
      </c>
      <c r="C80" s="144"/>
      <c r="D80" s="144"/>
      <c r="E80" s="140"/>
      <c r="F80" s="141"/>
      <c r="G80" s="145" t="s">
        <v>964</v>
      </c>
      <c r="H80" s="118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133">
        <f t="shared" si="27"/>
        <v>0</v>
      </c>
    </row>
    <row r="81" spans="1:19" s="120" customFormat="1" ht="11.25" x14ac:dyDescent="0.2">
      <c r="A81" s="137" t="s">
        <v>38</v>
      </c>
      <c r="B81" s="138" t="s">
        <v>965</v>
      </c>
      <c r="C81" s="139"/>
      <c r="D81" s="144"/>
      <c r="E81" s="140"/>
      <c r="F81" s="141"/>
      <c r="G81" s="145" t="s">
        <v>966</v>
      </c>
      <c r="H81" s="118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133">
        <f t="shared" si="27"/>
        <v>0</v>
      </c>
    </row>
    <row r="82" spans="1:19" s="120" customFormat="1" ht="11.25" x14ac:dyDescent="0.2">
      <c r="A82" s="137" t="s">
        <v>42</v>
      </c>
      <c r="B82" s="143" t="s">
        <v>967</v>
      </c>
      <c r="C82" s="144"/>
      <c r="D82" s="144"/>
      <c r="E82" s="140"/>
      <c r="F82" s="141"/>
      <c r="G82" s="145" t="s">
        <v>968</v>
      </c>
      <c r="H82" s="118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133">
        <f t="shared" si="27"/>
        <v>0</v>
      </c>
    </row>
    <row r="83" spans="1:19" s="120" customFormat="1" ht="11.25" x14ac:dyDescent="0.2">
      <c r="A83" s="137" t="s">
        <v>44</v>
      </c>
      <c r="B83" s="143" t="s">
        <v>969</v>
      </c>
      <c r="C83" s="144"/>
      <c r="D83" s="144"/>
      <c r="E83" s="140"/>
      <c r="F83" s="141"/>
      <c r="G83" s="145" t="s">
        <v>970</v>
      </c>
      <c r="H83" s="118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133">
        <f t="shared" si="27"/>
        <v>0</v>
      </c>
    </row>
    <row r="84" spans="1:19" s="120" customFormat="1" ht="11.25" x14ac:dyDescent="0.2">
      <c r="A84" s="137" t="s">
        <v>896</v>
      </c>
      <c r="B84" s="143" t="s">
        <v>971</v>
      </c>
      <c r="C84" s="144"/>
      <c r="D84" s="144"/>
      <c r="E84" s="140"/>
      <c r="F84" s="141"/>
      <c r="G84" s="145" t="s">
        <v>972</v>
      </c>
      <c r="H84" s="118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133">
        <f t="shared" si="27"/>
        <v>0</v>
      </c>
    </row>
    <row r="85" spans="1:19" s="120" customFormat="1" ht="11.25" x14ac:dyDescent="0.2">
      <c r="A85" s="151" t="s">
        <v>973</v>
      </c>
      <c r="B85" s="144"/>
      <c r="C85" s="144"/>
      <c r="D85" s="144"/>
      <c r="E85" s="140"/>
      <c r="F85" s="141"/>
      <c r="G85" s="145" t="s">
        <v>974</v>
      </c>
      <c r="H85" s="118"/>
      <c r="I85" s="133">
        <f t="shared" ref="I85:R85" si="28">SUM(I76,I78:I84)</f>
        <v>0</v>
      </c>
      <c r="J85" s="133">
        <f t="shared" si="28"/>
        <v>0</v>
      </c>
      <c r="K85" s="133">
        <f t="shared" si="28"/>
        <v>0</v>
      </c>
      <c r="L85" s="133">
        <f t="shared" si="28"/>
        <v>0</v>
      </c>
      <c r="M85" s="133">
        <f t="shared" si="28"/>
        <v>0</v>
      </c>
      <c r="N85" s="133">
        <f t="shared" si="28"/>
        <v>0</v>
      </c>
      <c r="O85" s="133">
        <f t="shared" si="28"/>
        <v>0</v>
      </c>
      <c r="P85" s="133">
        <f t="shared" si="28"/>
        <v>0</v>
      </c>
      <c r="Q85" s="133">
        <f t="shared" si="28"/>
        <v>0</v>
      </c>
      <c r="R85" s="133">
        <f t="shared" si="28"/>
        <v>0</v>
      </c>
      <c r="S85" s="133">
        <f t="shared" si="27"/>
        <v>0</v>
      </c>
    </row>
    <row r="86" spans="1:19" s="120" customFormat="1" ht="11.25" x14ac:dyDescent="0.2">
      <c r="A86" s="151" t="s">
        <v>975</v>
      </c>
      <c r="B86" s="144"/>
      <c r="C86" s="144"/>
      <c r="D86" s="144"/>
      <c r="E86" s="140"/>
      <c r="F86" s="141"/>
      <c r="G86" s="152"/>
      <c r="H86" s="118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</row>
    <row r="87" spans="1:19" s="125" customFormat="1" ht="11.25" x14ac:dyDescent="0.2">
      <c r="A87" s="153" t="s">
        <v>8</v>
      </c>
      <c r="B87" s="143" t="s">
        <v>976</v>
      </c>
      <c r="C87" s="144"/>
      <c r="D87" s="144"/>
      <c r="E87" s="154"/>
      <c r="F87" s="143"/>
      <c r="G87" s="49" t="s">
        <v>977</v>
      </c>
      <c r="H87" s="122"/>
      <c r="I87" s="123">
        <f>I90+I93</f>
        <v>0</v>
      </c>
      <c r="J87" s="123">
        <f t="shared" ref="J87:R87" si="29">J90+J93</f>
        <v>0</v>
      </c>
      <c r="K87" s="123">
        <f t="shared" si="29"/>
        <v>0</v>
      </c>
      <c r="L87" s="123">
        <f t="shared" si="29"/>
        <v>0</v>
      </c>
      <c r="M87" s="123">
        <f t="shared" si="29"/>
        <v>0</v>
      </c>
      <c r="N87" s="123">
        <f t="shared" si="29"/>
        <v>0</v>
      </c>
      <c r="O87" s="123">
        <f t="shared" si="29"/>
        <v>0</v>
      </c>
      <c r="P87" s="123">
        <f t="shared" si="29"/>
        <v>0</v>
      </c>
      <c r="Q87" s="123">
        <f t="shared" si="29"/>
        <v>0</v>
      </c>
      <c r="R87" s="123">
        <f t="shared" si="29"/>
        <v>0</v>
      </c>
      <c r="S87" s="124">
        <f>SUM(I87:R87)</f>
        <v>0</v>
      </c>
    </row>
    <row r="88" spans="1:19" s="125" customFormat="1" ht="11.25" x14ac:dyDescent="0.2">
      <c r="A88" s="153" t="s">
        <v>10</v>
      </c>
      <c r="B88" s="143" t="s">
        <v>978</v>
      </c>
      <c r="C88" s="144"/>
      <c r="D88" s="144"/>
      <c r="E88" s="154"/>
      <c r="F88" s="143"/>
      <c r="G88" s="49" t="s">
        <v>979</v>
      </c>
      <c r="H88" s="126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8">
        <f>+S89+S92</f>
        <v>0</v>
      </c>
    </row>
    <row r="89" spans="1:19" s="125" customFormat="1" ht="11.25" x14ac:dyDescent="0.2">
      <c r="A89" s="153"/>
      <c r="B89" s="153" t="s">
        <v>12</v>
      </c>
      <c r="C89" s="143" t="s">
        <v>980</v>
      </c>
      <c r="D89" s="144"/>
      <c r="E89" s="154"/>
      <c r="F89" s="143"/>
      <c r="G89" s="49" t="s">
        <v>981</v>
      </c>
      <c r="H89" s="118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84"/>
    </row>
    <row r="90" spans="1:19" s="125" customFormat="1" ht="11.25" x14ac:dyDescent="0.2">
      <c r="A90" s="153"/>
      <c r="B90" s="153"/>
      <c r="C90" s="143" t="s">
        <v>21</v>
      </c>
      <c r="D90" s="144" t="s">
        <v>1006</v>
      </c>
      <c r="E90" s="154"/>
      <c r="F90" s="143"/>
      <c r="G90" s="49" t="s">
        <v>982</v>
      </c>
      <c r="H90" s="126"/>
      <c r="I90" s="187"/>
      <c r="J90" s="187"/>
      <c r="K90" s="187"/>
      <c r="L90" s="187"/>
      <c r="M90" s="187"/>
      <c r="N90" s="187"/>
      <c r="O90" s="187"/>
      <c r="P90" s="187"/>
      <c r="Q90" s="187"/>
      <c r="R90" s="187"/>
      <c r="S90" s="129">
        <f>SUM(I90:R90)</f>
        <v>0</v>
      </c>
    </row>
    <row r="91" spans="1:19" s="125" customFormat="1" ht="11.25" x14ac:dyDescent="0.2">
      <c r="A91" s="153"/>
      <c r="B91" s="143"/>
      <c r="C91" s="143" t="s">
        <v>22</v>
      </c>
      <c r="D91" s="144" t="s">
        <v>943</v>
      </c>
      <c r="E91" s="154"/>
      <c r="F91" s="143"/>
      <c r="G91" s="49" t="s">
        <v>983</v>
      </c>
      <c r="H91" s="126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133">
        <f>SUM(I91:R91)</f>
        <v>0</v>
      </c>
    </row>
    <row r="92" spans="1:19" s="125" customFormat="1" ht="11.25" x14ac:dyDescent="0.2">
      <c r="A92" s="153"/>
      <c r="B92" s="153" t="s">
        <v>14</v>
      </c>
      <c r="C92" s="143" t="s">
        <v>984</v>
      </c>
      <c r="D92" s="144"/>
      <c r="E92" s="154"/>
      <c r="F92" s="143"/>
      <c r="G92" s="49" t="s">
        <v>985</v>
      </c>
      <c r="H92" s="118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84"/>
    </row>
    <row r="93" spans="1:19" s="125" customFormat="1" ht="11.25" x14ac:dyDescent="0.2">
      <c r="A93" s="153"/>
      <c r="B93" s="143"/>
      <c r="C93" s="143" t="s">
        <v>21</v>
      </c>
      <c r="D93" s="144" t="s">
        <v>1006</v>
      </c>
      <c r="E93" s="154"/>
      <c r="F93" s="143"/>
      <c r="G93" s="49" t="s">
        <v>986</v>
      </c>
      <c r="H93" s="126"/>
      <c r="I93" s="187"/>
      <c r="J93" s="187"/>
      <c r="K93" s="187"/>
      <c r="L93" s="187"/>
      <c r="M93" s="187"/>
      <c r="N93" s="187"/>
      <c r="O93" s="187"/>
      <c r="P93" s="187"/>
      <c r="Q93" s="187"/>
      <c r="R93" s="187"/>
      <c r="S93" s="129">
        <f>SUM(I93:R93)</f>
        <v>0</v>
      </c>
    </row>
    <row r="94" spans="1:19" s="125" customFormat="1" ht="11.25" x14ac:dyDescent="0.2">
      <c r="A94" s="153"/>
      <c r="B94" s="143"/>
      <c r="C94" s="143" t="s">
        <v>22</v>
      </c>
      <c r="D94" s="144" t="s">
        <v>943</v>
      </c>
      <c r="E94" s="154"/>
      <c r="F94" s="143"/>
      <c r="G94" s="49" t="s">
        <v>987</v>
      </c>
      <c r="H94" s="126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133">
        <f>SUM(I94:R94)</f>
        <v>0</v>
      </c>
    </row>
    <row r="95" spans="1:19" s="125" customFormat="1" ht="11.25" x14ac:dyDescent="0.2">
      <c r="A95" s="137" t="s">
        <v>28</v>
      </c>
      <c r="B95" s="143" t="s">
        <v>988</v>
      </c>
      <c r="C95" s="144"/>
      <c r="D95" s="144"/>
      <c r="E95" s="140"/>
      <c r="F95" s="143"/>
      <c r="G95" s="155"/>
      <c r="H95" s="130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</row>
    <row r="96" spans="1:19" s="125" customFormat="1" ht="11.25" x14ac:dyDescent="0.2">
      <c r="A96" s="138"/>
      <c r="B96" s="209" t="s">
        <v>989</v>
      </c>
      <c r="C96" s="209"/>
      <c r="D96" s="209"/>
      <c r="E96" s="210"/>
      <c r="F96" s="143"/>
      <c r="G96" s="49" t="s">
        <v>990</v>
      </c>
      <c r="H96" s="130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89"/>
    </row>
    <row r="97" spans="1:19" s="125" customFormat="1" ht="11.25" x14ac:dyDescent="0.2">
      <c r="A97" s="138"/>
      <c r="B97" s="209" t="s">
        <v>991</v>
      </c>
      <c r="C97" s="209"/>
      <c r="D97" s="209"/>
      <c r="E97" s="210"/>
      <c r="F97" s="143"/>
      <c r="G97" s="49" t="s">
        <v>992</v>
      </c>
      <c r="H97" s="130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84"/>
    </row>
    <row r="98" spans="1:19" s="125" customFormat="1" ht="11.25" x14ac:dyDescent="0.2">
      <c r="A98" s="138"/>
      <c r="B98" s="144" t="s">
        <v>993</v>
      </c>
      <c r="C98" s="144"/>
      <c r="D98" s="144"/>
      <c r="E98" s="140"/>
      <c r="F98" s="143"/>
      <c r="G98" s="49" t="s">
        <v>994</v>
      </c>
      <c r="H98" s="130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32">
        <f>-(S96-S97)</f>
        <v>0</v>
      </c>
    </row>
    <row r="99" spans="1:19" s="125" customFormat="1" ht="11.25" x14ac:dyDescent="0.2">
      <c r="A99" s="137" t="s">
        <v>31</v>
      </c>
      <c r="B99" s="144" t="s">
        <v>995</v>
      </c>
      <c r="C99" s="144"/>
      <c r="D99" s="144"/>
      <c r="E99" s="140"/>
      <c r="F99" s="143"/>
      <c r="G99" s="155"/>
      <c r="H99" s="130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</row>
    <row r="100" spans="1:19" s="125" customFormat="1" ht="11.25" x14ac:dyDescent="0.2">
      <c r="A100" s="138"/>
      <c r="B100" s="153" t="s">
        <v>12</v>
      </c>
      <c r="C100" s="144" t="s">
        <v>996</v>
      </c>
      <c r="D100" s="144"/>
      <c r="E100" s="140"/>
      <c r="F100" s="143"/>
      <c r="G100" s="49" t="s">
        <v>997</v>
      </c>
      <c r="H100" s="130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133">
        <f>SUM(H100:R100)</f>
        <v>0</v>
      </c>
    </row>
    <row r="101" spans="1:19" s="125" customFormat="1" ht="11.25" x14ac:dyDescent="0.2">
      <c r="A101" s="138"/>
      <c r="B101" s="153" t="s">
        <v>14</v>
      </c>
      <c r="C101" s="144" t="s">
        <v>998</v>
      </c>
      <c r="D101" s="144"/>
      <c r="E101" s="140"/>
      <c r="F101" s="143"/>
      <c r="G101" s="49" t="s">
        <v>999</v>
      </c>
      <c r="H101" s="130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133">
        <f>SUM(H101:R101)</f>
        <v>0</v>
      </c>
    </row>
    <row r="102" spans="1:19" s="125" customFormat="1" ht="11.25" x14ac:dyDescent="0.2">
      <c r="A102" s="138"/>
      <c r="B102" s="153" t="s">
        <v>24</v>
      </c>
      <c r="C102" s="144" t="s">
        <v>1000</v>
      </c>
      <c r="D102" s="144"/>
      <c r="E102" s="140"/>
      <c r="F102" s="143"/>
      <c r="G102" s="49" t="s">
        <v>1001</v>
      </c>
      <c r="H102" s="130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133">
        <f>SUM(H102:R102)</f>
        <v>0</v>
      </c>
    </row>
    <row r="103" spans="1:19" s="125" customFormat="1" ht="11.25" x14ac:dyDescent="0.2">
      <c r="A103" s="138"/>
      <c r="B103" s="143" t="s">
        <v>1002</v>
      </c>
      <c r="C103" s="144"/>
      <c r="D103" s="144"/>
      <c r="E103" s="140"/>
      <c r="F103" s="143"/>
      <c r="G103" s="49" t="s">
        <v>1003</v>
      </c>
      <c r="H103" s="130"/>
      <c r="I103" s="134">
        <f>SUM(I100:I102)</f>
        <v>0</v>
      </c>
      <c r="J103" s="134">
        <f>SUM(J100:J102)</f>
        <v>0</v>
      </c>
      <c r="K103" s="134">
        <f t="shared" ref="K103:S103" si="30">SUM(K100:K102)</f>
        <v>0</v>
      </c>
      <c r="L103" s="134">
        <f t="shared" si="30"/>
        <v>0</v>
      </c>
      <c r="M103" s="134">
        <f t="shared" si="30"/>
        <v>0</v>
      </c>
      <c r="N103" s="134">
        <f t="shared" si="30"/>
        <v>0</v>
      </c>
      <c r="O103" s="134">
        <f t="shared" si="30"/>
        <v>0</v>
      </c>
      <c r="P103" s="134">
        <f t="shared" si="30"/>
        <v>0</v>
      </c>
      <c r="Q103" s="134">
        <f t="shared" si="30"/>
        <v>0</v>
      </c>
      <c r="R103" s="134">
        <f t="shared" si="30"/>
        <v>0</v>
      </c>
      <c r="S103" s="134">
        <f t="shared" si="30"/>
        <v>0</v>
      </c>
    </row>
    <row r="104" spans="1:19" s="125" customFormat="1" ht="11.25" x14ac:dyDescent="0.2">
      <c r="A104" s="138"/>
      <c r="B104" s="143" t="s">
        <v>1004</v>
      </c>
      <c r="C104" s="144"/>
      <c r="D104" s="144"/>
      <c r="E104" s="140"/>
      <c r="F104" s="143"/>
      <c r="G104" s="49" t="s">
        <v>1005</v>
      </c>
      <c r="H104" s="130"/>
      <c r="I104" s="134">
        <f>I103/3</f>
        <v>0</v>
      </c>
      <c r="J104" s="134">
        <f>J103/3</f>
        <v>0</v>
      </c>
      <c r="K104" s="134">
        <f t="shared" ref="K104:S104" si="31">K103/3</f>
        <v>0</v>
      </c>
      <c r="L104" s="134">
        <f t="shared" si="31"/>
        <v>0</v>
      </c>
      <c r="M104" s="134">
        <f t="shared" si="31"/>
        <v>0</v>
      </c>
      <c r="N104" s="134">
        <f t="shared" si="31"/>
        <v>0</v>
      </c>
      <c r="O104" s="134">
        <f t="shared" si="31"/>
        <v>0</v>
      </c>
      <c r="P104" s="134">
        <f t="shared" si="31"/>
        <v>0</v>
      </c>
      <c r="Q104" s="134">
        <f t="shared" si="31"/>
        <v>0</v>
      </c>
      <c r="R104" s="134">
        <f t="shared" si="31"/>
        <v>0</v>
      </c>
      <c r="S104" s="134">
        <f t="shared" si="31"/>
        <v>0</v>
      </c>
    </row>
    <row r="105" spans="1:19" x14ac:dyDescent="0.25">
      <c r="A105" s="156"/>
      <c r="B105" s="156"/>
      <c r="C105" s="156"/>
      <c r="D105" s="156"/>
      <c r="E105" s="156"/>
      <c r="F105" s="156"/>
      <c r="G105" s="157" t="s">
        <v>84</v>
      </c>
    </row>
  </sheetData>
  <sheetProtection sheet="1" objects="1" scenarios="1" selectLockedCells="1"/>
  <mergeCells count="22">
    <mergeCell ref="A6:E7"/>
    <mergeCell ref="G6:G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B50:E50"/>
    <mergeCell ref="B51:E51"/>
    <mergeCell ref="B96:E96"/>
    <mergeCell ref="B97:E97"/>
    <mergeCell ref="S6:S7"/>
    <mergeCell ref="C35:E35"/>
    <mergeCell ref="B45:E45"/>
    <mergeCell ref="B46:E46"/>
    <mergeCell ref="B47:E47"/>
    <mergeCell ref="B48:E48"/>
  </mergeCells>
  <dataValidations count="2">
    <dataValidation type="decimal" allowBlank="1" showInputMessage="1" showErrorMessage="1" error="Invalid Input." sqref="HW9:IP94 S96 S9:S87 S89:S94 H9:H94 I10:R10 I14:R14 I17:R17 I20:R20 I22:R22 I25:R25 I27:R27 I30:R30 I32:R32 I35:R35 I37:R37 I40:R40 I43:R43 I45:R45 I48:R48 I50:R50 I92:R92 I61:R61 I65:R65 I68:R70 I73:R73 I76:R77 I85:R89 I54:R54 I57:R57">
      <formula1>-999999999999.99</formula1>
      <formula2>999999999999.99</formula2>
    </dataValidation>
    <dataValidation type="decimal" operator="greaterThanOrEqual" allowBlank="1" showInputMessage="1" showErrorMessage="1" errorTitle="Invalid entry!" error="Accepts greater than or equal to zero only." sqref="I9:R9 I11:R13 I15:R16 I18:R19 I21:R21 I23:R24 I26:R26 I28:R29 I31:R31 I33:R34 I36:R36 I38:R39 I41:R42 I44:R44 I46:R47 I49:R49 I93:R94 I58:R60 I62:R64 I66:R67 I71:R72 I74:R75 I78:R84 I90:R91 I100:R102 I51:R53 I55:R56">
      <formula1>0</formula1>
    </dataValidation>
  </dataValidations>
  <pageMargins left="0.7" right="0.7" top="0.75" bottom="0.75" header="0.3" footer="0.3"/>
  <pageSetup paperSize="9" orientation="portrait" r:id="rId1"/>
  <headerFooter>
    <oddHeader>&amp;C&amp;"Arial,Bold"&amp;8 NEW RURAL BANK OF SAN LEONARDO INC.  [ 04-006056 ]
 As of: June 30, 2016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05"/>
  <sheetViews>
    <sheetView zoomScaleNormal="100"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width="4.28515625" customWidth="1"/>
    <col min="2" max="2" width="3.28515625" customWidth="1"/>
    <col min="5" max="5" width="23" customWidth="1"/>
    <col min="6" max="6" width="0" hidden="1" customWidth="1"/>
    <col min="7" max="7" width="17.7109375" customWidth="1"/>
    <col min="8" max="8" width="0" hidden="1" customWidth="1"/>
    <col min="9" max="30" width="15.7109375" customWidth="1"/>
  </cols>
  <sheetData>
    <row r="1" spans="1:30" x14ac:dyDescent="0.2">
      <c r="A1" s="99" t="s">
        <v>819</v>
      </c>
      <c r="B1" s="100"/>
      <c r="C1" s="100"/>
      <c r="D1" s="100"/>
      <c r="E1" s="101"/>
      <c r="F1" s="101"/>
      <c r="G1" s="102"/>
      <c r="H1" s="103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</row>
    <row r="2" spans="1:30" x14ac:dyDescent="0.2">
      <c r="A2" s="106" t="s">
        <v>4</v>
      </c>
      <c r="B2" s="107"/>
      <c r="C2" s="107"/>
      <c r="D2" s="107"/>
      <c r="E2" s="108"/>
      <c r="F2" s="108"/>
      <c r="G2" s="109"/>
      <c r="H2" s="110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</row>
    <row r="3" spans="1:30" x14ac:dyDescent="0.2">
      <c r="A3" s="100"/>
      <c r="B3" s="107"/>
      <c r="C3" s="107"/>
      <c r="D3" s="107"/>
      <c r="E3" s="108"/>
      <c r="F3" s="108"/>
      <c r="G3" s="109"/>
      <c r="H3" s="110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</row>
    <row r="4" spans="1:30" x14ac:dyDescent="0.2">
      <c r="A4" s="100"/>
      <c r="B4" s="107"/>
      <c r="C4" s="107"/>
      <c r="D4" s="107"/>
      <c r="E4" s="108"/>
      <c r="F4" s="108"/>
      <c r="G4" s="109"/>
      <c r="H4" s="110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</row>
    <row r="5" spans="1:30" x14ac:dyDescent="0.2">
      <c r="A5" s="111"/>
      <c r="B5" s="111"/>
      <c r="C5" s="111"/>
      <c r="D5" s="111"/>
      <c r="E5" s="112"/>
      <c r="F5" s="112"/>
      <c r="G5" s="112"/>
      <c r="H5" s="113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</row>
    <row r="6" spans="1:30" ht="25.5" customHeight="1" x14ac:dyDescent="0.2">
      <c r="A6" s="211" t="s">
        <v>820</v>
      </c>
      <c r="B6" s="212"/>
      <c r="C6" s="212"/>
      <c r="D6" s="212"/>
      <c r="E6" s="213"/>
      <c r="F6" s="160"/>
      <c r="G6" s="205" t="s">
        <v>1</v>
      </c>
      <c r="H6" s="114"/>
      <c r="I6" s="200" t="s">
        <v>821</v>
      </c>
      <c r="J6" s="200"/>
      <c r="K6" s="200" t="s">
        <v>822</v>
      </c>
      <c r="L6" s="200"/>
      <c r="M6" s="200" t="s">
        <v>823</v>
      </c>
      <c r="N6" s="200"/>
      <c r="O6" s="200" t="s">
        <v>824</v>
      </c>
      <c r="P6" s="200"/>
      <c r="Q6" s="200" t="s">
        <v>825</v>
      </c>
      <c r="R6" s="200"/>
      <c r="S6" s="200" t="s">
        <v>826</v>
      </c>
      <c r="T6" s="200"/>
      <c r="U6" s="200" t="s">
        <v>827</v>
      </c>
      <c r="V6" s="200"/>
      <c r="W6" s="200" t="s">
        <v>828</v>
      </c>
      <c r="X6" s="200"/>
      <c r="Y6" s="200" t="s">
        <v>829</v>
      </c>
      <c r="Z6" s="200"/>
      <c r="AA6" s="200" t="s">
        <v>830</v>
      </c>
      <c r="AB6" s="200"/>
      <c r="AC6" s="200" t="s">
        <v>1007</v>
      </c>
      <c r="AD6" s="200"/>
    </row>
    <row r="7" spans="1:30" x14ac:dyDescent="0.2">
      <c r="A7" s="214"/>
      <c r="B7" s="215"/>
      <c r="C7" s="215"/>
      <c r="D7" s="215"/>
      <c r="E7" s="216"/>
      <c r="F7" s="114"/>
      <c r="G7" s="217"/>
      <c r="H7" s="114"/>
      <c r="I7" s="114" t="s">
        <v>1008</v>
      </c>
      <c r="J7" s="114" t="s">
        <v>6</v>
      </c>
      <c r="K7" s="114" t="s">
        <v>1009</v>
      </c>
      <c r="L7" s="114" t="s">
        <v>6</v>
      </c>
      <c r="M7" s="114" t="s">
        <v>1008</v>
      </c>
      <c r="N7" s="114" t="s">
        <v>6</v>
      </c>
      <c r="O7" s="114" t="s">
        <v>1008</v>
      </c>
      <c r="P7" s="114" t="s">
        <v>6</v>
      </c>
      <c r="Q7" s="114" t="s">
        <v>1008</v>
      </c>
      <c r="R7" s="114" t="s">
        <v>6</v>
      </c>
      <c r="S7" s="114" t="s">
        <v>1008</v>
      </c>
      <c r="T7" s="114" t="s">
        <v>6</v>
      </c>
      <c r="U7" s="114" t="s">
        <v>1008</v>
      </c>
      <c r="V7" s="114" t="s">
        <v>6</v>
      </c>
      <c r="W7" s="114" t="s">
        <v>1008</v>
      </c>
      <c r="X7" s="114" t="s">
        <v>6</v>
      </c>
      <c r="Y7" s="114" t="s">
        <v>1008</v>
      </c>
      <c r="Z7" s="114" t="s">
        <v>6</v>
      </c>
      <c r="AA7" s="114" t="s">
        <v>1008</v>
      </c>
      <c r="AB7" s="114" t="s">
        <v>6</v>
      </c>
      <c r="AC7" s="114" t="s">
        <v>1008</v>
      </c>
      <c r="AD7" s="114" t="s">
        <v>6</v>
      </c>
    </row>
    <row r="8" spans="1:30" x14ac:dyDescent="0.2">
      <c r="A8" s="161" t="s">
        <v>832</v>
      </c>
      <c r="B8" s="162"/>
      <c r="C8" s="162"/>
      <c r="D8" s="162"/>
      <c r="E8" s="163"/>
      <c r="F8" s="164"/>
      <c r="G8" s="165"/>
      <c r="H8" s="116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</row>
    <row r="9" spans="1:30" x14ac:dyDescent="0.2">
      <c r="A9" s="166" t="s">
        <v>8</v>
      </c>
      <c r="B9" s="167" t="s">
        <v>833</v>
      </c>
      <c r="C9" s="167"/>
      <c r="D9" s="167"/>
      <c r="E9" s="163"/>
      <c r="F9" s="164"/>
      <c r="G9" s="168" t="s">
        <v>834</v>
      </c>
      <c r="H9" s="11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33">
        <f t="shared" ref="AC9:AD40" si="0">I9+K9+M9+O9+Q9+S9+U9+W9+Y9+AA9</f>
        <v>0</v>
      </c>
      <c r="AD9" s="33">
        <f t="shared" si="0"/>
        <v>0</v>
      </c>
    </row>
    <row r="10" spans="1:30" x14ac:dyDescent="0.2">
      <c r="A10" s="166" t="s">
        <v>10</v>
      </c>
      <c r="B10" s="170" t="s">
        <v>835</v>
      </c>
      <c r="C10" s="170"/>
      <c r="D10" s="170"/>
      <c r="E10" s="163"/>
      <c r="F10" s="164"/>
      <c r="G10" s="171" t="s">
        <v>836</v>
      </c>
      <c r="H10" s="118"/>
      <c r="I10" s="33">
        <f t="shared" ref="I10:AB10" si="1">SUM(I11:I12)</f>
        <v>0</v>
      </c>
      <c r="J10" s="33">
        <f t="shared" si="1"/>
        <v>0</v>
      </c>
      <c r="K10" s="33">
        <f t="shared" si="1"/>
        <v>0</v>
      </c>
      <c r="L10" s="33">
        <f t="shared" si="1"/>
        <v>0</v>
      </c>
      <c r="M10" s="33">
        <f t="shared" si="1"/>
        <v>0</v>
      </c>
      <c r="N10" s="33">
        <f t="shared" si="1"/>
        <v>0</v>
      </c>
      <c r="O10" s="33">
        <f t="shared" si="1"/>
        <v>0</v>
      </c>
      <c r="P10" s="33">
        <f t="shared" si="1"/>
        <v>0</v>
      </c>
      <c r="Q10" s="33">
        <f t="shared" si="1"/>
        <v>0</v>
      </c>
      <c r="R10" s="33">
        <f t="shared" si="1"/>
        <v>0</v>
      </c>
      <c r="S10" s="33">
        <f t="shared" si="1"/>
        <v>0</v>
      </c>
      <c r="T10" s="33">
        <f t="shared" si="1"/>
        <v>0</v>
      </c>
      <c r="U10" s="33">
        <f t="shared" si="1"/>
        <v>0</v>
      </c>
      <c r="V10" s="33">
        <f t="shared" si="1"/>
        <v>0</v>
      </c>
      <c r="W10" s="33">
        <f t="shared" si="1"/>
        <v>0</v>
      </c>
      <c r="X10" s="33">
        <f t="shared" si="1"/>
        <v>0</v>
      </c>
      <c r="Y10" s="33">
        <f t="shared" si="1"/>
        <v>0</v>
      </c>
      <c r="Z10" s="33">
        <f t="shared" si="1"/>
        <v>0</v>
      </c>
      <c r="AA10" s="33">
        <f t="shared" si="1"/>
        <v>0</v>
      </c>
      <c r="AB10" s="33">
        <f t="shared" si="1"/>
        <v>0</v>
      </c>
      <c r="AC10" s="33">
        <f t="shared" si="0"/>
        <v>0</v>
      </c>
      <c r="AD10" s="33">
        <f t="shared" si="0"/>
        <v>0</v>
      </c>
    </row>
    <row r="11" spans="1:30" x14ac:dyDescent="0.2">
      <c r="A11" s="166"/>
      <c r="B11" s="172" t="s">
        <v>12</v>
      </c>
      <c r="C11" s="170" t="s">
        <v>1017</v>
      </c>
      <c r="D11" s="170"/>
      <c r="E11" s="163"/>
      <c r="F11" s="164"/>
      <c r="G11" s="171" t="s">
        <v>1019</v>
      </c>
      <c r="H11" s="11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33">
        <f t="shared" si="0"/>
        <v>0</v>
      </c>
      <c r="AD11" s="33">
        <f t="shared" si="0"/>
        <v>0</v>
      </c>
    </row>
    <row r="12" spans="1:30" x14ac:dyDescent="0.2">
      <c r="A12" s="166"/>
      <c r="B12" s="172" t="s">
        <v>14</v>
      </c>
      <c r="C12" s="170" t="s">
        <v>1018</v>
      </c>
      <c r="D12" s="170"/>
      <c r="E12" s="163"/>
      <c r="F12" s="164"/>
      <c r="G12" s="171" t="s">
        <v>1020</v>
      </c>
      <c r="H12" s="11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33">
        <f t="shared" si="0"/>
        <v>0</v>
      </c>
      <c r="AD12" s="33">
        <f t="shared" si="0"/>
        <v>0</v>
      </c>
    </row>
    <row r="13" spans="1:30" x14ac:dyDescent="0.2">
      <c r="A13" s="166" t="s">
        <v>16</v>
      </c>
      <c r="B13" s="170" t="s">
        <v>837</v>
      </c>
      <c r="C13" s="170"/>
      <c r="D13" s="170"/>
      <c r="E13" s="163"/>
      <c r="F13" s="164"/>
      <c r="G13" s="171" t="s">
        <v>838</v>
      </c>
      <c r="H13" s="11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33">
        <f t="shared" si="0"/>
        <v>0</v>
      </c>
      <c r="AD13" s="33">
        <f t="shared" si="0"/>
        <v>0</v>
      </c>
    </row>
    <row r="14" spans="1:30" x14ac:dyDescent="0.2">
      <c r="A14" s="166" t="s">
        <v>18</v>
      </c>
      <c r="B14" s="170" t="s">
        <v>839</v>
      </c>
      <c r="C14" s="170"/>
      <c r="D14" s="170"/>
      <c r="E14" s="163"/>
      <c r="F14" s="164"/>
      <c r="G14" s="171" t="s">
        <v>840</v>
      </c>
      <c r="H14" s="118"/>
      <c r="I14" s="33">
        <f t="shared" ref="I14:AB14" si="2">SUM(I15:I16)</f>
        <v>0</v>
      </c>
      <c r="J14" s="33">
        <f t="shared" si="2"/>
        <v>0</v>
      </c>
      <c r="K14" s="33">
        <f t="shared" si="2"/>
        <v>0</v>
      </c>
      <c r="L14" s="33">
        <f t="shared" si="2"/>
        <v>0</v>
      </c>
      <c r="M14" s="33">
        <f t="shared" si="2"/>
        <v>0</v>
      </c>
      <c r="N14" s="33">
        <f t="shared" si="2"/>
        <v>0</v>
      </c>
      <c r="O14" s="33">
        <f t="shared" si="2"/>
        <v>0</v>
      </c>
      <c r="P14" s="33">
        <f t="shared" si="2"/>
        <v>0</v>
      </c>
      <c r="Q14" s="33">
        <f t="shared" si="2"/>
        <v>0</v>
      </c>
      <c r="R14" s="33">
        <f t="shared" si="2"/>
        <v>0</v>
      </c>
      <c r="S14" s="33">
        <f t="shared" si="2"/>
        <v>0</v>
      </c>
      <c r="T14" s="33">
        <f t="shared" si="2"/>
        <v>0</v>
      </c>
      <c r="U14" s="33">
        <f t="shared" si="2"/>
        <v>0</v>
      </c>
      <c r="V14" s="33">
        <f t="shared" si="2"/>
        <v>0</v>
      </c>
      <c r="W14" s="33">
        <f t="shared" si="2"/>
        <v>0</v>
      </c>
      <c r="X14" s="33">
        <f t="shared" si="2"/>
        <v>0</v>
      </c>
      <c r="Y14" s="33">
        <f t="shared" si="2"/>
        <v>0</v>
      </c>
      <c r="Z14" s="33">
        <f t="shared" si="2"/>
        <v>0</v>
      </c>
      <c r="AA14" s="33">
        <f t="shared" si="2"/>
        <v>0</v>
      </c>
      <c r="AB14" s="33">
        <f t="shared" si="2"/>
        <v>0</v>
      </c>
      <c r="AC14" s="33">
        <f t="shared" si="0"/>
        <v>0</v>
      </c>
      <c r="AD14" s="33">
        <f t="shared" si="0"/>
        <v>0</v>
      </c>
    </row>
    <row r="15" spans="1:30" x14ac:dyDescent="0.2">
      <c r="A15" s="166"/>
      <c r="B15" s="170" t="s">
        <v>12</v>
      </c>
      <c r="C15" s="170" t="s">
        <v>841</v>
      </c>
      <c r="D15" s="170"/>
      <c r="E15" s="163"/>
      <c r="F15" s="164"/>
      <c r="G15" s="171" t="s">
        <v>842</v>
      </c>
      <c r="H15" s="11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33">
        <f t="shared" si="0"/>
        <v>0</v>
      </c>
      <c r="AD15" s="33">
        <f t="shared" si="0"/>
        <v>0</v>
      </c>
    </row>
    <row r="16" spans="1:30" x14ac:dyDescent="0.2">
      <c r="A16" s="166"/>
      <c r="B16" s="170" t="s">
        <v>14</v>
      </c>
      <c r="C16" s="170" t="s">
        <v>843</v>
      </c>
      <c r="D16" s="170"/>
      <c r="E16" s="163"/>
      <c r="F16" s="164"/>
      <c r="G16" s="171" t="s">
        <v>844</v>
      </c>
      <c r="H16" s="11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188"/>
      <c r="V16" s="188"/>
      <c r="W16" s="188"/>
      <c r="X16" s="188"/>
      <c r="Y16" s="188"/>
      <c r="Z16" s="188"/>
      <c r="AA16" s="188"/>
      <c r="AB16" s="188"/>
      <c r="AC16" s="33">
        <f t="shared" si="0"/>
        <v>0</v>
      </c>
      <c r="AD16" s="33">
        <f t="shared" si="0"/>
        <v>0</v>
      </c>
    </row>
    <row r="17" spans="1:30" x14ac:dyDescent="0.2">
      <c r="A17" s="166" t="s">
        <v>28</v>
      </c>
      <c r="B17" s="170" t="s">
        <v>845</v>
      </c>
      <c r="C17" s="170"/>
      <c r="D17" s="170"/>
      <c r="E17" s="163"/>
      <c r="F17" s="164"/>
      <c r="G17" s="171" t="s">
        <v>846</v>
      </c>
      <c r="H17" s="119"/>
      <c r="I17" s="33">
        <f t="shared" ref="I17:AB17" si="3">SUM(I22,I25)</f>
        <v>0</v>
      </c>
      <c r="J17" s="33">
        <f t="shared" si="3"/>
        <v>0</v>
      </c>
      <c r="K17" s="33">
        <f t="shared" si="3"/>
        <v>0</v>
      </c>
      <c r="L17" s="33">
        <f t="shared" si="3"/>
        <v>0</v>
      </c>
      <c r="M17" s="33">
        <f t="shared" si="3"/>
        <v>0</v>
      </c>
      <c r="N17" s="33">
        <f t="shared" si="3"/>
        <v>0</v>
      </c>
      <c r="O17" s="33">
        <f t="shared" si="3"/>
        <v>0</v>
      </c>
      <c r="P17" s="33">
        <f t="shared" si="3"/>
        <v>0</v>
      </c>
      <c r="Q17" s="33">
        <f t="shared" si="3"/>
        <v>0</v>
      </c>
      <c r="R17" s="33">
        <f t="shared" si="3"/>
        <v>0</v>
      </c>
      <c r="S17" s="33">
        <f t="shared" si="3"/>
        <v>0</v>
      </c>
      <c r="T17" s="33">
        <f t="shared" si="3"/>
        <v>0</v>
      </c>
      <c r="U17" s="33">
        <f t="shared" si="3"/>
        <v>0</v>
      </c>
      <c r="V17" s="33">
        <f t="shared" si="3"/>
        <v>0</v>
      </c>
      <c r="W17" s="33">
        <f t="shared" si="3"/>
        <v>0</v>
      </c>
      <c r="X17" s="33">
        <f t="shared" si="3"/>
        <v>0</v>
      </c>
      <c r="Y17" s="33">
        <f t="shared" si="3"/>
        <v>0</v>
      </c>
      <c r="Z17" s="33">
        <f t="shared" si="3"/>
        <v>0</v>
      </c>
      <c r="AA17" s="33">
        <f t="shared" si="3"/>
        <v>0</v>
      </c>
      <c r="AB17" s="33">
        <f t="shared" si="3"/>
        <v>0</v>
      </c>
      <c r="AC17" s="33">
        <f t="shared" si="0"/>
        <v>0</v>
      </c>
      <c r="AD17" s="33">
        <f t="shared" si="0"/>
        <v>0</v>
      </c>
    </row>
    <row r="18" spans="1:30" x14ac:dyDescent="0.2">
      <c r="A18" s="166"/>
      <c r="B18" s="172" t="s">
        <v>12</v>
      </c>
      <c r="C18" s="170" t="s">
        <v>847</v>
      </c>
      <c r="D18" s="170"/>
      <c r="E18" s="163"/>
      <c r="F18" s="164"/>
      <c r="G18" s="171" t="s">
        <v>848</v>
      </c>
      <c r="H18" s="119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33">
        <f t="shared" si="0"/>
        <v>0</v>
      </c>
      <c r="AD18" s="33">
        <f t="shared" si="0"/>
        <v>0</v>
      </c>
    </row>
    <row r="19" spans="1:30" x14ac:dyDescent="0.2">
      <c r="A19" s="166"/>
      <c r="B19" s="172"/>
      <c r="C19" s="173" t="s">
        <v>849</v>
      </c>
      <c r="D19" s="170"/>
      <c r="E19" s="163"/>
      <c r="F19" s="164"/>
      <c r="G19" s="171" t="s">
        <v>850</v>
      </c>
      <c r="H19" s="119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188"/>
      <c r="Z19" s="188"/>
      <c r="AA19" s="188"/>
      <c r="AB19" s="188"/>
      <c r="AC19" s="33">
        <f t="shared" si="0"/>
        <v>0</v>
      </c>
      <c r="AD19" s="33">
        <f t="shared" si="0"/>
        <v>0</v>
      </c>
    </row>
    <row r="20" spans="1:30" x14ac:dyDescent="0.2">
      <c r="A20" s="166"/>
      <c r="B20" s="172"/>
      <c r="C20" s="170" t="s">
        <v>851</v>
      </c>
      <c r="D20" s="170"/>
      <c r="E20" s="163"/>
      <c r="F20" s="164"/>
      <c r="G20" s="171" t="s">
        <v>852</v>
      </c>
      <c r="H20" s="119"/>
      <c r="I20" s="33">
        <f t="shared" ref="I20:AB20" si="4">SUM(I18,I19)</f>
        <v>0</v>
      </c>
      <c r="J20" s="33">
        <f t="shared" si="4"/>
        <v>0</v>
      </c>
      <c r="K20" s="33">
        <f t="shared" si="4"/>
        <v>0</v>
      </c>
      <c r="L20" s="33">
        <f t="shared" si="4"/>
        <v>0</v>
      </c>
      <c r="M20" s="33">
        <f t="shared" si="4"/>
        <v>0</v>
      </c>
      <c r="N20" s="33">
        <f t="shared" si="4"/>
        <v>0</v>
      </c>
      <c r="O20" s="33">
        <f t="shared" si="4"/>
        <v>0</v>
      </c>
      <c r="P20" s="33">
        <f t="shared" si="4"/>
        <v>0</v>
      </c>
      <c r="Q20" s="33">
        <f t="shared" si="4"/>
        <v>0</v>
      </c>
      <c r="R20" s="33">
        <f t="shared" si="4"/>
        <v>0</v>
      </c>
      <c r="S20" s="33">
        <f t="shared" si="4"/>
        <v>0</v>
      </c>
      <c r="T20" s="33">
        <f t="shared" si="4"/>
        <v>0</v>
      </c>
      <c r="U20" s="33">
        <f t="shared" si="4"/>
        <v>0</v>
      </c>
      <c r="V20" s="33">
        <f t="shared" si="4"/>
        <v>0</v>
      </c>
      <c r="W20" s="33">
        <f t="shared" si="4"/>
        <v>0</v>
      </c>
      <c r="X20" s="33">
        <f t="shared" si="4"/>
        <v>0</v>
      </c>
      <c r="Y20" s="33">
        <f t="shared" si="4"/>
        <v>0</v>
      </c>
      <c r="Z20" s="33">
        <f t="shared" si="4"/>
        <v>0</v>
      </c>
      <c r="AA20" s="33">
        <f t="shared" si="4"/>
        <v>0</v>
      </c>
      <c r="AB20" s="33">
        <f t="shared" si="4"/>
        <v>0</v>
      </c>
      <c r="AC20" s="33">
        <f t="shared" si="0"/>
        <v>0</v>
      </c>
      <c r="AD20" s="33">
        <f t="shared" si="0"/>
        <v>0</v>
      </c>
    </row>
    <row r="21" spans="1:30" x14ac:dyDescent="0.2">
      <c r="A21" s="166"/>
      <c r="B21" s="172"/>
      <c r="C21" s="173" t="s">
        <v>853</v>
      </c>
      <c r="D21" s="170"/>
      <c r="E21" s="163"/>
      <c r="F21" s="164"/>
      <c r="G21" s="171" t="s">
        <v>854</v>
      </c>
      <c r="H21" s="119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  <c r="U21" s="188"/>
      <c r="V21" s="188"/>
      <c r="W21" s="188"/>
      <c r="X21" s="188"/>
      <c r="Y21" s="188"/>
      <c r="Z21" s="188"/>
      <c r="AA21" s="188"/>
      <c r="AB21" s="188"/>
      <c r="AC21" s="33">
        <f t="shared" si="0"/>
        <v>0</v>
      </c>
      <c r="AD21" s="33">
        <f t="shared" si="0"/>
        <v>0</v>
      </c>
    </row>
    <row r="22" spans="1:30" x14ac:dyDescent="0.2">
      <c r="A22" s="166"/>
      <c r="B22" s="172"/>
      <c r="C22" s="170" t="s">
        <v>855</v>
      </c>
      <c r="D22" s="170"/>
      <c r="E22" s="163"/>
      <c r="F22" s="164"/>
      <c r="G22" s="171" t="s">
        <v>856</v>
      </c>
      <c r="H22" s="119"/>
      <c r="I22" s="33">
        <f t="shared" ref="I22:AB22" si="5">SUM(I20,I21)</f>
        <v>0</v>
      </c>
      <c r="J22" s="33">
        <f t="shared" si="5"/>
        <v>0</v>
      </c>
      <c r="K22" s="33">
        <f t="shared" si="5"/>
        <v>0</v>
      </c>
      <c r="L22" s="33">
        <f t="shared" si="5"/>
        <v>0</v>
      </c>
      <c r="M22" s="33">
        <f t="shared" si="5"/>
        <v>0</v>
      </c>
      <c r="N22" s="33">
        <f t="shared" si="5"/>
        <v>0</v>
      </c>
      <c r="O22" s="33">
        <f t="shared" si="5"/>
        <v>0</v>
      </c>
      <c r="P22" s="33">
        <f t="shared" si="5"/>
        <v>0</v>
      </c>
      <c r="Q22" s="33">
        <f t="shared" si="5"/>
        <v>0</v>
      </c>
      <c r="R22" s="33">
        <f t="shared" si="5"/>
        <v>0</v>
      </c>
      <c r="S22" s="33">
        <f t="shared" si="5"/>
        <v>0</v>
      </c>
      <c r="T22" s="33">
        <f t="shared" si="5"/>
        <v>0</v>
      </c>
      <c r="U22" s="33">
        <f t="shared" si="5"/>
        <v>0</v>
      </c>
      <c r="V22" s="33">
        <f t="shared" si="5"/>
        <v>0</v>
      </c>
      <c r="W22" s="33">
        <f t="shared" si="5"/>
        <v>0</v>
      </c>
      <c r="X22" s="33">
        <f t="shared" si="5"/>
        <v>0</v>
      </c>
      <c r="Y22" s="33">
        <f t="shared" si="5"/>
        <v>0</v>
      </c>
      <c r="Z22" s="33">
        <f t="shared" si="5"/>
        <v>0</v>
      </c>
      <c r="AA22" s="33">
        <f t="shared" si="5"/>
        <v>0</v>
      </c>
      <c r="AB22" s="33">
        <f t="shared" si="5"/>
        <v>0</v>
      </c>
      <c r="AC22" s="33">
        <f t="shared" si="0"/>
        <v>0</v>
      </c>
      <c r="AD22" s="33">
        <f t="shared" si="0"/>
        <v>0</v>
      </c>
    </row>
    <row r="23" spans="1:30" x14ac:dyDescent="0.2">
      <c r="A23" s="166"/>
      <c r="B23" s="172" t="s">
        <v>14</v>
      </c>
      <c r="C23" s="170" t="s">
        <v>857</v>
      </c>
      <c r="D23" s="170"/>
      <c r="E23" s="163"/>
      <c r="F23" s="164"/>
      <c r="G23" s="171" t="s">
        <v>858</v>
      </c>
      <c r="H23" s="119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188"/>
      <c r="AA23" s="188"/>
      <c r="AB23" s="188"/>
      <c r="AC23" s="33">
        <f t="shared" si="0"/>
        <v>0</v>
      </c>
      <c r="AD23" s="33">
        <f t="shared" si="0"/>
        <v>0</v>
      </c>
    </row>
    <row r="24" spans="1:30" x14ac:dyDescent="0.2">
      <c r="A24" s="166"/>
      <c r="B24" s="170"/>
      <c r="C24" s="173" t="s">
        <v>853</v>
      </c>
      <c r="D24" s="170"/>
      <c r="E24" s="163"/>
      <c r="F24" s="164"/>
      <c r="G24" s="171" t="s">
        <v>859</v>
      </c>
      <c r="H24" s="119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188"/>
      <c r="AA24" s="188"/>
      <c r="AB24" s="188"/>
      <c r="AC24" s="33">
        <f t="shared" si="0"/>
        <v>0</v>
      </c>
      <c r="AD24" s="33">
        <f t="shared" si="0"/>
        <v>0</v>
      </c>
    </row>
    <row r="25" spans="1:30" x14ac:dyDescent="0.2">
      <c r="A25" s="166"/>
      <c r="B25" s="167"/>
      <c r="C25" s="170" t="s">
        <v>860</v>
      </c>
      <c r="D25" s="170"/>
      <c r="E25" s="163"/>
      <c r="F25" s="164"/>
      <c r="G25" s="171" t="s">
        <v>861</v>
      </c>
      <c r="H25" s="119"/>
      <c r="I25" s="33">
        <f t="shared" ref="I25:AB25" si="6">SUM(I23,I24)</f>
        <v>0</v>
      </c>
      <c r="J25" s="33">
        <f t="shared" si="6"/>
        <v>0</v>
      </c>
      <c r="K25" s="33">
        <f t="shared" si="6"/>
        <v>0</v>
      </c>
      <c r="L25" s="33">
        <f t="shared" si="6"/>
        <v>0</v>
      </c>
      <c r="M25" s="33">
        <f t="shared" si="6"/>
        <v>0</v>
      </c>
      <c r="N25" s="33">
        <f t="shared" si="6"/>
        <v>0</v>
      </c>
      <c r="O25" s="33">
        <f t="shared" si="6"/>
        <v>0</v>
      </c>
      <c r="P25" s="33">
        <f t="shared" si="6"/>
        <v>0</v>
      </c>
      <c r="Q25" s="33">
        <f t="shared" si="6"/>
        <v>0</v>
      </c>
      <c r="R25" s="33">
        <f t="shared" si="6"/>
        <v>0</v>
      </c>
      <c r="S25" s="33">
        <f t="shared" si="6"/>
        <v>0</v>
      </c>
      <c r="T25" s="33">
        <f t="shared" si="6"/>
        <v>0</v>
      </c>
      <c r="U25" s="33">
        <f t="shared" si="6"/>
        <v>0</v>
      </c>
      <c r="V25" s="33">
        <f t="shared" si="6"/>
        <v>0</v>
      </c>
      <c r="W25" s="33">
        <f t="shared" si="6"/>
        <v>0</v>
      </c>
      <c r="X25" s="33">
        <f t="shared" si="6"/>
        <v>0</v>
      </c>
      <c r="Y25" s="33">
        <f t="shared" si="6"/>
        <v>0</v>
      </c>
      <c r="Z25" s="33">
        <f t="shared" si="6"/>
        <v>0</v>
      </c>
      <c r="AA25" s="33">
        <f t="shared" si="6"/>
        <v>0</v>
      </c>
      <c r="AB25" s="33">
        <f t="shared" si="6"/>
        <v>0</v>
      </c>
      <c r="AC25" s="33">
        <f t="shared" si="0"/>
        <v>0</v>
      </c>
      <c r="AD25" s="33">
        <f t="shared" si="0"/>
        <v>0</v>
      </c>
    </row>
    <row r="26" spans="1:30" x14ac:dyDescent="0.2">
      <c r="A26" s="166"/>
      <c r="B26" s="173" t="s">
        <v>862</v>
      </c>
      <c r="C26" s="173"/>
      <c r="D26" s="173"/>
      <c r="E26" s="163"/>
      <c r="F26" s="164"/>
      <c r="G26" s="171" t="s">
        <v>863</v>
      </c>
      <c r="H26" s="119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33">
        <f t="shared" si="0"/>
        <v>0</v>
      </c>
      <c r="AD26" s="33">
        <f t="shared" si="0"/>
        <v>0</v>
      </c>
    </row>
    <row r="27" spans="1:30" x14ac:dyDescent="0.2">
      <c r="A27" s="166"/>
      <c r="B27" s="170" t="s">
        <v>864</v>
      </c>
      <c r="C27" s="170"/>
      <c r="D27" s="170"/>
      <c r="E27" s="163"/>
      <c r="F27" s="164"/>
      <c r="G27" s="171" t="s">
        <v>865</v>
      </c>
      <c r="H27" s="119"/>
      <c r="I27" s="33">
        <f t="shared" ref="I27:AB27" si="7">I17-I26</f>
        <v>0</v>
      </c>
      <c r="J27" s="33">
        <f t="shared" si="7"/>
        <v>0</v>
      </c>
      <c r="K27" s="33">
        <f t="shared" si="7"/>
        <v>0</v>
      </c>
      <c r="L27" s="33">
        <f t="shared" si="7"/>
        <v>0</v>
      </c>
      <c r="M27" s="33">
        <f t="shared" si="7"/>
        <v>0</v>
      </c>
      <c r="N27" s="33">
        <f t="shared" si="7"/>
        <v>0</v>
      </c>
      <c r="O27" s="33">
        <f t="shared" si="7"/>
        <v>0</v>
      </c>
      <c r="P27" s="33">
        <f t="shared" si="7"/>
        <v>0</v>
      </c>
      <c r="Q27" s="33">
        <f t="shared" si="7"/>
        <v>0</v>
      </c>
      <c r="R27" s="33">
        <f t="shared" si="7"/>
        <v>0</v>
      </c>
      <c r="S27" s="33">
        <f t="shared" si="7"/>
        <v>0</v>
      </c>
      <c r="T27" s="33">
        <f t="shared" si="7"/>
        <v>0</v>
      </c>
      <c r="U27" s="33">
        <f t="shared" si="7"/>
        <v>0</v>
      </c>
      <c r="V27" s="33">
        <f t="shared" si="7"/>
        <v>0</v>
      </c>
      <c r="W27" s="33">
        <f t="shared" si="7"/>
        <v>0</v>
      </c>
      <c r="X27" s="33">
        <f t="shared" si="7"/>
        <v>0</v>
      </c>
      <c r="Y27" s="33">
        <f t="shared" si="7"/>
        <v>0</v>
      </c>
      <c r="Z27" s="33">
        <f t="shared" si="7"/>
        <v>0</v>
      </c>
      <c r="AA27" s="33">
        <f t="shared" si="7"/>
        <v>0</v>
      </c>
      <c r="AB27" s="33">
        <f t="shared" si="7"/>
        <v>0</v>
      </c>
      <c r="AC27" s="33">
        <f t="shared" si="0"/>
        <v>0</v>
      </c>
      <c r="AD27" s="33">
        <f t="shared" si="0"/>
        <v>0</v>
      </c>
    </row>
    <row r="28" spans="1:30" x14ac:dyDescent="0.2">
      <c r="A28" s="166" t="s">
        <v>31</v>
      </c>
      <c r="B28" s="170" t="s">
        <v>866</v>
      </c>
      <c r="C28" s="170"/>
      <c r="D28" s="170"/>
      <c r="E28" s="163"/>
      <c r="F28" s="164"/>
      <c r="G28" s="171" t="s">
        <v>867</v>
      </c>
      <c r="H28" s="11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88"/>
      <c r="X28" s="188"/>
      <c r="Y28" s="188"/>
      <c r="Z28" s="188"/>
      <c r="AA28" s="188"/>
      <c r="AB28" s="188"/>
      <c r="AC28" s="33">
        <f t="shared" si="0"/>
        <v>0</v>
      </c>
      <c r="AD28" s="33">
        <f t="shared" si="0"/>
        <v>0</v>
      </c>
    </row>
    <row r="29" spans="1:30" x14ac:dyDescent="0.2">
      <c r="A29" s="166"/>
      <c r="B29" s="170"/>
      <c r="C29" s="173" t="s">
        <v>849</v>
      </c>
      <c r="D29" s="170"/>
      <c r="E29" s="163"/>
      <c r="F29" s="164"/>
      <c r="G29" s="171" t="s">
        <v>868</v>
      </c>
      <c r="H29" s="11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88"/>
      <c r="X29" s="188"/>
      <c r="Y29" s="188"/>
      <c r="Z29" s="188"/>
      <c r="AA29" s="188"/>
      <c r="AB29" s="188"/>
      <c r="AC29" s="33">
        <f t="shared" si="0"/>
        <v>0</v>
      </c>
      <c r="AD29" s="33">
        <f t="shared" si="0"/>
        <v>0</v>
      </c>
    </row>
    <row r="30" spans="1:30" x14ac:dyDescent="0.2">
      <c r="A30" s="166"/>
      <c r="B30" s="170"/>
      <c r="C30" s="170" t="s">
        <v>869</v>
      </c>
      <c r="D30" s="170"/>
      <c r="E30" s="163"/>
      <c r="F30" s="164"/>
      <c r="G30" s="171" t="s">
        <v>870</v>
      </c>
      <c r="H30" s="119"/>
      <c r="I30" s="33">
        <f t="shared" ref="I30:AB30" si="8">SUM(I28,I29)</f>
        <v>0</v>
      </c>
      <c r="J30" s="33">
        <f t="shared" si="8"/>
        <v>0</v>
      </c>
      <c r="K30" s="33">
        <f t="shared" si="8"/>
        <v>0</v>
      </c>
      <c r="L30" s="33">
        <f t="shared" si="8"/>
        <v>0</v>
      </c>
      <c r="M30" s="33">
        <f t="shared" si="8"/>
        <v>0</v>
      </c>
      <c r="N30" s="33">
        <f t="shared" si="8"/>
        <v>0</v>
      </c>
      <c r="O30" s="33">
        <f t="shared" si="8"/>
        <v>0</v>
      </c>
      <c r="P30" s="33">
        <f t="shared" si="8"/>
        <v>0</v>
      </c>
      <c r="Q30" s="33">
        <f t="shared" si="8"/>
        <v>0</v>
      </c>
      <c r="R30" s="33">
        <f t="shared" si="8"/>
        <v>0</v>
      </c>
      <c r="S30" s="33">
        <f t="shared" si="8"/>
        <v>0</v>
      </c>
      <c r="T30" s="33">
        <f t="shared" si="8"/>
        <v>0</v>
      </c>
      <c r="U30" s="33">
        <f t="shared" si="8"/>
        <v>0</v>
      </c>
      <c r="V30" s="33">
        <f t="shared" si="8"/>
        <v>0</v>
      </c>
      <c r="W30" s="33">
        <f t="shared" si="8"/>
        <v>0</v>
      </c>
      <c r="X30" s="33">
        <f t="shared" si="8"/>
        <v>0</v>
      </c>
      <c r="Y30" s="33">
        <f t="shared" si="8"/>
        <v>0</v>
      </c>
      <c r="Z30" s="33">
        <f t="shared" si="8"/>
        <v>0</v>
      </c>
      <c r="AA30" s="33">
        <f t="shared" si="8"/>
        <v>0</v>
      </c>
      <c r="AB30" s="33">
        <f t="shared" si="8"/>
        <v>0</v>
      </c>
      <c r="AC30" s="33">
        <f t="shared" si="0"/>
        <v>0</v>
      </c>
      <c r="AD30" s="33">
        <f t="shared" si="0"/>
        <v>0</v>
      </c>
    </row>
    <row r="31" spans="1:30" x14ac:dyDescent="0.2">
      <c r="A31" s="166"/>
      <c r="B31" s="173" t="s">
        <v>862</v>
      </c>
      <c r="C31" s="170"/>
      <c r="D31" s="170"/>
      <c r="E31" s="163"/>
      <c r="F31" s="164"/>
      <c r="G31" s="171" t="s">
        <v>871</v>
      </c>
      <c r="H31" s="119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Y31" s="188"/>
      <c r="Z31" s="188"/>
      <c r="AA31" s="188"/>
      <c r="AB31" s="188"/>
      <c r="AC31" s="33">
        <f t="shared" si="0"/>
        <v>0</v>
      </c>
      <c r="AD31" s="33">
        <f t="shared" si="0"/>
        <v>0</v>
      </c>
    </row>
    <row r="32" spans="1:30" x14ac:dyDescent="0.2">
      <c r="A32" s="174"/>
      <c r="B32" s="170" t="s">
        <v>872</v>
      </c>
      <c r="C32" s="170"/>
      <c r="D32" s="170"/>
      <c r="E32" s="163"/>
      <c r="F32" s="164"/>
      <c r="G32" s="171" t="s">
        <v>873</v>
      </c>
      <c r="H32" s="119"/>
      <c r="I32" s="33">
        <f t="shared" ref="I32:AB32" si="9">I30-I31</f>
        <v>0</v>
      </c>
      <c r="J32" s="33">
        <f t="shared" si="9"/>
        <v>0</v>
      </c>
      <c r="K32" s="33">
        <f t="shared" si="9"/>
        <v>0</v>
      </c>
      <c r="L32" s="33">
        <f t="shared" si="9"/>
        <v>0</v>
      </c>
      <c r="M32" s="33">
        <f t="shared" si="9"/>
        <v>0</v>
      </c>
      <c r="N32" s="33">
        <f t="shared" si="9"/>
        <v>0</v>
      </c>
      <c r="O32" s="33">
        <f t="shared" si="9"/>
        <v>0</v>
      </c>
      <c r="P32" s="33">
        <f t="shared" si="9"/>
        <v>0</v>
      </c>
      <c r="Q32" s="33">
        <f t="shared" si="9"/>
        <v>0</v>
      </c>
      <c r="R32" s="33">
        <f t="shared" si="9"/>
        <v>0</v>
      </c>
      <c r="S32" s="33">
        <f t="shared" si="9"/>
        <v>0</v>
      </c>
      <c r="T32" s="33">
        <f t="shared" si="9"/>
        <v>0</v>
      </c>
      <c r="U32" s="33">
        <f t="shared" si="9"/>
        <v>0</v>
      </c>
      <c r="V32" s="33">
        <f t="shared" si="9"/>
        <v>0</v>
      </c>
      <c r="W32" s="33">
        <f t="shared" si="9"/>
        <v>0</v>
      </c>
      <c r="X32" s="33">
        <f t="shared" si="9"/>
        <v>0</v>
      </c>
      <c r="Y32" s="33">
        <f t="shared" si="9"/>
        <v>0</v>
      </c>
      <c r="Z32" s="33">
        <f t="shared" si="9"/>
        <v>0</v>
      </c>
      <c r="AA32" s="33">
        <f t="shared" si="9"/>
        <v>0</v>
      </c>
      <c r="AB32" s="33">
        <f t="shared" si="9"/>
        <v>0</v>
      </c>
      <c r="AC32" s="33">
        <f t="shared" si="0"/>
        <v>0</v>
      </c>
      <c r="AD32" s="33">
        <f t="shared" si="0"/>
        <v>0</v>
      </c>
    </row>
    <row r="33" spans="1:30" x14ac:dyDescent="0.2">
      <c r="A33" s="166" t="s">
        <v>38</v>
      </c>
      <c r="B33" s="170" t="s">
        <v>874</v>
      </c>
      <c r="C33" s="170"/>
      <c r="D33" s="170"/>
      <c r="E33" s="163"/>
      <c r="F33" s="164"/>
      <c r="G33" s="171" t="s">
        <v>875</v>
      </c>
      <c r="H33" s="119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188"/>
      <c r="U33" s="188"/>
      <c r="V33" s="188"/>
      <c r="W33" s="188"/>
      <c r="X33" s="188"/>
      <c r="Y33" s="188"/>
      <c r="Z33" s="188"/>
      <c r="AA33" s="188"/>
      <c r="AB33" s="188"/>
      <c r="AC33" s="33">
        <f t="shared" si="0"/>
        <v>0</v>
      </c>
      <c r="AD33" s="33">
        <f t="shared" si="0"/>
        <v>0</v>
      </c>
    </row>
    <row r="34" spans="1:30" x14ac:dyDescent="0.2">
      <c r="A34" s="174"/>
      <c r="B34" s="170"/>
      <c r="C34" s="173" t="s">
        <v>849</v>
      </c>
      <c r="D34" s="170"/>
      <c r="E34" s="163"/>
      <c r="F34" s="164"/>
      <c r="G34" s="171" t="s">
        <v>876</v>
      </c>
      <c r="H34" s="119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33">
        <f t="shared" si="0"/>
        <v>0</v>
      </c>
      <c r="AD34" s="33">
        <f t="shared" si="0"/>
        <v>0</v>
      </c>
    </row>
    <row r="35" spans="1:30" ht="24.75" customHeight="1" x14ac:dyDescent="0.2">
      <c r="A35" s="174"/>
      <c r="B35" s="170"/>
      <c r="C35" s="203" t="s">
        <v>877</v>
      </c>
      <c r="D35" s="203"/>
      <c r="E35" s="204"/>
      <c r="F35" s="164"/>
      <c r="G35" s="171" t="s">
        <v>878</v>
      </c>
      <c r="H35" s="119"/>
      <c r="I35" s="33">
        <f t="shared" ref="I35:AB35" si="10">SUM(I33:I34)</f>
        <v>0</v>
      </c>
      <c r="J35" s="33">
        <f t="shared" si="10"/>
        <v>0</v>
      </c>
      <c r="K35" s="33">
        <f t="shared" si="10"/>
        <v>0</v>
      </c>
      <c r="L35" s="33">
        <f t="shared" si="10"/>
        <v>0</v>
      </c>
      <c r="M35" s="33">
        <f t="shared" si="10"/>
        <v>0</v>
      </c>
      <c r="N35" s="33">
        <f t="shared" si="10"/>
        <v>0</v>
      </c>
      <c r="O35" s="33">
        <f t="shared" si="10"/>
        <v>0</v>
      </c>
      <c r="P35" s="33">
        <f t="shared" si="10"/>
        <v>0</v>
      </c>
      <c r="Q35" s="33">
        <f t="shared" si="10"/>
        <v>0</v>
      </c>
      <c r="R35" s="33">
        <f t="shared" si="10"/>
        <v>0</v>
      </c>
      <c r="S35" s="33">
        <f t="shared" si="10"/>
        <v>0</v>
      </c>
      <c r="T35" s="33">
        <f t="shared" si="10"/>
        <v>0</v>
      </c>
      <c r="U35" s="33">
        <f t="shared" si="10"/>
        <v>0</v>
      </c>
      <c r="V35" s="33">
        <f t="shared" si="10"/>
        <v>0</v>
      </c>
      <c r="W35" s="33">
        <f t="shared" si="10"/>
        <v>0</v>
      </c>
      <c r="X35" s="33">
        <f t="shared" si="10"/>
        <v>0</v>
      </c>
      <c r="Y35" s="33">
        <f t="shared" si="10"/>
        <v>0</v>
      </c>
      <c r="Z35" s="33">
        <f t="shared" si="10"/>
        <v>0</v>
      </c>
      <c r="AA35" s="33">
        <f t="shared" si="10"/>
        <v>0</v>
      </c>
      <c r="AB35" s="33">
        <f t="shared" si="10"/>
        <v>0</v>
      </c>
      <c r="AC35" s="33">
        <f t="shared" si="0"/>
        <v>0</v>
      </c>
      <c r="AD35" s="33">
        <f t="shared" si="0"/>
        <v>0</v>
      </c>
    </row>
    <row r="36" spans="1:30" x14ac:dyDescent="0.2">
      <c r="A36" s="174"/>
      <c r="B36" s="173" t="s">
        <v>862</v>
      </c>
      <c r="C36" s="170"/>
      <c r="D36" s="170"/>
      <c r="E36" s="163"/>
      <c r="F36" s="164"/>
      <c r="G36" s="171" t="s">
        <v>879</v>
      </c>
      <c r="H36" s="119"/>
      <c r="I36" s="188"/>
      <c r="J36" s="188"/>
      <c r="K36" s="188"/>
      <c r="L36" s="188"/>
      <c r="M36" s="188"/>
      <c r="N36" s="188"/>
      <c r="O36" s="188"/>
      <c r="P36" s="188"/>
      <c r="Q36" s="188"/>
      <c r="R36" s="188"/>
      <c r="S36" s="188"/>
      <c r="T36" s="188"/>
      <c r="U36" s="188"/>
      <c r="V36" s="188"/>
      <c r="W36" s="188"/>
      <c r="X36" s="188"/>
      <c r="Y36" s="188"/>
      <c r="Z36" s="188"/>
      <c r="AA36" s="188"/>
      <c r="AB36" s="188"/>
      <c r="AC36" s="33">
        <f t="shared" si="0"/>
        <v>0</v>
      </c>
      <c r="AD36" s="33">
        <f t="shared" si="0"/>
        <v>0</v>
      </c>
    </row>
    <row r="37" spans="1:30" x14ac:dyDescent="0.2">
      <c r="A37" s="174"/>
      <c r="B37" s="170" t="s">
        <v>880</v>
      </c>
      <c r="C37" s="170"/>
      <c r="D37" s="170"/>
      <c r="E37" s="163"/>
      <c r="F37" s="164"/>
      <c r="G37" s="171" t="s">
        <v>881</v>
      </c>
      <c r="H37" s="119"/>
      <c r="I37" s="33">
        <f t="shared" ref="I37:AB37" si="11">I35-I36</f>
        <v>0</v>
      </c>
      <c r="J37" s="33">
        <f t="shared" si="11"/>
        <v>0</v>
      </c>
      <c r="K37" s="33">
        <f t="shared" si="11"/>
        <v>0</v>
      </c>
      <c r="L37" s="33">
        <f t="shared" si="11"/>
        <v>0</v>
      </c>
      <c r="M37" s="33">
        <f t="shared" si="11"/>
        <v>0</v>
      </c>
      <c r="N37" s="33">
        <f t="shared" si="11"/>
        <v>0</v>
      </c>
      <c r="O37" s="33">
        <f t="shared" si="11"/>
        <v>0</v>
      </c>
      <c r="P37" s="33">
        <f t="shared" si="11"/>
        <v>0</v>
      </c>
      <c r="Q37" s="33">
        <f t="shared" si="11"/>
        <v>0</v>
      </c>
      <c r="R37" s="33">
        <f t="shared" si="11"/>
        <v>0</v>
      </c>
      <c r="S37" s="33">
        <f t="shared" si="11"/>
        <v>0</v>
      </c>
      <c r="T37" s="33">
        <f t="shared" si="11"/>
        <v>0</v>
      </c>
      <c r="U37" s="33">
        <f t="shared" si="11"/>
        <v>0</v>
      </c>
      <c r="V37" s="33">
        <f t="shared" si="11"/>
        <v>0</v>
      </c>
      <c r="W37" s="33">
        <f t="shared" si="11"/>
        <v>0</v>
      </c>
      <c r="X37" s="33">
        <f t="shared" si="11"/>
        <v>0</v>
      </c>
      <c r="Y37" s="33">
        <f t="shared" si="11"/>
        <v>0</v>
      </c>
      <c r="Z37" s="33">
        <f t="shared" si="11"/>
        <v>0</v>
      </c>
      <c r="AA37" s="33">
        <f t="shared" si="11"/>
        <v>0</v>
      </c>
      <c r="AB37" s="33">
        <f t="shared" si="11"/>
        <v>0</v>
      </c>
      <c r="AC37" s="33">
        <f t="shared" si="0"/>
        <v>0</v>
      </c>
      <c r="AD37" s="33">
        <f t="shared" si="0"/>
        <v>0</v>
      </c>
    </row>
    <row r="38" spans="1:30" x14ac:dyDescent="0.2">
      <c r="A38" s="166" t="s">
        <v>42</v>
      </c>
      <c r="B38" s="170" t="s">
        <v>882</v>
      </c>
      <c r="C38" s="170"/>
      <c r="D38" s="170"/>
      <c r="E38" s="163"/>
      <c r="F38" s="164"/>
      <c r="G38" s="171" t="s">
        <v>883</v>
      </c>
      <c r="H38" s="119"/>
      <c r="I38" s="188"/>
      <c r="J38" s="188"/>
      <c r="K38" s="188"/>
      <c r="L38" s="188"/>
      <c r="M38" s="188"/>
      <c r="N38" s="188"/>
      <c r="O38" s="188"/>
      <c r="P38" s="188"/>
      <c r="Q38" s="188"/>
      <c r="R38" s="188"/>
      <c r="S38" s="188"/>
      <c r="T38" s="188"/>
      <c r="U38" s="188"/>
      <c r="V38" s="188"/>
      <c r="W38" s="188"/>
      <c r="X38" s="188"/>
      <c r="Y38" s="188"/>
      <c r="Z38" s="188"/>
      <c r="AA38" s="188"/>
      <c r="AB38" s="188"/>
      <c r="AC38" s="33">
        <f t="shared" si="0"/>
        <v>0</v>
      </c>
      <c r="AD38" s="33">
        <f t="shared" si="0"/>
        <v>0</v>
      </c>
    </row>
    <row r="39" spans="1:30" x14ac:dyDescent="0.2">
      <c r="A39" s="166"/>
      <c r="B39" s="173" t="s">
        <v>862</v>
      </c>
      <c r="C39" s="170"/>
      <c r="D39" s="170"/>
      <c r="E39" s="163"/>
      <c r="F39" s="164"/>
      <c r="G39" s="171" t="s">
        <v>884</v>
      </c>
      <c r="H39" s="119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88"/>
      <c r="V39" s="188"/>
      <c r="W39" s="188"/>
      <c r="X39" s="188"/>
      <c r="Y39" s="188"/>
      <c r="Z39" s="188"/>
      <c r="AA39" s="188"/>
      <c r="AB39" s="188"/>
      <c r="AC39" s="33">
        <f t="shared" si="0"/>
        <v>0</v>
      </c>
      <c r="AD39" s="33">
        <f t="shared" si="0"/>
        <v>0</v>
      </c>
    </row>
    <row r="40" spans="1:30" x14ac:dyDescent="0.2">
      <c r="A40" s="166"/>
      <c r="B40" s="170" t="s">
        <v>885</v>
      </c>
      <c r="C40" s="170"/>
      <c r="D40" s="170"/>
      <c r="E40" s="163"/>
      <c r="F40" s="164"/>
      <c r="G40" s="171" t="s">
        <v>886</v>
      </c>
      <c r="H40" s="119"/>
      <c r="I40" s="33">
        <f t="shared" ref="I40:AB40" si="12">I38-I39</f>
        <v>0</v>
      </c>
      <c r="J40" s="33">
        <f t="shared" si="12"/>
        <v>0</v>
      </c>
      <c r="K40" s="33">
        <f t="shared" si="12"/>
        <v>0</v>
      </c>
      <c r="L40" s="33">
        <f t="shared" si="12"/>
        <v>0</v>
      </c>
      <c r="M40" s="33">
        <f t="shared" si="12"/>
        <v>0</v>
      </c>
      <c r="N40" s="33">
        <f t="shared" si="12"/>
        <v>0</v>
      </c>
      <c r="O40" s="33">
        <f t="shared" si="12"/>
        <v>0</v>
      </c>
      <c r="P40" s="33">
        <f t="shared" si="12"/>
        <v>0</v>
      </c>
      <c r="Q40" s="33">
        <f t="shared" si="12"/>
        <v>0</v>
      </c>
      <c r="R40" s="33">
        <f t="shared" si="12"/>
        <v>0</v>
      </c>
      <c r="S40" s="33">
        <f t="shared" si="12"/>
        <v>0</v>
      </c>
      <c r="T40" s="33">
        <f t="shared" si="12"/>
        <v>0</v>
      </c>
      <c r="U40" s="33">
        <f t="shared" si="12"/>
        <v>0</v>
      </c>
      <c r="V40" s="33">
        <f t="shared" si="12"/>
        <v>0</v>
      </c>
      <c r="W40" s="33">
        <f t="shared" si="12"/>
        <v>0</v>
      </c>
      <c r="X40" s="33">
        <f t="shared" si="12"/>
        <v>0</v>
      </c>
      <c r="Y40" s="33">
        <f t="shared" si="12"/>
        <v>0</v>
      </c>
      <c r="Z40" s="33">
        <f t="shared" si="12"/>
        <v>0</v>
      </c>
      <c r="AA40" s="33">
        <f t="shared" si="12"/>
        <v>0</v>
      </c>
      <c r="AB40" s="33">
        <f t="shared" si="12"/>
        <v>0</v>
      </c>
      <c r="AC40" s="33">
        <f t="shared" si="0"/>
        <v>0</v>
      </c>
      <c r="AD40" s="33">
        <f t="shared" si="0"/>
        <v>0</v>
      </c>
    </row>
    <row r="41" spans="1:30" x14ac:dyDescent="0.2">
      <c r="A41" s="166" t="s">
        <v>44</v>
      </c>
      <c r="B41" s="170" t="s">
        <v>887</v>
      </c>
      <c r="C41" s="170"/>
      <c r="D41" s="170"/>
      <c r="E41" s="163"/>
      <c r="F41" s="164"/>
      <c r="G41" s="171" t="s">
        <v>888</v>
      </c>
      <c r="H41" s="119"/>
      <c r="I41" s="188"/>
      <c r="J41" s="188"/>
      <c r="K41" s="188"/>
      <c r="L41" s="188"/>
      <c r="M41" s="188"/>
      <c r="N41" s="188"/>
      <c r="O41" s="188"/>
      <c r="P41" s="188"/>
      <c r="Q41" s="188"/>
      <c r="R41" s="188"/>
      <c r="S41" s="188"/>
      <c r="T41" s="188"/>
      <c r="U41" s="188"/>
      <c r="V41" s="188"/>
      <c r="W41" s="188"/>
      <c r="X41" s="188"/>
      <c r="Y41" s="188"/>
      <c r="Z41" s="188"/>
      <c r="AA41" s="188"/>
      <c r="AB41" s="188"/>
      <c r="AC41" s="33">
        <f t="shared" ref="AC41:AD69" si="13">I41+K41+M41+O41+Q41+S41+U41+W41+Y41+AA41</f>
        <v>0</v>
      </c>
      <c r="AD41" s="33">
        <f t="shared" si="13"/>
        <v>0</v>
      </c>
    </row>
    <row r="42" spans="1:30" x14ac:dyDescent="0.2">
      <c r="A42" s="166"/>
      <c r="B42" s="173" t="s">
        <v>889</v>
      </c>
      <c r="C42" s="170"/>
      <c r="D42" s="170"/>
      <c r="E42" s="163"/>
      <c r="F42" s="164"/>
      <c r="G42" s="171" t="s">
        <v>890</v>
      </c>
      <c r="H42" s="119"/>
      <c r="I42" s="188"/>
      <c r="J42" s="188"/>
      <c r="K42" s="188"/>
      <c r="L42" s="188"/>
      <c r="M42" s="188"/>
      <c r="N42" s="188"/>
      <c r="O42" s="188"/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  <c r="AB42" s="188"/>
      <c r="AC42" s="33">
        <f t="shared" si="13"/>
        <v>0</v>
      </c>
      <c r="AD42" s="33">
        <f t="shared" si="13"/>
        <v>0</v>
      </c>
    </row>
    <row r="43" spans="1:30" x14ac:dyDescent="0.2">
      <c r="A43" s="166"/>
      <c r="B43" s="170" t="s">
        <v>891</v>
      </c>
      <c r="C43" s="170"/>
      <c r="D43" s="170"/>
      <c r="E43" s="163"/>
      <c r="F43" s="164"/>
      <c r="G43" s="171" t="s">
        <v>892</v>
      </c>
      <c r="H43" s="119"/>
      <c r="I43" s="33">
        <f t="shared" ref="I43:AB43" si="14">SUM(I41:I42)</f>
        <v>0</v>
      </c>
      <c r="J43" s="33">
        <f t="shared" si="14"/>
        <v>0</v>
      </c>
      <c r="K43" s="33">
        <f t="shared" si="14"/>
        <v>0</v>
      </c>
      <c r="L43" s="33">
        <f t="shared" si="14"/>
        <v>0</v>
      </c>
      <c r="M43" s="33">
        <f t="shared" si="14"/>
        <v>0</v>
      </c>
      <c r="N43" s="33">
        <f t="shared" si="14"/>
        <v>0</v>
      </c>
      <c r="O43" s="33">
        <f t="shared" si="14"/>
        <v>0</v>
      </c>
      <c r="P43" s="33">
        <f t="shared" si="14"/>
        <v>0</v>
      </c>
      <c r="Q43" s="33">
        <f t="shared" si="14"/>
        <v>0</v>
      </c>
      <c r="R43" s="33">
        <f t="shared" si="14"/>
        <v>0</v>
      </c>
      <c r="S43" s="33">
        <f t="shared" si="14"/>
        <v>0</v>
      </c>
      <c r="T43" s="33">
        <f t="shared" si="14"/>
        <v>0</v>
      </c>
      <c r="U43" s="33">
        <f t="shared" si="14"/>
        <v>0</v>
      </c>
      <c r="V43" s="33">
        <f t="shared" si="14"/>
        <v>0</v>
      </c>
      <c r="W43" s="33">
        <f t="shared" si="14"/>
        <v>0</v>
      </c>
      <c r="X43" s="33">
        <f t="shared" si="14"/>
        <v>0</v>
      </c>
      <c r="Y43" s="33">
        <f t="shared" si="14"/>
        <v>0</v>
      </c>
      <c r="Z43" s="33">
        <f t="shared" si="14"/>
        <v>0</v>
      </c>
      <c r="AA43" s="33">
        <f t="shared" si="14"/>
        <v>0</v>
      </c>
      <c r="AB43" s="33">
        <f t="shared" si="14"/>
        <v>0</v>
      </c>
      <c r="AC43" s="33">
        <f t="shared" si="13"/>
        <v>0</v>
      </c>
      <c r="AD43" s="33">
        <f t="shared" si="13"/>
        <v>0</v>
      </c>
    </row>
    <row r="44" spans="1:30" x14ac:dyDescent="0.2">
      <c r="A44" s="174"/>
      <c r="B44" s="173" t="s">
        <v>862</v>
      </c>
      <c r="C44" s="167"/>
      <c r="D44" s="173"/>
      <c r="E44" s="163"/>
      <c r="F44" s="164"/>
      <c r="G44" s="171" t="s">
        <v>893</v>
      </c>
      <c r="H44" s="119"/>
      <c r="I44" s="188"/>
      <c r="J44" s="188"/>
      <c r="K44" s="188"/>
      <c r="L44" s="188"/>
      <c r="M44" s="188"/>
      <c r="N44" s="188"/>
      <c r="O44" s="188"/>
      <c r="P44" s="188"/>
      <c r="Q44" s="188"/>
      <c r="R44" s="188"/>
      <c r="S44" s="188"/>
      <c r="T44" s="188"/>
      <c r="U44" s="188"/>
      <c r="V44" s="188"/>
      <c r="W44" s="188"/>
      <c r="X44" s="188"/>
      <c r="Y44" s="188"/>
      <c r="Z44" s="188"/>
      <c r="AA44" s="188"/>
      <c r="AB44" s="188"/>
      <c r="AC44" s="33">
        <f t="shared" si="13"/>
        <v>0</v>
      </c>
      <c r="AD44" s="33">
        <f t="shared" si="13"/>
        <v>0</v>
      </c>
    </row>
    <row r="45" spans="1:30" ht="24.75" customHeight="1" x14ac:dyDescent="0.2">
      <c r="A45" s="174"/>
      <c r="B45" s="203" t="s">
        <v>894</v>
      </c>
      <c r="C45" s="203"/>
      <c r="D45" s="203"/>
      <c r="E45" s="204"/>
      <c r="F45" s="164"/>
      <c r="G45" s="175" t="s">
        <v>895</v>
      </c>
      <c r="H45" s="119"/>
      <c r="I45" s="33">
        <f t="shared" ref="I45:AB45" si="15">I43-I44</f>
        <v>0</v>
      </c>
      <c r="J45" s="33">
        <f t="shared" si="15"/>
        <v>0</v>
      </c>
      <c r="K45" s="33">
        <f t="shared" si="15"/>
        <v>0</v>
      </c>
      <c r="L45" s="33">
        <f t="shared" si="15"/>
        <v>0</v>
      </c>
      <c r="M45" s="33">
        <f t="shared" si="15"/>
        <v>0</v>
      </c>
      <c r="N45" s="33">
        <f t="shared" si="15"/>
        <v>0</v>
      </c>
      <c r="O45" s="33">
        <f t="shared" si="15"/>
        <v>0</v>
      </c>
      <c r="P45" s="33">
        <f t="shared" si="15"/>
        <v>0</v>
      </c>
      <c r="Q45" s="33">
        <f t="shared" si="15"/>
        <v>0</v>
      </c>
      <c r="R45" s="33">
        <f t="shared" si="15"/>
        <v>0</v>
      </c>
      <c r="S45" s="33">
        <f t="shared" si="15"/>
        <v>0</v>
      </c>
      <c r="T45" s="33">
        <f t="shared" si="15"/>
        <v>0</v>
      </c>
      <c r="U45" s="33">
        <f t="shared" si="15"/>
        <v>0</v>
      </c>
      <c r="V45" s="33">
        <f t="shared" si="15"/>
        <v>0</v>
      </c>
      <c r="W45" s="33">
        <f t="shared" si="15"/>
        <v>0</v>
      </c>
      <c r="X45" s="33">
        <f t="shared" si="15"/>
        <v>0</v>
      </c>
      <c r="Y45" s="33">
        <f t="shared" si="15"/>
        <v>0</v>
      </c>
      <c r="Z45" s="33">
        <f t="shared" si="15"/>
        <v>0</v>
      </c>
      <c r="AA45" s="33">
        <f t="shared" si="15"/>
        <v>0</v>
      </c>
      <c r="AB45" s="33">
        <f t="shared" si="15"/>
        <v>0</v>
      </c>
      <c r="AC45" s="33">
        <f t="shared" si="13"/>
        <v>0</v>
      </c>
      <c r="AD45" s="33">
        <f t="shared" si="13"/>
        <v>0</v>
      </c>
    </row>
    <row r="46" spans="1:30" ht="27.75" customHeight="1" x14ac:dyDescent="0.2">
      <c r="A46" s="166" t="s">
        <v>896</v>
      </c>
      <c r="B46" s="203" t="s">
        <v>897</v>
      </c>
      <c r="C46" s="203"/>
      <c r="D46" s="203"/>
      <c r="E46" s="204"/>
      <c r="F46" s="164"/>
      <c r="G46" s="176" t="s">
        <v>898</v>
      </c>
      <c r="H46" s="118"/>
      <c r="I46" s="188"/>
      <c r="J46" s="188"/>
      <c r="K46" s="188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  <c r="X46" s="188"/>
      <c r="Y46" s="188"/>
      <c r="Z46" s="188"/>
      <c r="AA46" s="188"/>
      <c r="AB46" s="188"/>
      <c r="AC46" s="33">
        <f t="shared" si="13"/>
        <v>0</v>
      </c>
      <c r="AD46" s="33">
        <f t="shared" si="13"/>
        <v>0</v>
      </c>
    </row>
    <row r="47" spans="1:30" x14ac:dyDescent="0.2">
      <c r="A47" s="166"/>
      <c r="B47" s="201" t="s">
        <v>862</v>
      </c>
      <c r="C47" s="201"/>
      <c r="D47" s="201"/>
      <c r="E47" s="202"/>
      <c r="F47" s="164"/>
      <c r="G47" s="176" t="s">
        <v>899</v>
      </c>
      <c r="H47" s="118"/>
      <c r="I47" s="188"/>
      <c r="J47" s="188"/>
      <c r="K47" s="188"/>
      <c r="L47" s="188"/>
      <c r="M47" s="188"/>
      <c r="N47" s="188"/>
      <c r="O47" s="188"/>
      <c r="P47" s="188"/>
      <c r="Q47" s="188"/>
      <c r="R47" s="188"/>
      <c r="S47" s="188"/>
      <c r="T47" s="188"/>
      <c r="U47" s="188"/>
      <c r="V47" s="188"/>
      <c r="W47" s="188"/>
      <c r="X47" s="188"/>
      <c r="Y47" s="188"/>
      <c r="Z47" s="188"/>
      <c r="AA47" s="188"/>
      <c r="AB47" s="188"/>
      <c r="AC47" s="33">
        <f t="shared" si="13"/>
        <v>0</v>
      </c>
      <c r="AD47" s="33">
        <f t="shared" si="13"/>
        <v>0</v>
      </c>
    </row>
    <row r="48" spans="1:30" ht="40.5" customHeight="1" x14ac:dyDescent="0.2">
      <c r="A48" s="166"/>
      <c r="B48" s="203" t="s">
        <v>900</v>
      </c>
      <c r="C48" s="203"/>
      <c r="D48" s="203"/>
      <c r="E48" s="204"/>
      <c r="F48" s="164"/>
      <c r="G48" s="176" t="s">
        <v>901</v>
      </c>
      <c r="H48" s="118"/>
      <c r="I48" s="33">
        <f t="shared" ref="I48:AB48" si="16">I46-I47</f>
        <v>0</v>
      </c>
      <c r="J48" s="33">
        <f t="shared" si="16"/>
        <v>0</v>
      </c>
      <c r="K48" s="33">
        <f t="shared" si="16"/>
        <v>0</v>
      </c>
      <c r="L48" s="33">
        <f t="shared" si="16"/>
        <v>0</v>
      </c>
      <c r="M48" s="33">
        <f t="shared" si="16"/>
        <v>0</v>
      </c>
      <c r="N48" s="33">
        <f t="shared" si="16"/>
        <v>0</v>
      </c>
      <c r="O48" s="33">
        <f t="shared" si="16"/>
        <v>0</v>
      </c>
      <c r="P48" s="33">
        <f t="shared" si="16"/>
        <v>0</v>
      </c>
      <c r="Q48" s="33">
        <f t="shared" si="16"/>
        <v>0</v>
      </c>
      <c r="R48" s="33">
        <f t="shared" si="16"/>
        <v>0</v>
      </c>
      <c r="S48" s="33">
        <f t="shared" si="16"/>
        <v>0</v>
      </c>
      <c r="T48" s="33">
        <f t="shared" si="16"/>
        <v>0</v>
      </c>
      <c r="U48" s="33">
        <f t="shared" si="16"/>
        <v>0</v>
      </c>
      <c r="V48" s="33">
        <f t="shared" si="16"/>
        <v>0</v>
      </c>
      <c r="W48" s="33">
        <f t="shared" si="16"/>
        <v>0</v>
      </c>
      <c r="X48" s="33">
        <f t="shared" si="16"/>
        <v>0</v>
      </c>
      <c r="Y48" s="33">
        <f t="shared" si="16"/>
        <v>0</v>
      </c>
      <c r="Z48" s="33">
        <f t="shared" si="16"/>
        <v>0</v>
      </c>
      <c r="AA48" s="33">
        <f t="shared" si="16"/>
        <v>0</v>
      </c>
      <c r="AB48" s="33">
        <f t="shared" si="16"/>
        <v>0</v>
      </c>
      <c r="AC48" s="33">
        <f t="shared" si="13"/>
        <v>0</v>
      </c>
      <c r="AD48" s="33">
        <f t="shared" si="13"/>
        <v>0</v>
      </c>
    </row>
    <row r="49" spans="1:30" x14ac:dyDescent="0.2">
      <c r="A49" s="174"/>
      <c r="B49" s="173" t="s">
        <v>902</v>
      </c>
      <c r="C49" s="170"/>
      <c r="D49" s="170"/>
      <c r="E49" s="163"/>
      <c r="F49" s="164"/>
      <c r="G49" s="171" t="s">
        <v>903</v>
      </c>
      <c r="H49" s="119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88"/>
      <c r="W49" s="188"/>
      <c r="X49" s="188"/>
      <c r="Y49" s="188"/>
      <c r="Z49" s="188"/>
      <c r="AA49" s="188"/>
      <c r="AB49" s="188"/>
      <c r="AC49" s="33">
        <f t="shared" si="13"/>
        <v>0</v>
      </c>
      <c r="AD49" s="33">
        <f t="shared" si="13"/>
        <v>0</v>
      </c>
    </row>
    <row r="50" spans="1:30" x14ac:dyDescent="0.2">
      <c r="A50" s="174"/>
      <c r="B50" s="201" t="s">
        <v>904</v>
      </c>
      <c r="C50" s="201"/>
      <c r="D50" s="201"/>
      <c r="E50" s="202"/>
      <c r="F50" s="164"/>
      <c r="G50" s="175" t="s">
        <v>905</v>
      </c>
      <c r="H50" s="118"/>
      <c r="I50" s="33">
        <f t="shared" ref="I50:AB50" si="17">SUM(I45,I48)-I49</f>
        <v>0</v>
      </c>
      <c r="J50" s="33">
        <f t="shared" si="17"/>
        <v>0</v>
      </c>
      <c r="K50" s="33">
        <f t="shared" si="17"/>
        <v>0</v>
      </c>
      <c r="L50" s="33">
        <f t="shared" si="17"/>
        <v>0</v>
      </c>
      <c r="M50" s="33">
        <f t="shared" si="17"/>
        <v>0</v>
      </c>
      <c r="N50" s="33">
        <f t="shared" si="17"/>
        <v>0</v>
      </c>
      <c r="O50" s="33">
        <f t="shared" si="17"/>
        <v>0</v>
      </c>
      <c r="P50" s="33">
        <f t="shared" si="17"/>
        <v>0</v>
      </c>
      <c r="Q50" s="33">
        <f t="shared" si="17"/>
        <v>0</v>
      </c>
      <c r="R50" s="33">
        <f t="shared" si="17"/>
        <v>0</v>
      </c>
      <c r="S50" s="33">
        <f t="shared" si="17"/>
        <v>0</v>
      </c>
      <c r="T50" s="33">
        <f t="shared" si="17"/>
        <v>0</v>
      </c>
      <c r="U50" s="33">
        <f t="shared" si="17"/>
        <v>0</v>
      </c>
      <c r="V50" s="33">
        <f t="shared" si="17"/>
        <v>0</v>
      </c>
      <c r="W50" s="33">
        <f t="shared" si="17"/>
        <v>0</v>
      </c>
      <c r="X50" s="33">
        <f t="shared" si="17"/>
        <v>0</v>
      </c>
      <c r="Y50" s="33">
        <f t="shared" si="17"/>
        <v>0</v>
      </c>
      <c r="Z50" s="33">
        <f t="shared" si="17"/>
        <v>0</v>
      </c>
      <c r="AA50" s="33">
        <f t="shared" si="17"/>
        <v>0</v>
      </c>
      <c r="AB50" s="33">
        <f t="shared" si="17"/>
        <v>0</v>
      </c>
      <c r="AC50" s="33">
        <f t="shared" si="13"/>
        <v>0</v>
      </c>
      <c r="AD50" s="33">
        <f t="shared" si="13"/>
        <v>0</v>
      </c>
    </row>
    <row r="51" spans="1:30" x14ac:dyDescent="0.2">
      <c r="A51" s="166" t="s">
        <v>906</v>
      </c>
      <c r="B51" s="203" t="s">
        <v>907</v>
      </c>
      <c r="C51" s="203"/>
      <c r="D51" s="203"/>
      <c r="E51" s="204"/>
      <c r="F51" s="164"/>
      <c r="G51" s="175" t="s">
        <v>908</v>
      </c>
      <c r="H51" s="119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  <c r="AB51" s="188"/>
      <c r="AC51" s="33">
        <f t="shared" si="13"/>
        <v>0</v>
      </c>
      <c r="AD51" s="33">
        <f t="shared" si="13"/>
        <v>0</v>
      </c>
    </row>
    <row r="52" spans="1:30" x14ac:dyDescent="0.2">
      <c r="A52" s="166" t="s">
        <v>909</v>
      </c>
      <c r="B52" s="170" t="s">
        <v>910</v>
      </c>
      <c r="C52" s="170"/>
      <c r="D52" s="170"/>
      <c r="E52" s="163"/>
      <c r="F52" s="164"/>
      <c r="G52" s="171" t="s">
        <v>911</v>
      </c>
      <c r="H52" s="119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33">
        <f t="shared" si="13"/>
        <v>0</v>
      </c>
      <c r="AD52" s="33">
        <f t="shared" si="13"/>
        <v>0</v>
      </c>
    </row>
    <row r="53" spans="1:30" x14ac:dyDescent="0.2">
      <c r="A53" s="166"/>
      <c r="B53" s="173" t="s">
        <v>862</v>
      </c>
      <c r="C53" s="173"/>
      <c r="D53" s="170"/>
      <c r="E53" s="163"/>
      <c r="F53" s="164"/>
      <c r="G53" s="171" t="s">
        <v>912</v>
      </c>
      <c r="H53" s="119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8"/>
      <c r="U53" s="188"/>
      <c r="V53" s="188"/>
      <c r="W53" s="188"/>
      <c r="X53" s="188"/>
      <c r="Y53" s="188"/>
      <c r="Z53" s="188"/>
      <c r="AA53" s="188"/>
      <c r="AB53" s="188"/>
      <c r="AC53" s="33">
        <f t="shared" si="13"/>
        <v>0</v>
      </c>
      <c r="AD53" s="33">
        <f t="shared" si="13"/>
        <v>0</v>
      </c>
    </row>
    <row r="54" spans="1:30" x14ac:dyDescent="0.2">
      <c r="A54" s="166"/>
      <c r="B54" s="170" t="s">
        <v>913</v>
      </c>
      <c r="C54" s="170"/>
      <c r="D54" s="170"/>
      <c r="E54" s="163"/>
      <c r="F54" s="164"/>
      <c r="G54" s="171" t="s">
        <v>914</v>
      </c>
      <c r="H54" s="119"/>
      <c r="I54" s="33">
        <f t="shared" ref="I54:AB54" si="18">I52-I53</f>
        <v>0</v>
      </c>
      <c r="J54" s="33">
        <f t="shared" si="18"/>
        <v>0</v>
      </c>
      <c r="K54" s="33">
        <f t="shared" si="18"/>
        <v>0</v>
      </c>
      <c r="L54" s="33">
        <f t="shared" si="18"/>
        <v>0</v>
      </c>
      <c r="M54" s="33">
        <f t="shared" si="18"/>
        <v>0</v>
      </c>
      <c r="N54" s="33">
        <f t="shared" si="18"/>
        <v>0</v>
      </c>
      <c r="O54" s="33">
        <f t="shared" si="18"/>
        <v>0</v>
      </c>
      <c r="P54" s="33">
        <f t="shared" si="18"/>
        <v>0</v>
      </c>
      <c r="Q54" s="33">
        <f t="shared" si="18"/>
        <v>0</v>
      </c>
      <c r="R54" s="33">
        <f t="shared" si="18"/>
        <v>0</v>
      </c>
      <c r="S54" s="33">
        <f t="shared" si="18"/>
        <v>0</v>
      </c>
      <c r="T54" s="33">
        <f t="shared" si="18"/>
        <v>0</v>
      </c>
      <c r="U54" s="33">
        <f t="shared" si="18"/>
        <v>0</v>
      </c>
      <c r="V54" s="33">
        <f t="shared" si="18"/>
        <v>0</v>
      </c>
      <c r="W54" s="33">
        <f t="shared" si="18"/>
        <v>0</v>
      </c>
      <c r="X54" s="33">
        <f t="shared" si="18"/>
        <v>0</v>
      </c>
      <c r="Y54" s="33">
        <f t="shared" si="18"/>
        <v>0</v>
      </c>
      <c r="Z54" s="33">
        <f t="shared" si="18"/>
        <v>0</v>
      </c>
      <c r="AA54" s="33">
        <f t="shared" si="18"/>
        <v>0</v>
      </c>
      <c r="AB54" s="33">
        <f t="shared" si="18"/>
        <v>0</v>
      </c>
      <c r="AC54" s="33">
        <f t="shared" si="13"/>
        <v>0</v>
      </c>
      <c r="AD54" s="33">
        <f t="shared" si="13"/>
        <v>0</v>
      </c>
    </row>
    <row r="55" spans="1:30" x14ac:dyDescent="0.2">
      <c r="A55" s="166" t="s">
        <v>915</v>
      </c>
      <c r="B55" s="170" t="s">
        <v>916</v>
      </c>
      <c r="C55" s="170"/>
      <c r="D55" s="170"/>
      <c r="E55" s="163"/>
      <c r="F55" s="164"/>
      <c r="G55" s="171" t="s">
        <v>917</v>
      </c>
      <c r="H55" s="11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S55" s="188"/>
      <c r="T55" s="188"/>
      <c r="U55" s="188"/>
      <c r="V55" s="188"/>
      <c r="W55" s="188"/>
      <c r="X55" s="188"/>
      <c r="Y55" s="188"/>
      <c r="Z55" s="188"/>
      <c r="AA55" s="188"/>
      <c r="AB55" s="188"/>
      <c r="AC55" s="33">
        <f t="shared" si="13"/>
        <v>0</v>
      </c>
      <c r="AD55" s="33">
        <f t="shared" si="13"/>
        <v>0</v>
      </c>
    </row>
    <row r="56" spans="1:30" x14ac:dyDescent="0.2">
      <c r="A56" s="166"/>
      <c r="B56" s="173" t="s">
        <v>862</v>
      </c>
      <c r="C56" s="170"/>
      <c r="D56" s="170"/>
      <c r="E56" s="163"/>
      <c r="F56" s="164"/>
      <c r="G56" s="171" t="s">
        <v>918</v>
      </c>
      <c r="H56" s="11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33">
        <f t="shared" si="13"/>
        <v>0</v>
      </c>
      <c r="AD56" s="33">
        <f t="shared" si="13"/>
        <v>0</v>
      </c>
    </row>
    <row r="57" spans="1:30" x14ac:dyDescent="0.2">
      <c r="A57" s="166"/>
      <c r="B57" s="170" t="s">
        <v>919</v>
      </c>
      <c r="C57" s="170"/>
      <c r="D57" s="170"/>
      <c r="E57" s="163"/>
      <c r="F57" s="164"/>
      <c r="G57" s="171" t="s">
        <v>920</v>
      </c>
      <c r="H57" s="118"/>
      <c r="I57" s="33">
        <f t="shared" ref="I57:AB57" si="19">I55-I56</f>
        <v>0</v>
      </c>
      <c r="J57" s="33">
        <f t="shared" si="19"/>
        <v>0</v>
      </c>
      <c r="K57" s="33">
        <f t="shared" si="19"/>
        <v>0</v>
      </c>
      <c r="L57" s="33">
        <f t="shared" si="19"/>
        <v>0</v>
      </c>
      <c r="M57" s="33">
        <f t="shared" si="19"/>
        <v>0</v>
      </c>
      <c r="N57" s="33">
        <f t="shared" si="19"/>
        <v>0</v>
      </c>
      <c r="O57" s="33">
        <f t="shared" si="19"/>
        <v>0</v>
      </c>
      <c r="P57" s="33">
        <f t="shared" si="19"/>
        <v>0</v>
      </c>
      <c r="Q57" s="33">
        <f t="shared" si="19"/>
        <v>0</v>
      </c>
      <c r="R57" s="33">
        <f t="shared" si="19"/>
        <v>0</v>
      </c>
      <c r="S57" s="33">
        <f t="shared" si="19"/>
        <v>0</v>
      </c>
      <c r="T57" s="33">
        <f t="shared" si="19"/>
        <v>0</v>
      </c>
      <c r="U57" s="33">
        <f t="shared" si="19"/>
        <v>0</v>
      </c>
      <c r="V57" s="33">
        <f t="shared" si="19"/>
        <v>0</v>
      </c>
      <c r="W57" s="33">
        <f t="shared" si="19"/>
        <v>0</v>
      </c>
      <c r="X57" s="33">
        <f t="shared" si="19"/>
        <v>0</v>
      </c>
      <c r="Y57" s="33">
        <f t="shared" si="19"/>
        <v>0</v>
      </c>
      <c r="Z57" s="33">
        <f t="shared" si="19"/>
        <v>0</v>
      </c>
      <c r="AA57" s="33">
        <f t="shared" si="19"/>
        <v>0</v>
      </c>
      <c r="AB57" s="33">
        <f t="shared" si="19"/>
        <v>0</v>
      </c>
      <c r="AC57" s="33">
        <f t="shared" si="13"/>
        <v>0</v>
      </c>
      <c r="AD57" s="33">
        <f t="shared" si="13"/>
        <v>0</v>
      </c>
    </row>
    <row r="58" spans="1:30" x14ac:dyDescent="0.2">
      <c r="A58" s="166" t="s">
        <v>921</v>
      </c>
      <c r="B58" s="170" t="s">
        <v>922</v>
      </c>
      <c r="C58" s="170"/>
      <c r="D58" s="170"/>
      <c r="E58" s="163"/>
      <c r="F58" s="164"/>
      <c r="G58" s="171" t="s">
        <v>923</v>
      </c>
      <c r="H58" s="119"/>
      <c r="I58" s="188"/>
      <c r="J58" s="188"/>
      <c r="K58" s="188"/>
      <c r="L58" s="188"/>
      <c r="M58" s="188"/>
      <c r="N58" s="188"/>
      <c r="O58" s="188"/>
      <c r="P58" s="188"/>
      <c r="Q58" s="188"/>
      <c r="R58" s="188"/>
      <c r="S58" s="188"/>
      <c r="T58" s="188"/>
      <c r="U58" s="188"/>
      <c r="V58" s="188"/>
      <c r="W58" s="188"/>
      <c r="X58" s="188"/>
      <c r="Y58" s="188"/>
      <c r="Z58" s="188"/>
      <c r="AA58" s="188"/>
      <c r="AB58" s="188"/>
      <c r="AC58" s="33">
        <f t="shared" si="13"/>
        <v>0</v>
      </c>
      <c r="AD58" s="33">
        <f t="shared" si="13"/>
        <v>0</v>
      </c>
    </row>
    <row r="59" spans="1:30" x14ac:dyDescent="0.2">
      <c r="A59" s="166"/>
      <c r="B59" s="173" t="s">
        <v>924</v>
      </c>
      <c r="C59" s="170"/>
      <c r="D59" s="170"/>
      <c r="E59" s="163"/>
      <c r="F59" s="164"/>
      <c r="G59" s="171" t="s">
        <v>925</v>
      </c>
      <c r="H59" s="119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S59" s="188"/>
      <c r="T59" s="188"/>
      <c r="U59" s="188"/>
      <c r="V59" s="188"/>
      <c r="W59" s="188"/>
      <c r="X59" s="188"/>
      <c r="Y59" s="188"/>
      <c r="Z59" s="188"/>
      <c r="AA59" s="188"/>
      <c r="AB59" s="188"/>
      <c r="AC59" s="33">
        <f t="shared" si="13"/>
        <v>0</v>
      </c>
      <c r="AD59" s="33">
        <f t="shared" si="13"/>
        <v>0</v>
      </c>
    </row>
    <row r="60" spans="1:30" x14ac:dyDescent="0.2">
      <c r="A60" s="166"/>
      <c r="B60" s="173" t="s">
        <v>926</v>
      </c>
      <c r="C60" s="170"/>
      <c r="D60" s="170"/>
      <c r="E60" s="163"/>
      <c r="F60" s="164"/>
      <c r="G60" s="171" t="s">
        <v>927</v>
      </c>
      <c r="H60" s="119"/>
      <c r="I60" s="188"/>
      <c r="J60" s="188"/>
      <c r="K60" s="188"/>
      <c r="L60" s="188"/>
      <c r="M60" s="188"/>
      <c r="N60" s="188"/>
      <c r="O60" s="188"/>
      <c r="P60" s="188"/>
      <c r="Q60" s="188"/>
      <c r="R60" s="188"/>
      <c r="S60" s="188"/>
      <c r="T60" s="188"/>
      <c r="U60" s="188"/>
      <c r="V60" s="188"/>
      <c r="W60" s="188"/>
      <c r="X60" s="188"/>
      <c r="Y60" s="188"/>
      <c r="Z60" s="188"/>
      <c r="AA60" s="188"/>
      <c r="AB60" s="188"/>
      <c r="AC60" s="33">
        <f t="shared" si="13"/>
        <v>0</v>
      </c>
      <c r="AD60" s="33">
        <f t="shared" si="13"/>
        <v>0</v>
      </c>
    </row>
    <row r="61" spans="1:30" x14ac:dyDescent="0.2">
      <c r="A61" s="166"/>
      <c r="B61" s="170" t="s">
        <v>928</v>
      </c>
      <c r="C61" s="173"/>
      <c r="D61" s="173"/>
      <c r="E61" s="163"/>
      <c r="F61" s="164"/>
      <c r="G61" s="175" t="s">
        <v>929</v>
      </c>
      <c r="H61" s="119"/>
      <c r="I61" s="33">
        <f t="shared" ref="I61:AB61" si="20">I58-I59-I60</f>
        <v>0</v>
      </c>
      <c r="J61" s="33">
        <f t="shared" si="20"/>
        <v>0</v>
      </c>
      <c r="K61" s="33">
        <f t="shared" si="20"/>
        <v>0</v>
      </c>
      <c r="L61" s="33">
        <f t="shared" si="20"/>
        <v>0</v>
      </c>
      <c r="M61" s="33">
        <f t="shared" si="20"/>
        <v>0</v>
      </c>
      <c r="N61" s="33">
        <f t="shared" si="20"/>
        <v>0</v>
      </c>
      <c r="O61" s="33">
        <f t="shared" si="20"/>
        <v>0</v>
      </c>
      <c r="P61" s="33">
        <f t="shared" si="20"/>
        <v>0</v>
      </c>
      <c r="Q61" s="33">
        <f t="shared" si="20"/>
        <v>0</v>
      </c>
      <c r="R61" s="33">
        <f t="shared" si="20"/>
        <v>0</v>
      </c>
      <c r="S61" s="33">
        <f t="shared" si="20"/>
        <v>0</v>
      </c>
      <c r="T61" s="33">
        <f t="shared" si="20"/>
        <v>0</v>
      </c>
      <c r="U61" s="33">
        <f t="shared" si="20"/>
        <v>0</v>
      </c>
      <c r="V61" s="33">
        <f t="shared" si="20"/>
        <v>0</v>
      </c>
      <c r="W61" s="33">
        <f t="shared" si="20"/>
        <v>0</v>
      </c>
      <c r="X61" s="33">
        <f t="shared" si="20"/>
        <v>0</v>
      </c>
      <c r="Y61" s="33">
        <f t="shared" si="20"/>
        <v>0</v>
      </c>
      <c r="Z61" s="33">
        <f t="shared" si="20"/>
        <v>0</v>
      </c>
      <c r="AA61" s="33">
        <f t="shared" si="20"/>
        <v>0</v>
      </c>
      <c r="AB61" s="33">
        <f t="shared" si="20"/>
        <v>0</v>
      </c>
      <c r="AC61" s="33">
        <f t="shared" si="13"/>
        <v>0</v>
      </c>
      <c r="AD61" s="33">
        <f t="shared" si="13"/>
        <v>0</v>
      </c>
    </row>
    <row r="62" spans="1:30" x14ac:dyDescent="0.2">
      <c r="A62" s="166" t="s">
        <v>930</v>
      </c>
      <c r="B62" s="170" t="s">
        <v>931</v>
      </c>
      <c r="C62" s="170"/>
      <c r="D62" s="170"/>
      <c r="E62" s="163"/>
      <c r="F62" s="164"/>
      <c r="G62" s="171" t="s">
        <v>932</v>
      </c>
      <c r="H62" s="119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33">
        <f t="shared" si="13"/>
        <v>0</v>
      </c>
      <c r="AD62" s="33">
        <f t="shared" si="13"/>
        <v>0</v>
      </c>
    </row>
    <row r="63" spans="1:30" x14ac:dyDescent="0.2">
      <c r="A63" s="166"/>
      <c r="B63" s="173" t="s">
        <v>924</v>
      </c>
      <c r="C63" s="170"/>
      <c r="D63" s="170"/>
      <c r="E63" s="163"/>
      <c r="F63" s="164"/>
      <c r="G63" s="171" t="s">
        <v>933</v>
      </c>
      <c r="H63" s="119"/>
      <c r="I63" s="188"/>
      <c r="J63" s="188"/>
      <c r="K63" s="188"/>
      <c r="L63" s="188"/>
      <c r="M63" s="188"/>
      <c r="N63" s="188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8"/>
      <c r="AB63" s="188"/>
      <c r="AC63" s="33">
        <f t="shared" si="13"/>
        <v>0</v>
      </c>
      <c r="AD63" s="33">
        <f t="shared" si="13"/>
        <v>0</v>
      </c>
    </row>
    <row r="64" spans="1:30" x14ac:dyDescent="0.2">
      <c r="A64" s="174"/>
      <c r="B64" s="173" t="s">
        <v>926</v>
      </c>
      <c r="C64" s="173"/>
      <c r="D64" s="170"/>
      <c r="E64" s="163"/>
      <c r="F64" s="164"/>
      <c r="G64" s="171" t="s">
        <v>934</v>
      </c>
      <c r="H64" s="119"/>
      <c r="I64" s="188"/>
      <c r="J64" s="188"/>
      <c r="K64" s="188"/>
      <c r="L64" s="188"/>
      <c r="M64" s="188"/>
      <c r="N64" s="188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33">
        <f t="shared" si="13"/>
        <v>0</v>
      </c>
      <c r="AD64" s="33">
        <f t="shared" si="13"/>
        <v>0</v>
      </c>
    </row>
    <row r="65" spans="1:30" x14ac:dyDescent="0.2">
      <c r="A65" s="174"/>
      <c r="B65" s="170" t="s">
        <v>935</v>
      </c>
      <c r="C65" s="173"/>
      <c r="D65" s="173"/>
      <c r="E65" s="163"/>
      <c r="F65" s="164"/>
      <c r="G65" s="175" t="s">
        <v>936</v>
      </c>
      <c r="H65" s="119"/>
      <c r="I65" s="33">
        <f t="shared" ref="I65:AB65" si="21">I62-I63-I64</f>
        <v>0</v>
      </c>
      <c r="J65" s="33">
        <f t="shared" si="21"/>
        <v>0</v>
      </c>
      <c r="K65" s="33">
        <f t="shared" si="21"/>
        <v>0</v>
      </c>
      <c r="L65" s="33">
        <f t="shared" si="21"/>
        <v>0</v>
      </c>
      <c r="M65" s="33">
        <f t="shared" si="21"/>
        <v>0</v>
      </c>
      <c r="N65" s="33">
        <f t="shared" si="21"/>
        <v>0</v>
      </c>
      <c r="O65" s="33">
        <f t="shared" si="21"/>
        <v>0</v>
      </c>
      <c r="P65" s="33">
        <f t="shared" si="21"/>
        <v>0</v>
      </c>
      <c r="Q65" s="33">
        <f t="shared" si="21"/>
        <v>0</v>
      </c>
      <c r="R65" s="33">
        <f t="shared" si="21"/>
        <v>0</v>
      </c>
      <c r="S65" s="33">
        <f t="shared" si="21"/>
        <v>0</v>
      </c>
      <c r="T65" s="33">
        <f t="shared" si="21"/>
        <v>0</v>
      </c>
      <c r="U65" s="33">
        <f t="shared" si="21"/>
        <v>0</v>
      </c>
      <c r="V65" s="33">
        <f t="shared" si="21"/>
        <v>0</v>
      </c>
      <c r="W65" s="33">
        <f t="shared" si="21"/>
        <v>0</v>
      </c>
      <c r="X65" s="33">
        <f t="shared" si="21"/>
        <v>0</v>
      </c>
      <c r="Y65" s="33">
        <f t="shared" si="21"/>
        <v>0</v>
      </c>
      <c r="Z65" s="33">
        <f t="shared" si="21"/>
        <v>0</v>
      </c>
      <c r="AA65" s="33">
        <f t="shared" si="21"/>
        <v>0</v>
      </c>
      <c r="AB65" s="33">
        <f t="shared" si="21"/>
        <v>0</v>
      </c>
      <c r="AC65" s="33">
        <f t="shared" si="13"/>
        <v>0</v>
      </c>
      <c r="AD65" s="33">
        <f t="shared" si="13"/>
        <v>0</v>
      </c>
    </row>
    <row r="66" spans="1:30" x14ac:dyDescent="0.2">
      <c r="A66" s="166" t="s">
        <v>937</v>
      </c>
      <c r="B66" s="170" t="s">
        <v>938</v>
      </c>
      <c r="C66" s="170"/>
      <c r="D66" s="170"/>
      <c r="E66" s="163"/>
      <c r="F66" s="164"/>
      <c r="G66" s="171" t="s">
        <v>939</v>
      </c>
      <c r="H66" s="118"/>
      <c r="I66" s="188"/>
      <c r="J66" s="188"/>
      <c r="K66" s="188"/>
      <c r="L66" s="188"/>
      <c r="M66" s="188"/>
      <c r="N66" s="188"/>
      <c r="O66" s="188"/>
      <c r="P66" s="188"/>
      <c r="Q66" s="188"/>
      <c r="R66" s="188"/>
      <c r="S66" s="188"/>
      <c r="T66" s="188"/>
      <c r="U66" s="188"/>
      <c r="V66" s="188"/>
      <c r="W66" s="188"/>
      <c r="X66" s="188"/>
      <c r="Y66" s="188"/>
      <c r="Z66" s="188"/>
      <c r="AA66" s="188"/>
      <c r="AB66" s="188"/>
      <c r="AC66" s="33">
        <f t="shared" si="13"/>
        <v>0</v>
      </c>
      <c r="AD66" s="33">
        <f t="shared" si="13"/>
        <v>0</v>
      </c>
    </row>
    <row r="67" spans="1:30" x14ac:dyDescent="0.2">
      <c r="A67" s="166"/>
      <c r="B67" s="173" t="s">
        <v>926</v>
      </c>
      <c r="C67" s="170"/>
      <c r="D67" s="170"/>
      <c r="E67" s="163"/>
      <c r="F67" s="164"/>
      <c r="G67" s="171" t="s">
        <v>940</v>
      </c>
      <c r="H67" s="11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188"/>
      <c r="AA67" s="188"/>
      <c r="AB67" s="188"/>
      <c r="AC67" s="33">
        <f t="shared" si="13"/>
        <v>0</v>
      </c>
      <c r="AD67" s="33">
        <f t="shared" si="13"/>
        <v>0</v>
      </c>
    </row>
    <row r="68" spans="1:30" x14ac:dyDescent="0.2">
      <c r="A68" s="166"/>
      <c r="B68" s="170" t="s">
        <v>941</v>
      </c>
      <c r="C68" s="170"/>
      <c r="D68" s="170"/>
      <c r="E68" s="163"/>
      <c r="F68" s="164"/>
      <c r="G68" s="171" t="s">
        <v>942</v>
      </c>
      <c r="H68" s="118"/>
      <c r="I68" s="33">
        <f t="shared" ref="I68:AB68" si="22">I66-I67</f>
        <v>0</v>
      </c>
      <c r="J68" s="33">
        <f t="shared" si="22"/>
        <v>0</v>
      </c>
      <c r="K68" s="33">
        <f t="shared" si="22"/>
        <v>0</v>
      </c>
      <c r="L68" s="33">
        <f t="shared" si="22"/>
        <v>0</v>
      </c>
      <c r="M68" s="33">
        <f t="shared" si="22"/>
        <v>0</v>
      </c>
      <c r="N68" s="33">
        <f t="shared" si="22"/>
        <v>0</v>
      </c>
      <c r="O68" s="33">
        <f t="shared" si="22"/>
        <v>0</v>
      </c>
      <c r="P68" s="33">
        <f t="shared" si="22"/>
        <v>0</v>
      </c>
      <c r="Q68" s="33">
        <f t="shared" si="22"/>
        <v>0</v>
      </c>
      <c r="R68" s="33">
        <f t="shared" si="22"/>
        <v>0</v>
      </c>
      <c r="S68" s="33">
        <f t="shared" si="22"/>
        <v>0</v>
      </c>
      <c r="T68" s="33">
        <f t="shared" si="22"/>
        <v>0</v>
      </c>
      <c r="U68" s="33">
        <f t="shared" si="22"/>
        <v>0</v>
      </c>
      <c r="V68" s="33">
        <f t="shared" si="22"/>
        <v>0</v>
      </c>
      <c r="W68" s="33">
        <f t="shared" si="22"/>
        <v>0</v>
      </c>
      <c r="X68" s="33">
        <f t="shared" si="22"/>
        <v>0</v>
      </c>
      <c r="Y68" s="33">
        <f t="shared" si="22"/>
        <v>0</v>
      </c>
      <c r="Z68" s="33">
        <f t="shared" si="22"/>
        <v>0</v>
      </c>
      <c r="AA68" s="33">
        <f t="shared" si="22"/>
        <v>0</v>
      </c>
      <c r="AB68" s="33">
        <f t="shared" si="22"/>
        <v>0</v>
      </c>
      <c r="AC68" s="33">
        <f t="shared" si="13"/>
        <v>0</v>
      </c>
      <c r="AD68" s="33">
        <f t="shared" si="13"/>
        <v>0</v>
      </c>
    </row>
    <row r="69" spans="1:30" x14ac:dyDescent="0.2">
      <c r="A69" s="177" t="s">
        <v>943</v>
      </c>
      <c r="B69" s="173"/>
      <c r="C69" s="173"/>
      <c r="D69" s="173"/>
      <c r="E69" s="163"/>
      <c r="F69" s="164"/>
      <c r="G69" s="171" t="s">
        <v>944</v>
      </c>
      <c r="H69" s="118"/>
      <c r="I69" s="33">
        <f t="shared" ref="I69:AB69" si="23">SUM(I9,I10,I13,I14,I27,I32,I37,I40,I50,I51,I54,I57,I61,I65,I68)</f>
        <v>0</v>
      </c>
      <c r="J69" s="33">
        <f t="shared" si="23"/>
        <v>0</v>
      </c>
      <c r="K69" s="33">
        <f t="shared" si="23"/>
        <v>0</v>
      </c>
      <c r="L69" s="33">
        <f t="shared" si="23"/>
        <v>0</v>
      </c>
      <c r="M69" s="33">
        <f t="shared" si="23"/>
        <v>0</v>
      </c>
      <c r="N69" s="33">
        <f t="shared" si="23"/>
        <v>0</v>
      </c>
      <c r="O69" s="33">
        <f t="shared" si="23"/>
        <v>0</v>
      </c>
      <c r="P69" s="33">
        <f t="shared" si="23"/>
        <v>0</v>
      </c>
      <c r="Q69" s="33">
        <f t="shared" si="23"/>
        <v>0</v>
      </c>
      <c r="R69" s="33">
        <f t="shared" si="23"/>
        <v>0</v>
      </c>
      <c r="S69" s="33">
        <f t="shared" si="23"/>
        <v>0</v>
      </c>
      <c r="T69" s="33">
        <f t="shared" si="23"/>
        <v>0</v>
      </c>
      <c r="U69" s="33">
        <f t="shared" si="23"/>
        <v>0</v>
      </c>
      <c r="V69" s="33">
        <f t="shared" si="23"/>
        <v>0</v>
      </c>
      <c r="W69" s="33">
        <f t="shared" si="23"/>
        <v>0</v>
      </c>
      <c r="X69" s="33">
        <f t="shared" si="23"/>
        <v>0</v>
      </c>
      <c r="Y69" s="33">
        <f t="shared" si="23"/>
        <v>0</v>
      </c>
      <c r="Z69" s="33">
        <f t="shared" si="23"/>
        <v>0</v>
      </c>
      <c r="AA69" s="33">
        <f t="shared" si="23"/>
        <v>0</v>
      </c>
      <c r="AB69" s="33">
        <f t="shared" si="23"/>
        <v>0</v>
      </c>
      <c r="AC69" s="33">
        <f t="shared" si="13"/>
        <v>0</v>
      </c>
      <c r="AD69" s="33">
        <f t="shared" si="13"/>
        <v>0</v>
      </c>
    </row>
    <row r="70" spans="1:30" x14ac:dyDescent="0.2">
      <c r="A70" s="177" t="s">
        <v>945</v>
      </c>
      <c r="B70" s="170"/>
      <c r="C70" s="170"/>
      <c r="D70" s="170"/>
      <c r="E70" s="163"/>
      <c r="F70" s="164"/>
      <c r="G70" s="165"/>
      <c r="H70" s="118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</row>
    <row r="71" spans="1:30" x14ac:dyDescent="0.2">
      <c r="A71" s="166" t="s">
        <v>8</v>
      </c>
      <c r="B71" s="170" t="s">
        <v>946</v>
      </c>
      <c r="C71" s="170"/>
      <c r="D71" s="170"/>
      <c r="E71" s="163"/>
      <c r="F71" s="164"/>
      <c r="G71" s="171" t="s">
        <v>947</v>
      </c>
      <c r="H71" s="118"/>
      <c r="I71" s="188"/>
      <c r="J71" s="188"/>
      <c r="K71" s="188"/>
      <c r="L71" s="188"/>
      <c r="M71" s="188"/>
      <c r="N71" s="188"/>
      <c r="O71" s="188"/>
      <c r="P71" s="188"/>
      <c r="Q71" s="188"/>
      <c r="R71" s="188"/>
      <c r="S71" s="188"/>
      <c r="T71" s="188"/>
      <c r="U71" s="188"/>
      <c r="V71" s="188"/>
      <c r="W71" s="188"/>
      <c r="X71" s="188"/>
      <c r="Y71" s="188"/>
      <c r="Z71" s="188"/>
      <c r="AA71" s="188"/>
      <c r="AB71" s="188"/>
      <c r="AC71" s="33">
        <f t="shared" ref="AC71:AD76" si="24">I71+K71+M71+O71+Q71+S71+U71+W71+Y71+AA71</f>
        <v>0</v>
      </c>
      <c r="AD71" s="33">
        <f t="shared" si="24"/>
        <v>0</v>
      </c>
    </row>
    <row r="72" spans="1:30" x14ac:dyDescent="0.2">
      <c r="A72" s="166" t="s">
        <v>10</v>
      </c>
      <c r="B72" s="170" t="s">
        <v>948</v>
      </c>
      <c r="C72" s="170"/>
      <c r="D72" s="170"/>
      <c r="E72" s="163"/>
      <c r="F72" s="164"/>
      <c r="G72" s="171" t="s">
        <v>949</v>
      </c>
      <c r="H72" s="118"/>
      <c r="I72" s="188"/>
      <c r="J72" s="188"/>
      <c r="K72" s="188"/>
      <c r="L72" s="188"/>
      <c r="M72" s="188"/>
      <c r="N72" s="188"/>
      <c r="O72" s="188"/>
      <c r="P72" s="188"/>
      <c r="Q72" s="188"/>
      <c r="R72" s="188"/>
      <c r="S72" s="188"/>
      <c r="T72" s="188"/>
      <c r="U72" s="188"/>
      <c r="V72" s="188"/>
      <c r="W72" s="188"/>
      <c r="X72" s="188"/>
      <c r="Y72" s="188"/>
      <c r="Z72" s="188"/>
      <c r="AA72" s="188"/>
      <c r="AB72" s="188"/>
      <c r="AC72" s="33">
        <f t="shared" si="24"/>
        <v>0</v>
      </c>
      <c r="AD72" s="33">
        <f t="shared" si="24"/>
        <v>0</v>
      </c>
    </row>
    <row r="73" spans="1:30" x14ac:dyDescent="0.2">
      <c r="A73" s="166" t="s">
        <v>16</v>
      </c>
      <c r="B73" s="170" t="s">
        <v>950</v>
      </c>
      <c r="C73" s="170"/>
      <c r="D73" s="170"/>
      <c r="E73" s="163"/>
      <c r="F73" s="164"/>
      <c r="G73" s="171" t="s">
        <v>951</v>
      </c>
      <c r="H73" s="119"/>
      <c r="I73" s="33">
        <f t="shared" ref="I73:AB73" si="25">SUM(I74:I75)</f>
        <v>0</v>
      </c>
      <c r="J73" s="33">
        <f t="shared" si="25"/>
        <v>0</v>
      </c>
      <c r="K73" s="33">
        <f t="shared" si="25"/>
        <v>0</v>
      </c>
      <c r="L73" s="33">
        <f t="shared" si="25"/>
        <v>0</v>
      </c>
      <c r="M73" s="33">
        <f t="shared" si="25"/>
        <v>0</v>
      </c>
      <c r="N73" s="33">
        <f t="shared" si="25"/>
        <v>0</v>
      </c>
      <c r="O73" s="33">
        <f t="shared" si="25"/>
        <v>0</v>
      </c>
      <c r="P73" s="33">
        <f t="shared" si="25"/>
        <v>0</v>
      </c>
      <c r="Q73" s="33">
        <f t="shared" si="25"/>
        <v>0</v>
      </c>
      <c r="R73" s="33">
        <f t="shared" si="25"/>
        <v>0</v>
      </c>
      <c r="S73" s="33">
        <f t="shared" si="25"/>
        <v>0</v>
      </c>
      <c r="T73" s="33">
        <f t="shared" si="25"/>
        <v>0</v>
      </c>
      <c r="U73" s="33">
        <f t="shared" si="25"/>
        <v>0</v>
      </c>
      <c r="V73" s="33">
        <f t="shared" si="25"/>
        <v>0</v>
      </c>
      <c r="W73" s="33">
        <f t="shared" si="25"/>
        <v>0</v>
      </c>
      <c r="X73" s="33">
        <f t="shared" si="25"/>
        <v>0</v>
      </c>
      <c r="Y73" s="33">
        <f t="shared" si="25"/>
        <v>0</v>
      </c>
      <c r="Z73" s="33">
        <f t="shared" si="25"/>
        <v>0</v>
      </c>
      <c r="AA73" s="33">
        <f t="shared" si="25"/>
        <v>0</v>
      </c>
      <c r="AB73" s="33">
        <f t="shared" si="25"/>
        <v>0</v>
      </c>
      <c r="AC73" s="33">
        <f t="shared" si="24"/>
        <v>0</v>
      </c>
      <c r="AD73" s="33">
        <f t="shared" si="24"/>
        <v>0</v>
      </c>
    </row>
    <row r="74" spans="1:30" x14ac:dyDescent="0.2">
      <c r="A74" s="166"/>
      <c r="B74" s="172" t="s">
        <v>12</v>
      </c>
      <c r="C74" s="170" t="s">
        <v>952</v>
      </c>
      <c r="D74" s="170"/>
      <c r="E74" s="163"/>
      <c r="F74" s="164"/>
      <c r="G74" s="171" t="s">
        <v>953</v>
      </c>
      <c r="H74" s="119"/>
      <c r="I74" s="188"/>
      <c r="J74" s="188"/>
      <c r="K74" s="188"/>
      <c r="L74" s="188"/>
      <c r="M74" s="188"/>
      <c r="N74" s="188"/>
      <c r="O74" s="188"/>
      <c r="P74" s="188"/>
      <c r="Q74" s="188"/>
      <c r="R74" s="188"/>
      <c r="S74" s="188"/>
      <c r="T74" s="188"/>
      <c r="U74" s="188"/>
      <c r="V74" s="188"/>
      <c r="W74" s="188"/>
      <c r="X74" s="188"/>
      <c r="Y74" s="188"/>
      <c r="Z74" s="188"/>
      <c r="AA74" s="188"/>
      <c r="AB74" s="188"/>
      <c r="AC74" s="33">
        <f t="shared" si="24"/>
        <v>0</v>
      </c>
      <c r="AD74" s="33">
        <f t="shared" si="24"/>
        <v>0</v>
      </c>
    </row>
    <row r="75" spans="1:30" x14ac:dyDescent="0.2">
      <c r="A75" s="166"/>
      <c r="B75" s="172" t="s">
        <v>14</v>
      </c>
      <c r="C75" s="170" t="s">
        <v>954</v>
      </c>
      <c r="D75" s="170"/>
      <c r="E75" s="163"/>
      <c r="F75" s="164"/>
      <c r="G75" s="171" t="s">
        <v>955</v>
      </c>
      <c r="H75" s="119"/>
      <c r="I75" s="188"/>
      <c r="J75" s="188"/>
      <c r="K75" s="188"/>
      <c r="L75" s="188"/>
      <c r="M75" s="188"/>
      <c r="N75" s="188"/>
      <c r="O75" s="188"/>
      <c r="P75" s="188"/>
      <c r="Q75" s="188"/>
      <c r="R75" s="188"/>
      <c r="S75" s="188"/>
      <c r="T75" s="188"/>
      <c r="U75" s="188"/>
      <c r="V75" s="188"/>
      <c r="W75" s="188"/>
      <c r="X75" s="188"/>
      <c r="Y75" s="188"/>
      <c r="Z75" s="188"/>
      <c r="AA75" s="188"/>
      <c r="AB75" s="188"/>
      <c r="AC75" s="33">
        <f t="shared" si="24"/>
        <v>0</v>
      </c>
      <c r="AD75" s="33">
        <f t="shared" si="24"/>
        <v>0</v>
      </c>
    </row>
    <row r="76" spans="1:30" x14ac:dyDescent="0.2">
      <c r="A76" s="166"/>
      <c r="B76" s="170" t="s">
        <v>956</v>
      </c>
      <c r="C76" s="170"/>
      <c r="D76" s="170"/>
      <c r="E76" s="163"/>
      <c r="F76" s="164"/>
      <c r="G76" s="171" t="s">
        <v>957</v>
      </c>
      <c r="H76" s="118"/>
      <c r="I76" s="33">
        <f t="shared" ref="I76:AB76" si="26">SUM(I71:I73)</f>
        <v>0</v>
      </c>
      <c r="J76" s="33">
        <f t="shared" si="26"/>
        <v>0</v>
      </c>
      <c r="K76" s="33">
        <f t="shared" si="26"/>
        <v>0</v>
      </c>
      <c r="L76" s="33">
        <f t="shared" si="26"/>
        <v>0</v>
      </c>
      <c r="M76" s="33">
        <f t="shared" si="26"/>
        <v>0</v>
      </c>
      <c r="N76" s="33">
        <f t="shared" si="26"/>
        <v>0</v>
      </c>
      <c r="O76" s="33">
        <f t="shared" si="26"/>
        <v>0</v>
      </c>
      <c r="P76" s="33">
        <f t="shared" si="26"/>
        <v>0</v>
      </c>
      <c r="Q76" s="33">
        <f t="shared" si="26"/>
        <v>0</v>
      </c>
      <c r="R76" s="33">
        <f t="shared" si="26"/>
        <v>0</v>
      </c>
      <c r="S76" s="33">
        <f t="shared" si="26"/>
        <v>0</v>
      </c>
      <c r="T76" s="33">
        <f t="shared" si="26"/>
        <v>0</v>
      </c>
      <c r="U76" s="33">
        <f t="shared" si="26"/>
        <v>0</v>
      </c>
      <c r="V76" s="33">
        <f t="shared" si="26"/>
        <v>0</v>
      </c>
      <c r="W76" s="33">
        <f t="shared" si="26"/>
        <v>0</v>
      </c>
      <c r="X76" s="33">
        <f t="shared" si="26"/>
        <v>0</v>
      </c>
      <c r="Y76" s="33">
        <f t="shared" si="26"/>
        <v>0</v>
      </c>
      <c r="Z76" s="33">
        <f t="shared" si="26"/>
        <v>0</v>
      </c>
      <c r="AA76" s="33">
        <f t="shared" si="26"/>
        <v>0</v>
      </c>
      <c r="AB76" s="33">
        <f t="shared" si="26"/>
        <v>0</v>
      </c>
      <c r="AC76" s="33">
        <f t="shared" si="24"/>
        <v>0</v>
      </c>
      <c r="AD76" s="33">
        <f t="shared" si="24"/>
        <v>0</v>
      </c>
    </row>
    <row r="77" spans="1:30" x14ac:dyDescent="0.2">
      <c r="A77" s="174" t="s">
        <v>958</v>
      </c>
      <c r="B77" s="170"/>
      <c r="C77" s="170"/>
      <c r="D77" s="170"/>
      <c r="E77" s="163"/>
      <c r="F77" s="164"/>
      <c r="G77" s="165"/>
      <c r="H77" s="118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</row>
    <row r="78" spans="1:30" x14ac:dyDescent="0.2">
      <c r="A78" s="166" t="s">
        <v>18</v>
      </c>
      <c r="B78" s="170" t="s">
        <v>959</v>
      </c>
      <c r="C78" s="170"/>
      <c r="D78" s="170"/>
      <c r="E78" s="163"/>
      <c r="F78" s="164"/>
      <c r="G78" s="171" t="s">
        <v>960</v>
      </c>
      <c r="H78" s="118"/>
      <c r="I78" s="188"/>
      <c r="J78" s="188"/>
      <c r="K78" s="188"/>
      <c r="L78" s="188"/>
      <c r="M78" s="188"/>
      <c r="N78" s="188"/>
      <c r="O78" s="188"/>
      <c r="P78" s="188"/>
      <c r="Q78" s="188"/>
      <c r="R78" s="188"/>
      <c r="S78" s="188"/>
      <c r="T78" s="188"/>
      <c r="U78" s="188"/>
      <c r="V78" s="188"/>
      <c r="W78" s="188"/>
      <c r="X78" s="188"/>
      <c r="Y78" s="188"/>
      <c r="Z78" s="188"/>
      <c r="AA78" s="188"/>
      <c r="AB78" s="188"/>
      <c r="AC78" s="33">
        <f t="shared" ref="AC78:AD85" si="27">I78+K78+M78+O78+Q78+S78+U78+W78+Y78+AA78</f>
        <v>0</v>
      </c>
      <c r="AD78" s="33">
        <f t="shared" si="27"/>
        <v>0</v>
      </c>
    </row>
    <row r="79" spans="1:30" x14ac:dyDescent="0.2">
      <c r="A79" s="166" t="s">
        <v>28</v>
      </c>
      <c r="B79" s="170" t="s">
        <v>961</v>
      </c>
      <c r="C79" s="170"/>
      <c r="D79" s="170"/>
      <c r="E79" s="163"/>
      <c r="F79" s="164"/>
      <c r="G79" s="171" t="s">
        <v>962</v>
      </c>
      <c r="H79" s="119"/>
      <c r="I79" s="188"/>
      <c r="J79" s="188"/>
      <c r="K79" s="188"/>
      <c r="L79" s="188"/>
      <c r="M79" s="188"/>
      <c r="N79" s="188"/>
      <c r="O79" s="188"/>
      <c r="P79" s="188"/>
      <c r="Q79" s="188"/>
      <c r="R79" s="188"/>
      <c r="S79" s="188"/>
      <c r="T79" s="188"/>
      <c r="U79" s="188"/>
      <c r="V79" s="188"/>
      <c r="W79" s="188"/>
      <c r="X79" s="188"/>
      <c r="Y79" s="188"/>
      <c r="Z79" s="188"/>
      <c r="AA79" s="188"/>
      <c r="AB79" s="188"/>
      <c r="AC79" s="33">
        <f t="shared" si="27"/>
        <v>0</v>
      </c>
      <c r="AD79" s="33">
        <f t="shared" si="27"/>
        <v>0</v>
      </c>
    </row>
    <row r="80" spans="1:30" x14ac:dyDescent="0.2">
      <c r="A80" s="166" t="s">
        <v>31</v>
      </c>
      <c r="B80" s="170" t="s">
        <v>963</v>
      </c>
      <c r="C80" s="170"/>
      <c r="D80" s="170"/>
      <c r="E80" s="163"/>
      <c r="F80" s="164"/>
      <c r="G80" s="171" t="s">
        <v>964</v>
      </c>
      <c r="H80" s="118"/>
      <c r="I80" s="188"/>
      <c r="J80" s="188"/>
      <c r="K80" s="188"/>
      <c r="L80" s="188"/>
      <c r="M80" s="188"/>
      <c r="N80" s="188"/>
      <c r="O80" s="188"/>
      <c r="P80" s="188"/>
      <c r="Q80" s="188"/>
      <c r="R80" s="188"/>
      <c r="S80" s="188"/>
      <c r="T80" s="188"/>
      <c r="U80" s="188"/>
      <c r="V80" s="188"/>
      <c r="W80" s="188"/>
      <c r="X80" s="188"/>
      <c r="Y80" s="188"/>
      <c r="Z80" s="188"/>
      <c r="AA80" s="188"/>
      <c r="AB80" s="188"/>
      <c r="AC80" s="33">
        <f t="shared" si="27"/>
        <v>0</v>
      </c>
      <c r="AD80" s="33">
        <f t="shared" si="27"/>
        <v>0</v>
      </c>
    </row>
    <row r="81" spans="1:30" x14ac:dyDescent="0.2">
      <c r="A81" s="166" t="s">
        <v>38</v>
      </c>
      <c r="B81" s="167" t="s">
        <v>965</v>
      </c>
      <c r="C81" s="167"/>
      <c r="D81" s="170"/>
      <c r="E81" s="163"/>
      <c r="F81" s="164"/>
      <c r="G81" s="171" t="s">
        <v>966</v>
      </c>
      <c r="H81" s="11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188"/>
      <c r="AA81" s="188"/>
      <c r="AB81" s="188"/>
      <c r="AC81" s="33">
        <f t="shared" si="27"/>
        <v>0</v>
      </c>
      <c r="AD81" s="33">
        <f t="shared" si="27"/>
        <v>0</v>
      </c>
    </row>
    <row r="82" spans="1:30" x14ac:dyDescent="0.2">
      <c r="A82" s="166" t="s">
        <v>42</v>
      </c>
      <c r="B82" s="170" t="s">
        <v>967</v>
      </c>
      <c r="C82" s="170"/>
      <c r="D82" s="170"/>
      <c r="E82" s="163"/>
      <c r="F82" s="164"/>
      <c r="G82" s="171" t="s">
        <v>968</v>
      </c>
      <c r="H82" s="11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188"/>
      <c r="U82" s="188"/>
      <c r="V82" s="188"/>
      <c r="W82" s="188"/>
      <c r="X82" s="188"/>
      <c r="Y82" s="188"/>
      <c r="Z82" s="188"/>
      <c r="AA82" s="188"/>
      <c r="AB82" s="188"/>
      <c r="AC82" s="33">
        <f t="shared" si="27"/>
        <v>0</v>
      </c>
      <c r="AD82" s="33">
        <f t="shared" si="27"/>
        <v>0</v>
      </c>
    </row>
    <row r="83" spans="1:30" x14ac:dyDescent="0.2">
      <c r="A83" s="166" t="s">
        <v>44</v>
      </c>
      <c r="B83" s="170" t="s">
        <v>969</v>
      </c>
      <c r="C83" s="170"/>
      <c r="D83" s="170"/>
      <c r="E83" s="163"/>
      <c r="F83" s="164"/>
      <c r="G83" s="171" t="s">
        <v>970</v>
      </c>
      <c r="H83" s="118"/>
      <c r="I83" s="188"/>
      <c r="J83" s="188"/>
      <c r="K83" s="188"/>
      <c r="L83" s="188"/>
      <c r="M83" s="188"/>
      <c r="N83" s="188"/>
      <c r="O83" s="188"/>
      <c r="P83" s="188"/>
      <c r="Q83" s="188"/>
      <c r="R83" s="188"/>
      <c r="S83" s="188"/>
      <c r="T83" s="188"/>
      <c r="U83" s="188"/>
      <c r="V83" s="188"/>
      <c r="W83" s="188"/>
      <c r="X83" s="188"/>
      <c r="Y83" s="188"/>
      <c r="Z83" s="188"/>
      <c r="AA83" s="188"/>
      <c r="AB83" s="188"/>
      <c r="AC83" s="33">
        <f t="shared" si="27"/>
        <v>0</v>
      </c>
      <c r="AD83" s="33">
        <f t="shared" si="27"/>
        <v>0</v>
      </c>
    </row>
    <row r="84" spans="1:30" x14ac:dyDescent="0.2">
      <c r="A84" s="166" t="s">
        <v>896</v>
      </c>
      <c r="B84" s="170" t="s">
        <v>971</v>
      </c>
      <c r="C84" s="170"/>
      <c r="D84" s="170"/>
      <c r="E84" s="163"/>
      <c r="F84" s="164"/>
      <c r="G84" s="171" t="s">
        <v>972</v>
      </c>
      <c r="H84" s="118"/>
      <c r="I84" s="188"/>
      <c r="J84" s="188"/>
      <c r="K84" s="188"/>
      <c r="L84" s="188"/>
      <c r="M84" s="188"/>
      <c r="N84" s="188"/>
      <c r="O84" s="188"/>
      <c r="P84" s="188"/>
      <c r="Q84" s="188"/>
      <c r="R84" s="188"/>
      <c r="S84" s="188"/>
      <c r="T84" s="188"/>
      <c r="U84" s="188"/>
      <c r="V84" s="188"/>
      <c r="W84" s="188"/>
      <c r="X84" s="188"/>
      <c r="Y84" s="188"/>
      <c r="Z84" s="188"/>
      <c r="AA84" s="188"/>
      <c r="AB84" s="188"/>
      <c r="AC84" s="33">
        <f t="shared" si="27"/>
        <v>0</v>
      </c>
      <c r="AD84" s="33">
        <f t="shared" si="27"/>
        <v>0</v>
      </c>
    </row>
    <row r="85" spans="1:30" x14ac:dyDescent="0.2">
      <c r="A85" s="177" t="s">
        <v>973</v>
      </c>
      <c r="B85" s="170"/>
      <c r="C85" s="170"/>
      <c r="D85" s="170"/>
      <c r="E85" s="163"/>
      <c r="F85" s="164"/>
      <c r="G85" s="171" t="s">
        <v>974</v>
      </c>
      <c r="H85" s="118"/>
      <c r="I85" s="33">
        <f t="shared" ref="I85:AB85" si="28">SUM(I76,I78:I84)</f>
        <v>0</v>
      </c>
      <c r="J85" s="33">
        <f t="shared" si="28"/>
        <v>0</v>
      </c>
      <c r="K85" s="33">
        <f t="shared" si="28"/>
        <v>0</v>
      </c>
      <c r="L85" s="33">
        <f t="shared" si="28"/>
        <v>0</v>
      </c>
      <c r="M85" s="33">
        <f t="shared" si="28"/>
        <v>0</v>
      </c>
      <c r="N85" s="33">
        <f t="shared" si="28"/>
        <v>0</v>
      </c>
      <c r="O85" s="33">
        <f t="shared" si="28"/>
        <v>0</v>
      </c>
      <c r="P85" s="33">
        <f t="shared" si="28"/>
        <v>0</v>
      </c>
      <c r="Q85" s="33">
        <f t="shared" si="28"/>
        <v>0</v>
      </c>
      <c r="R85" s="33">
        <f t="shared" si="28"/>
        <v>0</v>
      </c>
      <c r="S85" s="33">
        <f t="shared" si="28"/>
        <v>0</v>
      </c>
      <c r="T85" s="33">
        <f t="shared" si="28"/>
        <v>0</v>
      </c>
      <c r="U85" s="33">
        <f t="shared" si="28"/>
        <v>0</v>
      </c>
      <c r="V85" s="33">
        <f t="shared" si="28"/>
        <v>0</v>
      </c>
      <c r="W85" s="33">
        <f t="shared" si="28"/>
        <v>0</v>
      </c>
      <c r="X85" s="33">
        <f t="shared" si="28"/>
        <v>0</v>
      </c>
      <c r="Y85" s="33">
        <f t="shared" si="28"/>
        <v>0</v>
      </c>
      <c r="Z85" s="33">
        <f t="shared" si="28"/>
        <v>0</v>
      </c>
      <c r="AA85" s="33">
        <f t="shared" si="28"/>
        <v>0</v>
      </c>
      <c r="AB85" s="33">
        <f t="shared" si="28"/>
        <v>0</v>
      </c>
      <c r="AC85" s="33">
        <f t="shared" si="27"/>
        <v>0</v>
      </c>
      <c r="AD85" s="33">
        <f t="shared" si="27"/>
        <v>0</v>
      </c>
    </row>
    <row r="86" spans="1:30" x14ac:dyDescent="0.2">
      <c r="A86" s="177" t="s">
        <v>975</v>
      </c>
      <c r="B86" s="170"/>
      <c r="C86" s="170"/>
      <c r="D86" s="170"/>
      <c r="E86" s="163"/>
      <c r="F86" s="164"/>
      <c r="G86" s="165"/>
      <c r="H86" s="118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</row>
    <row r="87" spans="1:30" x14ac:dyDescent="0.2">
      <c r="A87" s="178" t="s">
        <v>8</v>
      </c>
      <c r="B87" s="170" t="s">
        <v>976</v>
      </c>
      <c r="C87" s="170"/>
      <c r="D87" s="170"/>
      <c r="E87" s="179"/>
      <c r="F87" s="180"/>
      <c r="G87" s="49" t="s">
        <v>977</v>
      </c>
      <c r="H87" s="122"/>
      <c r="I87" s="128">
        <f t="shared" ref="I87:AA87" si="29">+I90+I93</f>
        <v>0</v>
      </c>
      <c r="J87" s="128">
        <f>I87</f>
        <v>0</v>
      </c>
      <c r="K87" s="128">
        <f t="shared" si="29"/>
        <v>0</v>
      </c>
      <c r="L87" s="128">
        <f>K87</f>
        <v>0</v>
      </c>
      <c r="M87" s="128">
        <f t="shared" si="29"/>
        <v>0</v>
      </c>
      <c r="N87" s="128">
        <f>M87</f>
        <v>0</v>
      </c>
      <c r="O87" s="128">
        <f t="shared" si="29"/>
        <v>0</v>
      </c>
      <c r="P87" s="128">
        <f>O87</f>
        <v>0</v>
      </c>
      <c r="Q87" s="128">
        <f t="shared" si="29"/>
        <v>0</v>
      </c>
      <c r="R87" s="128">
        <f>Q87</f>
        <v>0</v>
      </c>
      <c r="S87" s="128">
        <f t="shared" si="29"/>
        <v>0</v>
      </c>
      <c r="T87" s="128">
        <f>S87</f>
        <v>0</v>
      </c>
      <c r="U87" s="128">
        <f t="shared" si="29"/>
        <v>0</v>
      </c>
      <c r="V87" s="128">
        <f>U87</f>
        <v>0</v>
      </c>
      <c r="W87" s="128">
        <f t="shared" si="29"/>
        <v>0</v>
      </c>
      <c r="X87" s="128">
        <f>W87</f>
        <v>0</v>
      </c>
      <c r="Y87" s="128">
        <f t="shared" si="29"/>
        <v>0</v>
      </c>
      <c r="Z87" s="128">
        <f>Y87</f>
        <v>0</v>
      </c>
      <c r="AA87" s="128">
        <f t="shared" si="29"/>
        <v>0</v>
      </c>
      <c r="AB87" s="128">
        <f>AA87</f>
        <v>0</v>
      </c>
      <c r="AC87" s="128">
        <f>I87+K87+M87+O87+Q87+S87+U87+W87+Y87+AA87</f>
        <v>0</v>
      </c>
      <c r="AD87" s="128">
        <f>J87+L87+N87+P87+R87+T87+V87+X87+Z87+AB87</f>
        <v>0</v>
      </c>
    </row>
    <row r="88" spans="1:30" x14ac:dyDescent="0.2">
      <c r="A88" s="178" t="s">
        <v>10</v>
      </c>
      <c r="B88" s="170" t="s">
        <v>978</v>
      </c>
      <c r="C88" s="170"/>
      <c r="D88" s="170"/>
      <c r="E88" s="179"/>
      <c r="F88" s="180"/>
      <c r="G88" s="49" t="s">
        <v>979</v>
      </c>
      <c r="H88" s="126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33">
        <f>+AC89+AC92</f>
        <v>0</v>
      </c>
      <c r="AD88" s="33">
        <f>+AD89+AD92</f>
        <v>0</v>
      </c>
    </row>
    <row r="89" spans="1:30" x14ac:dyDescent="0.2">
      <c r="A89" s="178"/>
      <c r="B89" s="181" t="s">
        <v>12</v>
      </c>
      <c r="C89" s="170" t="s">
        <v>980</v>
      </c>
      <c r="D89" s="170"/>
      <c r="E89" s="179"/>
      <c r="F89" s="180"/>
      <c r="G89" s="49" t="s">
        <v>981</v>
      </c>
      <c r="H89" s="118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27"/>
      <c r="T89" s="127"/>
      <c r="U89" s="127"/>
      <c r="V89" s="127"/>
      <c r="W89" s="127"/>
      <c r="X89" s="127"/>
      <c r="Y89" s="127"/>
      <c r="Z89" s="127"/>
      <c r="AA89" s="127"/>
      <c r="AB89" s="127"/>
      <c r="AC89" s="182"/>
      <c r="AD89" s="128">
        <f>AC89</f>
        <v>0</v>
      </c>
    </row>
    <row r="90" spans="1:30" x14ac:dyDescent="0.2">
      <c r="A90" s="178"/>
      <c r="B90" s="181"/>
      <c r="C90" s="170" t="s">
        <v>1010</v>
      </c>
      <c r="D90" s="170"/>
      <c r="E90" s="179"/>
      <c r="F90" s="180"/>
      <c r="G90" s="49" t="s">
        <v>982</v>
      </c>
      <c r="H90" s="126"/>
      <c r="I90" s="182"/>
      <c r="J90" s="123">
        <f>I90</f>
        <v>0</v>
      </c>
      <c r="K90" s="182"/>
      <c r="L90" s="123">
        <f>K90</f>
        <v>0</v>
      </c>
      <c r="M90" s="182"/>
      <c r="N90" s="123">
        <f>M90</f>
        <v>0</v>
      </c>
      <c r="O90" s="182"/>
      <c r="P90" s="123">
        <f>O90</f>
        <v>0</v>
      </c>
      <c r="Q90" s="182"/>
      <c r="R90" s="123">
        <f>Q90</f>
        <v>0</v>
      </c>
      <c r="S90" s="182"/>
      <c r="T90" s="123">
        <f>S90</f>
        <v>0</v>
      </c>
      <c r="U90" s="182"/>
      <c r="V90" s="123">
        <f>U90</f>
        <v>0</v>
      </c>
      <c r="W90" s="182"/>
      <c r="X90" s="123">
        <f>W90</f>
        <v>0</v>
      </c>
      <c r="Y90" s="182"/>
      <c r="Z90" s="123">
        <f>Y90</f>
        <v>0</v>
      </c>
      <c r="AA90" s="182"/>
      <c r="AB90" s="123">
        <f>AA90</f>
        <v>0</v>
      </c>
      <c r="AC90" s="128">
        <f>I90+K90+M90+O90+Q90+S90+U90+W90+Y90+AA90</f>
        <v>0</v>
      </c>
      <c r="AD90" s="128">
        <f>AC90</f>
        <v>0</v>
      </c>
    </row>
    <row r="91" spans="1:30" x14ac:dyDescent="0.2">
      <c r="A91" s="178"/>
      <c r="B91" s="170"/>
      <c r="C91" s="170" t="s">
        <v>1011</v>
      </c>
      <c r="D91" s="170"/>
      <c r="E91" s="179"/>
      <c r="F91" s="180"/>
      <c r="G91" s="49" t="s">
        <v>983</v>
      </c>
      <c r="H91" s="126"/>
      <c r="I91" s="182"/>
      <c r="J91" s="182"/>
      <c r="K91" s="182"/>
      <c r="L91" s="182"/>
      <c r="M91" s="182"/>
      <c r="N91" s="182"/>
      <c r="O91" s="182"/>
      <c r="P91" s="182"/>
      <c r="Q91" s="182"/>
      <c r="R91" s="182"/>
      <c r="S91" s="182"/>
      <c r="T91" s="182"/>
      <c r="U91" s="182"/>
      <c r="V91" s="182"/>
      <c r="W91" s="182"/>
      <c r="X91" s="182"/>
      <c r="Y91" s="182"/>
      <c r="Z91" s="182"/>
      <c r="AA91" s="182"/>
      <c r="AB91" s="182"/>
      <c r="AC91" s="33">
        <f>I91+K91+M91+O91+Q91+S91+U91+W91+Y91+AA91</f>
        <v>0</v>
      </c>
      <c r="AD91" s="33">
        <f>AC91</f>
        <v>0</v>
      </c>
    </row>
    <row r="92" spans="1:30" x14ac:dyDescent="0.2">
      <c r="A92" s="178"/>
      <c r="B92" s="181" t="s">
        <v>14</v>
      </c>
      <c r="C92" s="170" t="s">
        <v>984</v>
      </c>
      <c r="D92" s="170"/>
      <c r="E92" s="179"/>
      <c r="F92" s="180"/>
      <c r="G92" s="49" t="s">
        <v>985</v>
      </c>
      <c r="H92" s="118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27"/>
      <c r="T92" s="127"/>
      <c r="U92" s="127"/>
      <c r="V92" s="127"/>
      <c r="W92" s="127"/>
      <c r="X92" s="127"/>
      <c r="Y92" s="127"/>
      <c r="Z92" s="127"/>
      <c r="AA92" s="127"/>
      <c r="AB92" s="127"/>
      <c r="AC92" s="182"/>
      <c r="AD92" s="128">
        <f>AC92</f>
        <v>0</v>
      </c>
    </row>
    <row r="93" spans="1:30" x14ac:dyDescent="0.2">
      <c r="A93" s="178"/>
      <c r="B93" s="170"/>
      <c r="C93" s="170" t="s">
        <v>1010</v>
      </c>
      <c r="D93" s="170"/>
      <c r="E93" s="179"/>
      <c r="F93" s="180"/>
      <c r="G93" s="49" t="s">
        <v>986</v>
      </c>
      <c r="H93" s="126"/>
      <c r="I93" s="182"/>
      <c r="J93" s="123">
        <f>I93</f>
        <v>0</v>
      </c>
      <c r="K93" s="182"/>
      <c r="L93" s="123">
        <f>K93</f>
        <v>0</v>
      </c>
      <c r="M93" s="182"/>
      <c r="N93" s="123">
        <f>M93</f>
        <v>0</v>
      </c>
      <c r="O93" s="182"/>
      <c r="P93" s="123">
        <f>O93</f>
        <v>0</v>
      </c>
      <c r="Q93" s="182"/>
      <c r="R93" s="123">
        <f>Q93</f>
        <v>0</v>
      </c>
      <c r="S93" s="182"/>
      <c r="T93" s="123">
        <f>S93</f>
        <v>0</v>
      </c>
      <c r="U93" s="182"/>
      <c r="V93" s="123">
        <f>U93</f>
        <v>0</v>
      </c>
      <c r="W93" s="182"/>
      <c r="X93" s="123">
        <f>W93</f>
        <v>0</v>
      </c>
      <c r="Y93" s="182"/>
      <c r="Z93" s="123">
        <f>Y93</f>
        <v>0</v>
      </c>
      <c r="AA93" s="182"/>
      <c r="AB93" s="123">
        <f>AA93</f>
        <v>0</v>
      </c>
      <c r="AC93" s="128">
        <f>I93+K93+M93+O93+Q93+S93+U93+W93+Y93+AA93</f>
        <v>0</v>
      </c>
      <c r="AD93" s="128">
        <f>J93+L93+N93+P93+R93+T93+V93+X93+Z93+AB93</f>
        <v>0</v>
      </c>
    </row>
    <row r="94" spans="1:30" x14ac:dyDescent="0.2">
      <c r="A94" s="178"/>
      <c r="B94" s="170"/>
      <c r="C94" s="170" t="s">
        <v>1011</v>
      </c>
      <c r="D94" s="170"/>
      <c r="E94" s="179"/>
      <c r="F94" s="180"/>
      <c r="G94" s="49" t="s">
        <v>987</v>
      </c>
      <c r="H94" s="126"/>
      <c r="I94" s="182"/>
      <c r="J94" s="182"/>
      <c r="K94" s="182"/>
      <c r="L94" s="182"/>
      <c r="M94" s="182"/>
      <c r="N94" s="182"/>
      <c r="O94" s="182"/>
      <c r="P94" s="182"/>
      <c r="Q94" s="182"/>
      <c r="R94" s="182"/>
      <c r="S94" s="182"/>
      <c r="T94" s="182"/>
      <c r="U94" s="182"/>
      <c r="V94" s="182"/>
      <c r="W94" s="182"/>
      <c r="X94" s="182"/>
      <c r="Y94" s="182"/>
      <c r="Z94" s="182"/>
      <c r="AA94" s="182"/>
      <c r="AB94" s="182"/>
      <c r="AC94" s="33">
        <f>I94+K94+M94+O94+Q94+S94+U94+W94+Y94+AA94</f>
        <v>0</v>
      </c>
      <c r="AD94" s="33">
        <f>J94+L94+N94+P94+R94+T94+V94+X94+Z94+AB94</f>
        <v>0</v>
      </c>
    </row>
    <row r="95" spans="1:30" x14ac:dyDescent="0.2">
      <c r="A95" s="166" t="s">
        <v>16</v>
      </c>
      <c r="B95" s="170" t="s">
        <v>988</v>
      </c>
      <c r="C95" s="170"/>
      <c r="D95" s="170"/>
      <c r="E95" s="163"/>
      <c r="F95" s="180"/>
      <c r="G95" s="183"/>
      <c r="H95" s="130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83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</row>
    <row r="96" spans="1:30" ht="28.5" customHeight="1" x14ac:dyDescent="0.2">
      <c r="A96" s="174"/>
      <c r="B96" s="203" t="s">
        <v>989</v>
      </c>
      <c r="C96" s="203"/>
      <c r="D96" s="203"/>
      <c r="E96" s="204"/>
      <c r="F96" s="180"/>
      <c r="G96" s="49" t="s">
        <v>990</v>
      </c>
      <c r="H96" s="130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27"/>
      <c r="T96" s="127"/>
      <c r="U96" s="127"/>
      <c r="V96" s="127"/>
      <c r="W96" s="127"/>
      <c r="X96" s="127"/>
      <c r="Y96" s="127"/>
      <c r="Z96" s="127"/>
      <c r="AA96" s="127"/>
      <c r="AB96" s="127"/>
      <c r="AC96" s="189"/>
      <c r="AD96" s="189"/>
    </row>
    <row r="97" spans="1:30" ht="21.75" customHeight="1" x14ac:dyDescent="0.2">
      <c r="A97" s="174"/>
      <c r="B97" s="203" t="s">
        <v>991</v>
      </c>
      <c r="C97" s="203"/>
      <c r="D97" s="203"/>
      <c r="E97" s="204"/>
      <c r="F97" s="180"/>
      <c r="G97" s="49" t="s">
        <v>992</v>
      </c>
      <c r="H97" s="130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27"/>
      <c r="T97" s="127"/>
      <c r="U97" s="127"/>
      <c r="V97" s="127"/>
      <c r="W97" s="127"/>
      <c r="X97" s="127"/>
      <c r="Y97" s="127"/>
      <c r="Z97" s="127"/>
      <c r="AA97" s="127"/>
      <c r="AB97" s="127"/>
      <c r="AC97" s="184"/>
      <c r="AD97" s="184"/>
    </row>
    <row r="98" spans="1:30" x14ac:dyDescent="0.2">
      <c r="A98" s="174"/>
      <c r="B98" s="170" t="s">
        <v>993</v>
      </c>
      <c r="C98" s="170"/>
      <c r="D98" s="170"/>
      <c r="E98" s="163"/>
      <c r="F98" s="180"/>
      <c r="G98" s="49" t="s">
        <v>994</v>
      </c>
      <c r="H98" s="130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27"/>
      <c r="T98" s="127"/>
      <c r="U98" s="127"/>
      <c r="V98" s="127"/>
      <c r="W98" s="127"/>
      <c r="X98" s="127"/>
      <c r="Y98" s="127"/>
      <c r="Z98" s="127"/>
      <c r="AA98" s="127"/>
      <c r="AB98" s="127"/>
      <c r="AC98" s="33">
        <f>-(AC96-AC97)</f>
        <v>0</v>
      </c>
      <c r="AD98" s="33">
        <f>-(AD96-AD97)</f>
        <v>0</v>
      </c>
    </row>
    <row r="99" spans="1:30" x14ac:dyDescent="0.2">
      <c r="A99" s="166" t="s">
        <v>18</v>
      </c>
      <c r="B99" s="170" t="s">
        <v>995</v>
      </c>
      <c r="C99" s="170"/>
      <c r="D99" s="170"/>
      <c r="E99" s="163"/>
      <c r="F99" s="180"/>
      <c r="G99" s="183"/>
      <c r="H99" s="130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</row>
    <row r="100" spans="1:30" x14ac:dyDescent="0.2">
      <c r="A100" s="174"/>
      <c r="B100" s="181" t="s">
        <v>12</v>
      </c>
      <c r="C100" s="170" t="s">
        <v>996</v>
      </c>
      <c r="D100" s="170"/>
      <c r="E100" s="163"/>
      <c r="F100" s="180"/>
      <c r="G100" s="49" t="s">
        <v>997</v>
      </c>
      <c r="H100" s="130"/>
      <c r="I100" s="188"/>
      <c r="J100" s="188"/>
      <c r="K100" s="188"/>
      <c r="L100" s="188"/>
      <c r="M100" s="188"/>
      <c r="N100" s="188"/>
      <c r="O100" s="188"/>
      <c r="P100" s="188"/>
      <c r="Q100" s="188"/>
      <c r="R100" s="188"/>
      <c r="S100" s="188"/>
      <c r="T100" s="188"/>
      <c r="U100" s="188"/>
      <c r="V100" s="188"/>
      <c r="W100" s="188"/>
      <c r="X100" s="188"/>
      <c r="Y100" s="188"/>
      <c r="Z100" s="188"/>
      <c r="AA100" s="188"/>
      <c r="AB100" s="188"/>
      <c r="AC100" s="33">
        <f t="shared" ref="AC100:AD102" si="30">I100+K100+M100+O100+Q100+S100+U100+W100+Y100+AA100</f>
        <v>0</v>
      </c>
      <c r="AD100" s="33">
        <f t="shared" si="30"/>
        <v>0</v>
      </c>
    </row>
    <row r="101" spans="1:30" x14ac:dyDescent="0.2">
      <c r="A101" s="174"/>
      <c r="B101" s="181" t="s">
        <v>14</v>
      </c>
      <c r="C101" s="170" t="s">
        <v>998</v>
      </c>
      <c r="D101" s="170"/>
      <c r="E101" s="163"/>
      <c r="F101" s="180"/>
      <c r="G101" s="49" t="s">
        <v>999</v>
      </c>
      <c r="H101" s="130"/>
      <c r="I101" s="188"/>
      <c r="J101" s="188"/>
      <c r="K101" s="188"/>
      <c r="L101" s="188"/>
      <c r="M101" s="188"/>
      <c r="N101" s="188"/>
      <c r="O101" s="188"/>
      <c r="P101" s="188"/>
      <c r="Q101" s="188"/>
      <c r="R101" s="188"/>
      <c r="S101" s="188"/>
      <c r="T101" s="188"/>
      <c r="U101" s="188"/>
      <c r="V101" s="188"/>
      <c r="W101" s="188"/>
      <c r="X101" s="188"/>
      <c r="Y101" s="188"/>
      <c r="Z101" s="188"/>
      <c r="AA101" s="188"/>
      <c r="AB101" s="188"/>
      <c r="AC101" s="33">
        <f t="shared" si="30"/>
        <v>0</v>
      </c>
      <c r="AD101" s="33">
        <f t="shared" si="30"/>
        <v>0</v>
      </c>
    </row>
    <row r="102" spans="1:30" x14ac:dyDescent="0.2">
      <c r="A102" s="174"/>
      <c r="B102" s="181" t="s">
        <v>24</v>
      </c>
      <c r="C102" s="170" t="s">
        <v>1000</v>
      </c>
      <c r="D102" s="170"/>
      <c r="E102" s="163"/>
      <c r="F102" s="180"/>
      <c r="G102" s="49" t="s">
        <v>1001</v>
      </c>
      <c r="H102" s="130"/>
      <c r="I102" s="188"/>
      <c r="J102" s="188"/>
      <c r="K102" s="188"/>
      <c r="L102" s="188"/>
      <c r="M102" s="188"/>
      <c r="N102" s="188"/>
      <c r="O102" s="188"/>
      <c r="P102" s="188"/>
      <c r="Q102" s="188"/>
      <c r="R102" s="188"/>
      <c r="S102" s="188"/>
      <c r="T102" s="188"/>
      <c r="U102" s="188"/>
      <c r="V102" s="188"/>
      <c r="W102" s="188"/>
      <c r="X102" s="188"/>
      <c r="Y102" s="188"/>
      <c r="Z102" s="188"/>
      <c r="AA102" s="188"/>
      <c r="AB102" s="188"/>
      <c r="AC102" s="33">
        <f t="shared" si="30"/>
        <v>0</v>
      </c>
      <c r="AD102" s="33">
        <f t="shared" si="30"/>
        <v>0</v>
      </c>
    </row>
    <row r="103" spans="1:30" x14ac:dyDescent="0.2">
      <c r="A103" s="174"/>
      <c r="B103" s="170" t="s">
        <v>1002</v>
      </c>
      <c r="C103" s="170"/>
      <c r="D103" s="170"/>
      <c r="E103" s="163"/>
      <c r="F103" s="180"/>
      <c r="G103" s="49" t="s">
        <v>1003</v>
      </c>
      <c r="H103" s="130"/>
      <c r="I103" s="33">
        <f>SUM(I100:I102)</f>
        <v>0</v>
      </c>
      <c r="J103" s="33">
        <f t="shared" ref="J103:R103" si="31">SUM(J100:J102)</f>
        <v>0</v>
      </c>
      <c r="K103" s="33">
        <f t="shared" si="31"/>
        <v>0</v>
      </c>
      <c r="L103" s="33">
        <f t="shared" si="31"/>
        <v>0</v>
      </c>
      <c r="M103" s="33">
        <f t="shared" si="31"/>
        <v>0</v>
      </c>
      <c r="N103" s="33">
        <f t="shared" si="31"/>
        <v>0</v>
      </c>
      <c r="O103" s="33">
        <f t="shared" si="31"/>
        <v>0</v>
      </c>
      <c r="P103" s="33">
        <f t="shared" si="31"/>
        <v>0</v>
      </c>
      <c r="Q103" s="33">
        <f t="shared" si="31"/>
        <v>0</v>
      </c>
      <c r="R103" s="33">
        <f t="shared" si="31"/>
        <v>0</v>
      </c>
      <c r="S103" s="33">
        <f>SUM(S100:S102)</f>
        <v>0</v>
      </c>
      <c r="T103" s="33">
        <f t="shared" ref="T103:AD103" si="32">SUM(T100:T102)</f>
        <v>0</v>
      </c>
      <c r="U103" s="33">
        <f t="shared" si="32"/>
        <v>0</v>
      </c>
      <c r="V103" s="33">
        <f t="shared" si="32"/>
        <v>0</v>
      </c>
      <c r="W103" s="33">
        <f t="shared" si="32"/>
        <v>0</v>
      </c>
      <c r="X103" s="33">
        <f t="shared" si="32"/>
        <v>0</v>
      </c>
      <c r="Y103" s="33">
        <f t="shared" si="32"/>
        <v>0</v>
      </c>
      <c r="Z103" s="33">
        <f t="shared" si="32"/>
        <v>0</v>
      </c>
      <c r="AA103" s="33">
        <f t="shared" si="32"/>
        <v>0</v>
      </c>
      <c r="AB103" s="33">
        <f t="shared" si="32"/>
        <v>0</v>
      </c>
      <c r="AC103" s="33">
        <f t="shared" si="32"/>
        <v>0</v>
      </c>
      <c r="AD103" s="33">
        <f t="shared" si="32"/>
        <v>0</v>
      </c>
    </row>
    <row r="104" spans="1:30" x14ac:dyDescent="0.2">
      <c r="A104" s="174"/>
      <c r="B104" s="170" t="s">
        <v>1004</v>
      </c>
      <c r="C104" s="170"/>
      <c r="D104" s="170"/>
      <c r="E104" s="163"/>
      <c r="F104" s="180"/>
      <c r="G104" s="49" t="s">
        <v>1005</v>
      </c>
      <c r="H104" s="130"/>
      <c r="I104" s="33">
        <f>I103/3</f>
        <v>0</v>
      </c>
      <c r="J104" s="33">
        <f t="shared" ref="J104:R104" si="33">J103/3</f>
        <v>0</v>
      </c>
      <c r="K104" s="33">
        <f t="shared" si="33"/>
        <v>0</v>
      </c>
      <c r="L104" s="33">
        <f t="shared" si="33"/>
        <v>0</v>
      </c>
      <c r="M104" s="33">
        <f t="shared" si="33"/>
        <v>0</v>
      </c>
      <c r="N104" s="33">
        <f t="shared" si="33"/>
        <v>0</v>
      </c>
      <c r="O104" s="33">
        <f t="shared" si="33"/>
        <v>0</v>
      </c>
      <c r="P104" s="33">
        <f t="shared" si="33"/>
        <v>0</v>
      </c>
      <c r="Q104" s="33">
        <f t="shared" si="33"/>
        <v>0</v>
      </c>
      <c r="R104" s="33">
        <f t="shared" si="33"/>
        <v>0</v>
      </c>
      <c r="S104" s="33">
        <f>S103/3</f>
        <v>0</v>
      </c>
      <c r="T104" s="33">
        <f t="shared" ref="T104:AD104" si="34">T103/3</f>
        <v>0</v>
      </c>
      <c r="U104" s="33">
        <f t="shared" si="34"/>
        <v>0</v>
      </c>
      <c r="V104" s="33">
        <f t="shared" si="34"/>
        <v>0</v>
      </c>
      <c r="W104" s="33">
        <f t="shared" si="34"/>
        <v>0</v>
      </c>
      <c r="X104" s="33">
        <f t="shared" si="34"/>
        <v>0</v>
      </c>
      <c r="Y104" s="33">
        <f t="shared" si="34"/>
        <v>0</v>
      </c>
      <c r="Z104" s="33">
        <f t="shared" si="34"/>
        <v>0</v>
      </c>
      <c r="AA104" s="33">
        <f t="shared" si="34"/>
        <v>0</v>
      </c>
      <c r="AB104" s="33">
        <f t="shared" si="34"/>
        <v>0</v>
      </c>
      <c r="AC104" s="33">
        <f t="shared" si="34"/>
        <v>0</v>
      </c>
      <c r="AD104" s="33">
        <f t="shared" si="34"/>
        <v>0</v>
      </c>
    </row>
    <row r="105" spans="1:30" ht="15" x14ac:dyDescent="0.25">
      <c r="A105" s="135"/>
      <c r="B105" s="135"/>
      <c r="C105" s="135"/>
      <c r="D105" s="135"/>
      <c r="E105" s="135"/>
      <c r="F105" s="135"/>
      <c r="G105" s="21" t="s">
        <v>84</v>
      </c>
      <c r="H105" s="136"/>
    </row>
  </sheetData>
  <sheetProtection sheet="1" objects="1" scenarios="1" selectLockedCells="1"/>
  <mergeCells count="22">
    <mergeCell ref="B50:E50"/>
    <mergeCell ref="B51:E51"/>
    <mergeCell ref="B96:E96"/>
    <mergeCell ref="B97:E97"/>
    <mergeCell ref="AC6:AD6"/>
    <mergeCell ref="C35:E35"/>
    <mergeCell ref="B45:E45"/>
    <mergeCell ref="B46:E46"/>
    <mergeCell ref="B47:E47"/>
    <mergeCell ref="B48:E48"/>
    <mergeCell ref="Q6:R6"/>
    <mergeCell ref="S6:T6"/>
    <mergeCell ref="U6:V6"/>
    <mergeCell ref="W6:X6"/>
    <mergeCell ref="Y6:Z6"/>
    <mergeCell ref="AA6:AB6"/>
    <mergeCell ref="A6:E7"/>
    <mergeCell ref="G6:G7"/>
    <mergeCell ref="I6:J6"/>
    <mergeCell ref="K6:L6"/>
    <mergeCell ref="M6:N6"/>
    <mergeCell ref="O6:P6"/>
  </mergeCells>
  <dataValidations count="2">
    <dataValidation type="whole" operator="greaterThan" allowBlank="1" showInputMessage="1" showErrorMessage="1" error="Invalid Input." sqref="I90 K90 M90 O90 Q90 S90 U90 W90 Y90 AA90 AA93 Y93 W93 U93 S93 Q93 O93 M93 K93 I93 AC89 AC92">
      <formula1>0</formula1>
    </dataValidation>
    <dataValidation type="decimal" allowBlank="1" showInputMessage="1" showErrorMessage="1" error="Invalid Input." sqref="AC9:AD87 H9:H94 I9:AB86 K91:K92 I100:AD102 AC93:AD94 K94:Z94 AC90:AC91 AC96:AD96 J87:J94 I87:I89 M91:M92 K87:K89 L87:L93 O91:O92 M87:M89 N87:N93 Q91:Q92 O87:O89 P87:P93 S91:S92 Q87:Q89 R87:R93 U91:U92 S87:S89 T87:T93 W91:W92 U87:U89 V87:V93 Y91:Y92 W87:W89 X87:X93 AA91:AA92 Y87:Y89 Z87:Z93 AB87:AB93 AA87:AA89 I91:I92 I94">
      <formula1>-999999999999.99</formula1>
      <formula2>999999999999.99</formula2>
    </dataValidation>
  </dataValidations>
  <pageMargins left="0.7" right="0.7" top="0.75" bottom="0.75" header="0.3" footer="0.3"/>
  <pageSetup paperSize="9" orientation="portrait" r:id="rId1"/>
  <headerFooter>
    <oddHeader>&amp;C&amp;"Arial,Bold"&amp;8 NEW RURAL BANK OF SAN LEONARDO INC.  [ 04-006056 ]
 As of: June 30, 2016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05"/>
  <sheetViews>
    <sheetView zoomScale="85" zoomScaleNormal="85" workbookViewId="0">
      <pane xSplit="8" ySplit="7" topLeftCell="I9" activePane="bottomRight" state="frozen"/>
      <selection pane="topRight" activeCell="I1" sqref="I1"/>
      <selection pane="bottomLeft" activeCell="A8" sqref="A8"/>
      <selection pane="bottomRight" activeCell="I9" sqref="I9"/>
    </sheetView>
  </sheetViews>
  <sheetFormatPr defaultRowHeight="12.75" x14ac:dyDescent="0.2"/>
  <cols>
    <col min="1" max="1" width="3.42578125" customWidth="1"/>
    <col min="2" max="2" width="3.5703125" customWidth="1"/>
    <col min="5" max="5" width="19.7109375" customWidth="1"/>
    <col min="6" max="6" width="0" hidden="1" customWidth="1"/>
    <col min="7" max="7" width="17.5703125" customWidth="1"/>
    <col min="8" max="8" width="0" hidden="1" customWidth="1"/>
    <col min="9" max="30" width="15.7109375" customWidth="1"/>
  </cols>
  <sheetData>
    <row r="1" spans="1:30" x14ac:dyDescent="0.2">
      <c r="A1" s="99" t="s">
        <v>819</v>
      </c>
      <c r="B1" s="100"/>
      <c r="C1" s="100"/>
      <c r="D1" s="100"/>
      <c r="E1" s="101"/>
      <c r="F1" s="101"/>
      <c r="G1" s="102"/>
      <c r="H1" s="103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</row>
    <row r="2" spans="1:30" x14ac:dyDescent="0.2">
      <c r="A2" s="106" t="s">
        <v>87</v>
      </c>
      <c r="B2" s="107"/>
      <c r="C2" s="107"/>
      <c r="D2" s="107"/>
      <c r="E2" s="108"/>
      <c r="F2" s="108"/>
      <c r="G2" s="109"/>
      <c r="H2" s="110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</row>
    <row r="3" spans="1:30" x14ac:dyDescent="0.2">
      <c r="A3" s="100"/>
      <c r="B3" s="107"/>
      <c r="C3" s="107"/>
      <c r="D3" s="107"/>
      <c r="E3" s="108"/>
      <c r="F3" s="108"/>
      <c r="G3" s="109"/>
      <c r="H3" s="110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</row>
    <row r="4" spans="1:30" x14ac:dyDescent="0.2">
      <c r="A4" s="100"/>
      <c r="B4" s="107"/>
      <c r="C4" s="107"/>
      <c r="D4" s="107"/>
      <c r="E4" s="108"/>
      <c r="F4" s="108"/>
      <c r="G4" s="109"/>
      <c r="H4" s="110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</row>
    <row r="5" spans="1:30" x14ac:dyDescent="0.2">
      <c r="A5" s="111"/>
      <c r="B5" s="111"/>
      <c r="C5" s="111"/>
      <c r="D5" s="111"/>
      <c r="E5" s="112"/>
      <c r="F5" s="112"/>
      <c r="G5" s="112"/>
      <c r="H5" s="113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</row>
    <row r="6" spans="1:30" ht="27" customHeight="1" x14ac:dyDescent="0.2">
      <c r="A6" s="211" t="s">
        <v>820</v>
      </c>
      <c r="B6" s="212"/>
      <c r="C6" s="212"/>
      <c r="D6" s="212"/>
      <c r="E6" s="213"/>
      <c r="F6" s="160"/>
      <c r="G6" s="205" t="s">
        <v>1</v>
      </c>
      <c r="H6" s="114"/>
      <c r="I6" s="200" t="s">
        <v>821</v>
      </c>
      <c r="J6" s="200"/>
      <c r="K6" s="200" t="s">
        <v>822</v>
      </c>
      <c r="L6" s="200"/>
      <c r="M6" s="200" t="s">
        <v>823</v>
      </c>
      <c r="N6" s="200"/>
      <c r="O6" s="200" t="s">
        <v>824</v>
      </c>
      <c r="P6" s="200"/>
      <c r="Q6" s="200" t="s">
        <v>825</v>
      </c>
      <c r="R6" s="200"/>
      <c r="S6" s="200" t="s">
        <v>826</v>
      </c>
      <c r="T6" s="200"/>
      <c r="U6" s="200" t="s">
        <v>827</v>
      </c>
      <c r="V6" s="200"/>
      <c r="W6" s="200" t="s">
        <v>828</v>
      </c>
      <c r="X6" s="200"/>
      <c r="Y6" s="200" t="s">
        <v>829</v>
      </c>
      <c r="Z6" s="200"/>
      <c r="AA6" s="200" t="s">
        <v>830</v>
      </c>
      <c r="AB6" s="200"/>
      <c r="AC6" s="200" t="s">
        <v>1007</v>
      </c>
      <c r="AD6" s="200"/>
    </row>
    <row r="7" spans="1:30" x14ac:dyDescent="0.2">
      <c r="A7" s="214"/>
      <c r="B7" s="215"/>
      <c r="C7" s="215"/>
      <c r="D7" s="215"/>
      <c r="E7" s="216"/>
      <c r="F7" s="114"/>
      <c r="G7" s="217"/>
      <c r="H7" s="114"/>
      <c r="I7" s="114" t="s">
        <v>1008</v>
      </c>
      <c r="J7" s="114" t="s">
        <v>6</v>
      </c>
      <c r="K7" s="114" t="s">
        <v>1009</v>
      </c>
      <c r="L7" s="114" t="s">
        <v>6</v>
      </c>
      <c r="M7" s="114" t="s">
        <v>1008</v>
      </c>
      <c r="N7" s="114" t="s">
        <v>6</v>
      </c>
      <c r="O7" s="114" t="s">
        <v>1008</v>
      </c>
      <c r="P7" s="114" t="s">
        <v>6</v>
      </c>
      <c r="Q7" s="114" t="s">
        <v>1008</v>
      </c>
      <c r="R7" s="114" t="s">
        <v>6</v>
      </c>
      <c r="S7" s="114" t="s">
        <v>1008</v>
      </c>
      <c r="T7" s="114" t="s">
        <v>6</v>
      </c>
      <c r="U7" s="114" t="s">
        <v>1008</v>
      </c>
      <c r="V7" s="114" t="s">
        <v>6</v>
      </c>
      <c r="W7" s="114" t="s">
        <v>1008</v>
      </c>
      <c r="X7" s="114" t="s">
        <v>6</v>
      </c>
      <c r="Y7" s="114" t="s">
        <v>1008</v>
      </c>
      <c r="Z7" s="114" t="s">
        <v>6</v>
      </c>
      <c r="AA7" s="114" t="s">
        <v>1008</v>
      </c>
      <c r="AB7" s="114" t="s">
        <v>6</v>
      </c>
      <c r="AC7" s="114" t="s">
        <v>1008</v>
      </c>
      <c r="AD7" s="114" t="s">
        <v>6</v>
      </c>
    </row>
    <row r="8" spans="1:30" x14ac:dyDescent="0.2">
      <c r="A8" s="161" t="s">
        <v>832</v>
      </c>
      <c r="B8" s="162"/>
      <c r="C8" s="162"/>
      <c r="D8" s="162"/>
      <c r="E8" s="163"/>
      <c r="F8" s="164"/>
      <c r="G8" s="165"/>
      <c r="H8" s="116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</row>
    <row r="9" spans="1:30" x14ac:dyDescent="0.2">
      <c r="A9" s="166" t="s">
        <v>8</v>
      </c>
      <c r="B9" s="167" t="s">
        <v>833</v>
      </c>
      <c r="C9" s="167"/>
      <c r="D9" s="167"/>
      <c r="E9" s="163"/>
      <c r="F9" s="164"/>
      <c r="G9" s="168" t="s">
        <v>834</v>
      </c>
      <c r="H9" s="11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33">
        <f t="shared" ref="AC9:AD40" si="0">I9+K9+M9+O9+Q9+S9+U9+W9+Y9+AA9</f>
        <v>0</v>
      </c>
      <c r="AD9" s="33">
        <f t="shared" si="0"/>
        <v>0</v>
      </c>
    </row>
    <row r="10" spans="1:30" x14ac:dyDescent="0.2">
      <c r="A10" s="166" t="s">
        <v>10</v>
      </c>
      <c r="B10" s="170" t="s">
        <v>835</v>
      </c>
      <c r="C10" s="170"/>
      <c r="D10" s="170"/>
      <c r="E10" s="163"/>
      <c r="F10" s="164"/>
      <c r="G10" s="171" t="s">
        <v>836</v>
      </c>
      <c r="H10" s="118"/>
      <c r="I10" s="33">
        <f t="shared" ref="I10:AB10" si="1">SUM(I11:I12)</f>
        <v>0</v>
      </c>
      <c r="J10" s="33">
        <f t="shared" si="1"/>
        <v>0</v>
      </c>
      <c r="K10" s="33">
        <f t="shared" si="1"/>
        <v>0</v>
      </c>
      <c r="L10" s="33">
        <f t="shared" si="1"/>
        <v>0</v>
      </c>
      <c r="M10" s="33">
        <f t="shared" si="1"/>
        <v>0</v>
      </c>
      <c r="N10" s="33">
        <f t="shared" si="1"/>
        <v>0</v>
      </c>
      <c r="O10" s="33">
        <f t="shared" si="1"/>
        <v>0</v>
      </c>
      <c r="P10" s="33">
        <f t="shared" si="1"/>
        <v>0</v>
      </c>
      <c r="Q10" s="33">
        <f t="shared" si="1"/>
        <v>0</v>
      </c>
      <c r="R10" s="33">
        <f t="shared" si="1"/>
        <v>0</v>
      </c>
      <c r="S10" s="33">
        <f t="shared" si="1"/>
        <v>0</v>
      </c>
      <c r="T10" s="33">
        <f t="shared" si="1"/>
        <v>0</v>
      </c>
      <c r="U10" s="33">
        <f t="shared" si="1"/>
        <v>0</v>
      </c>
      <c r="V10" s="33">
        <f t="shared" si="1"/>
        <v>0</v>
      </c>
      <c r="W10" s="33">
        <f t="shared" si="1"/>
        <v>0</v>
      </c>
      <c r="X10" s="33">
        <f t="shared" si="1"/>
        <v>0</v>
      </c>
      <c r="Y10" s="33">
        <f t="shared" si="1"/>
        <v>0</v>
      </c>
      <c r="Z10" s="33">
        <f t="shared" si="1"/>
        <v>0</v>
      </c>
      <c r="AA10" s="33">
        <f t="shared" si="1"/>
        <v>0</v>
      </c>
      <c r="AB10" s="33">
        <f t="shared" si="1"/>
        <v>0</v>
      </c>
      <c r="AC10" s="33">
        <f t="shared" si="0"/>
        <v>0</v>
      </c>
      <c r="AD10" s="33">
        <f t="shared" si="0"/>
        <v>0</v>
      </c>
    </row>
    <row r="11" spans="1:30" x14ac:dyDescent="0.2">
      <c r="A11" s="166"/>
      <c r="B11" s="172" t="s">
        <v>12</v>
      </c>
      <c r="C11" s="170" t="s">
        <v>1017</v>
      </c>
      <c r="D11" s="170"/>
      <c r="E11" s="163"/>
      <c r="F11" s="164"/>
      <c r="G11" s="171" t="s">
        <v>1019</v>
      </c>
      <c r="H11" s="11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33">
        <f t="shared" si="0"/>
        <v>0</v>
      </c>
      <c r="AD11" s="33">
        <f t="shared" si="0"/>
        <v>0</v>
      </c>
    </row>
    <row r="12" spans="1:30" x14ac:dyDescent="0.2">
      <c r="A12" s="166"/>
      <c r="B12" s="172" t="s">
        <v>14</v>
      </c>
      <c r="C12" s="170" t="s">
        <v>1018</v>
      </c>
      <c r="D12" s="170"/>
      <c r="E12" s="163"/>
      <c r="F12" s="164"/>
      <c r="G12" s="171" t="s">
        <v>1020</v>
      </c>
      <c r="H12" s="11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33">
        <f t="shared" si="0"/>
        <v>0</v>
      </c>
      <c r="AD12" s="33">
        <f t="shared" si="0"/>
        <v>0</v>
      </c>
    </row>
    <row r="13" spans="1:30" x14ac:dyDescent="0.2">
      <c r="A13" s="166" t="s">
        <v>16</v>
      </c>
      <c r="B13" s="170" t="s">
        <v>837</v>
      </c>
      <c r="C13" s="170"/>
      <c r="D13" s="170"/>
      <c r="E13" s="163"/>
      <c r="F13" s="164"/>
      <c r="G13" s="171" t="s">
        <v>838</v>
      </c>
      <c r="H13" s="11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33">
        <f t="shared" si="0"/>
        <v>0</v>
      </c>
      <c r="AD13" s="33">
        <f t="shared" si="0"/>
        <v>0</v>
      </c>
    </row>
    <row r="14" spans="1:30" x14ac:dyDescent="0.2">
      <c r="A14" s="166" t="s">
        <v>18</v>
      </c>
      <c r="B14" s="170" t="s">
        <v>839</v>
      </c>
      <c r="C14" s="170"/>
      <c r="D14" s="170"/>
      <c r="E14" s="163"/>
      <c r="F14" s="164"/>
      <c r="G14" s="171" t="s">
        <v>840</v>
      </c>
      <c r="H14" s="118"/>
      <c r="I14" s="33">
        <f t="shared" ref="I14:AB14" si="2">SUM(I15:I16)</f>
        <v>0</v>
      </c>
      <c r="J14" s="33">
        <f t="shared" si="2"/>
        <v>0</v>
      </c>
      <c r="K14" s="33">
        <f t="shared" si="2"/>
        <v>0</v>
      </c>
      <c r="L14" s="33">
        <f t="shared" si="2"/>
        <v>0</v>
      </c>
      <c r="M14" s="33">
        <f t="shared" si="2"/>
        <v>0</v>
      </c>
      <c r="N14" s="33">
        <f t="shared" si="2"/>
        <v>0</v>
      </c>
      <c r="O14" s="33">
        <f t="shared" si="2"/>
        <v>0</v>
      </c>
      <c r="P14" s="33">
        <f t="shared" si="2"/>
        <v>0</v>
      </c>
      <c r="Q14" s="33">
        <f t="shared" si="2"/>
        <v>0</v>
      </c>
      <c r="R14" s="33">
        <f t="shared" si="2"/>
        <v>0</v>
      </c>
      <c r="S14" s="33">
        <f t="shared" si="2"/>
        <v>0</v>
      </c>
      <c r="T14" s="33">
        <f t="shared" si="2"/>
        <v>0</v>
      </c>
      <c r="U14" s="33">
        <f t="shared" si="2"/>
        <v>0</v>
      </c>
      <c r="V14" s="33">
        <f t="shared" si="2"/>
        <v>0</v>
      </c>
      <c r="W14" s="33">
        <f t="shared" si="2"/>
        <v>0</v>
      </c>
      <c r="X14" s="33">
        <f t="shared" si="2"/>
        <v>0</v>
      </c>
      <c r="Y14" s="33">
        <f t="shared" si="2"/>
        <v>0</v>
      </c>
      <c r="Z14" s="33">
        <f t="shared" si="2"/>
        <v>0</v>
      </c>
      <c r="AA14" s="33">
        <f t="shared" si="2"/>
        <v>0</v>
      </c>
      <c r="AB14" s="33">
        <f t="shared" si="2"/>
        <v>0</v>
      </c>
      <c r="AC14" s="33">
        <f t="shared" si="0"/>
        <v>0</v>
      </c>
      <c r="AD14" s="33">
        <f t="shared" si="0"/>
        <v>0</v>
      </c>
    </row>
    <row r="15" spans="1:30" x14ac:dyDescent="0.2">
      <c r="A15" s="166"/>
      <c r="B15" s="170" t="s">
        <v>12</v>
      </c>
      <c r="C15" s="170" t="s">
        <v>841</v>
      </c>
      <c r="D15" s="170"/>
      <c r="E15" s="163"/>
      <c r="F15" s="164"/>
      <c r="G15" s="171" t="s">
        <v>842</v>
      </c>
      <c r="H15" s="11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33">
        <f t="shared" si="0"/>
        <v>0</v>
      </c>
      <c r="AD15" s="33">
        <f t="shared" si="0"/>
        <v>0</v>
      </c>
    </row>
    <row r="16" spans="1:30" x14ac:dyDescent="0.2">
      <c r="A16" s="166"/>
      <c r="B16" s="170" t="s">
        <v>14</v>
      </c>
      <c r="C16" s="170" t="s">
        <v>843</v>
      </c>
      <c r="D16" s="170"/>
      <c r="E16" s="163"/>
      <c r="F16" s="164"/>
      <c r="G16" s="171" t="s">
        <v>844</v>
      </c>
      <c r="H16" s="11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188"/>
      <c r="V16" s="188"/>
      <c r="W16" s="188"/>
      <c r="X16" s="188"/>
      <c r="Y16" s="188"/>
      <c r="Z16" s="188"/>
      <c r="AA16" s="188"/>
      <c r="AB16" s="188"/>
      <c r="AC16" s="33">
        <f t="shared" si="0"/>
        <v>0</v>
      </c>
      <c r="AD16" s="33">
        <f t="shared" si="0"/>
        <v>0</v>
      </c>
    </row>
    <row r="17" spans="1:30" x14ac:dyDescent="0.2">
      <c r="A17" s="166" t="s">
        <v>28</v>
      </c>
      <c r="B17" s="170" t="s">
        <v>845</v>
      </c>
      <c r="C17" s="170"/>
      <c r="D17" s="170"/>
      <c r="E17" s="163"/>
      <c r="F17" s="164"/>
      <c r="G17" s="171" t="s">
        <v>846</v>
      </c>
      <c r="H17" s="119"/>
      <c r="I17" s="33">
        <f t="shared" ref="I17:AB17" si="3">SUM(I22,I25)</f>
        <v>0</v>
      </c>
      <c r="J17" s="33">
        <f t="shared" si="3"/>
        <v>0</v>
      </c>
      <c r="K17" s="33">
        <f t="shared" si="3"/>
        <v>0</v>
      </c>
      <c r="L17" s="33">
        <f t="shared" si="3"/>
        <v>0</v>
      </c>
      <c r="M17" s="33">
        <f t="shared" si="3"/>
        <v>0</v>
      </c>
      <c r="N17" s="33">
        <f t="shared" si="3"/>
        <v>0</v>
      </c>
      <c r="O17" s="33">
        <f t="shared" si="3"/>
        <v>0</v>
      </c>
      <c r="P17" s="33">
        <f t="shared" si="3"/>
        <v>0</v>
      </c>
      <c r="Q17" s="33">
        <f t="shared" si="3"/>
        <v>0</v>
      </c>
      <c r="R17" s="33">
        <f t="shared" si="3"/>
        <v>0</v>
      </c>
      <c r="S17" s="33">
        <f t="shared" si="3"/>
        <v>0</v>
      </c>
      <c r="T17" s="33">
        <f t="shared" si="3"/>
        <v>0</v>
      </c>
      <c r="U17" s="33">
        <f t="shared" si="3"/>
        <v>0</v>
      </c>
      <c r="V17" s="33">
        <f t="shared" si="3"/>
        <v>0</v>
      </c>
      <c r="W17" s="33">
        <f t="shared" si="3"/>
        <v>0</v>
      </c>
      <c r="X17" s="33">
        <f t="shared" si="3"/>
        <v>0</v>
      </c>
      <c r="Y17" s="33">
        <f t="shared" si="3"/>
        <v>0</v>
      </c>
      <c r="Z17" s="33">
        <f t="shared" si="3"/>
        <v>0</v>
      </c>
      <c r="AA17" s="33">
        <f t="shared" si="3"/>
        <v>0</v>
      </c>
      <c r="AB17" s="33">
        <f t="shared" si="3"/>
        <v>0</v>
      </c>
      <c r="AC17" s="33">
        <f t="shared" si="0"/>
        <v>0</v>
      </c>
      <c r="AD17" s="33">
        <f t="shared" si="0"/>
        <v>0</v>
      </c>
    </row>
    <row r="18" spans="1:30" x14ac:dyDescent="0.2">
      <c r="A18" s="166"/>
      <c r="B18" s="172" t="s">
        <v>12</v>
      </c>
      <c r="C18" s="170" t="s">
        <v>847</v>
      </c>
      <c r="D18" s="170"/>
      <c r="E18" s="163"/>
      <c r="F18" s="164"/>
      <c r="G18" s="171" t="s">
        <v>848</v>
      </c>
      <c r="H18" s="119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33">
        <f t="shared" si="0"/>
        <v>0</v>
      </c>
      <c r="AD18" s="33">
        <f t="shared" si="0"/>
        <v>0</v>
      </c>
    </row>
    <row r="19" spans="1:30" x14ac:dyDescent="0.2">
      <c r="A19" s="166"/>
      <c r="B19" s="172"/>
      <c r="C19" s="173" t="s">
        <v>849</v>
      </c>
      <c r="D19" s="170"/>
      <c r="E19" s="163"/>
      <c r="F19" s="164"/>
      <c r="G19" s="171" t="s">
        <v>850</v>
      </c>
      <c r="H19" s="119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188"/>
      <c r="Z19" s="188"/>
      <c r="AA19" s="188"/>
      <c r="AB19" s="188"/>
      <c r="AC19" s="33">
        <f t="shared" si="0"/>
        <v>0</v>
      </c>
      <c r="AD19" s="33">
        <f t="shared" si="0"/>
        <v>0</v>
      </c>
    </row>
    <row r="20" spans="1:30" x14ac:dyDescent="0.2">
      <c r="A20" s="166"/>
      <c r="B20" s="172"/>
      <c r="C20" s="170" t="s">
        <v>851</v>
      </c>
      <c r="D20" s="170"/>
      <c r="E20" s="163"/>
      <c r="F20" s="164"/>
      <c r="G20" s="171" t="s">
        <v>852</v>
      </c>
      <c r="H20" s="119"/>
      <c r="I20" s="33">
        <f t="shared" ref="I20:AB20" si="4">SUM(I18,I19)</f>
        <v>0</v>
      </c>
      <c r="J20" s="33">
        <f t="shared" si="4"/>
        <v>0</v>
      </c>
      <c r="K20" s="33">
        <f t="shared" si="4"/>
        <v>0</v>
      </c>
      <c r="L20" s="33">
        <f t="shared" si="4"/>
        <v>0</v>
      </c>
      <c r="M20" s="33">
        <f t="shared" si="4"/>
        <v>0</v>
      </c>
      <c r="N20" s="33">
        <f t="shared" si="4"/>
        <v>0</v>
      </c>
      <c r="O20" s="33">
        <f t="shared" si="4"/>
        <v>0</v>
      </c>
      <c r="P20" s="33">
        <f t="shared" si="4"/>
        <v>0</v>
      </c>
      <c r="Q20" s="33">
        <f t="shared" si="4"/>
        <v>0</v>
      </c>
      <c r="R20" s="33">
        <f t="shared" si="4"/>
        <v>0</v>
      </c>
      <c r="S20" s="33">
        <f t="shared" si="4"/>
        <v>0</v>
      </c>
      <c r="T20" s="33">
        <f t="shared" si="4"/>
        <v>0</v>
      </c>
      <c r="U20" s="33">
        <f t="shared" si="4"/>
        <v>0</v>
      </c>
      <c r="V20" s="33">
        <f t="shared" si="4"/>
        <v>0</v>
      </c>
      <c r="W20" s="33">
        <f t="shared" si="4"/>
        <v>0</v>
      </c>
      <c r="X20" s="33">
        <f t="shared" si="4"/>
        <v>0</v>
      </c>
      <c r="Y20" s="33">
        <f t="shared" si="4"/>
        <v>0</v>
      </c>
      <c r="Z20" s="33">
        <f t="shared" si="4"/>
        <v>0</v>
      </c>
      <c r="AA20" s="33">
        <f t="shared" si="4"/>
        <v>0</v>
      </c>
      <c r="AB20" s="33">
        <f t="shared" si="4"/>
        <v>0</v>
      </c>
      <c r="AC20" s="33">
        <f t="shared" si="0"/>
        <v>0</v>
      </c>
      <c r="AD20" s="33">
        <f t="shared" si="0"/>
        <v>0</v>
      </c>
    </row>
    <row r="21" spans="1:30" x14ac:dyDescent="0.2">
      <c r="A21" s="166"/>
      <c r="B21" s="172"/>
      <c r="C21" s="173" t="s">
        <v>853</v>
      </c>
      <c r="D21" s="170"/>
      <c r="E21" s="163"/>
      <c r="F21" s="164"/>
      <c r="G21" s="171" t="s">
        <v>854</v>
      </c>
      <c r="H21" s="119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  <c r="U21" s="188"/>
      <c r="V21" s="188"/>
      <c r="W21" s="188"/>
      <c r="X21" s="188"/>
      <c r="Y21" s="188"/>
      <c r="Z21" s="188"/>
      <c r="AA21" s="188"/>
      <c r="AB21" s="188"/>
      <c r="AC21" s="33">
        <f t="shared" si="0"/>
        <v>0</v>
      </c>
      <c r="AD21" s="33">
        <f t="shared" si="0"/>
        <v>0</v>
      </c>
    </row>
    <row r="22" spans="1:30" x14ac:dyDescent="0.2">
      <c r="A22" s="166"/>
      <c r="B22" s="172"/>
      <c r="C22" s="170" t="s">
        <v>855</v>
      </c>
      <c r="D22" s="170"/>
      <c r="E22" s="163"/>
      <c r="F22" s="164"/>
      <c r="G22" s="171" t="s">
        <v>856</v>
      </c>
      <c r="H22" s="119"/>
      <c r="I22" s="33">
        <f t="shared" ref="I22:AB22" si="5">SUM(I20,I21)</f>
        <v>0</v>
      </c>
      <c r="J22" s="33">
        <f t="shared" si="5"/>
        <v>0</v>
      </c>
      <c r="K22" s="33">
        <f t="shared" si="5"/>
        <v>0</v>
      </c>
      <c r="L22" s="33">
        <f t="shared" si="5"/>
        <v>0</v>
      </c>
      <c r="M22" s="33">
        <f t="shared" si="5"/>
        <v>0</v>
      </c>
      <c r="N22" s="33">
        <f t="shared" si="5"/>
        <v>0</v>
      </c>
      <c r="O22" s="33">
        <f t="shared" si="5"/>
        <v>0</v>
      </c>
      <c r="P22" s="33">
        <f t="shared" si="5"/>
        <v>0</v>
      </c>
      <c r="Q22" s="33">
        <f t="shared" si="5"/>
        <v>0</v>
      </c>
      <c r="R22" s="33">
        <f t="shared" si="5"/>
        <v>0</v>
      </c>
      <c r="S22" s="33">
        <f t="shared" si="5"/>
        <v>0</v>
      </c>
      <c r="T22" s="33">
        <f t="shared" si="5"/>
        <v>0</v>
      </c>
      <c r="U22" s="33">
        <f t="shared" si="5"/>
        <v>0</v>
      </c>
      <c r="V22" s="33">
        <f t="shared" si="5"/>
        <v>0</v>
      </c>
      <c r="W22" s="33">
        <f t="shared" si="5"/>
        <v>0</v>
      </c>
      <c r="X22" s="33">
        <f t="shared" si="5"/>
        <v>0</v>
      </c>
      <c r="Y22" s="33">
        <f t="shared" si="5"/>
        <v>0</v>
      </c>
      <c r="Z22" s="33">
        <f t="shared" si="5"/>
        <v>0</v>
      </c>
      <c r="AA22" s="33">
        <f t="shared" si="5"/>
        <v>0</v>
      </c>
      <c r="AB22" s="33">
        <f t="shared" si="5"/>
        <v>0</v>
      </c>
      <c r="AC22" s="33">
        <f t="shared" si="0"/>
        <v>0</v>
      </c>
      <c r="AD22" s="33">
        <f t="shared" si="0"/>
        <v>0</v>
      </c>
    </row>
    <row r="23" spans="1:30" x14ac:dyDescent="0.2">
      <c r="A23" s="166"/>
      <c r="B23" s="172" t="s">
        <v>14</v>
      </c>
      <c r="C23" s="170" t="s">
        <v>857</v>
      </c>
      <c r="D23" s="170"/>
      <c r="E23" s="163"/>
      <c r="F23" s="164"/>
      <c r="G23" s="171" t="s">
        <v>858</v>
      </c>
      <c r="H23" s="119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188"/>
      <c r="AA23" s="188"/>
      <c r="AB23" s="188"/>
      <c r="AC23" s="33">
        <f t="shared" si="0"/>
        <v>0</v>
      </c>
      <c r="AD23" s="33">
        <f t="shared" si="0"/>
        <v>0</v>
      </c>
    </row>
    <row r="24" spans="1:30" x14ac:dyDescent="0.2">
      <c r="A24" s="166"/>
      <c r="B24" s="170"/>
      <c r="C24" s="173" t="s">
        <v>853</v>
      </c>
      <c r="D24" s="170"/>
      <c r="E24" s="163"/>
      <c r="F24" s="164"/>
      <c r="G24" s="171" t="s">
        <v>859</v>
      </c>
      <c r="H24" s="119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188"/>
      <c r="AA24" s="188"/>
      <c r="AB24" s="188"/>
      <c r="AC24" s="33">
        <f t="shared" si="0"/>
        <v>0</v>
      </c>
      <c r="AD24" s="33">
        <f t="shared" si="0"/>
        <v>0</v>
      </c>
    </row>
    <row r="25" spans="1:30" x14ac:dyDescent="0.2">
      <c r="A25" s="166"/>
      <c r="B25" s="167"/>
      <c r="C25" s="170" t="s">
        <v>860</v>
      </c>
      <c r="D25" s="170"/>
      <c r="E25" s="163"/>
      <c r="F25" s="164"/>
      <c r="G25" s="171" t="s">
        <v>861</v>
      </c>
      <c r="H25" s="119"/>
      <c r="I25" s="33">
        <f t="shared" ref="I25:AB25" si="6">SUM(I23,I24)</f>
        <v>0</v>
      </c>
      <c r="J25" s="33">
        <f t="shared" si="6"/>
        <v>0</v>
      </c>
      <c r="K25" s="33">
        <f t="shared" si="6"/>
        <v>0</v>
      </c>
      <c r="L25" s="33">
        <f t="shared" si="6"/>
        <v>0</v>
      </c>
      <c r="M25" s="33">
        <f t="shared" si="6"/>
        <v>0</v>
      </c>
      <c r="N25" s="33">
        <f t="shared" si="6"/>
        <v>0</v>
      </c>
      <c r="O25" s="33">
        <f t="shared" si="6"/>
        <v>0</v>
      </c>
      <c r="P25" s="33">
        <f t="shared" si="6"/>
        <v>0</v>
      </c>
      <c r="Q25" s="33">
        <f t="shared" si="6"/>
        <v>0</v>
      </c>
      <c r="R25" s="33">
        <f t="shared" si="6"/>
        <v>0</v>
      </c>
      <c r="S25" s="33">
        <f t="shared" si="6"/>
        <v>0</v>
      </c>
      <c r="T25" s="33">
        <f t="shared" si="6"/>
        <v>0</v>
      </c>
      <c r="U25" s="33">
        <f t="shared" si="6"/>
        <v>0</v>
      </c>
      <c r="V25" s="33">
        <f t="shared" si="6"/>
        <v>0</v>
      </c>
      <c r="W25" s="33">
        <f t="shared" si="6"/>
        <v>0</v>
      </c>
      <c r="X25" s="33">
        <f t="shared" si="6"/>
        <v>0</v>
      </c>
      <c r="Y25" s="33">
        <f t="shared" si="6"/>
        <v>0</v>
      </c>
      <c r="Z25" s="33">
        <f t="shared" si="6"/>
        <v>0</v>
      </c>
      <c r="AA25" s="33">
        <f t="shared" si="6"/>
        <v>0</v>
      </c>
      <c r="AB25" s="33">
        <f t="shared" si="6"/>
        <v>0</v>
      </c>
      <c r="AC25" s="33">
        <f t="shared" si="0"/>
        <v>0</v>
      </c>
      <c r="AD25" s="33">
        <f t="shared" si="0"/>
        <v>0</v>
      </c>
    </row>
    <row r="26" spans="1:30" x14ac:dyDescent="0.2">
      <c r="A26" s="166"/>
      <c r="B26" s="173" t="s">
        <v>862</v>
      </c>
      <c r="C26" s="173"/>
      <c r="D26" s="173"/>
      <c r="E26" s="163"/>
      <c r="F26" s="164"/>
      <c r="G26" s="171" t="s">
        <v>863</v>
      </c>
      <c r="H26" s="119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33">
        <f t="shared" si="0"/>
        <v>0</v>
      </c>
      <c r="AD26" s="33">
        <f t="shared" si="0"/>
        <v>0</v>
      </c>
    </row>
    <row r="27" spans="1:30" x14ac:dyDescent="0.2">
      <c r="A27" s="166"/>
      <c r="B27" s="170" t="s">
        <v>864</v>
      </c>
      <c r="C27" s="170"/>
      <c r="D27" s="170"/>
      <c r="E27" s="163"/>
      <c r="F27" s="164"/>
      <c r="G27" s="171" t="s">
        <v>865</v>
      </c>
      <c r="H27" s="119"/>
      <c r="I27" s="33">
        <f t="shared" ref="I27:AB27" si="7">I17-I26</f>
        <v>0</v>
      </c>
      <c r="J27" s="33">
        <f t="shared" si="7"/>
        <v>0</v>
      </c>
      <c r="K27" s="33">
        <f t="shared" si="7"/>
        <v>0</v>
      </c>
      <c r="L27" s="33">
        <f t="shared" si="7"/>
        <v>0</v>
      </c>
      <c r="M27" s="33">
        <f t="shared" si="7"/>
        <v>0</v>
      </c>
      <c r="N27" s="33">
        <f t="shared" si="7"/>
        <v>0</v>
      </c>
      <c r="O27" s="33">
        <f t="shared" si="7"/>
        <v>0</v>
      </c>
      <c r="P27" s="33">
        <f t="shared" si="7"/>
        <v>0</v>
      </c>
      <c r="Q27" s="33">
        <f t="shared" si="7"/>
        <v>0</v>
      </c>
      <c r="R27" s="33">
        <f t="shared" si="7"/>
        <v>0</v>
      </c>
      <c r="S27" s="33">
        <f t="shared" si="7"/>
        <v>0</v>
      </c>
      <c r="T27" s="33">
        <f t="shared" si="7"/>
        <v>0</v>
      </c>
      <c r="U27" s="33">
        <f t="shared" si="7"/>
        <v>0</v>
      </c>
      <c r="V27" s="33">
        <f t="shared" si="7"/>
        <v>0</v>
      </c>
      <c r="W27" s="33">
        <f t="shared" si="7"/>
        <v>0</v>
      </c>
      <c r="X27" s="33">
        <f t="shared" si="7"/>
        <v>0</v>
      </c>
      <c r="Y27" s="33">
        <f t="shared" si="7"/>
        <v>0</v>
      </c>
      <c r="Z27" s="33">
        <f t="shared" si="7"/>
        <v>0</v>
      </c>
      <c r="AA27" s="33">
        <f t="shared" si="7"/>
        <v>0</v>
      </c>
      <c r="AB27" s="33">
        <f t="shared" si="7"/>
        <v>0</v>
      </c>
      <c r="AC27" s="33">
        <f t="shared" si="0"/>
        <v>0</v>
      </c>
      <c r="AD27" s="33">
        <f t="shared" si="0"/>
        <v>0</v>
      </c>
    </row>
    <row r="28" spans="1:30" x14ac:dyDescent="0.2">
      <c r="A28" s="166" t="s">
        <v>31</v>
      </c>
      <c r="B28" s="170" t="s">
        <v>866</v>
      </c>
      <c r="C28" s="170"/>
      <c r="D28" s="170"/>
      <c r="E28" s="163"/>
      <c r="F28" s="164"/>
      <c r="G28" s="171" t="s">
        <v>867</v>
      </c>
      <c r="H28" s="119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33">
        <f t="shared" si="0"/>
        <v>0</v>
      </c>
      <c r="AD28" s="33">
        <f t="shared" si="0"/>
        <v>0</v>
      </c>
    </row>
    <row r="29" spans="1:30" x14ac:dyDescent="0.2">
      <c r="A29" s="166"/>
      <c r="B29" s="170"/>
      <c r="C29" s="173" t="s">
        <v>849</v>
      </c>
      <c r="D29" s="170"/>
      <c r="E29" s="163"/>
      <c r="F29" s="164"/>
      <c r="G29" s="171" t="s">
        <v>868</v>
      </c>
      <c r="H29" s="119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88"/>
      <c r="V29" s="188"/>
      <c r="W29" s="188"/>
      <c r="X29" s="188"/>
      <c r="Y29" s="188"/>
      <c r="Z29" s="188"/>
      <c r="AA29" s="188"/>
      <c r="AB29" s="188"/>
      <c r="AC29" s="33">
        <f t="shared" si="0"/>
        <v>0</v>
      </c>
      <c r="AD29" s="33">
        <f t="shared" si="0"/>
        <v>0</v>
      </c>
    </row>
    <row r="30" spans="1:30" x14ac:dyDescent="0.2">
      <c r="A30" s="166"/>
      <c r="B30" s="170"/>
      <c r="C30" s="170" t="s">
        <v>869</v>
      </c>
      <c r="D30" s="170"/>
      <c r="E30" s="163"/>
      <c r="F30" s="164"/>
      <c r="G30" s="171" t="s">
        <v>870</v>
      </c>
      <c r="H30" s="119"/>
      <c r="I30" s="33">
        <f t="shared" ref="I30:AB30" si="8">SUM(I28,I29)</f>
        <v>0</v>
      </c>
      <c r="J30" s="33">
        <f t="shared" si="8"/>
        <v>0</v>
      </c>
      <c r="K30" s="33">
        <f t="shared" si="8"/>
        <v>0</v>
      </c>
      <c r="L30" s="33">
        <f t="shared" si="8"/>
        <v>0</v>
      </c>
      <c r="M30" s="33">
        <f t="shared" si="8"/>
        <v>0</v>
      </c>
      <c r="N30" s="33">
        <f t="shared" si="8"/>
        <v>0</v>
      </c>
      <c r="O30" s="33">
        <f t="shared" si="8"/>
        <v>0</v>
      </c>
      <c r="P30" s="33">
        <f t="shared" si="8"/>
        <v>0</v>
      </c>
      <c r="Q30" s="33">
        <f t="shared" si="8"/>
        <v>0</v>
      </c>
      <c r="R30" s="33">
        <f t="shared" si="8"/>
        <v>0</v>
      </c>
      <c r="S30" s="33">
        <f t="shared" si="8"/>
        <v>0</v>
      </c>
      <c r="T30" s="33">
        <f t="shared" si="8"/>
        <v>0</v>
      </c>
      <c r="U30" s="33">
        <f t="shared" si="8"/>
        <v>0</v>
      </c>
      <c r="V30" s="33">
        <f t="shared" si="8"/>
        <v>0</v>
      </c>
      <c r="W30" s="33">
        <f t="shared" si="8"/>
        <v>0</v>
      </c>
      <c r="X30" s="33">
        <f t="shared" si="8"/>
        <v>0</v>
      </c>
      <c r="Y30" s="33">
        <f t="shared" si="8"/>
        <v>0</v>
      </c>
      <c r="Z30" s="33">
        <f t="shared" si="8"/>
        <v>0</v>
      </c>
      <c r="AA30" s="33">
        <f t="shared" si="8"/>
        <v>0</v>
      </c>
      <c r="AB30" s="33">
        <f t="shared" si="8"/>
        <v>0</v>
      </c>
      <c r="AC30" s="33">
        <f t="shared" si="0"/>
        <v>0</v>
      </c>
      <c r="AD30" s="33">
        <f t="shared" si="0"/>
        <v>0</v>
      </c>
    </row>
    <row r="31" spans="1:30" x14ac:dyDescent="0.2">
      <c r="A31" s="166"/>
      <c r="B31" s="173" t="s">
        <v>862</v>
      </c>
      <c r="C31" s="170"/>
      <c r="D31" s="170"/>
      <c r="E31" s="163"/>
      <c r="F31" s="164"/>
      <c r="G31" s="171" t="s">
        <v>871</v>
      </c>
      <c r="H31" s="119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Y31" s="188"/>
      <c r="Z31" s="188"/>
      <c r="AA31" s="188"/>
      <c r="AB31" s="188"/>
      <c r="AC31" s="33">
        <f t="shared" si="0"/>
        <v>0</v>
      </c>
      <c r="AD31" s="33">
        <f t="shared" si="0"/>
        <v>0</v>
      </c>
    </row>
    <row r="32" spans="1:30" x14ac:dyDescent="0.2">
      <c r="A32" s="174"/>
      <c r="B32" s="170" t="s">
        <v>872</v>
      </c>
      <c r="C32" s="170"/>
      <c r="D32" s="170"/>
      <c r="E32" s="163"/>
      <c r="F32" s="164"/>
      <c r="G32" s="171" t="s">
        <v>873</v>
      </c>
      <c r="H32" s="119"/>
      <c r="I32" s="33">
        <f t="shared" ref="I32:AB32" si="9">I30-I31</f>
        <v>0</v>
      </c>
      <c r="J32" s="33">
        <f t="shared" si="9"/>
        <v>0</v>
      </c>
      <c r="K32" s="33">
        <f t="shared" si="9"/>
        <v>0</v>
      </c>
      <c r="L32" s="33">
        <f t="shared" si="9"/>
        <v>0</v>
      </c>
      <c r="M32" s="33">
        <f t="shared" si="9"/>
        <v>0</v>
      </c>
      <c r="N32" s="33">
        <f t="shared" si="9"/>
        <v>0</v>
      </c>
      <c r="O32" s="33">
        <f t="shared" si="9"/>
        <v>0</v>
      </c>
      <c r="P32" s="33">
        <f t="shared" si="9"/>
        <v>0</v>
      </c>
      <c r="Q32" s="33">
        <f t="shared" si="9"/>
        <v>0</v>
      </c>
      <c r="R32" s="33">
        <f t="shared" si="9"/>
        <v>0</v>
      </c>
      <c r="S32" s="33">
        <f t="shared" si="9"/>
        <v>0</v>
      </c>
      <c r="T32" s="33">
        <f t="shared" si="9"/>
        <v>0</v>
      </c>
      <c r="U32" s="33">
        <f t="shared" si="9"/>
        <v>0</v>
      </c>
      <c r="V32" s="33">
        <f t="shared" si="9"/>
        <v>0</v>
      </c>
      <c r="W32" s="33">
        <f t="shared" si="9"/>
        <v>0</v>
      </c>
      <c r="X32" s="33">
        <f t="shared" si="9"/>
        <v>0</v>
      </c>
      <c r="Y32" s="33">
        <f t="shared" si="9"/>
        <v>0</v>
      </c>
      <c r="Z32" s="33">
        <f t="shared" si="9"/>
        <v>0</v>
      </c>
      <c r="AA32" s="33">
        <f t="shared" si="9"/>
        <v>0</v>
      </c>
      <c r="AB32" s="33">
        <f t="shared" si="9"/>
        <v>0</v>
      </c>
      <c r="AC32" s="33">
        <f t="shared" si="0"/>
        <v>0</v>
      </c>
      <c r="AD32" s="33">
        <f t="shared" si="0"/>
        <v>0</v>
      </c>
    </row>
    <row r="33" spans="1:30" x14ac:dyDescent="0.2">
      <c r="A33" s="166" t="s">
        <v>38</v>
      </c>
      <c r="B33" s="170" t="s">
        <v>874</v>
      </c>
      <c r="C33" s="170"/>
      <c r="D33" s="170"/>
      <c r="E33" s="163"/>
      <c r="F33" s="164"/>
      <c r="G33" s="171" t="s">
        <v>875</v>
      </c>
      <c r="H33" s="119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188"/>
      <c r="U33" s="188"/>
      <c r="V33" s="188"/>
      <c r="W33" s="188"/>
      <c r="X33" s="188"/>
      <c r="Y33" s="188"/>
      <c r="Z33" s="188"/>
      <c r="AA33" s="188"/>
      <c r="AB33" s="188"/>
      <c r="AC33" s="33">
        <f t="shared" si="0"/>
        <v>0</v>
      </c>
      <c r="AD33" s="33">
        <f t="shared" si="0"/>
        <v>0</v>
      </c>
    </row>
    <row r="34" spans="1:30" x14ac:dyDescent="0.2">
      <c r="A34" s="174"/>
      <c r="B34" s="170"/>
      <c r="C34" s="173" t="s">
        <v>849</v>
      </c>
      <c r="D34" s="170"/>
      <c r="E34" s="163"/>
      <c r="F34" s="164"/>
      <c r="G34" s="171" t="s">
        <v>876</v>
      </c>
      <c r="H34" s="119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33">
        <f t="shared" si="0"/>
        <v>0</v>
      </c>
      <c r="AD34" s="33">
        <f t="shared" si="0"/>
        <v>0</v>
      </c>
    </row>
    <row r="35" spans="1:30" ht="25.5" customHeight="1" x14ac:dyDescent="0.2">
      <c r="A35" s="174"/>
      <c r="B35" s="170"/>
      <c r="C35" s="203" t="s">
        <v>877</v>
      </c>
      <c r="D35" s="203"/>
      <c r="E35" s="204"/>
      <c r="F35" s="164"/>
      <c r="G35" s="171" t="s">
        <v>878</v>
      </c>
      <c r="H35" s="119"/>
      <c r="I35" s="33">
        <f t="shared" ref="I35:AB35" si="10">SUM(I33:I34)</f>
        <v>0</v>
      </c>
      <c r="J35" s="33">
        <f t="shared" si="10"/>
        <v>0</v>
      </c>
      <c r="K35" s="33">
        <f t="shared" si="10"/>
        <v>0</v>
      </c>
      <c r="L35" s="33">
        <f t="shared" si="10"/>
        <v>0</v>
      </c>
      <c r="M35" s="33">
        <f t="shared" si="10"/>
        <v>0</v>
      </c>
      <c r="N35" s="33">
        <f t="shared" si="10"/>
        <v>0</v>
      </c>
      <c r="O35" s="33">
        <f t="shared" si="10"/>
        <v>0</v>
      </c>
      <c r="P35" s="33">
        <f t="shared" si="10"/>
        <v>0</v>
      </c>
      <c r="Q35" s="33">
        <f t="shared" si="10"/>
        <v>0</v>
      </c>
      <c r="R35" s="33">
        <f t="shared" si="10"/>
        <v>0</v>
      </c>
      <c r="S35" s="33">
        <f t="shared" si="10"/>
        <v>0</v>
      </c>
      <c r="T35" s="33">
        <f t="shared" si="10"/>
        <v>0</v>
      </c>
      <c r="U35" s="33">
        <f t="shared" si="10"/>
        <v>0</v>
      </c>
      <c r="V35" s="33">
        <f t="shared" si="10"/>
        <v>0</v>
      </c>
      <c r="W35" s="33">
        <f t="shared" si="10"/>
        <v>0</v>
      </c>
      <c r="X35" s="33">
        <f t="shared" si="10"/>
        <v>0</v>
      </c>
      <c r="Y35" s="33">
        <f t="shared" si="10"/>
        <v>0</v>
      </c>
      <c r="Z35" s="33">
        <f t="shared" si="10"/>
        <v>0</v>
      </c>
      <c r="AA35" s="33">
        <f t="shared" si="10"/>
        <v>0</v>
      </c>
      <c r="AB35" s="33">
        <f t="shared" si="10"/>
        <v>0</v>
      </c>
      <c r="AC35" s="33">
        <f t="shared" si="0"/>
        <v>0</v>
      </c>
      <c r="AD35" s="33">
        <f t="shared" si="0"/>
        <v>0</v>
      </c>
    </row>
    <row r="36" spans="1:30" x14ac:dyDescent="0.2">
      <c r="A36" s="174"/>
      <c r="B36" s="173" t="s">
        <v>862</v>
      </c>
      <c r="C36" s="170"/>
      <c r="D36" s="170"/>
      <c r="E36" s="163"/>
      <c r="F36" s="164"/>
      <c r="G36" s="171" t="s">
        <v>879</v>
      </c>
      <c r="H36" s="119"/>
      <c r="I36" s="188"/>
      <c r="J36" s="188"/>
      <c r="K36" s="188"/>
      <c r="L36" s="188"/>
      <c r="M36" s="188"/>
      <c r="N36" s="188"/>
      <c r="O36" s="188"/>
      <c r="P36" s="188"/>
      <c r="Q36" s="188"/>
      <c r="R36" s="188"/>
      <c r="S36" s="188"/>
      <c r="T36" s="188"/>
      <c r="U36" s="188"/>
      <c r="V36" s="188"/>
      <c r="W36" s="188"/>
      <c r="X36" s="188"/>
      <c r="Y36" s="188"/>
      <c r="Z36" s="188"/>
      <c r="AA36" s="188"/>
      <c r="AB36" s="188"/>
      <c r="AC36" s="33">
        <f t="shared" si="0"/>
        <v>0</v>
      </c>
      <c r="AD36" s="33">
        <f t="shared" si="0"/>
        <v>0</v>
      </c>
    </row>
    <row r="37" spans="1:30" x14ac:dyDescent="0.2">
      <c r="A37" s="174"/>
      <c r="B37" s="170" t="s">
        <v>880</v>
      </c>
      <c r="C37" s="170"/>
      <c r="D37" s="170"/>
      <c r="E37" s="163"/>
      <c r="F37" s="164"/>
      <c r="G37" s="171" t="s">
        <v>881</v>
      </c>
      <c r="H37" s="119"/>
      <c r="I37" s="33">
        <f t="shared" ref="I37:AB37" si="11">I35-I36</f>
        <v>0</v>
      </c>
      <c r="J37" s="33">
        <f t="shared" si="11"/>
        <v>0</v>
      </c>
      <c r="K37" s="33">
        <f t="shared" si="11"/>
        <v>0</v>
      </c>
      <c r="L37" s="33">
        <f t="shared" si="11"/>
        <v>0</v>
      </c>
      <c r="M37" s="33">
        <f t="shared" si="11"/>
        <v>0</v>
      </c>
      <c r="N37" s="33">
        <f t="shared" si="11"/>
        <v>0</v>
      </c>
      <c r="O37" s="33">
        <f t="shared" si="11"/>
        <v>0</v>
      </c>
      <c r="P37" s="33">
        <f t="shared" si="11"/>
        <v>0</v>
      </c>
      <c r="Q37" s="33">
        <f t="shared" si="11"/>
        <v>0</v>
      </c>
      <c r="R37" s="33">
        <f t="shared" si="11"/>
        <v>0</v>
      </c>
      <c r="S37" s="33">
        <f t="shared" si="11"/>
        <v>0</v>
      </c>
      <c r="T37" s="33">
        <f t="shared" si="11"/>
        <v>0</v>
      </c>
      <c r="U37" s="33">
        <f t="shared" si="11"/>
        <v>0</v>
      </c>
      <c r="V37" s="33">
        <f t="shared" si="11"/>
        <v>0</v>
      </c>
      <c r="W37" s="33">
        <f t="shared" si="11"/>
        <v>0</v>
      </c>
      <c r="X37" s="33">
        <f t="shared" si="11"/>
        <v>0</v>
      </c>
      <c r="Y37" s="33">
        <f t="shared" si="11"/>
        <v>0</v>
      </c>
      <c r="Z37" s="33">
        <f t="shared" si="11"/>
        <v>0</v>
      </c>
      <c r="AA37" s="33">
        <f t="shared" si="11"/>
        <v>0</v>
      </c>
      <c r="AB37" s="33">
        <f t="shared" si="11"/>
        <v>0</v>
      </c>
      <c r="AC37" s="33">
        <f t="shared" si="0"/>
        <v>0</v>
      </c>
      <c r="AD37" s="33">
        <f t="shared" si="0"/>
        <v>0</v>
      </c>
    </row>
    <row r="38" spans="1:30" x14ac:dyDescent="0.2">
      <c r="A38" s="166" t="s">
        <v>42</v>
      </c>
      <c r="B38" s="170" t="s">
        <v>882</v>
      </c>
      <c r="C38" s="170"/>
      <c r="D38" s="170"/>
      <c r="E38" s="163"/>
      <c r="F38" s="164"/>
      <c r="G38" s="171" t="s">
        <v>883</v>
      </c>
      <c r="H38" s="119"/>
      <c r="I38" s="188"/>
      <c r="J38" s="188"/>
      <c r="K38" s="188"/>
      <c r="L38" s="188"/>
      <c r="M38" s="188"/>
      <c r="N38" s="188"/>
      <c r="O38" s="188"/>
      <c r="P38" s="188"/>
      <c r="Q38" s="188"/>
      <c r="R38" s="188"/>
      <c r="S38" s="188"/>
      <c r="T38" s="188"/>
      <c r="U38" s="188"/>
      <c r="V38" s="188"/>
      <c r="W38" s="188"/>
      <c r="X38" s="188"/>
      <c r="Y38" s="188"/>
      <c r="Z38" s="188"/>
      <c r="AA38" s="188"/>
      <c r="AB38" s="188"/>
      <c r="AC38" s="33">
        <f t="shared" si="0"/>
        <v>0</v>
      </c>
      <c r="AD38" s="33">
        <f t="shared" si="0"/>
        <v>0</v>
      </c>
    </row>
    <row r="39" spans="1:30" x14ac:dyDescent="0.2">
      <c r="A39" s="166"/>
      <c r="B39" s="173" t="s">
        <v>862</v>
      </c>
      <c r="C39" s="170"/>
      <c r="D39" s="170"/>
      <c r="E39" s="163"/>
      <c r="F39" s="164"/>
      <c r="G39" s="171" t="s">
        <v>884</v>
      </c>
      <c r="H39" s="119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88"/>
      <c r="V39" s="188"/>
      <c r="W39" s="188"/>
      <c r="X39" s="188"/>
      <c r="Y39" s="188"/>
      <c r="Z39" s="188"/>
      <c r="AA39" s="188"/>
      <c r="AB39" s="188"/>
      <c r="AC39" s="33">
        <f t="shared" si="0"/>
        <v>0</v>
      </c>
      <c r="AD39" s="33">
        <f t="shared" si="0"/>
        <v>0</v>
      </c>
    </row>
    <row r="40" spans="1:30" x14ac:dyDescent="0.2">
      <c r="A40" s="166"/>
      <c r="B40" s="170" t="s">
        <v>885</v>
      </c>
      <c r="C40" s="170"/>
      <c r="D40" s="170"/>
      <c r="E40" s="163"/>
      <c r="F40" s="164"/>
      <c r="G40" s="171" t="s">
        <v>886</v>
      </c>
      <c r="H40" s="119"/>
      <c r="I40" s="33">
        <f t="shared" ref="I40:AB40" si="12">I38-I39</f>
        <v>0</v>
      </c>
      <c r="J40" s="33">
        <f t="shared" si="12"/>
        <v>0</v>
      </c>
      <c r="K40" s="33">
        <f t="shared" si="12"/>
        <v>0</v>
      </c>
      <c r="L40" s="33">
        <f t="shared" si="12"/>
        <v>0</v>
      </c>
      <c r="M40" s="33">
        <f t="shared" si="12"/>
        <v>0</v>
      </c>
      <c r="N40" s="33">
        <f t="shared" si="12"/>
        <v>0</v>
      </c>
      <c r="O40" s="33">
        <f t="shared" si="12"/>
        <v>0</v>
      </c>
      <c r="P40" s="33">
        <f t="shared" si="12"/>
        <v>0</v>
      </c>
      <c r="Q40" s="33">
        <f t="shared" si="12"/>
        <v>0</v>
      </c>
      <c r="R40" s="33">
        <f t="shared" si="12"/>
        <v>0</v>
      </c>
      <c r="S40" s="33">
        <f t="shared" si="12"/>
        <v>0</v>
      </c>
      <c r="T40" s="33">
        <f t="shared" si="12"/>
        <v>0</v>
      </c>
      <c r="U40" s="33">
        <f t="shared" si="12"/>
        <v>0</v>
      </c>
      <c r="V40" s="33">
        <f t="shared" si="12"/>
        <v>0</v>
      </c>
      <c r="W40" s="33">
        <f t="shared" si="12"/>
        <v>0</v>
      </c>
      <c r="X40" s="33">
        <f t="shared" si="12"/>
        <v>0</v>
      </c>
      <c r="Y40" s="33">
        <f t="shared" si="12"/>
        <v>0</v>
      </c>
      <c r="Z40" s="33">
        <f t="shared" si="12"/>
        <v>0</v>
      </c>
      <c r="AA40" s="33">
        <f t="shared" si="12"/>
        <v>0</v>
      </c>
      <c r="AB40" s="33">
        <f t="shared" si="12"/>
        <v>0</v>
      </c>
      <c r="AC40" s="33">
        <f t="shared" si="0"/>
        <v>0</v>
      </c>
      <c r="AD40" s="33">
        <f t="shared" si="0"/>
        <v>0</v>
      </c>
    </row>
    <row r="41" spans="1:30" x14ac:dyDescent="0.2">
      <c r="A41" s="166" t="s">
        <v>44</v>
      </c>
      <c r="B41" s="170" t="s">
        <v>887</v>
      </c>
      <c r="C41" s="170"/>
      <c r="D41" s="170"/>
      <c r="E41" s="163"/>
      <c r="F41" s="164"/>
      <c r="G41" s="171" t="s">
        <v>888</v>
      </c>
      <c r="H41" s="119"/>
      <c r="I41" s="188"/>
      <c r="J41" s="188"/>
      <c r="K41" s="188"/>
      <c r="L41" s="188"/>
      <c r="M41" s="188"/>
      <c r="N41" s="188"/>
      <c r="O41" s="188"/>
      <c r="P41" s="188"/>
      <c r="Q41" s="188"/>
      <c r="R41" s="188"/>
      <c r="S41" s="188"/>
      <c r="T41" s="188"/>
      <c r="U41" s="188"/>
      <c r="V41" s="188"/>
      <c r="W41" s="188"/>
      <c r="X41" s="188"/>
      <c r="Y41" s="188"/>
      <c r="Z41" s="188"/>
      <c r="AA41" s="188"/>
      <c r="AB41" s="188"/>
      <c r="AC41" s="33">
        <f t="shared" ref="AC41:AD69" si="13">I41+K41+M41+O41+Q41+S41+U41+W41+Y41+AA41</f>
        <v>0</v>
      </c>
      <c r="AD41" s="33">
        <f t="shared" si="13"/>
        <v>0</v>
      </c>
    </row>
    <row r="42" spans="1:30" x14ac:dyDescent="0.2">
      <c r="A42" s="166"/>
      <c r="B42" s="173" t="s">
        <v>889</v>
      </c>
      <c r="C42" s="170"/>
      <c r="D42" s="170"/>
      <c r="E42" s="163"/>
      <c r="F42" s="164"/>
      <c r="G42" s="171" t="s">
        <v>890</v>
      </c>
      <c r="H42" s="119"/>
      <c r="I42" s="188"/>
      <c r="J42" s="188"/>
      <c r="K42" s="188"/>
      <c r="L42" s="188"/>
      <c r="M42" s="188"/>
      <c r="N42" s="188"/>
      <c r="O42" s="188"/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  <c r="AB42" s="188"/>
      <c r="AC42" s="33">
        <f t="shared" si="13"/>
        <v>0</v>
      </c>
      <c r="AD42" s="33">
        <f t="shared" si="13"/>
        <v>0</v>
      </c>
    </row>
    <row r="43" spans="1:30" x14ac:dyDescent="0.2">
      <c r="A43" s="166"/>
      <c r="B43" s="170" t="s">
        <v>891</v>
      </c>
      <c r="C43" s="170"/>
      <c r="D43" s="170"/>
      <c r="E43" s="163"/>
      <c r="F43" s="164"/>
      <c r="G43" s="171" t="s">
        <v>892</v>
      </c>
      <c r="H43" s="119"/>
      <c r="I43" s="33">
        <f t="shared" ref="I43:AB43" si="14">SUM(I41:I42)</f>
        <v>0</v>
      </c>
      <c r="J43" s="33">
        <f t="shared" si="14"/>
        <v>0</v>
      </c>
      <c r="K43" s="33">
        <f t="shared" si="14"/>
        <v>0</v>
      </c>
      <c r="L43" s="33">
        <f t="shared" si="14"/>
        <v>0</v>
      </c>
      <c r="M43" s="33">
        <f t="shared" si="14"/>
        <v>0</v>
      </c>
      <c r="N43" s="33">
        <f t="shared" si="14"/>
        <v>0</v>
      </c>
      <c r="O43" s="33">
        <f t="shared" si="14"/>
        <v>0</v>
      </c>
      <c r="P43" s="33">
        <f t="shared" si="14"/>
        <v>0</v>
      </c>
      <c r="Q43" s="33">
        <f t="shared" si="14"/>
        <v>0</v>
      </c>
      <c r="R43" s="33">
        <f t="shared" si="14"/>
        <v>0</v>
      </c>
      <c r="S43" s="33">
        <f t="shared" si="14"/>
        <v>0</v>
      </c>
      <c r="T43" s="33">
        <f t="shared" si="14"/>
        <v>0</v>
      </c>
      <c r="U43" s="33">
        <f t="shared" si="14"/>
        <v>0</v>
      </c>
      <c r="V43" s="33">
        <f t="shared" si="14"/>
        <v>0</v>
      </c>
      <c r="W43" s="33">
        <f t="shared" si="14"/>
        <v>0</v>
      </c>
      <c r="X43" s="33">
        <f t="shared" si="14"/>
        <v>0</v>
      </c>
      <c r="Y43" s="33">
        <f t="shared" si="14"/>
        <v>0</v>
      </c>
      <c r="Z43" s="33">
        <f t="shared" si="14"/>
        <v>0</v>
      </c>
      <c r="AA43" s="33">
        <f t="shared" si="14"/>
        <v>0</v>
      </c>
      <c r="AB43" s="33">
        <f t="shared" si="14"/>
        <v>0</v>
      </c>
      <c r="AC43" s="33">
        <f t="shared" si="13"/>
        <v>0</v>
      </c>
      <c r="AD43" s="33">
        <f t="shared" si="13"/>
        <v>0</v>
      </c>
    </row>
    <row r="44" spans="1:30" x14ac:dyDescent="0.2">
      <c r="A44" s="174"/>
      <c r="B44" s="173" t="s">
        <v>862</v>
      </c>
      <c r="C44" s="167"/>
      <c r="D44" s="173"/>
      <c r="E44" s="163"/>
      <c r="F44" s="164"/>
      <c r="G44" s="171" t="s">
        <v>893</v>
      </c>
      <c r="H44" s="119"/>
      <c r="I44" s="188"/>
      <c r="J44" s="188"/>
      <c r="K44" s="188"/>
      <c r="L44" s="188"/>
      <c r="M44" s="188"/>
      <c r="N44" s="188"/>
      <c r="O44" s="188"/>
      <c r="P44" s="188"/>
      <c r="Q44" s="188"/>
      <c r="R44" s="188"/>
      <c r="S44" s="188"/>
      <c r="T44" s="188"/>
      <c r="U44" s="188"/>
      <c r="V44" s="188"/>
      <c r="W44" s="188"/>
      <c r="X44" s="188"/>
      <c r="Y44" s="188"/>
      <c r="Z44" s="188"/>
      <c r="AA44" s="188"/>
      <c r="AB44" s="188"/>
      <c r="AC44" s="33">
        <f t="shared" si="13"/>
        <v>0</v>
      </c>
      <c r="AD44" s="33">
        <f t="shared" si="13"/>
        <v>0</v>
      </c>
    </row>
    <row r="45" spans="1:30" x14ac:dyDescent="0.2">
      <c r="A45" s="174"/>
      <c r="B45" s="203" t="s">
        <v>894</v>
      </c>
      <c r="C45" s="203"/>
      <c r="D45" s="203"/>
      <c r="E45" s="204"/>
      <c r="F45" s="164"/>
      <c r="G45" s="175" t="s">
        <v>895</v>
      </c>
      <c r="H45" s="119"/>
      <c r="I45" s="33">
        <f t="shared" ref="I45:AB45" si="15">I43-I44</f>
        <v>0</v>
      </c>
      <c r="J45" s="33">
        <f t="shared" si="15"/>
        <v>0</v>
      </c>
      <c r="K45" s="33">
        <f t="shared" si="15"/>
        <v>0</v>
      </c>
      <c r="L45" s="33">
        <f t="shared" si="15"/>
        <v>0</v>
      </c>
      <c r="M45" s="33">
        <f t="shared" si="15"/>
        <v>0</v>
      </c>
      <c r="N45" s="33">
        <f t="shared" si="15"/>
        <v>0</v>
      </c>
      <c r="O45" s="33">
        <f t="shared" si="15"/>
        <v>0</v>
      </c>
      <c r="P45" s="33">
        <f t="shared" si="15"/>
        <v>0</v>
      </c>
      <c r="Q45" s="33">
        <f t="shared" si="15"/>
        <v>0</v>
      </c>
      <c r="R45" s="33">
        <f t="shared" si="15"/>
        <v>0</v>
      </c>
      <c r="S45" s="33">
        <f t="shared" si="15"/>
        <v>0</v>
      </c>
      <c r="T45" s="33">
        <f t="shared" si="15"/>
        <v>0</v>
      </c>
      <c r="U45" s="33">
        <f t="shared" si="15"/>
        <v>0</v>
      </c>
      <c r="V45" s="33">
        <f t="shared" si="15"/>
        <v>0</v>
      </c>
      <c r="W45" s="33">
        <f t="shared" si="15"/>
        <v>0</v>
      </c>
      <c r="X45" s="33">
        <f t="shared" si="15"/>
        <v>0</v>
      </c>
      <c r="Y45" s="33">
        <f t="shared" si="15"/>
        <v>0</v>
      </c>
      <c r="Z45" s="33">
        <f t="shared" si="15"/>
        <v>0</v>
      </c>
      <c r="AA45" s="33">
        <f t="shared" si="15"/>
        <v>0</v>
      </c>
      <c r="AB45" s="33">
        <f t="shared" si="15"/>
        <v>0</v>
      </c>
      <c r="AC45" s="33">
        <f t="shared" si="13"/>
        <v>0</v>
      </c>
      <c r="AD45" s="33">
        <f t="shared" si="13"/>
        <v>0</v>
      </c>
    </row>
    <row r="46" spans="1:30" x14ac:dyDescent="0.2">
      <c r="A46" s="166" t="s">
        <v>896</v>
      </c>
      <c r="B46" s="203" t="s">
        <v>897</v>
      </c>
      <c r="C46" s="203"/>
      <c r="D46" s="203"/>
      <c r="E46" s="204"/>
      <c r="F46" s="164"/>
      <c r="G46" s="176" t="s">
        <v>898</v>
      </c>
      <c r="H46" s="118"/>
      <c r="I46" s="188"/>
      <c r="J46" s="188"/>
      <c r="K46" s="188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  <c r="X46" s="188"/>
      <c r="Y46" s="188"/>
      <c r="Z46" s="188"/>
      <c r="AA46" s="188"/>
      <c r="AB46" s="188"/>
      <c r="AC46" s="33">
        <f t="shared" si="13"/>
        <v>0</v>
      </c>
      <c r="AD46" s="33">
        <f t="shared" si="13"/>
        <v>0</v>
      </c>
    </row>
    <row r="47" spans="1:30" x14ac:dyDescent="0.2">
      <c r="A47" s="166"/>
      <c r="B47" s="201" t="s">
        <v>862</v>
      </c>
      <c r="C47" s="201"/>
      <c r="D47" s="201"/>
      <c r="E47" s="202"/>
      <c r="F47" s="164"/>
      <c r="G47" s="176" t="s">
        <v>899</v>
      </c>
      <c r="H47" s="118"/>
      <c r="I47" s="188"/>
      <c r="J47" s="188"/>
      <c r="K47" s="188"/>
      <c r="L47" s="188"/>
      <c r="M47" s="188"/>
      <c r="N47" s="188"/>
      <c r="O47" s="188"/>
      <c r="P47" s="188"/>
      <c r="Q47" s="188"/>
      <c r="R47" s="188"/>
      <c r="S47" s="188"/>
      <c r="T47" s="188"/>
      <c r="U47" s="188"/>
      <c r="V47" s="188"/>
      <c r="W47" s="188"/>
      <c r="X47" s="188"/>
      <c r="Y47" s="188"/>
      <c r="Z47" s="188"/>
      <c r="AA47" s="188"/>
      <c r="AB47" s="188"/>
      <c r="AC47" s="33">
        <f t="shared" si="13"/>
        <v>0</v>
      </c>
      <c r="AD47" s="33">
        <f t="shared" si="13"/>
        <v>0</v>
      </c>
    </row>
    <row r="48" spans="1:30" x14ac:dyDescent="0.2">
      <c r="A48" s="166"/>
      <c r="B48" s="203" t="s">
        <v>900</v>
      </c>
      <c r="C48" s="203"/>
      <c r="D48" s="203"/>
      <c r="E48" s="204"/>
      <c r="F48" s="164"/>
      <c r="G48" s="176" t="s">
        <v>901</v>
      </c>
      <c r="H48" s="118"/>
      <c r="I48" s="33">
        <f t="shared" ref="I48:AB48" si="16">I46-I47</f>
        <v>0</v>
      </c>
      <c r="J48" s="33">
        <f t="shared" si="16"/>
        <v>0</v>
      </c>
      <c r="K48" s="33">
        <f t="shared" si="16"/>
        <v>0</v>
      </c>
      <c r="L48" s="33">
        <f t="shared" si="16"/>
        <v>0</v>
      </c>
      <c r="M48" s="33">
        <f t="shared" si="16"/>
        <v>0</v>
      </c>
      <c r="N48" s="33">
        <f t="shared" si="16"/>
        <v>0</v>
      </c>
      <c r="O48" s="33">
        <f t="shared" si="16"/>
        <v>0</v>
      </c>
      <c r="P48" s="33">
        <f t="shared" si="16"/>
        <v>0</v>
      </c>
      <c r="Q48" s="33">
        <f t="shared" si="16"/>
        <v>0</v>
      </c>
      <c r="R48" s="33">
        <f t="shared" si="16"/>
        <v>0</v>
      </c>
      <c r="S48" s="33">
        <f t="shared" si="16"/>
        <v>0</v>
      </c>
      <c r="T48" s="33">
        <f t="shared" si="16"/>
        <v>0</v>
      </c>
      <c r="U48" s="33">
        <f t="shared" si="16"/>
        <v>0</v>
      </c>
      <c r="V48" s="33">
        <f t="shared" si="16"/>
        <v>0</v>
      </c>
      <c r="W48" s="33">
        <f t="shared" si="16"/>
        <v>0</v>
      </c>
      <c r="X48" s="33">
        <f t="shared" si="16"/>
        <v>0</v>
      </c>
      <c r="Y48" s="33">
        <f t="shared" si="16"/>
        <v>0</v>
      </c>
      <c r="Z48" s="33">
        <f t="shared" si="16"/>
        <v>0</v>
      </c>
      <c r="AA48" s="33">
        <f t="shared" si="16"/>
        <v>0</v>
      </c>
      <c r="AB48" s="33">
        <f t="shared" si="16"/>
        <v>0</v>
      </c>
      <c r="AC48" s="33">
        <f t="shared" si="13"/>
        <v>0</v>
      </c>
      <c r="AD48" s="33">
        <f t="shared" si="13"/>
        <v>0</v>
      </c>
    </row>
    <row r="49" spans="1:30" x14ac:dyDescent="0.2">
      <c r="A49" s="174"/>
      <c r="B49" s="173" t="s">
        <v>902</v>
      </c>
      <c r="C49" s="170"/>
      <c r="D49" s="170"/>
      <c r="E49" s="163"/>
      <c r="F49" s="164"/>
      <c r="G49" s="171" t="s">
        <v>903</v>
      </c>
      <c r="H49" s="119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88"/>
      <c r="W49" s="188"/>
      <c r="X49" s="188"/>
      <c r="Y49" s="188"/>
      <c r="Z49" s="188"/>
      <c r="AA49" s="188"/>
      <c r="AB49" s="188"/>
      <c r="AC49" s="33">
        <f t="shared" si="13"/>
        <v>0</v>
      </c>
      <c r="AD49" s="33">
        <f t="shared" si="13"/>
        <v>0</v>
      </c>
    </row>
    <row r="50" spans="1:30" x14ac:dyDescent="0.2">
      <c r="A50" s="174"/>
      <c r="B50" s="201" t="s">
        <v>904</v>
      </c>
      <c r="C50" s="201"/>
      <c r="D50" s="201"/>
      <c r="E50" s="202"/>
      <c r="F50" s="164"/>
      <c r="G50" s="175" t="s">
        <v>905</v>
      </c>
      <c r="H50" s="118"/>
      <c r="I50" s="33">
        <f t="shared" ref="I50:AB50" si="17">SUM(I45,I48)-I49</f>
        <v>0</v>
      </c>
      <c r="J50" s="33">
        <f t="shared" si="17"/>
        <v>0</v>
      </c>
      <c r="K50" s="33">
        <f t="shared" si="17"/>
        <v>0</v>
      </c>
      <c r="L50" s="33">
        <f t="shared" si="17"/>
        <v>0</v>
      </c>
      <c r="M50" s="33">
        <f t="shared" si="17"/>
        <v>0</v>
      </c>
      <c r="N50" s="33">
        <f t="shared" si="17"/>
        <v>0</v>
      </c>
      <c r="O50" s="33">
        <f t="shared" si="17"/>
        <v>0</v>
      </c>
      <c r="P50" s="33">
        <f t="shared" si="17"/>
        <v>0</v>
      </c>
      <c r="Q50" s="33">
        <f t="shared" si="17"/>
        <v>0</v>
      </c>
      <c r="R50" s="33">
        <f t="shared" si="17"/>
        <v>0</v>
      </c>
      <c r="S50" s="33">
        <f t="shared" si="17"/>
        <v>0</v>
      </c>
      <c r="T50" s="33">
        <f t="shared" si="17"/>
        <v>0</v>
      </c>
      <c r="U50" s="33">
        <f t="shared" si="17"/>
        <v>0</v>
      </c>
      <c r="V50" s="33">
        <f t="shared" si="17"/>
        <v>0</v>
      </c>
      <c r="W50" s="33">
        <f t="shared" si="17"/>
        <v>0</v>
      </c>
      <c r="X50" s="33">
        <f t="shared" si="17"/>
        <v>0</v>
      </c>
      <c r="Y50" s="33">
        <f t="shared" si="17"/>
        <v>0</v>
      </c>
      <c r="Z50" s="33">
        <f t="shared" si="17"/>
        <v>0</v>
      </c>
      <c r="AA50" s="33">
        <f t="shared" si="17"/>
        <v>0</v>
      </c>
      <c r="AB50" s="33">
        <f t="shared" si="17"/>
        <v>0</v>
      </c>
      <c r="AC50" s="33">
        <f t="shared" si="13"/>
        <v>0</v>
      </c>
      <c r="AD50" s="33">
        <f t="shared" si="13"/>
        <v>0</v>
      </c>
    </row>
    <row r="51" spans="1:30" x14ac:dyDescent="0.2">
      <c r="A51" s="166" t="s">
        <v>906</v>
      </c>
      <c r="B51" s="203" t="s">
        <v>907</v>
      </c>
      <c r="C51" s="203"/>
      <c r="D51" s="203"/>
      <c r="E51" s="204"/>
      <c r="F51" s="164"/>
      <c r="G51" s="175" t="s">
        <v>908</v>
      </c>
      <c r="H51" s="119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  <c r="AB51" s="188"/>
      <c r="AC51" s="33">
        <f t="shared" si="13"/>
        <v>0</v>
      </c>
      <c r="AD51" s="33">
        <f t="shared" si="13"/>
        <v>0</v>
      </c>
    </row>
    <row r="52" spans="1:30" x14ac:dyDescent="0.2">
      <c r="A52" s="166" t="s">
        <v>909</v>
      </c>
      <c r="B52" s="170" t="s">
        <v>910</v>
      </c>
      <c r="C52" s="170"/>
      <c r="D52" s="170"/>
      <c r="E52" s="163"/>
      <c r="F52" s="164"/>
      <c r="G52" s="171" t="s">
        <v>911</v>
      </c>
      <c r="H52" s="119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33">
        <f t="shared" si="13"/>
        <v>0</v>
      </c>
      <c r="AD52" s="33">
        <f t="shared" si="13"/>
        <v>0</v>
      </c>
    </row>
    <row r="53" spans="1:30" x14ac:dyDescent="0.2">
      <c r="A53" s="166"/>
      <c r="B53" s="173" t="s">
        <v>862</v>
      </c>
      <c r="C53" s="173"/>
      <c r="D53" s="170"/>
      <c r="E53" s="163"/>
      <c r="F53" s="164"/>
      <c r="G53" s="171" t="s">
        <v>912</v>
      </c>
      <c r="H53" s="119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8"/>
      <c r="U53" s="188"/>
      <c r="V53" s="188"/>
      <c r="W53" s="188"/>
      <c r="X53" s="188"/>
      <c r="Y53" s="188"/>
      <c r="Z53" s="188"/>
      <c r="AA53" s="188"/>
      <c r="AB53" s="188"/>
      <c r="AC53" s="33">
        <f t="shared" si="13"/>
        <v>0</v>
      </c>
      <c r="AD53" s="33">
        <f t="shared" si="13"/>
        <v>0</v>
      </c>
    </row>
    <row r="54" spans="1:30" x14ac:dyDescent="0.2">
      <c r="A54" s="166"/>
      <c r="B54" s="170" t="s">
        <v>913</v>
      </c>
      <c r="C54" s="170"/>
      <c r="D54" s="170"/>
      <c r="E54" s="163"/>
      <c r="F54" s="164"/>
      <c r="G54" s="171" t="s">
        <v>914</v>
      </c>
      <c r="H54" s="119"/>
      <c r="I54" s="33">
        <f t="shared" ref="I54:AB54" si="18">I52-I53</f>
        <v>0</v>
      </c>
      <c r="J54" s="33">
        <f t="shared" si="18"/>
        <v>0</v>
      </c>
      <c r="K54" s="33">
        <f t="shared" si="18"/>
        <v>0</v>
      </c>
      <c r="L54" s="33">
        <f t="shared" si="18"/>
        <v>0</v>
      </c>
      <c r="M54" s="33">
        <f t="shared" si="18"/>
        <v>0</v>
      </c>
      <c r="N54" s="33">
        <f t="shared" si="18"/>
        <v>0</v>
      </c>
      <c r="O54" s="33">
        <f t="shared" si="18"/>
        <v>0</v>
      </c>
      <c r="P54" s="33">
        <f t="shared" si="18"/>
        <v>0</v>
      </c>
      <c r="Q54" s="33">
        <f t="shared" si="18"/>
        <v>0</v>
      </c>
      <c r="R54" s="33">
        <f t="shared" si="18"/>
        <v>0</v>
      </c>
      <c r="S54" s="33">
        <f t="shared" si="18"/>
        <v>0</v>
      </c>
      <c r="T54" s="33">
        <f t="shared" si="18"/>
        <v>0</v>
      </c>
      <c r="U54" s="33">
        <f t="shared" si="18"/>
        <v>0</v>
      </c>
      <c r="V54" s="33">
        <f t="shared" si="18"/>
        <v>0</v>
      </c>
      <c r="W54" s="33">
        <f t="shared" si="18"/>
        <v>0</v>
      </c>
      <c r="X54" s="33">
        <f t="shared" si="18"/>
        <v>0</v>
      </c>
      <c r="Y54" s="33">
        <f t="shared" si="18"/>
        <v>0</v>
      </c>
      <c r="Z54" s="33">
        <f t="shared" si="18"/>
        <v>0</v>
      </c>
      <c r="AA54" s="33">
        <f t="shared" si="18"/>
        <v>0</v>
      </c>
      <c r="AB54" s="33">
        <f t="shared" si="18"/>
        <v>0</v>
      </c>
      <c r="AC54" s="33">
        <f t="shared" si="13"/>
        <v>0</v>
      </c>
      <c r="AD54" s="33">
        <f t="shared" si="13"/>
        <v>0</v>
      </c>
    </row>
    <row r="55" spans="1:30" x14ac:dyDescent="0.2">
      <c r="A55" s="166" t="s">
        <v>915</v>
      </c>
      <c r="B55" s="170" t="s">
        <v>916</v>
      </c>
      <c r="C55" s="170"/>
      <c r="D55" s="170"/>
      <c r="E55" s="163"/>
      <c r="F55" s="164"/>
      <c r="G55" s="171" t="s">
        <v>917</v>
      </c>
      <c r="H55" s="11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S55" s="188"/>
      <c r="T55" s="188"/>
      <c r="U55" s="188"/>
      <c r="V55" s="188"/>
      <c r="W55" s="188"/>
      <c r="X55" s="188"/>
      <c r="Y55" s="188"/>
      <c r="Z55" s="188"/>
      <c r="AA55" s="188"/>
      <c r="AB55" s="188"/>
      <c r="AC55" s="33">
        <f t="shared" si="13"/>
        <v>0</v>
      </c>
      <c r="AD55" s="33">
        <f t="shared" si="13"/>
        <v>0</v>
      </c>
    </row>
    <row r="56" spans="1:30" x14ac:dyDescent="0.2">
      <c r="A56" s="166"/>
      <c r="B56" s="173" t="s">
        <v>862</v>
      </c>
      <c r="C56" s="170"/>
      <c r="D56" s="170"/>
      <c r="E56" s="163"/>
      <c r="F56" s="164"/>
      <c r="G56" s="171" t="s">
        <v>918</v>
      </c>
      <c r="H56" s="11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33">
        <f t="shared" si="13"/>
        <v>0</v>
      </c>
      <c r="AD56" s="33">
        <f t="shared" si="13"/>
        <v>0</v>
      </c>
    </row>
    <row r="57" spans="1:30" x14ac:dyDescent="0.2">
      <c r="A57" s="166"/>
      <c r="B57" s="170" t="s">
        <v>919</v>
      </c>
      <c r="C57" s="170"/>
      <c r="D57" s="170"/>
      <c r="E57" s="163"/>
      <c r="F57" s="164"/>
      <c r="G57" s="171" t="s">
        <v>920</v>
      </c>
      <c r="H57" s="118"/>
      <c r="I57" s="33">
        <f t="shared" ref="I57:AB57" si="19">I55-I56</f>
        <v>0</v>
      </c>
      <c r="J57" s="33">
        <f t="shared" si="19"/>
        <v>0</v>
      </c>
      <c r="K57" s="33">
        <f t="shared" si="19"/>
        <v>0</v>
      </c>
      <c r="L57" s="33">
        <f t="shared" si="19"/>
        <v>0</v>
      </c>
      <c r="M57" s="33">
        <f t="shared" si="19"/>
        <v>0</v>
      </c>
      <c r="N57" s="33">
        <f t="shared" si="19"/>
        <v>0</v>
      </c>
      <c r="O57" s="33">
        <f t="shared" si="19"/>
        <v>0</v>
      </c>
      <c r="P57" s="33">
        <f t="shared" si="19"/>
        <v>0</v>
      </c>
      <c r="Q57" s="33">
        <f t="shared" si="19"/>
        <v>0</v>
      </c>
      <c r="R57" s="33">
        <f t="shared" si="19"/>
        <v>0</v>
      </c>
      <c r="S57" s="33">
        <f t="shared" si="19"/>
        <v>0</v>
      </c>
      <c r="T57" s="33">
        <f t="shared" si="19"/>
        <v>0</v>
      </c>
      <c r="U57" s="33">
        <f t="shared" si="19"/>
        <v>0</v>
      </c>
      <c r="V57" s="33">
        <f t="shared" si="19"/>
        <v>0</v>
      </c>
      <c r="W57" s="33">
        <f t="shared" si="19"/>
        <v>0</v>
      </c>
      <c r="X57" s="33">
        <f t="shared" si="19"/>
        <v>0</v>
      </c>
      <c r="Y57" s="33">
        <f t="shared" si="19"/>
        <v>0</v>
      </c>
      <c r="Z57" s="33">
        <f t="shared" si="19"/>
        <v>0</v>
      </c>
      <c r="AA57" s="33">
        <f t="shared" si="19"/>
        <v>0</v>
      </c>
      <c r="AB57" s="33">
        <f t="shared" si="19"/>
        <v>0</v>
      </c>
      <c r="AC57" s="33">
        <f t="shared" si="13"/>
        <v>0</v>
      </c>
      <c r="AD57" s="33">
        <f t="shared" si="13"/>
        <v>0</v>
      </c>
    </row>
    <row r="58" spans="1:30" x14ac:dyDescent="0.2">
      <c r="A58" s="166" t="s">
        <v>921</v>
      </c>
      <c r="B58" s="170" t="s">
        <v>922</v>
      </c>
      <c r="C58" s="170"/>
      <c r="D58" s="170"/>
      <c r="E58" s="163"/>
      <c r="F58" s="164"/>
      <c r="G58" s="171" t="s">
        <v>923</v>
      </c>
      <c r="H58" s="119"/>
      <c r="I58" s="188"/>
      <c r="J58" s="188"/>
      <c r="K58" s="188"/>
      <c r="L58" s="188"/>
      <c r="M58" s="188"/>
      <c r="N58" s="188"/>
      <c r="O58" s="188"/>
      <c r="P58" s="188"/>
      <c r="Q58" s="188"/>
      <c r="R58" s="188"/>
      <c r="S58" s="188"/>
      <c r="T58" s="188"/>
      <c r="U58" s="188"/>
      <c r="V58" s="188"/>
      <c r="W58" s="188"/>
      <c r="X58" s="188"/>
      <c r="Y58" s="188"/>
      <c r="Z58" s="188"/>
      <c r="AA58" s="188"/>
      <c r="AB58" s="188"/>
      <c r="AC58" s="33">
        <f t="shared" si="13"/>
        <v>0</v>
      </c>
      <c r="AD58" s="33">
        <f t="shared" si="13"/>
        <v>0</v>
      </c>
    </row>
    <row r="59" spans="1:30" x14ac:dyDescent="0.2">
      <c r="A59" s="166"/>
      <c r="B59" s="173" t="s">
        <v>924</v>
      </c>
      <c r="C59" s="170"/>
      <c r="D59" s="170"/>
      <c r="E59" s="163"/>
      <c r="F59" s="164"/>
      <c r="G59" s="171" t="s">
        <v>925</v>
      </c>
      <c r="H59" s="119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S59" s="188"/>
      <c r="T59" s="188"/>
      <c r="U59" s="188"/>
      <c r="V59" s="188"/>
      <c r="W59" s="188"/>
      <c r="X59" s="188"/>
      <c r="Y59" s="188"/>
      <c r="Z59" s="188"/>
      <c r="AA59" s="188"/>
      <c r="AB59" s="188"/>
      <c r="AC59" s="33">
        <f t="shared" si="13"/>
        <v>0</v>
      </c>
      <c r="AD59" s="33">
        <f t="shared" si="13"/>
        <v>0</v>
      </c>
    </row>
    <row r="60" spans="1:30" x14ac:dyDescent="0.2">
      <c r="A60" s="166"/>
      <c r="B60" s="173" t="s">
        <v>926</v>
      </c>
      <c r="C60" s="170"/>
      <c r="D60" s="170"/>
      <c r="E60" s="163"/>
      <c r="F60" s="164"/>
      <c r="G60" s="171" t="s">
        <v>927</v>
      </c>
      <c r="H60" s="119"/>
      <c r="I60" s="188"/>
      <c r="J60" s="188"/>
      <c r="K60" s="188"/>
      <c r="L60" s="188"/>
      <c r="M60" s="188"/>
      <c r="N60" s="188"/>
      <c r="O60" s="188"/>
      <c r="P60" s="188"/>
      <c r="Q60" s="188"/>
      <c r="R60" s="188"/>
      <c r="S60" s="188"/>
      <c r="T60" s="188"/>
      <c r="U60" s="188"/>
      <c r="V60" s="188"/>
      <c r="W60" s="188"/>
      <c r="X60" s="188"/>
      <c r="Y60" s="188"/>
      <c r="Z60" s="188"/>
      <c r="AA60" s="188"/>
      <c r="AB60" s="188"/>
      <c r="AC60" s="33">
        <f t="shared" si="13"/>
        <v>0</v>
      </c>
      <c r="AD60" s="33">
        <f t="shared" si="13"/>
        <v>0</v>
      </c>
    </row>
    <row r="61" spans="1:30" x14ac:dyDescent="0.2">
      <c r="A61" s="166"/>
      <c r="B61" s="170" t="s">
        <v>928</v>
      </c>
      <c r="C61" s="173"/>
      <c r="D61" s="173"/>
      <c r="E61" s="163"/>
      <c r="F61" s="164"/>
      <c r="G61" s="175" t="s">
        <v>929</v>
      </c>
      <c r="H61" s="119"/>
      <c r="I61" s="33">
        <f t="shared" ref="I61:AB61" si="20">I58-I59-I60</f>
        <v>0</v>
      </c>
      <c r="J61" s="33">
        <f t="shared" si="20"/>
        <v>0</v>
      </c>
      <c r="K61" s="33">
        <f t="shared" si="20"/>
        <v>0</v>
      </c>
      <c r="L61" s="33">
        <f t="shared" si="20"/>
        <v>0</v>
      </c>
      <c r="M61" s="33">
        <f t="shared" si="20"/>
        <v>0</v>
      </c>
      <c r="N61" s="33">
        <f t="shared" si="20"/>
        <v>0</v>
      </c>
      <c r="O61" s="33">
        <f t="shared" si="20"/>
        <v>0</v>
      </c>
      <c r="P61" s="33">
        <f t="shared" si="20"/>
        <v>0</v>
      </c>
      <c r="Q61" s="33">
        <f t="shared" si="20"/>
        <v>0</v>
      </c>
      <c r="R61" s="33">
        <f t="shared" si="20"/>
        <v>0</v>
      </c>
      <c r="S61" s="33">
        <f t="shared" si="20"/>
        <v>0</v>
      </c>
      <c r="T61" s="33">
        <f t="shared" si="20"/>
        <v>0</v>
      </c>
      <c r="U61" s="33">
        <f t="shared" si="20"/>
        <v>0</v>
      </c>
      <c r="V61" s="33">
        <f t="shared" si="20"/>
        <v>0</v>
      </c>
      <c r="W61" s="33">
        <f t="shared" si="20"/>
        <v>0</v>
      </c>
      <c r="X61" s="33">
        <f t="shared" si="20"/>
        <v>0</v>
      </c>
      <c r="Y61" s="33">
        <f t="shared" si="20"/>
        <v>0</v>
      </c>
      <c r="Z61" s="33">
        <f t="shared" si="20"/>
        <v>0</v>
      </c>
      <c r="AA61" s="33">
        <f t="shared" si="20"/>
        <v>0</v>
      </c>
      <c r="AB61" s="33">
        <f t="shared" si="20"/>
        <v>0</v>
      </c>
      <c r="AC61" s="33">
        <f t="shared" si="13"/>
        <v>0</v>
      </c>
      <c r="AD61" s="33">
        <f t="shared" si="13"/>
        <v>0</v>
      </c>
    </row>
    <row r="62" spans="1:30" x14ac:dyDescent="0.2">
      <c r="A62" s="166" t="s">
        <v>930</v>
      </c>
      <c r="B62" s="170" t="s">
        <v>931</v>
      </c>
      <c r="C62" s="170"/>
      <c r="D62" s="170"/>
      <c r="E62" s="163"/>
      <c r="F62" s="164"/>
      <c r="G62" s="171" t="s">
        <v>932</v>
      </c>
      <c r="H62" s="119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33">
        <f t="shared" si="13"/>
        <v>0</v>
      </c>
      <c r="AD62" s="33">
        <f t="shared" si="13"/>
        <v>0</v>
      </c>
    </row>
    <row r="63" spans="1:30" x14ac:dyDescent="0.2">
      <c r="A63" s="166"/>
      <c r="B63" s="173" t="s">
        <v>924</v>
      </c>
      <c r="C63" s="170"/>
      <c r="D63" s="170"/>
      <c r="E63" s="163"/>
      <c r="F63" s="164"/>
      <c r="G63" s="171" t="s">
        <v>933</v>
      </c>
      <c r="H63" s="119"/>
      <c r="I63" s="188"/>
      <c r="J63" s="188"/>
      <c r="K63" s="188"/>
      <c r="L63" s="188"/>
      <c r="M63" s="188"/>
      <c r="N63" s="188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8"/>
      <c r="AB63" s="188"/>
      <c r="AC63" s="33">
        <f t="shared" si="13"/>
        <v>0</v>
      </c>
      <c r="AD63" s="33">
        <f t="shared" si="13"/>
        <v>0</v>
      </c>
    </row>
    <row r="64" spans="1:30" x14ac:dyDescent="0.2">
      <c r="A64" s="174"/>
      <c r="B64" s="173" t="s">
        <v>926</v>
      </c>
      <c r="C64" s="173"/>
      <c r="D64" s="170"/>
      <c r="E64" s="163"/>
      <c r="F64" s="164"/>
      <c r="G64" s="171" t="s">
        <v>934</v>
      </c>
      <c r="H64" s="119"/>
      <c r="I64" s="188"/>
      <c r="J64" s="188"/>
      <c r="K64" s="188"/>
      <c r="L64" s="188"/>
      <c r="M64" s="188"/>
      <c r="N64" s="188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33">
        <f t="shared" si="13"/>
        <v>0</v>
      </c>
      <c r="AD64" s="33">
        <f t="shared" si="13"/>
        <v>0</v>
      </c>
    </row>
    <row r="65" spans="1:30" x14ac:dyDescent="0.2">
      <c r="A65" s="174"/>
      <c r="B65" s="170" t="s">
        <v>935</v>
      </c>
      <c r="C65" s="173"/>
      <c r="D65" s="173"/>
      <c r="E65" s="163"/>
      <c r="F65" s="164"/>
      <c r="G65" s="175" t="s">
        <v>936</v>
      </c>
      <c r="H65" s="119"/>
      <c r="I65" s="33">
        <f t="shared" ref="I65:AB65" si="21">I62-I63-I64</f>
        <v>0</v>
      </c>
      <c r="J65" s="33">
        <f t="shared" si="21"/>
        <v>0</v>
      </c>
      <c r="K65" s="33">
        <f t="shared" si="21"/>
        <v>0</v>
      </c>
      <c r="L65" s="33">
        <f t="shared" si="21"/>
        <v>0</v>
      </c>
      <c r="M65" s="33">
        <f t="shared" si="21"/>
        <v>0</v>
      </c>
      <c r="N65" s="33">
        <f t="shared" si="21"/>
        <v>0</v>
      </c>
      <c r="O65" s="33">
        <f t="shared" si="21"/>
        <v>0</v>
      </c>
      <c r="P65" s="33">
        <f t="shared" si="21"/>
        <v>0</v>
      </c>
      <c r="Q65" s="33">
        <f t="shared" si="21"/>
        <v>0</v>
      </c>
      <c r="R65" s="33">
        <f t="shared" si="21"/>
        <v>0</v>
      </c>
      <c r="S65" s="33">
        <f t="shared" si="21"/>
        <v>0</v>
      </c>
      <c r="T65" s="33">
        <f t="shared" si="21"/>
        <v>0</v>
      </c>
      <c r="U65" s="33">
        <f t="shared" si="21"/>
        <v>0</v>
      </c>
      <c r="V65" s="33">
        <f t="shared" si="21"/>
        <v>0</v>
      </c>
      <c r="W65" s="33">
        <f t="shared" si="21"/>
        <v>0</v>
      </c>
      <c r="X65" s="33">
        <f t="shared" si="21"/>
        <v>0</v>
      </c>
      <c r="Y65" s="33">
        <f t="shared" si="21"/>
        <v>0</v>
      </c>
      <c r="Z65" s="33">
        <f t="shared" si="21"/>
        <v>0</v>
      </c>
      <c r="AA65" s="33">
        <f t="shared" si="21"/>
        <v>0</v>
      </c>
      <c r="AB65" s="33">
        <f t="shared" si="21"/>
        <v>0</v>
      </c>
      <c r="AC65" s="33">
        <f t="shared" si="13"/>
        <v>0</v>
      </c>
      <c r="AD65" s="33">
        <f t="shared" si="13"/>
        <v>0</v>
      </c>
    </row>
    <row r="66" spans="1:30" x14ac:dyDescent="0.2">
      <c r="A66" s="166" t="s">
        <v>937</v>
      </c>
      <c r="B66" s="170" t="s">
        <v>938</v>
      </c>
      <c r="C66" s="170"/>
      <c r="D66" s="170"/>
      <c r="E66" s="163"/>
      <c r="F66" s="164"/>
      <c r="G66" s="171" t="s">
        <v>939</v>
      </c>
      <c r="H66" s="118"/>
      <c r="I66" s="188"/>
      <c r="J66" s="188"/>
      <c r="K66" s="188"/>
      <c r="L66" s="188"/>
      <c r="M66" s="188"/>
      <c r="N66" s="188"/>
      <c r="O66" s="188"/>
      <c r="P66" s="188"/>
      <c r="Q66" s="188"/>
      <c r="R66" s="188"/>
      <c r="S66" s="188"/>
      <c r="T66" s="188"/>
      <c r="U66" s="188"/>
      <c r="V66" s="188"/>
      <c r="W66" s="188"/>
      <c r="X66" s="188"/>
      <c r="Y66" s="188"/>
      <c r="Z66" s="188"/>
      <c r="AA66" s="188"/>
      <c r="AB66" s="188"/>
      <c r="AC66" s="33">
        <f t="shared" si="13"/>
        <v>0</v>
      </c>
      <c r="AD66" s="33">
        <f t="shared" si="13"/>
        <v>0</v>
      </c>
    </row>
    <row r="67" spans="1:30" x14ac:dyDescent="0.2">
      <c r="A67" s="166"/>
      <c r="B67" s="173" t="s">
        <v>926</v>
      </c>
      <c r="C67" s="170"/>
      <c r="D67" s="170"/>
      <c r="E67" s="163"/>
      <c r="F67" s="164"/>
      <c r="G67" s="171" t="s">
        <v>940</v>
      </c>
      <c r="H67" s="11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188"/>
      <c r="AA67" s="188"/>
      <c r="AB67" s="188"/>
      <c r="AC67" s="33">
        <f t="shared" si="13"/>
        <v>0</v>
      </c>
      <c r="AD67" s="33">
        <f t="shared" si="13"/>
        <v>0</v>
      </c>
    </row>
    <row r="68" spans="1:30" x14ac:dyDescent="0.2">
      <c r="A68" s="166"/>
      <c r="B68" s="170" t="s">
        <v>941</v>
      </c>
      <c r="C68" s="170"/>
      <c r="D68" s="170"/>
      <c r="E68" s="163"/>
      <c r="F68" s="164"/>
      <c r="G68" s="171" t="s">
        <v>942</v>
      </c>
      <c r="H68" s="118"/>
      <c r="I68" s="33">
        <f t="shared" ref="I68:AB68" si="22">I66-I67</f>
        <v>0</v>
      </c>
      <c r="J68" s="33">
        <f t="shared" si="22"/>
        <v>0</v>
      </c>
      <c r="K68" s="33">
        <f t="shared" si="22"/>
        <v>0</v>
      </c>
      <c r="L68" s="33">
        <f t="shared" si="22"/>
        <v>0</v>
      </c>
      <c r="M68" s="33">
        <f t="shared" si="22"/>
        <v>0</v>
      </c>
      <c r="N68" s="33">
        <f t="shared" si="22"/>
        <v>0</v>
      </c>
      <c r="O68" s="33">
        <f t="shared" si="22"/>
        <v>0</v>
      </c>
      <c r="P68" s="33">
        <f t="shared" si="22"/>
        <v>0</v>
      </c>
      <c r="Q68" s="33">
        <f t="shared" si="22"/>
        <v>0</v>
      </c>
      <c r="R68" s="33">
        <f t="shared" si="22"/>
        <v>0</v>
      </c>
      <c r="S68" s="33">
        <f t="shared" si="22"/>
        <v>0</v>
      </c>
      <c r="T68" s="33">
        <f t="shared" si="22"/>
        <v>0</v>
      </c>
      <c r="U68" s="33">
        <f t="shared" si="22"/>
        <v>0</v>
      </c>
      <c r="V68" s="33">
        <f t="shared" si="22"/>
        <v>0</v>
      </c>
      <c r="W68" s="33">
        <f t="shared" si="22"/>
        <v>0</v>
      </c>
      <c r="X68" s="33">
        <f t="shared" si="22"/>
        <v>0</v>
      </c>
      <c r="Y68" s="33">
        <f t="shared" si="22"/>
        <v>0</v>
      </c>
      <c r="Z68" s="33">
        <f t="shared" si="22"/>
        <v>0</v>
      </c>
      <c r="AA68" s="33">
        <f t="shared" si="22"/>
        <v>0</v>
      </c>
      <c r="AB68" s="33">
        <f t="shared" si="22"/>
        <v>0</v>
      </c>
      <c r="AC68" s="33">
        <f t="shared" si="13"/>
        <v>0</v>
      </c>
      <c r="AD68" s="33">
        <f t="shared" si="13"/>
        <v>0</v>
      </c>
    </row>
    <row r="69" spans="1:30" x14ac:dyDescent="0.2">
      <c r="A69" s="177" t="s">
        <v>943</v>
      </c>
      <c r="B69" s="173"/>
      <c r="C69" s="173"/>
      <c r="D69" s="173"/>
      <c r="E69" s="163"/>
      <c r="F69" s="164"/>
      <c r="G69" s="171" t="s">
        <v>944</v>
      </c>
      <c r="H69" s="118"/>
      <c r="I69" s="33">
        <f t="shared" ref="I69:AB69" si="23">SUM(I9,I10,I13,I14,I27,I32,I37,I40,I50,I51,I54,I57,I61,I65,I68)</f>
        <v>0</v>
      </c>
      <c r="J69" s="33">
        <f t="shared" si="23"/>
        <v>0</v>
      </c>
      <c r="K69" s="33">
        <f t="shared" si="23"/>
        <v>0</v>
      </c>
      <c r="L69" s="33">
        <f t="shared" si="23"/>
        <v>0</v>
      </c>
      <c r="M69" s="33">
        <f t="shared" si="23"/>
        <v>0</v>
      </c>
      <c r="N69" s="33">
        <f t="shared" si="23"/>
        <v>0</v>
      </c>
      <c r="O69" s="33">
        <f t="shared" si="23"/>
        <v>0</v>
      </c>
      <c r="P69" s="33">
        <f t="shared" si="23"/>
        <v>0</v>
      </c>
      <c r="Q69" s="33">
        <f t="shared" si="23"/>
        <v>0</v>
      </c>
      <c r="R69" s="33">
        <f t="shared" si="23"/>
        <v>0</v>
      </c>
      <c r="S69" s="33">
        <f t="shared" si="23"/>
        <v>0</v>
      </c>
      <c r="T69" s="33">
        <f t="shared" si="23"/>
        <v>0</v>
      </c>
      <c r="U69" s="33">
        <f t="shared" si="23"/>
        <v>0</v>
      </c>
      <c r="V69" s="33">
        <f t="shared" si="23"/>
        <v>0</v>
      </c>
      <c r="W69" s="33">
        <f t="shared" si="23"/>
        <v>0</v>
      </c>
      <c r="X69" s="33">
        <f t="shared" si="23"/>
        <v>0</v>
      </c>
      <c r="Y69" s="33">
        <f t="shared" si="23"/>
        <v>0</v>
      </c>
      <c r="Z69" s="33">
        <f t="shared" si="23"/>
        <v>0</v>
      </c>
      <c r="AA69" s="33">
        <f t="shared" si="23"/>
        <v>0</v>
      </c>
      <c r="AB69" s="33">
        <f t="shared" si="23"/>
        <v>0</v>
      </c>
      <c r="AC69" s="33">
        <f t="shared" si="13"/>
        <v>0</v>
      </c>
      <c r="AD69" s="33">
        <f t="shared" si="13"/>
        <v>0</v>
      </c>
    </row>
    <row r="70" spans="1:30" x14ac:dyDescent="0.2">
      <c r="A70" s="177" t="s">
        <v>945</v>
      </c>
      <c r="B70" s="170"/>
      <c r="C70" s="170"/>
      <c r="D70" s="170"/>
      <c r="E70" s="163"/>
      <c r="F70" s="164"/>
      <c r="G70" s="165"/>
      <c r="H70" s="118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</row>
    <row r="71" spans="1:30" x14ac:dyDescent="0.2">
      <c r="A71" s="166" t="s">
        <v>8</v>
      </c>
      <c r="B71" s="170" t="s">
        <v>946</v>
      </c>
      <c r="C71" s="170"/>
      <c r="D71" s="170"/>
      <c r="E71" s="163"/>
      <c r="F71" s="164"/>
      <c r="G71" s="171" t="s">
        <v>947</v>
      </c>
      <c r="H71" s="118"/>
      <c r="I71" s="188"/>
      <c r="J71" s="188"/>
      <c r="K71" s="188"/>
      <c r="L71" s="188"/>
      <c r="M71" s="188"/>
      <c r="N71" s="188"/>
      <c r="O71" s="188"/>
      <c r="P71" s="188"/>
      <c r="Q71" s="188"/>
      <c r="R71" s="188"/>
      <c r="S71" s="188"/>
      <c r="T71" s="188"/>
      <c r="U71" s="188"/>
      <c r="V71" s="188"/>
      <c r="W71" s="188"/>
      <c r="X71" s="188"/>
      <c r="Y71" s="188"/>
      <c r="Z71" s="188"/>
      <c r="AA71" s="188"/>
      <c r="AB71" s="188"/>
      <c r="AC71" s="33">
        <f t="shared" ref="AC71:AD76" si="24">I71+K71+M71+O71+Q71+S71+U71+W71+Y71+AA71</f>
        <v>0</v>
      </c>
      <c r="AD71" s="33">
        <f t="shared" si="24"/>
        <v>0</v>
      </c>
    </row>
    <row r="72" spans="1:30" x14ac:dyDescent="0.2">
      <c r="A72" s="166" t="s">
        <v>10</v>
      </c>
      <c r="B72" s="170" t="s">
        <v>948</v>
      </c>
      <c r="C72" s="170"/>
      <c r="D72" s="170"/>
      <c r="E72" s="163"/>
      <c r="F72" s="164"/>
      <c r="G72" s="171" t="s">
        <v>949</v>
      </c>
      <c r="H72" s="118"/>
      <c r="I72" s="188"/>
      <c r="J72" s="188"/>
      <c r="K72" s="188"/>
      <c r="L72" s="188"/>
      <c r="M72" s="188"/>
      <c r="N72" s="188"/>
      <c r="O72" s="188"/>
      <c r="P72" s="188"/>
      <c r="Q72" s="188"/>
      <c r="R72" s="188"/>
      <c r="S72" s="188"/>
      <c r="T72" s="188"/>
      <c r="U72" s="188"/>
      <c r="V72" s="188"/>
      <c r="W72" s="188"/>
      <c r="X72" s="188"/>
      <c r="Y72" s="188"/>
      <c r="Z72" s="188"/>
      <c r="AA72" s="188"/>
      <c r="AB72" s="188"/>
      <c r="AC72" s="33">
        <f t="shared" si="24"/>
        <v>0</v>
      </c>
      <c r="AD72" s="33">
        <f t="shared" si="24"/>
        <v>0</v>
      </c>
    </row>
    <row r="73" spans="1:30" x14ac:dyDescent="0.2">
      <c r="A73" s="166" t="s">
        <v>16</v>
      </c>
      <c r="B73" s="170" t="s">
        <v>950</v>
      </c>
      <c r="C73" s="170"/>
      <c r="D73" s="170"/>
      <c r="E73" s="163"/>
      <c r="F73" s="164"/>
      <c r="G73" s="171" t="s">
        <v>951</v>
      </c>
      <c r="H73" s="119"/>
      <c r="I73" s="33">
        <f t="shared" ref="I73:AB73" si="25">SUM(I74:I75)</f>
        <v>0</v>
      </c>
      <c r="J73" s="33">
        <f t="shared" si="25"/>
        <v>0</v>
      </c>
      <c r="K73" s="33">
        <f t="shared" si="25"/>
        <v>0</v>
      </c>
      <c r="L73" s="33">
        <f t="shared" si="25"/>
        <v>0</v>
      </c>
      <c r="M73" s="33">
        <f t="shared" si="25"/>
        <v>0</v>
      </c>
      <c r="N73" s="33">
        <f t="shared" si="25"/>
        <v>0</v>
      </c>
      <c r="O73" s="33">
        <f t="shared" si="25"/>
        <v>0</v>
      </c>
      <c r="P73" s="33">
        <f t="shared" si="25"/>
        <v>0</v>
      </c>
      <c r="Q73" s="33">
        <f t="shared" si="25"/>
        <v>0</v>
      </c>
      <c r="R73" s="33">
        <f t="shared" si="25"/>
        <v>0</v>
      </c>
      <c r="S73" s="33">
        <f t="shared" si="25"/>
        <v>0</v>
      </c>
      <c r="T73" s="33">
        <f t="shared" si="25"/>
        <v>0</v>
      </c>
      <c r="U73" s="33">
        <f t="shared" si="25"/>
        <v>0</v>
      </c>
      <c r="V73" s="33">
        <f t="shared" si="25"/>
        <v>0</v>
      </c>
      <c r="W73" s="33">
        <f t="shared" si="25"/>
        <v>0</v>
      </c>
      <c r="X73" s="33">
        <f t="shared" si="25"/>
        <v>0</v>
      </c>
      <c r="Y73" s="33">
        <f t="shared" si="25"/>
        <v>0</v>
      </c>
      <c r="Z73" s="33">
        <f t="shared" si="25"/>
        <v>0</v>
      </c>
      <c r="AA73" s="33">
        <f t="shared" si="25"/>
        <v>0</v>
      </c>
      <c r="AB73" s="33">
        <f t="shared" si="25"/>
        <v>0</v>
      </c>
      <c r="AC73" s="33">
        <f t="shared" si="24"/>
        <v>0</v>
      </c>
      <c r="AD73" s="33">
        <f t="shared" si="24"/>
        <v>0</v>
      </c>
    </row>
    <row r="74" spans="1:30" x14ac:dyDescent="0.2">
      <c r="A74" s="166"/>
      <c r="B74" s="172" t="s">
        <v>12</v>
      </c>
      <c r="C74" s="170" t="s">
        <v>952</v>
      </c>
      <c r="D74" s="170"/>
      <c r="E74" s="163"/>
      <c r="F74" s="164"/>
      <c r="G74" s="171" t="s">
        <v>953</v>
      </c>
      <c r="H74" s="119"/>
      <c r="I74" s="188"/>
      <c r="J74" s="188"/>
      <c r="K74" s="188"/>
      <c r="L74" s="188"/>
      <c r="M74" s="188"/>
      <c r="N74" s="188"/>
      <c r="O74" s="188"/>
      <c r="P74" s="188"/>
      <c r="Q74" s="188"/>
      <c r="R74" s="188"/>
      <c r="S74" s="188"/>
      <c r="T74" s="188"/>
      <c r="U74" s="188"/>
      <c r="V74" s="188"/>
      <c r="W74" s="188"/>
      <c r="X74" s="188"/>
      <c r="Y74" s="188"/>
      <c r="Z74" s="188"/>
      <c r="AA74" s="188"/>
      <c r="AB74" s="188"/>
      <c r="AC74" s="33">
        <f t="shared" si="24"/>
        <v>0</v>
      </c>
      <c r="AD74" s="33">
        <f t="shared" si="24"/>
        <v>0</v>
      </c>
    </row>
    <row r="75" spans="1:30" x14ac:dyDescent="0.2">
      <c r="A75" s="166"/>
      <c r="B75" s="172" t="s">
        <v>14</v>
      </c>
      <c r="C75" s="170" t="s">
        <v>954</v>
      </c>
      <c r="D75" s="170"/>
      <c r="E75" s="163"/>
      <c r="F75" s="164"/>
      <c r="G75" s="171" t="s">
        <v>955</v>
      </c>
      <c r="H75" s="119"/>
      <c r="I75" s="188"/>
      <c r="J75" s="188"/>
      <c r="K75" s="188"/>
      <c r="L75" s="188"/>
      <c r="M75" s="188"/>
      <c r="N75" s="188"/>
      <c r="O75" s="188"/>
      <c r="P75" s="188"/>
      <c r="Q75" s="188"/>
      <c r="R75" s="188"/>
      <c r="S75" s="188"/>
      <c r="T75" s="188"/>
      <c r="U75" s="188"/>
      <c r="V75" s="188"/>
      <c r="W75" s="188"/>
      <c r="X75" s="188"/>
      <c r="Y75" s="188"/>
      <c r="Z75" s="188"/>
      <c r="AA75" s="188"/>
      <c r="AB75" s="188"/>
      <c r="AC75" s="33">
        <f t="shared" si="24"/>
        <v>0</v>
      </c>
      <c r="AD75" s="33">
        <f t="shared" si="24"/>
        <v>0</v>
      </c>
    </row>
    <row r="76" spans="1:30" x14ac:dyDescent="0.2">
      <c r="A76" s="166"/>
      <c r="B76" s="170" t="s">
        <v>956</v>
      </c>
      <c r="C76" s="170"/>
      <c r="D76" s="170"/>
      <c r="E76" s="163"/>
      <c r="F76" s="164"/>
      <c r="G76" s="171" t="s">
        <v>957</v>
      </c>
      <c r="H76" s="118"/>
      <c r="I76" s="33">
        <f t="shared" ref="I76:AB76" si="26">SUM(I71:I73)</f>
        <v>0</v>
      </c>
      <c r="J76" s="33">
        <f t="shared" si="26"/>
        <v>0</v>
      </c>
      <c r="K76" s="33">
        <f t="shared" si="26"/>
        <v>0</v>
      </c>
      <c r="L76" s="33">
        <f t="shared" si="26"/>
        <v>0</v>
      </c>
      <c r="M76" s="33">
        <f t="shared" si="26"/>
        <v>0</v>
      </c>
      <c r="N76" s="33">
        <f t="shared" si="26"/>
        <v>0</v>
      </c>
      <c r="O76" s="33">
        <f t="shared" si="26"/>
        <v>0</v>
      </c>
      <c r="P76" s="33">
        <f t="shared" si="26"/>
        <v>0</v>
      </c>
      <c r="Q76" s="33">
        <f t="shared" si="26"/>
        <v>0</v>
      </c>
      <c r="R76" s="33">
        <f t="shared" si="26"/>
        <v>0</v>
      </c>
      <c r="S76" s="33">
        <f t="shared" si="26"/>
        <v>0</v>
      </c>
      <c r="T76" s="33">
        <f t="shared" si="26"/>
        <v>0</v>
      </c>
      <c r="U76" s="33">
        <f t="shared" si="26"/>
        <v>0</v>
      </c>
      <c r="V76" s="33">
        <f t="shared" si="26"/>
        <v>0</v>
      </c>
      <c r="W76" s="33">
        <f t="shared" si="26"/>
        <v>0</v>
      </c>
      <c r="X76" s="33">
        <f t="shared" si="26"/>
        <v>0</v>
      </c>
      <c r="Y76" s="33">
        <f t="shared" si="26"/>
        <v>0</v>
      </c>
      <c r="Z76" s="33">
        <f t="shared" si="26"/>
        <v>0</v>
      </c>
      <c r="AA76" s="33">
        <f t="shared" si="26"/>
        <v>0</v>
      </c>
      <c r="AB76" s="33">
        <f t="shared" si="26"/>
        <v>0</v>
      </c>
      <c r="AC76" s="33">
        <f t="shared" si="24"/>
        <v>0</v>
      </c>
      <c r="AD76" s="33">
        <f t="shared" si="24"/>
        <v>0</v>
      </c>
    </row>
    <row r="77" spans="1:30" x14ac:dyDescent="0.2">
      <c r="A77" s="174" t="s">
        <v>958</v>
      </c>
      <c r="B77" s="170"/>
      <c r="C77" s="170"/>
      <c r="D77" s="170"/>
      <c r="E77" s="163"/>
      <c r="F77" s="164"/>
      <c r="G77" s="165"/>
      <c r="H77" s="118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</row>
    <row r="78" spans="1:30" x14ac:dyDescent="0.2">
      <c r="A78" s="166" t="s">
        <v>18</v>
      </c>
      <c r="B78" s="170" t="s">
        <v>959</v>
      </c>
      <c r="C78" s="170"/>
      <c r="D78" s="170"/>
      <c r="E78" s="163"/>
      <c r="F78" s="164"/>
      <c r="G78" s="171" t="s">
        <v>960</v>
      </c>
      <c r="H78" s="118"/>
      <c r="I78" s="188"/>
      <c r="J78" s="188"/>
      <c r="K78" s="188"/>
      <c r="L78" s="188"/>
      <c r="M78" s="188"/>
      <c r="N78" s="188"/>
      <c r="O78" s="188"/>
      <c r="P78" s="188"/>
      <c r="Q78" s="188"/>
      <c r="R78" s="188"/>
      <c r="S78" s="188"/>
      <c r="T78" s="188"/>
      <c r="U78" s="188"/>
      <c r="V78" s="188"/>
      <c r="W78" s="188"/>
      <c r="X78" s="188"/>
      <c r="Y78" s="188"/>
      <c r="Z78" s="188"/>
      <c r="AA78" s="188"/>
      <c r="AB78" s="188"/>
      <c r="AC78" s="33">
        <f t="shared" ref="AC78:AD85" si="27">I78+K78+M78+O78+Q78+S78+U78+W78+Y78+AA78</f>
        <v>0</v>
      </c>
      <c r="AD78" s="33">
        <f t="shared" si="27"/>
        <v>0</v>
      </c>
    </row>
    <row r="79" spans="1:30" x14ac:dyDescent="0.2">
      <c r="A79" s="166" t="s">
        <v>28</v>
      </c>
      <c r="B79" s="170" t="s">
        <v>961</v>
      </c>
      <c r="C79" s="170"/>
      <c r="D79" s="170"/>
      <c r="E79" s="163"/>
      <c r="F79" s="164"/>
      <c r="G79" s="171" t="s">
        <v>962</v>
      </c>
      <c r="H79" s="119"/>
      <c r="I79" s="188"/>
      <c r="J79" s="188"/>
      <c r="K79" s="188"/>
      <c r="L79" s="188"/>
      <c r="M79" s="188"/>
      <c r="N79" s="188"/>
      <c r="O79" s="188"/>
      <c r="P79" s="188"/>
      <c r="Q79" s="188"/>
      <c r="R79" s="188"/>
      <c r="S79" s="188"/>
      <c r="T79" s="188"/>
      <c r="U79" s="188"/>
      <c r="V79" s="188"/>
      <c r="W79" s="188"/>
      <c r="X79" s="188"/>
      <c r="Y79" s="188"/>
      <c r="Z79" s="188"/>
      <c r="AA79" s="188"/>
      <c r="AB79" s="188"/>
      <c r="AC79" s="33">
        <f t="shared" si="27"/>
        <v>0</v>
      </c>
      <c r="AD79" s="33">
        <f t="shared" si="27"/>
        <v>0</v>
      </c>
    </row>
    <row r="80" spans="1:30" x14ac:dyDescent="0.2">
      <c r="A80" s="166" t="s">
        <v>31</v>
      </c>
      <c r="B80" s="170" t="s">
        <v>963</v>
      </c>
      <c r="C80" s="170"/>
      <c r="D80" s="170"/>
      <c r="E80" s="163"/>
      <c r="F80" s="164"/>
      <c r="G80" s="171" t="s">
        <v>964</v>
      </c>
      <c r="H80" s="118"/>
      <c r="I80" s="188"/>
      <c r="J80" s="188"/>
      <c r="K80" s="188"/>
      <c r="L80" s="188"/>
      <c r="M80" s="188"/>
      <c r="N80" s="188"/>
      <c r="O80" s="188"/>
      <c r="P80" s="188"/>
      <c r="Q80" s="188"/>
      <c r="R80" s="188"/>
      <c r="S80" s="188"/>
      <c r="T80" s="188"/>
      <c r="U80" s="188"/>
      <c r="V80" s="188"/>
      <c r="W80" s="188"/>
      <c r="X80" s="188"/>
      <c r="Y80" s="188"/>
      <c r="Z80" s="188"/>
      <c r="AA80" s="188"/>
      <c r="AB80" s="188"/>
      <c r="AC80" s="33">
        <f t="shared" si="27"/>
        <v>0</v>
      </c>
      <c r="AD80" s="33">
        <f t="shared" si="27"/>
        <v>0</v>
      </c>
    </row>
    <row r="81" spans="1:30" x14ac:dyDescent="0.2">
      <c r="A81" s="166" t="s">
        <v>38</v>
      </c>
      <c r="B81" s="167" t="s">
        <v>965</v>
      </c>
      <c r="C81" s="167"/>
      <c r="D81" s="170"/>
      <c r="E81" s="163"/>
      <c r="F81" s="164"/>
      <c r="G81" s="171" t="s">
        <v>966</v>
      </c>
      <c r="H81" s="11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188"/>
      <c r="AA81" s="188"/>
      <c r="AB81" s="188"/>
      <c r="AC81" s="33">
        <f t="shared" si="27"/>
        <v>0</v>
      </c>
      <c r="AD81" s="33">
        <f t="shared" si="27"/>
        <v>0</v>
      </c>
    </row>
    <row r="82" spans="1:30" x14ac:dyDescent="0.2">
      <c r="A82" s="166" t="s">
        <v>42</v>
      </c>
      <c r="B82" s="170" t="s">
        <v>967</v>
      </c>
      <c r="C82" s="170"/>
      <c r="D82" s="170"/>
      <c r="E82" s="163"/>
      <c r="F82" s="164"/>
      <c r="G82" s="171" t="s">
        <v>968</v>
      </c>
      <c r="H82" s="11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188"/>
      <c r="U82" s="188"/>
      <c r="V82" s="188"/>
      <c r="W82" s="188"/>
      <c r="X82" s="188"/>
      <c r="Y82" s="188"/>
      <c r="Z82" s="188"/>
      <c r="AA82" s="188"/>
      <c r="AB82" s="188"/>
      <c r="AC82" s="33">
        <f t="shared" si="27"/>
        <v>0</v>
      </c>
      <c r="AD82" s="33">
        <f t="shared" si="27"/>
        <v>0</v>
      </c>
    </row>
    <row r="83" spans="1:30" x14ac:dyDescent="0.2">
      <c r="A83" s="166" t="s">
        <v>44</v>
      </c>
      <c r="B83" s="170" t="s">
        <v>969</v>
      </c>
      <c r="C83" s="170"/>
      <c r="D83" s="170"/>
      <c r="E83" s="163"/>
      <c r="F83" s="164"/>
      <c r="G83" s="171" t="s">
        <v>970</v>
      </c>
      <c r="H83" s="118"/>
      <c r="I83" s="188"/>
      <c r="J83" s="188"/>
      <c r="K83" s="188"/>
      <c r="L83" s="188"/>
      <c r="M83" s="188"/>
      <c r="N83" s="188"/>
      <c r="O83" s="188"/>
      <c r="P83" s="188"/>
      <c r="Q83" s="188"/>
      <c r="R83" s="188"/>
      <c r="S83" s="188"/>
      <c r="T83" s="188"/>
      <c r="U83" s="188"/>
      <c r="V83" s="188"/>
      <c r="W83" s="188"/>
      <c r="X83" s="188"/>
      <c r="Y83" s="188"/>
      <c r="Z83" s="188"/>
      <c r="AA83" s="188"/>
      <c r="AB83" s="188"/>
      <c r="AC83" s="33">
        <f t="shared" si="27"/>
        <v>0</v>
      </c>
      <c r="AD83" s="33">
        <f t="shared" si="27"/>
        <v>0</v>
      </c>
    </row>
    <row r="84" spans="1:30" x14ac:dyDescent="0.2">
      <c r="A84" s="166" t="s">
        <v>896</v>
      </c>
      <c r="B84" s="170" t="s">
        <v>971</v>
      </c>
      <c r="C84" s="170"/>
      <c r="D84" s="170"/>
      <c r="E84" s="163"/>
      <c r="F84" s="164"/>
      <c r="G84" s="171" t="s">
        <v>972</v>
      </c>
      <c r="H84" s="118"/>
      <c r="I84" s="188"/>
      <c r="J84" s="188"/>
      <c r="K84" s="188"/>
      <c r="L84" s="188"/>
      <c r="M84" s="188"/>
      <c r="N84" s="188"/>
      <c r="O84" s="188"/>
      <c r="P84" s="188"/>
      <c r="Q84" s="188"/>
      <c r="R84" s="188"/>
      <c r="S84" s="188"/>
      <c r="T84" s="188"/>
      <c r="U84" s="188"/>
      <c r="V84" s="188"/>
      <c r="W84" s="188"/>
      <c r="X84" s="188"/>
      <c r="Y84" s="188"/>
      <c r="Z84" s="188"/>
      <c r="AA84" s="188"/>
      <c r="AB84" s="188"/>
      <c r="AC84" s="33">
        <f t="shared" si="27"/>
        <v>0</v>
      </c>
      <c r="AD84" s="33">
        <f t="shared" si="27"/>
        <v>0</v>
      </c>
    </row>
    <row r="85" spans="1:30" x14ac:dyDescent="0.2">
      <c r="A85" s="177" t="s">
        <v>973</v>
      </c>
      <c r="B85" s="170"/>
      <c r="C85" s="170"/>
      <c r="D85" s="170"/>
      <c r="E85" s="163"/>
      <c r="F85" s="164"/>
      <c r="G85" s="171" t="s">
        <v>974</v>
      </c>
      <c r="H85" s="118"/>
      <c r="I85" s="33">
        <f t="shared" ref="I85:AB85" si="28">SUM(I76,I78:I84)</f>
        <v>0</v>
      </c>
      <c r="J85" s="33">
        <f t="shared" si="28"/>
        <v>0</v>
      </c>
      <c r="K85" s="33">
        <f t="shared" si="28"/>
        <v>0</v>
      </c>
      <c r="L85" s="33">
        <f t="shared" si="28"/>
        <v>0</v>
      </c>
      <c r="M85" s="33">
        <f t="shared" si="28"/>
        <v>0</v>
      </c>
      <c r="N85" s="33">
        <f t="shared" si="28"/>
        <v>0</v>
      </c>
      <c r="O85" s="33">
        <f t="shared" si="28"/>
        <v>0</v>
      </c>
      <c r="P85" s="33">
        <f t="shared" si="28"/>
        <v>0</v>
      </c>
      <c r="Q85" s="33">
        <f t="shared" si="28"/>
        <v>0</v>
      </c>
      <c r="R85" s="33">
        <f t="shared" si="28"/>
        <v>0</v>
      </c>
      <c r="S85" s="33">
        <f t="shared" si="28"/>
        <v>0</v>
      </c>
      <c r="T85" s="33">
        <f t="shared" si="28"/>
        <v>0</v>
      </c>
      <c r="U85" s="33">
        <f t="shared" si="28"/>
        <v>0</v>
      </c>
      <c r="V85" s="33">
        <f t="shared" si="28"/>
        <v>0</v>
      </c>
      <c r="W85" s="33">
        <f t="shared" si="28"/>
        <v>0</v>
      </c>
      <c r="X85" s="33">
        <f t="shared" si="28"/>
        <v>0</v>
      </c>
      <c r="Y85" s="33">
        <f t="shared" si="28"/>
        <v>0</v>
      </c>
      <c r="Z85" s="33">
        <f t="shared" si="28"/>
        <v>0</v>
      </c>
      <c r="AA85" s="33">
        <f t="shared" si="28"/>
        <v>0</v>
      </c>
      <c r="AB85" s="33">
        <f t="shared" si="28"/>
        <v>0</v>
      </c>
      <c r="AC85" s="33">
        <f t="shared" si="27"/>
        <v>0</v>
      </c>
      <c r="AD85" s="33">
        <f t="shared" si="27"/>
        <v>0</v>
      </c>
    </row>
    <row r="86" spans="1:30" x14ac:dyDescent="0.2">
      <c r="A86" s="177" t="s">
        <v>975</v>
      </c>
      <c r="B86" s="170"/>
      <c r="C86" s="170"/>
      <c r="D86" s="170"/>
      <c r="E86" s="163"/>
      <c r="F86" s="164"/>
      <c r="G86" s="165"/>
      <c r="H86" s="118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</row>
    <row r="87" spans="1:30" x14ac:dyDescent="0.2">
      <c r="A87" s="178" t="s">
        <v>8</v>
      </c>
      <c r="B87" s="170" t="s">
        <v>976</v>
      </c>
      <c r="C87" s="170"/>
      <c r="D87" s="170"/>
      <c r="E87" s="179"/>
      <c r="F87" s="180"/>
      <c r="G87" s="49" t="s">
        <v>977</v>
      </c>
      <c r="H87" s="122"/>
      <c r="I87" s="128">
        <f t="shared" ref="I87:AA87" si="29">+I90+I93</f>
        <v>0</v>
      </c>
      <c r="J87" s="128">
        <f>I87</f>
        <v>0</v>
      </c>
      <c r="K87" s="128">
        <f t="shared" si="29"/>
        <v>0</v>
      </c>
      <c r="L87" s="128">
        <f>K87</f>
        <v>0</v>
      </c>
      <c r="M87" s="128">
        <f t="shared" si="29"/>
        <v>0</v>
      </c>
      <c r="N87" s="128">
        <f>M87</f>
        <v>0</v>
      </c>
      <c r="O87" s="128">
        <f t="shared" si="29"/>
        <v>0</v>
      </c>
      <c r="P87" s="128">
        <f>O87</f>
        <v>0</v>
      </c>
      <c r="Q87" s="128">
        <f t="shared" si="29"/>
        <v>0</v>
      </c>
      <c r="R87" s="128">
        <f>Q87</f>
        <v>0</v>
      </c>
      <c r="S87" s="128">
        <f t="shared" si="29"/>
        <v>0</v>
      </c>
      <c r="T87" s="128">
        <f>S87</f>
        <v>0</v>
      </c>
      <c r="U87" s="128">
        <f t="shared" si="29"/>
        <v>0</v>
      </c>
      <c r="V87" s="128">
        <f>U87</f>
        <v>0</v>
      </c>
      <c r="W87" s="128">
        <f t="shared" si="29"/>
        <v>0</v>
      </c>
      <c r="X87" s="128">
        <f>W87</f>
        <v>0</v>
      </c>
      <c r="Y87" s="128">
        <f t="shared" si="29"/>
        <v>0</v>
      </c>
      <c r="Z87" s="128">
        <f>Y87</f>
        <v>0</v>
      </c>
      <c r="AA87" s="128">
        <f t="shared" si="29"/>
        <v>0</v>
      </c>
      <c r="AB87" s="128">
        <f>AA87</f>
        <v>0</v>
      </c>
      <c r="AC87" s="128">
        <f>I87+K87+M87+O87+Q87+S87+U87+W87+Y87+AA87</f>
        <v>0</v>
      </c>
      <c r="AD87" s="128">
        <f>J87+L87+N87+P87+R87+T87+V87+X87+Z87+AB87</f>
        <v>0</v>
      </c>
    </row>
    <row r="88" spans="1:30" x14ac:dyDescent="0.2">
      <c r="A88" s="178" t="s">
        <v>10</v>
      </c>
      <c r="B88" s="170" t="s">
        <v>978</v>
      </c>
      <c r="C88" s="170"/>
      <c r="D88" s="170"/>
      <c r="E88" s="179"/>
      <c r="F88" s="180"/>
      <c r="G88" s="49" t="s">
        <v>979</v>
      </c>
      <c r="H88" s="126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33">
        <f>+AC89+AC92</f>
        <v>0</v>
      </c>
      <c r="AD88" s="33">
        <f>+AD89+AD92</f>
        <v>0</v>
      </c>
    </row>
    <row r="89" spans="1:30" x14ac:dyDescent="0.2">
      <c r="A89" s="178"/>
      <c r="B89" s="181" t="s">
        <v>12</v>
      </c>
      <c r="C89" s="170" t="s">
        <v>980</v>
      </c>
      <c r="D89" s="170"/>
      <c r="E89" s="179"/>
      <c r="F89" s="180"/>
      <c r="G89" s="49" t="s">
        <v>981</v>
      </c>
      <c r="H89" s="118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27"/>
      <c r="T89" s="127"/>
      <c r="U89" s="127"/>
      <c r="V89" s="127"/>
      <c r="W89" s="127"/>
      <c r="X89" s="127"/>
      <c r="Y89" s="127"/>
      <c r="Z89" s="127"/>
      <c r="AA89" s="127"/>
      <c r="AB89" s="127"/>
      <c r="AC89" s="182"/>
      <c r="AD89" s="128">
        <f>AC89</f>
        <v>0</v>
      </c>
    </row>
    <row r="90" spans="1:30" x14ac:dyDescent="0.2">
      <c r="A90" s="178"/>
      <c r="B90" s="181"/>
      <c r="C90" s="170" t="s">
        <v>1010</v>
      </c>
      <c r="D90" s="170"/>
      <c r="E90" s="179"/>
      <c r="F90" s="180"/>
      <c r="G90" s="49" t="s">
        <v>982</v>
      </c>
      <c r="H90" s="126"/>
      <c r="I90" s="182"/>
      <c r="J90" s="123">
        <f>I90</f>
        <v>0</v>
      </c>
      <c r="K90" s="182"/>
      <c r="L90" s="123">
        <f>K90</f>
        <v>0</v>
      </c>
      <c r="M90" s="182"/>
      <c r="N90" s="123">
        <f>M90</f>
        <v>0</v>
      </c>
      <c r="O90" s="182"/>
      <c r="P90" s="123">
        <f>O90</f>
        <v>0</v>
      </c>
      <c r="Q90" s="182"/>
      <c r="R90" s="123">
        <f>Q90</f>
        <v>0</v>
      </c>
      <c r="S90" s="182"/>
      <c r="T90" s="123">
        <f>S90</f>
        <v>0</v>
      </c>
      <c r="U90" s="182"/>
      <c r="V90" s="123">
        <f>U90</f>
        <v>0</v>
      </c>
      <c r="W90" s="182"/>
      <c r="X90" s="123">
        <f>W90</f>
        <v>0</v>
      </c>
      <c r="Y90" s="182"/>
      <c r="Z90" s="123">
        <f>Y90</f>
        <v>0</v>
      </c>
      <c r="AA90" s="182"/>
      <c r="AB90" s="123">
        <f>AA90</f>
        <v>0</v>
      </c>
      <c r="AC90" s="128">
        <f>I90+K90+M90+O90+Q90+S90+U90+W90+Y90+AA90</f>
        <v>0</v>
      </c>
      <c r="AD90" s="128">
        <f>AC90</f>
        <v>0</v>
      </c>
    </row>
    <row r="91" spans="1:30" x14ac:dyDescent="0.2">
      <c r="A91" s="178"/>
      <c r="B91" s="170"/>
      <c r="C91" s="170" t="s">
        <v>1011</v>
      </c>
      <c r="D91" s="170"/>
      <c r="E91" s="179"/>
      <c r="F91" s="180"/>
      <c r="G91" s="49" t="s">
        <v>983</v>
      </c>
      <c r="H91" s="126"/>
      <c r="I91" s="188"/>
      <c r="J91" s="188"/>
      <c r="K91" s="188"/>
      <c r="L91" s="188"/>
      <c r="M91" s="188"/>
      <c r="N91" s="188"/>
      <c r="O91" s="188"/>
      <c r="P91" s="188"/>
      <c r="Q91" s="188"/>
      <c r="R91" s="188"/>
      <c r="S91" s="188"/>
      <c r="T91" s="188"/>
      <c r="U91" s="188"/>
      <c r="V91" s="188"/>
      <c r="W91" s="188"/>
      <c r="X91" s="188"/>
      <c r="Y91" s="188"/>
      <c r="Z91" s="188"/>
      <c r="AA91" s="188"/>
      <c r="AB91" s="188"/>
      <c r="AC91" s="33">
        <f>I91+K91+M91+O91+Q91+S91+U91+W91+Y91+AA91</f>
        <v>0</v>
      </c>
      <c r="AD91" s="33">
        <f>AC91</f>
        <v>0</v>
      </c>
    </row>
    <row r="92" spans="1:30" x14ac:dyDescent="0.2">
      <c r="A92" s="178"/>
      <c r="B92" s="181" t="s">
        <v>14</v>
      </c>
      <c r="C92" s="170" t="s">
        <v>984</v>
      </c>
      <c r="D92" s="170"/>
      <c r="E92" s="179"/>
      <c r="F92" s="180"/>
      <c r="G92" s="49" t="s">
        <v>985</v>
      </c>
      <c r="H92" s="118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27"/>
      <c r="T92" s="127"/>
      <c r="U92" s="127"/>
      <c r="V92" s="127"/>
      <c r="W92" s="127"/>
      <c r="X92" s="127"/>
      <c r="Y92" s="127"/>
      <c r="Z92" s="127"/>
      <c r="AA92" s="127"/>
      <c r="AB92" s="127"/>
      <c r="AC92" s="182"/>
      <c r="AD92" s="128">
        <f>AC92</f>
        <v>0</v>
      </c>
    </row>
    <row r="93" spans="1:30" x14ac:dyDescent="0.2">
      <c r="A93" s="178"/>
      <c r="B93" s="170"/>
      <c r="C93" s="170" t="s">
        <v>1010</v>
      </c>
      <c r="D93" s="170"/>
      <c r="E93" s="179"/>
      <c r="F93" s="180"/>
      <c r="G93" s="49" t="s">
        <v>986</v>
      </c>
      <c r="H93" s="126"/>
      <c r="I93" s="182"/>
      <c r="J93" s="123">
        <f>I93</f>
        <v>0</v>
      </c>
      <c r="K93" s="182"/>
      <c r="L93" s="123">
        <f>K93</f>
        <v>0</v>
      </c>
      <c r="M93" s="182"/>
      <c r="N93" s="123">
        <f>M93</f>
        <v>0</v>
      </c>
      <c r="O93" s="182"/>
      <c r="P93" s="123">
        <f>O93</f>
        <v>0</v>
      </c>
      <c r="Q93" s="182"/>
      <c r="R93" s="123">
        <f>Q93</f>
        <v>0</v>
      </c>
      <c r="S93" s="182"/>
      <c r="T93" s="123">
        <f>S93</f>
        <v>0</v>
      </c>
      <c r="U93" s="182"/>
      <c r="V93" s="123">
        <f>U93</f>
        <v>0</v>
      </c>
      <c r="W93" s="182"/>
      <c r="X93" s="123">
        <f>W93</f>
        <v>0</v>
      </c>
      <c r="Y93" s="182"/>
      <c r="Z93" s="123">
        <f>Y93</f>
        <v>0</v>
      </c>
      <c r="AA93" s="182"/>
      <c r="AB93" s="123">
        <f>AA93</f>
        <v>0</v>
      </c>
      <c r="AC93" s="128">
        <f>I93+K93+M93+O93+Q93+S93+U93+W93+Y93+AA93</f>
        <v>0</v>
      </c>
      <c r="AD93" s="128">
        <f>J93+L93+N93+P93+R93+T93+V93+X93+Z93+AB93</f>
        <v>0</v>
      </c>
    </row>
    <row r="94" spans="1:30" x14ac:dyDescent="0.2">
      <c r="A94" s="178"/>
      <c r="B94" s="170"/>
      <c r="C94" s="170" t="s">
        <v>1011</v>
      </c>
      <c r="D94" s="170"/>
      <c r="E94" s="179"/>
      <c r="F94" s="180"/>
      <c r="G94" s="49" t="s">
        <v>987</v>
      </c>
      <c r="H94" s="126"/>
      <c r="I94" s="188"/>
      <c r="J94" s="188"/>
      <c r="K94" s="188"/>
      <c r="L94" s="188"/>
      <c r="M94" s="188"/>
      <c r="N94" s="188"/>
      <c r="O94" s="188"/>
      <c r="P94" s="188"/>
      <c r="Q94" s="188"/>
      <c r="R94" s="188"/>
      <c r="S94" s="188"/>
      <c r="T94" s="188"/>
      <c r="U94" s="188"/>
      <c r="V94" s="188"/>
      <c r="W94" s="188"/>
      <c r="X94" s="188"/>
      <c r="Y94" s="188"/>
      <c r="Z94" s="188"/>
      <c r="AA94" s="188"/>
      <c r="AB94" s="188"/>
      <c r="AC94" s="33">
        <f>I94+K94+M94+O94+Q94+S94+U94+W94+Y94+AA94</f>
        <v>0</v>
      </c>
      <c r="AD94" s="33">
        <f>J94+L94+N94+P94+R94+T94+V94+X94+Z94+AB94</f>
        <v>0</v>
      </c>
    </row>
    <row r="95" spans="1:30" x14ac:dyDescent="0.2">
      <c r="A95" s="166" t="s">
        <v>16</v>
      </c>
      <c r="B95" s="170" t="s">
        <v>988</v>
      </c>
      <c r="C95" s="170"/>
      <c r="D95" s="170"/>
      <c r="E95" s="163"/>
      <c r="F95" s="180"/>
      <c r="G95" s="183"/>
      <c r="H95" s="130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83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</row>
    <row r="96" spans="1:30" ht="27.75" customHeight="1" x14ac:dyDescent="0.2">
      <c r="A96" s="174"/>
      <c r="B96" s="203" t="s">
        <v>989</v>
      </c>
      <c r="C96" s="203"/>
      <c r="D96" s="203"/>
      <c r="E96" s="204"/>
      <c r="F96" s="180"/>
      <c r="G96" s="49" t="s">
        <v>990</v>
      </c>
      <c r="H96" s="130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27"/>
      <c r="T96" s="127"/>
      <c r="U96" s="127"/>
      <c r="V96" s="127"/>
      <c r="W96" s="127"/>
      <c r="X96" s="127"/>
      <c r="Y96" s="127"/>
      <c r="Z96" s="127"/>
      <c r="AA96" s="127"/>
      <c r="AB96" s="127"/>
      <c r="AC96" s="188"/>
      <c r="AD96" s="188"/>
    </row>
    <row r="97" spans="1:30" ht="24.75" customHeight="1" x14ac:dyDescent="0.2">
      <c r="A97" s="174"/>
      <c r="B97" s="203" t="s">
        <v>991</v>
      </c>
      <c r="C97" s="203"/>
      <c r="D97" s="203"/>
      <c r="E97" s="204"/>
      <c r="F97" s="180"/>
      <c r="G97" s="49" t="s">
        <v>992</v>
      </c>
      <c r="H97" s="130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27"/>
      <c r="T97" s="127"/>
      <c r="U97" s="127"/>
      <c r="V97" s="127"/>
      <c r="W97" s="127"/>
      <c r="X97" s="127"/>
      <c r="Y97" s="127"/>
      <c r="Z97" s="127"/>
      <c r="AA97" s="127"/>
      <c r="AB97" s="127"/>
      <c r="AC97" s="188"/>
      <c r="AD97" s="188"/>
    </row>
    <row r="98" spans="1:30" x14ac:dyDescent="0.2">
      <c r="A98" s="174"/>
      <c r="B98" s="170" t="s">
        <v>993</v>
      </c>
      <c r="C98" s="170"/>
      <c r="D98" s="170"/>
      <c r="E98" s="163"/>
      <c r="F98" s="180"/>
      <c r="G98" s="49" t="s">
        <v>994</v>
      </c>
      <c r="H98" s="130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27"/>
      <c r="T98" s="127"/>
      <c r="U98" s="127"/>
      <c r="V98" s="127"/>
      <c r="W98" s="127"/>
      <c r="X98" s="127"/>
      <c r="Y98" s="127"/>
      <c r="Z98" s="127"/>
      <c r="AA98" s="127"/>
      <c r="AB98" s="127"/>
      <c r="AC98" s="33">
        <f>-(AC96-AC97)</f>
        <v>0</v>
      </c>
      <c r="AD98" s="33">
        <f>-(AD96-AD97)</f>
        <v>0</v>
      </c>
    </row>
    <row r="99" spans="1:30" x14ac:dyDescent="0.2">
      <c r="A99" s="166" t="s">
        <v>18</v>
      </c>
      <c r="B99" s="170" t="s">
        <v>995</v>
      </c>
      <c r="C99" s="170"/>
      <c r="D99" s="170"/>
      <c r="E99" s="163"/>
      <c r="F99" s="180"/>
      <c r="G99" s="183"/>
      <c r="H99" s="130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</row>
    <row r="100" spans="1:30" x14ac:dyDescent="0.2">
      <c r="A100" s="174"/>
      <c r="B100" s="181" t="s">
        <v>12</v>
      </c>
      <c r="C100" s="170" t="s">
        <v>996</v>
      </c>
      <c r="D100" s="170"/>
      <c r="E100" s="163"/>
      <c r="F100" s="180"/>
      <c r="G100" s="49" t="s">
        <v>997</v>
      </c>
      <c r="H100" s="130"/>
      <c r="I100" s="188"/>
      <c r="J100" s="188"/>
      <c r="K100" s="188"/>
      <c r="L100" s="188"/>
      <c r="M100" s="188"/>
      <c r="N100" s="188"/>
      <c r="O100" s="188"/>
      <c r="P100" s="188"/>
      <c r="Q100" s="188"/>
      <c r="R100" s="188"/>
      <c r="S100" s="188"/>
      <c r="T100" s="188"/>
      <c r="U100" s="188"/>
      <c r="V100" s="188"/>
      <c r="W100" s="188"/>
      <c r="X100" s="188"/>
      <c r="Y100" s="188"/>
      <c r="Z100" s="188"/>
      <c r="AA100" s="188"/>
      <c r="AB100" s="188"/>
      <c r="AC100" s="33">
        <f t="shared" ref="AC100:AD102" si="30">I100+K100+M100+O100+Q100+S100+U100+W100+Y100+AA100</f>
        <v>0</v>
      </c>
      <c r="AD100" s="33">
        <f t="shared" si="30"/>
        <v>0</v>
      </c>
    </row>
    <row r="101" spans="1:30" x14ac:dyDescent="0.2">
      <c r="A101" s="174"/>
      <c r="B101" s="181" t="s">
        <v>14</v>
      </c>
      <c r="C101" s="170" t="s">
        <v>998</v>
      </c>
      <c r="D101" s="170"/>
      <c r="E101" s="163"/>
      <c r="F101" s="180"/>
      <c r="G101" s="49" t="s">
        <v>999</v>
      </c>
      <c r="H101" s="130"/>
      <c r="I101" s="188"/>
      <c r="J101" s="188"/>
      <c r="K101" s="188"/>
      <c r="L101" s="188"/>
      <c r="M101" s="188"/>
      <c r="N101" s="188"/>
      <c r="O101" s="188"/>
      <c r="P101" s="188"/>
      <c r="Q101" s="188"/>
      <c r="R101" s="188"/>
      <c r="S101" s="188"/>
      <c r="T101" s="188"/>
      <c r="U101" s="188"/>
      <c r="V101" s="188"/>
      <c r="W101" s="188"/>
      <c r="X101" s="188"/>
      <c r="Y101" s="188"/>
      <c r="Z101" s="188"/>
      <c r="AA101" s="188"/>
      <c r="AB101" s="188"/>
      <c r="AC101" s="33">
        <f t="shared" si="30"/>
        <v>0</v>
      </c>
      <c r="AD101" s="33">
        <f t="shared" si="30"/>
        <v>0</v>
      </c>
    </row>
    <row r="102" spans="1:30" x14ac:dyDescent="0.2">
      <c r="A102" s="174"/>
      <c r="B102" s="181" t="s">
        <v>24</v>
      </c>
      <c r="C102" s="170" t="s">
        <v>1000</v>
      </c>
      <c r="D102" s="170"/>
      <c r="E102" s="163"/>
      <c r="F102" s="180"/>
      <c r="G102" s="49" t="s">
        <v>1001</v>
      </c>
      <c r="H102" s="130"/>
      <c r="I102" s="188"/>
      <c r="J102" s="188"/>
      <c r="K102" s="188"/>
      <c r="L102" s="188"/>
      <c r="M102" s="188"/>
      <c r="N102" s="188"/>
      <c r="O102" s="188"/>
      <c r="P102" s="188"/>
      <c r="Q102" s="188"/>
      <c r="R102" s="188"/>
      <c r="S102" s="188"/>
      <c r="T102" s="188"/>
      <c r="U102" s="188"/>
      <c r="V102" s="188"/>
      <c r="W102" s="188"/>
      <c r="X102" s="188"/>
      <c r="Y102" s="188"/>
      <c r="Z102" s="188"/>
      <c r="AA102" s="188"/>
      <c r="AB102" s="188"/>
      <c r="AC102" s="33">
        <f t="shared" si="30"/>
        <v>0</v>
      </c>
      <c r="AD102" s="33">
        <f t="shared" si="30"/>
        <v>0</v>
      </c>
    </row>
    <row r="103" spans="1:30" x14ac:dyDescent="0.2">
      <c r="A103" s="174"/>
      <c r="B103" s="170" t="s">
        <v>1002</v>
      </c>
      <c r="C103" s="170"/>
      <c r="D103" s="170"/>
      <c r="E103" s="163"/>
      <c r="F103" s="180"/>
      <c r="G103" s="49" t="s">
        <v>1003</v>
      </c>
      <c r="H103" s="130"/>
      <c r="I103" s="33">
        <f>SUM(I100:I102)</f>
        <v>0</v>
      </c>
      <c r="J103" s="33">
        <f t="shared" ref="J103:R103" si="31">SUM(J100:J102)</f>
        <v>0</v>
      </c>
      <c r="K103" s="33">
        <f t="shared" si="31"/>
        <v>0</v>
      </c>
      <c r="L103" s="33">
        <f t="shared" si="31"/>
        <v>0</v>
      </c>
      <c r="M103" s="33">
        <f t="shared" si="31"/>
        <v>0</v>
      </c>
      <c r="N103" s="33">
        <f t="shared" si="31"/>
        <v>0</v>
      </c>
      <c r="O103" s="33">
        <f t="shared" si="31"/>
        <v>0</v>
      </c>
      <c r="P103" s="33">
        <f t="shared" si="31"/>
        <v>0</v>
      </c>
      <c r="Q103" s="33">
        <f t="shared" si="31"/>
        <v>0</v>
      </c>
      <c r="R103" s="33">
        <f t="shared" si="31"/>
        <v>0</v>
      </c>
      <c r="S103" s="33">
        <f>SUM(S100:S102)</f>
        <v>0</v>
      </c>
      <c r="T103" s="33">
        <f t="shared" ref="T103:AD103" si="32">SUM(T100:T102)</f>
        <v>0</v>
      </c>
      <c r="U103" s="33">
        <f t="shared" si="32"/>
        <v>0</v>
      </c>
      <c r="V103" s="33">
        <f t="shared" si="32"/>
        <v>0</v>
      </c>
      <c r="W103" s="33">
        <f t="shared" si="32"/>
        <v>0</v>
      </c>
      <c r="X103" s="33">
        <f t="shared" si="32"/>
        <v>0</v>
      </c>
      <c r="Y103" s="33">
        <f t="shared" si="32"/>
        <v>0</v>
      </c>
      <c r="Z103" s="33">
        <f t="shared" si="32"/>
        <v>0</v>
      </c>
      <c r="AA103" s="33">
        <f t="shared" si="32"/>
        <v>0</v>
      </c>
      <c r="AB103" s="33">
        <f t="shared" si="32"/>
        <v>0</v>
      </c>
      <c r="AC103" s="33">
        <f t="shared" si="32"/>
        <v>0</v>
      </c>
      <c r="AD103" s="33">
        <f t="shared" si="32"/>
        <v>0</v>
      </c>
    </row>
    <row r="104" spans="1:30" x14ac:dyDescent="0.2">
      <c r="A104" s="174"/>
      <c r="B104" s="170" t="s">
        <v>1004</v>
      </c>
      <c r="C104" s="170"/>
      <c r="D104" s="170"/>
      <c r="E104" s="163"/>
      <c r="F104" s="180"/>
      <c r="G104" s="49" t="s">
        <v>1005</v>
      </c>
      <c r="H104" s="130"/>
      <c r="I104" s="33">
        <f>I103/3</f>
        <v>0</v>
      </c>
      <c r="J104" s="33">
        <f t="shared" ref="J104:R104" si="33">J103/3</f>
        <v>0</v>
      </c>
      <c r="K104" s="33">
        <f t="shared" si="33"/>
        <v>0</v>
      </c>
      <c r="L104" s="33">
        <f t="shared" si="33"/>
        <v>0</v>
      </c>
      <c r="M104" s="33">
        <f t="shared" si="33"/>
        <v>0</v>
      </c>
      <c r="N104" s="33">
        <f t="shared" si="33"/>
        <v>0</v>
      </c>
      <c r="O104" s="33">
        <f t="shared" si="33"/>
        <v>0</v>
      </c>
      <c r="P104" s="33">
        <f t="shared" si="33"/>
        <v>0</v>
      </c>
      <c r="Q104" s="33">
        <f t="shared" si="33"/>
        <v>0</v>
      </c>
      <c r="R104" s="33">
        <f t="shared" si="33"/>
        <v>0</v>
      </c>
      <c r="S104" s="33">
        <f>S103/3</f>
        <v>0</v>
      </c>
      <c r="T104" s="33">
        <f t="shared" ref="T104:AD104" si="34">T103/3</f>
        <v>0</v>
      </c>
      <c r="U104" s="33">
        <f t="shared" si="34"/>
        <v>0</v>
      </c>
      <c r="V104" s="33">
        <f t="shared" si="34"/>
        <v>0</v>
      </c>
      <c r="W104" s="33">
        <f t="shared" si="34"/>
        <v>0</v>
      </c>
      <c r="X104" s="33">
        <f t="shared" si="34"/>
        <v>0</v>
      </c>
      <c r="Y104" s="33">
        <f t="shared" si="34"/>
        <v>0</v>
      </c>
      <c r="Z104" s="33">
        <f t="shared" si="34"/>
        <v>0</v>
      </c>
      <c r="AA104" s="33">
        <f t="shared" si="34"/>
        <v>0</v>
      </c>
      <c r="AB104" s="33">
        <f t="shared" si="34"/>
        <v>0</v>
      </c>
      <c r="AC104" s="33">
        <f t="shared" si="34"/>
        <v>0</v>
      </c>
      <c r="AD104" s="33">
        <f t="shared" si="34"/>
        <v>0</v>
      </c>
    </row>
    <row r="105" spans="1:30" ht="15" x14ac:dyDescent="0.25">
      <c r="A105" s="135"/>
      <c r="B105" s="135"/>
      <c r="C105" s="135"/>
      <c r="D105" s="135"/>
      <c r="E105" s="135"/>
      <c r="F105" s="135"/>
      <c r="G105" s="21" t="s">
        <v>84</v>
      </c>
      <c r="H105" s="136"/>
    </row>
  </sheetData>
  <sheetProtection sheet="1" objects="1" scenarios="1" selectLockedCells="1"/>
  <mergeCells count="22">
    <mergeCell ref="B50:E50"/>
    <mergeCell ref="B51:E51"/>
    <mergeCell ref="B96:E96"/>
    <mergeCell ref="B97:E97"/>
    <mergeCell ref="AC6:AD6"/>
    <mergeCell ref="C35:E35"/>
    <mergeCell ref="B45:E45"/>
    <mergeCell ref="B46:E46"/>
    <mergeCell ref="B47:E47"/>
    <mergeCell ref="B48:E48"/>
    <mergeCell ref="Q6:R6"/>
    <mergeCell ref="S6:T6"/>
    <mergeCell ref="U6:V6"/>
    <mergeCell ref="W6:X6"/>
    <mergeCell ref="Y6:Z6"/>
    <mergeCell ref="AA6:AB6"/>
    <mergeCell ref="A6:E7"/>
    <mergeCell ref="G6:G7"/>
    <mergeCell ref="I6:J6"/>
    <mergeCell ref="K6:L6"/>
    <mergeCell ref="M6:N6"/>
    <mergeCell ref="O6:P6"/>
  </mergeCells>
  <dataValidations count="2">
    <dataValidation type="whole" operator="greaterThan" allowBlank="1" showInputMessage="1" showErrorMessage="1" sqref="I90:AB90 I93:AB93">
      <formula1>0</formula1>
    </dataValidation>
    <dataValidation type="decimal" allowBlank="1" showInputMessage="1" showErrorMessage="1" error="Invalid Input." sqref="AC9:AD87 AC96:AD97 AC93:AD94 AC90:AC91 I100:AD102 H9:H94 I94:AB94 I9:AB89 I91:AB92">
      <formula1>-999999999999.99</formula1>
      <formula2>999999999999.99</formula2>
    </dataValidation>
  </dataValidations>
  <pageMargins left="0.7" right="0.7" top="0.75" bottom="0.75" header="0.3" footer="0.3"/>
  <pageSetup orientation="portrait" r:id="rId1"/>
  <headerFooter>
    <oddHeader>&amp;C&amp;"Arial,Bold"&amp;8 NEW RURAL BANK OF SAN LEONARDO INC.  [ 04-006056 ]
 As of: June 30, 2016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83"/>
  <sheetViews>
    <sheetView tabSelected="1" topLeftCell="B1" workbookViewId="0"/>
  </sheetViews>
  <sheetFormatPr defaultColWidth="6.7109375" defaultRowHeight="12.75" x14ac:dyDescent="0.2"/>
  <cols>
    <col min="1" max="1" width="43.42578125" style="14" hidden="1" customWidth="1"/>
    <col min="2" max="16384" width="6.7109375" style="13"/>
  </cols>
  <sheetData>
    <row r="1" spans="1:2" x14ac:dyDescent="0.2">
      <c r="A1" s="44" t="s">
        <v>1021</v>
      </c>
      <c r="B1" s="12" t="s">
        <v>140</v>
      </c>
    </row>
    <row r="2" spans="1:2" x14ac:dyDescent="0.2">
      <c r="A2" s="44" t="s">
        <v>1022</v>
      </c>
      <c r="B2" s="12" t="s">
        <v>140</v>
      </c>
    </row>
    <row r="3" spans="1:2" x14ac:dyDescent="0.2">
      <c r="A3" s="44" t="s">
        <v>1023</v>
      </c>
      <c r="B3" s="12" t="s">
        <v>140</v>
      </c>
    </row>
    <row r="4" spans="1:2" x14ac:dyDescent="0.2">
      <c r="A4" s="44" t="s">
        <v>1024</v>
      </c>
      <c r="B4" s="12" t="s">
        <v>140</v>
      </c>
    </row>
    <row r="5" spans="1:2" x14ac:dyDescent="0.2">
      <c r="A5" s="44">
        <v>5</v>
      </c>
      <c r="B5" s="12" t="s">
        <v>140</v>
      </c>
    </row>
    <row r="6" spans="1:2" x14ac:dyDescent="0.2">
      <c r="A6" s="44" t="s">
        <v>1025</v>
      </c>
      <c r="B6" s="13" t="s">
        <v>140</v>
      </c>
    </row>
    <row r="7" spans="1:2" x14ac:dyDescent="0.2">
      <c r="A7" s="45">
        <v>20160630</v>
      </c>
      <c r="B7" s="13" t="s">
        <v>140</v>
      </c>
    </row>
    <row r="8" spans="1:2" x14ac:dyDescent="0.2">
      <c r="A8" s="46" t="s">
        <v>143</v>
      </c>
    </row>
    <row r="9" spans="1:2" x14ac:dyDescent="0.2">
      <c r="A9" s="46" t="s">
        <v>1016</v>
      </c>
    </row>
    <row r="10" spans="1:2" x14ac:dyDescent="0.2">
      <c r="A10" s="47">
        <v>2</v>
      </c>
    </row>
    <row r="11" spans="1:2" x14ac:dyDescent="0.2">
      <c r="A11" s="46" t="s">
        <v>781</v>
      </c>
    </row>
    <row r="12" spans="1:2" x14ac:dyDescent="0.2">
      <c r="A12" s="46"/>
    </row>
    <row r="13" spans="1:2" x14ac:dyDescent="0.2">
      <c r="A13" s="46"/>
    </row>
    <row r="14" spans="1:2" x14ac:dyDescent="0.2">
      <c r="A14" s="46"/>
    </row>
    <row r="15" spans="1:2" x14ac:dyDescent="0.2">
      <c r="A15" s="46"/>
    </row>
    <row r="16" spans="1:2" x14ac:dyDescent="0.2">
      <c r="A16" s="46"/>
    </row>
    <row r="17" spans="1:1" x14ac:dyDescent="0.2">
      <c r="A17" s="46"/>
    </row>
    <row r="18" spans="1:1" x14ac:dyDescent="0.2">
      <c r="A18" s="46"/>
    </row>
    <row r="19" spans="1:1" x14ac:dyDescent="0.2">
      <c r="A19" s="46"/>
    </row>
    <row r="20" spans="1:1" x14ac:dyDescent="0.2">
      <c r="A20" s="46">
        <v>6</v>
      </c>
    </row>
    <row r="21" spans="1:1" x14ac:dyDescent="0.2">
      <c r="A21" s="46">
        <v>2016</v>
      </c>
    </row>
    <row r="22" spans="1:1" x14ac:dyDescent="0.2">
      <c r="A22" s="46"/>
    </row>
    <row r="23" spans="1:1" x14ac:dyDescent="0.2">
      <c r="A23" s="46"/>
    </row>
    <row r="24" spans="1:1" x14ac:dyDescent="0.2">
      <c r="A24" s="46"/>
    </row>
    <row r="25" spans="1:1" x14ac:dyDescent="0.2">
      <c r="A25" s="46"/>
    </row>
    <row r="26" spans="1:1" x14ac:dyDescent="0.2">
      <c r="A26" s="46"/>
    </row>
    <row r="27" spans="1:1" x14ac:dyDescent="0.2">
      <c r="A27" s="46"/>
    </row>
    <row r="28" spans="1:1" x14ac:dyDescent="0.2">
      <c r="A28" s="46"/>
    </row>
    <row r="29" spans="1:1" x14ac:dyDescent="0.2">
      <c r="A29" s="46"/>
    </row>
    <row r="30" spans="1:1" x14ac:dyDescent="0.2">
      <c r="A30" s="46"/>
    </row>
    <row r="31" spans="1:1" x14ac:dyDescent="0.2">
      <c r="A31" s="46"/>
    </row>
    <row r="32" spans="1:1" x14ac:dyDescent="0.2">
      <c r="A32" s="46"/>
    </row>
    <row r="33" spans="1:1" x14ac:dyDescent="0.2">
      <c r="A33" s="46"/>
    </row>
    <row r="34" spans="1:1" x14ac:dyDescent="0.2">
      <c r="A34" s="46"/>
    </row>
    <row r="35" spans="1:1" x14ac:dyDescent="0.2">
      <c r="A35" s="46"/>
    </row>
    <row r="36" spans="1:1" x14ac:dyDescent="0.2">
      <c r="A36" s="46"/>
    </row>
    <row r="37" spans="1:1" x14ac:dyDescent="0.2">
      <c r="A37" s="46"/>
    </row>
    <row r="38" spans="1:1" x14ac:dyDescent="0.2">
      <c r="A38" s="46"/>
    </row>
    <row r="39" spans="1:1" x14ac:dyDescent="0.2">
      <c r="A39" s="46"/>
    </row>
    <row r="40" spans="1:1" x14ac:dyDescent="0.2">
      <c r="A40" s="46"/>
    </row>
    <row r="41" spans="1:1" x14ac:dyDescent="0.2">
      <c r="A41" s="46"/>
    </row>
    <row r="42" spans="1:1" x14ac:dyDescent="0.2">
      <c r="A42" s="46"/>
    </row>
    <row r="43" spans="1:1" x14ac:dyDescent="0.2">
      <c r="A43" s="46"/>
    </row>
    <row r="44" spans="1:1" x14ac:dyDescent="0.2">
      <c r="A44" s="46"/>
    </row>
    <row r="45" spans="1:1" x14ac:dyDescent="0.2">
      <c r="A45" s="46"/>
    </row>
    <row r="46" spans="1:1" x14ac:dyDescent="0.2">
      <c r="A46" s="46"/>
    </row>
    <row r="47" spans="1:1" x14ac:dyDescent="0.2">
      <c r="A47" s="46"/>
    </row>
    <row r="48" spans="1:1" x14ac:dyDescent="0.2">
      <c r="A48" s="46"/>
    </row>
    <row r="49" spans="1:1" x14ac:dyDescent="0.2">
      <c r="A49" s="46"/>
    </row>
    <row r="50" spans="1:1" x14ac:dyDescent="0.2">
      <c r="A50" s="46" t="s">
        <v>463</v>
      </c>
    </row>
    <row r="51" spans="1:1" x14ac:dyDescent="0.2">
      <c r="A51" s="46" t="s">
        <v>426</v>
      </c>
    </row>
    <row r="52" spans="1:1" x14ac:dyDescent="0.2">
      <c r="A52" s="46" t="s">
        <v>427</v>
      </c>
    </row>
    <row r="53" spans="1:1" x14ac:dyDescent="0.2">
      <c r="A53" s="46" t="s">
        <v>471</v>
      </c>
    </row>
    <row r="54" spans="1:1" x14ac:dyDescent="0.2">
      <c r="A54" s="46" t="s">
        <v>495</v>
      </c>
    </row>
    <row r="55" spans="1:1" x14ac:dyDescent="0.2">
      <c r="A55" s="46" t="s">
        <v>496</v>
      </c>
    </row>
    <row r="56" spans="1:1" x14ac:dyDescent="0.2">
      <c r="A56" s="46" t="s">
        <v>784</v>
      </c>
    </row>
    <row r="57" spans="1:1" x14ac:dyDescent="0.2">
      <c r="A57" s="46" t="s">
        <v>497</v>
      </c>
    </row>
    <row r="58" spans="1:1" x14ac:dyDescent="0.2">
      <c r="A58" s="46" t="s">
        <v>498</v>
      </c>
    </row>
    <row r="59" spans="1:1" x14ac:dyDescent="0.2">
      <c r="A59" s="46" t="s">
        <v>472</v>
      </c>
    </row>
    <row r="60" spans="1:1" x14ac:dyDescent="0.2">
      <c r="A60" s="46" t="s">
        <v>499</v>
      </c>
    </row>
    <row r="61" spans="1:1" x14ac:dyDescent="0.2">
      <c r="A61" s="46" t="s">
        <v>172</v>
      </c>
    </row>
    <row r="62" spans="1:1" x14ac:dyDescent="0.2">
      <c r="A62" s="46" t="s">
        <v>462</v>
      </c>
    </row>
    <row r="63" spans="1:1" x14ac:dyDescent="0.2">
      <c r="A63" s="46" t="s">
        <v>173</v>
      </c>
    </row>
    <row r="64" spans="1:1" x14ac:dyDescent="0.2">
      <c r="A64" s="46" t="s">
        <v>500</v>
      </c>
    </row>
    <row r="65" spans="1:1" x14ac:dyDescent="0.2">
      <c r="A65" s="46" t="s">
        <v>174</v>
      </c>
    </row>
    <row r="66" spans="1:1" x14ac:dyDescent="0.2">
      <c r="A66" s="46" t="s">
        <v>175</v>
      </c>
    </row>
    <row r="67" spans="1:1" x14ac:dyDescent="0.2">
      <c r="A67" s="46" t="s">
        <v>473</v>
      </c>
    </row>
    <row r="68" spans="1:1" x14ac:dyDescent="0.2">
      <c r="A68" s="46" t="s">
        <v>176</v>
      </c>
    </row>
    <row r="69" spans="1:1" x14ac:dyDescent="0.2">
      <c r="A69" s="46" t="s">
        <v>177</v>
      </c>
    </row>
    <row r="70" spans="1:1" x14ac:dyDescent="0.2">
      <c r="A70" s="46" t="s">
        <v>435</v>
      </c>
    </row>
    <row r="71" spans="1:1" x14ac:dyDescent="0.2">
      <c r="A71" s="46" t="s">
        <v>483</v>
      </c>
    </row>
    <row r="72" spans="1:1" x14ac:dyDescent="0.2">
      <c r="A72" s="46" t="s">
        <v>436</v>
      </c>
    </row>
    <row r="73" spans="1:1" x14ac:dyDescent="0.2">
      <c r="A73" s="46" t="s">
        <v>787</v>
      </c>
    </row>
    <row r="74" spans="1:1" x14ac:dyDescent="0.2">
      <c r="A74" s="46" t="s">
        <v>464</v>
      </c>
    </row>
    <row r="75" spans="1:1" x14ac:dyDescent="0.2">
      <c r="A75" s="46" t="s">
        <v>478</v>
      </c>
    </row>
    <row r="76" spans="1:1" x14ac:dyDescent="0.2">
      <c r="A76" s="46" t="s">
        <v>776</v>
      </c>
    </row>
    <row r="77" spans="1:1" x14ac:dyDescent="0.2">
      <c r="A77" s="46" t="s">
        <v>178</v>
      </c>
    </row>
    <row r="78" spans="1:1" x14ac:dyDescent="0.2">
      <c r="A78" s="46" t="s">
        <v>179</v>
      </c>
    </row>
    <row r="79" spans="1:1" x14ac:dyDescent="0.2">
      <c r="A79" s="46" t="s">
        <v>503</v>
      </c>
    </row>
    <row r="80" spans="1:1" x14ac:dyDescent="0.2">
      <c r="A80" s="46" t="s">
        <v>504</v>
      </c>
    </row>
    <row r="81" spans="1:1" x14ac:dyDescent="0.2">
      <c r="A81" s="46" t="s">
        <v>727</v>
      </c>
    </row>
    <row r="82" spans="1:1" x14ac:dyDescent="0.2">
      <c r="A82" s="46" t="s">
        <v>437</v>
      </c>
    </row>
    <row r="83" spans="1:1" x14ac:dyDescent="0.2">
      <c r="A83" s="46" t="s">
        <v>474</v>
      </c>
    </row>
    <row r="84" spans="1:1" x14ac:dyDescent="0.2">
      <c r="A84" s="46" t="s">
        <v>180</v>
      </c>
    </row>
    <row r="85" spans="1:1" x14ac:dyDescent="0.2">
      <c r="A85" s="46" t="s">
        <v>181</v>
      </c>
    </row>
    <row r="86" spans="1:1" x14ac:dyDescent="0.2">
      <c r="A86" s="46" t="s">
        <v>438</v>
      </c>
    </row>
    <row r="87" spans="1:1" x14ac:dyDescent="0.2">
      <c r="A87" s="46" t="s">
        <v>793</v>
      </c>
    </row>
    <row r="88" spans="1:1" x14ac:dyDescent="0.2">
      <c r="A88" s="46" t="s">
        <v>507</v>
      </c>
    </row>
    <row r="89" spans="1:1" x14ac:dyDescent="0.2">
      <c r="A89" s="46" t="s">
        <v>182</v>
      </c>
    </row>
    <row r="90" spans="1:1" x14ac:dyDescent="0.2">
      <c r="A90" s="46" t="s">
        <v>183</v>
      </c>
    </row>
    <row r="91" spans="1:1" x14ac:dyDescent="0.2">
      <c r="A91" s="46" t="s">
        <v>184</v>
      </c>
    </row>
    <row r="92" spans="1:1" x14ac:dyDescent="0.2">
      <c r="A92" s="46" t="s">
        <v>508</v>
      </c>
    </row>
    <row r="93" spans="1:1" x14ac:dyDescent="0.2">
      <c r="A93" s="46" t="s">
        <v>465</v>
      </c>
    </row>
    <row r="94" spans="1:1" x14ac:dyDescent="0.2">
      <c r="A94" s="46" t="s">
        <v>509</v>
      </c>
    </row>
    <row r="95" spans="1:1" x14ac:dyDescent="0.2">
      <c r="A95" s="46" t="s">
        <v>185</v>
      </c>
    </row>
    <row r="96" spans="1:1" x14ac:dyDescent="0.2">
      <c r="A96" s="46" t="s">
        <v>775</v>
      </c>
    </row>
    <row r="97" spans="1:1" x14ac:dyDescent="0.2">
      <c r="A97" s="46" t="s">
        <v>186</v>
      </c>
    </row>
    <row r="98" spans="1:1" x14ac:dyDescent="0.2">
      <c r="A98" s="46" t="s">
        <v>488</v>
      </c>
    </row>
    <row r="99" spans="1:1" x14ac:dyDescent="0.2">
      <c r="A99" s="46" t="s">
        <v>510</v>
      </c>
    </row>
    <row r="100" spans="1:1" x14ac:dyDescent="0.2">
      <c r="A100" s="46" t="s">
        <v>789</v>
      </c>
    </row>
    <row r="101" spans="1:1" x14ac:dyDescent="0.2">
      <c r="A101" s="46" t="s">
        <v>511</v>
      </c>
    </row>
    <row r="102" spans="1:1" x14ac:dyDescent="0.2">
      <c r="A102" s="46" t="s">
        <v>187</v>
      </c>
    </row>
    <row r="103" spans="1:1" x14ac:dyDescent="0.2">
      <c r="A103" s="46" t="s">
        <v>188</v>
      </c>
    </row>
    <row r="104" spans="1:1" x14ac:dyDescent="0.2">
      <c r="A104" s="46" t="s">
        <v>434</v>
      </c>
    </row>
    <row r="105" spans="1:1" x14ac:dyDescent="0.2">
      <c r="A105" s="46" t="s">
        <v>189</v>
      </c>
    </row>
    <row r="106" spans="1:1" x14ac:dyDescent="0.2">
      <c r="A106" s="46" t="s">
        <v>190</v>
      </c>
    </row>
    <row r="107" spans="1:1" x14ac:dyDescent="0.2">
      <c r="A107" s="46" t="s">
        <v>191</v>
      </c>
    </row>
    <row r="108" spans="1:1" x14ac:dyDescent="0.2">
      <c r="A108" s="46" t="s">
        <v>192</v>
      </c>
    </row>
    <row r="109" spans="1:1" x14ac:dyDescent="0.2">
      <c r="A109" s="46" t="s">
        <v>193</v>
      </c>
    </row>
    <row r="110" spans="1:1" x14ac:dyDescent="0.2">
      <c r="A110" s="46" t="s">
        <v>431</v>
      </c>
    </row>
    <row r="111" spans="1:1" x14ac:dyDescent="0.2">
      <c r="A111" s="46" t="s">
        <v>512</v>
      </c>
    </row>
    <row r="112" spans="1:1" x14ac:dyDescent="0.2">
      <c r="A112" s="46" t="s">
        <v>513</v>
      </c>
    </row>
    <row r="113" spans="1:1" x14ac:dyDescent="0.2">
      <c r="A113" s="46" t="s">
        <v>530</v>
      </c>
    </row>
    <row r="114" spans="1:1" x14ac:dyDescent="0.2">
      <c r="A114" s="46" t="s">
        <v>194</v>
      </c>
    </row>
    <row r="115" spans="1:1" x14ac:dyDescent="0.2">
      <c r="A115" s="46" t="s">
        <v>195</v>
      </c>
    </row>
    <row r="116" spans="1:1" x14ac:dyDescent="0.2">
      <c r="A116" s="46" t="s">
        <v>196</v>
      </c>
    </row>
    <row r="117" spans="1:1" x14ac:dyDescent="0.2">
      <c r="A117" s="46" t="s">
        <v>197</v>
      </c>
    </row>
    <row r="118" spans="1:1" x14ac:dyDescent="0.2">
      <c r="A118" s="46" t="s">
        <v>439</v>
      </c>
    </row>
    <row r="119" spans="1:1" x14ac:dyDescent="0.2">
      <c r="A119" s="46" t="s">
        <v>440</v>
      </c>
    </row>
    <row r="120" spans="1:1" x14ac:dyDescent="0.2">
      <c r="A120" s="46" t="s">
        <v>198</v>
      </c>
    </row>
    <row r="121" spans="1:1" x14ac:dyDescent="0.2">
      <c r="A121" s="46" t="s">
        <v>441</v>
      </c>
    </row>
    <row r="122" spans="1:1" x14ac:dyDescent="0.2">
      <c r="A122" s="46" t="s">
        <v>785</v>
      </c>
    </row>
    <row r="123" spans="1:1" x14ac:dyDescent="0.2">
      <c r="A123" s="46" t="s">
        <v>199</v>
      </c>
    </row>
    <row r="124" spans="1:1" x14ac:dyDescent="0.2">
      <c r="A124" s="46" t="s">
        <v>493</v>
      </c>
    </row>
    <row r="125" spans="1:1" x14ac:dyDescent="0.2">
      <c r="A125" s="46" t="s">
        <v>200</v>
      </c>
    </row>
    <row r="126" spans="1:1" x14ac:dyDescent="0.2">
      <c r="A126" s="46" t="s">
        <v>201</v>
      </c>
    </row>
    <row r="127" spans="1:1" x14ac:dyDescent="0.2">
      <c r="A127" s="46" t="s">
        <v>514</v>
      </c>
    </row>
    <row r="128" spans="1:1" x14ac:dyDescent="0.2">
      <c r="A128" s="46" t="s">
        <v>202</v>
      </c>
    </row>
    <row r="129" spans="1:1" x14ac:dyDescent="0.2">
      <c r="A129" s="46" t="s">
        <v>203</v>
      </c>
    </row>
    <row r="130" spans="1:1" x14ac:dyDescent="0.2">
      <c r="A130" s="46" t="s">
        <v>479</v>
      </c>
    </row>
    <row r="131" spans="1:1" x14ac:dyDescent="0.2">
      <c r="A131" s="46" t="s">
        <v>515</v>
      </c>
    </row>
    <row r="132" spans="1:1" x14ac:dyDescent="0.2">
      <c r="A132" s="46" t="s">
        <v>516</v>
      </c>
    </row>
    <row r="133" spans="1:1" x14ac:dyDescent="0.2">
      <c r="A133" s="46" t="s">
        <v>517</v>
      </c>
    </row>
    <row r="134" spans="1:1" x14ac:dyDescent="0.2">
      <c r="A134" s="46" t="s">
        <v>501</v>
      </c>
    </row>
    <row r="135" spans="1:1" x14ac:dyDescent="0.2">
      <c r="A135" s="46" t="s">
        <v>518</v>
      </c>
    </row>
    <row r="136" spans="1:1" x14ac:dyDescent="0.2">
      <c r="A136" s="46" t="s">
        <v>519</v>
      </c>
    </row>
    <row r="137" spans="1:1" x14ac:dyDescent="0.2">
      <c r="A137" s="46" t="s">
        <v>520</v>
      </c>
    </row>
    <row r="138" spans="1:1" x14ac:dyDescent="0.2">
      <c r="A138" s="46" t="s">
        <v>522</v>
      </c>
    </row>
    <row r="139" spans="1:1" x14ac:dyDescent="0.2">
      <c r="A139" s="46" t="s">
        <v>523</v>
      </c>
    </row>
    <row r="140" spans="1:1" x14ac:dyDescent="0.2">
      <c r="A140" s="46" t="s">
        <v>524</v>
      </c>
    </row>
    <row r="141" spans="1:1" x14ac:dyDescent="0.2">
      <c r="A141" s="46" t="s">
        <v>525</v>
      </c>
    </row>
    <row r="142" spans="1:1" x14ac:dyDescent="0.2">
      <c r="A142" s="46" t="s">
        <v>782</v>
      </c>
    </row>
    <row r="143" spans="1:1" x14ac:dyDescent="0.2">
      <c r="A143" s="46" t="s">
        <v>204</v>
      </c>
    </row>
    <row r="144" spans="1:1" x14ac:dyDescent="0.2">
      <c r="A144" s="46" t="s">
        <v>205</v>
      </c>
    </row>
    <row r="145" spans="1:1" x14ac:dyDescent="0.2">
      <c r="A145" s="46" t="s">
        <v>526</v>
      </c>
    </row>
    <row r="146" spans="1:1" x14ac:dyDescent="0.2">
      <c r="A146" s="46" t="s">
        <v>527</v>
      </c>
    </row>
    <row r="147" spans="1:1" x14ac:dyDescent="0.2">
      <c r="A147" s="46" t="s">
        <v>206</v>
      </c>
    </row>
    <row r="148" spans="1:1" x14ac:dyDescent="0.2">
      <c r="A148" s="46" t="s">
        <v>207</v>
      </c>
    </row>
    <row r="149" spans="1:1" x14ac:dyDescent="0.2">
      <c r="A149" s="46" t="s">
        <v>442</v>
      </c>
    </row>
    <row r="150" spans="1:1" x14ac:dyDescent="0.2">
      <c r="A150" s="46" t="s">
        <v>531</v>
      </c>
    </row>
    <row r="151" spans="1:1" x14ac:dyDescent="0.2">
      <c r="A151" s="46" t="s">
        <v>208</v>
      </c>
    </row>
    <row r="152" spans="1:1" x14ac:dyDescent="0.2">
      <c r="A152" s="46" t="s">
        <v>429</v>
      </c>
    </row>
    <row r="153" spans="1:1" x14ac:dyDescent="0.2">
      <c r="A153" s="46" t="s">
        <v>209</v>
      </c>
    </row>
    <row r="154" spans="1:1" x14ac:dyDescent="0.2">
      <c r="A154" s="46" t="s">
        <v>210</v>
      </c>
    </row>
    <row r="155" spans="1:1" x14ac:dyDescent="0.2">
      <c r="A155" s="46" t="s">
        <v>211</v>
      </c>
    </row>
    <row r="156" spans="1:1" x14ac:dyDescent="0.2">
      <c r="A156" s="46" t="s">
        <v>533</v>
      </c>
    </row>
    <row r="157" spans="1:1" x14ac:dyDescent="0.2">
      <c r="A157" s="46" t="s">
        <v>212</v>
      </c>
    </row>
    <row r="158" spans="1:1" x14ac:dyDescent="0.2">
      <c r="A158" s="46" t="s">
        <v>213</v>
      </c>
    </row>
    <row r="159" spans="1:1" x14ac:dyDescent="0.2">
      <c r="A159" s="46" t="s">
        <v>214</v>
      </c>
    </row>
    <row r="160" spans="1:1" x14ac:dyDescent="0.2">
      <c r="A160" s="46" t="s">
        <v>215</v>
      </c>
    </row>
    <row r="161" spans="1:1" x14ac:dyDescent="0.2">
      <c r="A161" s="46" t="s">
        <v>490</v>
      </c>
    </row>
    <row r="162" spans="1:1" x14ac:dyDescent="0.2">
      <c r="A162" s="46" t="s">
        <v>216</v>
      </c>
    </row>
    <row r="163" spans="1:1" x14ac:dyDescent="0.2">
      <c r="A163" s="46" t="s">
        <v>529</v>
      </c>
    </row>
    <row r="164" spans="1:1" x14ac:dyDescent="0.2">
      <c r="A164" s="46" t="s">
        <v>528</v>
      </c>
    </row>
    <row r="165" spans="1:1" x14ac:dyDescent="0.2">
      <c r="A165" s="46" t="s">
        <v>443</v>
      </c>
    </row>
    <row r="166" spans="1:1" x14ac:dyDescent="0.2">
      <c r="A166" s="46" t="s">
        <v>444</v>
      </c>
    </row>
    <row r="167" spans="1:1" x14ac:dyDescent="0.2">
      <c r="A167" s="46" t="s">
        <v>491</v>
      </c>
    </row>
    <row r="168" spans="1:1" x14ac:dyDescent="0.2">
      <c r="A168" s="46" t="s">
        <v>534</v>
      </c>
    </row>
    <row r="169" spans="1:1" x14ac:dyDescent="0.2">
      <c r="A169" s="46" t="s">
        <v>786</v>
      </c>
    </row>
    <row r="170" spans="1:1" x14ac:dyDescent="0.2">
      <c r="A170" s="46" t="s">
        <v>535</v>
      </c>
    </row>
    <row r="171" spans="1:1" x14ac:dyDescent="0.2">
      <c r="A171" s="46" t="s">
        <v>492</v>
      </c>
    </row>
    <row r="172" spans="1:1" x14ac:dyDescent="0.2">
      <c r="A172" s="46" t="s">
        <v>445</v>
      </c>
    </row>
    <row r="173" spans="1:1" x14ac:dyDescent="0.2">
      <c r="A173" s="46" t="s">
        <v>217</v>
      </c>
    </row>
    <row r="174" spans="1:1" x14ac:dyDescent="0.2">
      <c r="A174" s="46" t="s">
        <v>466</v>
      </c>
    </row>
    <row r="175" spans="1:1" x14ac:dyDescent="0.2">
      <c r="A175" s="46" t="s">
        <v>218</v>
      </c>
    </row>
    <row r="176" spans="1:1" x14ac:dyDescent="0.2">
      <c r="A176" s="46" t="s">
        <v>467</v>
      </c>
    </row>
    <row r="177" spans="1:1" x14ac:dyDescent="0.2">
      <c r="A177" s="46" t="s">
        <v>219</v>
      </c>
    </row>
    <row r="178" spans="1:1" x14ac:dyDescent="0.2">
      <c r="A178" s="46" t="s">
        <v>220</v>
      </c>
    </row>
    <row r="179" spans="1:1" x14ac:dyDescent="0.2">
      <c r="A179" s="46" t="s">
        <v>221</v>
      </c>
    </row>
    <row r="180" spans="1:1" x14ac:dyDescent="0.2">
      <c r="A180" s="46" t="s">
        <v>537</v>
      </c>
    </row>
    <row r="181" spans="1:1" x14ac:dyDescent="0.2">
      <c r="A181" s="46" t="s">
        <v>790</v>
      </c>
    </row>
    <row r="182" spans="1:1" x14ac:dyDescent="0.2">
      <c r="A182" s="46" t="s">
        <v>538</v>
      </c>
    </row>
    <row r="183" spans="1:1" x14ac:dyDescent="0.2">
      <c r="A183" s="46" t="s">
        <v>222</v>
      </c>
    </row>
    <row r="184" spans="1:1" x14ac:dyDescent="0.2">
      <c r="A184" s="46" t="s">
        <v>223</v>
      </c>
    </row>
    <row r="185" spans="1:1" x14ac:dyDescent="0.2">
      <c r="A185" s="46" t="s">
        <v>539</v>
      </c>
    </row>
    <row r="186" spans="1:1" x14ac:dyDescent="0.2">
      <c r="A186" s="46" t="s">
        <v>224</v>
      </c>
    </row>
    <row r="187" spans="1:1" x14ac:dyDescent="0.2">
      <c r="A187" s="46" t="s">
        <v>475</v>
      </c>
    </row>
    <row r="188" spans="1:1" x14ac:dyDescent="0.2">
      <c r="A188" s="46" t="s">
        <v>540</v>
      </c>
    </row>
    <row r="189" spans="1:1" x14ac:dyDescent="0.2">
      <c r="A189" s="46" t="s">
        <v>225</v>
      </c>
    </row>
    <row r="190" spans="1:1" x14ac:dyDescent="0.2">
      <c r="A190" s="46" t="s">
        <v>226</v>
      </c>
    </row>
    <row r="191" spans="1:1" x14ac:dyDescent="0.2">
      <c r="A191" s="46" t="s">
        <v>541</v>
      </c>
    </row>
    <row r="192" spans="1:1" x14ac:dyDescent="0.2">
      <c r="A192" s="46" t="s">
        <v>227</v>
      </c>
    </row>
    <row r="193" spans="1:1" x14ac:dyDescent="0.2">
      <c r="A193" s="46" t="s">
        <v>228</v>
      </c>
    </row>
    <row r="194" spans="1:1" x14ac:dyDescent="0.2">
      <c r="A194" s="46" t="s">
        <v>229</v>
      </c>
    </row>
    <row r="195" spans="1:1" x14ac:dyDescent="0.2">
      <c r="A195" s="46" t="s">
        <v>554</v>
      </c>
    </row>
    <row r="196" spans="1:1" x14ac:dyDescent="0.2">
      <c r="A196" s="46" t="s">
        <v>468</v>
      </c>
    </row>
    <row r="197" spans="1:1" x14ac:dyDescent="0.2">
      <c r="A197" s="46" t="s">
        <v>542</v>
      </c>
    </row>
    <row r="198" spans="1:1" x14ac:dyDescent="0.2">
      <c r="A198" s="46" t="s">
        <v>230</v>
      </c>
    </row>
    <row r="199" spans="1:1" x14ac:dyDescent="0.2">
      <c r="A199" s="46" t="s">
        <v>231</v>
      </c>
    </row>
    <row r="200" spans="1:1" x14ac:dyDescent="0.2">
      <c r="A200" s="46" t="s">
        <v>543</v>
      </c>
    </row>
    <row r="201" spans="1:1" x14ac:dyDescent="0.2">
      <c r="A201" s="46" t="s">
        <v>446</v>
      </c>
    </row>
    <row r="202" spans="1:1" x14ac:dyDescent="0.2">
      <c r="A202" s="46" t="s">
        <v>232</v>
      </c>
    </row>
    <row r="203" spans="1:1" x14ac:dyDescent="0.2">
      <c r="A203" s="46" t="s">
        <v>430</v>
      </c>
    </row>
    <row r="204" spans="1:1" x14ac:dyDescent="0.2">
      <c r="A204" s="46" t="s">
        <v>233</v>
      </c>
    </row>
    <row r="205" spans="1:1" x14ac:dyDescent="0.2">
      <c r="A205" s="46" t="s">
        <v>234</v>
      </c>
    </row>
    <row r="206" spans="1:1" x14ac:dyDescent="0.2">
      <c r="A206" s="46" t="s">
        <v>235</v>
      </c>
    </row>
    <row r="207" spans="1:1" x14ac:dyDescent="0.2">
      <c r="A207" s="46" t="s">
        <v>469</v>
      </c>
    </row>
    <row r="208" spans="1:1" x14ac:dyDescent="0.2">
      <c r="A208" s="46" t="s">
        <v>236</v>
      </c>
    </row>
    <row r="209" spans="1:1" x14ac:dyDescent="0.2">
      <c r="A209" s="46" t="s">
        <v>237</v>
      </c>
    </row>
    <row r="210" spans="1:1" x14ac:dyDescent="0.2">
      <c r="A210" s="46" t="s">
        <v>544</v>
      </c>
    </row>
    <row r="211" spans="1:1" x14ac:dyDescent="0.2">
      <c r="A211" s="46" t="s">
        <v>238</v>
      </c>
    </row>
    <row r="212" spans="1:1" x14ac:dyDescent="0.2">
      <c r="A212" s="46" t="s">
        <v>239</v>
      </c>
    </row>
    <row r="213" spans="1:1" x14ac:dyDescent="0.2">
      <c r="A213" s="46" t="s">
        <v>545</v>
      </c>
    </row>
    <row r="214" spans="1:1" x14ac:dyDescent="0.2">
      <c r="A214" s="46" t="s">
        <v>546</v>
      </c>
    </row>
    <row r="215" spans="1:1" x14ac:dyDescent="0.2">
      <c r="A215" s="46" t="s">
        <v>240</v>
      </c>
    </row>
    <row r="216" spans="1:1" x14ac:dyDescent="0.2">
      <c r="A216" s="46" t="s">
        <v>241</v>
      </c>
    </row>
    <row r="217" spans="1:1" x14ac:dyDescent="0.2">
      <c r="A217" s="46" t="s">
        <v>447</v>
      </c>
    </row>
    <row r="218" spans="1:1" x14ac:dyDescent="0.2">
      <c r="A218" s="46" t="s">
        <v>242</v>
      </c>
    </row>
    <row r="219" spans="1:1" x14ac:dyDescent="0.2">
      <c r="A219" s="46" t="s">
        <v>243</v>
      </c>
    </row>
    <row r="220" spans="1:1" x14ac:dyDescent="0.2">
      <c r="A220" s="46" t="s">
        <v>244</v>
      </c>
    </row>
    <row r="221" spans="1:1" x14ac:dyDescent="0.2">
      <c r="A221" s="46" t="s">
        <v>547</v>
      </c>
    </row>
    <row r="222" spans="1:1" x14ac:dyDescent="0.2">
      <c r="A222" s="46" t="s">
        <v>245</v>
      </c>
    </row>
    <row r="223" spans="1:1" x14ac:dyDescent="0.2">
      <c r="A223" s="46" t="s">
        <v>448</v>
      </c>
    </row>
    <row r="224" spans="1:1" x14ac:dyDescent="0.2">
      <c r="A224" s="46" t="s">
        <v>548</v>
      </c>
    </row>
    <row r="225" spans="1:1" x14ac:dyDescent="0.2">
      <c r="A225" s="46" t="s">
        <v>246</v>
      </c>
    </row>
    <row r="226" spans="1:1" x14ac:dyDescent="0.2">
      <c r="A226" s="46" t="s">
        <v>476</v>
      </c>
    </row>
    <row r="227" spans="1:1" x14ac:dyDescent="0.2">
      <c r="A227" s="46" t="s">
        <v>247</v>
      </c>
    </row>
    <row r="228" spans="1:1" x14ac:dyDescent="0.2">
      <c r="A228" s="46" t="s">
        <v>484</v>
      </c>
    </row>
    <row r="229" spans="1:1" x14ac:dyDescent="0.2">
      <c r="A229" s="46" t="s">
        <v>794</v>
      </c>
    </row>
    <row r="230" spans="1:1" x14ac:dyDescent="0.2">
      <c r="A230" s="46" t="s">
        <v>248</v>
      </c>
    </row>
    <row r="231" spans="1:1" x14ac:dyDescent="0.2">
      <c r="A231" s="46" t="s">
        <v>249</v>
      </c>
    </row>
    <row r="232" spans="1:1" x14ac:dyDescent="0.2">
      <c r="A232" s="46" t="s">
        <v>250</v>
      </c>
    </row>
    <row r="233" spans="1:1" x14ac:dyDescent="0.2">
      <c r="A233" s="46" t="s">
        <v>549</v>
      </c>
    </row>
    <row r="234" spans="1:1" x14ac:dyDescent="0.2">
      <c r="A234" s="46" t="s">
        <v>251</v>
      </c>
    </row>
    <row r="235" spans="1:1" x14ac:dyDescent="0.2">
      <c r="A235" s="46" t="s">
        <v>252</v>
      </c>
    </row>
    <row r="236" spans="1:1" x14ac:dyDescent="0.2">
      <c r="A236" s="46" t="s">
        <v>253</v>
      </c>
    </row>
    <row r="237" spans="1:1" x14ac:dyDescent="0.2">
      <c r="A237" s="46" t="s">
        <v>550</v>
      </c>
    </row>
    <row r="238" spans="1:1" x14ac:dyDescent="0.2">
      <c r="A238" s="46" t="s">
        <v>792</v>
      </c>
    </row>
    <row r="239" spans="1:1" x14ac:dyDescent="0.2">
      <c r="A239" s="46" t="s">
        <v>551</v>
      </c>
    </row>
    <row r="240" spans="1:1" x14ac:dyDescent="0.2">
      <c r="A240" s="46" t="s">
        <v>449</v>
      </c>
    </row>
    <row r="241" spans="1:1" x14ac:dyDescent="0.2">
      <c r="A241" s="46" t="s">
        <v>552</v>
      </c>
    </row>
    <row r="242" spans="1:1" x14ac:dyDescent="0.2">
      <c r="A242" s="46" t="s">
        <v>553</v>
      </c>
    </row>
    <row r="243" spans="1:1" x14ac:dyDescent="0.2">
      <c r="A243" s="46" t="s">
        <v>254</v>
      </c>
    </row>
    <row r="244" spans="1:1" x14ac:dyDescent="0.2">
      <c r="A244" s="46" t="s">
        <v>760</v>
      </c>
    </row>
    <row r="245" spans="1:1" x14ac:dyDescent="0.2">
      <c r="A245" s="46" t="s">
        <v>255</v>
      </c>
    </row>
    <row r="246" spans="1:1" x14ac:dyDescent="0.2">
      <c r="A246" s="46" t="s">
        <v>481</v>
      </c>
    </row>
    <row r="247" spans="1:1" x14ac:dyDescent="0.2">
      <c r="A247" s="46" t="s">
        <v>256</v>
      </c>
    </row>
    <row r="248" spans="1:1" x14ac:dyDescent="0.2">
      <c r="A248" s="46" t="s">
        <v>502</v>
      </c>
    </row>
    <row r="249" spans="1:1" x14ac:dyDescent="0.2">
      <c r="A249" s="46" t="s">
        <v>450</v>
      </c>
    </row>
    <row r="250" spans="1:1" x14ac:dyDescent="0.2">
      <c r="A250" s="46" t="s">
        <v>555</v>
      </c>
    </row>
    <row r="251" spans="1:1" x14ac:dyDescent="0.2">
      <c r="A251" s="46" t="s">
        <v>556</v>
      </c>
    </row>
    <row r="252" spans="1:1" x14ac:dyDescent="0.2">
      <c r="A252" s="46" t="s">
        <v>451</v>
      </c>
    </row>
    <row r="253" spans="1:1" x14ac:dyDescent="0.2">
      <c r="A253" s="46" t="s">
        <v>521</v>
      </c>
    </row>
    <row r="254" spans="1:1" x14ac:dyDescent="0.2">
      <c r="A254" s="46" t="s">
        <v>257</v>
      </c>
    </row>
    <row r="255" spans="1:1" x14ac:dyDescent="0.2">
      <c r="A255" s="46" t="s">
        <v>428</v>
      </c>
    </row>
    <row r="256" spans="1:1" x14ac:dyDescent="0.2">
      <c r="A256" s="46" t="s">
        <v>452</v>
      </c>
    </row>
    <row r="257" spans="1:1" x14ac:dyDescent="0.2">
      <c r="A257" s="46" t="s">
        <v>258</v>
      </c>
    </row>
    <row r="258" spans="1:1" x14ac:dyDescent="0.2">
      <c r="A258" s="46" t="s">
        <v>557</v>
      </c>
    </row>
    <row r="259" spans="1:1" x14ac:dyDescent="0.2">
      <c r="A259" s="46" t="s">
        <v>259</v>
      </c>
    </row>
    <row r="260" spans="1:1" x14ac:dyDescent="0.2">
      <c r="A260" s="46" t="s">
        <v>260</v>
      </c>
    </row>
    <row r="261" spans="1:1" x14ac:dyDescent="0.2">
      <c r="A261" s="46" t="s">
        <v>453</v>
      </c>
    </row>
    <row r="262" spans="1:1" x14ac:dyDescent="0.2">
      <c r="A262" s="46" t="s">
        <v>261</v>
      </c>
    </row>
    <row r="263" spans="1:1" x14ac:dyDescent="0.2">
      <c r="A263" s="46" t="s">
        <v>558</v>
      </c>
    </row>
    <row r="264" spans="1:1" x14ac:dyDescent="0.2">
      <c r="A264" s="46" t="s">
        <v>262</v>
      </c>
    </row>
    <row r="265" spans="1:1" x14ac:dyDescent="0.2">
      <c r="A265" s="46" t="s">
        <v>480</v>
      </c>
    </row>
    <row r="266" spans="1:1" x14ac:dyDescent="0.2">
      <c r="A266" s="46" t="s">
        <v>559</v>
      </c>
    </row>
    <row r="267" spans="1:1" x14ac:dyDescent="0.2">
      <c r="A267" s="46" t="s">
        <v>560</v>
      </c>
    </row>
    <row r="268" spans="1:1" x14ac:dyDescent="0.2">
      <c r="A268" s="46" t="s">
        <v>477</v>
      </c>
    </row>
    <row r="269" spans="1:1" x14ac:dyDescent="0.2">
      <c r="A269" s="46" t="s">
        <v>791</v>
      </c>
    </row>
    <row r="270" spans="1:1" x14ac:dyDescent="0.2">
      <c r="A270" s="46" t="s">
        <v>263</v>
      </c>
    </row>
    <row r="271" spans="1:1" x14ac:dyDescent="0.2">
      <c r="A271" s="46" t="s">
        <v>561</v>
      </c>
    </row>
    <row r="272" spans="1:1" x14ac:dyDescent="0.2">
      <c r="A272" s="46" t="s">
        <v>454</v>
      </c>
    </row>
    <row r="273" spans="1:1" x14ac:dyDescent="0.2">
      <c r="A273" s="46" t="s">
        <v>562</v>
      </c>
    </row>
    <row r="274" spans="1:1" x14ac:dyDescent="0.2">
      <c r="A274" s="46" t="s">
        <v>489</v>
      </c>
    </row>
    <row r="275" spans="1:1" x14ac:dyDescent="0.2">
      <c r="A275" s="46" t="s">
        <v>264</v>
      </c>
    </row>
    <row r="276" spans="1:1" x14ac:dyDescent="0.2">
      <c r="A276" s="46" t="s">
        <v>455</v>
      </c>
    </row>
    <row r="277" spans="1:1" x14ac:dyDescent="0.2">
      <c r="A277" s="46" t="s">
        <v>563</v>
      </c>
    </row>
    <row r="278" spans="1:1" x14ac:dyDescent="0.2">
      <c r="A278" s="46" t="s">
        <v>564</v>
      </c>
    </row>
    <row r="279" spans="1:1" x14ac:dyDescent="0.2">
      <c r="A279" s="46" t="s">
        <v>265</v>
      </c>
    </row>
    <row r="280" spans="1:1" x14ac:dyDescent="0.2">
      <c r="A280" s="46" t="s">
        <v>456</v>
      </c>
    </row>
    <row r="281" spans="1:1" x14ac:dyDescent="0.2">
      <c r="A281" s="46" t="s">
        <v>266</v>
      </c>
    </row>
    <row r="282" spans="1:1" x14ac:dyDescent="0.2">
      <c r="A282" s="46" t="s">
        <v>565</v>
      </c>
    </row>
    <row r="283" spans="1:1" x14ac:dyDescent="0.2">
      <c r="A283" s="46" t="s">
        <v>267</v>
      </c>
    </row>
    <row r="284" spans="1:1" x14ac:dyDescent="0.2">
      <c r="A284" s="46" t="s">
        <v>268</v>
      </c>
    </row>
    <row r="285" spans="1:1" x14ac:dyDescent="0.2">
      <c r="A285" s="46" t="s">
        <v>432</v>
      </c>
    </row>
    <row r="286" spans="1:1" x14ac:dyDescent="0.2">
      <c r="A286" s="46" t="s">
        <v>566</v>
      </c>
    </row>
    <row r="287" spans="1:1" x14ac:dyDescent="0.2">
      <c r="A287" s="46" t="s">
        <v>567</v>
      </c>
    </row>
    <row r="288" spans="1:1" x14ac:dyDescent="0.2">
      <c r="A288" s="46" t="s">
        <v>269</v>
      </c>
    </row>
    <row r="289" spans="1:1" x14ac:dyDescent="0.2">
      <c r="A289" s="46" t="s">
        <v>568</v>
      </c>
    </row>
    <row r="290" spans="1:1" x14ac:dyDescent="0.2">
      <c r="A290" s="46" t="s">
        <v>569</v>
      </c>
    </row>
    <row r="291" spans="1:1" x14ac:dyDescent="0.2">
      <c r="A291" s="46" t="s">
        <v>270</v>
      </c>
    </row>
    <row r="292" spans="1:1" x14ac:dyDescent="0.2">
      <c r="A292" s="46" t="s">
        <v>271</v>
      </c>
    </row>
    <row r="293" spans="1:1" x14ac:dyDescent="0.2">
      <c r="A293" s="46" t="s">
        <v>570</v>
      </c>
    </row>
    <row r="294" spans="1:1" x14ac:dyDescent="0.2">
      <c r="A294" s="46" t="s">
        <v>571</v>
      </c>
    </row>
    <row r="295" spans="1:1" x14ac:dyDescent="0.2">
      <c r="A295" s="46" t="s">
        <v>272</v>
      </c>
    </row>
    <row r="296" spans="1:1" x14ac:dyDescent="0.2">
      <c r="A296" s="46" t="s">
        <v>572</v>
      </c>
    </row>
    <row r="297" spans="1:1" x14ac:dyDescent="0.2">
      <c r="A297" s="46" t="s">
        <v>273</v>
      </c>
    </row>
    <row r="298" spans="1:1" x14ac:dyDescent="0.2">
      <c r="A298" s="46" t="s">
        <v>573</v>
      </c>
    </row>
    <row r="299" spans="1:1" x14ac:dyDescent="0.2">
      <c r="A299" s="46" t="s">
        <v>574</v>
      </c>
    </row>
    <row r="300" spans="1:1" x14ac:dyDescent="0.2">
      <c r="A300" s="46" t="s">
        <v>575</v>
      </c>
    </row>
    <row r="301" spans="1:1" x14ac:dyDescent="0.2">
      <c r="A301" s="46" t="s">
        <v>274</v>
      </c>
    </row>
    <row r="302" spans="1:1" x14ac:dyDescent="0.2">
      <c r="A302" s="46" t="s">
        <v>275</v>
      </c>
    </row>
    <row r="303" spans="1:1" x14ac:dyDescent="0.2">
      <c r="A303" s="46" t="s">
        <v>276</v>
      </c>
    </row>
    <row r="304" spans="1:1" x14ac:dyDescent="0.2">
      <c r="A304" s="46" t="s">
        <v>277</v>
      </c>
    </row>
    <row r="305" spans="1:1" x14ac:dyDescent="0.2">
      <c r="A305" s="46" t="s">
        <v>278</v>
      </c>
    </row>
    <row r="306" spans="1:1" x14ac:dyDescent="0.2">
      <c r="A306" s="46" t="s">
        <v>279</v>
      </c>
    </row>
    <row r="307" spans="1:1" x14ac:dyDescent="0.2">
      <c r="A307" s="46" t="s">
        <v>280</v>
      </c>
    </row>
    <row r="308" spans="1:1" x14ac:dyDescent="0.2">
      <c r="A308" s="46" t="s">
        <v>576</v>
      </c>
    </row>
    <row r="309" spans="1:1" x14ac:dyDescent="0.2">
      <c r="A309" s="46" t="s">
        <v>281</v>
      </c>
    </row>
    <row r="310" spans="1:1" x14ac:dyDescent="0.2">
      <c r="A310" s="46" t="s">
        <v>577</v>
      </c>
    </row>
    <row r="311" spans="1:1" x14ac:dyDescent="0.2">
      <c r="A311" s="46" t="s">
        <v>578</v>
      </c>
    </row>
    <row r="312" spans="1:1" x14ac:dyDescent="0.2">
      <c r="A312" s="46" t="s">
        <v>579</v>
      </c>
    </row>
    <row r="313" spans="1:1" x14ac:dyDescent="0.2">
      <c r="A313" s="46" t="s">
        <v>580</v>
      </c>
    </row>
    <row r="314" spans="1:1" x14ac:dyDescent="0.2">
      <c r="A314" s="46" t="s">
        <v>282</v>
      </c>
    </row>
    <row r="315" spans="1:1" x14ac:dyDescent="0.2">
      <c r="A315" s="46" t="s">
        <v>581</v>
      </c>
    </row>
    <row r="316" spans="1:1" x14ac:dyDescent="0.2">
      <c r="A316" s="46" t="s">
        <v>582</v>
      </c>
    </row>
    <row r="317" spans="1:1" x14ac:dyDescent="0.2">
      <c r="A317" s="46" t="s">
        <v>583</v>
      </c>
    </row>
    <row r="318" spans="1:1" x14ac:dyDescent="0.2">
      <c r="A318" s="46" t="s">
        <v>584</v>
      </c>
    </row>
    <row r="319" spans="1:1" x14ac:dyDescent="0.2">
      <c r="A319" s="46" t="s">
        <v>585</v>
      </c>
    </row>
    <row r="320" spans="1:1" x14ac:dyDescent="0.2">
      <c r="A320" s="46" t="s">
        <v>586</v>
      </c>
    </row>
    <row r="321" spans="1:1" x14ac:dyDescent="0.2">
      <c r="A321" s="46" t="s">
        <v>587</v>
      </c>
    </row>
    <row r="322" spans="1:1" x14ac:dyDescent="0.2">
      <c r="A322" s="46" t="s">
        <v>588</v>
      </c>
    </row>
    <row r="323" spans="1:1" x14ac:dyDescent="0.2">
      <c r="A323" s="46" t="s">
        <v>589</v>
      </c>
    </row>
    <row r="324" spans="1:1" x14ac:dyDescent="0.2">
      <c r="A324" s="46" t="s">
        <v>283</v>
      </c>
    </row>
    <row r="325" spans="1:1" x14ac:dyDescent="0.2">
      <c r="A325" s="46" t="s">
        <v>590</v>
      </c>
    </row>
    <row r="326" spans="1:1" x14ac:dyDescent="0.2">
      <c r="A326" s="46" t="s">
        <v>591</v>
      </c>
    </row>
    <row r="327" spans="1:1" x14ac:dyDescent="0.2">
      <c r="A327" s="46" t="s">
        <v>592</v>
      </c>
    </row>
    <row r="328" spans="1:1" x14ac:dyDescent="0.2">
      <c r="A328" s="46" t="s">
        <v>284</v>
      </c>
    </row>
    <row r="329" spans="1:1" x14ac:dyDescent="0.2">
      <c r="A329" s="46" t="s">
        <v>593</v>
      </c>
    </row>
    <row r="330" spans="1:1" x14ac:dyDescent="0.2">
      <c r="A330" s="46" t="s">
        <v>285</v>
      </c>
    </row>
    <row r="331" spans="1:1" x14ac:dyDescent="0.2">
      <c r="A331" s="46" t="s">
        <v>286</v>
      </c>
    </row>
    <row r="332" spans="1:1" x14ac:dyDescent="0.2">
      <c r="A332" s="46" t="s">
        <v>594</v>
      </c>
    </row>
    <row r="333" spans="1:1" x14ac:dyDescent="0.2">
      <c r="A333" s="46" t="s">
        <v>595</v>
      </c>
    </row>
    <row r="334" spans="1:1" x14ac:dyDescent="0.2">
      <c r="A334" s="46" t="s">
        <v>287</v>
      </c>
    </row>
    <row r="335" spans="1:1" x14ac:dyDescent="0.2">
      <c r="A335" s="46" t="s">
        <v>596</v>
      </c>
    </row>
    <row r="336" spans="1:1" x14ac:dyDescent="0.2">
      <c r="A336" s="46" t="s">
        <v>597</v>
      </c>
    </row>
    <row r="337" spans="1:1" x14ac:dyDescent="0.2">
      <c r="A337" s="46" t="s">
        <v>773</v>
      </c>
    </row>
    <row r="338" spans="1:1" x14ac:dyDescent="0.2">
      <c r="A338" s="46" t="s">
        <v>598</v>
      </c>
    </row>
    <row r="339" spans="1:1" x14ac:dyDescent="0.2">
      <c r="A339" s="46" t="s">
        <v>599</v>
      </c>
    </row>
    <row r="340" spans="1:1" x14ac:dyDescent="0.2">
      <c r="A340" s="46" t="s">
        <v>600</v>
      </c>
    </row>
    <row r="341" spans="1:1" x14ac:dyDescent="0.2">
      <c r="A341" s="46" t="s">
        <v>601</v>
      </c>
    </row>
    <row r="342" spans="1:1" x14ac:dyDescent="0.2">
      <c r="A342" s="46" t="s">
        <v>602</v>
      </c>
    </row>
    <row r="343" spans="1:1" x14ac:dyDescent="0.2">
      <c r="A343" s="46" t="s">
        <v>603</v>
      </c>
    </row>
    <row r="344" spans="1:1" x14ac:dyDescent="0.2">
      <c r="A344" s="46" t="s">
        <v>604</v>
      </c>
    </row>
    <row r="345" spans="1:1" x14ac:dyDescent="0.2">
      <c r="A345" s="46" t="s">
        <v>605</v>
      </c>
    </row>
    <row r="346" spans="1:1" x14ac:dyDescent="0.2">
      <c r="A346" s="46" t="s">
        <v>288</v>
      </c>
    </row>
    <row r="347" spans="1:1" x14ac:dyDescent="0.2">
      <c r="A347" s="46" t="s">
        <v>289</v>
      </c>
    </row>
    <row r="348" spans="1:1" x14ac:dyDescent="0.2">
      <c r="A348" s="46" t="s">
        <v>606</v>
      </c>
    </row>
    <row r="349" spans="1:1" x14ac:dyDescent="0.2">
      <c r="A349" s="46" t="s">
        <v>607</v>
      </c>
    </row>
    <row r="350" spans="1:1" x14ac:dyDescent="0.2">
      <c r="A350" s="46" t="s">
        <v>608</v>
      </c>
    </row>
    <row r="351" spans="1:1" x14ac:dyDescent="0.2">
      <c r="A351" s="46" t="s">
        <v>290</v>
      </c>
    </row>
    <row r="352" spans="1:1" x14ac:dyDescent="0.2">
      <c r="A352" s="46" t="s">
        <v>609</v>
      </c>
    </row>
    <row r="353" spans="1:1" x14ac:dyDescent="0.2">
      <c r="A353" s="46" t="s">
        <v>291</v>
      </c>
    </row>
    <row r="354" spans="1:1" x14ac:dyDescent="0.2">
      <c r="A354" s="46" t="s">
        <v>292</v>
      </c>
    </row>
    <row r="355" spans="1:1" x14ac:dyDescent="0.2">
      <c r="A355" s="46" t="s">
        <v>293</v>
      </c>
    </row>
    <row r="356" spans="1:1" x14ac:dyDescent="0.2">
      <c r="A356" s="46" t="s">
        <v>610</v>
      </c>
    </row>
    <row r="357" spans="1:1" x14ac:dyDescent="0.2">
      <c r="A357" s="46" t="s">
        <v>294</v>
      </c>
    </row>
    <row r="358" spans="1:1" x14ac:dyDescent="0.2">
      <c r="A358" s="46" t="s">
        <v>295</v>
      </c>
    </row>
    <row r="359" spans="1:1" x14ac:dyDescent="0.2">
      <c r="A359" s="46" t="s">
        <v>296</v>
      </c>
    </row>
    <row r="360" spans="1:1" x14ac:dyDescent="0.2">
      <c r="A360" s="46" t="s">
        <v>611</v>
      </c>
    </row>
    <row r="361" spans="1:1" x14ac:dyDescent="0.2">
      <c r="A361" s="46" t="s">
        <v>297</v>
      </c>
    </row>
    <row r="362" spans="1:1" x14ac:dyDescent="0.2">
      <c r="A362" s="46" t="s">
        <v>612</v>
      </c>
    </row>
    <row r="363" spans="1:1" x14ac:dyDescent="0.2">
      <c r="A363" s="46" t="s">
        <v>613</v>
      </c>
    </row>
    <row r="364" spans="1:1" x14ac:dyDescent="0.2">
      <c r="A364" s="46" t="s">
        <v>614</v>
      </c>
    </row>
    <row r="365" spans="1:1" x14ac:dyDescent="0.2">
      <c r="A365" s="46" t="s">
        <v>615</v>
      </c>
    </row>
    <row r="366" spans="1:1" x14ac:dyDescent="0.2">
      <c r="A366" s="46" t="s">
        <v>616</v>
      </c>
    </row>
    <row r="367" spans="1:1" x14ac:dyDescent="0.2">
      <c r="A367" s="46" t="s">
        <v>617</v>
      </c>
    </row>
    <row r="368" spans="1:1" x14ac:dyDescent="0.2">
      <c r="A368" s="46" t="s">
        <v>618</v>
      </c>
    </row>
    <row r="369" spans="1:1" x14ac:dyDescent="0.2">
      <c r="A369" s="46" t="s">
        <v>619</v>
      </c>
    </row>
    <row r="370" spans="1:1" x14ac:dyDescent="0.2">
      <c r="A370" s="46" t="s">
        <v>620</v>
      </c>
    </row>
    <row r="371" spans="1:1" x14ac:dyDescent="0.2">
      <c r="A371" s="46" t="s">
        <v>621</v>
      </c>
    </row>
    <row r="372" spans="1:1" x14ac:dyDescent="0.2">
      <c r="A372" s="46" t="s">
        <v>622</v>
      </c>
    </row>
    <row r="373" spans="1:1" x14ac:dyDescent="0.2">
      <c r="A373" s="46" t="s">
        <v>298</v>
      </c>
    </row>
    <row r="374" spans="1:1" x14ac:dyDescent="0.2">
      <c r="A374" s="46" t="s">
        <v>623</v>
      </c>
    </row>
    <row r="375" spans="1:1" x14ac:dyDescent="0.2">
      <c r="A375" s="46" t="s">
        <v>299</v>
      </c>
    </row>
    <row r="376" spans="1:1" x14ac:dyDescent="0.2">
      <c r="A376" s="46" t="s">
        <v>624</v>
      </c>
    </row>
    <row r="377" spans="1:1" x14ac:dyDescent="0.2">
      <c r="A377" s="46" t="s">
        <v>300</v>
      </c>
    </row>
    <row r="378" spans="1:1" x14ac:dyDescent="0.2">
      <c r="A378" s="46" t="s">
        <v>301</v>
      </c>
    </row>
    <row r="379" spans="1:1" x14ac:dyDescent="0.2">
      <c r="A379" s="46" t="s">
        <v>302</v>
      </c>
    </row>
    <row r="380" spans="1:1" x14ac:dyDescent="0.2">
      <c r="A380" s="46" t="s">
        <v>303</v>
      </c>
    </row>
    <row r="381" spans="1:1" x14ac:dyDescent="0.2">
      <c r="A381" s="46" t="s">
        <v>625</v>
      </c>
    </row>
    <row r="382" spans="1:1" x14ac:dyDescent="0.2">
      <c r="A382" s="46" t="s">
        <v>626</v>
      </c>
    </row>
    <row r="383" spans="1:1" x14ac:dyDescent="0.2">
      <c r="A383" s="46" t="s">
        <v>627</v>
      </c>
    </row>
    <row r="384" spans="1:1" x14ac:dyDescent="0.2">
      <c r="A384" s="46" t="s">
        <v>304</v>
      </c>
    </row>
    <row r="385" spans="1:1" x14ac:dyDescent="0.2">
      <c r="A385" s="46" t="s">
        <v>628</v>
      </c>
    </row>
    <row r="386" spans="1:1" x14ac:dyDescent="0.2">
      <c r="A386" s="46" t="s">
        <v>629</v>
      </c>
    </row>
    <row r="387" spans="1:1" x14ac:dyDescent="0.2">
      <c r="A387" s="46" t="s">
        <v>630</v>
      </c>
    </row>
    <row r="388" spans="1:1" x14ac:dyDescent="0.2">
      <c r="A388" s="46" t="s">
        <v>631</v>
      </c>
    </row>
    <row r="389" spans="1:1" x14ac:dyDescent="0.2">
      <c r="A389" s="46" t="s">
        <v>632</v>
      </c>
    </row>
    <row r="390" spans="1:1" x14ac:dyDescent="0.2">
      <c r="A390" s="46" t="s">
        <v>633</v>
      </c>
    </row>
    <row r="391" spans="1:1" x14ac:dyDescent="0.2">
      <c r="A391" s="46" t="s">
        <v>634</v>
      </c>
    </row>
    <row r="392" spans="1:1" x14ac:dyDescent="0.2">
      <c r="A392" s="46" t="s">
        <v>635</v>
      </c>
    </row>
    <row r="393" spans="1:1" x14ac:dyDescent="0.2">
      <c r="A393" s="46" t="s">
        <v>305</v>
      </c>
    </row>
    <row r="394" spans="1:1" x14ac:dyDescent="0.2">
      <c r="A394" s="46" t="s">
        <v>306</v>
      </c>
    </row>
    <row r="395" spans="1:1" x14ac:dyDescent="0.2">
      <c r="A395" s="46" t="s">
        <v>636</v>
      </c>
    </row>
    <row r="396" spans="1:1" x14ac:dyDescent="0.2">
      <c r="A396" s="46" t="s">
        <v>637</v>
      </c>
    </row>
    <row r="397" spans="1:1" x14ac:dyDescent="0.2">
      <c r="A397" s="46" t="s">
        <v>307</v>
      </c>
    </row>
    <row r="398" spans="1:1" x14ac:dyDescent="0.2">
      <c r="A398" s="46" t="s">
        <v>638</v>
      </c>
    </row>
    <row r="399" spans="1:1" x14ac:dyDescent="0.2">
      <c r="A399" s="46" t="s">
        <v>308</v>
      </c>
    </row>
    <row r="400" spans="1:1" x14ac:dyDescent="0.2">
      <c r="A400" s="46" t="s">
        <v>639</v>
      </c>
    </row>
    <row r="401" spans="1:1" x14ac:dyDescent="0.2">
      <c r="A401" s="46" t="s">
        <v>640</v>
      </c>
    </row>
    <row r="402" spans="1:1" x14ac:dyDescent="0.2">
      <c r="A402" s="46" t="s">
        <v>641</v>
      </c>
    </row>
    <row r="403" spans="1:1" x14ac:dyDescent="0.2">
      <c r="A403" s="46" t="s">
        <v>309</v>
      </c>
    </row>
    <row r="404" spans="1:1" x14ac:dyDescent="0.2">
      <c r="A404" s="46" t="s">
        <v>642</v>
      </c>
    </row>
    <row r="405" spans="1:1" x14ac:dyDescent="0.2">
      <c r="A405" s="46" t="s">
        <v>643</v>
      </c>
    </row>
    <row r="406" spans="1:1" x14ac:dyDescent="0.2">
      <c r="A406" s="46" t="s">
        <v>310</v>
      </c>
    </row>
    <row r="407" spans="1:1" x14ac:dyDescent="0.2">
      <c r="A407" s="46" t="s">
        <v>311</v>
      </c>
    </row>
    <row r="408" spans="1:1" x14ac:dyDescent="0.2">
      <c r="A408" s="46" t="s">
        <v>644</v>
      </c>
    </row>
    <row r="409" spans="1:1" x14ac:dyDescent="0.2">
      <c r="A409" s="46" t="s">
        <v>312</v>
      </c>
    </row>
    <row r="410" spans="1:1" x14ac:dyDescent="0.2">
      <c r="A410" s="46" t="s">
        <v>313</v>
      </c>
    </row>
    <row r="411" spans="1:1" x14ac:dyDescent="0.2">
      <c r="A411" s="46" t="s">
        <v>645</v>
      </c>
    </row>
    <row r="412" spans="1:1" x14ac:dyDescent="0.2">
      <c r="A412" s="46" t="s">
        <v>314</v>
      </c>
    </row>
    <row r="413" spans="1:1" x14ac:dyDescent="0.2">
      <c r="A413" s="46" t="s">
        <v>646</v>
      </c>
    </row>
    <row r="414" spans="1:1" x14ac:dyDescent="0.2">
      <c r="A414" s="46" t="s">
        <v>315</v>
      </c>
    </row>
    <row r="415" spans="1:1" x14ac:dyDescent="0.2">
      <c r="A415" s="46" t="s">
        <v>647</v>
      </c>
    </row>
    <row r="416" spans="1:1" x14ac:dyDescent="0.2">
      <c r="A416" s="46" t="s">
        <v>648</v>
      </c>
    </row>
    <row r="417" spans="1:1" x14ac:dyDescent="0.2">
      <c r="A417" s="46" t="s">
        <v>649</v>
      </c>
    </row>
    <row r="418" spans="1:1" x14ac:dyDescent="0.2">
      <c r="A418" s="46" t="s">
        <v>650</v>
      </c>
    </row>
    <row r="419" spans="1:1" x14ac:dyDescent="0.2">
      <c r="A419" s="46" t="s">
        <v>651</v>
      </c>
    </row>
    <row r="420" spans="1:1" x14ac:dyDescent="0.2">
      <c r="A420" s="46" t="s">
        <v>652</v>
      </c>
    </row>
    <row r="421" spans="1:1" x14ac:dyDescent="0.2">
      <c r="A421" s="46" t="s">
        <v>653</v>
      </c>
    </row>
    <row r="422" spans="1:1" x14ac:dyDescent="0.2">
      <c r="A422" s="46" t="s">
        <v>316</v>
      </c>
    </row>
    <row r="423" spans="1:1" x14ac:dyDescent="0.2">
      <c r="A423" s="46" t="s">
        <v>654</v>
      </c>
    </row>
    <row r="424" spans="1:1" x14ac:dyDescent="0.2">
      <c r="A424" s="46" t="s">
        <v>655</v>
      </c>
    </row>
    <row r="425" spans="1:1" x14ac:dyDescent="0.2">
      <c r="A425" s="46" t="s">
        <v>656</v>
      </c>
    </row>
    <row r="426" spans="1:1" x14ac:dyDescent="0.2">
      <c r="A426" s="46" t="s">
        <v>657</v>
      </c>
    </row>
    <row r="427" spans="1:1" x14ac:dyDescent="0.2">
      <c r="A427" s="46" t="s">
        <v>317</v>
      </c>
    </row>
    <row r="428" spans="1:1" x14ac:dyDescent="0.2">
      <c r="A428" s="46" t="s">
        <v>658</v>
      </c>
    </row>
    <row r="429" spans="1:1" x14ac:dyDescent="0.2">
      <c r="A429" s="46" t="s">
        <v>318</v>
      </c>
    </row>
    <row r="430" spans="1:1" x14ac:dyDescent="0.2">
      <c r="A430" s="46" t="s">
        <v>659</v>
      </c>
    </row>
    <row r="431" spans="1:1" x14ac:dyDescent="0.2">
      <c r="A431" s="46" t="s">
        <v>660</v>
      </c>
    </row>
    <row r="432" spans="1:1" x14ac:dyDescent="0.2">
      <c r="A432" s="46" t="s">
        <v>661</v>
      </c>
    </row>
    <row r="433" spans="1:1" x14ac:dyDescent="0.2">
      <c r="A433" s="46" t="s">
        <v>662</v>
      </c>
    </row>
    <row r="434" spans="1:1" x14ac:dyDescent="0.2">
      <c r="A434" s="46" t="s">
        <v>663</v>
      </c>
    </row>
    <row r="435" spans="1:1" x14ac:dyDescent="0.2">
      <c r="A435" s="46" t="s">
        <v>664</v>
      </c>
    </row>
    <row r="436" spans="1:1" x14ac:dyDescent="0.2">
      <c r="A436" s="46" t="s">
        <v>665</v>
      </c>
    </row>
    <row r="437" spans="1:1" x14ac:dyDescent="0.2">
      <c r="A437" s="46" t="s">
        <v>666</v>
      </c>
    </row>
    <row r="438" spans="1:1" x14ac:dyDescent="0.2">
      <c r="A438" s="46" t="s">
        <v>319</v>
      </c>
    </row>
    <row r="439" spans="1:1" x14ac:dyDescent="0.2">
      <c r="A439" s="46" t="s">
        <v>667</v>
      </c>
    </row>
    <row r="440" spans="1:1" x14ac:dyDescent="0.2">
      <c r="A440" s="46" t="s">
        <v>668</v>
      </c>
    </row>
    <row r="441" spans="1:1" x14ac:dyDescent="0.2">
      <c r="A441" s="46" t="s">
        <v>669</v>
      </c>
    </row>
    <row r="442" spans="1:1" x14ac:dyDescent="0.2">
      <c r="A442" s="46" t="s">
        <v>670</v>
      </c>
    </row>
    <row r="443" spans="1:1" x14ac:dyDescent="0.2">
      <c r="A443" s="46" t="s">
        <v>671</v>
      </c>
    </row>
    <row r="444" spans="1:1" x14ac:dyDescent="0.2">
      <c r="A444" s="46" t="s">
        <v>672</v>
      </c>
    </row>
    <row r="445" spans="1:1" x14ac:dyDescent="0.2">
      <c r="A445" s="46" t="s">
        <v>320</v>
      </c>
    </row>
    <row r="446" spans="1:1" x14ac:dyDescent="0.2">
      <c r="A446" s="46" t="s">
        <v>321</v>
      </c>
    </row>
    <row r="447" spans="1:1" x14ac:dyDescent="0.2">
      <c r="A447" s="46" t="s">
        <v>322</v>
      </c>
    </row>
    <row r="448" spans="1:1" x14ac:dyDescent="0.2">
      <c r="A448" s="46" t="s">
        <v>323</v>
      </c>
    </row>
    <row r="449" spans="1:1" x14ac:dyDescent="0.2">
      <c r="A449" s="46" t="s">
        <v>324</v>
      </c>
    </row>
    <row r="450" spans="1:1" x14ac:dyDescent="0.2">
      <c r="A450" s="46" t="s">
        <v>673</v>
      </c>
    </row>
    <row r="451" spans="1:1" x14ac:dyDescent="0.2">
      <c r="A451" s="46" t="s">
        <v>674</v>
      </c>
    </row>
    <row r="452" spans="1:1" x14ac:dyDescent="0.2">
      <c r="A452" s="46" t="s">
        <v>675</v>
      </c>
    </row>
    <row r="453" spans="1:1" x14ac:dyDescent="0.2">
      <c r="A453" s="46" t="s">
        <v>676</v>
      </c>
    </row>
    <row r="454" spans="1:1" x14ac:dyDescent="0.2">
      <c r="A454" s="46" t="s">
        <v>677</v>
      </c>
    </row>
    <row r="455" spans="1:1" x14ac:dyDescent="0.2">
      <c r="A455" s="46" t="s">
        <v>678</v>
      </c>
    </row>
    <row r="456" spans="1:1" x14ac:dyDescent="0.2">
      <c r="A456" s="46" t="s">
        <v>679</v>
      </c>
    </row>
    <row r="457" spans="1:1" x14ac:dyDescent="0.2">
      <c r="A457" s="46" t="s">
        <v>325</v>
      </c>
    </row>
    <row r="458" spans="1:1" x14ac:dyDescent="0.2">
      <c r="A458" s="46" t="s">
        <v>680</v>
      </c>
    </row>
    <row r="459" spans="1:1" x14ac:dyDescent="0.2">
      <c r="A459" s="46" t="s">
        <v>326</v>
      </c>
    </row>
    <row r="460" spans="1:1" x14ac:dyDescent="0.2">
      <c r="A460" s="46" t="s">
        <v>681</v>
      </c>
    </row>
    <row r="461" spans="1:1" x14ac:dyDescent="0.2">
      <c r="A461" s="46" t="s">
        <v>327</v>
      </c>
    </row>
    <row r="462" spans="1:1" x14ac:dyDescent="0.2">
      <c r="A462" s="46" t="s">
        <v>328</v>
      </c>
    </row>
    <row r="463" spans="1:1" x14ac:dyDescent="0.2">
      <c r="A463" s="46" t="s">
        <v>682</v>
      </c>
    </row>
    <row r="464" spans="1:1" x14ac:dyDescent="0.2">
      <c r="A464" s="46" t="s">
        <v>433</v>
      </c>
    </row>
    <row r="465" spans="1:1" x14ac:dyDescent="0.2">
      <c r="A465" s="46" t="s">
        <v>683</v>
      </c>
    </row>
    <row r="466" spans="1:1" x14ac:dyDescent="0.2">
      <c r="A466" s="46" t="s">
        <v>684</v>
      </c>
    </row>
    <row r="467" spans="1:1" x14ac:dyDescent="0.2">
      <c r="A467" s="46" t="s">
        <v>685</v>
      </c>
    </row>
    <row r="468" spans="1:1" x14ac:dyDescent="0.2">
      <c r="A468" s="46" t="s">
        <v>329</v>
      </c>
    </row>
    <row r="469" spans="1:1" x14ac:dyDescent="0.2">
      <c r="A469" s="46" t="s">
        <v>686</v>
      </c>
    </row>
    <row r="470" spans="1:1" x14ac:dyDescent="0.2">
      <c r="A470" s="46" t="s">
        <v>330</v>
      </c>
    </row>
    <row r="471" spans="1:1" x14ac:dyDescent="0.2">
      <c r="A471" s="46" t="s">
        <v>687</v>
      </c>
    </row>
    <row r="472" spans="1:1" x14ac:dyDescent="0.2">
      <c r="A472" s="46" t="s">
        <v>331</v>
      </c>
    </row>
    <row r="473" spans="1:1" x14ac:dyDescent="0.2">
      <c r="A473" s="46" t="s">
        <v>332</v>
      </c>
    </row>
    <row r="474" spans="1:1" x14ac:dyDescent="0.2">
      <c r="A474" s="46" t="s">
        <v>688</v>
      </c>
    </row>
    <row r="475" spans="1:1" x14ac:dyDescent="0.2">
      <c r="A475" s="46" t="s">
        <v>333</v>
      </c>
    </row>
    <row r="476" spans="1:1" x14ac:dyDescent="0.2">
      <c r="A476" s="46" t="s">
        <v>334</v>
      </c>
    </row>
    <row r="477" spans="1:1" x14ac:dyDescent="0.2">
      <c r="A477" s="46" t="s">
        <v>689</v>
      </c>
    </row>
    <row r="478" spans="1:1" x14ac:dyDescent="0.2">
      <c r="A478" s="46" t="s">
        <v>335</v>
      </c>
    </row>
    <row r="479" spans="1:1" x14ac:dyDescent="0.2">
      <c r="A479" s="46" t="s">
        <v>690</v>
      </c>
    </row>
    <row r="480" spans="1:1" x14ac:dyDescent="0.2">
      <c r="A480" s="46" t="s">
        <v>336</v>
      </c>
    </row>
    <row r="481" spans="1:1" x14ac:dyDescent="0.2">
      <c r="A481" s="46" t="s">
        <v>691</v>
      </c>
    </row>
    <row r="482" spans="1:1" x14ac:dyDescent="0.2">
      <c r="A482" s="46" t="s">
        <v>692</v>
      </c>
    </row>
    <row r="483" spans="1:1" x14ac:dyDescent="0.2">
      <c r="A483" s="46" t="s">
        <v>337</v>
      </c>
    </row>
    <row r="484" spans="1:1" x14ac:dyDescent="0.2">
      <c r="A484" s="46" t="s">
        <v>338</v>
      </c>
    </row>
    <row r="485" spans="1:1" x14ac:dyDescent="0.2">
      <c r="A485" s="46" t="s">
        <v>339</v>
      </c>
    </row>
    <row r="486" spans="1:1" x14ac:dyDescent="0.2">
      <c r="A486" s="46" t="s">
        <v>340</v>
      </c>
    </row>
    <row r="487" spans="1:1" x14ac:dyDescent="0.2">
      <c r="A487" s="46" t="s">
        <v>693</v>
      </c>
    </row>
    <row r="488" spans="1:1" x14ac:dyDescent="0.2">
      <c r="A488" s="46" t="s">
        <v>694</v>
      </c>
    </row>
    <row r="489" spans="1:1" x14ac:dyDescent="0.2">
      <c r="A489" s="46" t="s">
        <v>695</v>
      </c>
    </row>
    <row r="490" spans="1:1" x14ac:dyDescent="0.2">
      <c r="A490" s="46" t="s">
        <v>341</v>
      </c>
    </row>
    <row r="491" spans="1:1" x14ac:dyDescent="0.2">
      <c r="A491" s="46" t="s">
        <v>696</v>
      </c>
    </row>
    <row r="492" spans="1:1" x14ac:dyDescent="0.2">
      <c r="A492" s="46" t="s">
        <v>697</v>
      </c>
    </row>
    <row r="493" spans="1:1" x14ac:dyDescent="0.2">
      <c r="A493" s="46" t="s">
        <v>698</v>
      </c>
    </row>
    <row r="494" spans="1:1" x14ac:dyDescent="0.2">
      <c r="A494" s="46" t="s">
        <v>342</v>
      </c>
    </row>
    <row r="495" spans="1:1" x14ac:dyDescent="0.2">
      <c r="A495" s="46" t="s">
        <v>783</v>
      </c>
    </row>
    <row r="496" spans="1:1" x14ac:dyDescent="0.2">
      <c r="A496" s="46" t="s">
        <v>343</v>
      </c>
    </row>
    <row r="497" spans="1:1" x14ac:dyDescent="0.2">
      <c r="A497" s="46" t="s">
        <v>344</v>
      </c>
    </row>
    <row r="498" spans="1:1" x14ac:dyDescent="0.2">
      <c r="A498" s="46" t="s">
        <v>345</v>
      </c>
    </row>
    <row r="499" spans="1:1" x14ac:dyDescent="0.2">
      <c r="A499" s="46" t="s">
        <v>346</v>
      </c>
    </row>
    <row r="500" spans="1:1" x14ac:dyDescent="0.2">
      <c r="A500" s="46" t="s">
        <v>347</v>
      </c>
    </row>
    <row r="501" spans="1:1" x14ac:dyDescent="0.2">
      <c r="A501" s="46" t="s">
        <v>699</v>
      </c>
    </row>
    <row r="502" spans="1:1" x14ac:dyDescent="0.2">
      <c r="A502" s="46" t="s">
        <v>348</v>
      </c>
    </row>
    <row r="503" spans="1:1" x14ac:dyDescent="0.2">
      <c r="A503" s="46" t="s">
        <v>700</v>
      </c>
    </row>
    <row r="504" spans="1:1" x14ac:dyDescent="0.2">
      <c r="A504" s="46" t="s">
        <v>701</v>
      </c>
    </row>
    <row r="505" spans="1:1" x14ac:dyDescent="0.2">
      <c r="A505" s="46" t="s">
        <v>702</v>
      </c>
    </row>
    <row r="506" spans="1:1" x14ac:dyDescent="0.2">
      <c r="A506" s="46" t="s">
        <v>703</v>
      </c>
    </row>
    <row r="507" spans="1:1" x14ac:dyDescent="0.2">
      <c r="A507" s="46" t="s">
        <v>349</v>
      </c>
    </row>
    <row r="508" spans="1:1" x14ac:dyDescent="0.2">
      <c r="A508" s="46" t="s">
        <v>350</v>
      </c>
    </row>
    <row r="509" spans="1:1" x14ac:dyDescent="0.2">
      <c r="A509" s="46" t="s">
        <v>351</v>
      </c>
    </row>
    <row r="510" spans="1:1" x14ac:dyDescent="0.2">
      <c r="A510" s="46" t="s">
        <v>457</v>
      </c>
    </row>
    <row r="511" spans="1:1" x14ac:dyDescent="0.2">
      <c r="A511" s="46" t="s">
        <v>352</v>
      </c>
    </row>
    <row r="512" spans="1:1" x14ac:dyDescent="0.2">
      <c r="A512" s="46" t="s">
        <v>353</v>
      </c>
    </row>
    <row r="513" spans="1:1" x14ac:dyDescent="0.2">
      <c r="A513" s="46" t="s">
        <v>704</v>
      </c>
    </row>
    <row r="514" spans="1:1" x14ac:dyDescent="0.2">
      <c r="A514" s="46" t="s">
        <v>705</v>
      </c>
    </row>
    <row r="515" spans="1:1" x14ac:dyDescent="0.2">
      <c r="A515" s="46" t="s">
        <v>706</v>
      </c>
    </row>
    <row r="516" spans="1:1" x14ac:dyDescent="0.2">
      <c r="A516" s="46" t="s">
        <v>354</v>
      </c>
    </row>
    <row r="517" spans="1:1" x14ac:dyDescent="0.2">
      <c r="A517" s="46" t="s">
        <v>355</v>
      </c>
    </row>
    <row r="518" spans="1:1" x14ac:dyDescent="0.2">
      <c r="A518" s="46" t="s">
        <v>707</v>
      </c>
    </row>
    <row r="519" spans="1:1" x14ac:dyDescent="0.2">
      <c r="A519" s="46" t="s">
        <v>708</v>
      </c>
    </row>
    <row r="520" spans="1:1" x14ac:dyDescent="0.2">
      <c r="A520" s="46" t="s">
        <v>709</v>
      </c>
    </row>
    <row r="521" spans="1:1" x14ac:dyDescent="0.2">
      <c r="A521" s="46" t="s">
        <v>356</v>
      </c>
    </row>
    <row r="522" spans="1:1" x14ac:dyDescent="0.2">
      <c r="A522" s="46" t="s">
        <v>357</v>
      </c>
    </row>
    <row r="523" spans="1:1" x14ac:dyDescent="0.2">
      <c r="A523" s="46" t="s">
        <v>710</v>
      </c>
    </row>
    <row r="524" spans="1:1" x14ac:dyDescent="0.2">
      <c r="A524" s="46" t="s">
        <v>711</v>
      </c>
    </row>
    <row r="525" spans="1:1" x14ac:dyDescent="0.2">
      <c r="A525" s="46" t="s">
        <v>712</v>
      </c>
    </row>
    <row r="526" spans="1:1" x14ac:dyDescent="0.2">
      <c r="A526" s="46" t="s">
        <v>713</v>
      </c>
    </row>
    <row r="527" spans="1:1" x14ac:dyDescent="0.2">
      <c r="A527" s="46" t="s">
        <v>358</v>
      </c>
    </row>
    <row r="528" spans="1:1" x14ac:dyDescent="0.2">
      <c r="A528" s="46" t="s">
        <v>359</v>
      </c>
    </row>
    <row r="529" spans="1:1" x14ac:dyDescent="0.2">
      <c r="A529" s="46" t="s">
        <v>360</v>
      </c>
    </row>
    <row r="530" spans="1:1" x14ac:dyDescent="0.2">
      <c r="A530" s="46" t="s">
        <v>361</v>
      </c>
    </row>
    <row r="531" spans="1:1" x14ac:dyDescent="0.2">
      <c r="A531" s="46" t="s">
        <v>714</v>
      </c>
    </row>
    <row r="532" spans="1:1" x14ac:dyDescent="0.2">
      <c r="A532" s="46" t="s">
        <v>715</v>
      </c>
    </row>
    <row r="533" spans="1:1" x14ac:dyDescent="0.2">
      <c r="A533" s="46" t="s">
        <v>716</v>
      </c>
    </row>
    <row r="534" spans="1:1" x14ac:dyDescent="0.2">
      <c r="A534" s="46" t="s">
        <v>362</v>
      </c>
    </row>
    <row r="535" spans="1:1" x14ac:dyDescent="0.2">
      <c r="A535" s="46" t="s">
        <v>717</v>
      </c>
    </row>
    <row r="536" spans="1:1" x14ac:dyDescent="0.2">
      <c r="A536" s="46" t="s">
        <v>718</v>
      </c>
    </row>
    <row r="537" spans="1:1" x14ac:dyDescent="0.2">
      <c r="A537" s="46" t="s">
        <v>719</v>
      </c>
    </row>
    <row r="538" spans="1:1" x14ac:dyDescent="0.2">
      <c r="A538" s="46" t="s">
        <v>363</v>
      </c>
    </row>
    <row r="539" spans="1:1" x14ac:dyDescent="0.2">
      <c r="A539" s="46" t="s">
        <v>720</v>
      </c>
    </row>
    <row r="540" spans="1:1" x14ac:dyDescent="0.2">
      <c r="A540" s="46" t="s">
        <v>721</v>
      </c>
    </row>
    <row r="541" spans="1:1" x14ac:dyDescent="0.2">
      <c r="A541" s="46" t="s">
        <v>364</v>
      </c>
    </row>
    <row r="542" spans="1:1" x14ac:dyDescent="0.2">
      <c r="A542" s="46" t="s">
        <v>365</v>
      </c>
    </row>
    <row r="543" spans="1:1" x14ac:dyDescent="0.2">
      <c r="A543" s="46" t="s">
        <v>722</v>
      </c>
    </row>
    <row r="544" spans="1:1" x14ac:dyDescent="0.2">
      <c r="A544" s="46" t="s">
        <v>366</v>
      </c>
    </row>
    <row r="545" spans="1:1" x14ac:dyDescent="0.2">
      <c r="A545" s="46" t="s">
        <v>367</v>
      </c>
    </row>
    <row r="546" spans="1:1" x14ac:dyDescent="0.2">
      <c r="A546" s="46" t="s">
        <v>368</v>
      </c>
    </row>
    <row r="547" spans="1:1" x14ac:dyDescent="0.2">
      <c r="A547" s="46" t="s">
        <v>369</v>
      </c>
    </row>
    <row r="548" spans="1:1" x14ac:dyDescent="0.2">
      <c r="A548" s="46" t="s">
        <v>370</v>
      </c>
    </row>
    <row r="549" spans="1:1" x14ac:dyDescent="0.2">
      <c r="A549" s="46" t="s">
        <v>371</v>
      </c>
    </row>
    <row r="550" spans="1:1" x14ac:dyDescent="0.2">
      <c r="A550" s="46" t="s">
        <v>372</v>
      </c>
    </row>
    <row r="551" spans="1:1" x14ac:dyDescent="0.2">
      <c r="A551" s="46" t="s">
        <v>373</v>
      </c>
    </row>
    <row r="552" spans="1:1" x14ac:dyDescent="0.2">
      <c r="A552" s="46" t="s">
        <v>374</v>
      </c>
    </row>
    <row r="553" spans="1:1" x14ac:dyDescent="0.2">
      <c r="A553" s="46" t="s">
        <v>723</v>
      </c>
    </row>
    <row r="554" spans="1:1" x14ac:dyDescent="0.2">
      <c r="A554" s="46" t="s">
        <v>375</v>
      </c>
    </row>
    <row r="555" spans="1:1" x14ac:dyDescent="0.2">
      <c r="A555" s="46" t="s">
        <v>724</v>
      </c>
    </row>
    <row r="556" spans="1:1" x14ac:dyDescent="0.2">
      <c r="A556" s="46" t="s">
        <v>376</v>
      </c>
    </row>
    <row r="557" spans="1:1" x14ac:dyDescent="0.2">
      <c r="A557" s="46" t="s">
        <v>377</v>
      </c>
    </row>
    <row r="558" spans="1:1" x14ac:dyDescent="0.2">
      <c r="A558" s="46" t="s">
        <v>725</v>
      </c>
    </row>
    <row r="559" spans="1:1" x14ac:dyDescent="0.2">
      <c r="A559" s="46" t="s">
        <v>726</v>
      </c>
    </row>
    <row r="560" spans="1:1" x14ac:dyDescent="0.2">
      <c r="A560" s="46" t="s">
        <v>739</v>
      </c>
    </row>
    <row r="561" spans="1:1" x14ac:dyDescent="0.2">
      <c r="A561" s="46" t="s">
        <v>378</v>
      </c>
    </row>
    <row r="562" spans="1:1" x14ac:dyDescent="0.2">
      <c r="A562" s="46" t="s">
        <v>728</v>
      </c>
    </row>
    <row r="563" spans="1:1" x14ac:dyDescent="0.2">
      <c r="A563" s="46" t="s">
        <v>729</v>
      </c>
    </row>
    <row r="564" spans="1:1" x14ac:dyDescent="0.2">
      <c r="A564" s="46" t="s">
        <v>730</v>
      </c>
    </row>
    <row r="565" spans="1:1" x14ac:dyDescent="0.2">
      <c r="A565" s="46" t="s">
        <v>731</v>
      </c>
    </row>
    <row r="566" spans="1:1" x14ac:dyDescent="0.2">
      <c r="A566" s="46" t="s">
        <v>732</v>
      </c>
    </row>
    <row r="567" spans="1:1" x14ac:dyDescent="0.2">
      <c r="A567" s="46" t="s">
        <v>379</v>
      </c>
    </row>
    <row r="568" spans="1:1" x14ac:dyDescent="0.2">
      <c r="A568" s="46" t="s">
        <v>733</v>
      </c>
    </row>
    <row r="569" spans="1:1" x14ac:dyDescent="0.2">
      <c r="A569" s="46" t="s">
        <v>734</v>
      </c>
    </row>
    <row r="570" spans="1:1" x14ac:dyDescent="0.2">
      <c r="A570" s="46" t="s">
        <v>735</v>
      </c>
    </row>
    <row r="571" spans="1:1" x14ac:dyDescent="0.2">
      <c r="A571" s="46" t="s">
        <v>736</v>
      </c>
    </row>
    <row r="572" spans="1:1" x14ac:dyDescent="0.2">
      <c r="A572" s="46" t="s">
        <v>380</v>
      </c>
    </row>
    <row r="573" spans="1:1" x14ac:dyDescent="0.2">
      <c r="A573" s="46" t="s">
        <v>737</v>
      </c>
    </row>
    <row r="574" spans="1:1" x14ac:dyDescent="0.2">
      <c r="A574" s="46" t="s">
        <v>738</v>
      </c>
    </row>
    <row r="575" spans="1:1" x14ac:dyDescent="0.2">
      <c r="A575" s="46" t="s">
        <v>740</v>
      </c>
    </row>
    <row r="576" spans="1:1" x14ac:dyDescent="0.2">
      <c r="A576" s="46" t="s">
        <v>741</v>
      </c>
    </row>
    <row r="577" spans="1:1" x14ac:dyDescent="0.2">
      <c r="A577" s="46" t="s">
        <v>381</v>
      </c>
    </row>
    <row r="578" spans="1:1" x14ac:dyDescent="0.2">
      <c r="A578" s="46" t="s">
        <v>382</v>
      </c>
    </row>
    <row r="579" spans="1:1" x14ac:dyDescent="0.2">
      <c r="A579" s="46" t="s">
        <v>742</v>
      </c>
    </row>
    <row r="580" spans="1:1" x14ac:dyDescent="0.2">
      <c r="A580" s="46" t="s">
        <v>788</v>
      </c>
    </row>
    <row r="581" spans="1:1" x14ac:dyDescent="0.2">
      <c r="A581" s="46" t="s">
        <v>383</v>
      </c>
    </row>
    <row r="582" spans="1:1" x14ac:dyDescent="0.2">
      <c r="A582" s="46" t="s">
        <v>743</v>
      </c>
    </row>
    <row r="583" spans="1:1" x14ac:dyDescent="0.2">
      <c r="A583" s="46" t="s">
        <v>384</v>
      </c>
    </row>
    <row r="584" spans="1:1" x14ac:dyDescent="0.2">
      <c r="A584" s="46" t="s">
        <v>744</v>
      </c>
    </row>
    <row r="585" spans="1:1" x14ac:dyDescent="0.2">
      <c r="A585" s="46" t="s">
        <v>745</v>
      </c>
    </row>
    <row r="586" spans="1:1" x14ac:dyDescent="0.2">
      <c r="A586" s="46" t="s">
        <v>385</v>
      </c>
    </row>
    <row r="587" spans="1:1" x14ac:dyDescent="0.2">
      <c r="A587" s="46" t="s">
        <v>386</v>
      </c>
    </row>
    <row r="588" spans="1:1" x14ac:dyDescent="0.2">
      <c r="A588" s="46" t="s">
        <v>387</v>
      </c>
    </row>
    <row r="589" spans="1:1" x14ac:dyDescent="0.2">
      <c r="A589" s="46" t="s">
        <v>486</v>
      </c>
    </row>
    <row r="590" spans="1:1" x14ac:dyDescent="0.2">
      <c r="A590" s="46" t="s">
        <v>747</v>
      </c>
    </row>
    <row r="591" spans="1:1" x14ac:dyDescent="0.2">
      <c r="A591" s="46" t="s">
        <v>748</v>
      </c>
    </row>
    <row r="592" spans="1:1" x14ac:dyDescent="0.2">
      <c r="A592" s="46" t="s">
        <v>388</v>
      </c>
    </row>
    <row r="593" spans="1:1" x14ac:dyDescent="0.2">
      <c r="A593" s="46" t="s">
        <v>389</v>
      </c>
    </row>
    <row r="594" spans="1:1" x14ac:dyDescent="0.2">
      <c r="A594" s="46" t="s">
        <v>749</v>
      </c>
    </row>
    <row r="595" spans="1:1" x14ac:dyDescent="0.2">
      <c r="A595" s="46" t="s">
        <v>750</v>
      </c>
    </row>
    <row r="596" spans="1:1" x14ac:dyDescent="0.2">
      <c r="A596" s="46" t="s">
        <v>751</v>
      </c>
    </row>
    <row r="597" spans="1:1" x14ac:dyDescent="0.2">
      <c r="A597" s="46" t="s">
        <v>752</v>
      </c>
    </row>
    <row r="598" spans="1:1" x14ac:dyDescent="0.2">
      <c r="A598" s="46" t="s">
        <v>753</v>
      </c>
    </row>
    <row r="599" spans="1:1" x14ac:dyDescent="0.2">
      <c r="A599" s="46" t="s">
        <v>754</v>
      </c>
    </row>
    <row r="600" spans="1:1" x14ac:dyDescent="0.2">
      <c r="A600" s="46" t="s">
        <v>390</v>
      </c>
    </row>
    <row r="601" spans="1:1" x14ac:dyDescent="0.2">
      <c r="A601" s="46" t="s">
        <v>391</v>
      </c>
    </row>
    <row r="602" spans="1:1" x14ac:dyDescent="0.2">
      <c r="A602" s="46" t="s">
        <v>392</v>
      </c>
    </row>
    <row r="603" spans="1:1" x14ac:dyDescent="0.2">
      <c r="A603" s="46" t="s">
        <v>755</v>
      </c>
    </row>
    <row r="604" spans="1:1" x14ac:dyDescent="0.2">
      <c r="A604" s="46" t="s">
        <v>756</v>
      </c>
    </row>
    <row r="605" spans="1:1" x14ac:dyDescent="0.2">
      <c r="A605" s="46" t="s">
        <v>757</v>
      </c>
    </row>
    <row r="606" spans="1:1" x14ac:dyDescent="0.2">
      <c r="A606" s="46" t="s">
        <v>470</v>
      </c>
    </row>
    <row r="607" spans="1:1" x14ac:dyDescent="0.2">
      <c r="A607" s="46" t="s">
        <v>458</v>
      </c>
    </row>
    <row r="608" spans="1:1" x14ac:dyDescent="0.2">
      <c r="A608" s="46" t="s">
        <v>758</v>
      </c>
    </row>
    <row r="609" spans="1:1" x14ac:dyDescent="0.2">
      <c r="A609" s="46" t="s">
        <v>459</v>
      </c>
    </row>
    <row r="610" spans="1:1" x14ac:dyDescent="0.2">
      <c r="A610" s="46" t="s">
        <v>393</v>
      </c>
    </row>
    <row r="611" spans="1:1" x14ac:dyDescent="0.2">
      <c r="A611" s="46" t="s">
        <v>485</v>
      </c>
    </row>
    <row r="612" spans="1:1" x14ac:dyDescent="0.2">
      <c r="A612" s="46" t="s">
        <v>460</v>
      </c>
    </row>
    <row r="613" spans="1:1" x14ac:dyDescent="0.2">
      <c r="A613" s="46" t="s">
        <v>461</v>
      </c>
    </row>
    <row r="614" spans="1:1" x14ac:dyDescent="0.2">
      <c r="A614" s="46" t="s">
        <v>482</v>
      </c>
    </row>
    <row r="615" spans="1:1" x14ac:dyDescent="0.2">
      <c r="A615" s="46" t="s">
        <v>505</v>
      </c>
    </row>
    <row r="616" spans="1:1" x14ac:dyDescent="0.2">
      <c r="A616" s="46" t="s">
        <v>506</v>
      </c>
    </row>
    <row r="617" spans="1:1" x14ac:dyDescent="0.2">
      <c r="A617" s="46" t="s">
        <v>536</v>
      </c>
    </row>
    <row r="618" spans="1:1" x14ac:dyDescent="0.2">
      <c r="A618" s="46" t="s">
        <v>759</v>
      </c>
    </row>
    <row r="619" spans="1:1" x14ac:dyDescent="0.2">
      <c r="A619" s="46" t="s">
        <v>394</v>
      </c>
    </row>
    <row r="620" spans="1:1" x14ac:dyDescent="0.2">
      <c r="A620" s="46" t="s">
        <v>395</v>
      </c>
    </row>
    <row r="621" spans="1:1" x14ac:dyDescent="0.2">
      <c r="A621" s="46" t="s">
        <v>396</v>
      </c>
    </row>
    <row r="622" spans="1:1" x14ac:dyDescent="0.2">
      <c r="A622" s="46" t="s">
        <v>397</v>
      </c>
    </row>
    <row r="623" spans="1:1" x14ac:dyDescent="0.2">
      <c r="A623" s="46" t="s">
        <v>398</v>
      </c>
    </row>
    <row r="624" spans="1:1" x14ac:dyDescent="0.2">
      <c r="A624" s="46" t="s">
        <v>399</v>
      </c>
    </row>
    <row r="625" spans="1:1" x14ac:dyDescent="0.2">
      <c r="A625" s="46" t="s">
        <v>761</v>
      </c>
    </row>
    <row r="626" spans="1:1" x14ac:dyDescent="0.2">
      <c r="A626" s="46" t="s">
        <v>762</v>
      </c>
    </row>
    <row r="627" spans="1:1" x14ac:dyDescent="0.2">
      <c r="A627" s="46" t="s">
        <v>400</v>
      </c>
    </row>
    <row r="628" spans="1:1" x14ac:dyDescent="0.2">
      <c r="A628" s="46" t="s">
        <v>494</v>
      </c>
    </row>
    <row r="629" spans="1:1" x14ac:dyDescent="0.2">
      <c r="A629" s="46" t="s">
        <v>763</v>
      </c>
    </row>
    <row r="630" spans="1:1" x14ac:dyDescent="0.2">
      <c r="A630" s="46" t="s">
        <v>764</v>
      </c>
    </row>
    <row r="631" spans="1:1" x14ac:dyDescent="0.2">
      <c r="A631" s="46" t="s">
        <v>765</v>
      </c>
    </row>
    <row r="632" spans="1:1" x14ac:dyDescent="0.2">
      <c r="A632" s="46" t="s">
        <v>401</v>
      </c>
    </row>
    <row r="633" spans="1:1" x14ac:dyDescent="0.2">
      <c r="A633" s="46" t="s">
        <v>402</v>
      </c>
    </row>
    <row r="634" spans="1:1" x14ac:dyDescent="0.2">
      <c r="A634" s="46" t="s">
        <v>766</v>
      </c>
    </row>
    <row r="635" spans="1:1" x14ac:dyDescent="0.2">
      <c r="A635" s="46" t="s">
        <v>767</v>
      </c>
    </row>
    <row r="636" spans="1:1" x14ac:dyDescent="0.2">
      <c r="A636" s="46" t="s">
        <v>403</v>
      </c>
    </row>
    <row r="637" spans="1:1" x14ac:dyDescent="0.2">
      <c r="A637" s="46" t="s">
        <v>768</v>
      </c>
    </row>
    <row r="638" spans="1:1" x14ac:dyDescent="0.2">
      <c r="A638" s="46" t="s">
        <v>769</v>
      </c>
    </row>
    <row r="639" spans="1:1" x14ac:dyDescent="0.2">
      <c r="A639" s="46" t="s">
        <v>770</v>
      </c>
    </row>
    <row r="640" spans="1:1" x14ac:dyDescent="0.2">
      <c r="A640" s="46" t="s">
        <v>771</v>
      </c>
    </row>
    <row r="641" spans="1:1" x14ac:dyDescent="0.2">
      <c r="A641" s="46" t="s">
        <v>404</v>
      </c>
    </row>
    <row r="642" spans="1:1" x14ac:dyDescent="0.2">
      <c r="A642" s="46" t="s">
        <v>405</v>
      </c>
    </row>
    <row r="643" spans="1:1" x14ac:dyDescent="0.2">
      <c r="A643" s="46" t="s">
        <v>406</v>
      </c>
    </row>
    <row r="644" spans="1:1" x14ac:dyDescent="0.2">
      <c r="A644" s="46" t="s">
        <v>772</v>
      </c>
    </row>
    <row r="645" spans="1:1" x14ac:dyDescent="0.2">
      <c r="A645" s="46" t="s">
        <v>407</v>
      </c>
    </row>
    <row r="646" spans="1:1" x14ac:dyDescent="0.2">
      <c r="A646" s="46" t="s">
        <v>408</v>
      </c>
    </row>
    <row r="647" spans="1:1" x14ac:dyDescent="0.2">
      <c r="A647" s="46" t="s">
        <v>409</v>
      </c>
    </row>
    <row r="648" spans="1:1" x14ac:dyDescent="0.2">
      <c r="A648" s="46" t="s">
        <v>746</v>
      </c>
    </row>
    <row r="649" spans="1:1" x14ac:dyDescent="0.2">
      <c r="A649" s="46" t="s">
        <v>410</v>
      </c>
    </row>
    <row r="650" spans="1:1" x14ac:dyDescent="0.2">
      <c r="A650" s="46" t="s">
        <v>411</v>
      </c>
    </row>
    <row r="651" spans="1:1" x14ac:dyDescent="0.2">
      <c r="A651" s="46" t="s">
        <v>412</v>
      </c>
    </row>
    <row r="652" spans="1:1" x14ac:dyDescent="0.2">
      <c r="A652" s="46" t="s">
        <v>777</v>
      </c>
    </row>
    <row r="653" spans="1:1" x14ac:dyDescent="0.2">
      <c r="A653" s="46" t="s">
        <v>413</v>
      </c>
    </row>
    <row r="654" spans="1:1" x14ac:dyDescent="0.2">
      <c r="A654" s="46" t="s">
        <v>414</v>
      </c>
    </row>
    <row r="655" spans="1:1" x14ac:dyDescent="0.2">
      <c r="A655" s="46" t="s">
        <v>415</v>
      </c>
    </row>
    <row r="656" spans="1:1" x14ac:dyDescent="0.2">
      <c r="A656" s="46" t="s">
        <v>416</v>
      </c>
    </row>
    <row r="657" spans="1:1" x14ac:dyDescent="0.2">
      <c r="A657" s="46" t="s">
        <v>417</v>
      </c>
    </row>
    <row r="658" spans="1:1" x14ac:dyDescent="0.2">
      <c r="A658" s="46" t="s">
        <v>778</v>
      </c>
    </row>
    <row r="659" spans="1:1" x14ac:dyDescent="0.2">
      <c r="A659" s="46" t="s">
        <v>418</v>
      </c>
    </row>
    <row r="660" spans="1:1" x14ac:dyDescent="0.2">
      <c r="A660" s="46" t="s">
        <v>419</v>
      </c>
    </row>
    <row r="661" spans="1:1" x14ac:dyDescent="0.2">
      <c r="A661" s="46" t="s">
        <v>487</v>
      </c>
    </row>
    <row r="662" spans="1:1" x14ac:dyDescent="0.2">
      <c r="A662" s="46" t="s">
        <v>420</v>
      </c>
    </row>
    <row r="663" spans="1:1" x14ac:dyDescent="0.2">
      <c r="A663" s="46" t="s">
        <v>421</v>
      </c>
    </row>
    <row r="664" spans="1:1" x14ac:dyDescent="0.2">
      <c r="A664" s="46" t="s">
        <v>779</v>
      </c>
    </row>
    <row r="665" spans="1:1" x14ac:dyDescent="0.2">
      <c r="A665" s="46" t="s">
        <v>422</v>
      </c>
    </row>
    <row r="666" spans="1:1" x14ac:dyDescent="0.2">
      <c r="A666" s="46" t="s">
        <v>423</v>
      </c>
    </row>
    <row r="667" spans="1:1" x14ac:dyDescent="0.2">
      <c r="A667" s="46" t="s">
        <v>774</v>
      </c>
    </row>
    <row r="668" spans="1:1" x14ac:dyDescent="0.2">
      <c r="A668" s="46" t="s">
        <v>424</v>
      </c>
    </row>
    <row r="669" spans="1:1" x14ac:dyDescent="0.2">
      <c r="A669" s="46" t="s">
        <v>780</v>
      </c>
    </row>
    <row r="670" spans="1:1" x14ac:dyDescent="0.2">
      <c r="A670" s="46" t="s">
        <v>425</v>
      </c>
    </row>
    <row r="671" spans="1:1" x14ac:dyDescent="0.2">
      <c r="A671" s="46" t="s">
        <v>532</v>
      </c>
    </row>
    <row r="672" spans="1:1" x14ac:dyDescent="0.2">
      <c r="A672" s="46" t="s">
        <v>85</v>
      </c>
    </row>
    <row r="673" spans="1:1" x14ac:dyDescent="0.2">
      <c r="A673" s="46"/>
    </row>
    <row r="674" spans="1:1" x14ac:dyDescent="0.2">
      <c r="A674" s="46"/>
    </row>
    <row r="675" spans="1:1" x14ac:dyDescent="0.2">
      <c r="A675" s="46"/>
    </row>
    <row r="676" spans="1:1" x14ac:dyDescent="0.2">
      <c r="A676" s="46"/>
    </row>
    <row r="677" spans="1:1" x14ac:dyDescent="0.2">
      <c r="A677" s="46"/>
    </row>
    <row r="678" spans="1:1" x14ac:dyDescent="0.2">
      <c r="A678" s="46"/>
    </row>
    <row r="679" spans="1:1" x14ac:dyDescent="0.2">
      <c r="A679" s="46"/>
    </row>
    <row r="680" spans="1:1" x14ac:dyDescent="0.2">
      <c r="A680" s="46"/>
    </row>
    <row r="681" spans="1:1" x14ac:dyDescent="0.2">
      <c r="A681" s="46"/>
    </row>
    <row r="682" spans="1:1" x14ac:dyDescent="0.2">
      <c r="A682" s="46"/>
    </row>
    <row r="683" spans="1:1" x14ac:dyDescent="0.2">
      <c r="A683" s="46"/>
    </row>
    <row r="684" spans="1:1" x14ac:dyDescent="0.2">
      <c r="A684" s="46"/>
    </row>
    <row r="685" spans="1:1" x14ac:dyDescent="0.2">
      <c r="A685" s="46"/>
    </row>
    <row r="686" spans="1:1" x14ac:dyDescent="0.2">
      <c r="A686" s="46"/>
    </row>
    <row r="687" spans="1:1" x14ac:dyDescent="0.2">
      <c r="A687" s="46"/>
    </row>
    <row r="688" spans="1:1" x14ac:dyDescent="0.2">
      <c r="A688" s="46"/>
    </row>
    <row r="689" spans="1:1" x14ac:dyDescent="0.2">
      <c r="A689" s="46"/>
    </row>
    <row r="690" spans="1:1" x14ac:dyDescent="0.2">
      <c r="A690" s="46"/>
    </row>
    <row r="691" spans="1:1" x14ac:dyDescent="0.2">
      <c r="A691" s="46"/>
    </row>
    <row r="692" spans="1:1" x14ac:dyDescent="0.2">
      <c r="A692" s="46"/>
    </row>
    <row r="693" spans="1:1" x14ac:dyDescent="0.2">
      <c r="A693" s="46"/>
    </row>
    <row r="694" spans="1:1" x14ac:dyDescent="0.2">
      <c r="A694" s="46"/>
    </row>
    <row r="695" spans="1:1" x14ac:dyDescent="0.2">
      <c r="A695" s="46"/>
    </row>
    <row r="696" spans="1:1" x14ac:dyDescent="0.2">
      <c r="A696" s="46"/>
    </row>
    <row r="697" spans="1:1" x14ac:dyDescent="0.2">
      <c r="A697" s="46"/>
    </row>
    <row r="698" spans="1:1" x14ac:dyDescent="0.2">
      <c r="A698" s="46"/>
    </row>
    <row r="699" spans="1:1" x14ac:dyDescent="0.2">
      <c r="A699" s="46"/>
    </row>
    <row r="700" spans="1:1" x14ac:dyDescent="0.2">
      <c r="A700" s="46"/>
    </row>
    <row r="701" spans="1:1" x14ac:dyDescent="0.2">
      <c r="A701" s="46"/>
    </row>
    <row r="702" spans="1:1" x14ac:dyDescent="0.2">
      <c r="A702" s="46"/>
    </row>
    <row r="703" spans="1:1" x14ac:dyDescent="0.2">
      <c r="A703" s="46"/>
    </row>
    <row r="704" spans="1:1" x14ac:dyDescent="0.2">
      <c r="A704" s="46"/>
    </row>
    <row r="705" spans="1:1" x14ac:dyDescent="0.2">
      <c r="A705" s="46"/>
    </row>
    <row r="706" spans="1:1" x14ac:dyDescent="0.2">
      <c r="A706" s="46"/>
    </row>
    <row r="707" spans="1:1" x14ac:dyDescent="0.2">
      <c r="A707" s="46"/>
    </row>
    <row r="708" spans="1:1" x14ac:dyDescent="0.2">
      <c r="A708" s="46"/>
    </row>
    <row r="709" spans="1:1" x14ac:dyDescent="0.2">
      <c r="A709" s="46"/>
    </row>
    <row r="710" spans="1:1" x14ac:dyDescent="0.2">
      <c r="A710" s="46"/>
    </row>
    <row r="711" spans="1:1" x14ac:dyDescent="0.2">
      <c r="A711" s="46"/>
    </row>
    <row r="712" spans="1:1" x14ac:dyDescent="0.2">
      <c r="A712" s="46"/>
    </row>
    <row r="713" spans="1:1" x14ac:dyDescent="0.2">
      <c r="A713" s="46"/>
    </row>
    <row r="714" spans="1:1" x14ac:dyDescent="0.2">
      <c r="A714" s="46"/>
    </row>
    <row r="715" spans="1:1" x14ac:dyDescent="0.2">
      <c r="A715" s="46"/>
    </row>
    <row r="716" spans="1:1" x14ac:dyDescent="0.2">
      <c r="A716" s="46"/>
    </row>
    <row r="717" spans="1:1" x14ac:dyDescent="0.2">
      <c r="A717" s="46"/>
    </row>
    <row r="718" spans="1:1" x14ac:dyDescent="0.2">
      <c r="A718" s="46"/>
    </row>
    <row r="719" spans="1:1" x14ac:dyDescent="0.2">
      <c r="A719" s="46"/>
    </row>
    <row r="720" spans="1:1" x14ac:dyDescent="0.2">
      <c r="A720" s="46"/>
    </row>
    <row r="721" spans="1:1" x14ac:dyDescent="0.2">
      <c r="A721" s="46"/>
    </row>
    <row r="722" spans="1:1" x14ac:dyDescent="0.2">
      <c r="A722" s="46"/>
    </row>
    <row r="723" spans="1:1" x14ac:dyDescent="0.2">
      <c r="A723" s="46"/>
    </row>
    <row r="724" spans="1:1" x14ac:dyDescent="0.2">
      <c r="A724" s="46"/>
    </row>
    <row r="725" spans="1:1" x14ac:dyDescent="0.2">
      <c r="A725" s="46"/>
    </row>
    <row r="726" spans="1:1" x14ac:dyDescent="0.2">
      <c r="A726" s="46"/>
    </row>
    <row r="727" spans="1:1" x14ac:dyDescent="0.2">
      <c r="A727" s="46"/>
    </row>
    <row r="728" spans="1:1" x14ac:dyDescent="0.2">
      <c r="A728" s="46"/>
    </row>
    <row r="729" spans="1:1" x14ac:dyDescent="0.2">
      <c r="A729" s="46"/>
    </row>
    <row r="730" spans="1:1" x14ac:dyDescent="0.2">
      <c r="A730" s="46"/>
    </row>
    <row r="731" spans="1:1" x14ac:dyDescent="0.2">
      <c r="A731" s="46"/>
    </row>
    <row r="732" spans="1:1" x14ac:dyDescent="0.2">
      <c r="A732" s="46"/>
    </row>
    <row r="733" spans="1:1" x14ac:dyDescent="0.2">
      <c r="A733" s="46"/>
    </row>
    <row r="734" spans="1:1" x14ac:dyDescent="0.2">
      <c r="A734" s="46"/>
    </row>
    <row r="735" spans="1:1" x14ac:dyDescent="0.2">
      <c r="A735" s="46"/>
    </row>
    <row r="736" spans="1:1" x14ac:dyDescent="0.2">
      <c r="A736" s="46"/>
    </row>
    <row r="737" spans="1:1" x14ac:dyDescent="0.2">
      <c r="A737" s="46"/>
    </row>
    <row r="738" spans="1:1" x14ac:dyDescent="0.2">
      <c r="A738" s="46"/>
    </row>
    <row r="739" spans="1:1" x14ac:dyDescent="0.2">
      <c r="A739" s="46"/>
    </row>
    <row r="740" spans="1:1" x14ac:dyDescent="0.2">
      <c r="A740" s="46"/>
    </row>
    <row r="741" spans="1:1" x14ac:dyDescent="0.2">
      <c r="A741" s="46"/>
    </row>
    <row r="742" spans="1:1" x14ac:dyDescent="0.2">
      <c r="A742" s="46"/>
    </row>
    <row r="743" spans="1:1" x14ac:dyDescent="0.2">
      <c r="A743" s="46"/>
    </row>
    <row r="744" spans="1:1" x14ac:dyDescent="0.2">
      <c r="A744" s="46"/>
    </row>
    <row r="745" spans="1:1" x14ac:dyDescent="0.2">
      <c r="A745" s="46"/>
    </row>
    <row r="746" spans="1:1" x14ac:dyDescent="0.2">
      <c r="A746" s="46"/>
    </row>
    <row r="747" spans="1:1" x14ac:dyDescent="0.2">
      <c r="A747" s="46"/>
    </row>
    <row r="748" spans="1:1" x14ac:dyDescent="0.2">
      <c r="A748" s="46"/>
    </row>
    <row r="749" spans="1:1" x14ac:dyDescent="0.2">
      <c r="A749" s="46"/>
    </row>
    <row r="750" spans="1:1" x14ac:dyDescent="0.2">
      <c r="A750" s="46"/>
    </row>
    <row r="751" spans="1:1" x14ac:dyDescent="0.2">
      <c r="A751" s="46"/>
    </row>
    <row r="752" spans="1:1" x14ac:dyDescent="0.2">
      <c r="A752" s="46"/>
    </row>
    <row r="753" spans="1:1" x14ac:dyDescent="0.2">
      <c r="A753" s="46"/>
    </row>
    <row r="754" spans="1:1" x14ac:dyDescent="0.2">
      <c r="A754" s="46"/>
    </row>
    <row r="755" spans="1:1" x14ac:dyDescent="0.2">
      <c r="A755" s="46"/>
    </row>
    <row r="756" spans="1:1" x14ac:dyDescent="0.2">
      <c r="A756" s="46"/>
    </row>
    <row r="757" spans="1:1" x14ac:dyDescent="0.2">
      <c r="A757" s="46"/>
    </row>
    <row r="758" spans="1:1" x14ac:dyDescent="0.2">
      <c r="A758" s="46"/>
    </row>
    <row r="759" spans="1:1" x14ac:dyDescent="0.2">
      <c r="A759" s="46"/>
    </row>
    <row r="760" spans="1:1" x14ac:dyDescent="0.2">
      <c r="A760" s="46"/>
    </row>
    <row r="761" spans="1:1" x14ac:dyDescent="0.2">
      <c r="A761" s="46"/>
    </row>
    <row r="762" spans="1:1" x14ac:dyDescent="0.2">
      <c r="A762" s="46"/>
    </row>
    <row r="763" spans="1:1" x14ac:dyDescent="0.2">
      <c r="A763" s="46"/>
    </row>
    <row r="764" spans="1:1" x14ac:dyDescent="0.2">
      <c r="A764" s="46"/>
    </row>
    <row r="765" spans="1:1" x14ac:dyDescent="0.2">
      <c r="A765" s="46"/>
    </row>
    <row r="766" spans="1:1" x14ac:dyDescent="0.2">
      <c r="A766" s="46"/>
    </row>
    <row r="767" spans="1:1" x14ac:dyDescent="0.2">
      <c r="A767" s="46"/>
    </row>
    <row r="768" spans="1:1" x14ac:dyDescent="0.2">
      <c r="A768" s="46"/>
    </row>
    <row r="769" spans="1:1" x14ac:dyDescent="0.2">
      <c r="A769" s="46"/>
    </row>
    <row r="770" spans="1:1" x14ac:dyDescent="0.2">
      <c r="A770" s="46"/>
    </row>
    <row r="771" spans="1:1" x14ac:dyDescent="0.2">
      <c r="A771" s="46"/>
    </row>
    <row r="772" spans="1:1" x14ac:dyDescent="0.2">
      <c r="A772" s="46"/>
    </row>
    <row r="773" spans="1:1" x14ac:dyDescent="0.2">
      <c r="A773" s="46"/>
    </row>
    <row r="774" spans="1:1" x14ac:dyDescent="0.2">
      <c r="A774" s="46"/>
    </row>
    <row r="775" spans="1:1" x14ac:dyDescent="0.2">
      <c r="A775" s="46"/>
    </row>
    <row r="776" spans="1:1" x14ac:dyDescent="0.2">
      <c r="A776" s="46"/>
    </row>
    <row r="777" spans="1:1" x14ac:dyDescent="0.2">
      <c r="A777" s="46"/>
    </row>
    <row r="778" spans="1:1" x14ac:dyDescent="0.2">
      <c r="A778" s="46"/>
    </row>
    <row r="779" spans="1:1" x14ac:dyDescent="0.2">
      <c r="A779" s="46"/>
    </row>
    <row r="780" spans="1:1" x14ac:dyDescent="0.2">
      <c r="A780" s="46"/>
    </row>
    <row r="781" spans="1:1" x14ac:dyDescent="0.2">
      <c r="A781" s="46"/>
    </row>
    <row r="782" spans="1:1" x14ac:dyDescent="0.2">
      <c r="A782" s="46"/>
    </row>
    <row r="783" spans="1:1" x14ac:dyDescent="0.2">
      <c r="A783" s="46"/>
    </row>
  </sheetData>
  <sheetProtection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38</vt:lpstr>
      <vt:lpstr>38A</vt:lpstr>
      <vt:lpstr>38A1</vt:lpstr>
      <vt:lpstr>38A3</vt:lpstr>
      <vt:lpstr>38A4</vt:lpstr>
      <vt:lpstr>Bank</vt:lpstr>
      <vt:lpstr>'38'!Print_Area</vt:lpstr>
      <vt:lpstr>'38'!Print_Titles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2006-02-27T06:07:22Z</cp:lastPrinted>
  <dcterms:created xsi:type="dcterms:W3CDTF">2005-10-26T01:01:48Z</dcterms:created>
  <dcterms:modified xsi:type="dcterms:W3CDTF">2016-07-04T02:55:56Z</dcterms:modified>
</cp:coreProperties>
</file>