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E:\Express-O_Reporting_Package\Templates\FRP_v12\"/>
    </mc:Choice>
  </mc:AlternateContent>
  <workbookProtection workbookAlgorithmName="SHA-512" workbookHashValue="54xnieZ1E1EyZK3g09py14xKdQZAfGP1UWH/VZRrVNSrHtDiLw9ea6HVdsZBzqnRoA3qYlOafCK2e7h22FnHaw==" workbookSaltValue="aATzlJT425MFdjTvNr9LSQ==" workbookSpinCount="100000" lockStructure="1"/>
  <bookViews>
    <workbookView xWindow="-15" yWindow="3435" windowWidth="15330" windowHeight="3480" firstSheet="2" activeTab="2"/>
  </bookViews>
  <sheets>
    <sheet name="BS" sheetId="9" state="hidden" r:id="rId1"/>
    <sheet name="IS" sheetId="7" state="hidden" r:id="rId2"/>
    <sheet name="Bank" sheetId="6" r:id="rId3"/>
  </sheets>
  <functionGroups builtInGroupCount="18"/>
  <definedNames>
    <definedName name="_xlnm.Print_Area" localSheetId="0">BS!$A$1:$P$192</definedName>
    <definedName name="_xlnm.Print_Area" localSheetId="1">IS!$A$1:$P$65</definedName>
    <definedName name="_xlnm.Print_Titles" localSheetId="0">BS!$A:$H,BS!$1:$8</definedName>
    <definedName name="_xlnm.Print_Titles" localSheetId="1">IS!$A:$H,IS!$1:$9</definedName>
  </definedNames>
  <calcPr calcId="152511"/>
</workbook>
</file>

<file path=xl/calcChain.xml><?xml version="1.0" encoding="utf-8"?>
<calcChain xmlns="http://schemas.openxmlformats.org/spreadsheetml/2006/main">
  <c r="P152" i="9" l="1"/>
  <c r="I17" i="7"/>
  <c r="P22" i="7"/>
  <c r="P167" i="9"/>
  <c r="I90" i="9"/>
  <c r="P90" i="9" s="1"/>
  <c r="P89" i="9"/>
  <c r="P47" i="7"/>
  <c r="I43" i="7"/>
  <c r="N43" i="7"/>
  <c r="N37" i="7" s="1"/>
  <c r="O43" i="7"/>
  <c r="O37" i="7" s="1"/>
  <c r="P70" i="9"/>
  <c r="P164" i="9"/>
  <c r="J58" i="9"/>
  <c r="K58" i="9"/>
  <c r="L58" i="9"/>
  <c r="M58" i="9"/>
  <c r="N58" i="9"/>
  <c r="O58" i="9"/>
  <c r="I58" i="9"/>
  <c r="P57" i="9"/>
  <c r="P59" i="9"/>
  <c r="P108" i="9"/>
  <c r="J178" i="9"/>
  <c r="J177" i="9" s="1"/>
  <c r="J181" i="9"/>
  <c r="K178" i="9"/>
  <c r="K181" i="9"/>
  <c r="L178" i="9"/>
  <c r="L181" i="9"/>
  <c r="L177" i="9"/>
  <c r="M178" i="9"/>
  <c r="M181" i="9"/>
  <c r="N178" i="9"/>
  <c r="N181" i="9"/>
  <c r="O178" i="9"/>
  <c r="O181" i="9"/>
  <c r="I178" i="9"/>
  <c r="I177" i="9" s="1"/>
  <c r="I181" i="9"/>
  <c r="P185" i="9"/>
  <c r="J106" i="9"/>
  <c r="J120" i="9"/>
  <c r="J123" i="9"/>
  <c r="J126" i="9"/>
  <c r="J149" i="9"/>
  <c r="K106" i="9"/>
  <c r="K120" i="9"/>
  <c r="K123" i="9"/>
  <c r="K126" i="9"/>
  <c r="P126" i="9" s="1"/>
  <c r="K149" i="9"/>
  <c r="L106" i="9"/>
  <c r="L110" i="9"/>
  <c r="L120" i="9"/>
  <c r="L123" i="9"/>
  <c r="L126" i="9"/>
  <c r="L149" i="9"/>
  <c r="M106" i="9"/>
  <c r="P106" i="9" s="1"/>
  <c r="M110" i="9"/>
  <c r="M120" i="9"/>
  <c r="M123" i="9"/>
  <c r="M126" i="9"/>
  <c r="M149" i="9"/>
  <c r="N106" i="9"/>
  <c r="N110" i="9"/>
  <c r="N120" i="9"/>
  <c r="N123" i="9"/>
  <c r="N126" i="9"/>
  <c r="N149" i="9"/>
  <c r="O106" i="9"/>
  <c r="O110" i="9"/>
  <c r="O120" i="9"/>
  <c r="O123" i="9"/>
  <c r="O126" i="9"/>
  <c r="O149" i="9"/>
  <c r="I106" i="9"/>
  <c r="I110" i="9"/>
  <c r="P110" i="9" s="1"/>
  <c r="I120" i="9"/>
  <c r="I123" i="9"/>
  <c r="I126" i="9"/>
  <c r="I149" i="9"/>
  <c r="J12" i="9"/>
  <c r="J18" i="9"/>
  <c r="J26" i="9"/>
  <c r="J33" i="9"/>
  <c r="J35" i="9" s="1"/>
  <c r="J38" i="9"/>
  <c r="J40" i="9" s="1"/>
  <c r="J43" i="9"/>
  <c r="J45" i="9"/>
  <c r="J50" i="9"/>
  <c r="J61" i="9"/>
  <c r="J67" i="9"/>
  <c r="J71" i="9"/>
  <c r="J73" i="9" s="1"/>
  <c r="J76" i="9"/>
  <c r="J79" i="9"/>
  <c r="J101" i="9"/>
  <c r="K12" i="9"/>
  <c r="K18" i="9"/>
  <c r="K26" i="9"/>
  <c r="K30" i="9"/>
  <c r="K33" i="9"/>
  <c r="K35" i="9" s="1"/>
  <c r="K38" i="9"/>
  <c r="K40" i="9" s="1"/>
  <c r="K43" i="9"/>
  <c r="K45" i="9"/>
  <c r="K50" i="9"/>
  <c r="K61" i="9"/>
  <c r="K67" i="9"/>
  <c r="K71" i="9" s="1"/>
  <c r="K73" i="9" s="1"/>
  <c r="K76" i="9"/>
  <c r="K79" i="9"/>
  <c r="K101" i="9"/>
  <c r="L12" i="9"/>
  <c r="L18" i="9"/>
  <c r="L26" i="9"/>
  <c r="L23" i="9" s="1"/>
  <c r="L33" i="9"/>
  <c r="L35" i="9" s="1"/>
  <c r="L38" i="9"/>
  <c r="L40" i="9" s="1"/>
  <c r="L45" i="9"/>
  <c r="L50" i="9"/>
  <c r="L61" i="9"/>
  <c r="L67" i="9"/>
  <c r="L71" i="9" s="1"/>
  <c r="L73" i="9" s="1"/>
  <c r="L76" i="9"/>
  <c r="L87" i="9"/>
  <c r="L93" i="9"/>
  <c r="L97" i="9"/>
  <c r="L101" i="9"/>
  <c r="M12" i="9"/>
  <c r="M18" i="9"/>
  <c r="M26" i="9"/>
  <c r="M30" i="9"/>
  <c r="M33" i="9"/>
  <c r="M35" i="9" s="1"/>
  <c r="M38" i="9"/>
  <c r="M40" i="9" s="1"/>
  <c r="M45" i="9"/>
  <c r="M50" i="9"/>
  <c r="M61" i="9"/>
  <c r="M67" i="9"/>
  <c r="M71" i="9"/>
  <c r="M73" i="9" s="1"/>
  <c r="M76" i="9"/>
  <c r="M87" i="9"/>
  <c r="M93" i="9"/>
  <c r="M97" i="9"/>
  <c r="M101" i="9"/>
  <c r="N12" i="9"/>
  <c r="N18" i="9"/>
  <c r="N26" i="9"/>
  <c r="N30" i="9" s="1"/>
  <c r="N33" i="9"/>
  <c r="N35" i="9" s="1"/>
  <c r="N38" i="9"/>
  <c r="N40" i="9" s="1"/>
  <c r="N43" i="9"/>
  <c r="N45" i="9"/>
  <c r="N50" i="9"/>
  <c r="N61" i="9"/>
  <c r="N67" i="9"/>
  <c r="N71" i="9" s="1"/>
  <c r="N73" i="9" s="1"/>
  <c r="N76" i="9"/>
  <c r="N83" i="9"/>
  <c r="N87" i="9"/>
  <c r="N93" i="9"/>
  <c r="N97" i="9"/>
  <c r="N101" i="9"/>
  <c r="O12" i="9"/>
  <c r="O18" i="9"/>
  <c r="O26" i="9"/>
  <c r="O30" i="9" s="1"/>
  <c r="O33" i="9"/>
  <c r="O35" i="9" s="1"/>
  <c r="O38" i="9"/>
  <c r="O40" i="9"/>
  <c r="O43" i="9"/>
  <c r="O45" i="9"/>
  <c r="O50" i="9"/>
  <c r="O61" i="9"/>
  <c r="O67" i="9"/>
  <c r="O71" i="9" s="1"/>
  <c r="O73" i="9" s="1"/>
  <c r="O76" i="9"/>
  <c r="O83" i="9"/>
  <c r="O87" i="9"/>
  <c r="O93" i="9"/>
  <c r="O97" i="9"/>
  <c r="O101" i="9"/>
  <c r="I12" i="9"/>
  <c r="P12" i="9" s="1"/>
  <c r="I18" i="9"/>
  <c r="I26" i="9"/>
  <c r="I30" i="9" s="1"/>
  <c r="I33" i="9"/>
  <c r="I35" i="9"/>
  <c r="P35" i="9" s="1"/>
  <c r="I38" i="9"/>
  <c r="I40" i="9"/>
  <c r="P40" i="9" s="1"/>
  <c r="I43" i="9"/>
  <c r="I45" i="9"/>
  <c r="I50" i="9"/>
  <c r="I61" i="9"/>
  <c r="I67" i="9"/>
  <c r="I76" i="9"/>
  <c r="I79" i="9"/>
  <c r="P79" i="9" s="1"/>
  <c r="I83" i="9"/>
  <c r="P83" i="9" s="1"/>
  <c r="I87" i="9"/>
  <c r="I93" i="9"/>
  <c r="I97" i="9"/>
  <c r="I101" i="9"/>
  <c r="P101" i="9" s="1"/>
  <c r="J158" i="9"/>
  <c r="J163" i="9"/>
  <c r="K158" i="9"/>
  <c r="K163" i="9"/>
  <c r="L163" i="9"/>
  <c r="L169" i="9"/>
  <c r="L168" i="9" s="1"/>
  <c r="M163" i="9"/>
  <c r="P163" i="9" s="1"/>
  <c r="M169" i="9"/>
  <c r="M168" i="9"/>
  <c r="N158" i="9"/>
  <c r="N163" i="9"/>
  <c r="N169" i="9"/>
  <c r="N168" i="9" s="1"/>
  <c r="O158" i="9"/>
  <c r="O163" i="9"/>
  <c r="O169" i="9"/>
  <c r="O168" i="9" s="1"/>
  <c r="I158" i="9"/>
  <c r="I163" i="9"/>
  <c r="I169" i="9"/>
  <c r="I168" i="9" s="1"/>
  <c r="J53" i="9"/>
  <c r="J55" i="9" s="1"/>
  <c r="K53" i="9"/>
  <c r="K55" i="9" s="1"/>
  <c r="K44" i="9" s="1"/>
  <c r="K60" i="9" s="1"/>
  <c r="L53" i="9"/>
  <c r="L55" i="9" s="1"/>
  <c r="L44" i="9" s="1"/>
  <c r="L60" i="9" s="1"/>
  <c r="M53" i="9"/>
  <c r="M55" i="9" s="1"/>
  <c r="N53" i="9"/>
  <c r="N55" i="9" s="1"/>
  <c r="N44" i="9" s="1"/>
  <c r="N60" i="9" s="1"/>
  <c r="O53" i="9"/>
  <c r="O55" i="9"/>
  <c r="I53" i="9"/>
  <c r="K43" i="7"/>
  <c r="K37" i="7" s="1"/>
  <c r="L43" i="7"/>
  <c r="L37" i="7" s="1"/>
  <c r="M43" i="7"/>
  <c r="M37" i="7"/>
  <c r="J43" i="7"/>
  <c r="J37" i="7" s="1"/>
  <c r="P50" i="7"/>
  <c r="P40" i="7"/>
  <c r="P13" i="9"/>
  <c r="P14" i="9"/>
  <c r="P15" i="9"/>
  <c r="P16" i="9"/>
  <c r="P52" i="9"/>
  <c r="P175" i="9"/>
  <c r="I23" i="9"/>
  <c r="K23" i="9"/>
  <c r="M23" i="9"/>
  <c r="P192" i="9"/>
  <c r="P189" i="9"/>
  <c r="P188" i="9"/>
  <c r="P187" i="9"/>
  <c r="P186" i="9"/>
  <c r="P184" i="9"/>
  <c r="P183" i="9"/>
  <c r="P182" i="9"/>
  <c r="P180" i="9"/>
  <c r="P179" i="9"/>
  <c r="P176" i="9"/>
  <c r="P174" i="9"/>
  <c r="P173" i="9"/>
  <c r="P172" i="9"/>
  <c r="P171" i="9"/>
  <c r="P170" i="9"/>
  <c r="P166" i="9"/>
  <c r="P165" i="9"/>
  <c r="P162" i="9"/>
  <c r="P161" i="9"/>
  <c r="P160" i="9"/>
  <c r="P159" i="9"/>
  <c r="P154" i="9"/>
  <c r="P153" i="9"/>
  <c r="P151" i="9"/>
  <c r="P150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5" i="9"/>
  <c r="P124" i="9"/>
  <c r="P122" i="9"/>
  <c r="P121" i="9"/>
  <c r="P119" i="9"/>
  <c r="P118" i="9"/>
  <c r="P117" i="9"/>
  <c r="P116" i="9"/>
  <c r="P115" i="9"/>
  <c r="P114" i="9"/>
  <c r="P113" i="9"/>
  <c r="P112" i="9"/>
  <c r="P111" i="9"/>
  <c r="P109" i="9"/>
  <c r="P107" i="9"/>
  <c r="P11" i="9"/>
  <c r="P17" i="9"/>
  <c r="P18" i="9"/>
  <c r="P19" i="9"/>
  <c r="P20" i="9"/>
  <c r="P21" i="9"/>
  <c r="P22" i="9"/>
  <c r="P24" i="9"/>
  <c r="P25" i="9"/>
  <c r="P27" i="9"/>
  <c r="P28" i="9"/>
  <c r="P29" i="9"/>
  <c r="P31" i="9"/>
  <c r="P32" i="9"/>
  <c r="P34" i="9"/>
  <c r="P36" i="9"/>
  <c r="P37" i="9"/>
  <c r="P39" i="9"/>
  <c r="P41" i="9"/>
  <c r="P42" i="9"/>
  <c r="P46" i="9"/>
  <c r="P47" i="9"/>
  <c r="P48" i="9"/>
  <c r="P49" i="9"/>
  <c r="P50" i="9"/>
  <c r="P51" i="9"/>
  <c r="P54" i="9"/>
  <c r="P56" i="9"/>
  <c r="P62" i="9"/>
  <c r="P63" i="9"/>
  <c r="P64" i="9"/>
  <c r="P65" i="9"/>
  <c r="P66" i="9"/>
  <c r="P68" i="9"/>
  <c r="P69" i="9"/>
  <c r="P72" i="9"/>
  <c r="P74" i="9"/>
  <c r="P75" i="9"/>
  <c r="P76" i="9"/>
  <c r="P77" i="9"/>
  <c r="P78" i="9"/>
  <c r="P80" i="9"/>
  <c r="P81" i="9"/>
  <c r="P82" i="9"/>
  <c r="P84" i="9"/>
  <c r="P85" i="9"/>
  <c r="P86" i="9"/>
  <c r="P88" i="9"/>
  <c r="P91" i="9"/>
  <c r="P92" i="9"/>
  <c r="P94" i="9"/>
  <c r="P95" i="9"/>
  <c r="P96" i="9"/>
  <c r="P98" i="9"/>
  <c r="P99" i="9"/>
  <c r="P100" i="9"/>
  <c r="P102" i="9"/>
  <c r="P10" i="9"/>
  <c r="P12" i="7"/>
  <c r="P13" i="7"/>
  <c r="I14" i="7"/>
  <c r="K14" i="7"/>
  <c r="M14" i="7"/>
  <c r="P14" i="7" s="1"/>
  <c r="O14" i="7"/>
  <c r="I31" i="7"/>
  <c r="O17" i="7"/>
  <c r="O31" i="7"/>
  <c r="K17" i="7"/>
  <c r="K31" i="7"/>
  <c r="K15" i="7"/>
  <c r="M17" i="7"/>
  <c r="M31" i="7"/>
  <c r="M15" i="7" s="1"/>
  <c r="M56" i="7" s="1"/>
  <c r="M61" i="7" s="1"/>
  <c r="M63" i="7" s="1"/>
  <c r="M65" i="7" s="1"/>
  <c r="P16" i="7"/>
  <c r="P18" i="7"/>
  <c r="P19" i="7"/>
  <c r="P20" i="7"/>
  <c r="P21" i="7"/>
  <c r="P23" i="7"/>
  <c r="P24" i="7"/>
  <c r="P25" i="7"/>
  <c r="P26" i="7"/>
  <c r="P27" i="7"/>
  <c r="P28" i="7"/>
  <c r="P29" i="7"/>
  <c r="P30" i="7"/>
  <c r="P32" i="7"/>
  <c r="P33" i="7"/>
  <c r="P34" i="7"/>
  <c r="P35" i="7"/>
  <c r="P36" i="7"/>
  <c r="P38" i="7"/>
  <c r="P39" i="7"/>
  <c r="P41" i="7"/>
  <c r="P42" i="7"/>
  <c r="P44" i="7"/>
  <c r="P45" i="7"/>
  <c r="P46" i="7"/>
  <c r="P48" i="7"/>
  <c r="P49" i="7"/>
  <c r="P51" i="7"/>
  <c r="O52" i="7"/>
  <c r="I52" i="7"/>
  <c r="K52" i="7"/>
  <c r="M52" i="7"/>
  <c r="P52" i="7" s="1"/>
  <c r="P53" i="7"/>
  <c r="P54" i="7"/>
  <c r="P55" i="7"/>
  <c r="O57" i="7"/>
  <c r="I57" i="7"/>
  <c r="K57" i="7"/>
  <c r="P58" i="7"/>
  <c r="P59" i="7"/>
  <c r="P60" i="7"/>
  <c r="P62" i="7"/>
  <c r="P64" i="7"/>
  <c r="J14" i="7"/>
  <c r="J17" i="7"/>
  <c r="J31" i="7"/>
  <c r="J52" i="7"/>
  <c r="J57" i="7"/>
  <c r="L14" i="7"/>
  <c r="L17" i="7"/>
  <c r="L15" i="7" s="1"/>
  <c r="L56" i="7" s="1"/>
  <c r="L61" i="7" s="1"/>
  <c r="L63" i="7" s="1"/>
  <c r="L65" i="7" s="1"/>
  <c r="L31" i="7"/>
  <c r="L52" i="7"/>
  <c r="N17" i="7"/>
  <c r="N31" i="7"/>
  <c r="N15" i="7" s="1"/>
  <c r="N56" i="7" s="1"/>
  <c r="N61" i="7" s="1"/>
  <c r="N63" i="7" s="1"/>
  <c r="N65" i="7" s="1"/>
  <c r="N52" i="7"/>
  <c r="N14" i="7"/>
  <c r="N57" i="7"/>
  <c r="P11" i="7"/>
  <c r="P168" i="9" l="1"/>
  <c r="L190" i="9"/>
  <c r="K56" i="7"/>
  <c r="K61" i="7" s="1"/>
  <c r="K63" i="7" s="1"/>
  <c r="K65" i="7" s="1"/>
  <c r="P169" i="9"/>
  <c r="P61" i="9"/>
  <c r="P38" i="9"/>
  <c r="N104" i="9"/>
  <c r="P93" i="9"/>
  <c r="L30" i="9"/>
  <c r="L104" i="9" s="1"/>
  <c r="I156" i="9"/>
  <c r="I191" i="9" s="1"/>
  <c r="P120" i="9"/>
  <c r="K156" i="9"/>
  <c r="M177" i="9"/>
  <c r="M190" i="9" s="1"/>
  <c r="P58" i="9"/>
  <c r="I190" i="9"/>
  <c r="O23" i="9"/>
  <c r="P23" i="9"/>
  <c r="P97" i="9"/>
  <c r="P30" i="9"/>
  <c r="P87" i="9"/>
  <c r="L156" i="9"/>
  <c r="L191" i="9" s="1"/>
  <c r="J15" i="7"/>
  <c r="J56" i="7" s="1"/>
  <c r="J61" i="7" s="1"/>
  <c r="J63" i="7" s="1"/>
  <c r="J65" i="7" s="1"/>
  <c r="N23" i="9"/>
  <c r="K104" i="9"/>
  <c r="M156" i="9"/>
  <c r="M191" i="9" s="1"/>
  <c r="P149" i="9"/>
  <c r="N177" i="9"/>
  <c r="N190" i="9" s="1"/>
  <c r="O190" i="9"/>
  <c r="P123" i="9"/>
  <c r="P156" i="9" s="1"/>
  <c r="P33" i="9"/>
  <c r="M44" i="9"/>
  <c r="M60" i="9" s="1"/>
  <c r="M104" i="9" s="1"/>
  <c r="P45" i="9"/>
  <c r="J44" i="9"/>
  <c r="J60" i="9" s="1"/>
  <c r="O177" i="9"/>
  <c r="O44" i="9"/>
  <c r="O60" i="9" s="1"/>
  <c r="O104" i="9" s="1"/>
  <c r="P181" i="9"/>
  <c r="K177" i="9"/>
  <c r="K190" i="9" s="1"/>
  <c r="P178" i="9"/>
  <c r="P43" i="7"/>
  <c r="I37" i="7"/>
  <c r="P37" i="7" s="1"/>
  <c r="I55" i="9"/>
  <c r="P53" i="9"/>
  <c r="O15" i="7"/>
  <c r="O56" i="7" s="1"/>
  <c r="O61" i="7" s="1"/>
  <c r="O63" i="7" s="1"/>
  <c r="O65" i="7" s="1"/>
  <c r="J190" i="9"/>
  <c r="J30" i="9"/>
  <c r="J104" i="9" s="1"/>
  <c r="J23" i="9"/>
  <c r="N156" i="9"/>
  <c r="I15" i="7"/>
  <c r="P15" i="7" s="1"/>
  <c r="P17" i="7"/>
  <c r="P57" i="7"/>
  <c r="P31" i="7"/>
  <c r="P26" i="9"/>
  <c r="P158" i="9"/>
  <c r="I71" i="9"/>
  <c r="P67" i="9"/>
  <c r="P43" i="9"/>
  <c r="O156" i="9"/>
  <c r="J156" i="9"/>
  <c r="N191" i="9" l="1"/>
  <c r="K191" i="9"/>
  <c r="P190" i="9"/>
  <c r="P191" i="9"/>
  <c r="P55" i="9"/>
  <c r="I44" i="9"/>
  <c r="I56" i="7"/>
  <c r="J191" i="9"/>
  <c r="I73" i="9"/>
  <c r="P73" i="9" s="1"/>
  <c r="P71" i="9"/>
  <c r="P177" i="9"/>
  <c r="O191" i="9"/>
  <c r="P56" i="7" l="1"/>
  <c r="I61" i="7"/>
  <c r="I60" i="9"/>
  <c r="P44" i="9"/>
  <c r="P60" i="9" l="1"/>
  <c r="P104" i="9" s="1"/>
  <c r="I104" i="9"/>
  <c r="I63" i="7"/>
  <c r="P61" i="7"/>
  <c r="I65" i="7" l="1"/>
  <c r="P65" i="7" s="1"/>
  <c r="P63" i="7"/>
</calcChain>
</file>

<file path=xl/sharedStrings.xml><?xml version="1.0" encoding="utf-8"?>
<sst xmlns="http://schemas.openxmlformats.org/spreadsheetml/2006/main" count="1306" uniqueCount="1128">
  <si>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</si>
  <si>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</si>
  <si>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</si>
  <si>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</si>
  <si>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</si>
  <si>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</si>
  <si>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</si>
  <si>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</si>
  <si>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</si>
  <si>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</si>
  <si>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</si>
  <si>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</si>
  <si>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</si>
  <si>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</si>
  <si>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</si>
  <si>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</si>
  <si>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</si>
  <si>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</si>
  <si>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</si>
  <si>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</si>
  <si>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</si>
  <si>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</si>
  <si>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</si>
  <si>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</si>
  <si>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</si>
  <si>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</si>
  <si>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</si>
  <si>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</si>
  <si>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</si>
  <si>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</si>
  <si>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</si>
  <si>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</si>
  <si>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</si>
  <si>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</si>
  <si>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</si>
  <si>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</si>
  <si>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</si>
  <si>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</si>
  <si>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</si>
  <si>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</si>
  <si>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</si>
  <si>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</si>
  <si>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</si>
  <si>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</si>
  <si>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NEGROS COOPERATIVE BANK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</si>
  <si>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</si>
  <si>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</si>
  <si>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</si>
  <si>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</si>
  <si>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</si>
  <si>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</si>
  <si>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</si>
  <si>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</si>
  <si>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</si>
  <si>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</si>
  <si>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</si>
  <si>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</si>
  <si>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</si>
  <si>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BAYBANK INC (A RURAL BANK)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</si>
  <si>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</si>
  <si>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</si>
  <si>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</si>
  <si>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</si>
  <si>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</si>
  <si>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</si>
  <si>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</si>
  <si>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</si>
  <si>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</si>
  <si>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</si>
  <si>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</si>
  <si>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</si>
  <si>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</si>
  <si>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</si>
  <si>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</si>
  <si>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</si>
  <si>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</si>
  <si>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</si>
  <si>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</si>
  <si>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</si>
  <si>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</si>
  <si>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</si>
  <si>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</si>
  <si>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</si>
  <si>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</si>
  <si>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</si>
  <si>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</si>
  <si>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</si>
  <si>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</si>
  <si>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</si>
  <si>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</si>
  <si>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</si>
  <si>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</si>
  <si>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</si>
  <si>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</si>
  <si>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</si>
  <si>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</si>
  <si>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</si>
  <si>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</si>
  <si>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</si>
  <si>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</si>
  <si>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</si>
  <si>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</si>
  <si>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</si>
  <si>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</si>
  <si>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</si>
  <si>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</si>
  <si>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</si>
  <si>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</si>
  <si>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MANDAUE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</si>
  <si>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</si>
  <si>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</si>
  <si>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</si>
  <si>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</si>
  <si>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</si>
  <si>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</si>
  <si>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</si>
  <si>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</si>
  <si>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</si>
  <si>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</si>
  <si>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</si>
  <si>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</si>
  <si>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</si>
  <si>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</si>
  <si>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</si>
  <si>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</si>
  <si>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</si>
  <si>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</si>
  <si>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</si>
  <si>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</si>
  <si>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</si>
  <si>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</si>
  <si>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</si>
  <si>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</si>
  <si>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</si>
  <si>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</si>
  <si>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</si>
  <si>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</si>
  <si>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</si>
  <si>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</si>
  <si>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</si>
  <si>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</si>
  <si>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</si>
  <si>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</si>
  <si>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</si>
  <si>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</si>
  <si>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</si>
  <si>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</si>
  <si>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</si>
  <si>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</si>
  <si>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</si>
  <si>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</si>
  <si>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</si>
  <si>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</si>
  <si>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</si>
  <si>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</si>
  <si>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</si>
  <si>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</si>
  <si>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</si>
  <si>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Account Description</t>
  </si>
  <si>
    <t>Account Code</t>
  </si>
  <si>
    <t>Peso</t>
  </si>
  <si>
    <t>Foreign Regular</t>
  </si>
  <si>
    <t>FCDU/EFCDU</t>
  </si>
  <si>
    <t xml:space="preserve">Total </t>
  </si>
  <si>
    <t>Accounts</t>
  </si>
  <si>
    <t>In US $</t>
  </si>
  <si>
    <t>Peso Equiv.</t>
  </si>
  <si>
    <t>Asset Accounts</t>
  </si>
  <si>
    <t>(1)</t>
  </si>
  <si>
    <t>Cash on Hand</t>
  </si>
  <si>
    <t>(2)</t>
  </si>
  <si>
    <t>Checks and Other Cash Items</t>
  </si>
  <si>
    <t>(3)</t>
  </si>
  <si>
    <t>Due from Bangko Sentral ng Pilipinas</t>
  </si>
  <si>
    <t>(4)</t>
  </si>
  <si>
    <t>Due from Other Banks</t>
  </si>
  <si>
    <t>(5)</t>
  </si>
  <si>
    <t>Financial Assets Held for Trading (HFT)</t>
  </si>
  <si>
    <t>(a)</t>
  </si>
  <si>
    <t>HFT Securities</t>
  </si>
  <si>
    <t>(b)</t>
  </si>
  <si>
    <t>Derivatives with Positive Fair Value Held for Trading</t>
  </si>
  <si>
    <t>(c)</t>
  </si>
  <si>
    <t>Derivatives Carried at Cost</t>
  </si>
  <si>
    <t>(6)</t>
  </si>
  <si>
    <t>Financial Assets Designated at Fair Value through Profit or Loss</t>
  </si>
  <si>
    <t>(7)</t>
  </si>
  <si>
    <t>Available-for-Sale (AFS) Financial Assets</t>
  </si>
  <si>
    <t>(i)</t>
  </si>
  <si>
    <t>AFS Debt Securities</t>
  </si>
  <si>
    <t>Unamortized Discount/Premium</t>
  </si>
  <si>
    <t>AFS-Debt Securities Net of Amortization</t>
  </si>
  <si>
    <t>(ii)</t>
  </si>
  <si>
    <t>AFS Equity Securities</t>
  </si>
  <si>
    <t>Accumulated Market Gains/(Losses)</t>
  </si>
  <si>
    <t>Less : Allowance for Credit Losses</t>
  </si>
  <si>
    <t>AFS Financial Assets - Net</t>
  </si>
  <si>
    <t>(8)</t>
  </si>
  <si>
    <t>Held-to-Maturity (HTM) Financial Assets</t>
  </si>
  <si>
    <t>HTM Financial Assets - Net of Amortization</t>
  </si>
  <si>
    <t>Less: Allowance for Credit Losses</t>
  </si>
  <si>
    <t>HTM Financial Assets - Net</t>
  </si>
  <si>
    <t>(9)</t>
  </si>
  <si>
    <t>Unquoted Debt Securities Classified as Loans</t>
  </si>
  <si>
    <t>Unquoted Debt Securities Classified as Loans - Net</t>
  </si>
  <si>
    <t>(10)</t>
  </si>
  <si>
    <t>Investments in Non-Marketable Equity Securities (INMES)</t>
  </si>
  <si>
    <t>INMES - Net</t>
  </si>
  <si>
    <t>(11)</t>
  </si>
  <si>
    <t>Loans and Receivables</t>
  </si>
  <si>
    <t>Loans to Bangko Sentral ng Pilipinas</t>
  </si>
  <si>
    <t>RACSO'S BANK INC (A RURAL BANK)</t>
  </si>
  <si>
    <t>Maturing within 1 year</t>
  </si>
  <si>
    <t>Maturing beyond 1 year</t>
  </si>
  <si>
    <t xml:space="preserve">Interbank Loans Receivable </t>
  </si>
  <si>
    <t xml:space="preserve">Interbank Loans Receivable-Net </t>
  </si>
  <si>
    <t>Loans and Receivables -Others</t>
  </si>
  <si>
    <t>Less: General Loan Loss Provision (GLLP)</t>
  </si>
  <si>
    <t>(12)</t>
  </si>
  <si>
    <t>Loans and Receivables Arising from Repurchase Agreements, Certificates of Assignment/Participation with Recourse, and Securities Lending and Borrowing Transactions</t>
  </si>
  <si>
    <t>(13)</t>
  </si>
  <si>
    <t>Derivatives with Positive Fair Value Held for Hedging</t>
  </si>
  <si>
    <t>Fair Value Hedges</t>
  </si>
  <si>
    <t>Cash Flow Hedges</t>
  </si>
  <si>
    <t>Hedges of a Net Investment in Foreign Operation</t>
  </si>
  <si>
    <t>(d)</t>
  </si>
  <si>
    <t>Portfolio Hedge of Interest Rate Risk</t>
  </si>
  <si>
    <t>(14)</t>
  </si>
  <si>
    <t>Revaluation of Hedged Assets in Portfolio Hedge of Interest Rate Risk</t>
  </si>
  <si>
    <t>(15)</t>
  </si>
  <si>
    <t>Sales Contract Receivable</t>
  </si>
  <si>
    <t>Performing</t>
  </si>
  <si>
    <t>Non-Performing</t>
  </si>
  <si>
    <t>Sales Contract Receivable - Net</t>
  </si>
  <si>
    <t>(16)</t>
  </si>
  <si>
    <t>Accrued Interest Income from Financial Assets</t>
  </si>
  <si>
    <t>Accrued Interest Income from Financial Assets - Net</t>
  </si>
  <si>
    <t>(17)</t>
  </si>
  <si>
    <t>Equity Investment in Subsidiaries, Associates and Joint Ventures</t>
  </si>
  <si>
    <t>Equity Investment in Subsidiaries, Associates and Joint Ventures - Net</t>
  </si>
  <si>
    <t>(18)</t>
  </si>
  <si>
    <t>Bank Premises, Furniture, Fixture and Equipment</t>
  </si>
  <si>
    <t>Less: Accumulated Depreciation</t>
  </si>
  <si>
    <t>Less: Allowance for Losses</t>
  </si>
  <si>
    <t>Bank Premises, Furniture, Fixture and Equipment - Net</t>
  </si>
  <si>
    <t>(19)</t>
  </si>
  <si>
    <t>Real and Other Properties Acquired</t>
  </si>
  <si>
    <t>Real and Other Properties Acquired - Net</t>
  </si>
  <si>
    <t>(20)</t>
  </si>
  <si>
    <t>Non-Current Assets Held for Sale</t>
  </si>
  <si>
    <t>(21)</t>
  </si>
  <si>
    <t>Goodwill</t>
  </si>
  <si>
    <t>Goodwill - Net</t>
  </si>
  <si>
    <t>(22)</t>
  </si>
  <si>
    <t>Other Intangible Assets</t>
  </si>
  <si>
    <t>Less: Accumulated Amortization</t>
  </si>
  <si>
    <t>Intangible Assets - Net</t>
  </si>
  <si>
    <t>(23)</t>
  </si>
  <si>
    <t>Deferred Tax Asset</t>
  </si>
  <si>
    <t>(24)</t>
  </si>
  <si>
    <t>Other Assets</t>
  </si>
  <si>
    <t>Other Assets - Net</t>
  </si>
  <si>
    <t>(25)</t>
  </si>
  <si>
    <t>Due from Head Office/Branches/Agencies (Philippine branch of a foreign bank)</t>
  </si>
  <si>
    <t>Total Assets</t>
  </si>
  <si>
    <t>Liability Accounts</t>
  </si>
  <si>
    <t>Financial Liabilities Held for Trading</t>
  </si>
  <si>
    <t>Derivatives with Negative Fair Value Held for Trading</t>
  </si>
  <si>
    <t>Liability for Short Position</t>
  </si>
  <si>
    <t>Financial Liabilities Designated at Fair Value through Profit or Loss</t>
  </si>
  <si>
    <t>Deposit Liabilities</t>
  </si>
  <si>
    <t>Demand Deposits</t>
  </si>
  <si>
    <t>Savings Deposits</t>
  </si>
  <si>
    <t>NOW Accounts</t>
  </si>
  <si>
    <t>Time Certificate of Deposits</t>
  </si>
  <si>
    <t>(e)</t>
  </si>
  <si>
    <t>LTNCD</t>
  </si>
  <si>
    <t>Due to Other Banks</t>
  </si>
  <si>
    <t>Bills Payable</t>
  </si>
  <si>
    <t>Bonds Payable</t>
  </si>
  <si>
    <t>Unamortized Bond Discount/Premium</t>
  </si>
  <si>
    <t>Bonds Payable - Net</t>
  </si>
  <si>
    <t>Unsecured Subordinated Debt</t>
  </si>
  <si>
    <t>Unamortized Debt Discount/Premium</t>
  </si>
  <si>
    <t>Unsecured Subordinated Debt - Net</t>
  </si>
  <si>
    <t>Redeemable Preferred Shares</t>
  </si>
  <si>
    <t>Financial Liabilities Associated with Transferred Assets</t>
  </si>
  <si>
    <t>Derivatives with Negative Fair Value Held for Hedging</t>
  </si>
  <si>
    <t>Revaluation of Hedged Liabilities in Portfolio Hedge of Interest Rate Risk</t>
  </si>
  <si>
    <t>Accrued Interest Expense on Financial Liabilities</t>
  </si>
  <si>
    <t>Finance Lease Payment Payable</t>
  </si>
  <si>
    <t>Special Time Deposit</t>
  </si>
  <si>
    <t>Due to Treasurer of the Philippines</t>
  </si>
  <si>
    <t>Treasurer/Cashier/Manager's Checks</t>
  </si>
  <si>
    <t>Payment Orders Payable</t>
  </si>
  <si>
    <t>Margin Deposits on LCs and Customers' Liability on Bills/Drafts under LCs and/or TRs</t>
  </si>
  <si>
    <t>Cash Letters of Credit</t>
  </si>
  <si>
    <t>Outstanding Acceptances Executed by or for Account of this Bank</t>
  </si>
  <si>
    <t>Due to Bangko Sentral ng Pilipinas</t>
  </si>
  <si>
    <t>Due to Philippine Deposit Insurance Corporation</t>
  </si>
  <si>
    <t>Due to Philippine Crop Insurance Corporation</t>
  </si>
  <si>
    <t>Income Tax Payable</t>
  </si>
  <si>
    <t>Other Taxes and Licenses Payable</t>
  </si>
  <si>
    <t>(26)</t>
  </si>
  <si>
    <t>Accrued Expenses</t>
  </si>
  <si>
    <t>(27)</t>
  </si>
  <si>
    <t xml:space="preserve">Unearned Income </t>
  </si>
  <si>
    <t>(28)</t>
  </si>
  <si>
    <t>Deferred Tax Liabilities</t>
  </si>
  <si>
    <t>(29)</t>
  </si>
  <si>
    <t>Provisions</t>
  </si>
  <si>
    <t>Pensions and Other Post Retirement Benefit Obligations</t>
  </si>
  <si>
    <t>Others</t>
  </si>
  <si>
    <t>(30)</t>
  </si>
  <si>
    <t>Other Liabilities</t>
  </si>
  <si>
    <t>(31)</t>
  </si>
  <si>
    <t>Total Liabilities</t>
  </si>
  <si>
    <t>Equity Accounts</t>
  </si>
  <si>
    <t>Common Stock</t>
  </si>
  <si>
    <t>Perpetual and Non-Cumulative Preferred Stock</t>
  </si>
  <si>
    <t>Additional Paid-in Capital</t>
  </si>
  <si>
    <t>Other Equity Instruments</t>
  </si>
  <si>
    <t>Equity Component of Compound Financial Instruments</t>
  </si>
  <si>
    <t>Retained Earnings</t>
  </si>
  <si>
    <t>Retained Earnings Reserve</t>
  </si>
  <si>
    <t>Trust Business</t>
  </si>
  <si>
    <t>Self-insurance</t>
  </si>
  <si>
    <t>(iii)</t>
  </si>
  <si>
    <t>Contingencies</t>
  </si>
  <si>
    <t>(iv)</t>
  </si>
  <si>
    <t>Retained Earnings Free</t>
  </si>
  <si>
    <t>Undivided Profits</t>
  </si>
  <si>
    <t>Other Comprehensive Income</t>
  </si>
  <si>
    <t>Net Unrealized Gains/(Losses) on AFS Financial Assets</t>
  </si>
  <si>
    <t>Debt Securities</t>
  </si>
  <si>
    <t>Equity Securities</t>
  </si>
  <si>
    <t>Gains/(Losses) on Fair Value Adjustment of Hedging Instruments</t>
  </si>
  <si>
    <t>Cash Flow Hedge</t>
  </si>
  <si>
    <t>Hedge of a Net Investment in Foreign Operations</t>
  </si>
  <si>
    <t>Cumulative Foreign Currency Translation</t>
  </si>
  <si>
    <t>Appraisal Increment Reserve</t>
  </si>
  <si>
    <t>Treasury Stock</t>
  </si>
  <si>
    <t>Minority Interest in Subsidiaries (for consolidated report only)</t>
  </si>
  <si>
    <t>Assigned Capital</t>
  </si>
  <si>
    <t>Total Equity</t>
  </si>
  <si>
    <t>Total Liabilities, Minority Interest and Equity</t>
  </si>
  <si>
    <t>Contingent Accounts</t>
  </si>
  <si>
    <t xml:space="preserve"> </t>
  </si>
  <si>
    <t>Income and Expense Accounts</t>
  </si>
  <si>
    <t>Interest Income</t>
  </si>
  <si>
    <t>Interest Expense</t>
  </si>
  <si>
    <t>Provision for Losses on Accrued Interest Income from Financial Assets</t>
  </si>
  <si>
    <t>Net Interest Income</t>
  </si>
  <si>
    <t>Non-Interest Income</t>
  </si>
  <si>
    <t>Dividend Income</t>
  </si>
  <si>
    <t>Fees and Commissions Income</t>
  </si>
  <si>
    <t>Payment Services</t>
  </si>
  <si>
    <t>Intermediation Services</t>
  </si>
  <si>
    <t>Custodianship</t>
  </si>
  <si>
    <t>Underwriting and Securities Dealership</t>
  </si>
  <si>
    <t>Securitization Activities</t>
  </si>
  <si>
    <t>(f)</t>
  </si>
  <si>
    <t>Income from Fiduciary Activities</t>
  </si>
  <si>
    <t>(g)</t>
  </si>
  <si>
    <t>BRIDGEWAY RURAL BANKING CORPORATION</t>
  </si>
  <si>
    <t>Gains/(Losses) on Financial Assets and Liabilities Held for Trading</t>
  </si>
  <si>
    <t>Gains/(Losses) on Financial Assets and Liabilities Designated at Fair Value through Profit or Loss</t>
  </si>
  <si>
    <t>Foreign Exchange Profit/(Loss)</t>
  </si>
  <si>
    <t>Gains/(Losses) from Sale/Redemption/Derecognition of Non-Trading Financial Assets and Liabilities</t>
  </si>
  <si>
    <t>Gains/(Losses) on Fair Value Adjustment in Hedge Accounting</t>
  </si>
  <si>
    <t xml:space="preserve">Gains/(Losses) from Sale/Derecognition of Non-Financial Assets </t>
  </si>
  <si>
    <t>ROPA</t>
  </si>
  <si>
    <t>Other Intangibles</t>
  </si>
  <si>
    <t>Other Income</t>
  </si>
  <si>
    <t>Non-Interest Expense</t>
  </si>
  <si>
    <t>Compensation/Fringe Benefits</t>
  </si>
  <si>
    <t>Taxes and Licenses</t>
  </si>
  <si>
    <t>Other Administrative Expenses</t>
  </si>
  <si>
    <t>Depreciation/Amortization</t>
  </si>
  <si>
    <t>Impairment Losses</t>
  </si>
  <si>
    <t>Investment in Subsidiaries, Associates and Joint Ventures</t>
  </si>
  <si>
    <t>Losses/Recoveries on Financial Assets</t>
  </si>
  <si>
    <t>Bad Debts Written Off</t>
  </si>
  <si>
    <t>Recovery on Charged-Off Assets</t>
  </si>
  <si>
    <t>Net Profit Before Share in the Profit/(Loss) of Unconsolidated Subsidiaries, Associates and Joint Ventures Accounted for Using the Equity Method</t>
  </si>
  <si>
    <t>Share in the Profit/(Loss) of Unconsolidated Subsidiaries, Associates and Joint Ventures Accounted for Using the Equity Method</t>
  </si>
  <si>
    <t>Income Tax Expense</t>
  </si>
  <si>
    <t>Minority Interest in Profit/(Loss) of Subsidiaries (for consolidated report only)</t>
  </si>
  <si>
    <t>Net Profit or Loss</t>
  </si>
  <si>
    <t>$$$</t>
  </si>
  <si>
    <t>x</t>
  </si>
  <si>
    <t>Foreign Offices</t>
  </si>
  <si>
    <t>Balance Sheet</t>
  </si>
  <si>
    <t>Due to Head Office/Branches/Agencies (Philippine branch of a foreign bank)</t>
  </si>
  <si>
    <t>Paid in Capital Stock</t>
  </si>
  <si>
    <t>Perpetual and Cumulative Preferred Stock</t>
  </si>
  <si>
    <t>Income Statement</t>
  </si>
  <si>
    <t>FIRST TAGUM RURAL BANK INC</t>
  </si>
  <si>
    <t>Provision for Credit Losses on Loans and Receivables and Other Financial Assets</t>
  </si>
  <si>
    <t>Share in the Profit/(Loss) of Unconsolidated Subsidiaries</t>
  </si>
  <si>
    <t>Share in the Profit/(Loss) of Associates</t>
  </si>
  <si>
    <t>Share in the Profit/(Loss) of Joint Ventures</t>
  </si>
  <si>
    <t>Total Profit/Loss Before Tax and Before Minority Interest</t>
  </si>
  <si>
    <t xml:space="preserve">Total Profit/Loss After Tax and Before Minority Interest </t>
  </si>
  <si>
    <t>Solo Reports</t>
  </si>
  <si>
    <t>Demand Deposit Account</t>
  </si>
  <si>
    <t>Unamortized Discount and Other Deferred Credits</t>
  </si>
  <si>
    <t>Loans and Receivables - Others - Net of Amortization</t>
  </si>
  <si>
    <t>Stock Dividend Distributable</t>
  </si>
  <si>
    <t>Fees and Commissions Expenses</t>
  </si>
  <si>
    <t xml:space="preserve">Hybrid Tier 1 </t>
  </si>
  <si>
    <t xml:space="preserve">Others </t>
  </si>
  <si>
    <t>(32)</t>
  </si>
  <si>
    <t>Loan Portfolio Net</t>
  </si>
  <si>
    <t>Loans and Receivables Arising from RA/CA/PR/SLB - Net of Specific Allowance for Credit Losses</t>
  </si>
  <si>
    <t>Loans and Receivables -Others - Net of Specific Allowance for Credit Losses</t>
  </si>
  <si>
    <t>Unquoted Debt Securities Classified as Loans -Net of Amortization</t>
  </si>
  <si>
    <t>105050000000000000</t>
  </si>
  <si>
    <t>105100000000000000</t>
  </si>
  <si>
    <t>105150000000000000</t>
  </si>
  <si>
    <t>105150500000000000</t>
  </si>
  <si>
    <t>105152000000000000</t>
  </si>
  <si>
    <t>105200000000000000</t>
  </si>
  <si>
    <t>110000000000000000</t>
  </si>
  <si>
    <t>110050000000000000</t>
  </si>
  <si>
    <t>110100000000000000</t>
  </si>
  <si>
    <t>110150000000000000</t>
  </si>
  <si>
    <t>115000000000000000</t>
  </si>
  <si>
    <t>120000000000000000</t>
  </si>
  <si>
    <t>120001500000000000</t>
  </si>
  <si>
    <t>170050000000000000</t>
  </si>
  <si>
    <t>120001000000000000</t>
  </si>
  <si>
    <t>120002000000000000</t>
  </si>
  <si>
    <t>160200000000000000</t>
  </si>
  <si>
    <t>165200000000000000</t>
  </si>
  <si>
    <t>195200000000000000</t>
  </si>
  <si>
    <t>125000000000000000</t>
  </si>
  <si>
    <t>170250000000000000</t>
  </si>
  <si>
    <t>125001000000000000</t>
  </si>
  <si>
    <t>165250000000000000</t>
  </si>
  <si>
    <t>195250000000000000</t>
  </si>
  <si>
    <t>130000000000000000</t>
  </si>
  <si>
    <t>170300000000000000</t>
  </si>
  <si>
    <t>130001000000000000</t>
  </si>
  <si>
    <t>165300000000000000</t>
  </si>
  <si>
    <t>195300000000000000</t>
  </si>
  <si>
    <t>135000000000000000</t>
  </si>
  <si>
    <t>165350000000000000</t>
  </si>
  <si>
    <t>195350000000000000</t>
  </si>
  <si>
    <t>140000000000000000</t>
  </si>
  <si>
    <t>140050000000000000</t>
  </si>
  <si>
    <t>140050000500000000</t>
  </si>
  <si>
    <t>140050001000000000</t>
  </si>
  <si>
    <t>140100000000000000</t>
  </si>
  <si>
    <t>165100000000000000</t>
  </si>
  <si>
    <t>195401000000000000</t>
  </si>
  <si>
    <t>140150000000000000</t>
  </si>
  <si>
    <t>170350000000000000</t>
  </si>
  <si>
    <t>140150300000000000</t>
  </si>
  <si>
    <t>165150000000000000</t>
  </si>
  <si>
    <t>140150500000000000</t>
  </si>
  <si>
    <t>140200000000000000</t>
  </si>
  <si>
    <t>165180000000000000</t>
  </si>
  <si>
    <t>195402000000000000</t>
  </si>
  <si>
    <t>175150000000000000</t>
  </si>
  <si>
    <t>195400000000000000</t>
  </si>
  <si>
    <t>145050000000000000</t>
  </si>
  <si>
    <t>145051000000000000</t>
  </si>
  <si>
    <t>145052000000000000</t>
  </si>
  <si>
    <t>145053000000000000</t>
  </si>
  <si>
    <t>145054000000000000</t>
  </si>
  <si>
    <t>145100000000000000</t>
  </si>
  <si>
    <t>145150000000000000</t>
  </si>
  <si>
    <t>145151000000000000</t>
  </si>
  <si>
    <t>145152000000000000</t>
  </si>
  <si>
    <t>165451500000000000</t>
  </si>
  <si>
    <t>195451500000000000</t>
  </si>
  <si>
    <t>145200000000000000</t>
  </si>
  <si>
    <t>165452000000000000</t>
  </si>
  <si>
    <t>195452000000000000</t>
  </si>
  <si>
    <t>145250000000000000</t>
  </si>
  <si>
    <t>165452500000000000</t>
  </si>
  <si>
    <t>195452500000000000</t>
  </si>
  <si>
    <t>150050000000000000</t>
  </si>
  <si>
    <t>185050000000000000</t>
  </si>
  <si>
    <t>180050000000000000</t>
  </si>
  <si>
    <t>195500500000000000</t>
  </si>
  <si>
    <t>150100000000000000</t>
  </si>
  <si>
    <t>185100000000000000</t>
  </si>
  <si>
    <t>180100000000000000</t>
  </si>
  <si>
    <t>195501000000000000</t>
  </si>
  <si>
    <t>150150000000000000</t>
  </si>
  <si>
    <t>150200000000000000</t>
  </si>
  <si>
    <t>180200000000000000</t>
  </si>
  <si>
    <t>195502000000000000</t>
  </si>
  <si>
    <t>150250000000000000</t>
  </si>
  <si>
    <t>190250000000000000</t>
  </si>
  <si>
    <t>180250000000000000</t>
  </si>
  <si>
    <t>195502500000000000</t>
  </si>
  <si>
    <t>155050000000000000</t>
  </si>
  <si>
    <t>155100000000000000</t>
  </si>
  <si>
    <t>180300000000000000</t>
  </si>
  <si>
    <t>195551000000000000</t>
  </si>
  <si>
    <t>155250000000000000</t>
  </si>
  <si>
    <t>155300000000000000</t>
  </si>
  <si>
    <t>100000000000000000</t>
  </si>
  <si>
    <t>205000000000000000</t>
  </si>
  <si>
    <t>205050000000000000</t>
  </si>
  <si>
    <t>205100000000000000</t>
  </si>
  <si>
    <t>210000000000000000</t>
  </si>
  <si>
    <t>215000000000000000</t>
  </si>
  <si>
    <t>215050000000000000</t>
  </si>
  <si>
    <t>215100000000000000</t>
  </si>
  <si>
    <t>215200000000000000</t>
  </si>
  <si>
    <t>215150000000000000</t>
  </si>
  <si>
    <t>215250000000000000</t>
  </si>
  <si>
    <t>220050000000000000</t>
  </si>
  <si>
    <t>220100000000000000</t>
  </si>
  <si>
    <t>220150000000000000</t>
  </si>
  <si>
    <t>235150000000000000</t>
  </si>
  <si>
    <t>295201500000000000</t>
  </si>
  <si>
    <t>220200000000000000</t>
  </si>
  <si>
    <t>235200000000000000</t>
  </si>
  <si>
    <t>295202000000000000</t>
  </si>
  <si>
    <t>220250000000000000</t>
  </si>
  <si>
    <t>225050000000000000</t>
  </si>
  <si>
    <t>225100000000000000</t>
  </si>
  <si>
    <t>225101000000000000</t>
  </si>
  <si>
    <t>225102000000000000</t>
  </si>
  <si>
    <t>225103000000000000</t>
  </si>
  <si>
    <t>225104000000000000</t>
  </si>
  <si>
    <t>225150000000000000</t>
  </si>
  <si>
    <t>225200000000000000</t>
  </si>
  <si>
    <t>225250000000000000</t>
  </si>
  <si>
    <t>220300000000000000</t>
  </si>
  <si>
    <t>230050000000000000</t>
  </si>
  <si>
    <t>230100000000000000</t>
  </si>
  <si>
    <t>230150000000000000</t>
  </si>
  <si>
    <t>230200000000000000</t>
  </si>
  <si>
    <t>230250000000000000</t>
  </si>
  <si>
    <t>230300000000000000</t>
  </si>
  <si>
    <t>230350000000000000</t>
  </si>
  <si>
    <t>230400000000000000</t>
  </si>
  <si>
    <t>230450000000000000</t>
  </si>
  <si>
    <t>230500000000000000</t>
  </si>
  <si>
    <t>230550000000000000</t>
  </si>
  <si>
    <t>230600000000000000</t>
  </si>
  <si>
    <t>230650000000000000</t>
  </si>
  <si>
    <t>230700000000000000</t>
  </si>
  <si>
    <t>230750000000000000</t>
  </si>
  <si>
    <t>230751000000000000</t>
  </si>
  <si>
    <t>230759000000000000</t>
  </si>
  <si>
    <t>230800000000000000</t>
  </si>
  <si>
    <t>230850000000000000</t>
  </si>
  <si>
    <t>230900000000000000</t>
  </si>
  <si>
    <t>200000000000000000</t>
  </si>
  <si>
    <t>305000000000000000</t>
  </si>
  <si>
    <t>305050000000000000</t>
  </si>
  <si>
    <t>305100000000000000</t>
  </si>
  <si>
    <t>305150000000000000</t>
  </si>
  <si>
    <t>305200000000000000</t>
  </si>
  <si>
    <t>310000000000000000</t>
  </si>
  <si>
    <t>310030000000000000</t>
  </si>
  <si>
    <t>310050000000000000</t>
  </si>
  <si>
    <t>310900000000000000</t>
  </si>
  <si>
    <t>315000000000000000</t>
  </si>
  <si>
    <t>315050000000000000</t>
  </si>
  <si>
    <t>315051000000000000</t>
  </si>
  <si>
    <t>315052000000000000</t>
  </si>
  <si>
    <t>315053000000000000</t>
  </si>
  <si>
    <t>315059000000000000</t>
  </si>
  <si>
    <t>315100000000000000</t>
  </si>
  <si>
    <t>315120000000000000</t>
  </si>
  <si>
    <t>315150000000000000</t>
  </si>
  <si>
    <t>320000000000000000</t>
  </si>
  <si>
    <t>320050000000000000</t>
  </si>
  <si>
    <t>320051000000000000</t>
  </si>
  <si>
    <t>320052000000000000</t>
  </si>
  <si>
    <t>320100000000000000</t>
  </si>
  <si>
    <t>320101000000000000</t>
  </si>
  <si>
    <t>320102000000000000</t>
  </si>
  <si>
    <t>320150000000000000</t>
  </si>
  <si>
    <t>320900000000000000</t>
  </si>
  <si>
    <t>325050000000000000</t>
  </si>
  <si>
    <t>325100000000000000</t>
  </si>
  <si>
    <t>325150000000000000</t>
  </si>
  <si>
    <t>325200000000000000</t>
  </si>
  <si>
    <t>300000000000000000</t>
  </si>
  <si>
    <t>900000000000000000</t>
  </si>
  <si>
    <t>400000000000000000</t>
  </si>
  <si>
    <t>505050000000000000</t>
  </si>
  <si>
    <t>605100000000000000</t>
  </si>
  <si>
    <t>605150000000000000</t>
  </si>
  <si>
    <t>505000000000000000</t>
  </si>
  <si>
    <t>510000000000000000</t>
  </si>
  <si>
    <t>510050000000000000</t>
  </si>
  <si>
    <t>510100000000000000</t>
  </si>
  <si>
    <t>510101000000000000</t>
  </si>
  <si>
    <t>510102000000000000</t>
  </si>
  <si>
    <t>510103000000000000</t>
  </si>
  <si>
    <t>510104000000000000</t>
  </si>
  <si>
    <t>510105000000000000</t>
  </si>
  <si>
    <t>510106000000000000</t>
  </si>
  <si>
    <t>510109000000000000</t>
  </si>
  <si>
    <t>510150000000000000</t>
  </si>
  <si>
    <t>510200000000000000</t>
  </si>
  <si>
    <t>510250000000000000</t>
  </si>
  <si>
    <t>510300000000000000</t>
  </si>
  <si>
    <t>510350000000000000</t>
  </si>
  <si>
    <t>510400000000000000</t>
  </si>
  <si>
    <t>510402000000000000</t>
  </si>
  <si>
    <t>510403000000000000</t>
  </si>
  <si>
    <t>510404000000000000</t>
  </si>
  <si>
    <t>510409000000000000</t>
  </si>
  <si>
    <t>510450000000000000</t>
  </si>
  <si>
    <t>610000000000000000</t>
  </si>
  <si>
    <t>610050000000000000</t>
  </si>
  <si>
    <t>610100000000000000</t>
  </si>
  <si>
    <t>610130000000000000</t>
  </si>
  <si>
    <t>610150000000000000</t>
  </si>
  <si>
    <t>610200000000000000</t>
  </si>
  <si>
    <t>610250000000000000</t>
  </si>
  <si>
    <t>610251000000000000</t>
  </si>
  <si>
    <t>610252000000000000</t>
  </si>
  <si>
    <t>610253000000000000</t>
  </si>
  <si>
    <t>610254000000000000</t>
  </si>
  <si>
    <t>610259000000000000</t>
  </si>
  <si>
    <t>610259500000000000</t>
  </si>
  <si>
    <t>610300000000000000</t>
  </si>
  <si>
    <t>700000000000000000</t>
  </si>
  <si>
    <t>700050000000000000</t>
  </si>
  <si>
    <t>700100000000000000</t>
  </si>
  <si>
    <t>700150000000000000</t>
  </si>
  <si>
    <t>905000000000000000</t>
  </si>
  <si>
    <t>805000000000000000</t>
  </si>
  <si>
    <t>805050000000000000</t>
  </si>
  <si>
    <t>805100000000000000</t>
  </si>
  <si>
    <t>805150000000000000</t>
  </si>
  <si>
    <t>910000000000000000</t>
  </si>
  <si>
    <t>615000000000000000</t>
  </si>
  <si>
    <t>915000000000000000</t>
  </si>
  <si>
    <t>810000000000000000</t>
  </si>
  <si>
    <t>920000000000000000</t>
  </si>
  <si>
    <t>170450000000000000</t>
  </si>
  <si>
    <t>145153000000000000</t>
  </si>
  <si>
    <t>Due to FCDU/RBU</t>
  </si>
  <si>
    <t>Due from FCDU/RBU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</si>
  <si>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</si>
  <si>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</si>
  <si>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</si>
  <si>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</si>
  <si>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</si>
  <si>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</si>
  <si>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</si>
  <si>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</si>
  <si>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</si>
  <si>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</si>
  <si>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</si>
  <si>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</si>
  <si>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</si>
  <si>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</si>
  <si>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</si>
  <si>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</si>
  <si>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</si>
  <si>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</si>
  <si>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</si>
  <si>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</si>
  <si>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</si>
  <si>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</si>
  <si>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</si>
  <si>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</si>
  <si>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</si>
  <si>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</si>
  <si>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</si>
  <si>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</si>
  <si>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</si>
  <si>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</si>
  <si>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</si>
  <si>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</si>
  <si>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</si>
  <si>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</si>
  <si>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</si>
  <si>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</si>
  <si>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</si>
  <si>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</si>
  <si>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</si>
  <si>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</si>
  <si>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</si>
  <si>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</si>
  <si>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</si>
  <si>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</si>
  <si>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</si>
  <si>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</si>
  <si>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</si>
  <si>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</si>
  <si>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</si>
  <si>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</si>
  <si>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</si>
  <si>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</si>
  <si>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</si>
  <si>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</si>
  <si>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</si>
  <si>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</si>
  <si>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</si>
  <si>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</si>
  <si>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</si>
  <si>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</si>
  <si>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</si>
  <si>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</si>
  <si>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</si>
  <si>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</si>
  <si>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</si>
  <si>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</si>
  <si>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</si>
  <si>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</si>
  <si>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</si>
  <si>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</si>
  <si>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</si>
  <si>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</si>
  <si>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</si>
  <si>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</si>
  <si>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</si>
  <si>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</si>
  <si>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</si>
  <si>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</si>
  <si>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</si>
  <si>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</si>
  <si>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</si>
  <si>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</si>
  <si>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</si>
  <si>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</si>
  <si>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</si>
  <si>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</si>
  <si>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</si>
  <si>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</si>
  <si>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</si>
  <si>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</si>
  <si>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</si>
  <si>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</si>
  <si>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</si>
  <si>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</si>
  <si>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</si>
  <si>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</si>
  <si>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</si>
  <si>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</si>
  <si>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</si>
  <si>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</si>
  <si>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</si>
  <si>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</si>
  <si>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</si>
  <si>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</si>
  <si>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</si>
  <si>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</si>
  <si>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</si>
  <si>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</si>
  <si>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</si>
  <si>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</si>
  <si>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</si>
  <si>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</si>
  <si>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</si>
  <si>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</si>
  <si>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</si>
  <si>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</si>
  <si>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</si>
  <si>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</si>
  <si>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</si>
  <si>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</si>
  <si>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</si>
  <si>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</si>
  <si>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</si>
  <si>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</si>
  <si>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</si>
  <si>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</si>
  <si>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</si>
  <si>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</si>
  <si>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COOP BANK OF MISAMIS ORIENTAL</t>
  </si>
  <si>
    <t>AURORABANK (A MF-ORIENTED RB) INC</t>
  </si>
  <si>
    <t>610253500000000000</t>
  </si>
  <si>
    <t>180150000000000000</t>
  </si>
  <si>
    <t>Non-Current Assets Held for Sale - Net</t>
  </si>
  <si>
    <t>150150000000000001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</si>
  <si>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</si>
  <si>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</si>
  <si>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</si>
  <si>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</si>
  <si>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</si>
  <si>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</si>
  <si>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</si>
  <si>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RBG IMPERIAL BANK INC(A RURAL BANK)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</si>
  <si>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</si>
  <si>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</si>
  <si>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</si>
  <si>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</si>
  <si>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</si>
  <si>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</si>
  <si>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</si>
  <si>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</si>
  <si>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</si>
  <si>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</si>
  <si>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</si>
  <si>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</si>
  <si>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</si>
  <si>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</si>
  <si>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</si>
  <si>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</si>
  <si>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</si>
  <si>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</si>
  <si>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</si>
  <si>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</si>
  <si>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</si>
  <si>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</si>
  <si>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</si>
  <si>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</si>
  <si>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</si>
  <si>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</si>
  <si>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</si>
  <si>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</si>
  <si>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</si>
  <si>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</si>
  <si>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</si>
  <si>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</si>
  <si>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</si>
  <si>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</si>
  <si>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</si>
  <si>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</si>
  <si>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</si>
  <si>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</si>
  <si>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</si>
  <si>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</si>
  <si>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</si>
  <si>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</si>
  <si>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</si>
  <si>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</si>
  <si>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</si>
  <si>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</si>
  <si>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</si>
  <si>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</si>
  <si>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</si>
  <si>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</si>
  <si>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</si>
  <si>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</si>
  <si>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</si>
  <si>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</si>
  <si>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</si>
  <si>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</si>
  <si>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</si>
  <si>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</si>
  <si>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</si>
  <si>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</si>
  <si>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</si>
  <si>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</si>
  <si>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</si>
  <si>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</si>
  <si>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</si>
  <si>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</si>
  <si>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</si>
  <si>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</si>
  <si>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</si>
  <si>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</si>
  <si>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</si>
  <si>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</si>
  <si>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</si>
  <si>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</si>
  <si>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</si>
  <si>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</si>
  <si>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</si>
  <si>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</si>
  <si>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</si>
  <si>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</si>
  <si>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</si>
  <si>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</si>
  <si>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</si>
  <si>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</si>
  <si>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</si>
  <si>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</si>
  <si>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</si>
  <si>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</si>
  <si>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</si>
  <si>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</si>
  <si>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</si>
  <si>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</si>
  <si>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</si>
  <si>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</si>
  <si>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</si>
  <si>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</si>
  <si>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</si>
  <si>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</si>
  <si>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</si>
  <si>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</si>
  <si>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</si>
  <si>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</si>
  <si>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</si>
  <si>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</si>
  <si>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</si>
  <si>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</si>
  <si>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</si>
  <si>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</si>
  <si>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</si>
  <si>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</si>
  <si>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</si>
  <si>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</si>
  <si>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</si>
  <si>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</si>
  <si>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</si>
  <si>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</si>
  <si>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</si>
  <si>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</si>
  <si>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</si>
  <si>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</si>
  <si>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</si>
  <si>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</si>
  <si>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</si>
  <si>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</si>
  <si>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</si>
  <si>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</si>
  <si>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</si>
  <si>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</si>
  <si>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</si>
  <si>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</si>
  <si>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</si>
  <si>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</si>
  <si>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</si>
  <si>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</si>
  <si>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</si>
  <si>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</si>
  <si>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</si>
  <si>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</si>
  <si>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</si>
  <si>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</si>
  <si>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</si>
  <si>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</si>
  <si>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</si>
  <si>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</si>
  <si>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</si>
  <si>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</si>
  <si>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</si>
  <si>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</si>
  <si>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</si>
  <si>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</si>
  <si>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</si>
  <si>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</si>
  <si>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</si>
  <si>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</si>
  <si>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</si>
  <si>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</si>
  <si>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</si>
  <si>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</si>
  <si>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</si>
  <si>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</si>
  <si>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</si>
  <si>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</si>
  <si>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</si>
  <si>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</si>
  <si>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</si>
  <si>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</si>
  <si>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</si>
  <si>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</si>
  <si>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</si>
  <si>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</si>
  <si>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</si>
  <si>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</si>
  <si>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</si>
  <si>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</si>
  <si>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</si>
  <si>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</si>
  <si>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</si>
  <si>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</si>
  <si>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</si>
  <si>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</si>
  <si>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</si>
  <si>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</si>
  <si>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</si>
  <si>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</si>
  <si>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</si>
  <si>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</si>
  <si>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</si>
  <si>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</si>
  <si>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</si>
  <si>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</si>
  <si>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</si>
  <si>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</si>
  <si>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</si>
  <si>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</si>
  <si>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</si>
  <si>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</si>
  <si>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</si>
  <si>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</si>
  <si>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</si>
  <si>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</si>
  <si>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</si>
  <si>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</si>
  <si>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</si>
  <si>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</si>
  <si>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</si>
  <si>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</si>
  <si>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</si>
  <si>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</si>
  <si>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</si>
  <si>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</si>
  <si>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</si>
  <si>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</si>
  <si>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</si>
  <si>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</si>
  <si>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</si>
  <si>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</si>
  <si>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</si>
  <si>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</si>
  <si>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</si>
  <si>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</si>
  <si>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</si>
  <si>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</si>
  <si>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</si>
  <si>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</si>
  <si>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</si>
  <si>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</si>
  <si>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</si>
  <si>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</si>
  <si>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</si>
  <si>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</si>
  <si>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</si>
  <si>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</si>
  <si>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</si>
  <si>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</si>
  <si>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</si>
  <si>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</si>
  <si>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</si>
  <si>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</si>
  <si>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</si>
  <si>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</si>
  <si>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</si>
  <si>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</si>
  <si>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</si>
  <si>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</si>
  <si>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</si>
  <si>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</si>
  <si>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</si>
  <si>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</si>
  <si>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</si>
  <si>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</si>
  <si>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</si>
  <si>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</si>
  <si>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</si>
  <si>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</si>
  <si>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</si>
  <si>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</si>
  <si>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</si>
  <si>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</si>
  <si>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</si>
  <si>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</si>
  <si>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</si>
  <si>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</si>
  <si>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</si>
  <si>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</si>
  <si>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</si>
  <si>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</si>
  <si>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</si>
  <si>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</si>
  <si>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</si>
  <si>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</si>
  <si>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</si>
  <si>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</si>
  <si>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</si>
  <si>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</si>
  <si>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</si>
  <si>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</si>
  <si>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</si>
  <si>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</si>
  <si>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</si>
  <si>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</si>
  <si>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</si>
  <si>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</si>
  <si>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</si>
  <si>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</si>
  <si>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</si>
  <si>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</si>
  <si>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</si>
  <si>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</si>
  <si>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</si>
  <si>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</si>
  <si>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</si>
  <si>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</si>
  <si>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</si>
  <si>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</si>
  <si>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</si>
  <si>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</si>
  <si>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</si>
  <si>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</si>
  <si>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</si>
  <si>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</si>
  <si>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</si>
  <si>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</si>
  <si>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</si>
  <si>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</si>
  <si>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</si>
  <si>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</si>
  <si>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</si>
  <si>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</si>
  <si>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</si>
  <si>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</si>
  <si>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Deposits for Stock Subscription</t>
  </si>
  <si>
    <t>305250000000000000</t>
  </si>
  <si>
    <t>SOCSIE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</si>
  <si>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</si>
  <si>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</si>
  <si>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</si>
  <si>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</si>
  <si>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</si>
  <si>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</si>
  <si>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</si>
  <si>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</si>
  <si>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</si>
  <si>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</si>
  <si>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</si>
  <si>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</si>
  <si>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</si>
  <si>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Sales Contract Receivable - Net of Amortization</t>
  </si>
  <si>
    <t>Income from Securities Brokering Activities</t>
  </si>
  <si>
    <t>510104500000000000</t>
  </si>
  <si>
    <t>(h)</t>
  </si>
  <si>
    <t>Broker Customer Accounts for Settlement of Customer Trades</t>
  </si>
  <si>
    <t>230780000000000000</t>
  </si>
  <si>
    <t>(33)</t>
  </si>
  <si>
    <t>v12.1</t>
  </si>
  <si>
    <t>Overnight Deposit Account</t>
  </si>
  <si>
    <t>Term Deposit Account</t>
  </si>
  <si>
    <t>105150700000000000</t>
  </si>
  <si>
    <t>105150900000000000</t>
  </si>
  <si>
    <t>NEW RURAL BANK OF SAN LEONARDO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</si>
</sst>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13" x14ac:knownFonts="1">
    <font>
      <sz val="10"/>
      <name val="Arial"/>
    </font>
    <font>
      <b/>
      <sz val="8"/>
      <name val="Arial"/>
      <family val="2"/>
    </font>
    <font>
      <i/>
      <sz val="8"/>
      <color indexed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48"/>
      <name val="Arial"/>
      <family val="2"/>
    </font>
    <font>
      <sz val="8"/>
      <color indexed="12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sz val="8"/>
      <color indexed="23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sz val="10"/>
      <color indexed="1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13">
    <xf numFmtId="0" fontId="0" fillId="0" borderId="0" xfId="0"/>
    <xf numFmtId="0" fontId="0" fillId="2" borderId="0" xfId="0" applyFill="1"/>
    <xf numFmtId="0" fontId="5" fillId="2" borderId="0" xfId="0" applyFont="1" applyFill="1"/>
    <xf numFmtId="0" fontId="0" fillId="2" borderId="0" xfId="0" applyFill="1" applyProtection="1">
      <protection locked="0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4" fontId="3" fillId="0" borderId="0" xfId="0" applyNumberFormat="1" applyFont="1" applyBorder="1" applyAlignment="1" applyProtection="1">
      <alignment vertical="top"/>
      <protection hidden="1"/>
    </xf>
    <xf numFmtId="0" fontId="3" fillId="0" borderId="0" xfId="0" applyFont="1" applyBorder="1" applyProtection="1">
      <protection hidden="1"/>
    </xf>
    <xf numFmtId="0" fontId="3" fillId="0" borderId="0" xfId="0" applyFont="1" applyBorder="1" applyAlignment="1" applyProtection="1">
      <alignment vertical="center" wrapText="1"/>
      <protection hidden="1"/>
    </xf>
    <xf numFmtId="1" fontId="3" fillId="0" borderId="0" xfId="0" applyNumberFormat="1" applyFont="1" applyFill="1" applyBorder="1" applyAlignment="1" applyProtection="1">
      <alignment horizontal="center" vertical="top"/>
      <protection hidden="1"/>
    </xf>
    <xf numFmtId="1" fontId="3" fillId="0" borderId="0" xfId="0" applyNumberFormat="1" applyFont="1" applyFill="1" applyBorder="1" applyAlignment="1" applyProtection="1">
      <alignment horizontal="right" vertical="top"/>
      <protection hidden="1"/>
    </xf>
    <xf numFmtId="2" fontId="3" fillId="0" borderId="0" xfId="0" applyNumberFormat="1" applyFont="1" applyBorder="1" applyAlignment="1" applyProtection="1">
      <alignment vertical="top"/>
      <protection hidden="1"/>
    </xf>
    <xf numFmtId="0" fontId="3" fillId="0" borderId="0" xfId="0" applyFont="1" applyBorder="1" applyAlignment="1" applyProtection="1">
      <alignment vertical="top"/>
      <protection hidden="1"/>
    </xf>
    <xf numFmtId="0" fontId="3" fillId="0" borderId="0" xfId="0" quotePrefix="1" applyFont="1" applyFill="1" applyBorder="1" applyAlignment="1" applyProtection="1">
      <alignment vertical="top"/>
      <protection hidden="1"/>
    </xf>
    <xf numFmtId="0" fontId="3" fillId="0" borderId="0" xfId="0" applyFont="1" applyFill="1" applyBorder="1" applyAlignment="1" applyProtection="1">
      <alignment vertical="top"/>
      <protection hidden="1"/>
    </xf>
    <xf numFmtId="1" fontId="3" fillId="0" borderId="0" xfId="0" applyNumberFormat="1" applyFont="1" applyBorder="1" applyAlignment="1" applyProtection="1">
      <alignment vertical="top"/>
      <protection hidden="1"/>
    </xf>
    <xf numFmtId="0" fontId="3" fillId="0" borderId="0" xfId="0" applyFont="1" applyFill="1" applyBorder="1" applyAlignment="1" applyProtection="1">
      <alignment horizontal="left" vertical="top" wrapText="1"/>
      <protection hidden="1"/>
    </xf>
    <xf numFmtId="0" fontId="2" fillId="0" borderId="0" xfId="0" applyFont="1" applyFill="1" applyBorder="1" applyAlignment="1" applyProtection="1">
      <alignment vertical="top"/>
      <protection hidden="1"/>
    </xf>
    <xf numFmtId="0" fontId="3" fillId="3" borderId="0" xfId="0" applyFont="1" applyFill="1" applyBorder="1" applyAlignment="1" applyProtection="1">
      <alignment vertical="top"/>
      <protection hidden="1"/>
    </xf>
    <xf numFmtId="1" fontId="7" fillId="0" borderId="0" xfId="0" applyNumberFormat="1" applyFont="1" applyFill="1" applyBorder="1" applyAlignment="1" applyProtection="1">
      <alignment horizontal="center" vertical="top"/>
      <protection hidden="1"/>
    </xf>
    <xf numFmtId="4" fontId="6" fillId="0" borderId="0" xfId="0" applyNumberFormat="1" applyFont="1" applyBorder="1" applyProtection="1">
      <protection hidden="1"/>
    </xf>
    <xf numFmtId="0" fontId="3" fillId="0" borderId="0" xfId="0" applyFont="1" applyFill="1" applyBorder="1" applyProtection="1">
      <protection hidden="1"/>
    </xf>
    <xf numFmtId="1" fontId="3" fillId="0" borderId="0" xfId="0" applyNumberFormat="1" applyFont="1" applyFill="1" applyBorder="1" applyAlignment="1" applyProtection="1">
      <alignment horizontal="center"/>
      <protection hidden="1"/>
    </xf>
    <xf numFmtId="1" fontId="3" fillId="0" borderId="0" xfId="0" applyNumberFormat="1" applyFont="1" applyFill="1" applyBorder="1" applyAlignment="1" applyProtection="1">
      <alignment horizontal="right"/>
      <protection hidden="1"/>
    </xf>
    <xf numFmtId="0" fontId="1" fillId="0" borderId="2" xfId="0" applyFont="1" applyFill="1" applyBorder="1" applyAlignment="1" applyProtection="1">
      <alignment horizontal="center" vertical="center" wrapText="1"/>
      <protection hidden="1"/>
    </xf>
    <xf numFmtId="1" fontId="1" fillId="0" borderId="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2" xfId="0" applyNumberFormat="1" applyFont="1" applyFill="1" applyBorder="1" applyAlignment="1" applyProtection="1">
      <alignment horizontal="center" vertical="top"/>
      <protection hidden="1"/>
    </xf>
    <xf numFmtId="1" fontId="3" fillId="0" borderId="2" xfId="0" applyNumberFormat="1" applyFont="1" applyFill="1" applyBorder="1" applyAlignment="1" applyProtection="1">
      <alignment horizontal="right" vertical="top"/>
      <protection hidden="1"/>
    </xf>
    <xf numFmtId="4" fontId="3" fillId="0" borderId="2" xfId="0" applyNumberFormat="1" applyFont="1" applyBorder="1" applyAlignment="1" applyProtection="1">
      <alignment horizontal="center" vertical="top"/>
      <protection hidden="1"/>
    </xf>
    <xf numFmtId="4" fontId="6" fillId="0" borderId="2" xfId="0" applyNumberFormat="1" applyFont="1" applyBorder="1" applyAlignment="1" applyProtection="1">
      <alignment horizontal="center" vertical="top"/>
      <protection hidden="1"/>
    </xf>
    <xf numFmtId="0" fontId="3" fillId="0" borderId="2" xfId="0" applyFont="1" applyFill="1" applyBorder="1" applyAlignment="1" applyProtection="1">
      <alignment vertical="top"/>
      <protection hidden="1"/>
    </xf>
    <xf numFmtId="0" fontId="3" fillId="0" borderId="2" xfId="0" applyFont="1" applyFill="1" applyBorder="1" applyAlignment="1" applyProtection="1">
      <alignment horizontal="left" vertical="top" wrapText="1"/>
      <protection hidden="1"/>
    </xf>
    <xf numFmtId="0" fontId="2" fillId="0" borderId="2" xfId="0" applyFont="1" applyFill="1" applyBorder="1" applyAlignment="1" applyProtection="1">
      <alignment vertical="top"/>
      <protection hidden="1"/>
    </xf>
    <xf numFmtId="0" fontId="3" fillId="0" borderId="2" xfId="0" applyFont="1" applyFill="1" applyBorder="1" applyAlignment="1" applyProtection="1">
      <alignment horizontal="left" vertical="top"/>
      <protection hidden="1"/>
    </xf>
    <xf numFmtId="0" fontId="1" fillId="0" borderId="2" xfId="0" applyFont="1" applyFill="1" applyBorder="1" applyAlignment="1" applyProtection="1">
      <alignment vertical="top"/>
      <protection hidden="1"/>
    </xf>
    <xf numFmtId="49" fontId="3" fillId="0" borderId="2" xfId="0" applyNumberFormat="1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Alignment="1" applyProtection="1">
      <alignment vertical="top"/>
      <protection hidden="1"/>
    </xf>
    <xf numFmtId="0" fontId="3" fillId="0" borderId="1" xfId="0" applyFont="1" applyFill="1" applyBorder="1" applyAlignment="1" applyProtection="1">
      <alignment horizontal="left" vertical="top" wrapText="1"/>
      <protection hidden="1"/>
    </xf>
    <xf numFmtId="0" fontId="2" fillId="0" borderId="1" xfId="0" applyFont="1" applyFill="1" applyBorder="1" applyAlignment="1" applyProtection="1">
      <alignment vertical="top"/>
      <protection hidden="1"/>
    </xf>
    <xf numFmtId="0" fontId="3" fillId="0" borderId="1" xfId="0" applyFont="1" applyFill="1" applyBorder="1" applyAlignment="1" applyProtection="1">
      <alignment horizontal="left" vertical="top"/>
      <protection hidden="1"/>
    </xf>
    <xf numFmtId="49" fontId="3" fillId="0" borderId="1" xfId="0" applyNumberFormat="1" applyFont="1" applyFill="1" applyBorder="1" applyAlignment="1" applyProtection="1">
      <alignment horizontal="left" vertical="top" wrapText="1"/>
      <protection hidden="1"/>
    </xf>
    <xf numFmtId="0" fontId="3" fillId="0" borderId="3" xfId="0" applyFont="1" applyFill="1" applyBorder="1" applyAlignment="1" applyProtection="1">
      <alignment vertical="top"/>
      <protection hidden="1"/>
    </xf>
    <xf numFmtId="0" fontId="3" fillId="0" borderId="4" xfId="0" quotePrefix="1" applyFont="1" applyFill="1" applyBorder="1" applyAlignment="1" applyProtection="1">
      <alignment vertical="top"/>
      <protection hidden="1"/>
    </xf>
    <xf numFmtId="0" fontId="3" fillId="0" borderId="5" xfId="0" applyFont="1" applyFill="1" applyBorder="1" applyAlignment="1" applyProtection="1">
      <alignment vertical="top"/>
      <protection hidden="1"/>
    </xf>
    <xf numFmtId="0" fontId="3" fillId="0" borderId="6" xfId="0" applyFont="1" applyFill="1" applyBorder="1" applyAlignment="1" applyProtection="1">
      <alignment vertical="top"/>
      <protection hidden="1"/>
    </xf>
    <xf numFmtId="0" fontId="3" fillId="0" borderId="7" xfId="0" quotePrefix="1" applyFont="1" applyFill="1" applyBorder="1" applyAlignment="1" applyProtection="1">
      <alignment vertical="top"/>
      <protection hidden="1"/>
    </xf>
    <xf numFmtId="0" fontId="3" fillId="0" borderId="8" xfId="0" applyFont="1" applyFill="1" applyBorder="1" applyAlignment="1" applyProtection="1">
      <alignment vertical="top"/>
      <protection hidden="1"/>
    </xf>
    <xf numFmtId="0" fontId="3" fillId="0" borderId="8" xfId="0" applyFont="1" applyFill="1" applyBorder="1" applyAlignment="1" applyProtection="1">
      <alignment horizontal="left" vertical="top" wrapText="1"/>
      <protection hidden="1"/>
    </xf>
    <xf numFmtId="0" fontId="2" fillId="0" borderId="8" xfId="0" applyFont="1" applyFill="1" applyBorder="1" applyAlignment="1" applyProtection="1">
      <alignment vertical="top"/>
      <protection hidden="1"/>
    </xf>
    <xf numFmtId="0" fontId="3" fillId="0" borderId="7" xfId="0" applyFont="1" applyFill="1" applyBorder="1" applyAlignment="1" applyProtection="1">
      <alignment vertical="top"/>
      <protection hidden="1"/>
    </xf>
    <xf numFmtId="0" fontId="1" fillId="0" borderId="7" xfId="0" applyFont="1" applyFill="1" applyBorder="1" applyAlignment="1" applyProtection="1">
      <alignment vertical="top"/>
      <protection hidden="1"/>
    </xf>
    <xf numFmtId="0" fontId="1" fillId="0" borderId="9" xfId="0" applyFont="1" applyFill="1" applyBorder="1" applyAlignment="1" applyProtection="1">
      <alignment vertical="top"/>
      <protection hidden="1"/>
    </xf>
    <xf numFmtId="0" fontId="3" fillId="0" borderId="10" xfId="0" applyFont="1" applyFill="1" applyBorder="1" applyAlignment="1" applyProtection="1">
      <alignment vertical="top"/>
      <protection hidden="1"/>
    </xf>
    <xf numFmtId="0" fontId="3" fillId="0" borderId="11" xfId="0" applyFont="1" applyFill="1" applyBorder="1" applyAlignment="1" applyProtection="1">
      <alignment vertical="top"/>
      <protection hidden="1"/>
    </xf>
    <xf numFmtId="0" fontId="3" fillId="0" borderId="12" xfId="0" quotePrefix="1" applyFont="1" applyFill="1" applyBorder="1" applyAlignment="1" applyProtection="1">
      <alignment vertical="top"/>
      <protection hidden="1"/>
    </xf>
    <xf numFmtId="0" fontId="3" fillId="0" borderId="13" xfId="0" applyFont="1" applyFill="1" applyBorder="1" applyAlignment="1" applyProtection="1">
      <alignment vertical="top"/>
      <protection hidden="1"/>
    </xf>
    <xf numFmtId="0" fontId="3" fillId="0" borderId="13" xfId="0" applyFont="1" applyFill="1" applyBorder="1" applyAlignment="1" applyProtection="1">
      <alignment horizontal="left" vertical="top" wrapText="1"/>
      <protection hidden="1"/>
    </xf>
    <xf numFmtId="0" fontId="2" fillId="0" borderId="13" xfId="0" applyFont="1" applyFill="1" applyBorder="1" applyAlignment="1" applyProtection="1">
      <alignment vertical="top"/>
      <protection hidden="1"/>
    </xf>
    <xf numFmtId="0" fontId="3" fillId="0" borderId="12" xfId="0" applyFont="1" applyFill="1" applyBorder="1" applyAlignment="1" applyProtection="1">
      <alignment vertical="top"/>
      <protection hidden="1"/>
    </xf>
    <xf numFmtId="0" fontId="1" fillId="0" borderId="12" xfId="0" applyFont="1" applyFill="1" applyBorder="1" applyAlignment="1" applyProtection="1">
      <alignment vertical="top"/>
      <protection hidden="1"/>
    </xf>
    <xf numFmtId="0" fontId="3" fillId="0" borderId="1" xfId="0" applyFont="1" applyFill="1" applyBorder="1" applyAlignment="1" applyProtection="1">
      <alignment horizontal="left" wrapText="1"/>
      <protection hidden="1"/>
    </xf>
    <xf numFmtId="1" fontId="3" fillId="0" borderId="3" xfId="0" applyNumberFormat="1" applyFont="1" applyFill="1" applyBorder="1" applyAlignment="1" applyProtection="1">
      <alignment horizontal="right" vertical="top"/>
      <protection hidden="1"/>
    </xf>
    <xf numFmtId="2" fontId="3" fillId="0" borderId="12" xfId="0" quotePrefix="1" applyNumberFormat="1" applyFont="1" applyFill="1" applyBorder="1" applyAlignment="1" applyProtection="1">
      <alignment vertical="top"/>
      <protection hidden="1"/>
    </xf>
    <xf numFmtId="2" fontId="3" fillId="0" borderId="13" xfId="0" applyNumberFormat="1" applyFont="1" applyFill="1" applyBorder="1" applyAlignment="1" applyProtection="1">
      <alignment vertical="top"/>
      <protection hidden="1"/>
    </xf>
    <xf numFmtId="2" fontId="2" fillId="0" borderId="13" xfId="0" applyNumberFormat="1" applyFont="1" applyFill="1" applyBorder="1" applyAlignment="1" applyProtection="1">
      <alignment vertical="top"/>
      <protection hidden="1"/>
    </xf>
    <xf numFmtId="2" fontId="2" fillId="0" borderId="1" xfId="0" applyNumberFormat="1" applyFont="1" applyFill="1" applyBorder="1" applyAlignment="1" applyProtection="1">
      <alignment vertical="top"/>
      <protection hidden="1"/>
    </xf>
    <xf numFmtId="2" fontId="2" fillId="0" borderId="2" xfId="0" applyNumberFormat="1" applyFont="1" applyFill="1" applyBorder="1" applyAlignment="1" applyProtection="1">
      <alignment vertical="top"/>
      <protection hidden="1"/>
    </xf>
    <xf numFmtId="2" fontId="3" fillId="0" borderId="2" xfId="0" applyNumberFormat="1" applyFont="1" applyFill="1" applyBorder="1" applyAlignment="1" applyProtection="1">
      <alignment horizontal="center" vertical="top"/>
      <protection hidden="1"/>
    </xf>
    <xf numFmtId="2" fontId="3" fillId="0" borderId="2" xfId="0" applyNumberFormat="1" applyFont="1" applyFill="1" applyBorder="1" applyAlignment="1" applyProtection="1">
      <alignment horizontal="right" vertical="top"/>
      <protection hidden="1"/>
    </xf>
    <xf numFmtId="1" fontId="3" fillId="0" borderId="2" xfId="0" quotePrefix="1" applyNumberFormat="1" applyFont="1" applyFill="1" applyBorder="1" applyAlignment="1" applyProtection="1">
      <alignment horizontal="center" vertical="top"/>
      <protection hidden="1"/>
    </xf>
    <xf numFmtId="2" fontId="3" fillId="0" borderId="7" xfId="0" applyNumberFormat="1" applyFont="1" applyFill="1" applyBorder="1" applyAlignment="1" applyProtection="1">
      <alignment vertical="top"/>
      <protection hidden="1"/>
    </xf>
    <xf numFmtId="2" fontId="2" fillId="0" borderId="0" xfId="0" applyNumberFormat="1" applyFont="1" applyFill="1" applyBorder="1" applyAlignment="1" applyProtection="1">
      <alignment vertical="top"/>
      <protection hidden="1"/>
    </xf>
    <xf numFmtId="2" fontId="3" fillId="0" borderId="0" xfId="0" applyNumberFormat="1" applyFont="1" applyFill="1" applyBorder="1" applyAlignment="1" applyProtection="1">
      <alignment vertical="top"/>
      <protection hidden="1"/>
    </xf>
    <xf numFmtId="2" fontId="3" fillId="0" borderId="8" xfId="0" applyNumberFormat="1" applyFont="1" applyFill="1" applyBorder="1" applyAlignment="1" applyProtection="1">
      <alignment vertical="top"/>
      <protection hidden="1"/>
    </xf>
    <xf numFmtId="2" fontId="3" fillId="0" borderId="1" xfId="0" applyNumberFormat="1" applyFont="1" applyFill="1" applyBorder="1" applyAlignment="1" applyProtection="1">
      <alignment vertical="top"/>
      <protection hidden="1"/>
    </xf>
    <xf numFmtId="2" fontId="3" fillId="0" borderId="2" xfId="0" applyNumberFormat="1" applyFont="1" applyFill="1" applyBorder="1" applyAlignment="1" applyProtection="1">
      <alignment vertical="top"/>
      <protection hidden="1"/>
    </xf>
    <xf numFmtId="2" fontId="3" fillId="0" borderId="7" xfId="0" quotePrefix="1" applyNumberFormat="1" applyFont="1" applyFill="1" applyBorder="1" applyAlignment="1" applyProtection="1">
      <alignment vertical="top"/>
      <protection hidden="1"/>
    </xf>
    <xf numFmtId="2" fontId="3" fillId="0" borderId="12" xfId="0" applyNumberFormat="1" applyFont="1" applyFill="1" applyBorder="1" applyAlignment="1" applyProtection="1">
      <alignment vertical="top"/>
      <protection hidden="1"/>
    </xf>
    <xf numFmtId="2" fontId="3" fillId="0" borderId="0" xfId="0" applyNumberFormat="1" applyFont="1" applyFill="1" applyBorder="1" applyAlignment="1" applyProtection="1">
      <alignment vertical="top" wrapText="1"/>
      <protection hidden="1"/>
    </xf>
    <xf numFmtId="2" fontId="3" fillId="0" borderId="8" xfId="0" applyNumberFormat="1" applyFont="1" applyFill="1" applyBorder="1" applyAlignment="1" applyProtection="1">
      <alignment vertical="top" wrapText="1"/>
      <protection hidden="1"/>
    </xf>
    <xf numFmtId="2" fontId="3" fillId="0" borderId="1" xfId="0" applyNumberFormat="1" applyFont="1" applyFill="1" applyBorder="1" applyAlignment="1" applyProtection="1">
      <alignment vertical="top" wrapText="1"/>
      <protection hidden="1"/>
    </xf>
    <xf numFmtId="2" fontId="3" fillId="0" borderId="2" xfId="0" applyNumberFormat="1" applyFont="1" applyFill="1" applyBorder="1" applyAlignment="1" applyProtection="1">
      <alignment vertical="top" wrapText="1"/>
      <protection hidden="1"/>
    </xf>
    <xf numFmtId="2" fontId="3" fillId="0" borderId="13" xfId="0" applyNumberFormat="1" applyFont="1" applyFill="1" applyBorder="1" applyAlignment="1" applyProtection="1">
      <alignment vertical="top" wrapText="1"/>
      <protection hidden="1"/>
    </xf>
    <xf numFmtId="0" fontId="3" fillId="0" borderId="0" xfId="0" applyFont="1" applyFill="1" applyBorder="1" applyAlignment="1" applyProtection="1">
      <alignment horizontal="left" wrapText="1"/>
      <protection hidden="1"/>
    </xf>
    <xf numFmtId="2" fontId="3" fillId="0" borderId="13" xfId="0" applyNumberFormat="1" applyFont="1" applyFill="1" applyBorder="1" applyAlignment="1" applyProtection="1">
      <alignment horizontal="left" vertical="top" wrapText="1"/>
      <protection hidden="1"/>
    </xf>
    <xf numFmtId="2" fontId="3" fillId="0" borderId="1" xfId="0" applyNumberFormat="1" applyFont="1" applyFill="1" applyBorder="1" applyAlignment="1" applyProtection="1">
      <alignment horizontal="left" vertical="top" wrapText="1"/>
      <protection hidden="1"/>
    </xf>
    <xf numFmtId="2" fontId="3" fillId="0" borderId="2" xfId="0" applyNumberFormat="1" applyFont="1" applyFill="1" applyBorder="1" applyAlignment="1" applyProtection="1">
      <alignment horizontal="left" vertical="top" wrapText="1"/>
      <protection hidden="1"/>
    </xf>
    <xf numFmtId="2" fontId="3" fillId="0" borderId="0" xfId="0" applyNumberFormat="1" applyFont="1" applyFill="1" applyBorder="1" applyAlignment="1" applyProtection="1">
      <alignment horizontal="left" vertical="top" wrapText="1"/>
      <protection hidden="1"/>
    </xf>
    <xf numFmtId="1" fontId="3" fillId="0" borderId="2" xfId="0" applyNumberFormat="1" applyFont="1" applyFill="1" applyBorder="1" applyAlignment="1" applyProtection="1">
      <alignment horizontal="right"/>
      <protection hidden="1"/>
    </xf>
    <xf numFmtId="1" fontId="3" fillId="0" borderId="0" xfId="0" applyNumberFormat="1" applyFont="1" applyBorder="1" applyProtection="1">
      <protection hidden="1"/>
    </xf>
    <xf numFmtId="1" fontId="3" fillId="0" borderId="0" xfId="0" applyNumberFormat="1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3" fillId="0" borderId="0" xfId="0" quotePrefix="1" applyFont="1" applyFill="1" applyBorder="1" applyAlignment="1" applyProtection="1">
      <alignment horizontal="left" vertical="top" wrapText="1"/>
      <protection hidden="1"/>
    </xf>
    <xf numFmtId="1" fontId="7" fillId="0" borderId="0" xfId="0" applyNumberFormat="1" applyFont="1" applyFill="1" applyBorder="1" applyAlignment="1" applyProtection="1">
      <alignment horizontal="center"/>
      <protection hidden="1"/>
    </xf>
    <xf numFmtId="1" fontId="8" fillId="0" borderId="0" xfId="0" applyNumberFormat="1" applyFont="1" applyFill="1" applyBorder="1" applyAlignment="1" applyProtection="1">
      <alignment horizontal="center"/>
      <protection hidden="1"/>
    </xf>
    <xf numFmtId="0" fontId="3" fillId="0" borderId="0" xfId="0" quotePrefix="1" applyFont="1" applyFill="1" applyBorder="1" applyProtection="1">
      <protection hidden="1"/>
    </xf>
    <xf numFmtId="1" fontId="3" fillId="0" borderId="0" xfId="0" applyNumberFormat="1" applyFont="1" applyFill="1" applyBorder="1" applyAlignment="1" applyProtection="1">
      <alignment horizontal="center" wrapText="1"/>
      <protection hidden="1"/>
    </xf>
    <xf numFmtId="0" fontId="2" fillId="0" borderId="0" xfId="0" applyFon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2" fontId="3" fillId="0" borderId="1" xfId="0" applyNumberFormat="1" applyFont="1" applyFill="1" applyBorder="1" applyAlignment="1" applyProtection="1">
      <alignment horizontal="left" wrapText="1"/>
      <protection hidden="1"/>
    </xf>
    <xf numFmtId="0" fontId="3" fillId="0" borderId="2" xfId="0" applyFont="1" applyFill="1" applyBorder="1" applyProtection="1">
      <protection hidden="1"/>
    </xf>
    <xf numFmtId="0" fontId="3" fillId="0" borderId="2" xfId="0" applyFont="1" applyFill="1" applyBorder="1" applyAlignment="1" applyProtection="1">
      <alignment horizontal="left" wrapText="1"/>
      <protection hidden="1"/>
    </xf>
    <xf numFmtId="0" fontId="1" fillId="0" borderId="2" xfId="0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Protection="1">
      <protection hidden="1"/>
    </xf>
    <xf numFmtId="0" fontId="1" fillId="0" borderId="4" xfId="0" applyFont="1" applyFill="1" applyBorder="1" applyAlignment="1" applyProtection="1">
      <alignment vertical="top"/>
      <protection hidden="1"/>
    </xf>
    <xf numFmtId="0" fontId="3" fillId="0" borderId="8" xfId="0" applyFont="1" applyFill="1" applyBorder="1" applyProtection="1">
      <protection hidden="1"/>
    </xf>
    <xf numFmtId="0" fontId="3" fillId="0" borderId="13" xfId="0" applyFont="1" applyFill="1" applyBorder="1" applyProtection="1">
      <protection hidden="1"/>
    </xf>
    <xf numFmtId="2" fontId="3" fillId="0" borderId="2" xfId="0" applyNumberFormat="1" applyFont="1" applyFill="1" applyBorder="1" applyAlignment="1" applyProtection="1">
      <alignment horizontal="left" wrapText="1"/>
      <protection hidden="1"/>
    </xf>
    <xf numFmtId="2" fontId="3" fillId="0" borderId="0" xfId="0" applyNumberFormat="1" applyFont="1" applyFill="1" applyBorder="1" applyProtection="1">
      <protection hidden="1"/>
    </xf>
    <xf numFmtId="2" fontId="1" fillId="0" borderId="0" xfId="0" applyNumberFormat="1" applyFont="1" applyFill="1" applyBorder="1" applyAlignment="1" applyProtection="1">
      <alignment horizontal="left" vertical="top" wrapText="1"/>
      <protection hidden="1"/>
    </xf>
    <xf numFmtId="2" fontId="1" fillId="0" borderId="8" xfId="0" applyNumberFormat="1" applyFont="1" applyFill="1" applyBorder="1" applyAlignment="1" applyProtection="1">
      <alignment horizontal="left" vertical="top" wrapText="1"/>
      <protection hidden="1"/>
    </xf>
    <xf numFmtId="2" fontId="1" fillId="0" borderId="1" xfId="0" applyNumberFormat="1" applyFont="1" applyFill="1" applyBorder="1" applyAlignment="1" applyProtection="1">
      <alignment horizontal="left" vertical="top" wrapText="1"/>
      <protection hidden="1"/>
    </xf>
    <xf numFmtId="2" fontId="1" fillId="0" borderId="2" xfId="0" applyNumberFormat="1" applyFont="1" applyFill="1" applyBorder="1" applyAlignment="1" applyProtection="1">
      <alignment horizontal="left" vertical="top" wrapText="1"/>
      <protection hidden="1"/>
    </xf>
    <xf numFmtId="2" fontId="3" fillId="0" borderId="13" xfId="0" applyNumberFormat="1" applyFont="1" applyFill="1" applyBorder="1" applyProtection="1">
      <protection hidden="1"/>
    </xf>
    <xf numFmtId="2" fontId="3" fillId="0" borderId="1" xfId="0" applyNumberFormat="1" applyFont="1" applyFill="1" applyBorder="1" applyProtection="1">
      <protection hidden="1"/>
    </xf>
    <xf numFmtId="2" fontId="3" fillId="0" borderId="2" xfId="0" applyNumberFormat="1" applyFont="1" applyFill="1" applyBorder="1" applyProtection="1">
      <protection hidden="1"/>
    </xf>
    <xf numFmtId="2" fontId="3" fillId="0" borderId="7" xfId="0" quotePrefix="1" applyNumberFormat="1" applyFont="1" applyFill="1" applyBorder="1" applyAlignment="1" applyProtection="1">
      <alignment vertical="top" wrapText="1"/>
      <protection hidden="1"/>
    </xf>
    <xf numFmtId="4" fontId="1" fillId="0" borderId="2" xfId="0" applyNumberFormat="1" applyFont="1" applyBorder="1" applyAlignment="1" applyProtection="1">
      <alignment horizontal="center" vertical="center"/>
      <protection hidden="1"/>
    </xf>
    <xf numFmtId="4" fontId="1" fillId="0" borderId="2" xfId="0" applyNumberFormat="1" applyFont="1" applyBorder="1" applyAlignment="1" applyProtection="1">
      <alignment horizontal="center" vertical="center" wrapText="1"/>
      <protection hidden="1"/>
    </xf>
    <xf numFmtId="4" fontId="3" fillId="0" borderId="0" xfId="0" applyNumberFormat="1" applyFont="1" applyBorder="1" applyProtection="1">
      <protection hidden="1"/>
    </xf>
    <xf numFmtId="39" fontId="3" fillId="0" borderId="2" xfId="0" applyNumberFormat="1" applyFont="1" applyBorder="1" applyAlignment="1" applyProtection="1">
      <alignment vertical="top"/>
      <protection locked="0"/>
    </xf>
    <xf numFmtId="39" fontId="6" fillId="0" borderId="2" xfId="0" applyNumberFormat="1" applyFont="1" applyBorder="1" applyAlignment="1" applyProtection="1">
      <alignment vertical="top"/>
      <protection hidden="1"/>
    </xf>
    <xf numFmtId="39" fontId="3" fillId="0" borderId="2" xfId="0" applyNumberFormat="1" applyFont="1" applyFill="1" applyBorder="1" applyAlignment="1" applyProtection="1">
      <alignment vertical="top"/>
      <protection locked="0"/>
    </xf>
    <xf numFmtId="39" fontId="6" fillId="0" borderId="2" xfId="0" applyNumberFormat="1" applyFont="1" applyFill="1" applyBorder="1" applyAlignment="1" applyProtection="1">
      <alignment vertical="top"/>
      <protection hidden="1"/>
    </xf>
    <xf numFmtId="39" fontId="3" fillId="4" borderId="2" xfId="0" applyNumberFormat="1" applyFont="1" applyFill="1" applyBorder="1" applyAlignment="1" applyProtection="1">
      <alignment vertical="top"/>
      <protection hidden="1"/>
    </xf>
    <xf numFmtId="39" fontId="6" fillId="4" borderId="2" xfId="0" applyNumberFormat="1" applyFont="1" applyFill="1" applyBorder="1" applyAlignment="1" applyProtection="1">
      <alignment vertical="top"/>
      <protection hidden="1"/>
    </xf>
    <xf numFmtId="39" fontId="3" fillId="0" borderId="2" xfId="0" applyNumberFormat="1" applyFont="1" applyBorder="1" applyAlignment="1" applyProtection="1">
      <alignment horizontal="right" vertical="top"/>
      <protection locked="0"/>
    </xf>
    <xf numFmtId="39" fontId="6" fillId="0" borderId="2" xfId="0" applyNumberFormat="1" applyFont="1" applyFill="1" applyBorder="1" applyAlignment="1" applyProtection="1">
      <alignment horizontal="right" vertical="top"/>
      <protection hidden="1"/>
    </xf>
    <xf numFmtId="39" fontId="3" fillId="0" borderId="2" xfId="0" applyNumberFormat="1" applyFont="1" applyBorder="1" applyAlignment="1" applyProtection="1">
      <alignment vertical="top"/>
      <protection hidden="1"/>
    </xf>
    <xf numFmtId="39" fontId="9" fillId="4" borderId="2" xfId="0" applyNumberFormat="1" applyFont="1" applyFill="1" applyBorder="1" applyAlignment="1" applyProtection="1">
      <alignment vertical="top"/>
      <protection hidden="1"/>
    </xf>
    <xf numFmtId="39" fontId="6" fillId="0" borderId="3" xfId="0" applyNumberFormat="1" applyFont="1" applyBorder="1" applyAlignment="1" applyProtection="1">
      <alignment vertical="top"/>
      <protection hidden="1"/>
    </xf>
    <xf numFmtId="39" fontId="3" fillId="0" borderId="2" xfId="0" applyNumberFormat="1" applyFont="1" applyFill="1" applyBorder="1" applyAlignment="1" applyProtection="1">
      <alignment vertical="top"/>
      <protection hidden="1"/>
    </xf>
    <xf numFmtId="39" fontId="3" fillId="0" borderId="12" xfId="0" quotePrefix="1" applyNumberFormat="1" applyFont="1" applyFill="1" applyBorder="1" applyAlignment="1" applyProtection="1">
      <alignment vertical="top"/>
      <protection hidden="1"/>
    </xf>
    <xf numFmtId="39" fontId="3" fillId="0" borderId="1" xfId="0" applyNumberFormat="1" applyFont="1" applyFill="1" applyBorder="1" applyAlignment="1" applyProtection="1">
      <alignment horizontal="left" vertical="top" wrapText="1"/>
      <protection hidden="1"/>
    </xf>
    <xf numFmtId="39" fontId="3" fillId="0" borderId="2" xfId="0" applyNumberFormat="1" applyFont="1" applyFill="1" applyBorder="1" applyAlignment="1" applyProtection="1">
      <alignment horizontal="left" vertical="top" wrapText="1"/>
      <protection hidden="1"/>
    </xf>
    <xf numFmtId="39" fontId="3" fillId="0" borderId="2" xfId="0" applyNumberFormat="1" applyFont="1" applyFill="1" applyBorder="1" applyAlignment="1" applyProtection="1">
      <alignment horizontal="center" vertical="top"/>
      <protection hidden="1"/>
    </xf>
    <xf numFmtId="39" fontId="3" fillId="0" borderId="0" xfId="0" applyNumberFormat="1" applyFont="1" applyBorder="1" applyAlignment="1" applyProtection="1">
      <alignment vertical="top"/>
      <protection hidden="1"/>
    </xf>
    <xf numFmtId="39" fontId="3" fillId="0" borderId="0" xfId="0" applyNumberFormat="1" applyFont="1" applyFill="1" applyBorder="1" applyAlignment="1" applyProtection="1">
      <alignment vertical="top"/>
      <protection hidden="1"/>
    </xf>
    <xf numFmtId="39" fontId="6" fillId="0" borderId="2" xfId="0" applyNumberFormat="1" applyFont="1" applyBorder="1" applyAlignment="1" applyProtection="1">
      <alignment horizontal="right" vertical="top"/>
      <protection hidden="1"/>
    </xf>
    <xf numFmtId="2" fontId="3" fillId="0" borderId="0" xfId="0" applyNumberFormat="1" applyFont="1" applyFill="1" applyBorder="1" applyAlignment="1" applyProtection="1">
      <alignment vertical="center" wrapText="1"/>
      <protection hidden="1"/>
    </xf>
    <xf numFmtId="1" fontId="3" fillId="0" borderId="0" xfId="0" applyNumberFormat="1" applyFont="1" applyFill="1" applyBorder="1" applyAlignment="1" applyProtection="1">
      <alignment vertical="top"/>
      <protection hidden="1"/>
    </xf>
    <xf numFmtId="0" fontId="3" fillId="0" borderId="9" xfId="0" quotePrefix="1" applyFont="1" applyFill="1" applyBorder="1" applyAlignment="1" applyProtection="1">
      <alignment vertical="top"/>
      <protection hidden="1"/>
    </xf>
    <xf numFmtId="0" fontId="3" fillId="0" borderId="13" xfId="0" quotePrefix="1" applyFont="1" applyFill="1" applyBorder="1" applyAlignment="1" applyProtection="1">
      <alignment horizontal="left" vertical="top" wrapText="1"/>
      <protection hidden="1"/>
    </xf>
    <xf numFmtId="1" fontId="3" fillId="0" borderId="3" xfId="0" applyNumberFormat="1" applyFont="1" applyFill="1" applyBorder="1" applyAlignment="1" applyProtection="1">
      <alignment horizontal="right"/>
      <protection hidden="1"/>
    </xf>
    <xf numFmtId="0" fontId="2" fillId="0" borderId="12" xfId="0" applyFont="1" applyFill="1" applyBorder="1" applyAlignment="1" applyProtection="1">
      <alignment vertical="top"/>
      <protection hidden="1"/>
    </xf>
    <xf numFmtId="49" fontId="3" fillId="0" borderId="2" xfId="0" quotePrefix="1" applyNumberFormat="1" applyFont="1" applyFill="1" applyBorder="1" applyAlignment="1" applyProtection="1">
      <alignment horizontal="center" vertical="top"/>
      <protection hidden="1"/>
    </xf>
    <xf numFmtId="49" fontId="3" fillId="0" borderId="14" xfId="0" quotePrefix="1" applyNumberFormat="1" applyFont="1" applyFill="1" applyBorder="1" applyAlignment="1" applyProtection="1">
      <alignment horizontal="center" vertical="top"/>
      <protection hidden="1"/>
    </xf>
    <xf numFmtId="49" fontId="3" fillId="0" borderId="2" xfId="0" applyNumberFormat="1" applyFont="1" applyFill="1" applyBorder="1" applyAlignment="1" applyProtection="1">
      <alignment horizontal="center" vertical="top"/>
      <protection hidden="1"/>
    </xf>
    <xf numFmtId="49" fontId="3" fillId="0" borderId="2" xfId="0" quotePrefix="1" applyNumberFormat="1" applyFont="1" applyFill="1" applyBorder="1" applyAlignment="1" applyProtection="1">
      <alignment horizontal="center"/>
      <protection hidden="1"/>
    </xf>
    <xf numFmtId="49" fontId="3" fillId="0" borderId="3" xfId="0" quotePrefix="1" applyNumberFormat="1" applyFont="1" applyFill="1" applyBorder="1" applyAlignment="1" applyProtection="1">
      <alignment horizontal="center" vertical="top"/>
      <protection hidden="1"/>
    </xf>
    <xf numFmtId="0" fontId="11" fillId="0" borderId="13" xfId="0" applyFont="1" applyFill="1" applyBorder="1" applyAlignment="1" applyProtection="1">
      <alignment vertical="top"/>
      <protection hidden="1"/>
    </xf>
    <xf numFmtId="39" fontId="3" fillId="5" borderId="2" xfId="0" applyNumberFormat="1" applyFont="1" applyFill="1" applyBorder="1" applyAlignment="1" applyProtection="1">
      <alignment vertical="top"/>
      <protection hidden="1"/>
    </xf>
    <xf numFmtId="39" fontId="6" fillId="5" borderId="2" xfId="0" applyNumberFormat="1" applyFont="1" applyFill="1" applyBorder="1" applyAlignment="1" applyProtection="1">
      <alignment vertical="top"/>
      <protection hidden="1"/>
    </xf>
    <xf numFmtId="39" fontId="9" fillId="4" borderId="2" xfId="0" applyNumberFormat="1" applyFont="1" applyFill="1" applyBorder="1" applyAlignment="1" applyProtection="1">
      <alignment horizontal="right" vertical="top"/>
      <protection hidden="1"/>
    </xf>
    <xf numFmtId="39" fontId="9" fillId="4" borderId="2" xfId="0" applyNumberFormat="1" applyFont="1" applyFill="1" applyBorder="1" applyAlignment="1" applyProtection="1">
      <alignment vertical="top"/>
    </xf>
    <xf numFmtId="39" fontId="9" fillId="4" borderId="2" xfId="0" applyNumberFormat="1" applyFont="1" applyFill="1" applyBorder="1" applyAlignment="1" applyProtection="1">
      <alignment horizontal="right" vertical="top"/>
    </xf>
    <xf numFmtId="39" fontId="9" fillId="4" borderId="3" xfId="0" applyNumberFormat="1" applyFont="1" applyFill="1" applyBorder="1" applyAlignment="1" applyProtection="1">
      <alignment vertical="top"/>
      <protection hidden="1"/>
    </xf>
    <xf numFmtId="39" fontId="9" fillId="4" borderId="2" xfId="0" applyNumberFormat="1" applyFont="1" applyFill="1" applyBorder="1" applyAlignment="1" applyProtection="1">
      <alignment horizontal="right"/>
    </xf>
    <xf numFmtId="39" fontId="9" fillId="4" borderId="3" xfId="0" applyNumberFormat="1" applyFont="1" applyFill="1" applyBorder="1" applyAlignment="1" applyProtection="1">
      <alignment horizontal="right"/>
    </xf>
    <xf numFmtId="0" fontId="12" fillId="2" borderId="0" xfId="0" applyFont="1" applyFill="1" applyProtection="1">
      <protection locked="0"/>
    </xf>
    <xf numFmtId="0" fontId="12" fillId="2" borderId="0" xfId="0" applyFont="1" applyFill="1"/>
    <xf numFmtId="1" fontId="12" fillId="2" borderId="0" xfId="0" applyNumberFormat="1" applyFont="1" applyFill="1"/>
    <xf numFmtId="0" fontId="10" fillId="0" borderId="13" xfId="0" applyFont="1" applyFill="1" applyBorder="1" applyAlignment="1" applyProtection="1">
      <alignment vertical="top"/>
      <protection hidden="1"/>
    </xf>
    <xf numFmtId="0" fontId="10" fillId="0" borderId="10" xfId="0" applyFont="1" applyFill="1" applyBorder="1" applyAlignment="1" applyProtection="1">
      <alignment vertical="top"/>
      <protection hidden="1"/>
    </xf>
    <xf numFmtId="0" fontId="10" fillId="0" borderId="0" xfId="0" applyFont="1" applyFill="1" applyBorder="1" applyAlignment="1" applyProtection="1">
      <alignment vertical="top"/>
      <protection hidden="1"/>
    </xf>
    <xf numFmtId="0" fontId="11" fillId="0" borderId="1" xfId="0" applyFont="1" applyFill="1" applyBorder="1" applyAlignment="1" applyProtection="1">
      <alignment vertical="top"/>
      <protection hidden="1"/>
    </xf>
    <xf numFmtId="0" fontId="3" fillId="0" borderId="0" xfId="0" applyFont="1" applyFill="1" applyBorder="1" applyAlignment="1" applyProtection="1">
      <alignment horizontal="left" vertical="top" wrapText="1"/>
      <protection hidden="1"/>
    </xf>
    <xf numFmtId="0" fontId="3" fillId="0" borderId="8" xfId="0" applyFont="1" applyFill="1" applyBorder="1" applyAlignment="1" applyProtection="1">
      <alignment horizontal="left" vertical="top" wrapText="1"/>
      <protection hidden="1"/>
    </xf>
    <xf numFmtId="0" fontId="3" fillId="0" borderId="13" xfId="0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Alignment="1" applyProtection="1">
      <alignment horizontal="left" vertical="top" wrapText="1"/>
      <protection hidden="1"/>
    </xf>
    <xf numFmtId="2" fontId="3" fillId="0" borderId="13" xfId="0" applyNumberFormat="1" applyFont="1" applyFill="1" applyBorder="1" applyAlignment="1" applyProtection="1">
      <alignment horizontal="left" vertical="top" wrapText="1"/>
      <protection hidden="1"/>
    </xf>
    <xf numFmtId="2" fontId="3" fillId="0" borderId="1" xfId="0" applyNumberFormat="1" applyFont="1" applyFill="1" applyBorder="1" applyAlignment="1" applyProtection="1">
      <alignment horizontal="left" vertical="top" wrapText="1"/>
      <protection hidden="1"/>
    </xf>
    <xf numFmtId="49" fontId="3" fillId="0" borderId="13" xfId="0" applyNumberFormat="1" applyFont="1" applyFill="1" applyBorder="1" applyAlignment="1" applyProtection="1">
      <alignment horizontal="left" vertical="top" wrapText="1"/>
      <protection hidden="1"/>
    </xf>
    <xf numFmtId="49" fontId="3" fillId="0" borderId="1" xfId="0" applyNumberFormat="1" applyFont="1" applyFill="1" applyBorder="1" applyAlignment="1" applyProtection="1">
      <alignment horizontal="left" vertical="top" wrapText="1"/>
      <protection hidden="1"/>
    </xf>
    <xf numFmtId="0" fontId="3" fillId="0" borderId="13" xfId="0" applyFont="1" applyFill="1" applyBorder="1" applyAlignment="1" applyProtection="1">
      <alignment horizontal="left" vertical="justify"/>
      <protection hidden="1"/>
    </xf>
    <xf numFmtId="0" fontId="3" fillId="0" borderId="1" xfId="0" applyFont="1" applyFill="1" applyBorder="1" applyAlignment="1" applyProtection="1">
      <alignment horizontal="left" vertical="justify"/>
      <protection hidden="1"/>
    </xf>
    <xf numFmtId="2" fontId="3" fillId="0" borderId="0" xfId="0" applyNumberFormat="1" applyFont="1" applyFill="1" applyBorder="1" applyAlignment="1" applyProtection="1">
      <alignment vertical="top" wrapText="1"/>
      <protection hidden="1"/>
    </xf>
    <xf numFmtId="2" fontId="3" fillId="0" borderId="8" xfId="0" applyNumberFormat="1" applyFont="1" applyFill="1" applyBorder="1" applyAlignment="1" applyProtection="1">
      <alignment vertical="top" wrapText="1"/>
      <protection hidden="1"/>
    </xf>
    <xf numFmtId="4" fontId="1" fillId="0" borderId="2" xfId="0" applyNumberFormat="1" applyFont="1" applyBorder="1" applyAlignment="1" applyProtection="1">
      <alignment horizontal="center" vertical="center"/>
      <protection hidden="1"/>
    </xf>
    <xf numFmtId="1" fontId="1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8" xfId="0" applyFont="1" applyFill="1" applyBorder="1" applyAlignment="1" applyProtection="1">
      <alignment horizontal="left" vertical="top"/>
      <protection hidden="1"/>
    </xf>
    <xf numFmtId="0" fontId="1" fillId="0" borderId="14" xfId="0" applyFont="1" applyFill="1" applyBorder="1" applyAlignment="1" applyProtection="1">
      <alignment horizontal="left" vertical="top"/>
      <protection hidden="1"/>
    </xf>
    <xf numFmtId="0" fontId="3" fillId="0" borderId="14" xfId="0" applyFont="1" applyBorder="1" applyAlignment="1" applyProtection="1">
      <alignment vertical="top"/>
      <protection hidden="1"/>
    </xf>
    <xf numFmtId="0" fontId="3" fillId="0" borderId="2" xfId="0" applyFont="1" applyBorder="1" applyAlignment="1" applyProtection="1">
      <alignment vertical="top"/>
      <protection hidden="1"/>
    </xf>
    <xf numFmtId="0" fontId="4" fillId="0" borderId="0" xfId="0" applyFont="1" applyFill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alignment horizontal="left"/>
      <protection hidden="1"/>
    </xf>
    <xf numFmtId="0" fontId="3" fillId="0" borderId="0" xfId="0" applyFont="1" applyFill="1" applyBorder="1" applyAlignment="1" applyProtection="1">
      <protection hidden="1"/>
    </xf>
    <xf numFmtId="0" fontId="3" fillId="0" borderId="0" xfId="0" applyFont="1" applyBorder="1" applyAlignment="1" applyProtection="1">
      <protection hidden="1"/>
    </xf>
    <xf numFmtId="0" fontId="1" fillId="0" borderId="2" xfId="0" applyFont="1" applyFill="1" applyBorder="1" applyAlignment="1" applyProtection="1">
      <alignment horizontal="center" vertical="center" wrapText="1"/>
      <protection hidden="1"/>
    </xf>
    <xf numFmtId="0" fontId="3" fillId="0" borderId="2" xfId="0" applyFont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left" wrapText="1"/>
      <protection hidden="1"/>
    </xf>
    <xf numFmtId="0" fontId="1" fillId="0" borderId="12" xfId="0" applyFont="1" applyFill="1" applyBorder="1" applyAlignment="1" applyProtection="1">
      <alignment horizontal="left" vertical="top" wrapText="1"/>
      <protection hidden="1"/>
    </xf>
    <xf numFmtId="0" fontId="1" fillId="0" borderId="13" xfId="0" applyFont="1" applyFill="1" applyBorder="1" applyAlignment="1" applyProtection="1">
      <alignment horizontal="left" vertical="top" wrapText="1"/>
      <protection hidden="1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0" fontId="1" fillId="0" borderId="7" xfId="0" applyFont="1" applyFill="1" applyBorder="1" applyAlignment="1" applyProtection="1">
      <alignment horizontal="left" vertical="top" wrapText="1"/>
      <protection hidden="1"/>
    </xf>
    <xf numFmtId="0" fontId="1" fillId="0" borderId="0" xfId="0" applyFont="1" applyFill="1" applyBorder="1" applyAlignment="1" applyProtection="1">
      <alignment horizontal="left" vertical="top" wrapText="1"/>
      <protection hidden="1"/>
    </xf>
    <xf numFmtId="0" fontId="1" fillId="0" borderId="8" xfId="0" applyFont="1" applyFill="1" applyBorder="1" applyAlignment="1" applyProtection="1">
      <alignment horizontal="left" vertical="top" wrapText="1"/>
      <protection hidden="1"/>
    </xf>
    <xf numFmtId="2" fontId="3" fillId="0" borderId="0" xfId="0" applyNumberFormat="1" applyFont="1" applyFill="1" applyBorder="1" applyAlignment="1" applyProtection="1">
      <alignment horizontal="left" vertical="top" wrapText="1"/>
      <protection hidden="1"/>
    </xf>
    <xf numFmtId="2" fontId="3" fillId="0" borderId="8" xfId="0" applyNumberFormat="1" applyFont="1" applyFill="1" applyBorder="1" applyAlignment="1" applyProtection="1">
      <alignment horizontal="left" vertical="top" wrapText="1"/>
      <protection hidden="1"/>
    </xf>
    <xf numFmtId="0" fontId="3" fillId="0" borderId="13" xfId="0" applyFont="1" applyFill="1" applyBorder="1" applyAlignment="1" applyProtection="1">
      <alignment horizontal="left" wrapText="1"/>
      <protection hidden="1"/>
    </xf>
    <xf numFmtId="0" fontId="3" fillId="0" borderId="1" xfId="0" applyFont="1" applyFill="1" applyBorder="1" applyAlignment="1" applyProtection="1">
      <alignment horizontal="left" wrapText="1"/>
      <protection hidden="1"/>
    </xf>
    <xf numFmtId="0" fontId="10" fillId="0" borderId="0" xfId="0" applyFont="1" applyFill="1" applyBorder="1" applyAlignment="1" applyProtection="1">
      <alignment horizontal="left" vertical="top" wrapText="1"/>
      <protection hidden="1"/>
    </xf>
    <xf numFmtId="0" fontId="10" fillId="0" borderId="8" xfId="0" applyFont="1" applyFill="1" applyBorder="1" applyAlignment="1" applyProtection="1">
      <alignment horizontal="left" vertical="top" wrapText="1"/>
      <protection hidden="1"/>
    </xf>
    <xf numFmtId="0" fontId="3" fillId="0" borderId="8" xfId="0" applyFont="1" applyFill="1" applyBorder="1" applyAlignment="1" applyProtection="1">
      <alignment horizontal="left" wrapText="1"/>
      <protection hidden="1"/>
    </xf>
    <xf numFmtId="2" fontId="3" fillId="0" borderId="0" xfId="0" applyNumberFormat="1" applyFont="1" applyFill="1" applyBorder="1" applyAlignment="1" applyProtection="1">
      <alignment horizontal="left" wrapText="1"/>
      <protection hidden="1"/>
    </xf>
    <xf numFmtId="2" fontId="3" fillId="0" borderId="8" xfId="0" applyNumberFormat="1" applyFont="1" applyFill="1" applyBorder="1" applyAlignment="1" applyProtection="1">
      <alignment horizontal="left" wrapText="1"/>
      <protection hidden="1"/>
    </xf>
    <xf numFmtId="2" fontId="3" fillId="0" borderId="13" xfId="0" applyNumberFormat="1" applyFont="1" applyFill="1" applyBorder="1" applyAlignment="1" applyProtection="1">
      <alignment horizontal="left" wrapText="1"/>
      <protection hidden="1"/>
    </xf>
    <xf numFmtId="2" fontId="3" fillId="0" borderId="1" xfId="0" applyNumberFormat="1" applyFont="1" applyFill="1" applyBorder="1" applyAlignment="1" applyProtection="1">
      <alignment horizontal="left" wrapText="1"/>
      <protection hidden="1"/>
    </xf>
    <xf numFmtId="39" fontId="3" fillId="0" borderId="13" xfId="0" applyNumberFormat="1" applyFont="1" applyFill="1" applyBorder="1" applyAlignment="1" applyProtection="1">
      <alignment horizontal="left" vertical="top" wrapText="1"/>
      <protection hidden="1"/>
    </xf>
    <xf numFmtId="39" fontId="3" fillId="0" borderId="1" xfId="0" applyNumberFormat="1" applyFont="1" applyFill="1" applyBorder="1" applyAlignment="1" applyProtection="1">
      <alignment horizontal="left" vertical="top" wrapText="1"/>
      <protection hidden="1"/>
    </xf>
    <xf numFmtId="0" fontId="1" fillId="0" borderId="0" xfId="0" applyFont="1" applyBorder="1" applyAlignment="1" applyProtection="1">
      <alignment horizontal="center"/>
      <protection hidden="1"/>
    </xf>
    <xf numFmtId="0" fontId="1" fillId="0" borderId="14" xfId="0" applyFont="1" applyFill="1" applyBorder="1" applyAlignment="1" applyProtection="1">
      <alignment horizontal="center" vertical="center" wrapText="1"/>
      <protection hidden="1"/>
    </xf>
    <xf numFmtId="4" fontId="1" fillId="0" borderId="2" xfId="0" applyNumberFormat="1" applyFont="1" applyBorder="1" applyAlignment="1" applyProtection="1">
      <alignment horizontal="center" vertical="center" wrapText="1"/>
      <protection hidden="1"/>
    </xf>
    <xf numFmtId="0" fontId="3" fillId="0" borderId="0" xfId="0" applyFont="1" applyBorder="1" applyAlignment="1" applyProtection="1">
      <alignment horizontal="center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theme/theme1.xml" Type="http://schemas.openxmlformats.org/officeDocument/2006/relationships/theme"/>
<Relationship Id="rId5" Target="styles.xml" Type="http://schemas.openxmlformats.org/officeDocument/2006/relationships/styles"/>
<Relationship Id="rId6" Target="sharedStrings.xml" Type="http://schemas.openxmlformats.org/officeDocument/2006/relationships/sharedStrings"/>
<Relationship Id="rId7" Target="calcChain.xml" Type="http://schemas.openxmlformats.org/officeDocument/2006/relationships/calcChain"/>
<Relationship Id="rId8" Target="vbaProject.bin" Type="http://schemas.microsoft.com/office/2006/relationships/vbaProjec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325"/>
  <sheetViews>
    <sheetView showGridLines="0" zoomScale="145" zoomScaleNormal="145" zoomScaleSheetLayoutView="100" workbookViewId="0">
      <pane xSplit="8" ySplit="8" topLeftCell="I9" activePane="bottomRight" state="frozen"/>
      <selection pane="topRight" activeCell="I1" sqref="I1"/>
      <selection pane="bottomLeft" activeCell="A9" sqref="A9"/>
      <selection pane="bottomRight" activeCell="I11" sqref="I11"/>
    </sheetView>
  </sheetViews>
  <sheetFormatPr defaultRowHeight="11.25" customHeight="1" x14ac:dyDescent="0.2"/>
  <cols>
    <col min="1" max="1" customWidth="true" style="20" width="3.5703125" collapsed="true"/>
    <col min="2" max="2" customWidth="true" style="20" width="3.28515625" collapsed="true"/>
    <col min="3" max="3" customWidth="true" style="20" width="2.85546875" collapsed="true"/>
    <col min="4" max="4" customWidth="true" style="20" width="59.7109375" collapsed="true"/>
    <col min="5" max="5" customWidth="true" hidden="true" style="20" width="19.140625" collapsed="true"/>
    <col min="6" max="6" customWidth="true" hidden="true" style="20" width="7.5703125" collapsed="true"/>
    <col min="7" max="7" bestFit="true" customWidth="true" style="21" width="18.85546875" collapsed="true"/>
    <col min="8" max="8" customWidth="true" hidden="true" style="22" width="18.7109375" collapsed="true"/>
    <col min="9" max="13" customWidth="true" style="118" width="20.7109375" collapsed="true"/>
    <col min="14" max="15" customWidth="true" hidden="true" style="118" width="20.7109375" collapsed="true"/>
    <col min="16" max="16" customWidth="true" style="19" width="20.7109375" collapsed="true"/>
    <col min="17" max="17" bestFit="true" customWidth="true" style="107" width="28.7109375" collapsed="true"/>
    <col min="18" max="18" bestFit="true" customWidth="true" style="20" width="9.7109375" collapsed="true"/>
    <col min="19" max="45" style="20" width="9.140625" collapsed="true"/>
    <col min="46" max="16384" style="6" width="9.140625" collapsed="true"/>
  </cols>
  <sheetData>
    <row r="1" spans="1:45" ht="11.25" customHeight="1" x14ac:dyDescent="0.2">
      <c r="A1" s="183" t="s">
        <v>392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</row>
    <row r="2" spans="1:45" ht="11.25" hidden="1" customHeight="1" x14ac:dyDescent="0.2">
      <c r="A2" s="185"/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</row>
    <row r="3" spans="1:45" ht="11.25" hidden="1" customHeight="1" x14ac:dyDescent="0.2">
      <c r="A3" s="185"/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</row>
    <row r="4" spans="1:45" ht="11.25" hidden="1" customHeight="1" x14ac:dyDescent="0.2">
      <c r="A4" s="185"/>
      <c r="B4" s="186"/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186"/>
      <c r="N4" s="186"/>
      <c r="O4" s="186"/>
      <c r="P4" s="186"/>
    </row>
    <row r="5" spans="1:45" ht="11.25" hidden="1" customHeight="1" x14ac:dyDescent="0.2">
      <c r="A5" s="185"/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</row>
    <row r="6" spans="1:45" ht="11.25" customHeight="1" x14ac:dyDescent="0.2">
      <c r="A6" s="185"/>
      <c r="B6" s="186"/>
      <c r="C6" s="186"/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</row>
    <row r="7" spans="1:45" s="7" customFormat="1" ht="11.25" customHeight="1" x14ac:dyDescent="0.2">
      <c r="A7" s="187" t="s">
        <v>158</v>
      </c>
      <c r="B7" s="187"/>
      <c r="C7" s="187"/>
      <c r="D7" s="187"/>
      <c r="E7" s="188"/>
      <c r="F7" s="188"/>
      <c r="G7" s="178" t="s">
        <v>159</v>
      </c>
      <c r="H7" s="24"/>
      <c r="I7" s="116" t="s">
        <v>160</v>
      </c>
      <c r="J7" s="177" t="s">
        <v>161</v>
      </c>
      <c r="K7" s="177"/>
      <c r="L7" s="177" t="s">
        <v>162</v>
      </c>
      <c r="M7" s="177"/>
      <c r="N7" s="177" t="s">
        <v>391</v>
      </c>
      <c r="O7" s="177"/>
      <c r="P7" s="177" t="s">
        <v>163</v>
      </c>
      <c r="Q7" s="138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90"/>
      <c r="AQ7" s="90"/>
      <c r="AR7" s="90"/>
      <c r="AS7" s="90"/>
    </row>
    <row r="8" spans="1:45" s="7" customFormat="1" ht="11.25" customHeight="1" x14ac:dyDescent="0.2">
      <c r="A8" s="187"/>
      <c r="B8" s="187"/>
      <c r="C8" s="187"/>
      <c r="D8" s="187"/>
      <c r="E8" s="188"/>
      <c r="F8" s="188"/>
      <c r="G8" s="178"/>
      <c r="H8" s="24"/>
      <c r="I8" s="117" t="s">
        <v>164</v>
      </c>
      <c r="J8" s="117" t="s">
        <v>165</v>
      </c>
      <c r="K8" s="117" t="s">
        <v>166</v>
      </c>
      <c r="L8" s="117" t="s">
        <v>165</v>
      </c>
      <c r="M8" s="117" t="s">
        <v>166</v>
      </c>
      <c r="N8" s="117" t="s">
        <v>165</v>
      </c>
      <c r="O8" s="117" t="s">
        <v>166</v>
      </c>
      <c r="P8" s="177"/>
      <c r="Q8" s="138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90"/>
      <c r="AG8" s="90"/>
      <c r="AH8" s="90"/>
      <c r="AI8" s="90"/>
      <c r="AJ8" s="90"/>
      <c r="AK8" s="90"/>
      <c r="AL8" s="90"/>
      <c r="AM8" s="90"/>
      <c r="AN8" s="90"/>
      <c r="AO8" s="90"/>
      <c r="AP8" s="90"/>
      <c r="AQ8" s="90"/>
      <c r="AR8" s="90"/>
      <c r="AS8" s="90"/>
    </row>
    <row r="9" spans="1:45" s="11" customFormat="1" ht="11.25" customHeight="1" x14ac:dyDescent="0.2">
      <c r="A9" s="180" t="s">
        <v>167</v>
      </c>
      <c r="B9" s="181"/>
      <c r="C9" s="181"/>
      <c r="D9" s="181"/>
      <c r="E9" s="182"/>
      <c r="F9" s="182"/>
      <c r="G9" s="25"/>
      <c r="H9" s="26"/>
      <c r="I9" s="27"/>
      <c r="J9" s="27"/>
      <c r="K9" s="27"/>
      <c r="L9" s="27"/>
      <c r="M9" s="27"/>
      <c r="N9" s="27"/>
      <c r="O9" s="27"/>
      <c r="P9" s="28"/>
      <c r="Q9" s="71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</row>
    <row r="10" spans="1:45" s="11" customFormat="1" ht="11.25" customHeight="1" x14ac:dyDescent="0.2">
      <c r="A10" s="41" t="s">
        <v>168</v>
      </c>
      <c r="B10" s="42" t="s">
        <v>169</v>
      </c>
      <c r="C10" s="42"/>
      <c r="D10" s="43"/>
      <c r="E10" s="35"/>
      <c r="F10" s="29"/>
      <c r="G10" s="144" t="s">
        <v>417</v>
      </c>
      <c r="H10" s="26"/>
      <c r="I10" s="119" t="n">
        <v>1.0</v>
      </c>
      <c r="J10" s="119"/>
      <c r="K10" s="119"/>
      <c r="L10" s="153"/>
      <c r="M10" s="153"/>
      <c r="N10" s="121"/>
      <c r="O10" s="121"/>
      <c r="P10" s="122">
        <f t="shared" ref="P10:P83" si="0">I10+K10+M10+O10</f>
        <v>0</v>
      </c>
      <c r="Q10" s="139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</row>
    <row r="11" spans="1:45" s="11" customFormat="1" ht="11.25" customHeight="1" x14ac:dyDescent="0.2">
      <c r="A11" s="53" t="s">
        <v>170</v>
      </c>
      <c r="B11" s="54" t="s">
        <v>171</v>
      </c>
      <c r="C11" s="54"/>
      <c r="D11" s="35"/>
      <c r="E11" s="35"/>
      <c r="F11" s="29"/>
      <c r="G11" s="144" t="s">
        <v>418</v>
      </c>
      <c r="H11" s="26"/>
      <c r="I11" s="119"/>
      <c r="J11" s="121"/>
      <c r="K11" s="121"/>
      <c r="L11" s="153"/>
      <c r="M11" s="153"/>
      <c r="N11" s="121"/>
      <c r="O11" s="121"/>
      <c r="P11" s="122">
        <f t="shared" si="0"/>
        <v>0</v>
      </c>
      <c r="Q11" s="139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</row>
    <row r="12" spans="1:45" s="11" customFormat="1" ht="11.25" customHeight="1" x14ac:dyDescent="0.2">
      <c r="A12" s="53" t="s">
        <v>172</v>
      </c>
      <c r="B12" s="54" t="s">
        <v>173</v>
      </c>
      <c r="C12" s="54"/>
      <c r="D12" s="35"/>
      <c r="E12" s="35"/>
      <c r="F12" s="29"/>
      <c r="G12" s="144" t="s">
        <v>419</v>
      </c>
      <c r="H12" s="26"/>
      <c r="I12" s="120">
        <f>SUM(I13:I16)</f>
        <v>0</v>
      </c>
      <c r="J12" s="128">
        <f t="shared" ref="J12:O12" si="1">SUM(J13:J16)</f>
        <v>0</v>
      </c>
      <c r="K12" s="128">
        <f t="shared" si="1"/>
        <v>0</v>
      </c>
      <c r="L12" s="128">
        <f t="shared" si="1"/>
        <v>0</v>
      </c>
      <c r="M12" s="128">
        <f t="shared" si="1"/>
        <v>0</v>
      </c>
      <c r="N12" s="120">
        <f t="shared" si="1"/>
        <v>0</v>
      </c>
      <c r="O12" s="120">
        <f t="shared" si="1"/>
        <v>0</v>
      </c>
      <c r="P12" s="122">
        <f t="shared" si="0"/>
        <v>0</v>
      </c>
      <c r="Q12" s="139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</row>
    <row r="13" spans="1:45" s="11" customFormat="1" ht="11.25" customHeight="1" x14ac:dyDescent="0.2">
      <c r="A13" s="140"/>
      <c r="B13" s="161" t="s">
        <v>178</v>
      </c>
      <c r="C13" s="161" t="s">
        <v>405</v>
      </c>
      <c r="D13" s="52"/>
      <c r="E13" s="35"/>
      <c r="F13" s="29"/>
      <c r="G13" s="144" t="s">
        <v>420</v>
      </c>
      <c r="H13" s="26"/>
      <c r="I13" s="119"/>
      <c r="J13" s="153"/>
      <c r="K13" s="153"/>
      <c r="L13" s="153"/>
      <c r="M13" s="153"/>
      <c r="N13" s="121"/>
      <c r="O13" s="121"/>
      <c r="P13" s="122">
        <f t="shared" si="0"/>
        <v>0</v>
      </c>
      <c r="Q13" s="139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</row>
    <row r="14" spans="1:45" s="11" customFormat="1" ht="11.25" customHeight="1" x14ac:dyDescent="0.2">
      <c r="A14" s="53"/>
      <c r="B14" s="162" t="s">
        <v>180</v>
      </c>
      <c r="C14" s="51" t="s">
        <v>1123</v>
      </c>
      <c r="D14" s="35"/>
      <c r="E14" s="35"/>
      <c r="F14" s="29"/>
      <c r="G14" s="144" t="s">
        <v>1125</v>
      </c>
      <c r="H14" s="26"/>
      <c r="I14" s="119"/>
      <c r="J14" s="153"/>
      <c r="K14" s="153"/>
      <c r="L14" s="153"/>
      <c r="M14" s="153"/>
      <c r="N14" s="121"/>
      <c r="O14" s="121"/>
      <c r="P14" s="122">
        <f t="shared" si="0"/>
        <v>0</v>
      </c>
      <c r="Q14" s="139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</row>
    <row r="15" spans="1:45" s="11" customFormat="1" ht="11.25" customHeight="1" x14ac:dyDescent="0.2">
      <c r="A15" s="53"/>
      <c r="B15" s="162" t="s">
        <v>182</v>
      </c>
      <c r="C15" s="51" t="s">
        <v>1124</v>
      </c>
      <c r="D15" s="35"/>
      <c r="E15" s="35"/>
      <c r="F15" s="29"/>
      <c r="G15" s="144" t="s">
        <v>1126</v>
      </c>
      <c r="H15" s="26"/>
      <c r="I15" s="119"/>
      <c r="J15" s="153"/>
      <c r="K15" s="153"/>
      <c r="L15" s="153"/>
      <c r="M15" s="153"/>
      <c r="N15" s="121"/>
      <c r="O15" s="121"/>
      <c r="P15" s="122">
        <f t="shared" si="0"/>
        <v>0</v>
      </c>
      <c r="Q15" s="139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</row>
    <row r="16" spans="1:45" s="11" customFormat="1" ht="11.25" customHeight="1" x14ac:dyDescent="0.2">
      <c r="A16" s="140"/>
      <c r="B16" s="163" t="s">
        <v>225</v>
      </c>
      <c r="C16" s="163" t="s">
        <v>312</v>
      </c>
      <c r="D16" s="52"/>
      <c r="E16" s="35"/>
      <c r="F16" s="29"/>
      <c r="G16" s="145" t="s">
        <v>421</v>
      </c>
      <c r="H16" s="26"/>
      <c r="I16" s="119"/>
      <c r="J16" s="153"/>
      <c r="K16" s="153"/>
      <c r="L16" s="153"/>
      <c r="M16" s="153"/>
      <c r="N16" s="121"/>
      <c r="O16" s="121"/>
      <c r="P16" s="122">
        <f t="shared" si="0"/>
        <v>0</v>
      </c>
      <c r="Q16" s="139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</row>
    <row r="17" spans="1:45" s="11" customFormat="1" ht="11.25" customHeight="1" x14ac:dyDescent="0.2">
      <c r="A17" s="53" t="s">
        <v>174</v>
      </c>
      <c r="B17" s="54" t="s">
        <v>175</v>
      </c>
      <c r="C17" s="54"/>
      <c r="D17" s="35"/>
      <c r="E17" s="35"/>
      <c r="F17" s="29"/>
      <c r="G17" s="144" t="s">
        <v>422</v>
      </c>
      <c r="H17" s="26"/>
      <c r="I17" s="119"/>
      <c r="J17" s="119"/>
      <c r="K17" s="119"/>
      <c r="L17" s="153"/>
      <c r="M17" s="153"/>
      <c r="N17" s="119"/>
      <c r="O17" s="119"/>
      <c r="P17" s="122">
        <f t="shared" si="0"/>
        <v>0</v>
      </c>
      <c r="Q17" s="139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</row>
    <row r="18" spans="1:45" s="11" customFormat="1" ht="11.25" customHeight="1" x14ac:dyDescent="0.2">
      <c r="A18" s="44" t="s">
        <v>176</v>
      </c>
      <c r="B18" s="13" t="s">
        <v>177</v>
      </c>
      <c r="C18" s="13"/>
      <c r="D18" s="45"/>
      <c r="E18" s="35"/>
      <c r="F18" s="29"/>
      <c r="G18" s="144" t="s">
        <v>423</v>
      </c>
      <c r="H18" s="26"/>
      <c r="I18" s="128">
        <f t="shared" ref="I18:O18" si="2">I19 + I20 + I21</f>
        <v>0</v>
      </c>
      <c r="J18" s="128">
        <f t="shared" si="2"/>
        <v>0</v>
      </c>
      <c r="K18" s="128">
        <f t="shared" si="2"/>
        <v>0</v>
      </c>
      <c r="L18" s="128">
        <f t="shared" si="2"/>
        <v>0</v>
      </c>
      <c r="M18" s="128">
        <f t="shared" si="2"/>
        <v>0</v>
      </c>
      <c r="N18" s="120">
        <f t="shared" si="2"/>
        <v>0</v>
      </c>
      <c r="O18" s="120">
        <f t="shared" si="2"/>
        <v>0</v>
      </c>
      <c r="P18" s="128">
        <f t="shared" si="0"/>
        <v>0</v>
      </c>
      <c r="Q18" s="139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</row>
    <row r="19" spans="1:45" s="11" customFormat="1" ht="11.25" customHeight="1" x14ac:dyDescent="0.2">
      <c r="A19" s="53"/>
      <c r="B19" s="54" t="s">
        <v>178</v>
      </c>
      <c r="C19" s="54" t="s">
        <v>179</v>
      </c>
      <c r="D19" s="35"/>
      <c r="E19" s="35"/>
      <c r="F19" s="29"/>
      <c r="G19" s="144" t="s">
        <v>424</v>
      </c>
      <c r="H19" s="26"/>
      <c r="I19" s="153"/>
      <c r="J19" s="153"/>
      <c r="K19" s="153"/>
      <c r="L19" s="153"/>
      <c r="M19" s="153"/>
      <c r="N19" s="119"/>
      <c r="O19" s="119"/>
      <c r="P19" s="128">
        <f t="shared" si="0"/>
        <v>0</v>
      </c>
      <c r="Q19" s="139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</row>
    <row r="20" spans="1:45" s="11" customFormat="1" ht="11.25" customHeight="1" x14ac:dyDescent="0.2">
      <c r="A20" s="44"/>
      <c r="B20" s="13" t="s">
        <v>180</v>
      </c>
      <c r="C20" s="165" t="s">
        <v>181</v>
      </c>
      <c r="D20" s="166"/>
      <c r="E20" s="36"/>
      <c r="F20" s="30"/>
      <c r="G20" s="144" t="s">
        <v>425</v>
      </c>
      <c r="H20" s="26"/>
      <c r="I20" s="153"/>
      <c r="J20" s="153"/>
      <c r="K20" s="153"/>
      <c r="L20" s="153"/>
      <c r="M20" s="153"/>
      <c r="N20" s="119"/>
      <c r="O20" s="119"/>
      <c r="P20" s="128">
        <f t="shared" si="0"/>
        <v>0</v>
      </c>
      <c r="Q20" s="139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</row>
    <row r="21" spans="1:45" s="11" customFormat="1" ht="11.25" customHeight="1" x14ac:dyDescent="0.2">
      <c r="A21" s="53"/>
      <c r="B21" s="54" t="s">
        <v>182</v>
      </c>
      <c r="C21" s="167" t="s">
        <v>183</v>
      </c>
      <c r="D21" s="168"/>
      <c r="E21" s="36"/>
      <c r="F21" s="30"/>
      <c r="G21" s="144" t="s">
        <v>426</v>
      </c>
      <c r="H21" s="26"/>
      <c r="I21" s="153"/>
      <c r="J21" s="153"/>
      <c r="K21" s="153"/>
      <c r="L21" s="123"/>
      <c r="M21" s="123"/>
      <c r="N21" s="119"/>
      <c r="O21" s="119"/>
      <c r="P21" s="128">
        <f t="shared" si="0"/>
        <v>0</v>
      </c>
      <c r="Q21" s="139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</row>
    <row r="22" spans="1:45" s="11" customFormat="1" ht="11.25" customHeight="1" x14ac:dyDescent="0.2">
      <c r="A22" s="44" t="s">
        <v>184</v>
      </c>
      <c r="B22" s="165" t="s">
        <v>185</v>
      </c>
      <c r="C22" s="165"/>
      <c r="D22" s="166"/>
      <c r="E22" s="36"/>
      <c r="F22" s="30"/>
      <c r="G22" s="144" t="s">
        <v>427</v>
      </c>
      <c r="H22" s="26"/>
      <c r="I22" s="153"/>
      <c r="J22" s="153"/>
      <c r="K22" s="153"/>
      <c r="L22" s="153"/>
      <c r="M22" s="153"/>
      <c r="N22" s="119"/>
      <c r="O22" s="119"/>
      <c r="P22" s="128">
        <f t="shared" si="0"/>
        <v>0</v>
      </c>
      <c r="Q22" s="139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</row>
    <row r="23" spans="1:45" s="11" customFormat="1" ht="11.25" customHeight="1" x14ac:dyDescent="0.2">
      <c r="A23" s="53" t="s">
        <v>186</v>
      </c>
      <c r="B23" s="54" t="s">
        <v>187</v>
      </c>
      <c r="C23" s="54"/>
      <c r="D23" s="35"/>
      <c r="E23" s="35"/>
      <c r="F23" s="29"/>
      <c r="G23" s="144" t="s">
        <v>428</v>
      </c>
      <c r="H23" s="26"/>
      <c r="I23" s="120">
        <f t="shared" ref="I23:O23" si="3">I26 + I27</f>
        <v>0</v>
      </c>
      <c r="J23" s="128">
        <f t="shared" si="3"/>
        <v>0</v>
      </c>
      <c r="K23" s="128">
        <f t="shared" si="3"/>
        <v>0</v>
      </c>
      <c r="L23" s="128">
        <f t="shared" si="3"/>
        <v>0</v>
      </c>
      <c r="M23" s="128">
        <f t="shared" si="3"/>
        <v>0</v>
      </c>
      <c r="N23" s="120">
        <f t="shared" si="3"/>
        <v>0</v>
      </c>
      <c r="O23" s="120">
        <f t="shared" si="3"/>
        <v>0</v>
      </c>
      <c r="P23" s="122">
        <f t="shared" si="0"/>
        <v>0</v>
      </c>
      <c r="Q23" s="139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</row>
    <row r="24" spans="1:45" s="11" customFormat="1" ht="11.25" customHeight="1" x14ac:dyDescent="0.2">
      <c r="A24" s="44"/>
      <c r="B24" s="13"/>
      <c r="C24" s="13" t="s">
        <v>188</v>
      </c>
      <c r="D24" s="45" t="s">
        <v>189</v>
      </c>
      <c r="E24" s="35"/>
      <c r="F24" s="29"/>
      <c r="G24" s="144" t="s">
        <v>429</v>
      </c>
      <c r="H24" s="26"/>
      <c r="I24" s="119"/>
      <c r="J24" s="153"/>
      <c r="K24" s="153"/>
      <c r="L24" s="153"/>
      <c r="M24" s="153"/>
      <c r="N24" s="119"/>
      <c r="O24" s="119"/>
      <c r="P24" s="122">
        <f t="shared" si="0"/>
        <v>0</v>
      </c>
      <c r="Q24" s="139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</row>
    <row r="25" spans="1:45" s="10" customFormat="1" ht="11.25" customHeight="1" x14ac:dyDescent="0.2">
      <c r="A25" s="61"/>
      <c r="B25" s="62"/>
      <c r="C25" s="63"/>
      <c r="D25" s="64" t="s">
        <v>190</v>
      </c>
      <c r="E25" s="64"/>
      <c r="F25" s="65"/>
      <c r="G25" s="144" t="s">
        <v>430</v>
      </c>
      <c r="H25" s="67"/>
      <c r="I25" s="119"/>
      <c r="J25" s="153"/>
      <c r="K25" s="153"/>
      <c r="L25" s="153"/>
      <c r="M25" s="153"/>
      <c r="N25" s="119"/>
      <c r="O25" s="119"/>
      <c r="P25" s="122">
        <f t="shared" si="0"/>
        <v>0</v>
      </c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</row>
    <row r="26" spans="1:45" s="17" customFormat="1" ht="11.25" customHeight="1" x14ac:dyDescent="0.2">
      <c r="A26" s="44"/>
      <c r="B26" s="13"/>
      <c r="C26" s="16"/>
      <c r="D26" s="45" t="s">
        <v>191</v>
      </c>
      <c r="E26" s="35"/>
      <c r="F26" s="29"/>
      <c r="G26" s="144" t="s">
        <v>431</v>
      </c>
      <c r="H26" s="26"/>
      <c r="I26" s="120">
        <f t="shared" ref="I26:O26" si="4">I24 + I25</f>
        <v>0</v>
      </c>
      <c r="J26" s="128">
        <f t="shared" si="4"/>
        <v>0</v>
      </c>
      <c r="K26" s="128">
        <f t="shared" si="4"/>
        <v>0</v>
      </c>
      <c r="L26" s="128">
        <f t="shared" si="4"/>
        <v>0</v>
      </c>
      <c r="M26" s="128">
        <f t="shared" si="4"/>
        <v>0</v>
      </c>
      <c r="N26" s="120">
        <f t="shared" si="4"/>
        <v>0</v>
      </c>
      <c r="O26" s="120">
        <f t="shared" si="4"/>
        <v>0</v>
      </c>
      <c r="P26" s="122">
        <f t="shared" si="0"/>
        <v>0</v>
      </c>
      <c r="Q26" s="139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</row>
    <row r="27" spans="1:45" s="11" customFormat="1" ht="11.25" customHeight="1" x14ac:dyDescent="0.2">
      <c r="A27" s="53"/>
      <c r="B27" s="54"/>
      <c r="C27" s="54" t="s">
        <v>192</v>
      </c>
      <c r="D27" s="35" t="s">
        <v>193</v>
      </c>
      <c r="E27" s="35"/>
      <c r="F27" s="29"/>
      <c r="G27" s="144" t="s">
        <v>432</v>
      </c>
      <c r="H27" s="26"/>
      <c r="I27" s="119"/>
      <c r="J27" s="153"/>
      <c r="K27" s="153"/>
      <c r="L27" s="123"/>
      <c r="M27" s="123"/>
      <c r="N27" s="119"/>
      <c r="O27" s="119"/>
      <c r="P27" s="122">
        <f t="shared" si="0"/>
        <v>0</v>
      </c>
      <c r="Q27" s="139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</row>
    <row r="28" spans="1:45" s="10" customFormat="1" ht="11.25" customHeight="1" x14ac:dyDescent="0.2">
      <c r="A28" s="69"/>
      <c r="B28" s="70" t="s">
        <v>194</v>
      </c>
      <c r="C28" s="71"/>
      <c r="D28" s="72"/>
      <c r="E28" s="73"/>
      <c r="F28" s="74"/>
      <c r="G28" s="144" t="s">
        <v>433</v>
      </c>
      <c r="H28" s="67"/>
      <c r="I28" s="119"/>
      <c r="J28" s="153"/>
      <c r="K28" s="153"/>
      <c r="L28" s="153"/>
      <c r="M28" s="153"/>
      <c r="N28" s="119"/>
      <c r="O28" s="119"/>
      <c r="P28" s="122">
        <f t="shared" si="0"/>
        <v>0</v>
      </c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71"/>
      <c r="AN28" s="71"/>
      <c r="AO28" s="71"/>
      <c r="AP28" s="71"/>
      <c r="AQ28" s="71"/>
      <c r="AR28" s="71"/>
      <c r="AS28" s="71"/>
    </row>
    <row r="29" spans="1:45" s="11" customFormat="1" ht="11.25" customHeight="1" x14ac:dyDescent="0.2">
      <c r="A29" s="57"/>
      <c r="B29" s="56" t="s">
        <v>195</v>
      </c>
      <c r="C29" s="54"/>
      <c r="D29" s="35"/>
      <c r="E29" s="35"/>
      <c r="F29" s="29"/>
      <c r="G29" s="144" t="s">
        <v>434</v>
      </c>
      <c r="H29" s="26"/>
      <c r="I29" s="119"/>
      <c r="J29" s="153"/>
      <c r="K29" s="153"/>
      <c r="L29" s="153"/>
      <c r="M29" s="153"/>
      <c r="N29" s="119"/>
      <c r="O29" s="119"/>
      <c r="P29" s="122">
        <f t="shared" si="0"/>
        <v>0</v>
      </c>
      <c r="Q29" s="139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</row>
    <row r="30" spans="1:45" s="17" customFormat="1" ht="11.25" customHeight="1" x14ac:dyDescent="0.2">
      <c r="A30" s="44"/>
      <c r="B30" s="13" t="s">
        <v>196</v>
      </c>
      <c r="C30" s="13"/>
      <c r="D30" s="45"/>
      <c r="E30" s="35"/>
      <c r="F30" s="29"/>
      <c r="G30" s="144" t="s">
        <v>435</v>
      </c>
      <c r="H30" s="26"/>
      <c r="I30" s="120">
        <f t="shared" ref="I30:O30" si="5">I26 + I27 + I28 - I29</f>
        <v>0</v>
      </c>
      <c r="J30" s="128">
        <f t="shared" si="5"/>
        <v>0</v>
      </c>
      <c r="K30" s="128">
        <f t="shared" si="5"/>
        <v>0</v>
      </c>
      <c r="L30" s="128">
        <f t="shared" si="5"/>
        <v>0</v>
      </c>
      <c r="M30" s="128">
        <f t="shared" si="5"/>
        <v>0</v>
      </c>
      <c r="N30" s="120">
        <f t="shared" si="5"/>
        <v>0</v>
      </c>
      <c r="O30" s="120">
        <f t="shared" si="5"/>
        <v>0</v>
      </c>
      <c r="P30" s="122">
        <f t="shared" si="0"/>
        <v>0</v>
      </c>
      <c r="Q30" s="139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</row>
    <row r="31" spans="1:45" s="11" customFormat="1" ht="11.25" customHeight="1" x14ac:dyDescent="0.2">
      <c r="A31" s="53" t="s">
        <v>197</v>
      </c>
      <c r="B31" s="54" t="s">
        <v>198</v>
      </c>
      <c r="C31" s="54"/>
      <c r="D31" s="35"/>
      <c r="E31" s="35"/>
      <c r="F31" s="29"/>
      <c r="G31" s="144" t="s">
        <v>436</v>
      </c>
      <c r="H31" s="26"/>
      <c r="I31" s="119"/>
      <c r="J31" s="153"/>
      <c r="K31" s="153"/>
      <c r="L31" s="153"/>
      <c r="M31" s="153"/>
      <c r="N31" s="119"/>
      <c r="O31" s="119"/>
      <c r="P31" s="122">
        <f t="shared" si="0"/>
        <v>0</v>
      </c>
      <c r="Q31" s="139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</row>
    <row r="32" spans="1:45" s="10" customFormat="1" ht="11.25" customHeight="1" x14ac:dyDescent="0.2">
      <c r="A32" s="75"/>
      <c r="B32" s="71"/>
      <c r="C32" s="70" t="s">
        <v>190</v>
      </c>
      <c r="D32" s="72"/>
      <c r="E32" s="73"/>
      <c r="F32" s="74"/>
      <c r="G32" s="144" t="s">
        <v>437</v>
      </c>
      <c r="H32" s="67"/>
      <c r="I32" s="119"/>
      <c r="J32" s="153"/>
      <c r="K32" s="153"/>
      <c r="L32" s="153"/>
      <c r="M32" s="153"/>
      <c r="N32" s="119"/>
      <c r="O32" s="119"/>
      <c r="P32" s="122">
        <f t="shared" si="0"/>
        <v>0</v>
      </c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71"/>
      <c r="AN32" s="71"/>
      <c r="AO32" s="71"/>
      <c r="AP32" s="71"/>
      <c r="AQ32" s="71"/>
      <c r="AR32" s="71"/>
      <c r="AS32" s="71"/>
    </row>
    <row r="33" spans="1:45" s="17" customFormat="1" ht="11.25" customHeight="1" x14ac:dyDescent="0.2">
      <c r="A33" s="53"/>
      <c r="B33" s="54"/>
      <c r="C33" s="54" t="s">
        <v>199</v>
      </c>
      <c r="D33" s="35"/>
      <c r="E33" s="35"/>
      <c r="F33" s="29"/>
      <c r="G33" s="144" t="s">
        <v>438</v>
      </c>
      <c r="H33" s="26"/>
      <c r="I33" s="120">
        <f t="shared" ref="I33:O33" si="6">I31 + I32</f>
        <v>0</v>
      </c>
      <c r="J33" s="128">
        <f t="shared" si="6"/>
        <v>0</v>
      </c>
      <c r="K33" s="128">
        <f t="shared" si="6"/>
        <v>0</v>
      </c>
      <c r="L33" s="128">
        <f t="shared" si="6"/>
        <v>0</v>
      </c>
      <c r="M33" s="128">
        <f t="shared" si="6"/>
        <v>0</v>
      </c>
      <c r="N33" s="120">
        <f t="shared" si="6"/>
        <v>0</v>
      </c>
      <c r="O33" s="120">
        <f t="shared" si="6"/>
        <v>0</v>
      </c>
      <c r="P33" s="122">
        <f t="shared" si="0"/>
        <v>0</v>
      </c>
      <c r="Q33" s="139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</row>
    <row r="34" spans="1:45" s="11" customFormat="1" ht="11.25" customHeight="1" x14ac:dyDescent="0.2">
      <c r="A34" s="44"/>
      <c r="B34" s="16" t="s">
        <v>200</v>
      </c>
      <c r="C34" s="13"/>
      <c r="D34" s="45"/>
      <c r="E34" s="35"/>
      <c r="F34" s="29"/>
      <c r="G34" s="144" t="s">
        <v>439</v>
      </c>
      <c r="H34" s="26"/>
      <c r="I34" s="119"/>
      <c r="J34" s="153"/>
      <c r="K34" s="153"/>
      <c r="L34" s="153"/>
      <c r="M34" s="153"/>
      <c r="N34" s="119"/>
      <c r="O34" s="119"/>
      <c r="P34" s="122">
        <f t="shared" si="0"/>
        <v>0</v>
      </c>
      <c r="Q34" s="139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</row>
    <row r="35" spans="1:45" s="17" customFormat="1" ht="11.25" customHeight="1" x14ac:dyDescent="0.2">
      <c r="A35" s="57"/>
      <c r="B35" s="54" t="s">
        <v>201</v>
      </c>
      <c r="C35" s="54"/>
      <c r="D35" s="35"/>
      <c r="E35" s="35"/>
      <c r="F35" s="29"/>
      <c r="G35" s="144" t="s">
        <v>440</v>
      </c>
      <c r="H35" s="26"/>
      <c r="I35" s="120">
        <f t="shared" ref="I35:O35" si="7">I33 - I34</f>
        <v>0</v>
      </c>
      <c r="J35" s="128">
        <f t="shared" si="7"/>
        <v>0</v>
      </c>
      <c r="K35" s="128">
        <f t="shared" si="7"/>
        <v>0</v>
      </c>
      <c r="L35" s="128">
        <f t="shared" si="7"/>
        <v>0</v>
      </c>
      <c r="M35" s="128">
        <f t="shared" si="7"/>
        <v>0</v>
      </c>
      <c r="N35" s="120">
        <f t="shared" si="7"/>
        <v>0</v>
      </c>
      <c r="O35" s="120">
        <f t="shared" si="7"/>
        <v>0</v>
      </c>
      <c r="P35" s="122">
        <f t="shared" si="0"/>
        <v>0</v>
      </c>
      <c r="Q35" s="139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</row>
    <row r="36" spans="1:45" s="11" customFormat="1" ht="11.25" customHeight="1" x14ac:dyDescent="0.2">
      <c r="A36" s="44" t="s">
        <v>202</v>
      </c>
      <c r="B36" s="13" t="s">
        <v>203</v>
      </c>
      <c r="C36" s="13"/>
      <c r="D36" s="45"/>
      <c r="E36" s="35"/>
      <c r="F36" s="29"/>
      <c r="G36" s="144" t="s">
        <v>441</v>
      </c>
      <c r="H36" s="26"/>
      <c r="I36" s="119"/>
      <c r="J36" s="153"/>
      <c r="K36" s="153"/>
      <c r="L36" s="153"/>
      <c r="M36" s="153"/>
      <c r="N36" s="119"/>
      <c r="O36" s="119"/>
      <c r="P36" s="122">
        <f t="shared" si="0"/>
        <v>0</v>
      </c>
      <c r="Q36" s="139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</row>
    <row r="37" spans="1:45" s="10" customFormat="1" ht="11.25" customHeight="1" x14ac:dyDescent="0.2">
      <c r="A37" s="76"/>
      <c r="B37" s="62"/>
      <c r="C37" s="63" t="s">
        <v>190</v>
      </c>
      <c r="D37" s="73"/>
      <c r="E37" s="73"/>
      <c r="F37" s="74"/>
      <c r="G37" s="144" t="s">
        <v>442</v>
      </c>
      <c r="H37" s="67"/>
      <c r="I37" s="119"/>
      <c r="J37" s="153"/>
      <c r="K37" s="153"/>
      <c r="L37" s="153"/>
      <c r="M37" s="153"/>
      <c r="N37" s="119"/>
      <c r="O37" s="119"/>
      <c r="P37" s="122">
        <f t="shared" si="0"/>
        <v>0</v>
      </c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71"/>
      <c r="AS37" s="71"/>
    </row>
    <row r="38" spans="1:45" s="17" customFormat="1" ht="11.25" customHeight="1" x14ac:dyDescent="0.2">
      <c r="A38" s="48"/>
      <c r="B38" s="13"/>
      <c r="C38" s="165" t="s">
        <v>416</v>
      </c>
      <c r="D38" s="179"/>
      <c r="E38" s="38"/>
      <c r="F38" s="32"/>
      <c r="G38" s="144" t="s">
        <v>443</v>
      </c>
      <c r="H38" s="26"/>
      <c r="I38" s="120">
        <f t="shared" ref="I38:O38" si="8">I36 + I37</f>
        <v>0</v>
      </c>
      <c r="J38" s="128">
        <f t="shared" si="8"/>
        <v>0</v>
      </c>
      <c r="K38" s="128">
        <f t="shared" si="8"/>
        <v>0</v>
      </c>
      <c r="L38" s="128">
        <f t="shared" si="8"/>
        <v>0</v>
      </c>
      <c r="M38" s="128">
        <f t="shared" si="8"/>
        <v>0</v>
      </c>
      <c r="N38" s="120">
        <f t="shared" si="8"/>
        <v>0</v>
      </c>
      <c r="O38" s="120">
        <f t="shared" si="8"/>
        <v>0</v>
      </c>
      <c r="P38" s="122">
        <f t="shared" si="0"/>
        <v>0</v>
      </c>
      <c r="Q38" s="139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</row>
    <row r="39" spans="1:45" s="11" customFormat="1" ht="11.25" customHeight="1" x14ac:dyDescent="0.2">
      <c r="A39" s="57"/>
      <c r="B39" s="56" t="s">
        <v>200</v>
      </c>
      <c r="C39" s="54"/>
      <c r="D39" s="35"/>
      <c r="E39" s="35"/>
      <c r="F39" s="29"/>
      <c r="G39" s="144" t="s">
        <v>444</v>
      </c>
      <c r="H39" s="26"/>
      <c r="I39" s="119"/>
      <c r="J39" s="153"/>
      <c r="K39" s="153"/>
      <c r="L39" s="153"/>
      <c r="M39" s="153"/>
      <c r="N39" s="119"/>
      <c r="O39" s="119"/>
      <c r="P39" s="122">
        <f t="shared" si="0"/>
        <v>0</v>
      </c>
      <c r="Q39" s="139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</row>
    <row r="40" spans="1:45" s="17" customFormat="1" ht="11.25" customHeight="1" x14ac:dyDescent="0.2">
      <c r="A40" s="48"/>
      <c r="B40" s="13" t="s">
        <v>204</v>
      </c>
      <c r="C40" s="13"/>
      <c r="D40" s="45"/>
      <c r="E40" s="35"/>
      <c r="F40" s="29"/>
      <c r="G40" s="144" t="s">
        <v>445</v>
      </c>
      <c r="H40" s="26"/>
      <c r="I40" s="120">
        <f t="shared" ref="I40:O40" si="9">I38 - I39</f>
        <v>0</v>
      </c>
      <c r="J40" s="128">
        <f t="shared" si="9"/>
        <v>0</v>
      </c>
      <c r="K40" s="128">
        <f t="shared" si="9"/>
        <v>0</v>
      </c>
      <c r="L40" s="128">
        <f t="shared" si="9"/>
        <v>0</v>
      </c>
      <c r="M40" s="128">
        <f t="shared" si="9"/>
        <v>0</v>
      </c>
      <c r="N40" s="120">
        <f t="shared" si="9"/>
        <v>0</v>
      </c>
      <c r="O40" s="120">
        <f t="shared" si="9"/>
        <v>0</v>
      </c>
      <c r="P40" s="122">
        <f t="shared" si="0"/>
        <v>0</v>
      </c>
      <c r="Q40" s="139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</row>
    <row r="41" spans="1:45" s="11" customFormat="1" ht="11.25" customHeight="1" x14ac:dyDescent="0.2">
      <c r="A41" s="53" t="s">
        <v>205</v>
      </c>
      <c r="B41" s="54" t="s">
        <v>206</v>
      </c>
      <c r="C41" s="54"/>
      <c r="D41" s="35"/>
      <c r="E41" s="35"/>
      <c r="F41" s="29"/>
      <c r="G41" s="144" t="s">
        <v>446</v>
      </c>
      <c r="H41" s="26"/>
      <c r="I41" s="119"/>
      <c r="J41" s="153"/>
      <c r="K41" s="153"/>
      <c r="L41" s="123"/>
      <c r="M41" s="123"/>
      <c r="N41" s="119"/>
      <c r="O41" s="119"/>
      <c r="P41" s="122">
        <f t="shared" si="0"/>
        <v>0</v>
      </c>
      <c r="Q41" s="139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</row>
    <row r="42" spans="1:45" s="11" customFormat="1" ht="11.25" customHeight="1" x14ac:dyDescent="0.2">
      <c r="A42" s="44"/>
      <c r="B42" s="16" t="s">
        <v>200</v>
      </c>
      <c r="C42" s="13"/>
      <c r="D42" s="45"/>
      <c r="E42" s="35"/>
      <c r="F42" s="29"/>
      <c r="G42" s="144" t="s">
        <v>447</v>
      </c>
      <c r="H42" s="26"/>
      <c r="I42" s="119"/>
      <c r="J42" s="153"/>
      <c r="K42" s="153"/>
      <c r="L42" s="123"/>
      <c r="M42" s="123"/>
      <c r="N42" s="119"/>
      <c r="O42" s="119"/>
      <c r="P42" s="122">
        <f t="shared" si="0"/>
        <v>0</v>
      </c>
      <c r="Q42" s="139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</row>
    <row r="43" spans="1:45" s="17" customFormat="1" ht="11.25" customHeight="1" x14ac:dyDescent="0.2">
      <c r="A43" s="53"/>
      <c r="B43" s="54" t="s">
        <v>207</v>
      </c>
      <c r="C43" s="54"/>
      <c r="D43" s="35"/>
      <c r="E43" s="35"/>
      <c r="F43" s="29"/>
      <c r="G43" s="144" t="s">
        <v>448</v>
      </c>
      <c r="H43" s="26"/>
      <c r="I43" s="120">
        <f>I41 - I42</f>
        <v>0</v>
      </c>
      <c r="J43" s="128">
        <f>J41 - J42</f>
        <v>0</v>
      </c>
      <c r="K43" s="128">
        <f>K41 - K42</f>
        <v>0</v>
      </c>
      <c r="L43" s="124"/>
      <c r="M43" s="124"/>
      <c r="N43" s="120">
        <f>N41 - N42</f>
        <v>0</v>
      </c>
      <c r="O43" s="120">
        <f>O41 - O42</f>
        <v>0</v>
      </c>
      <c r="P43" s="122">
        <f t="shared" si="0"/>
        <v>0</v>
      </c>
      <c r="Q43" s="139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</row>
    <row r="44" spans="1:45" s="11" customFormat="1" ht="11.25" customHeight="1" x14ac:dyDescent="0.2">
      <c r="A44" s="44" t="s">
        <v>208</v>
      </c>
      <c r="B44" s="13" t="s">
        <v>209</v>
      </c>
      <c r="C44" s="13"/>
      <c r="D44" s="45"/>
      <c r="E44" s="35"/>
      <c r="F44" s="29"/>
      <c r="G44" s="144" t="s">
        <v>449</v>
      </c>
      <c r="H44" s="26"/>
      <c r="I44" s="120">
        <f t="shared" ref="I44:O44" si="10">I45 + I50 + I55</f>
        <v>0</v>
      </c>
      <c r="J44" s="128">
        <f t="shared" si="10"/>
        <v>0</v>
      </c>
      <c r="K44" s="128">
        <f t="shared" si="10"/>
        <v>0</v>
      </c>
      <c r="L44" s="128">
        <f t="shared" si="10"/>
        <v>0</v>
      </c>
      <c r="M44" s="128">
        <f t="shared" si="10"/>
        <v>0</v>
      </c>
      <c r="N44" s="120">
        <f t="shared" si="10"/>
        <v>0</v>
      </c>
      <c r="O44" s="120">
        <f t="shared" si="10"/>
        <v>0</v>
      </c>
      <c r="P44" s="122">
        <f t="shared" si="0"/>
        <v>0</v>
      </c>
      <c r="Q44" s="139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</row>
    <row r="45" spans="1:45" s="11" customFormat="1" ht="11.25" customHeight="1" x14ac:dyDescent="0.2">
      <c r="A45" s="53"/>
      <c r="B45" s="54" t="s">
        <v>178</v>
      </c>
      <c r="C45" s="54" t="s">
        <v>210</v>
      </c>
      <c r="D45" s="35"/>
      <c r="E45" s="35"/>
      <c r="F45" s="29"/>
      <c r="G45" s="144" t="s">
        <v>450</v>
      </c>
      <c r="H45" s="26"/>
      <c r="I45" s="120">
        <f t="shared" ref="I45:O45" si="11">I46+I47</f>
        <v>0</v>
      </c>
      <c r="J45" s="128">
        <f t="shared" si="11"/>
        <v>0</v>
      </c>
      <c r="K45" s="128">
        <f t="shared" si="11"/>
        <v>0</v>
      </c>
      <c r="L45" s="128">
        <f t="shared" si="11"/>
        <v>0</v>
      </c>
      <c r="M45" s="128">
        <f t="shared" si="11"/>
        <v>0</v>
      </c>
      <c r="N45" s="120">
        <f t="shared" si="11"/>
        <v>0</v>
      </c>
      <c r="O45" s="120">
        <f t="shared" si="11"/>
        <v>0</v>
      </c>
      <c r="P45" s="122">
        <f t="shared" si="0"/>
        <v>0</v>
      </c>
      <c r="Q45" s="139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</row>
    <row r="46" spans="1:45" s="11" customFormat="1" ht="11.25" customHeight="1" x14ac:dyDescent="0.2">
      <c r="A46" s="44"/>
      <c r="B46" s="13"/>
      <c r="C46" s="13" t="s">
        <v>188</v>
      </c>
      <c r="D46" s="45" t="s">
        <v>212</v>
      </c>
      <c r="E46" s="35"/>
      <c r="F46" s="29"/>
      <c r="G46" s="144" t="s">
        <v>451</v>
      </c>
      <c r="H46" s="26"/>
      <c r="I46" s="119"/>
      <c r="J46" s="153"/>
      <c r="K46" s="153"/>
      <c r="L46" s="153"/>
      <c r="M46" s="153"/>
      <c r="N46" s="119"/>
      <c r="O46" s="119"/>
      <c r="P46" s="122">
        <f t="shared" si="0"/>
        <v>0</v>
      </c>
      <c r="Q46" s="139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</row>
    <row r="47" spans="1:45" s="11" customFormat="1" ht="11.25" customHeight="1" x14ac:dyDescent="0.2">
      <c r="A47" s="53"/>
      <c r="B47" s="54"/>
      <c r="C47" s="54" t="s">
        <v>192</v>
      </c>
      <c r="D47" s="35" t="s">
        <v>213</v>
      </c>
      <c r="E47" s="35"/>
      <c r="F47" s="29"/>
      <c r="G47" s="144" t="s">
        <v>452</v>
      </c>
      <c r="H47" s="26"/>
      <c r="I47" s="119"/>
      <c r="J47" s="153"/>
      <c r="K47" s="153"/>
      <c r="L47" s="153"/>
      <c r="M47" s="153"/>
      <c r="N47" s="119"/>
      <c r="O47" s="119"/>
      <c r="P47" s="122">
        <f t="shared" si="0"/>
        <v>0</v>
      </c>
      <c r="Q47" s="139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</row>
    <row r="48" spans="1:45" s="11" customFormat="1" ht="11.25" customHeight="1" x14ac:dyDescent="0.2">
      <c r="A48" s="44"/>
      <c r="B48" s="13" t="s">
        <v>180</v>
      </c>
      <c r="C48" s="13" t="s">
        <v>214</v>
      </c>
      <c r="D48" s="45"/>
      <c r="E48" s="35"/>
      <c r="F48" s="29"/>
      <c r="G48" s="144" t="s">
        <v>453</v>
      </c>
      <c r="H48" s="26"/>
      <c r="I48" s="119"/>
      <c r="J48" s="153"/>
      <c r="K48" s="153"/>
      <c r="L48" s="153"/>
      <c r="M48" s="153"/>
      <c r="N48" s="119"/>
      <c r="O48" s="119"/>
      <c r="P48" s="122">
        <f t="shared" si="0"/>
        <v>0</v>
      </c>
      <c r="Q48" s="139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</row>
    <row r="49" spans="1:45" s="11" customFormat="1" ht="11.25" customHeight="1" x14ac:dyDescent="0.2">
      <c r="A49" s="57"/>
      <c r="B49" s="56"/>
      <c r="C49" s="56" t="s">
        <v>200</v>
      </c>
      <c r="D49" s="37"/>
      <c r="E49" s="37"/>
      <c r="F49" s="31"/>
      <c r="G49" s="144" t="s">
        <v>454</v>
      </c>
      <c r="H49" s="26"/>
      <c r="I49" s="119"/>
      <c r="J49" s="153"/>
      <c r="K49" s="153"/>
      <c r="L49" s="153"/>
      <c r="M49" s="153"/>
      <c r="N49" s="119"/>
      <c r="O49" s="119"/>
      <c r="P49" s="122">
        <f t="shared" si="0"/>
        <v>0</v>
      </c>
      <c r="Q49" s="139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</row>
    <row r="50" spans="1:45" s="17" customFormat="1" ht="11.25" customHeight="1" x14ac:dyDescent="0.2">
      <c r="A50" s="48"/>
      <c r="B50" s="13"/>
      <c r="C50" s="13" t="s">
        <v>215</v>
      </c>
      <c r="D50" s="45"/>
      <c r="E50" s="35"/>
      <c r="F50" s="29"/>
      <c r="G50" s="144" t="s">
        <v>455</v>
      </c>
      <c r="H50" s="26"/>
      <c r="I50" s="120">
        <f t="shared" ref="I50:O50" si="12">I48 - I49</f>
        <v>0</v>
      </c>
      <c r="J50" s="128">
        <f t="shared" si="12"/>
        <v>0</v>
      </c>
      <c r="K50" s="128">
        <f t="shared" si="12"/>
        <v>0</v>
      </c>
      <c r="L50" s="128">
        <f t="shared" si="12"/>
        <v>0</v>
      </c>
      <c r="M50" s="128">
        <f t="shared" si="12"/>
        <v>0</v>
      </c>
      <c r="N50" s="120">
        <f t="shared" si="12"/>
        <v>0</v>
      </c>
      <c r="O50" s="120">
        <f t="shared" si="12"/>
        <v>0</v>
      </c>
      <c r="P50" s="122">
        <f t="shared" si="0"/>
        <v>0</v>
      </c>
      <c r="Q50" s="139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</row>
    <row r="51" spans="1:45" s="11" customFormat="1" ht="11.25" customHeight="1" x14ac:dyDescent="0.2">
      <c r="A51" s="53"/>
      <c r="B51" s="54" t="s">
        <v>182</v>
      </c>
      <c r="C51" s="54" t="s">
        <v>216</v>
      </c>
      <c r="D51" s="35"/>
      <c r="E51" s="35"/>
      <c r="F51" s="29"/>
      <c r="G51" s="144" t="s">
        <v>456</v>
      </c>
      <c r="H51" s="26"/>
      <c r="I51" s="119"/>
      <c r="J51" s="153"/>
      <c r="K51" s="153"/>
      <c r="L51" s="153"/>
      <c r="M51" s="153"/>
      <c r="N51" s="119"/>
      <c r="O51" s="119"/>
      <c r="P51" s="122">
        <f t="shared" si="0"/>
        <v>0</v>
      </c>
      <c r="Q51" s="139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</row>
    <row r="52" spans="1:45" s="11" customFormat="1" ht="11.25" customHeight="1" x14ac:dyDescent="0.2">
      <c r="A52" s="53"/>
      <c r="B52" s="54"/>
      <c r="C52" s="164" t="s">
        <v>406</v>
      </c>
      <c r="D52" s="35"/>
      <c r="E52" s="35"/>
      <c r="F52" s="29"/>
      <c r="G52" s="144" t="s">
        <v>457</v>
      </c>
      <c r="H52" s="26"/>
      <c r="I52" s="119"/>
      <c r="J52" s="153"/>
      <c r="K52" s="153"/>
      <c r="L52" s="153"/>
      <c r="M52" s="153"/>
      <c r="N52" s="119"/>
      <c r="O52" s="119"/>
      <c r="P52" s="122">
        <f t="shared" si="0"/>
        <v>0</v>
      </c>
      <c r="Q52" s="139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</row>
    <row r="53" spans="1:45" s="11" customFormat="1" ht="11.25" customHeight="1" x14ac:dyDescent="0.2">
      <c r="A53" s="53"/>
      <c r="B53" s="54"/>
      <c r="C53" s="54" t="s">
        <v>407</v>
      </c>
      <c r="D53" s="35"/>
      <c r="E53" s="35"/>
      <c r="F53" s="29"/>
      <c r="G53" s="144" t="s">
        <v>458</v>
      </c>
      <c r="H53" s="26"/>
      <c r="I53" s="120">
        <f>I51-I52</f>
        <v>0</v>
      </c>
      <c r="J53" s="128">
        <f t="shared" ref="J53:O53" si="13">J51-J52</f>
        <v>0</v>
      </c>
      <c r="K53" s="128">
        <f t="shared" si="13"/>
        <v>0</v>
      </c>
      <c r="L53" s="128">
        <f t="shared" si="13"/>
        <v>0</v>
      </c>
      <c r="M53" s="128">
        <f t="shared" si="13"/>
        <v>0</v>
      </c>
      <c r="N53" s="120">
        <f t="shared" si="13"/>
        <v>0</v>
      </c>
      <c r="O53" s="120">
        <f t="shared" si="13"/>
        <v>0</v>
      </c>
      <c r="P53" s="122">
        <f t="shared" si="0"/>
        <v>0</v>
      </c>
      <c r="Q53" s="139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</row>
    <row r="54" spans="1:45" s="11" customFormat="1" ht="11.25" customHeight="1" x14ac:dyDescent="0.2">
      <c r="A54" s="48"/>
      <c r="B54" s="16"/>
      <c r="C54" s="16" t="s">
        <v>200</v>
      </c>
      <c r="D54" s="47"/>
      <c r="E54" s="37"/>
      <c r="F54" s="31"/>
      <c r="G54" s="144" t="s">
        <v>459</v>
      </c>
      <c r="H54" s="26"/>
      <c r="I54" s="119"/>
      <c r="J54" s="153"/>
      <c r="K54" s="153"/>
      <c r="L54" s="153"/>
      <c r="M54" s="153"/>
      <c r="N54" s="119"/>
      <c r="O54" s="119"/>
      <c r="P54" s="122">
        <f t="shared" si="0"/>
        <v>0</v>
      </c>
      <c r="Q54" s="139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</row>
    <row r="55" spans="1:45" s="17" customFormat="1" ht="11.25" customHeight="1" x14ac:dyDescent="0.2">
      <c r="A55" s="57"/>
      <c r="B55" s="54"/>
      <c r="C55" s="167" t="s">
        <v>415</v>
      </c>
      <c r="D55" s="168"/>
      <c r="E55" s="36"/>
      <c r="F55" s="30"/>
      <c r="G55" s="144" t="s">
        <v>460</v>
      </c>
      <c r="H55" s="26"/>
      <c r="I55" s="120">
        <f>I53-I54</f>
        <v>0</v>
      </c>
      <c r="J55" s="128">
        <f t="shared" ref="J55:O55" si="14">J53-J54</f>
        <v>0</v>
      </c>
      <c r="K55" s="128">
        <f t="shared" si="14"/>
        <v>0</v>
      </c>
      <c r="L55" s="128">
        <f t="shared" si="14"/>
        <v>0</v>
      </c>
      <c r="M55" s="128">
        <f t="shared" si="14"/>
        <v>0</v>
      </c>
      <c r="N55" s="120">
        <f t="shared" si="14"/>
        <v>0</v>
      </c>
      <c r="O55" s="120">
        <f t="shared" si="14"/>
        <v>0</v>
      </c>
      <c r="P55" s="122">
        <f t="shared" si="0"/>
        <v>0</v>
      </c>
      <c r="Q55" s="139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</row>
    <row r="56" spans="1:45" s="11" customFormat="1" ht="24" customHeight="1" x14ac:dyDescent="0.2">
      <c r="A56" s="53" t="s">
        <v>218</v>
      </c>
      <c r="B56" s="167" t="s">
        <v>219</v>
      </c>
      <c r="C56" s="167"/>
      <c r="D56" s="168"/>
      <c r="E56" s="36"/>
      <c r="F56" s="30"/>
      <c r="G56" s="144" t="s">
        <v>461</v>
      </c>
      <c r="H56" s="26"/>
      <c r="I56" s="125"/>
      <c r="J56" s="154"/>
      <c r="K56" s="154"/>
      <c r="L56" s="154"/>
      <c r="M56" s="154"/>
      <c r="N56" s="125"/>
      <c r="O56" s="125"/>
      <c r="P56" s="126">
        <f t="shared" si="0"/>
        <v>0</v>
      </c>
      <c r="Q56" s="139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</row>
    <row r="57" spans="1:45" s="11" customFormat="1" x14ac:dyDescent="0.2">
      <c r="A57" s="48"/>
      <c r="B57" s="16"/>
      <c r="C57" s="16" t="s">
        <v>200</v>
      </c>
      <c r="D57" s="47"/>
      <c r="E57" s="37"/>
      <c r="F57" s="31"/>
      <c r="G57" s="144" t="s">
        <v>462</v>
      </c>
      <c r="H57" s="26"/>
      <c r="I57" s="125"/>
      <c r="J57" s="154"/>
      <c r="K57" s="154"/>
      <c r="L57" s="154"/>
      <c r="M57" s="154"/>
      <c r="N57" s="125"/>
      <c r="O57" s="125"/>
      <c r="P57" s="126">
        <f t="shared" si="0"/>
        <v>0</v>
      </c>
      <c r="Q57" s="139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</row>
    <row r="58" spans="1:45" s="11" customFormat="1" ht="11.25" customHeight="1" x14ac:dyDescent="0.2">
      <c r="A58" s="57"/>
      <c r="B58" s="54"/>
      <c r="C58" s="167" t="s">
        <v>414</v>
      </c>
      <c r="D58" s="168"/>
      <c r="E58" s="36"/>
      <c r="F58" s="30"/>
      <c r="G58" s="144" t="s">
        <v>463</v>
      </c>
      <c r="H58" s="26"/>
      <c r="I58" s="137">
        <f>I56-I57</f>
        <v>0</v>
      </c>
      <c r="J58" s="152">
        <f t="shared" ref="J58:O58" si="15">J56-J57</f>
        <v>0</v>
      </c>
      <c r="K58" s="152">
        <f t="shared" si="15"/>
        <v>0</v>
      </c>
      <c r="L58" s="152">
        <f t="shared" si="15"/>
        <v>0</v>
      </c>
      <c r="M58" s="152">
        <f t="shared" si="15"/>
        <v>0</v>
      </c>
      <c r="N58" s="137">
        <f t="shared" si="15"/>
        <v>0</v>
      </c>
      <c r="O58" s="137">
        <f t="shared" si="15"/>
        <v>0</v>
      </c>
      <c r="P58" s="126">
        <f t="shared" si="0"/>
        <v>0</v>
      </c>
      <c r="Q58" s="139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</row>
    <row r="59" spans="1:45" s="11" customFormat="1" x14ac:dyDescent="0.2">
      <c r="A59" s="143" t="s">
        <v>217</v>
      </c>
      <c r="B59" s="54"/>
      <c r="C59" s="54"/>
      <c r="D59" s="35"/>
      <c r="E59" s="35"/>
      <c r="F59" s="29"/>
      <c r="G59" s="144" t="s">
        <v>464</v>
      </c>
      <c r="H59" s="26"/>
      <c r="I59" s="125"/>
      <c r="J59" s="154"/>
      <c r="K59" s="154"/>
      <c r="L59" s="154"/>
      <c r="M59" s="154"/>
      <c r="N59" s="125"/>
      <c r="O59" s="125"/>
      <c r="P59" s="126">
        <f t="shared" si="0"/>
        <v>0</v>
      </c>
      <c r="Q59" s="139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</row>
    <row r="60" spans="1:45" s="11" customFormat="1" ht="11.25" customHeight="1" x14ac:dyDescent="0.2">
      <c r="A60" s="57" t="s">
        <v>413</v>
      </c>
      <c r="B60" s="54"/>
      <c r="C60" s="13"/>
      <c r="D60" s="13"/>
      <c r="E60" s="36"/>
      <c r="F60" s="30"/>
      <c r="G60" s="144" t="s">
        <v>465</v>
      </c>
      <c r="H60" s="26"/>
      <c r="I60" s="137">
        <f>I44+I58-I59</f>
        <v>0</v>
      </c>
      <c r="J60" s="152">
        <f t="shared" ref="J60:O60" si="16">J44+J58-J59</f>
        <v>0</v>
      </c>
      <c r="K60" s="152">
        <f t="shared" si="16"/>
        <v>0</v>
      </c>
      <c r="L60" s="152">
        <f t="shared" si="16"/>
        <v>0</v>
      </c>
      <c r="M60" s="152">
        <f t="shared" si="16"/>
        <v>0</v>
      </c>
      <c r="N60" s="137">
        <f t="shared" si="16"/>
        <v>0</v>
      </c>
      <c r="O60" s="137">
        <f t="shared" si="16"/>
        <v>0</v>
      </c>
      <c r="P60" s="126">
        <f t="shared" si="0"/>
        <v>0</v>
      </c>
      <c r="Q60" s="139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</row>
    <row r="61" spans="1:45" s="11" customFormat="1" ht="11.25" customHeight="1" x14ac:dyDescent="0.2">
      <c r="A61" s="53" t="s">
        <v>220</v>
      </c>
      <c r="B61" s="167" t="s">
        <v>221</v>
      </c>
      <c r="C61" s="167"/>
      <c r="D61" s="168"/>
      <c r="E61" s="36"/>
      <c r="F61" s="30"/>
      <c r="G61" s="144" t="s">
        <v>466</v>
      </c>
      <c r="H61" s="26"/>
      <c r="I61" s="128">
        <f t="shared" ref="I61:O61" si="17">I62 + I63 + I64 + I65</f>
        <v>0</v>
      </c>
      <c r="J61" s="128">
        <f t="shared" si="17"/>
        <v>0</v>
      </c>
      <c r="K61" s="128">
        <f t="shared" si="17"/>
        <v>0</v>
      </c>
      <c r="L61" s="128">
        <f t="shared" si="17"/>
        <v>0</v>
      </c>
      <c r="M61" s="128">
        <f t="shared" si="17"/>
        <v>0</v>
      </c>
      <c r="N61" s="120">
        <f t="shared" si="17"/>
        <v>0</v>
      </c>
      <c r="O61" s="120">
        <f t="shared" si="17"/>
        <v>0</v>
      </c>
      <c r="P61" s="128">
        <f t="shared" si="0"/>
        <v>0</v>
      </c>
      <c r="Q61" s="139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</row>
    <row r="62" spans="1:45" s="11" customFormat="1" ht="11.25" customHeight="1" x14ac:dyDescent="0.2">
      <c r="A62" s="53"/>
      <c r="B62" s="54" t="s">
        <v>178</v>
      </c>
      <c r="C62" s="54" t="s">
        <v>222</v>
      </c>
      <c r="D62" s="35"/>
      <c r="E62" s="35"/>
      <c r="F62" s="29"/>
      <c r="G62" s="144" t="s">
        <v>467</v>
      </c>
      <c r="H62" s="26"/>
      <c r="I62" s="153"/>
      <c r="J62" s="153"/>
      <c r="K62" s="153"/>
      <c r="L62" s="153"/>
      <c r="M62" s="153"/>
      <c r="N62" s="119"/>
      <c r="O62" s="119"/>
      <c r="P62" s="128">
        <f t="shared" si="0"/>
        <v>0</v>
      </c>
      <c r="Q62" s="139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</row>
    <row r="63" spans="1:45" s="11" customFormat="1" ht="11.25" customHeight="1" x14ac:dyDescent="0.2">
      <c r="A63" s="53"/>
      <c r="B63" s="54" t="s">
        <v>180</v>
      </c>
      <c r="C63" s="54" t="s">
        <v>223</v>
      </c>
      <c r="D63" s="35"/>
      <c r="E63" s="35"/>
      <c r="F63" s="29"/>
      <c r="G63" s="144" t="s">
        <v>468</v>
      </c>
      <c r="H63" s="26"/>
      <c r="I63" s="153"/>
      <c r="J63" s="153"/>
      <c r="K63" s="153"/>
      <c r="L63" s="153"/>
      <c r="M63" s="153"/>
      <c r="N63" s="119"/>
      <c r="O63" s="119"/>
      <c r="P63" s="128">
        <f t="shared" si="0"/>
        <v>0</v>
      </c>
      <c r="Q63" s="139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</row>
    <row r="64" spans="1:45" s="11" customFormat="1" ht="11.25" customHeight="1" x14ac:dyDescent="0.2">
      <c r="A64" s="44"/>
      <c r="B64" s="13" t="s">
        <v>182</v>
      </c>
      <c r="C64" s="13" t="s">
        <v>224</v>
      </c>
      <c r="D64" s="45"/>
      <c r="E64" s="35"/>
      <c r="F64" s="29"/>
      <c r="G64" s="144" t="s">
        <v>469</v>
      </c>
      <c r="H64" s="26"/>
      <c r="I64" s="153"/>
      <c r="J64" s="153"/>
      <c r="K64" s="153"/>
      <c r="L64" s="153"/>
      <c r="M64" s="153"/>
      <c r="N64" s="119"/>
      <c r="O64" s="119"/>
      <c r="P64" s="128">
        <f t="shared" si="0"/>
        <v>0</v>
      </c>
      <c r="Q64" s="139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</row>
    <row r="65" spans="1:45" s="11" customFormat="1" ht="11.25" customHeight="1" x14ac:dyDescent="0.2">
      <c r="A65" s="53"/>
      <c r="B65" s="54" t="s">
        <v>225</v>
      </c>
      <c r="C65" s="54" t="s">
        <v>226</v>
      </c>
      <c r="D65" s="35"/>
      <c r="E65" s="35"/>
      <c r="F65" s="29"/>
      <c r="G65" s="144" t="s">
        <v>470</v>
      </c>
      <c r="H65" s="26"/>
      <c r="I65" s="153"/>
      <c r="J65" s="153"/>
      <c r="K65" s="153"/>
      <c r="L65" s="153"/>
      <c r="M65" s="153"/>
      <c r="N65" s="119"/>
      <c r="O65" s="119"/>
      <c r="P65" s="128">
        <f t="shared" si="0"/>
        <v>0</v>
      </c>
      <c r="Q65" s="139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</row>
    <row r="66" spans="1:45" s="11" customFormat="1" ht="11.25" customHeight="1" x14ac:dyDescent="0.2">
      <c r="A66" s="53" t="s">
        <v>227</v>
      </c>
      <c r="B66" s="167" t="s">
        <v>228</v>
      </c>
      <c r="C66" s="167"/>
      <c r="D66" s="168"/>
      <c r="E66" s="36"/>
      <c r="F66" s="30"/>
      <c r="G66" s="144" t="s">
        <v>471</v>
      </c>
      <c r="H66" s="26"/>
      <c r="I66" s="153"/>
      <c r="J66" s="153"/>
      <c r="K66" s="153"/>
      <c r="L66" s="153"/>
      <c r="M66" s="153"/>
      <c r="N66" s="119"/>
      <c r="O66" s="119"/>
      <c r="P66" s="128">
        <f t="shared" si="0"/>
        <v>0</v>
      </c>
      <c r="Q66" s="139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</row>
    <row r="67" spans="1:45" s="11" customFormat="1" ht="11.25" customHeight="1" x14ac:dyDescent="0.2">
      <c r="A67" s="53" t="s">
        <v>229</v>
      </c>
      <c r="B67" s="54" t="s">
        <v>230</v>
      </c>
      <c r="C67" s="54"/>
      <c r="D67" s="35"/>
      <c r="E67" s="35"/>
      <c r="F67" s="29"/>
      <c r="G67" s="144" t="s">
        <v>472</v>
      </c>
      <c r="H67" s="26"/>
      <c r="I67" s="120">
        <f t="shared" ref="I67:O67" si="18">I68 + I69</f>
        <v>0</v>
      </c>
      <c r="J67" s="128">
        <f t="shared" si="18"/>
        <v>0</v>
      </c>
      <c r="K67" s="128">
        <f t="shared" si="18"/>
        <v>0</v>
      </c>
      <c r="L67" s="128">
        <f t="shared" si="18"/>
        <v>0</v>
      </c>
      <c r="M67" s="128">
        <f t="shared" si="18"/>
        <v>0</v>
      </c>
      <c r="N67" s="120">
        <f t="shared" si="18"/>
        <v>0</v>
      </c>
      <c r="O67" s="120">
        <f t="shared" si="18"/>
        <v>0</v>
      </c>
      <c r="P67" s="122">
        <f t="shared" si="0"/>
        <v>0</v>
      </c>
      <c r="Q67" s="139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</row>
    <row r="68" spans="1:45" s="11" customFormat="1" ht="11.25" customHeight="1" x14ac:dyDescent="0.2">
      <c r="A68" s="44"/>
      <c r="B68" s="13" t="s">
        <v>178</v>
      </c>
      <c r="C68" s="13" t="s">
        <v>231</v>
      </c>
      <c r="D68" s="45"/>
      <c r="E68" s="35"/>
      <c r="F68" s="29"/>
      <c r="G68" s="144" t="s">
        <v>473</v>
      </c>
      <c r="H68" s="26"/>
      <c r="I68" s="119"/>
      <c r="J68" s="153"/>
      <c r="K68" s="153"/>
      <c r="L68" s="153"/>
      <c r="M68" s="153"/>
      <c r="N68" s="119"/>
      <c r="O68" s="119"/>
      <c r="P68" s="122">
        <f t="shared" si="0"/>
        <v>0</v>
      </c>
      <c r="Q68" s="139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</row>
    <row r="69" spans="1:45" s="11" customFormat="1" ht="11.25" customHeight="1" x14ac:dyDescent="0.2">
      <c r="A69" s="53"/>
      <c r="B69" s="54" t="s">
        <v>180</v>
      </c>
      <c r="C69" s="54" t="s">
        <v>232</v>
      </c>
      <c r="D69" s="35"/>
      <c r="E69" s="35"/>
      <c r="F69" s="29"/>
      <c r="G69" s="144" t="s">
        <v>474</v>
      </c>
      <c r="H69" s="26"/>
      <c r="I69" s="119"/>
      <c r="J69" s="153"/>
      <c r="K69" s="153"/>
      <c r="L69" s="153"/>
      <c r="M69" s="153"/>
      <c r="N69" s="119"/>
      <c r="O69" s="119"/>
      <c r="P69" s="122">
        <f t="shared" si="0"/>
        <v>0</v>
      </c>
      <c r="Q69" s="139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</row>
    <row r="70" spans="1:45" s="11" customFormat="1" ht="11.25" customHeight="1" x14ac:dyDescent="0.2">
      <c r="A70" s="53"/>
      <c r="B70" s="149" t="s">
        <v>406</v>
      </c>
      <c r="C70" s="54"/>
      <c r="D70" s="35"/>
      <c r="E70" s="35"/>
      <c r="F70" s="29"/>
      <c r="G70" s="144" t="s">
        <v>643</v>
      </c>
      <c r="H70" s="26"/>
      <c r="I70" s="119"/>
      <c r="J70" s="153"/>
      <c r="K70" s="153"/>
      <c r="L70" s="153"/>
      <c r="M70" s="153"/>
      <c r="N70" s="119"/>
      <c r="O70" s="119"/>
      <c r="P70" s="122">
        <f t="shared" si="0"/>
        <v>0</v>
      </c>
      <c r="Q70" s="139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</row>
    <row r="71" spans="1:45" s="11" customFormat="1" ht="11.25" customHeight="1" x14ac:dyDescent="0.2">
      <c r="A71" s="140"/>
      <c r="B71" s="51" t="s">
        <v>1115</v>
      </c>
      <c r="C71" s="51"/>
      <c r="D71" s="52"/>
      <c r="E71" s="35"/>
      <c r="F71" s="29"/>
      <c r="G71" s="144" t="s">
        <v>644</v>
      </c>
      <c r="H71" s="26"/>
      <c r="I71" s="120">
        <f t="shared" ref="I71:O71" si="19">I67-I70</f>
        <v>0</v>
      </c>
      <c r="J71" s="128">
        <f t="shared" si="19"/>
        <v>0</v>
      </c>
      <c r="K71" s="128">
        <f t="shared" si="19"/>
        <v>0</v>
      </c>
      <c r="L71" s="128">
        <f t="shared" si="19"/>
        <v>0</v>
      </c>
      <c r="M71" s="128">
        <f t="shared" si="19"/>
        <v>0</v>
      </c>
      <c r="N71" s="120">
        <f t="shared" si="19"/>
        <v>0</v>
      </c>
      <c r="O71" s="120">
        <f t="shared" si="19"/>
        <v>0</v>
      </c>
      <c r="P71" s="122">
        <f t="shared" si="0"/>
        <v>0</v>
      </c>
      <c r="Q71" s="139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</row>
    <row r="72" spans="1:45" s="11" customFormat="1" ht="11.25" customHeight="1" x14ac:dyDescent="0.2">
      <c r="A72" s="44"/>
      <c r="B72" s="16" t="s">
        <v>200</v>
      </c>
      <c r="C72" s="16"/>
      <c r="D72" s="45"/>
      <c r="E72" s="35"/>
      <c r="F72" s="29"/>
      <c r="G72" s="144" t="s">
        <v>475</v>
      </c>
      <c r="H72" s="26"/>
      <c r="I72" s="119"/>
      <c r="J72" s="153"/>
      <c r="K72" s="153"/>
      <c r="L72" s="153"/>
      <c r="M72" s="153"/>
      <c r="N72" s="119"/>
      <c r="O72" s="119"/>
      <c r="P72" s="122">
        <f t="shared" si="0"/>
        <v>0</v>
      </c>
      <c r="Q72" s="139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</row>
    <row r="73" spans="1:45" s="17" customFormat="1" ht="11.25" customHeight="1" x14ac:dyDescent="0.2">
      <c r="A73" s="53"/>
      <c r="B73" s="54" t="s">
        <v>233</v>
      </c>
      <c r="C73" s="54"/>
      <c r="D73" s="35"/>
      <c r="E73" s="35"/>
      <c r="F73" s="29"/>
      <c r="G73" s="144" t="s">
        <v>476</v>
      </c>
      <c r="H73" s="26"/>
      <c r="I73" s="120">
        <f t="shared" ref="I73:O73" si="20">I71-I72</f>
        <v>0</v>
      </c>
      <c r="J73" s="128">
        <f t="shared" si="20"/>
        <v>0</v>
      </c>
      <c r="K73" s="128">
        <f t="shared" si="20"/>
        <v>0</v>
      </c>
      <c r="L73" s="128">
        <f t="shared" si="20"/>
        <v>0</v>
      </c>
      <c r="M73" s="128">
        <f t="shared" si="20"/>
        <v>0</v>
      </c>
      <c r="N73" s="120">
        <f t="shared" si="20"/>
        <v>0</v>
      </c>
      <c r="O73" s="120">
        <f t="shared" si="20"/>
        <v>0</v>
      </c>
      <c r="P73" s="122">
        <f t="shared" si="0"/>
        <v>0</v>
      </c>
      <c r="Q73" s="139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</row>
    <row r="74" spans="1:45" s="11" customFormat="1" ht="11.25" customHeight="1" x14ac:dyDescent="0.2">
      <c r="A74" s="44" t="s">
        <v>234</v>
      </c>
      <c r="B74" s="13" t="s">
        <v>235</v>
      </c>
      <c r="C74" s="13"/>
      <c r="D74" s="45"/>
      <c r="E74" s="35"/>
      <c r="F74" s="29"/>
      <c r="G74" s="144" t="s">
        <v>477</v>
      </c>
      <c r="H74" s="26"/>
      <c r="I74" s="119"/>
      <c r="J74" s="119"/>
      <c r="K74" s="119"/>
      <c r="L74" s="153"/>
      <c r="M74" s="153"/>
      <c r="N74" s="119"/>
      <c r="O74" s="119"/>
      <c r="P74" s="122">
        <f t="shared" si="0"/>
        <v>0</v>
      </c>
      <c r="Q74" s="139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</row>
    <row r="75" spans="1:45" s="11" customFormat="1" ht="11.25" customHeight="1" x14ac:dyDescent="0.2">
      <c r="A75" s="53"/>
      <c r="B75" s="56" t="s">
        <v>200</v>
      </c>
      <c r="C75" s="54"/>
      <c r="D75" s="35"/>
      <c r="E75" s="35"/>
      <c r="F75" s="29"/>
      <c r="G75" s="144" t="s">
        <v>478</v>
      </c>
      <c r="H75" s="26"/>
      <c r="I75" s="119"/>
      <c r="J75" s="119"/>
      <c r="K75" s="119"/>
      <c r="L75" s="153"/>
      <c r="M75" s="153"/>
      <c r="N75" s="119"/>
      <c r="O75" s="119"/>
      <c r="P75" s="122">
        <f t="shared" si="0"/>
        <v>0</v>
      </c>
      <c r="Q75" s="139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</row>
    <row r="76" spans="1:45" s="17" customFormat="1" ht="11.25" customHeight="1" x14ac:dyDescent="0.2">
      <c r="A76" s="44"/>
      <c r="B76" s="13" t="s">
        <v>236</v>
      </c>
      <c r="C76" s="13"/>
      <c r="D76" s="45"/>
      <c r="E76" s="35"/>
      <c r="F76" s="29"/>
      <c r="G76" s="144" t="s">
        <v>479</v>
      </c>
      <c r="H76" s="26"/>
      <c r="I76" s="120">
        <f t="shared" ref="I76:O76" si="21">I74 - I75</f>
        <v>0</v>
      </c>
      <c r="J76" s="120">
        <f t="shared" si="21"/>
        <v>0</v>
      </c>
      <c r="K76" s="120">
        <f t="shared" si="21"/>
        <v>0</v>
      </c>
      <c r="L76" s="128">
        <f t="shared" si="21"/>
        <v>0</v>
      </c>
      <c r="M76" s="128">
        <f t="shared" si="21"/>
        <v>0</v>
      </c>
      <c r="N76" s="120">
        <f t="shared" si="21"/>
        <v>0</v>
      </c>
      <c r="O76" s="120">
        <f t="shared" si="21"/>
        <v>0</v>
      </c>
      <c r="P76" s="122">
        <f t="shared" si="0"/>
        <v>0</v>
      </c>
      <c r="Q76" s="139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</row>
    <row r="77" spans="1:45" s="11" customFormat="1" ht="11.25" customHeight="1" x14ac:dyDescent="0.2">
      <c r="A77" s="53" t="s">
        <v>237</v>
      </c>
      <c r="B77" s="167" t="s">
        <v>238</v>
      </c>
      <c r="C77" s="167"/>
      <c r="D77" s="168"/>
      <c r="E77" s="36"/>
      <c r="F77" s="30"/>
      <c r="G77" s="144" t="s">
        <v>480</v>
      </c>
      <c r="H77" s="26"/>
      <c r="I77" s="119"/>
      <c r="J77" s="153"/>
      <c r="K77" s="153"/>
      <c r="L77" s="123"/>
      <c r="M77" s="123"/>
      <c r="N77" s="150"/>
      <c r="O77" s="150"/>
      <c r="P77" s="122">
        <f t="shared" si="0"/>
        <v>0</v>
      </c>
      <c r="Q77" s="139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</row>
    <row r="78" spans="1:45" s="11" customFormat="1" ht="11.25" customHeight="1" x14ac:dyDescent="0.2">
      <c r="A78" s="48"/>
      <c r="B78" s="16" t="s">
        <v>200</v>
      </c>
      <c r="C78" s="13"/>
      <c r="D78" s="45"/>
      <c r="E78" s="35"/>
      <c r="F78" s="29"/>
      <c r="G78" s="144" t="s">
        <v>481</v>
      </c>
      <c r="H78" s="26"/>
      <c r="I78" s="119"/>
      <c r="J78" s="153"/>
      <c r="K78" s="153"/>
      <c r="L78" s="123"/>
      <c r="M78" s="123"/>
      <c r="N78" s="150"/>
      <c r="O78" s="150"/>
      <c r="P78" s="122">
        <f t="shared" si="0"/>
        <v>0</v>
      </c>
      <c r="Q78" s="139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</row>
    <row r="79" spans="1:45" s="11" customFormat="1" ht="11.25" customHeight="1" x14ac:dyDescent="0.2">
      <c r="A79" s="57"/>
      <c r="B79" s="167" t="s">
        <v>239</v>
      </c>
      <c r="C79" s="167"/>
      <c r="D79" s="168"/>
      <c r="E79" s="36"/>
      <c r="F79" s="30"/>
      <c r="G79" s="144" t="s">
        <v>482</v>
      </c>
      <c r="H79" s="26"/>
      <c r="I79" s="120">
        <f>I77 - I78</f>
        <v>0</v>
      </c>
      <c r="J79" s="128">
        <f>J77 - J78</f>
        <v>0</v>
      </c>
      <c r="K79" s="128">
        <f>K77 - K78</f>
        <v>0</v>
      </c>
      <c r="L79" s="124"/>
      <c r="M79" s="124"/>
      <c r="N79" s="151"/>
      <c r="O79" s="151"/>
      <c r="P79" s="122">
        <f t="shared" si="0"/>
        <v>0</v>
      </c>
      <c r="Q79" s="139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</row>
    <row r="80" spans="1:45" s="11" customFormat="1" ht="11.25" customHeight="1" x14ac:dyDescent="0.2">
      <c r="A80" s="44" t="s">
        <v>240</v>
      </c>
      <c r="B80" s="13" t="s">
        <v>241</v>
      </c>
      <c r="C80" s="13"/>
      <c r="D80" s="45"/>
      <c r="E80" s="35"/>
      <c r="F80" s="29"/>
      <c r="G80" s="144" t="s">
        <v>483</v>
      </c>
      <c r="H80" s="26"/>
      <c r="I80" s="119"/>
      <c r="J80" s="123"/>
      <c r="K80" s="123"/>
      <c r="L80" s="123"/>
      <c r="M80" s="123"/>
      <c r="N80" s="119"/>
      <c r="O80" s="119"/>
      <c r="P80" s="122">
        <f t="shared" si="0"/>
        <v>0</v>
      </c>
      <c r="Q80" s="139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</row>
    <row r="81" spans="1:45" s="11" customFormat="1" ht="11.25" customHeight="1" x14ac:dyDescent="0.2">
      <c r="A81" s="53"/>
      <c r="B81" s="56" t="s">
        <v>242</v>
      </c>
      <c r="C81" s="54"/>
      <c r="D81" s="35"/>
      <c r="E81" s="35"/>
      <c r="F81" s="29"/>
      <c r="G81" s="144" t="s">
        <v>484</v>
      </c>
      <c r="H81" s="26"/>
      <c r="I81" s="119"/>
      <c r="J81" s="123"/>
      <c r="K81" s="123"/>
      <c r="L81" s="123"/>
      <c r="M81" s="123"/>
      <c r="N81" s="119"/>
      <c r="O81" s="119"/>
      <c r="P81" s="122">
        <f t="shared" si="0"/>
        <v>0</v>
      </c>
      <c r="Q81" s="139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</row>
    <row r="82" spans="1:45" s="11" customFormat="1" ht="11.25" customHeight="1" x14ac:dyDescent="0.2">
      <c r="A82" s="44"/>
      <c r="B82" s="16" t="s">
        <v>243</v>
      </c>
      <c r="C82" s="13"/>
      <c r="D82" s="45"/>
      <c r="E82" s="35"/>
      <c r="F82" s="29"/>
      <c r="G82" s="144" t="s">
        <v>485</v>
      </c>
      <c r="H82" s="26"/>
      <c r="I82" s="119"/>
      <c r="J82" s="123"/>
      <c r="K82" s="123"/>
      <c r="L82" s="123"/>
      <c r="M82" s="123"/>
      <c r="N82" s="119"/>
      <c r="O82" s="119"/>
      <c r="P82" s="122">
        <f t="shared" si="0"/>
        <v>0</v>
      </c>
      <c r="Q82" s="139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</row>
    <row r="83" spans="1:45" s="17" customFormat="1" ht="11.25" customHeight="1" x14ac:dyDescent="0.2">
      <c r="A83" s="57"/>
      <c r="B83" s="54" t="s">
        <v>244</v>
      </c>
      <c r="C83" s="54"/>
      <c r="D83" s="35"/>
      <c r="E83" s="35"/>
      <c r="F83" s="29"/>
      <c r="G83" s="144" t="s">
        <v>486</v>
      </c>
      <c r="H83" s="26"/>
      <c r="I83" s="120">
        <f>I80 - I81 - I82</f>
        <v>0</v>
      </c>
      <c r="J83" s="124"/>
      <c r="K83" s="124"/>
      <c r="L83" s="124"/>
      <c r="M83" s="124"/>
      <c r="N83" s="120">
        <f>N80 - N81 - N82</f>
        <v>0</v>
      </c>
      <c r="O83" s="120">
        <f>O80 - O81 - O82</f>
        <v>0</v>
      </c>
      <c r="P83" s="122">
        <f t="shared" si="0"/>
        <v>0</v>
      </c>
      <c r="Q83" s="139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</row>
    <row r="84" spans="1:45" s="11" customFormat="1" ht="11.25" customHeight="1" x14ac:dyDescent="0.2">
      <c r="A84" s="53" t="s">
        <v>245</v>
      </c>
      <c r="B84" s="54" t="s">
        <v>246</v>
      </c>
      <c r="C84" s="54"/>
      <c r="D84" s="35"/>
      <c r="E84" s="35"/>
      <c r="F84" s="29"/>
      <c r="G84" s="144" t="s">
        <v>487</v>
      </c>
      <c r="H84" s="26"/>
      <c r="I84" s="119"/>
      <c r="J84" s="123"/>
      <c r="K84" s="123"/>
      <c r="L84" s="153"/>
      <c r="M84" s="153"/>
      <c r="N84" s="119"/>
      <c r="O84" s="119"/>
      <c r="P84" s="122">
        <f t="shared" ref="P84:P150" si="22">I84+K84+M84+O84</f>
        <v>0</v>
      </c>
      <c r="Q84" s="139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</row>
    <row r="85" spans="1:45" s="11" customFormat="1" ht="11.25" customHeight="1" x14ac:dyDescent="0.2">
      <c r="A85" s="53"/>
      <c r="B85" s="56" t="s">
        <v>242</v>
      </c>
      <c r="C85" s="54"/>
      <c r="D85" s="35"/>
      <c r="E85" s="35"/>
      <c r="F85" s="29"/>
      <c r="G85" s="144" t="s">
        <v>488</v>
      </c>
      <c r="H85" s="26"/>
      <c r="I85" s="119"/>
      <c r="J85" s="123"/>
      <c r="K85" s="123"/>
      <c r="L85" s="153"/>
      <c r="M85" s="153"/>
      <c r="N85" s="119"/>
      <c r="O85" s="119"/>
      <c r="P85" s="122">
        <f t="shared" si="22"/>
        <v>0</v>
      </c>
      <c r="Q85" s="139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</row>
    <row r="86" spans="1:45" s="11" customFormat="1" ht="11.25" customHeight="1" x14ac:dyDescent="0.2">
      <c r="A86" s="48"/>
      <c r="B86" s="16" t="s">
        <v>243</v>
      </c>
      <c r="C86" s="16"/>
      <c r="D86" s="45"/>
      <c r="E86" s="35"/>
      <c r="F86" s="29"/>
      <c r="G86" s="144" t="s">
        <v>489</v>
      </c>
      <c r="H86" s="26"/>
      <c r="I86" s="119"/>
      <c r="J86" s="123"/>
      <c r="K86" s="123"/>
      <c r="L86" s="153"/>
      <c r="M86" s="153"/>
      <c r="N86" s="119"/>
      <c r="O86" s="119"/>
      <c r="P86" s="122">
        <f t="shared" si="22"/>
        <v>0</v>
      </c>
      <c r="Q86" s="139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</row>
    <row r="87" spans="1:45" s="17" customFormat="1" ht="11.25" customHeight="1" x14ac:dyDescent="0.2">
      <c r="A87" s="57"/>
      <c r="B87" s="167" t="s">
        <v>247</v>
      </c>
      <c r="C87" s="167"/>
      <c r="D87" s="168"/>
      <c r="E87" s="36"/>
      <c r="F87" s="30"/>
      <c r="G87" s="144" t="s">
        <v>490</v>
      </c>
      <c r="H87" s="26"/>
      <c r="I87" s="120">
        <f>I84 - I85 - I86</f>
        <v>0</v>
      </c>
      <c r="J87" s="124"/>
      <c r="K87" s="124"/>
      <c r="L87" s="128">
        <f>L84 - L85 - L86</f>
        <v>0</v>
      </c>
      <c r="M87" s="128">
        <f>M84 - M85 - M86</f>
        <v>0</v>
      </c>
      <c r="N87" s="120">
        <f>N84 - N85 - N86</f>
        <v>0</v>
      </c>
      <c r="O87" s="120">
        <f>O84 - O85 - O86</f>
        <v>0</v>
      </c>
      <c r="P87" s="122">
        <f t="shared" si="22"/>
        <v>0</v>
      </c>
      <c r="Q87" s="139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</row>
    <row r="88" spans="1:45" s="11" customFormat="1" ht="11.25" customHeight="1" x14ac:dyDescent="0.2">
      <c r="A88" s="44" t="s">
        <v>248</v>
      </c>
      <c r="B88" s="13" t="s">
        <v>249</v>
      </c>
      <c r="C88" s="13"/>
      <c r="D88" s="45"/>
      <c r="E88" s="35"/>
      <c r="F88" s="29"/>
      <c r="G88" s="144" t="s">
        <v>780</v>
      </c>
      <c r="H88" s="26"/>
      <c r="I88" s="119"/>
      <c r="J88" s="123"/>
      <c r="K88" s="123"/>
      <c r="L88" s="153"/>
      <c r="M88" s="153"/>
      <c r="N88" s="119"/>
      <c r="O88" s="119"/>
      <c r="P88" s="122">
        <f t="shared" si="22"/>
        <v>0</v>
      </c>
      <c r="Q88" s="139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</row>
    <row r="89" spans="1:45" s="11" customFormat="1" ht="11.25" customHeight="1" x14ac:dyDescent="0.2">
      <c r="A89" s="53"/>
      <c r="B89" s="56" t="s">
        <v>243</v>
      </c>
      <c r="C89" s="54"/>
      <c r="D89" s="35"/>
      <c r="E89" s="35"/>
      <c r="F89" s="29"/>
      <c r="G89" s="144" t="s">
        <v>778</v>
      </c>
      <c r="H89" s="26"/>
      <c r="I89" s="119"/>
      <c r="J89" s="123"/>
      <c r="K89" s="123"/>
      <c r="L89" s="153"/>
      <c r="M89" s="153"/>
      <c r="N89" s="119"/>
      <c r="O89" s="119"/>
      <c r="P89" s="122">
        <f t="shared" si="22"/>
        <v>0</v>
      </c>
      <c r="Q89" s="139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</row>
    <row r="90" spans="1:45" s="11" customFormat="1" ht="11.25" customHeight="1" x14ac:dyDescent="0.2">
      <c r="A90" s="48"/>
      <c r="B90" s="54" t="s">
        <v>779</v>
      </c>
      <c r="C90" s="16"/>
      <c r="D90" s="45"/>
      <c r="E90" s="35"/>
      <c r="F90" s="29"/>
      <c r="G90" s="144" t="s">
        <v>491</v>
      </c>
      <c r="H90" s="26"/>
      <c r="I90" s="120">
        <f>I88-I89</f>
        <v>0</v>
      </c>
      <c r="J90" s="123"/>
      <c r="K90" s="123"/>
      <c r="L90" s="153"/>
      <c r="M90" s="153"/>
      <c r="N90" s="119"/>
      <c r="O90" s="119"/>
      <c r="P90" s="122">
        <f t="shared" si="22"/>
        <v>0</v>
      </c>
      <c r="Q90" s="139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</row>
    <row r="91" spans="1:45" s="11" customFormat="1" ht="11.25" customHeight="1" x14ac:dyDescent="0.2">
      <c r="A91" s="53" t="s">
        <v>250</v>
      </c>
      <c r="B91" s="54" t="s">
        <v>251</v>
      </c>
      <c r="C91" s="54"/>
      <c r="D91" s="35"/>
      <c r="E91" s="35"/>
      <c r="F91" s="29"/>
      <c r="G91" s="144" t="s">
        <v>492</v>
      </c>
      <c r="H91" s="26"/>
      <c r="I91" s="119"/>
      <c r="J91" s="123"/>
      <c r="K91" s="123"/>
      <c r="L91" s="153"/>
      <c r="M91" s="153"/>
      <c r="N91" s="119"/>
      <c r="O91" s="119"/>
      <c r="P91" s="122">
        <f t="shared" si="22"/>
        <v>0</v>
      </c>
      <c r="Q91" s="139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</row>
    <row r="92" spans="1:45" s="11" customFormat="1" ht="11.25" customHeight="1" x14ac:dyDescent="0.2">
      <c r="A92" s="44"/>
      <c r="B92" s="16" t="s">
        <v>243</v>
      </c>
      <c r="C92" s="13"/>
      <c r="D92" s="45"/>
      <c r="E92" s="35"/>
      <c r="F92" s="29"/>
      <c r="G92" s="144" t="s">
        <v>493</v>
      </c>
      <c r="H92" s="26"/>
      <c r="I92" s="119"/>
      <c r="J92" s="123"/>
      <c r="K92" s="123"/>
      <c r="L92" s="153"/>
      <c r="M92" s="153"/>
      <c r="N92" s="119"/>
      <c r="O92" s="119"/>
      <c r="P92" s="122">
        <f t="shared" si="22"/>
        <v>0</v>
      </c>
      <c r="Q92" s="139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</row>
    <row r="93" spans="1:45" s="17" customFormat="1" ht="11.25" customHeight="1" x14ac:dyDescent="0.2">
      <c r="A93" s="53"/>
      <c r="B93" s="54" t="s">
        <v>252</v>
      </c>
      <c r="C93" s="54"/>
      <c r="D93" s="35"/>
      <c r="E93" s="35"/>
      <c r="F93" s="29"/>
      <c r="G93" s="144" t="s">
        <v>494</v>
      </c>
      <c r="H93" s="26"/>
      <c r="I93" s="120">
        <f t="shared" ref="I93:O93" si="23">I91 - I92</f>
        <v>0</v>
      </c>
      <c r="J93" s="124"/>
      <c r="K93" s="124"/>
      <c r="L93" s="128">
        <f t="shared" si="23"/>
        <v>0</v>
      </c>
      <c r="M93" s="128">
        <f t="shared" si="23"/>
        <v>0</v>
      </c>
      <c r="N93" s="120">
        <f t="shared" si="23"/>
        <v>0</v>
      </c>
      <c r="O93" s="120">
        <f t="shared" si="23"/>
        <v>0</v>
      </c>
      <c r="P93" s="122">
        <f t="shared" si="22"/>
        <v>0</v>
      </c>
      <c r="Q93" s="139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</row>
    <row r="94" spans="1:45" s="11" customFormat="1" ht="11.25" customHeight="1" x14ac:dyDescent="0.2">
      <c r="A94" s="44" t="s">
        <v>253</v>
      </c>
      <c r="B94" s="13" t="s">
        <v>254</v>
      </c>
      <c r="C94" s="13"/>
      <c r="D94" s="45"/>
      <c r="E94" s="35"/>
      <c r="F94" s="29"/>
      <c r="G94" s="144" t="s">
        <v>495</v>
      </c>
      <c r="H94" s="26"/>
      <c r="I94" s="119"/>
      <c r="J94" s="123"/>
      <c r="K94" s="123"/>
      <c r="L94" s="153"/>
      <c r="M94" s="153"/>
      <c r="N94" s="119"/>
      <c r="O94" s="119"/>
      <c r="P94" s="122">
        <f t="shared" si="22"/>
        <v>0</v>
      </c>
      <c r="Q94" s="139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</row>
    <row r="95" spans="1:45" s="11" customFormat="1" ht="11.25" customHeight="1" x14ac:dyDescent="0.2">
      <c r="A95" s="57"/>
      <c r="B95" s="56" t="s">
        <v>255</v>
      </c>
      <c r="C95" s="54"/>
      <c r="D95" s="35"/>
      <c r="E95" s="35"/>
      <c r="F95" s="29"/>
      <c r="G95" s="144" t="s">
        <v>496</v>
      </c>
      <c r="H95" s="26"/>
      <c r="I95" s="119"/>
      <c r="J95" s="123"/>
      <c r="K95" s="123"/>
      <c r="L95" s="153"/>
      <c r="M95" s="153"/>
      <c r="N95" s="119"/>
      <c r="O95" s="119"/>
      <c r="P95" s="122">
        <f t="shared" si="22"/>
        <v>0</v>
      </c>
      <c r="Q95" s="139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</row>
    <row r="96" spans="1:45" s="11" customFormat="1" ht="11.25" customHeight="1" x14ac:dyDescent="0.2">
      <c r="A96" s="44"/>
      <c r="B96" s="16" t="s">
        <v>243</v>
      </c>
      <c r="C96" s="13"/>
      <c r="D96" s="45"/>
      <c r="E96" s="35"/>
      <c r="F96" s="29"/>
      <c r="G96" s="144" t="s">
        <v>497</v>
      </c>
      <c r="H96" s="26"/>
      <c r="I96" s="119"/>
      <c r="J96" s="123"/>
      <c r="K96" s="123"/>
      <c r="L96" s="153"/>
      <c r="M96" s="153"/>
      <c r="N96" s="119"/>
      <c r="O96" s="119"/>
      <c r="P96" s="122">
        <f t="shared" si="22"/>
        <v>0</v>
      </c>
      <c r="Q96" s="139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</row>
    <row r="97" spans="1:45" s="17" customFormat="1" ht="11.25" customHeight="1" x14ac:dyDescent="0.2">
      <c r="A97" s="53"/>
      <c r="B97" s="54" t="s">
        <v>256</v>
      </c>
      <c r="C97" s="54"/>
      <c r="D97" s="35"/>
      <c r="E97" s="35"/>
      <c r="F97" s="29"/>
      <c r="G97" s="144" t="s">
        <v>498</v>
      </c>
      <c r="H97" s="26"/>
      <c r="I97" s="120">
        <f t="shared" ref="I97:O97" si="24">I94 - I95 - I96</f>
        <v>0</v>
      </c>
      <c r="J97" s="124"/>
      <c r="K97" s="124"/>
      <c r="L97" s="128">
        <f t="shared" si="24"/>
        <v>0</v>
      </c>
      <c r="M97" s="128">
        <f t="shared" si="24"/>
        <v>0</v>
      </c>
      <c r="N97" s="120">
        <f t="shared" si="24"/>
        <v>0</v>
      </c>
      <c r="O97" s="120">
        <f t="shared" si="24"/>
        <v>0</v>
      </c>
      <c r="P97" s="122">
        <f t="shared" si="22"/>
        <v>0</v>
      </c>
      <c r="Q97" s="139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</row>
    <row r="98" spans="1:45" s="11" customFormat="1" ht="11.25" customHeight="1" x14ac:dyDescent="0.2">
      <c r="A98" s="44" t="s">
        <v>257</v>
      </c>
      <c r="B98" s="13" t="s">
        <v>258</v>
      </c>
      <c r="C98" s="13"/>
      <c r="D98" s="45"/>
      <c r="E98" s="35"/>
      <c r="F98" s="29"/>
      <c r="G98" s="144" t="s">
        <v>499</v>
      </c>
      <c r="H98" s="26"/>
      <c r="I98" s="119"/>
      <c r="J98" s="153"/>
      <c r="K98" s="153"/>
      <c r="L98" s="153"/>
      <c r="M98" s="153"/>
      <c r="N98" s="119"/>
      <c r="O98" s="119"/>
      <c r="P98" s="122">
        <f t="shared" si="22"/>
        <v>0</v>
      </c>
      <c r="Q98" s="139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</row>
    <row r="99" spans="1:45" s="11" customFormat="1" ht="11.25" customHeight="1" x14ac:dyDescent="0.2">
      <c r="A99" s="53" t="s">
        <v>259</v>
      </c>
      <c r="B99" s="54" t="s">
        <v>260</v>
      </c>
      <c r="C99" s="54"/>
      <c r="D99" s="35"/>
      <c r="E99" s="35"/>
      <c r="F99" s="29"/>
      <c r="G99" s="144" t="s">
        <v>500</v>
      </c>
      <c r="H99" s="26"/>
      <c r="I99" s="119"/>
      <c r="J99" s="153"/>
      <c r="K99" s="153"/>
      <c r="L99" s="153"/>
      <c r="M99" s="153"/>
      <c r="N99" s="119"/>
      <c r="O99" s="119"/>
      <c r="P99" s="122">
        <f t="shared" si="22"/>
        <v>0</v>
      </c>
      <c r="Q99" s="139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</row>
    <row r="100" spans="1:45" s="11" customFormat="1" ht="11.25" customHeight="1" x14ac:dyDescent="0.2">
      <c r="A100" s="44"/>
      <c r="B100" s="16" t="s">
        <v>243</v>
      </c>
      <c r="C100" s="13"/>
      <c r="D100" s="45"/>
      <c r="E100" s="35"/>
      <c r="F100" s="29"/>
      <c r="G100" s="144" t="s">
        <v>501</v>
      </c>
      <c r="H100" s="26"/>
      <c r="I100" s="119"/>
      <c r="J100" s="153"/>
      <c r="K100" s="153"/>
      <c r="L100" s="153"/>
      <c r="M100" s="153"/>
      <c r="N100" s="119"/>
      <c r="O100" s="119"/>
      <c r="P100" s="122">
        <f t="shared" si="22"/>
        <v>0</v>
      </c>
      <c r="Q100" s="139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</row>
    <row r="101" spans="1:45" s="17" customFormat="1" ht="11.25" customHeight="1" x14ac:dyDescent="0.2">
      <c r="A101" s="53"/>
      <c r="B101" s="54" t="s">
        <v>261</v>
      </c>
      <c r="C101" s="54"/>
      <c r="D101" s="35"/>
      <c r="E101" s="35"/>
      <c r="F101" s="29"/>
      <c r="G101" s="144" t="s">
        <v>502</v>
      </c>
      <c r="H101" s="26"/>
      <c r="I101" s="120">
        <f t="shared" ref="I101:O101" si="25">I99 - I100</f>
        <v>0</v>
      </c>
      <c r="J101" s="128">
        <f t="shared" si="25"/>
        <v>0</v>
      </c>
      <c r="K101" s="128">
        <f t="shared" si="25"/>
        <v>0</v>
      </c>
      <c r="L101" s="128">
        <f t="shared" si="25"/>
        <v>0</v>
      </c>
      <c r="M101" s="128">
        <f t="shared" si="25"/>
        <v>0</v>
      </c>
      <c r="N101" s="120">
        <f t="shared" si="25"/>
        <v>0</v>
      </c>
      <c r="O101" s="120">
        <f t="shared" si="25"/>
        <v>0</v>
      </c>
      <c r="P101" s="122">
        <f t="shared" si="22"/>
        <v>0</v>
      </c>
      <c r="Q101" s="139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</row>
    <row r="102" spans="1:45" s="11" customFormat="1" ht="11.25" customHeight="1" x14ac:dyDescent="0.2">
      <c r="A102" s="44" t="s">
        <v>262</v>
      </c>
      <c r="B102" s="165" t="s">
        <v>263</v>
      </c>
      <c r="C102" s="165"/>
      <c r="D102" s="166"/>
      <c r="E102" s="36"/>
      <c r="F102" s="30"/>
      <c r="G102" s="144" t="s">
        <v>503</v>
      </c>
      <c r="H102" s="26"/>
      <c r="I102" s="153"/>
      <c r="J102" s="153"/>
      <c r="K102" s="153"/>
      <c r="L102" s="153"/>
      <c r="M102" s="153"/>
      <c r="N102" s="119"/>
      <c r="O102" s="119"/>
      <c r="P102" s="128">
        <f t="shared" si="22"/>
        <v>0</v>
      </c>
      <c r="Q102" s="139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</row>
    <row r="103" spans="1:45" s="11" customFormat="1" ht="11.25" customHeight="1" x14ac:dyDescent="0.2">
      <c r="A103" s="53" t="s">
        <v>303</v>
      </c>
      <c r="B103" s="167" t="s">
        <v>646</v>
      </c>
      <c r="C103" s="167"/>
      <c r="D103" s="168"/>
      <c r="E103" s="36"/>
      <c r="F103" s="30"/>
      <c r="G103" s="144" t="s">
        <v>504</v>
      </c>
      <c r="H103" s="26"/>
      <c r="I103" s="153"/>
      <c r="J103" s="153"/>
      <c r="K103" s="153"/>
      <c r="L103" s="153"/>
      <c r="M103" s="153"/>
      <c r="N103" s="119"/>
      <c r="O103" s="119"/>
      <c r="P103" s="151"/>
      <c r="Q103" s="139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</row>
    <row r="104" spans="1:45" s="11" customFormat="1" ht="11.25" customHeight="1" x14ac:dyDescent="0.2">
      <c r="A104" s="58" t="s">
        <v>264</v>
      </c>
      <c r="B104" s="54"/>
      <c r="C104" s="54"/>
      <c r="D104" s="35"/>
      <c r="E104" s="35"/>
      <c r="F104" s="29"/>
      <c r="G104" s="144" t="s">
        <v>505</v>
      </c>
      <c r="H104" s="26"/>
      <c r="I104" s="120">
        <f>I10 + I11 + I12 + I17 + I18 + I22 + I30 + I35 + I40 + I43 + I60+I61 + I66 + I73 + I76 + I79 + I83 + I87 + I90 + I93 + I97 + I98 + I101 + I102+I103</f>
        <v>0</v>
      </c>
      <c r="J104" s="120">
        <f>J10 + J11 + J12 + J17 + J18 + J22 + J30 + J35 + J40 + J43 + J60+J61 + J66 + J73 + J76 + J79 + J83 + J87 + J90 + J93 + J97 + J98 + J101 + J102+J103</f>
        <v>0</v>
      </c>
      <c r="K104" s="120">
        <f>K10 + K11 + K12 + K17 + K18 + K22 + K30 + K35 + K40 + K43 + K60+K61 + K66 + K73 + K76 + K79 + K83 + K87 + K90 + K93 + K97 + K98 + K101 + K102+K103</f>
        <v>0</v>
      </c>
      <c r="L104" s="128">
        <f>L10 + L11 + L12 + L17 + L18 + L22 + L30 + L35 + L40 + L43 + L60+L61 + L66 + L73 + L76 + L79 + L83 + L87 + L88 + L93 + L97 + L98 + L101 + L102+L103</f>
        <v>0</v>
      </c>
      <c r="M104" s="128">
        <f>M10 + M11 + M12 + M17 + M18 + M22 + M30 + M35 + M40 + M43 + M60+M61 + M66 + M73 + M76 + M79 + M83 + M87 + M88 + M93 + M97 + M98 + M101 + M102+M103</f>
        <v>0</v>
      </c>
      <c r="N104" s="120">
        <f>N10 + N11 + N12 + N17 + N18 + N22 + N30 + N35 + N40 + N43 + N60+N61 + N66 + N73 + N76 + N79 + N83 + N87 + N88 + N93 + N97 + N98 + N101 + N102+N103</f>
        <v>0</v>
      </c>
      <c r="O104" s="120">
        <f>O10 + O11 + O12 + O17 + O18 + O22 + O30 + O35 + O40 + O43 + O60+O61 + O66 + O73 + O76 + O79 + O83 + O87 + O88 + O93 + O97 + O98 + O101 + O102+O103</f>
        <v>0</v>
      </c>
      <c r="P104" s="120">
        <f>P10 + P11 + P12 + P17 + P18 + P22 + P30 + P35 + P40 + P43 + P60+P61 + P66 + P73 + P76 + P79 + P83 + P87 + P90 + P93 + P97 + P98 + P101 + P102+P103</f>
        <v>0</v>
      </c>
      <c r="Q104" s="139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</row>
    <row r="105" spans="1:45" s="11" customFormat="1" ht="11.25" customHeight="1" x14ac:dyDescent="0.2">
      <c r="A105" s="49" t="s">
        <v>265</v>
      </c>
      <c r="B105" s="13"/>
      <c r="C105" s="13"/>
      <c r="D105" s="45"/>
      <c r="E105" s="35"/>
      <c r="F105" s="29"/>
      <c r="G105" s="146"/>
      <c r="H105" s="26"/>
      <c r="I105" s="127"/>
      <c r="J105" s="127"/>
      <c r="K105" s="127"/>
      <c r="L105" s="127"/>
      <c r="M105" s="127"/>
      <c r="N105" s="127"/>
      <c r="O105" s="127"/>
      <c r="P105" s="120"/>
      <c r="Q105" s="139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</row>
    <row r="106" spans="1:45" s="11" customFormat="1" ht="11.25" customHeight="1" x14ac:dyDescent="0.2">
      <c r="A106" s="53" t="s">
        <v>168</v>
      </c>
      <c r="B106" s="54" t="s">
        <v>266</v>
      </c>
      <c r="C106" s="54"/>
      <c r="D106" s="35"/>
      <c r="E106" s="35"/>
      <c r="F106" s="29"/>
      <c r="G106" s="144" t="s">
        <v>506</v>
      </c>
      <c r="H106" s="26"/>
      <c r="I106" s="128">
        <f t="shared" ref="I106:O106" si="26">I107 + I108</f>
        <v>0</v>
      </c>
      <c r="J106" s="128">
        <f t="shared" si="26"/>
        <v>0</v>
      </c>
      <c r="K106" s="128">
        <f t="shared" si="26"/>
        <v>0</v>
      </c>
      <c r="L106" s="128">
        <f t="shared" si="26"/>
        <v>0</v>
      </c>
      <c r="M106" s="128">
        <f t="shared" si="26"/>
        <v>0</v>
      </c>
      <c r="N106" s="128">
        <f t="shared" si="26"/>
        <v>0</v>
      </c>
      <c r="O106" s="128">
        <f t="shared" si="26"/>
        <v>0</v>
      </c>
      <c r="P106" s="128">
        <f t="shared" si="22"/>
        <v>0</v>
      </c>
      <c r="Q106" s="139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</row>
    <row r="107" spans="1:45" s="11" customFormat="1" ht="11.25" customHeight="1" x14ac:dyDescent="0.2">
      <c r="A107" s="48"/>
      <c r="B107" s="13" t="s">
        <v>178</v>
      </c>
      <c r="C107" s="165" t="s">
        <v>267</v>
      </c>
      <c r="D107" s="166"/>
      <c r="E107" s="36"/>
      <c r="F107" s="30"/>
      <c r="G107" s="144" t="s">
        <v>507</v>
      </c>
      <c r="H107" s="26"/>
      <c r="I107" s="153"/>
      <c r="J107" s="153"/>
      <c r="K107" s="153"/>
      <c r="L107" s="153"/>
      <c r="M107" s="153"/>
      <c r="N107" s="153"/>
      <c r="O107" s="153"/>
      <c r="P107" s="128">
        <f t="shared" si="22"/>
        <v>0</v>
      </c>
      <c r="Q107" s="139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</row>
    <row r="108" spans="1:45" s="11" customFormat="1" ht="11.25" customHeight="1" x14ac:dyDescent="0.2">
      <c r="A108" s="57"/>
      <c r="B108" s="54" t="s">
        <v>180</v>
      </c>
      <c r="C108" s="54" t="s">
        <v>268</v>
      </c>
      <c r="D108" s="35"/>
      <c r="E108" s="35"/>
      <c r="F108" s="29"/>
      <c r="G108" s="144" t="s">
        <v>508</v>
      </c>
      <c r="H108" s="26"/>
      <c r="I108" s="153"/>
      <c r="J108" s="153"/>
      <c r="K108" s="153"/>
      <c r="L108" s="153"/>
      <c r="M108" s="153"/>
      <c r="N108" s="153"/>
      <c r="O108" s="153"/>
      <c r="P108" s="128">
        <f t="shared" si="22"/>
        <v>0</v>
      </c>
      <c r="Q108" s="139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</row>
    <row r="109" spans="1:45" s="11" customFormat="1" ht="11.25" customHeight="1" x14ac:dyDescent="0.2">
      <c r="A109" s="44" t="s">
        <v>170</v>
      </c>
      <c r="B109" s="165" t="s">
        <v>269</v>
      </c>
      <c r="C109" s="165"/>
      <c r="D109" s="166"/>
      <c r="E109" s="36"/>
      <c r="F109" s="30"/>
      <c r="G109" s="144" t="s">
        <v>509</v>
      </c>
      <c r="H109" s="26"/>
      <c r="I109" s="153"/>
      <c r="J109" s="153"/>
      <c r="K109" s="153"/>
      <c r="L109" s="153"/>
      <c r="M109" s="153"/>
      <c r="N109" s="153"/>
      <c r="O109" s="153"/>
      <c r="P109" s="128">
        <f t="shared" si="22"/>
        <v>0</v>
      </c>
      <c r="Q109" s="139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</row>
    <row r="110" spans="1:45" s="11" customFormat="1" ht="11.25" customHeight="1" x14ac:dyDescent="0.2">
      <c r="A110" s="53" t="s">
        <v>172</v>
      </c>
      <c r="B110" s="54" t="s">
        <v>270</v>
      </c>
      <c r="C110" s="54"/>
      <c r="D110" s="35"/>
      <c r="E110" s="35"/>
      <c r="F110" s="29"/>
      <c r="G110" s="144" t="s">
        <v>510</v>
      </c>
      <c r="H110" s="26"/>
      <c r="I110" s="120">
        <f>I111 + I112 + I114 + I113 + I115</f>
        <v>0</v>
      </c>
      <c r="J110" s="124"/>
      <c r="K110" s="124"/>
      <c r="L110" s="128">
        <f>L111 + L112 + L114 + L113 + L115</f>
        <v>0</v>
      </c>
      <c r="M110" s="128">
        <f>M111 + M112 + M114 + M113 + M115</f>
        <v>0</v>
      </c>
      <c r="N110" s="120">
        <f>N111 + N112 + N114 + N113 + N115</f>
        <v>0</v>
      </c>
      <c r="O110" s="120">
        <f>O111 + O112 + O114 + O113 + O115</f>
        <v>0</v>
      </c>
      <c r="P110" s="122">
        <f t="shared" si="22"/>
        <v>0</v>
      </c>
      <c r="Q110" s="139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</row>
    <row r="111" spans="1:45" s="11" customFormat="1" ht="11.25" customHeight="1" x14ac:dyDescent="0.2">
      <c r="A111" s="48"/>
      <c r="B111" s="13" t="s">
        <v>178</v>
      </c>
      <c r="C111" s="13" t="s">
        <v>271</v>
      </c>
      <c r="D111" s="45"/>
      <c r="E111" s="35"/>
      <c r="F111" s="29"/>
      <c r="G111" s="144" t="s">
        <v>511</v>
      </c>
      <c r="H111" s="26"/>
      <c r="I111" s="119"/>
      <c r="J111" s="123"/>
      <c r="K111" s="123"/>
      <c r="L111" s="153"/>
      <c r="M111" s="153"/>
      <c r="N111" s="119"/>
      <c r="O111" s="119"/>
      <c r="P111" s="122">
        <f t="shared" si="22"/>
        <v>0</v>
      </c>
      <c r="Q111" s="139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</row>
    <row r="112" spans="1:45" s="11" customFormat="1" ht="11.25" customHeight="1" x14ac:dyDescent="0.2">
      <c r="A112" s="57"/>
      <c r="B112" s="54" t="s">
        <v>180</v>
      </c>
      <c r="C112" s="54" t="s">
        <v>272</v>
      </c>
      <c r="D112" s="35"/>
      <c r="E112" s="35"/>
      <c r="F112" s="29"/>
      <c r="G112" s="144" t="s">
        <v>512</v>
      </c>
      <c r="H112" s="26"/>
      <c r="I112" s="119"/>
      <c r="J112" s="123"/>
      <c r="K112" s="123"/>
      <c r="L112" s="153"/>
      <c r="M112" s="153"/>
      <c r="N112" s="119"/>
      <c r="O112" s="119"/>
      <c r="P112" s="122">
        <f t="shared" si="22"/>
        <v>0</v>
      </c>
      <c r="Q112" s="139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</row>
    <row r="113" spans="1:45" s="11" customFormat="1" ht="11.25" customHeight="1" x14ac:dyDescent="0.2">
      <c r="A113" s="48"/>
      <c r="B113" s="13" t="s">
        <v>182</v>
      </c>
      <c r="C113" s="13" t="s">
        <v>273</v>
      </c>
      <c r="D113" s="45"/>
      <c r="E113" s="35"/>
      <c r="F113" s="29"/>
      <c r="G113" s="144" t="s">
        <v>513</v>
      </c>
      <c r="H113" s="26"/>
      <c r="I113" s="119"/>
      <c r="J113" s="123"/>
      <c r="K113" s="123"/>
      <c r="L113" s="153"/>
      <c r="M113" s="153"/>
      <c r="N113" s="119"/>
      <c r="O113" s="119"/>
      <c r="P113" s="122">
        <f t="shared" si="22"/>
        <v>0</v>
      </c>
      <c r="Q113" s="139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</row>
    <row r="114" spans="1:45" s="11" customFormat="1" ht="11.25" customHeight="1" x14ac:dyDescent="0.2">
      <c r="A114" s="57"/>
      <c r="B114" s="54" t="s">
        <v>225</v>
      </c>
      <c r="C114" s="54" t="s">
        <v>274</v>
      </c>
      <c r="D114" s="35"/>
      <c r="E114" s="35"/>
      <c r="F114" s="29"/>
      <c r="G114" s="144" t="s">
        <v>514</v>
      </c>
      <c r="H114" s="26"/>
      <c r="I114" s="119"/>
      <c r="J114" s="123"/>
      <c r="K114" s="123"/>
      <c r="L114" s="153"/>
      <c r="M114" s="153"/>
      <c r="N114" s="119"/>
      <c r="O114" s="119"/>
      <c r="P114" s="122">
        <f t="shared" si="22"/>
        <v>0</v>
      </c>
      <c r="Q114" s="139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</row>
    <row r="115" spans="1:45" s="11" customFormat="1" ht="11.25" customHeight="1" x14ac:dyDescent="0.2">
      <c r="A115" s="48"/>
      <c r="B115" s="13" t="s">
        <v>275</v>
      </c>
      <c r="C115" s="13" t="s">
        <v>276</v>
      </c>
      <c r="D115" s="45"/>
      <c r="E115" s="35"/>
      <c r="F115" s="29"/>
      <c r="G115" s="144" t="s">
        <v>515</v>
      </c>
      <c r="H115" s="26"/>
      <c r="I115" s="119"/>
      <c r="J115" s="123"/>
      <c r="K115" s="123"/>
      <c r="L115" s="128"/>
      <c r="M115" s="128"/>
      <c r="N115" s="119"/>
      <c r="O115" s="119"/>
      <c r="P115" s="122">
        <f t="shared" si="22"/>
        <v>0</v>
      </c>
      <c r="Q115" s="139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</row>
    <row r="116" spans="1:45" s="11" customFormat="1" ht="11.25" customHeight="1" x14ac:dyDescent="0.2">
      <c r="A116" s="53" t="s">
        <v>174</v>
      </c>
      <c r="B116" s="54" t="s">
        <v>277</v>
      </c>
      <c r="C116" s="54"/>
      <c r="D116" s="35"/>
      <c r="E116" s="35"/>
      <c r="F116" s="29"/>
      <c r="G116" s="144" t="s">
        <v>516</v>
      </c>
      <c r="H116" s="26"/>
      <c r="I116" s="153"/>
      <c r="J116" s="153"/>
      <c r="K116" s="153"/>
      <c r="L116" s="153"/>
      <c r="M116" s="153"/>
      <c r="N116" s="119"/>
      <c r="O116" s="119"/>
      <c r="P116" s="128">
        <f t="shared" si="22"/>
        <v>0</v>
      </c>
      <c r="Q116" s="139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</row>
    <row r="117" spans="1:45" s="11" customFormat="1" ht="11.25" customHeight="1" x14ac:dyDescent="0.2">
      <c r="A117" s="44" t="s">
        <v>176</v>
      </c>
      <c r="B117" s="13" t="s">
        <v>278</v>
      </c>
      <c r="C117" s="15"/>
      <c r="D117" s="46"/>
      <c r="E117" s="36"/>
      <c r="F117" s="30"/>
      <c r="G117" s="144" t="s">
        <v>517</v>
      </c>
      <c r="H117" s="26"/>
      <c r="I117" s="119"/>
      <c r="J117" s="153"/>
      <c r="K117" s="153"/>
      <c r="L117" s="153"/>
      <c r="M117" s="153"/>
      <c r="N117" s="119"/>
      <c r="O117" s="119"/>
      <c r="P117" s="122">
        <f t="shared" si="22"/>
        <v>0</v>
      </c>
      <c r="Q117" s="139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</row>
    <row r="118" spans="1:45" s="11" customFormat="1" ht="11.25" customHeight="1" x14ac:dyDescent="0.2">
      <c r="A118" s="53" t="s">
        <v>184</v>
      </c>
      <c r="B118" s="54" t="s">
        <v>279</v>
      </c>
      <c r="C118" s="54"/>
      <c r="D118" s="35"/>
      <c r="E118" s="35"/>
      <c r="F118" s="29"/>
      <c r="G118" s="144" t="s">
        <v>518</v>
      </c>
      <c r="H118" s="26"/>
      <c r="I118" s="119"/>
      <c r="J118" s="153"/>
      <c r="K118" s="153"/>
      <c r="L118" s="153"/>
      <c r="M118" s="153"/>
      <c r="N118" s="119"/>
      <c r="O118" s="119"/>
      <c r="P118" s="122">
        <f t="shared" si="22"/>
        <v>0</v>
      </c>
      <c r="Q118" s="139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</row>
    <row r="119" spans="1:45" s="10" customFormat="1" ht="11.25" customHeight="1" x14ac:dyDescent="0.2">
      <c r="A119" s="75"/>
      <c r="B119" s="70" t="s">
        <v>280</v>
      </c>
      <c r="C119" s="71"/>
      <c r="D119" s="72"/>
      <c r="E119" s="73"/>
      <c r="F119" s="74"/>
      <c r="G119" s="144" t="s">
        <v>519</v>
      </c>
      <c r="H119" s="67"/>
      <c r="I119" s="119"/>
      <c r="J119" s="153"/>
      <c r="K119" s="153"/>
      <c r="L119" s="153"/>
      <c r="M119" s="153"/>
      <c r="N119" s="119"/>
      <c r="O119" s="119"/>
      <c r="P119" s="122">
        <f t="shared" si="22"/>
        <v>0</v>
      </c>
      <c r="Q119" s="71"/>
      <c r="R119" s="71"/>
      <c r="S119" s="71"/>
      <c r="T119" s="71"/>
      <c r="U119" s="71"/>
      <c r="V119" s="71"/>
      <c r="W119" s="71"/>
      <c r="X119" s="71"/>
      <c r="Y119" s="71"/>
      <c r="Z119" s="71"/>
      <c r="AA119" s="71"/>
      <c r="AB119" s="71"/>
      <c r="AC119" s="71"/>
      <c r="AD119" s="71"/>
      <c r="AE119" s="71"/>
      <c r="AF119" s="71"/>
      <c r="AG119" s="71"/>
      <c r="AH119" s="71"/>
      <c r="AI119" s="71"/>
      <c r="AJ119" s="71"/>
      <c r="AK119" s="71"/>
      <c r="AL119" s="71"/>
      <c r="AM119" s="71"/>
      <c r="AN119" s="71"/>
      <c r="AO119" s="71"/>
      <c r="AP119" s="71"/>
      <c r="AQ119" s="71"/>
      <c r="AR119" s="71"/>
      <c r="AS119" s="71"/>
    </row>
    <row r="120" spans="1:45" s="17" customFormat="1" ht="11.25" customHeight="1" x14ac:dyDescent="0.2">
      <c r="A120" s="53"/>
      <c r="B120" s="54" t="s">
        <v>281</v>
      </c>
      <c r="C120" s="54"/>
      <c r="D120" s="35"/>
      <c r="E120" s="35"/>
      <c r="F120" s="29"/>
      <c r="G120" s="144" t="s">
        <v>520</v>
      </c>
      <c r="H120" s="26"/>
      <c r="I120" s="120">
        <f t="shared" ref="I120:O120" si="27">I118 + I119</f>
        <v>0</v>
      </c>
      <c r="J120" s="128">
        <f t="shared" si="27"/>
        <v>0</v>
      </c>
      <c r="K120" s="128">
        <f t="shared" si="27"/>
        <v>0</v>
      </c>
      <c r="L120" s="128">
        <f t="shared" si="27"/>
        <v>0</v>
      </c>
      <c r="M120" s="128">
        <f t="shared" si="27"/>
        <v>0</v>
      </c>
      <c r="N120" s="120">
        <f t="shared" si="27"/>
        <v>0</v>
      </c>
      <c r="O120" s="120">
        <f t="shared" si="27"/>
        <v>0</v>
      </c>
      <c r="P120" s="122">
        <f t="shared" si="22"/>
        <v>0</v>
      </c>
      <c r="Q120" s="139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</row>
    <row r="121" spans="1:45" s="11" customFormat="1" ht="11.25" customHeight="1" x14ac:dyDescent="0.2">
      <c r="A121" s="44" t="s">
        <v>186</v>
      </c>
      <c r="B121" s="13" t="s">
        <v>282</v>
      </c>
      <c r="C121" s="13"/>
      <c r="D121" s="45"/>
      <c r="E121" s="35"/>
      <c r="F121" s="29"/>
      <c r="G121" s="144" t="s">
        <v>521</v>
      </c>
      <c r="H121" s="26"/>
      <c r="I121" s="119"/>
      <c r="J121" s="153"/>
      <c r="K121" s="153"/>
      <c r="L121" s="153"/>
      <c r="M121" s="153"/>
      <c r="N121" s="119"/>
      <c r="O121" s="119"/>
      <c r="P121" s="122">
        <f t="shared" si="22"/>
        <v>0</v>
      </c>
      <c r="Q121" s="139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</row>
    <row r="122" spans="1:45" s="10" customFormat="1" ht="11.25" customHeight="1" x14ac:dyDescent="0.2">
      <c r="A122" s="61"/>
      <c r="B122" s="63" t="s">
        <v>283</v>
      </c>
      <c r="C122" s="62"/>
      <c r="D122" s="73"/>
      <c r="E122" s="73"/>
      <c r="F122" s="74"/>
      <c r="G122" s="144" t="s">
        <v>522</v>
      </c>
      <c r="H122" s="67"/>
      <c r="I122" s="119"/>
      <c r="J122" s="153"/>
      <c r="K122" s="153"/>
      <c r="L122" s="153"/>
      <c r="M122" s="153"/>
      <c r="N122" s="119"/>
      <c r="O122" s="119"/>
      <c r="P122" s="122">
        <f t="shared" si="22"/>
        <v>0</v>
      </c>
      <c r="Q122" s="71"/>
      <c r="R122" s="71"/>
      <c r="S122" s="71"/>
      <c r="T122" s="71"/>
      <c r="U122" s="71"/>
      <c r="V122" s="71"/>
      <c r="W122" s="71"/>
      <c r="X122" s="71"/>
      <c r="Y122" s="71"/>
      <c r="Z122" s="71"/>
      <c r="AA122" s="71"/>
      <c r="AB122" s="71"/>
      <c r="AC122" s="71"/>
      <c r="AD122" s="71"/>
      <c r="AE122" s="71"/>
      <c r="AF122" s="71"/>
      <c r="AG122" s="71"/>
      <c r="AH122" s="71"/>
      <c r="AI122" s="71"/>
      <c r="AJ122" s="71"/>
      <c r="AK122" s="71"/>
      <c r="AL122" s="71"/>
      <c r="AM122" s="71"/>
      <c r="AN122" s="71"/>
      <c r="AO122" s="71"/>
      <c r="AP122" s="71"/>
      <c r="AQ122" s="71"/>
      <c r="AR122" s="71"/>
      <c r="AS122" s="71"/>
    </row>
    <row r="123" spans="1:45" s="17" customFormat="1" ht="11.25" customHeight="1" x14ac:dyDescent="0.2">
      <c r="A123" s="44"/>
      <c r="B123" s="13" t="s">
        <v>284</v>
      </c>
      <c r="C123" s="13"/>
      <c r="D123" s="45"/>
      <c r="E123" s="35"/>
      <c r="F123" s="29"/>
      <c r="G123" s="144" t="s">
        <v>523</v>
      </c>
      <c r="H123" s="26"/>
      <c r="I123" s="120">
        <f t="shared" ref="I123:O123" si="28">I121 + I122</f>
        <v>0</v>
      </c>
      <c r="J123" s="128">
        <f t="shared" si="28"/>
        <v>0</v>
      </c>
      <c r="K123" s="128">
        <f t="shared" si="28"/>
        <v>0</v>
      </c>
      <c r="L123" s="128">
        <f t="shared" si="28"/>
        <v>0</v>
      </c>
      <c r="M123" s="128">
        <f t="shared" si="28"/>
        <v>0</v>
      </c>
      <c r="N123" s="120">
        <f t="shared" si="28"/>
        <v>0</v>
      </c>
      <c r="O123" s="120">
        <f t="shared" si="28"/>
        <v>0</v>
      </c>
      <c r="P123" s="122">
        <f t="shared" si="22"/>
        <v>0</v>
      </c>
      <c r="Q123" s="139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</row>
    <row r="124" spans="1:45" s="11" customFormat="1" ht="11.25" customHeight="1" x14ac:dyDescent="0.2">
      <c r="A124" s="53" t="s">
        <v>197</v>
      </c>
      <c r="B124" s="54" t="s">
        <v>285</v>
      </c>
      <c r="C124" s="54"/>
      <c r="D124" s="35"/>
      <c r="E124" s="35"/>
      <c r="F124" s="29"/>
      <c r="G124" s="144" t="s">
        <v>524</v>
      </c>
      <c r="H124" s="26"/>
      <c r="I124" s="119"/>
      <c r="J124" s="153"/>
      <c r="K124" s="153"/>
      <c r="L124" s="128"/>
      <c r="M124" s="128"/>
      <c r="N124" s="119"/>
      <c r="O124" s="119"/>
      <c r="P124" s="122">
        <f t="shared" si="22"/>
        <v>0</v>
      </c>
      <c r="Q124" s="139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</row>
    <row r="125" spans="1:45" s="11" customFormat="1" ht="11.25" customHeight="1" x14ac:dyDescent="0.2">
      <c r="A125" s="44" t="s">
        <v>202</v>
      </c>
      <c r="B125" s="13" t="s">
        <v>286</v>
      </c>
      <c r="C125" s="13"/>
      <c r="D125" s="45"/>
      <c r="E125" s="35"/>
      <c r="F125" s="29"/>
      <c r="G125" s="144" t="s">
        <v>525</v>
      </c>
      <c r="H125" s="26"/>
      <c r="I125" s="119"/>
      <c r="J125" s="128"/>
      <c r="K125" s="128"/>
      <c r="L125" s="128"/>
      <c r="M125" s="128"/>
      <c r="N125" s="119"/>
      <c r="O125" s="119"/>
      <c r="P125" s="122">
        <f t="shared" si="22"/>
        <v>0</v>
      </c>
      <c r="Q125" s="139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</row>
    <row r="126" spans="1:45" s="11" customFormat="1" ht="11.25" customHeight="1" x14ac:dyDescent="0.2">
      <c r="A126" s="53" t="s">
        <v>205</v>
      </c>
      <c r="B126" s="54" t="s">
        <v>287</v>
      </c>
      <c r="C126" s="54"/>
      <c r="D126" s="35"/>
      <c r="E126" s="35"/>
      <c r="F126" s="29"/>
      <c r="G126" s="144" t="s">
        <v>526</v>
      </c>
      <c r="H126" s="26"/>
      <c r="I126" s="128">
        <f t="shared" ref="I126:O126" si="29">I127 + I128 + I129 + I130</f>
        <v>0</v>
      </c>
      <c r="J126" s="128">
        <f t="shared" si="29"/>
        <v>0</v>
      </c>
      <c r="K126" s="128">
        <f t="shared" si="29"/>
        <v>0</v>
      </c>
      <c r="L126" s="128">
        <f t="shared" si="29"/>
        <v>0</v>
      </c>
      <c r="M126" s="128">
        <f t="shared" si="29"/>
        <v>0</v>
      </c>
      <c r="N126" s="128">
        <f t="shared" si="29"/>
        <v>0</v>
      </c>
      <c r="O126" s="128">
        <f t="shared" si="29"/>
        <v>0</v>
      </c>
      <c r="P126" s="128">
        <f t="shared" si="22"/>
        <v>0</v>
      </c>
      <c r="Q126" s="139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</row>
    <row r="127" spans="1:45" s="11" customFormat="1" ht="11.25" customHeight="1" x14ac:dyDescent="0.2">
      <c r="A127" s="57"/>
      <c r="B127" s="54" t="s">
        <v>178</v>
      </c>
      <c r="C127" s="54" t="s">
        <v>222</v>
      </c>
      <c r="D127" s="35"/>
      <c r="E127" s="35"/>
      <c r="F127" s="29"/>
      <c r="G127" s="144" t="s">
        <v>527</v>
      </c>
      <c r="H127" s="26"/>
      <c r="I127" s="153"/>
      <c r="J127" s="153"/>
      <c r="K127" s="153"/>
      <c r="L127" s="153"/>
      <c r="M127" s="153"/>
      <c r="N127" s="153"/>
      <c r="O127" s="153"/>
      <c r="P127" s="128">
        <f t="shared" si="22"/>
        <v>0</v>
      </c>
      <c r="Q127" s="139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</row>
    <row r="128" spans="1:45" s="11" customFormat="1" ht="11.25" customHeight="1" x14ac:dyDescent="0.2">
      <c r="A128" s="57"/>
      <c r="B128" s="54" t="s">
        <v>180</v>
      </c>
      <c r="C128" s="54" t="s">
        <v>223</v>
      </c>
      <c r="D128" s="35"/>
      <c r="E128" s="35"/>
      <c r="F128" s="29"/>
      <c r="G128" s="144" t="s">
        <v>528</v>
      </c>
      <c r="H128" s="26"/>
      <c r="I128" s="153"/>
      <c r="J128" s="153"/>
      <c r="K128" s="153"/>
      <c r="L128" s="153"/>
      <c r="M128" s="153"/>
      <c r="N128" s="153"/>
      <c r="O128" s="153"/>
      <c r="P128" s="128">
        <f t="shared" si="22"/>
        <v>0</v>
      </c>
      <c r="Q128" s="139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</row>
    <row r="129" spans="1:45" s="11" customFormat="1" ht="11.25" customHeight="1" x14ac:dyDescent="0.2">
      <c r="A129" s="48"/>
      <c r="B129" s="13" t="s">
        <v>182</v>
      </c>
      <c r="C129" s="13" t="s">
        <v>224</v>
      </c>
      <c r="D129" s="45"/>
      <c r="E129" s="35"/>
      <c r="F129" s="29"/>
      <c r="G129" s="144" t="s">
        <v>529</v>
      </c>
      <c r="H129" s="26"/>
      <c r="I129" s="153"/>
      <c r="J129" s="153"/>
      <c r="K129" s="153"/>
      <c r="L129" s="153"/>
      <c r="M129" s="153"/>
      <c r="N129" s="153"/>
      <c r="O129" s="153"/>
      <c r="P129" s="128">
        <f t="shared" si="22"/>
        <v>0</v>
      </c>
      <c r="Q129" s="139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</row>
    <row r="130" spans="1:45" s="11" customFormat="1" ht="11.25" customHeight="1" x14ac:dyDescent="0.2">
      <c r="A130" s="57"/>
      <c r="B130" s="54" t="s">
        <v>225</v>
      </c>
      <c r="C130" s="167" t="s">
        <v>226</v>
      </c>
      <c r="D130" s="168"/>
      <c r="E130" s="36"/>
      <c r="F130" s="30"/>
      <c r="G130" s="144" t="s">
        <v>530</v>
      </c>
      <c r="H130" s="26"/>
      <c r="I130" s="153"/>
      <c r="J130" s="153"/>
      <c r="K130" s="153"/>
      <c r="L130" s="153"/>
      <c r="M130" s="153"/>
      <c r="N130" s="153"/>
      <c r="O130" s="153"/>
      <c r="P130" s="128">
        <f t="shared" si="22"/>
        <v>0</v>
      </c>
      <c r="Q130" s="139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</row>
    <row r="131" spans="1:45" s="11" customFormat="1" ht="11.25" customHeight="1" x14ac:dyDescent="0.2">
      <c r="A131" s="44" t="s">
        <v>208</v>
      </c>
      <c r="B131" s="165" t="s">
        <v>288</v>
      </c>
      <c r="C131" s="165"/>
      <c r="D131" s="166"/>
      <c r="E131" s="36"/>
      <c r="F131" s="30"/>
      <c r="G131" s="144" t="s">
        <v>531</v>
      </c>
      <c r="H131" s="26"/>
      <c r="I131" s="153"/>
      <c r="J131" s="153"/>
      <c r="K131" s="153"/>
      <c r="L131" s="153"/>
      <c r="M131" s="153"/>
      <c r="N131" s="153"/>
      <c r="O131" s="153"/>
      <c r="P131" s="128">
        <f t="shared" si="22"/>
        <v>0</v>
      </c>
      <c r="Q131" s="139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</row>
    <row r="132" spans="1:45" s="11" customFormat="1" ht="11.25" customHeight="1" x14ac:dyDescent="0.2">
      <c r="A132" s="53" t="s">
        <v>218</v>
      </c>
      <c r="B132" s="54" t="s">
        <v>289</v>
      </c>
      <c r="C132" s="54"/>
      <c r="D132" s="35"/>
      <c r="E132" s="35"/>
      <c r="F132" s="29"/>
      <c r="G132" s="144" t="s">
        <v>532</v>
      </c>
      <c r="H132" s="26"/>
      <c r="I132" s="119"/>
      <c r="J132" s="153"/>
      <c r="K132" s="153"/>
      <c r="L132" s="153"/>
      <c r="M132" s="153"/>
      <c r="N132" s="119"/>
      <c r="O132" s="119"/>
      <c r="P132" s="122">
        <f t="shared" si="22"/>
        <v>0</v>
      </c>
      <c r="Q132" s="139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</row>
    <row r="133" spans="1:45" s="11" customFormat="1" ht="11.25" customHeight="1" x14ac:dyDescent="0.2">
      <c r="A133" s="53" t="s">
        <v>220</v>
      </c>
      <c r="B133" s="167" t="s">
        <v>290</v>
      </c>
      <c r="C133" s="167"/>
      <c r="D133" s="168"/>
      <c r="E133" s="36"/>
      <c r="F133" s="30"/>
      <c r="G133" s="144" t="s">
        <v>533</v>
      </c>
      <c r="H133" s="26"/>
      <c r="I133" s="119"/>
      <c r="J133" s="128"/>
      <c r="K133" s="128"/>
      <c r="L133" s="128"/>
      <c r="M133" s="128"/>
      <c r="N133" s="119"/>
      <c r="O133" s="119"/>
      <c r="P133" s="122">
        <f t="shared" si="22"/>
        <v>0</v>
      </c>
      <c r="Q133" s="139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</row>
    <row r="134" spans="1:45" s="11" customFormat="1" ht="11.25" customHeight="1" x14ac:dyDescent="0.2">
      <c r="A134" s="53" t="s">
        <v>227</v>
      </c>
      <c r="B134" s="54" t="s">
        <v>291</v>
      </c>
      <c r="C134" s="54"/>
      <c r="D134" s="35"/>
      <c r="E134" s="35"/>
      <c r="F134" s="29"/>
      <c r="G134" s="144" t="s">
        <v>534</v>
      </c>
      <c r="H134" s="26"/>
      <c r="I134" s="119"/>
      <c r="J134" s="153"/>
      <c r="K134" s="153"/>
      <c r="L134" s="153"/>
      <c r="M134" s="153"/>
      <c r="N134" s="119"/>
      <c r="O134" s="119"/>
      <c r="P134" s="122">
        <f t="shared" si="22"/>
        <v>0</v>
      </c>
      <c r="Q134" s="139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</row>
    <row r="135" spans="1:45" s="11" customFormat="1" ht="11.25" customHeight="1" x14ac:dyDescent="0.2">
      <c r="A135" s="44" t="s">
        <v>229</v>
      </c>
      <c r="B135" s="13" t="s">
        <v>292</v>
      </c>
      <c r="C135" s="13"/>
      <c r="D135" s="45"/>
      <c r="E135" s="35"/>
      <c r="F135" s="29"/>
      <c r="G135" s="144" t="s">
        <v>535</v>
      </c>
      <c r="H135" s="26"/>
      <c r="I135" s="119"/>
      <c r="J135" s="128"/>
      <c r="K135" s="128"/>
      <c r="L135" s="153"/>
      <c r="M135" s="153"/>
      <c r="N135" s="119"/>
      <c r="O135" s="119"/>
      <c r="P135" s="122">
        <f t="shared" si="22"/>
        <v>0</v>
      </c>
      <c r="Q135" s="139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</row>
    <row r="136" spans="1:45" s="11" customFormat="1" ht="11.25" customHeight="1" x14ac:dyDescent="0.2">
      <c r="A136" s="53" t="s">
        <v>234</v>
      </c>
      <c r="B136" s="54" t="s">
        <v>293</v>
      </c>
      <c r="C136" s="54"/>
      <c r="D136" s="35"/>
      <c r="E136" s="35"/>
      <c r="F136" s="29"/>
      <c r="G136" s="144" t="s">
        <v>536</v>
      </c>
      <c r="H136" s="26"/>
      <c r="I136" s="119"/>
      <c r="J136" s="128"/>
      <c r="K136" s="128"/>
      <c r="L136" s="153"/>
      <c r="M136" s="153"/>
      <c r="N136" s="119"/>
      <c r="O136" s="119"/>
      <c r="P136" s="122">
        <f t="shared" si="22"/>
        <v>0</v>
      </c>
      <c r="Q136" s="139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</row>
    <row r="137" spans="1:45" s="11" customFormat="1" ht="11.25" customHeight="1" x14ac:dyDescent="0.2">
      <c r="A137" s="44" t="s">
        <v>237</v>
      </c>
      <c r="B137" s="13" t="s">
        <v>294</v>
      </c>
      <c r="C137" s="13"/>
      <c r="D137" s="45"/>
      <c r="E137" s="35"/>
      <c r="F137" s="29"/>
      <c r="G137" s="144" t="s">
        <v>537</v>
      </c>
      <c r="H137" s="26"/>
      <c r="I137" s="119"/>
      <c r="J137" s="153"/>
      <c r="K137" s="153"/>
      <c r="L137" s="153"/>
      <c r="M137" s="153"/>
      <c r="N137" s="119"/>
      <c r="O137" s="119"/>
      <c r="P137" s="122">
        <f t="shared" si="22"/>
        <v>0</v>
      </c>
      <c r="Q137" s="139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</row>
    <row r="138" spans="1:45" s="11" customFormat="1" ht="11.25" customHeight="1" x14ac:dyDescent="0.2">
      <c r="A138" s="53" t="s">
        <v>240</v>
      </c>
      <c r="B138" s="54" t="s">
        <v>295</v>
      </c>
      <c r="C138" s="54"/>
      <c r="D138" s="35"/>
      <c r="E138" s="35"/>
      <c r="F138" s="29"/>
      <c r="G138" s="144" t="s">
        <v>538</v>
      </c>
      <c r="H138" s="26"/>
      <c r="I138" s="153"/>
      <c r="J138" s="153"/>
      <c r="K138" s="153"/>
      <c r="L138" s="128"/>
      <c r="M138" s="128"/>
      <c r="N138" s="153"/>
      <c r="O138" s="153"/>
      <c r="P138" s="128">
        <f t="shared" si="22"/>
        <v>0</v>
      </c>
      <c r="Q138" s="139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</row>
    <row r="139" spans="1:45" s="11" customFormat="1" ht="11.25" customHeight="1" x14ac:dyDescent="0.2">
      <c r="A139" s="44" t="s">
        <v>245</v>
      </c>
      <c r="B139" s="13" t="s">
        <v>296</v>
      </c>
      <c r="C139" s="13"/>
      <c r="D139" s="45"/>
      <c r="E139" s="35"/>
      <c r="F139" s="29"/>
      <c r="G139" s="144" t="s">
        <v>539</v>
      </c>
      <c r="H139" s="26"/>
      <c r="I139" s="153"/>
      <c r="J139" s="153"/>
      <c r="K139" s="153"/>
      <c r="L139" s="128"/>
      <c r="M139" s="128"/>
      <c r="N139" s="153"/>
      <c r="O139" s="153"/>
      <c r="P139" s="128">
        <f t="shared" si="22"/>
        <v>0</v>
      </c>
      <c r="Q139" s="139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</row>
    <row r="140" spans="1:45" s="11" customFormat="1" ht="11.25" customHeight="1" x14ac:dyDescent="0.2">
      <c r="A140" s="53" t="s">
        <v>248</v>
      </c>
      <c r="B140" s="167" t="s">
        <v>297</v>
      </c>
      <c r="C140" s="167"/>
      <c r="D140" s="168"/>
      <c r="E140" s="36"/>
      <c r="F140" s="30"/>
      <c r="G140" s="144" t="s">
        <v>540</v>
      </c>
      <c r="H140" s="26"/>
      <c r="I140" s="153"/>
      <c r="J140" s="153"/>
      <c r="K140" s="153"/>
      <c r="L140" s="128"/>
      <c r="M140" s="128"/>
      <c r="N140" s="153"/>
      <c r="O140" s="153"/>
      <c r="P140" s="128">
        <f t="shared" si="22"/>
        <v>0</v>
      </c>
      <c r="Q140" s="139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</row>
    <row r="141" spans="1:45" s="11" customFormat="1" ht="11.25" customHeight="1" x14ac:dyDescent="0.2">
      <c r="A141" s="44" t="s">
        <v>250</v>
      </c>
      <c r="B141" s="165" t="s">
        <v>298</v>
      </c>
      <c r="C141" s="165"/>
      <c r="D141" s="166"/>
      <c r="E141" s="36"/>
      <c r="F141" s="30"/>
      <c r="G141" s="144" t="s">
        <v>541</v>
      </c>
      <c r="H141" s="26"/>
      <c r="I141" s="119"/>
      <c r="J141" s="153"/>
      <c r="K141" s="153"/>
      <c r="L141" s="153"/>
      <c r="M141" s="153"/>
      <c r="N141" s="119"/>
      <c r="O141" s="119"/>
      <c r="P141" s="122">
        <f t="shared" si="22"/>
        <v>0</v>
      </c>
      <c r="Q141" s="139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</row>
    <row r="142" spans="1:45" s="11" customFormat="1" ht="11.25" customHeight="1" x14ac:dyDescent="0.2">
      <c r="A142" s="53" t="s">
        <v>253</v>
      </c>
      <c r="B142" s="167" t="s">
        <v>299</v>
      </c>
      <c r="C142" s="167"/>
      <c r="D142" s="168"/>
      <c r="E142" s="36"/>
      <c r="F142" s="30"/>
      <c r="G142" s="144" t="s">
        <v>542</v>
      </c>
      <c r="H142" s="26"/>
      <c r="I142" s="119"/>
      <c r="J142" s="128"/>
      <c r="K142" s="128"/>
      <c r="L142" s="153"/>
      <c r="M142" s="153"/>
      <c r="N142" s="119"/>
      <c r="O142" s="119"/>
      <c r="P142" s="122">
        <f t="shared" si="22"/>
        <v>0</v>
      </c>
      <c r="Q142" s="139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</row>
    <row r="143" spans="1:45" s="11" customFormat="1" ht="11.25" customHeight="1" x14ac:dyDescent="0.2">
      <c r="A143" s="44" t="s">
        <v>257</v>
      </c>
      <c r="B143" s="165" t="s">
        <v>300</v>
      </c>
      <c r="C143" s="165"/>
      <c r="D143" s="166"/>
      <c r="E143" s="36"/>
      <c r="F143" s="30"/>
      <c r="G143" s="144" t="s">
        <v>543</v>
      </c>
      <c r="H143" s="26"/>
      <c r="I143" s="119"/>
      <c r="J143" s="128"/>
      <c r="K143" s="128"/>
      <c r="L143" s="128"/>
      <c r="M143" s="128"/>
      <c r="N143" s="119"/>
      <c r="O143" s="119"/>
      <c r="P143" s="122">
        <f t="shared" si="22"/>
        <v>0</v>
      </c>
      <c r="Q143" s="139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</row>
    <row r="144" spans="1:45" s="11" customFormat="1" ht="11.25" customHeight="1" x14ac:dyDescent="0.2">
      <c r="A144" s="53" t="s">
        <v>259</v>
      </c>
      <c r="B144" s="54" t="s">
        <v>301</v>
      </c>
      <c r="C144" s="55"/>
      <c r="D144" s="36"/>
      <c r="E144" s="36"/>
      <c r="F144" s="30"/>
      <c r="G144" s="144" t="s">
        <v>544</v>
      </c>
      <c r="H144" s="26"/>
      <c r="I144" s="119"/>
      <c r="J144" s="153"/>
      <c r="K144" s="153"/>
      <c r="L144" s="153"/>
      <c r="M144" s="153"/>
      <c r="N144" s="119"/>
      <c r="O144" s="119"/>
      <c r="P144" s="122">
        <f t="shared" si="22"/>
        <v>0</v>
      </c>
      <c r="Q144" s="139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</row>
    <row r="145" spans="1:45" s="11" customFormat="1" ht="11.25" customHeight="1" x14ac:dyDescent="0.2">
      <c r="A145" s="44" t="s">
        <v>262</v>
      </c>
      <c r="B145" s="165" t="s">
        <v>302</v>
      </c>
      <c r="C145" s="165"/>
      <c r="D145" s="166"/>
      <c r="E145" s="36"/>
      <c r="F145" s="30"/>
      <c r="G145" s="144" t="s">
        <v>545</v>
      </c>
      <c r="H145" s="26"/>
      <c r="I145" s="119"/>
      <c r="J145" s="153"/>
      <c r="K145" s="153"/>
      <c r="L145" s="153"/>
      <c r="M145" s="153"/>
      <c r="N145" s="119"/>
      <c r="O145" s="119"/>
      <c r="P145" s="122">
        <f t="shared" si="22"/>
        <v>0</v>
      </c>
      <c r="Q145" s="139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</row>
    <row r="146" spans="1:45" s="11" customFormat="1" ht="11.25" customHeight="1" x14ac:dyDescent="0.2">
      <c r="A146" s="53" t="s">
        <v>303</v>
      </c>
      <c r="B146" s="54" t="s">
        <v>304</v>
      </c>
      <c r="C146" s="54"/>
      <c r="D146" s="35"/>
      <c r="E146" s="35"/>
      <c r="F146" s="29"/>
      <c r="G146" s="144" t="s">
        <v>546</v>
      </c>
      <c r="H146" s="26"/>
      <c r="I146" s="119"/>
      <c r="J146" s="153"/>
      <c r="K146" s="153"/>
      <c r="L146" s="153"/>
      <c r="M146" s="153"/>
      <c r="N146" s="119"/>
      <c r="O146" s="119"/>
      <c r="P146" s="122">
        <f t="shared" si="22"/>
        <v>0</v>
      </c>
      <c r="Q146" s="139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</row>
    <row r="147" spans="1:45" s="11" customFormat="1" ht="11.25" customHeight="1" x14ac:dyDescent="0.2">
      <c r="A147" s="44" t="s">
        <v>305</v>
      </c>
      <c r="B147" s="165" t="s">
        <v>306</v>
      </c>
      <c r="C147" s="165"/>
      <c r="D147" s="166"/>
      <c r="E147" s="36"/>
      <c r="F147" s="30"/>
      <c r="G147" s="144" t="s">
        <v>547</v>
      </c>
      <c r="H147" s="26"/>
      <c r="I147" s="119"/>
      <c r="J147" s="153"/>
      <c r="K147" s="153"/>
      <c r="L147" s="153"/>
      <c r="M147" s="153"/>
      <c r="N147" s="119"/>
      <c r="O147" s="119"/>
      <c r="P147" s="122">
        <f t="shared" si="22"/>
        <v>0</v>
      </c>
      <c r="Q147" s="139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</row>
    <row r="148" spans="1:45" s="11" customFormat="1" ht="11.25" customHeight="1" x14ac:dyDescent="0.2">
      <c r="A148" s="53" t="s">
        <v>307</v>
      </c>
      <c r="B148" s="54" t="s">
        <v>308</v>
      </c>
      <c r="C148" s="55"/>
      <c r="D148" s="36"/>
      <c r="E148" s="36"/>
      <c r="F148" s="30"/>
      <c r="G148" s="144" t="s">
        <v>548</v>
      </c>
      <c r="H148" s="26"/>
      <c r="I148" s="119"/>
      <c r="J148" s="153"/>
      <c r="K148" s="153"/>
      <c r="L148" s="153"/>
      <c r="M148" s="153"/>
      <c r="N148" s="119"/>
      <c r="O148" s="119"/>
      <c r="P148" s="122">
        <f t="shared" si="22"/>
        <v>0</v>
      </c>
      <c r="Q148" s="139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</row>
    <row r="149" spans="1:45" s="11" customFormat="1" ht="11.25" customHeight="1" x14ac:dyDescent="0.2">
      <c r="A149" s="44" t="s">
        <v>309</v>
      </c>
      <c r="B149" s="165" t="s">
        <v>310</v>
      </c>
      <c r="C149" s="165"/>
      <c r="D149" s="166"/>
      <c r="E149" s="36"/>
      <c r="F149" s="30"/>
      <c r="G149" s="144" t="s">
        <v>549</v>
      </c>
      <c r="H149" s="26"/>
      <c r="I149" s="120">
        <f t="shared" ref="I149:O149" si="30">I150 + I151</f>
        <v>0</v>
      </c>
      <c r="J149" s="128">
        <f t="shared" si="30"/>
        <v>0</v>
      </c>
      <c r="K149" s="128">
        <f t="shared" si="30"/>
        <v>0</v>
      </c>
      <c r="L149" s="128">
        <f t="shared" si="30"/>
        <v>0</v>
      </c>
      <c r="M149" s="128">
        <f t="shared" si="30"/>
        <v>0</v>
      </c>
      <c r="N149" s="120">
        <f t="shared" si="30"/>
        <v>0</v>
      </c>
      <c r="O149" s="120">
        <f t="shared" si="30"/>
        <v>0</v>
      </c>
      <c r="P149" s="122">
        <f t="shared" si="22"/>
        <v>0</v>
      </c>
      <c r="Q149" s="139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</row>
    <row r="150" spans="1:45" s="11" customFormat="1" ht="11.25" customHeight="1" x14ac:dyDescent="0.2">
      <c r="A150" s="53"/>
      <c r="B150" s="54" t="s">
        <v>178</v>
      </c>
      <c r="C150" s="171" t="s">
        <v>311</v>
      </c>
      <c r="D150" s="172"/>
      <c r="E150" s="39"/>
      <c r="F150" s="34"/>
      <c r="G150" s="144" t="s">
        <v>550</v>
      </c>
      <c r="H150" s="26"/>
      <c r="I150" s="119"/>
      <c r="J150" s="153"/>
      <c r="K150" s="153"/>
      <c r="L150" s="153"/>
      <c r="M150" s="153"/>
      <c r="N150" s="119"/>
      <c r="O150" s="119"/>
      <c r="P150" s="122">
        <f t="shared" si="22"/>
        <v>0</v>
      </c>
      <c r="Q150" s="139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</row>
    <row r="151" spans="1:45" s="11" customFormat="1" ht="11.25" customHeight="1" x14ac:dyDescent="0.2">
      <c r="A151" s="44"/>
      <c r="B151" s="13" t="s">
        <v>180</v>
      </c>
      <c r="C151" s="165" t="s">
        <v>312</v>
      </c>
      <c r="D151" s="166"/>
      <c r="E151" s="36"/>
      <c r="F151" s="30"/>
      <c r="G151" s="144" t="s">
        <v>551</v>
      </c>
      <c r="H151" s="26"/>
      <c r="I151" s="119"/>
      <c r="J151" s="153"/>
      <c r="K151" s="153"/>
      <c r="L151" s="153"/>
      <c r="M151" s="153"/>
      <c r="N151" s="119"/>
      <c r="O151" s="119"/>
      <c r="P151" s="122">
        <f>I151+K151+M151+O151</f>
        <v>0</v>
      </c>
      <c r="Q151" s="139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</row>
    <row r="152" spans="1:45" s="11" customFormat="1" ht="11.25" customHeight="1" x14ac:dyDescent="0.2">
      <c r="A152" s="53" t="s">
        <v>313</v>
      </c>
      <c r="B152" s="54" t="s">
        <v>1119</v>
      </c>
      <c r="C152" s="54"/>
      <c r="D152" s="35"/>
      <c r="E152" s="35"/>
      <c r="F152" s="29"/>
      <c r="G152" s="144" t="s">
        <v>1120</v>
      </c>
      <c r="H152" s="26"/>
      <c r="I152" s="119"/>
      <c r="J152" s="153"/>
      <c r="K152" s="153"/>
      <c r="L152" s="153"/>
      <c r="M152" s="153"/>
      <c r="N152" s="119"/>
      <c r="O152" s="119"/>
      <c r="P152" s="122">
        <f>I152+K152+M152+O152</f>
        <v>0</v>
      </c>
      <c r="Q152" s="139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</row>
    <row r="153" spans="1:45" s="11" customFormat="1" ht="11.25" customHeight="1" x14ac:dyDescent="0.2">
      <c r="A153" s="53" t="s">
        <v>315</v>
      </c>
      <c r="B153" s="54" t="s">
        <v>314</v>
      </c>
      <c r="C153" s="54"/>
      <c r="D153" s="35"/>
      <c r="E153" s="35"/>
      <c r="F153" s="29"/>
      <c r="G153" s="144" t="s">
        <v>552</v>
      </c>
      <c r="H153" s="26"/>
      <c r="I153" s="119"/>
      <c r="J153" s="153"/>
      <c r="K153" s="153"/>
      <c r="L153" s="153"/>
      <c r="M153" s="153"/>
      <c r="N153" s="119"/>
      <c r="O153" s="119"/>
      <c r="P153" s="122">
        <f>I153+K153+M153+O153</f>
        <v>0</v>
      </c>
      <c r="Q153" s="139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</row>
    <row r="154" spans="1:45" s="11" customFormat="1" ht="11.25" customHeight="1" x14ac:dyDescent="0.2">
      <c r="A154" s="53" t="s">
        <v>412</v>
      </c>
      <c r="B154" s="173" t="s">
        <v>393</v>
      </c>
      <c r="C154" s="173"/>
      <c r="D154" s="174"/>
      <c r="E154" s="35"/>
      <c r="F154" s="29"/>
      <c r="G154" s="147" t="s">
        <v>553</v>
      </c>
      <c r="H154" s="87"/>
      <c r="I154" s="156"/>
      <c r="J154" s="156"/>
      <c r="K154" s="156"/>
      <c r="L154" s="156"/>
      <c r="M154" s="156"/>
      <c r="N154" s="156"/>
      <c r="O154" s="156"/>
      <c r="P154" s="128">
        <f>I154+K154+M154+O154</f>
        <v>0</v>
      </c>
      <c r="Q154" s="139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</row>
    <row r="155" spans="1:45" s="11" customFormat="1" ht="11.25" customHeight="1" x14ac:dyDescent="0.2">
      <c r="A155" s="53" t="s">
        <v>1121</v>
      </c>
      <c r="B155" s="173" t="s">
        <v>645</v>
      </c>
      <c r="C155" s="173"/>
      <c r="D155" s="174"/>
      <c r="E155" s="35"/>
      <c r="F155" s="29"/>
      <c r="G155" s="147" t="s">
        <v>554</v>
      </c>
      <c r="H155" s="142"/>
      <c r="I155" s="157"/>
      <c r="J155" s="157"/>
      <c r="K155" s="157"/>
      <c r="L155" s="157"/>
      <c r="M155" s="157"/>
      <c r="N155" s="157"/>
      <c r="O155" s="157"/>
      <c r="P155" s="128"/>
      <c r="Q155" s="139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</row>
    <row r="156" spans="1:45" s="11" customFormat="1" ht="11.25" customHeight="1" x14ac:dyDescent="0.2">
      <c r="A156" s="50" t="s">
        <v>316</v>
      </c>
      <c r="B156" s="51"/>
      <c r="C156" s="51"/>
      <c r="D156" s="52"/>
      <c r="E156" s="52"/>
      <c r="F156" s="40"/>
      <c r="G156" s="148" t="s">
        <v>555</v>
      </c>
      <c r="H156" s="60"/>
      <c r="I156" s="129">
        <f>I106 + I109 + I110 + I116 + I117 + I120 + I123 + I124 + I125 + I126 + I131 + I132 + I134 + I135 + I136 + I137 + I138 + I139 + I140 + I133 + I141 + I142 + I143 + I144 + I145 + I146 + I147 + I148 + I149 + I153 + I154+I155+I152</f>
        <v>0</v>
      </c>
      <c r="J156" s="155">
        <f t="shared" ref="J156:O156" si="31">J106 + J109 + J110 + J116 + J117 + J120 + J123 + J124 + J125 + J126 + J131 + J132 + J134 + J135 + J136 + J137 + J138 + J139 + J140 + J133 + J141 + J142 + J143 + J144 + J145 + J146 + J147 + J148 + J149 + J153 + J154+J155</f>
        <v>0</v>
      </c>
      <c r="K156" s="155">
        <f t="shared" si="31"/>
        <v>0</v>
      </c>
      <c r="L156" s="155">
        <f t="shared" si="31"/>
        <v>0</v>
      </c>
      <c r="M156" s="155">
        <f t="shared" si="31"/>
        <v>0</v>
      </c>
      <c r="N156" s="129">
        <f t="shared" si="31"/>
        <v>0</v>
      </c>
      <c r="O156" s="129">
        <f t="shared" si="31"/>
        <v>0</v>
      </c>
      <c r="P156" s="129">
        <f>P106 + P109 + P110 + P116 + P117 + P120 + P123 + P124 + P125 + P126 + P131 + P132 + P134 + P135 + P136 + P137 + P138 + P139 + P140 + P133 + P141 + P142 + P143 + P144 + P145 + P146 + P147 + P148 + P149 + P153 + P154+P155+P152</f>
        <v>0</v>
      </c>
      <c r="Q156" s="139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</row>
    <row r="157" spans="1:45" s="11" customFormat="1" ht="11.25" customHeight="1" x14ac:dyDescent="0.2">
      <c r="A157" s="49" t="s">
        <v>317</v>
      </c>
      <c r="B157" s="13"/>
      <c r="C157" s="13"/>
      <c r="D157" s="45"/>
      <c r="E157" s="35"/>
      <c r="F157" s="29"/>
      <c r="G157" s="146"/>
      <c r="H157" s="26"/>
      <c r="I157" s="127"/>
      <c r="J157" s="130"/>
      <c r="K157" s="130"/>
      <c r="L157" s="130"/>
      <c r="M157" s="130"/>
      <c r="N157" s="130"/>
      <c r="O157" s="130"/>
      <c r="P157" s="120"/>
      <c r="Q157" s="139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</row>
    <row r="158" spans="1:45" s="11" customFormat="1" ht="11.25" customHeight="1" x14ac:dyDescent="0.2">
      <c r="A158" s="53" t="s">
        <v>168</v>
      </c>
      <c r="B158" s="54" t="s">
        <v>394</v>
      </c>
      <c r="C158" s="54"/>
      <c r="D158" s="35"/>
      <c r="E158" s="35"/>
      <c r="F158" s="29"/>
      <c r="G158" s="144" t="s">
        <v>556</v>
      </c>
      <c r="H158" s="26"/>
      <c r="I158" s="120">
        <f>I159 + I160 + I161</f>
        <v>0</v>
      </c>
      <c r="J158" s="128">
        <f>J159 + J160 + J161</f>
        <v>0</v>
      </c>
      <c r="K158" s="128">
        <f>K159 + K160 + K161</f>
        <v>0</v>
      </c>
      <c r="L158" s="128"/>
      <c r="M158" s="128"/>
      <c r="N158" s="120">
        <f>N159 + N160 + N161</f>
        <v>0</v>
      </c>
      <c r="O158" s="120">
        <f>O159 + O160 + O161</f>
        <v>0</v>
      </c>
      <c r="P158" s="122">
        <f t="shared" ref="P158:P189" si="32">I158+K158+M158+O158</f>
        <v>0</v>
      </c>
      <c r="Q158" s="139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</row>
    <row r="159" spans="1:45" s="11" customFormat="1" ht="11.25" customHeight="1" x14ac:dyDescent="0.2">
      <c r="A159" s="44"/>
      <c r="B159" s="13" t="s">
        <v>178</v>
      </c>
      <c r="C159" s="13" t="s">
        <v>318</v>
      </c>
      <c r="D159" s="45"/>
      <c r="E159" s="35"/>
      <c r="F159" s="29"/>
      <c r="G159" s="144" t="s">
        <v>557</v>
      </c>
      <c r="H159" s="26"/>
      <c r="I159" s="119"/>
      <c r="J159" s="153"/>
      <c r="K159" s="153"/>
      <c r="L159" s="128"/>
      <c r="M159" s="128"/>
      <c r="N159" s="119"/>
      <c r="O159" s="119"/>
      <c r="P159" s="122">
        <f t="shared" si="32"/>
        <v>0</v>
      </c>
      <c r="Q159" s="139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</row>
    <row r="160" spans="1:45" s="11" customFormat="1" ht="11.25" customHeight="1" x14ac:dyDescent="0.2">
      <c r="A160" s="53"/>
      <c r="B160" s="54" t="s">
        <v>180</v>
      </c>
      <c r="C160" s="54" t="s">
        <v>319</v>
      </c>
      <c r="D160" s="35"/>
      <c r="E160" s="35"/>
      <c r="F160" s="29"/>
      <c r="G160" s="144" t="s">
        <v>558</v>
      </c>
      <c r="H160" s="26"/>
      <c r="I160" s="119"/>
      <c r="J160" s="153"/>
      <c r="K160" s="153"/>
      <c r="L160" s="128"/>
      <c r="M160" s="128"/>
      <c r="N160" s="119"/>
      <c r="O160" s="119"/>
      <c r="P160" s="122">
        <f t="shared" si="32"/>
        <v>0</v>
      </c>
      <c r="Q160" s="139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</row>
    <row r="161" spans="1:45" s="11" customFormat="1" ht="11.25" customHeight="1" x14ac:dyDescent="0.2">
      <c r="A161" s="44"/>
      <c r="B161" s="13" t="s">
        <v>182</v>
      </c>
      <c r="C161" s="13" t="s">
        <v>395</v>
      </c>
      <c r="D161" s="45"/>
      <c r="E161" s="35"/>
      <c r="F161" s="29"/>
      <c r="G161" s="144" t="s">
        <v>559</v>
      </c>
      <c r="H161" s="26"/>
      <c r="I161" s="119"/>
      <c r="J161" s="153"/>
      <c r="K161" s="153"/>
      <c r="L161" s="128"/>
      <c r="M161" s="128"/>
      <c r="N161" s="119"/>
      <c r="O161" s="119"/>
      <c r="P161" s="122">
        <f t="shared" si="32"/>
        <v>0</v>
      </c>
      <c r="Q161" s="139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</row>
    <row r="162" spans="1:45" s="11" customFormat="1" ht="11.25" customHeight="1" x14ac:dyDescent="0.2">
      <c r="A162" s="53" t="s">
        <v>170</v>
      </c>
      <c r="B162" s="54" t="s">
        <v>320</v>
      </c>
      <c r="C162" s="54"/>
      <c r="D162" s="35"/>
      <c r="E162" s="35"/>
      <c r="F162" s="29"/>
      <c r="G162" s="144" t="s">
        <v>560</v>
      </c>
      <c r="H162" s="26"/>
      <c r="I162" s="119"/>
      <c r="J162" s="153"/>
      <c r="K162" s="153"/>
      <c r="L162" s="128"/>
      <c r="M162" s="128"/>
      <c r="N162" s="119"/>
      <c r="O162" s="119"/>
      <c r="P162" s="122">
        <f t="shared" si="32"/>
        <v>0</v>
      </c>
      <c r="Q162" s="139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</row>
    <row r="163" spans="1:45" s="11" customFormat="1" ht="11.25" customHeight="1" x14ac:dyDescent="0.2">
      <c r="A163" s="53" t="s">
        <v>172</v>
      </c>
      <c r="B163" s="54" t="s">
        <v>321</v>
      </c>
      <c r="C163" s="54"/>
      <c r="D163" s="35"/>
      <c r="E163" s="35"/>
      <c r="F163" s="29"/>
      <c r="G163" s="144" t="s">
        <v>561</v>
      </c>
      <c r="H163" s="26"/>
      <c r="I163" s="120">
        <f>I164+I165+I166</f>
        <v>0</v>
      </c>
      <c r="J163" s="128">
        <f t="shared" ref="J163:O163" si="33">J164+J165+J166</f>
        <v>0</v>
      </c>
      <c r="K163" s="128">
        <f t="shared" si="33"/>
        <v>0</v>
      </c>
      <c r="L163" s="128">
        <f t="shared" si="33"/>
        <v>0</v>
      </c>
      <c r="M163" s="128">
        <f t="shared" si="33"/>
        <v>0</v>
      </c>
      <c r="N163" s="120">
        <f t="shared" si="33"/>
        <v>0</v>
      </c>
      <c r="O163" s="120">
        <f t="shared" si="33"/>
        <v>0</v>
      </c>
      <c r="P163" s="122">
        <f t="shared" si="32"/>
        <v>0</v>
      </c>
      <c r="Q163" s="139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</row>
    <row r="164" spans="1:45" s="11" customFormat="1" ht="11.25" customHeight="1" x14ac:dyDescent="0.2">
      <c r="A164" s="44"/>
      <c r="B164" s="13" t="s">
        <v>178</v>
      </c>
      <c r="C164" s="13" t="s">
        <v>410</v>
      </c>
      <c r="D164" s="45"/>
      <c r="E164" s="35"/>
      <c r="F164" s="29"/>
      <c r="G164" s="144" t="s">
        <v>562</v>
      </c>
      <c r="H164" s="26"/>
      <c r="I164" s="119"/>
      <c r="J164" s="153"/>
      <c r="K164" s="153"/>
      <c r="L164" s="153"/>
      <c r="M164" s="153"/>
      <c r="N164" s="119"/>
      <c r="O164" s="119"/>
      <c r="P164" s="122">
        <f t="shared" si="32"/>
        <v>0</v>
      </c>
      <c r="Q164" s="139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</row>
    <row r="165" spans="1:45" s="11" customFormat="1" ht="11.25" customHeight="1" x14ac:dyDescent="0.2">
      <c r="A165" s="53"/>
      <c r="B165" s="54" t="s">
        <v>180</v>
      </c>
      <c r="C165" s="54" t="s">
        <v>322</v>
      </c>
      <c r="D165" s="35"/>
      <c r="E165" s="35"/>
      <c r="F165" s="29"/>
      <c r="G165" s="144" t="s">
        <v>563</v>
      </c>
      <c r="H165" s="26"/>
      <c r="I165" s="153"/>
      <c r="J165" s="153"/>
      <c r="K165" s="153"/>
      <c r="L165" s="153"/>
      <c r="M165" s="153"/>
      <c r="N165" s="153"/>
      <c r="O165" s="153"/>
      <c r="P165" s="128">
        <f t="shared" si="32"/>
        <v>0</v>
      </c>
      <c r="Q165" s="139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</row>
    <row r="166" spans="1:45" s="11" customFormat="1" ht="11.25" customHeight="1" x14ac:dyDescent="0.2">
      <c r="A166" s="44"/>
      <c r="B166" s="13" t="s">
        <v>182</v>
      </c>
      <c r="C166" s="165" t="s">
        <v>411</v>
      </c>
      <c r="D166" s="166"/>
      <c r="E166" s="36"/>
      <c r="F166" s="30"/>
      <c r="G166" s="144" t="s">
        <v>564</v>
      </c>
      <c r="H166" s="26"/>
      <c r="I166" s="119"/>
      <c r="J166" s="153"/>
      <c r="K166" s="153"/>
      <c r="L166" s="153"/>
      <c r="M166" s="153"/>
      <c r="N166" s="119"/>
      <c r="O166" s="119"/>
      <c r="P166" s="122">
        <f t="shared" si="32"/>
        <v>0</v>
      </c>
      <c r="Q166" s="139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</row>
    <row r="167" spans="1:45" s="11" customFormat="1" ht="11.25" customHeight="1" x14ac:dyDescent="0.2">
      <c r="A167" s="53" t="s">
        <v>174</v>
      </c>
      <c r="B167" s="54" t="s">
        <v>1099</v>
      </c>
      <c r="C167" s="54"/>
      <c r="D167" s="35"/>
      <c r="E167" s="35"/>
      <c r="F167" s="29"/>
      <c r="G167" s="144" t="s">
        <v>1100</v>
      </c>
      <c r="H167" s="26"/>
      <c r="I167" s="119"/>
      <c r="J167" s="153"/>
      <c r="K167" s="153"/>
      <c r="L167" s="153"/>
      <c r="M167" s="153"/>
      <c r="N167" s="119"/>
      <c r="O167" s="119"/>
      <c r="P167" s="122">
        <f>I167+K167+M167+O167</f>
        <v>0</v>
      </c>
      <c r="Q167" s="139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</row>
    <row r="168" spans="1:45" s="11" customFormat="1" ht="11.25" customHeight="1" x14ac:dyDescent="0.2">
      <c r="A168" s="53" t="s">
        <v>176</v>
      </c>
      <c r="B168" s="54" t="s">
        <v>323</v>
      </c>
      <c r="C168" s="54"/>
      <c r="D168" s="35"/>
      <c r="E168" s="35"/>
      <c r="F168" s="29"/>
      <c r="G168" s="144" t="s">
        <v>565</v>
      </c>
      <c r="H168" s="26"/>
      <c r="I168" s="120">
        <f>I169 + I174</f>
        <v>0</v>
      </c>
      <c r="J168" s="128"/>
      <c r="K168" s="128"/>
      <c r="L168" s="128">
        <f>L169 + L174</f>
        <v>0</v>
      </c>
      <c r="M168" s="128">
        <f>M169 + M174</f>
        <v>0</v>
      </c>
      <c r="N168" s="120">
        <f>N169 + N174</f>
        <v>0</v>
      </c>
      <c r="O168" s="120">
        <f>O169 + O174</f>
        <v>0</v>
      </c>
      <c r="P168" s="122">
        <f t="shared" si="32"/>
        <v>0</v>
      </c>
      <c r="Q168" s="139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</row>
    <row r="169" spans="1:45" s="11" customFormat="1" ht="11.25" customHeight="1" x14ac:dyDescent="0.2">
      <c r="A169" s="44"/>
      <c r="B169" s="13" t="s">
        <v>178</v>
      </c>
      <c r="C169" s="13" t="s">
        <v>324</v>
      </c>
      <c r="D169" s="45"/>
      <c r="E169" s="35"/>
      <c r="F169" s="29"/>
      <c r="G169" s="144" t="s">
        <v>566</v>
      </c>
      <c r="H169" s="26"/>
      <c r="I169" s="120">
        <f>I170 + I171 + I172 + I173</f>
        <v>0</v>
      </c>
      <c r="J169" s="128"/>
      <c r="K169" s="128"/>
      <c r="L169" s="128">
        <f>L170 + L171 + L172 + L173</f>
        <v>0</v>
      </c>
      <c r="M169" s="128">
        <f>M170 + M171 + M172 + M173</f>
        <v>0</v>
      </c>
      <c r="N169" s="120">
        <f>N170 + N171 + N172 + N173</f>
        <v>0</v>
      </c>
      <c r="O169" s="120">
        <f>O170 + O171 + O172 + O173</f>
        <v>0</v>
      </c>
      <c r="P169" s="122">
        <f t="shared" si="32"/>
        <v>0</v>
      </c>
      <c r="Q169" s="139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</row>
    <row r="170" spans="1:45" s="11" customFormat="1" ht="11.25" customHeight="1" x14ac:dyDescent="0.2">
      <c r="A170" s="53"/>
      <c r="B170" s="54"/>
      <c r="C170" s="54" t="s">
        <v>188</v>
      </c>
      <c r="D170" s="35" t="s">
        <v>325</v>
      </c>
      <c r="E170" s="35"/>
      <c r="F170" s="29"/>
      <c r="G170" s="144" t="s">
        <v>567</v>
      </c>
      <c r="H170" s="26"/>
      <c r="I170" s="119"/>
      <c r="J170" s="128"/>
      <c r="K170" s="128"/>
      <c r="L170" s="153"/>
      <c r="M170" s="153"/>
      <c r="N170" s="119"/>
      <c r="O170" s="119"/>
      <c r="P170" s="122">
        <f t="shared" si="32"/>
        <v>0</v>
      </c>
      <c r="Q170" s="139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</row>
    <row r="171" spans="1:45" s="11" customFormat="1" ht="11.25" customHeight="1" x14ac:dyDescent="0.2">
      <c r="A171" s="44"/>
      <c r="B171" s="13"/>
      <c r="C171" s="13" t="s">
        <v>192</v>
      </c>
      <c r="D171" s="45" t="s">
        <v>326</v>
      </c>
      <c r="E171" s="35"/>
      <c r="F171" s="29"/>
      <c r="G171" s="144" t="s">
        <v>568</v>
      </c>
      <c r="H171" s="26"/>
      <c r="I171" s="119"/>
      <c r="J171" s="128"/>
      <c r="K171" s="128"/>
      <c r="L171" s="153"/>
      <c r="M171" s="153"/>
      <c r="N171" s="119"/>
      <c r="O171" s="119"/>
      <c r="P171" s="122">
        <f t="shared" si="32"/>
        <v>0</v>
      </c>
      <c r="Q171" s="139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</row>
    <row r="172" spans="1:45" s="11" customFormat="1" ht="11.25" customHeight="1" x14ac:dyDescent="0.2">
      <c r="A172" s="53"/>
      <c r="B172" s="54"/>
      <c r="C172" s="54" t="s">
        <v>327</v>
      </c>
      <c r="D172" s="35" t="s">
        <v>328</v>
      </c>
      <c r="E172" s="35"/>
      <c r="F172" s="29"/>
      <c r="G172" s="144" t="s">
        <v>569</v>
      </c>
      <c r="H172" s="26"/>
      <c r="I172" s="119"/>
      <c r="J172" s="128"/>
      <c r="K172" s="128"/>
      <c r="L172" s="153"/>
      <c r="M172" s="153"/>
      <c r="N172" s="119"/>
      <c r="O172" s="119"/>
      <c r="P172" s="122">
        <f t="shared" si="32"/>
        <v>0</v>
      </c>
      <c r="Q172" s="139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</row>
    <row r="173" spans="1:45" s="11" customFormat="1" ht="11.25" customHeight="1" x14ac:dyDescent="0.2">
      <c r="A173" s="44"/>
      <c r="B173" s="13"/>
      <c r="C173" s="13" t="s">
        <v>329</v>
      </c>
      <c r="D173" s="45" t="s">
        <v>312</v>
      </c>
      <c r="E173" s="35"/>
      <c r="F173" s="29"/>
      <c r="G173" s="144" t="s">
        <v>570</v>
      </c>
      <c r="H173" s="26"/>
      <c r="I173" s="119"/>
      <c r="J173" s="128"/>
      <c r="K173" s="128"/>
      <c r="L173" s="153"/>
      <c r="M173" s="153"/>
      <c r="N173" s="119"/>
      <c r="O173" s="119"/>
      <c r="P173" s="122">
        <f t="shared" si="32"/>
        <v>0</v>
      </c>
      <c r="Q173" s="139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</row>
    <row r="174" spans="1:45" s="11" customFormat="1" ht="11.25" customHeight="1" x14ac:dyDescent="0.2">
      <c r="A174" s="53"/>
      <c r="B174" s="54" t="s">
        <v>180</v>
      </c>
      <c r="C174" s="54" t="s">
        <v>330</v>
      </c>
      <c r="D174" s="35"/>
      <c r="E174" s="35"/>
      <c r="F174" s="29"/>
      <c r="G174" s="144" t="s">
        <v>571</v>
      </c>
      <c r="H174" s="26"/>
      <c r="I174" s="119"/>
      <c r="J174" s="128"/>
      <c r="K174" s="128"/>
      <c r="L174" s="153"/>
      <c r="M174" s="153"/>
      <c r="N174" s="119"/>
      <c r="O174" s="119"/>
      <c r="P174" s="122">
        <f t="shared" si="32"/>
        <v>0</v>
      </c>
      <c r="Q174" s="139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</row>
    <row r="175" spans="1:45" s="11" customFormat="1" ht="11.25" customHeight="1" x14ac:dyDescent="0.2">
      <c r="A175" s="53" t="s">
        <v>184</v>
      </c>
      <c r="B175" s="161" t="s">
        <v>408</v>
      </c>
      <c r="C175" s="54"/>
      <c r="D175" s="35"/>
      <c r="E175" s="35"/>
      <c r="F175" s="29"/>
      <c r="G175" s="144" t="s">
        <v>572</v>
      </c>
      <c r="H175" s="26"/>
      <c r="I175" s="119"/>
      <c r="J175" s="128"/>
      <c r="K175" s="128"/>
      <c r="L175" s="128"/>
      <c r="M175" s="128"/>
      <c r="N175" s="119"/>
      <c r="O175" s="119"/>
      <c r="P175" s="122">
        <f t="shared" si="32"/>
        <v>0</v>
      </c>
      <c r="Q175" s="139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</row>
    <row r="176" spans="1:45" s="10" customFormat="1" ht="11.25" customHeight="1" x14ac:dyDescent="0.2">
      <c r="A176" s="44" t="s">
        <v>186</v>
      </c>
      <c r="B176" s="13" t="s">
        <v>331</v>
      </c>
      <c r="C176" s="13"/>
      <c r="D176" s="45"/>
      <c r="E176" s="35"/>
      <c r="F176" s="29"/>
      <c r="G176" s="144" t="s">
        <v>573</v>
      </c>
      <c r="H176" s="26"/>
      <c r="I176" s="119"/>
      <c r="J176" s="153"/>
      <c r="K176" s="153"/>
      <c r="L176" s="153"/>
      <c r="M176" s="153"/>
      <c r="N176" s="119"/>
      <c r="O176" s="119"/>
      <c r="P176" s="122">
        <f t="shared" si="32"/>
        <v>0</v>
      </c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/>
      <c r="AL176" s="71"/>
      <c r="AM176" s="71"/>
      <c r="AN176" s="71"/>
      <c r="AO176" s="71"/>
      <c r="AP176" s="71"/>
      <c r="AQ176" s="71"/>
      <c r="AR176" s="71"/>
      <c r="AS176" s="71"/>
    </row>
    <row r="177" spans="1:45" s="10" customFormat="1" ht="11.25" customHeight="1" x14ac:dyDescent="0.2">
      <c r="A177" s="53" t="s">
        <v>197</v>
      </c>
      <c r="B177" s="62" t="s">
        <v>332</v>
      </c>
      <c r="C177" s="62"/>
      <c r="D177" s="73"/>
      <c r="E177" s="73"/>
      <c r="F177" s="74"/>
      <c r="G177" s="144" t="s">
        <v>574</v>
      </c>
      <c r="H177" s="67"/>
      <c r="I177" s="120">
        <f>I178 + I181 + I184+I185</f>
        <v>0</v>
      </c>
      <c r="J177" s="128">
        <f t="shared" ref="J177:O177" si="34">J178 + J181 + J184+J185</f>
        <v>0</v>
      </c>
      <c r="K177" s="128">
        <f t="shared" si="34"/>
        <v>0</v>
      </c>
      <c r="L177" s="128">
        <f t="shared" si="34"/>
        <v>0</v>
      </c>
      <c r="M177" s="128">
        <f t="shared" si="34"/>
        <v>0</v>
      </c>
      <c r="N177" s="120">
        <f t="shared" si="34"/>
        <v>0</v>
      </c>
      <c r="O177" s="120">
        <f t="shared" si="34"/>
        <v>0</v>
      </c>
      <c r="P177" s="122">
        <f t="shared" si="32"/>
        <v>0</v>
      </c>
      <c r="Q177" s="71"/>
      <c r="R177" s="71"/>
      <c r="S177" s="71"/>
      <c r="T177" s="71"/>
      <c r="U177" s="71"/>
      <c r="V177" s="71"/>
      <c r="W177" s="71"/>
      <c r="X177" s="71"/>
      <c r="Y177" s="71"/>
      <c r="Z177" s="71"/>
      <c r="AA177" s="71"/>
      <c r="AB177" s="71"/>
      <c r="AC177" s="71"/>
      <c r="AD177" s="71"/>
      <c r="AE177" s="71"/>
      <c r="AF177" s="71"/>
      <c r="AG177" s="71"/>
      <c r="AH177" s="71"/>
      <c r="AI177" s="71"/>
      <c r="AJ177" s="71"/>
      <c r="AK177" s="71"/>
      <c r="AL177" s="71"/>
      <c r="AM177" s="71"/>
      <c r="AN177" s="71"/>
      <c r="AO177" s="71"/>
      <c r="AP177" s="71"/>
      <c r="AQ177" s="71"/>
      <c r="AR177" s="71"/>
      <c r="AS177" s="71"/>
    </row>
    <row r="178" spans="1:45" s="10" customFormat="1" ht="11.25" customHeight="1" x14ac:dyDescent="0.2">
      <c r="A178" s="75"/>
      <c r="B178" s="71" t="s">
        <v>178</v>
      </c>
      <c r="C178" s="175" t="s">
        <v>333</v>
      </c>
      <c r="D178" s="176"/>
      <c r="E178" s="79"/>
      <c r="F178" s="80"/>
      <c r="G178" s="144" t="s">
        <v>575</v>
      </c>
      <c r="H178" s="67"/>
      <c r="I178" s="120">
        <f>I179 + I180</f>
        <v>0</v>
      </c>
      <c r="J178" s="128">
        <f t="shared" ref="J178:O178" si="35">J179 + J180</f>
        <v>0</v>
      </c>
      <c r="K178" s="128">
        <f t="shared" si="35"/>
        <v>0</v>
      </c>
      <c r="L178" s="128">
        <f t="shared" si="35"/>
        <v>0</v>
      </c>
      <c r="M178" s="128">
        <f t="shared" si="35"/>
        <v>0</v>
      </c>
      <c r="N178" s="120">
        <f t="shared" si="35"/>
        <v>0</v>
      </c>
      <c r="O178" s="120">
        <f t="shared" si="35"/>
        <v>0</v>
      </c>
      <c r="P178" s="122">
        <f t="shared" si="32"/>
        <v>0</v>
      </c>
      <c r="Q178" s="71"/>
      <c r="R178" s="71"/>
      <c r="S178" s="71"/>
      <c r="T178" s="71"/>
      <c r="U178" s="71"/>
      <c r="V178" s="71"/>
      <c r="W178" s="71"/>
      <c r="X178" s="71"/>
      <c r="Y178" s="71"/>
      <c r="Z178" s="71"/>
      <c r="AA178" s="71"/>
      <c r="AB178" s="71"/>
      <c r="AC178" s="71"/>
      <c r="AD178" s="71"/>
      <c r="AE178" s="71"/>
      <c r="AF178" s="71"/>
      <c r="AG178" s="71"/>
      <c r="AH178" s="71"/>
      <c r="AI178" s="71"/>
      <c r="AJ178" s="71"/>
      <c r="AK178" s="71"/>
      <c r="AL178" s="71"/>
      <c r="AM178" s="71"/>
      <c r="AN178" s="71"/>
      <c r="AO178" s="71"/>
      <c r="AP178" s="71"/>
      <c r="AQ178" s="71"/>
      <c r="AR178" s="71"/>
      <c r="AS178" s="71"/>
    </row>
    <row r="179" spans="1:45" s="10" customFormat="1" ht="11.25" customHeight="1" x14ac:dyDescent="0.2">
      <c r="A179" s="61"/>
      <c r="B179" s="62"/>
      <c r="C179" s="81" t="s">
        <v>188</v>
      </c>
      <c r="D179" s="79" t="s">
        <v>334</v>
      </c>
      <c r="E179" s="79"/>
      <c r="F179" s="80"/>
      <c r="G179" s="144" t="s">
        <v>576</v>
      </c>
      <c r="H179" s="67"/>
      <c r="I179" s="119"/>
      <c r="J179" s="153"/>
      <c r="K179" s="153"/>
      <c r="L179" s="153"/>
      <c r="M179" s="153"/>
      <c r="N179" s="119"/>
      <c r="O179" s="119"/>
      <c r="P179" s="122">
        <f t="shared" si="32"/>
        <v>0</v>
      </c>
      <c r="Q179" s="71"/>
      <c r="R179" s="71"/>
      <c r="S179" s="71"/>
      <c r="T179" s="71"/>
      <c r="U179" s="71"/>
      <c r="V179" s="71"/>
      <c r="W179" s="71"/>
      <c r="X179" s="71"/>
      <c r="Y179" s="71"/>
      <c r="Z179" s="71"/>
      <c r="AA179" s="71"/>
      <c r="AB179" s="71"/>
      <c r="AC179" s="71"/>
      <c r="AD179" s="71"/>
      <c r="AE179" s="71"/>
      <c r="AF179" s="71"/>
      <c r="AG179" s="71"/>
      <c r="AH179" s="71"/>
      <c r="AI179" s="71"/>
      <c r="AJ179" s="71"/>
      <c r="AK179" s="71"/>
      <c r="AL179" s="71"/>
      <c r="AM179" s="71"/>
      <c r="AN179" s="71"/>
      <c r="AO179" s="71"/>
      <c r="AP179" s="71"/>
      <c r="AQ179" s="71"/>
      <c r="AR179" s="71"/>
      <c r="AS179" s="71"/>
    </row>
    <row r="180" spans="1:45" s="10" customFormat="1" ht="11.25" customHeight="1" x14ac:dyDescent="0.2">
      <c r="A180" s="75"/>
      <c r="B180" s="71"/>
      <c r="C180" s="77" t="s">
        <v>192</v>
      </c>
      <c r="D180" s="78" t="s">
        <v>335</v>
      </c>
      <c r="E180" s="79"/>
      <c r="F180" s="80"/>
      <c r="G180" s="144" t="s">
        <v>577</v>
      </c>
      <c r="H180" s="67"/>
      <c r="I180" s="119"/>
      <c r="J180" s="153"/>
      <c r="K180" s="153"/>
      <c r="L180" s="128"/>
      <c r="M180" s="128"/>
      <c r="N180" s="119"/>
      <c r="O180" s="119"/>
      <c r="P180" s="122">
        <f t="shared" si="32"/>
        <v>0</v>
      </c>
      <c r="Q180" s="71"/>
      <c r="R180" s="71"/>
      <c r="S180" s="71"/>
      <c r="T180" s="71"/>
      <c r="U180" s="71"/>
      <c r="V180" s="71"/>
      <c r="W180" s="71"/>
      <c r="X180" s="71"/>
      <c r="Y180" s="71"/>
      <c r="Z180" s="71"/>
      <c r="AA180" s="71"/>
      <c r="AB180" s="71"/>
      <c r="AC180" s="71"/>
      <c r="AD180" s="71"/>
      <c r="AE180" s="71"/>
      <c r="AF180" s="71"/>
      <c r="AG180" s="71"/>
      <c r="AH180" s="71"/>
      <c r="AI180" s="71"/>
      <c r="AJ180" s="71"/>
      <c r="AK180" s="71"/>
      <c r="AL180" s="71"/>
      <c r="AM180" s="71"/>
      <c r="AN180" s="71"/>
      <c r="AO180" s="71"/>
      <c r="AP180" s="71"/>
      <c r="AQ180" s="71"/>
      <c r="AR180" s="71"/>
      <c r="AS180" s="71"/>
    </row>
    <row r="181" spans="1:45" s="10" customFormat="1" ht="11.25" customHeight="1" x14ac:dyDescent="0.2">
      <c r="A181" s="61"/>
      <c r="B181" s="62" t="s">
        <v>180</v>
      </c>
      <c r="C181" s="169" t="s">
        <v>336</v>
      </c>
      <c r="D181" s="170"/>
      <c r="E181" s="84"/>
      <c r="F181" s="85"/>
      <c r="G181" s="144" t="s">
        <v>578</v>
      </c>
      <c r="H181" s="67"/>
      <c r="I181" s="128">
        <f t="shared" ref="I181:O181" si="36">I182 + I183</f>
        <v>0</v>
      </c>
      <c r="J181" s="128">
        <f t="shared" si="36"/>
        <v>0</v>
      </c>
      <c r="K181" s="128">
        <f t="shared" si="36"/>
        <v>0</v>
      </c>
      <c r="L181" s="128">
        <f t="shared" si="36"/>
        <v>0</v>
      </c>
      <c r="M181" s="128">
        <f t="shared" si="36"/>
        <v>0</v>
      </c>
      <c r="N181" s="128">
        <f t="shared" si="36"/>
        <v>0</v>
      </c>
      <c r="O181" s="128">
        <f t="shared" si="36"/>
        <v>0</v>
      </c>
      <c r="P181" s="128">
        <f t="shared" si="32"/>
        <v>0</v>
      </c>
      <c r="Q181" s="71"/>
      <c r="R181" s="71"/>
      <c r="S181" s="71"/>
      <c r="T181" s="71"/>
      <c r="U181" s="71"/>
      <c r="V181" s="71"/>
      <c r="W181" s="71"/>
      <c r="X181" s="71"/>
      <c r="Y181" s="71"/>
      <c r="Z181" s="71"/>
      <c r="AA181" s="71"/>
      <c r="AB181" s="71"/>
      <c r="AC181" s="71"/>
      <c r="AD181" s="71"/>
      <c r="AE181" s="71"/>
      <c r="AF181" s="71"/>
      <c r="AG181" s="71"/>
      <c r="AH181" s="71"/>
      <c r="AI181" s="71"/>
      <c r="AJ181" s="71"/>
      <c r="AK181" s="71"/>
      <c r="AL181" s="71"/>
      <c r="AM181" s="71"/>
      <c r="AN181" s="71"/>
      <c r="AO181" s="71"/>
      <c r="AP181" s="71"/>
      <c r="AQ181" s="71"/>
      <c r="AR181" s="71"/>
      <c r="AS181" s="71"/>
    </row>
    <row r="182" spans="1:45" s="10" customFormat="1" ht="11.25" customHeight="1" x14ac:dyDescent="0.2">
      <c r="A182" s="61"/>
      <c r="B182" s="62"/>
      <c r="C182" s="83" t="s">
        <v>188</v>
      </c>
      <c r="D182" s="84" t="s">
        <v>337</v>
      </c>
      <c r="E182" s="84"/>
      <c r="F182" s="85"/>
      <c r="G182" s="144" t="s">
        <v>579</v>
      </c>
      <c r="H182" s="67"/>
      <c r="I182" s="153"/>
      <c r="J182" s="153"/>
      <c r="K182" s="153"/>
      <c r="L182" s="153"/>
      <c r="M182" s="153"/>
      <c r="N182" s="153"/>
      <c r="O182" s="153"/>
      <c r="P182" s="128">
        <f t="shared" si="32"/>
        <v>0</v>
      </c>
      <c r="Q182" s="71"/>
      <c r="R182" s="71"/>
      <c r="S182" s="71"/>
      <c r="T182" s="71"/>
      <c r="U182" s="71"/>
      <c r="V182" s="71"/>
      <c r="W182" s="71"/>
      <c r="X182" s="71"/>
      <c r="Y182" s="71"/>
      <c r="Z182" s="71"/>
      <c r="AA182" s="71"/>
      <c r="AB182" s="71"/>
      <c r="AC182" s="71"/>
      <c r="AD182" s="71"/>
      <c r="AE182" s="71"/>
      <c r="AF182" s="71"/>
      <c r="AG182" s="71"/>
      <c r="AH182" s="71"/>
      <c r="AI182" s="71"/>
      <c r="AJ182" s="71"/>
      <c r="AK182" s="71"/>
      <c r="AL182" s="71"/>
      <c r="AM182" s="71"/>
      <c r="AN182" s="71"/>
      <c r="AO182" s="71"/>
      <c r="AP182" s="71"/>
      <c r="AQ182" s="71"/>
      <c r="AR182" s="71"/>
      <c r="AS182" s="71"/>
    </row>
    <row r="183" spans="1:45" s="10" customFormat="1" ht="11.25" customHeight="1" x14ac:dyDescent="0.2">
      <c r="A183" s="61"/>
      <c r="B183" s="62"/>
      <c r="C183" s="62" t="s">
        <v>192</v>
      </c>
      <c r="D183" s="73" t="s">
        <v>338</v>
      </c>
      <c r="E183" s="73"/>
      <c r="F183" s="74"/>
      <c r="G183" s="144" t="s">
        <v>580</v>
      </c>
      <c r="H183" s="67"/>
      <c r="I183" s="153"/>
      <c r="J183" s="153"/>
      <c r="K183" s="153"/>
      <c r="L183" s="128"/>
      <c r="M183" s="128"/>
      <c r="N183" s="153"/>
      <c r="O183" s="153"/>
      <c r="P183" s="128">
        <f t="shared" si="32"/>
        <v>0</v>
      </c>
      <c r="Q183" s="71"/>
      <c r="R183" s="71"/>
      <c r="S183" s="71"/>
      <c r="T183" s="71"/>
      <c r="U183" s="71"/>
      <c r="V183" s="71"/>
      <c r="W183" s="71"/>
      <c r="X183" s="71"/>
      <c r="Y183" s="71"/>
      <c r="Z183" s="71"/>
      <c r="AA183" s="71"/>
      <c r="AB183" s="71"/>
      <c r="AC183" s="71"/>
      <c r="AD183" s="71"/>
      <c r="AE183" s="71"/>
      <c r="AF183" s="71"/>
      <c r="AG183" s="71"/>
      <c r="AH183" s="71"/>
      <c r="AI183" s="71"/>
      <c r="AJ183" s="71"/>
      <c r="AK183" s="71"/>
      <c r="AL183" s="71"/>
      <c r="AM183" s="71"/>
      <c r="AN183" s="71"/>
      <c r="AO183" s="71"/>
      <c r="AP183" s="71"/>
      <c r="AQ183" s="71"/>
      <c r="AR183" s="71"/>
      <c r="AS183" s="71"/>
    </row>
    <row r="184" spans="1:45" s="10" customFormat="1" ht="11.25" customHeight="1" x14ac:dyDescent="0.2">
      <c r="A184" s="75"/>
      <c r="B184" s="71" t="s">
        <v>182</v>
      </c>
      <c r="C184" s="71" t="s">
        <v>339</v>
      </c>
      <c r="D184" s="72"/>
      <c r="E184" s="73"/>
      <c r="F184" s="74"/>
      <c r="G184" s="144" t="s">
        <v>581</v>
      </c>
      <c r="H184" s="67"/>
      <c r="I184" s="153"/>
      <c r="J184" s="153"/>
      <c r="K184" s="153"/>
      <c r="L184" s="128"/>
      <c r="M184" s="123"/>
      <c r="N184" s="153"/>
      <c r="O184" s="153"/>
      <c r="P184" s="128">
        <f t="shared" si="32"/>
        <v>0</v>
      </c>
      <c r="Q184" s="71"/>
      <c r="R184" s="71"/>
      <c r="S184" s="71"/>
      <c r="T184" s="71"/>
      <c r="U184" s="71"/>
      <c r="V184" s="71"/>
      <c r="W184" s="71"/>
      <c r="X184" s="71"/>
      <c r="Y184" s="71"/>
      <c r="Z184" s="71"/>
      <c r="AA184" s="71"/>
      <c r="AB184" s="71"/>
      <c r="AC184" s="71"/>
      <c r="AD184" s="71"/>
      <c r="AE184" s="71"/>
      <c r="AF184" s="71"/>
      <c r="AG184" s="71"/>
      <c r="AH184" s="71"/>
      <c r="AI184" s="71"/>
      <c r="AJ184" s="71"/>
      <c r="AK184" s="71"/>
      <c r="AL184" s="71"/>
      <c r="AM184" s="71"/>
      <c r="AN184" s="71"/>
      <c r="AO184" s="71"/>
      <c r="AP184" s="71"/>
      <c r="AQ184" s="71"/>
      <c r="AR184" s="71"/>
      <c r="AS184" s="71"/>
    </row>
    <row r="185" spans="1:45" s="11" customFormat="1" ht="11.25" customHeight="1" x14ac:dyDescent="0.2">
      <c r="A185" s="61"/>
      <c r="B185" s="62" t="s">
        <v>225</v>
      </c>
      <c r="C185" s="62" t="s">
        <v>312</v>
      </c>
      <c r="D185" s="73"/>
      <c r="E185" s="73"/>
      <c r="F185" s="74"/>
      <c r="G185" s="144" t="s">
        <v>582</v>
      </c>
      <c r="H185" s="67"/>
      <c r="I185" s="119"/>
      <c r="J185" s="153"/>
      <c r="K185" s="153"/>
      <c r="L185" s="128"/>
      <c r="M185" s="128"/>
      <c r="N185" s="119"/>
      <c r="O185" s="119"/>
      <c r="P185" s="122">
        <f t="shared" si="32"/>
        <v>0</v>
      </c>
      <c r="Q185" s="139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</row>
    <row r="186" spans="1:45" s="11" customFormat="1" ht="11.25" customHeight="1" x14ac:dyDescent="0.2">
      <c r="A186" s="53" t="s">
        <v>202</v>
      </c>
      <c r="B186" s="54" t="s">
        <v>340</v>
      </c>
      <c r="C186" s="54"/>
      <c r="D186" s="35"/>
      <c r="E186" s="35"/>
      <c r="F186" s="29"/>
      <c r="G186" s="144" t="s">
        <v>583</v>
      </c>
      <c r="H186" s="26"/>
      <c r="I186" s="119"/>
      <c r="J186" s="128"/>
      <c r="K186" s="128"/>
      <c r="L186" s="128"/>
      <c r="M186" s="128"/>
      <c r="N186" s="119"/>
      <c r="O186" s="119"/>
      <c r="P186" s="122">
        <f t="shared" si="32"/>
        <v>0</v>
      </c>
      <c r="Q186" s="139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</row>
    <row r="187" spans="1:45" s="11" customFormat="1" ht="11.25" customHeight="1" x14ac:dyDescent="0.2">
      <c r="A187" s="44" t="s">
        <v>205</v>
      </c>
      <c r="B187" s="13" t="s">
        <v>341</v>
      </c>
      <c r="C187" s="13"/>
      <c r="D187" s="45"/>
      <c r="E187" s="35"/>
      <c r="F187" s="29"/>
      <c r="G187" s="144" t="s">
        <v>584</v>
      </c>
      <c r="H187" s="26"/>
      <c r="I187" s="119"/>
      <c r="J187" s="128"/>
      <c r="K187" s="128"/>
      <c r="L187" s="128"/>
      <c r="M187" s="128"/>
      <c r="N187" s="119"/>
      <c r="O187" s="119"/>
      <c r="P187" s="122">
        <f t="shared" si="32"/>
        <v>0</v>
      </c>
      <c r="Q187" s="139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</row>
    <row r="188" spans="1:45" s="11" customFormat="1" ht="11.25" customHeight="1" x14ac:dyDescent="0.2">
      <c r="A188" s="53" t="s">
        <v>208</v>
      </c>
      <c r="B188" s="54" t="s">
        <v>342</v>
      </c>
      <c r="C188" s="54"/>
      <c r="D188" s="35"/>
      <c r="E188" s="35"/>
      <c r="F188" s="29"/>
      <c r="G188" s="144" t="s">
        <v>585</v>
      </c>
      <c r="H188" s="26"/>
      <c r="I188" s="153"/>
      <c r="J188" s="153"/>
      <c r="K188" s="153"/>
      <c r="L188" s="128"/>
      <c r="M188" s="128"/>
      <c r="N188" s="153"/>
      <c r="O188" s="153"/>
      <c r="P188" s="128">
        <f t="shared" si="32"/>
        <v>0</v>
      </c>
      <c r="Q188" s="139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</row>
    <row r="189" spans="1:45" s="11" customFormat="1" ht="11.25" customHeight="1" x14ac:dyDescent="0.2">
      <c r="A189" s="53" t="s">
        <v>218</v>
      </c>
      <c r="B189" s="54" t="s">
        <v>343</v>
      </c>
      <c r="C189" s="54"/>
      <c r="D189" s="35"/>
      <c r="E189" s="35"/>
      <c r="F189" s="29"/>
      <c r="G189" s="144" t="s">
        <v>586</v>
      </c>
      <c r="H189" s="26"/>
      <c r="I189" s="153"/>
      <c r="J189" s="128"/>
      <c r="K189" s="128"/>
      <c r="L189" s="128"/>
      <c r="M189" s="128"/>
      <c r="N189" s="153"/>
      <c r="O189" s="153"/>
      <c r="P189" s="128">
        <f t="shared" si="32"/>
        <v>0</v>
      </c>
      <c r="Q189" s="139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</row>
    <row r="190" spans="1:45" s="11" customFormat="1" ht="11.25" customHeight="1" x14ac:dyDescent="0.2">
      <c r="A190" s="49" t="s">
        <v>344</v>
      </c>
      <c r="B190" s="13"/>
      <c r="C190" s="13"/>
      <c r="D190" s="45"/>
      <c r="E190" s="35"/>
      <c r="F190" s="29"/>
      <c r="G190" s="144" t="s">
        <v>587</v>
      </c>
      <c r="H190" s="26"/>
      <c r="I190" s="120">
        <f>I158 + I162 + I163 + I168 + I175 + I176 + I177 + I186 + I187+I188 + I189 + I167</f>
        <v>0</v>
      </c>
      <c r="J190" s="128">
        <f t="shared" ref="J190:O190" si="37">J158 + J162 + J163 + J168 + J175 + J176 + J177 + J186 + J187+J188 + J189</f>
        <v>0</v>
      </c>
      <c r="K190" s="128">
        <f t="shared" si="37"/>
        <v>0</v>
      </c>
      <c r="L190" s="128">
        <f t="shared" si="37"/>
        <v>0</v>
      </c>
      <c r="M190" s="128">
        <f t="shared" si="37"/>
        <v>0</v>
      </c>
      <c r="N190" s="120">
        <f t="shared" si="37"/>
        <v>0</v>
      </c>
      <c r="O190" s="120">
        <f t="shared" si="37"/>
        <v>0</v>
      </c>
      <c r="P190" s="122">
        <f>I190+K190+M190+O190</f>
        <v>0</v>
      </c>
      <c r="Q190" s="139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</row>
    <row r="191" spans="1:45" s="11" customFormat="1" ht="11.25" customHeight="1" x14ac:dyDescent="0.2">
      <c r="A191" s="58" t="s">
        <v>345</v>
      </c>
      <c r="B191" s="54"/>
      <c r="C191" s="54"/>
      <c r="D191" s="35"/>
      <c r="E191" s="35"/>
      <c r="F191" s="29"/>
      <c r="G191" s="144" t="s">
        <v>588</v>
      </c>
      <c r="H191" s="26"/>
      <c r="I191" s="120">
        <f t="shared" ref="I191:P191" si="38">I156 + I190</f>
        <v>0</v>
      </c>
      <c r="J191" s="128">
        <f t="shared" si="38"/>
        <v>0</v>
      </c>
      <c r="K191" s="128">
        <f t="shared" si="38"/>
        <v>0</v>
      </c>
      <c r="L191" s="128">
        <f t="shared" si="38"/>
        <v>0</v>
      </c>
      <c r="M191" s="128">
        <f t="shared" si="38"/>
        <v>0</v>
      </c>
      <c r="N191" s="120">
        <f t="shared" si="38"/>
        <v>0</v>
      </c>
      <c r="O191" s="120">
        <f t="shared" si="38"/>
        <v>0</v>
      </c>
      <c r="P191" s="120">
        <f t="shared" si="38"/>
        <v>0</v>
      </c>
      <c r="Q191" s="139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</row>
    <row r="192" spans="1:45" s="11" customFormat="1" ht="11.25" customHeight="1" x14ac:dyDescent="0.2">
      <c r="A192" s="33" t="s">
        <v>346</v>
      </c>
      <c r="B192" s="29"/>
      <c r="C192" s="29"/>
      <c r="D192" s="29"/>
      <c r="E192" s="29"/>
      <c r="F192" s="29"/>
      <c r="G192" s="144" t="s">
        <v>589</v>
      </c>
      <c r="H192" s="26"/>
      <c r="I192" s="119"/>
      <c r="J192" s="153"/>
      <c r="K192" s="153"/>
      <c r="L192" s="153"/>
      <c r="M192" s="153"/>
      <c r="N192" s="119"/>
      <c r="O192" s="119"/>
      <c r="P192" s="122">
        <f>I192+K192+M192+O192</f>
        <v>0</v>
      </c>
      <c r="Q192" s="71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</row>
    <row r="193" spans="1:45" s="11" customFormat="1" ht="11.25" customHeight="1" x14ac:dyDescent="0.2">
      <c r="A193" s="13"/>
      <c r="B193" s="13"/>
      <c r="C193" s="13"/>
      <c r="D193" s="13"/>
      <c r="E193" s="13"/>
      <c r="F193" s="13"/>
      <c r="G193" s="18" t="s">
        <v>389</v>
      </c>
      <c r="H193" s="9"/>
      <c r="I193" s="118"/>
      <c r="J193" s="118"/>
      <c r="K193" s="118"/>
      <c r="L193" s="118"/>
      <c r="M193" s="118"/>
      <c r="N193" s="118"/>
      <c r="O193" s="118"/>
      <c r="P193" s="19"/>
      <c r="Q193" s="71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</row>
    <row r="194" spans="1:45" s="11" customFormat="1" ht="11.25" customHeight="1" x14ac:dyDescent="0.2">
      <c r="A194" s="13"/>
      <c r="B194" s="13"/>
      <c r="C194" s="13"/>
      <c r="D194" s="13"/>
      <c r="E194" s="13"/>
      <c r="F194" s="13"/>
      <c r="G194" s="8"/>
      <c r="H194" s="9"/>
      <c r="I194" s="118"/>
      <c r="J194" s="118"/>
      <c r="K194" s="118"/>
      <c r="L194" s="118"/>
      <c r="M194" s="118"/>
      <c r="N194" s="118"/>
      <c r="O194" s="118"/>
      <c r="P194" s="19"/>
      <c r="Q194" s="71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</row>
    <row r="195" spans="1:45" s="11" customFormat="1" ht="11.25" customHeight="1" x14ac:dyDescent="0.2">
      <c r="A195" s="13"/>
      <c r="B195" s="13"/>
      <c r="C195" s="13"/>
      <c r="D195" s="13"/>
      <c r="E195" s="13"/>
      <c r="F195" s="13"/>
      <c r="G195" s="8"/>
      <c r="H195" s="9"/>
      <c r="I195" s="118"/>
      <c r="J195" s="118"/>
      <c r="K195" s="118"/>
      <c r="L195" s="118"/>
      <c r="M195" s="118"/>
      <c r="N195" s="118"/>
      <c r="O195" s="118"/>
      <c r="P195" s="19"/>
      <c r="Q195" s="71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</row>
    <row r="196" spans="1:45" s="11" customFormat="1" ht="11.25" customHeight="1" x14ac:dyDescent="0.2">
      <c r="A196" s="13"/>
      <c r="B196" s="13"/>
      <c r="C196" s="13"/>
      <c r="D196" s="13"/>
      <c r="E196" s="13"/>
      <c r="F196" s="13"/>
      <c r="G196" s="8"/>
      <c r="H196" s="9"/>
      <c r="I196" s="118"/>
      <c r="J196" s="118"/>
      <c r="K196" s="118"/>
      <c r="L196" s="118"/>
      <c r="M196" s="118"/>
      <c r="N196" s="118"/>
      <c r="O196" s="118"/>
      <c r="P196" s="19"/>
      <c r="Q196" s="71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</row>
    <row r="197" spans="1:45" s="11" customFormat="1" ht="11.25" customHeight="1" x14ac:dyDescent="0.2">
      <c r="A197" s="13"/>
      <c r="B197" s="13"/>
      <c r="C197" s="13"/>
      <c r="D197" s="13"/>
      <c r="E197" s="13"/>
      <c r="F197" s="13"/>
      <c r="G197" s="8"/>
      <c r="H197" s="9"/>
      <c r="I197" s="118"/>
      <c r="J197" s="118"/>
      <c r="K197" s="118"/>
      <c r="L197" s="118"/>
      <c r="M197" s="118"/>
      <c r="N197" s="118"/>
      <c r="O197" s="118"/>
      <c r="P197" s="19"/>
      <c r="Q197" s="71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</row>
    <row r="198" spans="1:45" s="11" customFormat="1" ht="11.25" customHeight="1" x14ac:dyDescent="0.2">
      <c r="A198" s="13"/>
      <c r="B198" s="13"/>
      <c r="C198" s="13"/>
      <c r="D198" s="13"/>
      <c r="E198" s="13"/>
      <c r="F198" s="13"/>
      <c r="G198" s="8"/>
      <c r="H198" s="9"/>
      <c r="I198" s="118"/>
      <c r="J198" s="118"/>
      <c r="K198" s="118"/>
      <c r="L198" s="118"/>
      <c r="M198" s="118"/>
      <c r="N198" s="118"/>
      <c r="O198" s="118"/>
      <c r="P198" s="19"/>
      <c r="Q198" s="71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</row>
    <row r="199" spans="1:45" s="11" customFormat="1" ht="11.25" customHeight="1" x14ac:dyDescent="0.2">
      <c r="A199" s="13"/>
      <c r="B199" s="13"/>
      <c r="C199" s="13"/>
      <c r="D199" s="13"/>
      <c r="E199" s="13"/>
      <c r="F199" s="13"/>
      <c r="G199" s="8"/>
      <c r="H199" s="9"/>
      <c r="I199" s="118"/>
      <c r="J199" s="118"/>
      <c r="K199" s="118"/>
      <c r="L199" s="118"/>
      <c r="M199" s="118"/>
      <c r="N199" s="118"/>
      <c r="O199" s="118"/>
      <c r="P199" s="19"/>
      <c r="Q199" s="71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</row>
    <row r="200" spans="1:45" s="11" customFormat="1" ht="11.25" customHeight="1" x14ac:dyDescent="0.2">
      <c r="A200" s="13"/>
      <c r="B200" s="13"/>
      <c r="C200" s="13"/>
      <c r="D200" s="13"/>
      <c r="E200" s="13"/>
      <c r="F200" s="13"/>
      <c r="G200" s="8"/>
      <c r="H200" s="9"/>
      <c r="I200" s="118"/>
      <c r="J200" s="118"/>
      <c r="K200" s="118"/>
      <c r="L200" s="118"/>
      <c r="M200" s="118"/>
      <c r="N200" s="118"/>
      <c r="O200" s="118"/>
      <c r="P200" s="19"/>
      <c r="Q200" s="71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</row>
    <row r="201" spans="1:45" s="11" customFormat="1" ht="11.25" customHeight="1" x14ac:dyDescent="0.2">
      <c r="A201" s="13"/>
      <c r="B201" s="13"/>
      <c r="C201" s="13"/>
      <c r="D201" s="13"/>
      <c r="E201" s="13"/>
      <c r="F201" s="13"/>
      <c r="G201" s="8"/>
      <c r="H201" s="9"/>
      <c r="I201" s="118"/>
      <c r="J201" s="118"/>
      <c r="K201" s="118"/>
      <c r="L201" s="118"/>
      <c r="M201" s="118"/>
      <c r="N201" s="118"/>
      <c r="O201" s="118"/>
      <c r="P201" s="19"/>
      <c r="Q201" s="71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</row>
    <row r="202" spans="1:45" s="11" customFormat="1" ht="11.25" customHeight="1" x14ac:dyDescent="0.2">
      <c r="A202" s="13"/>
      <c r="B202" s="13"/>
      <c r="C202" s="13"/>
      <c r="D202" s="13"/>
      <c r="E202" s="13"/>
      <c r="F202" s="13"/>
      <c r="G202" s="8"/>
      <c r="H202" s="9"/>
      <c r="I202" s="118"/>
      <c r="J202" s="118"/>
      <c r="K202" s="118"/>
      <c r="L202" s="118"/>
      <c r="M202" s="118"/>
      <c r="N202" s="118"/>
      <c r="O202" s="118"/>
      <c r="P202" s="19"/>
      <c r="Q202" s="71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</row>
    <row r="203" spans="1:45" s="11" customFormat="1" ht="11.25" customHeight="1" x14ac:dyDescent="0.2">
      <c r="A203" s="13"/>
      <c r="B203" s="13"/>
      <c r="C203" s="13"/>
      <c r="D203" s="13"/>
      <c r="E203" s="13"/>
      <c r="F203" s="13"/>
      <c r="G203" s="8"/>
      <c r="H203" s="9"/>
      <c r="I203" s="118"/>
      <c r="J203" s="118"/>
      <c r="K203" s="118"/>
      <c r="L203" s="118"/>
      <c r="M203" s="118"/>
      <c r="N203" s="118"/>
      <c r="O203" s="118"/>
      <c r="P203" s="19"/>
      <c r="Q203" s="71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</row>
    <row r="204" spans="1:45" s="11" customFormat="1" ht="11.25" customHeight="1" x14ac:dyDescent="0.2">
      <c r="A204" s="13"/>
      <c r="B204" s="13"/>
      <c r="C204" s="13"/>
      <c r="D204" s="13"/>
      <c r="E204" s="13"/>
      <c r="F204" s="13"/>
      <c r="G204" s="8"/>
      <c r="H204" s="9"/>
      <c r="I204" s="118"/>
      <c r="J204" s="118"/>
      <c r="K204" s="118"/>
      <c r="L204" s="118"/>
      <c r="M204" s="118"/>
      <c r="N204" s="118"/>
      <c r="O204" s="118"/>
      <c r="P204" s="19"/>
      <c r="Q204" s="71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</row>
    <row r="205" spans="1:45" s="11" customFormat="1" ht="11.25" customHeight="1" x14ac:dyDescent="0.2">
      <c r="A205" s="13"/>
      <c r="B205" s="13"/>
      <c r="C205" s="13"/>
      <c r="D205" s="13"/>
      <c r="E205" s="13"/>
      <c r="F205" s="13"/>
      <c r="G205" s="8"/>
      <c r="H205" s="9"/>
      <c r="I205" s="118"/>
      <c r="J205" s="118"/>
      <c r="K205" s="118"/>
      <c r="L205" s="118"/>
      <c r="M205" s="118"/>
      <c r="N205" s="118"/>
      <c r="O205" s="118"/>
      <c r="P205" s="19"/>
      <c r="Q205" s="71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</row>
    <row r="206" spans="1:45" s="11" customFormat="1" ht="11.25" customHeight="1" x14ac:dyDescent="0.2">
      <c r="A206" s="13"/>
      <c r="B206" s="13"/>
      <c r="C206" s="13"/>
      <c r="D206" s="13"/>
      <c r="E206" s="13"/>
      <c r="F206" s="13"/>
      <c r="G206" s="8"/>
      <c r="H206" s="9"/>
      <c r="I206" s="118"/>
      <c r="J206" s="118"/>
      <c r="K206" s="118"/>
      <c r="L206" s="118"/>
      <c r="M206" s="118"/>
      <c r="N206" s="118"/>
      <c r="O206" s="118"/>
      <c r="P206" s="19"/>
      <c r="Q206" s="71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</row>
    <row r="207" spans="1:45" s="11" customFormat="1" ht="11.25" customHeight="1" x14ac:dyDescent="0.2">
      <c r="A207" s="13"/>
      <c r="B207" s="13"/>
      <c r="C207" s="13"/>
      <c r="D207" s="13"/>
      <c r="E207" s="13"/>
      <c r="F207" s="13"/>
      <c r="G207" s="8"/>
      <c r="H207" s="9"/>
      <c r="I207" s="118"/>
      <c r="J207" s="118"/>
      <c r="K207" s="118"/>
      <c r="L207" s="118"/>
      <c r="M207" s="118"/>
      <c r="N207" s="118"/>
      <c r="O207" s="118"/>
      <c r="P207" s="19"/>
      <c r="Q207" s="71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</row>
    <row r="208" spans="1:45" s="11" customFormat="1" ht="11.25" customHeight="1" x14ac:dyDescent="0.2">
      <c r="A208" s="13"/>
      <c r="B208" s="13"/>
      <c r="C208" s="13"/>
      <c r="D208" s="13"/>
      <c r="E208" s="13"/>
      <c r="F208" s="13"/>
      <c r="G208" s="8"/>
      <c r="H208" s="9"/>
      <c r="I208" s="118"/>
      <c r="J208" s="118"/>
      <c r="K208" s="118"/>
      <c r="L208" s="118"/>
      <c r="M208" s="118"/>
      <c r="N208" s="118"/>
      <c r="O208" s="118"/>
      <c r="P208" s="19"/>
      <c r="Q208" s="71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</row>
    <row r="209" spans="1:45" s="11" customFormat="1" ht="11.25" customHeight="1" x14ac:dyDescent="0.2">
      <c r="A209" s="13"/>
      <c r="B209" s="13"/>
      <c r="C209" s="13"/>
      <c r="D209" s="13"/>
      <c r="E209" s="13"/>
      <c r="F209" s="13"/>
      <c r="G209" s="8"/>
      <c r="H209" s="9"/>
      <c r="I209" s="118"/>
      <c r="J209" s="118"/>
      <c r="K209" s="118"/>
      <c r="L209" s="118"/>
      <c r="M209" s="118"/>
      <c r="N209" s="118"/>
      <c r="O209" s="118"/>
      <c r="P209" s="19"/>
      <c r="Q209" s="71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</row>
    <row r="210" spans="1:45" s="11" customFormat="1" ht="11.25" customHeight="1" x14ac:dyDescent="0.2">
      <c r="A210" s="13"/>
      <c r="B210" s="13"/>
      <c r="C210" s="13"/>
      <c r="D210" s="13"/>
      <c r="E210" s="13"/>
      <c r="F210" s="13"/>
      <c r="G210" s="8"/>
      <c r="H210" s="9"/>
      <c r="I210" s="118"/>
      <c r="J210" s="118"/>
      <c r="K210" s="118"/>
      <c r="L210" s="118"/>
      <c r="M210" s="118"/>
      <c r="N210" s="118"/>
      <c r="O210" s="118"/>
      <c r="P210" s="19"/>
      <c r="Q210" s="71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</row>
    <row r="211" spans="1:45" s="11" customFormat="1" ht="11.25" customHeight="1" x14ac:dyDescent="0.2">
      <c r="A211" s="13"/>
      <c r="B211" s="13"/>
      <c r="C211" s="13"/>
      <c r="D211" s="13"/>
      <c r="E211" s="13"/>
      <c r="F211" s="13"/>
      <c r="G211" s="8"/>
      <c r="H211" s="9"/>
      <c r="I211" s="118"/>
      <c r="J211" s="118"/>
      <c r="K211" s="118"/>
      <c r="L211" s="118"/>
      <c r="M211" s="118"/>
      <c r="N211" s="118"/>
      <c r="O211" s="118"/>
      <c r="P211" s="19"/>
      <c r="Q211" s="71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</row>
    <row r="212" spans="1:45" s="11" customFormat="1" ht="11.25" customHeight="1" x14ac:dyDescent="0.2">
      <c r="A212" s="13"/>
      <c r="B212" s="13"/>
      <c r="C212" s="13"/>
      <c r="D212" s="13"/>
      <c r="E212" s="13"/>
      <c r="F212" s="13"/>
      <c r="G212" s="8"/>
      <c r="H212" s="9"/>
      <c r="I212" s="118"/>
      <c r="J212" s="118"/>
      <c r="K212" s="118"/>
      <c r="L212" s="118"/>
      <c r="M212" s="118"/>
      <c r="N212" s="118"/>
      <c r="O212" s="118"/>
      <c r="P212" s="19"/>
      <c r="Q212" s="71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</row>
    <row r="213" spans="1:45" s="11" customFormat="1" ht="11.25" customHeight="1" x14ac:dyDescent="0.2">
      <c r="A213" s="13"/>
      <c r="B213" s="13"/>
      <c r="C213" s="13"/>
      <c r="D213" s="13"/>
      <c r="E213" s="13"/>
      <c r="F213" s="13"/>
      <c r="G213" s="8"/>
      <c r="H213" s="9"/>
      <c r="I213" s="118"/>
      <c r="J213" s="118"/>
      <c r="K213" s="118"/>
      <c r="L213" s="118"/>
      <c r="M213" s="118"/>
      <c r="N213" s="118"/>
      <c r="O213" s="118"/>
      <c r="P213" s="19"/>
      <c r="Q213" s="71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</row>
    <row r="214" spans="1:45" s="11" customFormat="1" ht="11.25" customHeight="1" x14ac:dyDescent="0.2">
      <c r="A214" s="13"/>
      <c r="B214" s="13"/>
      <c r="C214" s="13"/>
      <c r="D214" s="13"/>
      <c r="E214" s="13"/>
      <c r="F214" s="13"/>
      <c r="G214" s="8"/>
      <c r="H214" s="9"/>
      <c r="I214" s="118"/>
      <c r="J214" s="118"/>
      <c r="K214" s="118"/>
      <c r="L214" s="118"/>
      <c r="M214" s="118"/>
      <c r="N214" s="118"/>
      <c r="O214" s="118"/>
      <c r="P214" s="19"/>
      <c r="Q214" s="71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</row>
    <row r="215" spans="1:45" s="11" customFormat="1" ht="11.25" customHeight="1" x14ac:dyDescent="0.2">
      <c r="A215" s="13"/>
      <c r="B215" s="13"/>
      <c r="C215" s="13"/>
      <c r="D215" s="13"/>
      <c r="E215" s="13"/>
      <c r="F215" s="13"/>
      <c r="G215" s="8"/>
      <c r="H215" s="9"/>
      <c r="I215" s="118"/>
      <c r="J215" s="118"/>
      <c r="K215" s="118"/>
      <c r="L215" s="118"/>
      <c r="M215" s="118"/>
      <c r="N215" s="118"/>
      <c r="O215" s="118"/>
      <c r="P215" s="19"/>
      <c r="Q215" s="71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</row>
    <row r="216" spans="1:45" s="11" customFormat="1" ht="11.25" customHeight="1" x14ac:dyDescent="0.2">
      <c r="A216" s="13"/>
      <c r="B216" s="13"/>
      <c r="C216" s="13"/>
      <c r="D216" s="13"/>
      <c r="E216" s="13"/>
      <c r="F216" s="13"/>
      <c r="G216" s="8"/>
      <c r="H216" s="9"/>
      <c r="I216" s="118"/>
      <c r="J216" s="118"/>
      <c r="K216" s="118"/>
      <c r="L216" s="118"/>
      <c r="M216" s="118"/>
      <c r="N216" s="118"/>
      <c r="O216" s="118"/>
      <c r="P216" s="19"/>
      <c r="Q216" s="71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</row>
    <row r="217" spans="1:45" s="11" customFormat="1" ht="11.25" customHeight="1" x14ac:dyDescent="0.2">
      <c r="A217" s="13"/>
      <c r="B217" s="13"/>
      <c r="C217" s="13"/>
      <c r="D217" s="13"/>
      <c r="E217" s="13"/>
      <c r="F217" s="13"/>
      <c r="G217" s="8"/>
      <c r="H217" s="9"/>
      <c r="I217" s="118"/>
      <c r="J217" s="118"/>
      <c r="K217" s="118"/>
      <c r="L217" s="118"/>
      <c r="M217" s="118"/>
      <c r="N217" s="118"/>
      <c r="O217" s="118"/>
      <c r="P217" s="19"/>
      <c r="Q217" s="71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</row>
    <row r="218" spans="1:45" s="11" customFormat="1" ht="11.25" customHeight="1" x14ac:dyDescent="0.2">
      <c r="A218" s="13"/>
      <c r="B218" s="13"/>
      <c r="C218" s="13"/>
      <c r="D218" s="13"/>
      <c r="E218" s="13"/>
      <c r="F218" s="13"/>
      <c r="G218" s="8"/>
      <c r="H218" s="9"/>
      <c r="I218" s="118"/>
      <c r="J218" s="118"/>
      <c r="K218" s="118"/>
      <c r="L218" s="118"/>
      <c r="M218" s="118"/>
      <c r="N218" s="118"/>
      <c r="O218" s="118"/>
      <c r="P218" s="19"/>
      <c r="Q218" s="71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</row>
    <row r="219" spans="1:45" s="11" customFormat="1" ht="11.25" customHeight="1" x14ac:dyDescent="0.2">
      <c r="A219" s="13"/>
      <c r="B219" s="13"/>
      <c r="C219" s="13"/>
      <c r="D219" s="13"/>
      <c r="E219" s="13"/>
      <c r="F219" s="13"/>
      <c r="G219" s="8"/>
      <c r="H219" s="9"/>
      <c r="I219" s="118"/>
      <c r="J219" s="118"/>
      <c r="K219" s="118"/>
      <c r="L219" s="118"/>
      <c r="M219" s="118"/>
      <c r="N219" s="118"/>
      <c r="O219" s="118"/>
      <c r="P219" s="19"/>
      <c r="Q219" s="71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</row>
    <row r="220" spans="1:45" s="11" customFormat="1" ht="11.25" customHeight="1" x14ac:dyDescent="0.2">
      <c r="A220" s="13"/>
      <c r="B220" s="13"/>
      <c r="C220" s="13"/>
      <c r="D220" s="13"/>
      <c r="E220" s="13"/>
      <c r="F220" s="13"/>
      <c r="G220" s="8"/>
      <c r="H220" s="9"/>
      <c r="I220" s="118"/>
      <c r="J220" s="118"/>
      <c r="K220" s="118"/>
      <c r="L220" s="118"/>
      <c r="M220" s="118"/>
      <c r="N220" s="118"/>
      <c r="O220" s="118"/>
      <c r="P220" s="19"/>
      <c r="Q220" s="71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</row>
    <row r="221" spans="1:45" s="11" customFormat="1" ht="11.25" customHeight="1" x14ac:dyDescent="0.2">
      <c r="A221" s="13"/>
      <c r="B221" s="13"/>
      <c r="C221" s="13"/>
      <c r="D221" s="13"/>
      <c r="E221" s="13"/>
      <c r="F221" s="13"/>
      <c r="G221" s="8"/>
      <c r="H221" s="9"/>
      <c r="I221" s="118"/>
      <c r="J221" s="118"/>
      <c r="K221" s="118"/>
      <c r="L221" s="118"/>
      <c r="M221" s="118"/>
      <c r="N221" s="118"/>
      <c r="O221" s="118"/>
      <c r="P221" s="19"/>
      <c r="Q221" s="71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</row>
    <row r="222" spans="1:45" s="11" customFormat="1" ht="11.25" customHeight="1" x14ac:dyDescent="0.2">
      <c r="A222" s="13"/>
      <c r="B222" s="13"/>
      <c r="C222" s="13"/>
      <c r="D222" s="13"/>
      <c r="E222" s="13"/>
      <c r="F222" s="13"/>
      <c r="G222" s="8"/>
      <c r="H222" s="9"/>
      <c r="I222" s="118"/>
      <c r="J222" s="118"/>
      <c r="K222" s="118"/>
      <c r="L222" s="118"/>
      <c r="M222" s="118"/>
      <c r="N222" s="118"/>
      <c r="O222" s="118"/>
      <c r="P222" s="19"/>
      <c r="Q222" s="71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</row>
    <row r="223" spans="1:45" s="11" customFormat="1" ht="11.25" customHeight="1" x14ac:dyDescent="0.2">
      <c r="A223" s="13"/>
      <c r="B223" s="13"/>
      <c r="C223" s="13"/>
      <c r="D223" s="13"/>
      <c r="E223" s="13"/>
      <c r="F223" s="13"/>
      <c r="G223" s="8"/>
      <c r="H223" s="9"/>
      <c r="I223" s="118"/>
      <c r="J223" s="118"/>
      <c r="K223" s="118"/>
      <c r="L223" s="118"/>
      <c r="M223" s="118"/>
      <c r="N223" s="118"/>
      <c r="O223" s="118"/>
      <c r="P223" s="19"/>
      <c r="Q223" s="71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</row>
    <row r="224" spans="1:45" s="11" customFormat="1" ht="11.25" customHeight="1" x14ac:dyDescent="0.2">
      <c r="A224" s="13"/>
      <c r="B224" s="13"/>
      <c r="C224" s="13"/>
      <c r="D224" s="13"/>
      <c r="E224" s="13"/>
      <c r="F224" s="13"/>
      <c r="G224" s="8"/>
      <c r="H224" s="9"/>
      <c r="I224" s="118"/>
      <c r="J224" s="118"/>
      <c r="K224" s="118"/>
      <c r="L224" s="118"/>
      <c r="M224" s="118"/>
      <c r="N224" s="118"/>
      <c r="O224" s="118"/>
      <c r="P224" s="19"/>
      <c r="Q224" s="71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</row>
    <row r="225" spans="1:45" s="11" customFormat="1" ht="11.25" customHeight="1" x14ac:dyDescent="0.2">
      <c r="A225" s="13"/>
      <c r="B225" s="13"/>
      <c r="C225" s="13"/>
      <c r="D225" s="13"/>
      <c r="E225" s="13"/>
      <c r="F225" s="13"/>
      <c r="G225" s="8"/>
      <c r="H225" s="9"/>
      <c r="I225" s="118"/>
      <c r="J225" s="118"/>
      <c r="K225" s="118"/>
      <c r="L225" s="118"/>
      <c r="M225" s="118"/>
      <c r="N225" s="118"/>
      <c r="O225" s="118"/>
      <c r="P225" s="19"/>
      <c r="Q225" s="71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</row>
    <row r="226" spans="1:45" s="11" customFormat="1" ht="11.25" customHeight="1" x14ac:dyDescent="0.2">
      <c r="A226" s="13"/>
      <c r="B226" s="13"/>
      <c r="C226" s="13"/>
      <c r="D226" s="13"/>
      <c r="E226" s="13"/>
      <c r="F226" s="13"/>
      <c r="G226" s="8"/>
      <c r="H226" s="9"/>
      <c r="I226" s="118"/>
      <c r="J226" s="118"/>
      <c r="K226" s="118"/>
      <c r="L226" s="118"/>
      <c r="M226" s="118"/>
      <c r="N226" s="118"/>
      <c r="O226" s="118"/>
      <c r="P226" s="19"/>
      <c r="Q226" s="71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</row>
    <row r="227" spans="1:45" s="11" customFormat="1" ht="11.25" customHeight="1" x14ac:dyDescent="0.2">
      <c r="A227" s="13"/>
      <c r="B227" s="13"/>
      <c r="C227" s="13"/>
      <c r="D227" s="13"/>
      <c r="E227" s="13"/>
      <c r="F227" s="13"/>
      <c r="G227" s="8"/>
      <c r="H227" s="9"/>
      <c r="I227" s="118"/>
      <c r="J227" s="118"/>
      <c r="K227" s="118"/>
      <c r="L227" s="118"/>
      <c r="M227" s="118"/>
      <c r="N227" s="118"/>
      <c r="O227" s="118"/>
      <c r="P227" s="19"/>
      <c r="Q227" s="71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</row>
    <row r="228" spans="1:45" s="11" customFormat="1" ht="11.25" customHeight="1" x14ac:dyDescent="0.2">
      <c r="A228" s="13"/>
      <c r="B228" s="13"/>
      <c r="C228" s="13"/>
      <c r="D228" s="13"/>
      <c r="E228" s="13"/>
      <c r="F228" s="13"/>
      <c r="G228" s="8"/>
      <c r="H228" s="9"/>
      <c r="I228" s="118"/>
      <c r="J228" s="118"/>
      <c r="K228" s="118"/>
      <c r="L228" s="118"/>
      <c r="M228" s="118"/>
      <c r="N228" s="118"/>
      <c r="O228" s="118"/>
      <c r="P228" s="19"/>
      <c r="Q228" s="71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</row>
    <row r="229" spans="1:45" s="11" customFormat="1" ht="11.25" customHeight="1" x14ac:dyDescent="0.2">
      <c r="A229" s="13"/>
      <c r="B229" s="13"/>
      <c r="C229" s="13"/>
      <c r="D229" s="13"/>
      <c r="E229" s="13"/>
      <c r="F229" s="13"/>
      <c r="G229" s="8"/>
      <c r="H229" s="9"/>
      <c r="I229" s="118"/>
      <c r="J229" s="118"/>
      <c r="K229" s="118"/>
      <c r="L229" s="118"/>
      <c r="M229" s="118"/>
      <c r="N229" s="118"/>
      <c r="O229" s="118"/>
      <c r="P229" s="19"/>
      <c r="Q229" s="71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</row>
    <row r="230" spans="1:45" s="11" customFormat="1" ht="11.25" customHeight="1" x14ac:dyDescent="0.2">
      <c r="A230" s="13"/>
      <c r="B230" s="13"/>
      <c r="C230" s="13"/>
      <c r="D230" s="13"/>
      <c r="E230" s="13"/>
      <c r="F230" s="13"/>
      <c r="G230" s="8"/>
      <c r="H230" s="9"/>
      <c r="I230" s="118"/>
      <c r="J230" s="118"/>
      <c r="K230" s="118"/>
      <c r="L230" s="118"/>
      <c r="M230" s="118"/>
      <c r="N230" s="118"/>
      <c r="O230" s="118"/>
      <c r="P230" s="19"/>
      <c r="Q230" s="71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</row>
    <row r="231" spans="1:45" s="11" customFormat="1" ht="11.25" customHeight="1" x14ac:dyDescent="0.2">
      <c r="A231" s="13"/>
      <c r="B231" s="13"/>
      <c r="C231" s="13"/>
      <c r="D231" s="13"/>
      <c r="E231" s="13"/>
      <c r="F231" s="13"/>
      <c r="G231" s="8"/>
      <c r="H231" s="9"/>
      <c r="I231" s="118"/>
      <c r="J231" s="118"/>
      <c r="K231" s="118"/>
      <c r="L231" s="118"/>
      <c r="M231" s="118"/>
      <c r="N231" s="118"/>
      <c r="O231" s="118"/>
      <c r="P231" s="19"/>
      <c r="Q231" s="71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</row>
    <row r="232" spans="1:45" s="11" customFormat="1" ht="11.25" customHeight="1" x14ac:dyDescent="0.2">
      <c r="A232" s="13"/>
      <c r="B232" s="13"/>
      <c r="C232" s="13"/>
      <c r="D232" s="13"/>
      <c r="E232" s="13"/>
      <c r="F232" s="13"/>
      <c r="G232" s="8"/>
      <c r="H232" s="9"/>
      <c r="I232" s="118"/>
      <c r="J232" s="118"/>
      <c r="K232" s="118"/>
      <c r="L232" s="118"/>
      <c r="M232" s="118"/>
      <c r="N232" s="118"/>
      <c r="O232" s="118"/>
      <c r="P232" s="19"/>
      <c r="Q232" s="71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</row>
    <row r="233" spans="1:45" s="11" customFormat="1" ht="11.25" customHeight="1" x14ac:dyDescent="0.2">
      <c r="A233" s="13"/>
      <c r="B233" s="13"/>
      <c r="C233" s="13"/>
      <c r="D233" s="13"/>
      <c r="E233" s="13"/>
      <c r="F233" s="13"/>
      <c r="G233" s="8"/>
      <c r="H233" s="9"/>
      <c r="I233" s="118"/>
      <c r="J233" s="118"/>
      <c r="K233" s="118"/>
      <c r="L233" s="118"/>
      <c r="M233" s="118"/>
      <c r="N233" s="118"/>
      <c r="O233" s="118"/>
      <c r="P233" s="19"/>
      <c r="Q233" s="71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</row>
    <row r="234" spans="1:45" s="11" customFormat="1" ht="11.25" customHeight="1" x14ac:dyDescent="0.2">
      <c r="A234" s="13"/>
      <c r="B234" s="13"/>
      <c r="C234" s="13"/>
      <c r="D234" s="13"/>
      <c r="E234" s="13"/>
      <c r="F234" s="13"/>
      <c r="G234" s="8"/>
      <c r="H234" s="9"/>
      <c r="I234" s="118"/>
      <c r="J234" s="118"/>
      <c r="K234" s="118"/>
      <c r="L234" s="118"/>
      <c r="M234" s="118"/>
      <c r="N234" s="118"/>
      <c r="O234" s="118"/>
      <c r="P234" s="19"/>
      <c r="Q234" s="71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</row>
    <row r="235" spans="1:45" s="11" customFormat="1" ht="11.25" customHeight="1" x14ac:dyDescent="0.2">
      <c r="A235" s="13"/>
      <c r="B235" s="13"/>
      <c r="C235" s="13"/>
      <c r="D235" s="13"/>
      <c r="E235" s="13"/>
      <c r="F235" s="13"/>
      <c r="G235" s="8"/>
      <c r="H235" s="9"/>
      <c r="I235" s="118"/>
      <c r="J235" s="118"/>
      <c r="K235" s="118"/>
      <c r="L235" s="118"/>
      <c r="M235" s="118"/>
      <c r="N235" s="118"/>
      <c r="O235" s="118"/>
      <c r="P235" s="19"/>
      <c r="Q235" s="71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</row>
    <row r="236" spans="1:45" s="11" customFormat="1" ht="11.25" customHeight="1" x14ac:dyDescent="0.2">
      <c r="A236" s="13"/>
      <c r="B236" s="13"/>
      <c r="C236" s="13"/>
      <c r="D236" s="13"/>
      <c r="E236" s="13"/>
      <c r="F236" s="13"/>
      <c r="G236" s="8"/>
      <c r="H236" s="9"/>
      <c r="I236" s="118"/>
      <c r="J236" s="118"/>
      <c r="K236" s="118"/>
      <c r="L236" s="118"/>
      <c r="M236" s="118"/>
      <c r="N236" s="118"/>
      <c r="O236" s="118"/>
      <c r="P236" s="19"/>
      <c r="Q236" s="71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</row>
    <row r="237" spans="1:45" s="11" customFormat="1" ht="11.25" customHeight="1" x14ac:dyDescent="0.2">
      <c r="A237" s="13" t="s">
        <v>347</v>
      </c>
      <c r="B237" s="13"/>
      <c r="C237" s="13"/>
      <c r="D237" s="13"/>
      <c r="E237" s="13"/>
      <c r="F237" s="13"/>
      <c r="G237" s="8"/>
      <c r="H237" s="9"/>
      <c r="I237" s="118"/>
      <c r="J237" s="118"/>
      <c r="K237" s="118"/>
      <c r="L237" s="118"/>
      <c r="M237" s="118"/>
      <c r="N237" s="118"/>
      <c r="O237" s="118"/>
      <c r="P237" s="19"/>
      <c r="Q237" s="71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</row>
    <row r="238" spans="1:45" s="11" customFormat="1" ht="11.25" customHeight="1" x14ac:dyDescent="0.2">
      <c r="A238" s="13"/>
      <c r="B238" s="13"/>
      <c r="C238" s="13"/>
      <c r="D238" s="13"/>
      <c r="E238" s="13"/>
      <c r="F238" s="13"/>
      <c r="G238" s="8"/>
      <c r="H238" s="9"/>
      <c r="I238" s="118"/>
      <c r="J238" s="118"/>
      <c r="K238" s="118"/>
      <c r="L238" s="118"/>
      <c r="M238" s="118"/>
      <c r="N238" s="118"/>
      <c r="O238" s="118"/>
      <c r="P238" s="19"/>
      <c r="Q238" s="71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</row>
    <row r="239" spans="1:45" s="11" customFormat="1" ht="11.25" customHeight="1" x14ac:dyDescent="0.2">
      <c r="A239" s="13"/>
      <c r="B239" s="13"/>
      <c r="C239" s="13"/>
      <c r="D239" s="13"/>
      <c r="E239" s="13"/>
      <c r="F239" s="13"/>
      <c r="G239" s="8"/>
      <c r="H239" s="9"/>
      <c r="I239" s="118"/>
      <c r="J239" s="118"/>
      <c r="K239" s="118"/>
      <c r="L239" s="118"/>
      <c r="M239" s="118"/>
      <c r="N239" s="118"/>
      <c r="O239" s="118"/>
      <c r="P239" s="19"/>
      <c r="Q239" s="71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</row>
    <row r="240" spans="1:45" s="11" customFormat="1" ht="11.25" customHeight="1" x14ac:dyDescent="0.2">
      <c r="A240" s="13"/>
      <c r="B240" s="13"/>
      <c r="C240" s="13"/>
      <c r="D240" s="13"/>
      <c r="E240" s="13"/>
      <c r="F240" s="13"/>
      <c r="G240" s="8"/>
      <c r="H240" s="9"/>
      <c r="I240" s="118"/>
      <c r="J240" s="118"/>
      <c r="K240" s="118"/>
      <c r="L240" s="118"/>
      <c r="M240" s="118"/>
      <c r="N240" s="118"/>
      <c r="O240" s="118"/>
      <c r="P240" s="19"/>
      <c r="Q240" s="71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</row>
    <row r="241" spans="1:45" s="11" customFormat="1" ht="11.25" customHeight="1" x14ac:dyDescent="0.2">
      <c r="A241" s="13"/>
      <c r="B241" s="13"/>
      <c r="C241" s="13"/>
      <c r="D241" s="13"/>
      <c r="E241" s="13"/>
      <c r="F241" s="13"/>
      <c r="G241" s="8"/>
      <c r="H241" s="9"/>
      <c r="I241" s="118"/>
      <c r="J241" s="118"/>
      <c r="K241" s="118"/>
      <c r="L241" s="118"/>
      <c r="M241" s="118"/>
      <c r="N241" s="118"/>
      <c r="O241" s="118"/>
      <c r="P241" s="19"/>
      <c r="Q241" s="71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</row>
    <row r="242" spans="1:45" s="11" customFormat="1" ht="11.25" customHeight="1" x14ac:dyDescent="0.2">
      <c r="A242" s="13"/>
      <c r="B242" s="13"/>
      <c r="C242" s="13"/>
      <c r="D242" s="13"/>
      <c r="E242" s="13"/>
      <c r="F242" s="13"/>
      <c r="G242" s="8"/>
      <c r="H242" s="9"/>
      <c r="I242" s="118"/>
      <c r="J242" s="118"/>
      <c r="K242" s="118"/>
      <c r="L242" s="118"/>
      <c r="M242" s="118"/>
      <c r="N242" s="118"/>
      <c r="O242" s="118"/>
      <c r="P242" s="19"/>
      <c r="Q242" s="71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</row>
    <row r="243" spans="1:45" s="11" customFormat="1" ht="11.25" customHeight="1" x14ac:dyDescent="0.2">
      <c r="A243" s="13"/>
      <c r="B243" s="13"/>
      <c r="C243" s="13"/>
      <c r="D243" s="13"/>
      <c r="E243" s="13"/>
      <c r="F243" s="13"/>
      <c r="G243" s="8"/>
      <c r="H243" s="9"/>
      <c r="I243" s="118"/>
      <c r="J243" s="118"/>
      <c r="K243" s="118"/>
      <c r="L243" s="118"/>
      <c r="M243" s="118"/>
      <c r="N243" s="118"/>
      <c r="O243" s="118"/>
      <c r="P243" s="19"/>
      <c r="Q243" s="71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</row>
    <row r="244" spans="1:45" s="11" customFormat="1" ht="11.25" customHeight="1" x14ac:dyDescent="0.2">
      <c r="A244" s="13"/>
      <c r="B244" s="13"/>
      <c r="C244" s="13"/>
      <c r="D244" s="13"/>
      <c r="E244" s="13"/>
      <c r="F244" s="13"/>
      <c r="G244" s="8"/>
      <c r="H244" s="9"/>
      <c r="I244" s="118"/>
      <c r="J244" s="118"/>
      <c r="K244" s="118"/>
      <c r="L244" s="118"/>
      <c r="M244" s="118"/>
      <c r="N244" s="118"/>
      <c r="O244" s="118"/>
      <c r="P244" s="19"/>
      <c r="Q244" s="71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</row>
    <row r="245" spans="1:45" s="11" customFormat="1" ht="11.25" customHeight="1" x14ac:dyDescent="0.2">
      <c r="A245" s="13"/>
      <c r="B245" s="13"/>
      <c r="C245" s="13"/>
      <c r="D245" s="13"/>
      <c r="E245" s="13"/>
      <c r="F245" s="13"/>
      <c r="G245" s="8"/>
      <c r="H245" s="9"/>
      <c r="I245" s="118"/>
      <c r="J245" s="118"/>
      <c r="K245" s="118"/>
      <c r="L245" s="118"/>
      <c r="M245" s="118"/>
      <c r="N245" s="118"/>
      <c r="O245" s="118"/>
      <c r="P245" s="19"/>
      <c r="Q245" s="71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</row>
    <row r="246" spans="1:45" s="11" customFormat="1" ht="11.25" customHeight="1" x14ac:dyDescent="0.2">
      <c r="A246" s="13"/>
      <c r="B246" s="13"/>
      <c r="C246" s="13"/>
      <c r="D246" s="13"/>
      <c r="E246" s="13"/>
      <c r="F246" s="13"/>
      <c r="G246" s="8"/>
      <c r="H246" s="9"/>
      <c r="I246" s="118"/>
      <c r="J246" s="118"/>
      <c r="K246" s="118"/>
      <c r="L246" s="118"/>
      <c r="M246" s="118"/>
      <c r="N246" s="118"/>
      <c r="O246" s="118"/>
      <c r="P246" s="19"/>
      <c r="Q246" s="71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</row>
    <row r="247" spans="1:45" s="11" customFormat="1" ht="11.25" customHeight="1" x14ac:dyDescent="0.2">
      <c r="A247" s="13"/>
      <c r="B247" s="13"/>
      <c r="C247" s="13"/>
      <c r="D247" s="13"/>
      <c r="E247" s="13"/>
      <c r="F247" s="13"/>
      <c r="G247" s="8"/>
      <c r="H247" s="9"/>
      <c r="I247" s="118"/>
      <c r="J247" s="118"/>
      <c r="K247" s="118"/>
      <c r="L247" s="118"/>
      <c r="M247" s="118"/>
      <c r="N247" s="118"/>
      <c r="O247" s="118"/>
      <c r="P247" s="19"/>
      <c r="Q247" s="71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</row>
    <row r="248" spans="1:45" s="11" customFormat="1" ht="11.25" customHeight="1" x14ac:dyDescent="0.2">
      <c r="A248" s="13"/>
      <c r="B248" s="13"/>
      <c r="C248" s="13"/>
      <c r="D248" s="13"/>
      <c r="E248" s="13"/>
      <c r="F248" s="13"/>
      <c r="G248" s="8"/>
      <c r="H248" s="9"/>
      <c r="I248" s="118"/>
      <c r="J248" s="118"/>
      <c r="K248" s="118"/>
      <c r="L248" s="118"/>
      <c r="M248" s="118"/>
      <c r="N248" s="118"/>
      <c r="O248" s="118"/>
      <c r="P248" s="19"/>
      <c r="Q248" s="71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</row>
    <row r="249" spans="1:45" s="11" customFormat="1" ht="11.25" customHeight="1" x14ac:dyDescent="0.2">
      <c r="A249" s="13"/>
      <c r="B249" s="13"/>
      <c r="C249" s="13"/>
      <c r="D249" s="13"/>
      <c r="E249" s="13"/>
      <c r="F249" s="13"/>
      <c r="G249" s="8"/>
      <c r="H249" s="9"/>
      <c r="I249" s="118"/>
      <c r="J249" s="118"/>
      <c r="K249" s="118"/>
      <c r="L249" s="118"/>
      <c r="M249" s="118"/>
      <c r="N249" s="118"/>
      <c r="O249" s="118"/>
      <c r="P249" s="19"/>
      <c r="Q249" s="71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</row>
    <row r="250" spans="1:45" s="11" customFormat="1" ht="11.25" customHeight="1" x14ac:dyDescent="0.2">
      <c r="A250" s="13"/>
      <c r="B250" s="13"/>
      <c r="C250" s="13"/>
      <c r="D250" s="13"/>
      <c r="E250" s="13"/>
      <c r="F250" s="13"/>
      <c r="G250" s="8"/>
      <c r="H250" s="9"/>
      <c r="I250" s="118"/>
      <c r="J250" s="118"/>
      <c r="K250" s="118"/>
      <c r="L250" s="118"/>
      <c r="M250" s="118"/>
      <c r="N250" s="118"/>
      <c r="O250" s="118"/>
      <c r="P250" s="19"/>
      <c r="Q250" s="71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</row>
    <row r="251" spans="1:45" s="11" customFormat="1" ht="11.25" customHeight="1" x14ac:dyDescent="0.2">
      <c r="A251" s="13"/>
      <c r="B251" s="13"/>
      <c r="C251" s="13"/>
      <c r="D251" s="13"/>
      <c r="E251" s="13"/>
      <c r="F251" s="13"/>
      <c r="G251" s="8"/>
      <c r="H251" s="9"/>
      <c r="I251" s="118"/>
      <c r="J251" s="118"/>
      <c r="K251" s="118"/>
      <c r="L251" s="118"/>
      <c r="M251" s="118"/>
      <c r="N251" s="118"/>
      <c r="O251" s="118"/>
      <c r="P251" s="19"/>
      <c r="Q251" s="71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</row>
    <row r="252" spans="1:45" s="11" customFormat="1" ht="11.25" customHeight="1" x14ac:dyDescent="0.2">
      <c r="A252" s="13"/>
      <c r="B252" s="13"/>
      <c r="C252" s="13"/>
      <c r="D252" s="13"/>
      <c r="E252" s="13"/>
      <c r="F252" s="13"/>
      <c r="G252" s="8"/>
      <c r="H252" s="9"/>
      <c r="I252" s="118"/>
      <c r="J252" s="118"/>
      <c r="K252" s="118"/>
      <c r="L252" s="118"/>
      <c r="M252" s="118"/>
      <c r="N252" s="118"/>
      <c r="O252" s="118"/>
      <c r="P252" s="19"/>
      <c r="Q252" s="71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</row>
    <row r="253" spans="1:45" s="11" customFormat="1" ht="11.25" customHeight="1" x14ac:dyDescent="0.2">
      <c r="A253" s="13"/>
      <c r="B253" s="13"/>
      <c r="C253" s="13"/>
      <c r="D253" s="13"/>
      <c r="E253" s="13"/>
      <c r="F253" s="13"/>
      <c r="G253" s="8"/>
      <c r="H253" s="9"/>
      <c r="I253" s="118"/>
      <c r="J253" s="118"/>
      <c r="K253" s="118"/>
      <c r="L253" s="118"/>
      <c r="M253" s="118"/>
      <c r="N253" s="118"/>
      <c r="O253" s="118"/>
      <c r="P253" s="19"/>
      <c r="Q253" s="71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</row>
    <row r="254" spans="1:45" s="11" customFormat="1" ht="11.25" customHeight="1" x14ac:dyDescent="0.2">
      <c r="A254" s="13"/>
      <c r="B254" s="13"/>
      <c r="C254" s="13"/>
      <c r="D254" s="13"/>
      <c r="E254" s="13"/>
      <c r="F254" s="13"/>
      <c r="G254" s="8"/>
      <c r="H254" s="9"/>
      <c r="I254" s="118"/>
      <c r="J254" s="118"/>
      <c r="K254" s="118"/>
      <c r="L254" s="118"/>
      <c r="M254" s="118"/>
      <c r="N254" s="118"/>
      <c r="O254" s="118"/>
      <c r="P254" s="19"/>
      <c r="Q254" s="71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</row>
    <row r="255" spans="1:45" s="11" customFormat="1" ht="11.25" customHeight="1" x14ac:dyDescent="0.2">
      <c r="A255" s="13"/>
      <c r="B255" s="13"/>
      <c r="C255" s="13"/>
      <c r="D255" s="13"/>
      <c r="E255" s="13"/>
      <c r="F255" s="13"/>
      <c r="G255" s="8"/>
      <c r="H255" s="9"/>
      <c r="I255" s="118"/>
      <c r="J255" s="118"/>
      <c r="K255" s="118"/>
      <c r="L255" s="118"/>
      <c r="M255" s="118"/>
      <c r="N255" s="118"/>
      <c r="O255" s="118"/>
      <c r="P255" s="19"/>
      <c r="Q255" s="71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</row>
    <row r="256" spans="1:45" s="11" customFormat="1" ht="11.25" customHeight="1" x14ac:dyDescent="0.2">
      <c r="A256" s="13"/>
      <c r="B256" s="13"/>
      <c r="C256" s="13"/>
      <c r="D256" s="13"/>
      <c r="E256" s="13"/>
      <c r="F256" s="13"/>
      <c r="G256" s="8"/>
      <c r="H256" s="9"/>
      <c r="I256" s="118"/>
      <c r="J256" s="118"/>
      <c r="K256" s="118"/>
      <c r="L256" s="118"/>
      <c r="M256" s="118"/>
      <c r="N256" s="118"/>
      <c r="O256" s="118"/>
      <c r="P256" s="19"/>
      <c r="Q256" s="71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</row>
    <row r="257" spans="1:45" s="11" customFormat="1" ht="11.25" customHeight="1" x14ac:dyDescent="0.2">
      <c r="A257" s="13"/>
      <c r="B257" s="13"/>
      <c r="C257" s="13"/>
      <c r="D257" s="13"/>
      <c r="E257" s="13"/>
      <c r="F257" s="13"/>
      <c r="G257" s="8"/>
      <c r="H257" s="9"/>
      <c r="I257" s="118"/>
      <c r="J257" s="118"/>
      <c r="K257" s="118"/>
      <c r="L257" s="118"/>
      <c r="M257" s="118"/>
      <c r="N257" s="118"/>
      <c r="O257" s="118"/>
      <c r="P257" s="19"/>
      <c r="Q257" s="71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</row>
    <row r="258" spans="1:45" s="11" customFormat="1" ht="11.25" customHeight="1" x14ac:dyDescent="0.2">
      <c r="A258" s="13"/>
      <c r="B258" s="13"/>
      <c r="C258" s="13"/>
      <c r="D258" s="13"/>
      <c r="E258" s="13"/>
      <c r="F258" s="13"/>
      <c r="G258" s="8"/>
      <c r="H258" s="9"/>
      <c r="I258" s="118"/>
      <c r="J258" s="118"/>
      <c r="K258" s="118"/>
      <c r="L258" s="118"/>
      <c r="M258" s="118"/>
      <c r="N258" s="118"/>
      <c r="O258" s="118"/>
      <c r="P258" s="19"/>
      <c r="Q258" s="71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</row>
    <row r="259" spans="1:45" s="11" customFormat="1" ht="11.25" customHeight="1" x14ac:dyDescent="0.2">
      <c r="A259" s="13"/>
      <c r="B259" s="13"/>
      <c r="C259" s="13"/>
      <c r="D259" s="13"/>
      <c r="E259" s="13"/>
      <c r="F259" s="13"/>
      <c r="G259" s="8"/>
      <c r="H259" s="9"/>
      <c r="I259" s="118"/>
      <c r="J259" s="118"/>
      <c r="K259" s="118"/>
      <c r="L259" s="118"/>
      <c r="M259" s="118"/>
      <c r="N259" s="118"/>
      <c r="O259" s="118"/>
      <c r="P259" s="19"/>
      <c r="Q259" s="71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</row>
    <row r="260" spans="1:45" s="11" customFormat="1" ht="11.25" customHeight="1" x14ac:dyDescent="0.2">
      <c r="A260" s="13"/>
      <c r="B260" s="13"/>
      <c r="C260" s="13"/>
      <c r="D260" s="13"/>
      <c r="E260" s="13"/>
      <c r="F260" s="13"/>
      <c r="G260" s="8"/>
      <c r="H260" s="9"/>
      <c r="I260" s="118"/>
      <c r="J260" s="118"/>
      <c r="K260" s="118"/>
      <c r="L260" s="118"/>
      <c r="M260" s="118"/>
      <c r="N260" s="118"/>
      <c r="O260" s="118"/>
      <c r="P260" s="19"/>
      <c r="Q260" s="71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</row>
    <row r="261" spans="1:45" s="11" customFormat="1" ht="11.25" customHeight="1" x14ac:dyDescent="0.2">
      <c r="A261" s="13"/>
      <c r="B261" s="13"/>
      <c r="C261" s="13"/>
      <c r="D261" s="13"/>
      <c r="E261" s="13"/>
      <c r="F261" s="13"/>
      <c r="G261" s="8"/>
      <c r="H261" s="9"/>
      <c r="I261" s="118"/>
      <c r="J261" s="118"/>
      <c r="K261" s="118"/>
      <c r="L261" s="118"/>
      <c r="M261" s="118"/>
      <c r="N261" s="118"/>
      <c r="O261" s="118"/>
      <c r="P261" s="19"/>
      <c r="Q261" s="71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</row>
    <row r="262" spans="1:45" s="11" customFormat="1" ht="11.25" customHeight="1" x14ac:dyDescent="0.2">
      <c r="A262" s="13"/>
      <c r="B262" s="13"/>
      <c r="C262" s="13"/>
      <c r="D262" s="13"/>
      <c r="E262" s="13"/>
      <c r="F262" s="13"/>
      <c r="G262" s="8"/>
      <c r="H262" s="9"/>
      <c r="I262" s="118"/>
      <c r="J262" s="118"/>
      <c r="K262" s="118"/>
      <c r="L262" s="118"/>
      <c r="M262" s="118"/>
      <c r="N262" s="118"/>
      <c r="O262" s="118"/>
      <c r="P262" s="19"/>
      <c r="Q262" s="71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</row>
    <row r="263" spans="1:45" s="11" customFormat="1" ht="11.25" customHeight="1" x14ac:dyDescent="0.2">
      <c r="A263" s="13"/>
      <c r="B263" s="13"/>
      <c r="C263" s="13"/>
      <c r="D263" s="13"/>
      <c r="E263" s="13"/>
      <c r="F263" s="13"/>
      <c r="G263" s="8"/>
      <c r="H263" s="9"/>
      <c r="I263" s="118"/>
      <c r="J263" s="118"/>
      <c r="K263" s="118"/>
      <c r="L263" s="118"/>
      <c r="M263" s="118"/>
      <c r="N263" s="118"/>
      <c r="O263" s="118"/>
      <c r="P263" s="19"/>
      <c r="Q263" s="71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</row>
    <row r="264" spans="1:45" s="11" customFormat="1" ht="11.25" customHeight="1" x14ac:dyDescent="0.2">
      <c r="A264" s="13"/>
      <c r="B264" s="13"/>
      <c r="C264" s="13"/>
      <c r="D264" s="13"/>
      <c r="E264" s="13"/>
      <c r="F264" s="13"/>
      <c r="G264" s="8"/>
      <c r="H264" s="9"/>
      <c r="I264" s="118"/>
      <c r="J264" s="118"/>
      <c r="K264" s="118"/>
      <c r="L264" s="118"/>
      <c r="M264" s="118"/>
      <c r="N264" s="118"/>
      <c r="O264" s="118"/>
      <c r="P264" s="19"/>
      <c r="Q264" s="71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</row>
    <row r="265" spans="1:45" s="11" customFormat="1" ht="11.25" customHeight="1" x14ac:dyDescent="0.2">
      <c r="A265" s="13"/>
      <c r="B265" s="13"/>
      <c r="C265" s="13"/>
      <c r="D265" s="13"/>
      <c r="E265" s="13"/>
      <c r="F265" s="13"/>
      <c r="G265" s="8"/>
      <c r="H265" s="9"/>
      <c r="I265" s="118"/>
      <c r="J265" s="118"/>
      <c r="K265" s="118"/>
      <c r="L265" s="118"/>
      <c r="M265" s="118"/>
      <c r="N265" s="118"/>
      <c r="O265" s="118"/>
      <c r="P265" s="19"/>
      <c r="Q265" s="71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</row>
    <row r="266" spans="1:45" s="11" customFormat="1" ht="11.25" customHeight="1" x14ac:dyDescent="0.2">
      <c r="A266" s="13"/>
      <c r="B266" s="13"/>
      <c r="C266" s="13"/>
      <c r="D266" s="13"/>
      <c r="E266" s="13"/>
      <c r="F266" s="13"/>
      <c r="G266" s="8"/>
      <c r="H266" s="9"/>
      <c r="I266" s="118"/>
      <c r="J266" s="118"/>
      <c r="K266" s="118"/>
      <c r="L266" s="118"/>
      <c r="M266" s="118"/>
      <c r="N266" s="118"/>
      <c r="O266" s="118"/>
      <c r="P266" s="19"/>
      <c r="Q266" s="71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</row>
    <row r="267" spans="1:45" s="11" customFormat="1" ht="11.25" customHeight="1" x14ac:dyDescent="0.2">
      <c r="A267" s="13"/>
      <c r="B267" s="13"/>
      <c r="C267" s="13"/>
      <c r="D267" s="13"/>
      <c r="E267" s="13"/>
      <c r="F267" s="13"/>
      <c r="G267" s="8"/>
      <c r="H267" s="9"/>
      <c r="I267" s="118"/>
      <c r="J267" s="118"/>
      <c r="K267" s="118"/>
      <c r="L267" s="118"/>
      <c r="M267" s="118"/>
      <c r="N267" s="118"/>
      <c r="O267" s="118"/>
      <c r="P267" s="19"/>
      <c r="Q267" s="71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</row>
    <row r="268" spans="1:45" s="11" customFormat="1" ht="11.25" customHeight="1" x14ac:dyDescent="0.2">
      <c r="A268" s="13"/>
      <c r="B268" s="13"/>
      <c r="C268" s="13"/>
      <c r="D268" s="13"/>
      <c r="E268" s="13"/>
      <c r="F268" s="13"/>
      <c r="G268" s="8"/>
      <c r="H268" s="9"/>
      <c r="I268" s="118"/>
      <c r="J268" s="118"/>
      <c r="K268" s="118"/>
      <c r="L268" s="118"/>
      <c r="M268" s="118"/>
      <c r="N268" s="118"/>
      <c r="O268" s="118"/>
      <c r="P268" s="19"/>
      <c r="Q268" s="71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</row>
    <row r="269" spans="1:45" s="11" customFormat="1" ht="11.25" customHeight="1" x14ac:dyDescent="0.2">
      <c r="A269" s="13"/>
      <c r="B269" s="13"/>
      <c r="C269" s="13"/>
      <c r="D269" s="13"/>
      <c r="E269" s="13"/>
      <c r="F269" s="13"/>
      <c r="G269" s="8"/>
      <c r="H269" s="9"/>
      <c r="I269" s="118"/>
      <c r="J269" s="118"/>
      <c r="K269" s="118"/>
      <c r="L269" s="118"/>
      <c r="M269" s="118"/>
      <c r="N269" s="118"/>
      <c r="O269" s="118"/>
      <c r="P269" s="19"/>
      <c r="Q269" s="71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</row>
    <row r="270" spans="1:45" s="11" customFormat="1" ht="11.25" customHeight="1" x14ac:dyDescent="0.2">
      <c r="A270" s="13"/>
      <c r="B270" s="13"/>
      <c r="C270" s="13"/>
      <c r="D270" s="13"/>
      <c r="E270" s="13"/>
      <c r="F270" s="13"/>
      <c r="G270" s="8"/>
      <c r="H270" s="9"/>
      <c r="I270" s="118"/>
      <c r="J270" s="118"/>
      <c r="K270" s="118"/>
      <c r="L270" s="118"/>
      <c r="M270" s="118"/>
      <c r="N270" s="118"/>
      <c r="O270" s="118"/>
      <c r="P270" s="19"/>
      <c r="Q270" s="71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</row>
    <row r="271" spans="1:45" s="11" customFormat="1" ht="11.25" customHeight="1" x14ac:dyDescent="0.2">
      <c r="A271" s="13"/>
      <c r="B271" s="13"/>
      <c r="C271" s="13"/>
      <c r="D271" s="13"/>
      <c r="E271" s="13"/>
      <c r="F271" s="13"/>
      <c r="G271" s="8"/>
      <c r="H271" s="9"/>
      <c r="I271" s="118"/>
      <c r="J271" s="118"/>
      <c r="K271" s="118"/>
      <c r="L271" s="118"/>
      <c r="M271" s="118"/>
      <c r="N271" s="118"/>
      <c r="O271" s="118"/>
      <c r="P271" s="19"/>
      <c r="Q271" s="71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</row>
    <row r="272" spans="1:45" s="11" customFormat="1" ht="11.25" customHeight="1" x14ac:dyDescent="0.2">
      <c r="A272" s="13"/>
      <c r="B272" s="13"/>
      <c r="C272" s="13"/>
      <c r="D272" s="13"/>
      <c r="E272" s="13"/>
      <c r="F272" s="13"/>
      <c r="G272" s="8"/>
      <c r="H272" s="9"/>
      <c r="I272" s="118"/>
      <c r="J272" s="118"/>
      <c r="K272" s="118"/>
      <c r="L272" s="118"/>
      <c r="M272" s="118"/>
      <c r="N272" s="118"/>
      <c r="O272" s="118"/>
      <c r="P272" s="19"/>
      <c r="Q272" s="71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</row>
    <row r="273" spans="1:45" s="11" customFormat="1" ht="11.25" customHeight="1" x14ac:dyDescent="0.2">
      <c r="A273" s="13"/>
      <c r="B273" s="13"/>
      <c r="C273" s="13"/>
      <c r="D273" s="13"/>
      <c r="E273" s="13"/>
      <c r="F273" s="13"/>
      <c r="G273" s="8"/>
      <c r="H273" s="9"/>
      <c r="I273" s="118"/>
      <c r="J273" s="118"/>
      <c r="K273" s="118"/>
      <c r="L273" s="118"/>
      <c r="M273" s="118"/>
      <c r="N273" s="118"/>
      <c r="O273" s="118"/>
      <c r="P273" s="19"/>
      <c r="Q273" s="71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</row>
    <row r="274" spans="1:45" s="11" customFormat="1" ht="11.25" customHeight="1" x14ac:dyDescent="0.2">
      <c r="A274" s="13"/>
      <c r="B274" s="13"/>
      <c r="C274" s="13"/>
      <c r="D274" s="13"/>
      <c r="E274" s="13"/>
      <c r="F274" s="13"/>
      <c r="G274" s="8"/>
      <c r="H274" s="9"/>
      <c r="I274" s="118"/>
      <c r="J274" s="118"/>
      <c r="K274" s="118"/>
      <c r="L274" s="118"/>
      <c r="M274" s="118"/>
      <c r="N274" s="118"/>
      <c r="O274" s="118"/>
      <c r="P274" s="19"/>
      <c r="Q274" s="71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</row>
    <row r="275" spans="1:45" s="11" customFormat="1" ht="11.25" customHeight="1" x14ac:dyDescent="0.2">
      <c r="A275" s="13"/>
      <c r="B275" s="13"/>
      <c r="C275" s="13"/>
      <c r="D275" s="13"/>
      <c r="E275" s="13"/>
      <c r="F275" s="13"/>
      <c r="G275" s="8"/>
      <c r="H275" s="9"/>
      <c r="I275" s="118"/>
      <c r="J275" s="118"/>
      <c r="K275" s="118"/>
      <c r="L275" s="118"/>
      <c r="M275" s="118"/>
      <c r="N275" s="118"/>
      <c r="O275" s="118"/>
      <c r="P275" s="19"/>
      <c r="Q275" s="71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</row>
    <row r="276" spans="1:45" s="11" customFormat="1" ht="11.25" customHeight="1" x14ac:dyDescent="0.2">
      <c r="A276" s="13"/>
      <c r="B276" s="13"/>
      <c r="C276" s="13"/>
      <c r="D276" s="13"/>
      <c r="E276" s="13"/>
      <c r="F276" s="13"/>
      <c r="G276" s="8"/>
      <c r="H276" s="9"/>
      <c r="I276" s="118"/>
      <c r="J276" s="118"/>
      <c r="K276" s="118"/>
      <c r="L276" s="118"/>
      <c r="M276" s="118"/>
      <c r="N276" s="118"/>
      <c r="O276" s="118"/>
      <c r="P276" s="19"/>
      <c r="Q276" s="71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</row>
    <row r="277" spans="1:45" s="11" customFormat="1" ht="11.25" customHeight="1" x14ac:dyDescent="0.2">
      <c r="A277" s="13"/>
      <c r="B277" s="13"/>
      <c r="C277" s="13"/>
      <c r="D277" s="13"/>
      <c r="E277" s="13"/>
      <c r="F277" s="13"/>
      <c r="G277" s="8"/>
      <c r="H277" s="9"/>
      <c r="I277" s="118"/>
      <c r="J277" s="118"/>
      <c r="K277" s="118"/>
      <c r="L277" s="118"/>
      <c r="M277" s="118"/>
      <c r="N277" s="118"/>
      <c r="O277" s="118"/>
      <c r="P277" s="19"/>
      <c r="Q277" s="71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</row>
    <row r="278" spans="1:45" s="11" customFormat="1" ht="11.25" customHeight="1" x14ac:dyDescent="0.2">
      <c r="A278" s="13"/>
      <c r="B278" s="13"/>
      <c r="C278" s="13"/>
      <c r="D278" s="13"/>
      <c r="E278" s="13"/>
      <c r="F278" s="13"/>
      <c r="G278" s="8"/>
      <c r="H278" s="9"/>
      <c r="I278" s="118"/>
      <c r="J278" s="118"/>
      <c r="K278" s="118"/>
      <c r="L278" s="118"/>
      <c r="M278" s="118"/>
      <c r="N278" s="118"/>
      <c r="O278" s="118"/>
      <c r="P278" s="19"/>
      <c r="Q278" s="71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</row>
    <row r="279" spans="1:45" s="11" customFormat="1" ht="11.25" customHeight="1" x14ac:dyDescent="0.2">
      <c r="A279" s="13"/>
      <c r="B279" s="13"/>
      <c r="C279" s="13"/>
      <c r="D279" s="13"/>
      <c r="E279" s="13"/>
      <c r="F279" s="13"/>
      <c r="G279" s="8"/>
      <c r="H279" s="9"/>
      <c r="I279" s="118"/>
      <c r="J279" s="118"/>
      <c r="K279" s="118"/>
      <c r="L279" s="118"/>
      <c r="M279" s="118"/>
      <c r="N279" s="118"/>
      <c r="O279" s="118"/>
      <c r="P279" s="19"/>
      <c r="Q279" s="71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</row>
    <row r="280" spans="1:45" s="11" customFormat="1" ht="11.25" customHeight="1" x14ac:dyDescent="0.2">
      <c r="A280" s="13"/>
      <c r="B280" s="13"/>
      <c r="C280" s="13"/>
      <c r="D280" s="13"/>
      <c r="E280" s="13"/>
      <c r="F280" s="13"/>
      <c r="G280" s="8"/>
      <c r="H280" s="9"/>
      <c r="I280" s="118"/>
      <c r="J280" s="118"/>
      <c r="K280" s="118"/>
      <c r="L280" s="118"/>
      <c r="M280" s="118"/>
      <c r="N280" s="118"/>
      <c r="O280" s="118"/>
      <c r="P280" s="19"/>
      <c r="Q280" s="71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</row>
    <row r="281" spans="1:45" s="11" customFormat="1" ht="11.25" customHeight="1" x14ac:dyDescent="0.2">
      <c r="A281" s="13"/>
      <c r="B281" s="13"/>
      <c r="C281" s="13"/>
      <c r="D281" s="13"/>
      <c r="E281" s="13"/>
      <c r="F281" s="13"/>
      <c r="G281" s="8"/>
      <c r="H281" s="9"/>
      <c r="I281" s="118"/>
      <c r="J281" s="118"/>
      <c r="K281" s="118"/>
      <c r="L281" s="118"/>
      <c r="M281" s="118"/>
      <c r="N281" s="118"/>
      <c r="O281" s="118"/>
      <c r="P281" s="19"/>
      <c r="Q281" s="71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</row>
    <row r="282" spans="1:45" s="11" customFormat="1" ht="11.25" customHeight="1" x14ac:dyDescent="0.2">
      <c r="A282" s="13"/>
      <c r="B282" s="13"/>
      <c r="C282" s="13"/>
      <c r="D282" s="13"/>
      <c r="E282" s="13"/>
      <c r="F282" s="13"/>
      <c r="G282" s="8"/>
      <c r="H282" s="9"/>
      <c r="I282" s="118"/>
      <c r="J282" s="118"/>
      <c r="K282" s="118"/>
      <c r="L282" s="118"/>
      <c r="M282" s="118"/>
      <c r="N282" s="118"/>
      <c r="O282" s="118"/>
      <c r="P282" s="19"/>
      <c r="Q282" s="71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</row>
    <row r="283" spans="1:45" s="11" customFormat="1" ht="11.25" customHeight="1" x14ac:dyDescent="0.2">
      <c r="A283" s="13"/>
      <c r="B283" s="13"/>
      <c r="C283" s="13"/>
      <c r="D283" s="13"/>
      <c r="E283" s="13"/>
      <c r="F283" s="13"/>
      <c r="G283" s="8"/>
      <c r="H283" s="9"/>
      <c r="I283" s="118"/>
      <c r="J283" s="118"/>
      <c r="K283" s="118"/>
      <c r="L283" s="118"/>
      <c r="M283" s="118"/>
      <c r="N283" s="118"/>
      <c r="O283" s="118"/>
      <c r="P283" s="19"/>
      <c r="Q283" s="71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</row>
    <row r="284" spans="1:45" s="11" customFormat="1" ht="11.25" customHeight="1" x14ac:dyDescent="0.2">
      <c r="A284" s="13"/>
      <c r="B284" s="13"/>
      <c r="C284" s="13"/>
      <c r="D284" s="13"/>
      <c r="E284" s="13"/>
      <c r="F284" s="13"/>
      <c r="G284" s="8"/>
      <c r="H284" s="9"/>
      <c r="I284" s="118"/>
      <c r="J284" s="118"/>
      <c r="K284" s="118"/>
      <c r="L284" s="118"/>
      <c r="M284" s="118"/>
      <c r="N284" s="118"/>
      <c r="O284" s="118"/>
      <c r="P284" s="19"/>
      <c r="Q284" s="71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</row>
    <row r="285" spans="1:45" s="11" customFormat="1" ht="11.25" customHeight="1" x14ac:dyDescent="0.2">
      <c r="A285" s="13"/>
      <c r="B285" s="13"/>
      <c r="C285" s="13"/>
      <c r="D285" s="13"/>
      <c r="E285" s="13"/>
      <c r="F285" s="13"/>
      <c r="G285" s="8"/>
      <c r="H285" s="9"/>
      <c r="I285" s="118"/>
      <c r="J285" s="118"/>
      <c r="K285" s="118"/>
      <c r="L285" s="118"/>
      <c r="M285" s="118"/>
      <c r="N285" s="118"/>
      <c r="O285" s="118"/>
      <c r="P285" s="19"/>
      <c r="Q285" s="71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</row>
    <row r="286" spans="1:45" s="11" customFormat="1" ht="11.25" customHeight="1" x14ac:dyDescent="0.2">
      <c r="A286" s="13"/>
      <c r="B286" s="13"/>
      <c r="C286" s="13"/>
      <c r="D286" s="13"/>
      <c r="E286" s="13"/>
      <c r="F286" s="13"/>
      <c r="G286" s="8"/>
      <c r="H286" s="9"/>
      <c r="I286" s="118"/>
      <c r="J286" s="118"/>
      <c r="K286" s="118"/>
      <c r="L286" s="118"/>
      <c r="M286" s="118"/>
      <c r="N286" s="118"/>
      <c r="O286" s="118"/>
      <c r="P286" s="19"/>
      <c r="Q286" s="71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</row>
    <row r="287" spans="1:45" s="11" customFormat="1" ht="11.25" customHeight="1" x14ac:dyDescent="0.2">
      <c r="A287" s="13"/>
      <c r="B287" s="13"/>
      <c r="C287" s="13"/>
      <c r="D287" s="13"/>
      <c r="E287" s="13"/>
      <c r="F287" s="13"/>
      <c r="G287" s="8"/>
      <c r="H287" s="9"/>
      <c r="I287" s="118"/>
      <c r="J287" s="118"/>
      <c r="K287" s="118"/>
      <c r="L287" s="118"/>
      <c r="M287" s="118"/>
      <c r="N287" s="118"/>
      <c r="O287" s="118"/>
      <c r="P287" s="19"/>
      <c r="Q287" s="71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</row>
    <row r="288" spans="1:45" s="11" customFormat="1" ht="11.25" customHeight="1" x14ac:dyDescent="0.2">
      <c r="A288" s="13"/>
      <c r="B288" s="13"/>
      <c r="C288" s="13"/>
      <c r="D288" s="13"/>
      <c r="E288" s="13"/>
      <c r="F288" s="13"/>
      <c r="G288" s="8"/>
      <c r="H288" s="9"/>
      <c r="I288" s="118"/>
      <c r="J288" s="118"/>
      <c r="K288" s="118"/>
      <c r="L288" s="118"/>
      <c r="M288" s="118"/>
      <c r="N288" s="118"/>
      <c r="O288" s="118"/>
      <c r="P288" s="19"/>
      <c r="Q288" s="71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</row>
    <row r="289" spans="1:45" s="11" customFormat="1" ht="11.25" customHeight="1" x14ac:dyDescent="0.2">
      <c r="A289" s="13"/>
      <c r="B289" s="13"/>
      <c r="C289" s="13"/>
      <c r="D289" s="13"/>
      <c r="E289" s="13"/>
      <c r="F289" s="13"/>
      <c r="G289" s="8"/>
      <c r="H289" s="9"/>
      <c r="I289" s="118"/>
      <c r="J289" s="118"/>
      <c r="K289" s="118"/>
      <c r="L289" s="118"/>
      <c r="M289" s="118"/>
      <c r="N289" s="118"/>
      <c r="O289" s="118"/>
      <c r="P289" s="19"/>
      <c r="Q289" s="71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</row>
    <row r="290" spans="1:45" s="11" customFormat="1" ht="11.25" customHeight="1" x14ac:dyDescent="0.2">
      <c r="A290" s="13"/>
      <c r="B290" s="13"/>
      <c r="C290" s="13"/>
      <c r="D290" s="13"/>
      <c r="E290" s="13"/>
      <c r="F290" s="13"/>
      <c r="G290" s="8"/>
      <c r="H290" s="9"/>
      <c r="I290" s="118"/>
      <c r="J290" s="118"/>
      <c r="K290" s="118"/>
      <c r="L290" s="118"/>
      <c r="M290" s="118"/>
      <c r="N290" s="118"/>
      <c r="O290" s="118"/>
      <c r="P290" s="19"/>
      <c r="Q290" s="71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</row>
    <row r="291" spans="1:45" s="11" customFormat="1" ht="11.25" customHeight="1" x14ac:dyDescent="0.2">
      <c r="A291" s="13"/>
      <c r="B291" s="13"/>
      <c r="C291" s="13"/>
      <c r="D291" s="13"/>
      <c r="E291" s="13"/>
      <c r="F291" s="13"/>
      <c r="G291" s="8"/>
      <c r="H291" s="9"/>
      <c r="I291" s="118"/>
      <c r="J291" s="118"/>
      <c r="K291" s="118"/>
      <c r="L291" s="118"/>
      <c r="M291" s="118"/>
      <c r="N291" s="118"/>
      <c r="O291" s="118"/>
      <c r="P291" s="19"/>
      <c r="Q291" s="71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</row>
    <row r="292" spans="1:45" s="11" customFormat="1" ht="11.25" customHeight="1" x14ac:dyDescent="0.2">
      <c r="A292" s="13"/>
      <c r="B292" s="13"/>
      <c r="C292" s="13"/>
      <c r="D292" s="13"/>
      <c r="E292" s="13"/>
      <c r="F292" s="13"/>
      <c r="G292" s="8"/>
      <c r="H292" s="9"/>
      <c r="I292" s="118"/>
      <c r="J292" s="118"/>
      <c r="K292" s="118"/>
      <c r="L292" s="118"/>
      <c r="M292" s="118"/>
      <c r="N292" s="118"/>
      <c r="O292" s="118"/>
      <c r="P292" s="19"/>
      <c r="Q292" s="71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</row>
    <row r="293" spans="1:45" s="11" customFormat="1" ht="11.25" customHeight="1" x14ac:dyDescent="0.2">
      <c r="A293" s="13"/>
      <c r="B293" s="13"/>
      <c r="C293" s="13"/>
      <c r="D293" s="13"/>
      <c r="E293" s="13"/>
      <c r="F293" s="13"/>
      <c r="G293" s="8"/>
      <c r="H293" s="9"/>
      <c r="I293" s="118"/>
      <c r="J293" s="118"/>
      <c r="K293" s="118"/>
      <c r="L293" s="118"/>
      <c r="M293" s="118"/>
      <c r="N293" s="118"/>
      <c r="O293" s="118"/>
      <c r="P293" s="19"/>
      <c r="Q293" s="71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</row>
    <row r="294" spans="1:45" s="11" customFormat="1" ht="11.25" customHeight="1" x14ac:dyDescent="0.2">
      <c r="A294" s="13"/>
      <c r="B294" s="13"/>
      <c r="C294" s="13"/>
      <c r="D294" s="13"/>
      <c r="E294" s="13"/>
      <c r="F294" s="13"/>
      <c r="G294" s="8"/>
      <c r="H294" s="9"/>
      <c r="I294" s="118"/>
      <c r="J294" s="118"/>
      <c r="K294" s="118"/>
      <c r="L294" s="118"/>
      <c r="M294" s="118"/>
      <c r="N294" s="118"/>
      <c r="O294" s="118"/>
      <c r="P294" s="19"/>
      <c r="Q294" s="71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</row>
    <row r="295" spans="1:45" s="11" customFormat="1" ht="11.25" customHeight="1" x14ac:dyDescent="0.2">
      <c r="A295" s="13"/>
      <c r="B295" s="13"/>
      <c r="C295" s="13"/>
      <c r="D295" s="13"/>
      <c r="E295" s="13"/>
      <c r="F295" s="13"/>
      <c r="G295" s="8"/>
      <c r="H295" s="9"/>
      <c r="I295" s="118"/>
      <c r="J295" s="118"/>
      <c r="K295" s="118"/>
      <c r="L295" s="118"/>
      <c r="M295" s="118"/>
      <c r="N295" s="118"/>
      <c r="O295" s="118"/>
      <c r="P295" s="19"/>
      <c r="Q295" s="71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</row>
    <row r="296" spans="1:45" s="11" customFormat="1" ht="11.25" customHeight="1" x14ac:dyDescent="0.2">
      <c r="A296" s="13"/>
      <c r="B296" s="13"/>
      <c r="C296" s="13"/>
      <c r="D296" s="13"/>
      <c r="E296" s="13"/>
      <c r="F296" s="13"/>
      <c r="G296" s="8"/>
      <c r="H296" s="9"/>
      <c r="I296" s="118"/>
      <c r="J296" s="118"/>
      <c r="K296" s="118"/>
      <c r="L296" s="118"/>
      <c r="M296" s="118"/>
      <c r="N296" s="118"/>
      <c r="O296" s="118"/>
      <c r="P296" s="19"/>
      <c r="Q296" s="71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</row>
    <row r="297" spans="1:45" s="11" customFormat="1" ht="11.25" customHeight="1" x14ac:dyDescent="0.2">
      <c r="A297" s="13"/>
      <c r="B297" s="13"/>
      <c r="C297" s="13"/>
      <c r="D297" s="13"/>
      <c r="E297" s="13"/>
      <c r="F297" s="13"/>
      <c r="G297" s="8"/>
      <c r="H297" s="9"/>
      <c r="I297" s="118"/>
      <c r="J297" s="118"/>
      <c r="K297" s="118"/>
      <c r="L297" s="118"/>
      <c r="M297" s="118"/>
      <c r="N297" s="118"/>
      <c r="O297" s="118"/>
      <c r="P297" s="19"/>
      <c r="Q297" s="71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</row>
    <row r="298" spans="1:45" s="11" customFormat="1" ht="11.25" customHeight="1" x14ac:dyDescent="0.2">
      <c r="A298" s="13"/>
      <c r="B298" s="13"/>
      <c r="C298" s="13"/>
      <c r="D298" s="13"/>
      <c r="E298" s="13"/>
      <c r="F298" s="13"/>
      <c r="G298" s="8"/>
      <c r="H298" s="9"/>
      <c r="I298" s="118"/>
      <c r="J298" s="118"/>
      <c r="K298" s="118"/>
      <c r="L298" s="118"/>
      <c r="M298" s="118"/>
      <c r="N298" s="118"/>
      <c r="O298" s="118"/>
      <c r="P298" s="19"/>
      <c r="Q298" s="71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</row>
    <row r="299" spans="1:45" s="11" customFormat="1" ht="11.25" customHeight="1" x14ac:dyDescent="0.2">
      <c r="A299" s="13"/>
      <c r="B299" s="13"/>
      <c r="C299" s="13"/>
      <c r="D299" s="13"/>
      <c r="E299" s="13"/>
      <c r="F299" s="13"/>
      <c r="G299" s="8"/>
      <c r="H299" s="9"/>
      <c r="I299" s="118"/>
      <c r="J299" s="118"/>
      <c r="K299" s="118"/>
      <c r="L299" s="118"/>
      <c r="M299" s="118"/>
      <c r="N299" s="118"/>
      <c r="O299" s="118"/>
      <c r="P299" s="19"/>
      <c r="Q299" s="71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</row>
    <row r="300" spans="1:45" s="11" customFormat="1" ht="11.25" customHeight="1" x14ac:dyDescent="0.2">
      <c r="A300" s="13"/>
      <c r="B300" s="13"/>
      <c r="C300" s="13"/>
      <c r="D300" s="13"/>
      <c r="E300" s="13"/>
      <c r="F300" s="13"/>
      <c r="G300" s="8"/>
      <c r="H300" s="9"/>
      <c r="I300" s="118"/>
      <c r="J300" s="118"/>
      <c r="K300" s="118"/>
      <c r="L300" s="118"/>
      <c r="M300" s="118"/>
      <c r="N300" s="118"/>
      <c r="O300" s="118"/>
      <c r="P300" s="19"/>
      <c r="Q300" s="71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</row>
    <row r="301" spans="1:45" s="11" customFormat="1" ht="11.25" customHeight="1" x14ac:dyDescent="0.2">
      <c r="A301" s="13"/>
      <c r="B301" s="13"/>
      <c r="C301" s="13"/>
      <c r="D301" s="13"/>
      <c r="E301" s="13"/>
      <c r="F301" s="13"/>
      <c r="G301" s="8"/>
      <c r="H301" s="9"/>
      <c r="I301" s="118"/>
      <c r="J301" s="118"/>
      <c r="K301" s="118"/>
      <c r="L301" s="118"/>
      <c r="M301" s="118"/>
      <c r="N301" s="118"/>
      <c r="O301" s="118"/>
      <c r="P301" s="19"/>
      <c r="Q301" s="71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</row>
    <row r="302" spans="1:45" s="11" customFormat="1" ht="11.25" customHeight="1" x14ac:dyDescent="0.2">
      <c r="A302" s="13"/>
      <c r="B302" s="13"/>
      <c r="C302" s="13"/>
      <c r="D302" s="13"/>
      <c r="E302" s="13"/>
      <c r="F302" s="13"/>
      <c r="G302" s="8"/>
      <c r="H302" s="9"/>
      <c r="I302" s="118"/>
      <c r="J302" s="118"/>
      <c r="K302" s="118"/>
      <c r="L302" s="118"/>
      <c r="M302" s="118"/>
      <c r="N302" s="118"/>
      <c r="O302" s="118"/>
      <c r="P302" s="19"/>
      <c r="Q302" s="71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</row>
    <row r="303" spans="1:45" s="11" customFormat="1" ht="11.25" customHeight="1" x14ac:dyDescent="0.2">
      <c r="A303" s="13"/>
      <c r="B303" s="13"/>
      <c r="C303" s="13"/>
      <c r="D303" s="13"/>
      <c r="E303" s="13"/>
      <c r="F303" s="13"/>
      <c r="G303" s="8"/>
      <c r="H303" s="9"/>
      <c r="I303" s="118"/>
      <c r="J303" s="118"/>
      <c r="K303" s="118"/>
      <c r="L303" s="118"/>
      <c r="M303" s="118"/>
      <c r="N303" s="118"/>
      <c r="O303" s="118"/>
      <c r="P303" s="19"/>
      <c r="Q303" s="71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</row>
    <row r="304" spans="1:45" s="11" customFormat="1" ht="11.25" customHeight="1" x14ac:dyDescent="0.2">
      <c r="A304" s="13"/>
      <c r="B304" s="13"/>
      <c r="C304" s="13"/>
      <c r="D304" s="13"/>
      <c r="E304" s="13"/>
      <c r="F304" s="13"/>
      <c r="G304" s="8"/>
      <c r="H304" s="9"/>
      <c r="I304" s="118"/>
      <c r="J304" s="118"/>
      <c r="K304" s="118"/>
      <c r="L304" s="118"/>
      <c r="M304" s="118"/>
      <c r="N304" s="118"/>
      <c r="O304" s="118"/>
      <c r="P304" s="19"/>
      <c r="Q304" s="71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</row>
    <row r="305" spans="1:45" s="11" customFormat="1" ht="11.25" customHeight="1" x14ac:dyDescent="0.2">
      <c r="A305" s="13"/>
      <c r="B305" s="13"/>
      <c r="C305" s="13"/>
      <c r="D305" s="13"/>
      <c r="E305" s="13"/>
      <c r="F305" s="13"/>
      <c r="G305" s="8"/>
      <c r="H305" s="9"/>
      <c r="I305" s="118"/>
      <c r="J305" s="118"/>
      <c r="K305" s="118"/>
      <c r="L305" s="118"/>
      <c r="M305" s="118"/>
      <c r="N305" s="118"/>
      <c r="O305" s="118"/>
      <c r="P305" s="19"/>
      <c r="Q305" s="71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</row>
    <row r="306" spans="1:45" s="11" customFormat="1" ht="11.25" customHeight="1" x14ac:dyDescent="0.2">
      <c r="A306" s="13"/>
      <c r="B306" s="13"/>
      <c r="C306" s="13"/>
      <c r="D306" s="13"/>
      <c r="E306" s="13"/>
      <c r="F306" s="13"/>
      <c r="G306" s="8"/>
      <c r="H306" s="9"/>
      <c r="I306" s="118"/>
      <c r="J306" s="118"/>
      <c r="K306" s="118"/>
      <c r="L306" s="118"/>
      <c r="M306" s="118"/>
      <c r="N306" s="118"/>
      <c r="O306" s="118"/>
      <c r="P306" s="19"/>
      <c r="Q306" s="71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</row>
    <row r="307" spans="1:45" s="11" customFormat="1" ht="11.25" customHeight="1" x14ac:dyDescent="0.2">
      <c r="A307" s="13"/>
      <c r="B307" s="13"/>
      <c r="C307" s="13"/>
      <c r="D307" s="13"/>
      <c r="E307" s="13"/>
      <c r="F307" s="13"/>
      <c r="G307" s="8"/>
      <c r="H307" s="9"/>
      <c r="I307" s="118"/>
      <c r="J307" s="118"/>
      <c r="K307" s="118"/>
      <c r="L307" s="118"/>
      <c r="M307" s="118"/>
      <c r="N307" s="118"/>
      <c r="O307" s="118"/>
      <c r="P307" s="19"/>
      <c r="Q307" s="71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</row>
    <row r="308" spans="1:45" s="11" customFormat="1" ht="11.25" customHeight="1" x14ac:dyDescent="0.2">
      <c r="A308" s="13"/>
      <c r="B308" s="13"/>
      <c r="C308" s="13"/>
      <c r="D308" s="13"/>
      <c r="E308" s="13"/>
      <c r="F308" s="13"/>
      <c r="G308" s="8"/>
      <c r="H308" s="9"/>
      <c r="I308" s="118"/>
      <c r="J308" s="118"/>
      <c r="K308" s="118"/>
      <c r="L308" s="118"/>
      <c r="M308" s="118"/>
      <c r="N308" s="118"/>
      <c r="O308" s="118"/>
      <c r="P308" s="19"/>
      <c r="Q308" s="71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</row>
    <row r="309" spans="1:45" s="11" customFormat="1" ht="11.25" customHeight="1" x14ac:dyDescent="0.2">
      <c r="A309" s="13"/>
      <c r="B309" s="13"/>
      <c r="C309" s="13"/>
      <c r="D309" s="13"/>
      <c r="E309" s="13"/>
      <c r="F309" s="13"/>
      <c r="G309" s="8"/>
      <c r="H309" s="9"/>
      <c r="I309" s="118"/>
      <c r="J309" s="118"/>
      <c r="K309" s="118"/>
      <c r="L309" s="118"/>
      <c r="M309" s="118"/>
      <c r="N309" s="118"/>
      <c r="O309" s="118"/>
      <c r="P309" s="19"/>
      <c r="Q309" s="71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</row>
    <row r="310" spans="1:45" s="11" customFormat="1" ht="11.25" customHeight="1" x14ac:dyDescent="0.2">
      <c r="A310" s="13"/>
      <c r="B310" s="13"/>
      <c r="C310" s="13"/>
      <c r="D310" s="13"/>
      <c r="E310" s="13"/>
      <c r="F310" s="13"/>
      <c r="G310" s="8"/>
      <c r="H310" s="9"/>
      <c r="I310" s="118"/>
      <c r="J310" s="118"/>
      <c r="K310" s="118"/>
      <c r="L310" s="118"/>
      <c r="M310" s="118"/>
      <c r="N310" s="118"/>
      <c r="O310" s="118"/>
      <c r="P310" s="19"/>
      <c r="Q310" s="71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</row>
    <row r="311" spans="1:45" s="11" customFormat="1" ht="11.25" customHeight="1" x14ac:dyDescent="0.2">
      <c r="A311" s="13"/>
      <c r="B311" s="13"/>
      <c r="C311" s="13"/>
      <c r="D311" s="13"/>
      <c r="E311" s="13"/>
      <c r="F311" s="13"/>
      <c r="G311" s="8"/>
      <c r="H311" s="9"/>
      <c r="I311" s="118"/>
      <c r="J311" s="118"/>
      <c r="K311" s="118"/>
      <c r="L311" s="118"/>
      <c r="M311" s="118"/>
      <c r="N311" s="118"/>
      <c r="O311" s="118"/>
      <c r="P311" s="19"/>
      <c r="Q311" s="71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</row>
    <row r="312" spans="1:45" s="11" customFormat="1" ht="11.25" customHeight="1" x14ac:dyDescent="0.2">
      <c r="A312" s="13"/>
      <c r="B312" s="13"/>
      <c r="C312" s="13"/>
      <c r="D312" s="13"/>
      <c r="E312" s="13"/>
      <c r="F312" s="13"/>
      <c r="G312" s="8"/>
      <c r="H312" s="9"/>
      <c r="I312" s="118"/>
      <c r="J312" s="118"/>
      <c r="K312" s="118"/>
      <c r="L312" s="118"/>
      <c r="M312" s="118"/>
      <c r="N312" s="118"/>
      <c r="O312" s="118"/>
      <c r="P312" s="19"/>
      <c r="Q312" s="71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</row>
    <row r="313" spans="1:45" s="11" customFormat="1" ht="11.25" customHeight="1" x14ac:dyDescent="0.2">
      <c r="A313" s="13"/>
      <c r="B313" s="13"/>
      <c r="C313" s="13"/>
      <c r="D313" s="13"/>
      <c r="E313" s="13"/>
      <c r="F313" s="13"/>
      <c r="G313" s="8"/>
      <c r="H313" s="9"/>
      <c r="I313" s="118"/>
      <c r="J313" s="118"/>
      <c r="K313" s="118"/>
      <c r="L313" s="118"/>
      <c r="M313" s="118"/>
      <c r="N313" s="118"/>
      <c r="O313" s="118"/>
      <c r="P313" s="19"/>
      <c r="Q313" s="71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</row>
    <row r="314" spans="1:45" s="11" customFormat="1" ht="11.25" customHeight="1" x14ac:dyDescent="0.2">
      <c r="A314" s="13"/>
      <c r="B314" s="13"/>
      <c r="C314" s="13"/>
      <c r="D314" s="13"/>
      <c r="E314" s="13"/>
      <c r="F314" s="13"/>
      <c r="G314" s="8"/>
      <c r="H314" s="9"/>
      <c r="I314" s="118"/>
      <c r="J314" s="118"/>
      <c r="K314" s="118"/>
      <c r="L314" s="118"/>
      <c r="M314" s="118"/>
      <c r="N314" s="118"/>
      <c r="O314" s="118"/>
      <c r="P314" s="19"/>
      <c r="Q314" s="71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</row>
    <row r="315" spans="1:45" s="11" customFormat="1" ht="11.25" customHeight="1" x14ac:dyDescent="0.2">
      <c r="A315" s="13"/>
      <c r="B315" s="13"/>
      <c r="C315" s="13"/>
      <c r="D315" s="13"/>
      <c r="E315" s="13"/>
      <c r="F315" s="13"/>
      <c r="G315" s="8"/>
      <c r="H315" s="9"/>
      <c r="I315" s="118"/>
      <c r="J315" s="118"/>
      <c r="K315" s="118"/>
      <c r="L315" s="118"/>
      <c r="M315" s="118"/>
      <c r="N315" s="118"/>
      <c r="O315" s="118"/>
      <c r="P315" s="19"/>
      <c r="Q315" s="71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</row>
    <row r="316" spans="1:45" s="11" customFormat="1" ht="11.25" customHeight="1" x14ac:dyDescent="0.2">
      <c r="A316" s="13"/>
      <c r="B316" s="13"/>
      <c r="C316" s="13"/>
      <c r="D316" s="13"/>
      <c r="E316" s="13"/>
      <c r="F316" s="13"/>
      <c r="G316" s="8"/>
      <c r="H316" s="9"/>
      <c r="I316" s="118"/>
      <c r="J316" s="118"/>
      <c r="K316" s="118"/>
      <c r="L316" s="118"/>
      <c r="M316" s="118"/>
      <c r="N316" s="118"/>
      <c r="O316" s="118"/>
      <c r="P316" s="19"/>
      <c r="Q316" s="71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</row>
    <row r="317" spans="1:45" s="11" customFormat="1" ht="11.25" customHeight="1" x14ac:dyDescent="0.2">
      <c r="A317" s="13"/>
      <c r="B317" s="13"/>
      <c r="C317" s="13"/>
      <c r="D317" s="13"/>
      <c r="E317" s="13"/>
      <c r="F317" s="13"/>
      <c r="G317" s="8"/>
      <c r="H317" s="9"/>
      <c r="I317" s="118"/>
      <c r="J317" s="118"/>
      <c r="K317" s="118"/>
      <c r="L317" s="118"/>
      <c r="M317" s="118"/>
      <c r="N317" s="118"/>
      <c r="O317" s="118"/>
      <c r="P317" s="19"/>
      <c r="Q317" s="71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</row>
    <row r="318" spans="1:45" s="11" customFormat="1" ht="11.25" customHeight="1" x14ac:dyDescent="0.2">
      <c r="A318" s="13"/>
      <c r="B318" s="13"/>
      <c r="C318" s="13"/>
      <c r="D318" s="13"/>
      <c r="E318" s="13"/>
      <c r="F318" s="13"/>
      <c r="G318" s="8"/>
      <c r="H318" s="9"/>
      <c r="I318" s="118"/>
      <c r="J318" s="118"/>
      <c r="K318" s="118"/>
      <c r="L318" s="118"/>
      <c r="M318" s="118"/>
      <c r="N318" s="118"/>
      <c r="O318" s="118"/>
      <c r="P318" s="19"/>
      <c r="Q318" s="71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</row>
    <row r="319" spans="1:45" s="11" customFormat="1" ht="11.25" customHeight="1" x14ac:dyDescent="0.2">
      <c r="A319" s="13"/>
      <c r="B319" s="13"/>
      <c r="C319" s="13"/>
      <c r="D319" s="13"/>
      <c r="E319" s="13"/>
      <c r="F319" s="13"/>
      <c r="G319" s="8"/>
      <c r="H319" s="9"/>
      <c r="I319" s="118"/>
      <c r="J319" s="118"/>
      <c r="K319" s="118"/>
      <c r="L319" s="118"/>
      <c r="M319" s="118"/>
      <c r="N319" s="118"/>
      <c r="O319" s="118"/>
      <c r="P319" s="19"/>
      <c r="Q319" s="71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</row>
    <row r="320" spans="1:45" s="11" customFormat="1" ht="11.25" customHeight="1" x14ac:dyDescent="0.2">
      <c r="A320" s="13"/>
      <c r="B320" s="13"/>
      <c r="C320" s="13"/>
      <c r="D320" s="13"/>
      <c r="E320" s="13"/>
      <c r="F320" s="13"/>
      <c r="G320" s="8"/>
      <c r="H320" s="9"/>
      <c r="I320" s="118"/>
      <c r="J320" s="118"/>
      <c r="K320" s="118"/>
      <c r="L320" s="118"/>
      <c r="M320" s="118"/>
      <c r="N320" s="118"/>
      <c r="O320" s="118"/>
      <c r="P320" s="19"/>
      <c r="Q320" s="71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</row>
    <row r="321" spans="1:45" s="11" customFormat="1" ht="11.25" customHeight="1" x14ac:dyDescent="0.2">
      <c r="A321" s="13"/>
      <c r="B321" s="13"/>
      <c r="C321" s="13"/>
      <c r="D321" s="13"/>
      <c r="E321" s="13"/>
      <c r="F321" s="13"/>
      <c r="G321" s="8"/>
      <c r="H321" s="9"/>
      <c r="I321" s="118"/>
      <c r="J321" s="118"/>
      <c r="K321" s="118"/>
      <c r="L321" s="118"/>
      <c r="M321" s="118"/>
      <c r="N321" s="118"/>
      <c r="O321" s="118"/>
      <c r="P321" s="19"/>
      <c r="Q321" s="71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</row>
    <row r="322" spans="1:45" s="11" customFormat="1" ht="11.25" customHeight="1" x14ac:dyDescent="0.2">
      <c r="A322" s="13"/>
      <c r="B322" s="13"/>
      <c r="C322" s="13"/>
      <c r="D322" s="13"/>
      <c r="E322" s="13"/>
      <c r="F322" s="13"/>
      <c r="G322" s="8"/>
      <c r="H322" s="9"/>
      <c r="I322" s="118"/>
      <c r="J322" s="118"/>
      <c r="K322" s="118"/>
      <c r="L322" s="118"/>
      <c r="M322" s="118"/>
      <c r="N322" s="118"/>
      <c r="O322" s="118"/>
      <c r="P322" s="19"/>
      <c r="Q322" s="71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</row>
    <row r="323" spans="1:45" s="11" customFormat="1" ht="11.25" customHeight="1" x14ac:dyDescent="0.2">
      <c r="A323" s="13"/>
      <c r="B323" s="13"/>
      <c r="C323" s="13"/>
      <c r="D323" s="13"/>
      <c r="E323" s="13"/>
      <c r="F323" s="13"/>
      <c r="G323" s="8"/>
      <c r="H323" s="9"/>
      <c r="I323" s="118"/>
      <c r="J323" s="118"/>
      <c r="K323" s="118"/>
      <c r="L323" s="118"/>
      <c r="M323" s="118"/>
      <c r="N323" s="118"/>
      <c r="O323" s="118"/>
      <c r="P323" s="19"/>
      <c r="Q323" s="71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</row>
    <row r="324" spans="1:45" s="11" customFormat="1" ht="11.25" customHeight="1" x14ac:dyDescent="0.2">
      <c r="A324" s="13"/>
      <c r="B324" s="13"/>
      <c r="C324" s="13"/>
      <c r="D324" s="13"/>
      <c r="E324" s="13"/>
      <c r="F324" s="13"/>
      <c r="G324" s="8"/>
      <c r="H324" s="9"/>
      <c r="I324" s="118"/>
      <c r="J324" s="118"/>
      <c r="K324" s="118"/>
      <c r="L324" s="118"/>
      <c r="M324" s="118"/>
      <c r="N324" s="118"/>
      <c r="O324" s="118"/>
      <c r="P324" s="19"/>
      <c r="Q324" s="71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</row>
    <row r="325" spans="1:45" ht="11.25" customHeight="1" x14ac:dyDescent="0.2">
      <c r="A325" s="13"/>
      <c r="B325" s="13"/>
      <c r="C325" s="13"/>
      <c r="D325" s="13"/>
      <c r="E325" s="13"/>
      <c r="F325" s="13"/>
      <c r="G325" s="8"/>
      <c r="H325" s="9"/>
    </row>
  </sheetData>
  <sheetProtection sheet="1" objects="1" scenarios="1" selectLockedCells="1"/>
  <mergeCells count="46">
    <mergeCell ref="A1:P1"/>
    <mergeCell ref="A2:P2"/>
    <mergeCell ref="C130:D130"/>
    <mergeCell ref="B131:D131"/>
    <mergeCell ref="B103:D103"/>
    <mergeCell ref="A4:P4"/>
    <mergeCell ref="A5:P5"/>
    <mergeCell ref="A6:P6"/>
    <mergeCell ref="B102:D102"/>
    <mergeCell ref="B61:D61"/>
    <mergeCell ref="A3:P3"/>
    <mergeCell ref="B66:D66"/>
    <mergeCell ref="B79:D79"/>
    <mergeCell ref="B77:D77"/>
    <mergeCell ref="P7:P8"/>
    <mergeCell ref="A7:F8"/>
    <mergeCell ref="J7:K7"/>
    <mergeCell ref="L7:M7"/>
    <mergeCell ref="N7:O7"/>
    <mergeCell ref="C55:D55"/>
    <mergeCell ref="B142:D142"/>
    <mergeCell ref="B141:D141"/>
    <mergeCell ref="B133:D133"/>
    <mergeCell ref="C107:D107"/>
    <mergeCell ref="B109:D109"/>
    <mergeCell ref="B87:D87"/>
    <mergeCell ref="C20:D20"/>
    <mergeCell ref="G7:G8"/>
    <mergeCell ref="C58:D58"/>
    <mergeCell ref="C38:D38"/>
    <mergeCell ref="B56:D56"/>
    <mergeCell ref="A9:F9"/>
    <mergeCell ref="B22:D22"/>
    <mergeCell ref="C21:D21"/>
    <mergeCell ref="C181:D181"/>
    <mergeCell ref="C150:D150"/>
    <mergeCell ref="C151:D151"/>
    <mergeCell ref="B154:D154"/>
    <mergeCell ref="B155:D155"/>
    <mergeCell ref="C166:D166"/>
    <mergeCell ref="C178:D178"/>
    <mergeCell ref="B149:D149"/>
    <mergeCell ref="B147:D147"/>
    <mergeCell ref="B145:D145"/>
    <mergeCell ref="B143:D143"/>
    <mergeCell ref="B140:D140"/>
  </mergeCells>
  <phoneticPr fontId="0" type="noConversion"/>
  <dataValidations count="5">
    <dataValidation type="decimal" operator="greaterThanOrEqual" allowBlank="1" showInputMessage="1" showErrorMessage="1" errorTitle="Invalid Entry" error="The value you entered is not valid." sqref="I192:O192 I159:K162 I157:K157 I189 I186 N159:O162 I111:I118 I56:O60 I36:O36 I121:O121 L135:O136 N133:O133 I127:O131 L141:M142 J144:M148 I137:O137 I135:I136 I132:I133 I124:K124 I80:I82 I77:K78 I22:O22 I62:O66 I74:O75 N77:O78 N189:O189 N80:O82 I84:O86 I154:M155 I94:O96 I68:O72 I102:O103 I107:O109 L111:O118 I125 J116:K118 N124:O125 I138:I148 J132:O132 J138:K141 I134:O134 I100:M100 N138:O148 I51:O54 N27:O27 N41:O42 I10:O17 I31:O31 I39:O39 I27:K27 I34:O34 I45:O49 N19:O21 I19:K21 L19:M20 I24:O24 I29:O29 I41:K42 N186:O186 N98:O100 I98:M98 N165:O167 I91:I92 I88:I89 J88:K92 N88:O92 L91:M92 I165:K167 N150:O155 I150:M152">
      <formula1>0</formula1>
    </dataValidation>
    <dataValidation allowBlank="1" showInputMessage="1" showErrorMessage="1" sqref="J163:O163 L188:M188 J186:M187 J189:M189 I158:O158 N164:P164 L157:O157 P56:P60 J164:K164 P98:P100 P120:P121 P68:P72 P94:P96 I90 P84:P86 P80:P82 P77:P78 P74:P75 P157:P163 P62:P66 I55:P55 L143:M143 I67:P67 I23:P23 I61:P61 P88:P92 L77:M78 I76:P76 I83:P83 I87:P87 I93:P93 I97:P97 I101:P101 J111:K115 I73:P73 I110:O110 I120:O120 J80:M82 L124:M124 I123:O123 J135:K136 J125:M125 J142:K143 J133:M133 L138:M140 I126:O126 I149:O149 I79:P79 I163:I164 L159:M162 I156:P156 I40:P40 P10:P17 I50:P50 I43:O44 L41:M42 L27:M27 I38:P38 I35:P35 I33:P33 I30:P30 I26:P26 L21:M21 I18:P18 P51:P54 P19:P22 P36 P24 P29 P34 P31 P39 P41:P49 P27 I104:O106 P165:P166 P186:P192 I190:O191 P102:P118 L164:M166 P123:P155"/>
    <dataValidation type="decimal" operator="greaterThanOrEqual" allowBlank="1" showInputMessage="1" showErrorMessage="1" sqref="A37:F37 H119:IV119 H122:IV122 I168:P176 A178:A184 H37:IV37 H32:IV32 H25:IV25 H28:IV28 A25:F25 A28:F28 A32:F32 A119:F119 A122:F122 B177:F184 H177:P185 Q176:IV184">
      <formula1>-99999999999999900</formula1>
    </dataValidation>
    <dataValidation operator="greaterThanOrEqual" allowBlank="1" showInputMessage="1" showErrorMessage="1" errorTitle="Invalid Entry" error="The value you entered is not valid." sqref="I99:M99 I153:M153"/>
    <dataValidation type="decimal" allowBlank="1" showInputMessage="1" showErrorMessage="1" errorTitle="Invalid Entry" error="The value you entered is not valid." sqref="L88:M90">
      <formula1>-99999999999999900000</formula1>
      <formula2>99999999999999900000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<![CDATA[&R&"Arial,Bold"&USchedule BS
&U  &P of &N&C&"Arial,Bold"&8 NEW RURAL BANK OF SAN LEONARDO INC.  [ 04-006056 ]
 As of: June 30, 2016]]></oddHeader>
  </headerFooter>
  <rowBreaks count="1" manualBreakCount="1">
    <brk id="84" max="15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08"/>
  <sheetViews>
    <sheetView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1.25" customHeight="1" x14ac:dyDescent="0.2"/>
  <cols>
    <col min="1" max="1" customWidth="true" style="20" width="3.5703125" collapsed="true"/>
    <col min="2" max="3" customWidth="true" style="20" width="3.28515625" collapsed="true"/>
    <col min="4" max="4" customWidth="true" style="20" width="52.5703125" collapsed="true"/>
    <col min="5" max="5" customWidth="true" hidden="true" style="20" width="32.42578125" collapsed="true"/>
    <col min="6" max="6" customWidth="true" hidden="true" style="20" width="11.5703125" collapsed="true"/>
    <col min="7" max="7" bestFit="true" customWidth="true" style="21" width="18.85546875" collapsed="true"/>
    <col min="8" max="8" customWidth="true" hidden="true" style="21" width="18.28515625" collapsed="true"/>
    <col min="9" max="13" customWidth="true" style="118" width="20.7109375" collapsed="true"/>
    <col min="14" max="15" customWidth="true" hidden="true" style="118" width="20.7109375" collapsed="true"/>
    <col min="16" max="16" customWidth="true" style="118" width="20.7109375" collapsed="true"/>
    <col min="17" max="17" customWidth="true" style="88" width="24.42578125" collapsed="true"/>
    <col min="18" max="18" bestFit="true" customWidth="true" style="6" width="8.0" collapsed="true"/>
    <col min="19" max="16384" style="20" width="9.140625" collapsed="true"/>
  </cols>
  <sheetData>
    <row r="1" spans="1:18" ht="11.25" customHeight="1" x14ac:dyDescent="0.2">
      <c r="A1" s="184" t="s">
        <v>396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</row>
    <row r="2" spans="1:18" ht="11.25" hidden="1" customHeight="1" x14ac:dyDescent="0.2">
      <c r="A2" s="209"/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</row>
    <row r="3" spans="1:18" ht="11.25" hidden="1" customHeight="1" x14ac:dyDescent="0.2">
      <c r="A3" s="212"/>
      <c r="B3" s="212"/>
      <c r="C3" s="212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</row>
    <row r="4" spans="1:18" ht="11.25" hidden="1" customHeight="1" x14ac:dyDescent="0.2">
      <c r="A4" s="209"/>
      <c r="B4" s="209"/>
      <c r="C4" s="209"/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09"/>
      <c r="O4" s="209"/>
      <c r="P4" s="209"/>
    </row>
    <row r="5" spans="1:18" ht="11.25" hidden="1" customHeight="1" x14ac:dyDescent="0.2">
      <c r="A5" s="209"/>
      <c r="B5" s="209"/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</row>
    <row r="6" spans="1:18" ht="11.25" hidden="1" customHeight="1" x14ac:dyDescent="0.2">
      <c r="A6" s="209"/>
      <c r="B6" s="209"/>
      <c r="C6" s="209"/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</row>
    <row r="7" spans="1:18" ht="11.25" customHeight="1" x14ac:dyDescent="0.2">
      <c r="A7" s="209"/>
      <c r="B7" s="209"/>
      <c r="C7" s="209"/>
      <c r="D7" s="209"/>
      <c r="E7" s="209"/>
      <c r="F7" s="209"/>
      <c r="G7" s="209"/>
      <c r="H7" s="209"/>
      <c r="I7" s="209"/>
      <c r="J7" s="209"/>
      <c r="K7" s="209"/>
      <c r="L7" s="209"/>
      <c r="M7" s="209"/>
      <c r="N7" s="209"/>
      <c r="O7" s="209"/>
      <c r="P7" s="209"/>
    </row>
    <row r="8" spans="1:18" s="90" customFormat="1" ht="11.25" customHeight="1" x14ac:dyDescent="0.2">
      <c r="A8" s="187" t="s">
        <v>158</v>
      </c>
      <c r="B8" s="187"/>
      <c r="C8" s="187"/>
      <c r="D8" s="187"/>
      <c r="E8" s="23"/>
      <c r="F8" s="23"/>
      <c r="G8" s="178" t="s">
        <v>159</v>
      </c>
      <c r="H8" s="24"/>
      <c r="I8" s="117" t="s">
        <v>160</v>
      </c>
      <c r="J8" s="211" t="s">
        <v>161</v>
      </c>
      <c r="K8" s="211"/>
      <c r="L8" s="211" t="s">
        <v>162</v>
      </c>
      <c r="M8" s="211"/>
      <c r="N8" s="211" t="s">
        <v>391</v>
      </c>
      <c r="O8" s="211"/>
      <c r="P8" s="211" t="s">
        <v>163</v>
      </c>
      <c r="Q8" s="89"/>
      <c r="R8" s="7"/>
    </row>
    <row r="9" spans="1:18" s="90" customFormat="1" ht="11.25" customHeight="1" x14ac:dyDescent="0.2">
      <c r="A9" s="210"/>
      <c r="B9" s="210"/>
      <c r="C9" s="210"/>
      <c r="D9" s="210"/>
      <c r="E9" s="23"/>
      <c r="F9" s="23"/>
      <c r="G9" s="178"/>
      <c r="H9" s="24"/>
      <c r="I9" s="117" t="s">
        <v>164</v>
      </c>
      <c r="J9" s="117" t="s">
        <v>165</v>
      </c>
      <c r="K9" s="117" t="s">
        <v>166</v>
      </c>
      <c r="L9" s="117" t="s">
        <v>165</v>
      </c>
      <c r="M9" s="117" t="s">
        <v>166</v>
      </c>
      <c r="N9" s="117" t="s">
        <v>165</v>
      </c>
      <c r="O9" s="117" t="s">
        <v>166</v>
      </c>
      <c r="P9" s="211"/>
      <c r="Q9" s="89"/>
      <c r="R9" s="7"/>
    </row>
    <row r="10" spans="1:18" s="13" customFormat="1" ht="11.25" customHeight="1" x14ac:dyDescent="0.2">
      <c r="A10" s="103" t="s">
        <v>348</v>
      </c>
      <c r="B10" s="42"/>
      <c r="C10" s="42"/>
      <c r="D10" s="43"/>
      <c r="E10" s="35"/>
      <c r="F10" s="29"/>
      <c r="G10" s="25"/>
      <c r="H10" s="25"/>
      <c r="I10" s="127"/>
      <c r="J10" s="127"/>
      <c r="K10" s="127"/>
      <c r="L10" s="127"/>
      <c r="M10" s="127"/>
      <c r="N10" s="127"/>
      <c r="O10" s="127"/>
      <c r="P10" s="127"/>
      <c r="Q10" s="14"/>
      <c r="R10" s="11"/>
    </row>
    <row r="11" spans="1:18" s="13" customFormat="1" ht="11.25" customHeight="1" x14ac:dyDescent="0.2">
      <c r="A11" s="53" t="s">
        <v>168</v>
      </c>
      <c r="B11" s="54" t="s">
        <v>349</v>
      </c>
      <c r="C11" s="54"/>
      <c r="D11" s="35"/>
      <c r="E11" s="35"/>
      <c r="F11" s="29"/>
      <c r="G11" s="144" t="s">
        <v>590</v>
      </c>
      <c r="H11" s="25"/>
      <c r="I11" s="119"/>
      <c r="J11" s="119"/>
      <c r="K11" s="119"/>
      <c r="L11" s="153"/>
      <c r="M11" s="153"/>
      <c r="N11" s="119"/>
      <c r="O11" s="119"/>
      <c r="P11" s="120">
        <f>I11+K11+M11+O11</f>
        <v>0</v>
      </c>
      <c r="Q11" s="14"/>
      <c r="R11" s="11"/>
    </row>
    <row r="12" spans="1:18" s="13" customFormat="1" ht="11.25" customHeight="1" x14ac:dyDescent="0.2">
      <c r="A12" s="44" t="s">
        <v>170</v>
      </c>
      <c r="B12" s="13" t="s">
        <v>350</v>
      </c>
      <c r="D12" s="45"/>
      <c r="E12" s="35"/>
      <c r="F12" s="29"/>
      <c r="G12" s="144" t="s">
        <v>591</v>
      </c>
      <c r="H12" s="25"/>
      <c r="I12" s="119"/>
      <c r="J12" s="153"/>
      <c r="K12" s="153"/>
      <c r="L12" s="153"/>
      <c r="M12" s="153"/>
      <c r="N12" s="119"/>
      <c r="O12" s="119"/>
      <c r="P12" s="120">
        <f t="shared" ref="P12:P65" si="0">I12+K12+M12+O12</f>
        <v>0</v>
      </c>
      <c r="Q12" s="14"/>
      <c r="R12" s="11"/>
    </row>
    <row r="13" spans="1:18" s="13" customFormat="1" ht="11.25" customHeight="1" x14ac:dyDescent="0.2">
      <c r="A13" s="53" t="s">
        <v>172</v>
      </c>
      <c r="B13" s="167" t="s">
        <v>351</v>
      </c>
      <c r="C13" s="167"/>
      <c r="D13" s="168"/>
      <c r="E13" s="36"/>
      <c r="F13" s="30"/>
      <c r="G13" s="144" t="s">
        <v>592</v>
      </c>
      <c r="H13" s="25"/>
      <c r="I13" s="119"/>
      <c r="J13" s="119"/>
      <c r="K13" s="119"/>
      <c r="L13" s="153"/>
      <c r="M13" s="153"/>
      <c r="N13" s="119"/>
      <c r="O13" s="119"/>
      <c r="P13" s="120">
        <f t="shared" si="0"/>
        <v>0</v>
      </c>
      <c r="Q13" s="14"/>
      <c r="R13" s="11"/>
    </row>
    <row r="14" spans="1:18" s="13" customFormat="1" ht="11.25" customHeight="1" x14ac:dyDescent="0.2">
      <c r="A14" s="49" t="s">
        <v>352</v>
      </c>
      <c r="D14" s="45"/>
      <c r="E14" s="35"/>
      <c r="F14" s="29"/>
      <c r="G14" s="144" t="s">
        <v>593</v>
      </c>
      <c r="H14" s="25"/>
      <c r="I14" s="120">
        <f t="shared" ref="I14:O14" si="1">I11 - I12 - I13</f>
        <v>0</v>
      </c>
      <c r="J14" s="120">
        <f t="shared" si="1"/>
        <v>0</v>
      </c>
      <c r="K14" s="120">
        <f t="shared" si="1"/>
        <v>0</v>
      </c>
      <c r="L14" s="128">
        <f t="shared" si="1"/>
        <v>0</v>
      </c>
      <c r="M14" s="128">
        <f t="shared" si="1"/>
        <v>0</v>
      </c>
      <c r="N14" s="120">
        <f t="shared" si="1"/>
        <v>0</v>
      </c>
      <c r="O14" s="120">
        <f t="shared" si="1"/>
        <v>0</v>
      </c>
      <c r="P14" s="120">
        <f t="shared" si="0"/>
        <v>0</v>
      </c>
      <c r="Q14" s="14"/>
      <c r="R14" s="11"/>
    </row>
    <row r="15" spans="1:18" s="13" customFormat="1" ht="11.25" customHeight="1" x14ac:dyDescent="0.2">
      <c r="A15" s="58" t="s">
        <v>353</v>
      </c>
      <c r="B15" s="54"/>
      <c r="C15" s="54"/>
      <c r="D15" s="35"/>
      <c r="E15" s="35"/>
      <c r="F15" s="29"/>
      <c r="G15" s="144" t="s">
        <v>594</v>
      </c>
      <c r="H15" s="25"/>
      <c r="I15" s="120">
        <f>I16 + I17 + I26 + I27 + I28 + I29 + I30 + I31 + I36</f>
        <v>0</v>
      </c>
      <c r="J15" s="128">
        <f t="shared" ref="J15:O15" si="2">J16 + J17 + J26 + J27 + J28 + J29 + J30 + J31 + J36</f>
        <v>0</v>
      </c>
      <c r="K15" s="128">
        <f t="shared" si="2"/>
        <v>0</v>
      </c>
      <c r="L15" s="128">
        <f t="shared" si="2"/>
        <v>0</v>
      </c>
      <c r="M15" s="128">
        <f t="shared" si="2"/>
        <v>0</v>
      </c>
      <c r="N15" s="120">
        <f t="shared" si="2"/>
        <v>0</v>
      </c>
      <c r="O15" s="120">
        <f t="shared" si="2"/>
        <v>0</v>
      </c>
      <c r="P15" s="120">
        <f t="shared" si="0"/>
        <v>0</v>
      </c>
      <c r="Q15" s="14"/>
      <c r="R15" s="11"/>
    </row>
    <row r="16" spans="1:18" s="13" customFormat="1" ht="11.25" customHeight="1" x14ac:dyDescent="0.2">
      <c r="A16" s="44" t="s">
        <v>174</v>
      </c>
      <c r="B16" s="13" t="s">
        <v>354</v>
      </c>
      <c r="D16" s="45"/>
      <c r="E16" s="35"/>
      <c r="F16" s="29"/>
      <c r="G16" s="144" t="s">
        <v>595</v>
      </c>
      <c r="H16" s="25"/>
      <c r="I16" s="119"/>
      <c r="J16" s="153"/>
      <c r="K16" s="153"/>
      <c r="L16" s="128"/>
      <c r="M16" s="128"/>
      <c r="N16" s="119"/>
      <c r="O16" s="119"/>
      <c r="P16" s="120">
        <f t="shared" si="0"/>
        <v>0</v>
      </c>
      <c r="Q16" s="14"/>
      <c r="R16" s="11"/>
    </row>
    <row r="17" spans="1:18" s="13" customFormat="1" ht="11.25" customHeight="1" x14ac:dyDescent="0.2">
      <c r="A17" s="53" t="s">
        <v>176</v>
      </c>
      <c r="B17" s="54" t="s">
        <v>355</v>
      </c>
      <c r="C17" s="54"/>
      <c r="D17" s="35"/>
      <c r="E17" s="35"/>
      <c r="F17" s="29"/>
      <c r="G17" s="144" t="s">
        <v>596</v>
      </c>
      <c r="H17" s="25"/>
      <c r="I17" s="120">
        <f>I18 + I19 + I20 + I21 + I23 + I24 + I25 + I22</f>
        <v>0</v>
      </c>
      <c r="J17" s="128">
        <f t="shared" ref="J17:O17" si="3">J18 + J19 + J20 + J21 + J23 + J24 + J25</f>
        <v>0</v>
      </c>
      <c r="K17" s="128">
        <f t="shared" si="3"/>
        <v>0</v>
      </c>
      <c r="L17" s="128">
        <f t="shared" si="3"/>
        <v>0</v>
      </c>
      <c r="M17" s="128">
        <f t="shared" si="3"/>
        <v>0</v>
      </c>
      <c r="N17" s="120">
        <f t="shared" si="3"/>
        <v>0</v>
      </c>
      <c r="O17" s="120">
        <f t="shared" si="3"/>
        <v>0</v>
      </c>
      <c r="P17" s="120">
        <f t="shared" si="0"/>
        <v>0</v>
      </c>
      <c r="Q17" s="14"/>
      <c r="R17" s="11"/>
    </row>
    <row r="18" spans="1:18" s="13" customFormat="1" ht="11.25" customHeight="1" x14ac:dyDescent="0.2">
      <c r="A18" s="44"/>
      <c r="B18" s="13" t="s">
        <v>178</v>
      </c>
      <c r="C18" s="13" t="s">
        <v>356</v>
      </c>
      <c r="D18" s="45"/>
      <c r="E18" s="35"/>
      <c r="F18" s="29"/>
      <c r="G18" s="144" t="s">
        <v>597</v>
      </c>
      <c r="H18" s="25"/>
      <c r="I18" s="119"/>
      <c r="J18" s="153"/>
      <c r="K18" s="153"/>
      <c r="L18" s="153"/>
      <c r="M18" s="153"/>
      <c r="N18" s="119"/>
      <c r="O18" s="119"/>
      <c r="P18" s="120">
        <f t="shared" si="0"/>
        <v>0</v>
      </c>
      <c r="Q18" s="14"/>
      <c r="R18" s="11"/>
    </row>
    <row r="19" spans="1:18" s="13" customFormat="1" ht="11.25" customHeight="1" x14ac:dyDescent="0.2">
      <c r="A19" s="53"/>
      <c r="B19" s="54" t="s">
        <v>180</v>
      </c>
      <c r="C19" s="54" t="s">
        <v>357</v>
      </c>
      <c r="D19" s="35"/>
      <c r="E19" s="35"/>
      <c r="F19" s="29"/>
      <c r="G19" s="144" t="s">
        <v>598</v>
      </c>
      <c r="H19" s="25"/>
      <c r="I19" s="119"/>
      <c r="J19" s="153"/>
      <c r="K19" s="153"/>
      <c r="L19" s="153"/>
      <c r="M19" s="153"/>
      <c r="N19" s="119"/>
      <c r="O19" s="119"/>
      <c r="P19" s="120">
        <f t="shared" si="0"/>
        <v>0</v>
      </c>
      <c r="Q19" s="14"/>
      <c r="R19" s="11"/>
    </row>
    <row r="20" spans="1:18" s="13" customFormat="1" ht="11.25" customHeight="1" x14ac:dyDescent="0.2">
      <c r="A20" s="44"/>
      <c r="B20" s="13" t="s">
        <v>182</v>
      </c>
      <c r="C20" s="13" t="s">
        <v>358</v>
      </c>
      <c r="D20" s="45"/>
      <c r="E20" s="35"/>
      <c r="F20" s="29"/>
      <c r="G20" s="144" t="s">
        <v>599</v>
      </c>
      <c r="H20" s="25"/>
      <c r="I20" s="153"/>
      <c r="J20" s="153"/>
      <c r="K20" s="153"/>
      <c r="L20" s="153"/>
      <c r="M20" s="153"/>
      <c r="N20" s="119"/>
      <c r="O20" s="119"/>
      <c r="P20" s="128">
        <f t="shared" si="0"/>
        <v>0</v>
      </c>
      <c r="Q20" s="14"/>
      <c r="R20" s="11"/>
    </row>
    <row r="21" spans="1:18" s="13" customFormat="1" ht="11.25" customHeight="1" x14ac:dyDescent="0.2">
      <c r="A21" s="53"/>
      <c r="B21" s="54" t="s">
        <v>225</v>
      </c>
      <c r="C21" s="54" t="s">
        <v>359</v>
      </c>
      <c r="D21" s="35"/>
      <c r="E21" s="35"/>
      <c r="F21" s="29"/>
      <c r="G21" s="144" t="s">
        <v>600</v>
      </c>
      <c r="H21" s="25"/>
      <c r="I21" s="153"/>
      <c r="J21" s="153"/>
      <c r="K21" s="153"/>
      <c r="L21" s="153"/>
      <c r="M21" s="153"/>
      <c r="N21" s="119"/>
      <c r="O21" s="119"/>
      <c r="P21" s="128">
        <f t="shared" si="0"/>
        <v>0</v>
      </c>
      <c r="Q21" s="14"/>
      <c r="R21" s="11"/>
    </row>
    <row r="22" spans="1:18" s="13" customFormat="1" ht="11.25" customHeight="1" x14ac:dyDescent="0.2">
      <c r="A22" s="53"/>
      <c r="B22" s="54" t="s">
        <v>275</v>
      </c>
      <c r="C22" s="54" t="s">
        <v>1116</v>
      </c>
      <c r="D22" s="35"/>
      <c r="E22" s="35"/>
      <c r="F22" s="29"/>
      <c r="G22" s="144" t="s">
        <v>1117</v>
      </c>
      <c r="H22" s="25"/>
      <c r="I22" s="119"/>
      <c r="J22" s="153"/>
      <c r="K22" s="153"/>
      <c r="L22" s="153"/>
      <c r="M22" s="153"/>
      <c r="N22" s="119"/>
      <c r="O22" s="119"/>
      <c r="P22" s="120">
        <f>I22+K22+M22+O22</f>
        <v>0</v>
      </c>
      <c r="Q22" s="14"/>
      <c r="R22" s="11"/>
    </row>
    <row r="23" spans="1:18" s="13" customFormat="1" ht="11.25" customHeight="1" x14ac:dyDescent="0.2">
      <c r="A23" s="44"/>
      <c r="B23" s="12" t="s">
        <v>361</v>
      </c>
      <c r="C23" s="13" t="s">
        <v>360</v>
      </c>
      <c r="D23" s="45"/>
      <c r="E23" s="35"/>
      <c r="F23" s="29"/>
      <c r="G23" s="144" t="s">
        <v>601</v>
      </c>
      <c r="H23" s="25"/>
      <c r="I23" s="119"/>
      <c r="J23" s="128"/>
      <c r="K23" s="128"/>
      <c r="L23" s="128"/>
      <c r="M23" s="128"/>
      <c r="N23" s="119"/>
      <c r="O23" s="119"/>
      <c r="P23" s="120">
        <f t="shared" si="0"/>
        <v>0</v>
      </c>
      <c r="Q23" s="14"/>
      <c r="R23" s="11"/>
    </row>
    <row r="24" spans="1:18" s="13" customFormat="1" ht="11.25" customHeight="1" x14ac:dyDescent="0.2">
      <c r="A24" s="53"/>
      <c r="B24" s="105" t="s">
        <v>363</v>
      </c>
      <c r="C24" s="105" t="s">
        <v>362</v>
      </c>
      <c r="D24" s="102"/>
      <c r="E24" s="102"/>
      <c r="F24" s="99"/>
      <c r="G24" s="144" t="s">
        <v>602</v>
      </c>
      <c r="H24" s="25"/>
      <c r="I24" s="119"/>
      <c r="J24" s="153"/>
      <c r="K24" s="153"/>
      <c r="L24" s="153"/>
      <c r="M24" s="153"/>
      <c r="N24" s="119"/>
      <c r="O24" s="119"/>
      <c r="P24" s="120">
        <f t="shared" si="0"/>
        <v>0</v>
      </c>
      <c r="Q24" s="14"/>
      <c r="R24" s="11"/>
    </row>
    <row r="25" spans="1:18" s="13" customFormat="1" ht="11.25" customHeight="1" x14ac:dyDescent="0.2">
      <c r="A25" s="44"/>
      <c r="B25" s="20" t="s">
        <v>1118</v>
      </c>
      <c r="C25" s="20" t="s">
        <v>312</v>
      </c>
      <c r="D25" s="104"/>
      <c r="E25" s="102"/>
      <c r="F25" s="99"/>
      <c r="G25" s="144" t="s">
        <v>603</v>
      </c>
      <c r="H25" s="25"/>
      <c r="I25" s="119"/>
      <c r="J25" s="153"/>
      <c r="K25" s="153"/>
      <c r="L25" s="153"/>
      <c r="M25" s="153"/>
      <c r="N25" s="119"/>
      <c r="O25" s="119"/>
      <c r="P25" s="120">
        <f t="shared" si="0"/>
        <v>0</v>
      </c>
      <c r="Q25" s="14"/>
      <c r="R25" s="11"/>
    </row>
    <row r="26" spans="1:18" s="136" customFormat="1" ht="11.25" customHeight="1" x14ac:dyDescent="0.2">
      <c r="A26" s="131" t="s">
        <v>184</v>
      </c>
      <c r="B26" s="207" t="s">
        <v>365</v>
      </c>
      <c r="C26" s="207"/>
      <c r="D26" s="208"/>
      <c r="E26" s="132"/>
      <c r="F26" s="133"/>
      <c r="G26" s="144" t="s">
        <v>604</v>
      </c>
      <c r="H26" s="134"/>
      <c r="I26" s="121"/>
      <c r="J26" s="153"/>
      <c r="K26" s="153"/>
      <c r="L26" s="153"/>
      <c r="M26" s="153"/>
      <c r="N26" s="119"/>
      <c r="O26" s="119"/>
      <c r="P26" s="122">
        <f t="shared" si="0"/>
        <v>0</v>
      </c>
      <c r="Q26" s="135"/>
      <c r="R26" s="135"/>
    </row>
    <row r="27" spans="1:18" s="71" customFormat="1" ht="24" customHeight="1" x14ac:dyDescent="0.2">
      <c r="A27" s="75" t="s">
        <v>186</v>
      </c>
      <c r="B27" s="196" t="s">
        <v>366</v>
      </c>
      <c r="C27" s="196"/>
      <c r="D27" s="197"/>
      <c r="E27" s="84"/>
      <c r="F27" s="85"/>
      <c r="G27" s="144" t="s">
        <v>605</v>
      </c>
      <c r="H27" s="67"/>
      <c r="I27" s="154"/>
      <c r="J27" s="154"/>
      <c r="K27" s="154"/>
      <c r="L27" s="154"/>
      <c r="M27" s="154"/>
      <c r="N27" s="119"/>
      <c r="O27" s="119"/>
      <c r="P27" s="152">
        <f t="shared" si="0"/>
        <v>0</v>
      </c>
      <c r="Q27" s="10"/>
      <c r="R27" s="10"/>
    </row>
    <row r="28" spans="1:18" s="71" customFormat="1" ht="11.25" customHeight="1" x14ac:dyDescent="0.2">
      <c r="A28" s="61" t="s">
        <v>197</v>
      </c>
      <c r="B28" s="62" t="s">
        <v>367</v>
      </c>
      <c r="C28" s="62"/>
      <c r="D28" s="73"/>
      <c r="E28" s="73"/>
      <c r="F28" s="74"/>
      <c r="G28" s="144" t="s">
        <v>606</v>
      </c>
      <c r="H28" s="66"/>
      <c r="I28" s="119"/>
      <c r="J28" s="153"/>
      <c r="K28" s="153"/>
      <c r="L28" s="153"/>
      <c r="M28" s="153"/>
      <c r="N28" s="119"/>
      <c r="O28" s="119"/>
      <c r="P28" s="120">
        <f t="shared" si="0"/>
        <v>0</v>
      </c>
      <c r="Q28" s="10"/>
      <c r="R28" s="10"/>
    </row>
    <row r="29" spans="1:18" s="71" customFormat="1" ht="24" customHeight="1" x14ac:dyDescent="0.2">
      <c r="A29" s="75" t="s">
        <v>202</v>
      </c>
      <c r="B29" s="203" t="s">
        <v>368</v>
      </c>
      <c r="C29" s="203"/>
      <c r="D29" s="204"/>
      <c r="E29" s="98"/>
      <c r="F29" s="106"/>
      <c r="G29" s="144" t="s">
        <v>607</v>
      </c>
      <c r="H29" s="67"/>
      <c r="I29" s="125"/>
      <c r="J29" s="154"/>
      <c r="K29" s="154"/>
      <c r="L29" s="154"/>
      <c r="M29" s="154"/>
      <c r="N29" s="119"/>
      <c r="O29" s="119"/>
      <c r="P29" s="137">
        <f t="shared" si="0"/>
        <v>0</v>
      </c>
      <c r="Q29" s="10"/>
      <c r="R29" s="10"/>
    </row>
    <row r="30" spans="1:18" s="71" customFormat="1" ht="11.25" customHeight="1" x14ac:dyDescent="0.2">
      <c r="A30" s="61" t="s">
        <v>205</v>
      </c>
      <c r="B30" s="169" t="s">
        <v>369</v>
      </c>
      <c r="C30" s="169"/>
      <c r="D30" s="170"/>
      <c r="E30" s="84"/>
      <c r="F30" s="85"/>
      <c r="G30" s="144" t="s">
        <v>608</v>
      </c>
      <c r="H30" s="66"/>
      <c r="I30" s="153"/>
      <c r="J30" s="153"/>
      <c r="K30" s="153"/>
      <c r="L30" s="153"/>
      <c r="M30" s="153"/>
      <c r="N30" s="119"/>
      <c r="O30" s="119"/>
      <c r="P30" s="128">
        <f t="shared" si="0"/>
        <v>0</v>
      </c>
      <c r="Q30" s="10"/>
      <c r="R30" s="10"/>
    </row>
    <row r="31" spans="1:18" s="71" customFormat="1" ht="11.25" customHeight="1" x14ac:dyDescent="0.2">
      <c r="A31" s="75" t="s">
        <v>208</v>
      </c>
      <c r="B31" s="203" t="s">
        <v>370</v>
      </c>
      <c r="C31" s="203"/>
      <c r="D31" s="204"/>
      <c r="E31" s="98"/>
      <c r="F31" s="106"/>
      <c r="G31" s="144" t="s">
        <v>609</v>
      </c>
      <c r="H31" s="66"/>
      <c r="I31" s="120">
        <f t="shared" ref="I31:O31" si="4">I32 + I33 + I34 + I35</f>
        <v>0</v>
      </c>
      <c r="J31" s="128">
        <f t="shared" si="4"/>
        <v>0</v>
      </c>
      <c r="K31" s="128">
        <f t="shared" si="4"/>
        <v>0</v>
      </c>
      <c r="L31" s="128">
        <f t="shared" si="4"/>
        <v>0</v>
      </c>
      <c r="M31" s="128">
        <f t="shared" si="4"/>
        <v>0</v>
      </c>
      <c r="N31" s="120">
        <f t="shared" si="4"/>
        <v>0</v>
      </c>
      <c r="O31" s="120">
        <f t="shared" si="4"/>
        <v>0</v>
      </c>
      <c r="P31" s="120">
        <f t="shared" si="0"/>
        <v>0</v>
      </c>
      <c r="Q31" s="10"/>
      <c r="R31" s="10"/>
    </row>
    <row r="32" spans="1:18" s="71" customFormat="1" ht="11.25" customHeight="1" x14ac:dyDescent="0.2">
      <c r="A32" s="61"/>
      <c r="B32" s="83" t="s">
        <v>178</v>
      </c>
      <c r="C32" s="205" t="s">
        <v>241</v>
      </c>
      <c r="D32" s="206"/>
      <c r="E32" s="98"/>
      <c r="F32" s="106"/>
      <c r="G32" s="144" t="s">
        <v>610</v>
      </c>
      <c r="H32" s="66"/>
      <c r="I32" s="119"/>
      <c r="J32" s="128"/>
      <c r="K32" s="128"/>
      <c r="L32" s="128"/>
      <c r="M32" s="128"/>
      <c r="N32" s="119"/>
      <c r="O32" s="119"/>
      <c r="P32" s="120">
        <f t="shared" si="0"/>
        <v>0</v>
      </c>
      <c r="Q32" s="10"/>
      <c r="R32" s="10"/>
    </row>
    <row r="33" spans="1:18" s="71" customFormat="1" ht="11.25" customHeight="1" x14ac:dyDescent="0.2">
      <c r="A33" s="75"/>
      <c r="B33" s="86" t="s">
        <v>180</v>
      </c>
      <c r="C33" s="203" t="s">
        <v>371</v>
      </c>
      <c r="D33" s="204"/>
      <c r="E33" s="98"/>
      <c r="F33" s="106"/>
      <c r="G33" s="144" t="s">
        <v>611</v>
      </c>
      <c r="H33" s="66"/>
      <c r="I33" s="119"/>
      <c r="J33" s="128"/>
      <c r="K33" s="128"/>
      <c r="L33" s="153"/>
      <c r="M33" s="153"/>
      <c r="N33" s="119"/>
      <c r="O33" s="119"/>
      <c r="P33" s="120">
        <f t="shared" si="0"/>
        <v>0</v>
      </c>
      <c r="Q33" s="10"/>
      <c r="R33" s="10"/>
    </row>
    <row r="34" spans="1:18" s="71" customFormat="1" ht="11.25" customHeight="1" x14ac:dyDescent="0.2">
      <c r="A34" s="61"/>
      <c r="B34" s="83" t="s">
        <v>182</v>
      </c>
      <c r="C34" s="169" t="s">
        <v>251</v>
      </c>
      <c r="D34" s="170"/>
      <c r="E34" s="84"/>
      <c r="F34" s="85"/>
      <c r="G34" s="144" t="s">
        <v>612</v>
      </c>
      <c r="H34" s="66"/>
      <c r="I34" s="119"/>
      <c r="J34" s="153"/>
      <c r="K34" s="153"/>
      <c r="L34" s="153"/>
      <c r="M34" s="153"/>
      <c r="N34" s="119"/>
      <c r="O34" s="119"/>
      <c r="P34" s="120">
        <f t="shared" si="0"/>
        <v>0</v>
      </c>
      <c r="Q34" s="10"/>
      <c r="R34" s="10"/>
    </row>
    <row r="35" spans="1:18" s="71" customFormat="1" ht="11.25" customHeight="1" x14ac:dyDescent="0.2">
      <c r="A35" s="75"/>
      <c r="B35" s="86" t="s">
        <v>225</v>
      </c>
      <c r="C35" s="196" t="s">
        <v>372</v>
      </c>
      <c r="D35" s="197"/>
      <c r="E35" s="84"/>
      <c r="F35" s="85"/>
      <c r="G35" s="144" t="s">
        <v>613</v>
      </c>
      <c r="H35" s="66"/>
      <c r="I35" s="119"/>
      <c r="J35" s="153"/>
      <c r="K35" s="153"/>
      <c r="L35" s="153"/>
      <c r="M35" s="153"/>
      <c r="N35" s="119"/>
      <c r="O35" s="119"/>
      <c r="P35" s="120">
        <f t="shared" si="0"/>
        <v>0</v>
      </c>
      <c r="Q35" s="10"/>
      <c r="R35" s="10"/>
    </row>
    <row r="36" spans="1:18" s="13" customFormat="1" ht="11.25" customHeight="1" x14ac:dyDescent="0.2">
      <c r="A36" s="53" t="s">
        <v>218</v>
      </c>
      <c r="B36" s="54" t="s">
        <v>373</v>
      </c>
      <c r="C36" s="54"/>
      <c r="D36" s="35"/>
      <c r="E36" s="35"/>
      <c r="F36" s="29"/>
      <c r="G36" s="144" t="s">
        <v>614</v>
      </c>
      <c r="H36" s="25"/>
      <c r="I36" s="119"/>
      <c r="J36" s="153"/>
      <c r="K36" s="153"/>
      <c r="L36" s="153"/>
      <c r="M36" s="153"/>
      <c r="N36" s="119"/>
      <c r="O36" s="119"/>
      <c r="P36" s="120">
        <f t="shared" si="0"/>
        <v>0</v>
      </c>
      <c r="Q36" s="14"/>
      <c r="R36" s="11"/>
    </row>
    <row r="37" spans="1:18" s="13" customFormat="1" ht="11.25" customHeight="1" x14ac:dyDescent="0.2">
      <c r="A37" s="49" t="s">
        <v>374</v>
      </c>
      <c r="D37" s="45"/>
      <c r="E37" s="35"/>
      <c r="F37" s="29"/>
      <c r="G37" s="144" t="s">
        <v>615</v>
      </c>
      <c r="H37" s="25"/>
      <c r="I37" s="120">
        <f>I38 + I39 + I40 + I41 + I42 + I43 + I51</f>
        <v>0</v>
      </c>
      <c r="J37" s="128">
        <f t="shared" ref="J37:O37" si="5">J38 + J39 + J40 + J41 + J42 + J43 + J51</f>
        <v>0</v>
      </c>
      <c r="K37" s="128">
        <f t="shared" si="5"/>
        <v>0</v>
      </c>
      <c r="L37" s="128">
        <f t="shared" si="5"/>
        <v>0</v>
      </c>
      <c r="M37" s="128">
        <f t="shared" si="5"/>
        <v>0</v>
      </c>
      <c r="N37" s="120">
        <f t="shared" si="5"/>
        <v>0</v>
      </c>
      <c r="O37" s="120">
        <f t="shared" si="5"/>
        <v>0</v>
      </c>
      <c r="P37" s="120">
        <f t="shared" si="0"/>
        <v>0</v>
      </c>
      <c r="Q37" s="14"/>
      <c r="R37" s="11"/>
    </row>
    <row r="38" spans="1:18" s="13" customFormat="1" ht="11.25" customHeight="1" x14ac:dyDescent="0.2">
      <c r="A38" s="53" t="s">
        <v>220</v>
      </c>
      <c r="B38" s="54" t="s">
        <v>375</v>
      </c>
      <c r="C38" s="54"/>
      <c r="D38" s="35"/>
      <c r="E38" s="35"/>
      <c r="F38" s="29"/>
      <c r="G38" s="144" t="s">
        <v>616</v>
      </c>
      <c r="H38" s="25"/>
      <c r="I38" s="119"/>
      <c r="J38" s="153"/>
      <c r="K38" s="153"/>
      <c r="L38" s="153"/>
      <c r="M38" s="153"/>
      <c r="N38" s="119"/>
      <c r="O38" s="119"/>
      <c r="P38" s="120">
        <f t="shared" si="0"/>
        <v>0</v>
      </c>
      <c r="Q38" s="14"/>
      <c r="R38" s="11"/>
    </row>
    <row r="39" spans="1:18" s="13" customFormat="1" ht="11.25" customHeight="1" x14ac:dyDescent="0.2">
      <c r="A39" s="44" t="s">
        <v>227</v>
      </c>
      <c r="B39" s="54" t="s">
        <v>376</v>
      </c>
      <c r="C39" s="54"/>
      <c r="D39" s="35"/>
      <c r="E39" s="35"/>
      <c r="F39" s="29"/>
      <c r="G39" s="144" t="s">
        <v>617</v>
      </c>
      <c r="H39" s="25"/>
      <c r="I39" s="119"/>
      <c r="J39" s="153"/>
      <c r="K39" s="153"/>
      <c r="L39" s="153"/>
      <c r="M39" s="153"/>
      <c r="N39" s="119"/>
      <c r="O39" s="119"/>
      <c r="P39" s="120">
        <f t="shared" si="0"/>
        <v>0</v>
      </c>
      <c r="Q39" s="14"/>
      <c r="R39" s="11"/>
    </row>
    <row r="40" spans="1:18" s="13" customFormat="1" ht="11.25" customHeight="1" x14ac:dyDescent="0.2">
      <c r="A40" s="53" t="s">
        <v>229</v>
      </c>
      <c r="B40" s="163" t="s">
        <v>409</v>
      </c>
      <c r="D40" s="45"/>
      <c r="E40" s="35"/>
      <c r="F40" s="29"/>
      <c r="G40" s="144" t="s">
        <v>618</v>
      </c>
      <c r="H40" s="25"/>
      <c r="I40" s="119"/>
      <c r="J40" s="153"/>
      <c r="K40" s="153"/>
      <c r="L40" s="153"/>
      <c r="M40" s="153"/>
      <c r="N40" s="119"/>
      <c r="O40" s="119"/>
      <c r="P40" s="120">
        <f t="shared" si="0"/>
        <v>0</v>
      </c>
      <c r="Q40" s="14"/>
      <c r="R40" s="11"/>
    </row>
    <row r="41" spans="1:18" s="13" customFormat="1" ht="11.25" customHeight="1" x14ac:dyDescent="0.2">
      <c r="A41" s="53" t="s">
        <v>234</v>
      </c>
      <c r="B41" s="54" t="s">
        <v>377</v>
      </c>
      <c r="C41" s="54"/>
      <c r="D41" s="35"/>
      <c r="E41" s="35"/>
      <c r="F41" s="29"/>
      <c r="G41" s="144" t="s">
        <v>619</v>
      </c>
      <c r="H41" s="25"/>
      <c r="I41" s="119"/>
      <c r="J41" s="153"/>
      <c r="K41" s="153"/>
      <c r="L41" s="153"/>
      <c r="M41" s="153"/>
      <c r="N41" s="119"/>
      <c r="O41" s="119"/>
      <c r="P41" s="120">
        <f t="shared" si="0"/>
        <v>0</v>
      </c>
      <c r="Q41" s="14"/>
      <c r="R41" s="11"/>
    </row>
    <row r="42" spans="1:18" s="13" customFormat="1" ht="11.25" customHeight="1" x14ac:dyDescent="0.2">
      <c r="A42" s="44" t="s">
        <v>237</v>
      </c>
      <c r="B42" s="13" t="s">
        <v>378</v>
      </c>
      <c r="D42" s="45"/>
      <c r="E42" s="35"/>
      <c r="F42" s="29"/>
      <c r="G42" s="144" t="s">
        <v>620</v>
      </c>
      <c r="H42" s="25"/>
      <c r="I42" s="119"/>
      <c r="J42" s="128"/>
      <c r="K42" s="128"/>
      <c r="L42" s="153"/>
      <c r="M42" s="153"/>
      <c r="N42" s="119"/>
      <c r="O42" s="119"/>
      <c r="P42" s="120">
        <f t="shared" si="0"/>
        <v>0</v>
      </c>
      <c r="Q42" s="14"/>
      <c r="R42" s="11"/>
    </row>
    <row r="43" spans="1:18" s="13" customFormat="1" ht="11.25" customHeight="1" x14ac:dyDescent="0.2">
      <c r="A43" s="53" t="s">
        <v>240</v>
      </c>
      <c r="B43" s="54" t="s">
        <v>379</v>
      </c>
      <c r="C43" s="105"/>
      <c r="D43" s="102"/>
      <c r="E43" s="102"/>
      <c r="F43" s="99"/>
      <c r="G43" s="144" t="s">
        <v>621</v>
      </c>
      <c r="H43" s="25"/>
      <c r="I43" s="120">
        <f>SUM(I44:I50)</f>
        <v>0</v>
      </c>
      <c r="J43" s="128">
        <f t="shared" ref="J43:O43" si="6" xml:space="preserve"> J44 + J45 + J46 + J48 + J49 + J50</f>
        <v>0</v>
      </c>
      <c r="K43" s="128">
        <f t="shared" si="6"/>
        <v>0</v>
      </c>
      <c r="L43" s="128">
        <f t="shared" si="6"/>
        <v>0</v>
      </c>
      <c r="M43" s="128">
        <f t="shared" si="6"/>
        <v>0</v>
      </c>
      <c r="N43" s="120">
        <f t="shared" si="6"/>
        <v>0</v>
      </c>
      <c r="O43" s="120">
        <f t="shared" si="6"/>
        <v>0</v>
      </c>
      <c r="P43" s="120">
        <f t="shared" si="0"/>
        <v>0</v>
      </c>
      <c r="Q43" s="14"/>
      <c r="R43" s="11"/>
    </row>
    <row r="44" spans="1:18" s="13" customFormat="1" ht="11.25" customHeight="1" x14ac:dyDescent="0.2">
      <c r="A44" s="44"/>
      <c r="B44" s="15" t="s">
        <v>178</v>
      </c>
      <c r="C44" s="189" t="s">
        <v>380</v>
      </c>
      <c r="D44" s="202"/>
      <c r="E44" s="59"/>
      <c r="F44" s="100"/>
      <c r="G44" s="144" t="s">
        <v>622</v>
      </c>
      <c r="H44" s="25"/>
      <c r="I44" s="119"/>
      <c r="J44" s="153"/>
      <c r="K44" s="153"/>
      <c r="L44" s="128"/>
      <c r="M44" s="128"/>
      <c r="N44" s="121"/>
      <c r="O44" s="121"/>
      <c r="P44" s="120">
        <f t="shared" si="0"/>
        <v>0</v>
      </c>
      <c r="Q44" s="14"/>
      <c r="R44" s="11"/>
    </row>
    <row r="45" spans="1:18" s="13" customFormat="1" ht="11.25" customHeight="1" x14ac:dyDescent="0.2">
      <c r="A45" s="53"/>
      <c r="B45" s="55" t="s">
        <v>180</v>
      </c>
      <c r="C45" s="198" t="s">
        <v>241</v>
      </c>
      <c r="D45" s="199"/>
      <c r="E45" s="59"/>
      <c r="F45" s="100"/>
      <c r="G45" s="144" t="s">
        <v>623</v>
      </c>
      <c r="H45" s="25"/>
      <c r="I45" s="119"/>
      <c r="J45" s="123"/>
      <c r="K45" s="123"/>
      <c r="L45" s="153"/>
      <c r="M45" s="153"/>
      <c r="N45" s="119"/>
      <c r="O45" s="119"/>
      <c r="P45" s="120">
        <f t="shared" si="0"/>
        <v>0</v>
      </c>
      <c r="Q45" s="14"/>
      <c r="R45" s="11"/>
    </row>
    <row r="46" spans="1:18" s="13" customFormat="1" ht="11.25" customHeight="1" x14ac:dyDescent="0.2">
      <c r="A46" s="53"/>
      <c r="B46" s="55" t="s">
        <v>182</v>
      </c>
      <c r="C46" s="198" t="s">
        <v>371</v>
      </c>
      <c r="D46" s="199"/>
      <c r="E46" s="59"/>
      <c r="F46" s="100"/>
      <c r="G46" s="144" t="s">
        <v>624</v>
      </c>
      <c r="H46" s="25"/>
      <c r="I46" s="119"/>
      <c r="J46" s="123"/>
      <c r="K46" s="123"/>
      <c r="L46" s="153"/>
      <c r="M46" s="153"/>
      <c r="N46" s="119"/>
      <c r="O46" s="119"/>
      <c r="P46" s="120">
        <f t="shared" si="0"/>
        <v>0</v>
      </c>
      <c r="Q46" s="14"/>
      <c r="R46" s="11"/>
    </row>
    <row r="47" spans="1:18" s="13" customFormat="1" ht="11.25" customHeight="1" x14ac:dyDescent="0.2">
      <c r="A47" s="44"/>
      <c r="B47" s="55" t="s">
        <v>225</v>
      </c>
      <c r="C47" s="198" t="s">
        <v>249</v>
      </c>
      <c r="D47" s="199"/>
      <c r="E47" s="59"/>
      <c r="F47" s="100"/>
      <c r="G47" s="144" t="s">
        <v>777</v>
      </c>
      <c r="H47" s="25"/>
      <c r="I47" s="119"/>
      <c r="J47" s="123"/>
      <c r="K47" s="123"/>
      <c r="L47" s="124"/>
      <c r="M47" s="124"/>
      <c r="N47" s="119"/>
      <c r="O47" s="119"/>
      <c r="P47" s="120">
        <f t="shared" si="0"/>
        <v>0</v>
      </c>
      <c r="Q47" s="14"/>
      <c r="R47" s="11"/>
    </row>
    <row r="48" spans="1:18" s="13" customFormat="1" ht="11.25" customHeight="1" x14ac:dyDescent="0.2">
      <c r="A48" s="53"/>
      <c r="B48" s="141" t="s">
        <v>275</v>
      </c>
      <c r="C48" s="198" t="s">
        <v>251</v>
      </c>
      <c r="D48" s="199"/>
      <c r="E48" s="59"/>
      <c r="F48" s="100"/>
      <c r="G48" s="144" t="s">
        <v>625</v>
      </c>
      <c r="H48" s="25"/>
      <c r="I48" s="119"/>
      <c r="J48" s="153"/>
      <c r="K48" s="153"/>
      <c r="L48" s="153"/>
      <c r="M48" s="153"/>
      <c r="N48" s="119"/>
      <c r="O48" s="119"/>
      <c r="P48" s="120">
        <f t="shared" si="0"/>
        <v>0</v>
      </c>
      <c r="Q48" s="14"/>
      <c r="R48" s="11"/>
    </row>
    <row r="49" spans="1:18" s="13" customFormat="1" ht="11.25" customHeight="1" x14ac:dyDescent="0.2">
      <c r="A49" s="53"/>
      <c r="B49" s="141" t="s">
        <v>361</v>
      </c>
      <c r="C49" s="198" t="s">
        <v>254</v>
      </c>
      <c r="D49" s="199"/>
      <c r="E49" s="59"/>
      <c r="F49" s="100"/>
      <c r="G49" s="144" t="s">
        <v>626</v>
      </c>
      <c r="H49" s="25"/>
      <c r="I49" s="119"/>
      <c r="J49" s="153"/>
      <c r="K49" s="153"/>
      <c r="L49" s="153"/>
      <c r="M49" s="153"/>
      <c r="N49" s="119"/>
      <c r="O49" s="119"/>
      <c r="P49" s="120">
        <f t="shared" si="0"/>
        <v>0</v>
      </c>
      <c r="Q49" s="14"/>
      <c r="R49" s="11"/>
    </row>
    <row r="50" spans="1:18" s="13" customFormat="1" ht="11.25" customHeight="1" x14ac:dyDescent="0.2">
      <c r="A50" s="44"/>
      <c r="B50" s="91" t="s">
        <v>363</v>
      </c>
      <c r="C50" s="200" t="s">
        <v>260</v>
      </c>
      <c r="D50" s="201"/>
      <c r="E50" s="59"/>
      <c r="F50" s="100"/>
      <c r="G50" s="144" t="s">
        <v>627</v>
      </c>
      <c r="H50" s="25"/>
      <c r="I50" s="119"/>
      <c r="J50" s="153"/>
      <c r="K50" s="153"/>
      <c r="L50" s="153"/>
      <c r="M50" s="153"/>
      <c r="N50" s="119"/>
      <c r="O50" s="119"/>
      <c r="P50" s="120">
        <f t="shared" si="0"/>
        <v>0</v>
      </c>
      <c r="Q50" s="14"/>
      <c r="R50" s="11"/>
    </row>
    <row r="51" spans="1:18" s="13" customFormat="1" ht="11.25" customHeight="1" x14ac:dyDescent="0.2">
      <c r="A51" s="53" t="s">
        <v>245</v>
      </c>
      <c r="B51" s="54" t="s">
        <v>310</v>
      </c>
      <c r="C51" s="54"/>
      <c r="D51" s="35"/>
      <c r="E51" s="35"/>
      <c r="F51" s="29"/>
      <c r="G51" s="144" t="s">
        <v>628</v>
      </c>
      <c r="H51" s="25"/>
      <c r="I51" s="119"/>
      <c r="J51" s="153"/>
      <c r="K51" s="153"/>
      <c r="L51" s="153"/>
      <c r="M51" s="153"/>
      <c r="N51" s="119"/>
      <c r="O51" s="119"/>
      <c r="P51" s="120">
        <f t="shared" si="0"/>
        <v>0</v>
      </c>
      <c r="Q51" s="14"/>
      <c r="R51" s="11"/>
    </row>
    <row r="52" spans="1:18" s="13" customFormat="1" ht="11.25" customHeight="1" x14ac:dyDescent="0.2">
      <c r="A52" s="49" t="s">
        <v>381</v>
      </c>
      <c r="D52" s="45"/>
      <c r="E52" s="35"/>
      <c r="F52" s="29"/>
      <c r="G52" s="144" t="s">
        <v>629</v>
      </c>
      <c r="H52" s="25"/>
      <c r="I52" s="120">
        <f t="shared" ref="I52:O52" si="7">I53 + I54 + I55</f>
        <v>0</v>
      </c>
      <c r="J52" s="128">
        <f t="shared" si="7"/>
        <v>0</v>
      </c>
      <c r="K52" s="128">
        <f t="shared" si="7"/>
        <v>0</v>
      </c>
      <c r="L52" s="128">
        <f t="shared" si="7"/>
        <v>0</v>
      </c>
      <c r="M52" s="128">
        <f t="shared" si="7"/>
        <v>0</v>
      </c>
      <c r="N52" s="120">
        <f t="shared" si="7"/>
        <v>0</v>
      </c>
      <c r="O52" s="120">
        <f t="shared" si="7"/>
        <v>0</v>
      </c>
      <c r="P52" s="120">
        <f t="shared" si="0"/>
        <v>0</v>
      </c>
      <c r="Q52" s="14"/>
      <c r="R52" s="11"/>
    </row>
    <row r="53" spans="1:18" s="13" customFormat="1" ht="11.25" customHeight="1" x14ac:dyDescent="0.2">
      <c r="A53" s="44" t="s">
        <v>248</v>
      </c>
      <c r="B53" s="167" t="s">
        <v>398</v>
      </c>
      <c r="C53" s="167"/>
      <c r="D53" s="168"/>
      <c r="E53" s="36"/>
      <c r="F53" s="30"/>
      <c r="G53" s="144" t="s">
        <v>630</v>
      </c>
      <c r="H53" s="25"/>
      <c r="I53" s="119"/>
      <c r="J53" s="153"/>
      <c r="K53" s="153"/>
      <c r="L53" s="153"/>
      <c r="M53" s="153"/>
      <c r="N53" s="119"/>
      <c r="O53" s="119"/>
      <c r="P53" s="120">
        <f t="shared" si="0"/>
        <v>0</v>
      </c>
      <c r="Q53" s="14"/>
      <c r="R53" s="11"/>
    </row>
    <row r="54" spans="1:18" s="13" customFormat="1" ht="11.25" customHeight="1" x14ac:dyDescent="0.2">
      <c r="A54" s="61" t="s">
        <v>250</v>
      </c>
      <c r="B54" s="13" t="s">
        <v>382</v>
      </c>
      <c r="D54" s="45"/>
      <c r="E54" s="35"/>
      <c r="F54" s="29"/>
      <c r="G54" s="144" t="s">
        <v>631</v>
      </c>
      <c r="H54" s="25"/>
      <c r="I54" s="119"/>
      <c r="J54" s="153"/>
      <c r="K54" s="153"/>
      <c r="L54" s="153"/>
      <c r="M54" s="153"/>
      <c r="N54" s="119"/>
      <c r="O54" s="119"/>
      <c r="P54" s="120">
        <f t="shared" si="0"/>
        <v>0</v>
      </c>
      <c r="Q54" s="14"/>
      <c r="R54" s="11"/>
    </row>
    <row r="55" spans="1:18" s="71" customFormat="1" ht="11.25" customHeight="1" x14ac:dyDescent="0.2">
      <c r="A55" s="75" t="s">
        <v>253</v>
      </c>
      <c r="B55" s="62" t="s">
        <v>383</v>
      </c>
      <c r="C55" s="62"/>
      <c r="D55" s="73"/>
      <c r="E55" s="73"/>
      <c r="F55" s="74"/>
      <c r="G55" s="144" t="s">
        <v>632</v>
      </c>
      <c r="H55" s="66"/>
      <c r="I55" s="119"/>
      <c r="J55" s="153"/>
      <c r="K55" s="153"/>
      <c r="L55" s="153"/>
      <c r="M55" s="153"/>
      <c r="N55" s="119"/>
      <c r="O55" s="119"/>
      <c r="P55" s="120">
        <f t="shared" si="0"/>
        <v>0</v>
      </c>
      <c r="Q55" s="10"/>
      <c r="R55" s="10"/>
    </row>
    <row r="56" spans="1:18" s="13" customFormat="1" ht="35.1" customHeight="1" x14ac:dyDescent="0.2">
      <c r="A56" s="193" t="s">
        <v>384</v>
      </c>
      <c r="B56" s="194"/>
      <c r="C56" s="194"/>
      <c r="D56" s="195"/>
      <c r="E56" s="4"/>
      <c r="F56" s="101"/>
      <c r="G56" s="144" t="s">
        <v>633</v>
      </c>
      <c r="H56" s="25"/>
      <c r="I56" s="120">
        <f>I14 + I15 - I37 + I52</f>
        <v>0</v>
      </c>
      <c r="J56" s="120">
        <f t="shared" ref="J56:O56" si="8">J14 + J15 - J37 + J52</f>
        <v>0</v>
      </c>
      <c r="K56" s="120">
        <f t="shared" si="8"/>
        <v>0</v>
      </c>
      <c r="L56" s="128">
        <f t="shared" si="8"/>
        <v>0</v>
      </c>
      <c r="M56" s="128">
        <f t="shared" si="8"/>
        <v>0</v>
      </c>
      <c r="N56" s="120">
        <f t="shared" si="8"/>
        <v>0</v>
      </c>
      <c r="O56" s="120">
        <f t="shared" si="8"/>
        <v>0</v>
      </c>
      <c r="P56" s="120">
        <f t="shared" si="0"/>
        <v>0</v>
      </c>
      <c r="Q56" s="14"/>
      <c r="R56" s="12"/>
    </row>
    <row r="57" spans="1:18" s="13" customFormat="1" ht="24" customHeight="1" x14ac:dyDescent="0.2">
      <c r="A57" s="190" t="s">
        <v>385</v>
      </c>
      <c r="B57" s="191"/>
      <c r="C57" s="191"/>
      <c r="D57" s="192"/>
      <c r="E57" s="4"/>
      <c r="F57" s="101"/>
      <c r="G57" s="144" t="s">
        <v>634</v>
      </c>
      <c r="H57" s="25"/>
      <c r="I57" s="128">
        <f>I58 + I59 + I60</f>
        <v>0</v>
      </c>
      <c r="J57" s="128">
        <f t="shared" ref="J57:O57" si="9">J58 + J59 + J60</f>
        <v>0</v>
      </c>
      <c r="K57" s="128">
        <f t="shared" si="9"/>
        <v>0</v>
      </c>
      <c r="L57" s="128"/>
      <c r="M57" s="128"/>
      <c r="N57" s="120">
        <f t="shared" si="9"/>
        <v>0</v>
      </c>
      <c r="O57" s="120">
        <f t="shared" si="9"/>
        <v>0</v>
      </c>
      <c r="P57" s="128">
        <f t="shared" si="0"/>
        <v>0</v>
      </c>
      <c r="Q57" s="14"/>
    </row>
    <row r="58" spans="1:18" s="71" customFormat="1" ht="11.25" customHeight="1" x14ac:dyDescent="0.2">
      <c r="A58" s="61" t="s">
        <v>257</v>
      </c>
      <c r="B58" s="107" t="s">
        <v>399</v>
      </c>
      <c r="C58" s="108"/>
      <c r="D58" s="109"/>
      <c r="E58" s="110"/>
      <c r="F58" s="111"/>
      <c r="G58" s="144" t="s">
        <v>635</v>
      </c>
      <c r="H58" s="66"/>
      <c r="I58" s="153"/>
      <c r="J58" s="153"/>
      <c r="K58" s="153"/>
      <c r="L58" s="128"/>
      <c r="M58" s="128"/>
      <c r="N58" s="119"/>
      <c r="O58" s="119"/>
      <c r="P58" s="128">
        <f t="shared" si="0"/>
        <v>0</v>
      </c>
      <c r="Q58" s="10"/>
    </row>
    <row r="59" spans="1:18" s="71" customFormat="1" ht="11.25" customHeight="1" x14ac:dyDescent="0.2">
      <c r="A59" s="61" t="s">
        <v>259</v>
      </c>
      <c r="B59" s="112" t="s">
        <v>400</v>
      </c>
      <c r="C59" s="112"/>
      <c r="D59" s="113"/>
      <c r="E59" s="113"/>
      <c r="F59" s="114"/>
      <c r="G59" s="144" t="s">
        <v>636</v>
      </c>
      <c r="H59" s="66"/>
      <c r="I59" s="153"/>
      <c r="J59" s="153"/>
      <c r="K59" s="153"/>
      <c r="L59" s="128"/>
      <c r="M59" s="128"/>
      <c r="N59" s="119"/>
      <c r="O59" s="119"/>
      <c r="P59" s="128">
        <f t="shared" si="0"/>
        <v>0</v>
      </c>
      <c r="Q59" s="10"/>
    </row>
    <row r="60" spans="1:18" s="71" customFormat="1" ht="11.25" customHeight="1" x14ac:dyDescent="0.2">
      <c r="A60" s="115" t="s">
        <v>262</v>
      </c>
      <c r="B60" s="112" t="s">
        <v>401</v>
      </c>
      <c r="C60" s="112"/>
      <c r="D60" s="113"/>
      <c r="E60" s="113"/>
      <c r="F60" s="114"/>
      <c r="G60" s="144" t="s">
        <v>637</v>
      </c>
      <c r="H60" s="66"/>
      <c r="I60" s="153"/>
      <c r="J60" s="153"/>
      <c r="K60" s="153"/>
      <c r="L60" s="128"/>
      <c r="M60" s="128"/>
      <c r="N60" s="119"/>
      <c r="O60" s="119"/>
      <c r="P60" s="128">
        <f t="shared" si="0"/>
        <v>0</v>
      </c>
      <c r="Q60" s="10"/>
    </row>
    <row r="61" spans="1:18" s="13" customFormat="1" ht="11.25" customHeight="1" x14ac:dyDescent="0.2">
      <c r="A61" s="190" t="s">
        <v>402</v>
      </c>
      <c r="B61" s="191"/>
      <c r="C61" s="191"/>
      <c r="D61" s="192"/>
      <c r="E61" s="4"/>
      <c r="F61" s="101"/>
      <c r="G61" s="144" t="s">
        <v>638</v>
      </c>
      <c r="H61" s="68"/>
      <c r="I61" s="120">
        <f t="shared" ref="I61:O61" si="10">I56 + I57</f>
        <v>0</v>
      </c>
      <c r="J61" s="120">
        <f t="shared" si="10"/>
        <v>0</v>
      </c>
      <c r="K61" s="120">
        <f t="shared" si="10"/>
        <v>0</v>
      </c>
      <c r="L61" s="128">
        <f t="shared" si="10"/>
        <v>0</v>
      </c>
      <c r="M61" s="128">
        <f t="shared" si="10"/>
        <v>0</v>
      </c>
      <c r="N61" s="120">
        <f t="shared" si="10"/>
        <v>0</v>
      </c>
      <c r="O61" s="120">
        <f t="shared" si="10"/>
        <v>0</v>
      </c>
      <c r="P61" s="120">
        <f t="shared" si="0"/>
        <v>0</v>
      </c>
      <c r="Q61" s="14"/>
      <c r="R61" s="12"/>
    </row>
    <row r="62" spans="1:18" s="71" customFormat="1" ht="11.25" customHeight="1" x14ac:dyDescent="0.2">
      <c r="A62" s="75" t="s">
        <v>303</v>
      </c>
      <c r="B62" s="196" t="s">
        <v>386</v>
      </c>
      <c r="C62" s="196"/>
      <c r="D62" s="197"/>
      <c r="E62" s="84"/>
      <c r="F62" s="85"/>
      <c r="G62" s="144" t="s">
        <v>639</v>
      </c>
      <c r="H62" s="66"/>
      <c r="I62" s="119"/>
      <c r="J62" s="119"/>
      <c r="K62" s="119"/>
      <c r="L62" s="153"/>
      <c r="M62" s="153"/>
      <c r="N62" s="119"/>
      <c r="O62" s="119"/>
      <c r="P62" s="120">
        <f t="shared" si="0"/>
        <v>0</v>
      </c>
      <c r="Q62" s="10"/>
    </row>
    <row r="63" spans="1:18" s="13" customFormat="1" ht="11.25" customHeight="1" x14ac:dyDescent="0.2">
      <c r="A63" s="190" t="s">
        <v>403</v>
      </c>
      <c r="B63" s="191"/>
      <c r="C63" s="191"/>
      <c r="D63" s="192"/>
      <c r="E63" s="4"/>
      <c r="F63" s="101"/>
      <c r="G63" s="144" t="s">
        <v>640</v>
      </c>
      <c r="H63" s="68"/>
      <c r="I63" s="120">
        <f t="shared" ref="I63:O63" si="11">I61 - I62</f>
        <v>0</v>
      </c>
      <c r="J63" s="120">
        <f t="shared" si="11"/>
        <v>0</v>
      </c>
      <c r="K63" s="120">
        <f t="shared" si="11"/>
        <v>0</v>
      </c>
      <c r="L63" s="128">
        <f t="shared" si="11"/>
        <v>0</v>
      </c>
      <c r="M63" s="128">
        <f t="shared" si="11"/>
        <v>0</v>
      </c>
      <c r="N63" s="120">
        <f t="shared" si="11"/>
        <v>0</v>
      </c>
      <c r="O63" s="120">
        <f t="shared" si="11"/>
        <v>0</v>
      </c>
      <c r="P63" s="120">
        <f t="shared" si="0"/>
        <v>0</v>
      </c>
      <c r="Q63" s="14"/>
      <c r="R63" s="12"/>
    </row>
    <row r="64" spans="1:18" s="71" customFormat="1" ht="11.25" customHeight="1" x14ac:dyDescent="0.2">
      <c r="A64" s="75" t="s">
        <v>305</v>
      </c>
      <c r="B64" s="71" t="s">
        <v>387</v>
      </c>
      <c r="C64" s="108"/>
      <c r="D64" s="109"/>
      <c r="E64" s="110"/>
      <c r="F64" s="111"/>
      <c r="G64" s="144" t="s">
        <v>641</v>
      </c>
      <c r="H64" s="66"/>
      <c r="I64" s="153"/>
      <c r="J64" s="153"/>
      <c r="K64" s="153"/>
      <c r="L64" s="153"/>
      <c r="M64" s="153"/>
      <c r="N64" s="119"/>
      <c r="O64" s="119"/>
      <c r="P64" s="128">
        <f t="shared" si="0"/>
        <v>0</v>
      </c>
      <c r="Q64" s="10"/>
    </row>
    <row r="65" spans="1:18" s="13" customFormat="1" ht="11.25" customHeight="1" x14ac:dyDescent="0.2">
      <c r="A65" s="58" t="s">
        <v>388</v>
      </c>
      <c r="B65" s="54"/>
      <c r="C65" s="54"/>
      <c r="D65" s="35"/>
      <c r="E65" s="35"/>
      <c r="F65" s="29"/>
      <c r="G65" s="144" t="s">
        <v>642</v>
      </c>
      <c r="H65" s="68"/>
      <c r="I65" s="120">
        <f t="shared" ref="I65:O65" si="12">I63-I64</f>
        <v>0</v>
      </c>
      <c r="J65" s="120">
        <f t="shared" si="12"/>
        <v>0</v>
      </c>
      <c r="K65" s="120">
        <f t="shared" si="12"/>
        <v>0</v>
      </c>
      <c r="L65" s="128">
        <f t="shared" si="12"/>
        <v>0</v>
      </c>
      <c r="M65" s="128">
        <f t="shared" si="12"/>
        <v>0</v>
      </c>
      <c r="N65" s="120">
        <f t="shared" si="12"/>
        <v>0</v>
      </c>
      <c r="O65" s="120">
        <f t="shared" si="12"/>
        <v>0</v>
      </c>
      <c r="P65" s="120">
        <f t="shared" si="0"/>
        <v>0</v>
      </c>
      <c r="Q65" s="14"/>
      <c r="R65" s="12"/>
    </row>
    <row r="66" spans="1:18" ht="11.25" customHeight="1" x14ac:dyDescent="0.2">
      <c r="G66" s="92" t="s">
        <v>389</v>
      </c>
      <c r="H66" s="93"/>
      <c r="I66" s="5"/>
      <c r="J66" s="5"/>
      <c r="K66" s="5"/>
      <c r="L66" s="5"/>
      <c r="M66" s="5"/>
      <c r="N66" s="5"/>
      <c r="O66" s="5"/>
      <c r="P66" s="5"/>
    </row>
    <row r="67" spans="1:18" ht="11.25" customHeight="1" x14ac:dyDescent="0.2">
      <c r="A67" s="94"/>
    </row>
    <row r="68" spans="1:18" ht="11.25" customHeight="1" x14ac:dyDescent="0.2">
      <c r="A68" s="94"/>
    </row>
    <row r="69" spans="1:18" ht="11.25" customHeight="1" x14ac:dyDescent="0.2">
      <c r="A69" s="94"/>
    </row>
    <row r="70" spans="1:18" ht="11.25" customHeight="1" x14ac:dyDescent="0.2">
      <c r="A70" s="94"/>
      <c r="B70" s="12"/>
      <c r="C70" s="189"/>
      <c r="D70" s="189"/>
      <c r="E70" s="189"/>
      <c r="F70" s="189"/>
      <c r="G70" s="189"/>
      <c r="H70" s="82"/>
    </row>
    <row r="71" spans="1:18" ht="11.25" customHeight="1" x14ac:dyDescent="0.2">
      <c r="A71" s="94"/>
      <c r="B71" s="12"/>
      <c r="C71" s="189"/>
      <c r="D71" s="189"/>
      <c r="E71" s="82"/>
      <c r="F71" s="82"/>
      <c r="G71" s="95"/>
      <c r="H71" s="95"/>
    </row>
    <row r="72" spans="1:18" ht="11.25" customHeight="1" x14ac:dyDescent="0.2">
      <c r="A72" s="94"/>
    </row>
    <row r="73" spans="1:18" ht="11.25" customHeight="1" x14ac:dyDescent="0.2">
      <c r="A73" s="94"/>
      <c r="B73" s="96"/>
    </row>
    <row r="74" spans="1:18" ht="11.25" customHeight="1" x14ac:dyDescent="0.2">
      <c r="A74" s="94"/>
      <c r="B74" s="96"/>
    </row>
    <row r="76" spans="1:18" ht="11.25" customHeight="1" x14ac:dyDescent="0.2">
      <c r="A76" s="94"/>
    </row>
    <row r="77" spans="1:18" ht="11.25" customHeight="1" x14ac:dyDescent="0.2">
      <c r="A77" s="94"/>
    </row>
    <row r="78" spans="1:18" ht="11.25" customHeight="1" x14ac:dyDescent="0.2">
      <c r="A78" s="94"/>
    </row>
    <row r="79" spans="1:18" ht="11.25" customHeight="1" x14ac:dyDescent="0.2">
      <c r="A79" s="94"/>
    </row>
    <row r="80" spans="1:18" ht="11.25" customHeight="1" x14ac:dyDescent="0.2">
      <c r="B80" s="96"/>
    </row>
    <row r="82" spans="1:11" ht="11.25" customHeight="1" x14ac:dyDescent="0.2">
      <c r="A82" s="94"/>
    </row>
    <row r="83" spans="1:11" ht="11.25" customHeight="1" x14ac:dyDescent="0.2">
      <c r="B83" s="96"/>
      <c r="C83" s="96"/>
    </row>
    <row r="84" spans="1:11" ht="11.25" customHeight="1" x14ac:dyDescent="0.2">
      <c r="B84" s="189"/>
      <c r="C84" s="189"/>
      <c r="D84" s="189"/>
      <c r="E84" s="82"/>
      <c r="F84" s="82"/>
    </row>
    <row r="85" spans="1:11" ht="11.25" customHeight="1" x14ac:dyDescent="0.2">
      <c r="A85" s="94"/>
    </row>
    <row r="86" spans="1:11" ht="11.25" customHeight="1" x14ac:dyDescent="0.2">
      <c r="B86" s="96"/>
      <c r="C86" s="96"/>
    </row>
    <row r="88" spans="1:11" ht="11.25" customHeight="1" x14ac:dyDescent="0.2">
      <c r="A88" s="97"/>
    </row>
    <row r="89" spans="1:11" ht="11.25" customHeight="1" x14ac:dyDescent="0.2">
      <c r="A89" s="97"/>
    </row>
    <row r="90" spans="1:11" ht="11.25" customHeight="1" x14ac:dyDescent="0.2">
      <c r="A90" s="94"/>
    </row>
    <row r="94" spans="1:11" ht="11.25" customHeight="1" x14ac:dyDescent="0.2">
      <c r="A94" s="12"/>
      <c r="B94" s="189"/>
      <c r="C94" s="189"/>
      <c r="D94" s="189"/>
      <c r="E94" s="82"/>
      <c r="F94" s="82"/>
      <c r="K94" s="19"/>
    </row>
    <row r="95" spans="1:11" ht="11.25" customHeight="1" x14ac:dyDescent="0.2">
      <c r="A95" s="94"/>
      <c r="K95" s="19"/>
    </row>
    <row r="100" spans="1:11" ht="11.25" customHeight="1" x14ac:dyDescent="0.2">
      <c r="A100" s="94"/>
      <c r="C100" s="82"/>
      <c r="D100" s="82"/>
      <c r="E100" s="82"/>
      <c r="F100" s="82"/>
      <c r="K100" s="19"/>
    </row>
    <row r="101" spans="1:11" ht="11.25" customHeight="1" x14ac:dyDescent="0.2">
      <c r="A101" s="94"/>
      <c r="K101" s="19"/>
    </row>
    <row r="102" spans="1:11" ht="11.25" customHeight="1" x14ac:dyDescent="0.2">
      <c r="A102" s="94"/>
      <c r="B102" s="96"/>
      <c r="K102" s="19"/>
    </row>
    <row r="103" spans="1:11" ht="11.25" customHeight="1" x14ac:dyDescent="0.2">
      <c r="A103" s="94"/>
      <c r="K103" s="19"/>
    </row>
    <row r="104" spans="1:11" ht="11.25" customHeight="1" x14ac:dyDescent="0.2">
      <c r="A104" s="94"/>
    </row>
    <row r="105" spans="1:11" ht="11.25" customHeight="1" x14ac:dyDescent="0.2">
      <c r="A105" s="94"/>
      <c r="B105" s="96"/>
    </row>
    <row r="106" spans="1:11" ht="11.25" customHeight="1" x14ac:dyDescent="0.2">
      <c r="A106" s="94"/>
    </row>
    <row r="107" spans="1:11" ht="11.25" customHeight="1" x14ac:dyDescent="0.2">
      <c r="A107" s="94"/>
    </row>
    <row r="108" spans="1:11" ht="11.25" customHeight="1" x14ac:dyDescent="0.2">
      <c r="A108" s="94"/>
    </row>
    <row r="116" spans="1:6" ht="11.25" customHeight="1" x14ac:dyDescent="0.2">
      <c r="A116" s="94"/>
    </row>
    <row r="117" spans="1:6" ht="11.25" customHeight="1" x14ac:dyDescent="0.2">
      <c r="A117" s="94"/>
    </row>
    <row r="118" spans="1:6" ht="11.25" customHeight="1" x14ac:dyDescent="0.2">
      <c r="A118" s="94"/>
    </row>
    <row r="119" spans="1:6" ht="11.25" customHeight="1" x14ac:dyDescent="0.2">
      <c r="A119" s="94"/>
    </row>
    <row r="120" spans="1:6" ht="11.25" customHeight="1" x14ac:dyDescent="0.2">
      <c r="A120" s="94"/>
    </row>
    <row r="121" spans="1:6" ht="11.25" customHeight="1" x14ac:dyDescent="0.2">
      <c r="A121" s="12"/>
    </row>
    <row r="122" spans="1:6" ht="11.25" customHeight="1" x14ac:dyDescent="0.2">
      <c r="A122" s="12"/>
    </row>
    <row r="123" spans="1:6" ht="11.25" customHeight="1" x14ac:dyDescent="0.2">
      <c r="A123" s="12"/>
      <c r="B123" s="189"/>
      <c r="C123" s="189"/>
      <c r="D123" s="189"/>
      <c r="E123" s="82"/>
      <c r="F123" s="82"/>
    </row>
    <row r="124" spans="1:6" ht="11.25" customHeight="1" x14ac:dyDescent="0.2">
      <c r="A124" s="94"/>
      <c r="C124" s="82"/>
      <c r="D124" s="82"/>
      <c r="E124" s="82"/>
      <c r="F124" s="82"/>
    </row>
    <row r="125" spans="1:6" ht="11.25" customHeight="1" x14ac:dyDescent="0.2">
      <c r="A125" s="12"/>
      <c r="B125" s="189"/>
      <c r="C125" s="189"/>
      <c r="D125" s="189"/>
      <c r="E125" s="82"/>
      <c r="F125" s="82"/>
    </row>
    <row r="126" spans="1:6" ht="11.25" customHeight="1" x14ac:dyDescent="0.2">
      <c r="A126" s="94"/>
    </row>
    <row r="127" spans="1:6" ht="11.25" customHeight="1" x14ac:dyDescent="0.2">
      <c r="A127" s="94"/>
      <c r="B127" s="189"/>
      <c r="C127" s="189"/>
      <c r="D127" s="189"/>
      <c r="E127" s="82"/>
      <c r="F127" s="82"/>
    </row>
    <row r="128" spans="1:6" ht="11.25" customHeight="1" x14ac:dyDescent="0.2">
      <c r="A128" s="94"/>
    </row>
    <row r="129" spans="1:1" ht="11.25" customHeight="1" x14ac:dyDescent="0.2">
      <c r="A129" s="94"/>
    </row>
    <row r="130" spans="1:1" ht="11.25" customHeight="1" x14ac:dyDescent="0.2">
      <c r="A130" s="97"/>
    </row>
    <row r="131" spans="1:1" ht="11.25" customHeight="1" x14ac:dyDescent="0.2">
      <c r="A131" s="97"/>
    </row>
    <row r="132" spans="1:1" ht="11.25" customHeight="1" x14ac:dyDescent="0.2">
      <c r="A132" s="94"/>
    </row>
    <row r="133" spans="1:1" ht="11.25" customHeight="1" x14ac:dyDescent="0.2">
      <c r="A133" s="94"/>
    </row>
    <row r="134" spans="1:1" ht="11.25" customHeight="1" x14ac:dyDescent="0.2">
      <c r="A134" s="94"/>
    </row>
    <row r="135" spans="1:1" ht="11.25" customHeight="1" x14ac:dyDescent="0.2">
      <c r="A135" s="94"/>
    </row>
    <row r="136" spans="1:1" ht="11.25" customHeight="1" x14ac:dyDescent="0.2">
      <c r="A136" s="94"/>
    </row>
    <row r="137" spans="1:1" ht="11.25" customHeight="1" x14ac:dyDescent="0.2">
      <c r="A137" s="94"/>
    </row>
    <row r="138" spans="1:1" ht="11.25" customHeight="1" x14ac:dyDescent="0.2">
      <c r="A138" s="94"/>
    </row>
    <row r="139" spans="1:1" ht="11.25" customHeight="1" x14ac:dyDescent="0.2">
      <c r="A139" s="94"/>
    </row>
    <row r="140" spans="1:1" ht="11.25" customHeight="1" x14ac:dyDescent="0.2">
      <c r="A140" s="94"/>
    </row>
    <row r="141" spans="1:1" ht="11.25" customHeight="1" x14ac:dyDescent="0.2">
      <c r="A141" s="97"/>
    </row>
    <row r="143" spans="1:1" ht="11.25" customHeight="1" x14ac:dyDescent="0.2">
      <c r="A143" s="97"/>
    </row>
    <row r="144" spans="1:1" ht="11.25" customHeight="1" x14ac:dyDescent="0.2">
      <c r="A144" s="97"/>
    </row>
    <row r="145" spans="1:1" ht="11.25" customHeight="1" x14ac:dyDescent="0.2">
      <c r="A145" s="97"/>
    </row>
    <row r="146" spans="1:1" ht="11.25" customHeight="1" x14ac:dyDescent="0.2">
      <c r="A146" s="94"/>
    </row>
    <row r="147" spans="1:1" ht="11.25" customHeight="1" x14ac:dyDescent="0.2">
      <c r="A147" s="94"/>
    </row>
    <row r="148" spans="1:1" ht="11.25" customHeight="1" x14ac:dyDescent="0.2">
      <c r="A148" s="94"/>
    </row>
    <row r="149" spans="1:1" ht="11.25" customHeight="1" x14ac:dyDescent="0.2">
      <c r="A149" s="94"/>
    </row>
    <row r="150" spans="1:1" ht="11.25" customHeight="1" x14ac:dyDescent="0.2">
      <c r="A150" s="94"/>
    </row>
    <row r="151" spans="1:1" ht="11.25" customHeight="1" x14ac:dyDescent="0.2">
      <c r="A151" s="94"/>
    </row>
    <row r="152" spans="1:1" ht="11.25" customHeight="1" x14ac:dyDescent="0.2">
      <c r="A152" s="94"/>
    </row>
    <row r="153" spans="1:1" ht="11.25" customHeight="1" x14ac:dyDescent="0.2">
      <c r="A153" s="94"/>
    </row>
    <row r="154" spans="1:1" ht="11.25" customHeight="1" x14ac:dyDescent="0.2">
      <c r="A154" s="94"/>
    </row>
    <row r="155" spans="1:1" ht="11.25" customHeight="1" x14ac:dyDescent="0.2">
      <c r="A155" s="94"/>
    </row>
    <row r="156" spans="1:1" ht="11.25" customHeight="1" x14ac:dyDescent="0.2">
      <c r="A156" s="94"/>
    </row>
    <row r="157" spans="1:1" ht="11.25" customHeight="1" x14ac:dyDescent="0.2">
      <c r="A157" s="94"/>
    </row>
    <row r="158" spans="1:1" ht="11.25" customHeight="1" x14ac:dyDescent="0.2">
      <c r="A158" s="94"/>
    </row>
    <row r="159" spans="1:1" ht="11.25" customHeight="1" x14ac:dyDescent="0.2">
      <c r="A159" s="94"/>
    </row>
    <row r="160" spans="1:1" ht="11.25" customHeight="1" x14ac:dyDescent="0.2">
      <c r="A160" s="94"/>
    </row>
    <row r="161" spans="1:12" ht="11.25" customHeight="1" x14ac:dyDescent="0.2">
      <c r="A161" s="94"/>
    </row>
    <row r="162" spans="1:12" ht="11.25" customHeight="1" x14ac:dyDescent="0.2">
      <c r="A162" s="97"/>
    </row>
    <row r="163" spans="1:12" ht="11.25" customHeight="1" x14ac:dyDescent="0.2">
      <c r="A163" s="97"/>
    </row>
    <row r="164" spans="1:12" ht="11.25" customHeight="1" x14ac:dyDescent="0.2">
      <c r="A164" s="97"/>
    </row>
    <row r="165" spans="1:12" ht="11.25" customHeight="1" x14ac:dyDescent="0.2">
      <c r="A165" s="97"/>
    </row>
    <row r="166" spans="1:12" ht="11.25" customHeight="1" x14ac:dyDescent="0.2">
      <c r="A166" s="97"/>
    </row>
    <row r="167" spans="1:12" ht="11.25" customHeight="1" x14ac:dyDescent="0.2">
      <c r="A167" s="97"/>
    </row>
    <row r="168" spans="1:12" ht="11.25" customHeight="1" x14ac:dyDescent="0.2">
      <c r="A168" s="97"/>
    </row>
    <row r="170" spans="1:12" ht="11.25" customHeight="1" x14ac:dyDescent="0.2">
      <c r="A170" s="97"/>
    </row>
    <row r="171" spans="1:12" ht="11.25" customHeight="1" x14ac:dyDescent="0.2">
      <c r="A171" s="94"/>
      <c r="K171" s="19"/>
      <c r="L171" s="19"/>
    </row>
    <row r="172" spans="1:12" ht="11.25" customHeight="1" x14ac:dyDescent="0.2">
      <c r="A172" s="94"/>
      <c r="K172" s="19"/>
    </row>
    <row r="173" spans="1:12" ht="11.25" customHeight="1" x14ac:dyDescent="0.2">
      <c r="A173" s="97"/>
    </row>
    <row r="174" spans="1:12" ht="11.25" customHeight="1" x14ac:dyDescent="0.2">
      <c r="A174" s="94"/>
    </row>
    <row r="175" spans="1:12" ht="11.25" customHeight="1" x14ac:dyDescent="0.2">
      <c r="A175" s="97"/>
    </row>
    <row r="176" spans="1:12" ht="11.25" customHeight="1" x14ac:dyDescent="0.2">
      <c r="A176" s="97"/>
    </row>
    <row r="177" spans="1:6" ht="11.25" customHeight="1" x14ac:dyDescent="0.2">
      <c r="A177" s="94"/>
    </row>
    <row r="178" spans="1:6" ht="11.25" customHeight="1" x14ac:dyDescent="0.2">
      <c r="A178" s="94"/>
    </row>
    <row r="179" spans="1:6" ht="11.25" customHeight="1" x14ac:dyDescent="0.2">
      <c r="A179" s="94"/>
    </row>
    <row r="180" spans="1:6" ht="11.25" customHeight="1" x14ac:dyDescent="0.2">
      <c r="A180" s="12"/>
    </row>
    <row r="181" spans="1:6" ht="11.25" customHeight="1" x14ac:dyDescent="0.2">
      <c r="A181" s="12"/>
      <c r="B181" s="189"/>
      <c r="C181" s="189"/>
      <c r="D181" s="189"/>
      <c r="E181" s="82"/>
      <c r="F181" s="82"/>
    </row>
    <row r="182" spans="1:6" ht="11.25" customHeight="1" x14ac:dyDescent="0.2">
      <c r="A182" s="94"/>
    </row>
    <row r="183" spans="1:6" ht="11.25" customHeight="1" x14ac:dyDescent="0.2">
      <c r="A183" s="94"/>
    </row>
    <row r="184" spans="1:6" ht="11.25" customHeight="1" x14ac:dyDescent="0.2">
      <c r="A184" s="12"/>
    </row>
    <row r="185" spans="1:6" ht="11.25" customHeight="1" x14ac:dyDescent="0.2">
      <c r="A185" s="12"/>
      <c r="B185" s="189"/>
      <c r="C185" s="189"/>
      <c r="D185" s="189"/>
      <c r="E185" s="82"/>
      <c r="F185" s="82"/>
    </row>
    <row r="186" spans="1:6" ht="11.25" customHeight="1" x14ac:dyDescent="0.2">
      <c r="A186" s="12"/>
      <c r="B186" s="189"/>
      <c r="C186" s="189"/>
      <c r="D186" s="189"/>
      <c r="E186" s="82"/>
      <c r="F186" s="82"/>
    </row>
    <row r="187" spans="1:6" ht="11.25" customHeight="1" x14ac:dyDescent="0.2">
      <c r="A187" s="94"/>
    </row>
    <row r="188" spans="1:6" ht="11.25" customHeight="1" x14ac:dyDescent="0.2">
      <c r="A188" s="94"/>
    </row>
    <row r="189" spans="1:6" ht="11.25" customHeight="1" x14ac:dyDescent="0.2">
      <c r="A189" s="12"/>
    </row>
    <row r="190" spans="1:6" ht="11.25" customHeight="1" x14ac:dyDescent="0.2">
      <c r="A190" s="12"/>
      <c r="B190" s="189"/>
      <c r="C190" s="189"/>
      <c r="D190" s="189"/>
      <c r="E190" s="82"/>
      <c r="F190" s="82"/>
    </row>
    <row r="191" spans="1:6" ht="11.25" customHeight="1" x14ac:dyDescent="0.2">
      <c r="A191" s="94"/>
    </row>
    <row r="192" spans="1:6" ht="11.25" customHeight="1" x14ac:dyDescent="0.2">
      <c r="A192" s="94"/>
    </row>
    <row r="193" spans="1:1" ht="11.25" customHeight="1" x14ac:dyDescent="0.2">
      <c r="A193" s="94"/>
    </row>
    <row r="194" spans="1:1" ht="11.25" customHeight="1" x14ac:dyDescent="0.2">
      <c r="A194" s="94"/>
    </row>
    <row r="195" spans="1:1" ht="11.25" customHeight="1" x14ac:dyDescent="0.2">
      <c r="A195" s="97"/>
    </row>
    <row r="196" spans="1:1" ht="11.25" customHeight="1" x14ac:dyDescent="0.2">
      <c r="A196" s="94"/>
    </row>
    <row r="197" spans="1:1" ht="11.25" customHeight="1" x14ac:dyDescent="0.2">
      <c r="A197" s="94"/>
    </row>
    <row r="198" spans="1:1" ht="11.25" customHeight="1" x14ac:dyDescent="0.2">
      <c r="A198" s="94"/>
    </row>
    <row r="199" spans="1:1" ht="11.25" customHeight="1" x14ac:dyDescent="0.2">
      <c r="A199" s="94"/>
    </row>
    <row r="200" spans="1:1" ht="11.25" customHeight="1" x14ac:dyDescent="0.2">
      <c r="A200" s="94"/>
    </row>
    <row r="201" spans="1:1" ht="11.25" customHeight="1" x14ac:dyDescent="0.2">
      <c r="A201" s="94"/>
    </row>
    <row r="202" spans="1:1" ht="11.25" customHeight="1" x14ac:dyDescent="0.2">
      <c r="A202" s="94"/>
    </row>
    <row r="203" spans="1:1" ht="11.25" customHeight="1" x14ac:dyDescent="0.2">
      <c r="A203" s="94"/>
    </row>
    <row r="204" spans="1:1" ht="11.25" customHeight="1" x14ac:dyDescent="0.2">
      <c r="A204" s="94"/>
    </row>
    <row r="205" spans="1:1" ht="11.25" customHeight="1" x14ac:dyDescent="0.2">
      <c r="A205" s="94"/>
    </row>
    <row r="206" spans="1:1" ht="11.25" customHeight="1" x14ac:dyDescent="0.2">
      <c r="A206" s="94"/>
    </row>
    <row r="207" spans="1:1" ht="11.25" customHeight="1" x14ac:dyDescent="0.2">
      <c r="A207" s="94"/>
    </row>
    <row r="208" spans="1:1" ht="11.25" customHeight="1" x14ac:dyDescent="0.2">
      <c r="A208" s="94"/>
    </row>
  </sheetData>
  <sheetProtection sheet="1" objects="1" scenarios="1" selectLockedCells="1"/>
  <mergeCells count="47">
    <mergeCell ref="A1:P1"/>
    <mergeCell ref="A2:P2"/>
    <mergeCell ref="A3:P3"/>
    <mergeCell ref="A4:P4"/>
    <mergeCell ref="B13:D13"/>
    <mergeCell ref="B26:D26"/>
    <mergeCell ref="B27:D27"/>
    <mergeCell ref="B29:D29"/>
    <mergeCell ref="A5:P5"/>
    <mergeCell ref="A6:P6"/>
    <mergeCell ref="A7:P7"/>
    <mergeCell ref="A8:D9"/>
    <mergeCell ref="G8:G9"/>
    <mergeCell ref="J8:K8"/>
    <mergeCell ref="L8:M8"/>
    <mergeCell ref="P8:P9"/>
    <mergeCell ref="N8:O8"/>
    <mergeCell ref="C34:D34"/>
    <mergeCell ref="C35:D35"/>
    <mergeCell ref="C44:D44"/>
    <mergeCell ref="C45:D45"/>
    <mergeCell ref="B30:D30"/>
    <mergeCell ref="B31:D31"/>
    <mergeCell ref="C32:D32"/>
    <mergeCell ref="C33:D33"/>
    <mergeCell ref="C46:D46"/>
    <mergeCell ref="C48:D48"/>
    <mergeCell ref="C49:D49"/>
    <mergeCell ref="B53:D53"/>
    <mergeCell ref="C50:D50"/>
    <mergeCell ref="C47:D47"/>
    <mergeCell ref="A63:D63"/>
    <mergeCell ref="C70:G70"/>
    <mergeCell ref="C71:D71"/>
    <mergeCell ref="B84:D84"/>
    <mergeCell ref="A56:D56"/>
    <mergeCell ref="A57:D57"/>
    <mergeCell ref="A61:D61"/>
    <mergeCell ref="B62:D62"/>
    <mergeCell ref="B181:D181"/>
    <mergeCell ref="B185:D185"/>
    <mergeCell ref="B186:D186"/>
    <mergeCell ref="B190:D190"/>
    <mergeCell ref="B94:D94"/>
    <mergeCell ref="B123:D123"/>
    <mergeCell ref="B125:D125"/>
    <mergeCell ref="B127:D127"/>
  </mergeCells>
  <phoneticPr fontId="0" type="noConversion"/>
  <dataValidations count="6">
    <dataValidation allowBlank="1" showInputMessage="1" showErrorMessage="1" sqref="I61:P61 L16:M16 I43:P43 I65:P65 I17:P17 I14:O15 P36 P11:P16 I37:P37 P44:P51 I63:P63 I56:P57 P38:P42 P18:P25"/>
    <dataValidation type="decimal" operator="greaterThanOrEqual" allowBlank="1" showInputMessage="1" showErrorMessage="1" errorTitle="Invalid Entry" error="The value you entered is not valid." sqref="I11:O13 I36:O36 I16:K16 I51:O51 I38:O42 N16:O16">
      <formula1>0</formula1>
    </dataValidation>
    <dataValidation type="decimal" operator="greaterThanOrEqual" allowBlank="1" showInputMessage="1" showErrorMessage="1" sqref="H58:IV60 H52:IV55 H62:IV62 H64:IV64 A26:F35 A62:F62 A52:F55 A58:F60 B64:F64 H26:H35 J26:IV35 I27:I35">
      <formula1>-99999999999999900</formula1>
    </dataValidation>
    <dataValidation type="decimal" operator="greaterThanOrEqual" allowBlank="1" showInputMessage="1" showErrorMessage="1" sqref="I44:K50 N44:O50 L44:M46 L48:M50">
      <formula1>0</formula1>
    </dataValidation>
    <dataValidation type="decimal" allowBlank="1" showInputMessage="1" showErrorMessage="1" sqref="L47:M47">
      <formula1>-99999999999999900000</formula1>
      <formula2>99999999999999900000</formula2>
    </dataValidation>
    <dataValidation type="decimal" allowBlank="1" showErrorMessage="1" errorTitle="Error" error="Entry Must be Decimal" sqref="I26">
      <formula1>-99999999999999900000</formula1>
      <formula2>99999999999999900000</formula2>
    </dataValidation>
  </dataValidations>
  <pageMargins left="0.25" right="0.25" top="1" bottom="0.5" header="0.5" footer="0.5"/>
  <pageSetup paperSize="9" scale="80" orientation="landscape" horizontalDpi="300" verticalDpi="300" r:id="rId1"/>
  <headerFooter alignWithMargins="0">
    <oddHeader><![CDATA[&R&"Arial,Bold"&USchedule IS&U
  &P of &N&C&"Arial,Bold"&8 NEW RURAL BANK OF SAN LEONARDO INC.  [ 04-006056 ]
 As of: June 30, 2016]]>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</sheetPr>
  <dimension ref="A1:B783"/>
  <sheetViews>
    <sheetView tabSelected="1" topLeftCell="B1" workbookViewId="0"/>
  </sheetViews>
  <sheetFormatPr defaultRowHeight="12.75" x14ac:dyDescent="0.2"/>
  <cols>
    <col min="1" max="1" customWidth="true" hidden="true" style="2" width="43.42578125" collapsed="true"/>
    <col min="2" max="16384" style="1" width="9.140625" collapsed="true"/>
  </cols>
  <sheetData>
    <row r="1" spans="1:2" x14ac:dyDescent="0.2">
      <c r="A1" s="158" t="s">
        <v>1127</v>
      </c>
    </row>
    <row r="2" spans="1:2" x14ac:dyDescent="0.2">
      <c r="A2" s="158">
        <v>4</v>
      </c>
    </row>
    <row r="3" spans="1:2" x14ac:dyDescent="0.2">
      <c r="A3" s="158">
        <v>6056</v>
      </c>
    </row>
    <row r="4" spans="1:2" x14ac:dyDescent="0.2">
      <c r="A4" s="158">
        <v>8888</v>
      </c>
    </row>
    <row r="5" spans="1:2" x14ac:dyDescent="0.2">
      <c r="A5" s="158">
        <v>5</v>
      </c>
    </row>
    <row r="6" spans="1:2" x14ac:dyDescent="0.2">
      <c r="A6" s="158">
        <v>2016</v>
      </c>
    </row>
    <row r="7" spans="1:2" x14ac:dyDescent="0.2">
      <c r="A7" s="158">
        <v>20160630</v>
      </c>
      <c r="B7" s="3"/>
    </row>
    <row r="8" spans="1:2" x14ac:dyDescent="0.2">
      <c r="A8" s="159" t="s">
        <v>404</v>
      </c>
    </row>
    <row r="9" spans="1:2" x14ac:dyDescent="0.2">
      <c r="A9" s="159" t="s">
        <v>1122</v>
      </c>
    </row>
    <row r="10" spans="1:2" x14ac:dyDescent="0.2">
      <c r="A10" s="160">
        <v>2</v>
      </c>
    </row>
    <row r="11" spans="1:2" x14ac:dyDescent="0.2">
      <c r="A11" s="159" t="s">
        <v>1101</v>
      </c>
    </row>
    <row r="12" spans="1:2" x14ac:dyDescent="0.2">
      <c r="A12" s="159"/>
    </row>
    <row r="13" spans="1:2" x14ac:dyDescent="0.2">
      <c r="A13" s="159"/>
    </row>
    <row r="14" spans="1:2" x14ac:dyDescent="0.2">
      <c r="A14" s="159"/>
    </row>
    <row r="15" spans="1:2" x14ac:dyDescent="0.2">
      <c r="A15" s="159"/>
    </row>
    <row r="16" spans="1:2" x14ac:dyDescent="0.2">
      <c r="A16" s="159"/>
    </row>
    <row r="17" spans="1:1" x14ac:dyDescent="0.2">
      <c r="A17" s="159"/>
    </row>
    <row r="18" spans="1:1" x14ac:dyDescent="0.2">
      <c r="A18" s="159"/>
    </row>
    <row r="19" spans="1:1" x14ac:dyDescent="0.2">
      <c r="A19" s="159"/>
    </row>
    <row r="20" spans="1:1" x14ac:dyDescent="0.2">
      <c r="A20" s="159">
        <v>6</v>
      </c>
    </row>
    <row r="21" spans="1:1" x14ac:dyDescent="0.2">
      <c r="A21" s="159">
        <v>2016</v>
      </c>
    </row>
    <row r="22" spans="1:1" x14ac:dyDescent="0.2">
      <c r="A22" s="159"/>
    </row>
    <row r="23" spans="1:1" x14ac:dyDescent="0.2">
      <c r="A23" s="159"/>
    </row>
    <row r="24" spans="1:1" x14ac:dyDescent="0.2">
      <c r="A24" s="159"/>
    </row>
    <row r="25" spans="1:1" x14ac:dyDescent="0.2">
      <c r="A25" s="159"/>
    </row>
    <row r="26" spans="1:1" x14ac:dyDescent="0.2">
      <c r="A26" s="159"/>
    </row>
    <row r="27" spans="1:1" x14ac:dyDescent="0.2">
      <c r="A27" s="159"/>
    </row>
    <row r="28" spans="1:1" x14ac:dyDescent="0.2">
      <c r="A28" s="159"/>
    </row>
    <row r="29" spans="1:1" x14ac:dyDescent="0.2">
      <c r="A29" s="159"/>
    </row>
    <row r="30" spans="1:1" x14ac:dyDescent="0.2">
      <c r="A30" s="159"/>
    </row>
    <row r="31" spans="1:1" x14ac:dyDescent="0.2">
      <c r="A31" s="159"/>
    </row>
    <row r="32" spans="1:1" x14ac:dyDescent="0.2">
      <c r="A32" s="159"/>
    </row>
    <row r="33" spans="1:1" x14ac:dyDescent="0.2">
      <c r="A33" s="159"/>
    </row>
    <row r="34" spans="1:1" x14ac:dyDescent="0.2">
      <c r="A34" s="159"/>
    </row>
    <row r="35" spans="1:1" x14ac:dyDescent="0.2">
      <c r="A35" s="159"/>
    </row>
    <row r="36" spans="1:1" x14ac:dyDescent="0.2">
      <c r="A36" s="159"/>
    </row>
    <row r="37" spans="1:1" x14ac:dyDescent="0.2">
      <c r="A37" s="159"/>
    </row>
    <row r="38" spans="1:1" x14ac:dyDescent="0.2">
      <c r="A38" s="159"/>
    </row>
    <row r="39" spans="1:1" x14ac:dyDescent="0.2">
      <c r="A39" s="159"/>
    </row>
    <row r="40" spans="1:1" x14ac:dyDescent="0.2">
      <c r="A40" s="159"/>
    </row>
    <row r="41" spans="1:1" x14ac:dyDescent="0.2">
      <c r="A41" s="159"/>
    </row>
    <row r="42" spans="1:1" x14ac:dyDescent="0.2">
      <c r="A42" s="159"/>
    </row>
    <row r="43" spans="1:1" x14ac:dyDescent="0.2">
      <c r="A43" s="159"/>
    </row>
    <row r="44" spans="1:1" x14ac:dyDescent="0.2">
      <c r="A44" s="159"/>
    </row>
    <row r="45" spans="1:1" x14ac:dyDescent="0.2">
      <c r="A45" s="159"/>
    </row>
    <row r="46" spans="1:1" x14ac:dyDescent="0.2">
      <c r="A46" s="159"/>
    </row>
    <row r="47" spans="1:1" x14ac:dyDescent="0.2">
      <c r="A47" s="159"/>
    </row>
    <row r="48" spans="1:1" x14ac:dyDescent="0.2">
      <c r="A48" s="159"/>
    </row>
    <row r="49" spans="1:2" x14ac:dyDescent="0.2">
      <c r="A49" s="159"/>
    </row>
    <row r="50" spans="1:2" x14ac:dyDescent="0.2">
      <c r="A50" s="159" t="s">
        <v>781</v>
      </c>
      <c r="B50" s="2"/>
    </row>
    <row r="51" spans="1:2" x14ac:dyDescent="0.2">
      <c r="A51" s="159" t="s">
        <v>156</v>
      </c>
      <c r="B51" s="2"/>
    </row>
    <row r="52" spans="1:2" x14ac:dyDescent="0.2">
      <c r="A52" s="159" t="s">
        <v>157</v>
      </c>
      <c r="B52" s="2"/>
    </row>
    <row r="53" spans="1:2" x14ac:dyDescent="0.2">
      <c r="A53" s="159" t="s">
        <v>789</v>
      </c>
      <c r="B53" s="2"/>
    </row>
    <row r="54" spans="1:2" x14ac:dyDescent="0.2">
      <c r="A54" s="159" t="s">
        <v>813</v>
      </c>
      <c r="B54" s="2"/>
    </row>
    <row r="55" spans="1:2" x14ac:dyDescent="0.2">
      <c r="A55" s="159" t="s">
        <v>814</v>
      </c>
      <c r="B55" s="2"/>
    </row>
    <row r="56" spans="1:2" x14ac:dyDescent="0.2">
      <c r="A56" s="159" t="s">
        <v>1104</v>
      </c>
      <c r="B56" s="2"/>
    </row>
    <row r="57" spans="1:2" x14ac:dyDescent="0.2">
      <c r="A57" s="159" t="s">
        <v>815</v>
      </c>
      <c r="B57" s="2"/>
    </row>
    <row r="58" spans="1:2" x14ac:dyDescent="0.2">
      <c r="A58" s="159" t="s">
        <v>816</v>
      </c>
      <c r="B58" s="2"/>
    </row>
    <row r="59" spans="1:2" x14ac:dyDescent="0.2">
      <c r="A59" s="159" t="s">
        <v>790</v>
      </c>
      <c r="B59" s="2"/>
    </row>
    <row r="60" spans="1:2" x14ac:dyDescent="0.2">
      <c r="A60" s="159" t="s">
        <v>817</v>
      </c>
      <c r="B60" s="2"/>
    </row>
    <row r="61" spans="1:2" x14ac:dyDescent="0.2">
      <c r="A61" s="159" t="s">
        <v>647</v>
      </c>
      <c r="B61" s="2"/>
    </row>
    <row r="62" spans="1:2" x14ac:dyDescent="0.2">
      <c r="A62" s="159" t="s">
        <v>776</v>
      </c>
      <c r="B62" s="2"/>
    </row>
    <row r="63" spans="1:2" x14ac:dyDescent="0.2">
      <c r="A63" s="159" t="s">
        <v>648</v>
      </c>
      <c r="B63" s="2"/>
    </row>
    <row r="64" spans="1:2" x14ac:dyDescent="0.2">
      <c r="A64" s="159" t="s">
        <v>818</v>
      </c>
      <c r="B64" s="2"/>
    </row>
    <row r="65" spans="1:2" x14ac:dyDescent="0.2">
      <c r="A65" s="159" t="s">
        <v>649</v>
      </c>
      <c r="B65" s="2"/>
    </row>
    <row r="66" spans="1:2" x14ac:dyDescent="0.2">
      <c r="A66" s="159" t="s">
        <v>650</v>
      </c>
      <c r="B66" s="2"/>
    </row>
    <row r="67" spans="1:2" x14ac:dyDescent="0.2">
      <c r="A67" s="159" t="s">
        <v>791</v>
      </c>
      <c r="B67" s="2"/>
    </row>
    <row r="68" spans="1:2" x14ac:dyDescent="0.2">
      <c r="A68" s="159" t="s">
        <v>651</v>
      </c>
      <c r="B68" s="2"/>
    </row>
    <row r="69" spans="1:2" x14ac:dyDescent="0.2">
      <c r="A69" s="159" t="s">
        <v>652</v>
      </c>
      <c r="B69" s="2"/>
    </row>
    <row r="70" spans="1:2" x14ac:dyDescent="0.2">
      <c r="A70" s="159" t="s">
        <v>17</v>
      </c>
      <c r="B70" s="2"/>
    </row>
    <row r="71" spans="1:2" x14ac:dyDescent="0.2">
      <c r="A71" s="159" t="s">
        <v>801</v>
      </c>
      <c r="B71" s="2"/>
    </row>
    <row r="72" spans="1:2" x14ac:dyDescent="0.2">
      <c r="A72" s="159" t="s">
        <v>18</v>
      </c>
      <c r="B72" s="2"/>
    </row>
    <row r="73" spans="1:2" x14ac:dyDescent="0.2">
      <c r="A73" s="159" t="s">
        <v>1107</v>
      </c>
      <c r="B73" s="2"/>
    </row>
    <row r="74" spans="1:2" x14ac:dyDescent="0.2">
      <c r="A74" s="159" t="s">
        <v>782</v>
      </c>
      <c r="B74" s="2"/>
    </row>
    <row r="75" spans="1:2" x14ac:dyDescent="0.2">
      <c r="A75" s="159" t="s">
        <v>796</v>
      </c>
      <c r="B75" s="2"/>
    </row>
    <row r="76" spans="1:2" x14ac:dyDescent="0.2">
      <c r="A76" s="159" t="s">
        <v>1094</v>
      </c>
      <c r="B76" s="2"/>
    </row>
    <row r="77" spans="1:2" x14ac:dyDescent="0.2">
      <c r="A77" s="159" t="s">
        <v>653</v>
      </c>
      <c r="B77" s="2"/>
    </row>
    <row r="78" spans="1:2" x14ac:dyDescent="0.2">
      <c r="A78" s="159" t="s">
        <v>654</v>
      </c>
      <c r="B78" s="2"/>
    </row>
    <row r="79" spans="1:2" x14ac:dyDescent="0.2">
      <c r="A79" s="159" t="s">
        <v>821</v>
      </c>
      <c r="B79" s="2"/>
    </row>
    <row r="80" spans="1:2" x14ac:dyDescent="0.2">
      <c r="A80" s="159" t="s">
        <v>822</v>
      </c>
      <c r="B80" s="2"/>
    </row>
    <row r="81" spans="1:2" x14ac:dyDescent="0.2">
      <c r="A81" s="159" t="s">
        <v>1045</v>
      </c>
      <c r="B81" s="2"/>
    </row>
    <row r="82" spans="1:2" x14ac:dyDescent="0.2">
      <c r="A82" s="159" t="s">
        <v>19</v>
      </c>
      <c r="B82" s="2"/>
    </row>
    <row r="83" spans="1:2" x14ac:dyDescent="0.2">
      <c r="A83" s="159" t="s">
        <v>792</v>
      </c>
      <c r="B83" s="2"/>
    </row>
    <row r="84" spans="1:2" x14ac:dyDescent="0.2">
      <c r="A84" s="159" t="s">
        <v>655</v>
      </c>
      <c r="B84" s="2"/>
    </row>
    <row r="85" spans="1:2" x14ac:dyDescent="0.2">
      <c r="A85" s="159" t="s">
        <v>656</v>
      </c>
      <c r="B85" s="2"/>
    </row>
    <row r="86" spans="1:2" x14ac:dyDescent="0.2">
      <c r="A86" s="159" t="s">
        <v>20</v>
      </c>
      <c r="B86" s="2"/>
    </row>
    <row r="87" spans="1:2" x14ac:dyDescent="0.2">
      <c r="A87" s="159" t="s">
        <v>1113</v>
      </c>
      <c r="B87" s="2"/>
    </row>
    <row r="88" spans="1:2" x14ac:dyDescent="0.2">
      <c r="A88" s="159" t="s">
        <v>825</v>
      </c>
      <c r="B88" s="2"/>
    </row>
    <row r="89" spans="1:2" x14ac:dyDescent="0.2">
      <c r="A89" s="159" t="s">
        <v>657</v>
      </c>
    </row>
    <row r="90" spans="1:2" x14ac:dyDescent="0.2">
      <c r="A90" s="159" t="s">
        <v>658</v>
      </c>
    </row>
    <row r="91" spans="1:2" x14ac:dyDescent="0.2">
      <c r="A91" s="159" t="s">
        <v>659</v>
      </c>
    </row>
    <row r="92" spans="1:2" x14ac:dyDescent="0.2">
      <c r="A92" s="159" t="s">
        <v>826</v>
      </c>
    </row>
    <row r="93" spans="1:2" x14ac:dyDescent="0.2">
      <c r="A93" s="159" t="s">
        <v>783</v>
      </c>
    </row>
    <row r="94" spans="1:2" x14ac:dyDescent="0.2">
      <c r="A94" s="159" t="s">
        <v>827</v>
      </c>
    </row>
    <row r="95" spans="1:2" x14ac:dyDescent="0.2">
      <c r="A95" s="159" t="s">
        <v>660</v>
      </c>
    </row>
    <row r="96" spans="1:2" x14ac:dyDescent="0.2">
      <c r="A96" s="159" t="s">
        <v>1093</v>
      </c>
    </row>
    <row r="97" spans="1:1" x14ac:dyDescent="0.2">
      <c r="A97" s="159" t="s">
        <v>661</v>
      </c>
    </row>
    <row r="98" spans="1:1" x14ac:dyDescent="0.2">
      <c r="A98" s="159" t="s">
        <v>806</v>
      </c>
    </row>
    <row r="99" spans="1:1" x14ac:dyDescent="0.2">
      <c r="A99" s="159" t="s">
        <v>828</v>
      </c>
    </row>
    <row r="100" spans="1:1" x14ac:dyDescent="0.2">
      <c r="A100" s="159" t="s">
        <v>1109</v>
      </c>
    </row>
    <row r="101" spans="1:1" x14ac:dyDescent="0.2">
      <c r="A101" s="159" t="s">
        <v>829</v>
      </c>
    </row>
    <row r="102" spans="1:1" x14ac:dyDescent="0.2">
      <c r="A102" s="159" t="s">
        <v>662</v>
      </c>
    </row>
    <row r="103" spans="1:1" x14ac:dyDescent="0.2">
      <c r="A103" s="159" t="s">
        <v>663</v>
      </c>
    </row>
    <row r="104" spans="1:1" x14ac:dyDescent="0.2">
      <c r="A104" s="159" t="s">
        <v>58</v>
      </c>
    </row>
    <row r="105" spans="1:1" x14ac:dyDescent="0.2">
      <c r="A105" s="159" t="s">
        <v>664</v>
      </c>
    </row>
    <row r="106" spans="1:1" x14ac:dyDescent="0.2">
      <c r="A106" s="159" t="s">
        <v>665</v>
      </c>
    </row>
    <row r="107" spans="1:1" x14ac:dyDescent="0.2">
      <c r="A107" s="159" t="s">
        <v>666</v>
      </c>
    </row>
    <row r="108" spans="1:1" x14ac:dyDescent="0.2">
      <c r="A108" s="159" t="s">
        <v>667</v>
      </c>
    </row>
    <row r="109" spans="1:1" x14ac:dyDescent="0.2">
      <c r="A109" s="159" t="s">
        <v>668</v>
      </c>
    </row>
    <row r="110" spans="1:1" x14ac:dyDescent="0.2">
      <c r="A110" s="159" t="s">
        <v>364</v>
      </c>
    </row>
    <row r="111" spans="1:1" x14ac:dyDescent="0.2">
      <c r="A111" s="159" t="s">
        <v>830</v>
      </c>
    </row>
    <row r="112" spans="1:1" x14ac:dyDescent="0.2">
      <c r="A112" s="159" t="s">
        <v>831</v>
      </c>
    </row>
    <row r="113" spans="1:1" x14ac:dyDescent="0.2">
      <c r="A113" s="159" t="s">
        <v>848</v>
      </c>
    </row>
    <row r="114" spans="1:1" x14ac:dyDescent="0.2">
      <c r="A114" s="159" t="s">
        <v>669</v>
      </c>
    </row>
    <row r="115" spans="1:1" x14ac:dyDescent="0.2">
      <c r="A115" s="159" t="s">
        <v>670</v>
      </c>
    </row>
    <row r="116" spans="1:1" x14ac:dyDescent="0.2">
      <c r="A116" s="159" t="s">
        <v>671</v>
      </c>
    </row>
    <row r="117" spans="1:1" x14ac:dyDescent="0.2">
      <c r="A117" s="159" t="s">
        <v>672</v>
      </c>
    </row>
    <row r="118" spans="1:1" x14ac:dyDescent="0.2">
      <c r="A118" s="159" t="s">
        <v>21</v>
      </c>
    </row>
    <row r="119" spans="1:1" x14ac:dyDescent="0.2">
      <c r="A119" s="159" t="s">
        <v>22</v>
      </c>
    </row>
    <row r="120" spans="1:1" x14ac:dyDescent="0.2">
      <c r="A120" s="159" t="s">
        <v>673</v>
      </c>
    </row>
    <row r="121" spans="1:1" x14ac:dyDescent="0.2">
      <c r="A121" s="159" t="s">
        <v>23</v>
      </c>
    </row>
    <row r="122" spans="1:1" x14ac:dyDescent="0.2">
      <c r="A122" s="159" t="s">
        <v>1105</v>
      </c>
    </row>
    <row r="123" spans="1:1" x14ac:dyDescent="0.2">
      <c r="A123" s="159" t="s">
        <v>674</v>
      </c>
    </row>
    <row r="124" spans="1:1" x14ac:dyDescent="0.2">
      <c r="A124" s="159" t="s">
        <v>811</v>
      </c>
    </row>
    <row r="125" spans="1:1" x14ac:dyDescent="0.2">
      <c r="A125" s="159" t="s">
        <v>675</v>
      </c>
    </row>
    <row r="126" spans="1:1" x14ac:dyDescent="0.2">
      <c r="A126" s="159" t="s">
        <v>676</v>
      </c>
    </row>
    <row r="127" spans="1:1" x14ac:dyDescent="0.2">
      <c r="A127" s="159" t="s">
        <v>832</v>
      </c>
    </row>
    <row r="128" spans="1:1" x14ac:dyDescent="0.2">
      <c r="A128" s="159" t="s">
        <v>677</v>
      </c>
    </row>
    <row r="129" spans="1:1" x14ac:dyDescent="0.2">
      <c r="A129" s="159" t="s">
        <v>678</v>
      </c>
    </row>
    <row r="130" spans="1:1" x14ac:dyDescent="0.2">
      <c r="A130" s="159" t="s">
        <v>797</v>
      </c>
    </row>
    <row r="131" spans="1:1" x14ac:dyDescent="0.2">
      <c r="A131" s="159" t="s">
        <v>833</v>
      </c>
    </row>
    <row r="132" spans="1:1" x14ac:dyDescent="0.2">
      <c r="A132" s="159" t="s">
        <v>834</v>
      </c>
    </row>
    <row r="133" spans="1:1" x14ac:dyDescent="0.2">
      <c r="A133" s="159" t="s">
        <v>835</v>
      </c>
    </row>
    <row r="134" spans="1:1" x14ac:dyDescent="0.2">
      <c r="A134" s="159" t="s">
        <v>819</v>
      </c>
    </row>
    <row r="135" spans="1:1" x14ac:dyDescent="0.2">
      <c r="A135" s="159" t="s">
        <v>836</v>
      </c>
    </row>
    <row r="136" spans="1:1" x14ac:dyDescent="0.2">
      <c r="A136" s="159" t="s">
        <v>837</v>
      </c>
    </row>
    <row r="137" spans="1:1" x14ac:dyDescent="0.2">
      <c r="A137" s="159" t="s">
        <v>838</v>
      </c>
    </row>
    <row r="138" spans="1:1" x14ac:dyDescent="0.2">
      <c r="A138" s="159" t="s">
        <v>840</v>
      </c>
    </row>
    <row r="139" spans="1:1" x14ac:dyDescent="0.2">
      <c r="A139" s="159" t="s">
        <v>841</v>
      </c>
    </row>
    <row r="140" spans="1:1" x14ac:dyDescent="0.2">
      <c r="A140" s="159" t="s">
        <v>842</v>
      </c>
    </row>
    <row r="141" spans="1:1" x14ac:dyDescent="0.2">
      <c r="A141" s="159" t="s">
        <v>843</v>
      </c>
    </row>
    <row r="142" spans="1:1" x14ac:dyDescent="0.2">
      <c r="A142" s="159" t="s">
        <v>1102</v>
      </c>
    </row>
    <row r="143" spans="1:1" x14ac:dyDescent="0.2">
      <c r="A143" s="159" t="s">
        <v>679</v>
      </c>
    </row>
    <row r="144" spans="1:1" x14ac:dyDescent="0.2">
      <c r="A144" s="159" t="s">
        <v>680</v>
      </c>
    </row>
    <row r="145" spans="1:1" x14ac:dyDescent="0.2">
      <c r="A145" s="159" t="s">
        <v>844</v>
      </c>
    </row>
    <row r="146" spans="1:1" x14ac:dyDescent="0.2">
      <c r="A146" s="159" t="s">
        <v>845</v>
      </c>
    </row>
    <row r="147" spans="1:1" x14ac:dyDescent="0.2">
      <c r="A147" s="159" t="s">
        <v>681</v>
      </c>
    </row>
    <row r="148" spans="1:1" x14ac:dyDescent="0.2">
      <c r="A148" s="159" t="s">
        <v>682</v>
      </c>
    </row>
    <row r="149" spans="1:1" x14ac:dyDescent="0.2">
      <c r="A149" s="159" t="s">
        <v>24</v>
      </c>
    </row>
    <row r="150" spans="1:1" x14ac:dyDescent="0.2">
      <c r="A150" s="159" t="s">
        <v>849</v>
      </c>
    </row>
    <row r="151" spans="1:1" x14ac:dyDescent="0.2">
      <c r="A151" s="159" t="s">
        <v>683</v>
      </c>
    </row>
    <row r="152" spans="1:1" x14ac:dyDescent="0.2">
      <c r="A152" s="159" t="s">
        <v>775</v>
      </c>
    </row>
    <row r="153" spans="1:1" x14ac:dyDescent="0.2">
      <c r="A153" s="159" t="s">
        <v>684</v>
      </c>
    </row>
    <row r="154" spans="1:1" x14ac:dyDescent="0.2">
      <c r="A154" s="159" t="s">
        <v>685</v>
      </c>
    </row>
    <row r="155" spans="1:1" x14ac:dyDescent="0.2">
      <c r="A155" s="159" t="s">
        <v>686</v>
      </c>
    </row>
    <row r="156" spans="1:1" x14ac:dyDescent="0.2">
      <c r="A156" s="159" t="s">
        <v>851</v>
      </c>
    </row>
    <row r="157" spans="1:1" x14ac:dyDescent="0.2">
      <c r="A157" s="159" t="s">
        <v>687</v>
      </c>
    </row>
    <row r="158" spans="1:1" x14ac:dyDescent="0.2">
      <c r="A158" s="159" t="s">
        <v>688</v>
      </c>
    </row>
    <row r="159" spans="1:1" x14ac:dyDescent="0.2">
      <c r="A159" s="159" t="s">
        <v>689</v>
      </c>
    </row>
    <row r="160" spans="1:1" x14ac:dyDescent="0.2">
      <c r="A160" s="159" t="s">
        <v>690</v>
      </c>
    </row>
    <row r="161" spans="1:1" x14ac:dyDescent="0.2">
      <c r="A161" s="159" t="s">
        <v>808</v>
      </c>
    </row>
    <row r="162" spans="1:1" x14ac:dyDescent="0.2">
      <c r="A162" s="159" t="s">
        <v>691</v>
      </c>
    </row>
    <row r="163" spans="1:1" x14ac:dyDescent="0.2">
      <c r="A163" s="159" t="s">
        <v>847</v>
      </c>
    </row>
    <row r="164" spans="1:1" x14ac:dyDescent="0.2">
      <c r="A164" s="159" t="s">
        <v>846</v>
      </c>
    </row>
    <row r="165" spans="1:1" x14ac:dyDescent="0.2">
      <c r="A165" s="159" t="s">
        <v>25</v>
      </c>
    </row>
    <row r="166" spans="1:1" x14ac:dyDescent="0.2">
      <c r="A166" s="159" t="s">
        <v>26</v>
      </c>
    </row>
    <row r="167" spans="1:1" x14ac:dyDescent="0.2">
      <c r="A167" s="159" t="s">
        <v>809</v>
      </c>
    </row>
    <row r="168" spans="1:1" x14ac:dyDescent="0.2">
      <c r="A168" s="159" t="s">
        <v>852</v>
      </c>
    </row>
    <row r="169" spans="1:1" x14ac:dyDescent="0.2">
      <c r="A169" s="159" t="s">
        <v>1106</v>
      </c>
    </row>
    <row r="170" spans="1:1" x14ac:dyDescent="0.2">
      <c r="A170" s="159" t="s">
        <v>853</v>
      </c>
    </row>
    <row r="171" spans="1:1" x14ac:dyDescent="0.2">
      <c r="A171" s="159" t="s">
        <v>810</v>
      </c>
    </row>
    <row r="172" spans="1:1" x14ac:dyDescent="0.2">
      <c r="A172" s="159" t="s">
        <v>27</v>
      </c>
    </row>
    <row r="173" spans="1:1" x14ac:dyDescent="0.2">
      <c r="A173" s="159" t="s">
        <v>692</v>
      </c>
    </row>
    <row r="174" spans="1:1" x14ac:dyDescent="0.2">
      <c r="A174" s="159" t="s">
        <v>784</v>
      </c>
    </row>
    <row r="175" spans="1:1" x14ac:dyDescent="0.2">
      <c r="A175" s="159" t="s">
        <v>693</v>
      </c>
    </row>
    <row r="176" spans="1:1" x14ac:dyDescent="0.2">
      <c r="A176" s="159" t="s">
        <v>785</v>
      </c>
    </row>
    <row r="177" spans="1:1" x14ac:dyDescent="0.2">
      <c r="A177" s="159" t="s">
        <v>694</v>
      </c>
    </row>
    <row r="178" spans="1:1" x14ac:dyDescent="0.2">
      <c r="A178" s="159" t="s">
        <v>695</v>
      </c>
    </row>
    <row r="179" spans="1:1" x14ac:dyDescent="0.2">
      <c r="A179" s="159" t="s">
        <v>696</v>
      </c>
    </row>
    <row r="180" spans="1:1" x14ac:dyDescent="0.2">
      <c r="A180" s="159" t="s">
        <v>855</v>
      </c>
    </row>
    <row r="181" spans="1:1" x14ac:dyDescent="0.2">
      <c r="A181" s="159" t="s">
        <v>1110</v>
      </c>
    </row>
    <row r="182" spans="1:1" x14ac:dyDescent="0.2">
      <c r="A182" s="159" t="s">
        <v>856</v>
      </c>
    </row>
    <row r="183" spans="1:1" x14ac:dyDescent="0.2">
      <c r="A183" s="159" t="s">
        <v>697</v>
      </c>
    </row>
    <row r="184" spans="1:1" x14ac:dyDescent="0.2">
      <c r="A184" s="159" t="s">
        <v>698</v>
      </c>
    </row>
    <row r="185" spans="1:1" x14ac:dyDescent="0.2">
      <c r="A185" s="159" t="s">
        <v>857</v>
      </c>
    </row>
    <row r="186" spans="1:1" x14ac:dyDescent="0.2">
      <c r="A186" s="159" t="s">
        <v>699</v>
      </c>
    </row>
    <row r="187" spans="1:1" x14ac:dyDescent="0.2">
      <c r="A187" s="159" t="s">
        <v>793</v>
      </c>
    </row>
    <row r="188" spans="1:1" x14ac:dyDescent="0.2">
      <c r="A188" s="159" t="s">
        <v>858</v>
      </c>
    </row>
    <row r="189" spans="1:1" x14ac:dyDescent="0.2">
      <c r="A189" s="159" t="s">
        <v>700</v>
      </c>
    </row>
    <row r="190" spans="1:1" x14ac:dyDescent="0.2">
      <c r="A190" s="159" t="s">
        <v>701</v>
      </c>
    </row>
    <row r="191" spans="1:1" x14ac:dyDescent="0.2">
      <c r="A191" s="159" t="s">
        <v>859</v>
      </c>
    </row>
    <row r="192" spans="1:1" x14ac:dyDescent="0.2">
      <c r="A192" s="159" t="s">
        <v>702</v>
      </c>
    </row>
    <row r="193" spans="1:1" x14ac:dyDescent="0.2">
      <c r="A193" s="159" t="s">
        <v>703</v>
      </c>
    </row>
    <row r="194" spans="1:1" x14ac:dyDescent="0.2">
      <c r="A194" s="159" t="s">
        <v>704</v>
      </c>
    </row>
    <row r="195" spans="1:1" x14ac:dyDescent="0.2">
      <c r="A195" s="159" t="s">
        <v>872</v>
      </c>
    </row>
    <row r="196" spans="1:1" x14ac:dyDescent="0.2">
      <c r="A196" s="159" t="s">
        <v>786</v>
      </c>
    </row>
    <row r="197" spans="1:1" x14ac:dyDescent="0.2">
      <c r="A197" s="159" t="s">
        <v>860</v>
      </c>
    </row>
    <row r="198" spans="1:1" x14ac:dyDescent="0.2">
      <c r="A198" s="159" t="s">
        <v>705</v>
      </c>
    </row>
    <row r="199" spans="1:1" x14ac:dyDescent="0.2">
      <c r="A199" s="159" t="s">
        <v>706</v>
      </c>
    </row>
    <row r="200" spans="1:1" x14ac:dyDescent="0.2">
      <c r="A200" s="159" t="s">
        <v>861</v>
      </c>
    </row>
    <row r="201" spans="1:1" x14ac:dyDescent="0.2">
      <c r="A201" s="159" t="s">
        <v>28</v>
      </c>
    </row>
    <row r="202" spans="1:1" x14ac:dyDescent="0.2">
      <c r="A202" s="159" t="s">
        <v>707</v>
      </c>
    </row>
    <row r="203" spans="1:1" x14ac:dyDescent="0.2">
      <c r="A203" s="159" t="s">
        <v>397</v>
      </c>
    </row>
    <row r="204" spans="1:1" x14ac:dyDescent="0.2">
      <c r="A204" s="159" t="s">
        <v>708</v>
      </c>
    </row>
    <row r="205" spans="1:1" x14ac:dyDescent="0.2">
      <c r="A205" s="159" t="s">
        <v>709</v>
      </c>
    </row>
    <row r="206" spans="1:1" x14ac:dyDescent="0.2">
      <c r="A206" s="159" t="s">
        <v>710</v>
      </c>
    </row>
    <row r="207" spans="1:1" x14ac:dyDescent="0.2">
      <c r="A207" s="159" t="s">
        <v>787</v>
      </c>
    </row>
    <row r="208" spans="1:1" x14ac:dyDescent="0.2">
      <c r="A208" s="159" t="s">
        <v>711</v>
      </c>
    </row>
    <row r="209" spans="1:1" x14ac:dyDescent="0.2">
      <c r="A209" s="159" t="s">
        <v>712</v>
      </c>
    </row>
    <row r="210" spans="1:1" x14ac:dyDescent="0.2">
      <c r="A210" s="159" t="s">
        <v>862</v>
      </c>
    </row>
    <row r="211" spans="1:1" x14ac:dyDescent="0.2">
      <c r="A211" s="159" t="s">
        <v>713</v>
      </c>
    </row>
    <row r="212" spans="1:1" x14ac:dyDescent="0.2">
      <c r="A212" s="159" t="s">
        <v>714</v>
      </c>
    </row>
    <row r="213" spans="1:1" x14ac:dyDescent="0.2">
      <c r="A213" s="159" t="s">
        <v>863</v>
      </c>
    </row>
    <row r="214" spans="1:1" x14ac:dyDescent="0.2">
      <c r="A214" s="159" t="s">
        <v>864</v>
      </c>
    </row>
    <row r="215" spans="1:1" x14ac:dyDescent="0.2">
      <c r="A215" s="159" t="s">
        <v>715</v>
      </c>
    </row>
    <row r="216" spans="1:1" x14ac:dyDescent="0.2">
      <c r="A216" s="159" t="s">
        <v>716</v>
      </c>
    </row>
    <row r="217" spans="1:1" x14ac:dyDescent="0.2">
      <c r="A217" s="159" t="s">
        <v>29</v>
      </c>
    </row>
    <row r="218" spans="1:1" x14ac:dyDescent="0.2">
      <c r="A218" s="159" t="s">
        <v>717</v>
      </c>
    </row>
    <row r="219" spans="1:1" x14ac:dyDescent="0.2">
      <c r="A219" s="159" t="s">
        <v>718</v>
      </c>
    </row>
    <row r="220" spans="1:1" x14ac:dyDescent="0.2">
      <c r="A220" s="159" t="s">
        <v>719</v>
      </c>
    </row>
    <row r="221" spans="1:1" x14ac:dyDescent="0.2">
      <c r="A221" s="159" t="s">
        <v>865</v>
      </c>
    </row>
    <row r="222" spans="1:1" x14ac:dyDescent="0.2">
      <c r="A222" s="159" t="s">
        <v>720</v>
      </c>
    </row>
    <row r="223" spans="1:1" x14ac:dyDescent="0.2">
      <c r="A223" s="159" t="s">
        <v>30</v>
      </c>
    </row>
    <row r="224" spans="1:1" x14ac:dyDescent="0.2">
      <c r="A224" s="159" t="s">
        <v>866</v>
      </c>
    </row>
    <row r="225" spans="1:1" x14ac:dyDescent="0.2">
      <c r="A225" s="159" t="s">
        <v>721</v>
      </c>
    </row>
    <row r="226" spans="1:1" x14ac:dyDescent="0.2">
      <c r="A226" s="159" t="s">
        <v>794</v>
      </c>
    </row>
    <row r="227" spans="1:1" x14ac:dyDescent="0.2">
      <c r="A227" s="159" t="s">
        <v>722</v>
      </c>
    </row>
    <row r="228" spans="1:1" x14ac:dyDescent="0.2">
      <c r="A228" s="159" t="s">
        <v>802</v>
      </c>
    </row>
    <row r="229" spans="1:1" x14ac:dyDescent="0.2">
      <c r="A229" s="159" t="s">
        <v>1114</v>
      </c>
    </row>
    <row r="230" spans="1:1" x14ac:dyDescent="0.2">
      <c r="A230" s="159" t="s">
        <v>723</v>
      </c>
    </row>
    <row r="231" spans="1:1" x14ac:dyDescent="0.2">
      <c r="A231" s="159" t="s">
        <v>724</v>
      </c>
    </row>
    <row r="232" spans="1:1" x14ac:dyDescent="0.2">
      <c r="A232" s="159" t="s">
        <v>725</v>
      </c>
    </row>
    <row r="233" spans="1:1" x14ac:dyDescent="0.2">
      <c r="A233" s="159" t="s">
        <v>867</v>
      </c>
    </row>
    <row r="234" spans="1:1" x14ac:dyDescent="0.2">
      <c r="A234" s="159" t="s">
        <v>726</v>
      </c>
    </row>
    <row r="235" spans="1:1" x14ac:dyDescent="0.2">
      <c r="A235" s="159" t="s">
        <v>727</v>
      </c>
    </row>
    <row r="236" spans="1:1" x14ac:dyDescent="0.2">
      <c r="A236" s="159" t="s">
        <v>728</v>
      </c>
    </row>
    <row r="237" spans="1:1" x14ac:dyDescent="0.2">
      <c r="A237" s="159" t="s">
        <v>868</v>
      </c>
    </row>
    <row r="238" spans="1:1" x14ac:dyDescent="0.2">
      <c r="A238" s="159" t="s">
        <v>1112</v>
      </c>
    </row>
    <row r="239" spans="1:1" x14ac:dyDescent="0.2">
      <c r="A239" s="159" t="s">
        <v>869</v>
      </c>
    </row>
    <row r="240" spans="1:1" x14ac:dyDescent="0.2">
      <c r="A240" s="159" t="s">
        <v>31</v>
      </c>
    </row>
    <row r="241" spans="1:1" x14ac:dyDescent="0.2">
      <c r="A241" s="159" t="s">
        <v>870</v>
      </c>
    </row>
    <row r="242" spans="1:1" x14ac:dyDescent="0.2">
      <c r="A242" s="159" t="s">
        <v>871</v>
      </c>
    </row>
    <row r="243" spans="1:1" x14ac:dyDescent="0.2">
      <c r="A243" s="159" t="s">
        <v>729</v>
      </c>
    </row>
    <row r="244" spans="1:1" x14ac:dyDescent="0.2">
      <c r="A244" s="159" t="s">
        <v>1078</v>
      </c>
    </row>
    <row r="245" spans="1:1" x14ac:dyDescent="0.2">
      <c r="A245" s="159" t="s">
        <v>730</v>
      </c>
    </row>
    <row r="246" spans="1:1" x14ac:dyDescent="0.2">
      <c r="A246" s="159" t="s">
        <v>799</v>
      </c>
    </row>
    <row r="247" spans="1:1" x14ac:dyDescent="0.2">
      <c r="A247" s="159" t="s">
        <v>731</v>
      </c>
    </row>
    <row r="248" spans="1:1" x14ac:dyDescent="0.2">
      <c r="A248" s="159" t="s">
        <v>820</v>
      </c>
    </row>
    <row r="249" spans="1:1" x14ac:dyDescent="0.2">
      <c r="A249" s="159" t="s">
        <v>32</v>
      </c>
    </row>
    <row r="250" spans="1:1" x14ac:dyDescent="0.2">
      <c r="A250" s="159" t="s">
        <v>873</v>
      </c>
    </row>
    <row r="251" spans="1:1" x14ac:dyDescent="0.2">
      <c r="A251" s="159" t="s">
        <v>874</v>
      </c>
    </row>
    <row r="252" spans="1:1" x14ac:dyDescent="0.2">
      <c r="A252" s="159" t="s">
        <v>33</v>
      </c>
    </row>
    <row r="253" spans="1:1" x14ac:dyDescent="0.2">
      <c r="A253" s="159" t="s">
        <v>839</v>
      </c>
    </row>
    <row r="254" spans="1:1" x14ac:dyDescent="0.2">
      <c r="A254" s="159" t="s">
        <v>732</v>
      </c>
    </row>
    <row r="255" spans="1:1" x14ac:dyDescent="0.2">
      <c r="A255" s="159" t="s">
        <v>44</v>
      </c>
    </row>
    <row r="256" spans="1:1" x14ac:dyDescent="0.2">
      <c r="A256" s="159" t="s">
        <v>34</v>
      </c>
    </row>
    <row r="257" spans="1:1" x14ac:dyDescent="0.2">
      <c r="A257" s="159" t="s">
        <v>733</v>
      </c>
    </row>
    <row r="258" spans="1:1" x14ac:dyDescent="0.2">
      <c r="A258" s="159" t="s">
        <v>875</v>
      </c>
    </row>
    <row r="259" spans="1:1" x14ac:dyDescent="0.2">
      <c r="A259" s="159" t="s">
        <v>734</v>
      </c>
    </row>
    <row r="260" spans="1:1" x14ac:dyDescent="0.2">
      <c r="A260" s="159" t="s">
        <v>735</v>
      </c>
    </row>
    <row r="261" spans="1:1" x14ac:dyDescent="0.2">
      <c r="A261" s="159" t="s">
        <v>35</v>
      </c>
    </row>
    <row r="262" spans="1:1" x14ac:dyDescent="0.2">
      <c r="A262" s="159" t="s">
        <v>736</v>
      </c>
    </row>
    <row r="263" spans="1:1" x14ac:dyDescent="0.2">
      <c r="A263" s="159" t="s">
        <v>876</v>
      </c>
    </row>
    <row r="264" spans="1:1" x14ac:dyDescent="0.2">
      <c r="A264" s="159" t="s">
        <v>737</v>
      </c>
    </row>
    <row r="265" spans="1:1" x14ac:dyDescent="0.2">
      <c r="A265" s="159" t="s">
        <v>798</v>
      </c>
    </row>
    <row r="266" spans="1:1" x14ac:dyDescent="0.2">
      <c r="A266" s="159" t="s">
        <v>877</v>
      </c>
    </row>
    <row r="267" spans="1:1" x14ac:dyDescent="0.2">
      <c r="A267" s="159" t="s">
        <v>878</v>
      </c>
    </row>
    <row r="268" spans="1:1" x14ac:dyDescent="0.2">
      <c r="A268" s="159" t="s">
        <v>795</v>
      </c>
    </row>
    <row r="269" spans="1:1" x14ac:dyDescent="0.2">
      <c r="A269" s="159" t="s">
        <v>1111</v>
      </c>
    </row>
    <row r="270" spans="1:1" x14ac:dyDescent="0.2">
      <c r="A270" s="159" t="s">
        <v>738</v>
      </c>
    </row>
    <row r="271" spans="1:1" x14ac:dyDescent="0.2">
      <c r="A271" s="159" t="s">
        <v>879</v>
      </c>
    </row>
    <row r="272" spans="1:1" x14ac:dyDescent="0.2">
      <c r="A272" s="159" t="s">
        <v>36</v>
      </c>
    </row>
    <row r="273" spans="1:1" x14ac:dyDescent="0.2">
      <c r="A273" s="159" t="s">
        <v>880</v>
      </c>
    </row>
    <row r="274" spans="1:1" x14ac:dyDescent="0.2">
      <c r="A274" s="159" t="s">
        <v>807</v>
      </c>
    </row>
    <row r="275" spans="1:1" x14ac:dyDescent="0.2">
      <c r="A275" s="159" t="s">
        <v>739</v>
      </c>
    </row>
    <row r="276" spans="1:1" x14ac:dyDescent="0.2">
      <c r="A276" s="159" t="s">
        <v>37</v>
      </c>
    </row>
    <row r="277" spans="1:1" x14ac:dyDescent="0.2">
      <c r="A277" s="159" t="s">
        <v>881</v>
      </c>
    </row>
    <row r="278" spans="1:1" x14ac:dyDescent="0.2">
      <c r="A278" s="159" t="s">
        <v>882</v>
      </c>
    </row>
    <row r="279" spans="1:1" x14ac:dyDescent="0.2">
      <c r="A279" s="159" t="s">
        <v>740</v>
      </c>
    </row>
    <row r="280" spans="1:1" x14ac:dyDescent="0.2">
      <c r="A280" s="159" t="s">
        <v>38</v>
      </c>
    </row>
    <row r="281" spans="1:1" x14ac:dyDescent="0.2">
      <c r="A281" s="159" t="s">
        <v>741</v>
      </c>
    </row>
    <row r="282" spans="1:1" x14ac:dyDescent="0.2">
      <c r="A282" s="159" t="s">
        <v>883</v>
      </c>
    </row>
    <row r="283" spans="1:1" x14ac:dyDescent="0.2">
      <c r="A283" s="159" t="s">
        <v>742</v>
      </c>
    </row>
    <row r="284" spans="1:1" x14ac:dyDescent="0.2">
      <c r="A284" s="159" t="s">
        <v>743</v>
      </c>
    </row>
    <row r="285" spans="1:1" x14ac:dyDescent="0.2">
      <c r="A285" s="159" t="s">
        <v>211</v>
      </c>
    </row>
    <row r="286" spans="1:1" x14ac:dyDescent="0.2">
      <c r="A286" s="159" t="s">
        <v>884</v>
      </c>
    </row>
    <row r="287" spans="1:1" x14ac:dyDescent="0.2">
      <c r="A287" s="159" t="s">
        <v>885</v>
      </c>
    </row>
    <row r="288" spans="1:1" x14ac:dyDescent="0.2">
      <c r="A288" s="159" t="s">
        <v>744</v>
      </c>
    </row>
    <row r="289" spans="1:1" x14ac:dyDescent="0.2">
      <c r="A289" s="159" t="s">
        <v>886</v>
      </c>
    </row>
    <row r="290" spans="1:1" x14ac:dyDescent="0.2">
      <c r="A290" s="159" t="s">
        <v>887</v>
      </c>
    </row>
    <row r="291" spans="1:1" x14ac:dyDescent="0.2">
      <c r="A291" s="159" t="s">
        <v>745</v>
      </c>
    </row>
    <row r="292" spans="1:1" x14ac:dyDescent="0.2">
      <c r="A292" s="159" t="s">
        <v>746</v>
      </c>
    </row>
    <row r="293" spans="1:1" x14ac:dyDescent="0.2">
      <c r="A293" s="159" t="s">
        <v>888</v>
      </c>
    </row>
    <row r="294" spans="1:1" x14ac:dyDescent="0.2">
      <c r="A294" s="159" t="s">
        <v>889</v>
      </c>
    </row>
    <row r="295" spans="1:1" x14ac:dyDescent="0.2">
      <c r="A295" s="159" t="s">
        <v>747</v>
      </c>
    </row>
    <row r="296" spans="1:1" x14ac:dyDescent="0.2">
      <c r="A296" s="159" t="s">
        <v>890</v>
      </c>
    </row>
    <row r="297" spans="1:1" x14ac:dyDescent="0.2">
      <c r="A297" s="159" t="s">
        <v>748</v>
      </c>
    </row>
    <row r="298" spans="1:1" x14ac:dyDescent="0.2">
      <c r="A298" s="159" t="s">
        <v>891</v>
      </c>
    </row>
    <row r="299" spans="1:1" x14ac:dyDescent="0.2">
      <c r="A299" s="159" t="s">
        <v>892</v>
      </c>
    </row>
    <row r="300" spans="1:1" x14ac:dyDescent="0.2">
      <c r="A300" s="159" t="s">
        <v>893</v>
      </c>
    </row>
    <row r="301" spans="1:1" x14ac:dyDescent="0.2">
      <c r="A301" s="159" t="s">
        <v>749</v>
      </c>
    </row>
    <row r="302" spans="1:1" x14ac:dyDescent="0.2">
      <c r="A302" s="159" t="s">
        <v>750</v>
      </c>
    </row>
    <row r="303" spans="1:1" x14ac:dyDescent="0.2">
      <c r="A303" s="159" t="s">
        <v>751</v>
      </c>
    </row>
    <row r="304" spans="1:1" x14ac:dyDescent="0.2">
      <c r="A304" s="159" t="s">
        <v>752</v>
      </c>
    </row>
    <row r="305" spans="1:1" x14ac:dyDescent="0.2">
      <c r="A305" s="159" t="s">
        <v>753</v>
      </c>
    </row>
    <row r="306" spans="1:1" x14ac:dyDescent="0.2">
      <c r="A306" s="159" t="s">
        <v>754</v>
      </c>
    </row>
    <row r="307" spans="1:1" x14ac:dyDescent="0.2">
      <c r="A307" s="159" t="s">
        <v>755</v>
      </c>
    </row>
    <row r="308" spans="1:1" x14ac:dyDescent="0.2">
      <c r="A308" s="159" t="s">
        <v>894</v>
      </c>
    </row>
    <row r="309" spans="1:1" x14ac:dyDescent="0.2">
      <c r="A309" s="159" t="s">
        <v>756</v>
      </c>
    </row>
    <row r="310" spans="1:1" x14ac:dyDescent="0.2">
      <c r="A310" s="159" t="s">
        <v>895</v>
      </c>
    </row>
    <row r="311" spans="1:1" x14ac:dyDescent="0.2">
      <c r="A311" s="159" t="s">
        <v>896</v>
      </c>
    </row>
    <row r="312" spans="1:1" x14ac:dyDescent="0.2">
      <c r="A312" s="159" t="s">
        <v>897</v>
      </c>
    </row>
    <row r="313" spans="1:1" x14ac:dyDescent="0.2">
      <c r="A313" s="159" t="s">
        <v>898</v>
      </c>
    </row>
    <row r="314" spans="1:1" x14ac:dyDescent="0.2">
      <c r="A314" s="159" t="s">
        <v>757</v>
      </c>
    </row>
    <row r="315" spans="1:1" x14ac:dyDescent="0.2">
      <c r="A315" s="159" t="s">
        <v>899</v>
      </c>
    </row>
    <row r="316" spans="1:1" x14ac:dyDescent="0.2">
      <c r="A316" s="159" t="s">
        <v>900</v>
      </c>
    </row>
    <row r="317" spans="1:1" x14ac:dyDescent="0.2">
      <c r="A317" s="159" t="s">
        <v>901</v>
      </c>
    </row>
    <row r="318" spans="1:1" x14ac:dyDescent="0.2">
      <c r="A318" s="159" t="s">
        <v>902</v>
      </c>
    </row>
    <row r="319" spans="1:1" x14ac:dyDescent="0.2">
      <c r="A319" s="159" t="s">
        <v>903</v>
      </c>
    </row>
    <row r="320" spans="1:1" x14ac:dyDescent="0.2">
      <c r="A320" s="159" t="s">
        <v>904</v>
      </c>
    </row>
    <row r="321" spans="1:1" x14ac:dyDescent="0.2">
      <c r="A321" s="159" t="s">
        <v>905</v>
      </c>
    </row>
    <row r="322" spans="1:1" x14ac:dyDescent="0.2">
      <c r="A322" s="159" t="s">
        <v>906</v>
      </c>
    </row>
    <row r="323" spans="1:1" x14ac:dyDescent="0.2">
      <c r="A323" s="159" t="s">
        <v>907</v>
      </c>
    </row>
    <row r="324" spans="1:1" x14ac:dyDescent="0.2">
      <c r="A324" s="159" t="s">
        <v>758</v>
      </c>
    </row>
    <row r="325" spans="1:1" x14ac:dyDescent="0.2">
      <c r="A325" s="159" t="s">
        <v>908</v>
      </c>
    </row>
    <row r="326" spans="1:1" x14ac:dyDescent="0.2">
      <c r="A326" s="159" t="s">
        <v>909</v>
      </c>
    </row>
    <row r="327" spans="1:1" x14ac:dyDescent="0.2">
      <c r="A327" s="159" t="s">
        <v>910</v>
      </c>
    </row>
    <row r="328" spans="1:1" x14ac:dyDescent="0.2">
      <c r="A328" s="159" t="s">
        <v>759</v>
      </c>
    </row>
    <row r="329" spans="1:1" x14ac:dyDescent="0.2">
      <c r="A329" s="159" t="s">
        <v>911</v>
      </c>
    </row>
    <row r="330" spans="1:1" x14ac:dyDescent="0.2">
      <c r="A330" s="159" t="s">
        <v>760</v>
      </c>
    </row>
    <row r="331" spans="1:1" x14ac:dyDescent="0.2">
      <c r="A331" s="159" t="s">
        <v>761</v>
      </c>
    </row>
    <row r="332" spans="1:1" x14ac:dyDescent="0.2">
      <c r="A332" s="159" t="s">
        <v>912</v>
      </c>
    </row>
    <row r="333" spans="1:1" x14ac:dyDescent="0.2">
      <c r="A333" s="159" t="s">
        <v>913</v>
      </c>
    </row>
    <row r="334" spans="1:1" x14ac:dyDescent="0.2">
      <c r="A334" s="159" t="s">
        <v>762</v>
      </c>
    </row>
    <row r="335" spans="1:1" x14ac:dyDescent="0.2">
      <c r="A335" s="159" t="s">
        <v>914</v>
      </c>
    </row>
    <row r="336" spans="1:1" x14ac:dyDescent="0.2">
      <c r="A336" s="159" t="s">
        <v>915</v>
      </c>
    </row>
    <row r="337" spans="1:1" x14ac:dyDescent="0.2">
      <c r="A337" s="159" t="s">
        <v>1091</v>
      </c>
    </row>
    <row r="338" spans="1:1" x14ac:dyDescent="0.2">
      <c r="A338" s="159" t="s">
        <v>916</v>
      </c>
    </row>
    <row r="339" spans="1:1" x14ac:dyDescent="0.2">
      <c r="A339" s="159" t="s">
        <v>917</v>
      </c>
    </row>
    <row r="340" spans="1:1" x14ac:dyDescent="0.2">
      <c r="A340" s="159" t="s">
        <v>918</v>
      </c>
    </row>
    <row r="341" spans="1:1" x14ac:dyDescent="0.2">
      <c r="A341" s="159" t="s">
        <v>919</v>
      </c>
    </row>
    <row r="342" spans="1:1" x14ac:dyDescent="0.2">
      <c r="A342" s="159" t="s">
        <v>920</v>
      </c>
    </row>
    <row r="343" spans="1:1" x14ac:dyDescent="0.2">
      <c r="A343" s="159" t="s">
        <v>921</v>
      </c>
    </row>
    <row r="344" spans="1:1" x14ac:dyDescent="0.2">
      <c r="A344" s="159" t="s">
        <v>922</v>
      </c>
    </row>
    <row r="345" spans="1:1" x14ac:dyDescent="0.2">
      <c r="A345" s="159" t="s">
        <v>923</v>
      </c>
    </row>
    <row r="346" spans="1:1" x14ac:dyDescent="0.2">
      <c r="A346" s="159" t="s">
        <v>763</v>
      </c>
    </row>
    <row r="347" spans="1:1" x14ac:dyDescent="0.2">
      <c r="A347" s="159" t="s">
        <v>764</v>
      </c>
    </row>
    <row r="348" spans="1:1" x14ac:dyDescent="0.2">
      <c r="A348" s="159" t="s">
        <v>924</v>
      </c>
    </row>
    <row r="349" spans="1:1" x14ac:dyDescent="0.2">
      <c r="A349" s="159" t="s">
        <v>925</v>
      </c>
    </row>
    <row r="350" spans="1:1" x14ac:dyDescent="0.2">
      <c r="A350" s="159" t="s">
        <v>926</v>
      </c>
    </row>
    <row r="351" spans="1:1" x14ac:dyDescent="0.2">
      <c r="A351" s="159" t="s">
        <v>765</v>
      </c>
    </row>
    <row r="352" spans="1:1" x14ac:dyDescent="0.2">
      <c r="A352" s="159" t="s">
        <v>927</v>
      </c>
    </row>
    <row r="353" spans="1:1" x14ac:dyDescent="0.2">
      <c r="A353" s="159" t="s">
        <v>766</v>
      </c>
    </row>
    <row r="354" spans="1:1" x14ac:dyDescent="0.2">
      <c r="A354" s="159" t="s">
        <v>767</v>
      </c>
    </row>
    <row r="355" spans="1:1" x14ac:dyDescent="0.2">
      <c r="A355" s="159" t="s">
        <v>768</v>
      </c>
    </row>
    <row r="356" spans="1:1" x14ac:dyDescent="0.2">
      <c r="A356" s="159" t="s">
        <v>928</v>
      </c>
    </row>
    <row r="357" spans="1:1" x14ac:dyDescent="0.2">
      <c r="A357" s="159" t="s">
        <v>769</v>
      </c>
    </row>
    <row r="358" spans="1:1" x14ac:dyDescent="0.2">
      <c r="A358" s="159" t="s">
        <v>770</v>
      </c>
    </row>
    <row r="359" spans="1:1" x14ac:dyDescent="0.2">
      <c r="A359" s="159" t="s">
        <v>771</v>
      </c>
    </row>
    <row r="360" spans="1:1" x14ac:dyDescent="0.2">
      <c r="A360" s="159" t="s">
        <v>929</v>
      </c>
    </row>
    <row r="361" spans="1:1" x14ac:dyDescent="0.2">
      <c r="A361" s="159" t="s">
        <v>772</v>
      </c>
    </row>
    <row r="362" spans="1:1" x14ac:dyDescent="0.2">
      <c r="A362" s="159" t="s">
        <v>930</v>
      </c>
    </row>
    <row r="363" spans="1:1" x14ac:dyDescent="0.2">
      <c r="A363" s="159" t="s">
        <v>931</v>
      </c>
    </row>
    <row r="364" spans="1:1" x14ac:dyDescent="0.2">
      <c r="A364" s="159" t="s">
        <v>932</v>
      </c>
    </row>
    <row r="365" spans="1:1" x14ac:dyDescent="0.2">
      <c r="A365" s="159" t="s">
        <v>933</v>
      </c>
    </row>
    <row r="366" spans="1:1" x14ac:dyDescent="0.2">
      <c r="A366" s="159" t="s">
        <v>934</v>
      </c>
    </row>
    <row r="367" spans="1:1" x14ac:dyDescent="0.2">
      <c r="A367" s="159" t="s">
        <v>935</v>
      </c>
    </row>
    <row r="368" spans="1:1" x14ac:dyDescent="0.2">
      <c r="A368" s="159" t="s">
        <v>936</v>
      </c>
    </row>
    <row r="369" spans="1:1" x14ac:dyDescent="0.2">
      <c r="A369" s="159" t="s">
        <v>937</v>
      </c>
    </row>
    <row r="370" spans="1:1" x14ac:dyDescent="0.2">
      <c r="A370" s="159" t="s">
        <v>938</v>
      </c>
    </row>
    <row r="371" spans="1:1" x14ac:dyDescent="0.2">
      <c r="A371" s="159" t="s">
        <v>939</v>
      </c>
    </row>
    <row r="372" spans="1:1" x14ac:dyDescent="0.2">
      <c r="A372" s="159" t="s">
        <v>940</v>
      </c>
    </row>
    <row r="373" spans="1:1" x14ac:dyDescent="0.2">
      <c r="A373" s="159" t="s">
        <v>773</v>
      </c>
    </row>
    <row r="374" spans="1:1" x14ac:dyDescent="0.2">
      <c r="A374" s="159" t="s">
        <v>941</v>
      </c>
    </row>
    <row r="375" spans="1:1" x14ac:dyDescent="0.2">
      <c r="A375" s="159" t="s">
        <v>774</v>
      </c>
    </row>
    <row r="376" spans="1:1" x14ac:dyDescent="0.2">
      <c r="A376" s="159" t="s">
        <v>942</v>
      </c>
    </row>
    <row r="377" spans="1:1" x14ac:dyDescent="0.2">
      <c r="A377" s="159" t="s">
        <v>0</v>
      </c>
    </row>
    <row r="378" spans="1:1" x14ac:dyDescent="0.2">
      <c r="A378" s="159" t="s">
        <v>1</v>
      </c>
    </row>
    <row r="379" spans="1:1" x14ac:dyDescent="0.2">
      <c r="A379" s="159" t="s">
        <v>2</v>
      </c>
    </row>
    <row r="380" spans="1:1" x14ac:dyDescent="0.2">
      <c r="A380" s="159" t="s">
        <v>3</v>
      </c>
    </row>
    <row r="381" spans="1:1" x14ac:dyDescent="0.2">
      <c r="A381" s="159" t="s">
        <v>943</v>
      </c>
    </row>
    <row r="382" spans="1:1" x14ac:dyDescent="0.2">
      <c r="A382" s="159" t="s">
        <v>944</v>
      </c>
    </row>
    <row r="383" spans="1:1" x14ac:dyDescent="0.2">
      <c r="A383" s="159" t="s">
        <v>945</v>
      </c>
    </row>
    <row r="384" spans="1:1" x14ac:dyDescent="0.2">
      <c r="A384" s="159" t="s">
        <v>4</v>
      </c>
    </row>
    <row r="385" spans="1:1" x14ac:dyDescent="0.2">
      <c r="A385" s="159" t="s">
        <v>946</v>
      </c>
    </row>
    <row r="386" spans="1:1" x14ac:dyDescent="0.2">
      <c r="A386" s="159" t="s">
        <v>947</v>
      </c>
    </row>
    <row r="387" spans="1:1" x14ac:dyDescent="0.2">
      <c r="A387" s="159" t="s">
        <v>948</v>
      </c>
    </row>
    <row r="388" spans="1:1" x14ac:dyDescent="0.2">
      <c r="A388" s="159" t="s">
        <v>949</v>
      </c>
    </row>
    <row r="389" spans="1:1" x14ac:dyDescent="0.2">
      <c r="A389" s="159" t="s">
        <v>950</v>
      </c>
    </row>
    <row r="390" spans="1:1" x14ac:dyDescent="0.2">
      <c r="A390" s="159" t="s">
        <v>951</v>
      </c>
    </row>
    <row r="391" spans="1:1" x14ac:dyDescent="0.2">
      <c r="A391" s="159" t="s">
        <v>952</v>
      </c>
    </row>
    <row r="392" spans="1:1" x14ac:dyDescent="0.2">
      <c r="A392" s="159" t="s">
        <v>953</v>
      </c>
    </row>
    <row r="393" spans="1:1" x14ac:dyDescent="0.2">
      <c r="A393" s="159" t="s">
        <v>5</v>
      </c>
    </row>
    <row r="394" spans="1:1" x14ac:dyDescent="0.2">
      <c r="A394" s="159" t="s">
        <v>6</v>
      </c>
    </row>
    <row r="395" spans="1:1" x14ac:dyDescent="0.2">
      <c r="A395" s="159" t="s">
        <v>954</v>
      </c>
    </row>
    <row r="396" spans="1:1" x14ac:dyDescent="0.2">
      <c r="A396" s="159" t="s">
        <v>955</v>
      </c>
    </row>
    <row r="397" spans="1:1" x14ac:dyDescent="0.2">
      <c r="A397" s="159" t="s">
        <v>7</v>
      </c>
    </row>
    <row r="398" spans="1:1" x14ac:dyDescent="0.2">
      <c r="A398" s="159" t="s">
        <v>956</v>
      </c>
    </row>
    <row r="399" spans="1:1" x14ac:dyDescent="0.2">
      <c r="A399" s="159" t="s">
        <v>8</v>
      </c>
    </row>
    <row r="400" spans="1:1" x14ac:dyDescent="0.2">
      <c r="A400" s="159" t="s">
        <v>957</v>
      </c>
    </row>
    <row r="401" spans="1:1" x14ac:dyDescent="0.2">
      <c r="A401" s="159" t="s">
        <v>958</v>
      </c>
    </row>
    <row r="402" spans="1:1" x14ac:dyDescent="0.2">
      <c r="A402" s="159" t="s">
        <v>959</v>
      </c>
    </row>
    <row r="403" spans="1:1" x14ac:dyDescent="0.2">
      <c r="A403" s="159" t="s">
        <v>9</v>
      </c>
    </row>
    <row r="404" spans="1:1" x14ac:dyDescent="0.2">
      <c r="A404" s="159" t="s">
        <v>960</v>
      </c>
    </row>
    <row r="405" spans="1:1" x14ac:dyDescent="0.2">
      <c r="A405" s="159" t="s">
        <v>961</v>
      </c>
    </row>
    <row r="406" spans="1:1" x14ac:dyDescent="0.2">
      <c r="A406" s="159" t="s">
        <v>10</v>
      </c>
    </row>
    <row r="407" spans="1:1" x14ac:dyDescent="0.2">
      <c r="A407" s="159" t="s">
        <v>11</v>
      </c>
    </row>
    <row r="408" spans="1:1" x14ac:dyDescent="0.2">
      <c r="A408" s="159" t="s">
        <v>962</v>
      </c>
    </row>
    <row r="409" spans="1:1" x14ac:dyDescent="0.2">
      <c r="A409" s="159" t="s">
        <v>12</v>
      </c>
    </row>
    <row r="410" spans="1:1" x14ac:dyDescent="0.2">
      <c r="A410" s="159" t="s">
        <v>13</v>
      </c>
    </row>
    <row r="411" spans="1:1" x14ac:dyDescent="0.2">
      <c r="A411" s="159" t="s">
        <v>963</v>
      </c>
    </row>
    <row r="412" spans="1:1" x14ac:dyDescent="0.2">
      <c r="A412" s="159" t="s">
        <v>14</v>
      </c>
    </row>
    <row r="413" spans="1:1" x14ac:dyDescent="0.2">
      <c r="A413" s="159" t="s">
        <v>964</v>
      </c>
    </row>
    <row r="414" spans="1:1" x14ac:dyDescent="0.2">
      <c r="A414" s="159" t="s">
        <v>15</v>
      </c>
    </row>
    <row r="415" spans="1:1" x14ac:dyDescent="0.2">
      <c r="A415" s="159" t="s">
        <v>965</v>
      </c>
    </row>
    <row r="416" spans="1:1" x14ac:dyDescent="0.2">
      <c r="A416" s="159" t="s">
        <v>966</v>
      </c>
    </row>
    <row r="417" spans="1:1" x14ac:dyDescent="0.2">
      <c r="A417" s="159" t="s">
        <v>967</v>
      </c>
    </row>
    <row r="418" spans="1:1" x14ac:dyDescent="0.2">
      <c r="A418" s="159" t="s">
        <v>968</v>
      </c>
    </row>
    <row r="419" spans="1:1" x14ac:dyDescent="0.2">
      <c r="A419" s="159" t="s">
        <v>969</v>
      </c>
    </row>
    <row r="420" spans="1:1" x14ac:dyDescent="0.2">
      <c r="A420" s="159" t="s">
        <v>970</v>
      </c>
    </row>
    <row r="421" spans="1:1" x14ac:dyDescent="0.2">
      <c r="A421" s="159" t="s">
        <v>971</v>
      </c>
    </row>
    <row r="422" spans="1:1" x14ac:dyDescent="0.2">
      <c r="A422" s="159" t="s">
        <v>16</v>
      </c>
    </row>
    <row r="423" spans="1:1" x14ac:dyDescent="0.2">
      <c r="A423" s="159" t="s">
        <v>972</v>
      </c>
    </row>
    <row r="424" spans="1:1" x14ac:dyDescent="0.2">
      <c r="A424" s="159" t="s">
        <v>973</v>
      </c>
    </row>
    <row r="425" spans="1:1" x14ac:dyDescent="0.2">
      <c r="A425" s="159" t="s">
        <v>974</v>
      </c>
    </row>
    <row r="426" spans="1:1" x14ac:dyDescent="0.2">
      <c r="A426" s="159" t="s">
        <v>975</v>
      </c>
    </row>
    <row r="427" spans="1:1" x14ac:dyDescent="0.2">
      <c r="A427" s="159" t="s">
        <v>45</v>
      </c>
    </row>
    <row r="428" spans="1:1" x14ac:dyDescent="0.2">
      <c r="A428" s="159" t="s">
        <v>976</v>
      </c>
    </row>
    <row r="429" spans="1:1" x14ac:dyDescent="0.2">
      <c r="A429" s="159" t="s">
        <v>46</v>
      </c>
    </row>
    <row r="430" spans="1:1" x14ac:dyDescent="0.2">
      <c r="A430" s="159" t="s">
        <v>977</v>
      </c>
    </row>
    <row r="431" spans="1:1" x14ac:dyDescent="0.2">
      <c r="A431" s="159" t="s">
        <v>978</v>
      </c>
    </row>
    <row r="432" spans="1:1" x14ac:dyDescent="0.2">
      <c r="A432" s="159" t="s">
        <v>979</v>
      </c>
    </row>
    <row r="433" spans="1:1" x14ac:dyDescent="0.2">
      <c r="A433" s="159" t="s">
        <v>980</v>
      </c>
    </row>
    <row r="434" spans="1:1" x14ac:dyDescent="0.2">
      <c r="A434" s="159" t="s">
        <v>981</v>
      </c>
    </row>
    <row r="435" spans="1:1" x14ac:dyDescent="0.2">
      <c r="A435" s="159" t="s">
        <v>982</v>
      </c>
    </row>
    <row r="436" spans="1:1" x14ac:dyDescent="0.2">
      <c r="A436" s="159" t="s">
        <v>983</v>
      </c>
    </row>
    <row r="437" spans="1:1" x14ac:dyDescent="0.2">
      <c r="A437" s="159" t="s">
        <v>984</v>
      </c>
    </row>
    <row r="438" spans="1:1" x14ac:dyDescent="0.2">
      <c r="A438" s="159" t="s">
        <v>47</v>
      </c>
    </row>
    <row r="439" spans="1:1" x14ac:dyDescent="0.2">
      <c r="A439" s="159" t="s">
        <v>985</v>
      </c>
    </row>
    <row r="440" spans="1:1" x14ac:dyDescent="0.2">
      <c r="A440" s="159" t="s">
        <v>986</v>
      </c>
    </row>
    <row r="441" spans="1:1" x14ac:dyDescent="0.2">
      <c r="A441" s="159" t="s">
        <v>987</v>
      </c>
    </row>
    <row r="442" spans="1:1" x14ac:dyDescent="0.2">
      <c r="A442" s="159" t="s">
        <v>988</v>
      </c>
    </row>
    <row r="443" spans="1:1" x14ac:dyDescent="0.2">
      <c r="A443" s="159" t="s">
        <v>989</v>
      </c>
    </row>
    <row r="444" spans="1:1" x14ac:dyDescent="0.2">
      <c r="A444" s="159" t="s">
        <v>990</v>
      </c>
    </row>
    <row r="445" spans="1:1" x14ac:dyDescent="0.2">
      <c r="A445" s="159" t="s">
        <v>48</v>
      </c>
    </row>
    <row r="446" spans="1:1" x14ac:dyDescent="0.2">
      <c r="A446" s="159" t="s">
        <v>49</v>
      </c>
    </row>
    <row r="447" spans="1:1" x14ac:dyDescent="0.2">
      <c r="A447" s="159" t="s">
        <v>50</v>
      </c>
    </row>
    <row r="448" spans="1:1" x14ac:dyDescent="0.2">
      <c r="A448" s="159" t="s">
        <v>51</v>
      </c>
    </row>
    <row r="449" spans="1:1" x14ac:dyDescent="0.2">
      <c r="A449" s="159" t="s">
        <v>52</v>
      </c>
    </row>
    <row r="450" spans="1:1" x14ac:dyDescent="0.2">
      <c r="A450" s="159" t="s">
        <v>991</v>
      </c>
    </row>
    <row r="451" spans="1:1" x14ac:dyDescent="0.2">
      <c r="A451" s="159" t="s">
        <v>992</v>
      </c>
    </row>
    <row r="452" spans="1:1" x14ac:dyDescent="0.2">
      <c r="A452" s="159" t="s">
        <v>993</v>
      </c>
    </row>
    <row r="453" spans="1:1" x14ac:dyDescent="0.2">
      <c r="A453" s="159" t="s">
        <v>994</v>
      </c>
    </row>
    <row r="454" spans="1:1" x14ac:dyDescent="0.2">
      <c r="A454" s="159" t="s">
        <v>995</v>
      </c>
    </row>
    <row r="455" spans="1:1" x14ac:dyDescent="0.2">
      <c r="A455" s="159" t="s">
        <v>996</v>
      </c>
    </row>
    <row r="456" spans="1:1" x14ac:dyDescent="0.2">
      <c r="A456" s="159" t="s">
        <v>997</v>
      </c>
    </row>
    <row r="457" spans="1:1" x14ac:dyDescent="0.2">
      <c r="A457" s="159" t="s">
        <v>53</v>
      </c>
    </row>
    <row r="458" spans="1:1" x14ac:dyDescent="0.2">
      <c r="A458" s="159" t="s">
        <v>998</v>
      </c>
    </row>
    <row r="459" spans="1:1" x14ac:dyDescent="0.2">
      <c r="A459" s="159" t="s">
        <v>54</v>
      </c>
    </row>
    <row r="460" spans="1:1" x14ac:dyDescent="0.2">
      <c r="A460" s="159" t="s">
        <v>999</v>
      </c>
    </row>
    <row r="461" spans="1:1" x14ac:dyDescent="0.2">
      <c r="A461" s="159" t="s">
        <v>55</v>
      </c>
    </row>
    <row r="462" spans="1:1" x14ac:dyDescent="0.2">
      <c r="A462" s="159" t="s">
        <v>56</v>
      </c>
    </row>
    <row r="463" spans="1:1" x14ac:dyDescent="0.2">
      <c r="A463" s="159" t="s">
        <v>1000</v>
      </c>
    </row>
    <row r="464" spans="1:1" x14ac:dyDescent="0.2">
      <c r="A464" s="159" t="s">
        <v>108</v>
      </c>
    </row>
    <row r="465" spans="1:1" x14ac:dyDescent="0.2">
      <c r="A465" s="159" t="s">
        <v>1001</v>
      </c>
    </row>
    <row r="466" spans="1:1" x14ac:dyDescent="0.2">
      <c r="A466" s="159" t="s">
        <v>1002</v>
      </c>
    </row>
    <row r="467" spans="1:1" x14ac:dyDescent="0.2">
      <c r="A467" s="159" t="s">
        <v>1003</v>
      </c>
    </row>
    <row r="468" spans="1:1" x14ac:dyDescent="0.2">
      <c r="A468" s="159" t="s">
        <v>57</v>
      </c>
    </row>
    <row r="469" spans="1:1" x14ac:dyDescent="0.2">
      <c r="A469" s="159" t="s">
        <v>1004</v>
      </c>
    </row>
    <row r="470" spans="1:1" x14ac:dyDescent="0.2">
      <c r="A470" s="159" t="s">
        <v>59</v>
      </c>
    </row>
    <row r="471" spans="1:1" x14ac:dyDescent="0.2">
      <c r="A471" s="159" t="s">
        <v>1005</v>
      </c>
    </row>
    <row r="472" spans="1:1" x14ac:dyDescent="0.2">
      <c r="A472" s="159" t="s">
        <v>60</v>
      </c>
    </row>
    <row r="473" spans="1:1" x14ac:dyDescent="0.2">
      <c r="A473" s="159" t="s">
        <v>61</v>
      </c>
    </row>
    <row r="474" spans="1:1" x14ac:dyDescent="0.2">
      <c r="A474" s="159" t="s">
        <v>1006</v>
      </c>
    </row>
    <row r="475" spans="1:1" x14ac:dyDescent="0.2">
      <c r="A475" s="159" t="s">
        <v>62</v>
      </c>
    </row>
    <row r="476" spans="1:1" x14ac:dyDescent="0.2">
      <c r="A476" s="159" t="s">
        <v>63</v>
      </c>
    </row>
    <row r="477" spans="1:1" x14ac:dyDescent="0.2">
      <c r="A477" s="159" t="s">
        <v>1007</v>
      </c>
    </row>
    <row r="478" spans="1:1" x14ac:dyDescent="0.2">
      <c r="A478" s="159" t="s">
        <v>64</v>
      </c>
    </row>
    <row r="479" spans="1:1" x14ac:dyDescent="0.2">
      <c r="A479" s="159" t="s">
        <v>1008</v>
      </c>
    </row>
    <row r="480" spans="1:1" x14ac:dyDescent="0.2">
      <c r="A480" s="159" t="s">
        <v>65</v>
      </c>
    </row>
    <row r="481" spans="1:1" x14ac:dyDescent="0.2">
      <c r="A481" s="159" t="s">
        <v>1009</v>
      </c>
    </row>
    <row r="482" spans="1:1" x14ac:dyDescent="0.2">
      <c r="A482" s="159" t="s">
        <v>1010</v>
      </c>
    </row>
    <row r="483" spans="1:1" x14ac:dyDescent="0.2">
      <c r="A483" s="159" t="s">
        <v>66</v>
      </c>
    </row>
    <row r="484" spans="1:1" x14ac:dyDescent="0.2">
      <c r="A484" s="159" t="s">
        <v>67</v>
      </c>
    </row>
    <row r="485" spans="1:1" x14ac:dyDescent="0.2">
      <c r="A485" s="159" t="s">
        <v>68</v>
      </c>
    </row>
    <row r="486" spans="1:1" x14ac:dyDescent="0.2">
      <c r="A486" s="159" t="s">
        <v>69</v>
      </c>
    </row>
    <row r="487" spans="1:1" x14ac:dyDescent="0.2">
      <c r="A487" s="159" t="s">
        <v>1011</v>
      </c>
    </row>
    <row r="488" spans="1:1" x14ac:dyDescent="0.2">
      <c r="A488" s="159" t="s">
        <v>1012</v>
      </c>
    </row>
    <row r="489" spans="1:1" x14ac:dyDescent="0.2">
      <c r="A489" s="159" t="s">
        <v>1013</v>
      </c>
    </row>
    <row r="490" spans="1:1" x14ac:dyDescent="0.2">
      <c r="A490" s="159" t="s">
        <v>70</v>
      </c>
    </row>
    <row r="491" spans="1:1" x14ac:dyDescent="0.2">
      <c r="A491" s="159" t="s">
        <v>1014</v>
      </c>
    </row>
    <row r="492" spans="1:1" x14ac:dyDescent="0.2">
      <c r="A492" s="159" t="s">
        <v>1015</v>
      </c>
    </row>
    <row r="493" spans="1:1" x14ac:dyDescent="0.2">
      <c r="A493" s="159" t="s">
        <v>1016</v>
      </c>
    </row>
    <row r="494" spans="1:1" x14ac:dyDescent="0.2">
      <c r="A494" s="159" t="s">
        <v>71</v>
      </c>
    </row>
    <row r="495" spans="1:1" x14ac:dyDescent="0.2">
      <c r="A495" s="159" t="s">
        <v>1103</v>
      </c>
    </row>
    <row r="496" spans="1:1" x14ac:dyDescent="0.2">
      <c r="A496" s="159" t="s">
        <v>72</v>
      </c>
    </row>
    <row r="497" spans="1:1" x14ac:dyDescent="0.2">
      <c r="A497" s="159" t="s">
        <v>73</v>
      </c>
    </row>
    <row r="498" spans="1:1" x14ac:dyDescent="0.2">
      <c r="A498" s="159" t="s">
        <v>74</v>
      </c>
    </row>
    <row r="499" spans="1:1" x14ac:dyDescent="0.2">
      <c r="A499" s="159" t="s">
        <v>75</v>
      </c>
    </row>
    <row r="500" spans="1:1" x14ac:dyDescent="0.2">
      <c r="A500" s="159" t="s">
        <v>76</v>
      </c>
    </row>
    <row r="501" spans="1:1" x14ac:dyDescent="0.2">
      <c r="A501" s="159" t="s">
        <v>1017</v>
      </c>
    </row>
    <row r="502" spans="1:1" x14ac:dyDescent="0.2">
      <c r="A502" s="159" t="s">
        <v>77</v>
      </c>
    </row>
    <row r="503" spans="1:1" x14ac:dyDescent="0.2">
      <c r="A503" s="159" t="s">
        <v>1018</v>
      </c>
    </row>
    <row r="504" spans="1:1" x14ac:dyDescent="0.2">
      <c r="A504" s="159" t="s">
        <v>1019</v>
      </c>
    </row>
    <row r="505" spans="1:1" x14ac:dyDescent="0.2">
      <c r="A505" s="159" t="s">
        <v>1020</v>
      </c>
    </row>
    <row r="506" spans="1:1" x14ac:dyDescent="0.2">
      <c r="A506" s="159" t="s">
        <v>1021</v>
      </c>
    </row>
    <row r="507" spans="1:1" x14ac:dyDescent="0.2">
      <c r="A507" s="159" t="s">
        <v>78</v>
      </c>
    </row>
    <row r="508" spans="1:1" x14ac:dyDescent="0.2">
      <c r="A508" s="159" t="s">
        <v>79</v>
      </c>
    </row>
    <row r="509" spans="1:1" x14ac:dyDescent="0.2">
      <c r="A509" s="159" t="s">
        <v>80</v>
      </c>
    </row>
    <row r="510" spans="1:1" x14ac:dyDescent="0.2">
      <c r="A510" s="159" t="s">
        <v>39</v>
      </c>
    </row>
    <row r="511" spans="1:1" x14ac:dyDescent="0.2">
      <c r="A511" s="159" t="s">
        <v>81</v>
      </c>
    </row>
    <row r="512" spans="1:1" x14ac:dyDescent="0.2">
      <c r="A512" s="159" t="s">
        <v>82</v>
      </c>
    </row>
    <row r="513" spans="1:1" x14ac:dyDescent="0.2">
      <c r="A513" s="159" t="s">
        <v>1022</v>
      </c>
    </row>
    <row r="514" spans="1:1" x14ac:dyDescent="0.2">
      <c r="A514" s="159" t="s">
        <v>1023</v>
      </c>
    </row>
    <row r="515" spans="1:1" x14ac:dyDescent="0.2">
      <c r="A515" s="159" t="s">
        <v>1024</v>
      </c>
    </row>
    <row r="516" spans="1:1" x14ac:dyDescent="0.2">
      <c r="A516" s="159" t="s">
        <v>83</v>
      </c>
    </row>
    <row r="517" spans="1:1" x14ac:dyDescent="0.2">
      <c r="A517" s="159" t="s">
        <v>84</v>
      </c>
    </row>
    <row r="518" spans="1:1" x14ac:dyDescent="0.2">
      <c r="A518" s="159" t="s">
        <v>1025</v>
      </c>
    </row>
    <row r="519" spans="1:1" x14ac:dyDescent="0.2">
      <c r="A519" s="159" t="s">
        <v>1026</v>
      </c>
    </row>
    <row r="520" spans="1:1" x14ac:dyDescent="0.2">
      <c r="A520" s="159" t="s">
        <v>1027</v>
      </c>
    </row>
    <row r="521" spans="1:1" x14ac:dyDescent="0.2">
      <c r="A521" s="159" t="s">
        <v>85</v>
      </c>
    </row>
    <row r="522" spans="1:1" x14ac:dyDescent="0.2">
      <c r="A522" s="159" t="s">
        <v>86</v>
      </c>
    </row>
    <row r="523" spans="1:1" x14ac:dyDescent="0.2">
      <c r="A523" s="159" t="s">
        <v>1028</v>
      </c>
    </row>
    <row r="524" spans="1:1" x14ac:dyDescent="0.2">
      <c r="A524" s="159" t="s">
        <v>1029</v>
      </c>
    </row>
    <row r="525" spans="1:1" x14ac:dyDescent="0.2">
      <c r="A525" s="159" t="s">
        <v>1030</v>
      </c>
    </row>
    <row r="526" spans="1:1" x14ac:dyDescent="0.2">
      <c r="A526" s="159" t="s">
        <v>1031</v>
      </c>
    </row>
    <row r="527" spans="1:1" x14ac:dyDescent="0.2">
      <c r="A527" s="159" t="s">
        <v>87</v>
      </c>
    </row>
    <row r="528" spans="1:1" x14ac:dyDescent="0.2">
      <c r="A528" s="159" t="s">
        <v>88</v>
      </c>
    </row>
    <row r="529" spans="1:1" x14ac:dyDescent="0.2">
      <c r="A529" s="159" t="s">
        <v>89</v>
      </c>
    </row>
    <row r="530" spans="1:1" x14ac:dyDescent="0.2">
      <c r="A530" s="159" t="s">
        <v>90</v>
      </c>
    </row>
    <row r="531" spans="1:1" x14ac:dyDescent="0.2">
      <c r="A531" s="159" t="s">
        <v>1032</v>
      </c>
    </row>
    <row r="532" spans="1:1" x14ac:dyDescent="0.2">
      <c r="A532" s="159" t="s">
        <v>1033</v>
      </c>
    </row>
    <row r="533" spans="1:1" x14ac:dyDescent="0.2">
      <c r="A533" s="159" t="s">
        <v>1034</v>
      </c>
    </row>
    <row r="534" spans="1:1" x14ac:dyDescent="0.2">
      <c r="A534" s="159" t="s">
        <v>91</v>
      </c>
    </row>
    <row r="535" spans="1:1" x14ac:dyDescent="0.2">
      <c r="A535" s="159" t="s">
        <v>1035</v>
      </c>
    </row>
    <row r="536" spans="1:1" x14ac:dyDescent="0.2">
      <c r="A536" s="159" t="s">
        <v>1036</v>
      </c>
    </row>
    <row r="537" spans="1:1" x14ac:dyDescent="0.2">
      <c r="A537" s="159" t="s">
        <v>1037</v>
      </c>
    </row>
    <row r="538" spans="1:1" x14ac:dyDescent="0.2">
      <c r="A538" s="159" t="s">
        <v>92</v>
      </c>
    </row>
    <row r="539" spans="1:1" x14ac:dyDescent="0.2">
      <c r="A539" s="159" t="s">
        <v>1038</v>
      </c>
    </row>
    <row r="540" spans="1:1" x14ac:dyDescent="0.2">
      <c r="A540" s="159" t="s">
        <v>1039</v>
      </c>
    </row>
    <row r="541" spans="1:1" x14ac:dyDescent="0.2">
      <c r="A541" s="159" t="s">
        <v>93</v>
      </c>
    </row>
    <row r="542" spans="1:1" x14ac:dyDescent="0.2">
      <c r="A542" s="159" t="s">
        <v>94</v>
      </c>
    </row>
    <row r="543" spans="1:1" x14ac:dyDescent="0.2">
      <c r="A543" s="159" t="s">
        <v>1040</v>
      </c>
    </row>
    <row r="544" spans="1:1" x14ac:dyDescent="0.2">
      <c r="A544" s="159" t="s">
        <v>95</v>
      </c>
    </row>
    <row r="545" spans="1:1" x14ac:dyDescent="0.2">
      <c r="A545" s="159" t="s">
        <v>96</v>
      </c>
    </row>
    <row r="546" spans="1:1" x14ac:dyDescent="0.2">
      <c r="A546" s="159" t="s">
        <v>97</v>
      </c>
    </row>
    <row r="547" spans="1:1" x14ac:dyDescent="0.2">
      <c r="A547" s="159" t="s">
        <v>98</v>
      </c>
    </row>
    <row r="548" spans="1:1" x14ac:dyDescent="0.2">
      <c r="A548" s="159" t="s">
        <v>99</v>
      </c>
    </row>
    <row r="549" spans="1:1" x14ac:dyDescent="0.2">
      <c r="A549" s="159" t="s">
        <v>100</v>
      </c>
    </row>
    <row r="550" spans="1:1" x14ac:dyDescent="0.2">
      <c r="A550" s="159" t="s">
        <v>101</v>
      </c>
    </row>
    <row r="551" spans="1:1" x14ac:dyDescent="0.2">
      <c r="A551" s="159" t="s">
        <v>102</v>
      </c>
    </row>
    <row r="552" spans="1:1" x14ac:dyDescent="0.2">
      <c r="A552" s="159" t="s">
        <v>103</v>
      </c>
    </row>
    <row r="553" spans="1:1" x14ac:dyDescent="0.2">
      <c r="A553" s="159" t="s">
        <v>1041</v>
      </c>
    </row>
    <row r="554" spans="1:1" x14ac:dyDescent="0.2">
      <c r="A554" s="159" t="s">
        <v>104</v>
      </c>
    </row>
    <row r="555" spans="1:1" x14ac:dyDescent="0.2">
      <c r="A555" s="159" t="s">
        <v>1042</v>
      </c>
    </row>
    <row r="556" spans="1:1" x14ac:dyDescent="0.2">
      <c r="A556" s="159" t="s">
        <v>105</v>
      </c>
    </row>
    <row r="557" spans="1:1" x14ac:dyDescent="0.2">
      <c r="A557" s="159" t="s">
        <v>106</v>
      </c>
    </row>
    <row r="558" spans="1:1" x14ac:dyDescent="0.2">
      <c r="A558" s="159" t="s">
        <v>1043</v>
      </c>
    </row>
    <row r="559" spans="1:1" x14ac:dyDescent="0.2">
      <c r="A559" s="159" t="s">
        <v>1044</v>
      </c>
    </row>
    <row r="560" spans="1:1" x14ac:dyDescent="0.2">
      <c r="A560" s="159" t="s">
        <v>1057</v>
      </c>
    </row>
    <row r="561" spans="1:1" x14ac:dyDescent="0.2">
      <c r="A561" s="159" t="s">
        <v>107</v>
      </c>
    </row>
    <row r="562" spans="1:1" x14ac:dyDescent="0.2">
      <c r="A562" s="159" t="s">
        <v>1046</v>
      </c>
    </row>
    <row r="563" spans="1:1" x14ac:dyDescent="0.2">
      <c r="A563" s="159" t="s">
        <v>1047</v>
      </c>
    </row>
    <row r="564" spans="1:1" x14ac:dyDescent="0.2">
      <c r="A564" s="159" t="s">
        <v>1048</v>
      </c>
    </row>
    <row r="565" spans="1:1" x14ac:dyDescent="0.2">
      <c r="A565" s="159" t="s">
        <v>1049</v>
      </c>
    </row>
    <row r="566" spans="1:1" x14ac:dyDescent="0.2">
      <c r="A566" s="159" t="s">
        <v>1050</v>
      </c>
    </row>
    <row r="567" spans="1:1" x14ac:dyDescent="0.2">
      <c r="A567" s="159" t="s">
        <v>109</v>
      </c>
    </row>
    <row r="568" spans="1:1" x14ac:dyDescent="0.2">
      <c r="A568" s="159" t="s">
        <v>1051</v>
      </c>
    </row>
    <row r="569" spans="1:1" x14ac:dyDescent="0.2">
      <c r="A569" s="159" t="s">
        <v>1052</v>
      </c>
    </row>
    <row r="570" spans="1:1" x14ac:dyDescent="0.2">
      <c r="A570" s="159" t="s">
        <v>1053</v>
      </c>
    </row>
    <row r="571" spans="1:1" x14ac:dyDescent="0.2">
      <c r="A571" s="159" t="s">
        <v>1054</v>
      </c>
    </row>
    <row r="572" spans="1:1" x14ac:dyDescent="0.2">
      <c r="A572" s="159" t="s">
        <v>110</v>
      </c>
    </row>
    <row r="573" spans="1:1" x14ac:dyDescent="0.2">
      <c r="A573" s="159" t="s">
        <v>1055</v>
      </c>
    </row>
    <row r="574" spans="1:1" x14ac:dyDescent="0.2">
      <c r="A574" s="159" t="s">
        <v>1056</v>
      </c>
    </row>
    <row r="575" spans="1:1" x14ac:dyDescent="0.2">
      <c r="A575" s="159" t="s">
        <v>1058</v>
      </c>
    </row>
    <row r="576" spans="1:1" x14ac:dyDescent="0.2">
      <c r="A576" s="159" t="s">
        <v>1059</v>
      </c>
    </row>
    <row r="577" spans="1:1" x14ac:dyDescent="0.2">
      <c r="A577" s="159" t="s">
        <v>111</v>
      </c>
    </row>
    <row r="578" spans="1:1" x14ac:dyDescent="0.2">
      <c r="A578" s="159" t="s">
        <v>112</v>
      </c>
    </row>
    <row r="579" spans="1:1" x14ac:dyDescent="0.2">
      <c r="A579" s="159" t="s">
        <v>1060</v>
      </c>
    </row>
    <row r="580" spans="1:1" x14ac:dyDescent="0.2">
      <c r="A580" s="159" t="s">
        <v>1108</v>
      </c>
    </row>
    <row r="581" spans="1:1" x14ac:dyDescent="0.2">
      <c r="A581" s="159" t="s">
        <v>113</v>
      </c>
    </row>
    <row r="582" spans="1:1" x14ac:dyDescent="0.2">
      <c r="A582" s="159" t="s">
        <v>1061</v>
      </c>
    </row>
    <row r="583" spans="1:1" x14ac:dyDescent="0.2">
      <c r="A583" s="159" t="s">
        <v>114</v>
      </c>
    </row>
    <row r="584" spans="1:1" x14ac:dyDescent="0.2">
      <c r="A584" s="159" t="s">
        <v>1062</v>
      </c>
    </row>
    <row r="585" spans="1:1" x14ac:dyDescent="0.2">
      <c r="A585" s="159" t="s">
        <v>1063</v>
      </c>
    </row>
    <row r="586" spans="1:1" x14ac:dyDescent="0.2">
      <c r="A586" s="159" t="s">
        <v>115</v>
      </c>
    </row>
    <row r="587" spans="1:1" x14ac:dyDescent="0.2">
      <c r="A587" s="159" t="s">
        <v>116</v>
      </c>
    </row>
    <row r="588" spans="1:1" x14ac:dyDescent="0.2">
      <c r="A588" s="159" t="s">
        <v>117</v>
      </c>
    </row>
    <row r="589" spans="1:1" x14ac:dyDescent="0.2">
      <c r="A589" s="159" t="s">
        <v>804</v>
      </c>
    </row>
    <row r="590" spans="1:1" x14ac:dyDescent="0.2">
      <c r="A590" s="159" t="s">
        <v>1065</v>
      </c>
    </row>
    <row r="591" spans="1:1" x14ac:dyDescent="0.2">
      <c r="A591" s="159" t="s">
        <v>1066</v>
      </c>
    </row>
    <row r="592" spans="1:1" x14ac:dyDescent="0.2">
      <c r="A592" s="159" t="s">
        <v>118</v>
      </c>
    </row>
    <row r="593" spans="1:1" x14ac:dyDescent="0.2">
      <c r="A593" s="159" t="s">
        <v>119</v>
      </c>
    </row>
    <row r="594" spans="1:1" x14ac:dyDescent="0.2">
      <c r="A594" s="159" t="s">
        <v>1067</v>
      </c>
    </row>
    <row r="595" spans="1:1" x14ac:dyDescent="0.2">
      <c r="A595" s="159" t="s">
        <v>1068</v>
      </c>
    </row>
    <row r="596" spans="1:1" x14ac:dyDescent="0.2">
      <c r="A596" s="159" t="s">
        <v>1069</v>
      </c>
    </row>
    <row r="597" spans="1:1" x14ac:dyDescent="0.2">
      <c r="A597" s="159" t="s">
        <v>1070</v>
      </c>
    </row>
    <row r="598" spans="1:1" x14ac:dyDescent="0.2">
      <c r="A598" s="159" t="s">
        <v>1071</v>
      </c>
    </row>
    <row r="599" spans="1:1" x14ac:dyDescent="0.2">
      <c r="A599" s="159" t="s">
        <v>1072</v>
      </c>
    </row>
    <row r="600" spans="1:1" x14ac:dyDescent="0.2">
      <c r="A600" s="159" t="s">
        <v>120</v>
      </c>
    </row>
    <row r="601" spans="1:1" x14ac:dyDescent="0.2">
      <c r="A601" s="159" t="s">
        <v>121</v>
      </c>
    </row>
    <row r="602" spans="1:1" x14ac:dyDescent="0.2">
      <c r="A602" s="159" t="s">
        <v>122</v>
      </c>
    </row>
    <row r="603" spans="1:1" x14ac:dyDescent="0.2">
      <c r="A603" s="159" t="s">
        <v>1073</v>
      </c>
    </row>
    <row r="604" spans="1:1" x14ac:dyDescent="0.2">
      <c r="A604" s="159" t="s">
        <v>1074</v>
      </c>
    </row>
    <row r="605" spans="1:1" x14ac:dyDescent="0.2">
      <c r="A605" s="159" t="s">
        <v>1075</v>
      </c>
    </row>
    <row r="606" spans="1:1" x14ac:dyDescent="0.2">
      <c r="A606" s="159" t="s">
        <v>788</v>
      </c>
    </row>
    <row r="607" spans="1:1" x14ac:dyDescent="0.2">
      <c r="A607" s="159" t="s">
        <v>40</v>
      </c>
    </row>
    <row r="608" spans="1:1" x14ac:dyDescent="0.2">
      <c r="A608" s="159" t="s">
        <v>1076</v>
      </c>
    </row>
    <row r="609" spans="1:1" x14ac:dyDescent="0.2">
      <c r="A609" s="159" t="s">
        <v>41</v>
      </c>
    </row>
    <row r="610" spans="1:1" x14ac:dyDescent="0.2">
      <c r="A610" s="159" t="s">
        <v>123</v>
      </c>
    </row>
    <row r="611" spans="1:1" x14ac:dyDescent="0.2">
      <c r="A611" s="159" t="s">
        <v>803</v>
      </c>
    </row>
    <row r="612" spans="1:1" x14ac:dyDescent="0.2">
      <c r="A612" s="159" t="s">
        <v>42</v>
      </c>
    </row>
    <row r="613" spans="1:1" x14ac:dyDescent="0.2">
      <c r="A613" s="159" t="s">
        <v>43</v>
      </c>
    </row>
    <row r="614" spans="1:1" x14ac:dyDescent="0.2">
      <c r="A614" s="159" t="s">
        <v>800</v>
      </c>
    </row>
    <row r="615" spans="1:1" x14ac:dyDescent="0.2">
      <c r="A615" s="159" t="s">
        <v>823</v>
      </c>
    </row>
    <row r="616" spans="1:1" x14ac:dyDescent="0.2">
      <c r="A616" s="159" t="s">
        <v>824</v>
      </c>
    </row>
    <row r="617" spans="1:1" x14ac:dyDescent="0.2">
      <c r="A617" s="159" t="s">
        <v>854</v>
      </c>
    </row>
    <row r="618" spans="1:1" x14ac:dyDescent="0.2">
      <c r="A618" s="159" t="s">
        <v>1077</v>
      </c>
    </row>
    <row r="619" spans="1:1" x14ac:dyDescent="0.2">
      <c r="A619" s="159" t="s">
        <v>124</v>
      </c>
    </row>
    <row r="620" spans="1:1" x14ac:dyDescent="0.2">
      <c r="A620" s="159" t="s">
        <v>125</v>
      </c>
    </row>
    <row r="621" spans="1:1" x14ac:dyDescent="0.2">
      <c r="A621" s="159" t="s">
        <v>126</v>
      </c>
    </row>
    <row r="622" spans="1:1" x14ac:dyDescent="0.2">
      <c r="A622" s="159" t="s">
        <v>127</v>
      </c>
    </row>
    <row r="623" spans="1:1" x14ac:dyDescent="0.2">
      <c r="A623" s="159" t="s">
        <v>128</v>
      </c>
    </row>
    <row r="624" spans="1:1" x14ac:dyDescent="0.2">
      <c r="A624" s="159" t="s">
        <v>129</v>
      </c>
    </row>
    <row r="625" spans="1:1" x14ac:dyDescent="0.2">
      <c r="A625" s="159" t="s">
        <v>1079</v>
      </c>
    </row>
    <row r="626" spans="1:1" x14ac:dyDescent="0.2">
      <c r="A626" s="159" t="s">
        <v>1080</v>
      </c>
    </row>
    <row r="627" spans="1:1" x14ac:dyDescent="0.2">
      <c r="A627" s="159" t="s">
        <v>130</v>
      </c>
    </row>
    <row r="628" spans="1:1" x14ac:dyDescent="0.2">
      <c r="A628" s="159" t="s">
        <v>812</v>
      </c>
    </row>
    <row r="629" spans="1:1" x14ac:dyDescent="0.2">
      <c r="A629" s="159" t="s">
        <v>1081</v>
      </c>
    </row>
    <row r="630" spans="1:1" x14ac:dyDescent="0.2">
      <c r="A630" s="159" t="s">
        <v>1082</v>
      </c>
    </row>
    <row r="631" spans="1:1" x14ac:dyDescent="0.2">
      <c r="A631" s="159" t="s">
        <v>1083</v>
      </c>
    </row>
    <row r="632" spans="1:1" x14ac:dyDescent="0.2">
      <c r="A632" s="159" t="s">
        <v>131</v>
      </c>
    </row>
    <row r="633" spans="1:1" x14ac:dyDescent="0.2">
      <c r="A633" s="159" t="s">
        <v>132</v>
      </c>
    </row>
    <row r="634" spans="1:1" x14ac:dyDescent="0.2">
      <c r="A634" s="159" t="s">
        <v>1084</v>
      </c>
    </row>
    <row r="635" spans="1:1" x14ac:dyDescent="0.2">
      <c r="A635" s="159" t="s">
        <v>1085</v>
      </c>
    </row>
    <row r="636" spans="1:1" x14ac:dyDescent="0.2">
      <c r="A636" s="159" t="s">
        <v>133</v>
      </c>
    </row>
    <row r="637" spans="1:1" x14ac:dyDescent="0.2">
      <c r="A637" s="159" t="s">
        <v>1086</v>
      </c>
    </row>
    <row r="638" spans="1:1" x14ac:dyDescent="0.2">
      <c r="A638" s="159" t="s">
        <v>1087</v>
      </c>
    </row>
    <row r="639" spans="1:1" x14ac:dyDescent="0.2">
      <c r="A639" s="159" t="s">
        <v>1088</v>
      </c>
    </row>
    <row r="640" spans="1:1" x14ac:dyDescent="0.2">
      <c r="A640" s="159" t="s">
        <v>1089</v>
      </c>
    </row>
    <row r="641" spans="1:1" x14ac:dyDescent="0.2">
      <c r="A641" s="159" t="s">
        <v>134</v>
      </c>
    </row>
    <row r="642" spans="1:1" x14ac:dyDescent="0.2">
      <c r="A642" s="159" t="s">
        <v>135</v>
      </c>
    </row>
    <row r="643" spans="1:1" x14ac:dyDescent="0.2">
      <c r="A643" s="159" t="s">
        <v>136</v>
      </c>
    </row>
    <row r="644" spans="1:1" x14ac:dyDescent="0.2">
      <c r="A644" s="159" t="s">
        <v>1090</v>
      </c>
    </row>
    <row r="645" spans="1:1" x14ac:dyDescent="0.2">
      <c r="A645" s="159" t="s">
        <v>137</v>
      </c>
    </row>
    <row r="646" spans="1:1" x14ac:dyDescent="0.2">
      <c r="A646" s="159" t="s">
        <v>138</v>
      </c>
    </row>
    <row r="647" spans="1:1" x14ac:dyDescent="0.2">
      <c r="A647" s="159" t="s">
        <v>139</v>
      </c>
    </row>
    <row r="648" spans="1:1" x14ac:dyDescent="0.2">
      <c r="A648" s="159" t="s">
        <v>1064</v>
      </c>
    </row>
    <row r="649" spans="1:1" x14ac:dyDescent="0.2">
      <c r="A649" s="159" t="s">
        <v>140</v>
      </c>
    </row>
    <row r="650" spans="1:1" x14ac:dyDescent="0.2">
      <c r="A650" s="159" t="s">
        <v>141</v>
      </c>
    </row>
    <row r="651" spans="1:1" x14ac:dyDescent="0.2">
      <c r="A651" s="159" t="s">
        <v>142</v>
      </c>
    </row>
    <row r="652" spans="1:1" x14ac:dyDescent="0.2">
      <c r="A652" s="159" t="s">
        <v>1095</v>
      </c>
    </row>
    <row r="653" spans="1:1" x14ac:dyDescent="0.2">
      <c r="A653" s="159" t="s">
        <v>143</v>
      </c>
    </row>
    <row r="654" spans="1:1" x14ac:dyDescent="0.2">
      <c r="A654" s="159" t="s">
        <v>144</v>
      </c>
    </row>
    <row r="655" spans="1:1" x14ac:dyDescent="0.2">
      <c r="A655" s="159" t="s">
        <v>145</v>
      </c>
    </row>
    <row r="656" spans="1:1" x14ac:dyDescent="0.2">
      <c r="A656" s="159" t="s">
        <v>146</v>
      </c>
    </row>
    <row r="657" spans="1:1" x14ac:dyDescent="0.2">
      <c r="A657" s="159" t="s">
        <v>147</v>
      </c>
    </row>
    <row r="658" spans="1:1" x14ac:dyDescent="0.2">
      <c r="A658" s="159" t="s">
        <v>1096</v>
      </c>
    </row>
    <row r="659" spans="1:1" x14ac:dyDescent="0.2">
      <c r="A659" s="159" t="s">
        <v>148</v>
      </c>
    </row>
    <row r="660" spans="1:1" x14ac:dyDescent="0.2">
      <c r="A660" s="159" t="s">
        <v>149</v>
      </c>
    </row>
    <row r="661" spans="1:1" x14ac:dyDescent="0.2">
      <c r="A661" s="159" t="s">
        <v>805</v>
      </c>
    </row>
    <row r="662" spans="1:1" x14ac:dyDescent="0.2">
      <c r="A662" s="159" t="s">
        <v>150</v>
      </c>
    </row>
    <row r="663" spans="1:1" x14ac:dyDescent="0.2">
      <c r="A663" s="159" t="s">
        <v>151</v>
      </c>
    </row>
    <row r="664" spans="1:1" x14ac:dyDescent="0.2">
      <c r="A664" s="159" t="s">
        <v>1097</v>
      </c>
    </row>
    <row r="665" spans="1:1" x14ac:dyDescent="0.2">
      <c r="A665" s="159" t="s">
        <v>152</v>
      </c>
    </row>
    <row r="666" spans="1:1" x14ac:dyDescent="0.2">
      <c r="A666" s="159" t="s">
        <v>153</v>
      </c>
    </row>
    <row r="667" spans="1:1" x14ac:dyDescent="0.2">
      <c r="A667" s="159" t="s">
        <v>1092</v>
      </c>
    </row>
    <row r="668" spans="1:1" x14ac:dyDescent="0.2">
      <c r="A668" s="159" t="s">
        <v>154</v>
      </c>
    </row>
    <row r="669" spans="1:1" x14ac:dyDescent="0.2">
      <c r="A669" s="159" t="s">
        <v>1098</v>
      </c>
    </row>
    <row r="670" spans="1:1" x14ac:dyDescent="0.2">
      <c r="A670" s="159" t="s">
        <v>155</v>
      </c>
    </row>
    <row r="671" spans="1:1" x14ac:dyDescent="0.2">
      <c r="A671" s="159" t="s">
        <v>850</v>
      </c>
    </row>
    <row r="672" spans="1:1" x14ac:dyDescent="0.2">
      <c r="A672" s="159" t="s">
        <v>390</v>
      </c>
    </row>
    <row r="673" spans="1:1" x14ac:dyDescent="0.2">
      <c r="A673" s="159"/>
    </row>
    <row r="674" spans="1:1" x14ac:dyDescent="0.2">
      <c r="A674" s="159"/>
    </row>
    <row r="675" spans="1:1" x14ac:dyDescent="0.2">
      <c r="A675" s="159"/>
    </row>
    <row r="676" spans="1:1" x14ac:dyDescent="0.2">
      <c r="A676" s="159"/>
    </row>
    <row r="677" spans="1:1" x14ac:dyDescent="0.2">
      <c r="A677" s="159"/>
    </row>
    <row r="678" spans="1:1" x14ac:dyDescent="0.2">
      <c r="A678" s="159"/>
    </row>
    <row r="679" spans="1:1" x14ac:dyDescent="0.2">
      <c r="A679" s="159"/>
    </row>
    <row r="680" spans="1:1" x14ac:dyDescent="0.2">
      <c r="A680" s="159"/>
    </row>
    <row r="681" spans="1:1" x14ac:dyDescent="0.2">
      <c r="A681" s="159"/>
    </row>
    <row r="682" spans="1:1" x14ac:dyDescent="0.2">
      <c r="A682" s="159"/>
    </row>
    <row r="683" spans="1:1" x14ac:dyDescent="0.2">
      <c r="A683" s="159"/>
    </row>
    <row r="684" spans="1:1" x14ac:dyDescent="0.2">
      <c r="A684" s="159"/>
    </row>
    <row r="685" spans="1:1" x14ac:dyDescent="0.2">
      <c r="A685" s="159"/>
    </row>
    <row r="686" spans="1:1" x14ac:dyDescent="0.2">
      <c r="A686" s="159"/>
    </row>
    <row r="687" spans="1:1" x14ac:dyDescent="0.2">
      <c r="A687" s="159"/>
    </row>
    <row r="688" spans="1:1" x14ac:dyDescent="0.2">
      <c r="A688" s="159"/>
    </row>
    <row r="689" spans="1:1" x14ac:dyDescent="0.2">
      <c r="A689" s="159"/>
    </row>
    <row r="690" spans="1:1" x14ac:dyDescent="0.2">
      <c r="A690" s="159"/>
    </row>
    <row r="691" spans="1:1" x14ac:dyDescent="0.2">
      <c r="A691" s="159"/>
    </row>
    <row r="692" spans="1:1" x14ac:dyDescent="0.2">
      <c r="A692" s="159"/>
    </row>
    <row r="693" spans="1:1" x14ac:dyDescent="0.2">
      <c r="A693" s="159"/>
    </row>
    <row r="694" spans="1:1" x14ac:dyDescent="0.2">
      <c r="A694" s="159"/>
    </row>
    <row r="695" spans="1:1" x14ac:dyDescent="0.2">
      <c r="A695" s="159"/>
    </row>
    <row r="696" spans="1:1" x14ac:dyDescent="0.2">
      <c r="A696" s="159"/>
    </row>
    <row r="697" spans="1:1" x14ac:dyDescent="0.2">
      <c r="A697" s="159"/>
    </row>
    <row r="698" spans="1:1" x14ac:dyDescent="0.2">
      <c r="A698" s="159"/>
    </row>
    <row r="699" spans="1:1" x14ac:dyDescent="0.2">
      <c r="A699" s="159"/>
    </row>
    <row r="700" spans="1:1" x14ac:dyDescent="0.2">
      <c r="A700" s="159"/>
    </row>
    <row r="701" spans="1:1" x14ac:dyDescent="0.2">
      <c r="A701" s="159"/>
    </row>
    <row r="702" spans="1:1" x14ac:dyDescent="0.2">
      <c r="A702" s="159"/>
    </row>
    <row r="703" spans="1:1" x14ac:dyDescent="0.2">
      <c r="A703" s="159"/>
    </row>
    <row r="704" spans="1:1" x14ac:dyDescent="0.2">
      <c r="A704" s="159"/>
    </row>
    <row r="705" spans="1:1" x14ac:dyDescent="0.2">
      <c r="A705" s="159"/>
    </row>
    <row r="706" spans="1:1" x14ac:dyDescent="0.2">
      <c r="A706" s="159"/>
    </row>
    <row r="707" spans="1:1" x14ac:dyDescent="0.2">
      <c r="A707" s="159"/>
    </row>
    <row r="708" spans="1:1" x14ac:dyDescent="0.2">
      <c r="A708" s="159"/>
    </row>
    <row r="709" spans="1:1" x14ac:dyDescent="0.2">
      <c r="A709" s="159"/>
    </row>
    <row r="710" spans="1:1" x14ac:dyDescent="0.2">
      <c r="A710" s="159"/>
    </row>
    <row r="711" spans="1:1" x14ac:dyDescent="0.2">
      <c r="A711" s="159"/>
    </row>
    <row r="712" spans="1:1" x14ac:dyDescent="0.2">
      <c r="A712" s="159"/>
    </row>
    <row r="713" spans="1:1" x14ac:dyDescent="0.2">
      <c r="A713" s="159"/>
    </row>
    <row r="714" spans="1:1" x14ac:dyDescent="0.2">
      <c r="A714" s="159"/>
    </row>
    <row r="715" spans="1:1" x14ac:dyDescent="0.2">
      <c r="A715" s="159"/>
    </row>
    <row r="716" spans="1:1" x14ac:dyDescent="0.2">
      <c r="A716" s="159"/>
    </row>
    <row r="717" spans="1:1" x14ac:dyDescent="0.2">
      <c r="A717" s="159"/>
    </row>
    <row r="718" spans="1:1" x14ac:dyDescent="0.2">
      <c r="A718" s="159"/>
    </row>
    <row r="719" spans="1:1" x14ac:dyDescent="0.2">
      <c r="A719" s="159"/>
    </row>
    <row r="720" spans="1:1" x14ac:dyDescent="0.2">
      <c r="A720" s="159"/>
    </row>
    <row r="721" spans="1:1" x14ac:dyDescent="0.2">
      <c r="A721" s="159"/>
    </row>
    <row r="722" spans="1:1" x14ac:dyDescent="0.2">
      <c r="A722" s="159"/>
    </row>
    <row r="723" spans="1:1" x14ac:dyDescent="0.2">
      <c r="A723" s="159"/>
    </row>
    <row r="724" spans="1:1" x14ac:dyDescent="0.2">
      <c r="A724" s="159"/>
    </row>
    <row r="725" spans="1:1" x14ac:dyDescent="0.2">
      <c r="A725" s="159"/>
    </row>
    <row r="726" spans="1:1" x14ac:dyDescent="0.2">
      <c r="A726" s="159"/>
    </row>
    <row r="727" spans="1:1" x14ac:dyDescent="0.2">
      <c r="A727" s="159"/>
    </row>
    <row r="728" spans="1:1" x14ac:dyDescent="0.2">
      <c r="A728" s="159"/>
    </row>
    <row r="729" spans="1:1" x14ac:dyDescent="0.2">
      <c r="A729" s="159"/>
    </row>
    <row r="730" spans="1:1" x14ac:dyDescent="0.2">
      <c r="A730" s="159"/>
    </row>
    <row r="731" spans="1:1" x14ac:dyDescent="0.2">
      <c r="A731" s="159"/>
    </row>
    <row r="732" spans="1:1" x14ac:dyDescent="0.2">
      <c r="A732" s="159"/>
    </row>
    <row r="733" spans="1:1" x14ac:dyDescent="0.2">
      <c r="A733" s="159"/>
    </row>
    <row r="734" spans="1:1" x14ac:dyDescent="0.2">
      <c r="A734" s="159"/>
    </row>
    <row r="735" spans="1:1" x14ac:dyDescent="0.2">
      <c r="A735" s="159"/>
    </row>
    <row r="736" spans="1:1" x14ac:dyDescent="0.2">
      <c r="A736" s="159"/>
    </row>
    <row r="737" spans="1:1" x14ac:dyDescent="0.2">
      <c r="A737" s="159"/>
    </row>
    <row r="738" spans="1:1" x14ac:dyDescent="0.2">
      <c r="A738" s="159"/>
    </row>
    <row r="739" spans="1:1" x14ac:dyDescent="0.2">
      <c r="A739" s="159"/>
    </row>
    <row r="740" spans="1:1" x14ac:dyDescent="0.2">
      <c r="A740" s="159"/>
    </row>
    <row r="741" spans="1:1" x14ac:dyDescent="0.2">
      <c r="A741" s="159"/>
    </row>
    <row r="742" spans="1:1" x14ac:dyDescent="0.2">
      <c r="A742" s="159"/>
    </row>
    <row r="743" spans="1:1" x14ac:dyDescent="0.2">
      <c r="A743" s="159"/>
    </row>
    <row r="744" spans="1:1" x14ac:dyDescent="0.2">
      <c r="A744" s="159"/>
    </row>
    <row r="745" spans="1:1" x14ac:dyDescent="0.2">
      <c r="A745" s="159"/>
    </row>
    <row r="746" spans="1:1" x14ac:dyDescent="0.2">
      <c r="A746" s="159"/>
    </row>
    <row r="747" spans="1:1" x14ac:dyDescent="0.2">
      <c r="A747" s="159"/>
    </row>
    <row r="748" spans="1:1" x14ac:dyDescent="0.2">
      <c r="A748" s="159"/>
    </row>
    <row r="749" spans="1:1" x14ac:dyDescent="0.2">
      <c r="A749" s="159"/>
    </row>
    <row r="750" spans="1:1" x14ac:dyDescent="0.2">
      <c r="A750" s="159"/>
    </row>
    <row r="751" spans="1:1" x14ac:dyDescent="0.2">
      <c r="A751" s="159"/>
    </row>
    <row r="752" spans="1:1" x14ac:dyDescent="0.2">
      <c r="A752" s="159"/>
    </row>
    <row r="753" spans="1:1" x14ac:dyDescent="0.2">
      <c r="A753" s="159"/>
    </row>
    <row r="754" spans="1:1" x14ac:dyDescent="0.2">
      <c r="A754" s="159"/>
    </row>
    <row r="755" spans="1:1" x14ac:dyDescent="0.2">
      <c r="A755" s="159"/>
    </row>
    <row r="756" spans="1:1" x14ac:dyDescent="0.2">
      <c r="A756" s="159"/>
    </row>
    <row r="757" spans="1:1" x14ac:dyDescent="0.2">
      <c r="A757" s="159"/>
    </row>
    <row r="758" spans="1:1" x14ac:dyDescent="0.2">
      <c r="A758" s="159"/>
    </row>
    <row r="759" spans="1:1" x14ac:dyDescent="0.2">
      <c r="A759" s="159"/>
    </row>
    <row r="760" spans="1:1" x14ac:dyDescent="0.2">
      <c r="A760" s="159"/>
    </row>
    <row r="761" spans="1:1" x14ac:dyDescent="0.2">
      <c r="A761" s="159"/>
    </row>
    <row r="762" spans="1:1" x14ac:dyDescent="0.2">
      <c r="A762" s="159"/>
    </row>
    <row r="763" spans="1:1" x14ac:dyDescent="0.2">
      <c r="A763" s="159"/>
    </row>
    <row r="764" spans="1:1" x14ac:dyDescent="0.2">
      <c r="A764" s="159"/>
    </row>
    <row r="765" spans="1:1" x14ac:dyDescent="0.2">
      <c r="A765" s="159"/>
    </row>
    <row r="766" spans="1:1" x14ac:dyDescent="0.2">
      <c r="A766" s="159"/>
    </row>
    <row r="767" spans="1:1" x14ac:dyDescent="0.2">
      <c r="A767" s="159"/>
    </row>
    <row r="768" spans="1:1" x14ac:dyDescent="0.2">
      <c r="A768" s="159"/>
    </row>
    <row r="769" spans="1:1" x14ac:dyDescent="0.2">
      <c r="A769" s="159"/>
    </row>
    <row r="770" spans="1:1" x14ac:dyDescent="0.2">
      <c r="A770" s="159"/>
    </row>
    <row r="771" spans="1:1" x14ac:dyDescent="0.2">
      <c r="A771" s="159"/>
    </row>
    <row r="772" spans="1:1" x14ac:dyDescent="0.2">
      <c r="A772" s="159"/>
    </row>
    <row r="773" spans="1:1" x14ac:dyDescent="0.2">
      <c r="A773" s="159"/>
    </row>
    <row r="774" spans="1:1" x14ac:dyDescent="0.2">
      <c r="A774" s="159"/>
    </row>
    <row r="775" spans="1:1" x14ac:dyDescent="0.2">
      <c r="A775" s="159"/>
    </row>
    <row r="776" spans="1:1" x14ac:dyDescent="0.2">
      <c r="A776" s="159"/>
    </row>
    <row r="777" spans="1:1" x14ac:dyDescent="0.2">
      <c r="A777" s="159"/>
    </row>
    <row r="778" spans="1:1" x14ac:dyDescent="0.2">
      <c r="A778" s="159"/>
    </row>
    <row r="779" spans="1:1" x14ac:dyDescent="0.2">
      <c r="A779" s="159"/>
    </row>
    <row r="780" spans="1:1" x14ac:dyDescent="0.2">
      <c r="A780" s="159"/>
    </row>
    <row r="781" spans="1:1" x14ac:dyDescent="0.2">
      <c r="A781" s="159"/>
    </row>
    <row r="782" spans="1:1" x14ac:dyDescent="0.2">
      <c r="A782" s="159"/>
    </row>
    <row r="783" spans="1:1" x14ac:dyDescent="0.2">
      <c r="A783" s="159"/>
    </row>
  </sheetData>
  <sheetProtection sheet="1" objects="1" scenarios="1" selectLockedCells="1"/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BS</vt:lpstr>
      <vt:lpstr>IS</vt:lpstr>
      <vt:lpstr>Bank</vt:lpstr>
      <vt:lpstr>BS!Print_Area</vt:lpstr>
      <vt:lpstr>IS!Print_Area</vt:lpstr>
      <vt:lpstr>BS!Print_Titles</vt:lpstr>
      <vt:lpstr>IS!Print_Titles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2005-10-26T00:14:48Z</dcterms:created>
  <dc:creator>User01</dc:creator>
  <cp:lastModifiedBy>User01</cp:lastModifiedBy>
  <cp:lastPrinted>2007-04-17T01:54:57Z</cp:lastPrinted>
  <dcterms:modified xsi:type="dcterms:W3CDTF">2016-07-04T08:22:32Z</dcterms:modified>
</cp:coreProperties>
</file>